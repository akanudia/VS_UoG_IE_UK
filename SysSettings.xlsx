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"/>
    </mc:Choice>
  </mc:AlternateContent>
  <xr:revisionPtr revIDLastSave="0" documentId="13_ncr:1_{EABF342F-6377-4B41-9B3F-11F454375633}" xr6:coauthVersionLast="47" xr6:coauthVersionMax="47" xr10:uidLastSave="{00000000-0000-0000-0000-000000000000}"/>
  <bookViews>
    <workbookView xWindow="-98" yWindow="-98" windowWidth="28996" windowHeight="17475" firstSheet="10" activeTab="10" xr2:uid="{2482EFB5-3AE9-45DA-8260-B7D3CEA47111}"/>
  </bookViews>
  <sheets>
    <sheet name="heat_GBR" sheetId="2" r:id="rId1"/>
    <sheet name="grids_GBR" sheetId="3" r:id="rId2"/>
    <sheet name="fuels_GBR" sheetId="4" r:id="rId3"/>
    <sheet name="heat_IRL" sheetId="5" r:id="rId4"/>
    <sheet name="grids_IRL" sheetId="6" r:id="rId5"/>
    <sheet name="fuels_IRL" sheetId="7" r:id="rId6"/>
    <sheet name="system_settings" sheetId="8" r:id="rId7"/>
    <sheet name="TimePeriods" sheetId="9" r:id="rId8"/>
    <sheet name="System Settings" sheetId="10" r:id="rId9"/>
    <sheet name="Constants" sheetId="11" r:id="rId10"/>
    <sheet name="reporting option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2" i="11" l="1"/>
  <c r="I101" i="11"/>
  <c r="H95" i="11"/>
  <c r="I51" i="11"/>
  <c r="G51" i="11"/>
  <c r="F51" i="11"/>
  <c r="G14" i="9"/>
  <c r="G15" i="9" s="1"/>
  <c r="F14" i="9"/>
  <c r="F15" i="9" s="1"/>
  <c r="E14" i="9"/>
  <c r="E15" i="9" s="1"/>
  <c r="E16" i="9" l="1"/>
  <c r="E17" i="9" s="1"/>
  <c r="E18" i="9" s="1"/>
  <c r="E19" i="9" s="1"/>
  <c r="E20" i="9" s="1"/>
  <c r="F16" i="9"/>
  <c r="F17" i="9" s="1"/>
  <c r="F18" i="9" s="1"/>
  <c r="F19" i="9" s="1"/>
  <c r="F12" i="9"/>
  <c r="G16" i="9"/>
  <c r="G17" i="9" s="1"/>
  <c r="G18" i="9" s="1"/>
  <c r="G12" i="9"/>
  <c r="E12" i="9" l="1"/>
</calcChain>
</file>

<file path=xl/sharedStrings.xml><?xml version="1.0" encoding="utf-8"?>
<sst xmlns="http://schemas.openxmlformats.org/spreadsheetml/2006/main" count="2118" uniqueCount="610">
  <si>
    <t>VERVESTACKS - the open USE platform · Powered by data · Shaped by vision · Guided by intuition · Fueled by passion</t>
  </si>
  <si>
    <t>~fi_comm</t>
  </si>
  <si>
    <t>set</t>
  </si>
  <si>
    <t>commodity</t>
  </si>
  <si>
    <t>region</t>
  </si>
  <si>
    <t>description</t>
  </si>
  <si>
    <t>commoditytype</t>
  </si>
  <si>
    <t>timeslicelevel</t>
  </si>
  <si>
    <t>limtype</t>
  </si>
  <si>
    <t>unit</t>
  </si>
  <si>
    <t>NRG</t>
  </si>
  <si>
    <t>h_Aberdeen_GBR</t>
  </si>
  <si>
    <t>GBR</t>
  </si>
  <si>
    <t>heat at grid node -- way/118821349-275 (Aberdeen, 18 km)</t>
  </si>
  <si>
    <t>LTHEAT</t>
  </si>
  <si>
    <t>season</t>
  </si>
  <si>
    <t>lo</t>
  </si>
  <si>
    <t>TWh</t>
  </si>
  <si>
    <t>h_Ashford_GBR</t>
  </si>
  <si>
    <t>heat at grid node -- way/775577829 (Maidstone, 47 km)</t>
  </si>
  <si>
    <t>h_Basildon_GBR</t>
  </si>
  <si>
    <t>heat at grid node -- way/109189896 (Basildon, 22 km)</t>
  </si>
  <si>
    <t>h_Belfast_GBR</t>
  </si>
  <si>
    <t>heat at grid node -- way/137050527 (Belfast, 29 km)</t>
  </si>
  <si>
    <t>h_Caerdydd_GBR</t>
  </si>
  <si>
    <t>heat at grid node -- way/95749833-400 (Caerdydd, 19 km)</t>
  </si>
  <si>
    <t>h_Derry_GBR</t>
  </si>
  <si>
    <t>heat at grid node -- way/402783212-275 (Derry, 7 km)</t>
  </si>
  <si>
    <t>h_Elgin_GBR</t>
  </si>
  <si>
    <t>heat at grid node -- way/568527671 (Aberdeen, 65 km)</t>
  </si>
  <si>
    <t>h_Glasgow_GBR</t>
  </si>
  <si>
    <t>heat at grid node -- way/166703759-275 (Glasgow, 5 km)</t>
  </si>
  <si>
    <t>h_Ipswich_GBR</t>
  </si>
  <si>
    <t>heat at grid node -- way/25422135-400 (Ipswich, 7 km)</t>
  </si>
  <si>
    <t>h_Lerwick_GBR</t>
  </si>
  <si>
    <t>heat at grid node -- way/975637991 (Aberdeen, 353 km)</t>
  </si>
  <si>
    <t>h_Lisburn_GBR</t>
  </si>
  <si>
    <t>heat at grid node -- way/227767019-275 (Belfast, 41 km)</t>
  </si>
  <si>
    <t>h_Liverpool_GBR</t>
  </si>
  <si>
    <t>heat at grid node -- way/375626500 (Liverpool, 20 km)</t>
  </si>
  <si>
    <t>h_Manchester_GBR</t>
  </si>
  <si>
    <t>heat at grid node -- way/92529432-400 (Manchester, 11 km)</t>
  </si>
  <si>
    <t>h_Newcastle_GBR</t>
  </si>
  <si>
    <t>heat at grid node -- way/642490160 (Newcastle, 19 km)</t>
  </si>
  <si>
    <t>h_Paisley_GBR</t>
  </si>
  <si>
    <t>heat at grid node -- way/297840585 (Glasgow, 43 km)</t>
  </si>
  <si>
    <t>h_Peterborough_GBR</t>
  </si>
  <si>
    <t>heat at grid node -- way/1078532568 (Peterborough, 39 km)</t>
  </si>
  <si>
    <t>h_Plymouth_GBR</t>
  </si>
  <si>
    <t>heat at grid node -- way/34656007-400 (Plymouth, 11 km)</t>
  </si>
  <si>
    <t>h_Portsmouth_GBR</t>
  </si>
  <si>
    <t>heat at grid node -- way/636630368 (Portsmouth, 8 km)</t>
  </si>
  <si>
    <t>h_Preston_GBR</t>
  </si>
  <si>
    <t>heat at grid node -- way/94004582-400 (Preston, 25 km)</t>
  </si>
  <si>
    <t>h_Reading_GBR</t>
  </si>
  <si>
    <t>heat at grid node -- way/32796576-400 (Reading, 15 km)</t>
  </si>
  <si>
    <t>h_Stranraer_GBR</t>
  </si>
  <si>
    <t>heat at grid node -- way/148382435 (Belfast, 80 km)</t>
  </si>
  <si>
    <t>h_Wick_GBR</t>
  </si>
  <si>
    <t>heat at grid node -- way/1262971878 (Aberdeen, 168 km)</t>
  </si>
  <si>
    <t>e_Aberdeen_GBR</t>
  </si>
  <si>
    <t>grid node -- way/118821349-275 (Aberdeen, 18 km)</t>
  </si>
  <si>
    <t>ELC</t>
  </si>
  <si>
    <t>daynite</t>
  </si>
  <si>
    <t>e_Ashford_GBR</t>
  </si>
  <si>
    <t>grid node -- way/775577829 (Maidstone, 47 km)</t>
  </si>
  <si>
    <t>e_Basildon_GBR</t>
  </si>
  <si>
    <t>grid node -- way/109189896 (Basildon, 22 km)</t>
  </si>
  <si>
    <t>e_Belfast_GBR</t>
  </si>
  <si>
    <t>grid node -- way/137050527 (Belfast, 29 km)</t>
  </si>
  <si>
    <t>e_Caerdydd_GBR</t>
  </si>
  <si>
    <t>grid node -- way/95749833-400 (Caerdydd, 19 km)</t>
  </si>
  <si>
    <t>e_Derry_GBR</t>
  </si>
  <si>
    <t>grid node -- way/402783212-275 (Derry, 7 km)</t>
  </si>
  <si>
    <t>e_Elgin_GBR</t>
  </si>
  <si>
    <t>grid node -- way/568527671 (Aberdeen, 65 km)</t>
  </si>
  <si>
    <t>e_Glasgow_GBR</t>
  </si>
  <si>
    <t>grid node -- way/166703759-275 (Glasgow, 5 km)</t>
  </si>
  <si>
    <t>e_Ipswich_GBR</t>
  </si>
  <si>
    <t>grid node -- way/25422135-400 (Ipswich, 7 km)</t>
  </si>
  <si>
    <t>e_Lerwick_GBR</t>
  </si>
  <si>
    <t>grid node -- way/975637991 (Aberdeen, 353 km)</t>
  </si>
  <si>
    <t>e_Lisburn_GBR</t>
  </si>
  <si>
    <t>grid node -- way/227767019-275 (Belfast, 41 km)</t>
  </si>
  <si>
    <t>e_Liverpool_GBR</t>
  </si>
  <si>
    <t>grid node -- way/375626500 (Liverpool, 20 km)</t>
  </si>
  <si>
    <t>e_Manchester_GBR</t>
  </si>
  <si>
    <t>grid node -- way/92529432-400 (Manchester, 11 km)</t>
  </si>
  <si>
    <t>e_Newcastle_GBR</t>
  </si>
  <si>
    <t>grid node -- way/642490160 (Newcastle, 19 km)</t>
  </si>
  <si>
    <t>e_Paisley_GBR</t>
  </si>
  <si>
    <t>grid node -- way/297840585 (Glasgow, 43 km)</t>
  </si>
  <si>
    <t>e_Peterborough_GBR</t>
  </si>
  <si>
    <t>grid node -- way/1078532568 (Peterborough, 39 km)</t>
  </si>
  <si>
    <t>e_Plymouth_GBR</t>
  </si>
  <si>
    <t>grid node -- way/34656007-400 (Plymouth, 11 km)</t>
  </si>
  <si>
    <t>e_Portsmouth_GBR</t>
  </si>
  <si>
    <t>grid node -- way/636630368 (Portsmouth, 8 km)</t>
  </si>
  <si>
    <t>e_Preston_GBR</t>
  </si>
  <si>
    <t>grid node -- way/94004582-400 (Preston, 25 km)</t>
  </si>
  <si>
    <t>e_Reading_GBR</t>
  </si>
  <si>
    <t>grid node -- way/32796576-400 (Reading, 15 km)</t>
  </si>
  <si>
    <t>e_Stranraer_GBR</t>
  </si>
  <si>
    <t>grid node -- way/148382435 (Belfast, 80 km)</t>
  </si>
  <si>
    <t>e_Wick_GBR</t>
  </si>
  <si>
    <t>grid node -- way/1262971878 (Aberdeen, 168 km)</t>
  </si>
  <si>
    <t>~FI_Comm</t>
  </si>
  <si>
    <t>Set</t>
  </si>
  <si>
    <t>peaktimeslice</t>
  </si>
  <si>
    <t>bioenergy</t>
  </si>
  <si>
    <t>twh</t>
  </si>
  <si>
    <t>elc_spv_GBR_001</t>
  </si>
  <si>
    <t>solar electricity near Lincoln (cluster 1)</t>
  </si>
  <si>
    <t>COAL</t>
  </si>
  <si>
    <t>elc_spv_GBR_002</t>
  </si>
  <si>
    <t>solar electricity near London (cluster 2)</t>
  </si>
  <si>
    <t>GAS</t>
  </si>
  <si>
    <t>elc_spv_GBR_003</t>
  </si>
  <si>
    <t>solar electricity near Aberdeen (cluster 3)</t>
  </si>
  <si>
    <t>geothermal</t>
  </si>
  <si>
    <t>elc_spv_GBR_004</t>
  </si>
  <si>
    <t>solar electricity near Aberdeen (cluster 4)</t>
  </si>
  <si>
    <t>hydro</t>
  </si>
  <si>
    <t>elc_spv_GBR_005</t>
  </si>
  <si>
    <t>solar electricity near Belfast (cluster 5)</t>
  </si>
  <si>
    <t>hydrogen</t>
  </si>
  <si>
    <t>elc_spv_GBR_006</t>
  </si>
  <si>
    <t>solar electricity near Belfast (cluster 6)</t>
  </si>
  <si>
    <t>nuclear</t>
  </si>
  <si>
    <t>elc_spv_GBR_007</t>
  </si>
  <si>
    <t>solar electricity near Glasgow (cluster 7)</t>
  </si>
  <si>
    <t>OIL</t>
  </si>
  <si>
    <t>elc_spv_GBR_008</t>
  </si>
  <si>
    <t>solar electricity near Belfast (cluster 8)</t>
  </si>
  <si>
    <t>solar</t>
  </si>
  <si>
    <t>elc_spv_GBR_009</t>
  </si>
  <si>
    <t>solar electricity near Norwich (cluster 9)</t>
  </si>
  <si>
    <t>windon</t>
  </si>
  <si>
    <t>wind onshore</t>
  </si>
  <si>
    <t>elc_spv_GBR_010</t>
  </si>
  <si>
    <t>solar electricity near Glasgow (cluster 10)</t>
  </si>
  <si>
    <t>windoff</t>
  </si>
  <si>
    <t>wind offshore</t>
  </si>
  <si>
    <t>elc_spv_GBR_011</t>
  </si>
  <si>
    <t>solar electricity near Reading (cluster 11)</t>
  </si>
  <si>
    <t>electricity - generated</t>
  </si>
  <si>
    <t>annual</t>
  </si>
  <si>
    <t>elc_spv_GBR_012</t>
  </si>
  <si>
    <t>solar electricity near Plymouth (cluster 12)</t>
  </si>
  <si>
    <t>HET</t>
  </si>
  <si>
    <t>low temperature heat</t>
  </si>
  <si>
    <t>elc_spv_GBR_013</t>
  </si>
  <si>
    <t>solar electricity near Liverpool (cluster 13)</t>
  </si>
  <si>
    <t>DEM</t>
  </si>
  <si>
    <t>hydrogen_allsect</t>
  </si>
  <si>
    <t>Hydrogen demand - all sectors</t>
  </si>
  <si>
    <t>elc_spv_GBR_014</t>
  </si>
  <si>
    <t>solar electricity near Derry (cluster 14)</t>
  </si>
  <si>
    <t>elc_buildings</t>
  </si>
  <si>
    <t>electricity used in buildings</t>
  </si>
  <si>
    <t>elc_spv_GBR_015</t>
  </si>
  <si>
    <t>solar electricity near Aberdeen (cluster 15)</t>
  </si>
  <si>
    <t>elc_industry</t>
  </si>
  <si>
    <t>electricity used in industry</t>
  </si>
  <si>
    <t>elc_spv_GBR_016</t>
  </si>
  <si>
    <t>solar electricity near Portsmouth (cluster 16)</t>
  </si>
  <si>
    <t>elc_transport</t>
  </si>
  <si>
    <t>electricity used in transport</t>
  </si>
  <si>
    <t>elc_spv_GBR_017</t>
  </si>
  <si>
    <t>solar electricity near Newcastle (cluster 17)</t>
  </si>
  <si>
    <t>elc_roadtransport</t>
  </si>
  <si>
    <t>electricity used in road transport</t>
  </si>
  <si>
    <t>elc_spv_GBR_018</t>
  </si>
  <si>
    <t>solar electricity near Ashford (cluster 18)</t>
  </si>
  <si>
    <t>het_buildings</t>
  </si>
  <si>
    <t>heat used in buildings</t>
  </si>
  <si>
    <t>elc_spv_GBR_019</t>
  </si>
  <si>
    <t>solar electricity near Manchester (cluster 19)</t>
  </si>
  <si>
    <t>het_industry</t>
  </si>
  <si>
    <t>heat used in industry</t>
  </si>
  <si>
    <t>elc_spv_GBR_020</t>
  </si>
  <si>
    <t>solar electricity near Carlisle (cluster 20)</t>
  </si>
  <si>
    <t>ENV</t>
  </si>
  <si>
    <t>co2</t>
  </si>
  <si>
    <t>co2 emissions from power generation</t>
  </si>
  <si>
    <t>kt</t>
  </si>
  <si>
    <t>elc_spv_GBR_021</t>
  </si>
  <si>
    <t>solar electricity near Caerdydd (cluster 21)</t>
  </si>
  <si>
    <t>co2captured</t>
  </si>
  <si>
    <t>elc_spv_GBR_022</t>
  </si>
  <si>
    <t>solar electricity near Aberdeen (cluster 22)</t>
  </si>
  <si>
    <t>co2net</t>
  </si>
  <si>
    <t>elc_wof_GBR_001</t>
  </si>
  <si>
    <t>wind offshore electricity near Scarborough (cluster 1)</t>
  </si>
  <si>
    <t>elc_wof_GBR_002</t>
  </si>
  <si>
    <t>wind offshore electricity near Worthing (cluster 2)</t>
  </si>
  <si>
    <t>elc_wof_GBR_003</t>
  </si>
  <si>
    <t>wind offshore electricity near Edinburgh (cluster 3)</t>
  </si>
  <si>
    <t>~tfm_comgrp</t>
  </si>
  <si>
    <t>elc_wof_GBR_004</t>
  </si>
  <si>
    <t>wind offshore electricity near Aberdeen (cluster 4)</t>
  </si>
  <si>
    <t>name</t>
  </si>
  <si>
    <t>allregions</t>
  </si>
  <si>
    <t>cset_cn</t>
  </si>
  <si>
    <t>elc_wof_GBR_005</t>
  </si>
  <si>
    <t>wind offshore electricity near Aberdeen (cluster 5)</t>
  </si>
  <si>
    <t>ELC_BatIn</t>
  </si>
  <si>
    <t>y</t>
  </si>
  <si>
    <t>ELC,e[_]*</t>
  </si>
  <si>
    <t>elc_wof_GBR_006</t>
  </si>
  <si>
    <t>wind offshore electricity near Aberdeen (cluster 6)</t>
  </si>
  <si>
    <t>elc_wof_GBR_007</t>
  </si>
  <si>
    <t>wind offshore electricity near Aberdeen (cluster 7)</t>
  </si>
  <si>
    <t>elc_wof_GBR_008</t>
  </si>
  <si>
    <t>wind offshore electricity near Belfast (cluster 8)</t>
  </si>
  <si>
    <t>elc_wof_GBR_009</t>
  </si>
  <si>
    <t>wind offshore electricity near Belfast (cluster 9)</t>
  </si>
  <si>
    <t>elc_wof_GBR_010</t>
  </si>
  <si>
    <t>wind offshore electricity near Edinburgh (cluster 10)</t>
  </si>
  <si>
    <t>elc_wof_GBR_011</t>
  </si>
  <si>
    <t>wind offshore electricity near Abertawe (cluster 11)</t>
  </si>
  <si>
    <t>elc_wof_GBR_012</t>
  </si>
  <si>
    <t>wind offshore electricity near Kingston upon Hull (cluster 12)</t>
  </si>
  <si>
    <t>ctype</t>
  </si>
  <si>
    <t>elc_wof_GBR_013</t>
  </si>
  <si>
    <t>wind offshore electricity near Glasgow (cluster 13)</t>
  </si>
  <si>
    <t>ELC4H</t>
  </si>
  <si>
    <t>First 5 hours of surplus electricity from VRE generation</t>
  </si>
  <si>
    <t>PJ</t>
  </si>
  <si>
    <t>DAYNITE</t>
  </si>
  <si>
    <t>elc_wof_GBR_014</t>
  </si>
  <si>
    <t>wind offshore electricity near Plymouth (cluster 14)</t>
  </si>
  <si>
    <t>ELC8H</t>
  </si>
  <si>
    <t>6-10 hours of surplus electricity from VRE generation</t>
  </si>
  <si>
    <t>elc_wof_GBR_015</t>
  </si>
  <si>
    <t>wind offshore electricity near Plymouth (cluster 15)</t>
  </si>
  <si>
    <t>ELCnH</t>
  </si>
  <si>
    <t>&gt;10 hours of surplus electricity from VRE generation</t>
  </si>
  <si>
    <t>elc_wof_GBR_016</t>
  </si>
  <si>
    <t>wind offshore electricity near Plymouth (cluster 16)</t>
  </si>
  <si>
    <t>DEF_E</t>
  </si>
  <si>
    <t>Electricity that was missing at the hourly level</t>
  </si>
  <si>
    <t>elc_wof_GBR_017</t>
  </si>
  <si>
    <t>wind offshore electricity near Plymouth (cluster 17)</t>
  </si>
  <si>
    <t>DEF_C</t>
  </si>
  <si>
    <t>VRE Capacity deficit to be covered by dispatchable techs</t>
  </si>
  <si>
    <t>GW</t>
  </si>
  <si>
    <t>ANNUAL</t>
  </si>
  <si>
    <t>elc_wof_GBR_018</t>
  </si>
  <si>
    <t>wind offshore electricity near Liverpool (cluster 18)</t>
  </si>
  <si>
    <t>elc_wof_GBR_019</t>
  </si>
  <si>
    <t>wind offshore electricity near Derry (cluster 19)</t>
  </si>
  <si>
    <t>elc_wof_GBR_020</t>
  </si>
  <si>
    <t>wind offshore electricity near Derry (cluster 20)</t>
  </si>
  <si>
    <t>elc_wof_GBR_021</t>
  </si>
  <si>
    <t>wind offshore electricity near Glasgow (cluster 21)</t>
  </si>
  <si>
    <t>elc_wof_GBR_022</t>
  </si>
  <si>
    <t>wind offshore electricity near Glasgow (cluster 22)</t>
  </si>
  <si>
    <t>elc_wof_GBR_023</t>
  </si>
  <si>
    <t>wind offshore electricity near Aberdeen (cluster 23)</t>
  </si>
  <si>
    <t>elc_wof_GBR_024</t>
  </si>
  <si>
    <t>wind offshore electricity near Portsmouth (cluster 24)</t>
  </si>
  <si>
    <t>elc_wof_GBR_025</t>
  </si>
  <si>
    <t>wind offshore electricity near Newcastle (cluster 25)</t>
  </si>
  <si>
    <t>elc_wof_GBR_026</t>
  </si>
  <si>
    <t>wind offshore electricity near Newcastle (cluster 26)</t>
  </si>
  <si>
    <t>elc_wof_GBR_027</t>
  </si>
  <si>
    <t>wind offshore electricity near Maidstone (cluster 27)</t>
  </si>
  <si>
    <t>elc_wof_GBR_028</t>
  </si>
  <si>
    <t>wind offshore electricity near Carlisle (cluster 28)</t>
  </si>
  <si>
    <t>elc_wof_GBR_029</t>
  </si>
  <si>
    <t>wind offshore electricity near Abertawe (cluster 29)</t>
  </si>
  <si>
    <t>elc_wof_GBR_030</t>
  </si>
  <si>
    <t>wind offshore electricity near Aberdeen (cluster 30)</t>
  </si>
  <si>
    <t>elc_wof_GBR_031</t>
  </si>
  <si>
    <t>wind offshore electricity near Aberdeen (cluster 31)</t>
  </si>
  <si>
    <t>elc_wof_GBR_032</t>
  </si>
  <si>
    <t>wind offshore electricity near Aberdeen (cluster 32)</t>
  </si>
  <si>
    <t>elc_wof_GBR_033</t>
  </si>
  <si>
    <t>wind offshore electricity near Aberdeen (cluster 33)</t>
  </si>
  <si>
    <t>elc_wof_GBR_034</t>
  </si>
  <si>
    <t>wind offshore electricity near Aberdeen (cluster 34)</t>
  </si>
  <si>
    <t>elc_won_GBR_001</t>
  </si>
  <si>
    <t>wind onshore electricity near Leicester (cluster 1)</t>
  </si>
  <si>
    <t>elc_won_GBR_002</t>
  </si>
  <si>
    <t>wind onshore electricity near Croydon (cluster 2)</t>
  </si>
  <si>
    <t>elc_won_GBR_003</t>
  </si>
  <si>
    <t>wind onshore electricity near Aberdeen (cluster 3)</t>
  </si>
  <si>
    <t>elc_won_GBR_004</t>
  </si>
  <si>
    <t>wind onshore electricity near Aberdeen (cluster 4)</t>
  </si>
  <si>
    <t>elc_won_GBR_005</t>
  </si>
  <si>
    <t>wind onshore electricity near Belfast (cluster 5)</t>
  </si>
  <si>
    <t>elc_won_GBR_006</t>
  </si>
  <si>
    <t>wind onshore electricity near Belfast (cluster 6)</t>
  </si>
  <si>
    <t>elc_won_GBR_007</t>
  </si>
  <si>
    <t>wind onshore electricity near Glasgow (cluster 7)</t>
  </si>
  <si>
    <t>elc_won_GBR_008</t>
  </si>
  <si>
    <t>wind onshore electricity near Belfast (cluster 8)</t>
  </si>
  <si>
    <t>elc_won_GBR_009</t>
  </si>
  <si>
    <t>wind onshore electricity near Norwich (cluster 9)</t>
  </si>
  <si>
    <t>elc_won_GBR_010</t>
  </si>
  <si>
    <t>wind onshore electricity near Glasgow (cluster 10)</t>
  </si>
  <si>
    <t>elc_won_GBR_011</t>
  </si>
  <si>
    <t>wind onshore electricity near Reading (cluster 11)</t>
  </si>
  <si>
    <t>elc_won_GBR_012</t>
  </si>
  <si>
    <t>wind onshore electricity near Plymouth (cluster 12)</t>
  </si>
  <si>
    <t>elc_won_GBR_013</t>
  </si>
  <si>
    <t>wind onshore electricity near Birkenhead (cluster 13)</t>
  </si>
  <si>
    <t>elc_won_GBR_014</t>
  </si>
  <si>
    <t>wind onshore electricity near Derry (cluster 14)</t>
  </si>
  <si>
    <t>elc_won_GBR_015</t>
  </si>
  <si>
    <t>wind onshore electricity near Aberdeen (cluster 15)</t>
  </si>
  <si>
    <t>elc_won_GBR_016</t>
  </si>
  <si>
    <t>wind onshore electricity near Southampton (cluster 16)</t>
  </si>
  <si>
    <t>elc_won_GBR_017</t>
  </si>
  <si>
    <t>wind onshore electricity near Newcastle (cluster 17)</t>
  </si>
  <si>
    <t>elc_won_GBR_018</t>
  </si>
  <si>
    <t>wind onshore electricity near Ashford (cluster 18)</t>
  </si>
  <si>
    <t>elc_won_GBR_019</t>
  </si>
  <si>
    <t>wind onshore electricity near Manchester (cluster 19)</t>
  </si>
  <si>
    <t>elc_won_GBR_020</t>
  </si>
  <si>
    <t>wind onshore electricity near Carlisle (cluster 20)</t>
  </si>
  <si>
    <t>elc_won_GBR_021</t>
  </si>
  <si>
    <t>wind onshore electricity near Caerdydd (cluster 21)</t>
  </si>
  <si>
    <t>elc_won_GBR_022</t>
  </si>
  <si>
    <t>wind onshore electricity near Aberdeen (cluster 22)</t>
  </si>
  <si>
    <t>h_Ballincollig_IRL</t>
  </si>
  <si>
    <t>IRL</t>
  </si>
  <si>
    <t>heat at grid node -- IE7-220 (Cork, 42 km)</t>
  </si>
  <si>
    <t>h_Cork_IRL</t>
  </si>
  <si>
    <t>heat at grid node -- way/104388595-220 (Cork, 12 km)</t>
  </si>
  <si>
    <t>h_Drogheda_IRL</t>
  </si>
  <si>
    <t>heat at grid node -- way/264275258-220 (Drogheda, 31 km)</t>
  </si>
  <si>
    <t>h_Dublin_IRL</t>
  </si>
  <si>
    <t>heat at grid node -- way/260836695 (Dublin, 24 km)</t>
  </si>
  <si>
    <t>h_DunDealgan_IRL</t>
  </si>
  <si>
    <t>heat at grid node -- way/264275258-275 (Drogheda, 31 km)</t>
  </si>
  <si>
    <t>h_Greystones_IRL</t>
  </si>
  <si>
    <t>heat at grid node -- way/147525695-220 (Dublin, 60 km)</t>
  </si>
  <si>
    <t>h_Limerick_IRL</t>
  </si>
  <si>
    <t>heat at grid node -- way/180637986-220 (Limerick, 6 km)</t>
  </si>
  <si>
    <t>h_Longford_IRL</t>
  </si>
  <si>
    <t>heat at grid node -- way/194575030-220 (Galway, 93 km)</t>
  </si>
  <si>
    <t>h_Shannon_IRL</t>
  </si>
  <si>
    <t>heat at grid node -- way/516651650-220 (Galway, 81 km)</t>
  </si>
  <si>
    <t>h_Waterford_IRL</t>
  </si>
  <si>
    <t>heat at grid node -- way/96278380-220 (Waterford, 9 km)</t>
  </si>
  <si>
    <t>e_Ballincollig_IRL</t>
  </si>
  <si>
    <t>grid node -- IE7-220 (Cork, 42 km)</t>
  </si>
  <si>
    <t>e_Cork_IRL</t>
  </si>
  <si>
    <t>grid node -- way/104388595-220 (Cork, 12 km)</t>
  </si>
  <si>
    <t>e_Drogheda_IRL</t>
  </si>
  <si>
    <t>grid node -- way/264275258-220 (Drogheda, 31 km)</t>
  </si>
  <si>
    <t>e_Dublin_IRL</t>
  </si>
  <si>
    <t>grid node -- way/260836695 (Dublin, 24 km)</t>
  </si>
  <si>
    <t>e_DunDealgan_IRL</t>
  </si>
  <si>
    <t>grid node -- way/264275258-275 (Drogheda, 31 km)</t>
  </si>
  <si>
    <t>e_Greystones_IRL</t>
  </si>
  <si>
    <t>grid node -- way/147525695-220 (Dublin, 60 km)</t>
  </si>
  <si>
    <t>e_Limerick_IRL</t>
  </si>
  <si>
    <t>grid node -- way/180637986-220 (Limerick, 6 km)</t>
  </si>
  <si>
    <t>e_Longford_IRL</t>
  </si>
  <si>
    <t>grid node -- way/194575030-220 (Galway, 93 km)</t>
  </si>
  <si>
    <t>e_Shannon_IRL</t>
  </si>
  <si>
    <t>grid node -- way/516651650-220 (Galway, 81 km)</t>
  </si>
  <si>
    <t>e_Waterford_IRL</t>
  </si>
  <si>
    <t>grid node -- way/96278380-220 (Waterford, 9 km)</t>
  </si>
  <si>
    <t>elc_spv_IRL_001</t>
  </si>
  <si>
    <t>solar electricity near Cork (cluster 1)</t>
  </si>
  <si>
    <t>elc_spv_IRL_002</t>
  </si>
  <si>
    <t>solar electricity near Cork (cluster 2)</t>
  </si>
  <si>
    <t>elc_spv_IRL_003</t>
  </si>
  <si>
    <t>solar electricity near Dublin (cluster 3)</t>
  </si>
  <si>
    <t>elc_spv_IRL_004</t>
  </si>
  <si>
    <t>solar electricity near Limerick (cluster 4)</t>
  </si>
  <si>
    <t>elc_spv_IRL_005</t>
  </si>
  <si>
    <t>solar electricity near Galway (cluster 5)</t>
  </si>
  <si>
    <t>elc_spv_IRL_006</t>
  </si>
  <si>
    <t>solar electricity near Dublin (cluster 6)</t>
  </si>
  <si>
    <t>elc_spv_IRL_007</t>
  </si>
  <si>
    <t>solar electricity near Finglas (cluster 7)</t>
  </si>
  <si>
    <t>elc_spv_IRL_008</t>
  </si>
  <si>
    <t>solar electricity near Drogheda (cluster 8)</t>
  </si>
  <si>
    <t>elc_spv_IRL_009</t>
  </si>
  <si>
    <t>solar electricity near Galway (cluster 9)</t>
  </si>
  <si>
    <t>elc_spv_IRL_010</t>
  </si>
  <si>
    <t>solar electricity near Waterford (cluster 10)</t>
  </si>
  <si>
    <t>elc_wof_IRL_001</t>
  </si>
  <si>
    <t>wind offshore electricity near Cork (cluster 1)</t>
  </si>
  <si>
    <t>elc_wof_IRL_002</t>
  </si>
  <si>
    <t>wind offshore electricity near Cork (cluster 2)</t>
  </si>
  <si>
    <t>elc_wof_IRL_003</t>
  </si>
  <si>
    <t>wind offshore electricity near Cork (cluster 3)</t>
  </si>
  <si>
    <t>elc_wof_IRL_004</t>
  </si>
  <si>
    <t>wind offshore electricity near Cork (cluster 4)</t>
  </si>
  <si>
    <t>elc_wof_IRL_005</t>
  </si>
  <si>
    <t>wind offshore electricity near Cork (cluster 5)</t>
  </si>
  <si>
    <t>elc_wof_IRL_006</t>
  </si>
  <si>
    <t>wind offshore electricity near Tallaght (cluster 6)</t>
  </si>
  <si>
    <t>elc_wof_IRL_007</t>
  </si>
  <si>
    <t>wind offshore electricity near Dublin (cluster 7)</t>
  </si>
  <si>
    <t>elc_wof_IRL_008</t>
  </si>
  <si>
    <t>wind offshore electricity near Galway (cluster 8)</t>
  </si>
  <si>
    <t>elc_wof_IRL_009</t>
  </si>
  <si>
    <t>wind offshore electricity near Galway (cluster 9)</t>
  </si>
  <si>
    <t>elc_wof_IRL_010</t>
  </si>
  <si>
    <t>wind offshore electricity near Galway (cluster 10)</t>
  </si>
  <si>
    <t>elc_wof_IRL_011</t>
  </si>
  <si>
    <t>wind offshore electricity near Drogheda (cluster 11)</t>
  </si>
  <si>
    <t>elc_wof_IRL_012</t>
  </si>
  <si>
    <t>wind offshore electricity near Galway (cluster 12)</t>
  </si>
  <si>
    <t>elc_wof_IRL_013</t>
  </si>
  <si>
    <t>wind offshore electricity near Galway (cluster 13)</t>
  </si>
  <si>
    <t>elc_wof_IRL_014</t>
  </si>
  <si>
    <t>wind offshore electricity near Cork (cluster 14)</t>
  </si>
  <si>
    <t>elc_wof_IRL_015</t>
  </si>
  <si>
    <t>wind offshore electricity near Limerick (cluster 15)</t>
  </si>
  <si>
    <t>elc_wof_IRL_016</t>
  </si>
  <si>
    <t>wind offshore electricity near Galway (cluster 16)</t>
  </si>
  <si>
    <t>elc_wof_IRL_017</t>
  </si>
  <si>
    <t>wind offshore electricity near Waterford (cluster 17)</t>
  </si>
  <si>
    <t>elc_wof_IRL_018</t>
  </si>
  <si>
    <t>wind offshore electricity near Waterford (cluster 18)</t>
  </si>
  <si>
    <t>elc_won_IRL_001</t>
  </si>
  <si>
    <t>wind onshore electricity near Cork (cluster 1)</t>
  </si>
  <si>
    <t>elc_won_IRL_002</t>
  </si>
  <si>
    <t>wind onshore electricity near Cork (cluster 2)</t>
  </si>
  <si>
    <t>elc_won_IRL_003</t>
  </si>
  <si>
    <t>wind onshore electricity near Dublin (cluster 3)</t>
  </si>
  <si>
    <t>elc_won_IRL_004</t>
  </si>
  <si>
    <t>wind onshore electricity near Limerick (cluster 4)</t>
  </si>
  <si>
    <t>elc_won_IRL_005</t>
  </si>
  <si>
    <t>wind onshore electricity near Galway (cluster 5)</t>
  </si>
  <si>
    <t>elc_won_IRL_006</t>
  </si>
  <si>
    <t>wind onshore electricity near Dublin (cluster 6)</t>
  </si>
  <si>
    <t>elc_won_IRL_007</t>
  </si>
  <si>
    <t>wind onshore electricity near Finglas (cluster 7)</t>
  </si>
  <si>
    <t>elc_won_IRL_008</t>
  </si>
  <si>
    <t>wind onshore electricity near Drogheda (cluster 8)</t>
  </si>
  <si>
    <t>elc_won_IRL_009</t>
  </si>
  <si>
    <t>wind onshore electricity near Galway (cluster 9)</t>
  </si>
  <si>
    <t>elc_won_IRL_010</t>
  </si>
  <si>
    <t>wind onshore electricity near Waterford (cluster 10)</t>
  </si>
  <si>
    <t>~BookRegions_Map</t>
  </si>
  <si>
    <t>~TimeSlices</t>
  </si>
  <si>
    <t>BookName</t>
  </si>
  <si>
    <t>Region</t>
  </si>
  <si>
    <t>Season</t>
  </si>
  <si>
    <t>Weekly</t>
  </si>
  <si>
    <t>DayNite</t>
  </si>
  <si>
    <t>S</t>
  </si>
  <si>
    <t>D</t>
  </si>
  <si>
    <t>W</t>
  </si>
  <si>
    <t>N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</si>
  <si>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</si>
  <si>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</si>
  <si>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</si>
  <si>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</si>
  <si>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</si>
  <si>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</si>
  <si>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</si>
  <si>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</si>
  <si>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</si>
  <si>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</si>
  <si>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</si>
  <si>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</si>
  <si>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</si>
  <si>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</si>
  <si>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</si>
  <si>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</si>
  <si>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</si>
  <si>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</si>
  <si>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</si>
  <si>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</si>
  <si>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</si>
  <si>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</si>
  <si>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</si>
  <si>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NCAP_AF</t>
  </si>
  <si>
    <t>flo_mark</t>
  </si>
  <si>
    <t>cap_bnd</t>
  </si>
  <si>
    <t>~TFM_INS</t>
  </si>
  <si>
    <t>Year</t>
  </si>
  <si>
    <t>Pset_PN</t>
  </si>
  <si>
    <t>ACTCOST</t>
  </si>
  <si>
    <t>IMP*Z</t>
  </si>
  <si>
    <t>IMPDEMZ,IMPDUCZ</t>
  </si>
  <si>
    <t>invcost</t>
  </si>
  <si>
    <t>IMPDUCZ</t>
  </si>
  <si>
    <t>~Currencies</t>
  </si>
  <si>
    <t>~TFM_INS-TS</t>
  </si>
  <si>
    <t>~UnitConversion</t>
  </si>
  <si>
    <t>Currency</t>
  </si>
  <si>
    <t>Other_Indexes</t>
  </si>
  <si>
    <t>Curr</t>
  </si>
  <si>
    <t>from_unit</t>
  </si>
  <si>
    <t>to_unit</t>
  </si>
  <si>
    <t>multiplier</t>
  </si>
  <si>
    <t>USD25</t>
  </si>
  <si>
    <t>COM_PKRSV</t>
  </si>
  <si>
    <t>QBtu</t>
  </si>
  <si>
    <t>EUR12</t>
  </si>
  <si>
    <t>COM_PKTS</t>
  </si>
  <si>
    <t>Billion Kwh</t>
  </si>
  <si>
    <t>EUR15</t>
  </si>
  <si>
    <t>G_Dyear</t>
  </si>
  <si>
    <t>Mt</t>
  </si>
  <si>
    <t>Kt</t>
  </si>
  <si>
    <t>EUR17</t>
  </si>
  <si>
    <t>G_OFFTHD</t>
  </si>
  <si>
    <t>B$</t>
  </si>
  <si>
    <t>m$</t>
  </si>
  <si>
    <t>EUR18</t>
  </si>
  <si>
    <t>G_CUREX</t>
  </si>
  <si>
    <t>USD20</t>
  </si>
  <si>
    <t>USD83</t>
  </si>
  <si>
    <t>TBtu</t>
  </si>
  <si>
    <t>EUR19</t>
  </si>
  <si>
    <t>USD84</t>
  </si>
  <si>
    <t>ktoe</t>
  </si>
  <si>
    <t>EUR10</t>
  </si>
  <si>
    <t>USD85</t>
  </si>
  <si>
    <t>mtoe</t>
  </si>
  <si>
    <t>USD00</t>
  </si>
  <si>
    <t>USD86</t>
  </si>
  <si>
    <t>Gwh</t>
  </si>
  <si>
    <t>USD01</t>
  </si>
  <si>
    <t>USD87</t>
  </si>
  <si>
    <t>Gt</t>
  </si>
  <si>
    <t>USD02</t>
  </si>
  <si>
    <t>USD88</t>
  </si>
  <si>
    <t>bEur</t>
  </si>
  <si>
    <t>mEur</t>
  </si>
  <si>
    <t>USD03</t>
  </si>
  <si>
    <t>USD89</t>
  </si>
  <si>
    <t>$/GJ</t>
  </si>
  <si>
    <t>$/bbl</t>
  </si>
  <si>
    <t>USD04</t>
  </si>
  <si>
    <t>USD90</t>
  </si>
  <si>
    <t>$/ton</t>
  </si>
  <si>
    <t>m$/kt</t>
  </si>
  <si>
    <t>USD05</t>
  </si>
  <si>
    <t>USD91</t>
  </si>
  <si>
    <t>EJ</t>
  </si>
  <si>
    <t>USD06</t>
  </si>
  <si>
    <t>USD92</t>
  </si>
  <si>
    <t>bcm</t>
  </si>
  <si>
    <t>USD07</t>
  </si>
  <si>
    <t>USD93</t>
  </si>
  <si>
    <t>mbpd</t>
  </si>
  <si>
    <t>USD08</t>
  </si>
  <si>
    <t>USD94</t>
  </si>
  <si>
    <t>Cents per Kwh</t>
  </si>
  <si>
    <t>$ per GJ</t>
  </si>
  <si>
    <t>USD09</t>
  </si>
  <si>
    <t>USD95</t>
  </si>
  <si>
    <t>Twh</t>
  </si>
  <si>
    <t>USD10</t>
  </si>
  <si>
    <t>USD96</t>
  </si>
  <si>
    <t>USD11</t>
  </si>
  <si>
    <t>USD97</t>
  </si>
  <si>
    <t>GWp</t>
  </si>
  <si>
    <t>USD12</t>
  </si>
  <si>
    <t>USD98</t>
  </si>
  <si>
    <t>mt H2</t>
  </si>
  <si>
    <t>USD13</t>
  </si>
  <si>
    <t>USD99</t>
  </si>
  <si>
    <t>mboe</t>
  </si>
  <si>
    <t>USD14</t>
  </si>
  <si>
    <t>mt LNG</t>
  </si>
  <si>
    <t>USD15</t>
  </si>
  <si>
    <t>USD16</t>
  </si>
  <si>
    <t>USD17</t>
  </si>
  <si>
    <t>USD18</t>
  </si>
  <si>
    <t>USD19</t>
  </si>
  <si>
    <t>USD21</t>
  </si>
  <si>
    <t>USD22</t>
  </si>
  <si>
    <t>USD23</t>
  </si>
  <si>
    <t>USD24</t>
  </si>
  <si>
    <t>*G_CUREX</t>
  </si>
  <si>
    <t>USD21_alt</t>
  </si>
  <si>
    <t>G_DRATE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</si>
  <si>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</si>
  <si>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</si>
  <si>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</si>
  <si>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</si>
  <si>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</si>
  <si>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</si>
  <si>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</si>
  <si>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</si>
  <si>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</si>
  <si>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</si>
  <si>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</si>
  <si>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</si>
  <si>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</si>
  <si>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</si>
  <si>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</si>
  <si>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</si>
  <si>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</si>
  <si>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</si>
  <si>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</si>
  <si>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</si>
  <si>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</si>
  <si>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</si>
  <si>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</si>
  <si>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</si>
  <si>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</si>
  <si>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</si>
  <si>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</si>
  <si>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</si>
  <si>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vervestacksMR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</si>
</sst>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7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sz val="10"/>
      <name val="Arial"/>
      <family val="2"/>
    </font>
    <font>
      <sz val="10"/>
      <name val="Arial"/>
    </font>
    <font>
      <sz val="11"/>
      <color indexed="8"/>
      <name val="Calibri"/>
      <family val="2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0"/>
      <color theme="1"/>
      <name val="Aptos Narrow"/>
      <family val="2"/>
      <scheme val="minor"/>
    </font>
    <font>
      <b/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indexed="26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7" fillId="0" borderId="0"/>
    <xf numFmtId="0" fontId="8" fillId="0" borderId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7" fillId="0" borderId="0"/>
  </cellStyleXfs>
  <cellXfs count="28">
    <xf numFmtId="0" fontId="0" fillId="0" borderId="0" xfId="0"/>
    <xf numFmtId="0" fontId="4" fillId="0" borderId="0" xfId="0" applyFont="1"/>
    <xf numFmtId="0" fontId="5" fillId="3" borderId="4" xfId="0" applyFont="1" applyFill="1" applyBorder="1"/>
    <xf numFmtId="0" fontId="6" fillId="4" borderId="3" xfId="0" applyFont="1" applyFill="1" applyBorder="1"/>
    <xf numFmtId="0" fontId="6" fillId="0" borderId="3" xfId="0" applyFont="1" applyBorder="1"/>
    <xf numFmtId="164" fontId="1" fillId="0" borderId="1" xfId="1" applyNumberFormat="1"/>
    <xf numFmtId="164" fontId="7" fillId="0" borderId="0" xfId="3" applyNumberFormat="1"/>
    <xf numFmtId="0" fontId="7" fillId="0" borderId="0" xfId="3"/>
    <xf numFmtId="164" fontId="2" fillId="0" borderId="2" xfId="2" applyNumberFormat="1"/>
    <xf numFmtId="0" fontId="2" fillId="0" borderId="2" xfId="2"/>
    <xf numFmtId="0" fontId="8" fillId="0" borderId="0" xfId="4"/>
    <xf numFmtId="0" fontId="9" fillId="5" borderId="5" xfId="5" applyBorder="1"/>
    <xf numFmtId="0" fontId="9" fillId="5" borderId="0" xfId="5" applyBorder="1"/>
    <xf numFmtId="0" fontId="9" fillId="5" borderId="0" xfId="6"/>
    <xf numFmtId="0" fontId="10" fillId="0" borderId="0" xfId="4" applyFont="1"/>
    <xf numFmtId="0" fontId="11" fillId="0" borderId="0" xfId="4" applyFont="1"/>
    <xf numFmtId="0" fontId="12" fillId="0" borderId="0" xfId="4" quotePrefix="1" applyFont="1" applyAlignment="1">
      <alignment horizontal="left"/>
    </xf>
    <xf numFmtId="0" fontId="7" fillId="0" borderId="0" xfId="4" applyFont="1"/>
    <xf numFmtId="0" fontId="13" fillId="0" borderId="0" xfId="4" applyFont="1"/>
    <xf numFmtId="0" fontId="14" fillId="5" borderId="0" xfId="7" applyFont="1" applyBorder="1"/>
    <xf numFmtId="0" fontId="1" fillId="0" borderId="1" xfId="1"/>
    <xf numFmtId="0" fontId="15" fillId="0" borderId="0" xfId="0" applyFont="1"/>
    <xf numFmtId="0" fontId="7" fillId="0" borderId="0" xfId="8"/>
    <xf numFmtId="2" fontId="7" fillId="0" borderId="0" xfId="8" applyNumberFormat="1"/>
    <xf numFmtId="11" fontId="8" fillId="0" borderId="0" xfId="4" applyNumberFormat="1"/>
    <xf numFmtId="1" fontId="8" fillId="0" borderId="0" xfId="4" applyNumberFormat="1"/>
    <xf numFmtId="0" fontId="16" fillId="0" borderId="0" xfId="4" applyFont="1"/>
    <xf numFmtId="0" fontId="3" fillId="2" borderId="3" xfId="0" applyFont="1" applyFill="1" applyBorder="1" applyAlignment="1">
      <alignment horizontal="left" vertical="center"/>
    </xf>
  </cellXfs>
  <cellStyles count="9">
    <cellStyle name="20% - Accent3 2 10" xfId="6" xr:uid="{27238BF9-4FBD-4501-B786-AD9E9331CE4E}"/>
    <cellStyle name="20% - Accent3 2 13" xfId="5" xr:uid="{E6EA5605-D1F5-4E0A-BD5A-EB66F62930ED}"/>
    <cellStyle name="20% - Accent6 2 7" xfId="7" xr:uid="{BA7792EC-4581-4F93-85E5-2487C2CDA33D}"/>
    <cellStyle name="Heading 2" xfId="1" builtinId="17"/>
    <cellStyle name="Heading 3" xfId="2" builtinId="18"/>
    <cellStyle name="Normal" xfId="0" builtinId="0"/>
    <cellStyle name="Normal 2" xfId="8" xr:uid="{44B311B8-6AAB-4D22-995E-2A8FF73D1F6D}"/>
    <cellStyle name="Normal 39" xfId="3" xr:uid="{C5A6EB59-5BDB-4010-87C1-0A9F65D02C32}"/>
    <cellStyle name="Normal 40" xfId="4" xr:uid="{B164D2E2-4AF7-44BB-A570-0EBCD02DE8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3A39F-2486-47A1-946C-19EC7C86CC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6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9F108-1411-4962-9CC1-5AB2E74751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663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627AD-B62F-4FE6-B020-72A7292AA5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7838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032DA-71F1-4680-92D7-FE29DA1DE2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30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1CFADF-1CE0-45A3-A3A3-1428D2B49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305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FF8B-0F40-4668-89DA-6C76D5715051}">
  <dimension ref="A1:I26"/>
  <sheetViews>
    <sheetView workbookViewId="0">
      <selection sqref="A1:H1"/>
    </sheetView>
  </sheetViews>
  <sheetFormatPr defaultRowHeight="14.25" x14ac:dyDescent="0.45"/>
  <cols>
    <col min="2" max="2" width="10.59765625" customWidth="1"/>
    <col min="3" max="3" width="15.796875" bestFit="1" customWidth="1"/>
    <col min="4" max="4" width="10.59765625" customWidth="1"/>
    <col min="5" max="5" width="30.59765625" customWidth="1"/>
    <col min="6" max="6" width="14.53125" bestFit="1" customWidth="1"/>
    <col min="7" max="7" width="12.46484375" bestFit="1" customWidth="1"/>
    <col min="8" max="9" width="10.59765625" customWidth="1"/>
  </cols>
  <sheetData>
    <row r="1" spans="1:9" ht="22.05" customHeight="1" x14ac:dyDescent="0.45">
      <c r="A1" s="27" t="s">
        <v>0</v>
      </c>
      <c r="B1" s="27"/>
      <c r="C1" s="27"/>
      <c r="D1" s="27"/>
      <c r="E1" s="27"/>
      <c r="F1" s="27"/>
      <c r="G1" s="27"/>
      <c r="H1" s="27"/>
    </row>
    <row r="3" spans="1:9" ht="14.65" thickBot="1" x14ac:dyDescent="0.5">
      <c r="B3" s="1" t="s">
        <v>1</v>
      </c>
    </row>
    <row r="4" spans="1:9" ht="15.75" thickBot="1" x14ac:dyDescent="0.6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x14ac:dyDescent="0.45"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</row>
    <row r="6" spans="1:9" x14ac:dyDescent="0.45">
      <c r="B6" s="4" t="s">
        <v>10</v>
      </c>
      <c r="C6" s="4" t="s">
        <v>18</v>
      </c>
      <c r="D6" s="4" t="s">
        <v>12</v>
      </c>
      <c r="E6" s="4" t="s">
        <v>19</v>
      </c>
      <c r="F6" s="4" t="s">
        <v>14</v>
      </c>
      <c r="G6" s="4" t="s">
        <v>15</v>
      </c>
      <c r="H6" s="4" t="s">
        <v>16</v>
      </c>
      <c r="I6" s="4" t="s">
        <v>17</v>
      </c>
    </row>
    <row r="7" spans="1:9" x14ac:dyDescent="0.45">
      <c r="B7" s="3" t="s">
        <v>10</v>
      </c>
      <c r="C7" s="3" t="s">
        <v>20</v>
      </c>
      <c r="D7" s="3" t="s">
        <v>12</v>
      </c>
      <c r="E7" s="3" t="s">
        <v>21</v>
      </c>
      <c r="F7" s="3" t="s">
        <v>14</v>
      </c>
      <c r="G7" s="3" t="s">
        <v>15</v>
      </c>
      <c r="H7" s="3" t="s">
        <v>16</v>
      </c>
      <c r="I7" s="3" t="s">
        <v>17</v>
      </c>
    </row>
    <row r="8" spans="1:9" x14ac:dyDescent="0.45">
      <c r="B8" s="4" t="s">
        <v>10</v>
      </c>
      <c r="C8" s="4" t="s">
        <v>22</v>
      </c>
      <c r="D8" s="4" t="s">
        <v>12</v>
      </c>
      <c r="E8" s="4" t="s">
        <v>23</v>
      </c>
      <c r="F8" s="4" t="s">
        <v>14</v>
      </c>
      <c r="G8" s="4" t="s">
        <v>15</v>
      </c>
      <c r="H8" s="4" t="s">
        <v>16</v>
      </c>
      <c r="I8" s="4" t="s">
        <v>17</v>
      </c>
    </row>
    <row r="9" spans="1:9" x14ac:dyDescent="0.45">
      <c r="B9" s="3" t="s">
        <v>10</v>
      </c>
      <c r="C9" s="3" t="s">
        <v>24</v>
      </c>
      <c r="D9" s="3" t="s">
        <v>12</v>
      </c>
      <c r="E9" s="3" t="s">
        <v>25</v>
      </c>
      <c r="F9" s="3" t="s">
        <v>14</v>
      </c>
      <c r="G9" s="3" t="s">
        <v>15</v>
      </c>
      <c r="H9" s="3" t="s">
        <v>16</v>
      </c>
      <c r="I9" s="3" t="s">
        <v>17</v>
      </c>
    </row>
    <row r="10" spans="1:9" x14ac:dyDescent="0.45">
      <c r="B10" s="4" t="s">
        <v>10</v>
      </c>
      <c r="C10" s="4" t="s">
        <v>26</v>
      </c>
      <c r="D10" s="4" t="s">
        <v>12</v>
      </c>
      <c r="E10" s="4" t="s">
        <v>27</v>
      </c>
      <c r="F10" s="4" t="s">
        <v>14</v>
      </c>
      <c r="G10" s="4" t="s">
        <v>15</v>
      </c>
      <c r="H10" s="4" t="s">
        <v>16</v>
      </c>
      <c r="I10" s="4" t="s">
        <v>17</v>
      </c>
    </row>
    <row r="11" spans="1:9" x14ac:dyDescent="0.45">
      <c r="B11" s="3" t="s">
        <v>10</v>
      </c>
      <c r="C11" s="3" t="s">
        <v>28</v>
      </c>
      <c r="D11" s="3" t="s">
        <v>12</v>
      </c>
      <c r="E11" s="3" t="s">
        <v>29</v>
      </c>
      <c r="F11" s="3" t="s">
        <v>14</v>
      </c>
      <c r="G11" s="3" t="s">
        <v>15</v>
      </c>
      <c r="H11" s="3" t="s">
        <v>16</v>
      </c>
      <c r="I11" s="3" t="s">
        <v>17</v>
      </c>
    </row>
    <row r="12" spans="1:9" x14ac:dyDescent="0.45">
      <c r="B12" s="4" t="s">
        <v>10</v>
      </c>
      <c r="C12" s="4" t="s">
        <v>30</v>
      </c>
      <c r="D12" s="4" t="s">
        <v>12</v>
      </c>
      <c r="E12" s="4" t="s">
        <v>31</v>
      </c>
      <c r="F12" s="4" t="s">
        <v>14</v>
      </c>
      <c r="G12" s="4" t="s">
        <v>15</v>
      </c>
      <c r="H12" s="4" t="s">
        <v>16</v>
      </c>
      <c r="I12" s="4" t="s">
        <v>17</v>
      </c>
    </row>
    <row r="13" spans="1:9" x14ac:dyDescent="0.45">
      <c r="B13" s="3" t="s">
        <v>10</v>
      </c>
      <c r="C13" s="3" t="s">
        <v>32</v>
      </c>
      <c r="D13" s="3" t="s">
        <v>12</v>
      </c>
      <c r="E13" s="3" t="s">
        <v>33</v>
      </c>
      <c r="F13" s="3" t="s">
        <v>14</v>
      </c>
      <c r="G13" s="3" t="s">
        <v>15</v>
      </c>
      <c r="H13" s="3" t="s">
        <v>16</v>
      </c>
      <c r="I13" s="3" t="s">
        <v>17</v>
      </c>
    </row>
    <row r="14" spans="1:9" x14ac:dyDescent="0.45">
      <c r="B14" s="4" t="s">
        <v>10</v>
      </c>
      <c r="C14" s="4" t="s">
        <v>34</v>
      </c>
      <c r="D14" s="4" t="s">
        <v>12</v>
      </c>
      <c r="E14" s="4" t="s">
        <v>35</v>
      </c>
      <c r="F14" s="4" t="s">
        <v>14</v>
      </c>
      <c r="G14" s="4" t="s">
        <v>15</v>
      </c>
      <c r="H14" s="4" t="s">
        <v>16</v>
      </c>
      <c r="I14" s="4" t="s">
        <v>17</v>
      </c>
    </row>
    <row r="15" spans="1:9" x14ac:dyDescent="0.45">
      <c r="B15" s="3" t="s">
        <v>10</v>
      </c>
      <c r="C15" s="3" t="s">
        <v>36</v>
      </c>
      <c r="D15" s="3" t="s">
        <v>12</v>
      </c>
      <c r="E15" s="3" t="s">
        <v>37</v>
      </c>
      <c r="F15" s="3" t="s">
        <v>14</v>
      </c>
      <c r="G15" s="3" t="s">
        <v>15</v>
      </c>
      <c r="H15" s="3" t="s">
        <v>16</v>
      </c>
      <c r="I15" s="3" t="s">
        <v>17</v>
      </c>
    </row>
    <row r="16" spans="1:9" x14ac:dyDescent="0.45">
      <c r="B16" s="4" t="s">
        <v>10</v>
      </c>
      <c r="C16" s="4" t="s">
        <v>38</v>
      </c>
      <c r="D16" s="4" t="s">
        <v>12</v>
      </c>
      <c r="E16" s="4" t="s">
        <v>39</v>
      </c>
      <c r="F16" s="4" t="s">
        <v>14</v>
      </c>
      <c r="G16" s="4" t="s">
        <v>15</v>
      </c>
      <c r="H16" s="4" t="s">
        <v>16</v>
      </c>
      <c r="I16" s="4" t="s">
        <v>17</v>
      </c>
    </row>
    <row r="17" spans="2:9" x14ac:dyDescent="0.45">
      <c r="B17" s="3" t="s">
        <v>10</v>
      </c>
      <c r="C17" s="3" t="s">
        <v>40</v>
      </c>
      <c r="D17" s="3" t="s">
        <v>12</v>
      </c>
      <c r="E17" s="3" t="s">
        <v>41</v>
      </c>
      <c r="F17" s="3" t="s">
        <v>14</v>
      </c>
      <c r="G17" s="3" t="s">
        <v>15</v>
      </c>
      <c r="H17" s="3" t="s">
        <v>16</v>
      </c>
      <c r="I17" s="3" t="s">
        <v>17</v>
      </c>
    </row>
    <row r="18" spans="2:9" x14ac:dyDescent="0.45">
      <c r="B18" s="4" t="s">
        <v>10</v>
      </c>
      <c r="C18" s="4" t="s">
        <v>42</v>
      </c>
      <c r="D18" s="4" t="s">
        <v>12</v>
      </c>
      <c r="E18" s="4" t="s">
        <v>43</v>
      </c>
      <c r="F18" s="4" t="s">
        <v>14</v>
      </c>
      <c r="G18" s="4" t="s">
        <v>15</v>
      </c>
      <c r="H18" s="4" t="s">
        <v>16</v>
      </c>
      <c r="I18" s="4" t="s">
        <v>17</v>
      </c>
    </row>
    <row r="19" spans="2:9" x14ac:dyDescent="0.45">
      <c r="B19" s="3" t="s">
        <v>10</v>
      </c>
      <c r="C19" s="3" t="s">
        <v>44</v>
      </c>
      <c r="D19" s="3" t="s">
        <v>12</v>
      </c>
      <c r="E19" s="3" t="s">
        <v>45</v>
      </c>
      <c r="F19" s="3" t="s">
        <v>14</v>
      </c>
      <c r="G19" s="3" t="s">
        <v>15</v>
      </c>
      <c r="H19" s="3" t="s">
        <v>16</v>
      </c>
      <c r="I19" s="3" t="s">
        <v>17</v>
      </c>
    </row>
    <row r="20" spans="2:9" x14ac:dyDescent="0.45">
      <c r="B20" s="4" t="s">
        <v>10</v>
      </c>
      <c r="C20" s="4" t="s">
        <v>46</v>
      </c>
      <c r="D20" s="4" t="s">
        <v>12</v>
      </c>
      <c r="E20" s="4" t="s">
        <v>47</v>
      </c>
      <c r="F20" s="4" t="s">
        <v>14</v>
      </c>
      <c r="G20" s="4" t="s">
        <v>15</v>
      </c>
      <c r="H20" s="4" t="s">
        <v>16</v>
      </c>
      <c r="I20" s="4" t="s">
        <v>17</v>
      </c>
    </row>
    <row r="21" spans="2:9" x14ac:dyDescent="0.45">
      <c r="B21" s="3" t="s">
        <v>10</v>
      </c>
      <c r="C21" s="3" t="s">
        <v>48</v>
      </c>
      <c r="D21" s="3" t="s">
        <v>12</v>
      </c>
      <c r="E21" s="3" t="s">
        <v>49</v>
      </c>
      <c r="F21" s="3" t="s">
        <v>14</v>
      </c>
      <c r="G21" s="3" t="s">
        <v>15</v>
      </c>
      <c r="H21" s="3" t="s">
        <v>16</v>
      </c>
      <c r="I21" s="3" t="s">
        <v>17</v>
      </c>
    </row>
    <row r="22" spans="2:9" x14ac:dyDescent="0.45">
      <c r="B22" s="4" t="s">
        <v>10</v>
      </c>
      <c r="C22" s="4" t="s">
        <v>50</v>
      </c>
      <c r="D22" s="4" t="s">
        <v>12</v>
      </c>
      <c r="E22" s="4" t="s">
        <v>51</v>
      </c>
      <c r="F22" s="4" t="s">
        <v>14</v>
      </c>
      <c r="G22" s="4" t="s">
        <v>15</v>
      </c>
      <c r="H22" s="4" t="s">
        <v>16</v>
      </c>
      <c r="I22" s="4" t="s">
        <v>17</v>
      </c>
    </row>
    <row r="23" spans="2:9" x14ac:dyDescent="0.45">
      <c r="B23" s="3" t="s">
        <v>10</v>
      </c>
      <c r="C23" s="3" t="s">
        <v>52</v>
      </c>
      <c r="D23" s="3" t="s">
        <v>12</v>
      </c>
      <c r="E23" s="3" t="s">
        <v>53</v>
      </c>
      <c r="F23" s="3" t="s">
        <v>14</v>
      </c>
      <c r="G23" s="3" t="s">
        <v>15</v>
      </c>
      <c r="H23" s="3" t="s">
        <v>16</v>
      </c>
      <c r="I23" s="3" t="s">
        <v>17</v>
      </c>
    </row>
    <row r="24" spans="2:9" x14ac:dyDescent="0.45">
      <c r="B24" s="4" t="s">
        <v>10</v>
      </c>
      <c r="C24" s="4" t="s">
        <v>54</v>
      </c>
      <c r="D24" s="4" t="s">
        <v>12</v>
      </c>
      <c r="E24" s="4" t="s">
        <v>55</v>
      </c>
      <c r="F24" s="4" t="s">
        <v>14</v>
      </c>
      <c r="G24" s="4" t="s">
        <v>15</v>
      </c>
      <c r="H24" s="4" t="s">
        <v>16</v>
      </c>
      <c r="I24" s="4" t="s">
        <v>17</v>
      </c>
    </row>
    <row r="25" spans="2:9" x14ac:dyDescent="0.45">
      <c r="B25" s="3" t="s">
        <v>10</v>
      </c>
      <c r="C25" s="3" t="s">
        <v>56</v>
      </c>
      <c r="D25" s="3" t="s">
        <v>12</v>
      </c>
      <c r="E25" s="3" t="s">
        <v>57</v>
      </c>
      <c r="F25" s="3" t="s">
        <v>14</v>
      </c>
      <c r="G25" s="3" t="s">
        <v>15</v>
      </c>
      <c r="H25" s="3" t="s">
        <v>16</v>
      </c>
      <c r="I25" s="3" t="s">
        <v>17</v>
      </c>
    </row>
    <row r="26" spans="2:9" x14ac:dyDescent="0.45">
      <c r="B26" s="4" t="s">
        <v>10</v>
      </c>
      <c r="C26" s="4" t="s">
        <v>58</v>
      </c>
      <c r="D26" s="4" t="s">
        <v>12</v>
      </c>
      <c r="E26" s="4" t="s">
        <v>59</v>
      </c>
      <c r="F26" s="4" t="s">
        <v>14</v>
      </c>
      <c r="G26" s="4" t="s">
        <v>15</v>
      </c>
      <c r="H26" s="4" t="s">
        <v>16</v>
      </c>
      <c r="I26" s="4" t="s">
        <v>17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EF7E-CF10-4BEE-9E07-FBA37CEDECAA}">
  <dimension ref="A1:I26"/>
  <sheetViews>
    <sheetView workbookViewId="0">
      <selection sqref="A1:H1"/>
    </sheetView>
  </sheetViews>
  <sheetFormatPr defaultRowHeight="14.25" x14ac:dyDescent="0.45"/>
  <cols>
    <col min="2" max="2" width="10.59765625" customWidth="1"/>
    <col min="3" max="3" width="15.73046875" bestFit="1" customWidth="1"/>
    <col min="4" max="4" width="10.59765625" customWidth="1"/>
    <col min="5" max="5" width="30.59765625" customWidth="1"/>
    <col min="6" max="6" width="14.53125" bestFit="1" customWidth="1"/>
    <col min="7" max="7" width="12.46484375" bestFit="1" customWidth="1"/>
    <col min="8" max="9" width="10.59765625" customWidth="1"/>
  </cols>
  <sheetData>
    <row r="1" spans="1:9" ht="22.05" customHeight="1" x14ac:dyDescent="0.45">
      <c r="A1" s="27" t="s">
        <v>0</v>
      </c>
      <c r="B1" s="27"/>
      <c r="C1" s="27"/>
      <c r="D1" s="27"/>
      <c r="E1" s="27"/>
      <c r="F1" s="27"/>
      <c r="G1" s="27"/>
      <c r="H1" s="27"/>
    </row>
    <row r="3" spans="1:9" ht="14.65" thickBot="1" x14ac:dyDescent="0.5">
      <c r="B3" s="1" t="s">
        <v>1</v>
      </c>
    </row>
    <row r="4" spans="1:9" ht="15.75" thickBot="1" x14ac:dyDescent="0.6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x14ac:dyDescent="0.45">
      <c r="B5" s="3" t="s">
        <v>10</v>
      </c>
      <c r="C5" s="3" t="s">
        <v>60</v>
      </c>
      <c r="D5" s="3" t="s">
        <v>12</v>
      </c>
      <c r="E5" s="3" t="s">
        <v>61</v>
      </c>
      <c r="F5" s="3" t="s">
        <v>62</v>
      </c>
      <c r="G5" s="3" t="s">
        <v>63</v>
      </c>
      <c r="H5" s="3" t="s">
        <v>16</v>
      </c>
      <c r="I5" s="3" t="s">
        <v>17</v>
      </c>
    </row>
    <row r="6" spans="1:9" x14ac:dyDescent="0.45">
      <c r="B6" s="4" t="s">
        <v>10</v>
      </c>
      <c r="C6" s="4" t="s">
        <v>64</v>
      </c>
      <c r="D6" s="4" t="s">
        <v>12</v>
      </c>
      <c r="E6" s="4" t="s">
        <v>65</v>
      </c>
      <c r="F6" s="4" t="s">
        <v>62</v>
      </c>
      <c r="G6" s="4" t="s">
        <v>63</v>
      </c>
      <c r="H6" s="4" t="s">
        <v>16</v>
      </c>
      <c r="I6" s="4" t="s">
        <v>17</v>
      </c>
    </row>
    <row r="7" spans="1:9" x14ac:dyDescent="0.45">
      <c r="B7" s="3" t="s">
        <v>10</v>
      </c>
      <c r="C7" s="3" t="s">
        <v>66</v>
      </c>
      <c r="D7" s="3" t="s">
        <v>12</v>
      </c>
      <c r="E7" s="3" t="s">
        <v>67</v>
      </c>
      <c r="F7" s="3" t="s">
        <v>62</v>
      </c>
      <c r="G7" s="3" t="s">
        <v>63</v>
      </c>
      <c r="H7" s="3" t="s">
        <v>16</v>
      </c>
      <c r="I7" s="3" t="s">
        <v>17</v>
      </c>
    </row>
    <row r="8" spans="1:9" x14ac:dyDescent="0.45">
      <c r="B8" s="4" t="s">
        <v>10</v>
      </c>
      <c r="C8" s="4" t="s">
        <v>68</v>
      </c>
      <c r="D8" s="4" t="s">
        <v>12</v>
      </c>
      <c r="E8" s="4" t="s">
        <v>69</v>
      </c>
      <c r="F8" s="4" t="s">
        <v>62</v>
      </c>
      <c r="G8" s="4" t="s">
        <v>63</v>
      </c>
      <c r="H8" s="4" t="s">
        <v>16</v>
      </c>
      <c r="I8" s="4" t="s">
        <v>17</v>
      </c>
    </row>
    <row r="9" spans="1:9" x14ac:dyDescent="0.45">
      <c r="B9" s="3" t="s">
        <v>10</v>
      </c>
      <c r="C9" s="3" t="s">
        <v>70</v>
      </c>
      <c r="D9" s="3" t="s">
        <v>12</v>
      </c>
      <c r="E9" s="3" t="s">
        <v>71</v>
      </c>
      <c r="F9" s="3" t="s">
        <v>62</v>
      </c>
      <c r="G9" s="3" t="s">
        <v>63</v>
      </c>
      <c r="H9" s="3" t="s">
        <v>16</v>
      </c>
      <c r="I9" s="3" t="s">
        <v>17</v>
      </c>
    </row>
    <row r="10" spans="1:9" x14ac:dyDescent="0.45">
      <c r="B10" s="4" t="s">
        <v>10</v>
      </c>
      <c r="C10" s="4" t="s">
        <v>72</v>
      </c>
      <c r="D10" s="4" t="s">
        <v>12</v>
      </c>
      <c r="E10" s="4" t="s">
        <v>73</v>
      </c>
      <c r="F10" s="4" t="s">
        <v>62</v>
      </c>
      <c r="G10" s="4" t="s">
        <v>63</v>
      </c>
      <c r="H10" s="4" t="s">
        <v>16</v>
      </c>
      <c r="I10" s="4" t="s">
        <v>17</v>
      </c>
    </row>
    <row r="11" spans="1:9" x14ac:dyDescent="0.45">
      <c r="B11" s="3" t="s">
        <v>10</v>
      </c>
      <c r="C11" s="3" t="s">
        <v>74</v>
      </c>
      <c r="D11" s="3" t="s">
        <v>12</v>
      </c>
      <c r="E11" s="3" t="s">
        <v>75</v>
      </c>
      <c r="F11" s="3" t="s">
        <v>62</v>
      </c>
      <c r="G11" s="3" t="s">
        <v>63</v>
      </c>
      <c r="H11" s="3" t="s">
        <v>16</v>
      </c>
      <c r="I11" s="3" t="s">
        <v>17</v>
      </c>
    </row>
    <row r="12" spans="1:9" x14ac:dyDescent="0.45">
      <c r="B12" s="4" t="s">
        <v>10</v>
      </c>
      <c r="C12" s="4" t="s">
        <v>76</v>
      </c>
      <c r="D12" s="4" t="s">
        <v>12</v>
      </c>
      <c r="E12" s="4" t="s">
        <v>77</v>
      </c>
      <c r="F12" s="4" t="s">
        <v>62</v>
      </c>
      <c r="G12" s="4" t="s">
        <v>63</v>
      </c>
      <c r="H12" s="4" t="s">
        <v>16</v>
      </c>
      <c r="I12" s="4" t="s">
        <v>17</v>
      </c>
    </row>
    <row r="13" spans="1:9" x14ac:dyDescent="0.45">
      <c r="B13" s="3" t="s">
        <v>10</v>
      </c>
      <c r="C13" s="3" t="s">
        <v>78</v>
      </c>
      <c r="D13" s="3" t="s">
        <v>12</v>
      </c>
      <c r="E13" s="3" t="s">
        <v>79</v>
      </c>
      <c r="F13" s="3" t="s">
        <v>62</v>
      </c>
      <c r="G13" s="3" t="s">
        <v>63</v>
      </c>
      <c r="H13" s="3" t="s">
        <v>16</v>
      </c>
      <c r="I13" s="3" t="s">
        <v>17</v>
      </c>
    </row>
    <row r="14" spans="1:9" x14ac:dyDescent="0.45">
      <c r="B14" s="4" t="s">
        <v>10</v>
      </c>
      <c r="C14" s="4" t="s">
        <v>80</v>
      </c>
      <c r="D14" s="4" t="s">
        <v>12</v>
      </c>
      <c r="E14" s="4" t="s">
        <v>81</v>
      </c>
      <c r="F14" s="4" t="s">
        <v>62</v>
      </c>
      <c r="G14" s="4" t="s">
        <v>63</v>
      </c>
      <c r="H14" s="4" t="s">
        <v>16</v>
      </c>
      <c r="I14" s="4" t="s">
        <v>17</v>
      </c>
    </row>
    <row r="15" spans="1:9" x14ac:dyDescent="0.45">
      <c r="B15" s="3" t="s">
        <v>10</v>
      </c>
      <c r="C15" s="3" t="s">
        <v>82</v>
      </c>
      <c r="D15" s="3" t="s">
        <v>12</v>
      </c>
      <c r="E15" s="3" t="s">
        <v>83</v>
      </c>
      <c r="F15" s="3" t="s">
        <v>62</v>
      </c>
      <c r="G15" s="3" t="s">
        <v>63</v>
      </c>
      <c r="H15" s="3" t="s">
        <v>16</v>
      </c>
      <c r="I15" s="3" t="s">
        <v>17</v>
      </c>
    </row>
    <row r="16" spans="1:9" x14ac:dyDescent="0.45">
      <c r="B16" s="4" t="s">
        <v>10</v>
      </c>
      <c r="C16" s="4" t="s">
        <v>84</v>
      </c>
      <c r="D16" s="4" t="s">
        <v>12</v>
      </c>
      <c r="E16" s="4" t="s">
        <v>85</v>
      </c>
      <c r="F16" s="4" t="s">
        <v>62</v>
      </c>
      <c r="G16" s="4" t="s">
        <v>63</v>
      </c>
      <c r="H16" s="4" t="s">
        <v>16</v>
      </c>
      <c r="I16" s="4" t="s">
        <v>17</v>
      </c>
    </row>
    <row r="17" spans="2:9" x14ac:dyDescent="0.45">
      <c r="B17" s="3" t="s">
        <v>10</v>
      </c>
      <c r="C17" s="3" t="s">
        <v>86</v>
      </c>
      <c r="D17" s="3" t="s">
        <v>12</v>
      </c>
      <c r="E17" s="3" t="s">
        <v>87</v>
      </c>
      <c r="F17" s="3" t="s">
        <v>62</v>
      </c>
      <c r="G17" s="3" t="s">
        <v>63</v>
      </c>
      <c r="H17" s="3" t="s">
        <v>16</v>
      </c>
      <c r="I17" s="3" t="s">
        <v>17</v>
      </c>
    </row>
    <row r="18" spans="2:9" x14ac:dyDescent="0.45">
      <c r="B18" s="4" t="s">
        <v>10</v>
      </c>
      <c r="C18" s="4" t="s">
        <v>88</v>
      </c>
      <c r="D18" s="4" t="s">
        <v>12</v>
      </c>
      <c r="E18" s="4" t="s">
        <v>89</v>
      </c>
      <c r="F18" s="4" t="s">
        <v>62</v>
      </c>
      <c r="G18" s="4" t="s">
        <v>63</v>
      </c>
      <c r="H18" s="4" t="s">
        <v>16</v>
      </c>
      <c r="I18" s="4" t="s">
        <v>17</v>
      </c>
    </row>
    <row r="19" spans="2:9" x14ac:dyDescent="0.45">
      <c r="B19" s="3" t="s">
        <v>10</v>
      </c>
      <c r="C19" s="3" t="s">
        <v>90</v>
      </c>
      <c r="D19" s="3" t="s">
        <v>12</v>
      </c>
      <c r="E19" s="3" t="s">
        <v>91</v>
      </c>
      <c r="F19" s="3" t="s">
        <v>62</v>
      </c>
      <c r="G19" s="3" t="s">
        <v>63</v>
      </c>
      <c r="H19" s="3" t="s">
        <v>16</v>
      </c>
      <c r="I19" s="3" t="s">
        <v>17</v>
      </c>
    </row>
    <row r="20" spans="2:9" x14ac:dyDescent="0.45">
      <c r="B20" s="4" t="s">
        <v>10</v>
      </c>
      <c r="C20" s="4" t="s">
        <v>92</v>
      </c>
      <c r="D20" s="4" t="s">
        <v>12</v>
      </c>
      <c r="E20" s="4" t="s">
        <v>93</v>
      </c>
      <c r="F20" s="4" t="s">
        <v>62</v>
      </c>
      <c r="G20" s="4" t="s">
        <v>63</v>
      </c>
      <c r="H20" s="4" t="s">
        <v>16</v>
      </c>
      <c r="I20" s="4" t="s">
        <v>17</v>
      </c>
    </row>
    <row r="21" spans="2:9" x14ac:dyDescent="0.45">
      <c r="B21" s="3" t="s">
        <v>10</v>
      </c>
      <c r="C21" s="3" t="s">
        <v>94</v>
      </c>
      <c r="D21" s="3" t="s">
        <v>12</v>
      </c>
      <c r="E21" s="3" t="s">
        <v>95</v>
      </c>
      <c r="F21" s="3" t="s">
        <v>62</v>
      </c>
      <c r="G21" s="3" t="s">
        <v>63</v>
      </c>
      <c r="H21" s="3" t="s">
        <v>16</v>
      </c>
      <c r="I21" s="3" t="s">
        <v>17</v>
      </c>
    </row>
    <row r="22" spans="2:9" x14ac:dyDescent="0.45">
      <c r="B22" s="4" t="s">
        <v>10</v>
      </c>
      <c r="C22" s="4" t="s">
        <v>96</v>
      </c>
      <c r="D22" s="4" t="s">
        <v>12</v>
      </c>
      <c r="E22" s="4" t="s">
        <v>97</v>
      </c>
      <c r="F22" s="4" t="s">
        <v>62</v>
      </c>
      <c r="G22" s="4" t="s">
        <v>63</v>
      </c>
      <c r="H22" s="4" t="s">
        <v>16</v>
      </c>
      <c r="I22" s="4" t="s">
        <v>17</v>
      </c>
    </row>
    <row r="23" spans="2:9" x14ac:dyDescent="0.45">
      <c r="B23" s="3" t="s">
        <v>10</v>
      </c>
      <c r="C23" s="3" t="s">
        <v>98</v>
      </c>
      <c r="D23" s="3" t="s">
        <v>12</v>
      </c>
      <c r="E23" s="3" t="s">
        <v>99</v>
      </c>
      <c r="F23" s="3" t="s">
        <v>62</v>
      </c>
      <c r="G23" s="3" t="s">
        <v>63</v>
      </c>
      <c r="H23" s="3" t="s">
        <v>16</v>
      </c>
      <c r="I23" s="3" t="s">
        <v>17</v>
      </c>
    </row>
    <row r="24" spans="2:9" x14ac:dyDescent="0.45">
      <c r="B24" s="4" t="s">
        <v>10</v>
      </c>
      <c r="C24" s="4" t="s">
        <v>100</v>
      </c>
      <c r="D24" s="4" t="s">
        <v>12</v>
      </c>
      <c r="E24" s="4" t="s">
        <v>101</v>
      </c>
      <c r="F24" s="4" t="s">
        <v>62</v>
      </c>
      <c r="G24" s="4" t="s">
        <v>63</v>
      </c>
      <c r="H24" s="4" t="s">
        <v>16</v>
      </c>
      <c r="I24" s="4" t="s">
        <v>17</v>
      </c>
    </row>
    <row r="25" spans="2:9" x14ac:dyDescent="0.45">
      <c r="B25" s="3" t="s">
        <v>10</v>
      </c>
      <c r="C25" s="3" t="s">
        <v>102</v>
      </c>
      <c r="D25" s="3" t="s">
        <v>12</v>
      </c>
      <c r="E25" s="3" t="s">
        <v>103</v>
      </c>
      <c r="F25" s="3" t="s">
        <v>62</v>
      </c>
      <c r="G25" s="3" t="s">
        <v>63</v>
      </c>
      <c r="H25" s="3" t="s">
        <v>16</v>
      </c>
      <c r="I25" s="3" t="s">
        <v>17</v>
      </c>
    </row>
    <row r="26" spans="2:9" x14ac:dyDescent="0.45">
      <c r="B26" s="4" t="s">
        <v>10</v>
      </c>
      <c r="C26" s="4" t="s">
        <v>104</v>
      </c>
      <c r="D26" s="4" t="s">
        <v>12</v>
      </c>
      <c r="E26" s="4" t="s">
        <v>105</v>
      </c>
      <c r="F26" s="4" t="s">
        <v>62</v>
      </c>
      <c r="G26" s="4" t="s">
        <v>63</v>
      </c>
      <c r="H26" s="4" t="s">
        <v>16</v>
      </c>
      <c r="I26" s="4" t="s">
        <v>17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F433-4D48-4357-AC06-2EE49B7860F0}">
  <dimension ref="B3:S82"/>
  <sheetViews>
    <sheetView topLeftCell="A17" workbookViewId="0">
      <selection activeCell="D43" sqref="D43"/>
    </sheetView>
  </sheetViews>
  <sheetFormatPr defaultRowHeight="14.25" x14ac:dyDescent="0.4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 x14ac:dyDescent="0.6">
      <c r="B3" s="5" t="s">
        <v>106</v>
      </c>
      <c r="C3" s="6"/>
      <c r="D3" s="6"/>
      <c r="E3" s="6"/>
      <c r="F3" s="6"/>
      <c r="G3" s="6"/>
      <c r="H3" s="7"/>
      <c r="I3" s="7"/>
      <c r="M3" s="5" t="s">
        <v>106</v>
      </c>
      <c r="N3" s="6"/>
      <c r="O3" s="6"/>
      <c r="P3" s="6"/>
      <c r="Q3" s="6"/>
    </row>
    <row r="4" spans="2:19" ht="15" thickTop="1" thickBot="1" x14ac:dyDescent="0.5">
      <c r="B4" s="8" t="s">
        <v>107</v>
      </c>
      <c r="C4" s="8" t="s">
        <v>3</v>
      </c>
      <c r="D4" s="8" t="s">
        <v>5</v>
      </c>
      <c r="E4" s="8" t="s">
        <v>9</v>
      </c>
      <c r="F4" s="8" t="s">
        <v>7</v>
      </c>
      <c r="G4" s="8" t="s">
        <v>6</v>
      </c>
      <c r="H4" s="8" t="s">
        <v>8</v>
      </c>
      <c r="I4" s="9" t="s">
        <v>108</v>
      </c>
      <c r="M4" s="8" t="s">
        <v>2</v>
      </c>
      <c r="N4" s="8" t="s">
        <v>3</v>
      </c>
      <c r="O4" s="8" t="s">
        <v>4</v>
      </c>
      <c r="P4" s="8" t="s">
        <v>5</v>
      </c>
      <c r="Q4" s="8" t="s">
        <v>6</v>
      </c>
      <c r="R4" t="s">
        <v>7</v>
      </c>
      <c r="S4" t="s">
        <v>9</v>
      </c>
    </row>
    <row r="5" spans="2:19" x14ac:dyDescent="0.45">
      <c r="B5" t="s">
        <v>10</v>
      </c>
      <c r="C5" t="s">
        <v>109</v>
      </c>
      <c r="E5" t="s">
        <v>110</v>
      </c>
      <c r="M5" t="s">
        <v>10</v>
      </c>
      <c r="N5" t="s">
        <v>111</v>
      </c>
      <c r="O5" t="s">
        <v>12</v>
      </c>
      <c r="P5" t="s">
        <v>112</v>
      </c>
      <c r="Q5" t="s">
        <v>62</v>
      </c>
      <c r="R5" t="s">
        <v>63</v>
      </c>
      <c r="S5" t="s">
        <v>17</v>
      </c>
    </row>
    <row r="6" spans="2:19" x14ac:dyDescent="0.45">
      <c r="B6" t="s">
        <v>10</v>
      </c>
      <c r="C6" t="s">
        <v>113</v>
      </c>
      <c r="E6" t="s">
        <v>110</v>
      </c>
      <c r="M6" t="s">
        <v>10</v>
      </c>
      <c r="N6" t="s">
        <v>114</v>
      </c>
      <c r="O6" t="s">
        <v>12</v>
      </c>
      <c r="P6" t="s">
        <v>115</v>
      </c>
      <c r="Q6" t="s">
        <v>62</v>
      </c>
      <c r="R6" t="s">
        <v>63</v>
      </c>
      <c r="S6" t="s">
        <v>17</v>
      </c>
    </row>
    <row r="7" spans="2:19" x14ac:dyDescent="0.45">
      <c r="B7" t="s">
        <v>10</v>
      </c>
      <c r="C7" t="s">
        <v>116</v>
      </c>
      <c r="E7" t="s">
        <v>110</v>
      </c>
      <c r="M7" t="s">
        <v>10</v>
      </c>
      <c r="N7" t="s">
        <v>117</v>
      </c>
      <c r="O7" t="s">
        <v>12</v>
      </c>
      <c r="P7" t="s">
        <v>118</v>
      </c>
      <c r="Q7" t="s">
        <v>62</v>
      </c>
      <c r="R7" t="s">
        <v>63</v>
      </c>
      <c r="S7" t="s">
        <v>17</v>
      </c>
    </row>
    <row r="8" spans="2:19" x14ac:dyDescent="0.45">
      <c r="B8" t="s">
        <v>10</v>
      </c>
      <c r="C8" t="s">
        <v>119</v>
      </c>
      <c r="E8" t="s">
        <v>110</v>
      </c>
      <c r="M8" t="s">
        <v>10</v>
      </c>
      <c r="N8" t="s">
        <v>120</v>
      </c>
      <c r="O8" t="s">
        <v>12</v>
      </c>
      <c r="P8" t="s">
        <v>121</v>
      </c>
      <c r="Q8" t="s">
        <v>62</v>
      </c>
      <c r="R8" t="s">
        <v>63</v>
      </c>
      <c r="S8" t="s">
        <v>17</v>
      </c>
    </row>
    <row r="9" spans="2:19" x14ac:dyDescent="0.45">
      <c r="B9" t="s">
        <v>10</v>
      </c>
      <c r="C9" t="s">
        <v>122</v>
      </c>
      <c r="E9" t="s">
        <v>110</v>
      </c>
      <c r="M9" t="s">
        <v>10</v>
      </c>
      <c r="N9" t="s">
        <v>123</v>
      </c>
      <c r="O9" t="s">
        <v>12</v>
      </c>
      <c r="P9" t="s">
        <v>124</v>
      </c>
      <c r="Q9" t="s">
        <v>62</v>
      </c>
      <c r="R9" t="s">
        <v>63</v>
      </c>
      <c r="S9" t="s">
        <v>17</v>
      </c>
    </row>
    <row r="10" spans="2:19" x14ac:dyDescent="0.45">
      <c r="B10" t="s">
        <v>10</v>
      </c>
      <c r="C10" t="s">
        <v>125</v>
      </c>
      <c r="E10" t="s">
        <v>110</v>
      </c>
      <c r="M10" t="s">
        <v>10</v>
      </c>
      <c r="N10" t="s">
        <v>126</v>
      </c>
      <c r="O10" t="s">
        <v>12</v>
      </c>
      <c r="P10" t="s">
        <v>127</v>
      </c>
      <c r="Q10" t="s">
        <v>62</v>
      </c>
      <c r="R10" t="s">
        <v>63</v>
      </c>
      <c r="S10" t="s">
        <v>17</v>
      </c>
    </row>
    <row r="11" spans="2:19" x14ac:dyDescent="0.45">
      <c r="B11" t="s">
        <v>10</v>
      </c>
      <c r="C11" t="s">
        <v>128</v>
      </c>
      <c r="E11" t="s">
        <v>110</v>
      </c>
      <c r="M11" t="s">
        <v>10</v>
      </c>
      <c r="N11" t="s">
        <v>129</v>
      </c>
      <c r="O11" t="s">
        <v>12</v>
      </c>
      <c r="P11" t="s">
        <v>130</v>
      </c>
      <c r="Q11" t="s">
        <v>62</v>
      </c>
      <c r="R11" t="s">
        <v>63</v>
      </c>
      <c r="S11" t="s">
        <v>17</v>
      </c>
    </row>
    <row r="12" spans="2:19" x14ac:dyDescent="0.45">
      <c r="B12" t="s">
        <v>10</v>
      </c>
      <c r="C12" t="s">
        <v>131</v>
      </c>
      <c r="E12" t="s">
        <v>110</v>
      </c>
      <c r="M12" t="s">
        <v>10</v>
      </c>
      <c r="N12" t="s">
        <v>132</v>
      </c>
      <c r="O12" t="s">
        <v>12</v>
      </c>
      <c r="P12" t="s">
        <v>133</v>
      </c>
      <c r="Q12" t="s">
        <v>62</v>
      </c>
      <c r="R12" t="s">
        <v>63</v>
      </c>
      <c r="S12" t="s">
        <v>17</v>
      </c>
    </row>
    <row r="13" spans="2:19" x14ac:dyDescent="0.45">
      <c r="B13" t="s">
        <v>10</v>
      </c>
      <c r="C13" t="s">
        <v>134</v>
      </c>
      <c r="E13" t="s">
        <v>110</v>
      </c>
      <c r="M13" t="s">
        <v>10</v>
      </c>
      <c r="N13" t="s">
        <v>135</v>
      </c>
      <c r="O13" t="s">
        <v>12</v>
      </c>
      <c r="P13" t="s">
        <v>136</v>
      </c>
      <c r="Q13" t="s">
        <v>62</v>
      </c>
      <c r="R13" t="s">
        <v>63</v>
      </c>
      <c r="S13" t="s">
        <v>17</v>
      </c>
    </row>
    <row r="14" spans="2:19" x14ac:dyDescent="0.45">
      <c r="B14" t="s">
        <v>10</v>
      </c>
      <c r="C14" t="s">
        <v>137</v>
      </c>
      <c r="D14" t="s">
        <v>138</v>
      </c>
      <c r="E14" t="s">
        <v>110</v>
      </c>
      <c r="M14" t="s">
        <v>10</v>
      </c>
      <c r="N14" t="s">
        <v>139</v>
      </c>
      <c r="O14" t="s">
        <v>12</v>
      </c>
      <c r="P14" t="s">
        <v>140</v>
      </c>
      <c r="Q14" t="s">
        <v>62</v>
      </c>
      <c r="R14" t="s">
        <v>63</v>
      </c>
      <c r="S14" t="s">
        <v>17</v>
      </c>
    </row>
    <row r="15" spans="2:19" x14ac:dyDescent="0.45">
      <c r="B15" t="s">
        <v>10</v>
      </c>
      <c r="C15" t="s">
        <v>141</v>
      </c>
      <c r="D15" t="s">
        <v>142</v>
      </c>
      <c r="E15" t="s">
        <v>110</v>
      </c>
      <c r="M15" t="s">
        <v>10</v>
      </c>
      <c r="N15" t="s">
        <v>143</v>
      </c>
      <c r="O15" t="s">
        <v>12</v>
      </c>
      <c r="P15" t="s">
        <v>144</v>
      </c>
      <c r="Q15" t="s">
        <v>62</v>
      </c>
      <c r="R15" t="s">
        <v>63</v>
      </c>
      <c r="S15" t="s">
        <v>17</v>
      </c>
    </row>
    <row r="16" spans="2:19" x14ac:dyDescent="0.45">
      <c r="B16" t="s">
        <v>10</v>
      </c>
      <c r="C16" t="s">
        <v>62</v>
      </c>
      <c r="D16" t="s">
        <v>145</v>
      </c>
      <c r="E16" t="s">
        <v>110</v>
      </c>
      <c r="F16" t="s">
        <v>63</v>
      </c>
      <c r="G16" t="s">
        <v>62</v>
      </c>
      <c r="I16" t="s">
        <v>146</v>
      </c>
      <c r="M16" t="s">
        <v>10</v>
      </c>
      <c r="N16" t="s">
        <v>147</v>
      </c>
      <c r="O16" t="s">
        <v>12</v>
      </c>
      <c r="P16" t="s">
        <v>148</v>
      </c>
      <c r="Q16" t="s">
        <v>62</v>
      </c>
      <c r="R16" t="s">
        <v>63</v>
      </c>
      <c r="S16" t="s">
        <v>17</v>
      </c>
    </row>
    <row r="17" spans="2:19" x14ac:dyDescent="0.45">
      <c r="B17" t="s">
        <v>10</v>
      </c>
      <c r="C17" t="s">
        <v>149</v>
      </c>
      <c r="D17" t="s">
        <v>150</v>
      </c>
      <c r="E17" t="s">
        <v>110</v>
      </c>
      <c r="F17" t="s">
        <v>15</v>
      </c>
      <c r="G17" t="s">
        <v>14</v>
      </c>
      <c r="M17" t="s">
        <v>10</v>
      </c>
      <c r="N17" t="s">
        <v>151</v>
      </c>
      <c r="O17" t="s">
        <v>12</v>
      </c>
      <c r="P17" t="s">
        <v>152</v>
      </c>
      <c r="Q17" t="s">
        <v>62</v>
      </c>
      <c r="R17" t="s">
        <v>63</v>
      </c>
      <c r="S17" t="s">
        <v>17</v>
      </c>
    </row>
    <row r="18" spans="2:19" x14ac:dyDescent="0.45">
      <c r="B18" t="s">
        <v>153</v>
      </c>
      <c r="C18" t="s">
        <v>154</v>
      </c>
      <c r="D18" t="s">
        <v>155</v>
      </c>
      <c r="E18" t="s">
        <v>110</v>
      </c>
      <c r="M18" t="s">
        <v>10</v>
      </c>
      <c r="N18" t="s">
        <v>156</v>
      </c>
      <c r="O18" t="s">
        <v>12</v>
      </c>
      <c r="P18" t="s">
        <v>157</v>
      </c>
      <c r="Q18" t="s">
        <v>62</v>
      </c>
      <c r="R18" t="s">
        <v>63</v>
      </c>
      <c r="S18" t="s">
        <v>17</v>
      </c>
    </row>
    <row r="19" spans="2:19" x14ac:dyDescent="0.45">
      <c r="B19" t="s">
        <v>153</v>
      </c>
      <c r="C19" t="s">
        <v>158</v>
      </c>
      <c r="D19" t="s">
        <v>159</v>
      </c>
      <c r="E19" t="s">
        <v>110</v>
      </c>
      <c r="M19" t="s">
        <v>10</v>
      </c>
      <c r="N19" t="s">
        <v>160</v>
      </c>
      <c r="O19" t="s">
        <v>12</v>
      </c>
      <c r="P19" t="s">
        <v>161</v>
      </c>
      <c r="Q19" t="s">
        <v>62</v>
      </c>
      <c r="R19" t="s">
        <v>63</v>
      </c>
      <c r="S19" t="s">
        <v>17</v>
      </c>
    </row>
    <row r="20" spans="2:19" x14ac:dyDescent="0.45">
      <c r="B20" t="s">
        <v>153</v>
      </c>
      <c r="C20" t="s">
        <v>162</v>
      </c>
      <c r="D20" t="s">
        <v>163</v>
      </c>
      <c r="E20" t="s">
        <v>110</v>
      </c>
      <c r="M20" t="s">
        <v>10</v>
      </c>
      <c r="N20" t="s">
        <v>164</v>
      </c>
      <c r="O20" t="s">
        <v>12</v>
      </c>
      <c r="P20" t="s">
        <v>165</v>
      </c>
      <c r="Q20" t="s">
        <v>62</v>
      </c>
      <c r="R20" t="s">
        <v>63</v>
      </c>
      <c r="S20" t="s">
        <v>17</v>
      </c>
    </row>
    <row r="21" spans="2:19" x14ac:dyDescent="0.45">
      <c r="B21" t="s">
        <v>153</v>
      </c>
      <c r="C21" t="s">
        <v>166</v>
      </c>
      <c r="D21" t="s">
        <v>167</v>
      </c>
      <c r="E21" t="s">
        <v>110</v>
      </c>
      <c r="M21" t="s">
        <v>10</v>
      </c>
      <c r="N21" t="s">
        <v>168</v>
      </c>
      <c r="O21" t="s">
        <v>12</v>
      </c>
      <c r="P21" t="s">
        <v>169</v>
      </c>
      <c r="Q21" t="s">
        <v>62</v>
      </c>
      <c r="R21" t="s">
        <v>63</v>
      </c>
      <c r="S21" t="s">
        <v>17</v>
      </c>
    </row>
    <row r="22" spans="2:19" x14ac:dyDescent="0.45">
      <c r="B22" t="s">
        <v>10</v>
      </c>
      <c r="C22" t="s">
        <v>170</v>
      </c>
      <c r="D22" t="s">
        <v>171</v>
      </c>
      <c r="E22" t="s">
        <v>110</v>
      </c>
      <c r="F22" t="s">
        <v>63</v>
      </c>
      <c r="G22" t="s">
        <v>62</v>
      </c>
      <c r="M22" t="s">
        <v>10</v>
      </c>
      <c r="N22" t="s">
        <v>172</v>
      </c>
      <c r="O22" t="s">
        <v>12</v>
      </c>
      <c r="P22" t="s">
        <v>173</v>
      </c>
      <c r="Q22" t="s">
        <v>62</v>
      </c>
      <c r="R22" t="s">
        <v>63</v>
      </c>
      <c r="S22" t="s">
        <v>17</v>
      </c>
    </row>
    <row r="23" spans="2:19" x14ac:dyDescent="0.45">
      <c r="B23" t="s">
        <v>153</v>
      </c>
      <c r="C23" t="s">
        <v>174</v>
      </c>
      <c r="D23" t="s">
        <v>175</v>
      </c>
      <c r="E23" t="s">
        <v>110</v>
      </c>
      <c r="M23" t="s">
        <v>10</v>
      </c>
      <c r="N23" t="s">
        <v>176</v>
      </c>
      <c r="O23" t="s">
        <v>12</v>
      </c>
      <c r="P23" t="s">
        <v>177</v>
      </c>
      <c r="Q23" t="s">
        <v>62</v>
      </c>
      <c r="R23" t="s">
        <v>63</v>
      </c>
      <c r="S23" t="s">
        <v>17</v>
      </c>
    </row>
    <row r="24" spans="2:19" x14ac:dyDescent="0.45">
      <c r="B24" t="s">
        <v>153</v>
      </c>
      <c r="C24" t="s">
        <v>178</v>
      </c>
      <c r="D24" t="s">
        <v>179</v>
      </c>
      <c r="E24" t="s">
        <v>110</v>
      </c>
      <c r="M24" t="s">
        <v>10</v>
      </c>
      <c r="N24" t="s">
        <v>180</v>
      </c>
      <c r="O24" t="s">
        <v>12</v>
      </c>
      <c r="P24" t="s">
        <v>181</v>
      </c>
      <c r="Q24" t="s">
        <v>62</v>
      </c>
      <c r="R24" t="s">
        <v>63</v>
      </c>
      <c r="S24" t="s">
        <v>17</v>
      </c>
    </row>
    <row r="25" spans="2:19" x14ac:dyDescent="0.45">
      <c r="B25" t="s">
        <v>182</v>
      </c>
      <c r="C25" t="s">
        <v>183</v>
      </c>
      <c r="D25" t="s">
        <v>184</v>
      </c>
      <c r="E25" t="s">
        <v>185</v>
      </c>
      <c r="M25" t="s">
        <v>10</v>
      </c>
      <c r="N25" t="s">
        <v>186</v>
      </c>
      <c r="O25" t="s">
        <v>12</v>
      </c>
      <c r="P25" t="s">
        <v>187</v>
      </c>
      <c r="Q25" t="s">
        <v>62</v>
      </c>
      <c r="R25" t="s">
        <v>63</v>
      </c>
      <c r="S25" t="s">
        <v>17</v>
      </c>
    </row>
    <row r="26" spans="2:19" x14ac:dyDescent="0.45">
      <c r="B26" t="s">
        <v>182</v>
      </c>
      <c r="C26" t="s">
        <v>188</v>
      </c>
      <c r="E26" t="s">
        <v>185</v>
      </c>
      <c r="M26" t="s">
        <v>10</v>
      </c>
      <c r="N26" t="s">
        <v>189</v>
      </c>
      <c r="O26" t="s">
        <v>12</v>
      </c>
      <c r="P26" t="s">
        <v>190</v>
      </c>
      <c r="Q26" t="s">
        <v>62</v>
      </c>
      <c r="R26" t="s">
        <v>63</v>
      </c>
      <c r="S26" t="s">
        <v>17</v>
      </c>
    </row>
    <row r="27" spans="2:19" x14ac:dyDescent="0.45">
      <c r="B27" t="s">
        <v>182</v>
      </c>
      <c r="C27" t="s">
        <v>191</v>
      </c>
      <c r="E27" t="s">
        <v>185</v>
      </c>
      <c r="M27" t="s">
        <v>10</v>
      </c>
      <c r="N27" t="s">
        <v>192</v>
      </c>
      <c r="O27" t="s">
        <v>12</v>
      </c>
      <c r="P27" t="s">
        <v>193</v>
      </c>
      <c r="Q27" t="s">
        <v>62</v>
      </c>
      <c r="R27" t="s">
        <v>63</v>
      </c>
      <c r="S27" t="s">
        <v>17</v>
      </c>
    </row>
    <row r="28" spans="2:19" x14ac:dyDescent="0.45">
      <c r="M28" t="s">
        <v>10</v>
      </c>
      <c r="N28" t="s">
        <v>194</v>
      </c>
      <c r="O28" t="s">
        <v>12</v>
      </c>
      <c r="P28" t="s">
        <v>195</v>
      </c>
      <c r="Q28" t="s">
        <v>62</v>
      </c>
      <c r="R28" t="s">
        <v>63</v>
      </c>
      <c r="S28" t="s">
        <v>17</v>
      </c>
    </row>
    <row r="29" spans="2:19" x14ac:dyDescent="0.45">
      <c r="M29" t="s">
        <v>10</v>
      </c>
      <c r="N29" t="s">
        <v>196</v>
      </c>
      <c r="O29" t="s">
        <v>12</v>
      </c>
      <c r="P29" t="s">
        <v>197</v>
      </c>
      <c r="Q29" t="s">
        <v>62</v>
      </c>
      <c r="R29" t="s">
        <v>63</v>
      </c>
      <c r="S29" t="s">
        <v>17</v>
      </c>
    </row>
    <row r="30" spans="2:19" ht="17.649999999999999" thickBot="1" x14ac:dyDescent="0.6">
      <c r="B30" s="5" t="s">
        <v>198</v>
      </c>
      <c r="C30" s="6"/>
      <c r="D30" s="6"/>
      <c r="M30" t="s">
        <v>10</v>
      </c>
      <c r="N30" t="s">
        <v>199</v>
      </c>
      <c r="O30" t="s">
        <v>12</v>
      </c>
      <c r="P30" t="s">
        <v>200</v>
      </c>
      <c r="Q30" t="s">
        <v>62</v>
      </c>
      <c r="R30" t="s">
        <v>63</v>
      </c>
      <c r="S30" t="s">
        <v>17</v>
      </c>
    </row>
    <row r="31" spans="2:19" ht="15" thickTop="1" thickBot="1" x14ac:dyDescent="0.5">
      <c r="B31" s="8" t="s">
        <v>201</v>
      </c>
      <c r="C31" s="8" t="s">
        <v>202</v>
      </c>
      <c r="D31" s="8" t="s">
        <v>203</v>
      </c>
      <c r="M31" t="s">
        <v>10</v>
      </c>
      <c r="N31" t="s">
        <v>204</v>
      </c>
      <c r="O31" t="s">
        <v>12</v>
      </c>
      <c r="P31" t="s">
        <v>205</v>
      </c>
      <c r="Q31" t="s">
        <v>62</v>
      </c>
      <c r="R31" t="s">
        <v>63</v>
      </c>
      <c r="S31" t="s">
        <v>17</v>
      </c>
    </row>
    <row r="32" spans="2:19" x14ac:dyDescent="0.45">
      <c r="B32" t="s">
        <v>206</v>
      </c>
      <c r="C32" t="s">
        <v>207</v>
      </c>
      <c r="D32" t="s">
        <v>208</v>
      </c>
      <c r="M32" t="s">
        <v>10</v>
      </c>
      <c r="N32" t="s">
        <v>209</v>
      </c>
      <c r="O32" t="s">
        <v>12</v>
      </c>
      <c r="P32" t="s">
        <v>210</v>
      </c>
      <c r="Q32" t="s">
        <v>62</v>
      </c>
      <c r="R32" t="s">
        <v>63</v>
      </c>
      <c r="S32" t="s">
        <v>17</v>
      </c>
    </row>
    <row r="33" spans="2:19" x14ac:dyDescent="0.45">
      <c r="M33" t="s">
        <v>10</v>
      </c>
      <c r="N33" t="s">
        <v>211</v>
      </c>
      <c r="O33" t="s">
        <v>12</v>
      </c>
      <c r="P33" t="s">
        <v>212</v>
      </c>
      <c r="Q33" t="s">
        <v>62</v>
      </c>
      <c r="R33" t="s">
        <v>63</v>
      </c>
      <c r="S33" t="s">
        <v>17</v>
      </c>
    </row>
    <row r="34" spans="2:19" x14ac:dyDescent="0.45">
      <c r="M34" t="s">
        <v>10</v>
      </c>
      <c r="N34" t="s">
        <v>213</v>
      </c>
      <c r="O34" t="s">
        <v>12</v>
      </c>
      <c r="P34" t="s">
        <v>214</v>
      </c>
      <c r="Q34" t="s">
        <v>62</v>
      </c>
      <c r="R34" t="s">
        <v>63</v>
      </c>
      <c r="S34" t="s">
        <v>17</v>
      </c>
    </row>
    <row r="35" spans="2:19" x14ac:dyDescent="0.45">
      <c r="M35" t="s">
        <v>10</v>
      </c>
      <c r="N35" t="s">
        <v>215</v>
      </c>
      <c r="O35" t="s">
        <v>12</v>
      </c>
      <c r="P35" t="s">
        <v>216</v>
      </c>
      <c r="Q35" t="s">
        <v>62</v>
      </c>
      <c r="R35" t="s">
        <v>63</v>
      </c>
      <c r="S35" t="s">
        <v>17</v>
      </c>
    </row>
    <row r="36" spans="2:19" x14ac:dyDescent="0.45">
      <c r="M36" t="s">
        <v>10</v>
      </c>
      <c r="N36" t="s">
        <v>217</v>
      </c>
      <c r="O36" t="s">
        <v>12</v>
      </c>
      <c r="P36" t="s">
        <v>218</v>
      </c>
      <c r="Q36" t="s">
        <v>62</v>
      </c>
      <c r="R36" t="s">
        <v>63</v>
      </c>
      <c r="S36" t="s">
        <v>17</v>
      </c>
    </row>
    <row r="37" spans="2:19" x14ac:dyDescent="0.45">
      <c r="M37" t="s">
        <v>10</v>
      </c>
      <c r="N37" t="s">
        <v>219</v>
      </c>
      <c r="O37" t="s">
        <v>12</v>
      </c>
      <c r="P37" t="s">
        <v>220</v>
      </c>
      <c r="Q37" t="s">
        <v>62</v>
      </c>
      <c r="R37" t="s">
        <v>63</v>
      </c>
      <c r="S37" t="s">
        <v>17</v>
      </c>
    </row>
    <row r="38" spans="2:19" ht="17.649999999999999" thickBot="1" x14ac:dyDescent="0.6">
      <c r="B38" s="5" t="s">
        <v>106</v>
      </c>
      <c r="C38" s="6"/>
      <c r="D38" s="6"/>
      <c r="M38" t="s">
        <v>10</v>
      </c>
      <c r="N38" t="s">
        <v>221</v>
      </c>
      <c r="O38" t="s">
        <v>12</v>
      </c>
      <c r="P38" t="s">
        <v>222</v>
      </c>
      <c r="Q38" t="s">
        <v>62</v>
      </c>
      <c r="R38" t="s">
        <v>63</v>
      </c>
      <c r="S38" t="s">
        <v>17</v>
      </c>
    </row>
    <row r="39" spans="2:19" ht="15" thickTop="1" thickBot="1" x14ac:dyDescent="0.5">
      <c r="B39" s="8" t="s">
        <v>2</v>
      </c>
      <c r="C39" s="8" t="s">
        <v>3</v>
      </c>
      <c r="D39" s="8" t="s">
        <v>5</v>
      </c>
      <c r="E39" s="8" t="s">
        <v>9</v>
      </c>
      <c r="F39" s="8" t="s">
        <v>7</v>
      </c>
      <c r="G39" s="8" t="s">
        <v>223</v>
      </c>
      <c r="M39" t="s">
        <v>10</v>
      </c>
      <c r="N39" t="s">
        <v>224</v>
      </c>
      <c r="O39" t="s">
        <v>12</v>
      </c>
      <c r="P39" t="s">
        <v>225</v>
      </c>
      <c r="Q39" t="s">
        <v>62</v>
      </c>
      <c r="R39" t="s">
        <v>63</v>
      </c>
      <c r="S39" t="s">
        <v>17</v>
      </c>
    </row>
    <row r="40" spans="2:19" x14ac:dyDescent="0.45">
      <c r="B40" t="s">
        <v>10</v>
      </c>
      <c r="C40" t="s">
        <v>226</v>
      </c>
      <c r="D40" t="s">
        <v>227</v>
      </c>
      <c r="E40" t="s">
        <v>228</v>
      </c>
      <c r="F40" t="s">
        <v>229</v>
      </c>
      <c r="G40" t="s">
        <v>62</v>
      </c>
      <c r="M40" t="s">
        <v>10</v>
      </c>
      <c r="N40" t="s">
        <v>230</v>
      </c>
      <c r="O40" t="s">
        <v>12</v>
      </c>
      <c r="P40" t="s">
        <v>231</v>
      </c>
      <c r="Q40" t="s">
        <v>62</v>
      </c>
      <c r="R40" t="s">
        <v>63</v>
      </c>
      <c r="S40" t="s">
        <v>17</v>
      </c>
    </row>
    <row r="41" spans="2:19" x14ac:dyDescent="0.45">
      <c r="C41" t="s">
        <v>232</v>
      </c>
      <c r="D41" t="s">
        <v>233</v>
      </c>
      <c r="E41" t="s">
        <v>228</v>
      </c>
      <c r="F41" t="s">
        <v>229</v>
      </c>
      <c r="G41" t="s">
        <v>62</v>
      </c>
      <c r="M41" t="s">
        <v>10</v>
      </c>
      <c r="N41" t="s">
        <v>234</v>
      </c>
      <c r="O41" t="s">
        <v>12</v>
      </c>
      <c r="P41" t="s">
        <v>235</v>
      </c>
      <c r="Q41" t="s">
        <v>62</v>
      </c>
      <c r="R41" t="s">
        <v>63</v>
      </c>
      <c r="S41" t="s">
        <v>17</v>
      </c>
    </row>
    <row r="42" spans="2:19" x14ac:dyDescent="0.45">
      <c r="C42" t="s">
        <v>236</v>
      </c>
      <c r="D42" t="s">
        <v>237</v>
      </c>
      <c r="E42" t="s">
        <v>228</v>
      </c>
      <c r="F42" t="s">
        <v>229</v>
      </c>
      <c r="G42" t="s">
        <v>62</v>
      </c>
      <c r="M42" t="s">
        <v>10</v>
      </c>
      <c r="N42" t="s">
        <v>238</v>
      </c>
      <c r="O42" t="s">
        <v>12</v>
      </c>
      <c r="P42" t="s">
        <v>239</v>
      </c>
      <c r="Q42" t="s">
        <v>62</v>
      </c>
      <c r="R42" t="s">
        <v>63</v>
      </c>
      <c r="S42" t="s">
        <v>17</v>
      </c>
    </row>
    <row r="43" spans="2:19" x14ac:dyDescent="0.45">
      <c r="B43" t="s">
        <v>182</v>
      </c>
      <c r="C43" t="s">
        <v>240</v>
      </c>
      <c r="D43" t="s">
        <v>241</v>
      </c>
      <c r="E43" t="s">
        <v>228</v>
      </c>
      <c r="F43" t="s">
        <v>229</v>
      </c>
      <c r="M43" t="s">
        <v>10</v>
      </c>
      <c r="N43" t="s">
        <v>242</v>
      </c>
      <c r="O43" t="s">
        <v>12</v>
      </c>
      <c r="P43" t="s">
        <v>243</v>
      </c>
      <c r="Q43" t="s">
        <v>62</v>
      </c>
      <c r="R43" t="s">
        <v>63</v>
      </c>
      <c r="S43" t="s">
        <v>17</v>
      </c>
    </row>
    <row r="44" spans="2:19" x14ac:dyDescent="0.45">
      <c r="C44" t="s">
        <v>244</v>
      </c>
      <c r="D44" t="s">
        <v>245</v>
      </c>
      <c r="E44" t="s">
        <v>246</v>
      </c>
      <c r="F44" t="s">
        <v>247</v>
      </c>
      <c r="M44" t="s">
        <v>10</v>
      </c>
      <c r="N44" t="s">
        <v>248</v>
      </c>
      <c r="O44" t="s">
        <v>12</v>
      </c>
      <c r="P44" t="s">
        <v>249</v>
      </c>
      <c r="Q44" t="s">
        <v>62</v>
      </c>
      <c r="R44" t="s">
        <v>63</v>
      </c>
      <c r="S44" t="s">
        <v>17</v>
      </c>
    </row>
    <row r="45" spans="2:19" x14ac:dyDescent="0.45">
      <c r="M45" t="s">
        <v>10</v>
      </c>
      <c r="N45" t="s">
        <v>250</v>
      </c>
      <c r="O45" t="s">
        <v>12</v>
      </c>
      <c r="P45" t="s">
        <v>251</v>
      </c>
      <c r="Q45" t="s">
        <v>62</v>
      </c>
      <c r="R45" t="s">
        <v>63</v>
      </c>
      <c r="S45" t="s">
        <v>17</v>
      </c>
    </row>
    <row r="46" spans="2:19" x14ac:dyDescent="0.45">
      <c r="M46" t="s">
        <v>10</v>
      </c>
      <c r="N46" t="s">
        <v>252</v>
      </c>
      <c r="O46" t="s">
        <v>12</v>
      </c>
      <c r="P46" t="s">
        <v>253</v>
      </c>
      <c r="Q46" t="s">
        <v>62</v>
      </c>
      <c r="R46" t="s">
        <v>63</v>
      </c>
      <c r="S46" t="s">
        <v>17</v>
      </c>
    </row>
    <row r="47" spans="2:19" x14ac:dyDescent="0.45">
      <c r="M47" t="s">
        <v>10</v>
      </c>
      <c r="N47" t="s">
        <v>254</v>
      </c>
      <c r="O47" t="s">
        <v>12</v>
      </c>
      <c r="P47" t="s">
        <v>255</v>
      </c>
      <c r="Q47" t="s">
        <v>62</v>
      </c>
      <c r="R47" t="s">
        <v>63</v>
      </c>
      <c r="S47" t="s">
        <v>17</v>
      </c>
    </row>
    <row r="48" spans="2:19" x14ac:dyDescent="0.45">
      <c r="M48" t="s">
        <v>10</v>
      </c>
      <c r="N48" t="s">
        <v>256</v>
      </c>
      <c r="O48" t="s">
        <v>12</v>
      </c>
      <c r="P48" t="s">
        <v>257</v>
      </c>
      <c r="Q48" t="s">
        <v>62</v>
      </c>
      <c r="R48" t="s">
        <v>63</v>
      </c>
      <c r="S48" t="s">
        <v>17</v>
      </c>
    </row>
    <row r="49" spans="13:19" x14ac:dyDescent="0.45">
      <c r="M49" t="s">
        <v>10</v>
      </c>
      <c r="N49" t="s">
        <v>258</v>
      </c>
      <c r="O49" t="s">
        <v>12</v>
      </c>
      <c r="P49" t="s">
        <v>259</v>
      </c>
      <c r="Q49" t="s">
        <v>62</v>
      </c>
      <c r="R49" t="s">
        <v>63</v>
      </c>
      <c r="S49" t="s">
        <v>17</v>
      </c>
    </row>
    <row r="50" spans="13:19" x14ac:dyDescent="0.45">
      <c r="M50" t="s">
        <v>10</v>
      </c>
      <c r="N50" t="s">
        <v>260</v>
      </c>
      <c r="O50" t="s">
        <v>12</v>
      </c>
      <c r="P50" t="s">
        <v>261</v>
      </c>
      <c r="Q50" t="s">
        <v>62</v>
      </c>
      <c r="R50" t="s">
        <v>63</v>
      </c>
      <c r="S50" t="s">
        <v>17</v>
      </c>
    </row>
    <row r="51" spans="13:19" x14ac:dyDescent="0.45">
      <c r="M51" t="s">
        <v>10</v>
      </c>
      <c r="N51" t="s">
        <v>262</v>
      </c>
      <c r="O51" t="s">
        <v>12</v>
      </c>
      <c r="P51" t="s">
        <v>263</v>
      </c>
      <c r="Q51" t="s">
        <v>62</v>
      </c>
      <c r="R51" t="s">
        <v>63</v>
      </c>
      <c r="S51" t="s">
        <v>17</v>
      </c>
    </row>
    <row r="52" spans="13:19" x14ac:dyDescent="0.45">
      <c r="M52" t="s">
        <v>10</v>
      </c>
      <c r="N52" t="s">
        <v>264</v>
      </c>
      <c r="O52" t="s">
        <v>12</v>
      </c>
      <c r="P52" t="s">
        <v>265</v>
      </c>
      <c r="Q52" t="s">
        <v>62</v>
      </c>
      <c r="R52" t="s">
        <v>63</v>
      </c>
      <c r="S52" t="s">
        <v>17</v>
      </c>
    </row>
    <row r="53" spans="13:19" x14ac:dyDescent="0.45">
      <c r="M53" t="s">
        <v>10</v>
      </c>
      <c r="N53" t="s">
        <v>266</v>
      </c>
      <c r="O53" t="s">
        <v>12</v>
      </c>
      <c r="P53" t="s">
        <v>267</v>
      </c>
      <c r="Q53" t="s">
        <v>62</v>
      </c>
      <c r="R53" t="s">
        <v>63</v>
      </c>
      <c r="S53" t="s">
        <v>17</v>
      </c>
    </row>
    <row r="54" spans="13:19" x14ac:dyDescent="0.45">
      <c r="M54" t="s">
        <v>10</v>
      </c>
      <c r="N54" t="s">
        <v>268</v>
      </c>
      <c r="O54" t="s">
        <v>12</v>
      </c>
      <c r="P54" t="s">
        <v>269</v>
      </c>
      <c r="Q54" t="s">
        <v>62</v>
      </c>
      <c r="R54" t="s">
        <v>63</v>
      </c>
      <c r="S54" t="s">
        <v>17</v>
      </c>
    </row>
    <row r="55" spans="13:19" x14ac:dyDescent="0.45">
      <c r="M55" t="s">
        <v>10</v>
      </c>
      <c r="N55" t="s">
        <v>270</v>
      </c>
      <c r="O55" t="s">
        <v>12</v>
      </c>
      <c r="P55" t="s">
        <v>271</v>
      </c>
      <c r="Q55" t="s">
        <v>62</v>
      </c>
      <c r="R55" t="s">
        <v>63</v>
      </c>
      <c r="S55" t="s">
        <v>17</v>
      </c>
    </row>
    <row r="56" spans="13:19" x14ac:dyDescent="0.45">
      <c r="M56" t="s">
        <v>10</v>
      </c>
      <c r="N56" t="s">
        <v>272</v>
      </c>
      <c r="O56" t="s">
        <v>12</v>
      </c>
      <c r="P56" t="s">
        <v>273</v>
      </c>
      <c r="Q56" t="s">
        <v>62</v>
      </c>
      <c r="R56" t="s">
        <v>63</v>
      </c>
      <c r="S56" t="s">
        <v>17</v>
      </c>
    </row>
    <row r="57" spans="13:19" x14ac:dyDescent="0.45">
      <c r="M57" t="s">
        <v>10</v>
      </c>
      <c r="N57" t="s">
        <v>274</v>
      </c>
      <c r="O57" t="s">
        <v>12</v>
      </c>
      <c r="P57" t="s">
        <v>275</v>
      </c>
      <c r="Q57" t="s">
        <v>62</v>
      </c>
      <c r="R57" t="s">
        <v>63</v>
      </c>
      <c r="S57" t="s">
        <v>17</v>
      </c>
    </row>
    <row r="58" spans="13:19" x14ac:dyDescent="0.45">
      <c r="M58" t="s">
        <v>10</v>
      </c>
      <c r="N58" t="s">
        <v>276</v>
      </c>
      <c r="O58" t="s">
        <v>12</v>
      </c>
      <c r="P58" t="s">
        <v>277</v>
      </c>
      <c r="Q58" t="s">
        <v>62</v>
      </c>
      <c r="R58" t="s">
        <v>63</v>
      </c>
      <c r="S58" t="s">
        <v>17</v>
      </c>
    </row>
    <row r="59" spans="13:19" x14ac:dyDescent="0.45">
      <c r="M59" t="s">
        <v>10</v>
      </c>
      <c r="N59" t="s">
        <v>278</v>
      </c>
      <c r="O59" t="s">
        <v>12</v>
      </c>
      <c r="P59" t="s">
        <v>279</v>
      </c>
      <c r="Q59" t="s">
        <v>62</v>
      </c>
      <c r="R59" t="s">
        <v>63</v>
      </c>
      <c r="S59" t="s">
        <v>17</v>
      </c>
    </row>
    <row r="60" spans="13:19" x14ac:dyDescent="0.45">
      <c r="M60" t="s">
        <v>10</v>
      </c>
      <c r="N60" t="s">
        <v>280</v>
      </c>
      <c r="O60" t="s">
        <v>12</v>
      </c>
      <c r="P60" t="s">
        <v>281</v>
      </c>
      <c r="Q60" t="s">
        <v>62</v>
      </c>
      <c r="R60" t="s">
        <v>63</v>
      </c>
      <c r="S60" t="s">
        <v>17</v>
      </c>
    </row>
    <row r="61" spans="13:19" x14ac:dyDescent="0.45">
      <c r="M61" t="s">
        <v>10</v>
      </c>
      <c r="N61" t="s">
        <v>282</v>
      </c>
      <c r="O61" t="s">
        <v>12</v>
      </c>
      <c r="P61" t="s">
        <v>283</v>
      </c>
      <c r="Q61" t="s">
        <v>62</v>
      </c>
      <c r="R61" t="s">
        <v>63</v>
      </c>
      <c r="S61" t="s">
        <v>17</v>
      </c>
    </row>
    <row r="62" spans="13:19" x14ac:dyDescent="0.45">
      <c r="M62" t="s">
        <v>10</v>
      </c>
      <c r="N62" t="s">
        <v>284</v>
      </c>
      <c r="O62" t="s">
        <v>12</v>
      </c>
      <c r="P62" t="s">
        <v>285</v>
      </c>
      <c r="Q62" t="s">
        <v>62</v>
      </c>
      <c r="R62" t="s">
        <v>63</v>
      </c>
      <c r="S62" t="s">
        <v>17</v>
      </c>
    </row>
    <row r="63" spans="13:19" x14ac:dyDescent="0.45">
      <c r="M63" t="s">
        <v>10</v>
      </c>
      <c r="N63" t="s">
        <v>286</v>
      </c>
      <c r="O63" t="s">
        <v>12</v>
      </c>
      <c r="P63" t="s">
        <v>287</v>
      </c>
      <c r="Q63" t="s">
        <v>62</v>
      </c>
      <c r="R63" t="s">
        <v>63</v>
      </c>
      <c r="S63" t="s">
        <v>17</v>
      </c>
    </row>
    <row r="64" spans="13:19" x14ac:dyDescent="0.45">
      <c r="M64" t="s">
        <v>10</v>
      </c>
      <c r="N64" t="s">
        <v>288</v>
      </c>
      <c r="O64" t="s">
        <v>12</v>
      </c>
      <c r="P64" t="s">
        <v>289</v>
      </c>
      <c r="Q64" t="s">
        <v>62</v>
      </c>
      <c r="R64" t="s">
        <v>63</v>
      </c>
      <c r="S64" t="s">
        <v>17</v>
      </c>
    </row>
    <row r="65" spans="13:19" x14ac:dyDescent="0.45">
      <c r="M65" t="s">
        <v>10</v>
      </c>
      <c r="N65" t="s">
        <v>290</v>
      </c>
      <c r="O65" t="s">
        <v>12</v>
      </c>
      <c r="P65" t="s">
        <v>291</v>
      </c>
      <c r="Q65" t="s">
        <v>62</v>
      </c>
      <c r="R65" t="s">
        <v>63</v>
      </c>
      <c r="S65" t="s">
        <v>17</v>
      </c>
    </row>
    <row r="66" spans="13:19" x14ac:dyDescent="0.45">
      <c r="M66" t="s">
        <v>10</v>
      </c>
      <c r="N66" t="s">
        <v>292</v>
      </c>
      <c r="O66" t="s">
        <v>12</v>
      </c>
      <c r="P66" t="s">
        <v>293</v>
      </c>
      <c r="Q66" t="s">
        <v>62</v>
      </c>
      <c r="R66" t="s">
        <v>63</v>
      </c>
      <c r="S66" t="s">
        <v>17</v>
      </c>
    </row>
    <row r="67" spans="13:19" x14ac:dyDescent="0.45">
      <c r="M67" t="s">
        <v>10</v>
      </c>
      <c r="N67" t="s">
        <v>294</v>
      </c>
      <c r="O67" t="s">
        <v>12</v>
      </c>
      <c r="P67" t="s">
        <v>295</v>
      </c>
      <c r="Q67" t="s">
        <v>62</v>
      </c>
      <c r="R67" t="s">
        <v>63</v>
      </c>
      <c r="S67" t="s">
        <v>17</v>
      </c>
    </row>
    <row r="68" spans="13:19" x14ac:dyDescent="0.45">
      <c r="M68" t="s">
        <v>10</v>
      </c>
      <c r="N68" t="s">
        <v>296</v>
      </c>
      <c r="O68" t="s">
        <v>12</v>
      </c>
      <c r="P68" t="s">
        <v>297</v>
      </c>
      <c r="Q68" t="s">
        <v>62</v>
      </c>
      <c r="R68" t="s">
        <v>63</v>
      </c>
      <c r="S68" t="s">
        <v>17</v>
      </c>
    </row>
    <row r="69" spans="13:19" x14ac:dyDescent="0.45">
      <c r="M69" t="s">
        <v>10</v>
      </c>
      <c r="N69" t="s">
        <v>298</v>
      </c>
      <c r="O69" t="s">
        <v>12</v>
      </c>
      <c r="P69" t="s">
        <v>299</v>
      </c>
      <c r="Q69" t="s">
        <v>62</v>
      </c>
      <c r="R69" t="s">
        <v>63</v>
      </c>
      <c r="S69" t="s">
        <v>17</v>
      </c>
    </row>
    <row r="70" spans="13:19" x14ac:dyDescent="0.45">
      <c r="M70" t="s">
        <v>10</v>
      </c>
      <c r="N70" t="s">
        <v>300</v>
      </c>
      <c r="O70" t="s">
        <v>12</v>
      </c>
      <c r="P70" t="s">
        <v>301</v>
      </c>
      <c r="Q70" t="s">
        <v>62</v>
      </c>
      <c r="R70" t="s">
        <v>63</v>
      </c>
      <c r="S70" t="s">
        <v>17</v>
      </c>
    </row>
    <row r="71" spans="13:19" x14ac:dyDescent="0.45">
      <c r="M71" t="s">
        <v>10</v>
      </c>
      <c r="N71" t="s">
        <v>302</v>
      </c>
      <c r="O71" t="s">
        <v>12</v>
      </c>
      <c r="P71" t="s">
        <v>303</v>
      </c>
      <c r="Q71" t="s">
        <v>62</v>
      </c>
      <c r="R71" t="s">
        <v>63</v>
      </c>
      <c r="S71" t="s">
        <v>17</v>
      </c>
    </row>
    <row r="72" spans="13:19" x14ac:dyDescent="0.45">
      <c r="M72" t="s">
        <v>10</v>
      </c>
      <c r="N72" t="s">
        <v>304</v>
      </c>
      <c r="O72" t="s">
        <v>12</v>
      </c>
      <c r="P72" t="s">
        <v>305</v>
      </c>
      <c r="Q72" t="s">
        <v>62</v>
      </c>
      <c r="R72" t="s">
        <v>63</v>
      </c>
      <c r="S72" t="s">
        <v>17</v>
      </c>
    </row>
    <row r="73" spans="13:19" x14ac:dyDescent="0.45">
      <c r="M73" t="s">
        <v>10</v>
      </c>
      <c r="N73" t="s">
        <v>306</v>
      </c>
      <c r="O73" t="s">
        <v>12</v>
      </c>
      <c r="P73" t="s">
        <v>307</v>
      </c>
      <c r="Q73" t="s">
        <v>62</v>
      </c>
      <c r="R73" t="s">
        <v>63</v>
      </c>
      <c r="S73" t="s">
        <v>17</v>
      </c>
    </row>
    <row r="74" spans="13:19" x14ac:dyDescent="0.45">
      <c r="M74" t="s">
        <v>10</v>
      </c>
      <c r="N74" t="s">
        <v>308</v>
      </c>
      <c r="O74" t="s">
        <v>12</v>
      </c>
      <c r="P74" t="s">
        <v>309</v>
      </c>
      <c r="Q74" t="s">
        <v>62</v>
      </c>
      <c r="R74" t="s">
        <v>63</v>
      </c>
      <c r="S74" t="s">
        <v>17</v>
      </c>
    </row>
    <row r="75" spans="13:19" x14ac:dyDescent="0.45">
      <c r="M75" t="s">
        <v>10</v>
      </c>
      <c r="N75" t="s">
        <v>310</v>
      </c>
      <c r="O75" t="s">
        <v>12</v>
      </c>
      <c r="P75" t="s">
        <v>311</v>
      </c>
      <c r="Q75" t="s">
        <v>62</v>
      </c>
      <c r="R75" t="s">
        <v>63</v>
      </c>
      <c r="S75" t="s">
        <v>17</v>
      </c>
    </row>
    <row r="76" spans="13:19" x14ac:dyDescent="0.45">
      <c r="M76" t="s">
        <v>10</v>
      </c>
      <c r="N76" t="s">
        <v>312</v>
      </c>
      <c r="O76" t="s">
        <v>12</v>
      </c>
      <c r="P76" t="s">
        <v>313</v>
      </c>
      <c r="Q76" t="s">
        <v>62</v>
      </c>
      <c r="R76" t="s">
        <v>63</v>
      </c>
      <c r="S76" t="s">
        <v>17</v>
      </c>
    </row>
    <row r="77" spans="13:19" x14ac:dyDescent="0.45">
      <c r="M77" t="s">
        <v>10</v>
      </c>
      <c r="N77" t="s">
        <v>314</v>
      </c>
      <c r="O77" t="s">
        <v>12</v>
      </c>
      <c r="P77" t="s">
        <v>315</v>
      </c>
      <c r="Q77" t="s">
        <v>62</v>
      </c>
      <c r="R77" t="s">
        <v>63</v>
      </c>
      <c r="S77" t="s">
        <v>17</v>
      </c>
    </row>
    <row r="78" spans="13:19" x14ac:dyDescent="0.45">
      <c r="M78" t="s">
        <v>10</v>
      </c>
      <c r="N78" t="s">
        <v>316</v>
      </c>
      <c r="O78" t="s">
        <v>12</v>
      </c>
      <c r="P78" t="s">
        <v>317</v>
      </c>
      <c r="Q78" t="s">
        <v>62</v>
      </c>
      <c r="R78" t="s">
        <v>63</v>
      </c>
      <c r="S78" t="s">
        <v>17</v>
      </c>
    </row>
    <row r="79" spans="13:19" x14ac:dyDescent="0.45">
      <c r="M79" t="s">
        <v>10</v>
      </c>
      <c r="N79" t="s">
        <v>318</v>
      </c>
      <c r="O79" t="s">
        <v>12</v>
      </c>
      <c r="P79" t="s">
        <v>319</v>
      </c>
      <c r="Q79" t="s">
        <v>62</v>
      </c>
      <c r="R79" t="s">
        <v>63</v>
      </c>
      <c r="S79" t="s">
        <v>17</v>
      </c>
    </row>
    <row r="80" spans="13:19" x14ac:dyDescent="0.45">
      <c r="M80" t="s">
        <v>10</v>
      </c>
      <c r="N80" t="s">
        <v>320</v>
      </c>
      <c r="O80" t="s">
        <v>12</v>
      </c>
      <c r="P80" t="s">
        <v>321</v>
      </c>
      <c r="Q80" t="s">
        <v>62</v>
      </c>
      <c r="R80" t="s">
        <v>63</v>
      </c>
      <c r="S80" t="s">
        <v>17</v>
      </c>
    </row>
    <row r="81" spans="13:19" x14ac:dyDescent="0.45">
      <c r="M81" t="s">
        <v>10</v>
      </c>
      <c r="N81" t="s">
        <v>322</v>
      </c>
      <c r="O81" t="s">
        <v>12</v>
      </c>
      <c r="P81" t="s">
        <v>323</v>
      </c>
      <c r="Q81" t="s">
        <v>62</v>
      </c>
      <c r="R81" t="s">
        <v>63</v>
      </c>
      <c r="S81" t="s">
        <v>17</v>
      </c>
    </row>
    <row r="82" spans="13:19" x14ac:dyDescent="0.45">
      <c r="M82" t="s">
        <v>10</v>
      </c>
      <c r="N82" t="s">
        <v>324</v>
      </c>
      <c r="O82" t="s">
        <v>12</v>
      </c>
      <c r="P82" t="s">
        <v>325</v>
      </c>
      <c r="Q82" t="s">
        <v>62</v>
      </c>
      <c r="R82" t="s">
        <v>63</v>
      </c>
      <c r="S8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C5D0-A859-48C1-B43E-5D1E0912EEB5}">
  <dimension ref="A1:I14"/>
  <sheetViews>
    <sheetView workbookViewId="0">
      <selection sqref="A1:H1"/>
    </sheetView>
  </sheetViews>
  <sheetFormatPr defaultRowHeight="14.25" x14ac:dyDescent="0.45"/>
  <cols>
    <col min="2" max="2" width="10.59765625" customWidth="1"/>
    <col min="3" max="3" width="14" bestFit="1" customWidth="1"/>
    <col min="4" max="4" width="10.59765625" customWidth="1"/>
    <col min="5" max="5" width="30.59765625" customWidth="1"/>
    <col min="6" max="6" width="14.53125" bestFit="1" customWidth="1"/>
    <col min="7" max="7" width="12.46484375" bestFit="1" customWidth="1"/>
    <col min="8" max="9" width="10.59765625" customWidth="1"/>
  </cols>
  <sheetData>
    <row r="1" spans="1:9" ht="22.05" customHeight="1" x14ac:dyDescent="0.45">
      <c r="A1" s="27" t="s">
        <v>0</v>
      </c>
      <c r="B1" s="27"/>
      <c r="C1" s="27"/>
      <c r="D1" s="27"/>
      <c r="E1" s="27"/>
      <c r="F1" s="27"/>
      <c r="G1" s="27"/>
      <c r="H1" s="27"/>
    </row>
    <row r="3" spans="1:9" ht="14.65" thickBot="1" x14ac:dyDescent="0.5">
      <c r="B3" s="1" t="s">
        <v>1</v>
      </c>
    </row>
    <row r="4" spans="1:9" ht="15.75" thickBot="1" x14ac:dyDescent="0.6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x14ac:dyDescent="0.45">
      <c r="B5" s="3" t="s">
        <v>10</v>
      </c>
      <c r="C5" s="3" t="s">
        <v>326</v>
      </c>
      <c r="D5" s="3" t="s">
        <v>327</v>
      </c>
      <c r="E5" s="3" t="s">
        <v>328</v>
      </c>
      <c r="F5" s="3" t="s">
        <v>14</v>
      </c>
      <c r="G5" s="3" t="s">
        <v>15</v>
      </c>
      <c r="H5" s="3" t="s">
        <v>16</v>
      </c>
      <c r="I5" s="3" t="s">
        <v>17</v>
      </c>
    </row>
    <row r="6" spans="1:9" x14ac:dyDescent="0.45">
      <c r="B6" s="4" t="s">
        <v>10</v>
      </c>
      <c r="C6" s="4" t="s">
        <v>329</v>
      </c>
      <c r="D6" s="4" t="s">
        <v>327</v>
      </c>
      <c r="E6" s="4" t="s">
        <v>330</v>
      </c>
      <c r="F6" s="4" t="s">
        <v>14</v>
      </c>
      <c r="G6" s="4" t="s">
        <v>15</v>
      </c>
      <c r="H6" s="4" t="s">
        <v>16</v>
      </c>
      <c r="I6" s="4" t="s">
        <v>17</v>
      </c>
    </row>
    <row r="7" spans="1:9" x14ac:dyDescent="0.45">
      <c r="B7" s="3" t="s">
        <v>10</v>
      </c>
      <c r="C7" s="3" t="s">
        <v>331</v>
      </c>
      <c r="D7" s="3" t="s">
        <v>327</v>
      </c>
      <c r="E7" s="3" t="s">
        <v>332</v>
      </c>
      <c r="F7" s="3" t="s">
        <v>14</v>
      </c>
      <c r="G7" s="3" t="s">
        <v>15</v>
      </c>
      <c r="H7" s="3" t="s">
        <v>16</v>
      </c>
      <c r="I7" s="3" t="s">
        <v>17</v>
      </c>
    </row>
    <row r="8" spans="1:9" x14ac:dyDescent="0.45">
      <c r="B8" s="4" t="s">
        <v>10</v>
      </c>
      <c r="C8" s="4" t="s">
        <v>333</v>
      </c>
      <c r="D8" s="4" t="s">
        <v>327</v>
      </c>
      <c r="E8" s="4" t="s">
        <v>334</v>
      </c>
      <c r="F8" s="4" t="s">
        <v>14</v>
      </c>
      <c r="G8" s="4" t="s">
        <v>15</v>
      </c>
      <c r="H8" s="4" t="s">
        <v>16</v>
      </c>
      <c r="I8" s="4" t="s">
        <v>17</v>
      </c>
    </row>
    <row r="9" spans="1:9" x14ac:dyDescent="0.45">
      <c r="B9" s="3" t="s">
        <v>10</v>
      </c>
      <c r="C9" s="3" t="s">
        <v>335</v>
      </c>
      <c r="D9" s="3" t="s">
        <v>327</v>
      </c>
      <c r="E9" s="3" t="s">
        <v>336</v>
      </c>
      <c r="F9" s="3" t="s">
        <v>14</v>
      </c>
      <c r="G9" s="3" t="s">
        <v>15</v>
      </c>
      <c r="H9" s="3" t="s">
        <v>16</v>
      </c>
      <c r="I9" s="3" t="s">
        <v>17</v>
      </c>
    </row>
    <row r="10" spans="1:9" x14ac:dyDescent="0.45">
      <c r="B10" s="4" t="s">
        <v>10</v>
      </c>
      <c r="C10" s="4" t="s">
        <v>337</v>
      </c>
      <c r="D10" s="4" t="s">
        <v>327</v>
      </c>
      <c r="E10" s="4" t="s">
        <v>338</v>
      </c>
      <c r="F10" s="4" t="s">
        <v>14</v>
      </c>
      <c r="G10" s="4" t="s">
        <v>15</v>
      </c>
      <c r="H10" s="4" t="s">
        <v>16</v>
      </c>
      <c r="I10" s="4" t="s">
        <v>17</v>
      </c>
    </row>
    <row r="11" spans="1:9" x14ac:dyDescent="0.45">
      <c r="B11" s="3" t="s">
        <v>10</v>
      </c>
      <c r="C11" s="3" t="s">
        <v>339</v>
      </c>
      <c r="D11" s="3" t="s">
        <v>327</v>
      </c>
      <c r="E11" s="3" t="s">
        <v>340</v>
      </c>
      <c r="F11" s="3" t="s">
        <v>14</v>
      </c>
      <c r="G11" s="3" t="s">
        <v>15</v>
      </c>
      <c r="H11" s="3" t="s">
        <v>16</v>
      </c>
      <c r="I11" s="3" t="s">
        <v>17</v>
      </c>
    </row>
    <row r="12" spans="1:9" x14ac:dyDescent="0.45">
      <c r="B12" s="4" t="s">
        <v>10</v>
      </c>
      <c r="C12" s="4" t="s">
        <v>341</v>
      </c>
      <c r="D12" s="4" t="s">
        <v>327</v>
      </c>
      <c r="E12" s="4" t="s">
        <v>342</v>
      </c>
      <c r="F12" s="4" t="s">
        <v>14</v>
      </c>
      <c r="G12" s="4" t="s">
        <v>15</v>
      </c>
      <c r="H12" s="4" t="s">
        <v>16</v>
      </c>
      <c r="I12" s="4" t="s">
        <v>17</v>
      </c>
    </row>
    <row r="13" spans="1:9" x14ac:dyDescent="0.45">
      <c r="B13" s="3" t="s">
        <v>10</v>
      </c>
      <c r="C13" s="3" t="s">
        <v>343</v>
      </c>
      <c r="D13" s="3" t="s">
        <v>327</v>
      </c>
      <c r="E13" s="3" t="s">
        <v>344</v>
      </c>
      <c r="F13" s="3" t="s">
        <v>14</v>
      </c>
      <c r="G13" s="3" t="s">
        <v>15</v>
      </c>
      <c r="H13" s="3" t="s">
        <v>16</v>
      </c>
      <c r="I13" s="3" t="s">
        <v>17</v>
      </c>
    </row>
    <row r="14" spans="1:9" x14ac:dyDescent="0.45">
      <c r="B14" s="4" t="s">
        <v>10</v>
      </c>
      <c r="C14" s="4" t="s">
        <v>345</v>
      </c>
      <c r="D14" s="4" t="s">
        <v>327</v>
      </c>
      <c r="E14" s="4" t="s">
        <v>346</v>
      </c>
      <c r="F14" s="4" t="s">
        <v>14</v>
      </c>
      <c r="G14" s="4" t="s">
        <v>15</v>
      </c>
      <c r="H14" s="4" t="s">
        <v>16</v>
      </c>
      <c r="I14" s="4" t="s">
        <v>17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A0D3-11B2-48EE-BD1A-6DA6EBBB2EF2}">
  <dimension ref="A1:I14"/>
  <sheetViews>
    <sheetView workbookViewId="0">
      <selection sqref="A1:H1"/>
    </sheetView>
  </sheetViews>
  <sheetFormatPr defaultRowHeight="14.25" x14ac:dyDescent="0.45"/>
  <cols>
    <col min="2" max="2" width="10.59765625" customWidth="1"/>
    <col min="3" max="3" width="13.9296875" bestFit="1" customWidth="1"/>
    <col min="4" max="4" width="10.59765625" customWidth="1"/>
    <col min="5" max="5" width="30.59765625" customWidth="1"/>
    <col min="6" max="6" width="14.53125" bestFit="1" customWidth="1"/>
    <col min="7" max="7" width="12.46484375" bestFit="1" customWidth="1"/>
    <col min="8" max="9" width="10.59765625" customWidth="1"/>
  </cols>
  <sheetData>
    <row r="1" spans="1:9" ht="22.05" customHeight="1" x14ac:dyDescent="0.45">
      <c r="A1" s="27" t="s">
        <v>0</v>
      </c>
      <c r="B1" s="27"/>
      <c r="C1" s="27"/>
      <c r="D1" s="27"/>
      <c r="E1" s="27"/>
      <c r="F1" s="27"/>
      <c r="G1" s="27"/>
      <c r="H1" s="27"/>
    </row>
    <row r="3" spans="1:9" ht="14.65" thickBot="1" x14ac:dyDescent="0.5">
      <c r="B3" s="1" t="s">
        <v>1</v>
      </c>
    </row>
    <row r="4" spans="1:9" ht="15.75" thickBot="1" x14ac:dyDescent="0.6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x14ac:dyDescent="0.45">
      <c r="B5" s="3" t="s">
        <v>10</v>
      </c>
      <c r="C5" s="3" t="s">
        <v>347</v>
      </c>
      <c r="D5" s="3" t="s">
        <v>327</v>
      </c>
      <c r="E5" s="3" t="s">
        <v>348</v>
      </c>
      <c r="F5" s="3" t="s">
        <v>62</v>
      </c>
      <c r="G5" s="3" t="s">
        <v>63</v>
      </c>
      <c r="H5" s="3" t="s">
        <v>16</v>
      </c>
      <c r="I5" s="3" t="s">
        <v>17</v>
      </c>
    </row>
    <row r="6" spans="1:9" x14ac:dyDescent="0.45">
      <c r="B6" s="4" t="s">
        <v>10</v>
      </c>
      <c r="C6" s="4" t="s">
        <v>349</v>
      </c>
      <c r="D6" s="4" t="s">
        <v>327</v>
      </c>
      <c r="E6" s="4" t="s">
        <v>350</v>
      </c>
      <c r="F6" s="4" t="s">
        <v>62</v>
      </c>
      <c r="G6" s="4" t="s">
        <v>63</v>
      </c>
      <c r="H6" s="4" t="s">
        <v>16</v>
      </c>
      <c r="I6" s="4" t="s">
        <v>17</v>
      </c>
    </row>
    <row r="7" spans="1:9" x14ac:dyDescent="0.45">
      <c r="B7" s="3" t="s">
        <v>10</v>
      </c>
      <c r="C7" s="3" t="s">
        <v>351</v>
      </c>
      <c r="D7" s="3" t="s">
        <v>327</v>
      </c>
      <c r="E7" s="3" t="s">
        <v>352</v>
      </c>
      <c r="F7" s="3" t="s">
        <v>62</v>
      </c>
      <c r="G7" s="3" t="s">
        <v>63</v>
      </c>
      <c r="H7" s="3" t="s">
        <v>16</v>
      </c>
      <c r="I7" s="3" t="s">
        <v>17</v>
      </c>
    </row>
    <row r="8" spans="1:9" x14ac:dyDescent="0.45">
      <c r="B8" s="4" t="s">
        <v>10</v>
      </c>
      <c r="C8" s="4" t="s">
        <v>353</v>
      </c>
      <c r="D8" s="4" t="s">
        <v>327</v>
      </c>
      <c r="E8" s="4" t="s">
        <v>354</v>
      </c>
      <c r="F8" s="4" t="s">
        <v>62</v>
      </c>
      <c r="G8" s="4" t="s">
        <v>63</v>
      </c>
      <c r="H8" s="4" t="s">
        <v>16</v>
      </c>
      <c r="I8" s="4" t="s">
        <v>17</v>
      </c>
    </row>
    <row r="9" spans="1:9" x14ac:dyDescent="0.45">
      <c r="B9" s="3" t="s">
        <v>10</v>
      </c>
      <c r="C9" s="3" t="s">
        <v>355</v>
      </c>
      <c r="D9" s="3" t="s">
        <v>327</v>
      </c>
      <c r="E9" s="3" t="s">
        <v>356</v>
      </c>
      <c r="F9" s="3" t="s">
        <v>62</v>
      </c>
      <c r="G9" s="3" t="s">
        <v>63</v>
      </c>
      <c r="H9" s="3" t="s">
        <v>16</v>
      </c>
      <c r="I9" s="3" t="s">
        <v>17</v>
      </c>
    </row>
    <row r="10" spans="1:9" x14ac:dyDescent="0.45">
      <c r="B10" s="4" t="s">
        <v>10</v>
      </c>
      <c r="C10" s="4" t="s">
        <v>357</v>
      </c>
      <c r="D10" s="4" t="s">
        <v>327</v>
      </c>
      <c r="E10" s="4" t="s">
        <v>358</v>
      </c>
      <c r="F10" s="4" t="s">
        <v>62</v>
      </c>
      <c r="G10" s="4" t="s">
        <v>63</v>
      </c>
      <c r="H10" s="4" t="s">
        <v>16</v>
      </c>
      <c r="I10" s="4" t="s">
        <v>17</v>
      </c>
    </row>
    <row r="11" spans="1:9" x14ac:dyDescent="0.45">
      <c r="B11" s="3" t="s">
        <v>10</v>
      </c>
      <c r="C11" s="3" t="s">
        <v>359</v>
      </c>
      <c r="D11" s="3" t="s">
        <v>327</v>
      </c>
      <c r="E11" s="3" t="s">
        <v>360</v>
      </c>
      <c r="F11" s="3" t="s">
        <v>62</v>
      </c>
      <c r="G11" s="3" t="s">
        <v>63</v>
      </c>
      <c r="H11" s="3" t="s">
        <v>16</v>
      </c>
      <c r="I11" s="3" t="s">
        <v>17</v>
      </c>
    </row>
    <row r="12" spans="1:9" x14ac:dyDescent="0.45">
      <c r="B12" s="4" t="s">
        <v>10</v>
      </c>
      <c r="C12" s="4" t="s">
        <v>361</v>
      </c>
      <c r="D12" s="4" t="s">
        <v>327</v>
      </c>
      <c r="E12" s="4" t="s">
        <v>362</v>
      </c>
      <c r="F12" s="4" t="s">
        <v>62</v>
      </c>
      <c r="G12" s="4" t="s">
        <v>63</v>
      </c>
      <c r="H12" s="4" t="s">
        <v>16</v>
      </c>
      <c r="I12" s="4" t="s">
        <v>17</v>
      </c>
    </row>
    <row r="13" spans="1:9" x14ac:dyDescent="0.45">
      <c r="B13" s="3" t="s">
        <v>10</v>
      </c>
      <c r="C13" s="3" t="s">
        <v>363</v>
      </c>
      <c r="D13" s="3" t="s">
        <v>327</v>
      </c>
      <c r="E13" s="3" t="s">
        <v>364</v>
      </c>
      <c r="F13" s="3" t="s">
        <v>62</v>
      </c>
      <c r="G13" s="3" t="s">
        <v>63</v>
      </c>
      <c r="H13" s="3" t="s">
        <v>16</v>
      </c>
      <c r="I13" s="3" t="s">
        <v>17</v>
      </c>
    </row>
    <row r="14" spans="1:9" x14ac:dyDescent="0.45">
      <c r="B14" s="4" t="s">
        <v>10</v>
      </c>
      <c r="C14" s="4" t="s">
        <v>365</v>
      </c>
      <c r="D14" s="4" t="s">
        <v>327</v>
      </c>
      <c r="E14" s="4" t="s">
        <v>366</v>
      </c>
      <c r="F14" s="4" t="s">
        <v>62</v>
      </c>
      <c r="G14" s="4" t="s">
        <v>63</v>
      </c>
      <c r="H14" s="4" t="s">
        <v>16</v>
      </c>
      <c r="I14" s="4" t="s">
        <v>17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DFB9-44F8-49BA-9FB1-0E290EBA8A15}">
  <dimension ref="B3:S44"/>
  <sheetViews>
    <sheetView topLeftCell="A17" workbookViewId="0">
      <selection activeCell="D43" sqref="D43"/>
    </sheetView>
  </sheetViews>
  <sheetFormatPr defaultRowHeight="14.25" x14ac:dyDescent="0.4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 x14ac:dyDescent="0.6">
      <c r="B3" s="5" t="s">
        <v>106</v>
      </c>
      <c r="C3" s="6"/>
      <c r="D3" s="6"/>
      <c r="E3" s="6"/>
      <c r="F3" s="6"/>
      <c r="G3" s="6"/>
      <c r="H3" s="7"/>
      <c r="I3" s="7"/>
      <c r="M3" s="5" t="s">
        <v>106</v>
      </c>
      <c r="N3" s="6"/>
      <c r="O3" s="6"/>
      <c r="P3" s="6"/>
      <c r="Q3" s="6"/>
    </row>
    <row r="4" spans="2:19" ht="15" thickTop="1" thickBot="1" x14ac:dyDescent="0.5">
      <c r="B4" s="8" t="s">
        <v>107</v>
      </c>
      <c r="C4" s="8" t="s">
        <v>3</v>
      </c>
      <c r="D4" s="8" t="s">
        <v>5</v>
      </c>
      <c r="E4" s="8" t="s">
        <v>9</v>
      </c>
      <c r="F4" s="8" t="s">
        <v>7</v>
      </c>
      <c r="G4" s="8" t="s">
        <v>6</v>
      </c>
      <c r="H4" s="8" t="s">
        <v>8</v>
      </c>
      <c r="I4" s="9" t="s">
        <v>108</v>
      </c>
      <c r="M4" s="8" t="s">
        <v>2</v>
      </c>
      <c r="N4" s="8" t="s">
        <v>3</v>
      </c>
      <c r="O4" s="8" t="s">
        <v>4</v>
      </c>
      <c r="P4" s="8" t="s">
        <v>5</v>
      </c>
      <c r="Q4" s="8" t="s">
        <v>6</v>
      </c>
      <c r="R4" t="s">
        <v>7</v>
      </c>
      <c r="S4" t="s">
        <v>9</v>
      </c>
    </row>
    <row r="5" spans="2:19" x14ac:dyDescent="0.45">
      <c r="B5" t="s">
        <v>10</v>
      </c>
      <c r="C5" t="s">
        <v>109</v>
      </c>
      <c r="E5" t="s">
        <v>110</v>
      </c>
      <c r="M5" t="s">
        <v>10</v>
      </c>
      <c r="N5" t="s">
        <v>367</v>
      </c>
      <c r="O5" t="s">
        <v>327</v>
      </c>
      <c r="P5" t="s">
        <v>368</v>
      </c>
      <c r="Q5" t="s">
        <v>62</v>
      </c>
      <c r="R5" t="s">
        <v>63</v>
      </c>
      <c r="S5" t="s">
        <v>17</v>
      </c>
    </row>
    <row r="6" spans="2:19" x14ac:dyDescent="0.45">
      <c r="B6" t="s">
        <v>10</v>
      </c>
      <c r="C6" t="s">
        <v>113</v>
      </c>
      <c r="E6" t="s">
        <v>110</v>
      </c>
      <c r="M6" t="s">
        <v>10</v>
      </c>
      <c r="N6" t="s">
        <v>369</v>
      </c>
      <c r="O6" t="s">
        <v>327</v>
      </c>
      <c r="P6" t="s">
        <v>370</v>
      </c>
      <c r="Q6" t="s">
        <v>62</v>
      </c>
      <c r="R6" t="s">
        <v>63</v>
      </c>
      <c r="S6" t="s">
        <v>17</v>
      </c>
    </row>
    <row r="7" spans="2:19" x14ac:dyDescent="0.45">
      <c r="B7" t="s">
        <v>10</v>
      </c>
      <c r="C7" t="s">
        <v>116</v>
      </c>
      <c r="E7" t="s">
        <v>110</v>
      </c>
      <c r="M7" t="s">
        <v>10</v>
      </c>
      <c r="N7" t="s">
        <v>371</v>
      </c>
      <c r="O7" t="s">
        <v>327</v>
      </c>
      <c r="P7" t="s">
        <v>372</v>
      </c>
      <c r="Q7" t="s">
        <v>62</v>
      </c>
      <c r="R7" t="s">
        <v>63</v>
      </c>
      <c r="S7" t="s">
        <v>17</v>
      </c>
    </row>
    <row r="8" spans="2:19" x14ac:dyDescent="0.45">
      <c r="B8" t="s">
        <v>10</v>
      </c>
      <c r="C8" t="s">
        <v>119</v>
      </c>
      <c r="E8" t="s">
        <v>110</v>
      </c>
      <c r="M8" t="s">
        <v>10</v>
      </c>
      <c r="N8" t="s">
        <v>373</v>
      </c>
      <c r="O8" t="s">
        <v>327</v>
      </c>
      <c r="P8" t="s">
        <v>374</v>
      </c>
      <c r="Q8" t="s">
        <v>62</v>
      </c>
      <c r="R8" t="s">
        <v>63</v>
      </c>
      <c r="S8" t="s">
        <v>17</v>
      </c>
    </row>
    <row r="9" spans="2:19" x14ac:dyDescent="0.45">
      <c r="B9" t="s">
        <v>10</v>
      </c>
      <c r="C9" t="s">
        <v>122</v>
      </c>
      <c r="E9" t="s">
        <v>110</v>
      </c>
      <c r="M9" t="s">
        <v>10</v>
      </c>
      <c r="N9" t="s">
        <v>375</v>
      </c>
      <c r="O9" t="s">
        <v>327</v>
      </c>
      <c r="P9" t="s">
        <v>376</v>
      </c>
      <c r="Q9" t="s">
        <v>62</v>
      </c>
      <c r="R9" t="s">
        <v>63</v>
      </c>
      <c r="S9" t="s">
        <v>17</v>
      </c>
    </row>
    <row r="10" spans="2:19" x14ac:dyDescent="0.45">
      <c r="B10" t="s">
        <v>10</v>
      </c>
      <c r="C10" t="s">
        <v>125</v>
      </c>
      <c r="E10" t="s">
        <v>110</v>
      </c>
      <c r="M10" t="s">
        <v>10</v>
      </c>
      <c r="N10" t="s">
        <v>377</v>
      </c>
      <c r="O10" t="s">
        <v>327</v>
      </c>
      <c r="P10" t="s">
        <v>378</v>
      </c>
      <c r="Q10" t="s">
        <v>62</v>
      </c>
      <c r="R10" t="s">
        <v>63</v>
      </c>
      <c r="S10" t="s">
        <v>17</v>
      </c>
    </row>
    <row r="11" spans="2:19" x14ac:dyDescent="0.45">
      <c r="B11" t="s">
        <v>10</v>
      </c>
      <c r="C11" t="s">
        <v>128</v>
      </c>
      <c r="E11" t="s">
        <v>110</v>
      </c>
      <c r="M11" t="s">
        <v>10</v>
      </c>
      <c r="N11" t="s">
        <v>379</v>
      </c>
      <c r="O11" t="s">
        <v>327</v>
      </c>
      <c r="P11" t="s">
        <v>380</v>
      </c>
      <c r="Q11" t="s">
        <v>62</v>
      </c>
      <c r="R11" t="s">
        <v>63</v>
      </c>
      <c r="S11" t="s">
        <v>17</v>
      </c>
    </row>
    <row r="12" spans="2:19" x14ac:dyDescent="0.45">
      <c r="B12" t="s">
        <v>10</v>
      </c>
      <c r="C12" t="s">
        <v>131</v>
      </c>
      <c r="E12" t="s">
        <v>110</v>
      </c>
      <c r="M12" t="s">
        <v>10</v>
      </c>
      <c r="N12" t="s">
        <v>381</v>
      </c>
      <c r="O12" t="s">
        <v>327</v>
      </c>
      <c r="P12" t="s">
        <v>382</v>
      </c>
      <c r="Q12" t="s">
        <v>62</v>
      </c>
      <c r="R12" t="s">
        <v>63</v>
      </c>
      <c r="S12" t="s">
        <v>17</v>
      </c>
    </row>
    <row r="13" spans="2:19" x14ac:dyDescent="0.45">
      <c r="B13" t="s">
        <v>10</v>
      </c>
      <c r="C13" t="s">
        <v>134</v>
      </c>
      <c r="E13" t="s">
        <v>110</v>
      </c>
      <c r="M13" t="s">
        <v>10</v>
      </c>
      <c r="N13" t="s">
        <v>383</v>
      </c>
      <c r="O13" t="s">
        <v>327</v>
      </c>
      <c r="P13" t="s">
        <v>384</v>
      </c>
      <c r="Q13" t="s">
        <v>62</v>
      </c>
      <c r="R13" t="s">
        <v>63</v>
      </c>
      <c r="S13" t="s">
        <v>17</v>
      </c>
    </row>
    <row r="14" spans="2:19" x14ac:dyDescent="0.45">
      <c r="B14" t="s">
        <v>10</v>
      </c>
      <c r="C14" t="s">
        <v>137</v>
      </c>
      <c r="D14" t="s">
        <v>138</v>
      </c>
      <c r="E14" t="s">
        <v>110</v>
      </c>
      <c r="M14" t="s">
        <v>10</v>
      </c>
      <c r="N14" t="s">
        <v>385</v>
      </c>
      <c r="O14" t="s">
        <v>327</v>
      </c>
      <c r="P14" t="s">
        <v>386</v>
      </c>
      <c r="Q14" t="s">
        <v>62</v>
      </c>
      <c r="R14" t="s">
        <v>63</v>
      </c>
      <c r="S14" t="s">
        <v>17</v>
      </c>
    </row>
    <row r="15" spans="2:19" x14ac:dyDescent="0.45">
      <c r="B15" t="s">
        <v>10</v>
      </c>
      <c r="C15" t="s">
        <v>141</v>
      </c>
      <c r="D15" t="s">
        <v>142</v>
      </c>
      <c r="E15" t="s">
        <v>110</v>
      </c>
      <c r="M15" t="s">
        <v>10</v>
      </c>
      <c r="N15" t="s">
        <v>387</v>
      </c>
      <c r="O15" t="s">
        <v>327</v>
      </c>
      <c r="P15" t="s">
        <v>388</v>
      </c>
      <c r="Q15" t="s">
        <v>62</v>
      </c>
      <c r="R15" t="s">
        <v>63</v>
      </c>
      <c r="S15" t="s">
        <v>17</v>
      </c>
    </row>
    <row r="16" spans="2:19" x14ac:dyDescent="0.45">
      <c r="B16" t="s">
        <v>10</v>
      </c>
      <c r="C16" t="s">
        <v>62</v>
      </c>
      <c r="D16" t="s">
        <v>145</v>
      </c>
      <c r="E16" t="s">
        <v>110</v>
      </c>
      <c r="F16" t="s">
        <v>63</v>
      </c>
      <c r="G16" t="s">
        <v>62</v>
      </c>
      <c r="I16" t="s">
        <v>146</v>
      </c>
      <c r="M16" t="s">
        <v>10</v>
      </c>
      <c r="N16" t="s">
        <v>389</v>
      </c>
      <c r="O16" t="s">
        <v>327</v>
      </c>
      <c r="P16" t="s">
        <v>390</v>
      </c>
      <c r="Q16" t="s">
        <v>62</v>
      </c>
      <c r="R16" t="s">
        <v>63</v>
      </c>
      <c r="S16" t="s">
        <v>17</v>
      </c>
    </row>
    <row r="17" spans="2:19" x14ac:dyDescent="0.45">
      <c r="B17" t="s">
        <v>10</v>
      </c>
      <c r="C17" t="s">
        <v>149</v>
      </c>
      <c r="D17" t="s">
        <v>150</v>
      </c>
      <c r="E17" t="s">
        <v>110</v>
      </c>
      <c r="F17" t="s">
        <v>15</v>
      </c>
      <c r="G17" t="s">
        <v>14</v>
      </c>
      <c r="M17" t="s">
        <v>10</v>
      </c>
      <c r="N17" t="s">
        <v>391</v>
      </c>
      <c r="O17" t="s">
        <v>327</v>
      </c>
      <c r="P17" t="s">
        <v>392</v>
      </c>
      <c r="Q17" t="s">
        <v>62</v>
      </c>
      <c r="R17" t="s">
        <v>63</v>
      </c>
      <c r="S17" t="s">
        <v>17</v>
      </c>
    </row>
    <row r="18" spans="2:19" x14ac:dyDescent="0.45">
      <c r="B18" t="s">
        <v>153</v>
      </c>
      <c r="C18" t="s">
        <v>154</v>
      </c>
      <c r="D18" t="s">
        <v>155</v>
      </c>
      <c r="E18" t="s">
        <v>110</v>
      </c>
      <c r="M18" t="s">
        <v>10</v>
      </c>
      <c r="N18" t="s">
        <v>393</v>
      </c>
      <c r="O18" t="s">
        <v>327</v>
      </c>
      <c r="P18" t="s">
        <v>394</v>
      </c>
      <c r="Q18" t="s">
        <v>62</v>
      </c>
      <c r="R18" t="s">
        <v>63</v>
      </c>
      <c r="S18" t="s">
        <v>17</v>
      </c>
    </row>
    <row r="19" spans="2:19" x14ac:dyDescent="0.45">
      <c r="B19" t="s">
        <v>153</v>
      </c>
      <c r="C19" t="s">
        <v>158</v>
      </c>
      <c r="D19" t="s">
        <v>159</v>
      </c>
      <c r="E19" t="s">
        <v>110</v>
      </c>
      <c r="M19" t="s">
        <v>10</v>
      </c>
      <c r="N19" t="s">
        <v>395</v>
      </c>
      <c r="O19" t="s">
        <v>327</v>
      </c>
      <c r="P19" t="s">
        <v>396</v>
      </c>
      <c r="Q19" t="s">
        <v>62</v>
      </c>
      <c r="R19" t="s">
        <v>63</v>
      </c>
      <c r="S19" t="s">
        <v>17</v>
      </c>
    </row>
    <row r="20" spans="2:19" x14ac:dyDescent="0.45">
      <c r="B20" t="s">
        <v>153</v>
      </c>
      <c r="C20" t="s">
        <v>162</v>
      </c>
      <c r="D20" t="s">
        <v>163</v>
      </c>
      <c r="E20" t="s">
        <v>110</v>
      </c>
      <c r="M20" t="s">
        <v>10</v>
      </c>
      <c r="N20" t="s">
        <v>397</v>
      </c>
      <c r="O20" t="s">
        <v>327</v>
      </c>
      <c r="P20" t="s">
        <v>398</v>
      </c>
      <c r="Q20" t="s">
        <v>62</v>
      </c>
      <c r="R20" t="s">
        <v>63</v>
      </c>
      <c r="S20" t="s">
        <v>17</v>
      </c>
    </row>
    <row r="21" spans="2:19" x14ac:dyDescent="0.45">
      <c r="B21" t="s">
        <v>153</v>
      </c>
      <c r="C21" t="s">
        <v>166</v>
      </c>
      <c r="D21" t="s">
        <v>167</v>
      </c>
      <c r="E21" t="s">
        <v>110</v>
      </c>
      <c r="M21" t="s">
        <v>10</v>
      </c>
      <c r="N21" t="s">
        <v>399</v>
      </c>
      <c r="O21" t="s">
        <v>327</v>
      </c>
      <c r="P21" t="s">
        <v>400</v>
      </c>
      <c r="Q21" t="s">
        <v>62</v>
      </c>
      <c r="R21" t="s">
        <v>63</v>
      </c>
      <c r="S21" t="s">
        <v>17</v>
      </c>
    </row>
    <row r="22" spans="2:19" x14ac:dyDescent="0.45">
      <c r="B22" t="s">
        <v>10</v>
      </c>
      <c r="C22" t="s">
        <v>170</v>
      </c>
      <c r="D22" t="s">
        <v>171</v>
      </c>
      <c r="E22" t="s">
        <v>110</v>
      </c>
      <c r="F22" t="s">
        <v>63</v>
      </c>
      <c r="G22" t="s">
        <v>62</v>
      </c>
      <c r="M22" t="s">
        <v>10</v>
      </c>
      <c r="N22" t="s">
        <v>401</v>
      </c>
      <c r="O22" t="s">
        <v>327</v>
      </c>
      <c r="P22" t="s">
        <v>402</v>
      </c>
      <c r="Q22" t="s">
        <v>62</v>
      </c>
      <c r="R22" t="s">
        <v>63</v>
      </c>
      <c r="S22" t="s">
        <v>17</v>
      </c>
    </row>
    <row r="23" spans="2:19" x14ac:dyDescent="0.45">
      <c r="B23" t="s">
        <v>153</v>
      </c>
      <c r="C23" t="s">
        <v>174</v>
      </c>
      <c r="D23" t="s">
        <v>175</v>
      </c>
      <c r="E23" t="s">
        <v>110</v>
      </c>
      <c r="M23" t="s">
        <v>10</v>
      </c>
      <c r="N23" t="s">
        <v>403</v>
      </c>
      <c r="O23" t="s">
        <v>327</v>
      </c>
      <c r="P23" t="s">
        <v>404</v>
      </c>
      <c r="Q23" t="s">
        <v>62</v>
      </c>
      <c r="R23" t="s">
        <v>63</v>
      </c>
      <c r="S23" t="s">
        <v>17</v>
      </c>
    </row>
    <row r="24" spans="2:19" x14ac:dyDescent="0.45">
      <c r="B24" t="s">
        <v>153</v>
      </c>
      <c r="C24" t="s">
        <v>178</v>
      </c>
      <c r="D24" t="s">
        <v>179</v>
      </c>
      <c r="E24" t="s">
        <v>110</v>
      </c>
      <c r="M24" t="s">
        <v>10</v>
      </c>
      <c r="N24" t="s">
        <v>405</v>
      </c>
      <c r="O24" t="s">
        <v>327</v>
      </c>
      <c r="P24" t="s">
        <v>406</v>
      </c>
      <c r="Q24" t="s">
        <v>62</v>
      </c>
      <c r="R24" t="s">
        <v>63</v>
      </c>
      <c r="S24" t="s">
        <v>17</v>
      </c>
    </row>
    <row r="25" spans="2:19" x14ac:dyDescent="0.45">
      <c r="B25" t="s">
        <v>182</v>
      </c>
      <c r="C25" t="s">
        <v>183</v>
      </c>
      <c r="D25" t="s">
        <v>184</v>
      </c>
      <c r="E25" t="s">
        <v>185</v>
      </c>
      <c r="M25" t="s">
        <v>10</v>
      </c>
      <c r="N25" t="s">
        <v>407</v>
      </c>
      <c r="O25" t="s">
        <v>327</v>
      </c>
      <c r="P25" t="s">
        <v>408</v>
      </c>
      <c r="Q25" t="s">
        <v>62</v>
      </c>
      <c r="R25" t="s">
        <v>63</v>
      </c>
      <c r="S25" t="s">
        <v>17</v>
      </c>
    </row>
    <row r="26" spans="2:19" x14ac:dyDescent="0.45">
      <c r="B26" t="s">
        <v>182</v>
      </c>
      <c r="C26" t="s">
        <v>188</v>
      </c>
      <c r="E26" t="s">
        <v>185</v>
      </c>
      <c r="M26" t="s">
        <v>10</v>
      </c>
      <c r="N26" t="s">
        <v>409</v>
      </c>
      <c r="O26" t="s">
        <v>327</v>
      </c>
      <c r="P26" t="s">
        <v>410</v>
      </c>
      <c r="Q26" t="s">
        <v>62</v>
      </c>
      <c r="R26" t="s">
        <v>63</v>
      </c>
      <c r="S26" t="s">
        <v>17</v>
      </c>
    </row>
    <row r="27" spans="2:19" x14ac:dyDescent="0.45">
      <c r="B27" t="s">
        <v>182</v>
      </c>
      <c r="C27" t="s">
        <v>191</v>
      </c>
      <c r="E27" t="s">
        <v>185</v>
      </c>
      <c r="M27" t="s">
        <v>10</v>
      </c>
      <c r="N27" t="s">
        <v>411</v>
      </c>
      <c r="O27" t="s">
        <v>327</v>
      </c>
      <c r="P27" t="s">
        <v>412</v>
      </c>
      <c r="Q27" t="s">
        <v>62</v>
      </c>
      <c r="R27" t="s">
        <v>63</v>
      </c>
      <c r="S27" t="s">
        <v>17</v>
      </c>
    </row>
    <row r="28" spans="2:19" x14ac:dyDescent="0.45">
      <c r="M28" t="s">
        <v>10</v>
      </c>
      <c r="N28" t="s">
        <v>413</v>
      </c>
      <c r="O28" t="s">
        <v>327</v>
      </c>
      <c r="P28" t="s">
        <v>414</v>
      </c>
      <c r="Q28" t="s">
        <v>62</v>
      </c>
      <c r="R28" t="s">
        <v>63</v>
      </c>
      <c r="S28" t="s">
        <v>17</v>
      </c>
    </row>
    <row r="29" spans="2:19" x14ac:dyDescent="0.45">
      <c r="M29" t="s">
        <v>10</v>
      </c>
      <c r="N29" t="s">
        <v>415</v>
      </c>
      <c r="O29" t="s">
        <v>327</v>
      </c>
      <c r="P29" t="s">
        <v>416</v>
      </c>
      <c r="Q29" t="s">
        <v>62</v>
      </c>
      <c r="R29" t="s">
        <v>63</v>
      </c>
      <c r="S29" t="s">
        <v>17</v>
      </c>
    </row>
    <row r="30" spans="2:19" ht="17.649999999999999" thickBot="1" x14ac:dyDescent="0.6">
      <c r="B30" s="5" t="s">
        <v>198</v>
      </c>
      <c r="C30" s="6"/>
      <c r="D30" s="6"/>
      <c r="M30" t="s">
        <v>10</v>
      </c>
      <c r="N30" t="s">
        <v>417</v>
      </c>
      <c r="O30" t="s">
        <v>327</v>
      </c>
      <c r="P30" t="s">
        <v>418</v>
      </c>
      <c r="Q30" t="s">
        <v>62</v>
      </c>
      <c r="R30" t="s">
        <v>63</v>
      </c>
      <c r="S30" t="s">
        <v>17</v>
      </c>
    </row>
    <row r="31" spans="2:19" ht="15" thickTop="1" thickBot="1" x14ac:dyDescent="0.5">
      <c r="B31" s="8" t="s">
        <v>201</v>
      </c>
      <c r="C31" s="8" t="s">
        <v>202</v>
      </c>
      <c r="D31" s="8" t="s">
        <v>203</v>
      </c>
      <c r="M31" t="s">
        <v>10</v>
      </c>
      <c r="N31" t="s">
        <v>419</v>
      </c>
      <c r="O31" t="s">
        <v>327</v>
      </c>
      <c r="P31" t="s">
        <v>420</v>
      </c>
      <c r="Q31" t="s">
        <v>62</v>
      </c>
      <c r="R31" t="s">
        <v>63</v>
      </c>
      <c r="S31" t="s">
        <v>17</v>
      </c>
    </row>
    <row r="32" spans="2:19" x14ac:dyDescent="0.45">
      <c r="B32" t="s">
        <v>206</v>
      </c>
      <c r="C32" t="s">
        <v>207</v>
      </c>
      <c r="D32" t="s">
        <v>208</v>
      </c>
      <c r="M32" t="s">
        <v>10</v>
      </c>
      <c r="N32" t="s">
        <v>421</v>
      </c>
      <c r="O32" t="s">
        <v>327</v>
      </c>
      <c r="P32" t="s">
        <v>422</v>
      </c>
      <c r="Q32" t="s">
        <v>62</v>
      </c>
      <c r="R32" t="s">
        <v>63</v>
      </c>
      <c r="S32" t="s">
        <v>17</v>
      </c>
    </row>
    <row r="33" spans="2:19" x14ac:dyDescent="0.45">
      <c r="M33" t="s">
        <v>10</v>
      </c>
      <c r="N33" t="s">
        <v>423</v>
      </c>
      <c r="O33" t="s">
        <v>327</v>
      </c>
      <c r="P33" t="s">
        <v>424</v>
      </c>
      <c r="Q33" t="s">
        <v>62</v>
      </c>
      <c r="R33" t="s">
        <v>63</v>
      </c>
      <c r="S33" t="s">
        <v>17</v>
      </c>
    </row>
    <row r="34" spans="2:19" x14ac:dyDescent="0.45">
      <c r="M34" t="s">
        <v>10</v>
      </c>
      <c r="N34" t="s">
        <v>425</v>
      </c>
      <c r="O34" t="s">
        <v>327</v>
      </c>
      <c r="P34" t="s">
        <v>426</v>
      </c>
      <c r="Q34" t="s">
        <v>62</v>
      </c>
      <c r="R34" t="s">
        <v>63</v>
      </c>
      <c r="S34" t="s">
        <v>17</v>
      </c>
    </row>
    <row r="35" spans="2:19" x14ac:dyDescent="0.45">
      <c r="M35" t="s">
        <v>10</v>
      </c>
      <c r="N35" t="s">
        <v>427</v>
      </c>
      <c r="O35" t="s">
        <v>327</v>
      </c>
      <c r="P35" t="s">
        <v>428</v>
      </c>
      <c r="Q35" t="s">
        <v>62</v>
      </c>
      <c r="R35" t="s">
        <v>63</v>
      </c>
      <c r="S35" t="s">
        <v>17</v>
      </c>
    </row>
    <row r="36" spans="2:19" x14ac:dyDescent="0.45">
      <c r="M36" t="s">
        <v>10</v>
      </c>
      <c r="N36" t="s">
        <v>429</v>
      </c>
      <c r="O36" t="s">
        <v>327</v>
      </c>
      <c r="P36" t="s">
        <v>430</v>
      </c>
      <c r="Q36" t="s">
        <v>62</v>
      </c>
      <c r="R36" t="s">
        <v>63</v>
      </c>
      <c r="S36" t="s">
        <v>17</v>
      </c>
    </row>
    <row r="37" spans="2:19" x14ac:dyDescent="0.45">
      <c r="M37" t="s">
        <v>10</v>
      </c>
      <c r="N37" t="s">
        <v>431</v>
      </c>
      <c r="O37" t="s">
        <v>327</v>
      </c>
      <c r="P37" t="s">
        <v>432</v>
      </c>
      <c r="Q37" t="s">
        <v>62</v>
      </c>
      <c r="R37" t="s">
        <v>63</v>
      </c>
      <c r="S37" t="s">
        <v>17</v>
      </c>
    </row>
    <row r="38" spans="2:19" ht="17.649999999999999" thickBot="1" x14ac:dyDescent="0.6">
      <c r="B38" s="5" t="s">
        <v>106</v>
      </c>
      <c r="C38" s="6"/>
      <c r="D38" s="6"/>
      <c r="M38" t="s">
        <v>10</v>
      </c>
      <c r="N38" t="s">
        <v>433</v>
      </c>
      <c r="O38" t="s">
        <v>327</v>
      </c>
      <c r="P38" t="s">
        <v>434</v>
      </c>
      <c r="Q38" t="s">
        <v>62</v>
      </c>
      <c r="R38" t="s">
        <v>63</v>
      </c>
      <c r="S38" t="s">
        <v>17</v>
      </c>
    </row>
    <row r="39" spans="2:19" ht="15" thickTop="1" thickBot="1" x14ac:dyDescent="0.5">
      <c r="B39" s="8" t="s">
        <v>2</v>
      </c>
      <c r="C39" s="8" t="s">
        <v>3</v>
      </c>
      <c r="D39" s="8" t="s">
        <v>5</v>
      </c>
      <c r="E39" s="8" t="s">
        <v>9</v>
      </c>
      <c r="F39" s="8" t="s">
        <v>7</v>
      </c>
      <c r="G39" s="8" t="s">
        <v>223</v>
      </c>
      <c r="M39" t="s">
        <v>10</v>
      </c>
      <c r="N39" t="s">
        <v>435</v>
      </c>
      <c r="O39" t="s">
        <v>327</v>
      </c>
      <c r="P39" t="s">
        <v>436</v>
      </c>
      <c r="Q39" t="s">
        <v>62</v>
      </c>
      <c r="R39" t="s">
        <v>63</v>
      </c>
      <c r="S39" t="s">
        <v>17</v>
      </c>
    </row>
    <row r="40" spans="2:19" x14ac:dyDescent="0.45">
      <c r="B40" t="s">
        <v>10</v>
      </c>
      <c r="C40" t="s">
        <v>226</v>
      </c>
      <c r="D40" t="s">
        <v>227</v>
      </c>
      <c r="E40" t="s">
        <v>228</v>
      </c>
      <c r="F40" t="s">
        <v>229</v>
      </c>
      <c r="G40" t="s">
        <v>62</v>
      </c>
      <c r="M40" t="s">
        <v>10</v>
      </c>
      <c r="N40" t="s">
        <v>437</v>
      </c>
      <c r="O40" t="s">
        <v>327</v>
      </c>
      <c r="P40" t="s">
        <v>438</v>
      </c>
      <c r="Q40" t="s">
        <v>62</v>
      </c>
      <c r="R40" t="s">
        <v>63</v>
      </c>
      <c r="S40" t="s">
        <v>17</v>
      </c>
    </row>
    <row r="41" spans="2:19" x14ac:dyDescent="0.45">
      <c r="C41" t="s">
        <v>232</v>
      </c>
      <c r="D41" t="s">
        <v>233</v>
      </c>
      <c r="E41" t="s">
        <v>228</v>
      </c>
      <c r="F41" t="s">
        <v>229</v>
      </c>
      <c r="G41" t="s">
        <v>62</v>
      </c>
      <c r="M41" t="s">
        <v>10</v>
      </c>
      <c r="N41" t="s">
        <v>439</v>
      </c>
      <c r="O41" t="s">
        <v>327</v>
      </c>
      <c r="P41" t="s">
        <v>440</v>
      </c>
      <c r="Q41" t="s">
        <v>62</v>
      </c>
      <c r="R41" t="s">
        <v>63</v>
      </c>
      <c r="S41" t="s">
        <v>17</v>
      </c>
    </row>
    <row r="42" spans="2:19" x14ac:dyDescent="0.45">
      <c r="C42" t="s">
        <v>236</v>
      </c>
      <c r="D42" t="s">
        <v>237</v>
      </c>
      <c r="E42" t="s">
        <v>228</v>
      </c>
      <c r="F42" t="s">
        <v>229</v>
      </c>
      <c r="G42" t="s">
        <v>62</v>
      </c>
      <c r="M42" t="s">
        <v>10</v>
      </c>
      <c r="N42" t="s">
        <v>441</v>
      </c>
      <c r="O42" t="s">
        <v>327</v>
      </c>
      <c r="P42" t="s">
        <v>442</v>
      </c>
      <c r="Q42" t="s">
        <v>62</v>
      </c>
      <c r="R42" t="s">
        <v>63</v>
      </c>
      <c r="S42" t="s">
        <v>17</v>
      </c>
    </row>
    <row r="43" spans="2:19" x14ac:dyDescent="0.45">
      <c r="B43" t="s">
        <v>182</v>
      </c>
      <c r="C43" t="s">
        <v>240</v>
      </c>
      <c r="D43" t="s">
        <v>241</v>
      </c>
      <c r="E43" t="s">
        <v>228</v>
      </c>
      <c r="F43" t="s">
        <v>229</v>
      </c>
    </row>
    <row r="44" spans="2:19" x14ac:dyDescent="0.45">
      <c r="C44" t="s">
        <v>244</v>
      </c>
      <c r="D44" t="s">
        <v>245</v>
      </c>
      <c r="E44" t="s">
        <v>246</v>
      </c>
      <c r="F44" t="s">
        <v>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E84E-9789-4431-A0F9-FC30C62B8DD2}">
  <dimension ref="B2:H5"/>
  <sheetViews>
    <sheetView workbookViewId="0"/>
  </sheetViews>
  <sheetFormatPr defaultRowHeight="14.25" x14ac:dyDescent="0.4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 x14ac:dyDescent="0.45">
      <c r="B2" t="s">
        <v>443</v>
      </c>
      <c r="F2" t="s">
        <v>444</v>
      </c>
    </row>
    <row r="3" spans="2:8" x14ac:dyDescent="0.45">
      <c r="B3" t="s">
        <v>445</v>
      </c>
      <c r="C3" t="s">
        <v>446</v>
      </c>
      <c r="F3" t="s">
        <v>447</v>
      </c>
      <c r="G3" t="s">
        <v>448</v>
      </c>
      <c r="H3" t="s">
        <v>449</v>
      </c>
    </row>
    <row r="4" spans="2:8" x14ac:dyDescent="0.45">
      <c r="B4" t="s">
        <v>609</v>
      </c>
      <c r="C4" t="s">
        <v>12</v>
      </c>
      <c r="F4" t="s">
        <v>450</v>
      </c>
      <c r="H4" t="s">
        <v>451</v>
      </c>
    </row>
    <row r="5" spans="2:8" x14ac:dyDescent="0.45">
      <c r="C5" t="s">
        <v>327</v>
      </c>
      <c r="F5" t="s">
        <v>452</v>
      </c>
      <c r="H5" t="s">
        <v>453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3693-C6A0-4A07-9365-51958661BD75}">
  <dimension ref="B3:G33"/>
  <sheetViews>
    <sheetView workbookViewId="0"/>
  </sheetViews>
  <sheetFormatPr defaultColWidth="11.3984375" defaultRowHeight="12.75" x14ac:dyDescent="0.35"/>
  <cols>
    <col min="1" max="1" width="9.1328125" style="10" customWidth="1"/>
    <col min="2" max="2" width="11.86328125" style="10" bestFit="1" customWidth="1"/>
    <col min="3" max="3" width="11.3984375" style="10"/>
    <col min="4" max="4" width="14.1328125" style="10" bestFit="1" customWidth="1"/>
    <col min="5" max="5" width="9.86328125" style="10" bestFit="1" customWidth="1"/>
    <col min="6" max="7" width="10.86328125" style="10" bestFit="1" customWidth="1"/>
    <col min="8" max="16384" width="11.3984375" style="10"/>
  </cols>
  <sheetData>
    <row r="3" spans="2:7" x14ac:dyDescent="0.35">
      <c r="B3" s="10" t="s">
        <v>454</v>
      </c>
    </row>
    <row r="4" spans="2:7" x14ac:dyDescent="0.35">
      <c r="B4" s="10">
        <v>2022</v>
      </c>
    </row>
    <row r="7" spans="2:7" x14ac:dyDescent="0.35">
      <c r="B7" s="10" t="s">
        <v>455</v>
      </c>
    </row>
    <row r="8" spans="2:7" x14ac:dyDescent="0.35">
      <c r="B8" s="10" t="s">
        <v>456</v>
      </c>
    </row>
    <row r="11" spans="2:7" x14ac:dyDescent="0.35">
      <c r="B11" s="10" t="s">
        <v>457</v>
      </c>
      <c r="D11" s="10" t="s">
        <v>458</v>
      </c>
    </row>
    <row r="12" spans="2:7" ht="14.25" x14ac:dyDescent="0.45">
      <c r="B12" s="11" t="s">
        <v>456</v>
      </c>
      <c r="D12" s="12" t="s">
        <v>459</v>
      </c>
      <c r="E12" s="12" t="str">
        <f>"msy"&amp;COUNT(E14:E46)&amp;"_"&amp;MAX(E14:E46)</f>
        <v>msy7_2050</v>
      </c>
      <c r="F12" s="12" t="str">
        <f t="shared" ref="F12:G12" si="0">"msy"&amp;COUNT(F14:F45)&amp;"_"&amp;MAX(F14:F45)</f>
        <v>msy6_2050</v>
      </c>
      <c r="G12" s="12" t="str">
        <f t="shared" si="0"/>
        <v>msy5_2050</v>
      </c>
    </row>
    <row r="13" spans="2:7" ht="14.25" x14ac:dyDescent="0.45">
      <c r="B13" s="13">
        <v>1</v>
      </c>
      <c r="D13" s="10" t="s">
        <v>460</v>
      </c>
    </row>
    <row r="14" spans="2:7" ht="14.25" x14ac:dyDescent="0.45">
      <c r="B14" s="13">
        <v>5</v>
      </c>
      <c r="D14" s="10" t="s">
        <v>461</v>
      </c>
      <c r="E14" s="10">
        <f t="shared" ref="E14:G14" si="1">$B$4</f>
        <v>2022</v>
      </c>
      <c r="F14" s="10">
        <f t="shared" si="1"/>
        <v>2022</v>
      </c>
      <c r="G14" s="10">
        <f t="shared" si="1"/>
        <v>2022</v>
      </c>
    </row>
    <row r="15" spans="2:7" ht="14.25" x14ac:dyDescent="0.45">
      <c r="B15" s="13">
        <v>5</v>
      </c>
      <c r="D15" s="10" t="s">
        <v>461</v>
      </c>
      <c r="E15" s="10">
        <f>E14+3</f>
        <v>2025</v>
      </c>
      <c r="F15" s="10">
        <f>F14+3</f>
        <v>2025</v>
      </c>
      <c r="G15" s="10">
        <f>G14+3</f>
        <v>2025</v>
      </c>
    </row>
    <row r="16" spans="2:7" ht="14.25" x14ac:dyDescent="0.45">
      <c r="B16" s="13">
        <v>10</v>
      </c>
      <c r="D16" s="10" t="s">
        <v>461</v>
      </c>
      <c r="E16" s="10">
        <f>E15+5</f>
        <v>2030</v>
      </c>
      <c r="F16" s="10">
        <f>F15+5</f>
        <v>2030</v>
      </c>
      <c r="G16" s="10">
        <f>G15+5</f>
        <v>2030</v>
      </c>
    </row>
    <row r="17" spans="2:7" ht="14.25" x14ac:dyDescent="0.45">
      <c r="B17" s="13">
        <v>10</v>
      </c>
      <c r="D17" s="10" t="s">
        <v>461</v>
      </c>
      <c r="E17" s="10">
        <f t="shared" ref="E17:E20" si="2">E16+5</f>
        <v>2035</v>
      </c>
      <c r="F17" s="10">
        <f>F16+5</f>
        <v>2035</v>
      </c>
      <c r="G17" s="10">
        <f>G16+10</f>
        <v>2040</v>
      </c>
    </row>
    <row r="18" spans="2:7" ht="14.25" x14ac:dyDescent="0.45">
      <c r="B18" s="13">
        <v>10</v>
      </c>
      <c r="D18" s="10" t="s">
        <v>461</v>
      </c>
      <c r="E18" s="10">
        <f t="shared" si="2"/>
        <v>2040</v>
      </c>
      <c r="F18" s="10">
        <f>F17+5</f>
        <v>2040</v>
      </c>
      <c r="G18" s="10">
        <f t="shared" ref="G18" si="3">G17+10</f>
        <v>2050</v>
      </c>
    </row>
    <row r="19" spans="2:7" ht="14.25" x14ac:dyDescent="0.45">
      <c r="B19" s="13">
        <v>10</v>
      </c>
      <c r="D19" s="10" t="s">
        <v>461</v>
      </c>
      <c r="E19" s="10">
        <f t="shared" si="2"/>
        <v>2045</v>
      </c>
      <c r="F19" s="10">
        <f>F18+10</f>
        <v>2050</v>
      </c>
    </row>
    <row r="20" spans="2:7" ht="14.25" x14ac:dyDescent="0.45">
      <c r="B20" s="13">
        <v>10</v>
      </c>
      <c r="D20" s="10" t="s">
        <v>461</v>
      </c>
      <c r="E20" s="10">
        <f t="shared" si="2"/>
        <v>2050</v>
      </c>
    </row>
    <row r="21" spans="2:7" ht="14.25" x14ac:dyDescent="0.45">
      <c r="B21" s="13">
        <v>10</v>
      </c>
      <c r="D21" s="10" t="s">
        <v>461</v>
      </c>
    </row>
    <row r="22" spans="2:7" ht="14.25" x14ac:dyDescent="0.45">
      <c r="B22" s="13">
        <v>10</v>
      </c>
      <c r="D22" s="10" t="s">
        <v>461</v>
      </c>
    </row>
    <row r="23" spans="2:7" ht="14.25" x14ac:dyDescent="0.45">
      <c r="B23" s="13">
        <v>10</v>
      </c>
      <c r="D23" s="10" t="s">
        <v>461</v>
      </c>
    </row>
    <row r="24" spans="2:7" ht="14.25" x14ac:dyDescent="0.45">
      <c r="B24" s="13">
        <v>10</v>
      </c>
      <c r="D24" s="10" t="s">
        <v>461</v>
      </c>
    </row>
    <row r="25" spans="2:7" ht="14.25" x14ac:dyDescent="0.45">
      <c r="B25" s="13"/>
      <c r="D25" s="10" t="s">
        <v>461</v>
      </c>
    </row>
    <row r="26" spans="2:7" ht="14.25" x14ac:dyDescent="0.45">
      <c r="B26" s="13"/>
      <c r="D26" s="10" t="s">
        <v>461</v>
      </c>
    </row>
    <row r="27" spans="2:7" ht="14.25" x14ac:dyDescent="0.45">
      <c r="B27" s="13"/>
      <c r="D27" s="10" t="s">
        <v>461</v>
      </c>
    </row>
    <row r="28" spans="2:7" ht="14.25" x14ac:dyDescent="0.45">
      <c r="B28" s="13"/>
      <c r="D28" s="10" t="s">
        <v>461</v>
      </c>
    </row>
    <row r="29" spans="2:7" ht="14.25" x14ac:dyDescent="0.45">
      <c r="B29" s="13"/>
      <c r="D29" s="10" t="s">
        <v>461</v>
      </c>
    </row>
    <row r="30" spans="2:7" ht="14.25" x14ac:dyDescent="0.45">
      <c r="B30" s="13"/>
    </row>
    <row r="31" spans="2:7" ht="14.25" x14ac:dyDescent="0.45">
      <c r="B31" s="13"/>
    </row>
    <row r="32" spans="2:7" ht="14.25" x14ac:dyDescent="0.45">
      <c r="B32" s="13"/>
    </row>
    <row r="33" spans="2:2" ht="14.25" x14ac:dyDescent="0.45">
      <c r="B33" s="1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C43F-A704-41BB-B1FA-406EF136B453}">
  <dimension ref="B1:N42"/>
  <sheetViews>
    <sheetView zoomScaleNormal="100" workbookViewId="0"/>
  </sheetViews>
  <sheetFormatPr defaultColWidth="11.3984375" defaultRowHeight="11.65" x14ac:dyDescent="0.35"/>
  <cols>
    <col min="1" max="1" width="11.3984375" style="15"/>
    <col min="2" max="2" width="8.6640625" style="15" bestFit="1" customWidth="1"/>
    <col min="3" max="3" width="6.1328125" style="15" bestFit="1" customWidth="1"/>
    <col min="4" max="4" width="9.46484375" style="15" bestFit="1" customWidth="1"/>
    <col min="5" max="5" width="4.33203125" style="15" bestFit="1" customWidth="1"/>
    <col min="6" max="6" width="7.46484375" style="15" bestFit="1" customWidth="1"/>
    <col min="7" max="7" width="7.9296875" style="15" bestFit="1" customWidth="1"/>
    <col min="8" max="8" width="5.9296875" style="15" bestFit="1" customWidth="1"/>
    <col min="9" max="9" width="6.1328125" style="15" bestFit="1" customWidth="1"/>
    <col min="10" max="10" width="6.265625" style="15" bestFit="1" customWidth="1"/>
    <col min="11" max="11" width="5.53125" style="15" bestFit="1" customWidth="1"/>
    <col min="12" max="12" width="5.73046875" style="15" bestFit="1" customWidth="1"/>
    <col min="13" max="16384" width="11.3984375" style="15"/>
  </cols>
  <sheetData>
    <row r="1" spans="2:12" ht="12.75" x14ac:dyDescent="0.35">
      <c r="B1" s="10"/>
      <c r="C1" s="14"/>
    </row>
    <row r="2" spans="2:12" ht="12.75" x14ac:dyDescent="0.35">
      <c r="B2" s="16"/>
      <c r="C2" s="17"/>
      <c r="D2" s="17"/>
      <c r="E2" s="17"/>
      <c r="F2" s="17"/>
      <c r="G2" s="17"/>
      <c r="H2" s="17"/>
      <c r="I2" s="17"/>
      <c r="J2" s="17"/>
    </row>
    <row r="3" spans="2:12" ht="12.75" x14ac:dyDescent="0.35">
      <c r="B3" s="17"/>
      <c r="C3" s="17"/>
      <c r="D3" s="17"/>
      <c r="E3" s="10"/>
      <c r="F3" s="10"/>
      <c r="G3" s="10"/>
      <c r="H3" s="17"/>
      <c r="I3" s="17"/>
      <c r="J3" s="17"/>
    </row>
    <row r="4" spans="2:12" x14ac:dyDescent="0.35">
      <c r="B4" s="18" t="s">
        <v>462</v>
      </c>
      <c r="G4" s="18"/>
      <c r="H4" s="18"/>
      <c r="I4" s="18"/>
    </row>
    <row r="5" spans="2:12" x14ac:dyDescent="0.35">
      <c r="B5" s="19" t="s">
        <v>463</v>
      </c>
      <c r="C5" s="19" t="s">
        <v>464</v>
      </c>
      <c r="D5" s="19" t="s">
        <v>465</v>
      </c>
      <c r="E5" s="19" t="s">
        <v>466</v>
      </c>
      <c r="F5" s="19" t="s">
        <v>467</v>
      </c>
      <c r="G5" s="19" t="s">
        <v>468</v>
      </c>
      <c r="H5" s="19" t="s">
        <v>469</v>
      </c>
      <c r="I5" s="19" t="s">
        <v>470</v>
      </c>
      <c r="J5" s="19" t="s">
        <v>471</v>
      </c>
      <c r="K5" s="19" t="s">
        <v>472</v>
      </c>
      <c r="L5" s="19" t="s">
        <v>473</v>
      </c>
    </row>
    <row r="6" spans="2:12" x14ac:dyDescent="0.35">
      <c r="D6" s="15" t="s">
        <v>474</v>
      </c>
      <c r="E6" s="15">
        <v>0</v>
      </c>
      <c r="F6" s="15">
        <v>3</v>
      </c>
    </row>
    <row r="7" spans="2:12" x14ac:dyDescent="0.35">
      <c r="D7" s="15" t="s">
        <v>475</v>
      </c>
      <c r="E7" s="15">
        <v>0</v>
      </c>
      <c r="F7" s="15">
        <v>3</v>
      </c>
    </row>
    <row r="8" spans="2:12" x14ac:dyDescent="0.35">
      <c r="D8" s="15" t="s">
        <v>476</v>
      </c>
      <c r="E8" s="15">
        <v>0</v>
      </c>
      <c r="F8" s="15">
        <v>3</v>
      </c>
    </row>
    <row r="9" spans="2:12" x14ac:dyDescent="0.35">
      <c r="D9" s="15" t="s">
        <v>477</v>
      </c>
      <c r="E9" s="15">
        <v>0</v>
      </c>
      <c r="F9" s="15">
        <v>3</v>
      </c>
    </row>
    <row r="10" spans="2:12" x14ac:dyDescent="0.35">
      <c r="D10" s="15" t="s">
        <v>478</v>
      </c>
      <c r="E10" s="15">
        <v>0</v>
      </c>
      <c r="F10" s="15">
        <v>5</v>
      </c>
    </row>
    <row r="11" spans="2:12" x14ac:dyDescent="0.35">
      <c r="D11" s="15" t="s">
        <v>479</v>
      </c>
      <c r="E11" s="15">
        <v>0</v>
      </c>
      <c r="F11" s="15">
        <v>3</v>
      </c>
    </row>
    <row r="14" spans="2:12" x14ac:dyDescent="0.35">
      <c r="B14" s="18" t="s">
        <v>480</v>
      </c>
      <c r="G14" s="18"/>
      <c r="H14" s="18"/>
      <c r="I14" s="18"/>
    </row>
    <row r="15" spans="2:12" x14ac:dyDescent="0.35">
      <c r="B15" s="19" t="s">
        <v>463</v>
      </c>
      <c r="C15" s="19" t="s">
        <v>464</v>
      </c>
      <c r="D15" s="19" t="s">
        <v>465</v>
      </c>
      <c r="E15" s="19" t="s">
        <v>481</v>
      </c>
      <c r="F15" s="19" t="s">
        <v>467</v>
      </c>
      <c r="G15" s="19" t="s">
        <v>482</v>
      </c>
      <c r="H15" s="19" t="s">
        <v>469</v>
      </c>
      <c r="I15" s="19" t="s">
        <v>470</v>
      </c>
    </row>
    <row r="16" spans="2:12" x14ac:dyDescent="0.35">
      <c r="D16" s="15" t="s">
        <v>483</v>
      </c>
      <c r="F16" s="15">
        <v>2222</v>
      </c>
      <c r="G16" s="15" t="s">
        <v>484</v>
      </c>
    </row>
    <row r="17" spans="2:14" x14ac:dyDescent="0.35">
      <c r="D17" s="15" t="s">
        <v>483</v>
      </c>
      <c r="F17" s="15">
        <v>8888</v>
      </c>
      <c r="G17" s="15" t="s">
        <v>485</v>
      </c>
    </row>
    <row r="18" spans="2:14" ht="12.75" x14ac:dyDescent="0.35">
      <c r="B18" s="17"/>
      <c r="C18" s="17"/>
      <c r="D18" s="15" t="s">
        <v>486</v>
      </c>
      <c r="F18" s="15">
        <v>8888</v>
      </c>
      <c r="G18" s="15" t="s">
        <v>487</v>
      </c>
      <c r="H18" s="17"/>
      <c r="I18" s="17"/>
      <c r="J18" s="17"/>
    </row>
    <row r="19" spans="2:14" ht="12.75" x14ac:dyDescent="0.35">
      <c r="B19" s="17"/>
      <c r="C19" s="17"/>
      <c r="D19" s="17"/>
      <c r="E19" s="17"/>
      <c r="F19" s="17"/>
      <c r="G19" s="17"/>
      <c r="H19" s="17"/>
      <c r="I19" s="17"/>
      <c r="J19" s="17"/>
    </row>
    <row r="20" spans="2:14" ht="12.75" x14ac:dyDescent="0.35">
      <c r="B20" s="17"/>
      <c r="C20" s="17"/>
      <c r="D20" s="17"/>
      <c r="E20" s="17"/>
      <c r="F20" s="17"/>
      <c r="G20" s="17"/>
      <c r="H20" s="17"/>
      <c r="I20" s="17"/>
      <c r="J20" s="17"/>
    </row>
    <row r="21" spans="2:14" ht="14.25" x14ac:dyDescent="0.4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 x14ac:dyDescent="0.4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 x14ac:dyDescent="0.4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 x14ac:dyDescent="0.4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 x14ac:dyDescent="0.4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 x14ac:dyDescent="0.4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 x14ac:dyDescent="0.4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 x14ac:dyDescent="0.4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 x14ac:dyDescent="0.4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 x14ac:dyDescent="0.4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 x14ac:dyDescent="0.4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 x14ac:dyDescent="0.4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 x14ac:dyDescent="0.4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 x14ac:dyDescent="0.4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 x14ac:dyDescent="0.4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 x14ac:dyDescent="0.4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 x14ac:dyDescent="0.4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 x14ac:dyDescent="0.4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 x14ac:dyDescent="0.4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 x14ac:dyDescent="0.4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 x14ac:dyDescent="0.4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 x14ac:dyDescent="0.4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718D-CC74-4D7B-9197-D99A82063DE2}">
  <dimension ref="A2:N102"/>
  <sheetViews>
    <sheetView workbookViewId="0"/>
  </sheetViews>
  <sheetFormatPr defaultColWidth="11.3984375" defaultRowHeight="11.65" x14ac:dyDescent="0.35"/>
  <cols>
    <col min="1" max="1" width="11.3984375" style="15"/>
    <col min="2" max="2" width="12.73046875" style="15" bestFit="1" customWidth="1"/>
    <col min="3" max="4" width="11.3984375" style="15"/>
    <col min="5" max="5" width="13.53125" style="15" bestFit="1" customWidth="1"/>
    <col min="6" max="6" width="10.59765625" style="15" bestFit="1" customWidth="1"/>
    <col min="7" max="7" width="12.33203125" style="15" bestFit="1" customWidth="1"/>
    <col min="8" max="8" width="8.3984375" style="15" bestFit="1" customWidth="1"/>
    <col min="9" max="9" width="5.9296875" style="15" bestFit="1" customWidth="1"/>
    <col min="10" max="10" width="7.6640625" style="15" bestFit="1" customWidth="1"/>
    <col min="11" max="11" width="11.3984375" style="15"/>
    <col min="12" max="12" width="17.19921875" style="15" bestFit="1" customWidth="1"/>
    <col min="13" max="13" width="7.6640625" style="15" bestFit="1" customWidth="1"/>
    <col min="14" max="14" width="9.73046875" style="15" bestFit="1" customWidth="1"/>
    <col min="15" max="16384" width="11.3984375" style="15"/>
  </cols>
  <sheetData>
    <row r="2" spans="1:14" ht="17.649999999999999" thickBot="1" x14ac:dyDescent="0.6">
      <c r="A2" s="17"/>
      <c r="B2" s="20" t="s">
        <v>488</v>
      </c>
      <c r="E2" s="20" t="s">
        <v>489</v>
      </c>
      <c r="L2" s="20" t="s">
        <v>490</v>
      </c>
      <c r="M2" s="10"/>
      <c r="N2" s="10"/>
    </row>
    <row r="3" spans="1:14" ht="15" thickTop="1" thickBot="1" x14ac:dyDescent="0.5">
      <c r="A3" s="17"/>
      <c r="B3" s="9" t="s">
        <v>491</v>
      </c>
      <c r="E3" s="9" t="s">
        <v>463</v>
      </c>
      <c r="F3" s="9" t="s">
        <v>465</v>
      </c>
      <c r="G3" s="9" t="s">
        <v>492</v>
      </c>
      <c r="H3" s="9" t="s">
        <v>493</v>
      </c>
      <c r="I3" s="9">
        <v>2022</v>
      </c>
      <c r="J3" s="9" t="s">
        <v>470</v>
      </c>
      <c r="L3" s="9" t="s">
        <v>494</v>
      </c>
      <c r="M3" s="9" t="s">
        <v>495</v>
      </c>
      <c r="N3" s="9" t="s">
        <v>496</v>
      </c>
    </row>
    <row r="4" spans="1:14" ht="13.15" x14ac:dyDescent="0.4">
      <c r="A4" s="17"/>
      <c r="B4" s="21" t="s">
        <v>497</v>
      </c>
      <c r="C4" s="10"/>
      <c r="F4" s="15" t="s">
        <v>498</v>
      </c>
      <c r="I4" s="15">
        <v>0.05</v>
      </c>
      <c r="J4" s="15" t="s">
        <v>62</v>
      </c>
      <c r="L4" s="10" t="s">
        <v>499</v>
      </c>
      <c r="M4" s="10" t="s">
        <v>228</v>
      </c>
      <c r="N4" s="10">
        <v>1055.55</v>
      </c>
    </row>
    <row r="5" spans="1:14" ht="13.15" x14ac:dyDescent="0.4">
      <c r="A5" s="17"/>
      <c r="B5" s="21" t="s">
        <v>500</v>
      </c>
      <c r="E5" s="15" t="s">
        <v>247</v>
      </c>
      <c r="F5" s="15" t="s">
        <v>501</v>
      </c>
      <c r="I5" s="15">
        <v>1</v>
      </c>
      <c r="J5" s="15" t="s">
        <v>62</v>
      </c>
      <c r="L5" s="10" t="s">
        <v>502</v>
      </c>
      <c r="M5" s="10" t="s">
        <v>228</v>
      </c>
      <c r="N5" s="10">
        <v>3.6</v>
      </c>
    </row>
    <row r="6" spans="1:14" ht="13.15" x14ac:dyDescent="0.4">
      <c r="A6" s="17"/>
      <c r="B6" s="21" t="s">
        <v>503</v>
      </c>
      <c r="F6" s="15" t="s">
        <v>504</v>
      </c>
      <c r="I6" s="15">
        <v>2025</v>
      </c>
      <c r="L6" s="10" t="s">
        <v>505</v>
      </c>
      <c r="M6" s="10" t="s">
        <v>506</v>
      </c>
      <c r="N6" s="10">
        <v>1000</v>
      </c>
    </row>
    <row r="7" spans="1:14" ht="13.15" x14ac:dyDescent="0.4">
      <c r="A7" s="17"/>
      <c r="B7" s="21" t="s">
        <v>507</v>
      </c>
      <c r="F7" s="15" t="s">
        <v>508</v>
      </c>
      <c r="I7" s="15">
        <v>1</v>
      </c>
      <c r="L7" s="10" t="s">
        <v>509</v>
      </c>
      <c r="M7" s="10" t="s">
        <v>510</v>
      </c>
      <c r="N7" s="10">
        <v>1000</v>
      </c>
    </row>
    <row r="8" spans="1:14" ht="13.15" x14ac:dyDescent="0.4">
      <c r="A8" s="17"/>
      <c r="B8" s="21" t="s">
        <v>511</v>
      </c>
      <c r="F8" s="15" t="s">
        <v>512</v>
      </c>
      <c r="G8" s="15" t="s">
        <v>513</v>
      </c>
      <c r="H8" s="15" t="s">
        <v>514</v>
      </c>
      <c r="I8" s="15">
        <v>2.2201</v>
      </c>
      <c r="L8" s="10" t="s">
        <v>515</v>
      </c>
      <c r="M8" s="10" t="s">
        <v>228</v>
      </c>
      <c r="N8" s="10">
        <v>1.05555</v>
      </c>
    </row>
    <row r="9" spans="1:14" ht="13.15" x14ac:dyDescent="0.4">
      <c r="A9" s="17"/>
      <c r="B9" s="21" t="s">
        <v>516</v>
      </c>
      <c r="F9" s="15" t="s">
        <v>512</v>
      </c>
      <c r="G9" s="15" t="s">
        <v>513</v>
      </c>
      <c r="H9" s="15" t="s">
        <v>517</v>
      </c>
      <c r="I9" s="15">
        <v>2.1427</v>
      </c>
      <c r="L9" s="10" t="s">
        <v>518</v>
      </c>
      <c r="M9" s="10" t="s">
        <v>228</v>
      </c>
      <c r="N9" s="10">
        <v>4.1868000000000002E-2</v>
      </c>
    </row>
    <row r="10" spans="1:14" ht="13.15" x14ac:dyDescent="0.4">
      <c r="A10" s="17"/>
      <c r="B10" s="21" t="s">
        <v>519</v>
      </c>
      <c r="F10" s="15" t="s">
        <v>512</v>
      </c>
      <c r="G10" s="15" t="s">
        <v>513</v>
      </c>
      <c r="H10" s="15" t="s">
        <v>520</v>
      </c>
      <c r="I10" s="15">
        <v>2.077</v>
      </c>
      <c r="L10" s="10" t="s">
        <v>521</v>
      </c>
      <c r="M10" s="10" t="s">
        <v>228</v>
      </c>
      <c r="N10" s="10">
        <v>41.868000000000002</v>
      </c>
    </row>
    <row r="11" spans="1:14" ht="13.15" x14ac:dyDescent="0.4">
      <c r="A11" s="17"/>
      <c r="B11" s="21" t="s">
        <v>522</v>
      </c>
      <c r="F11" s="15" t="s">
        <v>512</v>
      </c>
      <c r="G11" s="15" t="s">
        <v>513</v>
      </c>
      <c r="H11" s="15" t="s">
        <v>523</v>
      </c>
      <c r="I11" s="15">
        <v>2.0358000000000001</v>
      </c>
      <c r="L11" s="10" t="s">
        <v>524</v>
      </c>
      <c r="M11" s="10" t="s">
        <v>228</v>
      </c>
      <c r="N11" s="10">
        <v>3.5999999999999999E-3</v>
      </c>
    </row>
    <row r="12" spans="1:14" ht="13.15" x14ac:dyDescent="0.4">
      <c r="A12" s="17"/>
      <c r="B12" s="21" t="s">
        <v>525</v>
      </c>
      <c r="F12" s="15" t="s">
        <v>512</v>
      </c>
      <c r="G12" s="15" t="s">
        <v>513</v>
      </c>
      <c r="H12" s="15" t="s">
        <v>526</v>
      </c>
      <c r="I12" s="15">
        <v>1.9870000000000001</v>
      </c>
      <c r="L12" s="10" t="s">
        <v>527</v>
      </c>
      <c r="M12" s="10" t="s">
        <v>506</v>
      </c>
      <c r="N12" s="10">
        <v>1000000</v>
      </c>
    </row>
    <row r="13" spans="1:14" ht="13.15" x14ac:dyDescent="0.4">
      <c r="A13" s="17"/>
      <c r="B13" s="21" t="s">
        <v>528</v>
      </c>
      <c r="F13" s="15" t="s">
        <v>512</v>
      </c>
      <c r="G13" s="15" t="s">
        <v>513</v>
      </c>
      <c r="H13" s="15" t="s">
        <v>529</v>
      </c>
      <c r="I13" s="15">
        <v>1.9192</v>
      </c>
      <c r="L13" s="10" t="s">
        <v>530</v>
      </c>
      <c r="M13" s="10" t="s">
        <v>531</v>
      </c>
      <c r="N13" s="10">
        <v>1000</v>
      </c>
    </row>
    <row r="14" spans="1:14" ht="13.15" x14ac:dyDescent="0.4">
      <c r="A14" s="17"/>
      <c r="B14" s="21" t="s">
        <v>532</v>
      </c>
      <c r="F14" s="15" t="s">
        <v>512</v>
      </c>
      <c r="G14" s="15" t="s">
        <v>513</v>
      </c>
      <c r="H14" s="15" t="s">
        <v>533</v>
      </c>
      <c r="I14" s="15">
        <v>1.8468</v>
      </c>
      <c r="L14" s="10" t="s">
        <v>534</v>
      </c>
      <c r="M14" s="10" t="s">
        <v>535</v>
      </c>
      <c r="N14" s="10">
        <v>5.8615199999999996</v>
      </c>
    </row>
    <row r="15" spans="1:14" ht="13.15" x14ac:dyDescent="0.4">
      <c r="A15" s="17"/>
      <c r="B15" s="21" t="s">
        <v>536</v>
      </c>
      <c r="F15" s="15" t="s">
        <v>512</v>
      </c>
      <c r="G15" s="15" t="s">
        <v>513</v>
      </c>
      <c r="H15" s="15" t="s">
        <v>537</v>
      </c>
      <c r="I15" s="15">
        <v>1.7799</v>
      </c>
      <c r="L15" s="10" t="s">
        <v>538</v>
      </c>
      <c r="M15" s="10" t="s">
        <v>539</v>
      </c>
      <c r="N15" s="10">
        <v>1E-3</v>
      </c>
    </row>
    <row r="16" spans="1:14" ht="13.15" x14ac:dyDescent="0.4">
      <c r="A16" s="17"/>
      <c r="B16" s="21" t="s">
        <v>540</v>
      </c>
      <c r="F16" s="15" t="s">
        <v>512</v>
      </c>
      <c r="G16" s="15" t="s">
        <v>513</v>
      </c>
      <c r="H16" s="15" t="s">
        <v>541</v>
      </c>
      <c r="I16" s="15">
        <v>1.722</v>
      </c>
      <c r="L16" s="10" t="s">
        <v>542</v>
      </c>
      <c r="M16" s="10" t="s">
        <v>228</v>
      </c>
      <c r="N16" s="10">
        <v>1000</v>
      </c>
    </row>
    <row r="17" spans="1:14" ht="13.15" x14ac:dyDescent="0.4">
      <c r="A17" s="17"/>
      <c r="B17" s="21" t="s">
        <v>543</v>
      </c>
      <c r="F17" s="15" t="s">
        <v>512</v>
      </c>
      <c r="G17" s="15" t="s">
        <v>513</v>
      </c>
      <c r="H17" s="15" t="s">
        <v>544</v>
      </c>
      <c r="I17" s="15">
        <v>1.6836</v>
      </c>
      <c r="L17" s="10" t="s">
        <v>545</v>
      </c>
      <c r="M17" s="10" t="s">
        <v>228</v>
      </c>
      <c r="N17" s="10">
        <v>37.68</v>
      </c>
    </row>
    <row r="18" spans="1:14" ht="13.15" x14ac:dyDescent="0.4">
      <c r="B18" s="21" t="s">
        <v>546</v>
      </c>
      <c r="F18" s="15" t="s">
        <v>512</v>
      </c>
      <c r="G18" s="15" t="s">
        <v>513</v>
      </c>
      <c r="H18" s="15" t="s">
        <v>547</v>
      </c>
      <c r="I18" s="15">
        <v>1.6446000000000001</v>
      </c>
      <c r="L18" s="10" t="s">
        <v>548</v>
      </c>
      <c r="M18" s="10" t="s">
        <v>228</v>
      </c>
      <c r="N18" s="10">
        <v>2139.4548</v>
      </c>
    </row>
    <row r="19" spans="1:14" ht="13.15" x14ac:dyDescent="0.4">
      <c r="B19" s="21" t="s">
        <v>549</v>
      </c>
      <c r="F19" s="15" t="s">
        <v>512</v>
      </c>
      <c r="G19" s="15" t="s">
        <v>513</v>
      </c>
      <c r="H19" s="15" t="s">
        <v>550</v>
      </c>
      <c r="I19" s="15">
        <v>1.6102000000000001</v>
      </c>
      <c r="L19" s="10" t="s">
        <v>551</v>
      </c>
      <c r="M19" s="10" t="s">
        <v>552</v>
      </c>
      <c r="N19" s="10">
        <v>2.78</v>
      </c>
    </row>
    <row r="20" spans="1:14" ht="13.15" x14ac:dyDescent="0.4">
      <c r="B20" s="21" t="s">
        <v>553</v>
      </c>
      <c r="F20" s="15" t="s">
        <v>512</v>
      </c>
      <c r="G20" s="15" t="s">
        <v>513</v>
      </c>
      <c r="H20" s="15" t="s">
        <v>554</v>
      </c>
      <c r="I20" s="15">
        <v>1.5770999999999999</v>
      </c>
      <c r="L20" s="10" t="s">
        <v>555</v>
      </c>
      <c r="M20" s="10" t="s">
        <v>228</v>
      </c>
      <c r="N20" s="10">
        <v>3.6</v>
      </c>
    </row>
    <row r="21" spans="1:14" ht="13.15" x14ac:dyDescent="0.4">
      <c r="B21" s="21" t="s">
        <v>556</v>
      </c>
      <c r="F21" s="15" t="s">
        <v>512</v>
      </c>
      <c r="G21" s="15" t="s">
        <v>513</v>
      </c>
      <c r="H21" s="15" t="s">
        <v>557</v>
      </c>
      <c r="I21" s="15">
        <v>1.5488</v>
      </c>
      <c r="L21" s="10" t="s">
        <v>228</v>
      </c>
      <c r="M21" s="10" t="s">
        <v>228</v>
      </c>
      <c r="N21" s="10">
        <v>1</v>
      </c>
    </row>
    <row r="22" spans="1:14" ht="13.15" x14ac:dyDescent="0.4">
      <c r="B22" s="21" t="s">
        <v>558</v>
      </c>
      <c r="F22" s="15" t="s">
        <v>512</v>
      </c>
      <c r="G22" s="15" t="s">
        <v>513</v>
      </c>
      <c r="H22" s="15" t="s">
        <v>559</v>
      </c>
      <c r="I22" s="15">
        <v>1.5224</v>
      </c>
      <c r="L22" s="10" t="s">
        <v>560</v>
      </c>
      <c r="M22" s="10" t="s">
        <v>228</v>
      </c>
      <c r="N22" s="10">
        <v>31.536000000000001</v>
      </c>
    </row>
    <row r="23" spans="1:14" ht="13.15" x14ac:dyDescent="0.4">
      <c r="B23" s="21" t="s">
        <v>561</v>
      </c>
      <c r="F23" s="15" t="s">
        <v>512</v>
      </c>
      <c r="G23" s="15" t="s">
        <v>513</v>
      </c>
      <c r="H23" s="15" t="s">
        <v>562</v>
      </c>
      <c r="I23" s="15">
        <v>1.5058</v>
      </c>
      <c r="L23" s="10" t="s">
        <v>563</v>
      </c>
      <c r="M23" s="10" t="s">
        <v>228</v>
      </c>
      <c r="N23" s="10">
        <v>120</v>
      </c>
    </row>
    <row r="24" spans="1:14" ht="13.15" x14ac:dyDescent="0.4">
      <c r="B24" s="21" t="s">
        <v>564</v>
      </c>
      <c r="F24" s="15" t="s">
        <v>512</v>
      </c>
      <c r="G24" s="15" t="s">
        <v>513</v>
      </c>
      <c r="H24" s="15" t="s">
        <v>565</v>
      </c>
      <c r="I24" s="15">
        <v>1.4844999999999999</v>
      </c>
      <c r="L24" s="15" t="s">
        <v>566</v>
      </c>
      <c r="M24" s="15" t="s">
        <v>228</v>
      </c>
      <c r="N24" s="15">
        <v>5.8615199999999996</v>
      </c>
    </row>
    <row r="25" spans="1:14" ht="13.15" x14ac:dyDescent="0.4">
      <c r="B25" s="21" t="s">
        <v>567</v>
      </c>
      <c r="F25" s="15" t="s">
        <v>512</v>
      </c>
      <c r="G25" s="15" t="s">
        <v>513</v>
      </c>
      <c r="H25" s="15" t="s">
        <v>522</v>
      </c>
      <c r="I25" s="15">
        <v>1.4518</v>
      </c>
      <c r="L25" s="15" t="s">
        <v>568</v>
      </c>
      <c r="M25" s="15" t="s">
        <v>228</v>
      </c>
      <c r="N25" s="15">
        <v>54</v>
      </c>
    </row>
    <row r="26" spans="1:14" ht="13.15" x14ac:dyDescent="0.4">
      <c r="B26" s="21" t="s">
        <v>569</v>
      </c>
      <c r="F26" s="15" t="s">
        <v>512</v>
      </c>
      <c r="G26" s="15" t="s">
        <v>513</v>
      </c>
      <c r="H26" s="15" t="s">
        <v>525</v>
      </c>
      <c r="I26" s="15">
        <v>1.4198999999999999</v>
      </c>
    </row>
    <row r="27" spans="1:14" ht="13.15" x14ac:dyDescent="0.4">
      <c r="B27" s="21" t="s">
        <v>570</v>
      </c>
      <c r="F27" s="15" t="s">
        <v>512</v>
      </c>
      <c r="G27" s="15" t="s">
        <v>513</v>
      </c>
      <c r="H27" s="15" t="s">
        <v>528</v>
      </c>
      <c r="I27" s="15">
        <v>1.3986000000000001</v>
      </c>
    </row>
    <row r="28" spans="1:14" ht="13.15" x14ac:dyDescent="0.4">
      <c r="B28" s="21" t="s">
        <v>571</v>
      </c>
      <c r="F28" s="15" t="s">
        <v>512</v>
      </c>
      <c r="G28" s="15" t="s">
        <v>513</v>
      </c>
      <c r="H28" s="15" t="s">
        <v>532</v>
      </c>
      <c r="I28" s="15">
        <v>1.3727</v>
      </c>
    </row>
    <row r="29" spans="1:14" ht="13.15" x14ac:dyDescent="0.4">
      <c r="B29" s="21" t="s">
        <v>572</v>
      </c>
      <c r="F29" s="15" t="s">
        <v>512</v>
      </c>
      <c r="G29" s="15" t="s">
        <v>513</v>
      </c>
      <c r="H29" s="15" t="s">
        <v>536</v>
      </c>
      <c r="I29" s="15">
        <v>1.3369</v>
      </c>
    </row>
    <row r="30" spans="1:14" ht="13.15" x14ac:dyDescent="0.4">
      <c r="B30" s="21" t="s">
        <v>573</v>
      </c>
      <c r="F30" s="15" t="s">
        <v>512</v>
      </c>
      <c r="G30" s="15" t="s">
        <v>513</v>
      </c>
      <c r="H30" s="15" t="s">
        <v>540</v>
      </c>
      <c r="I30" s="15">
        <v>1.2967</v>
      </c>
    </row>
    <row r="31" spans="1:14" ht="13.15" x14ac:dyDescent="0.4">
      <c r="B31" s="21" t="s">
        <v>513</v>
      </c>
      <c r="F31" s="15" t="s">
        <v>512</v>
      </c>
      <c r="G31" s="15" t="s">
        <v>513</v>
      </c>
      <c r="H31" s="15" t="s">
        <v>543</v>
      </c>
      <c r="I31" s="15">
        <v>1.2583</v>
      </c>
    </row>
    <row r="32" spans="1:14" ht="13.15" x14ac:dyDescent="0.4">
      <c r="B32" s="21" t="s">
        <v>574</v>
      </c>
      <c r="F32" s="15" t="s">
        <v>512</v>
      </c>
      <c r="G32" s="15" t="s">
        <v>513</v>
      </c>
      <c r="H32" s="15" t="s">
        <v>546</v>
      </c>
      <c r="I32" s="15">
        <v>1.2253000000000001</v>
      </c>
    </row>
    <row r="33" spans="2:9" ht="13.15" x14ac:dyDescent="0.4">
      <c r="B33" s="21" t="s">
        <v>575</v>
      </c>
      <c r="F33" s="15" t="s">
        <v>512</v>
      </c>
      <c r="G33" s="15" t="s">
        <v>513</v>
      </c>
      <c r="H33" s="15" t="s">
        <v>549</v>
      </c>
      <c r="I33" s="15">
        <v>1.2023999999999999</v>
      </c>
    </row>
    <row r="34" spans="2:9" ht="13.15" x14ac:dyDescent="0.4">
      <c r="B34" s="21" t="s">
        <v>576</v>
      </c>
      <c r="F34" s="15" t="s">
        <v>512</v>
      </c>
      <c r="G34" s="15" t="s">
        <v>513</v>
      </c>
      <c r="H34" s="15" t="s">
        <v>553</v>
      </c>
      <c r="I34" s="15">
        <v>1.1931</v>
      </c>
    </row>
    <row r="35" spans="2:9" ht="13.15" x14ac:dyDescent="0.4">
      <c r="B35" s="21" t="s">
        <v>577</v>
      </c>
      <c r="F35" s="15" t="s">
        <v>512</v>
      </c>
      <c r="G35" s="15" t="s">
        <v>513</v>
      </c>
      <c r="H35" s="15" t="s">
        <v>556</v>
      </c>
      <c r="I35" s="15">
        <v>1.1793</v>
      </c>
    </row>
    <row r="36" spans="2:9" ht="13.15" x14ac:dyDescent="0.4">
      <c r="B36" s="21" t="s">
        <v>497</v>
      </c>
      <c r="F36" s="15" t="s">
        <v>512</v>
      </c>
      <c r="G36" s="15" t="s">
        <v>513</v>
      </c>
      <c r="H36" s="15" t="s">
        <v>558</v>
      </c>
      <c r="I36" s="15">
        <v>1.1552</v>
      </c>
    </row>
    <row r="37" spans="2:9" ht="13.15" x14ac:dyDescent="0.4">
      <c r="B37" s="21" t="s">
        <v>514</v>
      </c>
      <c r="F37" s="15" t="s">
        <v>512</v>
      </c>
      <c r="G37" s="15" t="s">
        <v>513</v>
      </c>
      <c r="H37" s="15" t="s">
        <v>561</v>
      </c>
      <c r="I37" s="15">
        <v>1.1334</v>
      </c>
    </row>
    <row r="38" spans="2:9" ht="13.15" x14ac:dyDescent="0.4">
      <c r="B38" s="21" t="s">
        <v>517</v>
      </c>
      <c r="F38" s="15" t="s">
        <v>512</v>
      </c>
      <c r="G38" s="15" t="s">
        <v>513</v>
      </c>
      <c r="H38" s="15" t="s">
        <v>564</v>
      </c>
      <c r="I38" s="15">
        <v>1.1136999999999999</v>
      </c>
    </row>
    <row r="39" spans="2:9" ht="13.15" x14ac:dyDescent="0.4">
      <c r="B39" s="21" t="s">
        <v>520</v>
      </c>
      <c r="F39" s="15" t="s">
        <v>512</v>
      </c>
      <c r="G39" s="15" t="s">
        <v>513</v>
      </c>
      <c r="H39" s="15" t="s">
        <v>567</v>
      </c>
      <c r="I39" s="15">
        <v>1.0934999999999999</v>
      </c>
    </row>
    <row r="40" spans="2:9" ht="13.15" x14ac:dyDescent="0.4">
      <c r="B40" s="21" t="s">
        <v>523</v>
      </c>
      <c r="F40" s="15" t="s">
        <v>512</v>
      </c>
      <c r="G40" s="15" t="s">
        <v>513</v>
      </c>
      <c r="H40" s="15" t="s">
        <v>569</v>
      </c>
      <c r="I40" s="15">
        <v>1.0831</v>
      </c>
    </row>
    <row r="41" spans="2:9" ht="13.15" x14ac:dyDescent="0.4">
      <c r="B41" s="21" t="s">
        <v>526</v>
      </c>
      <c r="F41" s="15" t="s">
        <v>512</v>
      </c>
      <c r="G41" s="15" t="s">
        <v>513</v>
      </c>
      <c r="H41" s="15" t="s">
        <v>570</v>
      </c>
      <c r="I41" s="15">
        <v>1.0719000000000001</v>
      </c>
    </row>
    <row r="42" spans="2:9" ht="13.15" x14ac:dyDescent="0.4">
      <c r="B42" s="21" t="s">
        <v>529</v>
      </c>
      <c r="F42" s="15" t="s">
        <v>512</v>
      </c>
      <c r="G42" s="15" t="s">
        <v>513</v>
      </c>
      <c r="H42" s="15" t="s">
        <v>571</v>
      </c>
      <c r="I42" s="15">
        <v>1.0519000000000001</v>
      </c>
    </row>
    <row r="43" spans="2:9" ht="13.15" x14ac:dyDescent="0.4">
      <c r="B43" s="21" t="s">
        <v>533</v>
      </c>
      <c r="F43" s="15" t="s">
        <v>512</v>
      </c>
      <c r="G43" s="15" t="s">
        <v>513</v>
      </c>
      <c r="H43" s="15" t="s">
        <v>572</v>
      </c>
      <c r="I43" s="15">
        <v>1.0274000000000001</v>
      </c>
    </row>
    <row r="44" spans="2:9" ht="13.15" x14ac:dyDescent="0.4">
      <c r="B44" s="21" t="s">
        <v>537</v>
      </c>
      <c r="F44" s="15" t="s">
        <v>512</v>
      </c>
      <c r="G44" s="15" t="s">
        <v>513</v>
      </c>
      <c r="H44" s="15" t="s">
        <v>573</v>
      </c>
      <c r="I44" s="15">
        <v>1.0091000000000001</v>
      </c>
    </row>
    <row r="45" spans="2:9" ht="13.15" x14ac:dyDescent="0.4">
      <c r="B45" s="21" t="s">
        <v>541</v>
      </c>
      <c r="F45" s="15" t="s">
        <v>578</v>
      </c>
      <c r="G45" s="15" t="s">
        <v>513</v>
      </c>
      <c r="H45" s="15" t="s">
        <v>513</v>
      </c>
      <c r="I45" s="15">
        <v>1</v>
      </c>
    </row>
    <row r="46" spans="2:9" ht="13.15" x14ac:dyDescent="0.4">
      <c r="B46" s="21" t="s">
        <v>544</v>
      </c>
      <c r="F46" s="15" t="s">
        <v>512</v>
      </c>
      <c r="G46" s="15" t="s">
        <v>513</v>
      </c>
      <c r="H46" s="15" t="s">
        <v>574</v>
      </c>
      <c r="I46" s="15">
        <v>0.98960000000000004</v>
      </c>
    </row>
    <row r="47" spans="2:9" ht="13.15" x14ac:dyDescent="0.4">
      <c r="B47" s="21" t="s">
        <v>547</v>
      </c>
      <c r="F47" s="15" t="s">
        <v>512</v>
      </c>
      <c r="G47" s="15" t="s">
        <v>513</v>
      </c>
      <c r="H47" s="15" t="s">
        <v>575</v>
      </c>
      <c r="I47" s="15">
        <v>0.97809999999999997</v>
      </c>
    </row>
    <row r="48" spans="2:9" ht="13.15" x14ac:dyDescent="0.4">
      <c r="B48" s="21" t="s">
        <v>550</v>
      </c>
      <c r="F48" s="15" t="s">
        <v>512</v>
      </c>
      <c r="G48" s="15" t="s">
        <v>513</v>
      </c>
      <c r="H48" s="15" t="s">
        <v>576</v>
      </c>
      <c r="I48" s="15">
        <v>0.96499999999999997</v>
      </c>
    </row>
    <row r="49" spans="2:9" ht="13.15" x14ac:dyDescent="0.4">
      <c r="B49" s="21" t="s">
        <v>554</v>
      </c>
      <c r="F49" s="15" t="s">
        <v>512</v>
      </c>
      <c r="G49" s="15" t="s">
        <v>513</v>
      </c>
      <c r="H49" s="15" t="s">
        <v>577</v>
      </c>
      <c r="I49" s="15">
        <v>0.94910000000000005</v>
      </c>
    </row>
    <row r="50" spans="2:9" ht="13.15" x14ac:dyDescent="0.4">
      <c r="B50" s="21" t="s">
        <v>557</v>
      </c>
      <c r="F50" s="15" t="s">
        <v>512</v>
      </c>
      <c r="G50" s="15" t="s">
        <v>513</v>
      </c>
      <c r="H50" s="15" t="s">
        <v>497</v>
      </c>
      <c r="I50" s="15">
        <v>0.92969999999999997</v>
      </c>
    </row>
    <row r="51" spans="2:9" ht="13.15" x14ac:dyDescent="0.4">
      <c r="B51" s="21" t="s">
        <v>559</v>
      </c>
      <c r="F51" s="15" t="str">
        <f>F46</f>
        <v>G_CUREX</v>
      </c>
      <c r="G51" s="15" t="str">
        <f t="shared" ref="G51:I51" si="0">G46</f>
        <v>USD20</v>
      </c>
      <c r="H51" s="15" t="s">
        <v>579</v>
      </c>
      <c r="I51" s="15">
        <f t="shared" si="0"/>
        <v>0.98960000000000004</v>
      </c>
    </row>
    <row r="52" spans="2:9" ht="13.15" x14ac:dyDescent="0.4">
      <c r="B52" s="21" t="s">
        <v>562</v>
      </c>
      <c r="F52" s="15" t="s">
        <v>580</v>
      </c>
      <c r="H52" s="15" t="s">
        <v>514</v>
      </c>
      <c r="I52" s="15">
        <v>7.0000000000000007E-2</v>
      </c>
    </row>
    <row r="53" spans="2:9" ht="13.15" x14ac:dyDescent="0.4">
      <c r="B53" s="21" t="s">
        <v>565</v>
      </c>
      <c r="F53" s="15" t="s">
        <v>580</v>
      </c>
      <c r="H53" s="15" t="s">
        <v>517</v>
      </c>
      <c r="I53" s="15">
        <v>7.0000000000000007E-2</v>
      </c>
    </row>
    <row r="54" spans="2:9" ht="13.15" x14ac:dyDescent="0.4">
      <c r="B54" s="21" t="s">
        <v>579</v>
      </c>
      <c r="F54" s="15" t="s">
        <v>580</v>
      </c>
      <c r="H54" s="15" t="s">
        <v>520</v>
      </c>
      <c r="I54" s="15">
        <v>7.0000000000000007E-2</v>
      </c>
    </row>
    <row r="55" spans="2:9" x14ac:dyDescent="0.35">
      <c r="F55" s="15" t="s">
        <v>580</v>
      </c>
      <c r="H55" s="15" t="s">
        <v>523</v>
      </c>
      <c r="I55" s="15">
        <v>7.0000000000000007E-2</v>
      </c>
    </row>
    <row r="56" spans="2:9" x14ac:dyDescent="0.35">
      <c r="F56" s="15" t="s">
        <v>580</v>
      </c>
      <c r="H56" s="15" t="s">
        <v>526</v>
      </c>
      <c r="I56" s="15">
        <v>7.0000000000000007E-2</v>
      </c>
    </row>
    <row r="57" spans="2:9" x14ac:dyDescent="0.35">
      <c r="F57" s="15" t="s">
        <v>580</v>
      </c>
      <c r="H57" s="15" t="s">
        <v>529</v>
      </c>
      <c r="I57" s="15">
        <v>7.0000000000000007E-2</v>
      </c>
    </row>
    <row r="58" spans="2:9" x14ac:dyDescent="0.35">
      <c r="F58" s="15" t="s">
        <v>580</v>
      </c>
      <c r="H58" s="15" t="s">
        <v>533</v>
      </c>
      <c r="I58" s="15">
        <v>7.0000000000000007E-2</v>
      </c>
    </row>
    <row r="59" spans="2:9" x14ac:dyDescent="0.35">
      <c r="F59" s="15" t="s">
        <v>580</v>
      </c>
      <c r="H59" s="15" t="s">
        <v>537</v>
      </c>
      <c r="I59" s="15">
        <v>7.0000000000000007E-2</v>
      </c>
    </row>
    <row r="60" spans="2:9" x14ac:dyDescent="0.35">
      <c r="F60" s="15" t="s">
        <v>580</v>
      </c>
      <c r="H60" s="15" t="s">
        <v>541</v>
      </c>
      <c r="I60" s="15">
        <v>7.0000000000000007E-2</v>
      </c>
    </row>
    <row r="61" spans="2:9" x14ac:dyDescent="0.35">
      <c r="F61" s="15" t="s">
        <v>580</v>
      </c>
      <c r="H61" s="15" t="s">
        <v>544</v>
      </c>
      <c r="I61" s="15">
        <v>7.0000000000000007E-2</v>
      </c>
    </row>
    <row r="62" spans="2:9" x14ac:dyDescent="0.35">
      <c r="F62" s="15" t="s">
        <v>580</v>
      </c>
      <c r="H62" s="15" t="s">
        <v>547</v>
      </c>
      <c r="I62" s="15">
        <v>7.0000000000000007E-2</v>
      </c>
    </row>
    <row r="63" spans="2:9" x14ac:dyDescent="0.35">
      <c r="F63" s="15" t="s">
        <v>580</v>
      </c>
      <c r="H63" s="15" t="s">
        <v>550</v>
      </c>
      <c r="I63" s="15">
        <v>7.0000000000000007E-2</v>
      </c>
    </row>
    <row r="64" spans="2:9" x14ac:dyDescent="0.35">
      <c r="F64" s="15" t="s">
        <v>580</v>
      </c>
      <c r="H64" s="15" t="s">
        <v>554</v>
      </c>
      <c r="I64" s="15">
        <v>7.0000000000000007E-2</v>
      </c>
    </row>
    <row r="65" spans="6:9" x14ac:dyDescent="0.35">
      <c r="F65" s="15" t="s">
        <v>580</v>
      </c>
      <c r="H65" s="15" t="s">
        <v>557</v>
      </c>
      <c r="I65" s="15">
        <v>7.0000000000000007E-2</v>
      </c>
    </row>
    <row r="66" spans="6:9" x14ac:dyDescent="0.35">
      <c r="F66" s="15" t="s">
        <v>580</v>
      </c>
      <c r="H66" s="15" t="s">
        <v>559</v>
      </c>
      <c r="I66" s="15">
        <v>7.0000000000000007E-2</v>
      </c>
    </row>
    <row r="67" spans="6:9" x14ac:dyDescent="0.35">
      <c r="F67" s="15" t="s">
        <v>580</v>
      </c>
      <c r="H67" s="15" t="s">
        <v>562</v>
      </c>
      <c r="I67" s="15">
        <v>7.0000000000000007E-2</v>
      </c>
    </row>
    <row r="68" spans="6:9" x14ac:dyDescent="0.35">
      <c r="F68" s="15" t="s">
        <v>580</v>
      </c>
      <c r="H68" s="15" t="s">
        <v>565</v>
      </c>
      <c r="I68" s="15">
        <v>7.0000000000000007E-2</v>
      </c>
    </row>
    <row r="69" spans="6:9" x14ac:dyDescent="0.35">
      <c r="F69" s="15" t="s">
        <v>580</v>
      </c>
      <c r="H69" s="15" t="s">
        <v>522</v>
      </c>
      <c r="I69" s="15">
        <v>7.0000000000000007E-2</v>
      </c>
    </row>
    <row r="70" spans="6:9" x14ac:dyDescent="0.35">
      <c r="F70" s="15" t="s">
        <v>580</v>
      </c>
      <c r="H70" s="15" t="s">
        <v>525</v>
      </c>
      <c r="I70" s="15">
        <v>7.0000000000000007E-2</v>
      </c>
    </row>
    <row r="71" spans="6:9" x14ac:dyDescent="0.35">
      <c r="F71" s="15" t="s">
        <v>580</v>
      </c>
      <c r="H71" s="15" t="s">
        <v>528</v>
      </c>
      <c r="I71" s="15">
        <v>7.0000000000000007E-2</v>
      </c>
    </row>
    <row r="72" spans="6:9" x14ac:dyDescent="0.35">
      <c r="F72" s="15" t="s">
        <v>580</v>
      </c>
      <c r="H72" s="15" t="s">
        <v>532</v>
      </c>
      <c r="I72" s="15">
        <v>7.0000000000000007E-2</v>
      </c>
    </row>
    <row r="73" spans="6:9" x14ac:dyDescent="0.35">
      <c r="F73" s="15" t="s">
        <v>580</v>
      </c>
      <c r="H73" s="15" t="s">
        <v>536</v>
      </c>
      <c r="I73" s="15">
        <v>7.0000000000000007E-2</v>
      </c>
    </row>
    <row r="74" spans="6:9" x14ac:dyDescent="0.35">
      <c r="F74" s="15" t="s">
        <v>580</v>
      </c>
      <c r="H74" s="15" t="s">
        <v>540</v>
      </c>
      <c r="I74" s="15">
        <v>7.0000000000000007E-2</v>
      </c>
    </row>
    <row r="75" spans="6:9" x14ac:dyDescent="0.35">
      <c r="F75" s="15" t="s">
        <v>580</v>
      </c>
      <c r="H75" s="15" t="s">
        <v>543</v>
      </c>
      <c r="I75" s="15">
        <v>7.0000000000000007E-2</v>
      </c>
    </row>
    <row r="76" spans="6:9" x14ac:dyDescent="0.35">
      <c r="F76" s="15" t="s">
        <v>580</v>
      </c>
      <c r="H76" s="15" t="s">
        <v>546</v>
      </c>
      <c r="I76" s="15">
        <v>7.0000000000000007E-2</v>
      </c>
    </row>
    <row r="77" spans="6:9" x14ac:dyDescent="0.35">
      <c r="F77" s="15" t="s">
        <v>580</v>
      </c>
      <c r="H77" s="15" t="s">
        <v>549</v>
      </c>
      <c r="I77" s="15">
        <v>7.0000000000000007E-2</v>
      </c>
    </row>
    <row r="78" spans="6:9" x14ac:dyDescent="0.35">
      <c r="F78" s="15" t="s">
        <v>580</v>
      </c>
      <c r="H78" s="15" t="s">
        <v>553</v>
      </c>
      <c r="I78" s="15">
        <v>7.0000000000000007E-2</v>
      </c>
    </row>
    <row r="79" spans="6:9" x14ac:dyDescent="0.35">
      <c r="F79" s="15" t="s">
        <v>580</v>
      </c>
      <c r="H79" s="15" t="s">
        <v>556</v>
      </c>
      <c r="I79" s="15">
        <v>7.0000000000000007E-2</v>
      </c>
    </row>
    <row r="80" spans="6:9" x14ac:dyDescent="0.35">
      <c r="F80" s="15" t="s">
        <v>580</v>
      </c>
      <c r="H80" s="15" t="s">
        <v>558</v>
      </c>
      <c r="I80" s="15">
        <v>7.0000000000000007E-2</v>
      </c>
    </row>
    <row r="81" spans="6:9" x14ac:dyDescent="0.35">
      <c r="F81" s="15" t="s">
        <v>580</v>
      </c>
      <c r="H81" s="15" t="s">
        <v>561</v>
      </c>
      <c r="I81" s="15">
        <v>7.0000000000000007E-2</v>
      </c>
    </row>
    <row r="82" spans="6:9" x14ac:dyDescent="0.35">
      <c r="F82" s="15" t="s">
        <v>580</v>
      </c>
      <c r="H82" s="15" t="s">
        <v>564</v>
      </c>
      <c r="I82" s="15">
        <v>7.0000000000000007E-2</v>
      </c>
    </row>
    <row r="83" spans="6:9" x14ac:dyDescent="0.35">
      <c r="F83" s="15" t="s">
        <v>580</v>
      </c>
      <c r="H83" s="15" t="s">
        <v>567</v>
      </c>
      <c r="I83" s="15">
        <v>7.0000000000000007E-2</v>
      </c>
    </row>
    <row r="84" spans="6:9" x14ac:dyDescent="0.35">
      <c r="F84" s="15" t="s">
        <v>580</v>
      </c>
      <c r="H84" s="15" t="s">
        <v>569</v>
      </c>
      <c r="I84" s="15">
        <v>7.0000000000000007E-2</v>
      </c>
    </row>
    <row r="85" spans="6:9" x14ac:dyDescent="0.35">
      <c r="F85" s="15" t="s">
        <v>580</v>
      </c>
      <c r="H85" s="15" t="s">
        <v>570</v>
      </c>
      <c r="I85" s="15">
        <v>7.0000000000000007E-2</v>
      </c>
    </row>
    <row r="86" spans="6:9" x14ac:dyDescent="0.35">
      <c r="F86" s="15" t="s">
        <v>580</v>
      </c>
      <c r="H86" s="15" t="s">
        <v>571</v>
      </c>
      <c r="I86" s="15">
        <v>7.0000000000000007E-2</v>
      </c>
    </row>
    <row r="87" spans="6:9" x14ac:dyDescent="0.35">
      <c r="F87" s="15" t="s">
        <v>580</v>
      </c>
      <c r="H87" s="15" t="s">
        <v>572</v>
      </c>
      <c r="I87" s="15">
        <v>7.0000000000000007E-2</v>
      </c>
    </row>
    <row r="88" spans="6:9" x14ac:dyDescent="0.35">
      <c r="F88" s="15" t="s">
        <v>580</v>
      </c>
      <c r="H88" s="15" t="s">
        <v>573</v>
      </c>
      <c r="I88" s="15">
        <v>7.0000000000000007E-2</v>
      </c>
    </row>
    <row r="89" spans="6:9" x14ac:dyDescent="0.35">
      <c r="F89" s="15" t="s">
        <v>580</v>
      </c>
      <c r="H89" s="15" t="s">
        <v>513</v>
      </c>
      <c r="I89" s="15">
        <v>7.0000000000000007E-2</v>
      </c>
    </row>
    <row r="90" spans="6:9" x14ac:dyDescent="0.35">
      <c r="F90" s="15" t="s">
        <v>580</v>
      </c>
      <c r="H90" s="15" t="s">
        <v>574</v>
      </c>
      <c r="I90" s="15">
        <v>7.0000000000000007E-2</v>
      </c>
    </row>
    <row r="91" spans="6:9" x14ac:dyDescent="0.35">
      <c r="F91" s="15" t="s">
        <v>580</v>
      </c>
      <c r="H91" s="15" t="s">
        <v>575</v>
      </c>
      <c r="I91" s="15">
        <v>7.0000000000000007E-2</v>
      </c>
    </row>
    <row r="92" spans="6:9" x14ac:dyDescent="0.35">
      <c r="F92" s="15" t="s">
        <v>580</v>
      </c>
      <c r="H92" s="15" t="s">
        <v>576</v>
      </c>
      <c r="I92" s="15">
        <v>7.0000000000000007E-2</v>
      </c>
    </row>
    <row r="93" spans="6:9" x14ac:dyDescent="0.35">
      <c r="F93" s="15" t="s">
        <v>580</v>
      </c>
      <c r="H93" s="15" t="s">
        <v>577</v>
      </c>
      <c r="I93" s="15">
        <v>7.0000000000000007E-2</v>
      </c>
    </row>
    <row r="94" spans="6:9" x14ac:dyDescent="0.35">
      <c r="F94" s="15" t="s">
        <v>580</v>
      </c>
      <c r="H94" s="15" t="s">
        <v>497</v>
      </c>
      <c r="I94" s="15">
        <v>7.0000000000000007E-2</v>
      </c>
    </row>
    <row r="95" spans="6:9" x14ac:dyDescent="0.35">
      <c r="F95" s="15" t="s">
        <v>580</v>
      </c>
      <c r="H95" s="15" t="str">
        <f>H51</f>
        <v>USD21_alt</v>
      </c>
      <c r="I95" s="15">
        <v>7.0000000000000007E-2</v>
      </c>
    </row>
    <row r="99" spans="5:10" ht="17.649999999999999" thickBot="1" x14ac:dyDescent="0.6">
      <c r="E99" s="20" t="s">
        <v>489</v>
      </c>
    </row>
    <row r="100" spans="5:10" ht="15" thickTop="1" thickBot="1" x14ac:dyDescent="0.5">
      <c r="E100" s="9" t="s">
        <v>463</v>
      </c>
      <c r="F100" s="9" t="s">
        <v>465</v>
      </c>
      <c r="G100" s="9" t="s">
        <v>492</v>
      </c>
      <c r="H100" s="9" t="s">
        <v>493</v>
      </c>
      <c r="I100" s="9">
        <v>2022</v>
      </c>
      <c r="J100" s="9" t="s">
        <v>470</v>
      </c>
    </row>
    <row r="101" spans="5:10" ht="14.25" x14ac:dyDescent="0.45">
      <c r="E101"/>
      <c r="F101" s="22" t="s">
        <v>512</v>
      </c>
      <c r="G101" s="22" t="s">
        <v>513</v>
      </c>
      <c r="H101" s="22" t="s">
        <v>503</v>
      </c>
      <c r="I101" s="23">
        <f>1.10926234054354*I40</f>
        <v>1.201442041042708</v>
      </c>
    </row>
    <row r="102" spans="5:10" ht="14.25" x14ac:dyDescent="0.45">
      <c r="E102"/>
      <c r="F102" s="22" t="s">
        <v>580</v>
      </c>
      <c r="G102"/>
      <c r="H102" s="22" t="s">
        <v>503</v>
      </c>
      <c r="I102" s="23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4528-FFA4-4700-8EE7-C3FE0E171F2B}">
  <dimension ref="B3:D33"/>
  <sheetViews>
    <sheetView tabSelected="1" workbookViewId="0"/>
  </sheetViews>
  <sheetFormatPr defaultColWidth="8.86328125" defaultRowHeight="12.75" x14ac:dyDescent="0.35"/>
  <cols>
    <col min="1" max="2" width="8.86328125" style="10"/>
    <col min="3" max="3" width="20.3984375" style="10" bestFit="1" customWidth="1"/>
    <col min="4" max="16384" width="8.86328125" style="10"/>
  </cols>
  <sheetData>
    <row r="3" spans="2:4" ht="17.649999999999999" thickBot="1" x14ac:dyDescent="0.6">
      <c r="B3" s="20" t="s">
        <v>480</v>
      </c>
    </row>
    <row r="4" spans="2:4" ht="15" thickTop="1" thickBot="1" x14ac:dyDescent="0.5">
      <c r="B4" s="9" t="s">
        <v>465</v>
      </c>
      <c r="C4" s="9" t="s">
        <v>492</v>
      </c>
      <c r="D4" s="9" t="s">
        <v>467</v>
      </c>
    </row>
    <row r="5" spans="2:4" x14ac:dyDescent="0.35">
      <c r="B5" s="10" t="s">
        <v>581</v>
      </c>
      <c r="C5" s="10" t="s">
        <v>582</v>
      </c>
      <c r="D5" s="10">
        <v>-1</v>
      </c>
    </row>
    <row r="6" spans="2:4" x14ac:dyDescent="0.35">
      <c r="B6" s="10" t="s">
        <v>581</v>
      </c>
      <c r="C6" s="10" t="s">
        <v>583</v>
      </c>
      <c r="D6" s="10">
        <v>1</v>
      </c>
    </row>
    <row r="7" spans="2:4" x14ac:dyDescent="0.35">
      <c r="B7" s="10" t="s">
        <v>581</v>
      </c>
      <c r="C7" s="10" t="s">
        <v>584</v>
      </c>
      <c r="D7" s="10">
        <v>1</v>
      </c>
    </row>
    <row r="8" spans="2:4" x14ac:dyDescent="0.35">
      <c r="B8" s="10" t="s">
        <v>581</v>
      </c>
      <c r="C8" s="10" t="s">
        <v>585</v>
      </c>
      <c r="D8" s="10">
        <v>1</v>
      </c>
    </row>
    <row r="9" spans="2:4" x14ac:dyDescent="0.35">
      <c r="B9" s="10" t="s">
        <v>581</v>
      </c>
      <c r="C9" s="10" t="s">
        <v>586</v>
      </c>
      <c r="D9" s="10">
        <v>1</v>
      </c>
    </row>
    <row r="10" spans="2:4" x14ac:dyDescent="0.35">
      <c r="B10" s="10" t="s">
        <v>581</v>
      </c>
      <c r="C10" s="10" t="s">
        <v>587</v>
      </c>
      <c r="D10" s="10">
        <v>1</v>
      </c>
    </row>
    <row r="11" spans="2:4" x14ac:dyDescent="0.35">
      <c r="B11" s="10" t="s">
        <v>581</v>
      </c>
      <c r="C11" s="10" t="s">
        <v>588</v>
      </c>
      <c r="D11" s="10">
        <v>1</v>
      </c>
    </row>
    <row r="12" spans="2:4" x14ac:dyDescent="0.35">
      <c r="B12" s="10" t="s">
        <v>581</v>
      </c>
      <c r="C12" s="10" t="s">
        <v>583</v>
      </c>
      <c r="D12" s="10">
        <v>1</v>
      </c>
    </row>
    <row r="13" spans="2:4" x14ac:dyDescent="0.35">
      <c r="B13" s="10" t="s">
        <v>581</v>
      </c>
      <c r="C13" s="10" t="s">
        <v>589</v>
      </c>
      <c r="D13" s="10">
        <v>1</v>
      </c>
    </row>
    <row r="14" spans="2:4" x14ac:dyDescent="0.35">
      <c r="B14" s="10" t="s">
        <v>581</v>
      </c>
      <c r="C14" s="10" t="s">
        <v>590</v>
      </c>
      <c r="D14" s="10">
        <v>2</v>
      </c>
    </row>
    <row r="15" spans="2:4" x14ac:dyDescent="0.35">
      <c r="B15" s="10" t="s">
        <v>581</v>
      </c>
      <c r="C15" s="10" t="s">
        <v>591</v>
      </c>
      <c r="D15" s="10">
        <v>1</v>
      </c>
    </row>
    <row r="16" spans="2:4" x14ac:dyDescent="0.35">
      <c r="B16" s="10" t="s">
        <v>581</v>
      </c>
      <c r="C16" s="10" t="s">
        <v>592</v>
      </c>
      <c r="D16" s="24">
        <v>1.0000000000000001E-5</v>
      </c>
    </row>
    <row r="17" spans="2:4" x14ac:dyDescent="0.35">
      <c r="B17" s="10" t="s">
        <v>581</v>
      </c>
      <c r="C17" s="10" t="s">
        <v>593</v>
      </c>
      <c r="D17" s="24">
        <v>1.0000000000000001E-5</v>
      </c>
    </row>
    <row r="18" spans="2:4" x14ac:dyDescent="0.35">
      <c r="B18" s="10" t="s">
        <v>581</v>
      </c>
      <c r="C18" s="10" t="s">
        <v>594</v>
      </c>
      <c r="D18" s="24">
        <v>1.0000000000000001E-5</v>
      </c>
    </row>
    <row r="19" spans="2:4" x14ac:dyDescent="0.35">
      <c r="B19" s="10" t="s">
        <v>581</v>
      </c>
      <c r="C19" s="10" t="s">
        <v>595</v>
      </c>
      <c r="D19" s="24">
        <v>1.0000000000000001E-5</v>
      </c>
    </row>
    <row r="20" spans="2:4" x14ac:dyDescent="0.35">
      <c r="B20" s="10" t="s">
        <v>596</v>
      </c>
      <c r="C20" s="10" t="s">
        <v>597</v>
      </c>
      <c r="D20" s="25">
        <v>1</v>
      </c>
    </row>
    <row r="23" spans="2:4" x14ac:dyDescent="0.35">
      <c r="B23" s="26" t="s">
        <v>598</v>
      </c>
    </row>
    <row r="25" spans="2:4" ht="17.649999999999999" thickBot="1" x14ac:dyDescent="0.6">
      <c r="B25" s="20" t="s">
        <v>599</v>
      </c>
    </row>
    <row r="26" spans="2:4" ht="15" thickTop="1" thickBot="1" x14ac:dyDescent="0.5">
      <c r="B26" s="9" t="s">
        <v>201</v>
      </c>
      <c r="C26" s="9" t="s">
        <v>600</v>
      </c>
    </row>
    <row r="27" spans="2:4" x14ac:dyDescent="0.35">
      <c r="B27" s="10" t="s">
        <v>601</v>
      </c>
      <c r="C27" s="10" t="s">
        <v>602</v>
      </c>
    </row>
    <row r="28" spans="2:4" x14ac:dyDescent="0.35">
      <c r="B28" s="10" t="s">
        <v>603</v>
      </c>
      <c r="C28" s="10" t="s">
        <v>602</v>
      </c>
    </row>
    <row r="29" spans="2:4" x14ac:dyDescent="0.35">
      <c r="B29" s="10" t="s">
        <v>604</v>
      </c>
      <c r="C29" s="10" t="s">
        <v>602</v>
      </c>
    </row>
    <row r="30" spans="2:4" x14ac:dyDescent="0.35">
      <c r="B30" s="10" t="s">
        <v>605</v>
      </c>
      <c r="C30" s="10" t="s">
        <v>602</v>
      </c>
    </row>
    <row r="31" spans="2:4" x14ac:dyDescent="0.35">
      <c r="B31" s="10" t="s">
        <v>606</v>
      </c>
      <c r="C31" s="10" t="s">
        <v>602</v>
      </c>
    </row>
    <row r="32" spans="2:4" x14ac:dyDescent="0.35">
      <c r="B32" s="10" t="s">
        <v>607</v>
      </c>
    </row>
    <row r="33" spans="2:3" x14ac:dyDescent="0.35">
      <c r="B33" s="10" t="s">
        <v>608</v>
      </c>
      <c r="C33" s="10" t="s">
        <v>602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heat_GBR</vt:lpstr>
      <vt:lpstr>grids_GBR</vt:lpstr>
      <vt:lpstr>fuels_GBR</vt:lpstr>
      <vt:lpstr>heat_IRL</vt:lpstr>
      <vt:lpstr>grids_IRL</vt:lpstr>
      <vt:lpstr>fuels_IRL</vt:lpstr>
      <vt:lpstr>system_settings</vt:lpstr>
      <vt:lpstr>TimePeriods</vt:lpstr>
      <vt:lpstr>System Settings</vt:lpstr>
      <vt:lpstr>Constants</vt:lpstr>
      <vt:lpstr>reporting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2026-09-16T05:35:04Z</dcterms:created>
  <dcterms:modified xsi:type="dcterms:W3CDTF">2026-09-16T05:35:26Z</dcterms:modified>
</cp:coreProperties>
</file>