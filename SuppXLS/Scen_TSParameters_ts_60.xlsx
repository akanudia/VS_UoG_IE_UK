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S_UoG_IE_UK\SuppXLS\"/>
    </mc:Choice>
  </mc:AlternateContent>
  <xr:revisionPtr revIDLastSave="0" documentId="13_ncr:1_{77E01FBB-9417-4A37-AD46-3703ACE3E688}" xr6:coauthVersionLast="47" xr6:coauthVersionMax="47" xr10:uidLastSave="{00000000-0000-0000-0000-000000000000}"/>
  <bookViews>
    <workbookView xWindow="-98" yWindow="-98" windowWidth="28996" windowHeight="17475" firstSheet="7" activeTab="7" xr2:uid="{8F5E86C6-4C7D-4C38-8F66-EC2B93ED32C1}"/>
  </bookViews>
  <sheets>
    <sheet name="resource_profiles_GBR" sheetId="2" r:id="rId1"/>
    <sheet name="firmness_GBR" sheetId="3" r:id="rId2"/>
    <sheet name="load_demand_peak_hydro_GBR" sheetId="4" r:id="rId3"/>
    <sheet name="resource_profiles_IRL" sheetId="5" r:id="rId4"/>
    <sheet name="firmness_IRL" sheetId="6" r:id="rId5"/>
    <sheet name="load_demand_peak_hydro_IRL" sheetId="7" r:id="rId6"/>
    <sheet name="ev_charging_uc" sheetId="8" r:id="rId7"/>
    <sheet name="timeslice_def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9" l="1"/>
  <c r="I24" i="8"/>
  <c r="H24" i="8"/>
  <c r="E24" i="8"/>
  <c r="I23" i="8"/>
  <c r="H23" i="8"/>
  <c r="H21" i="8" s="1"/>
  <c r="E23" i="8"/>
  <c r="P9" i="7"/>
  <c r="L9" i="7"/>
  <c r="H9" i="7"/>
  <c r="C9" i="7"/>
  <c r="LL9" i="6"/>
  <c r="JB9" i="6"/>
  <c r="IT9" i="6"/>
  <c r="GI9" i="6"/>
  <c r="DX9" i="6"/>
  <c r="BM9" i="6"/>
  <c r="B9" i="6"/>
  <c r="L9" i="5"/>
  <c r="G9" i="5"/>
  <c r="B9" i="5"/>
  <c r="P9" i="4" l="1"/>
  <c r="L9" i="4"/>
  <c r="H9" i="4"/>
  <c r="C9" i="4"/>
  <c r="LL9" i="3"/>
  <c r="JB9" i="3"/>
  <c r="IT9" i="3"/>
  <c r="GI9" i="3"/>
  <c r="DX9" i="3"/>
  <c r="BM9" i="3"/>
  <c r="B9" i="3"/>
  <c r="L9" i="2"/>
  <c r="G9" i="2"/>
  <c r="B9" i="2"/>
</calcChain>
</file>

<file path=xl/sharedStrings.xml><?xml version="1.0" encoding="utf-8"?>
<sst xmlns="http://schemas.openxmlformats.org/spreadsheetml/2006/main" count="24723" uniqueCount="385">
  <si>
    <t>VERVESTACKS - the open USE platform · Powered by data · Shaped by vision · Guided by intuition · Fueled by passion</t>
  </si>
  <si>
    <t>commodity</t>
  </si>
  <si>
    <t>timeslice</t>
  </si>
  <si>
    <t>com_fr</t>
  </si>
  <si>
    <t>process</t>
  </si>
  <si>
    <t>elc_spv_GBR_001</t>
  </si>
  <si>
    <t>S01aH01</t>
  </si>
  <si>
    <t>IMPNRGZ</t>
  </si>
  <si>
    <t>elc_won_GBR_001</t>
  </si>
  <si>
    <t>elc_wof_GBR_001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</si>
  <si>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</si>
  <si>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</si>
  <si>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</si>
  <si>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</si>
  <si>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</si>
  <si>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</si>
  <si>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</si>
  <si>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</si>
  <si>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</si>
  <si>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</si>
  <si>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</si>
  <si>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</si>
  <si>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</si>
  <si>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</si>
  <si>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</si>
  <si>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</si>
  <si>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</si>
  <si>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</si>
  <si>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</si>
  <si>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</si>
  <si>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</si>
  <si>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</si>
  <si>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</si>
  <si>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</si>
  <si>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</si>
  <si>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</si>
  <si>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</si>
  <si>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</si>
  <si>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</si>
  <si>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</si>
  <si>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</si>
  <si>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</si>
  <si>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</si>
  <si>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</si>
  <si>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</si>
  <si>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</si>
  <si>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</si>
  <si>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</si>
  <si>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</si>
  <si>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</si>
  <si>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</si>
  <si>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</si>
  <si>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</si>
  <si>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</si>
  <si>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</si>
  <si>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</si>
  <si>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</si>
  <si>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</si>
  <si>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</si>
  <si>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</si>
  <si>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</si>
  <si>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</si>
  <si>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</si>
  <si>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</si>
  <si>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</si>
  <si>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</si>
  <si>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</si>
  <si>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</si>
  <si>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</si>
  <si>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elc_spv_GBR_002</t>
  </si>
  <si>
    <t>elc_won_GBR_002</t>
  </si>
  <si>
    <t>elc_wof_GBR_002</t>
  </si>
  <si>
    <t>elc_spv_GBR_003</t>
  </si>
  <si>
    <t>elc_won_GBR_003</t>
  </si>
  <si>
    <t>elc_wof_GBR_003</t>
  </si>
  <si>
    <t>elc_spv_GBR_004</t>
  </si>
  <si>
    <t>elc_won_GBR_004</t>
  </si>
  <si>
    <t>elc_wof_GBR_004</t>
  </si>
  <si>
    <t>elc_spv_GBR_005</t>
  </si>
  <si>
    <t>elc_won_GBR_005</t>
  </si>
  <si>
    <t>elc_wof_GBR_005</t>
  </si>
  <si>
    <t>elc_spv_GBR_006</t>
  </si>
  <si>
    <t>elc_won_GBR_006</t>
  </si>
  <si>
    <t>elc_wof_GBR_006</t>
  </si>
  <si>
    <t>elc_spv_GBR_007</t>
  </si>
  <si>
    <t>elc_won_GBR_007</t>
  </si>
  <si>
    <t>elc_wof_GBR_007</t>
  </si>
  <si>
    <t>elc_spv_GBR_008</t>
  </si>
  <si>
    <t>elc_won_GBR_008</t>
  </si>
  <si>
    <t>elc_wof_GBR_008</t>
  </si>
  <si>
    <t>elc_spv_GBR_009</t>
  </si>
  <si>
    <t>elc_won_GBR_009</t>
  </si>
  <si>
    <t>elc_wof_GBR_009</t>
  </si>
  <si>
    <t>elc_spv_GBR_010</t>
  </si>
  <si>
    <t>elc_won_GBR_010</t>
  </si>
  <si>
    <t>elc_wof_GBR_010</t>
  </si>
  <si>
    <t>elc_spv_GBR_011</t>
  </si>
  <si>
    <t>elc_won_GBR_011</t>
  </si>
  <si>
    <t>elc_wof_GBR_011</t>
  </si>
  <si>
    <t>elc_spv_GBR_012</t>
  </si>
  <si>
    <t>elc_won_GBR_012</t>
  </si>
  <si>
    <t>elc_wof_GBR_012</t>
  </si>
  <si>
    <t>elc_spv_GBR_013</t>
  </si>
  <si>
    <t>elc_won_GBR_013</t>
  </si>
  <si>
    <t>elc_wof_GBR_013</t>
  </si>
  <si>
    <t>elc_spv_GBR_014</t>
  </si>
  <si>
    <t>elc_won_GBR_014</t>
  </si>
  <si>
    <t>elc_wof_GBR_014</t>
  </si>
  <si>
    <t>elc_spv_GBR_015</t>
  </si>
  <si>
    <t>elc_won_GBR_015</t>
  </si>
  <si>
    <t>elc_wof_GBR_015</t>
  </si>
  <si>
    <t>elc_spv_GBR_016</t>
  </si>
  <si>
    <t>elc_won_GBR_016</t>
  </si>
  <si>
    <t>elc_wof_GBR_016</t>
  </si>
  <si>
    <t>elc_spv_GBR_017</t>
  </si>
  <si>
    <t>elc_won_GBR_017</t>
  </si>
  <si>
    <t>elc_wof_GBR_017</t>
  </si>
  <si>
    <t>elc_spv_GBR_018</t>
  </si>
  <si>
    <t>elc_won_GBR_018</t>
  </si>
  <si>
    <t>elc_wof_GBR_018</t>
  </si>
  <si>
    <t>elc_spv_GBR_019</t>
  </si>
  <si>
    <t>elc_won_GBR_019</t>
  </si>
  <si>
    <t>elc_wof_GBR_019</t>
  </si>
  <si>
    <t>elc_spv_GBR_020</t>
  </si>
  <si>
    <t>elc_won_GBR_020</t>
  </si>
  <si>
    <t>elc_wof_GBR_020</t>
  </si>
  <si>
    <t>elc_spv_GBR_021</t>
  </si>
  <si>
    <t>elc_won_GBR_021</t>
  </si>
  <si>
    <t>elc_wof_GBR_021</t>
  </si>
  <si>
    <t>elc_spv_GBR_022</t>
  </si>
  <si>
    <t>elc_won_GBR_022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</si>
  <si>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</si>
  <si>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</si>
  <si>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</si>
  <si>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</si>
  <si>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</si>
  <si>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</si>
  <si>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</si>
  <si>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</si>
  <si>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</si>
  <si>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</si>
  <si>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</si>
  <si>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</si>
  <si>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</si>
  <si>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attribute</t>
  </si>
  <si>
    <t>year</t>
  </si>
  <si>
    <t>limtype</t>
  </si>
  <si>
    <t>value</t>
  </si>
  <si>
    <t>other_indexes</t>
  </si>
  <si>
    <t>ncap_com</t>
  </si>
  <si>
    <t>distr_solelc_spv_GBR_001</t>
  </si>
  <si>
    <t>DEF_E</t>
  </si>
  <si>
    <t>ELC4H</t>
  </si>
  <si>
    <t>ELC8H</t>
  </si>
  <si>
    <t>ELCnH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</si>
  <si>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</si>
  <si>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</si>
  <si>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</si>
  <si>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</si>
  <si>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,S05aH01,S05aH02,S05aH03,S05aH04,S05aH05,S05aH06,S05aH07,S05aH08,S05aH09,S05aH10,S06aH01,S06aH02,S06aH03,S06aH04,S06aH05,S06aH06,S06aH07,S06aH08,S06aH09,S06aH10</t>
  </si>
  <si>
    <t>DEF_C</t>
  </si>
  <si>
    <t>OUT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</si>
  <si>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</si>
  <si>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</si>
  <si>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</si>
  <si>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</si>
  <si>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</si>
  <si>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</si>
  <si>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</si>
  <si>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</si>
  <si>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</si>
  <si>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</si>
  <si>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</si>
  <si>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</si>
  <si>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</si>
  <si>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</si>
  <si>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</si>
  <si>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</si>
  <si>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</si>
  <si>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</si>
  <si>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</si>
  <si>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</si>
  <si>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distr_solelc_spv_GBR_022</t>
  </si>
  <si>
    <t>distr_wofelc_wof_GBR_001</t>
  </si>
  <si>
    <t>distr_wonelc_won_GBR_001</t>
  </si>
  <si>
    <t>distr_wofelc_wof_GBR_002</t>
  </si>
  <si>
    <t>distr_wonelc_won_GBR_002</t>
  </si>
  <si>
    <t>distr_wofelc_wof_GBR_003</t>
  </si>
  <si>
    <t>distr_wonelc_won_GBR_003</t>
  </si>
  <si>
    <t>distr_wofelc_wof_GBR_004</t>
  </si>
  <si>
    <t>distr_wonelc_won_GBR_004</t>
  </si>
  <si>
    <t>distr_wofelc_wof_GBR_005</t>
  </si>
  <si>
    <t>distr_wonelc_won_GBR_005</t>
  </si>
  <si>
    <t>distr_wofelc_wof_GBR_006</t>
  </si>
  <si>
    <t>distr_wonelc_won_GBR_006</t>
  </si>
  <si>
    <t>distr_wofelc_wof_GBR_007</t>
  </si>
  <si>
    <t>distr_wonelc_won_GBR_007</t>
  </si>
  <si>
    <t>distr_wofelc_wof_GBR_008</t>
  </si>
  <si>
    <t>distr_wonelc_won_GBR_008</t>
  </si>
  <si>
    <t>distr_wofelc_wof_GBR_009</t>
  </si>
  <si>
    <t>distr_wonelc_won_GBR_009</t>
  </si>
  <si>
    <t>distr_wofelc_wof_GBR_010</t>
  </si>
  <si>
    <t>distr_wonelc_won_GBR_010</t>
  </si>
  <si>
    <t>distr_wofelc_wof_GBR_011</t>
  </si>
  <si>
    <t>distr_wonelc_won_GBR_011</t>
  </si>
  <si>
    <t>distr_wofelc_wof_GBR_012</t>
  </si>
  <si>
    <t>distr_wonelc_won_GBR_012</t>
  </si>
  <si>
    <t>distr_wofelc_wof_GBR_013</t>
  </si>
  <si>
    <t>distr_wonelc_won_GBR_013</t>
  </si>
  <si>
    <t>distr_wofelc_wof_GBR_014</t>
  </si>
  <si>
    <t>distr_wonelc_won_GBR_014</t>
  </si>
  <si>
    <t>distr_wofelc_wof_GBR_015</t>
  </si>
  <si>
    <t>distr_wonelc_won_GBR_015</t>
  </si>
  <si>
    <t>distr_wofelc_wof_GBR_016</t>
  </si>
  <si>
    <t>distr_wonelc_won_GBR_016</t>
  </si>
  <si>
    <t>distr_wofelc_wof_GBR_017</t>
  </si>
  <si>
    <t>distr_wonelc_won_GBR_017</t>
  </si>
  <si>
    <t>distr_wofelc_wof_GBR_018</t>
  </si>
  <si>
    <t>distr_wonelc_won_GBR_018</t>
  </si>
  <si>
    <t>distr_wofelc_wof_GBR_019</t>
  </si>
  <si>
    <t>distr_wonelc_won_GBR_019</t>
  </si>
  <si>
    <t>distr_wofelc_wof_GBR_020</t>
  </si>
  <si>
    <t>distr_wonelc_won_GBR_020</t>
  </si>
  <si>
    <t>distr_wofelc_wof_GBR_021</t>
  </si>
  <si>
    <t>distr_wonelc_won_GBR_021</t>
  </si>
  <si>
    <t>distr_wofelc_wof_GBR_022</t>
  </si>
  <si>
    <t>distr_wonelc_won_GBR_022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</si>
  <si>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</si>
  <si>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</si>
  <si>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</si>
  <si>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</si>
  <si>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</si>
  <si>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</si>
  <si>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</si>
  <si>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</si>
  <si>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</si>
  <si>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</si>
  <si>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</si>
  <si>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</si>
  <si>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ts_60</t>
  </si>
  <si>
    <t>g_yrfr</t>
  </si>
  <si>
    <t>com_pkflx</t>
  </si>
  <si>
    <t>Year</t>
  </si>
  <si>
    <t>ncap_afs</t>
  </si>
  <si>
    <t>pset_ci</t>
  </si>
  <si>
    <t>elc_roadtransport</t>
  </si>
  <si>
    <t>elc_buildings</t>
  </si>
  <si>
    <t>ELC</t>
  </si>
  <si>
    <t>S01</t>
  </si>
  <si>
    <t>hydro</t>
  </si>
  <si>
    <t>S02</t>
  </si>
  <si>
    <t>S03</t>
  </si>
  <si>
    <t>S04</t>
  </si>
  <si>
    <t>S05</t>
  </si>
  <si>
    <t>S06</t>
  </si>
  <si>
    <t>elc_industry</t>
  </si>
  <si>
    <t>elc_spv_IRL_001</t>
  </si>
  <si>
    <t>elc_won_IRL_001</t>
  </si>
  <si>
    <t>elc_wof_IRL_001</t>
  </si>
  <si>
    <t>elc_spv_IRL_002</t>
  </si>
  <si>
    <t>elc_won_IRL_002</t>
  </si>
  <si>
    <t>elc_wof_IRL_002</t>
  </si>
  <si>
    <t>elc_spv_IRL_003</t>
  </si>
  <si>
    <t>elc_won_IRL_003</t>
  </si>
  <si>
    <t>elc_wof_IRL_003</t>
  </si>
  <si>
    <t>elc_spv_IRL_004</t>
  </si>
  <si>
    <t>elc_won_IRL_004</t>
  </si>
  <si>
    <t>elc_wof_IRL_004</t>
  </si>
  <si>
    <t>elc_spv_IRL_005</t>
  </si>
  <si>
    <t>elc_won_IRL_005</t>
  </si>
  <si>
    <t>elc_wof_IRL_005</t>
  </si>
  <si>
    <t>elc_spv_IRL_006</t>
  </si>
  <si>
    <t>elc_won_IRL_006</t>
  </si>
  <si>
    <t>elc_wof_IRL_006</t>
  </si>
  <si>
    <t>elc_spv_IRL_007</t>
  </si>
  <si>
    <t>elc_won_IRL_007</t>
  </si>
  <si>
    <t>elc_wof_IRL_007</t>
  </si>
  <si>
    <t>elc_spv_IRL_008</t>
  </si>
  <si>
    <t>elc_won_IRL_008</t>
  </si>
  <si>
    <t>elc_wof_IRL_008</t>
  </si>
  <si>
    <t>elc_spv_IRL_009</t>
  </si>
  <si>
    <t>elc_won_IRL_009</t>
  </si>
  <si>
    <t>elc_wof_IRL_009</t>
  </si>
  <si>
    <t>elc_spv_IRL_010</t>
  </si>
  <si>
    <t>elc_won_IRL_010</t>
  </si>
  <si>
    <t>elc_wof_IRL_010</t>
  </si>
  <si>
    <t>elc_wof_IRL_011</t>
  </si>
  <si>
    <t>elc_wof_IRL_012</t>
  </si>
  <si>
    <t>elc_wof_IRL_013</t>
  </si>
  <si>
    <t>elc_wof_IRL_014</t>
  </si>
  <si>
    <t>elc_wof_IRL_015</t>
  </si>
  <si>
    <t>elc_wof_IRL_016</t>
  </si>
  <si>
    <t>elc_wof_IRL_017</t>
  </si>
  <si>
    <t>elc_wof_IRL_018</t>
  </si>
  <si>
    <t>distr_solelc_spv_IRL_001</t>
  </si>
  <si>
    <t>distr_solelc_spv_IRL_002</t>
  </si>
  <si>
    <t>distr_solelc_spv_IRL_003</t>
  </si>
  <si>
    <t>distr_solelc_spv_IRL_004</t>
  </si>
  <si>
    <t>distr_solelc_spv_IRL_005</t>
  </si>
  <si>
    <t>distr_solelc_spv_IRL_006</t>
  </si>
  <si>
    <t>distr_solelc_spv_IRL_007</t>
  </si>
  <si>
    <t>distr_solelc_spv_IRL_008</t>
  </si>
  <si>
    <t>distr_solelc_spv_IRL_009</t>
  </si>
  <si>
    <t>distr_solelc_spv_IRL_010</t>
  </si>
  <si>
    <t>distr_wofelc_wof_IRL_001</t>
  </si>
  <si>
    <t>distr_wonelc_won_IRL_001</t>
  </si>
  <si>
    <t>distr_wofelc_wof_IRL_002</t>
  </si>
  <si>
    <t>distr_wonelc_won_IRL_002</t>
  </si>
  <si>
    <t>distr_wofelc_wof_IRL_003</t>
  </si>
  <si>
    <t>distr_wonelc_won_IRL_003</t>
  </si>
  <si>
    <t>distr_wofelc_wof_IRL_004</t>
  </si>
  <si>
    <t>distr_wonelc_won_IRL_004</t>
  </si>
  <si>
    <t>distr_wofelc_wof_IRL_005</t>
  </si>
  <si>
    <t>distr_wonelc_won_IRL_005</t>
  </si>
  <si>
    <t>distr_wofelc_wof_IRL_006</t>
  </si>
  <si>
    <t>distr_wonelc_won_IRL_006</t>
  </si>
  <si>
    <t>distr_wofelc_wof_IRL_007</t>
  </si>
  <si>
    <t>distr_wonelc_won_IRL_007</t>
  </si>
  <si>
    <t>distr_wofelc_wof_IRL_008</t>
  </si>
  <si>
    <t>distr_wonelc_won_IRL_008</t>
  </si>
  <si>
    <t>distr_wofelc_wof_IRL_009</t>
  </si>
  <si>
    <t>distr_wonelc_won_IRL_009</t>
  </si>
  <si>
    <t>distr_wofelc_wof_IRL_010</t>
  </si>
  <si>
    <t>distr_wonelc_won_IRL_010</t>
  </si>
  <si>
    <t>distr_wofelc_wof_IRL_011</t>
  </si>
  <si>
    <t>distr_wofelc_wof_IRL_012</t>
  </si>
  <si>
    <t>distr_wofelc_wof_IRL_013</t>
  </si>
  <si>
    <t>distr_wofelc_wof_IRL_014</t>
  </si>
  <si>
    <t>distr_wofelc_wof_IRL_015</t>
  </si>
  <si>
    <t>distr_wofelc_wof_IRL_016</t>
  </si>
  <si>
    <t>distr_wofelc_wof_IRL_017</t>
  </si>
  <si>
    <t>distr_wofelc_wof_IRL_018</t>
  </si>
  <si>
    <t>day_night</t>
  </si>
  <si>
    <t>D</t>
  </si>
  <si>
    <t>S01aH05,S01aH08,S02aH08,S03aH06,S03aH07,S06aH05,S01aH04,S01aH07,S02aH07,S02aH04,S02aH05,S06aH07,S04aH03,S03aH03,S04aH02,S04aH06,S05aH04,S06aH02,S06aH03,S01aH02,S04aH04,S04aH05,S04aH08,S02aH06,S03aH05,S03aH08,S04aH07,S05aH05,S06aH04,S06aH08,S03aH04,S02aH02,S06aH06,S01aH03,S05aH02,S05aH03,S05aH06,S01aH06,S02aH03,S05aH07,S03aH02,S05aH08</t>
  </si>
  <si>
    <t>N</t>
  </si>
  <si>
    <t>S01aH02,S05aH10,S01aH09,S03aH08,S03aH10,S06aH08,S02aH01,S02aH10,S05aH02,S02aH02,S04aH10,S06aH10,S01aH10,S03aH02,S06aH09,S01aH08,S02aH08,S05aH08,S03aH09,S05aH09,S02aH09,S04aH09,S05aH01,S03aH01,S01aH01,S04aH01,S06aH02,S04aH02,S04aH08,S06aH01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</si>
  <si>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</si>
  <si>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</si>
  <si>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</si>
  <si>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</si>
  <si>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</si>
  <si>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</si>
  <si>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</si>
  <si>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</si>
  <si>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</si>
  <si>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</si>
  <si>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</si>
  <si>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</si>
  <si>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</si>
  <si>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</si>
  <si>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</si>
  <si>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</si>
  <si>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</si>
  <si>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</si>
  <si>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</si>
  <si>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</si>
  <si>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</si>
  <si>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</si>
  <si>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</si>
  <si>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</si>
  <si>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</si>
  <si>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</si>
  <si>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</si>
  <si>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</si>
  <si>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</si>
  <si>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</si>
  <si>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AuxStoOUT</t>
  </si>
  <si>
    <t>season</t>
  </si>
  <si>
    <t>weekly</t>
  </si>
  <si>
    <t>daynite</t>
  </si>
  <si>
    <t>wparent</t>
  </si>
  <si>
    <t>dparent</t>
  </si>
  <si>
    <t>a</t>
  </si>
  <si>
    <t>H01</t>
  </si>
  <si>
    <t>S01,S02,S03,S04,S05,S06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</si>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</sst>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"/>
  </numFmts>
  <fonts count="9" x14ac:knownFonts="1">
    <font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9"/>
      <color theme="1"/>
      <name val="Segoe UI"/>
      <family val="2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7" fillId="5" borderId="5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</cellStyleXfs>
  <cellXfs count="20">
    <xf numFmtId="0" fontId="0" fillId="0" borderId="0" xfId="0"/>
    <xf numFmtId="0" fontId="2" fillId="0" borderId="0" xfId="0" applyFont="1"/>
    <xf numFmtId="0" fontId="3" fillId="3" borderId="2" xfId="0" applyFont="1" applyFill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165" fontId="4" fillId="4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4" borderId="1" xfId="0" applyNumberFormat="1" applyFont="1" applyFill="1" applyBorder="1"/>
    <xf numFmtId="2" fontId="4" fillId="4" borderId="1" xfId="0" applyNumberFormat="1" applyFont="1" applyFill="1" applyBorder="1"/>
    <xf numFmtId="167" fontId="4" fillId="4" borderId="1" xfId="0" applyNumberFormat="1" applyFont="1" applyFill="1" applyBorder="1"/>
    <xf numFmtId="167" fontId="4" fillId="0" borderId="1" xfId="0" applyNumberFormat="1" applyFont="1" applyBorder="1"/>
    <xf numFmtId="0" fontId="0" fillId="6" borderId="0" xfId="0" applyFill="1"/>
    <xf numFmtId="0" fontId="4" fillId="6" borderId="1" xfId="0" applyFont="1" applyFill="1" applyBorder="1"/>
    <xf numFmtId="0" fontId="7" fillId="5" borderId="5" xfId="1"/>
    <xf numFmtId="0" fontId="8" fillId="0" borderId="0" xfId="0" applyFont="1"/>
    <xf numFmtId="0" fontId="5" fillId="0" borderId="3" xfId="2"/>
    <xf numFmtId="0" fontId="6" fillId="0" borderId="4" xfId="3"/>
    <xf numFmtId="0" fontId="1" fillId="2" borderId="1" xfId="0" applyFont="1" applyFill="1" applyBorder="1" applyAlignment="1">
      <alignment horizontal="left" vertical="center"/>
    </xf>
  </cellXfs>
  <cellStyles count="4">
    <cellStyle name="Heading 2 2" xfId="2" xr:uid="{9570D91B-2389-44F4-8DC7-A6647A0E86DB}"/>
    <cellStyle name="Heading 3 2" xfId="3" xr:uid="{3F60402C-3BB6-41FA-A4A3-B373C8053E84}"/>
    <cellStyle name="Input 2" xfId="1" xr:uid="{C4B5FFB7-95AC-4AB8-AECD-2DAD8F57A90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3A4CD9-F946-47CB-8245-D6FC9822FA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52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79D4B-F0D9-4BAC-924C-B0874B205F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296863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98724-F1B0-4DFF-878B-500B44DB74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6638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ED071B-0974-45FB-B9DD-546054887C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1C5657-A497-472A-B2BF-CE947E7564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D28B1E-D7D4-42CC-9301-C094C4523E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09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1DC1-062E-4C1B-87FC-ADCB30D34BF3}">
  <dimension ref="A1:O2050"/>
  <sheetViews>
    <sheetView workbookViewId="0">
      <selection sqref="A1:H1"/>
    </sheetView>
  </sheetViews>
  <sheetFormatPr defaultRowHeight="14.25" x14ac:dyDescent="0.45"/>
  <cols>
    <col min="2" max="2" width="12.6640625" bestFit="1" customWidth="1"/>
    <col min="3" max="5" width="10.59765625" customWidth="1"/>
    <col min="7" max="7" width="13.33203125" bestFit="1" customWidth="1"/>
    <col min="8" max="10" width="10.59765625" customWidth="1"/>
    <col min="12" max="12" width="12.9296875" bestFit="1" customWidth="1"/>
    <col min="13" max="15" width="10.59765625" customWidth="1"/>
  </cols>
  <sheetData>
    <row r="1" spans="1:15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15" ht="14.65" thickBot="1" x14ac:dyDescent="0.5">
      <c r="B9" s="1" t="str">
        <f>IF(A11="x","DeActivated","~TFM_DINS-AT: region=GBR")</f>
        <v>~TFM_DINS-AT: region=GBR</v>
      </c>
      <c r="G9" s="1" t="str">
        <f>IF(A11="x","DeActivated","~TFM_DINS-AT: region=GBR")</f>
        <v>~TFM_DINS-AT: region=GBR</v>
      </c>
      <c r="L9" s="1" t="str">
        <f>IF(A11="x","DeActivated","~TFM_DINS-AT: region=GBR")</f>
        <v>~TFM_DINS-AT: region=GBR</v>
      </c>
    </row>
    <row r="10" spans="1:15" ht="15.75" thickBot="1" x14ac:dyDescent="0.6">
      <c r="B10" s="2" t="s">
        <v>1</v>
      </c>
      <c r="C10" s="2" t="s">
        <v>2</v>
      </c>
      <c r="D10" s="2" t="s">
        <v>3</v>
      </c>
      <c r="E10" s="2" t="s">
        <v>4</v>
      </c>
      <c r="G10" s="2" t="s">
        <v>1</v>
      </c>
      <c r="H10" s="2" t="s">
        <v>2</v>
      </c>
      <c r="I10" s="2" t="s">
        <v>3</v>
      </c>
      <c r="J10" s="2" t="s">
        <v>4</v>
      </c>
      <c r="L10" s="2" t="s">
        <v>1</v>
      </c>
      <c r="M10" s="2" t="s">
        <v>2</v>
      </c>
      <c r="N10" s="2" t="s">
        <v>3</v>
      </c>
      <c r="O10" s="2" t="s">
        <v>4</v>
      </c>
    </row>
    <row r="11" spans="1:15" x14ac:dyDescent="0.45">
      <c r="B11" s="3" t="s">
        <v>5</v>
      </c>
      <c r="C11" s="3" t="s">
        <v>6</v>
      </c>
      <c r="D11" s="4">
        <v>0</v>
      </c>
      <c r="E11" s="3" t="s">
        <v>7</v>
      </c>
      <c r="G11" s="3" t="s">
        <v>8</v>
      </c>
      <c r="H11" s="3" t="s">
        <v>6</v>
      </c>
      <c r="I11" s="5">
        <v>3.62703783298952E-2</v>
      </c>
      <c r="J11" s="3" t="s">
        <v>7</v>
      </c>
      <c r="L11" s="3" t="s">
        <v>9</v>
      </c>
      <c r="M11" s="3" t="s">
        <v>6</v>
      </c>
      <c r="N11" s="5">
        <v>3.5539076624027985E-2</v>
      </c>
      <c r="O11" s="3" t="s">
        <v>7</v>
      </c>
    </row>
    <row r="12" spans="1:15" x14ac:dyDescent="0.45">
      <c r="B12" s="6" t="s">
        <v>5</v>
      </c>
      <c r="C12" s="6" t="s">
        <v>10</v>
      </c>
      <c r="D12" s="7">
        <v>0</v>
      </c>
      <c r="E12" s="6" t="s">
        <v>7</v>
      </c>
      <c r="G12" s="6" t="s">
        <v>8</v>
      </c>
      <c r="H12" s="6" t="s">
        <v>10</v>
      </c>
      <c r="I12" s="8">
        <v>1.3733735265662295E-2</v>
      </c>
      <c r="J12" s="6" t="s">
        <v>7</v>
      </c>
      <c r="L12" s="6" t="s">
        <v>9</v>
      </c>
      <c r="M12" s="6" t="s">
        <v>10</v>
      </c>
      <c r="N12" s="8">
        <v>1.4134304157117234E-2</v>
      </c>
      <c r="O12" s="6" t="s">
        <v>7</v>
      </c>
    </row>
    <row r="13" spans="1:15" x14ac:dyDescent="0.45">
      <c r="B13" s="3" t="s">
        <v>5</v>
      </c>
      <c r="C13" s="3" t="s">
        <v>11</v>
      </c>
      <c r="D13" s="4">
        <v>3.9398126861923776E-4</v>
      </c>
      <c r="E13" s="3" t="s">
        <v>7</v>
      </c>
      <c r="G13" s="3" t="s">
        <v>8</v>
      </c>
      <c r="H13" s="3" t="s">
        <v>11</v>
      </c>
      <c r="I13" s="5">
        <v>1.3717791631468424E-2</v>
      </c>
      <c r="J13" s="3" t="s">
        <v>7</v>
      </c>
      <c r="L13" s="3" t="s">
        <v>9</v>
      </c>
      <c r="M13" s="3" t="s">
        <v>11</v>
      </c>
      <c r="N13" s="5">
        <v>1.4107381839573442E-2</v>
      </c>
      <c r="O13" s="3" t="s">
        <v>7</v>
      </c>
    </row>
    <row r="14" spans="1:15" x14ac:dyDescent="0.45">
      <c r="B14" s="6" t="s">
        <v>5</v>
      </c>
      <c r="C14" s="6" t="s">
        <v>12</v>
      </c>
      <c r="D14" s="7">
        <v>1.3341128885351607E-2</v>
      </c>
      <c r="E14" s="6" t="s">
        <v>7</v>
      </c>
      <c r="G14" s="6" t="s">
        <v>8</v>
      </c>
      <c r="H14" s="6" t="s">
        <v>12</v>
      </c>
      <c r="I14" s="8">
        <v>1.2844728712824383E-2</v>
      </c>
      <c r="J14" s="6" t="s">
        <v>7</v>
      </c>
      <c r="L14" s="6" t="s">
        <v>9</v>
      </c>
      <c r="M14" s="6" t="s">
        <v>12</v>
      </c>
      <c r="N14" s="8">
        <v>1.4077908787007066E-2</v>
      </c>
      <c r="O14" s="6" t="s">
        <v>7</v>
      </c>
    </row>
    <row r="15" spans="1:15" x14ac:dyDescent="0.45">
      <c r="B15" s="3" t="s">
        <v>5</v>
      </c>
      <c r="C15" s="3" t="s">
        <v>13</v>
      </c>
      <c r="D15" s="4">
        <v>3.0468279104823266E-2</v>
      </c>
      <c r="E15" s="3" t="s">
        <v>7</v>
      </c>
      <c r="G15" s="3" t="s">
        <v>8</v>
      </c>
      <c r="H15" s="3" t="s">
        <v>13</v>
      </c>
      <c r="I15" s="5">
        <v>1.3398072726434456E-2</v>
      </c>
      <c r="J15" s="3" t="s">
        <v>7</v>
      </c>
      <c r="L15" s="3" t="s">
        <v>9</v>
      </c>
      <c r="M15" s="3" t="s">
        <v>13</v>
      </c>
      <c r="N15" s="5">
        <v>1.3786326760765799E-2</v>
      </c>
      <c r="O15" s="3" t="s">
        <v>7</v>
      </c>
    </row>
    <row r="16" spans="1:15" x14ac:dyDescent="0.45">
      <c r="B16" s="6" t="s">
        <v>5</v>
      </c>
      <c r="C16" s="6" t="s">
        <v>14</v>
      </c>
      <c r="D16" s="7">
        <v>3.0662223739198469E-2</v>
      </c>
      <c r="E16" s="6" t="s">
        <v>7</v>
      </c>
      <c r="G16" s="6" t="s">
        <v>8</v>
      </c>
      <c r="H16" s="6" t="s">
        <v>14</v>
      </c>
      <c r="I16" s="8">
        <v>1.3941072447725618E-2</v>
      </c>
      <c r="J16" s="6" t="s">
        <v>7</v>
      </c>
      <c r="L16" s="6" t="s">
        <v>9</v>
      </c>
      <c r="M16" s="6" t="s">
        <v>14</v>
      </c>
      <c r="N16" s="8">
        <v>1.3688534191510913E-2</v>
      </c>
      <c r="O16" s="6" t="s">
        <v>7</v>
      </c>
    </row>
    <row r="17" spans="2:15" x14ac:dyDescent="0.45">
      <c r="B17" s="3" t="s">
        <v>5</v>
      </c>
      <c r="C17" s="3" t="s">
        <v>15</v>
      </c>
      <c r="D17" s="4">
        <v>1.6549975735292505E-2</v>
      </c>
      <c r="E17" s="3" t="s">
        <v>7</v>
      </c>
      <c r="G17" s="3" t="s">
        <v>8</v>
      </c>
      <c r="H17" s="3" t="s">
        <v>15</v>
      </c>
      <c r="I17" s="5">
        <v>1.4094758594155416E-2</v>
      </c>
      <c r="J17" s="3" t="s">
        <v>7</v>
      </c>
      <c r="L17" s="3" t="s">
        <v>9</v>
      </c>
      <c r="M17" s="3" t="s">
        <v>15</v>
      </c>
      <c r="N17" s="5">
        <v>1.383197871466771E-2</v>
      </c>
      <c r="O17" s="3" t="s">
        <v>7</v>
      </c>
    </row>
    <row r="18" spans="2:15" x14ac:dyDescent="0.45">
      <c r="B18" s="6" t="s">
        <v>5</v>
      </c>
      <c r="C18" s="6" t="s">
        <v>16</v>
      </c>
      <c r="D18" s="7">
        <v>1.6373579792604293E-3</v>
      </c>
      <c r="E18" s="6" t="s">
        <v>7</v>
      </c>
      <c r="G18" s="6" t="s">
        <v>8</v>
      </c>
      <c r="H18" s="6" t="s">
        <v>16</v>
      </c>
      <c r="I18" s="8">
        <v>1.4467203637560327E-2</v>
      </c>
      <c r="J18" s="6" t="s">
        <v>7</v>
      </c>
      <c r="L18" s="6" t="s">
        <v>9</v>
      </c>
      <c r="M18" s="6" t="s">
        <v>16</v>
      </c>
      <c r="N18" s="8">
        <v>1.4147478411382574E-2</v>
      </c>
      <c r="O18" s="6" t="s">
        <v>7</v>
      </c>
    </row>
    <row r="19" spans="2:15" x14ac:dyDescent="0.45">
      <c r="B19" s="3" t="s">
        <v>5</v>
      </c>
      <c r="C19" s="3" t="s">
        <v>17</v>
      </c>
      <c r="D19" s="4">
        <v>0</v>
      </c>
      <c r="E19" s="3" t="s">
        <v>7</v>
      </c>
      <c r="G19" s="3" t="s">
        <v>8</v>
      </c>
      <c r="H19" s="3" t="s">
        <v>17</v>
      </c>
      <c r="I19" s="5">
        <v>1.5227508001201239E-2</v>
      </c>
      <c r="J19" s="3" t="s">
        <v>7</v>
      </c>
      <c r="L19" s="3" t="s">
        <v>9</v>
      </c>
      <c r="M19" s="3" t="s">
        <v>17</v>
      </c>
      <c r="N19" s="5">
        <v>1.4576066083252348E-2</v>
      </c>
      <c r="O19" s="3" t="s">
        <v>7</v>
      </c>
    </row>
    <row r="20" spans="2:15" x14ac:dyDescent="0.45">
      <c r="B20" s="6" t="s">
        <v>5</v>
      </c>
      <c r="C20" s="6" t="s">
        <v>18</v>
      </c>
      <c r="D20" s="7">
        <v>0</v>
      </c>
      <c r="E20" s="6" t="s">
        <v>7</v>
      </c>
      <c r="G20" s="6" t="s">
        <v>8</v>
      </c>
      <c r="H20" s="6" t="s">
        <v>18</v>
      </c>
      <c r="I20" s="8">
        <v>2.2732374194001898E-2</v>
      </c>
      <c r="J20" s="6" t="s">
        <v>7</v>
      </c>
      <c r="L20" s="6" t="s">
        <v>9</v>
      </c>
      <c r="M20" s="6" t="s">
        <v>18</v>
      </c>
      <c r="N20" s="8">
        <v>2.1988871406177401E-2</v>
      </c>
      <c r="O20" s="6" t="s">
        <v>7</v>
      </c>
    </row>
    <row r="21" spans="2:15" x14ac:dyDescent="0.45">
      <c r="B21" s="3" t="s">
        <v>5</v>
      </c>
      <c r="C21" s="3" t="s">
        <v>19</v>
      </c>
      <c r="D21" s="4">
        <v>0</v>
      </c>
      <c r="E21" s="3" t="s">
        <v>7</v>
      </c>
      <c r="G21" s="3" t="s">
        <v>8</v>
      </c>
      <c r="H21" s="3" t="s">
        <v>19</v>
      </c>
      <c r="I21" s="5">
        <v>3.6209724238011227E-2</v>
      </c>
      <c r="J21" s="3" t="s">
        <v>7</v>
      </c>
      <c r="L21" s="3" t="s">
        <v>9</v>
      </c>
      <c r="M21" s="3" t="s">
        <v>19</v>
      </c>
      <c r="N21" s="5">
        <v>3.7006498740152313E-2</v>
      </c>
      <c r="O21" s="3" t="s">
        <v>7</v>
      </c>
    </row>
    <row r="22" spans="2:15" x14ac:dyDescent="0.45">
      <c r="B22" s="6" t="s">
        <v>5</v>
      </c>
      <c r="C22" s="6" t="s">
        <v>20</v>
      </c>
      <c r="D22" s="7">
        <v>1.9046348054468102E-4</v>
      </c>
      <c r="E22" s="6" t="s">
        <v>7</v>
      </c>
      <c r="G22" s="6" t="s">
        <v>8</v>
      </c>
      <c r="H22" s="6" t="s">
        <v>20</v>
      </c>
      <c r="I22" s="8">
        <v>1.4596633817003619E-2</v>
      </c>
      <c r="J22" s="6" t="s">
        <v>7</v>
      </c>
      <c r="L22" s="6" t="s">
        <v>9</v>
      </c>
      <c r="M22" s="6" t="s">
        <v>20</v>
      </c>
      <c r="N22" s="8">
        <v>1.5094146427855778E-2</v>
      </c>
      <c r="O22" s="6" t="s">
        <v>7</v>
      </c>
    </row>
    <row r="23" spans="2:15" x14ac:dyDescent="0.45">
      <c r="B23" s="3" t="s">
        <v>5</v>
      </c>
      <c r="C23" s="3" t="s">
        <v>21</v>
      </c>
      <c r="D23" s="4">
        <v>1.125000486235251E-2</v>
      </c>
      <c r="E23" s="3" t="s">
        <v>7</v>
      </c>
      <c r="G23" s="3" t="s">
        <v>8</v>
      </c>
      <c r="H23" s="3" t="s">
        <v>21</v>
      </c>
      <c r="I23" s="5">
        <v>1.4336162068876383E-2</v>
      </c>
      <c r="J23" s="3" t="s">
        <v>7</v>
      </c>
      <c r="L23" s="3" t="s">
        <v>9</v>
      </c>
      <c r="M23" s="3" t="s">
        <v>21</v>
      </c>
      <c r="N23" s="5">
        <v>1.5244148762721335E-2</v>
      </c>
      <c r="O23" s="3" t="s">
        <v>7</v>
      </c>
    </row>
    <row r="24" spans="2:15" x14ac:dyDescent="0.45">
      <c r="B24" s="6" t="s">
        <v>5</v>
      </c>
      <c r="C24" s="6" t="s">
        <v>22</v>
      </c>
      <c r="D24" s="7">
        <v>3.6336510226774713E-2</v>
      </c>
      <c r="E24" s="6" t="s">
        <v>7</v>
      </c>
      <c r="G24" s="6" t="s">
        <v>8</v>
      </c>
      <c r="H24" s="6" t="s">
        <v>22</v>
      </c>
      <c r="I24" s="8">
        <v>1.5299264599828279E-2</v>
      </c>
      <c r="J24" s="6" t="s">
        <v>7</v>
      </c>
      <c r="L24" s="6" t="s">
        <v>9</v>
      </c>
      <c r="M24" s="6" t="s">
        <v>22</v>
      </c>
      <c r="N24" s="8">
        <v>1.4859446133911091E-2</v>
      </c>
      <c r="O24" s="6" t="s">
        <v>7</v>
      </c>
    </row>
    <row r="25" spans="2:15" x14ac:dyDescent="0.45">
      <c r="B25" s="3" t="s">
        <v>5</v>
      </c>
      <c r="C25" s="3" t="s">
        <v>23</v>
      </c>
      <c r="D25" s="4">
        <v>5.048991930187529E-2</v>
      </c>
      <c r="E25" s="3" t="s">
        <v>7</v>
      </c>
      <c r="G25" s="3" t="s">
        <v>8</v>
      </c>
      <c r="H25" s="3" t="s">
        <v>23</v>
      </c>
      <c r="I25" s="5">
        <v>1.5987780638605918E-2</v>
      </c>
      <c r="J25" s="3" t="s">
        <v>7</v>
      </c>
      <c r="L25" s="3" t="s">
        <v>9</v>
      </c>
      <c r="M25" s="3" t="s">
        <v>23</v>
      </c>
      <c r="N25" s="5">
        <v>1.4441537726323821E-2</v>
      </c>
      <c r="O25" s="3" t="s">
        <v>7</v>
      </c>
    </row>
    <row r="26" spans="2:15" x14ac:dyDescent="0.45">
      <c r="B26" s="6" t="s">
        <v>5</v>
      </c>
      <c r="C26" s="6" t="s">
        <v>24</v>
      </c>
      <c r="D26" s="7">
        <v>5.0238985973826492E-2</v>
      </c>
      <c r="E26" s="6" t="s">
        <v>7</v>
      </c>
      <c r="G26" s="6" t="s">
        <v>8</v>
      </c>
      <c r="H26" s="6" t="s">
        <v>24</v>
      </c>
      <c r="I26" s="8">
        <v>1.6224665096547877E-2</v>
      </c>
      <c r="J26" s="6" t="s">
        <v>7</v>
      </c>
      <c r="L26" s="6" t="s">
        <v>9</v>
      </c>
      <c r="M26" s="6" t="s">
        <v>24</v>
      </c>
      <c r="N26" s="8">
        <v>1.4322214618802937E-2</v>
      </c>
      <c r="O26" s="6" t="s">
        <v>7</v>
      </c>
    </row>
    <row r="27" spans="2:15" x14ac:dyDescent="0.45">
      <c r="B27" s="3" t="s">
        <v>5</v>
      </c>
      <c r="C27" s="3" t="s">
        <v>25</v>
      </c>
      <c r="D27" s="4">
        <v>3.5895186559530105E-2</v>
      </c>
      <c r="E27" s="3" t="s">
        <v>7</v>
      </c>
      <c r="G27" s="3" t="s">
        <v>8</v>
      </c>
      <c r="H27" s="3" t="s">
        <v>25</v>
      </c>
      <c r="I27" s="5">
        <v>1.6069578590517764E-2</v>
      </c>
      <c r="J27" s="3" t="s">
        <v>7</v>
      </c>
      <c r="L27" s="3" t="s">
        <v>9</v>
      </c>
      <c r="M27" s="3" t="s">
        <v>25</v>
      </c>
      <c r="N27" s="5">
        <v>1.4533338694750415E-2</v>
      </c>
      <c r="O27" s="3" t="s">
        <v>7</v>
      </c>
    </row>
    <row r="28" spans="2:15" x14ac:dyDescent="0.45">
      <c r="B28" s="6" t="s">
        <v>5</v>
      </c>
      <c r="C28" s="6" t="s">
        <v>26</v>
      </c>
      <c r="D28" s="7">
        <v>1.2211255697861634E-2</v>
      </c>
      <c r="E28" s="6" t="s">
        <v>7</v>
      </c>
      <c r="G28" s="6" t="s">
        <v>8</v>
      </c>
      <c r="H28" s="6" t="s">
        <v>26</v>
      </c>
      <c r="I28" s="8">
        <v>1.5603371761635365E-2</v>
      </c>
      <c r="J28" s="6" t="s">
        <v>7</v>
      </c>
      <c r="L28" s="6" t="s">
        <v>9</v>
      </c>
      <c r="M28" s="6" t="s">
        <v>26</v>
      </c>
      <c r="N28" s="8">
        <v>1.4908402538788442E-2</v>
      </c>
      <c r="O28" s="6" t="s">
        <v>7</v>
      </c>
    </row>
    <row r="29" spans="2:15" x14ac:dyDescent="0.45">
      <c r="B29" s="3" t="s">
        <v>5</v>
      </c>
      <c r="C29" s="3" t="s">
        <v>27</v>
      </c>
      <c r="D29" s="4">
        <v>1.9817576490323215E-4</v>
      </c>
      <c r="E29" s="3" t="s">
        <v>7</v>
      </c>
      <c r="G29" s="3" t="s">
        <v>8</v>
      </c>
      <c r="H29" s="3" t="s">
        <v>27</v>
      </c>
      <c r="I29" s="5">
        <v>1.5585366951545589E-2</v>
      </c>
      <c r="J29" s="3" t="s">
        <v>7</v>
      </c>
      <c r="L29" s="3" t="s">
        <v>9</v>
      </c>
      <c r="M29" s="3" t="s">
        <v>27</v>
      </c>
      <c r="N29" s="5">
        <v>1.5089000351743573E-2</v>
      </c>
      <c r="O29" s="3" t="s">
        <v>7</v>
      </c>
    </row>
    <row r="30" spans="2:15" x14ac:dyDescent="0.45">
      <c r="B30" s="6" t="s">
        <v>5</v>
      </c>
      <c r="C30" s="6" t="s">
        <v>28</v>
      </c>
      <c r="D30" s="7">
        <v>0</v>
      </c>
      <c r="E30" s="6" t="s">
        <v>7</v>
      </c>
      <c r="G30" s="6" t="s">
        <v>8</v>
      </c>
      <c r="H30" s="6" t="s">
        <v>28</v>
      </c>
      <c r="I30" s="8">
        <v>2.229726570840378E-2</v>
      </c>
      <c r="J30" s="6" t="s">
        <v>7</v>
      </c>
      <c r="L30" s="6" t="s">
        <v>9</v>
      </c>
      <c r="M30" s="6" t="s">
        <v>28</v>
      </c>
      <c r="N30" s="8">
        <v>2.2081014964481772E-2</v>
      </c>
      <c r="O30" s="6" t="s">
        <v>7</v>
      </c>
    </row>
    <row r="31" spans="2:15" x14ac:dyDescent="0.45">
      <c r="B31" s="3" t="s">
        <v>5</v>
      </c>
      <c r="C31" s="3" t="s">
        <v>29</v>
      </c>
      <c r="D31" s="4">
        <v>0</v>
      </c>
      <c r="E31" s="3" t="s">
        <v>7</v>
      </c>
      <c r="G31" s="3" t="s">
        <v>8</v>
      </c>
      <c r="H31" s="3" t="s">
        <v>29</v>
      </c>
      <c r="I31" s="5">
        <v>3.1243395338159653E-2</v>
      </c>
      <c r="J31" s="3" t="s">
        <v>7</v>
      </c>
      <c r="L31" s="3" t="s">
        <v>9</v>
      </c>
      <c r="M31" s="3" t="s">
        <v>29</v>
      </c>
      <c r="N31" s="5">
        <v>3.0235458444499777E-2</v>
      </c>
      <c r="O31" s="3" t="s">
        <v>7</v>
      </c>
    </row>
    <row r="32" spans="2:15" x14ac:dyDescent="0.45">
      <c r="B32" s="6" t="s">
        <v>5</v>
      </c>
      <c r="C32" s="6" t="s">
        <v>30</v>
      </c>
      <c r="D32" s="7">
        <v>2.3087185874394504E-3</v>
      </c>
      <c r="E32" s="6" t="s">
        <v>7</v>
      </c>
      <c r="G32" s="6" t="s">
        <v>8</v>
      </c>
      <c r="H32" s="6" t="s">
        <v>30</v>
      </c>
      <c r="I32" s="8">
        <v>1.1710201465216926E-2</v>
      </c>
      <c r="J32" s="6" t="s">
        <v>7</v>
      </c>
      <c r="L32" s="6" t="s">
        <v>9</v>
      </c>
      <c r="M32" s="6" t="s">
        <v>30</v>
      </c>
      <c r="N32" s="8">
        <v>1.268234908529035E-2</v>
      </c>
      <c r="O32" s="6" t="s">
        <v>7</v>
      </c>
    </row>
    <row r="33" spans="2:15" x14ac:dyDescent="0.45">
      <c r="B33" s="3" t="s">
        <v>5</v>
      </c>
      <c r="C33" s="3" t="s">
        <v>31</v>
      </c>
      <c r="D33" s="4">
        <v>1.9343789584437013E-2</v>
      </c>
      <c r="E33" s="3" t="s">
        <v>7</v>
      </c>
      <c r="G33" s="3" t="s">
        <v>8</v>
      </c>
      <c r="H33" s="3" t="s">
        <v>31</v>
      </c>
      <c r="I33" s="5">
        <v>1.2448370086608774E-2</v>
      </c>
      <c r="J33" s="3" t="s">
        <v>7</v>
      </c>
      <c r="L33" s="3" t="s">
        <v>9</v>
      </c>
      <c r="M33" s="3" t="s">
        <v>31</v>
      </c>
      <c r="N33" s="5">
        <v>1.2697483411630841E-2</v>
      </c>
      <c r="O33" s="3" t="s">
        <v>7</v>
      </c>
    </row>
    <row r="34" spans="2:15" x14ac:dyDescent="0.45">
      <c r="B34" s="6" t="s">
        <v>5</v>
      </c>
      <c r="C34" s="6" t="s">
        <v>32</v>
      </c>
      <c r="D34" s="7">
        <v>4.1356697728525328E-2</v>
      </c>
      <c r="E34" s="6" t="s">
        <v>7</v>
      </c>
      <c r="G34" s="6" t="s">
        <v>8</v>
      </c>
      <c r="H34" s="6" t="s">
        <v>32</v>
      </c>
      <c r="I34" s="8">
        <v>1.1810951064053034E-2</v>
      </c>
      <c r="J34" s="6" t="s">
        <v>7</v>
      </c>
      <c r="L34" s="6" t="s">
        <v>9</v>
      </c>
      <c r="M34" s="6" t="s">
        <v>32</v>
      </c>
      <c r="N34" s="8">
        <v>1.2036854398211554E-2</v>
      </c>
      <c r="O34" s="6" t="s">
        <v>7</v>
      </c>
    </row>
    <row r="35" spans="2:15" x14ac:dyDescent="0.45">
      <c r="B35" s="3" t="s">
        <v>5</v>
      </c>
      <c r="C35" s="3" t="s">
        <v>33</v>
      </c>
      <c r="D35" s="4">
        <v>5.4827733611298335E-2</v>
      </c>
      <c r="E35" s="3" t="s">
        <v>7</v>
      </c>
      <c r="G35" s="3" t="s">
        <v>8</v>
      </c>
      <c r="H35" s="3" t="s">
        <v>33</v>
      </c>
      <c r="I35" s="5">
        <v>1.2119086004225933E-2</v>
      </c>
      <c r="J35" s="3" t="s">
        <v>7</v>
      </c>
      <c r="L35" s="3" t="s">
        <v>9</v>
      </c>
      <c r="M35" s="3" t="s">
        <v>33</v>
      </c>
      <c r="N35" s="5">
        <v>1.1097000721103017E-2</v>
      </c>
      <c r="O35" s="3" t="s">
        <v>7</v>
      </c>
    </row>
    <row r="36" spans="2:15" x14ac:dyDescent="0.45">
      <c r="B36" s="6" t="s">
        <v>5</v>
      </c>
      <c r="C36" s="6" t="s">
        <v>34</v>
      </c>
      <c r="D36" s="7">
        <v>5.4810341866123026E-2</v>
      </c>
      <c r="E36" s="6" t="s">
        <v>7</v>
      </c>
      <c r="G36" s="6" t="s">
        <v>8</v>
      </c>
      <c r="H36" s="6" t="s">
        <v>34</v>
      </c>
      <c r="I36" s="8">
        <v>1.3023872103236692E-2</v>
      </c>
      <c r="J36" s="6" t="s">
        <v>7</v>
      </c>
      <c r="L36" s="6" t="s">
        <v>9</v>
      </c>
      <c r="M36" s="6" t="s">
        <v>34</v>
      </c>
      <c r="N36" s="8">
        <v>1.1022091031568423E-2</v>
      </c>
      <c r="O36" s="6" t="s">
        <v>7</v>
      </c>
    </row>
    <row r="37" spans="2:15" x14ac:dyDescent="0.45">
      <c r="B37" s="3" t="s">
        <v>5</v>
      </c>
      <c r="C37" s="3" t="s">
        <v>35</v>
      </c>
      <c r="D37" s="4">
        <v>4.0391607394224087E-2</v>
      </c>
      <c r="E37" s="3" t="s">
        <v>7</v>
      </c>
      <c r="G37" s="3" t="s">
        <v>8</v>
      </c>
      <c r="H37" s="3" t="s">
        <v>35</v>
      </c>
      <c r="I37" s="5">
        <v>1.3697705358526678E-2</v>
      </c>
      <c r="J37" s="3" t="s">
        <v>7</v>
      </c>
      <c r="L37" s="3" t="s">
        <v>9</v>
      </c>
      <c r="M37" s="3" t="s">
        <v>35</v>
      </c>
      <c r="N37" s="5">
        <v>1.143508604788529E-2</v>
      </c>
      <c r="O37" s="3" t="s">
        <v>7</v>
      </c>
    </row>
    <row r="38" spans="2:15" x14ac:dyDescent="0.45">
      <c r="B38" s="6" t="s">
        <v>5</v>
      </c>
      <c r="C38" s="6" t="s">
        <v>36</v>
      </c>
      <c r="D38" s="7">
        <v>1.8677466339239827E-2</v>
      </c>
      <c r="E38" s="6" t="s">
        <v>7</v>
      </c>
      <c r="G38" s="6" t="s">
        <v>8</v>
      </c>
      <c r="H38" s="6" t="s">
        <v>36</v>
      </c>
      <c r="I38" s="8">
        <v>1.3525373383677592E-2</v>
      </c>
      <c r="J38" s="6" t="s">
        <v>7</v>
      </c>
      <c r="L38" s="6" t="s">
        <v>9</v>
      </c>
      <c r="M38" s="6" t="s">
        <v>36</v>
      </c>
      <c r="N38" s="8">
        <v>1.1649138061876358E-2</v>
      </c>
      <c r="O38" s="6" t="s">
        <v>7</v>
      </c>
    </row>
    <row r="39" spans="2:15" x14ac:dyDescent="0.45">
      <c r="B39" s="3" t="s">
        <v>5</v>
      </c>
      <c r="C39" s="3" t="s">
        <v>37</v>
      </c>
      <c r="D39" s="4">
        <v>2.2664751655433152E-3</v>
      </c>
      <c r="E39" s="3" t="s">
        <v>7</v>
      </c>
      <c r="G39" s="3" t="s">
        <v>8</v>
      </c>
      <c r="H39" s="3" t="s">
        <v>37</v>
      </c>
      <c r="I39" s="5">
        <v>1.3087954072527375E-2</v>
      </c>
      <c r="J39" s="3" t="s">
        <v>7</v>
      </c>
      <c r="L39" s="3" t="s">
        <v>9</v>
      </c>
      <c r="M39" s="3" t="s">
        <v>37</v>
      </c>
      <c r="N39" s="5">
        <v>1.1777114575790818E-2</v>
      </c>
      <c r="O39" s="3" t="s">
        <v>7</v>
      </c>
    </row>
    <row r="40" spans="2:15" x14ac:dyDescent="0.45">
      <c r="B40" s="6" t="s">
        <v>5</v>
      </c>
      <c r="C40" s="6" t="s">
        <v>38</v>
      </c>
      <c r="D40" s="7">
        <v>0</v>
      </c>
      <c r="E40" s="6" t="s">
        <v>7</v>
      </c>
      <c r="G40" s="6" t="s">
        <v>8</v>
      </c>
      <c r="H40" s="6" t="s">
        <v>38</v>
      </c>
      <c r="I40" s="8">
        <v>2.0112524380610064E-2</v>
      </c>
      <c r="J40" s="6" t="s">
        <v>7</v>
      </c>
      <c r="L40" s="6" t="s">
        <v>9</v>
      </c>
      <c r="M40" s="6" t="s">
        <v>38</v>
      </c>
      <c r="N40" s="8">
        <v>1.7672153814900216E-2</v>
      </c>
      <c r="O40" s="6" t="s">
        <v>7</v>
      </c>
    </row>
    <row r="41" spans="2:15" x14ac:dyDescent="0.45">
      <c r="B41" s="3" t="s">
        <v>5</v>
      </c>
      <c r="C41" s="3" t="s">
        <v>39</v>
      </c>
      <c r="D41" s="4">
        <v>0</v>
      </c>
      <c r="E41" s="3" t="s">
        <v>7</v>
      </c>
      <c r="G41" s="3" t="s">
        <v>8</v>
      </c>
      <c r="H41" s="3" t="s">
        <v>39</v>
      </c>
      <c r="I41" s="5">
        <v>2.2312789770898615E-2</v>
      </c>
      <c r="J41" s="3" t="s">
        <v>7</v>
      </c>
      <c r="L41" s="3" t="s">
        <v>9</v>
      </c>
      <c r="M41" s="3" t="s">
        <v>39</v>
      </c>
      <c r="N41" s="5">
        <v>2.3601405185155497E-2</v>
      </c>
      <c r="O41" s="3" t="s">
        <v>7</v>
      </c>
    </row>
    <row r="42" spans="2:15" x14ac:dyDescent="0.45">
      <c r="B42" s="6" t="s">
        <v>5</v>
      </c>
      <c r="C42" s="6" t="s">
        <v>40</v>
      </c>
      <c r="D42" s="7">
        <v>1.4083171370869465E-3</v>
      </c>
      <c r="E42" s="6" t="s">
        <v>7</v>
      </c>
      <c r="G42" s="6" t="s">
        <v>8</v>
      </c>
      <c r="H42" s="6" t="s">
        <v>40</v>
      </c>
      <c r="I42" s="8">
        <v>7.6495126253394111E-3</v>
      </c>
      <c r="J42" s="6" t="s">
        <v>7</v>
      </c>
      <c r="L42" s="6" t="s">
        <v>9</v>
      </c>
      <c r="M42" s="6" t="s">
        <v>40</v>
      </c>
      <c r="N42" s="8">
        <v>8.6955408257520534E-3</v>
      </c>
      <c r="O42" s="6" t="s">
        <v>7</v>
      </c>
    </row>
    <row r="43" spans="2:15" x14ac:dyDescent="0.45">
      <c r="B43" s="3" t="s">
        <v>5</v>
      </c>
      <c r="C43" s="3" t="s">
        <v>41</v>
      </c>
      <c r="D43" s="4">
        <v>1.7514822334607522E-2</v>
      </c>
      <c r="E43" s="3" t="s">
        <v>7</v>
      </c>
      <c r="G43" s="3" t="s">
        <v>8</v>
      </c>
      <c r="H43" s="3" t="s">
        <v>41</v>
      </c>
      <c r="I43" s="5">
        <v>7.2113510266101303E-3</v>
      </c>
      <c r="J43" s="3" t="s">
        <v>7</v>
      </c>
      <c r="L43" s="3" t="s">
        <v>9</v>
      </c>
      <c r="M43" s="3" t="s">
        <v>41</v>
      </c>
      <c r="N43" s="5">
        <v>8.5962535968188234E-3</v>
      </c>
      <c r="O43" s="3" t="s">
        <v>7</v>
      </c>
    </row>
    <row r="44" spans="2:15" x14ac:dyDescent="0.45">
      <c r="B44" s="6" t="s">
        <v>5</v>
      </c>
      <c r="C44" s="6" t="s">
        <v>42</v>
      </c>
      <c r="D44" s="7">
        <v>4.5147183316552424E-2</v>
      </c>
      <c r="E44" s="6" t="s">
        <v>7</v>
      </c>
      <c r="G44" s="6" t="s">
        <v>8</v>
      </c>
      <c r="H44" s="6" t="s">
        <v>42</v>
      </c>
      <c r="I44" s="8">
        <v>7.360366197898721E-3</v>
      </c>
      <c r="J44" s="6" t="s">
        <v>7</v>
      </c>
      <c r="L44" s="6" t="s">
        <v>9</v>
      </c>
      <c r="M44" s="6" t="s">
        <v>42</v>
      </c>
      <c r="N44" s="8">
        <v>8.1678292136926241E-3</v>
      </c>
      <c r="O44" s="6" t="s">
        <v>7</v>
      </c>
    </row>
    <row r="45" spans="2:15" x14ac:dyDescent="0.45">
      <c r="B45" s="3" t="s">
        <v>5</v>
      </c>
      <c r="C45" s="3" t="s">
        <v>43</v>
      </c>
      <c r="D45" s="4">
        <v>5.9960067552389487E-2</v>
      </c>
      <c r="E45" s="3" t="s">
        <v>7</v>
      </c>
      <c r="G45" s="3" t="s">
        <v>8</v>
      </c>
      <c r="H45" s="3" t="s">
        <v>43</v>
      </c>
      <c r="I45" s="5">
        <v>7.9621884036138423E-3</v>
      </c>
      <c r="J45" s="3" t="s">
        <v>7</v>
      </c>
      <c r="L45" s="3" t="s">
        <v>9</v>
      </c>
      <c r="M45" s="3" t="s">
        <v>43</v>
      </c>
      <c r="N45" s="5">
        <v>7.7061734781428753E-3</v>
      </c>
      <c r="O45" s="3" t="s">
        <v>7</v>
      </c>
    </row>
    <row r="46" spans="2:15" x14ac:dyDescent="0.45">
      <c r="B46" s="6" t="s">
        <v>5</v>
      </c>
      <c r="C46" s="6" t="s">
        <v>44</v>
      </c>
      <c r="D46" s="7">
        <v>5.7450703192426129E-2</v>
      </c>
      <c r="E46" s="6" t="s">
        <v>7</v>
      </c>
      <c r="G46" s="6" t="s">
        <v>8</v>
      </c>
      <c r="H46" s="6" t="s">
        <v>44</v>
      </c>
      <c r="I46" s="8">
        <v>8.9072506242175113E-3</v>
      </c>
      <c r="J46" s="6" t="s">
        <v>7</v>
      </c>
      <c r="L46" s="6" t="s">
        <v>9</v>
      </c>
      <c r="M46" s="6" t="s">
        <v>44</v>
      </c>
      <c r="N46" s="8">
        <v>7.6347978417163646E-3</v>
      </c>
      <c r="O46" s="6" t="s">
        <v>7</v>
      </c>
    </row>
    <row r="47" spans="2:15" x14ac:dyDescent="0.45">
      <c r="B47" s="3" t="s">
        <v>5</v>
      </c>
      <c r="C47" s="3" t="s">
        <v>45</v>
      </c>
      <c r="D47" s="4">
        <v>4.3407787528605156E-2</v>
      </c>
      <c r="E47" s="3" t="s">
        <v>7</v>
      </c>
      <c r="G47" s="3" t="s">
        <v>8</v>
      </c>
      <c r="H47" s="3" t="s">
        <v>45</v>
      </c>
      <c r="I47" s="5">
        <v>9.0626057931481423E-3</v>
      </c>
      <c r="J47" s="3" t="s">
        <v>7</v>
      </c>
      <c r="L47" s="3" t="s">
        <v>9</v>
      </c>
      <c r="M47" s="3" t="s">
        <v>45</v>
      </c>
      <c r="N47" s="5">
        <v>7.6739993042107321E-3</v>
      </c>
      <c r="O47" s="3" t="s">
        <v>7</v>
      </c>
    </row>
    <row r="48" spans="2:15" x14ac:dyDescent="0.45">
      <c r="B48" s="6" t="s">
        <v>5</v>
      </c>
      <c r="C48" s="6" t="s">
        <v>46</v>
      </c>
      <c r="D48" s="7">
        <v>1.9749432045201409E-2</v>
      </c>
      <c r="E48" s="6" t="s">
        <v>7</v>
      </c>
      <c r="G48" s="6" t="s">
        <v>8</v>
      </c>
      <c r="H48" s="6" t="s">
        <v>46</v>
      </c>
      <c r="I48" s="8">
        <v>8.4814393985123259E-3</v>
      </c>
      <c r="J48" s="6" t="s">
        <v>7</v>
      </c>
      <c r="L48" s="6" t="s">
        <v>9</v>
      </c>
      <c r="M48" s="6" t="s">
        <v>46</v>
      </c>
      <c r="N48" s="8">
        <v>8.1416814649524858E-3</v>
      </c>
      <c r="O48" s="6" t="s">
        <v>7</v>
      </c>
    </row>
    <row r="49" spans="2:15" x14ac:dyDescent="0.45">
      <c r="B49" s="3" t="s">
        <v>5</v>
      </c>
      <c r="C49" s="3" t="s">
        <v>47</v>
      </c>
      <c r="D49" s="4">
        <v>1.8604499937233962E-3</v>
      </c>
      <c r="E49" s="3" t="s">
        <v>7</v>
      </c>
      <c r="G49" s="3" t="s">
        <v>8</v>
      </c>
      <c r="H49" s="3" t="s">
        <v>47</v>
      </c>
      <c r="I49" s="5">
        <v>8.8294199276796013E-3</v>
      </c>
      <c r="J49" s="3" t="s">
        <v>7</v>
      </c>
      <c r="L49" s="3" t="s">
        <v>9</v>
      </c>
      <c r="M49" s="3" t="s">
        <v>47</v>
      </c>
      <c r="N49" s="5">
        <v>8.4606666264014502E-3</v>
      </c>
      <c r="O49" s="3" t="s">
        <v>7</v>
      </c>
    </row>
    <row r="50" spans="2:15" x14ac:dyDescent="0.45">
      <c r="B50" s="6" t="s">
        <v>5</v>
      </c>
      <c r="C50" s="6" t="s">
        <v>48</v>
      </c>
      <c r="D50" s="7">
        <v>0</v>
      </c>
      <c r="E50" s="6" t="s">
        <v>7</v>
      </c>
      <c r="G50" s="6" t="s">
        <v>8</v>
      </c>
      <c r="H50" s="6" t="s">
        <v>48</v>
      </c>
      <c r="I50" s="8">
        <v>1.3982526849333172E-2</v>
      </c>
      <c r="J50" s="6" t="s">
        <v>7</v>
      </c>
      <c r="L50" s="6" t="s">
        <v>9</v>
      </c>
      <c r="M50" s="6" t="s">
        <v>48</v>
      </c>
      <c r="N50" s="8">
        <v>1.381737492496775E-2</v>
      </c>
      <c r="O50" s="6" t="s">
        <v>7</v>
      </c>
    </row>
    <row r="51" spans="2:15" x14ac:dyDescent="0.45">
      <c r="B51" s="3" t="s">
        <v>5</v>
      </c>
      <c r="C51" s="3" t="s">
        <v>49</v>
      </c>
      <c r="D51" s="4">
        <v>0</v>
      </c>
      <c r="E51" s="3" t="s">
        <v>7</v>
      </c>
      <c r="G51" s="3" t="s">
        <v>8</v>
      </c>
      <c r="H51" s="3" t="s">
        <v>49</v>
      </c>
      <c r="I51" s="5">
        <v>3.6731643311652656E-2</v>
      </c>
      <c r="J51" s="3" t="s">
        <v>7</v>
      </c>
      <c r="L51" s="3" t="s">
        <v>9</v>
      </c>
      <c r="M51" s="3" t="s">
        <v>49</v>
      </c>
      <c r="N51" s="5">
        <v>4.0093957818240579E-2</v>
      </c>
      <c r="O51" s="3" t="s">
        <v>7</v>
      </c>
    </row>
    <row r="52" spans="2:15" x14ac:dyDescent="0.45">
      <c r="B52" s="6" t="s">
        <v>5</v>
      </c>
      <c r="C52" s="6" t="s">
        <v>50</v>
      </c>
      <c r="D52" s="7">
        <v>8.3061127669270046E-6</v>
      </c>
      <c r="E52" s="6" t="s">
        <v>7</v>
      </c>
      <c r="G52" s="6" t="s">
        <v>8</v>
      </c>
      <c r="H52" s="6" t="s">
        <v>50</v>
      </c>
      <c r="I52" s="8">
        <v>1.3994727319088088E-2</v>
      </c>
      <c r="J52" s="6" t="s">
        <v>7</v>
      </c>
      <c r="L52" s="6" t="s">
        <v>9</v>
      </c>
      <c r="M52" s="6" t="s">
        <v>50</v>
      </c>
      <c r="N52" s="8">
        <v>1.5335646507689234E-2</v>
      </c>
      <c r="O52" s="6" t="s">
        <v>7</v>
      </c>
    </row>
    <row r="53" spans="2:15" x14ac:dyDescent="0.45">
      <c r="B53" s="3" t="s">
        <v>5</v>
      </c>
      <c r="C53" s="3" t="s">
        <v>51</v>
      </c>
      <c r="D53" s="4">
        <v>6.9137554850657399E-3</v>
      </c>
      <c r="E53" s="3" t="s">
        <v>7</v>
      </c>
      <c r="G53" s="3" t="s">
        <v>8</v>
      </c>
      <c r="H53" s="3" t="s">
        <v>51</v>
      </c>
      <c r="I53" s="5">
        <v>1.3817906823443162E-2</v>
      </c>
      <c r="J53" s="3" t="s">
        <v>7</v>
      </c>
      <c r="L53" s="3" t="s">
        <v>9</v>
      </c>
      <c r="M53" s="3" t="s">
        <v>51</v>
      </c>
      <c r="N53" s="5">
        <v>1.5482297904853259E-2</v>
      </c>
      <c r="O53" s="3" t="s">
        <v>7</v>
      </c>
    </row>
    <row r="54" spans="2:15" x14ac:dyDescent="0.45">
      <c r="B54" s="6" t="s">
        <v>5</v>
      </c>
      <c r="C54" s="6" t="s">
        <v>52</v>
      </c>
      <c r="D54" s="7">
        <v>2.7678458543306517E-2</v>
      </c>
      <c r="E54" s="6" t="s">
        <v>7</v>
      </c>
      <c r="G54" s="6" t="s">
        <v>8</v>
      </c>
      <c r="H54" s="6" t="s">
        <v>52</v>
      </c>
      <c r="I54" s="8">
        <v>1.3508919414133527E-2</v>
      </c>
      <c r="J54" s="6" t="s">
        <v>7</v>
      </c>
      <c r="L54" s="6" t="s">
        <v>9</v>
      </c>
      <c r="M54" s="6" t="s">
        <v>52</v>
      </c>
      <c r="N54" s="8">
        <v>1.5715075647572747E-2</v>
      </c>
      <c r="O54" s="6" t="s">
        <v>7</v>
      </c>
    </row>
    <row r="55" spans="2:15" x14ac:dyDescent="0.45">
      <c r="B55" s="3" t="s">
        <v>5</v>
      </c>
      <c r="C55" s="3" t="s">
        <v>53</v>
      </c>
      <c r="D55" s="4">
        <v>4.0444299658766496E-2</v>
      </c>
      <c r="E55" s="3" t="s">
        <v>7</v>
      </c>
      <c r="G55" s="3" t="s">
        <v>8</v>
      </c>
      <c r="H55" s="3" t="s">
        <v>53</v>
      </c>
      <c r="I55" s="5">
        <v>1.4154482144295304E-2</v>
      </c>
      <c r="J55" s="3" t="s">
        <v>7</v>
      </c>
      <c r="L55" s="3" t="s">
        <v>9</v>
      </c>
      <c r="M55" s="3" t="s">
        <v>53</v>
      </c>
      <c r="N55" s="5">
        <v>1.5678951305732176E-2</v>
      </c>
      <c r="O55" s="3" t="s">
        <v>7</v>
      </c>
    </row>
    <row r="56" spans="2:15" x14ac:dyDescent="0.45">
      <c r="B56" s="6" t="s">
        <v>5</v>
      </c>
      <c r="C56" s="6" t="s">
        <v>54</v>
      </c>
      <c r="D56" s="7">
        <v>3.9024332152477206E-2</v>
      </c>
      <c r="E56" s="6" t="s">
        <v>7</v>
      </c>
      <c r="G56" s="6" t="s">
        <v>8</v>
      </c>
      <c r="H56" s="6" t="s">
        <v>54</v>
      </c>
      <c r="I56" s="8">
        <v>1.4923464965551754E-2</v>
      </c>
      <c r="J56" s="6" t="s">
        <v>7</v>
      </c>
      <c r="L56" s="6" t="s">
        <v>9</v>
      </c>
      <c r="M56" s="6" t="s">
        <v>54</v>
      </c>
      <c r="N56" s="8">
        <v>1.5826079957209131E-2</v>
      </c>
      <c r="O56" s="6" t="s">
        <v>7</v>
      </c>
    </row>
    <row r="57" spans="2:15" x14ac:dyDescent="0.45">
      <c r="B57" s="3" t="s">
        <v>5</v>
      </c>
      <c r="C57" s="3" t="s">
        <v>55</v>
      </c>
      <c r="D57" s="4">
        <v>2.4416551927978172E-2</v>
      </c>
      <c r="E57" s="3" t="s">
        <v>7</v>
      </c>
      <c r="G57" s="3" t="s">
        <v>8</v>
      </c>
      <c r="H57" s="3" t="s">
        <v>55</v>
      </c>
      <c r="I57" s="5">
        <v>1.4744747289849964E-2</v>
      </c>
      <c r="J57" s="3" t="s">
        <v>7</v>
      </c>
      <c r="L57" s="3" t="s">
        <v>9</v>
      </c>
      <c r="M57" s="3" t="s">
        <v>55</v>
      </c>
      <c r="N57" s="5">
        <v>1.5882270337619516E-2</v>
      </c>
      <c r="O57" s="3" t="s">
        <v>7</v>
      </c>
    </row>
    <row r="58" spans="2:15" x14ac:dyDescent="0.45">
      <c r="B58" s="6" t="s">
        <v>5</v>
      </c>
      <c r="C58" s="6" t="s">
        <v>56</v>
      </c>
      <c r="D58" s="7">
        <v>4.7954024179875272E-3</v>
      </c>
      <c r="E58" s="6" t="s">
        <v>7</v>
      </c>
      <c r="G58" s="6" t="s">
        <v>8</v>
      </c>
      <c r="H58" s="6" t="s">
        <v>56</v>
      </c>
      <c r="I58" s="8">
        <v>1.5096639951658509E-2</v>
      </c>
      <c r="J58" s="6" t="s">
        <v>7</v>
      </c>
      <c r="L58" s="6" t="s">
        <v>9</v>
      </c>
      <c r="M58" s="6" t="s">
        <v>56</v>
      </c>
      <c r="N58" s="8">
        <v>1.6222170068608932E-2</v>
      </c>
      <c r="O58" s="6" t="s">
        <v>7</v>
      </c>
    </row>
    <row r="59" spans="2:15" x14ac:dyDescent="0.45">
      <c r="B59" s="3" t="s">
        <v>5</v>
      </c>
      <c r="C59" s="3" t="s">
        <v>57</v>
      </c>
      <c r="D59" s="4">
        <v>8.051856865921087E-6</v>
      </c>
      <c r="E59" s="3" t="s">
        <v>7</v>
      </c>
      <c r="G59" s="3" t="s">
        <v>8</v>
      </c>
      <c r="H59" s="3" t="s">
        <v>57</v>
      </c>
      <c r="I59" s="5">
        <v>1.6328467017209386E-2</v>
      </c>
      <c r="J59" s="3" t="s">
        <v>7</v>
      </c>
      <c r="L59" s="3" t="s">
        <v>9</v>
      </c>
      <c r="M59" s="3" t="s">
        <v>57</v>
      </c>
      <c r="N59" s="5">
        <v>1.6538946844784214E-2</v>
      </c>
      <c r="O59" s="3" t="s">
        <v>7</v>
      </c>
    </row>
    <row r="60" spans="2:15" x14ac:dyDescent="0.45">
      <c r="B60" s="6" t="s">
        <v>5</v>
      </c>
      <c r="C60" s="6" t="s">
        <v>58</v>
      </c>
      <c r="D60" s="7">
        <v>0</v>
      </c>
      <c r="E60" s="6" t="s">
        <v>7</v>
      </c>
      <c r="G60" s="6" t="s">
        <v>8</v>
      </c>
      <c r="H60" s="6" t="s">
        <v>58</v>
      </c>
      <c r="I60" s="8">
        <v>2.4011364898766981E-2</v>
      </c>
      <c r="J60" s="6" t="s">
        <v>7</v>
      </c>
      <c r="L60" s="6" t="s">
        <v>9</v>
      </c>
      <c r="M60" s="6" t="s">
        <v>58</v>
      </c>
      <c r="N60" s="8">
        <v>2.5487644512278019E-2</v>
      </c>
      <c r="O60" s="6" t="s">
        <v>7</v>
      </c>
    </row>
    <row r="61" spans="2:15" x14ac:dyDescent="0.45">
      <c r="B61" s="3" t="s">
        <v>5</v>
      </c>
      <c r="C61" s="3" t="s">
        <v>59</v>
      </c>
      <c r="D61" s="4">
        <v>0</v>
      </c>
      <c r="E61" s="3" t="s">
        <v>7</v>
      </c>
      <c r="G61" s="3" t="s">
        <v>8</v>
      </c>
      <c r="H61" s="3" t="s">
        <v>59</v>
      </c>
      <c r="I61" s="5">
        <v>4.7635693325061547E-2</v>
      </c>
      <c r="J61" s="3" t="s">
        <v>7</v>
      </c>
      <c r="L61" s="3" t="s">
        <v>9</v>
      </c>
      <c r="M61" s="3" t="s">
        <v>59</v>
      </c>
      <c r="N61" s="5">
        <v>4.6149583738639144E-2</v>
      </c>
      <c r="O61" s="3" t="s">
        <v>7</v>
      </c>
    </row>
    <row r="62" spans="2:15" x14ac:dyDescent="0.45">
      <c r="B62" s="6" t="s">
        <v>5</v>
      </c>
      <c r="C62" s="6" t="s">
        <v>60</v>
      </c>
      <c r="D62" s="7">
        <v>0</v>
      </c>
      <c r="E62" s="6" t="s">
        <v>7</v>
      </c>
      <c r="G62" s="6" t="s">
        <v>8</v>
      </c>
      <c r="H62" s="6" t="s">
        <v>60</v>
      </c>
      <c r="I62" s="8">
        <v>1.8981800598285768E-2</v>
      </c>
      <c r="J62" s="6" t="s">
        <v>7</v>
      </c>
      <c r="L62" s="6" t="s">
        <v>9</v>
      </c>
      <c r="M62" s="6" t="s">
        <v>60</v>
      </c>
      <c r="N62" s="8">
        <v>1.8350678943227713E-2</v>
      </c>
      <c r="O62" s="6" t="s">
        <v>7</v>
      </c>
    </row>
    <row r="63" spans="2:15" x14ac:dyDescent="0.45">
      <c r="B63" s="3" t="s">
        <v>5</v>
      </c>
      <c r="C63" s="3" t="s">
        <v>61</v>
      </c>
      <c r="D63" s="4">
        <v>4.8275085993691302E-4</v>
      </c>
      <c r="E63" s="3" t="s">
        <v>7</v>
      </c>
      <c r="G63" s="3" t="s">
        <v>8</v>
      </c>
      <c r="H63" s="3" t="s">
        <v>61</v>
      </c>
      <c r="I63" s="5">
        <v>1.8772535076354731E-2</v>
      </c>
      <c r="J63" s="3" t="s">
        <v>7</v>
      </c>
      <c r="L63" s="3" t="s">
        <v>9</v>
      </c>
      <c r="M63" s="3" t="s">
        <v>61</v>
      </c>
      <c r="N63" s="5">
        <v>1.8067231086678882E-2</v>
      </c>
      <c r="O63" s="3" t="s">
        <v>7</v>
      </c>
    </row>
    <row r="64" spans="2:15" x14ac:dyDescent="0.45">
      <c r="B64" s="6" t="s">
        <v>5</v>
      </c>
      <c r="C64" s="6" t="s">
        <v>62</v>
      </c>
      <c r="D64" s="7">
        <v>1.4479155896591135E-2</v>
      </c>
      <c r="E64" s="6" t="s">
        <v>7</v>
      </c>
      <c r="G64" s="6" t="s">
        <v>8</v>
      </c>
      <c r="H64" s="6" t="s">
        <v>62</v>
      </c>
      <c r="I64" s="8">
        <v>1.7945531299556554E-2</v>
      </c>
      <c r="J64" s="6" t="s">
        <v>7</v>
      </c>
      <c r="L64" s="6" t="s">
        <v>9</v>
      </c>
      <c r="M64" s="6" t="s">
        <v>62</v>
      </c>
      <c r="N64" s="8">
        <v>1.7892118095627713E-2</v>
      </c>
      <c r="O64" s="6" t="s">
        <v>7</v>
      </c>
    </row>
    <row r="65" spans="2:15" x14ac:dyDescent="0.45">
      <c r="B65" s="3" t="s">
        <v>5</v>
      </c>
      <c r="C65" s="3" t="s">
        <v>63</v>
      </c>
      <c r="D65" s="4">
        <v>3.1093898675429728E-2</v>
      </c>
      <c r="E65" s="3" t="s">
        <v>7</v>
      </c>
      <c r="G65" s="3" t="s">
        <v>8</v>
      </c>
      <c r="H65" s="3" t="s">
        <v>63</v>
      </c>
      <c r="I65" s="5">
        <v>1.7376918399782847E-2</v>
      </c>
      <c r="J65" s="3" t="s">
        <v>7</v>
      </c>
      <c r="L65" s="3" t="s">
        <v>9</v>
      </c>
      <c r="M65" s="3" t="s">
        <v>63</v>
      </c>
      <c r="N65" s="5">
        <v>1.7789346762544792E-2</v>
      </c>
      <c r="O65" s="3" t="s">
        <v>7</v>
      </c>
    </row>
    <row r="66" spans="2:15" x14ac:dyDescent="0.45">
      <c r="B66" s="6" t="s">
        <v>5</v>
      </c>
      <c r="C66" s="6" t="s">
        <v>64</v>
      </c>
      <c r="D66" s="7">
        <v>2.92488360175399E-2</v>
      </c>
      <c r="E66" s="6" t="s">
        <v>7</v>
      </c>
      <c r="G66" s="6" t="s">
        <v>8</v>
      </c>
      <c r="H66" s="6" t="s">
        <v>64</v>
      </c>
      <c r="I66" s="8">
        <v>1.6931181916779923E-2</v>
      </c>
      <c r="J66" s="6" t="s">
        <v>7</v>
      </c>
      <c r="L66" s="6" t="s">
        <v>9</v>
      </c>
      <c r="M66" s="6" t="s">
        <v>64</v>
      </c>
      <c r="N66" s="8">
        <v>1.7691080758446283E-2</v>
      </c>
      <c r="O66" s="6" t="s">
        <v>7</v>
      </c>
    </row>
    <row r="67" spans="2:15" x14ac:dyDescent="0.45">
      <c r="B67" s="3" t="s">
        <v>5</v>
      </c>
      <c r="C67" s="3" t="s">
        <v>65</v>
      </c>
      <c r="D67" s="4">
        <v>1.106115843765079E-2</v>
      </c>
      <c r="E67" s="3" t="s">
        <v>7</v>
      </c>
      <c r="G67" s="3" t="s">
        <v>8</v>
      </c>
      <c r="H67" s="3" t="s">
        <v>65</v>
      </c>
      <c r="I67" s="5">
        <v>1.6581460824053384E-2</v>
      </c>
      <c r="J67" s="3" t="s">
        <v>7</v>
      </c>
      <c r="L67" s="3" t="s">
        <v>9</v>
      </c>
      <c r="M67" s="3" t="s">
        <v>65</v>
      </c>
      <c r="N67" s="5">
        <v>1.74852098104308E-2</v>
      </c>
      <c r="O67" s="3" t="s">
        <v>7</v>
      </c>
    </row>
    <row r="68" spans="2:15" x14ac:dyDescent="0.45">
      <c r="B68" s="6" t="s">
        <v>5</v>
      </c>
      <c r="C68" s="6" t="s">
        <v>66</v>
      </c>
      <c r="D68" s="7">
        <v>0</v>
      </c>
      <c r="E68" s="6" t="s">
        <v>7</v>
      </c>
      <c r="G68" s="6" t="s">
        <v>8</v>
      </c>
      <c r="H68" s="6" t="s">
        <v>66</v>
      </c>
      <c r="I68" s="8">
        <v>1.7031824370476796E-2</v>
      </c>
      <c r="J68" s="6" t="s">
        <v>7</v>
      </c>
      <c r="L68" s="6" t="s">
        <v>9</v>
      </c>
      <c r="M68" s="6" t="s">
        <v>66</v>
      </c>
      <c r="N68" s="8">
        <v>1.7518170718873433E-2</v>
      </c>
      <c r="O68" s="6" t="s">
        <v>7</v>
      </c>
    </row>
    <row r="69" spans="2:15" x14ac:dyDescent="0.45">
      <c r="B69" s="3" t="s">
        <v>5</v>
      </c>
      <c r="C69" s="3" t="s">
        <v>67</v>
      </c>
      <c r="D69" s="4">
        <v>0</v>
      </c>
      <c r="E69" s="3" t="s">
        <v>7</v>
      </c>
      <c r="G69" s="3" t="s">
        <v>8</v>
      </c>
      <c r="H69" s="3" t="s">
        <v>67</v>
      </c>
      <c r="I69" s="5">
        <v>1.7295258359827429E-2</v>
      </c>
      <c r="J69" s="3" t="s">
        <v>7</v>
      </c>
      <c r="L69" s="3" t="s">
        <v>9</v>
      </c>
      <c r="M69" s="3" t="s">
        <v>67</v>
      </c>
      <c r="N69" s="5">
        <v>1.7623614480715973E-2</v>
      </c>
      <c r="O69" s="3" t="s">
        <v>7</v>
      </c>
    </row>
    <row r="70" spans="2:15" x14ac:dyDescent="0.45">
      <c r="B70" s="6" t="s">
        <v>5</v>
      </c>
      <c r="C70" s="6" t="s">
        <v>68</v>
      </c>
      <c r="D70" s="7">
        <v>0</v>
      </c>
      <c r="E70" s="6" t="s">
        <v>7</v>
      </c>
      <c r="G70" s="6" t="s">
        <v>8</v>
      </c>
      <c r="H70" s="6" t="s">
        <v>68</v>
      </c>
      <c r="I70" s="8">
        <v>2.6959111808172551E-2</v>
      </c>
      <c r="J70" s="6" t="s">
        <v>7</v>
      </c>
      <c r="L70" s="6" t="s">
        <v>9</v>
      </c>
      <c r="M70" s="6" t="s">
        <v>68</v>
      </c>
      <c r="N70" s="8">
        <v>2.6911796710646117E-2</v>
      </c>
      <c r="O70" s="6" t="s">
        <v>7</v>
      </c>
    </row>
    <row r="71" spans="2:15" x14ac:dyDescent="0.45">
      <c r="B71" s="3" t="s">
        <v>69</v>
      </c>
      <c r="C71" s="3" t="s">
        <v>6</v>
      </c>
      <c r="D71" s="4">
        <v>0</v>
      </c>
      <c r="E71" s="3" t="s">
        <v>7</v>
      </c>
      <c r="G71" s="3" t="s">
        <v>70</v>
      </c>
      <c r="H71" s="3" t="s">
        <v>6</v>
      </c>
      <c r="I71" s="5">
        <v>3.8661909742178362E-2</v>
      </c>
      <c r="J71" s="3" t="s">
        <v>7</v>
      </c>
      <c r="L71" s="3" t="s">
        <v>71</v>
      </c>
      <c r="M71" s="3" t="s">
        <v>6</v>
      </c>
      <c r="N71" s="5">
        <v>3.7851823740491716E-2</v>
      </c>
      <c r="O71" s="3" t="s">
        <v>7</v>
      </c>
    </row>
    <row r="72" spans="2:15" x14ac:dyDescent="0.45">
      <c r="B72" s="6" t="s">
        <v>69</v>
      </c>
      <c r="C72" s="6" t="s">
        <v>10</v>
      </c>
      <c r="D72" s="7">
        <v>0</v>
      </c>
      <c r="E72" s="6" t="s">
        <v>7</v>
      </c>
      <c r="G72" s="6" t="s">
        <v>70</v>
      </c>
      <c r="H72" s="6" t="s">
        <v>10</v>
      </c>
      <c r="I72" s="8">
        <v>1.4458144298014433E-2</v>
      </c>
      <c r="J72" s="6" t="s">
        <v>7</v>
      </c>
      <c r="L72" s="6" t="s">
        <v>71</v>
      </c>
      <c r="M72" s="6" t="s">
        <v>10</v>
      </c>
      <c r="N72" s="8">
        <v>1.4592144086233452E-2</v>
      </c>
      <c r="O72" s="6" t="s">
        <v>7</v>
      </c>
    </row>
    <row r="73" spans="2:15" x14ac:dyDescent="0.45">
      <c r="B73" s="3" t="s">
        <v>69</v>
      </c>
      <c r="C73" s="3" t="s">
        <v>11</v>
      </c>
      <c r="D73" s="4">
        <v>5.2833977798798064E-4</v>
      </c>
      <c r="E73" s="3" t="s">
        <v>7</v>
      </c>
      <c r="G73" s="3" t="s">
        <v>70</v>
      </c>
      <c r="H73" s="3" t="s">
        <v>11</v>
      </c>
      <c r="I73" s="5">
        <v>1.4230129208413119E-2</v>
      </c>
      <c r="J73" s="3" t="s">
        <v>7</v>
      </c>
      <c r="L73" s="3" t="s">
        <v>71</v>
      </c>
      <c r="M73" s="3" t="s">
        <v>11</v>
      </c>
      <c r="N73" s="5">
        <v>1.4307207049810037E-2</v>
      </c>
      <c r="O73" s="3" t="s">
        <v>7</v>
      </c>
    </row>
    <row r="74" spans="2:15" x14ac:dyDescent="0.45">
      <c r="B74" s="6" t="s">
        <v>69</v>
      </c>
      <c r="C74" s="6" t="s">
        <v>12</v>
      </c>
      <c r="D74" s="7">
        <v>1.3588659616891516E-2</v>
      </c>
      <c r="E74" s="6" t="s">
        <v>7</v>
      </c>
      <c r="G74" s="6" t="s">
        <v>70</v>
      </c>
      <c r="H74" s="6" t="s">
        <v>12</v>
      </c>
      <c r="I74" s="8">
        <v>1.3713673728605748E-2</v>
      </c>
      <c r="J74" s="6" t="s">
        <v>7</v>
      </c>
      <c r="L74" s="6" t="s">
        <v>71</v>
      </c>
      <c r="M74" s="6" t="s">
        <v>12</v>
      </c>
      <c r="N74" s="8">
        <v>1.4427031363442928E-2</v>
      </c>
      <c r="O74" s="6" t="s">
        <v>7</v>
      </c>
    </row>
    <row r="75" spans="2:15" x14ac:dyDescent="0.45">
      <c r="B75" s="3" t="s">
        <v>69</v>
      </c>
      <c r="C75" s="3" t="s">
        <v>13</v>
      </c>
      <c r="D75" s="4">
        <v>2.7315273322976365E-2</v>
      </c>
      <c r="E75" s="3" t="s">
        <v>7</v>
      </c>
      <c r="G75" s="3" t="s">
        <v>70</v>
      </c>
      <c r="H75" s="3" t="s">
        <v>13</v>
      </c>
      <c r="I75" s="5">
        <v>1.3666420481588568E-2</v>
      </c>
      <c r="J75" s="3" t="s">
        <v>7</v>
      </c>
      <c r="L75" s="3" t="s">
        <v>71</v>
      </c>
      <c r="M75" s="3" t="s">
        <v>13</v>
      </c>
      <c r="N75" s="5">
        <v>1.3842763144629908E-2</v>
      </c>
      <c r="O75" s="3" t="s">
        <v>7</v>
      </c>
    </row>
    <row r="76" spans="2:15" x14ac:dyDescent="0.45">
      <c r="B76" s="6" t="s">
        <v>69</v>
      </c>
      <c r="C76" s="6" t="s">
        <v>14</v>
      </c>
      <c r="D76" s="7">
        <v>2.7913976667151175E-2</v>
      </c>
      <c r="E76" s="6" t="s">
        <v>7</v>
      </c>
      <c r="G76" s="6" t="s">
        <v>70</v>
      </c>
      <c r="H76" s="6" t="s">
        <v>14</v>
      </c>
      <c r="I76" s="8">
        <v>1.4279751166762597E-2</v>
      </c>
      <c r="J76" s="6" t="s">
        <v>7</v>
      </c>
      <c r="L76" s="6" t="s">
        <v>71</v>
      </c>
      <c r="M76" s="6" t="s">
        <v>14</v>
      </c>
      <c r="N76" s="8">
        <v>1.3893439028541309E-2</v>
      </c>
      <c r="O76" s="6" t="s">
        <v>7</v>
      </c>
    </row>
    <row r="77" spans="2:15" x14ac:dyDescent="0.45">
      <c r="B77" s="3" t="s">
        <v>69</v>
      </c>
      <c r="C77" s="3" t="s">
        <v>15</v>
      </c>
      <c r="D77" s="4">
        <v>1.5882438249225434E-2</v>
      </c>
      <c r="E77" s="3" t="s">
        <v>7</v>
      </c>
      <c r="G77" s="3" t="s">
        <v>70</v>
      </c>
      <c r="H77" s="3" t="s">
        <v>15</v>
      </c>
      <c r="I77" s="5">
        <v>1.4421991615390227E-2</v>
      </c>
      <c r="J77" s="3" t="s">
        <v>7</v>
      </c>
      <c r="L77" s="3" t="s">
        <v>71</v>
      </c>
      <c r="M77" s="3" t="s">
        <v>15</v>
      </c>
      <c r="N77" s="5">
        <v>1.4239585767221497E-2</v>
      </c>
      <c r="O77" s="3" t="s">
        <v>7</v>
      </c>
    </row>
    <row r="78" spans="2:15" x14ac:dyDescent="0.45">
      <c r="B78" s="6" t="s">
        <v>69</v>
      </c>
      <c r="C78" s="6" t="s">
        <v>16</v>
      </c>
      <c r="D78" s="7">
        <v>1.7201856342864775E-3</v>
      </c>
      <c r="E78" s="6" t="s">
        <v>7</v>
      </c>
      <c r="G78" s="6" t="s">
        <v>70</v>
      </c>
      <c r="H78" s="6" t="s">
        <v>16</v>
      </c>
      <c r="I78" s="8">
        <v>1.4929439241462615E-2</v>
      </c>
      <c r="J78" s="6" t="s">
        <v>7</v>
      </c>
      <c r="L78" s="6" t="s">
        <v>71</v>
      </c>
      <c r="M78" s="6" t="s">
        <v>16</v>
      </c>
      <c r="N78" s="8">
        <v>1.4775982850559055E-2</v>
      </c>
      <c r="O78" s="6" t="s">
        <v>7</v>
      </c>
    </row>
    <row r="79" spans="2:15" x14ac:dyDescent="0.45">
      <c r="B79" s="3" t="s">
        <v>69</v>
      </c>
      <c r="C79" s="3" t="s">
        <v>17</v>
      </c>
      <c r="D79" s="4">
        <v>0</v>
      </c>
      <c r="E79" s="3" t="s">
        <v>7</v>
      </c>
      <c r="G79" s="3" t="s">
        <v>70</v>
      </c>
      <c r="H79" s="3" t="s">
        <v>17</v>
      </c>
      <c r="I79" s="5">
        <v>1.5649730596144495E-2</v>
      </c>
      <c r="J79" s="3" t="s">
        <v>7</v>
      </c>
      <c r="L79" s="3" t="s">
        <v>71</v>
      </c>
      <c r="M79" s="3" t="s">
        <v>17</v>
      </c>
      <c r="N79" s="5">
        <v>1.5324326883649261E-2</v>
      </c>
      <c r="O79" s="3" t="s">
        <v>7</v>
      </c>
    </row>
    <row r="80" spans="2:15" x14ac:dyDescent="0.45">
      <c r="B80" s="6" t="s">
        <v>69</v>
      </c>
      <c r="C80" s="6" t="s">
        <v>18</v>
      </c>
      <c r="D80" s="7">
        <v>0</v>
      </c>
      <c r="E80" s="6" t="s">
        <v>7</v>
      </c>
      <c r="G80" s="6" t="s">
        <v>70</v>
      </c>
      <c r="H80" s="6" t="s">
        <v>18</v>
      </c>
      <c r="I80" s="8">
        <v>2.3286406097211373E-2</v>
      </c>
      <c r="J80" s="6" t="s">
        <v>7</v>
      </c>
      <c r="L80" s="6" t="s">
        <v>71</v>
      </c>
      <c r="M80" s="6" t="s">
        <v>18</v>
      </c>
      <c r="N80" s="8">
        <v>2.3053809451173787E-2</v>
      </c>
      <c r="O80" s="6" t="s">
        <v>7</v>
      </c>
    </row>
    <row r="81" spans="2:15" x14ac:dyDescent="0.45">
      <c r="B81" s="3" t="s">
        <v>69</v>
      </c>
      <c r="C81" s="3" t="s">
        <v>19</v>
      </c>
      <c r="D81" s="4">
        <v>0</v>
      </c>
      <c r="E81" s="3" t="s">
        <v>7</v>
      </c>
      <c r="G81" s="3" t="s">
        <v>70</v>
      </c>
      <c r="H81" s="3" t="s">
        <v>19</v>
      </c>
      <c r="I81" s="5">
        <v>3.7702309667045603E-2</v>
      </c>
      <c r="J81" s="3" t="s">
        <v>7</v>
      </c>
      <c r="L81" s="3" t="s">
        <v>71</v>
      </c>
      <c r="M81" s="3" t="s">
        <v>19</v>
      </c>
      <c r="N81" s="5">
        <v>3.7345502420020035E-2</v>
      </c>
      <c r="O81" s="3" t="s">
        <v>7</v>
      </c>
    </row>
    <row r="82" spans="2:15" x14ac:dyDescent="0.45">
      <c r="B82" s="6" t="s">
        <v>69</v>
      </c>
      <c r="C82" s="6" t="s">
        <v>20</v>
      </c>
      <c r="D82" s="7">
        <v>1.5260066682198285E-4</v>
      </c>
      <c r="E82" s="6" t="s">
        <v>7</v>
      </c>
      <c r="G82" s="6" t="s">
        <v>70</v>
      </c>
      <c r="H82" s="6" t="s">
        <v>20</v>
      </c>
      <c r="I82" s="8">
        <v>1.4850499176328849E-2</v>
      </c>
      <c r="J82" s="6" t="s">
        <v>7</v>
      </c>
      <c r="L82" s="6" t="s">
        <v>71</v>
      </c>
      <c r="M82" s="6" t="s">
        <v>20</v>
      </c>
      <c r="N82" s="8">
        <v>1.5160328395566204E-2</v>
      </c>
      <c r="O82" s="6" t="s">
        <v>7</v>
      </c>
    </row>
    <row r="83" spans="2:15" x14ac:dyDescent="0.45">
      <c r="B83" s="3" t="s">
        <v>69</v>
      </c>
      <c r="C83" s="3" t="s">
        <v>21</v>
      </c>
      <c r="D83" s="4">
        <v>1.1139101816144878E-2</v>
      </c>
      <c r="E83" s="3" t="s">
        <v>7</v>
      </c>
      <c r="G83" s="3" t="s">
        <v>70</v>
      </c>
      <c r="H83" s="3" t="s">
        <v>21</v>
      </c>
      <c r="I83" s="5">
        <v>1.489383262618304E-2</v>
      </c>
      <c r="J83" s="3" t="s">
        <v>7</v>
      </c>
      <c r="L83" s="3" t="s">
        <v>71</v>
      </c>
      <c r="M83" s="3" t="s">
        <v>21</v>
      </c>
      <c r="N83" s="5">
        <v>1.508210134091548E-2</v>
      </c>
      <c r="O83" s="3" t="s">
        <v>7</v>
      </c>
    </row>
    <row r="84" spans="2:15" x14ac:dyDescent="0.45">
      <c r="B84" s="6" t="s">
        <v>69</v>
      </c>
      <c r="C84" s="6" t="s">
        <v>22</v>
      </c>
      <c r="D84" s="7">
        <v>3.6088399776245436E-2</v>
      </c>
      <c r="E84" s="6" t="s">
        <v>7</v>
      </c>
      <c r="G84" s="6" t="s">
        <v>70</v>
      </c>
      <c r="H84" s="6" t="s">
        <v>22</v>
      </c>
      <c r="I84" s="8">
        <v>1.4646821750847883E-2</v>
      </c>
      <c r="J84" s="6" t="s">
        <v>7</v>
      </c>
      <c r="L84" s="6" t="s">
        <v>71</v>
      </c>
      <c r="M84" s="6" t="s">
        <v>22</v>
      </c>
      <c r="N84" s="8">
        <v>1.3788268705739534E-2</v>
      </c>
      <c r="O84" s="6" t="s">
        <v>7</v>
      </c>
    </row>
    <row r="85" spans="2:15" x14ac:dyDescent="0.45">
      <c r="B85" s="3" t="s">
        <v>69</v>
      </c>
      <c r="C85" s="3" t="s">
        <v>23</v>
      </c>
      <c r="D85" s="4">
        <v>5.0108733303224462E-2</v>
      </c>
      <c r="E85" s="3" t="s">
        <v>7</v>
      </c>
      <c r="G85" s="3" t="s">
        <v>70</v>
      </c>
      <c r="H85" s="3" t="s">
        <v>23</v>
      </c>
      <c r="I85" s="5">
        <v>1.4316961758181652E-2</v>
      </c>
      <c r="J85" s="3" t="s">
        <v>7</v>
      </c>
      <c r="L85" s="3" t="s">
        <v>71</v>
      </c>
      <c r="M85" s="3" t="s">
        <v>23</v>
      </c>
      <c r="N85" s="5">
        <v>1.285564656199782E-2</v>
      </c>
      <c r="O85" s="3" t="s">
        <v>7</v>
      </c>
    </row>
    <row r="86" spans="2:15" x14ac:dyDescent="0.45">
      <c r="B86" s="6" t="s">
        <v>69</v>
      </c>
      <c r="C86" s="6" t="s">
        <v>24</v>
      </c>
      <c r="D86" s="7">
        <v>4.7923285211828051E-2</v>
      </c>
      <c r="E86" s="6" t="s">
        <v>7</v>
      </c>
      <c r="G86" s="6" t="s">
        <v>70</v>
      </c>
      <c r="H86" s="6" t="s">
        <v>24</v>
      </c>
      <c r="I86" s="8">
        <v>1.5013834024294617E-2</v>
      </c>
      <c r="J86" s="6" t="s">
        <v>7</v>
      </c>
      <c r="L86" s="6" t="s">
        <v>71</v>
      </c>
      <c r="M86" s="6" t="s">
        <v>24</v>
      </c>
      <c r="N86" s="8">
        <v>1.3147919621277532E-2</v>
      </c>
      <c r="O86" s="6" t="s">
        <v>7</v>
      </c>
    </row>
    <row r="87" spans="2:15" x14ac:dyDescent="0.45">
      <c r="B87" s="3" t="s">
        <v>69</v>
      </c>
      <c r="C87" s="3" t="s">
        <v>25</v>
      </c>
      <c r="D87" s="4">
        <v>3.3705662273122765E-2</v>
      </c>
      <c r="E87" s="3" t="s">
        <v>7</v>
      </c>
      <c r="G87" s="3" t="s">
        <v>70</v>
      </c>
      <c r="H87" s="3" t="s">
        <v>25</v>
      </c>
      <c r="I87" s="5">
        <v>1.5321390414327264E-2</v>
      </c>
      <c r="J87" s="3" t="s">
        <v>7</v>
      </c>
      <c r="L87" s="3" t="s">
        <v>71</v>
      </c>
      <c r="M87" s="3" t="s">
        <v>25</v>
      </c>
      <c r="N87" s="5">
        <v>1.4063142674783586E-2</v>
      </c>
      <c r="O87" s="3" t="s">
        <v>7</v>
      </c>
    </row>
    <row r="88" spans="2:15" x14ac:dyDescent="0.45">
      <c r="B88" s="6" t="s">
        <v>69</v>
      </c>
      <c r="C88" s="6" t="s">
        <v>26</v>
      </c>
      <c r="D88" s="7">
        <v>1.1468560216594845E-2</v>
      </c>
      <c r="E88" s="6" t="s">
        <v>7</v>
      </c>
      <c r="G88" s="6" t="s">
        <v>70</v>
      </c>
      <c r="H88" s="6" t="s">
        <v>26</v>
      </c>
      <c r="I88" s="8">
        <v>1.4910474994755514E-2</v>
      </c>
      <c r="J88" s="6" t="s">
        <v>7</v>
      </c>
      <c r="L88" s="6" t="s">
        <v>71</v>
      </c>
      <c r="M88" s="6" t="s">
        <v>26</v>
      </c>
      <c r="N88" s="8">
        <v>1.4982867194801304E-2</v>
      </c>
      <c r="O88" s="6" t="s">
        <v>7</v>
      </c>
    </row>
    <row r="89" spans="2:15" x14ac:dyDescent="0.45">
      <c r="B89" s="3" t="s">
        <v>69</v>
      </c>
      <c r="C89" s="3" t="s">
        <v>27</v>
      </c>
      <c r="D89" s="4">
        <v>1.6434820868316879E-4</v>
      </c>
      <c r="E89" s="3" t="s">
        <v>7</v>
      </c>
      <c r="G89" s="3" t="s">
        <v>70</v>
      </c>
      <c r="H89" s="3" t="s">
        <v>27</v>
      </c>
      <c r="I89" s="5">
        <v>1.5614201604866292E-2</v>
      </c>
      <c r="J89" s="3" t="s">
        <v>7</v>
      </c>
      <c r="L89" s="3" t="s">
        <v>71</v>
      </c>
      <c r="M89" s="3" t="s">
        <v>27</v>
      </c>
      <c r="N89" s="5">
        <v>1.5620618237989029E-2</v>
      </c>
      <c r="O89" s="3" t="s">
        <v>7</v>
      </c>
    </row>
    <row r="90" spans="2:15" x14ac:dyDescent="0.45">
      <c r="B90" s="6" t="s">
        <v>69</v>
      </c>
      <c r="C90" s="6" t="s">
        <v>28</v>
      </c>
      <c r="D90" s="7">
        <v>0</v>
      </c>
      <c r="E90" s="6" t="s">
        <v>7</v>
      </c>
      <c r="G90" s="6" t="s">
        <v>70</v>
      </c>
      <c r="H90" s="6" t="s">
        <v>28</v>
      </c>
      <c r="I90" s="8">
        <v>2.3643022216468124E-2</v>
      </c>
      <c r="J90" s="6" t="s">
        <v>7</v>
      </c>
      <c r="L90" s="6" t="s">
        <v>71</v>
      </c>
      <c r="M90" s="6" t="s">
        <v>28</v>
      </c>
      <c r="N90" s="8">
        <v>2.2913872029732718E-2</v>
      </c>
      <c r="O90" s="6" t="s">
        <v>7</v>
      </c>
    </row>
    <row r="91" spans="2:15" x14ac:dyDescent="0.45">
      <c r="B91" s="3" t="s">
        <v>69</v>
      </c>
      <c r="C91" s="3" t="s">
        <v>29</v>
      </c>
      <c r="D91" s="4">
        <v>0</v>
      </c>
      <c r="E91" s="3" t="s">
        <v>7</v>
      </c>
      <c r="G91" s="3" t="s">
        <v>70</v>
      </c>
      <c r="H91" s="3" t="s">
        <v>29</v>
      </c>
      <c r="I91" s="5">
        <v>3.5211338082381784E-2</v>
      </c>
      <c r="J91" s="3" t="s">
        <v>7</v>
      </c>
      <c r="L91" s="3" t="s">
        <v>71</v>
      </c>
      <c r="M91" s="3" t="s">
        <v>29</v>
      </c>
      <c r="N91" s="5">
        <v>3.6104444293265606E-2</v>
      </c>
      <c r="O91" s="3" t="s">
        <v>7</v>
      </c>
    </row>
    <row r="92" spans="2:15" x14ac:dyDescent="0.45">
      <c r="B92" s="6" t="s">
        <v>69</v>
      </c>
      <c r="C92" s="6" t="s">
        <v>30</v>
      </c>
      <c r="D92" s="7">
        <v>2.1639336196681582E-3</v>
      </c>
      <c r="E92" s="6" t="s">
        <v>7</v>
      </c>
      <c r="G92" s="6" t="s">
        <v>70</v>
      </c>
      <c r="H92" s="6" t="s">
        <v>30</v>
      </c>
      <c r="I92" s="8">
        <v>1.3076869543726556E-2</v>
      </c>
      <c r="J92" s="6" t="s">
        <v>7</v>
      </c>
      <c r="L92" s="6" t="s">
        <v>71</v>
      </c>
      <c r="M92" s="6" t="s">
        <v>30</v>
      </c>
      <c r="N92" s="8">
        <v>1.3308962925107056E-2</v>
      </c>
      <c r="O92" s="6" t="s">
        <v>7</v>
      </c>
    </row>
    <row r="93" spans="2:15" x14ac:dyDescent="0.45">
      <c r="B93" s="3" t="s">
        <v>69</v>
      </c>
      <c r="C93" s="3" t="s">
        <v>31</v>
      </c>
      <c r="D93" s="4">
        <v>1.9309485019360362E-2</v>
      </c>
      <c r="E93" s="3" t="s">
        <v>7</v>
      </c>
      <c r="G93" s="3" t="s">
        <v>70</v>
      </c>
      <c r="H93" s="3" t="s">
        <v>31</v>
      </c>
      <c r="I93" s="5">
        <v>1.3190303123972567E-2</v>
      </c>
      <c r="J93" s="3" t="s">
        <v>7</v>
      </c>
      <c r="L93" s="3" t="s">
        <v>71</v>
      </c>
      <c r="M93" s="3" t="s">
        <v>31</v>
      </c>
      <c r="N93" s="5">
        <v>1.3096992567106813E-2</v>
      </c>
      <c r="O93" s="3" t="s">
        <v>7</v>
      </c>
    </row>
    <row r="94" spans="2:15" x14ac:dyDescent="0.45">
      <c r="B94" s="6" t="s">
        <v>69</v>
      </c>
      <c r="C94" s="6" t="s">
        <v>32</v>
      </c>
      <c r="D94" s="7">
        <v>4.2478105569223309E-2</v>
      </c>
      <c r="E94" s="6" t="s">
        <v>7</v>
      </c>
      <c r="G94" s="6" t="s">
        <v>70</v>
      </c>
      <c r="H94" s="6" t="s">
        <v>32</v>
      </c>
      <c r="I94" s="8">
        <v>1.241841426899243E-2</v>
      </c>
      <c r="J94" s="6" t="s">
        <v>7</v>
      </c>
      <c r="L94" s="6" t="s">
        <v>71</v>
      </c>
      <c r="M94" s="6" t="s">
        <v>32</v>
      </c>
      <c r="N94" s="8">
        <v>1.2051376435077605E-2</v>
      </c>
      <c r="O94" s="6" t="s">
        <v>7</v>
      </c>
    </row>
    <row r="95" spans="2:15" x14ac:dyDescent="0.45">
      <c r="B95" s="3" t="s">
        <v>69</v>
      </c>
      <c r="C95" s="3" t="s">
        <v>33</v>
      </c>
      <c r="D95" s="4">
        <v>5.3773755063576012E-2</v>
      </c>
      <c r="E95" s="3" t="s">
        <v>7</v>
      </c>
      <c r="G95" s="3" t="s">
        <v>70</v>
      </c>
      <c r="H95" s="3" t="s">
        <v>33</v>
      </c>
      <c r="I95" s="5">
        <v>1.2374646613368076E-2</v>
      </c>
      <c r="J95" s="3" t="s">
        <v>7</v>
      </c>
      <c r="L95" s="3" t="s">
        <v>71</v>
      </c>
      <c r="M95" s="3" t="s">
        <v>33</v>
      </c>
      <c r="N95" s="5">
        <v>1.1701723192878431E-2</v>
      </c>
      <c r="O95" s="3" t="s">
        <v>7</v>
      </c>
    </row>
    <row r="96" spans="2:15" x14ac:dyDescent="0.45">
      <c r="B96" s="6" t="s">
        <v>69</v>
      </c>
      <c r="C96" s="6" t="s">
        <v>34</v>
      </c>
      <c r="D96" s="7">
        <v>5.1392493993998381E-2</v>
      </c>
      <c r="E96" s="6" t="s">
        <v>7</v>
      </c>
      <c r="G96" s="6" t="s">
        <v>70</v>
      </c>
      <c r="H96" s="6" t="s">
        <v>34</v>
      </c>
      <c r="I96" s="8">
        <v>1.2966484390438961E-2</v>
      </c>
      <c r="J96" s="6" t="s">
        <v>7</v>
      </c>
      <c r="L96" s="6" t="s">
        <v>71</v>
      </c>
      <c r="M96" s="6" t="s">
        <v>34</v>
      </c>
      <c r="N96" s="8">
        <v>1.2490571176053301E-2</v>
      </c>
      <c r="O96" s="6" t="s">
        <v>7</v>
      </c>
    </row>
    <row r="97" spans="2:15" x14ac:dyDescent="0.45">
      <c r="B97" s="3" t="s">
        <v>69</v>
      </c>
      <c r="C97" s="3" t="s">
        <v>35</v>
      </c>
      <c r="D97" s="4">
        <v>4.0554438497473623E-2</v>
      </c>
      <c r="E97" s="3" t="s">
        <v>7</v>
      </c>
      <c r="G97" s="3" t="s">
        <v>70</v>
      </c>
      <c r="H97" s="3" t="s">
        <v>35</v>
      </c>
      <c r="I97" s="5">
        <v>1.3514687605147742E-2</v>
      </c>
      <c r="J97" s="3" t="s">
        <v>7</v>
      </c>
      <c r="L97" s="3" t="s">
        <v>71</v>
      </c>
      <c r="M97" s="3" t="s">
        <v>35</v>
      </c>
      <c r="N97" s="5">
        <v>1.3603657895716274E-2</v>
      </c>
      <c r="O97" s="3" t="s">
        <v>7</v>
      </c>
    </row>
    <row r="98" spans="2:15" x14ac:dyDescent="0.45">
      <c r="B98" s="6" t="s">
        <v>69</v>
      </c>
      <c r="C98" s="6" t="s">
        <v>36</v>
      </c>
      <c r="D98" s="7">
        <v>1.8670468504284856E-2</v>
      </c>
      <c r="E98" s="6" t="s">
        <v>7</v>
      </c>
      <c r="G98" s="6" t="s">
        <v>70</v>
      </c>
      <c r="H98" s="6" t="s">
        <v>36</v>
      </c>
      <c r="I98" s="8">
        <v>1.3211314075891913E-2</v>
      </c>
      <c r="J98" s="6" t="s">
        <v>7</v>
      </c>
      <c r="L98" s="6" t="s">
        <v>71</v>
      </c>
      <c r="M98" s="6" t="s">
        <v>36</v>
      </c>
      <c r="N98" s="8">
        <v>1.4068361632296191E-2</v>
      </c>
      <c r="O98" s="6" t="s">
        <v>7</v>
      </c>
    </row>
    <row r="99" spans="2:15" x14ac:dyDescent="0.45">
      <c r="B99" s="3" t="s">
        <v>69</v>
      </c>
      <c r="C99" s="3" t="s">
        <v>37</v>
      </c>
      <c r="D99" s="4">
        <v>2.0400609196437646E-3</v>
      </c>
      <c r="E99" s="3" t="s">
        <v>7</v>
      </c>
      <c r="G99" s="3" t="s">
        <v>70</v>
      </c>
      <c r="H99" s="3" t="s">
        <v>37</v>
      </c>
      <c r="I99" s="5">
        <v>1.3504663203490305E-2</v>
      </c>
      <c r="J99" s="3" t="s">
        <v>7</v>
      </c>
      <c r="L99" s="3" t="s">
        <v>71</v>
      </c>
      <c r="M99" s="3" t="s">
        <v>37</v>
      </c>
      <c r="N99" s="5">
        <v>1.4584541582843863E-2</v>
      </c>
      <c r="O99" s="3" t="s">
        <v>7</v>
      </c>
    </row>
    <row r="100" spans="2:15" x14ac:dyDescent="0.45">
      <c r="B100" s="6" t="s">
        <v>69</v>
      </c>
      <c r="C100" s="6" t="s">
        <v>38</v>
      </c>
      <c r="D100" s="7">
        <v>0</v>
      </c>
      <c r="E100" s="6" t="s">
        <v>7</v>
      </c>
      <c r="G100" s="6" t="s">
        <v>70</v>
      </c>
      <c r="H100" s="6" t="s">
        <v>38</v>
      </c>
      <c r="I100" s="8">
        <v>2.0635389417752351E-2</v>
      </c>
      <c r="J100" s="6" t="s">
        <v>7</v>
      </c>
      <c r="L100" s="6" t="s">
        <v>71</v>
      </c>
      <c r="M100" s="6" t="s">
        <v>38</v>
      </c>
      <c r="N100" s="8">
        <v>2.2928709799750042E-2</v>
      </c>
      <c r="O100" s="6" t="s">
        <v>7</v>
      </c>
    </row>
    <row r="101" spans="2:15" x14ac:dyDescent="0.45">
      <c r="B101" s="3" t="s">
        <v>69</v>
      </c>
      <c r="C101" s="3" t="s">
        <v>39</v>
      </c>
      <c r="D101" s="4">
        <v>0</v>
      </c>
      <c r="E101" s="3" t="s">
        <v>7</v>
      </c>
      <c r="G101" s="3" t="s">
        <v>70</v>
      </c>
      <c r="H101" s="3" t="s">
        <v>39</v>
      </c>
      <c r="I101" s="5">
        <v>2.3026622504264148E-2</v>
      </c>
      <c r="J101" s="3" t="s">
        <v>7</v>
      </c>
      <c r="L101" s="3" t="s">
        <v>71</v>
      </c>
      <c r="M101" s="3" t="s">
        <v>39</v>
      </c>
      <c r="N101" s="5">
        <v>2.6144625527774884E-2</v>
      </c>
      <c r="O101" s="3" t="s">
        <v>7</v>
      </c>
    </row>
    <row r="102" spans="2:15" x14ac:dyDescent="0.45">
      <c r="B102" s="6" t="s">
        <v>69</v>
      </c>
      <c r="C102" s="6" t="s">
        <v>40</v>
      </c>
      <c r="D102" s="7">
        <v>1.3005408935242439E-3</v>
      </c>
      <c r="E102" s="6" t="s">
        <v>7</v>
      </c>
      <c r="G102" s="6" t="s">
        <v>70</v>
      </c>
      <c r="H102" s="6" t="s">
        <v>40</v>
      </c>
      <c r="I102" s="8">
        <v>8.6288600874207862E-3</v>
      </c>
      <c r="J102" s="6" t="s">
        <v>7</v>
      </c>
      <c r="L102" s="6" t="s">
        <v>71</v>
      </c>
      <c r="M102" s="6" t="s">
        <v>40</v>
      </c>
      <c r="N102" s="8">
        <v>9.511744222120859E-3</v>
      </c>
      <c r="O102" s="6" t="s">
        <v>7</v>
      </c>
    </row>
    <row r="103" spans="2:15" x14ac:dyDescent="0.45">
      <c r="B103" s="3" t="s">
        <v>69</v>
      </c>
      <c r="C103" s="3" t="s">
        <v>41</v>
      </c>
      <c r="D103" s="4">
        <v>1.8012580121619982E-2</v>
      </c>
      <c r="E103" s="3" t="s">
        <v>7</v>
      </c>
      <c r="G103" s="3" t="s">
        <v>70</v>
      </c>
      <c r="H103" s="3" t="s">
        <v>41</v>
      </c>
      <c r="I103" s="5">
        <v>8.1448636077236045E-3</v>
      </c>
      <c r="J103" s="3" t="s">
        <v>7</v>
      </c>
      <c r="L103" s="3" t="s">
        <v>71</v>
      </c>
      <c r="M103" s="3" t="s">
        <v>41</v>
      </c>
      <c r="N103" s="5">
        <v>9.5546854934597161E-3</v>
      </c>
      <c r="O103" s="3" t="s">
        <v>7</v>
      </c>
    </row>
    <row r="104" spans="2:15" x14ac:dyDescent="0.45">
      <c r="B104" s="6" t="s">
        <v>69</v>
      </c>
      <c r="C104" s="6" t="s">
        <v>42</v>
      </c>
      <c r="D104" s="7">
        <v>4.6399216625874304E-2</v>
      </c>
      <c r="E104" s="6" t="s">
        <v>7</v>
      </c>
      <c r="G104" s="6" t="s">
        <v>70</v>
      </c>
      <c r="H104" s="6" t="s">
        <v>42</v>
      </c>
      <c r="I104" s="8">
        <v>7.6970585913681807E-3</v>
      </c>
      <c r="J104" s="6" t="s">
        <v>7</v>
      </c>
      <c r="L104" s="6" t="s">
        <v>71</v>
      </c>
      <c r="M104" s="6" t="s">
        <v>42</v>
      </c>
      <c r="N104" s="8">
        <v>9.1852851434352564E-3</v>
      </c>
      <c r="O104" s="6" t="s">
        <v>7</v>
      </c>
    </row>
    <row r="105" spans="2:15" x14ac:dyDescent="0.45">
      <c r="B105" s="3" t="s">
        <v>69</v>
      </c>
      <c r="C105" s="3" t="s">
        <v>43</v>
      </c>
      <c r="D105" s="4">
        <v>6.3950829657672154E-2</v>
      </c>
      <c r="E105" s="3" t="s">
        <v>7</v>
      </c>
      <c r="G105" s="3" t="s">
        <v>70</v>
      </c>
      <c r="H105" s="3" t="s">
        <v>43</v>
      </c>
      <c r="I105" s="5">
        <v>8.34049856779852E-3</v>
      </c>
      <c r="J105" s="3" t="s">
        <v>7</v>
      </c>
      <c r="L105" s="3" t="s">
        <v>71</v>
      </c>
      <c r="M105" s="3" t="s">
        <v>43</v>
      </c>
      <c r="N105" s="5">
        <v>9.0638222032904461E-3</v>
      </c>
      <c r="O105" s="3" t="s">
        <v>7</v>
      </c>
    </row>
    <row r="106" spans="2:15" x14ac:dyDescent="0.45">
      <c r="B106" s="6" t="s">
        <v>69</v>
      </c>
      <c r="C106" s="6" t="s">
        <v>44</v>
      </c>
      <c r="D106" s="7">
        <v>6.2598332283076041E-2</v>
      </c>
      <c r="E106" s="6" t="s">
        <v>7</v>
      </c>
      <c r="G106" s="6" t="s">
        <v>70</v>
      </c>
      <c r="H106" s="6" t="s">
        <v>44</v>
      </c>
      <c r="I106" s="8">
        <v>9.4521854266361831E-3</v>
      </c>
      <c r="J106" s="6" t="s">
        <v>7</v>
      </c>
      <c r="L106" s="6" t="s">
        <v>71</v>
      </c>
      <c r="M106" s="6" t="s">
        <v>44</v>
      </c>
      <c r="N106" s="8">
        <v>1.0221150206242553E-2</v>
      </c>
      <c r="O106" s="6" t="s">
        <v>7</v>
      </c>
    </row>
    <row r="107" spans="2:15" x14ac:dyDescent="0.45">
      <c r="B107" s="3" t="s">
        <v>69</v>
      </c>
      <c r="C107" s="3" t="s">
        <v>45</v>
      </c>
      <c r="D107" s="4">
        <v>4.6966995754518522E-2</v>
      </c>
      <c r="E107" s="3" t="s">
        <v>7</v>
      </c>
      <c r="G107" s="3" t="s">
        <v>70</v>
      </c>
      <c r="H107" s="3" t="s">
        <v>45</v>
      </c>
      <c r="I107" s="5">
        <v>1.0050891455137441E-2</v>
      </c>
      <c r="J107" s="3" t="s">
        <v>7</v>
      </c>
      <c r="L107" s="3" t="s">
        <v>71</v>
      </c>
      <c r="M107" s="3" t="s">
        <v>45</v>
      </c>
      <c r="N107" s="5">
        <v>1.1430343704586688E-2</v>
      </c>
      <c r="O107" s="3" t="s">
        <v>7</v>
      </c>
    </row>
    <row r="108" spans="2:15" x14ac:dyDescent="0.45">
      <c r="B108" s="6" t="s">
        <v>69</v>
      </c>
      <c r="C108" s="6" t="s">
        <v>46</v>
      </c>
      <c r="D108" s="7">
        <v>2.1282251829224167E-2</v>
      </c>
      <c r="E108" s="6" t="s">
        <v>7</v>
      </c>
      <c r="G108" s="6" t="s">
        <v>70</v>
      </c>
      <c r="H108" s="6" t="s">
        <v>46</v>
      </c>
      <c r="I108" s="8">
        <v>9.7381608453707327E-3</v>
      </c>
      <c r="J108" s="6" t="s">
        <v>7</v>
      </c>
      <c r="L108" s="6" t="s">
        <v>71</v>
      </c>
      <c r="M108" s="6" t="s">
        <v>46</v>
      </c>
      <c r="N108" s="8">
        <v>1.2095721428773722E-2</v>
      </c>
      <c r="O108" s="6" t="s">
        <v>7</v>
      </c>
    </row>
    <row r="109" spans="2:15" x14ac:dyDescent="0.45">
      <c r="B109" s="3" t="s">
        <v>69</v>
      </c>
      <c r="C109" s="3" t="s">
        <v>47</v>
      </c>
      <c r="D109" s="4">
        <v>1.5888868827695995E-3</v>
      </c>
      <c r="E109" s="3" t="s">
        <v>7</v>
      </c>
      <c r="G109" s="3" t="s">
        <v>70</v>
      </c>
      <c r="H109" s="3" t="s">
        <v>47</v>
      </c>
      <c r="I109" s="5">
        <v>9.9118999544984092E-3</v>
      </c>
      <c r="J109" s="3" t="s">
        <v>7</v>
      </c>
      <c r="L109" s="3" t="s">
        <v>71</v>
      </c>
      <c r="M109" s="3" t="s">
        <v>47</v>
      </c>
      <c r="N109" s="5">
        <v>1.2204253241214729E-2</v>
      </c>
      <c r="O109" s="3" t="s">
        <v>7</v>
      </c>
    </row>
    <row r="110" spans="2:15" x14ac:dyDescent="0.45">
      <c r="B110" s="6" t="s">
        <v>69</v>
      </c>
      <c r="C110" s="6" t="s">
        <v>48</v>
      </c>
      <c r="D110" s="7">
        <v>0</v>
      </c>
      <c r="E110" s="6" t="s">
        <v>7</v>
      </c>
      <c r="G110" s="6" t="s">
        <v>70</v>
      </c>
      <c r="H110" s="6" t="s">
        <v>48</v>
      </c>
      <c r="I110" s="8">
        <v>1.5129593648123501E-2</v>
      </c>
      <c r="J110" s="6" t="s">
        <v>7</v>
      </c>
      <c r="L110" s="6" t="s">
        <v>71</v>
      </c>
      <c r="M110" s="6" t="s">
        <v>48</v>
      </c>
      <c r="N110" s="8">
        <v>1.7944254754672279E-2</v>
      </c>
      <c r="O110" s="6" t="s">
        <v>7</v>
      </c>
    </row>
    <row r="111" spans="2:15" x14ac:dyDescent="0.45">
      <c r="B111" s="3" t="s">
        <v>69</v>
      </c>
      <c r="C111" s="3" t="s">
        <v>49</v>
      </c>
      <c r="D111" s="4">
        <v>0</v>
      </c>
      <c r="E111" s="3" t="s">
        <v>7</v>
      </c>
      <c r="G111" s="3" t="s">
        <v>70</v>
      </c>
      <c r="H111" s="3" t="s">
        <v>49</v>
      </c>
      <c r="I111" s="5">
        <v>3.5112974913363938E-2</v>
      </c>
      <c r="J111" s="3" t="s">
        <v>7</v>
      </c>
      <c r="L111" s="3" t="s">
        <v>71</v>
      </c>
      <c r="M111" s="3" t="s">
        <v>49</v>
      </c>
      <c r="N111" s="5">
        <v>3.223524974629214E-2</v>
      </c>
      <c r="O111" s="3" t="s">
        <v>7</v>
      </c>
    </row>
    <row r="112" spans="2:15" x14ac:dyDescent="0.45">
      <c r="B112" s="6" t="s">
        <v>69</v>
      </c>
      <c r="C112" s="6" t="s">
        <v>50</v>
      </c>
      <c r="D112" s="7">
        <v>7.6257928842293875E-6</v>
      </c>
      <c r="E112" s="6" t="s">
        <v>7</v>
      </c>
      <c r="G112" s="6" t="s">
        <v>70</v>
      </c>
      <c r="H112" s="6" t="s">
        <v>50</v>
      </c>
      <c r="I112" s="8">
        <v>1.3214565714443231E-2</v>
      </c>
      <c r="J112" s="6" t="s">
        <v>7</v>
      </c>
      <c r="L112" s="6" t="s">
        <v>71</v>
      </c>
      <c r="M112" s="6" t="s">
        <v>50</v>
      </c>
      <c r="N112" s="8">
        <v>1.1859065526856429E-2</v>
      </c>
      <c r="O112" s="6" t="s">
        <v>7</v>
      </c>
    </row>
    <row r="113" spans="2:15" x14ac:dyDescent="0.45">
      <c r="B113" s="3" t="s">
        <v>69</v>
      </c>
      <c r="C113" s="3" t="s">
        <v>51</v>
      </c>
      <c r="D113" s="4">
        <v>7.4642473964838087E-3</v>
      </c>
      <c r="E113" s="3" t="s">
        <v>7</v>
      </c>
      <c r="G113" s="3" t="s">
        <v>70</v>
      </c>
      <c r="H113" s="3" t="s">
        <v>51</v>
      </c>
      <c r="I113" s="5">
        <v>1.2960930047119007E-2</v>
      </c>
      <c r="J113" s="3" t="s">
        <v>7</v>
      </c>
      <c r="L113" s="3" t="s">
        <v>71</v>
      </c>
      <c r="M113" s="3" t="s">
        <v>51</v>
      </c>
      <c r="N113" s="5">
        <v>1.2204980750569234E-2</v>
      </c>
      <c r="O113" s="3" t="s">
        <v>7</v>
      </c>
    </row>
    <row r="114" spans="2:15" x14ac:dyDescent="0.45">
      <c r="B114" s="6" t="s">
        <v>69</v>
      </c>
      <c r="C114" s="6" t="s">
        <v>52</v>
      </c>
      <c r="D114" s="7">
        <v>2.9546658428802074E-2</v>
      </c>
      <c r="E114" s="6" t="s">
        <v>7</v>
      </c>
      <c r="G114" s="6" t="s">
        <v>70</v>
      </c>
      <c r="H114" s="6" t="s">
        <v>52</v>
      </c>
      <c r="I114" s="8">
        <v>1.3047935599654724E-2</v>
      </c>
      <c r="J114" s="6" t="s">
        <v>7</v>
      </c>
      <c r="L114" s="6" t="s">
        <v>71</v>
      </c>
      <c r="M114" s="6" t="s">
        <v>52</v>
      </c>
      <c r="N114" s="8">
        <v>1.2980983272532005E-2</v>
      </c>
      <c r="O114" s="6" t="s">
        <v>7</v>
      </c>
    </row>
    <row r="115" spans="2:15" x14ac:dyDescent="0.45">
      <c r="B115" s="3" t="s">
        <v>69</v>
      </c>
      <c r="C115" s="3" t="s">
        <v>53</v>
      </c>
      <c r="D115" s="4">
        <v>4.2066921838501588E-2</v>
      </c>
      <c r="E115" s="3" t="s">
        <v>7</v>
      </c>
      <c r="G115" s="3" t="s">
        <v>70</v>
      </c>
      <c r="H115" s="3" t="s">
        <v>53</v>
      </c>
      <c r="I115" s="5">
        <v>1.3291011019976262E-2</v>
      </c>
      <c r="J115" s="3" t="s">
        <v>7</v>
      </c>
      <c r="L115" s="3" t="s">
        <v>71</v>
      </c>
      <c r="M115" s="3" t="s">
        <v>53</v>
      </c>
      <c r="N115" s="5">
        <v>1.2752777884501323E-2</v>
      </c>
      <c r="O115" s="3" t="s">
        <v>7</v>
      </c>
    </row>
    <row r="116" spans="2:15" x14ac:dyDescent="0.45">
      <c r="B116" s="6" t="s">
        <v>69</v>
      </c>
      <c r="C116" s="6" t="s">
        <v>54</v>
      </c>
      <c r="D116" s="7">
        <v>3.7964201176598877E-2</v>
      </c>
      <c r="E116" s="6" t="s">
        <v>7</v>
      </c>
      <c r="G116" s="6" t="s">
        <v>70</v>
      </c>
      <c r="H116" s="6" t="s">
        <v>54</v>
      </c>
      <c r="I116" s="8">
        <v>1.3622734123654579E-2</v>
      </c>
      <c r="J116" s="6" t="s">
        <v>7</v>
      </c>
      <c r="L116" s="6" t="s">
        <v>71</v>
      </c>
      <c r="M116" s="6" t="s">
        <v>54</v>
      </c>
      <c r="N116" s="8">
        <v>1.3218577819321717E-2</v>
      </c>
      <c r="O116" s="6" t="s">
        <v>7</v>
      </c>
    </row>
    <row r="117" spans="2:15" x14ac:dyDescent="0.45">
      <c r="B117" s="3" t="s">
        <v>69</v>
      </c>
      <c r="C117" s="3" t="s">
        <v>55</v>
      </c>
      <c r="D117" s="4">
        <v>2.3696664055970793E-2</v>
      </c>
      <c r="E117" s="3" t="s">
        <v>7</v>
      </c>
      <c r="G117" s="3" t="s">
        <v>70</v>
      </c>
      <c r="H117" s="3" t="s">
        <v>55</v>
      </c>
      <c r="I117" s="5">
        <v>1.3970297281293405E-2</v>
      </c>
      <c r="J117" s="3" t="s">
        <v>7</v>
      </c>
      <c r="L117" s="3" t="s">
        <v>71</v>
      </c>
      <c r="M117" s="3" t="s">
        <v>55</v>
      </c>
      <c r="N117" s="5">
        <v>1.4016093753294399E-2</v>
      </c>
      <c r="O117" s="3" t="s">
        <v>7</v>
      </c>
    </row>
    <row r="118" spans="2:15" x14ac:dyDescent="0.45">
      <c r="B118" s="6" t="s">
        <v>69</v>
      </c>
      <c r="C118" s="6" t="s">
        <v>56</v>
      </c>
      <c r="D118" s="7">
        <v>5.0894798199179409E-3</v>
      </c>
      <c r="E118" s="6" t="s">
        <v>7</v>
      </c>
      <c r="G118" s="6" t="s">
        <v>70</v>
      </c>
      <c r="H118" s="6" t="s">
        <v>56</v>
      </c>
      <c r="I118" s="8">
        <v>1.4593534776947805E-2</v>
      </c>
      <c r="J118" s="6" t="s">
        <v>7</v>
      </c>
      <c r="L118" s="6" t="s">
        <v>71</v>
      </c>
      <c r="M118" s="6" t="s">
        <v>56</v>
      </c>
      <c r="N118" s="8">
        <v>1.5045580631349309E-2</v>
      </c>
      <c r="O118" s="6" t="s">
        <v>7</v>
      </c>
    </row>
    <row r="119" spans="2:15" x14ac:dyDescent="0.45">
      <c r="B119" s="3" t="s">
        <v>69</v>
      </c>
      <c r="C119" s="3" t="s">
        <v>57</v>
      </c>
      <c r="D119" s="4">
        <v>4.143286183984388E-6</v>
      </c>
      <c r="E119" s="3" t="s">
        <v>7</v>
      </c>
      <c r="G119" s="3" t="s">
        <v>70</v>
      </c>
      <c r="H119" s="3" t="s">
        <v>57</v>
      </c>
      <c r="I119" s="5">
        <v>1.5228244113430045E-2</v>
      </c>
      <c r="J119" s="3" t="s">
        <v>7</v>
      </c>
      <c r="L119" s="3" t="s">
        <v>71</v>
      </c>
      <c r="M119" s="3" t="s">
        <v>57</v>
      </c>
      <c r="N119" s="5">
        <v>1.5052482876833591E-2</v>
      </c>
      <c r="O119" s="3" t="s">
        <v>7</v>
      </c>
    </row>
    <row r="120" spans="2:15" x14ac:dyDescent="0.45">
      <c r="B120" s="6" t="s">
        <v>69</v>
      </c>
      <c r="C120" s="6" t="s">
        <v>58</v>
      </c>
      <c r="D120" s="7">
        <v>0</v>
      </c>
      <c r="E120" s="6" t="s">
        <v>7</v>
      </c>
      <c r="G120" s="6" t="s">
        <v>70</v>
      </c>
      <c r="H120" s="6" t="s">
        <v>58</v>
      </c>
      <c r="I120" s="8">
        <v>2.279475640001042E-2</v>
      </c>
      <c r="J120" s="6" t="s">
        <v>7</v>
      </c>
      <c r="L120" s="6" t="s">
        <v>71</v>
      </c>
      <c r="M120" s="6" t="s">
        <v>58</v>
      </c>
      <c r="N120" s="8">
        <v>2.1959144421194239E-2</v>
      </c>
      <c r="O120" s="6" t="s">
        <v>7</v>
      </c>
    </row>
    <row r="121" spans="2:15" x14ac:dyDescent="0.45">
      <c r="B121" s="3" t="s">
        <v>69</v>
      </c>
      <c r="C121" s="3" t="s">
        <v>59</v>
      </c>
      <c r="D121" s="4">
        <v>0</v>
      </c>
      <c r="E121" s="3" t="s">
        <v>7</v>
      </c>
      <c r="G121" s="3" t="s">
        <v>70</v>
      </c>
      <c r="H121" s="3" t="s">
        <v>59</v>
      </c>
      <c r="I121" s="5">
        <v>4.2762831986158573E-2</v>
      </c>
      <c r="J121" s="3" t="s">
        <v>7</v>
      </c>
      <c r="L121" s="3" t="s">
        <v>71</v>
      </c>
      <c r="M121" s="3" t="s">
        <v>59</v>
      </c>
      <c r="N121" s="5">
        <v>3.9424897856273323E-2</v>
      </c>
      <c r="O121" s="3" t="s">
        <v>7</v>
      </c>
    </row>
    <row r="122" spans="2:15" x14ac:dyDescent="0.45">
      <c r="B122" s="6" t="s">
        <v>69</v>
      </c>
      <c r="C122" s="6" t="s">
        <v>60</v>
      </c>
      <c r="D122" s="7">
        <v>0</v>
      </c>
      <c r="E122" s="6" t="s">
        <v>7</v>
      </c>
      <c r="G122" s="6" t="s">
        <v>70</v>
      </c>
      <c r="H122" s="6" t="s">
        <v>60</v>
      </c>
      <c r="I122" s="8">
        <v>1.7473928457275426E-2</v>
      </c>
      <c r="J122" s="6" t="s">
        <v>7</v>
      </c>
      <c r="L122" s="6" t="s">
        <v>71</v>
      </c>
      <c r="M122" s="6" t="s">
        <v>60</v>
      </c>
      <c r="N122" s="8">
        <v>1.6327516821568362E-2</v>
      </c>
      <c r="O122" s="6" t="s">
        <v>7</v>
      </c>
    </row>
    <row r="123" spans="2:15" x14ac:dyDescent="0.45">
      <c r="B123" s="3" t="s">
        <v>69</v>
      </c>
      <c r="C123" s="3" t="s">
        <v>61</v>
      </c>
      <c r="D123" s="4">
        <v>5.3990557782358729E-4</v>
      </c>
      <c r="E123" s="3" t="s">
        <v>7</v>
      </c>
      <c r="G123" s="3" t="s">
        <v>70</v>
      </c>
      <c r="H123" s="3" t="s">
        <v>61</v>
      </c>
      <c r="I123" s="5">
        <v>1.752325900916895E-2</v>
      </c>
      <c r="J123" s="3" t="s">
        <v>7</v>
      </c>
      <c r="L123" s="3" t="s">
        <v>71</v>
      </c>
      <c r="M123" s="3" t="s">
        <v>61</v>
      </c>
      <c r="N123" s="5">
        <v>1.6312001406634004E-2</v>
      </c>
      <c r="O123" s="3" t="s">
        <v>7</v>
      </c>
    </row>
    <row r="124" spans="2:15" x14ac:dyDescent="0.45">
      <c r="B124" s="6" t="s">
        <v>69</v>
      </c>
      <c r="C124" s="6" t="s">
        <v>62</v>
      </c>
      <c r="D124" s="7">
        <v>1.4586599207784885E-2</v>
      </c>
      <c r="E124" s="6" t="s">
        <v>7</v>
      </c>
      <c r="G124" s="6" t="s">
        <v>70</v>
      </c>
      <c r="H124" s="6" t="s">
        <v>62</v>
      </c>
      <c r="I124" s="8">
        <v>1.685504260027601E-2</v>
      </c>
      <c r="J124" s="6" t="s">
        <v>7</v>
      </c>
      <c r="L124" s="6" t="s">
        <v>71</v>
      </c>
      <c r="M124" s="6" t="s">
        <v>62</v>
      </c>
      <c r="N124" s="8">
        <v>1.6735767977402487E-2</v>
      </c>
      <c r="O124" s="6" t="s">
        <v>7</v>
      </c>
    </row>
    <row r="125" spans="2:15" x14ac:dyDescent="0.45">
      <c r="B125" s="3" t="s">
        <v>69</v>
      </c>
      <c r="C125" s="3" t="s">
        <v>63</v>
      </c>
      <c r="D125" s="4">
        <v>2.8783980473132385E-2</v>
      </c>
      <c r="E125" s="3" t="s">
        <v>7</v>
      </c>
      <c r="G125" s="3" t="s">
        <v>70</v>
      </c>
      <c r="H125" s="3" t="s">
        <v>63</v>
      </c>
      <c r="I125" s="5">
        <v>1.638608751827364E-2</v>
      </c>
      <c r="J125" s="3" t="s">
        <v>7</v>
      </c>
      <c r="L125" s="3" t="s">
        <v>71</v>
      </c>
      <c r="M125" s="3" t="s">
        <v>63</v>
      </c>
      <c r="N125" s="5">
        <v>1.6949253234476627E-2</v>
      </c>
      <c r="O125" s="3" t="s">
        <v>7</v>
      </c>
    </row>
    <row r="126" spans="2:15" x14ac:dyDescent="0.45">
      <c r="B126" s="6" t="s">
        <v>69</v>
      </c>
      <c r="C126" s="6" t="s">
        <v>64</v>
      </c>
      <c r="D126" s="7">
        <v>2.7964472739170777E-2</v>
      </c>
      <c r="E126" s="6" t="s">
        <v>7</v>
      </c>
      <c r="G126" s="6" t="s">
        <v>70</v>
      </c>
      <c r="H126" s="6" t="s">
        <v>64</v>
      </c>
      <c r="I126" s="8">
        <v>1.689824670370417E-2</v>
      </c>
      <c r="J126" s="6" t="s">
        <v>7</v>
      </c>
      <c r="L126" s="6" t="s">
        <v>71</v>
      </c>
      <c r="M126" s="6" t="s">
        <v>64</v>
      </c>
      <c r="N126" s="8">
        <v>1.6683655117484274E-2</v>
      </c>
      <c r="O126" s="6" t="s">
        <v>7</v>
      </c>
    </row>
    <row r="127" spans="2:15" x14ac:dyDescent="0.45">
      <c r="B127" s="3" t="s">
        <v>69</v>
      </c>
      <c r="C127" s="3" t="s">
        <v>65</v>
      </c>
      <c r="D127" s="4">
        <v>1.2103160230053049E-2</v>
      </c>
      <c r="E127" s="3" t="s">
        <v>7</v>
      </c>
      <c r="G127" s="3" t="s">
        <v>70</v>
      </c>
      <c r="H127" s="3" t="s">
        <v>65</v>
      </c>
      <c r="I127" s="5">
        <v>1.6715850963343239E-2</v>
      </c>
      <c r="J127" s="3" t="s">
        <v>7</v>
      </c>
      <c r="L127" s="3" t="s">
        <v>71</v>
      </c>
      <c r="M127" s="3" t="s">
        <v>65</v>
      </c>
      <c r="N127" s="5">
        <v>1.6306751076078475E-2</v>
      </c>
      <c r="O127" s="3" t="s">
        <v>7</v>
      </c>
    </row>
    <row r="128" spans="2:15" x14ac:dyDescent="0.45">
      <c r="B128" s="6" t="s">
        <v>69</v>
      </c>
      <c r="C128" s="6" t="s">
        <v>66</v>
      </c>
      <c r="D128" s="7">
        <v>0</v>
      </c>
      <c r="E128" s="6" t="s">
        <v>7</v>
      </c>
      <c r="G128" s="6" t="s">
        <v>70</v>
      </c>
      <c r="H128" s="6" t="s">
        <v>66</v>
      </c>
      <c r="I128" s="8">
        <v>1.693734447756676E-2</v>
      </c>
      <c r="J128" s="6" t="s">
        <v>7</v>
      </c>
      <c r="L128" s="6" t="s">
        <v>71</v>
      </c>
      <c r="M128" s="6" t="s">
        <v>66</v>
      </c>
      <c r="N128" s="8">
        <v>1.6352153978234193E-2</v>
      </c>
      <c r="O128" s="6" t="s">
        <v>7</v>
      </c>
    </row>
    <row r="129" spans="2:15" x14ac:dyDescent="0.45">
      <c r="B129" s="3" t="s">
        <v>69</v>
      </c>
      <c r="C129" s="3" t="s">
        <v>67</v>
      </c>
      <c r="D129" s="4">
        <v>0</v>
      </c>
      <c r="E129" s="3" t="s">
        <v>7</v>
      </c>
      <c r="G129" s="3" t="s">
        <v>70</v>
      </c>
      <c r="H129" s="3" t="s">
        <v>67</v>
      </c>
      <c r="I129" s="5">
        <v>1.6964914424083655E-2</v>
      </c>
      <c r="J129" s="3" t="s">
        <v>7</v>
      </c>
      <c r="L129" s="3" t="s">
        <v>71</v>
      </c>
      <c r="M129" s="3" t="s">
        <v>67</v>
      </c>
      <c r="N129" s="5">
        <v>1.6752828590202554E-2</v>
      </c>
      <c r="O129" s="3" t="s">
        <v>7</v>
      </c>
    </row>
    <row r="130" spans="2:15" x14ac:dyDescent="0.45">
      <c r="B130" s="6" t="s">
        <v>69</v>
      </c>
      <c r="C130" s="6" t="s">
        <v>68</v>
      </c>
      <c r="D130" s="7">
        <v>0</v>
      </c>
      <c r="E130" s="6" t="s">
        <v>7</v>
      </c>
      <c r="G130" s="6" t="s">
        <v>70</v>
      </c>
      <c r="H130" s="6" t="s">
        <v>68</v>
      </c>
      <c r="I130" s="8">
        <v>2.5209820447681504E-2</v>
      </c>
      <c r="J130" s="6" t="s">
        <v>7</v>
      </c>
      <c r="L130" s="6" t="s">
        <v>71</v>
      </c>
      <c r="M130" s="6" t="s">
        <v>68</v>
      </c>
      <c r="N130" s="8">
        <v>2.4266629284658812E-2</v>
      </c>
      <c r="O130" s="6" t="s">
        <v>7</v>
      </c>
    </row>
    <row r="131" spans="2:15" x14ac:dyDescent="0.45">
      <c r="B131" s="3" t="s">
        <v>72</v>
      </c>
      <c r="C131" s="3" t="s">
        <v>6</v>
      </c>
      <c r="D131" s="4">
        <v>0</v>
      </c>
      <c r="E131" s="3" t="s">
        <v>7</v>
      </c>
      <c r="G131" s="3" t="s">
        <v>73</v>
      </c>
      <c r="H131" s="3" t="s">
        <v>6</v>
      </c>
      <c r="I131" s="5">
        <v>3.7489851374201674E-2</v>
      </c>
      <c r="J131" s="3" t="s">
        <v>7</v>
      </c>
      <c r="L131" s="3" t="s">
        <v>74</v>
      </c>
      <c r="M131" s="3" t="s">
        <v>6</v>
      </c>
      <c r="N131" s="5">
        <v>3.5810063138211473E-2</v>
      </c>
      <c r="O131" s="3" t="s">
        <v>7</v>
      </c>
    </row>
    <row r="132" spans="2:15" x14ac:dyDescent="0.45">
      <c r="B132" s="6" t="s">
        <v>72</v>
      </c>
      <c r="C132" s="6" t="s">
        <v>10</v>
      </c>
      <c r="D132" s="7">
        <v>0</v>
      </c>
      <c r="E132" s="6" t="s">
        <v>7</v>
      </c>
      <c r="G132" s="6" t="s">
        <v>73</v>
      </c>
      <c r="H132" s="6" t="s">
        <v>10</v>
      </c>
      <c r="I132" s="8">
        <v>1.5044048481224408E-2</v>
      </c>
      <c r="J132" s="6" t="s">
        <v>7</v>
      </c>
      <c r="L132" s="6" t="s">
        <v>74</v>
      </c>
      <c r="M132" s="6" t="s">
        <v>10</v>
      </c>
      <c r="N132" s="8">
        <v>1.4061842303325384E-2</v>
      </c>
      <c r="O132" s="6" t="s">
        <v>7</v>
      </c>
    </row>
    <row r="133" spans="2:15" x14ac:dyDescent="0.45">
      <c r="B133" s="3" t="s">
        <v>72</v>
      </c>
      <c r="C133" s="3" t="s">
        <v>11</v>
      </c>
      <c r="D133" s="4">
        <v>2.1992905095716384E-4</v>
      </c>
      <c r="E133" s="3" t="s">
        <v>7</v>
      </c>
      <c r="G133" s="3" t="s">
        <v>73</v>
      </c>
      <c r="H133" s="3" t="s">
        <v>11</v>
      </c>
      <c r="I133" s="5">
        <v>1.5112925491761447E-2</v>
      </c>
      <c r="J133" s="3" t="s">
        <v>7</v>
      </c>
      <c r="L133" s="3" t="s">
        <v>74</v>
      </c>
      <c r="M133" s="3" t="s">
        <v>11</v>
      </c>
      <c r="N133" s="5">
        <v>1.4298281004284742E-2</v>
      </c>
      <c r="O133" s="3" t="s">
        <v>7</v>
      </c>
    </row>
    <row r="134" spans="2:15" x14ac:dyDescent="0.45">
      <c r="B134" s="6" t="s">
        <v>72</v>
      </c>
      <c r="C134" s="6" t="s">
        <v>12</v>
      </c>
      <c r="D134" s="7">
        <v>1.0016082156408836E-2</v>
      </c>
      <c r="E134" s="6" t="s">
        <v>7</v>
      </c>
      <c r="G134" s="6" t="s">
        <v>73</v>
      </c>
      <c r="H134" s="6" t="s">
        <v>12</v>
      </c>
      <c r="I134" s="8">
        <v>1.4624262106610764E-2</v>
      </c>
      <c r="J134" s="6" t="s">
        <v>7</v>
      </c>
      <c r="L134" s="6" t="s">
        <v>74</v>
      </c>
      <c r="M134" s="6" t="s">
        <v>12</v>
      </c>
      <c r="N134" s="8">
        <v>1.4209492391654897E-2</v>
      </c>
      <c r="O134" s="6" t="s">
        <v>7</v>
      </c>
    </row>
    <row r="135" spans="2:15" x14ac:dyDescent="0.45">
      <c r="B135" s="3" t="s">
        <v>72</v>
      </c>
      <c r="C135" s="3" t="s">
        <v>13</v>
      </c>
      <c r="D135" s="4">
        <v>2.823367674319861E-2</v>
      </c>
      <c r="E135" s="3" t="s">
        <v>7</v>
      </c>
      <c r="G135" s="3" t="s">
        <v>73</v>
      </c>
      <c r="H135" s="3" t="s">
        <v>13</v>
      </c>
      <c r="I135" s="5">
        <v>1.4370151415625067E-2</v>
      </c>
      <c r="J135" s="3" t="s">
        <v>7</v>
      </c>
      <c r="L135" s="3" t="s">
        <v>74</v>
      </c>
      <c r="M135" s="3" t="s">
        <v>13</v>
      </c>
      <c r="N135" s="5">
        <v>1.3919760990561126E-2</v>
      </c>
      <c r="O135" s="3" t="s">
        <v>7</v>
      </c>
    </row>
    <row r="136" spans="2:15" x14ac:dyDescent="0.45">
      <c r="B136" s="6" t="s">
        <v>72</v>
      </c>
      <c r="C136" s="6" t="s">
        <v>14</v>
      </c>
      <c r="D136" s="7">
        <v>3.3742688924426181E-2</v>
      </c>
      <c r="E136" s="6" t="s">
        <v>7</v>
      </c>
      <c r="G136" s="6" t="s">
        <v>73</v>
      </c>
      <c r="H136" s="6" t="s">
        <v>14</v>
      </c>
      <c r="I136" s="8">
        <v>1.4799097070811939E-2</v>
      </c>
      <c r="J136" s="6" t="s">
        <v>7</v>
      </c>
      <c r="L136" s="6" t="s">
        <v>74</v>
      </c>
      <c r="M136" s="6" t="s">
        <v>14</v>
      </c>
      <c r="N136" s="8">
        <v>1.4175064117884483E-2</v>
      </c>
      <c r="O136" s="6" t="s">
        <v>7</v>
      </c>
    </row>
    <row r="137" spans="2:15" x14ac:dyDescent="0.45">
      <c r="B137" s="3" t="s">
        <v>72</v>
      </c>
      <c r="C137" s="3" t="s">
        <v>15</v>
      </c>
      <c r="D137" s="4">
        <v>1.8574362439882853E-2</v>
      </c>
      <c r="E137" s="3" t="s">
        <v>7</v>
      </c>
      <c r="G137" s="3" t="s">
        <v>73</v>
      </c>
      <c r="H137" s="3" t="s">
        <v>15</v>
      </c>
      <c r="I137" s="5">
        <v>1.4318318443976319E-2</v>
      </c>
      <c r="J137" s="3" t="s">
        <v>7</v>
      </c>
      <c r="L137" s="3" t="s">
        <v>74</v>
      </c>
      <c r="M137" s="3" t="s">
        <v>15</v>
      </c>
      <c r="N137" s="5">
        <v>1.3973345297323808E-2</v>
      </c>
      <c r="O137" s="3" t="s">
        <v>7</v>
      </c>
    </row>
    <row r="138" spans="2:15" x14ac:dyDescent="0.45">
      <c r="B138" s="6" t="s">
        <v>72</v>
      </c>
      <c r="C138" s="6" t="s">
        <v>16</v>
      </c>
      <c r="D138" s="7">
        <v>1.9332812150291735E-3</v>
      </c>
      <c r="E138" s="6" t="s">
        <v>7</v>
      </c>
      <c r="G138" s="6" t="s">
        <v>73</v>
      </c>
      <c r="H138" s="6" t="s">
        <v>16</v>
      </c>
      <c r="I138" s="8">
        <v>1.4276686100546063E-2</v>
      </c>
      <c r="J138" s="6" t="s">
        <v>7</v>
      </c>
      <c r="L138" s="6" t="s">
        <v>74</v>
      </c>
      <c r="M138" s="6" t="s">
        <v>16</v>
      </c>
      <c r="N138" s="8">
        <v>1.4200747347579815E-2</v>
      </c>
      <c r="O138" s="6" t="s">
        <v>7</v>
      </c>
    </row>
    <row r="139" spans="2:15" x14ac:dyDescent="0.45">
      <c r="B139" s="3" t="s">
        <v>72</v>
      </c>
      <c r="C139" s="3" t="s">
        <v>17</v>
      </c>
      <c r="D139" s="4">
        <v>0</v>
      </c>
      <c r="E139" s="3" t="s">
        <v>7</v>
      </c>
      <c r="G139" s="3" t="s">
        <v>73</v>
      </c>
      <c r="H139" s="3" t="s">
        <v>17</v>
      </c>
      <c r="I139" s="5">
        <v>1.4876406409712752E-2</v>
      </c>
      <c r="J139" s="3" t="s">
        <v>7</v>
      </c>
      <c r="L139" s="3" t="s">
        <v>74</v>
      </c>
      <c r="M139" s="3" t="s">
        <v>17</v>
      </c>
      <c r="N139" s="5">
        <v>1.4750063288657468E-2</v>
      </c>
      <c r="O139" s="3" t="s">
        <v>7</v>
      </c>
    </row>
    <row r="140" spans="2:15" x14ac:dyDescent="0.45">
      <c r="B140" s="6" t="s">
        <v>72</v>
      </c>
      <c r="C140" s="6" t="s">
        <v>18</v>
      </c>
      <c r="D140" s="7">
        <v>0</v>
      </c>
      <c r="E140" s="6" t="s">
        <v>7</v>
      </c>
      <c r="G140" s="6" t="s">
        <v>73</v>
      </c>
      <c r="H140" s="6" t="s">
        <v>18</v>
      </c>
      <c r="I140" s="8">
        <v>2.2559185282447314E-2</v>
      </c>
      <c r="J140" s="6" t="s">
        <v>7</v>
      </c>
      <c r="L140" s="6" t="s">
        <v>74</v>
      </c>
      <c r="M140" s="6" t="s">
        <v>18</v>
      </c>
      <c r="N140" s="8">
        <v>2.1990654109157553E-2</v>
      </c>
      <c r="O140" s="6" t="s">
        <v>7</v>
      </c>
    </row>
    <row r="141" spans="2:15" x14ac:dyDescent="0.45">
      <c r="B141" s="3" t="s">
        <v>72</v>
      </c>
      <c r="C141" s="3" t="s">
        <v>19</v>
      </c>
      <c r="D141" s="4">
        <v>0</v>
      </c>
      <c r="E141" s="3" t="s">
        <v>7</v>
      </c>
      <c r="G141" s="3" t="s">
        <v>73</v>
      </c>
      <c r="H141" s="3" t="s">
        <v>19</v>
      </c>
      <c r="I141" s="5">
        <v>3.3125733905133334E-2</v>
      </c>
      <c r="J141" s="3" t="s">
        <v>7</v>
      </c>
      <c r="L141" s="3" t="s">
        <v>74</v>
      </c>
      <c r="M141" s="3" t="s">
        <v>19</v>
      </c>
      <c r="N141" s="5">
        <v>3.4281926186525112E-2</v>
      </c>
      <c r="O141" s="3" t="s">
        <v>7</v>
      </c>
    </row>
    <row r="142" spans="2:15" x14ac:dyDescent="0.45">
      <c r="B142" s="6" t="s">
        <v>72</v>
      </c>
      <c r="C142" s="6" t="s">
        <v>20</v>
      </c>
      <c r="D142" s="7">
        <v>1.9031234161695414E-4</v>
      </c>
      <c r="E142" s="6" t="s">
        <v>7</v>
      </c>
      <c r="G142" s="6" t="s">
        <v>73</v>
      </c>
      <c r="H142" s="6" t="s">
        <v>20</v>
      </c>
      <c r="I142" s="8">
        <v>1.3102752833620831E-2</v>
      </c>
      <c r="J142" s="6" t="s">
        <v>7</v>
      </c>
      <c r="L142" s="6" t="s">
        <v>74</v>
      </c>
      <c r="M142" s="6" t="s">
        <v>20</v>
      </c>
      <c r="N142" s="8">
        <v>1.4011768211077266E-2</v>
      </c>
      <c r="O142" s="6" t="s">
        <v>7</v>
      </c>
    </row>
    <row r="143" spans="2:15" x14ac:dyDescent="0.45">
      <c r="B143" s="3" t="s">
        <v>72</v>
      </c>
      <c r="C143" s="3" t="s">
        <v>21</v>
      </c>
      <c r="D143" s="4">
        <v>9.8982084935687539E-3</v>
      </c>
      <c r="E143" s="3" t="s">
        <v>7</v>
      </c>
      <c r="G143" s="3" t="s">
        <v>73</v>
      </c>
      <c r="H143" s="3" t="s">
        <v>21</v>
      </c>
      <c r="I143" s="5">
        <v>1.3451891462279571E-2</v>
      </c>
      <c r="J143" s="3" t="s">
        <v>7</v>
      </c>
      <c r="L143" s="3" t="s">
        <v>74</v>
      </c>
      <c r="M143" s="3" t="s">
        <v>21</v>
      </c>
      <c r="N143" s="5">
        <v>1.429320135452042E-2</v>
      </c>
      <c r="O143" s="3" t="s">
        <v>7</v>
      </c>
    </row>
    <row r="144" spans="2:15" x14ac:dyDescent="0.45">
      <c r="B144" s="6" t="s">
        <v>72</v>
      </c>
      <c r="C144" s="6" t="s">
        <v>22</v>
      </c>
      <c r="D144" s="7">
        <v>3.5468459222466775E-2</v>
      </c>
      <c r="E144" s="6" t="s">
        <v>7</v>
      </c>
      <c r="G144" s="6" t="s">
        <v>73</v>
      </c>
      <c r="H144" s="6" t="s">
        <v>22</v>
      </c>
      <c r="I144" s="8">
        <v>1.4612133663649187E-2</v>
      </c>
      <c r="J144" s="6" t="s">
        <v>7</v>
      </c>
      <c r="L144" s="6" t="s">
        <v>74</v>
      </c>
      <c r="M144" s="6" t="s">
        <v>22</v>
      </c>
      <c r="N144" s="8">
        <v>1.4216748325426954E-2</v>
      </c>
      <c r="O144" s="6" t="s">
        <v>7</v>
      </c>
    </row>
    <row r="145" spans="2:15" x14ac:dyDescent="0.45">
      <c r="B145" s="3" t="s">
        <v>72</v>
      </c>
      <c r="C145" s="3" t="s">
        <v>23</v>
      </c>
      <c r="D145" s="4">
        <v>5.1213753889863767E-2</v>
      </c>
      <c r="E145" s="3" t="s">
        <v>7</v>
      </c>
      <c r="G145" s="3" t="s">
        <v>73</v>
      </c>
      <c r="H145" s="3" t="s">
        <v>23</v>
      </c>
      <c r="I145" s="5">
        <v>1.5433908282013622E-2</v>
      </c>
      <c r="J145" s="3" t="s">
        <v>7</v>
      </c>
      <c r="L145" s="3" t="s">
        <v>74</v>
      </c>
      <c r="M145" s="3" t="s">
        <v>23</v>
      </c>
      <c r="N145" s="5">
        <v>1.3707701016668371E-2</v>
      </c>
      <c r="O145" s="3" t="s">
        <v>7</v>
      </c>
    </row>
    <row r="146" spans="2:15" x14ac:dyDescent="0.45">
      <c r="B146" s="6" t="s">
        <v>72</v>
      </c>
      <c r="C146" s="6" t="s">
        <v>24</v>
      </c>
      <c r="D146" s="7">
        <v>5.2280128115097926E-2</v>
      </c>
      <c r="E146" s="6" t="s">
        <v>7</v>
      </c>
      <c r="G146" s="6" t="s">
        <v>73</v>
      </c>
      <c r="H146" s="6" t="s">
        <v>24</v>
      </c>
      <c r="I146" s="8">
        <v>1.4979332645261918E-2</v>
      </c>
      <c r="J146" s="6" t="s">
        <v>7</v>
      </c>
      <c r="L146" s="6" t="s">
        <v>74</v>
      </c>
      <c r="M146" s="6" t="s">
        <v>24</v>
      </c>
      <c r="N146" s="8">
        <v>1.338476035968093E-2</v>
      </c>
      <c r="O146" s="6" t="s">
        <v>7</v>
      </c>
    </row>
    <row r="147" spans="2:15" x14ac:dyDescent="0.45">
      <c r="B147" s="3" t="s">
        <v>72</v>
      </c>
      <c r="C147" s="3" t="s">
        <v>25</v>
      </c>
      <c r="D147" s="4">
        <v>3.97390794578985E-2</v>
      </c>
      <c r="E147" s="3" t="s">
        <v>7</v>
      </c>
      <c r="G147" s="3" t="s">
        <v>73</v>
      </c>
      <c r="H147" s="3" t="s">
        <v>25</v>
      </c>
      <c r="I147" s="5">
        <v>1.4739057831764813E-2</v>
      </c>
      <c r="J147" s="3" t="s">
        <v>7</v>
      </c>
      <c r="L147" s="3" t="s">
        <v>74</v>
      </c>
      <c r="M147" s="3" t="s">
        <v>25</v>
      </c>
      <c r="N147" s="5">
        <v>1.3523305183668221E-2</v>
      </c>
      <c r="O147" s="3" t="s">
        <v>7</v>
      </c>
    </row>
    <row r="148" spans="2:15" x14ac:dyDescent="0.45">
      <c r="B148" s="6" t="s">
        <v>72</v>
      </c>
      <c r="C148" s="6" t="s">
        <v>26</v>
      </c>
      <c r="D148" s="7">
        <v>1.5793187272918358E-2</v>
      </c>
      <c r="E148" s="6" t="s">
        <v>7</v>
      </c>
      <c r="G148" s="6" t="s">
        <v>73</v>
      </c>
      <c r="H148" s="6" t="s">
        <v>26</v>
      </c>
      <c r="I148" s="8">
        <v>1.3640022779075554E-2</v>
      </c>
      <c r="J148" s="6" t="s">
        <v>7</v>
      </c>
      <c r="L148" s="6" t="s">
        <v>74</v>
      </c>
      <c r="M148" s="6" t="s">
        <v>26</v>
      </c>
      <c r="N148" s="8">
        <v>1.3715362874117239E-2</v>
      </c>
      <c r="O148" s="6" t="s">
        <v>7</v>
      </c>
    </row>
    <row r="149" spans="2:15" x14ac:dyDescent="0.45">
      <c r="B149" s="3" t="s">
        <v>72</v>
      </c>
      <c r="C149" s="3" t="s">
        <v>27</v>
      </c>
      <c r="D149" s="4">
        <v>4.6835232656386428E-4</v>
      </c>
      <c r="E149" s="3" t="s">
        <v>7</v>
      </c>
      <c r="G149" s="3" t="s">
        <v>73</v>
      </c>
      <c r="H149" s="3" t="s">
        <v>27</v>
      </c>
      <c r="I149" s="5">
        <v>1.3191197402125782E-2</v>
      </c>
      <c r="J149" s="3" t="s">
        <v>7</v>
      </c>
      <c r="L149" s="3" t="s">
        <v>74</v>
      </c>
      <c r="M149" s="3" t="s">
        <v>27</v>
      </c>
      <c r="N149" s="5">
        <v>1.3851796586805213E-2</v>
      </c>
      <c r="O149" s="3" t="s">
        <v>7</v>
      </c>
    </row>
    <row r="150" spans="2:15" x14ac:dyDescent="0.45">
      <c r="B150" s="6" t="s">
        <v>72</v>
      </c>
      <c r="C150" s="6" t="s">
        <v>28</v>
      </c>
      <c r="D150" s="7">
        <v>0</v>
      </c>
      <c r="E150" s="6" t="s">
        <v>7</v>
      </c>
      <c r="G150" s="6" t="s">
        <v>73</v>
      </c>
      <c r="H150" s="6" t="s">
        <v>28</v>
      </c>
      <c r="I150" s="8">
        <v>2.0431528849462696E-2</v>
      </c>
      <c r="J150" s="6" t="s">
        <v>7</v>
      </c>
      <c r="L150" s="6" t="s">
        <v>74</v>
      </c>
      <c r="M150" s="6" t="s">
        <v>28</v>
      </c>
      <c r="N150" s="8">
        <v>2.1407608645143569E-2</v>
      </c>
      <c r="O150" s="6" t="s">
        <v>7</v>
      </c>
    </row>
    <row r="151" spans="2:15" x14ac:dyDescent="0.45">
      <c r="B151" s="3" t="s">
        <v>72</v>
      </c>
      <c r="C151" s="3" t="s">
        <v>29</v>
      </c>
      <c r="D151" s="4">
        <v>0</v>
      </c>
      <c r="E151" s="3" t="s">
        <v>7</v>
      </c>
      <c r="G151" s="3" t="s">
        <v>73</v>
      </c>
      <c r="H151" s="3" t="s">
        <v>29</v>
      </c>
      <c r="I151" s="5">
        <v>2.5421003490867764E-2</v>
      </c>
      <c r="J151" s="3" t="s">
        <v>7</v>
      </c>
      <c r="L151" s="3" t="s">
        <v>74</v>
      </c>
      <c r="M151" s="3" t="s">
        <v>29</v>
      </c>
      <c r="N151" s="5">
        <v>2.7043107904719171E-2</v>
      </c>
      <c r="O151" s="3" t="s">
        <v>7</v>
      </c>
    </row>
    <row r="152" spans="2:15" x14ac:dyDescent="0.45">
      <c r="B152" s="6" t="s">
        <v>72</v>
      </c>
      <c r="C152" s="6" t="s">
        <v>30</v>
      </c>
      <c r="D152" s="7">
        <v>2.7548624754022322E-3</v>
      </c>
      <c r="E152" s="6" t="s">
        <v>7</v>
      </c>
      <c r="G152" s="6" t="s">
        <v>73</v>
      </c>
      <c r="H152" s="6" t="s">
        <v>30</v>
      </c>
      <c r="I152" s="8">
        <v>9.5384956040398886E-3</v>
      </c>
      <c r="J152" s="6" t="s">
        <v>7</v>
      </c>
      <c r="L152" s="6" t="s">
        <v>74</v>
      </c>
      <c r="M152" s="6" t="s">
        <v>30</v>
      </c>
      <c r="N152" s="8">
        <v>1.0497513906470197E-2</v>
      </c>
      <c r="O152" s="6" t="s">
        <v>7</v>
      </c>
    </row>
    <row r="153" spans="2:15" x14ac:dyDescent="0.45">
      <c r="B153" s="3" t="s">
        <v>72</v>
      </c>
      <c r="C153" s="3" t="s">
        <v>31</v>
      </c>
      <c r="D153" s="4">
        <v>2.0558520162506904E-2</v>
      </c>
      <c r="E153" s="3" t="s">
        <v>7</v>
      </c>
      <c r="G153" s="3" t="s">
        <v>73</v>
      </c>
      <c r="H153" s="3" t="s">
        <v>31</v>
      </c>
      <c r="I153" s="5">
        <v>1.004139511768324E-2</v>
      </c>
      <c r="J153" s="3" t="s">
        <v>7</v>
      </c>
      <c r="L153" s="3" t="s">
        <v>74</v>
      </c>
      <c r="M153" s="3" t="s">
        <v>31</v>
      </c>
      <c r="N153" s="5">
        <v>1.0283898214110179E-2</v>
      </c>
      <c r="O153" s="3" t="s">
        <v>7</v>
      </c>
    </row>
    <row r="154" spans="2:15" x14ac:dyDescent="0.45">
      <c r="B154" s="6" t="s">
        <v>72</v>
      </c>
      <c r="C154" s="6" t="s">
        <v>32</v>
      </c>
      <c r="D154" s="7">
        <v>4.3631454359885372E-2</v>
      </c>
      <c r="E154" s="6" t="s">
        <v>7</v>
      </c>
      <c r="G154" s="6" t="s">
        <v>73</v>
      </c>
      <c r="H154" s="6" t="s">
        <v>32</v>
      </c>
      <c r="I154" s="8">
        <v>1.0201883973047096E-2</v>
      </c>
      <c r="J154" s="6" t="s">
        <v>7</v>
      </c>
      <c r="L154" s="6" t="s">
        <v>74</v>
      </c>
      <c r="M154" s="6" t="s">
        <v>32</v>
      </c>
      <c r="N154" s="8">
        <v>9.7445254859858943E-3</v>
      </c>
      <c r="O154" s="6" t="s">
        <v>7</v>
      </c>
    </row>
    <row r="155" spans="2:15" x14ac:dyDescent="0.45">
      <c r="B155" s="3" t="s">
        <v>72</v>
      </c>
      <c r="C155" s="3" t="s">
        <v>33</v>
      </c>
      <c r="D155" s="4">
        <v>5.6899567360848849E-2</v>
      </c>
      <c r="E155" s="3" t="s">
        <v>7</v>
      </c>
      <c r="G155" s="3" t="s">
        <v>73</v>
      </c>
      <c r="H155" s="3" t="s">
        <v>33</v>
      </c>
      <c r="I155" s="5">
        <v>1.049184713896364E-2</v>
      </c>
      <c r="J155" s="3" t="s">
        <v>7</v>
      </c>
      <c r="L155" s="3" t="s">
        <v>74</v>
      </c>
      <c r="M155" s="3" t="s">
        <v>33</v>
      </c>
      <c r="N155" s="5">
        <v>9.8015358717879857E-3</v>
      </c>
      <c r="O155" s="3" t="s">
        <v>7</v>
      </c>
    </row>
    <row r="156" spans="2:15" x14ac:dyDescent="0.45">
      <c r="B156" s="6" t="s">
        <v>72</v>
      </c>
      <c r="C156" s="6" t="s">
        <v>34</v>
      </c>
      <c r="D156" s="7">
        <v>5.7879284544765403E-2</v>
      </c>
      <c r="E156" s="6" t="s">
        <v>7</v>
      </c>
      <c r="G156" s="6" t="s">
        <v>73</v>
      </c>
      <c r="H156" s="6" t="s">
        <v>34</v>
      </c>
      <c r="I156" s="8">
        <v>1.1235523736565388E-2</v>
      </c>
      <c r="J156" s="6" t="s">
        <v>7</v>
      </c>
      <c r="L156" s="6" t="s">
        <v>74</v>
      </c>
      <c r="M156" s="6" t="s">
        <v>34</v>
      </c>
      <c r="N156" s="8">
        <v>1.0642381854128734E-2</v>
      </c>
      <c r="O156" s="6" t="s">
        <v>7</v>
      </c>
    </row>
    <row r="157" spans="2:15" x14ac:dyDescent="0.45">
      <c r="B157" s="3" t="s">
        <v>72</v>
      </c>
      <c r="C157" s="3" t="s">
        <v>35</v>
      </c>
      <c r="D157" s="4">
        <v>4.6806778737113044E-2</v>
      </c>
      <c r="E157" s="3" t="s">
        <v>7</v>
      </c>
      <c r="G157" s="3" t="s">
        <v>73</v>
      </c>
      <c r="H157" s="3" t="s">
        <v>35</v>
      </c>
      <c r="I157" s="5">
        <v>1.1782379166983372E-2</v>
      </c>
      <c r="J157" s="3" t="s">
        <v>7</v>
      </c>
      <c r="L157" s="3" t="s">
        <v>74</v>
      </c>
      <c r="M157" s="3" t="s">
        <v>35</v>
      </c>
      <c r="N157" s="5">
        <v>1.1388310778045523E-2</v>
      </c>
      <c r="O157" s="3" t="s">
        <v>7</v>
      </c>
    </row>
    <row r="158" spans="2:15" x14ac:dyDescent="0.45">
      <c r="B158" s="6" t="s">
        <v>72</v>
      </c>
      <c r="C158" s="6" t="s">
        <v>36</v>
      </c>
      <c r="D158" s="7">
        <v>2.3307376123101985E-2</v>
      </c>
      <c r="E158" s="6" t="s">
        <v>7</v>
      </c>
      <c r="G158" s="6" t="s">
        <v>73</v>
      </c>
      <c r="H158" s="6" t="s">
        <v>36</v>
      </c>
      <c r="I158" s="8">
        <v>1.1189896368858249E-2</v>
      </c>
      <c r="J158" s="6" t="s">
        <v>7</v>
      </c>
      <c r="L158" s="6" t="s">
        <v>74</v>
      </c>
      <c r="M158" s="6" t="s">
        <v>36</v>
      </c>
      <c r="N158" s="8">
        <v>1.2093171891894759E-2</v>
      </c>
      <c r="O158" s="6" t="s">
        <v>7</v>
      </c>
    </row>
    <row r="159" spans="2:15" x14ac:dyDescent="0.45">
      <c r="B159" s="3" t="s">
        <v>72</v>
      </c>
      <c r="C159" s="3" t="s">
        <v>37</v>
      </c>
      <c r="D159" s="4">
        <v>3.875825616326785E-3</v>
      </c>
      <c r="E159" s="3" t="s">
        <v>7</v>
      </c>
      <c r="G159" s="3" t="s">
        <v>73</v>
      </c>
      <c r="H159" s="3" t="s">
        <v>37</v>
      </c>
      <c r="I159" s="5">
        <v>1.0181807820543629E-2</v>
      </c>
      <c r="J159" s="3" t="s">
        <v>7</v>
      </c>
      <c r="L159" s="3" t="s">
        <v>74</v>
      </c>
      <c r="M159" s="3" t="s">
        <v>37</v>
      </c>
      <c r="N159" s="5">
        <v>1.1964161343183408E-2</v>
      </c>
      <c r="O159" s="3" t="s">
        <v>7</v>
      </c>
    </row>
    <row r="160" spans="2:15" x14ac:dyDescent="0.45">
      <c r="B160" s="6" t="s">
        <v>72</v>
      </c>
      <c r="C160" s="6" t="s">
        <v>38</v>
      </c>
      <c r="D160" s="7">
        <v>8.1303576426136915E-5</v>
      </c>
      <c r="E160" s="6" t="s">
        <v>7</v>
      </c>
      <c r="G160" s="6" t="s">
        <v>73</v>
      </c>
      <c r="H160" s="6" t="s">
        <v>38</v>
      </c>
      <c r="I160" s="8">
        <v>1.4653133357772597E-2</v>
      </c>
      <c r="J160" s="6" t="s">
        <v>7</v>
      </c>
      <c r="L160" s="6" t="s">
        <v>74</v>
      </c>
      <c r="M160" s="6" t="s">
        <v>38</v>
      </c>
      <c r="N160" s="8">
        <v>1.7186018374150222E-2</v>
      </c>
      <c r="O160" s="6" t="s">
        <v>7</v>
      </c>
    </row>
    <row r="161" spans="2:15" x14ac:dyDescent="0.45">
      <c r="B161" s="3" t="s">
        <v>72</v>
      </c>
      <c r="C161" s="3" t="s">
        <v>39</v>
      </c>
      <c r="D161" s="4">
        <v>0</v>
      </c>
      <c r="E161" s="3" t="s">
        <v>7</v>
      </c>
      <c r="G161" s="3" t="s">
        <v>73</v>
      </c>
      <c r="H161" s="3" t="s">
        <v>39</v>
      </c>
      <c r="I161" s="5">
        <v>1.549809459575055E-2</v>
      </c>
      <c r="J161" s="3" t="s">
        <v>7</v>
      </c>
      <c r="L161" s="3" t="s">
        <v>74</v>
      </c>
      <c r="M161" s="3" t="s">
        <v>39</v>
      </c>
      <c r="N161" s="5">
        <v>2.1561636322245566E-2</v>
      </c>
      <c r="O161" s="3" t="s">
        <v>7</v>
      </c>
    </row>
    <row r="162" spans="2:15" x14ac:dyDescent="0.45">
      <c r="B162" s="6" t="s">
        <v>72</v>
      </c>
      <c r="C162" s="6" t="s">
        <v>40</v>
      </c>
      <c r="D162" s="7">
        <v>1.5079883870685502E-3</v>
      </c>
      <c r="E162" s="6" t="s">
        <v>7</v>
      </c>
      <c r="G162" s="6" t="s">
        <v>73</v>
      </c>
      <c r="H162" s="6" t="s">
        <v>40</v>
      </c>
      <c r="I162" s="8">
        <v>5.8889336137457364E-3</v>
      </c>
      <c r="J162" s="6" t="s">
        <v>7</v>
      </c>
      <c r="L162" s="6" t="s">
        <v>74</v>
      </c>
      <c r="M162" s="6" t="s">
        <v>40</v>
      </c>
      <c r="N162" s="8">
        <v>8.1550296566621876E-3</v>
      </c>
      <c r="O162" s="6" t="s">
        <v>7</v>
      </c>
    </row>
    <row r="163" spans="2:15" x14ac:dyDescent="0.45">
      <c r="B163" s="3" t="s">
        <v>72</v>
      </c>
      <c r="C163" s="3" t="s">
        <v>41</v>
      </c>
      <c r="D163" s="4">
        <v>1.727230754785512E-2</v>
      </c>
      <c r="E163" s="3" t="s">
        <v>7</v>
      </c>
      <c r="G163" s="3" t="s">
        <v>73</v>
      </c>
      <c r="H163" s="3" t="s">
        <v>41</v>
      </c>
      <c r="I163" s="5">
        <v>6.5258086416265567E-3</v>
      </c>
      <c r="J163" s="3" t="s">
        <v>7</v>
      </c>
      <c r="L163" s="3" t="s">
        <v>74</v>
      </c>
      <c r="M163" s="3" t="s">
        <v>41</v>
      </c>
      <c r="N163" s="5">
        <v>8.1271817010059224E-3</v>
      </c>
      <c r="O163" s="3" t="s">
        <v>7</v>
      </c>
    </row>
    <row r="164" spans="2:15" x14ac:dyDescent="0.45">
      <c r="B164" s="6" t="s">
        <v>72</v>
      </c>
      <c r="C164" s="6" t="s">
        <v>42</v>
      </c>
      <c r="D164" s="7">
        <v>4.1618987198330092E-2</v>
      </c>
      <c r="E164" s="6" t="s">
        <v>7</v>
      </c>
      <c r="G164" s="6" t="s">
        <v>73</v>
      </c>
      <c r="H164" s="6" t="s">
        <v>42</v>
      </c>
      <c r="I164" s="8">
        <v>7.9306163364564353E-3</v>
      </c>
      <c r="J164" s="6" t="s">
        <v>7</v>
      </c>
      <c r="L164" s="6" t="s">
        <v>74</v>
      </c>
      <c r="M164" s="6" t="s">
        <v>42</v>
      </c>
      <c r="N164" s="8">
        <v>7.9547056468211898E-3</v>
      </c>
      <c r="O164" s="6" t="s">
        <v>7</v>
      </c>
    </row>
    <row r="165" spans="2:15" x14ac:dyDescent="0.45">
      <c r="B165" s="3" t="s">
        <v>72</v>
      </c>
      <c r="C165" s="3" t="s">
        <v>43</v>
      </c>
      <c r="D165" s="4">
        <v>5.6153078161201457E-2</v>
      </c>
      <c r="E165" s="3" t="s">
        <v>7</v>
      </c>
      <c r="G165" s="3" t="s">
        <v>73</v>
      </c>
      <c r="H165" s="3" t="s">
        <v>43</v>
      </c>
      <c r="I165" s="5">
        <v>8.7201253273271224E-3</v>
      </c>
      <c r="J165" s="3" t="s">
        <v>7</v>
      </c>
      <c r="L165" s="3" t="s">
        <v>74</v>
      </c>
      <c r="M165" s="3" t="s">
        <v>43</v>
      </c>
      <c r="N165" s="5">
        <v>7.6805272046484409E-3</v>
      </c>
      <c r="O165" s="3" t="s">
        <v>7</v>
      </c>
    </row>
    <row r="166" spans="2:15" x14ac:dyDescent="0.45">
      <c r="B166" s="6" t="s">
        <v>72</v>
      </c>
      <c r="C166" s="6" t="s">
        <v>44</v>
      </c>
      <c r="D166" s="7">
        <v>5.8193967647483684E-2</v>
      </c>
      <c r="E166" s="6" t="s">
        <v>7</v>
      </c>
      <c r="G166" s="6" t="s">
        <v>73</v>
      </c>
      <c r="H166" s="6" t="s">
        <v>44</v>
      </c>
      <c r="I166" s="8">
        <v>9.430882336955361E-3</v>
      </c>
      <c r="J166" s="6" t="s">
        <v>7</v>
      </c>
      <c r="L166" s="6" t="s">
        <v>74</v>
      </c>
      <c r="M166" s="6" t="s">
        <v>44</v>
      </c>
      <c r="N166" s="8">
        <v>8.3349879528753622E-3</v>
      </c>
      <c r="O166" s="6" t="s">
        <v>7</v>
      </c>
    </row>
    <row r="167" spans="2:15" x14ac:dyDescent="0.45">
      <c r="B167" s="3" t="s">
        <v>72</v>
      </c>
      <c r="C167" s="3" t="s">
        <v>45</v>
      </c>
      <c r="D167" s="4">
        <v>4.5031411068574986E-2</v>
      </c>
      <c r="E167" s="3" t="s">
        <v>7</v>
      </c>
      <c r="G167" s="3" t="s">
        <v>73</v>
      </c>
      <c r="H167" s="3" t="s">
        <v>45</v>
      </c>
      <c r="I167" s="5">
        <v>9.560675640466261E-3</v>
      </c>
      <c r="J167" s="3" t="s">
        <v>7</v>
      </c>
      <c r="L167" s="3" t="s">
        <v>74</v>
      </c>
      <c r="M167" s="3" t="s">
        <v>45</v>
      </c>
      <c r="N167" s="5">
        <v>9.5748476383917466E-3</v>
      </c>
      <c r="O167" s="3" t="s">
        <v>7</v>
      </c>
    </row>
    <row r="168" spans="2:15" x14ac:dyDescent="0.45">
      <c r="B168" s="6" t="s">
        <v>72</v>
      </c>
      <c r="C168" s="6" t="s">
        <v>46</v>
      </c>
      <c r="D168" s="7">
        <v>2.2969504271201681E-2</v>
      </c>
      <c r="E168" s="6" t="s">
        <v>7</v>
      </c>
      <c r="G168" s="6" t="s">
        <v>73</v>
      </c>
      <c r="H168" s="6" t="s">
        <v>46</v>
      </c>
      <c r="I168" s="8">
        <v>8.360206265699336E-3</v>
      </c>
      <c r="J168" s="6" t="s">
        <v>7</v>
      </c>
      <c r="L168" s="6" t="s">
        <v>74</v>
      </c>
      <c r="M168" s="6" t="s">
        <v>46</v>
      </c>
      <c r="N168" s="8">
        <v>1.019106079523942E-2</v>
      </c>
      <c r="O168" s="6" t="s">
        <v>7</v>
      </c>
    </row>
    <row r="169" spans="2:15" x14ac:dyDescent="0.45">
      <c r="B169" s="3" t="s">
        <v>72</v>
      </c>
      <c r="C169" s="3" t="s">
        <v>47</v>
      </c>
      <c r="D169" s="4">
        <v>3.1202562298758112E-3</v>
      </c>
      <c r="E169" s="3" t="s">
        <v>7</v>
      </c>
      <c r="G169" s="3" t="s">
        <v>73</v>
      </c>
      <c r="H169" s="3" t="s">
        <v>47</v>
      </c>
      <c r="I169" s="5">
        <v>7.3515251314574337E-3</v>
      </c>
      <c r="J169" s="3" t="s">
        <v>7</v>
      </c>
      <c r="L169" s="3" t="s">
        <v>74</v>
      </c>
      <c r="M169" s="3" t="s">
        <v>47</v>
      </c>
      <c r="N169" s="5">
        <v>1.0324136285023358E-2</v>
      </c>
      <c r="O169" s="3" t="s">
        <v>7</v>
      </c>
    </row>
    <row r="170" spans="2:15" x14ac:dyDescent="0.45">
      <c r="B170" s="6" t="s">
        <v>72</v>
      </c>
      <c r="C170" s="6" t="s">
        <v>48</v>
      </c>
      <c r="D170" s="7">
        <v>3.0000623139786405E-5</v>
      </c>
      <c r="E170" s="6" t="s">
        <v>7</v>
      </c>
      <c r="G170" s="6" t="s">
        <v>73</v>
      </c>
      <c r="H170" s="6" t="s">
        <v>48</v>
      </c>
      <c r="I170" s="8">
        <v>9.9946982687987053E-3</v>
      </c>
      <c r="J170" s="6" t="s">
        <v>7</v>
      </c>
      <c r="L170" s="6" t="s">
        <v>74</v>
      </c>
      <c r="M170" s="6" t="s">
        <v>48</v>
      </c>
      <c r="N170" s="8">
        <v>1.4797406312983694E-2</v>
      </c>
      <c r="O170" s="6" t="s">
        <v>7</v>
      </c>
    </row>
    <row r="171" spans="2:15" x14ac:dyDescent="0.45">
      <c r="B171" s="3" t="s">
        <v>72</v>
      </c>
      <c r="C171" s="3" t="s">
        <v>49</v>
      </c>
      <c r="D171" s="4">
        <v>0</v>
      </c>
      <c r="E171" s="3" t="s">
        <v>7</v>
      </c>
      <c r="G171" s="3" t="s">
        <v>73</v>
      </c>
      <c r="H171" s="3" t="s">
        <v>49</v>
      </c>
      <c r="I171" s="5">
        <v>3.5296743582887154E-2</v>
      </c>
      <c r="J171" s="3" t="s">
        <v>7</v>
      </c>
      <c r="L171" s="3" t="s">
        <v>74</v>
      </c>
      <c r="M171" s="3" t="s">
        <v>49</v>
      </c>
      <c r="N171" s="5">
        <v>3.9406072830227609E-2</v>
      </c>
      <c r="O171" s="3" t="s">
        <v>7</v>
      </c>
    </row>
    <row r="172" spans="2:15" x14ac:dyDescent="0.45">
      <c r="B172" s="6" t="s">
        <v>72</v>
      </c>
      <c r="C172" s="6" t="s">
        <v>50</v>
      </c>
      <c r="D172" s="7">
        <v>1.0137543441397155E-6</v>
      </c>
      <c r="E172" s="6" t="s">
        <v>7</v>
      </c>
      <c r="G172" s="6" t="s">
        <v>73</v>
      </c>
      <c r="H172" s="6" t="s">
        <v>50</v>
      </c>
      <c r="I172" s="8">
        <v>1.3570442984210359E-2</v>
      </c>
      <c r="J172" s="6" t="s">
        <v>7</v>
      </c>
      <c r="L172" s="6" t="s">
        <v>74</v>
      </c>
      <c r="M172" s="6" t="s">
        <v>50</v>
      </c>
      <c r="N172" s="8">
        <v>1.4979585692797471E-2</v>
      </c>
      <c r="O172" s="6" t="s">
        <v>7</v>
      </c>
    </row>
    <row r="173" spans="2:15" x14ac:dyDescent="0.45">
      <c r="B173" s="3" t="s">
        <v>72</v>
      </c>
      <c r="C173" s="3" t="s">
        <v>51</v>
      </c>
      <c r="D173" s="4">
        <v>4.9000807229492519E-3</v>
      </c>
      <c r="E173" s="3" t="s">
        <v>7</v>
      </c>
      <c r="G173" s="3" t="s">
        <v>73</v>
      </c>
      <c r="H173" s="3" t="s">
        <v>51</v>
      </c>
      <c r="I173" s="5">
        <v>1.3323687175573869E-2</v>
      </c>
      <c r="J173" s="3" t="s">
        <v>7</v>
      </c>
      <c r="L173" s="3" t="s">
        <v>74</v>
      </c>
      <c r="M173" s="3" t="s">
        <v>51</v>
      </c>
      <c r="N173" s="5">
        <v>1.4985618848730783E-2</v>
      </c>
      <c r="O173" s="3" t="s">
        <v>7</v>
      </c>
    </row>
    <row r="174" spans="2:15" x14ac:dyDescent="0.45">
      <c r="B174" s="6" t="s">
        <v>72</v>
      </c>
      <c r="C174" s="6" t="s">
        <v>52</v>
      </c>
      <c r="D174" s="7">
        <v>2.5609029187233952E-2</v>
      </c>
      <c r="E174" s="6" t="s">
        <v>7</v>
      </c>
      <c r="G174" s="6" t="s">
        <v>73</v>
      </c>
      <c r="H174" s="6" t="s">
        <v>52</v>
      </c>
      <c r="I174" s="8">
        <v>1.4333043873655015E-2</v>
      </c>
      <c r="J174" s="6" t="s">
        <v>7</v>
      </c>
      <c r="L174" s="6" t="s">
        <v>74</v>
      </c>
      <c r="M174" s="6" t="s">
        <v>52</v>
      </c>
      <c r="N174" s="8">
        <v>1.4969041629067469E-2</v>
      </c>
      <c r="O174" s="6" t="s">
        <v>7</v>
      </c>
    </row>
    <row r="175" spans="2:15" x14ac:dyDescent="0.45">
      <c r="B175" s="3" t="s">
        <v>72</v>
      </c>
      <c r="C175" s="3" t="s">
        <v>53</v>
      </c>
      <c r="D175" s="4">
        <v>3.8074979949956754E-2</v>
      </c>
      <c r="E175" s="3" t="s">
        <v>7</v>
      </c>
      <c r="G175" s="3" t="s">
        <v>73</v>
      </c>
      <c r="H175" s="3" t="s">
        <v>53</v>
      </c>
      <c r="I175" s="5">
        <v>1.5790225209564992E-2</v>
      </c>
      <c r="J175" s="3" t="s">
        <v>7</v>
      </c>
      <c r="L175" s="3" t="s">
        <v>74</v>
      </c>
      <c r="M175" s="3" t="s">
        <v>53</v>
      </c>
      <c r="N175" s="5">
        <v>1.5045014986871086E-2</v>
      </c>
      <c r="O175" s="3" t="s">
        <v>7</v>
      </c>
    </row>
    <row r="176" spans="2:15" x14ac:dyDescent="0.45">
      <c r="B176" s="6" t="s">
        <v>72</v>
      </c>
      <c r="C176" s="6" t="s">
        <v>54</v>
      </c>
      <c r="D176" s="7">
        <v>3.547016203702414E-2</v>
      </c>
      <c r="E176" s="6" t="s">
        <v>7</v>
      </c>
      <c r="G176" s="6" t="s">
        <v>73</v>
      </c>
      <c r="H176" s="6" t="s">
        <v>54</v>
      </c>
      <c r="I176" s="8">
        <v>1.594083808442737E-2</v>
      </c>
      <c r="J176" s="6" t="s">
        <v>7</v>
      </c>
      <c r="L176" s="6" t="s">
        <v>74</v>
      </c>
      <c r="M176" s="6" t="s">
        <v>54</v>
      </c>
      <c r="N176" s="8">
        <v>1.5219290675176968E-2</v>
      </c>
      <c r="O176" s="6" t="s">
        <v>7</v>
      </c>
    </row>
    <row r="177" spans="2:15" x14ac:dyDescent="0.45">
      <c r="B177" s="3" t="s">
        <v>72</v>
      </c>
      <c r="C177" s="3" t="s">
        <v>55</v>
      </c>
      <c r="D177" s="4">
        <v>2.2940412528430799E-2</v>
      </c>
      <c r="E177" s="3" t="s">
        <v>7</v>
      </c>
      <c r="G177" s="3" t="s">
        <v>73</v>
      </c>
      <c r="H177" s="3" t="s">
        <v>55</v>
      </c>
      <c r="I177" s="5">
        <v>1.563183319426591E-2</v>
      </c>
      <c r="J177" s="3" t="s">
        <v>7</v>
      </c>
      <c r="L177" s="3" t="s">
        <v>74</v>
      </c>
      <c r="M177" s="3" t="s">
        <v>55</v>
      </c>
      <c r="N177" s="5">
        <v>1.5499908239237133E-2</v>
      </c>
      <c r="O177" s="3" t="s">
        <v>7</v>
      </c>
    </row>
    <row r="178" spans="2:15" x14ac:dyDescent="0.45">
      <c r="B178" s="6" t="s">
        <v>72</v>
      </c>
      <c r="C178" s="6" t="s">
        <v>56</v>
      </c>
      <c r="D178" s="7">
        <v>5.7938142799364677E-3</v>
      </c>
      <c r="E178" s="6" t="s">
        <v>7</v>
      </c>
      <c r="G178" s="6" t="s">
        <v>73</v>
      </c>
      <c r="H178" s="6" t="s">
        <v>56</v>
      </c>
      <c r="I178" s="8">
        <v>1.497469931475897E-2</v>
      </c>
      <c r="J178" s="6" t="s">
        <v>7</v>
      </c>
      <c r="L178" s="6" t="s">
        <v>74</v>
      </c>
      <c r="M178" s="6" t="s">
        <v>56</v>
      </c>
      <c r="N178" s="8">
        <v>1.6102639668045132E-2</v>
      </c>
      <c r="O178" s="6" t="s">
        <v>7</v>
      </c>
    </row>
    <row r="179" spans="2:15" x14ac:dyDescent="0.45">
      <c r="B179" s="3" t="s">
        <v>72</v>
      </c>
      <c r="C179" s="3" t="s">
        <v>57</v>
      </c>
      <c r="D179" s="4">
        <v>2.390064679459299E-5</v>
      </c>
      <c r="E179" s="3" t="s">
        <v>7</v>
      </c>
      <c r="G179" s="3" t="s">
        <v>73</v>
      </c>
      <c r="H179" s="3" t="s">
        <v>57</v>
      </c>
      <c r="I179" s="5">
        <v>1.464901835656514E-2</v>
      </c>
      <c r="J179" s="3" t="s">
        <v>7</v>
      </c>
      <c r="L179" s="3" t="s">
        <v>74</v>
      </c>
      <c r="M179" s="3" t="s">
        <v>57</v>
      </c>
      <c r="N179" s="5">
        <v>1.6518520326952685E-2</v>
      </c>
      <c r="O179" s="3" t="s">
        <v>7</v>
      </c>
    </row>
    <row r="180" spans="2:15" x14ac:dyDescent="0.45">
      <c r="B180" s="6" t="s">
        <v>72</v>
      </c>
      <c r="C180" s="6" t="s">
        <v>58</v>
      </c>
      <c r="D180" s="7">
        <v>0</v>
      </c>
      <c r="E180" s="6" t="s">
        <v>7</v>
      </c>
      <c r="G180" s="6" t="s">
        <v>73</v>
      </c>
      <c r="H180" s="6" t="s">
        <v>58</v>
      </c>
      <c r="I180" s="8">
        <v>2.177030535849905E-2</v>
      </c>
      <c r="J180" s="6" t="s">
        <v>7</v>
      </c>
      <c r="L180" s="6" t="s">
        <v>74</v>
      </c>
      <c r="M180" s="6" t="s">
        <v>58</v>
      </c>
      <c r="N180" s="8">
        <v>2.4498626881087258E-2</v>
      </c>
      <c r="O180" s="6" t="s">
        <v>7</v>
      </c>
    </row>
    <row r="181" spans="2:15" x14ac:dyDescent="0.45">
      <c r="B181" s="3" t="s">
        <v>72</v>
      </c>
      <c r="C181" s="3" t="s">
        <v>59</v>
      </c>
      <c r="D181" s="4">
        <v>0</v>
      </c>
      <c r="E181" s="3" t="s">
        <v>7</v>
      </c>
      <c r="G181" s="3" t="s">
        <v>73</v>
      </c>
      <c r="H181" s="3" t="s">
        <v>59</v>
      </c>
      <c r="I181" s="5">
        <v>5.8080872963036649E-2</v>
      </c>
      <c r="J181" s="3" t="s">
        <v>7</v>
      </c>
      <c r="L181" s="3" t="s">
        <v>74</v>
      </c>
      <c r="M181" s="3" t="s">
        <v>59</v>
      </c>
      <c r="N181" s="5">
        <v>5.0137260997195975E-2</v>
      </c>
      <c r="O181" s="3" t="s">
        <v>7</v>
      </c>
    </row>
    <row r="182" spans="2:15" x14ac:dyDescent="0.45">
      <c r="B182" s="6" t="s">
        <v>72</v>
      </c>
      <c r="C182" s="6" t="s">
        <v>60</v>
      </c>
      <c r="D182" s="7">
        <v>0</v>
      </c>
      <c r="E182" s="6" t="s">
        <v>7</v>
      </c>
      <c r="G182" s="6" t="s">
        <v>73</v>
      </c>
      <c r="H182" s="6" t="s">
        <v>60</v>
      </c>
      <c r="I182" s="8">
        <v>2.2558440233081688E-2</v>
      </c>
      <c r="J182" s="6" t="s">
        <v>7</v>
      </c>
      <c r="L182" s="6" t="s">
        <v>74</v>
      </c>
      <c r="M182" s="6" t="s">
        <v>60</v>
      </c>
      <c r="N182" s="8">
        <v>1.9815444306940131E-2</v>
      </c>
      <c r="O182" s="6" t="s">
        <v>7</v>
      </c>
    </row>
    <row r="183" spans="2:15" x14ac:dyDescent="0.45">
      <c r="B183" s="3" t="s">
        <v>72</v>
      </c>
      <c r="C183" s="3" t="s">
        <v>61</v>
      </c>
      <c r="D183" s="4">
        <v>0</v>
      </c>
      <c r="E183" s="3" t="s">
        <v>7</v>
      </c>
      <c r="G183" s="3" t="s">
        <v>73</v>
      </c>
      <c r="H183" s="3" t="s">
        <v>61</v>
      </c>
      <c r="I183" s="5">
        <v>2.1909661132177044E-2</v>
      </c>
      <c r="J183" s="3" t="s">
        <v>7</v>
      </c>
      <c r="L183" s="3" t="s">
        <v>74</v>
      </c>
      <c r="M183" s="3" t="s">
        <v>61</v>
      </c>
      <c r="N183" s="5">
        <v>1.9498690139807453E-2</v>
      </c>
      <c r="O183" s="3" t="s">
        <v>7</v>
      </c>
    </row>
    <row r="184" spans="2:15" x14ac:dyDescent="0.45">
      <c r="B184" s="6" t="s">
        <v>72</v>
      </c>
      <c r="C184" s="6" t="s">
        <v>62</v>
      </c>
      <c r="D184" s="7">
        <v>9.0053255027473158E-3</v>
      </c>
      <c r="E184" s="6" t="s">
        <v>7</v>
      </c>
      <c r="G184" s="6" t="s">
        <v>73</v>
      </c>
      <c r="H184" s="6" t="s">
        <v>62</v>
      </c>
      <c r="I184" s="8">
        <v>2.1481594415077122E-2</v>
      </c>
      <c r="J184" s="6" t="s">
        <v>7</v>
      </c>
      <c r="L184" s="6" t="s">
        <v>74</v>
      </c>
      <c r="M184" s="6" t="s">
        <v>62</v>
      </c>
      <c r="N184" s="8">
        <v>1.9733460717146555E-2</v>
      </c>
      <c r="O184" s="6" t="s">
        <v>7</v>
      </c>
    </row>
    <row r="185" spans="2:15" x14ac:dyDescent="0.45">
      <c r="B185" s="3" t="s">
        <v>72</v>
      </c>
      <c r="C185" s="3" t="s">
        <v>63</v>
      </c>
      <c r="D185" s="4">
        <v>2.5971307085573433E-2</v>
      </c>
      <c r="E185" s="3" t="s">
        <v>7</v>
      </c>
      <c r="G185" s="3" t="s">
        <v>73</v>
      </c>
      <c r="H185" s="3" t="s">
        <v>63</v>
      </c>
      <c r="I185" s="5">
        <v>2.1361831810280403E-2</v>
      </c>
      <c r="J185" s="3" t="s">
        <v>7</v>
      </c>
      <c r="L185" s="3" t="s">
        <v>74</v>
      </c>
      <c r="M185" s="3" t="s">
        <v>63</v>
      </c>
      <c r="N185" s="5">
        <v>1.9900526453009198E-2</v>
      </c>
      <c r="O185" s="3" t="s">
        <v>7</v>
      </c>
    </row>
    <row r="186" spans="2:15" x14ac:dyDescent="0.45">
      <c r="B186" s="6" t="s">
        <v>72</v>
      </c>
      <c r="C186" s="6" t="s">
        <v>64</v>
      </c>
      <c r="D186" s="7">
        <v>2.4449683817418855E-2</v>
      </c>
      <c r="E186" s="6" t="s">
        <v>7</v>
      </c>
      <c r="G186" s="6" t="s">
        <v>73</v>
      </c>
      <c r="H186" s="6" t="s">
        <v>64</v>
      </c>
      <c r="I186" s="8">
        <v>2.1909381182744717E-2</v>
      </c>
      <c r="J186" s="6" t="s">
        <v>7</v>
      </c>
      <c r="L186" s="6" t="s">
        <v>74</v>
      </c>
      <c r="M186" s="6" t="s">
        <v>64</v>
      </c>
      <c r="N186" s="8">
        <v>1.9822582973538644E-2</v>
      </c>
      <c r="O186" s="6" t="s">
        <v>7</v>
      </c>
    </row>
    <row r="187" spans="2:15" x14ac:dyDescent="0.45">
      <c r="B187" s="3" t="s">
        <v>72</v>
      </c>
      <c r="C187" s="3" t="s">
        <v>65</v>
      </c>
      <c r="D187" s="4">
        <v>8.2963147465846786E-3</v>
      </c>
      <c r="E187" s="3" t="s">
        <v>7</v>
      </c>
      <c r="G187" s="3" t="s">
        <v>73</v>
      </c>
      <c r="H187" s="3" t="s">
        <v>65</v>
      </c>
      <c r="I187" s="5">
        <v>2.1958231385352502E-2</v>
      </c>
      <c r="J187" s="3" t="s">
        <v>7</v>
      </c>
      <c r="L187" s="3" t="s">
        <v>74</v>
      </c>
      <c r="M187" s="3" t="s">
        <v>65</v>
      </c>
      <c r="N187" s="5">
        <v>1.9864776754867506E-2</v>
      </c>
      <c r="O187" s="3" t="s">
        <v>7</v>
      </c>
    </row>
    <row r="188" spans="2:15" x14ac:dyDescent="0.45">
      <c r="B188" s="6" t="s">
        <v>72</v>
      </c>
      <c r="C188" s="6" t="s">
        <v>66</v>
      </c>
      <c r="D188" s="7">
        <v>0</v>
      </c>
      <c r="E188" s="6" t="s">
        <v>7</v>
      </c>
      <c r="G188" s="6" t="s">
        <v>73</v>
      </c>
      <c r="H188" s="6" t="s">
        <v>66</v>
      </c>
      <c r="I188" s="8">
        <v>2.1658072009211462E-2</v>
      </c>
      <c r="J188" s="6" t="s">
        <v>7</v>
      </c>
      <c r="L188" s="6" t="s">
        <v>74</v>
      </c>
      <c r="M188" s="6" t="s">
        <v>66</v>
      </c>
      <c r="N188" s="8">
        <v>1.9706609962336051E-2</v>
      </c>
      <c r="O188" s="6" t="s">
        <v>7</v>
      </c>
    </row>
    <row r="189" spans="2:15" x14ac:dyDescent="0.45">
      <c r="B189" s="3" t="s">
        <v>72</v>
      </c>
      <c r="C189" s="3" t="s">
        <v>67</v>
      </c>
      <c r="D189" s="4">
        <v>0</v>
      </c>
      <c r="E189" s="3" t="s">
        <v>7</v>
      </c>
      <c r="G189" s="3" t="s">
        <v>73</v>
      </c>
      <c r="H189" s="3" t="s">
        <v>67</v>
      </c>
      <c r="I189" s="5">
        <v>2.2067297473138885E-2</v>
      </c>
      <c r="J189" s="3" t="s">
        <v>7</v>
      </c>
      <c r="L189" s="3" t="s">
        <v>74</v>
      </c>
      <c r="M189" s="3" t="s">
        <v>67</v>
      </c>
      <c r="N189" s="5">
        <v>1.9460242139424624E-2</v>
      </c>
      <c r="O189" s="3" t="s">
        <v>7</v>
      </c>
    </row>
    <row r="190" spans="2:15" x14ac:dyDescent="0.45">
      <c r="B190" s="6" t="s">
        <v>72</v>
      </c>
      <c r="C190" s="6" t="s">
        <v>68</v>
      </c>
      <c r="D190" s="7">
        <v>0</v>
      </c>
      <c r="E190" s="6" t="s">
        <v>7</v>
      </c>
      <c r="G190" s="6" t="s">
        <v>73</v>
      </c>
      <c r="H190" s="6" t="s">
        <v>68</v>
      </c>
      <c r="I190" s="8">
        <v>3.3556356496578246E-2</v>
      </c>
      <c r="J190" s="6" t="s">
        <v>7</v>
      </c>
      <c r="L190" s="6" t="s">
        <v>74</v>
      </c>
      <c r="M190" s="6" t="s">
        <v>68</v>
      </c>
      <c r="N190" s="8">
        <v>2.9706447904893189E-2</v>
      </c>
      <c r="O190" s="6" t="s">
        <v>7</v>
      </c>
    </row>
    <row r="191" spans="2:15" x14ac:dyDescent="0.45">
      <c r="B191" s="3" t="s">
        <v>75</v>
      </c>
      <c r="C191" s="3" t="s">
        <v>6</v>
      </c>
      <c r="D191" s="4">
        <v>0</v>
      </c>
      <c r="E191" s="3" t="s">
        <v>7</v>
      </c>
      <c r="G191" s="3" t="s">
        <v>76</v>
      </c>
      <c r="H191" s="3" t="s">
        <v>6</v>
      </c>
      <c r="I191" s="5">
        <v>3.6178624370789073E-2</v>
      </c>
      <c r="J191" s="3" t="s">
        <v>7</v>
      </c>
      <c r="L191" s="3" t="s">
        <v>77</v>
      </c>
      <c r="M191" s="3" t="s">
        <v>6</v>
      </c>
      <c r="N191" s="5">
        <v>3.6269289613316012E-2</v>
      </c>
      <c r="O191" s="3" t="s">
        <v>7</v>
      </c>
    </row>
    <row r="192" spans="2:15" x14ac:dyDescent="0.45">
      <c r="B192" s="6" t="s">
        <v>75</v>
      </c>
      <c r="C192" s="6" t="s">
        <v>10</v>
      </c>
      <c r="D192" s="7">
        <v>0</v>
      </c>
      <c r="E192" s="6" t="s">
        <v>7</v>
      </c>
      <c r="G192" s="6" t="s">
        <v>76</v>
      </c>
      <c r="H192" s="6" t="s">
        <v>10</v>
      </c>
      <c r="I192" s="8">
        <v>1.4285995626957143E-2</v>
      </c>
      <c r="J192" s="6" t="s">
        <v>7</v>
      </c>
      <c r="L192" s="6" t="s">
        <v>77</v>
      </c>
      <c r="M192" s="6" t="s">
        <v>10</v>
      </c>
      <c r="N192" s="8">
        <v>1.4319339481071532E-2</v>
      </c>
      <c r="O192" s="6" t="s">
        <v>7</v>
      </c>
    </row>
    <row r="193" spans="2:15" x14ac:dyDescent="0.45">
      <c r="B193" s="3" t="s">
        <v>75</v>
      </c>
      <c r="C193" s="3" t="s">
        <v>11</v>
      </c>
      <c r="D193" s="4">
        <v>3.1137225968425019E-5</v>
      </c>
      <c r="E193" s="3" t="s">
        <v>7</v>
      </c>
      <c r="G193" s="3" t="s">
        <v>76</v>
      </c>
      <c r="H193" s="3" t="s">
        <v>11</v>
      </c>
      <c r="I193" s="5">
        <v>1.4694791077189726E-2</v>
      </c>
      <c r="J193" s="3" t="s">
        <v>7</v>
      </c>
      <c r="L193" s="3" t="s">
        <v>77</v>
      </c>
      <c r="M193" s="3" t="s">
        <v>11</v>
      </c>
      <c r="N193" s="5">
        <v>1.4464429309883651E-2</v>
      </c>
      <c r="O193" s="3" t="s">
        <v>7</v>
      </c>
    </row>
    <row r="194" spans="2:15" x14ac:dyDescent="0.45">
      <c r="B194" s="6" t="s">
        <v>75</v>
      </c>
      <c r="C194" s="6" t="s">
        <v>12</v>
      </c>
      <c r="D194" s="7">
        <v>8.8018401127706366E-3</v>
      </c>
      <c r="E194" s="6" t="s">
        <v>7</v>
      </c>
      <c r="G194" s="6" t="s">
        <v>76</v>
      </c>
      <c r="H194" s="6" t="s">
        <v>12</v>
      </c>
      <c r="I194" s="8">
        <v>1.455191980499042E-2</v>
      </c>
      <c r="J194" s="6" t="s">
        <v>7</v>
      </c>
      <c r="L194" s="6" t="s">
        <v>77</v>
      </c>
      <c r="M194" s="6" t="s">
        <v>12</v>
      </c>
      <c r="N194" s="8">
        <v>1.4754504930737268E-2</v>
      </c>
      <c r="O194" s="6" t="s">
        <v>7</v>
      </c>
    </row>
    <row r="195" spans="2:15" x14ac:dyDescent="0.45">
      <c r="B195" s="3" t="s">
        <v>75</v>
      </c>
      <c r="C195" s="3" t="s">
        <v>13</v>
      </c>
      <c r="D195" s="4">
        <v>2.8177649214105521E-2</v>
      </c>
      <c r="E195" s="3" t="s">
        <v>7</v>
      </c>
      <c r="G195" s="3" t="s">
        <v>76</v>
      </c>
      <c r="H195" s="3" t="s">
        <v>13</v>
      </c>
      <c r="I195" s="5">
        <v>1.4156976966536575E-2</v>
      </c>
      <c r="J195" s="3" t="s">
        <v>7</v>
      </c>
      <c r="L195" s="3" t="s">
        <v>77</v>
      </c>
      <c r="M195" s="3" t="s">
        <v>13</v>
      </c>
      <c r="N195" s="5">
        <v>1.48254080221753E-2</v>
      </c>
      <c r="O195" s="3" t="s">
        <v>7</v>
      </c>
    </row>
    <row r="196" spans="2:15" x14ac:dyDescent="0.45">
      <c r="B196" s="6" t="s">
        <v>75</v>
      </c>
      <c r="C196" s="6" t="s">
        <v>14</v>
      </c>
      <c r="D196" s="7">
        <v>3.2558063547025166E-2</v>
      </c>
      <c r="E196" s="6" t="s">
        <v>7</v>
      </c>
      <c r="G196" s="6" t="s">
        <v>76</v>
      </c>
      <c r="H196" s="6" t="s">
        <v>14</v>
      </c>
      <c r="I196" s="8">
        <v>1.4046540230773523E-2</v>
      </c>
      <c r="J196" s="6" t="s">
        <v>7</v>
      </c>
      <c r="L196" s="6" t="s">
        <v>77</v>
      </c>
      <c r="M196" s="6" t="s">
        <v>14</v>
      </c>
      <c r="N196" s="8">
        <v>1.4741953687949472E-2</v>
      </c>
      <c r="O196" s="6" t="s">
        <v>7</v>
      </c>
    </row>
    <row r="197" spans="2:15" x14ac:dyDescent="0.45">
      <c r="B197" s="3" t="s">
        <v>75</v>
      </c>
      <c r="C197" s="3" t="s">
        <v>15</v>
      </c>
      <c r="D197" s="4">
        <v>1.7891374233926324E-2</v>
      </c>
      <c r="E197" s="3" t="s">
        <v>7</v>
      </c>
      <c r="G197" s="3" t="s">
        <v>76</v>
      </c>
      <c r="H197" s="3" t="s">
        <v>15</v>
      </c>
      <c r="I197" s="5">
        <v>1.391271622407976E-2</v>
      </c>
      <c r="J197" s="3" t="s">
        <v>7</v>
      </c>
      <c r="L197" s="3" t="s">
        <v>77</v>
      </c>
      <c r="M197" s="3" t="s">
        <v>15</v>
      </c>
      <c r="N197" s="5">
        <v>1.4321713736846797E-2</v>
      </c>
      <c r="O197" s="3" t="s">
        <v>7</v>
      </c>
    </row>
    <row r="198" spans="2:15" x14ac:dyDescent="0.45">
      <c r="B198" s="6" t="s">
        <v>75</v>
      </c>
      <c r="C198" s="6" t="s">
        <v>16</v>
      </c>
      <c r="D198" s="7">
        <v>2.1084530962560042E-3</v>
      </c>
      <c r="E198" s="6" t="s">
        <v>7</v>
      </c>
      <c r="G198" s="6" t="s">
        <v>76</v>
      </c>
      <c r="H198" s="6" t="s">
        <v>16</v>
      </c>
      <c r="I198" s="8">
        <v>1.4282240457092659E-2</v>
      </c>
      <c r="J198" s="6" t="s">
        <v>7</v>
      </c>
      <c r="L198" s="6" t="s">
        <v>77</v>
      </c>
      <c r="M198" s="6" t="s">
        <v>16</v>
      </c>
      <c r="N198" s="8">
        <v>1.4110581559612201E-2</v>
      </c>
      <c r="O198" s="6" t="s">
        <v>7</v>
      </c>
    </row>
    <row r="199" spans="2:15" x14ac:dyDescent="0.45">
      <c r="B199" s="3" t="s">
        <v>75</v>
      </c>
      <c r="C199" s="3" t="s">
        <v>17</v>
      </c>
      <c r="D199" s="4">
        <v>0</v>
      </c>
      <c r="E199" s="3" t="s">
        <v>7</v>
      </c>
      <c r="G199" s="3" t="s">
        <v>76</v>
      </c>
      <c r="H199" s="3" t="s">
        <v>17</v>
      </c>
      <c r="I199" s="5">
        <v>1.452665545662451E-2</v>
      </c>
      <c r="J199" s="3" t="s">
        <v>7</v>
      </c>
      <c r="L199" s="3" t="s">
        <v>77</v>
      </c>
      <c r="M199" s="3" t="s">
        <v>17</v>
      </c>
      <c r="N199" s="5">
        <v>1.4064818716426333E-2</v>
      </c>
      <c r="O199" s="3" t="s">
        <v>7</v>
      </c>
    </row>
    <row r="200" spans="2:15" x14ac:dyDescent="0.45">
      <c r="B200" s="6" t="s">
        <v>75</v>
      </c>
      <c r="C200" s="6" t="s">
        <v>18</v>
      </c>
      <c r="D200" s="7">
        <v>0</v>
      </c>
      <c r="E200" s="6" t="s">
        <v>7</v>
      </c>
      <c r="G200" s="6" t="s">
        <v>76</v>
      </c>
      <c r="H200" s="6" t="s">
        <v>18</v>
      </c>
      <c r="I200" s="8">
        <v>2.1783052370150279E-2</v>
      </c>
      <c r="J200" s="6" t="s">
        <v>7</v>
      </c>
      <c r="L200" s="6" t="s">
        <v>77</v>
      </c>
      <c r="M200" s="6" t="s">
        <v>18</v>
      </c>
      <c r="N200" s="8">
        <v>2.1139615831979749E-2</v>
      </c>
      <c r="O200" s="6" t="s">
        <v>7</v>
      </c>
    </row>
    <row r="201" spans="2:15" x14ac:dyDescent="0.45">
      <c r="B201" s="3" t="s">
        <v>75</v>
      </c>
      <c r="C201" s="3" t="s">
        <v>19</v>
      </c>
      <c r="D201" s="4">
        <v>0</v>
      </c>
      <c r="E201" s="3" t="s">
        <v>7</v>
      </c>
      <c r="G201" s="3" t="s">
        <v>76</v>
      </c>
      <c r="H201" s="3" t="s">
        <v>19</v>
      </c>
      <c r="I201" s="5">
        <v>3.1926636866089861E-2</v>
      </c>
      <c r="J201" s="3" t="s">
        <v>7</v>
      </c>
      <c r="L201" s="3" t="s">
        <v>77</v>
      </c>
      <c r="M201" s="3" t="s">
        <v>19</v>
      </c>
      <c r="N201" s="5">
        <v>3.4494023290637568E-2</v>
      </c>
      <c r="O201" s="3" t="s">
        <v>7</v>
      </c>
    </row>
    <row r="202" spans="2:15" x14ac:dyDescent="0.45">
      <c r="B202" s="6" t="s">
        <v>75</v>
      </c>
      <c r="C202" s="6" t="s">
        <v>20</v>
      </c>
      <c r="D202" s="7">
        <v>1.4540566475035695E-4</v>
      </c>
      <c r="E202" s="6" t="s">
        <v>7</v>
      </c>
      <c r="G202" s="6" t="s">
        <v>76</v>
      </c>
      <c r="H202" s="6" t="s">
        <v>20</v>
      </c>
      <c r="I202" s="8">
        <v>1.2058930104940578E-2</v>
      </c>
      <c r="J202" s="6" t="s">
        <v>7</v>
      </c>
      <c r="L202" s="6" t="s">
        <v>77</v>
      </c>
      <c r="M202" s="6" t="s">
        <v>20</v>
      </c>
      <c r="N202" s="8">
        <v>1.3957919901575857E-2</v>
      </c>
      <c r="O202" s="6" t="s">
        <v>7</v>
      </c>
    </row>
    <row r="203" spans="2:15" x14ac:dyDescent="0.45">
      <c r="B203" s="3" t="s">
        <v>75</v>
      </c>
      <c r="C203" s="3" t="s">
        <v>21</v>
      </c>
      <c r="D203" s="4">
        <v>9.367691806097013E-3</v>
      </c>
      <c r="E203" s="3" t="s">
        <v>7</v>
      </c>
      <c r="G203" s="3" t="s">
        <v>76</v>
      </c>
      <c r="H203" s="3" t="s">
        <v>21</v>
      </c>
      <c r="I203" s="5">
        <v>1.2114495718440189E-2</v>
      </c>
      <c r="J203" s="3" t="s">
        <v>7</v>
      </c>
      <c r="L203" s="3" t="s">
        <v>77</v>
      </c>
      <c r="M203" s="3" t="s">
        <v>21</v>
      </c>
      <c r="N203" s="5">
        <v>1.4087907791541631E-2</v>
      </c>
      <c r="O203" s="3" t="s">
        <v>7</v>
      </c>
    </row>
    <row r="204" spans="2:15" x14ac:dyDescent="0.45">
      <c r="B204" s="6" t="s">
        <v>75</v>
      </c>
      <c r="C204" s="6" t="s">
        <v>22</v>
      </c>
      <c r="D204" s="7">
        <v>3.7953006291118516E-2</v>
      </c>
      <c r="E204" s="6" t="s">
        <v>7</v>
      </c>
      <c r="G204" s="6" t="s">
        <v>76</v>
      </c>
      <c r="H204" s="6" t="s">
        <v>22</v>
      </c>
      <c r="I204" s="8">
        <v>1.2979255736142024E-2</v>
      </c>
      <c r="J204" s="6" t="s">
        <v>7</v>
      </c>
      <c r="L204" s="6" t="s">
        <v>77</v>
      </c>
      <c r="M204" s="6" t="s">
        <v>22</v>
      </c>
      <c r="N204" s="8">
        <v>1.3891430143756312E-2</v>
      </c>
      <c r="O204" s="6" t="s">
        <v>7</v>
      </c>
    </row>
    <row r="205" spans="2:15" x14ac:dyDescent="0.45">
      <c r="B205" s="3" t="s">
        <v>75</v>
      </c>
      <c r="C205" s="3" t="s">
        <v>23</v>
      </c>
      <c r="D205" s="4">
        <v>5.9210001723037795E-2</v>
      </c>
      <c r="E205" s="3" t="s">
        <v>7</v>
      </c>
      <c r="G205" s="3" t="s">
        <v>76</v>
      </c>
      <c r="H205" s="3" t="s">
        <v>23</v>
      </c>
      <c r="I205" s="5">
        <v>1.3692157283259974E-2</v>
      </c>
      <c r="J205" s="3" t="s">
        <v>7</v>
      </c>
      <c r="L205" s="3" t="s">
        <v>77</v>
      </c>
      <c r="M205" s="3" t="s">
        <v>23</v>
      </c>
      <c r="N205" s="5">
        <v>1.3509023653108968E-2</v>
      </c>
      <c r="O205" s="3" t="s">
        <v>7</v>
      </c>
    </row>
    <row r="206" spans="2:15" x14ac:dyDescent="0.45">
      <c r="B206" s="6" t="s">
        <v>75</v>
      </c>
      <c r="C206" s="6" t="s">
        <v>24</v>
      </c>
      <c r="D206" s="7">
        <v>6.1588956180889214E-2</v>
      </c>
      <c r="E206" s="6" t="s">
        <v>7</v>
      </c>
      <c r="G206" s="6" t="s">
        <v>76</v>
      </c>
      <c r="H206" s="6" t="s">
        <v>24</v>
      </c>
      <c r="I206" s="8">
        <v>1.4268232371869626E-2</v>
      </c>
      <c r="J206" s="6" t="s">
        <v>7</v>
      </c>
      <c r="L206" s="6" t="s">
        <v>77</v>
      </c>
      <c r="M206" s="6" t="s">
        <v>24</v>
      </c>
      <c r="N206" s="8">
        <v>1.3134067548677669E-2</v>
      </c>
      <c r="O206" s="6" t="s">
        <v>7</v>
      </c>
    </row>
    <row r="207" spans="2:15" x14ac:dyDescent="0.45">
      <c r="B207" s="3" t="s">
        <v>75</v>
      </c>
      <c r="C207" s="3" t="s">
        <v>25</v>
      </c>
      <c r="D207" s="4">
        <v>4.6762249397928564E-2</v>
      </c>
      <c r="E207" s="3" t="s">
        <v>7</v>
      </c>
      <c r="G207" s="3" t="s">
        <v>76</v>
      </c>
      <c r="H207" s="3" t="s">
        <v>25</v>
      </c>
      <c r="I207" s="5">
        <v>1.453315268222777E-2</v>
      </c>
      <c r="J207" s="3" t="s">
        <v>7</v>
      </c>
      <c r="L207" s="3" t="s">
        <v>77</v>
      </c>
      <c r="M207" s="3" t="s">
        <v>25</v>
      </c>
      <c r="N207" s="5">
        <v>1.2797878729475999E-2</v>
      </c>
      <c r="O207" s="3" t="s">
        <v>7</v>
      </c>
    </row>
    <row r="208" spans="2:15" x14ac:dyDescent="0.45">
      <c r="B208" s="6" t="s">
        <v>75</v>
      </c>
      <c r="C208" s="6" t="s">
        <v>26</v>
      </c>
      <c r="D208" s="7">
        <v>1.8769864462346072E-2</v>
      </c>
      <c r="E208" s="6" t="s">
        <v>7</v>
      </c>
      <c r="G208" s="6" t="s">
        <v>76</v>
      </c>
      <c r="H208" s="6" t="s">
        <v>26</v>
      </c>
      <c r="I208" s="8">
        <v>1.4379486701265088E-2</v>
      </c>
      <c r="J208" s="6" t="s">
        <v>7</v>
      </c>
      <c r="L208" s="6" t="s">
        <v>77</v>
      </c>
      <c r="M208" s="6" t="s">
        <v>26</v>
      </c>
      <c r="N208" s="8">
        <v>1.285941988865396E-2</v>
      </c>
      <c r="O208" s="6" t="s">
        <v>7</v>
      </c>
    </row>
    <row r="209" spans="2:15" x14ac:dyDescent="0.45">
      <c r="B209" s="3" t="s">
        <v>75</v>
      </c>
      <c r="C209" s="3" t="s">
        <v>27</v>
      </c>
      <c r="D209" s="4">
        <v>6.7442417816733404E-4</v>
      </c>
      <c r="E209" s="3" t="s">
        <v>7</v>
      </c>
      <c r="G209" s="3" t="s">
        <v>76</v>
      </c>
      <c r="H209" s="3" t="s">
        <v>27</v>
      </c>
      <c r="I209" s="5">
        <v>1.4467235759485613E-2</v>
      </c>
      <c r="J209" s="3" t="s">
        <v>7</v>
      </c>
      <c r="L209" s="3" t="s">
        <v>77</v>
      </c>
      <c r="M209" s="3" t="s">
        <v>27</v>
      </c>
      <c r="N209" s="5">
        <v>1.3383227638801924E-2</v>
      </c>
      <c r="O209" s="3" t="s">
        <v>7</v>
      </c>
    </row>
    <row r="210" spans="2:15" x14ac:dyDescent="0.45">
      <c r="B210" s="6" t="s">
        <v>75</v>
      </c>
      <c r="C210" s="6" t="s">
        <v>28</v>
      </c>
      <c r="D210" s="7">
        <v>0</v>
      </c>
      <c r="E210" s="6" t="s">
        <v>7</v>
      </c>
      <c r="G210" s="6" t="s">
        <v>76</v>
      </c>
      <c r="H210" s="6" t="s">
        <v>28</v>
      </c>
      <c r="I210" s="8">
        <v>2.1376323386558153E-2</v>
      </c>
      <c r="J210" s="6" t="s">
        <v>7</v>
      </c>
      <c r="L210" s="6" t="s">
        <v>77</v>
      </c>
      <c r="M210" s="6" t="s">
        <v>28</v>
      </c>
      <c r="N210" s="8">
        <v>2.0743706337767037E-2</v>
      </c>
      <c r="O210" s="6" t="s">
        <v>7</v>
      </c>
    </row>
    <row r="211" spans="2:15" x14ac:dyDescent="0.45">
      <c r="B211" s="3" t="s">
        <v>75</v>
      </c>
      <c r="C211" s="3" t="s">
        <v>29</v>
      </c>
      <c r="D211" s="4">
        <v>3.9421050360092606E-6</v>
      </c>
      <c r="E211" s="3" t="s">
        <v>7</v>
      </c>
      <c r="G211" s="3" t="s">
        <v>76</v>
      </c>
      <c r="H211" s="3" t="s">
        <v>29</v>
      </c>
      <c r="I211" s="5">
        <v>2.524860767312535E-2</v>
      </c>
      <c r="J211" s="3" t="s">
        <v>7</v>
      </c>
      <c r="L211" s="3" t="s">
        <v>77</v>
      </c>
      <c r="M211" s="3" t="s">
        <v>29</v>
      </c>
      <c r="N211" s="5">
        <v>2.9223022571276243E-2</v>
      </c>
      <c r="O211" s="3" t="s">
        <v>7</v>
      </c>
    </row>
    <row r="212" spans="2:15" x14ac:dyDescent="0.45">
      <c r="B212" s="6" t="s">
        <v>75</v>
      </c>
      <c r="C212" s="6" t="s">
        <v>30</v>
      </c>
      <c r="D212" s="7">
        <v>2.6112235782380882E-3</v>
      </c>
      <c r="E212" s="6" t="s">
        <v>7</v>
      </c>
      <c r="G212" s="6" t="s">
        <v>76</v>
      </c>
      <c r="H212" s="6" t="s">
        <v>30</v>
      </c>
      <c r="I212" s="8">
        <v>9.8644504505630941E-3</v>
      </c>
      <c r="J212" s="6" t="s">
        <v>7</v>
      </c>
      <c r="L212" s="6" t="s">
        <v>77</v>
      </c>
      <c r="M212" s="6" t="s">
        <v>30</v>
      </c>
      <c r="N212" s="8">
        <v>1.1568670893967254E-2</v>
      </c>
      <c r="O212" s="6" t="s">
        <v>7</v>
      </c>
    </row>
    <row r="213" spans="2:15" x14ac:dyDescent="0.45">
      <c r="B213" s="3" t="s">
        <v>75</v>
      </c>
      <c r="C213" s="3" t="s">
        <v>31</v>
      </c>
      <c r="D213" s="4">
        <v>1.8698945117994879E-2</v>
      </c>
      <c r="E213" s="3" t="s">
        <v>7</v>
      </c>
      <c r="G213" s="3" t="s">
        <v>76</v>
      </c>
      <c r="H213" s="3" t="s">
        <v>31</v>
      </c>
      <c r="I213" s="5">
        <v>1.0139883096831169E-2</v>
      </c>
      <c r="J213" s="3" t="s">
        <v>7</v>
      </c>
      <c r="L213" s="3" t="s">
        <v>77</v>
      </c>
      <c r="M213" s="3" t="s">
        <v>31</v>
      </c>
      <c r="N213" s="5">
        <v>1.1385768211026333E-2</v>
      </c>
      <c r="O213" s="3" t="s">
        <v>7</v>
      </c>
    </row>
    <row r="214" spans="2:15" x14ac:dyDescent="0.45">
      <c r="B214" s="6" t="s">
        <v>75</v>
      </c>
      <c r="C214" s="6" t="s">
        <v>32</v>
      </c>
      <c r="D214" s="7">
        <v>4.2476363326438643E-2</v>
      </c>
      <c r="E214" s="6" t="s">
        <v>7</v>
      </c>
      <c r="G214" s="6" t="s">
        <v>76</v>
      </c>
      <c r="H214" s="6" t="s">
        <v>32</v>
      </c>
      <c r="I214" s="8">
        <v>1.0424934484945041E-2</v>
      </c>
      <c r="J214" s="6" t="s">
        <v>7</v>
      </c>
      <c r="L214" s="6" t="s">
        <v>77</v>
      </c>
      <c r="M214" s="6" t="s">
        <v>32</v>
      </c>
      <c r="N214" s="8">
        <v>1.1046072306641376E-2</v>
      </c>
      <c r="O214" s="6" t="s">
        <v>7</v>
      </c>
    </row>
    <row r="215" spans="2:15" x14ac:dyDescent="0.45">
      <c r="B215" s="3" t="s">
        <v>75</v>
      </c>
      <c r="C215" s="3" t="s">
        <v>33</v>
      </c>
      <c r="D215" s="4">
        <v>5.6923276796198047E-2</v>
      </c>
      <c r="E215" s="3" t="s">
        <v>7</v>
      </c>
      <c r="G215" s="3" t="s">
        <v>76</v>
      </c>
      <c r="H215" s="3" t="s">
        <v>33</v>
      </c>
      <c r="I215" s="5">
        <v>1.0808358446682155E-2</v>
      </c>
      <c r="J215" s="3" t="s">
        <v>7</v>
      </c>
      <c r="L215" s="3" t="s">
        <v>77</v>
      </c>
      <c r="M215" s="3" t="s">
        <v>33</v>
      </c>
      <c r="N215" s="5">
        <v>1.0622492861602502E-2</v>
      </c>
      <c r="O215" s="3" t="s">
        <v>7</v>
      </c>
    </row>
    <row r="216" spans="2:15" x14ac:dyDescent="0.45">
      <c r="B216" s="6" t="s">
        <v>75</v>
      </c>
      <c r="C216" s="6" t="s">
        <v>34</v>
      </c>
      <c r="D216" s="7">
        <v>5.8980224019449939E-2</v>
      </c>
      <c r="E216" s="6" t="s">
        <v>7</v>
      </c>
      <c r="G216" s="6" t="s">
        <v>76</v>
      </c>
      <c r="H216" s="6" t="s">
        <v>34</v>
      </c>
      <c r="I216" s="8">
        <v>1.1207511536742735E-2</v>
      </c>
      <c r="J216" s="6" t="s">
        <v>7</v>
      </c>
      <c r="L216" s="6" t="s">
        <v>77</v>
      </c>
      <c r="M216" s="6" t="s">
        <v>34</v>
      </c>
      <c r="N216" s="8">
        <v>1.0908888167886335E-2</v>
      </c>
      <c r="O216" s="6" t="s">
        <v>7</v>
      </c>
    </row>
    <row r="217" spans="2:15" x14ac:dyDescent="0.45">
      <c r="B217" s="3" t="s">
        <v>75</v>
      </c>
      <c r="C217" s="3" t="s">
        <v>35</v>
      </c>
      <c r="D217" s="4">
        <v>4.8209159761853526E-2</v>
      </c>
      <c r="E217" s="3" t="s">
        <v>7</v>
      </c>
      <c r="G217" s="3" t="s">
        <v>76</v>
      </c>
      <c r="H217" s="3" t="s">
        <v>35</v>
      </c>
      <c r="I217" s="5">
        <v>1.1455390165037339E-2</v>
      </c>
      <c r="J217" s="3" t="s">
        <v>7</v>
      </c>
      <c r="L217" s="3" t="s">
        <v>77</v>
      </c>
      <c r="M217" s="3" t="s">
        <v>35</v>
      </c>
      <c r="N217" s="5">
        <v>1.129846342797014E-2</v>
      </c>
      <c r="O217" s="3" t="s">
        <v>7</v>
      </c>
    </row>
    <row r="218" spans="2:15" x14ac:dyDescent="0.45">
      <c r="B218" s="6" t="s">
        <v>75</v>
      </c>
      <c r="C218" s="6" t="s">
        <v>36</v>
      </c>
      <c r="D218" s="7">
        <v>2.5288102116933674E-2</v>
      </c>
      <c r="E218" s="6" t="s">
        <v>7</v>
      </c>
      <c r="G218" s="6" t="s">
        <v>76</v>
      </c>
      <c r="H218" s="6" t="s">
        <v>36</v>
      </c>
      <c r="I218" s="8">
        <v>1.1281763747724409E-2</v>
      </c>
      <c r="J218" s="6" t="s">
        <v>7</v>
      </c>
      <c r="L218" s="6" t="s">
        <v>77</v>
      </c>
      <c r="M218" s="6" t="s">
        <v>36</v>
      </c>
      <c r="N218" s="8">
        <v>1.181550640489055E-2</v>
      </c>
      <c r="O218" s="6" t="s">
        <v>7</v>
      </c>
    </row>
    <row r="219" spans="2:15" x14ac:dyDescent="0.45">
      <c r="B219" s="3" t="s">
        <v>75</v>
      </c>
      <c r="C219" s="3" t="s">
        <v>37</v>
      </c>
      <c r="D219" s="4">
        <v>4.8353730938690415E-3</v>
      </c>
      <c r="E219" s="3" t="s">
        <v>7</v>
      </c>
      <c r="G219" s="3" t="s">
        <v>76</v>
      </c>
      <c r="H219" s="3" t="s">
        <v>37</v>
      </c>
      <c r="I219" s="5">
        <v>1.0919997369207653E-2</v>
      </c>
      <c r="J219" s="3" t="s">
        <v>7</v>
      </c>
      <c r="L219" s="3" t="s">
        <v>77</v>
      </c>
      <c r="M219" s="3" t="s">
        <v>37</v>
      </c>
      <c r="N219" s="5">
        <v>1.2066865882423642E-2</v>
      </c>
      <c r="O219" s="3" t="s">
        <v>7</v>
      </c>
    </row>
    <row r="220" spans="2:15" x14ac:dyDescent="0.45">
      <c r="B220" s="6" t="s">
        <v>75</v>
      </c>
      <c r="C220" s="6" t="s">
        <v>38</v>
      </c>
      <c r="D220" s="7">
        <v>1.9809359207653959E-4</v>
      </c>
      <c r="E220" s="6" t="s">
        <v>7</v>
      </c>
      <c r="G220" s="6" t="s">
        <v>76</v>
      </c>
      <c r="H220" s="6" t="s">
        <v>38</v>
      </c>
      <c r="I220" s="8">
        <v>1.5316030955410849E-2</v>
      </c>
      <c r="J220" s="6" t="s">
        <v>7</v>
      </c>
      <c r="L220" s="6" t="s">
        <v>77</v>
      </c>
      <c r="M220" s="6" t="s">
        <v>38</v>
      </c>
      <c r="N220" s="8">
        <v>1.7763041809298788E-2</v>
      </c>
      <c r="O220" s="6" t="s">
        <v>7</v>
      </c>
    </row>
    <row r="221" spans="2:15" x14ac:dyDescent="0.45">
      <c r="B221" s="3" t="s">
        <v>75</v>
      </c>
      <c r="C221" s="3" t="s">
        <v>39</v>
      </c>
      <c r="D221" s="4">
        <v>0</v>
      </c>
      <c r="E221" s="3" t="s">
        <v>7</v>
      </c>
      <c r="G221" s="3" t="s">
        <v>76</v>
      </c>
      <c r="H221" s="3" t="s">
        <v>39</v>
      </c>
      <c r="I221" s="5">
        <v>2.5767456634000419E-2</v>
      </c>
      <c r="J221" s="3" t="s">
        <v>7</v>
      </c>
      <c r="L221" s="3" t="s">
        <v>77</v>
      </c>
      <c r="M221" s="3" t="s">
        <v>39</v>
      </c>
      <c r="N221" s="5">
        <v>2.3462472456150185E-2</v>
      </c>
      <c r="O221" s="3" t="s">
        <v>7</v>
      </c>
    </row>
    <row r="222" spans="2:15" x14ac:dyDescent="0.45">
      <c r="B222" s="6" t="s">
        <v>75</v>
      </c>
      <c r="C222" s="6" t="s">
        <v>40</v>
      </c>
      <c r="D222" s="7">
        <v>1.4918533856945299E-3</v>
      </c>
      <c r="E222" s="6" t="s">
        <v>7</v>
      </c>
      <c r="G222" s="6" t="s">
        <v>76</v>
      </c>
      <c r="H222" s="6" t="s">
        <v>40</v>
      </c>
      <c r="I222" s="8">
        <v>1.0502500708327237E-2</v>
      </c>
      <c r="J222" s="6" t="s">
        <v>7</v>
      </c>
      <c r="L222" s="6" t="s">
        <v>77</v>
      </c>
      <c r="M222" s="6" t="s">
        <v>40</v>
      </c>
      <c r="N222" s="8">
        <v>9.4172245417832069E-3</v>
      </c>
      <c r="O222" s="6" t="s">
        <v>7</v>
      </c>
    </row>
    <row r="223" spans="2:15" x14ac:dyDescent="0.45">
      <c r="B223" s="3" t="s">
        <v>75</v>
      </c>
      <c r="C223" s="3" t="s">
        <v>41</v>
      </c>
      <c r="D223" s="4">
        <v>1.458420595840848E-2</v>
      </c>
      <c r="E223" s="3" t="s">
        <v>7</v>
      </c>
      <c r="G223" s="3" t="s">
        <v>76</v>
      </c>
      <c r="H223" s="3" t="s">
        <v>41</v>
      </c>
      <c r="I223" s="5">
        <v>1.1024528732037962E-2</v>
      </c>
      <c r="J223" s="3" t="s">
        <v>7</v>
      </c>
      <c r="L223" s="3" t="s">
        <v>77</v>
      </c>
      <c r="M223" s="3" t="s">
        <v>41</v>
      </c>
      <c r="N223" s="5">
        <v>9.7576478911823861E-3</v>
      </c>
      <c r="O223" s="3" t="s">
        <v>7</v>
      </c>
    </row>
    <row r="224" spans="2:15" x14ac:dyDescent="0.45">
      <c r="B224" s="6" t="s">
        <v>75</v>
      </c>
      <c r="C224" s="6" t="s">
        <v>42</v>
      </c>
      <c r="D224" s="7">
        <v>3.8516423815047128E-2</v>
      </c>
      <c r="E224" s="6" t="s">
        <v>7</v>
      </c>
      <c r="G224" s="6" t="s">
        <v>76</v>
      </c>
      <c r="H224" s="6" t="s">
        <v>42</v>
      </c>
      <c r="I224" s="8">
        <v>1.1556457857815668E-2</v>
      </c>
      <c r="J224" s="6" t="s">
        <v>7</v>
      </c>
      <c r="L224" s="6" t="s">
        <v>77</v>
      </c>
      <c r="M224" s="6" t="s">
        <v>42</v>
      </c>
      <c r="N224" s="8">
        <v>9.6441020084846573E-3</v>
      </c>
      <c r="O224" s="6" t="s">
        <v>7</v>
      </c>
    </row>
    <row r="225" spans="2:15" x14ac:dyDescent="0.45">
      <c r="B225" s="3" t="s">
        <v>75</v>
      </c>
      <c r="C225" s="3" t="s">
        <v>43</v>
      </c>
      <c r="D225" s="4">
        <v>5.4107783601256954E-2</v>
      </c>
      <c r="E225" s="3" t="s">
        <v>7</v>
      </c>
      <c r="G225" s="3" t="s">
        <v>76</v>
      </c>
      <c r="H225" s="3" t="s">
        <v>43</v>
      </c>
      <c r="I225" s="5">
        <v>1.1922013483782669E-2</v>
      </c>
      <c r="J225" s="3" t="s">
        <v>7</v>
      </c>
      <c r="L225" s="3" t="s">
        <v>77</v>
      </c>
      <c r="M225" s="3" t="s">
        <v>43</v>
      </c>
      <c r="N225" s="5">
        <v>9.1698090277757272E-3</v>
      </c>
      <c r="O225" s="3" t="s">
        <v>7</v>
      </c>
    </row>
    <row r="226" spans="2:15" x14ac:dyDescent="0.45">
      <c r="B226" s="6" t="s">
        <v>75</v>
      </c>
      <c r="C226" s="6" t="s">
        <v>44</v>
      </c>
      <c r="D226" s="7">
        <v>5.8369957234349221E-2</v>
      </c>
      <c r="E226" s="6" t="s">
        <v>7</v>
      </c>
      <c r="G226" s="6" t="s">
        <v>76</v>
      </c>
      <c r="H226" s="6" t="s">
        <v>44</v>
      </c>
      <c r="I226" s="8">
        <v>1.2009769034226004E-2</v>
      </c>
      <c r="J226" s="6" t="s">
        <v>7</v>
      </c>
      <c r="L226" s="6" t="s">
        <v>77</v>
      </c>
      <c r="M226" s="6" t="s">
        <v>44</v>
      </c>
      <c r="N226" s="8">
        <v>8.7529200570555001E-3</v>
      </c>
      <c r="O226" s="6" t="s">
        <v>7</v>
      </c>
    </row>
    <row r="227" spans="2:15" x14ac:dyDescent="0.45">
      <c r="B227" s="3" t="s">
        <v>75</v>
      </c>
      <c r="C227" s="3" t="s">
        <v>45</v>
      </c>
      <c r="D227" s="4">
        <v>4.7065163099028383E-2</v>
      </c>
      <c r="E227" s="3" t="s">
        <v>7</v>
      </c>
      <c r="G227" s="3" t="s">
        <v>76</v>
      </c>
      <c r="H227" s="3" t="s">
        <v>45</v>
      </c>
      <c r="I227" s="5">
        <v>1.1636977425749989E-2</v>
      </c>
      <c r="J227" s="3" t="s">
        <v>7</v>
      </c>
      <c r="L227" s="3" t="s">
        <v>77</v>
      </c>
      <c r="M227" s="3" t="s">
        <v>45</v>
      </c>
      <c r="N227" s="5">
        <v>8.9124188405693104E-3</v>
      </c>
      <c r="O227" s="3" t="s">
        <v>7</v>
      </c>
    </row>
    <row r="228" spans="2:15" x14ac:dyDescent="0.45">
      <c r="B228" s="6" t="s">
        <v>75</v>
      </c>
      <c r="C228" s="6" t="s">
        <v>46</v>
      </c>
      <c r="D228" s="7">
        <v>2.3891043423028935E-2</v>
      </c>
      <c r="E228" s="6" t="s">
        <v>7</v>
      </c>
      <c r="G228" s="6" t="s">
        <v>76</v>
      </c>
      <c r="H228" s="6" t="s">
        <v>46</v>
      </c>
      <c r="I228" s="8">
        <v>1.0984766653939649E-2</v>
      </c>
      <c r="J228" s="6" t="s">
        <v>7</v>
      </c>
      <c r="L228" s="6" t="s">
        <v>77</v>
      </c>
      <c r="M228" s="6" t="s">
        <v>46</v>
      </c>
      <c r="N228" s="8">
        <v>9.3132065936586666E-3</v>
      </c>
      <c r="O228" s="6" t="s">
        <v>7</v>
      </c>
    </row>
    <row r="229" spans="2:15" x14ac:dyDescent="0.45">
      <c r="B229" s="3" t="s">
        <v>75</v>
      </c>
      <c r="C229" s="3" t="s">
        <v>47</v>
      </c>
      <c r="D229" s="4">
        <v>4.0122945221267364E-3</v>
      </c>
      <c r="E229" s="3" t="s">
        <v>7</v>
      </c>
      <c r="G229" s="3" t="s">
        <v>76</v>
      </c>
      <c r="H229" s="3" t="s">
        <v>47</v>
      </c>
      <c r="I229" s="5">
        <v>1.0258224559472692E-2</v>
      </c>
      <c r="J229" s="3" t="s">
        <v>7</v>
      </c>
      <c r="L229" s="3" t="s">
        <v>77</v>
      </c>
      <c r="M229" s="3" t="s">
        <v>47</v>
      </c>
      <c r="N229" s="5">
        <v>9.700868394395587E-3</v>
      </c>
      <c r="O229" s="3" t="s">
        <v>7</v>
      </c>
    </row>
    <row r="230" spans="2:15" x14ac:dyDescent="0.45">
      <c r="B230" s="6" t="s">
        <v>75</v>
      </c>
      <c r="C230" s="6" t="s">
        <v>48</v>
      </c>
      <c r="D230" s="7">
        <v>9.3055681599191458E-5</v>
      </c>
      <c r="E230" s="6" t="s">
        <v>7</v>
      </c>
      <c r="G230" s="6" t="s">
        <v>76</v>
      </c>
      <c r="H230" s="6" t="s">
        <v>48</v>
      </c>
      <c r="I230" s="8">
        <v>1.4950433971773003E-2</v>
      </c>
      <c r="J230" s="6" t="s">
        <v>7</v>
      </c>
      <c r="L230" s="6" t="s">
        <v>77</v>
      </c>
      <c r="M230" s="6" t="s">
        <v>48</v>
      </c>
      <c r="N230" s="8">
        <v>1.4863282022556832E-2</v>
      </c>
      <c r="O230" s="6" t="s">
        <v>7</v>
      </c>
    </row>
    <row r="231" spans="2:15" x14ac:dyDescent="0.45">
      <c r="B231" s="3" t="s">
        <v>75</v>
      </c>
      <c r="C231" s="3" t="s">
        <v>49</v>
      </c>
      <c r="D231" s="4">
        <v>0</v>
      </c>
      <c r="E231" s="3" t="s">
        <v>7</v>
      </c>
      <c r="G231" s="3" t="s">
        <v>76</v>
      </c>
      <c r="H231" s="3" t="s">
        <v>49</v>
      </c>
      <c r="I231" s="5">
        <v>3.2402131555602204E-2</v>
      </c>
      <c r="J231" s="3" t="s">
        <v>7</v>
      </c>
      <c r="L231" s="3" t="s">
        <v>77</v>
      </c>
      <c r="M231" s="3" t="s">
        <v>49</v>
      </c>
      <c r="N231" s="5">
        <v>3.8801504622323041E-2</v>
      </c>
      <c r="O231" s="3" t="s">
        <v>7</v>
      </c>
    </row>
    <row r="232" spans="2:15" x14ac:dyDescent="0.45">
      <c r="B232" s="6" t="s">
        <v>75</v>
      </c>
      <c r="C232" s="6" t="s">
        <v>50</v>
      </c>
      <c r="D232" s="7">
        <v>0</v>
      </c>
      <c r="E232" s="6" t="s">
        <v>7</v>
      </c>
      <c r="G232" s="6" t="s">
        <v>76</v>
      </c>
      <c r="H232" s="6" t="s">
        <v>50</v>
      </c>
      <c r="I232" s="8">
        <v>1.2749812315882361E-2</v>
      </c>
      <c r="J232" s="6" t="s">
        <v>7</v>
      </c>
      <c r="L232" s="6" t="s">
        <v>77</v>
      </c>
      <c r="M232" s="6" t="s">
        <v>50</v>
      </c>
      <c r="N232" s="8">
        <v>1.4796652423606288E-2</v>
      </c>
      <c r="O232" s="6" t="s">
        <v>7</v>
      </c>
    </row>
    <row r="233" spans="2:15" x14ac:dyDescent="0.45">
      <c r="B233" s="3" t="s">
        <v>75</v>
      </c>
      <c r="C233" s="3" t="s">
        <v>51</v>
      </c>
      <c r="D233" s="4">
        <v>3.4893647880459284E-3</v>
      </c>
      <c r="E233" s="3" t="s">
        <v>7</v>
      </c>
      <c r="G233" s="3" t="s">
        <v>76</v>
      </c>
      <c r="H233" s="3" t="s">
        <v>51</v>
      </c>
      <c r="I233" s="5">
        <v>1.3159231964635337E-2</v>
      </c>
      <c r="J233" s="3" t="s">
        <v>7</v>
      </c>
      <c r="L233" s="3" t="s">
        <v>77</v>
      </c>
      <c r="M233" s="3" t="s">
        <v>51</v>
      </c>
      <c r="N233" s="5">
        <v>1.4542365834233809E-2</v>
      </c>
      <c r="O233" s="3" t="s">
        <v>7</v>
      </c>
    </row>
    <row r="234" spans="2:15" x14ac:dyDescent="0.45">
      <c r="B234" s="6" t="s">
        <v>75</v>
      </c>
      <c r="C234" s="6" t="s">
        <v>52</v>
      </c>
      <c r="D234" s="7">
        <v>2.1059148849189791E-2</v>
      </c>
      <c r="E234" s="6" t="s">
        <v>7</v>
      </c>
      <c r="G234" s="6" t="s">
        <v>76</v>
      </c>
      <c r="H234" s="6" t="s">
        <v>52</v>
      </c>
      <c r="I234" s="8">
        <v>1.390399205701727E-2</v>
      </c>
      <c r="J234" s="6" t="s">
        <v>7</v>
      </c>
      <c r="L234" s="6" t="s">
        <v>77</v>
      </c>
      <c r="M234" s="6" t="s">
        <v>52</v>
      </c>
      <c r="N234" s="8">
        <v>1.4455716649639683E-2</v>
      </c>
      <c r="O234" s="6" t="s">
        <v>7</v>
      </c>
    </row>
    <row r="235" spans="2:15" x14ac:dyDescent="0.45">
      <c r="B235" s="3" t="s">
        <v>75</v>
      </c>
      <c r="C235" s="3" t="s">
        <v>53</v>
      </c>
      <c r="D235" s="4">
        <v>3.7218443843233126E-2</v>
      </c>
      <c r="E235" s="3" t="s">
        <v>7</v>
      </c>
      <c r="G235" s="3" t="s">
        <v>76</v>
      </c>
      <c r="H235" s="3" t="s">
        <v>53</v>
      </c>
      <c r="I235" s="5">
        <v>1.4621506126606882E-2</v>
      </c>
      <c r="J235" s="3" t="s">
        <v>7</v>
      </c>
      <c r="L235" s="3" t="s">
        <v>77</v>
      </c>
      <c r="M235" s="3" t="s">
        <v>53</v>
      </c>
      <c r="N235" s="5">
        <v>1.4601238146518109E-2</v>
      </c>
      <c r="O235" s="3" t="s">
        <v>7</v>
      </c>
    </row>
    <row r="236" spans="2:15" x14ac:dyDescent="0.45">
      <c r="B236" s="6" t="s">
        <v>75</v>
      </c>
      <c r="C236" s="6" t="s">
        <v>54</v>
      </c>
      <c r="D236" s="7">
        <v>3.8224716004440933E-2</v>
      </c>
      <c r="E236" s="6" t="s">
        <v>7</v>
      </c>
      <c r="G236" s="6" t="s">
        <v>76</v>
      </c>
      <c r="H236" s="6" t="s">
        <v>54</v>
      </c>
      <c r="I236" s="8">
        <v>1.4374006496813646E-2</v>
      </c>
      <c r="J236" s="6" t="s">
        <v>7</v>
      </c>
      <c r="L236" s="6" t="s">
        <v>77</v>
      </c>
      <c r="M236" s="6" t="s">
        <v>54</v>
      </c>
      <c r="N236" s="8">
        <v>1.4896155172515822E-2</v>
      </c>
      <c r="O236" s="6" t="s">
        <v>7</v>
      </c>
    </row>
    <row r="237" spans="2:15" x14ac:dyDescent="0.45">
      <c r="B237" s="3" t="s">
        <v>75</v>
      </c>
      <c r="C237" s="3" t="s">
        <v>55</v>
      </c>
      <c r="D237" s="4">
        <v>2.4434476054016638E-2</v>
      </c>
      <c r="E237" s="3" t="s">
        <v>7</v>
      </c>
      <c r="G237" s="3" t="s">
        <v>76</v>
      </c>
      <c r="H237" s="3" t="s">
        <v>55</v>
      </c>
      <c r="I237" s="5">
        <v>1.3998398958650652E-2</v>
      </c>
      <c r="J237" s="3" t="s">
        <v>7</v>
      </c>
      <c r="L237" s="3" t="s">
        <v>77</v>
      </c>
      <c r="M237" s="3" t="s">
        <v>55</v>
      </c>
      <c r="N237" s="5">
        <v>1.5001836051775786E-2</v>
      </c>
      <c r="O237" s="3" t="s">
        <v>7</v>
      </c>
    </row>
    <row r="238" spans="2:15" x14ac:dyDescent="0.45">
      <c r="B238" s="6" t="s">
        <v>75</v>
      </c>
      <c r="C238" s="6" t="s">
        <v>56</v>
      </c>
      <c r="D238" s="7">
        <v>6.247368407748837E-3</v>
      </c>
      <c r="E238" s="6" t="s">
        <v>7</v>
      </c>
      <c r="G238" s="6" t="s">
        <v>76</v>
      </c>
      <c r="H238" s="6" t="s">
        <v>56</v>
      </c>
      <c r="I238" s="8">
        <v>1.3885965576008377E-2</v>
      </c>
      <c r="J238" s="6" t="s">
        <v>7</v>
      </c>
      <c r="L238" s="6" t="s">
        <v>77</v>
      </c>
      <c r="M238" s="6" t="s">
        <v>56</v>
      </c>
      <c r="N238" s="8">
        <v>1.5400490214945252E-2</v>
      </c>
      <c r="O238" s="6" t="s">
        <v>7</v>
      </c>
    </row>
    <row r="239" spans="2:15" x14ac:dyDescent="0.45">
      <c r="B239" s="3" t="s">
        <v>75</v>
      </c>
      <c r="C239" s="3" t="s">
        <v>57</v>
      </c>
      <c r="D239" s="4">
        <v>3.9275428531904554E-5</v>
      </c>
      <c r="E239" s="3" t="s">
        <v>7</v>
      </c>
      <c r="G239" s="3" t="s">
        <v>76</v>
      </c>
      <c r="H239" s="3" t="s">
        <v>57</v>
      </c>
      <c r="I239" s="5">
        <v>1.4104123482942474E-2</v>
      </c>
      <c r="J239" s="3" t="s">
        <v>7</v>
      </c>
      <c r="L239" s="3" t="s">
        <v>77</v>
      </c>
      <c r="M239" s="3" t="s">
        <v>57</v>
      </c>
      <c r="N239" s="5">
        <v>1.5866881378173957E-2</v>
      </c>
      <c r="O239" s="3" t="s">
        <v>7</v>
      </c>
    </row>
    <row r="240" spans="2:15" x14ac:dyDescent="0.45">
      <c r="B240" s="6" t="s">
        <v>75</v>
      </c>
      <c r="C240" s="6" t="s">
        <v>58</v>
      </c>
      <c r="D240" s="7">
        <v>0</v>
      </c>
      <c r="E240" s="6" t="s">
        <v>7</v>
      </c>
      <c r="G240" s="6" t="s">
        <v>76</v>
      </c>
      <c r="H240" s="6" t="s">
        <v>58</v>
      </c>
      <c r="I240" s="8">
        <v>2.0986024188885576E-2</v>
      </c>
      <c r="J240" s="6" t="s">
        <v>7</v>
      </c>
      <c r="L240" s="6" t="s">
        <v>77</v>
      </c>
      <c r="M240" s="6" t="s">
        <v>58</v>
      </c>
      <c r="N240" s="8">
        <v>2.3846082943982404E-2</v>
      </c>
      <c r="O240" s="6" t="s">
        <v>7</v>
      </c>
    </row>
    <row r="241" spans="2:15" x14ac:dyDescent="0.45">
      <c r="B241" s="3" t="s">
        <v>75</v>
      </c>
      <c r="C241" s="3" t="s">
        <v>59</v>
      </c>
      <c r="D241" s="4">
        <v>0</v>
      </c>
      <c r="E241" s="3" t="s">
        <v>7</v>
      </c>
      <c r="G241" s="3" t="s">
        <v>76</v>
      </c>
      <c r="H241" s="3" t="s">
        <v>59</v>
      </c>
      <c r="I241" s="5">
        <v>5.3715080478047808E-2</v>
      </c>
      <c r="J241" s="3" t="s">
        <v>7</v>
      </c>
      <c r="L241" s="3" t="s">
        <v>77</v>
      </c>
      <c r="M241" s="3" t="s">
        <v>59</v>
      </c>
      <c r="N241" s="5">
        <v>4.8531739162203429E-2</v>
      </c>
      <c r="O241" s="3" t="s">
        <v>7</v>
      </c>
    </row>
    <row r="242" spans="2:15" x14ac:dyDescent="0.45">
      <c r="B242" s="6" t="s">
        <v>75</v>
      </c>
      <c r="C242" s="6" t="s">
        <v>60</v>
      </c>
      <c r="D242" s="7">
        <v>0</v>
      </c>
      <c r="E242" s="6" t="s">
        <v>7</v>
      </c>
      <c r="G242" s="6" t="s">
        <v>76</v>
      </c>
      <c r="H242" s="6" t="s">
        <v>60</v>
      </c>
      <c r="I242" s="8">
        <v>2.0607737898212779E-2</v>
      </c>
      <c r="J242" s="6" t="s">
        <v>7</v>
      </c>
      <c r="L242" s="6" t="s">
        <v>77</v>
      </c>
      <c r="M242" s="6" t="s">
        <v>60</v>
      </c>
      <c r="N242" s="8">
        <v>1.95204591003585E-2</v>
      </c>
      <c r="O242" s="6" t="s">
        <v>7</v>
      </c>
    </row>
    <row r="243" spans="2:15" x14ac:dyDescent="0.45">
      <c r="B243" s="3" t="s">
        <v>75</v>
      </c>
      <c r="C243" s="3" t="s">
        <v>61</v>
      </c>
      <c r="D243" s="4">
        <v>0</v>
      </c>
      <c r="E243" s="3" t="s">
        <v>7</v>
      </c>
      <c r="G243" s="3" t="s">
        <v>76</v>
      </c>
      <c r="H243" s="3" t="s">
        <v>61</v>
      </c>
      <c r="I243" s="5">
        <v>2.0040513381416523E-2</v>
      </c>
      <c r="J243" s="3" t="s">
        <v>7</v>
      </c>
      <c r="L243" s="3" t="s">
        <v>77</v>
      </c>
      <c r="M243" s="3" t="s">
        <v>61</v>
      </c>
      <c r="N243" s="5">
        <v>1.9571895685145484E-2</v>
      </c>
      <c r="O243" s="3" t="s">
        <v>7</v>
      </c>
    </row>
    <row r="244" spans="2:15" x14ac:dyDescent="0.45">
      <c r="B244" s="6" t="s">
        <v>75</v>
      </c>
      <c r="C244" s="6" t="s">
        <v>62</v>
      </c>
      <c r="D244" s="7">
        <v>5.0869000482465466E-3</v>
      </c>
      <c r="E244" s="6" t="s">
        <v>7</v>
      </c>
      <c r="G244" s="6" t="s">
        <v>76</v>
      </c>
      <c r="H244" s="6" t="s">
        <v>62</v>
      </c>
      <c r="I244" s="8">
        <v>1.9373636407116521E-2</v>
      </c>
      <c r="J244" s="6" t="s">
        <v>7</v>
      </c>
      <c r="L244" s="6" t="s">
        <v>77</v>
      </c>
      <c r="M244" s="6" t="s">
        <v>62</v>
      </c>
      <c r="N244" s="8">
        <v>1.935881675561358E-2</v>
      </c>
      <c r="O244" s="6" t="s">
        <v>7</v>
      </c>
    </row>
    <row r="245" spans="2:15" x14ac:dyDescent="0.45">
      <c r="B245" s="3" t="s">
        <v>75</v>
      </c>
      <c r="C245" s="3" t="s">
        <v>63</v>
      </c>
      <c r="D245" s="4">
        <v>1.704881673157177E-2</v>
      </c>
      <c r="E245" s="3" t="s">
        <v>7</v>
      </c>
      <c r="G245" s="3" t="s">
        <v>76</v>
      </c>
      <c r="H245" s="3" t="s">
        <v>63</v>
      </c>
      <c r="I245" s="5">
        <v>1.8991184315634815E-2</v>
      </c>
      <c r="J245" s="3" t="s">
        <v>7</v>
      </c>
      <c r="L245" s="3" t="s">
        <v>77</v>
      </c>
      <c r="M245" s="3" t="s">
        <v>63</v>
      </c>
      <c r="N245" s="5">
        <v>1.9281292866741517E-2</v>
      </c>
      <c r="O245" s="3" t="s">
        <v>7</v>
      </c>
    </row>
    <row r="246" spans="2:15" x14ac:dyDescent="0.45">
      <c r="B246" s="6" t="s">
        <v>75</v>
      </c>
      <c r="C246" s="6" t="s">
        <v>64</v>
      </c>
      <c r="D246" s="7">
        <v>1.7392775070673695E-2</v>
      </c>
      <c r="E246" s="6" t="s">
        <v>7</v>
      </c>
      <c r="G246" s="6" t="s">
        <v>76</v>
      </c>
      <c r="H246" s="6" t="s">
        <v>64</v>
      </c>
      <c r="I246" s="8">
        <v>1.9500178347061161E-2</v>
      </c>
      <c r="J246" s="6" t="s">
        <v>7</v>
      </c>
      <c r="L246" s="6" t="s">
        <v>77</v>
      </c>
      <c r="M246" s="6" t="s">
        <v>64</v>
      </c>
      <c r="N246" s="8">
        <v>1.914239955274576E-2</v>
      </c>
      <c r="O246" s="6" t="s">
        <v>7</v>
      </c>
    </row>
    <row r="247" spans="2:15" x14ac:dyDescent="0.45">
      <c r="B247" s="3" t="s">
        <v>75</v>
      </c>
      <c r="C247" s="3" t="s">
        <v>65</v>
      </c>
      <c r="D247" s="4">
        <v>5.3621134112859983E-3</v>
      </c>
      <c r="E247" s="3" t="s">
        <v>7</v>
      </c>
      <c r="G247" s="3" t="s">
        <v>76</v>
      </c>
      <c r="H247" s="3" t="s">
        <v>65</v>
      </c>
      <c r="I247" s="5">
        <v>1.9829479705226253E-2</v>
      </c>
      <c r="J247" s="3" t="s">
        <v>7</v>
      </c>
      <c r="L247" s="3" t="s">
        <v>77</v>
      </c>
      <c r="M247" s="3" t="s">
        <v>65</v>
      </c>
      <c r="N247" s="5">
        <v>1.8875638563399147E-2</v>
      </c>
      <c r="O247" s="3" t="s">
        <v>7</v>
      </c>
    </row>
    <row r="248" spans="2:15" x14ac:dyDescent="0.45">
      <c r="B248" s="6" t="s">
        <v>75</v>
      </c>
      <c r="C248" s="6" t="s">
        <v>66</v>
      </c>
      <c r="D248" s="7">
        <v>0</v>
      </c>
      <c r="E248" s="6" t="s">
        <v>7</v>
      </c>
      <c r="G248" s="6" t="s">
        <v>76</v>
      </c>
      <c r="H248" s="6" t="s">
        <v>66</v>
      </c>
      <c r="I248" s="8">
        <v>1.9952417808862925E-2</v>
      </c>
      <c r="J248" s="6" t="s">
        <v>7</v>
      </c>
      <c r="L248" s="6" t="s">
        <v>77</v>
      </c>
      <c r="M248" s="6" t="s">
        <v>66</v>
      </c>
      <c r="N248" s="8">
        <v>1.9010762453737454E-2</v>
      </c>
      <c r="O248" s="6" t="s">
        <v>7</v>
      </c>
    </row>
    <row r="249" spans="2:15" x14ac:dyDescent="0.45">
      <c r="B249" s="3" t="s">
        <v>75</v>
      </c>
      <c r="C249" s="3" t="s">
        <v>67</v>
      </c>
      <c r="D249" s="4">
        <v>0</v>
      </c>
      <c r="E249" s="3" t="s">
        <v>7</v>
      </c>
      <c r="G249" s="3" t="s">
        <v>76</v>
      </c>
      <c r="H249" s="3" t="s">
        <v>67</v>
      </c>
      <c r="I249" s="5">
        <v>2.0625847818875272E-2</v>
      </c>
      <c r="J249" s="3" t="s">
        <v>7</v>
      </c>
      <c r="L249" s="3" t="s">
        <v>77</v>
      </c>
      <c r="M249" s="3" t="s">
        <v>67</v>
      </c>
      <c r="N249" s="5">
        <v>1.9294617501190648E-2</v>
      </c>
      <c r="O249" s="3" t="s">
        <v>7</v>
      </c>
    </row>
    <row r="250" spans="2:15" x14ac:dyDescent="0.45">
      <c r="B250" s="6" t="s">
        <v>75</v>
      </c>
      <c r="C250" s="6" t="s">
        <v>68</v>
      </c>
      <c r="D250" s="7">
        <v>0</v>
      </c>
      <c r="E250" s="6" t="s">
        <v>7</v>
      </c>
      <c r="G250" s="6" t="s">
        <v>76</v>
      </c>
      <c r="H250" s="6" t="s">
        <v>68</v>
      </c>
      <c r="I250" s="8">
        <v>3.1683254933643532E-2</v>
      </c>
      <c r="J250" s="6" t="s">
        <v>7</v>
      </c>
      <c r="L250" s="6" t="s">
        <v>77</v>
      </c>
      <c r="M250" s="6" t="s">
        <v>68</v>
      </c>
      <c r="N250" s="8">
        <v>2.8640450736559769E-2</v>
      </c>
      <c r="O250" s="6" t="s">
        <v>7</v>
      </c>
    </row>
    <row r="251" spans="2:15" x14ac:dyDescent="0.45">
      <c r="B251" s="3" t="s">
        <v>78</v>
      </c>
      <c r="C251" s="3" t="s">
        <v>6</v>
      </c>
      <c r="D251" s="4">
        <v>0</v>
      </c>
      <c r="E251" s="3" t="s">
        <v>7</v>
      </c>
      <c r="G251" s="3" t="s">
        <v>79</v>
      </c>
      <c r="H251" s="3" t="s">
        <v>6</v>
      </c>
      <c r="I251" s="5">
        <v>3.9994897447184097E-2</v>
      </c>
      <c r="J251" s="3" t="s">
        <v>7</v>
      </c>
      <c r="L251" s="3" t="s">
        <v>80</v>
      </c>
      <c r="M251" s="3" t="s">
        <v>6</v>
      </c>
      <c r="N251" s="5">
        <v>3.619473897715942E-2</v>
      </c>
      <c r="O251" s="3" t="s">
        <v>7</v>
      </c>
    </row>
    <row r="252" spans="2:15" x14ac:dyDescent="0.45">
      <c r="B252" s="6" t="s">
        <v>78</v>
      </c>
      <c r="C252" s="6" t="s">
        <v>10</v>
      </c>
      <c r="D252" s="7">
        <v>0</v>
      </c>
      <c r="E252" s="6" t="s">
        <v>7</v>
      </c>
      <c r="G252" s="6" t="s">
        <v>79</v>
      </c>
      <c r="H252" s="6" t="s">
        <v>10</v>
      </c>
      <c r="I252" s="8">
        <v>1.5653081811674442E-2</v>
      </c>
      <c r="J252" s="6" t="s">
        <v>7</v>
      </c>
      <c r="L252" s="6" t="s">
        <v>80</v>
      </c>
      <c r="M252" s="6" t="s">
        <v>10</v>
      </c>
      <c r="N252" s="8">
        <v>1.4551796393589247E-2</v>
      </c>
      <c r="O252" s="6" t="s">
        <v>7</v>
      </c>
    </row>
    <row r="253" spans="2:15" x14ac:dyDescent="0.45">
      <c r="B253" s="3" t="s">
        <v>78</v>
      </c>
      <c r="C253" s="3" t="s">
        <v>11</v>
      </c>
      <c r="D253" s="4">
        <v>1.4246161413100421E-5</v>
      </c>
      <c r="E253" s="3" t="s">
        <v>7</v>
      </c>
      <c r="G253" s="3" t="s">
        <v>79</v>
      </c>
      <c r="H253" s="3" t="s">
        <v>11</v>
      </c>
      <c r="I253" s="5">
        <v>1.5736645029952711E-2</v>
      </c>
      <c r="J253" s="3" t="s">
        <v>7</v>
      </c>
      <c r="L253" s="3" t="s">
        <v>80</v>
      </c>
      <c r="M253" s="3" t="s">
        <v>11</v>
      </c>
      <c r="N253" s="5">
        <v>1.5062788630437092E-2</v>
      </c>
      <c r="O253" s="3" t="s">
        <v>7</v>
      </c>
    </row>
    <row r="254" spans="2:15" x14ac:dyDescent="0.45">
      <c r="B254" s="6" t="s">
        <v>78</v>
      </c>
      <c r="C254" s="6" t="s">
        <v>12</v>
      </c>
      <c r="D254" s="7">
        <v>8.7526614761109494E-3</v>
      </c>
      <c r="E254" s="6" t="s">
        <v>7</v>
      </c>
      <c r="G254" s="6" t="s">
        <v>79</v>
      </c>
      <c r="H254" s="6" t="s">
        <v>12</v>
      </c>
      <c r="I254" s="8">
        <v>1.5850881296017243E-2</v>
      </c>
      <c r="J254" s="6" t="s">
        <v>7</v>
      </c>
      <c r="L254" s="6" t="s">
        <v>80</v>
      </c>
      <c r="M254" s="6" t="s">
        <v>12</v>
      </c>
      <c r="N254" s="8">
        <v>1.502296895846056E-2</v>
      </c>
      <c r="O254" s="6" t="s">
        <v>7</v>
      </c>
    </row>
    <row r="255" spans="2:15" x14ac:dyDescent="0.45">
      <c r="B255" s="3" t="s">
        <v>78</v>
      </c>
      <c r="C255" s="3" t="s">
        <v>13</v>
      </c>
      <c r="D255" s="4">
        <v>2.4505973916659981E-2</v>
      </c>
      <c r="E255" s="3" t="s">
        <v>7</v>
      </c>
      <c r="G255" s="3" t="s">
        <v>79</v>
      </c>
      <c r="H255" s="3" t="s">
        <v>13</v>
      </c>
      <c r="I255" s="5">
        <v>1.5561302035182975E-2</v>
      </c>
      <c r="J255" s="3" t="s">
        <v>7</v>
      </c>
      <c r="L255" s="3" t="s">
        <v>80</v>
      </c>
      <c r="M255" s="3" t="s">
        <v>13</v>
      </c>
      <c r="N255" s="5">
        <v>1.4576636160928006E-2</v>
      </c>
      <c r="O255" s="3" t="s">
        <v>7</v>
      </c>
    </row>
    <row r="256" spans="2:15" x14ac:dyDescent="0.45">
      <c r="B256" s="6" t="s">
        <v>78</v>
      </c>
      <c r="C256" s="6" t="s">
        <v>14</v>
      </c>
      <c r="D256" s="7">
        <v>2.8870521566271019E-2</v>
      </c>
      <c r="E256" s="6" t="s">
        <v>7</v>
      </c>
      <c r="G256" s="6" t="s">
        <v>79</v>
      </c>
      <c r="H256" s="6" t="s">
        <v>14</v>
      </c>
      <c r="I256" s="8">
        <v>1.5459683316234232E-2</v>
      </c>
      <c r="J256" s="6" t="s">
        <v>7</v>
      </c>
      <c r="L256" s="6" t="s">
        <v>80</v>
      </c>
      <c r="M256" s="6" t="s">
        <v>14</v>
      </c>
      <c r="N256" s="8">
        <v>1.4473534181375772E-2</v>
      </c>
      <c r="O256" s="6" t="s">
        <v>7</v>
      </c>
    </row>
    <row r="257" spans="2:15" x14ac:dyDescent="0.45">
      <c r="B257" s="3" t="s">
        <v>78</v>
      </c>
      <c r="C257" s="3" t="s">
        <v>15</v>
      </c>
      <c r="D257" s="4">
        <v>1.894968751162359E-2</v>
      </c>
      <c r="E257" s="3" t="s">
        <v>7</v>
      </c>
      <c r="G257" s="3" t="s">
        <v>79</v>
      </c>
      <c r="H257" s="3" t="s">
        <v>15</v>
      </c>
      <c r="I257" s="5">
        <v>1.5319823643665567E-2</v>
      </c>
      <c r="J257" s="3" t="s">
        <v>7</v>
      </c>
      <c r="L257" s="3" t="s">
        <v>80</v>
      </c>
      <c r="M257" s="3" t="s">
        <v>15</v>
      </c>
      <c r="N257" s="5">
        <v>1.427863101598816E-2</v>
      </c>
      <c r="O257" s="3" t="s">
        <v>7</v>
      </c>
    </row>
    <row r="258" spans="2:15" x14ac:dyDescent="0.45">
      <c r="B258" s="6" t="s">
        <v>78</v>
      </c>
      <c r="C258" s="6" t="s">
        <v>16</v>
      </c>
      <c r="D258" s="7">
        <v>3.1080592591209528E-3</v>
      </c>
      <c r="E258" s="6" t="s">
        <v>7</v>
      </c>
      <c r="G258" s="6" t="s">
        <v>79</v>
      </c>
      <c r="H258" s="6" t="s">
        <v>16</v>
      </c>
      <c r="I258" s="8">
        <v>1.5366794434620365E-2</v>
      </c>
      <c r="J258" s="6" t="s">
        <v>7</v>
      </c>
      <c r="L258" s="6" t="s">
        <v>80</v>
      </c>
      <c r="M258" s="6" t="s">
        <v>16</v>
      </c>
      <c r="N258" s="8">
        <v>1.4438927765442405E-2</v>
      </c>
      <c r="O258" s="6" t="s">
        <v>7</v>
      </c>
    </row>
    <row r="259" spans="2:15" x14ac:dyDescent="0.45">
      <c r="B259" s="3" t="s">
        <v>78</v>
      </c>
      <c r="C259" s="3" t="s">
        <v>17</v>
      </c>
      <c r="D259" s="4">
        <v>0</v>
      </c>
      <c r="E259" s="3" t="s">
        <v>7</v>
      </c>
      <c r="G259" s="3" t="s">
        <v>79</v>
      </c>
      <c r="H259" s="3" t="s">
        <v>17</v>
      </c>
      <c r="I259" s="5">
        <v>1.5717333146163848E-2</v>
      </c>
      <c r="J259" s="3" t="s">
        <v>7</v>
      </c>
      <c r="L259" s="3" t="s">
        <v>80</v>
      </c>
      <c r="M259" s="3" t="s">
        <v>17</v>
      </c>
      <c r="N259" s="5">
        <v>1.4660865771703373E-2</v>
      </c>
      <c r="O259" s="3" t="s">
        <v>7</v>
      </c>
    </row>
    <row r="260" spans="2:15" x14ac:dyDescent="0.45">
      <c r="B260" s="6" t="s">
        <v>78</v>
      </c>
      <c r="C260" s="6" t="s">
        <v>18</v>
      </c>
      <c r="D260" s="7">
        <v>0</v>
      </c>
      <c r="E260" s="6" t="s">
        <v>7</v>
      </c>
      <c r="G260" s="6" t="s">
        <v>79</v>
      </c>
      <c r="H260" s="6" t="s">
        <v>18</v>
      </c>
      <c r="I260" s="8">
        <v>2.3790230761853135E-2</v>
      </c>
      <c r="J260" s="6" t="s">
        <v>7</v>
      </c>
      <c r="L260" s="6" t="s">
        <v>80</v>
      </c>
      <c r="M260" s="6" t="s">
        <v>18</v>
      </c>
      <c r="N260" s="8">
        <v>2.1962651968690086E-2</v>
      </c>
      <c r="O260" s="6" t="s">
        <v>7</v>
      </c>
    </row>
    <row r="261" spans="2:15" x14ac:dyDescent="0.45">
      <c r="B261" s="3" t="s">
        <v>78</v>
      </c>
      <c r="C261" s="3" t="s">
        <v>19</v>
      </c>
      <c r="D261" s="4">
        <v>0</v>
      </c>
      <c r="E261" s="3" t="s">
        <v>7</v>
      </c>
      <c r="G261" s="3" t="s">
        <v>79</v>
      </c>
      <c r="H261" s="3" t="s">
        <v>19</v>
      </c>
      <c r="I261" s="5">
        <v>3.8614566715738707E-2</v>
      </c>
      <c r="J261" s="3" t="s">
        <v>7</v>
      </c>
      <c r="L261" s="3" t="s">
        <v>80</v>
      </c>
      <c r="M261" s="3" t="s">
        <v>19</v>
      </c>
      <c r="N261" s="5">
        <v>3.2794063069453511E-2</v>
      </c>
      <c r="O261" s="3" t="s">
        <v>7</v>
      </c>
    </row>
    <row r="262" spans="2:15" x14ac:dyDescent="0.45">
      <c r="B262" s="6" t="s">
        <v>78</v>
      </c>
      <c r="C262" s="6" t="s">
        <v>20</v>
      </c>
      <c r="D262" s="7">
        <v>4.5662469563900855E-5</v>
      </c>
      <c r="E262" s="6" t="s">
        <v>7</v>
      </c>
      <c r="G262" s="6" t="s">
        <v>79</v>
      </c>
      <c r="H262" s="6" t="s">
        <v>20</v>
      </c>
      <c r="I262" s="8">
        <v>1.519720120725768E-2</v>
      </c>
      <c r="J262" s="6" t="s">
        <v>7</v>
      </c>
      <c r="L262" s="6" t="s">
        <v>80</v>
      </c>
      <c r="M262" s="6" t="s">
        <v>20</v>
      </c>
      <c r="N262" s="8">
        <v>1.2560895001938636E-2</v>
      </c>
      <c r="O262" s="6" t="s">
        <v>7</v>
      </c>
    </row>
    <row r="263" spans="2:15" x14ac:dyDescent="0.45">
      <c r="B263" s="3" t="s">
        <v>78</v>
      </c>
      <c r="C263" s="3" t="s">
        <v>21</v>
      </c>
      <c r="D263" s="4">
        <v>6.8445750296988687E-3</v>
      </c>
      <c r="E263" s="3" t="s">
        <v>7</v>
      </c>
      <c r="G263" s="3" t="s">
        <v>79</v>
      </c>
      <c r="H263" s="3" t="s">
        <v>21</v>
      </c>
      <c r="I263" s="5">
        <v>1.5285705971862278E-2</v>
      </c>
      <c r="J263" s="3" t="s">
        <v>7</v>
      </c>
      <c r="L263" s="3" t="s">
        <v>80</v>
      </c>
      <c r="M263" s="3" t="s">
        <v>21</v>
      </c>
      <c r="N263" s="5">
        <v>1.2310886602059793E-2</v>
      </c>
      <c r="O263" s="3" t="s">
        <v>7</v>
      </c>
    </row>
    <row r="264" spans="2:15" x14ac:dyDescent="0.45">
      <c r="B264" s="6" t="s">
        <v>78</v>
      </c>
      <c r="C264" s="6" t="s">
        <v>22</v>
      </c>
      <c r="D264" s="7">
        <v>3.1347089032016669E-2</v>
      </c>
      <c r="E264" s="6" t="s">
        <v>7</v>
      </c>
      <c r="G264" s="6" t="s">
        <v>79</v>
      </c>
      <c r="H264" s="6" t="s">
        <v>22</v>
      </c>
      <c r="I264" s="8">
        <v>1.5457999688065202E-2</v>
      </c>
      <c r="J264" s="6" t="s">
        <v>7</v>
      </c>
      <c r="L264" s="6" t="s">
        <v>80</v>
      </c>
      <c r="M264" s="6" t="s">
        <v>22</v>
      </c>
      <c r="N264" s="8">
        <v>1.223460955722677E-2</v>
      </c>
      <c r="O264" s="6" t="s">
        <v>7</v>
      </c>
    </row>
    <row r="265" spans="2:15" x14ac:dyDescent="0.45">
      <c r="B265" s="3" t="s">
        <v>78</v>
      </c>
      <c r="C265" s="3" t="s">
        <v>23</v>
      </c>
      <c r="D265" s="4">
        <v>5.1497882266983881E-2</v>
      </c>
      <c r="E265" s="3" t="s">
        <v>7</v>
      </c>
      <c r="G265" s="3" t="s">
        <v>79</v>
      </c>
      <c r="H265" s="3" t="s">
        <v>23</v>
      </c>
      <c r="I265" s="5">
        <v>1.527149908441814E-2</v>
      </c>
      <c r="J265" s="3" t="s">
        <v>7</v>
      </c>
      <c r="L265" s="3" t="s">
        <v>80</v>
      </c>
      <c r="M265" s="3" t="s">
        <v>23</v>
      </c>
      <c r="N265" s="5">
        <v>1.2371119908380721E-2</v>
      </c>
      <c r="O265" s="3" t="s">
        <v>7</v>
      </c>
    </row>
    <row r="266" spans="2:15" x14ac:dyDescent="0.45">
      <c r="B266" s="6" t="s">
        <v>78</v>
      </c>
      <c r="C266" s="6" t="s">
        <v>24</v>
      </c>
      <c r="D266" s="7">
        <v>5.42213758241748E-2</v>
      </c>
      <c r="E266" s="6" t="s">
        <v>7</v>
      </c>
      <c r="G266" s="6" t="s">
        <v>79</v>
      </c>
      <c r="H266" s="6" t="s">
        <v>24</v>
      </c>
      <c r="I266" s="8">
        <v>1.4904974882915504E-2</v>
      </c>
      <c r="J266" s="6" t="s">
        <v>7</v>
      </c>
      <c r="L266" s="6" t="s">
        <v>80</v>
      </c>
      <c r="M266" s="6" t="s">
        <v>24</v>
      </c>
      <c r="N266" s="8">
        <v>1.2727337936395187E-2</v>
      </c>
      <c r="O266" s="6" t="s">
        <v>7</v>
      </c>
    </row>
    <row r="267" spans="2:15" x14ac:dyDescent="0.45">
      <c r="B267" s="3" t="s">
        <v>78</v>
      </c>
      <c r="C267" s="3" t="s">
        <v>25</v>
      </c>
      <c r="D267" s="4">
        <v>4.2091415356951274E-2</v>
      </c>
      <c r="E267" s="3" t="s">
        <v>7</v>
      </c>
      <c r="G267" s="3" t="s">
        <v>79</v>
      </c>
      <c r="H267" s="3" t="s">
        <v>25</v>
      </c>
      <c r="I267" s="5">
        <v>1.4651033417163332E-2</v>
      </c>
      <c r="J267" s="3" t="s">
        <v>7</v>
      </c>
      <c r="L267" s="3" t="s">
        <v>80</v>
      </c>
      <c r="M267" s="3" t="s">
        <v>25</v>
      </c>
      <c r="N267" s="5">
        <v>1.3247335197441623E-2</v>
      </c>
      <c r="O267" s="3" t="s">
        <v>7</v>
      </c>
    </row>
    <row r="268" spans="2:15" x14ac:dyDescent="0.45">
      <c r="B268" s="6" t="s">
        <v>78</v>
      </c>
      <c r="C268" s="6" t="s">
        <v>26</v>
      </c>
      <c r="D268" s="7">
        <v>1.8349021762076638E-2</v>
      </c>
      <c r="E268" s="6" t="s">
        <v>7</v>
      </c>
      <c r="G268" s="6" t="s">
        <v>79</v>
      </c>
      <c r="H268" s="6" t="s">
        <v>26</v>
      </c>
      <c r="I268" s="8">
        <v>1.4551465227689695E-2</v>
      </c>
      <c r="J268" s="6" t="s">
        <v>7</v>
      </c>
      <c r="L268" s="6" t="s">
        <v>80</v>
      </c>
      <c r="M268" s="6" t="s">
        <v>26</v>
      </c>
      <c r="N268" s="8">
        <v>1.3667137273003704E-2</v>
      </c>
      <c r="O268" s="6" t="s">
        <v>7</v>
      </c>
    </row>
    <row r="269" spans="2:15" x14ac:dyDescent="0.45">
      <c r="B269" s="3" t="s">
        <v>78</v>
      </c>
      <c r="C269" s="3" t="s">
        <v>27</v>
      </c>
      <c r="D269" s="4">
        <v>6.8858235331420675E-4</v>
      </c>
      <c r="E269" s="3" t="s">
        <v>7</v>
      </c>
      <c r="G269" s="3" t="s">
        <v>79</v>
      </c>
      <c r="H269" s="3" t="s">
        <v>27</v>
      </c>
      <c r="I269" s="5">
        <v>1.5030722354827207E-2</v>
      </c>
      <c r="J269" s="3" t="s">
        <v>7</v>
      </c>
      <c r="L269" s="3" t="s">
        <v>80</v>
      </c>
      <c r="M269" s="3" t="s">
        <v>27</v>
      </c>
      <c r="N269" s="5">
        <v>1.3858379653475915E-2</v>
      </c>
      <c r="O269" s="3" t="s">
        <v>7</v>
      </c>
    </row>
    <row r="270" spans="2:15" x14ac:dyDescent="0.45">
      <c r="B270" s="6" t="s">
        <v>78</v>
      </c>
      <c r="C270" s="6" t="s">
        <v>28</v>
      </c>
      <c r="D270" s="7">
        <v>0</v>
      </c>
      <c r="E270" s="6" t="s">
        <v>7</v>
      </c>
      <c r="G270" s="6" t="s">
        <v>79</v>
      </c>
      <c r="H270" s="6" t="s">
        <v>28</v>
      </c>
      <c r="I270" s="8">
        <v>2.3646967604319405E-2</v>
      </c>
      <c r="J270" s="6" t="s">
        <v>7</v>
      </c>
      <c r="L270" s="6" t="s">
        <v>80</v>
      </c>
      <c r="M270" s="6" t="s">
        <v>28</v>
      </c>
      <c r="N270" s="8">
        <v>2.0940749801464844E-2</v>
      </c>
      <c r="O270" s="6" t="s">
        <v>7</v>
      </c>
    </row>
    <row r="271" spans="2:15" x14ac:dyDescent="0.45">
      <c r="B271" s="3" t="s">
        <v>78</v>
      </c>
      <c r="C271" s="3" t="s">
        <v>29</v>
      </c>
      <c r="D271" s="4">
        <v>0</v>
      </c>
      <c r="E271" s="3" t="s">
        <v>7</v>
      </c>
      <c r="G271" s="3" t="s">
        <v>79</v>
      </c>
      <c r="H271" s="3" t="s">
        <v>29</v>
      </c>
      <c r="I271" s="5">
        <v>2.7918674561499168E-2</v>
      </c>
      <c r="J271" s="3" t="s">
        <v>7</v>
      </c>
      <c r="L271" s="3" t="s">
        <v>80</v>
      </c>
      <c r="M271" s="3" t="s">
        <v>29</v>
      </c>
      <c r="N271" s="5">
        <v>2.8305414768809795E-2</v>
      </c>
      <c r="O271" s="3" t="s">
        <v>7</v>
      </c>
    </row>
    <row r="272" spans="2:15" x14ac:dyDescent="0.45">
      <c r="B272" s="6" t="s">
        <v>78</v>
      </c>
      <c r="C272" s="6" t="s">
        <v>30</v>
      </c>
      <c r="D272" s="7">
        <v>1.5354289982551135E-3</v>
      </c>
      <c r="E272" s="6" t="s">
        <v>7</v>
      </c>
      <c r="G272" s="6" t="s">
        <v>79</v>
      </c>
      <c r="H272" s="6" t="s">
        <v>30</v>
      </c>
      <c r="I272" s="8">
        <v>1.1230087474331648E-2</v>
      </c>
      <c r="J272" s="6" t="s">
        <v>7</v>
      </c>
      <c r="L272" s="6" t="s">
        <v>80</v>
      </c>
      <c r="M272" s="6" t="s">
        <v>30</v>
      </c>
      <c r="N272" s="8">
        <v>1.0798969109185291E-2</v>
      </c>
      <c r="O272" s="6" t="s">
        <v>7</v>
      </c>
    </row>
    <row r="273" spans="2:15" x14ac:dyDescent="0.45">
      <c r="B273" s="3" t="s">
        <v>78</v>
      </c>
      <c r="C273" s="3" t="s">
        <v>31</v>
      </c>
      <c r="D273" s="4">
        <v>1.546354211881559E-2</v>
      </c>
      <c r="E273" s="3" t="s">
        <v>7</v>
      </c>
      <c r="G273" s="3" t="s">
        <v>79</v>
      </c>
      <c r="H273" s="3" t="s">
        <v>31</v>
      </c>
      <c r="I273" s="5">
        <v>1.1616522738671154E-2</v>
      </c>
      <c r="J273" s="3" t="s">
        <v>7</v>
      </c>
      <c r="L273" s="3" t="s">
        <v>80</v>
      </c>
      <c r="M273" s="3" t="s">
        <v>31</v>
      </c>
      <c r="N273" s="5">
        <v>1.0547294158742639E-2</v>
      </c>
      <c r="O273" s="3" t="s">
        <v>7</v>
      </c>
    </row>
    <row r="274" spans="2:15" x14ac:dyDescent="0.45">
      <c r="B274" s="6" t="s">
        <v>78</v>
      </c>
      <c r="C274" s="6" t="s">
        <v>32</v>
      </c>
      <c r="D274" s="7">
        <v>3.9116116991667012E-2</v>
      </c>
      <c r="E274" s="6" t="s">
        <v>7</v>
      </c>
      <c r="G274" s="6" t="s">
        <v>79</v>
      </c>
      <c r="H274" s="6" t="s">
        <v>32</v>
      </c>
      <c r="I274" s="8">
        <v>1.1748833060706903E-2</v>
      </c>
      <c r="J274" s="6" t="s">
        <v>7</v>
      </c>
      <c r="L274" s="6" t="s">
        <v>80</v>
      </c>
      <c r="M274" s="6" t="s">
        <v>32</v>
      </c>
      <c r="N274" s="8">
        <v>1.0500848918310261E-2</v>
      </c>
      <c r="O274" s="6" t="s">
        <v>7</v>
      </c>
    </row>
    <row r="275" spans="2:15" x14ac:dyDescent="0.45">
      <c r="B275" s="3" t="s">
        <v>78</v>
      </c>
      <c r="C275" s="3" t="s">
        <v>33</v>
      </c>
      <c r="D275" s="4">
        <v>5.5048305549778645E-2</v>
      </c>
      <c r="E275" s="3" t="s">
        <v>7</v>
      </c>
      <c r="G275" s="3" t="s">
        <v>79</v>
      </c>
      <c r="H275" s="3" t="s">
        <v>33</v>
      </c>
      <c r="I275" s="5">
        <v>1.1710379099234993E-2</v>
      </c>
      <c r="J275" s="3" t="s">
        <v>7</v>
      </c>
      <c r="L275" s="3" t="s">
        <v>80</v>
      </c>
      <c r="M275" s="3" t="s">
        <v>33</v>
      </c>
      <c r="N275" s="5">
        <v>1.047229667346607E-2</v>
      </c>
      <c r="O275" s="3" t="s">
        <v>7</v>
      </c>
    </row>
    <row r="276" spans="2:15" x14ac:dyDescent="0.45">
      <c r="B276" s="6" t="s">
        <v>78</v>
      </c>
      <c r="C276" s="6" t="s">
        <v>34</v>
      </c>
      <c r="D276" s="7">
        <v>5.8775815804601082E-2</v>
      </c>
      <c r="E276" s="6" t="s">
        <v>7</v>
      </c>
      <c r="G276" s="6" t="s">
        <v>79</v>
      </c>
      <c r="H276" s="6" t="s">
        <v>34</v>
      </c>
      <c r="I276" s="8">
        <v>1.1984340904745889E-2</v>
      </c>
      <c r="J276" s="6" t="s">
        <v>7</v>
      </c>
      <c r="L276" s="6" t="s">
        <v>80</v>
      </c>
      <c r="M276" s="6" t="s">
        <v>34</v>
      </c>
      <c r="N276" s="8">
        <v>1.0687673258545465E-2</v>
      </c>
      <c r="O276" s="6" t="s">
        <v>7</v>
      </c>
    </row>
    <row r="277" spans="2:15" x14ac:dyDescent="0.45">
      <c r="B277" s="3" t="s">
        <v>78</v>
      </c>
      <c r="C277" s="3" t="s">
        <v>35</v>
      </c>
      <c r="D277" s="4">
        <v>4.8979813448382821E-2</v>
      </c>
      <c r="E277" s="3" t="s">
        <v>7</v>
      </c>
      <c r="G277" s="3" t="s">
        <v>79</v>
      </c>
      <c r="H277" s="3" t="s">
        <v>35</v>
      </c>
      <c r="I277" s="5">
        <v>1.1998126342950638E-2</v>
      </c>
      <c r="J277" s="3" t="s">
        <v>7</v>
      </c>
      <c r="L277" s="3" t="s">
        <v>80</v>
      </c>
      <c r="M277" s="3" t="s">
        <v>35</v>
      </c>
      <c r="N277" s="5">
        <v>1.1142151598945995E-2</v>
      </c>
      <c r="O277" s="3" t="s">
        <v>7</v>
      </c>
    </row>
    <row r="278" spans="2:15" x14ac:dyDescent="0.45">
      <c r="B278" s="6" t="s">
        <v>78</v>
      </c>
      <c r="C278" s="6" t="s">
        <v>36</v>
      </c>
      <c r="D278" s="7">
        <v>2.6724390087921827E-2</v>
      </c>
      <c r="E278" s="6" t="s">
        <v>7</v>
      </c>
      <c r="G278" s="6" t="s">
        <v>79</v>
      </c>
      <c r="H278" s="6" t="s">
        <v>36</v>
      </c>
      <c r="I278" s="8">
        <v>1.1775512639154403E-2</v>
      </c>
      <c r="J278" s="6" t="s">
        <v>7</v>
      </c>
      <c r="L278" s="6" t="s">
        <v>80</v>
      </c>
      <c r="M278" s="6" t="s">
        <v>36</v>
      </c>
      <c r="N278" s="8">
        <v>1.1569163700584922E-2</v>
      </c>
      <c r="O278" s="6" t="s">
        <v>7</v>
      </c>
    </row>
    <row r="279" spans="2:15" x14ac:dyDescent="0.45">
      <c r="B279" s="3" t="s">
        <v>78</v>
      </c>
      <c r="C279" s="3" t="s">
        <v>37</v>
      </c>
      <c r="D279" s="4">
        <v>4.5572923362799615E-3</v>
      </c>
      <c r="E279" s="3" t="s">
        <v>7</v>
      </c>
      <c r="G279" s="3" t="s">
        <v>79</v>
      </c>
      <c r="H279" s="3" t="s">
        <v>37</v>
      </c>
      <c r="I279" s="5">
        <v>1.157606610949846E-2</v>
      </c>
      <c r="J279" s="3" t="s">
        <v>7</v>
      </c>
      <c r="L279" s="3" t="s">
        <v>80</v>
      </c>
      <c r="M279" s="3" t="s">
        <v>37</v>
      </c>
      <c r="N279" s="5">
        <v>1.15864016454921E-2</v>
      </c>
      <c r="O279" s="3" t="s">
        <v>7</v>
      </c>
    </row>
    <row r="280" spans="2:15" x14ac:dyDescent="0.45">
      <c r="B280" s="6" t="s">
        <v>78</v>
      </c>
      <c r="C280" s="6" t="s">
        <v>38</v>
      </c>
      <c r="D280" s="7">
        <v>6.4853928243434588E-5</v>
      </c>
      <c r="E280" s="6" t="s">
        <v>7</v>
      </c>
      <c r="G280" s="6" t="s">
        <v>79</v>
      </c>
      <c r="H280" s="6" t="s">
        <v>38</v>
      </c>
      <c r="I280" s="8">
        <v>1.69877265783271E-2</v>
      </c>
      <c r="J280" s="6" t="s">
        <v>7</v>
      </c>
      <c r="L280" s="6" t="s">
        <v>80</v>
      </c>
      <c r="M280" s="6" t="s">
        <v>38</v>
      </c>
      <c r="N280" s="8">
        <v>1.6961040563914485E-2</v>
      </c>
      <c r="O280" s="6" t="s">
        <v>7</v>
      </c>
    </row>
    <row r="281" spans="2:15" x14ac:dyDescent="0.45">
      <c r="B281" s="3" t="s">
        <v>78</v>
      </c>
      <c r="C281" s="3" t="s">
        <v>39</v>
      </c>
      <c r="D281" s="4">
        <v>0</v>
      </c>
      <c r="E281" s="3" t="s">
        <v>7</v>
      </c>
      <c r="G281" s="3" t="s">
        <v>79</v>
      </c>
      <c r="H281" s="3" t="s">
        <v>39</v>
      </c>
      <c r="I281" s="5">
        <v>2.1844407722432055E-2</v>
      </c>
      <c r="J281" s="3" t="s">
        <v>7</v>
      </c>
      <c r="L281" s="3" t="s">
        <v>80</v>
      </c>
      <c r="M281" s="3" t="s">
        <v>39</v>
      </c>
      <c r="N281" s="5">
        <v>2.6576302493357792E-2</v>
      </c>
      <c r="O281" s="3" t="s">
        <v>7</v>
      </c>
    </row>
    <row r="282" spans="2:15" x14ac:dyDescent="0.45">
      <c r="B282" s="6" t="s">
        <v>78</v>
      </c>
      <c r="C282" s="6" t="s">
        <v>40</v>
      </c>
      <c r="D282" s="7">
        <v>8.4896552724590235E-4</v>
      </c>
      <c r="E282" s="6" t="s">
        <v>7</v>
      </c>
      <c r="G282" s="6" t="s">
        <v>79</v>
      </c>
      <c r="H282" s="6" t="s">
        <v>40</v>
      </c>
      <c r="I282" s="8">
        <v>8.5184197027931025E-3</v>
      </c>
      <c r="J282" s="6" t="s">
        <v>7</v>
      </c>
      <c r="L282" s="6" t="s">
        <v>80</v>
      </c>
      <c r="M282" s="6" t="s">
        <v>40</v>
      </c>
      <c r="N282" s="8">
        <v>1.0860112720166843E-2</v>
      </c>
      <c r="O282" s="6" t="s">
        <v>7</v>
      </c>
    </row>
    <row r="283" spans="2:15" x14ac:dyDescent="0.45">
      <c r="B283" s="3" t="s">
        <v>78</v>
      </c>
      <c r="C283" s="3" t="s">
        <v>41</v>
      </c>
      <c r="D283" s="4">
        <v>1.2958964398092267E-2</v>
      </c>
      <c r="E283" s="3" t="s">
        <v>7</v>
      </c>
      <c r="G283" s="3" t="s">
        <v>79</v>
      </c>
      <c r="H283" s="3" t="s">
        <v>41</v>
      </c>
      <c r="I283" s="5">
        <v>8.6688239107861279E-3</v>
      </c>
      <c r="J283" s="3" t="s">
        <v>7</v>
      </c>
      <c r="L283" s="3" t="s">
        <v>80</v>
      </c>
      <c r="M283" s="3" t="s">
        <v>41</v>
      </c>
      <c r="N283" s="5">
        <v>1.1050496643322335E-2</v>
      </c>
      <c r="O283" s="3" t="s">
        <v>7</v>
      </c>
    </row>
    <row r="284" spans="2:15" x14ac:dyDescent="0.45">
      <c r="B284" s="6" t="s">
        <v>78</v>
      </c>
      <c r="C284" s="6" t="s">
        <v>42</v>
      </c>
      <c r="D284" s="7">
        <v>3.8176213950972079E-2</v>
      </c>
      <c r="E284" s="6" t="s">
        <v>7</v>
      </c>
      <c r="G284" s="6" t="s">
        <v>79</v>
      </c>
      <c r="H284" s="6" t="s">
        <v>42</v>
      </c>
      <c r="I284" s="8">
        <v>8.2535151346658404E-3</v>
      </c>
      <c r="J284" s="6" t="s">
        <v>7</v>
      </c>
      <c r="L284" s="6" t="s">
        <v>80</v>
      </c>
      <c r="M284" s="6" t="s">
        <v>42</v>
      </c>
      <c r="N284" s="8">
        <v>1.1003878460494368E-2</v>
      </c>
      <c r="O284" s="6" t="s">
        <v>7</v>
      </c>
    </row>
    <row r="285" spans="2:15" x14ac:dyDescent="0.45">
      <c r="B285" s="3" t="s">
        <v>78</v>
      </c>
      <c r="C285" s="3" t="s">
        <v>43</v>
      </c>
      <c r="D285" s="4">
        <v>5.6146018004618138E-2</v>
      </c>
      <c r="E285" s="3" t="s">
        <v>7</v>
      </c>
      <c r="G285" s="3" t="s">
        <v>79</v>
      </c>
      <c r="H285" s="3" t="s">
        <v>43</v>
      </c>
      <c r="I285" s="5">
        <v>8.0257089399548426E-3</v>
      </c>
      <c r="J285" s="3" t="s">
        <v>7</v>
      </c>
      <c r="L285" s="3" t="s">
        <v>80</v>
      </c>
      <c r="M285" s="3" t="s">
        <v>43</v>
      </c>
      <c r="N285" s="5">
        <v>1.0957652894246951E-2</v>
      </c>
      <c r="O285" s="3" t="s">
        <v>7</v>
      </c>
    </row>
    <row r="286" spans="2:15" x14ac:dyDescent="0.45">
      <c r="B286" s="6" t="s">
        <v>78</v>
      </c>
      <c r="C286" s="6" t="s">
        <v>44</v>
      </c>
      <c r="D286" s="7">
        <v>5.834373955953711E-2</v>
      </c>
      <c r="E286" s="6" t="s">
        <v>7</v>
      </c>
      <c r="G286" s="6" t="s">
        <v>79</v>
      </c>
      <c r="H286" s="6" t="s">
        <v>44</v>
      </c>
      <c r="I286" s="8">
        <v>8.2324534039631674E-3</v>
      </c>
      <c r="J286" s="6" t="s">
        <v>7</v>
      </c>
      <c r="L286" s="6" t="s">
        <v>80</v>
      </c>
      <c r="M286" s="6" t="s">
        <v>44</v>
      </c>
      <c r="N286" s="8">
        <v>1.0953368995072961E-2</v>
      </c>
      <c r="O286" s="6" t="s">
        <v>7</v>
      </c>
    </row>
    <row r="287" spans="2:15" x14ac:dyDescent="0.45">
      <c r="B287" s="3" t="s">
        <v>78</v>
      </c>
      <c r="C287" s="3" t="s">
        <v>45</v>
      </c>
      <c r="D287" s="4">
        <v>4.8552049189135818E-2</v>
      </c>
      <c r="E287" s="3" t="s">
        <v>7</v>
      </c>
      <c r="G287" s="3" t="s">
        <v>79</v>
      </c>
      <c r="H287" s="3" t="s">
        <v>45</v>
      </c>
      <c r="I287" s="5">
        <v>8.456959147294562E-3</v>
      </c>
      <c r="J287" s="3" t="s">
        <v>7</v>
      </c>
      <c r="L287" s="3" t="s">
        <v>80</v>
      </c>
      <c r="M287" s="3" t="s">
        <v>45</v>
      </c>
      <c r="N287" s="5">
        <v>1.0889676121404753E-2</v>
      </c>
      <c r="O287" s="3" t="s">
        <v>7</v>
      </c>
    </row>
    <row r="288" spans="2:15" x14ac:dyDescent="0.45">
      <c r="B288" s="6" t="s">
        <v>78</v>
      </c>
      <c r="C288" s="6" t="s">
        <v>46</v>
      </c>
      <c r="D288" s="7">
        <v>2.5516464512287423E-2</v>
      </c>
      <c r="E288" s="6" t="s">
        <v>7</v>
      </c>
      <c r="G288" s="6" t="s">
        <v>79</v>
      </c>
      <c r="H288" s="6" t="s">
        <v>46</v>
      </c>
      <c r="I288" s="8">
        <v>8.4293950421109893E-3</v>
      </c>
      <c r="J288" s="6" t="s">
        <v>7</v>
      </c>
      <c r="L288" s="6" t="s">
        <v>80</v>
      </c>
      <c r="M288" s="6" t="s">
        <v>46</v>
      </c>
      <c r="N288" s="8">
        <v>1.0798220596815743E-2</v>
      </c>
      <c r="O288" s="6" t="s">
        <v>7</v>
      </c>
    </row>
    <row r="289" spans="2:15" x14ac:dyDescent="0.45">
      <c r="B289" s="3" t="s">
        <v>78</v>
      </c>
      <c r="C289" s="3" t="s">
        <v>47</v>
      </c>
      <c r="D289" s="4">
        <v>4.0195008369804776E-3</v>
      </c>
      <c r="E289" s="3" t="s">
        <v>7</v>
      </c>
      <c r="G289" s="3" t="s">
        <v>79</v>
      </c>
      <c r="H289" s="3" t="s">
        <v>47</v>
      </c>
      <c r="I289" s="5">
        <v>8.293793082411632E-3</v>
      </c>
      <c r="J289" s="3" t="s">
        <v>7</v>
      </c>
      <c r="L289" s="3" t="s">
        <v>80</v>
      </c>
      <c r="M289" s="3" t="s">
        <v>47</v>
      </c>
      <c r="N289" s="5">
        <v>1.0757020494767261E-2</v>
      </c>
      <c r="O289" s="3" t="s">
        <v>7</v>
      </c>
    </row>
    <row r="290" spans="2:15" x14ac:dyDescent="0.45">
      <c r="B290" s="6" t="s">
        <v>78</v>
      </c>
      <c r="C290" s="6" t="s">
        <v>48</v>
      </c>
      <c r="D290" s="7">
        <v>3.5343753582323933E-5</v>
      </c>
      <c r="E290" s="6" t="s">
        <v>7</v>
      </c>
      <c r="G290" s="6" t="s">
        <v>79</v>
      </c>
      <c r="H290" s="6" t="s">
        <v>48</v>
      </c>
      <c r="I290" s="8">
        <v>1.2540776920955342E-2</v>
      </c>
      <c r="J290" s="6" t="s">
        <v>7</v>
      </c>
      <c r="L290" s="6" t="s">
        <v>80</v>
      </c>
      <c r="M290" s="6" t="s">
        <v>48</v>
      </c>
      <c r="N290" s="8">
        <v>1.5800060365117229E-2</v>
      </c>
      <c r="O290" s="6" t="s">
        <v>7</v>
      </c>
    </row>
    <row r="291" spans="2:15" x14ac:dyDescent="0.45">
      <c r="B291" s="3" t="s">
        <v>78</v>
      </c>
      <c r="C291" s="3" t="s">
        <v>49</v>
      </c>
      <c r="D291" s="4">
        <v>0</v>
      </c>
      <c r="E291" s="3" t="s">
        <v>7</v>
      </c>
      <c r="G291" s="3" t="s">
        <v>79</v>
      </c>
      <c r="H291" s="3" t="s">
        <v>49</v>
      </c>
      <c r="I291" s="5">
        <v>3.5907378689455982E-2</v>
      </c>
      <c r="J291" s="3" t="s">
        <v>7</v>
      </c>
      <c r="L291" s="3" t="s">
        <v>80</v>
      </c>
      <c r="M291" s="3" t="s">
        <v>49</v>
      </c>
      <c r="N291" s="5">
        <v>3.4939971022462359E-2</v>
      </c>
      <c r="O291" s="3" t="s">
        <v>7</v>
      </c>
    </row>
    <row r="292" spans="2:15" x14ac:dyDescent="0.45">
      <c r="B292" s="6" t="s">
        <v>78</v>
      </c>
      <c r="C292" s="6" t="s">
        <v>50</v>
      </c>
      <c r="D292" s="7">
        <v>0</v>
      </c>
      <c r="E292" s="6" t="s">
        <v>7</v>
      </c>
      <c r="G292" s="6" t="s">
        <v>79</v>
      </c>
      <c r="H292" s="6" t="s">
        <v>50</v>
      </c>
      <c r="I292" s="8">
        <v>1.4323573366565645E-2</v>
      </c>
      <c r="J292" s="6" t="s">
        <v>7</v>
      </c>
      <c r="L292" s="6" t="s">
        <v>80</v>
      </c>
      <c r="M292" s="6" t="s">
        <v>50</v>
      </c>
      <c r="N292" s="8">
        <v>1.3627588489434524E-2</v>
      </c>
      <c r="O292" s="6" t="s">
        <v>7</v>
      </c>
    </row>
    <row r="293" spans="2:15" x14ac:dyDescent="0.45">
      <c r="B293" s="3" t="s">
        <v>78</v>
      </c>
      <c r="C293" s="3" t="s">
        <v>51</v>
      </c>
      <c r="D293" s="4">
        <v>3.4892819672197226E-3</v>
      </c>
      <c r="E293" s="3" t="s">
        <v>7</v>
      </c>
      <c r="G293" s="3" t="s">
        <v>79</v>
      </c>
      <c r="H293" s="3" t="s">
        <v>51</v>
      </c>
      <c r="I293" s="5">
        <v>1.460998990761752E-2</v>
      </c>
      <c r="J293" s="3" t="s">
        <v>7</v>
      </c>
      <c r="L293" s="3" t="s">
        <v>80</v>
      </c>
      <c r="M293" s="3" t="s">
        <v>51</v>
      </c>
      <c r="N293" s="5">
        <v>1.3981416149213824E-2</v>
      </c>
      <c r="O293" s="3" t="s">
        <v>7</v>
      </c>
    </row>
    <row r="294" spans="2:15" x14ac:dyDescent="0.45">
      <c r="B294" s="6" t="s">
        <v>78</v>
      </c>
      <c r="C294" s="6" t="s">
        <v>52</v>
      </c>
      <c r="D294" s="7">
        <v>2.2837060584029258E-2</v>
      </c>
      <c r="E294" s="6" t="s">
        <v>7</v>
      </c>
      <c r="G294" s="6" t="s">
        <v>79</v>
      </c>
      <c r="H294" s="6" t="s">
        <v>52</v>
      </c>
      <c r="I294" s="8">
        <v>1.5050984564159476E-2</v>
      </c>
      <c r="J294" s="6" t="s">
        <v>7</v>
      </c>
      <c r="L294" s="6" t="s">
        <v>80</v>
      </c>
      <c r="M294" s="6" t="s">
        <v>52</v>
      </c>
      <c r="N294" s="8">
        <v>1.3986721266612653E-2</v>
      </c>
      <c r="O294" s="6" t="s">
        <v>7</v>
      </c>
    </row>
    <row r="295" spans="2:15" x14ac:dyDescent="0.45">
      <c r="B295" s="3" t="s">
        <v>78</v>
      </c>
      <c r="C295" s="3" t="s">
        <v>53</v>
      </c>
      <c r="D295" s="4">
        <v>3.8402953343536106E-2</v>
      </c>
      <c r="E295" s="3" t="s">
        <v>7</v>
      </c>
      <c r="G295" s="3" t="s">
        <v>79</v>
      </c>
      <c r="H295" s="3" t="s">
        <v>53</v>
      </c>
      <c r="I295" s="5">
        <v>1.5046345457679333E-2</v>
      </c>
      <c r="J295" s="3" t="s">
        <v>7</v>
      </c>
      <c r="L295" s="3" t="s">
        <v>80</v>
      </c>
      <c r="M295" s="3" t="s">
        <v>53</v>
      </c>
      <c r="N295" s="5">
        <v>1.3985158757686371E-2</v>
      </c>
      <c r="O295" s="3" t="s">
        <v>7</v>
      </c>
    </row>
    <row r="296" spans="2:15" x14ac:dyDescent="0.45">
      <c r="B296" s="6" t="s">
        <v>78</v>
      </c>
      <c r="C296" s="6" t="s">
        <v>54</v>
      </c>
      <c r="D296" s="7">
        <v>3.8770696865415698E-2</v>
      </c>
      <c r="E296" s="6" t="s">
        <v>7</v>
      </c>
      <c r="G296" s="6" t="s">
        <v>79</v>
      </c>
      <c r="H296" s="6" t="s">
        <v>54</v>
      </c>
      <c r="I296" s="8">
        <v>1.4900327768022912E-2</v>
      </c>
      <c r="J296" s="6" t="s">
        <v>7</v>
      </c>
      <c r="L296" s="6" t="s">
        <v>80</v>
      </c>
      <c r="M296" s="6" t="s">
        <v>54</v>
      </c>
      <c r="N296" s="8">
        <v>1.3957635266814278E-2</v>
      </c>
      <c r="O296" s="6" t="s">
        <v>7</v>
      </c>
    </row>
    <row r="297" spans="2:15" x14ac:dyDescent="0.45">
      <c r="B297" s="3" t="s">
        <v>78</v>
      </c>
      <c r="C297" s="3" t="s">
        <v>55</v>
      </c>
      <c r="D297" s="4">
        <v>2.6458673609267989E-2</v>
      </c>
      <c r="E297" s="3" t="s">
        <v>7</v>
      </c>
      <c r="G297" s="3" t="s">
        <v>79</v>
      </c>
      <c r="H297" s="3" t="s">
        <v>55</v>
      </c>
      <c r="I297" s="5">
        <v>1.4777943150837178E-2</v>
      </c>
      <c r="J297" s="3" t="s">
        <v>7</v>
      </c>
      <c r="L297" s="3" t="s">
        <v>80</v>
      </c>
      <c r="M297" s="3" t="s">
        <v>55</v>
      </c>
      <c r="N297" s="5">
        <v>1.3974755569944746E-2</v>
      </c>
      <c r="O297" s="3" t="s">
        <v>7</v>
      </c>
    </row>
    <row r="298" spans="2:15" x14ac:dyDescent="0.45">
      <c r="B298" s="6" t="s">
        <v>78</v>
      </c>
      <c r="C298" s="6" t="s">
        <v>56</v>
      </c>
      <c r="D298" s="7">
        <v>7.7489793462411647E-3</v>
      </c>
      <c r="E298" s="6" t="s">
        <v>7</v>
      </c>
      <c r="G298" s="6" t="s">
        <v>79</v>
      </c>
      <c r="H298" s="6" t="s">
        <v>56</v>
      </c>
      <c r="I298" s="8">
        <v>1.4606327822662E-2</v>
      </c>
      <c r="J298" s="6" t="s">
        <v>7</v>
      </c>
      <c r="L298" s="6" t="s">
        <v>80</v>
      </c>
      <c r="M298" s="6" t="s">
        <v>56</v>
      </c>
      <c r="N298" s="8">
        <v>1.4297378620338821E-2</v>
      </c>
      <c r="O298" s="6" t="s">
        <v>7</v>
      </c>
    </row>
    <row r="299" spans="2:15" x14ac:dyDescent="0.45">
      <c r="B299" s="3" t="s">
        <v>78</v>
      </c>
      <c r="C299" s="3" t="s">
        <v>57</v>
      </c>
      <c r="D299" s="4">
        <v>5.6282060268745778E-5</v>
      </c>
      <c r="E299" s="3" t="s">
        <v>7</v>
      </c>
      <c r="G299" s="3" t="s">
        <v>79</v>
      </c>
      <c r="H299" s="3" t="s">
        <v>57</v>
      </c>
      <c r="I299" s="5">
        <v>1.4867146421789141E-2</v>
      </c>
      <c r="J299" s="3" t="s">
        <v>7</v>
      </c>
      <c r="L299" s="3" t="s">
        <v>80</v>
      </c>
      <c r="M299" s="3" t="s">
        <v>57</v>
      </c>
      <c r="N299" s="5">
        <v>1.476207288191466E-2</v>
      </c>
      <c r="O299" s="3" t="s">
        <v>7</v>
      </c>
    </row>
    <row r="300" spans="2:15" x14ac:dyDescent="0.45">
      <c r="B300" s="6" t="s">
        <v>78</v>
      </c>
      <c r="C300" s="6" t="s">
        <v>58</v>
      </c>
      <c r="D300" s="7">
        <v>0</v>
      </c>
      <c r="E300" s="6" t="s">
        <v>7</v>
      </c>
      <c r="G300" s="6" t="s">
        <v>79</v>
      </c>
      <c r="H300" s="6" t="s">
        <v>58</v>
      </c>
      <c r="I300" s="8">
        <v>2.2654528133436696E-2</v>
      </c>
      <c r="J300" s="6" t="s">
        <v>7</v>
      </c>
      <c r="L300" s="6" t="s">
        <v>80</v>
      </c>
      <c r="M300" s="6" t="s">
        <v>58</v>
      </c>
      <c r="N300" s="8">
        <v>2.2278859329900369E-2</v>
      </c>
      <c r="O300" s="6" t="s">
        <v>7</v>
      </c>
    </row>
    <row r="301" spans="2:15" x14ac:dyDescent="0.45">
      <c r="B301" s="3" t="s">
        <v>78</v>
      </c>
      <c r="C301" s="3" t="s">
        <v>59</v>
      </c>
      <c r="D301" s="4">
        <v>0</v>
      </c>
      <c r="E301" s="3" t="s">
        <v>7</v>
      </c>
      <c r="G301" s="3" t="s">
        <v>79</v>
      </c>
      <c r="H301" s="3" t="s">
        <v>59</v>
      </c>
      <c r="I301" s="5">
        <v>4.4907108298686306E-2</v>
      </c>
      <c r="J301" s="3" t="s">
        <v>7</v>
      </c>
      <c r="L301" s="3" t="s">
        <v>80</v>
      </c>
      <c r="M301" s="3" t="s">
        <v>59</v>
      </c>
      <c r="N301" s="5">
        <v>5.145514668233233E-2</v>
      </c>
      <c r="O301" s="3" t="s">
        <v>7</v>
      </c>
    </row>
    <row r="302" spans="2:15" x14ac:dyDescent="0.45">
      <c r="B302" s="6" t="s">
        <v>78</v>
      </c>
      <c r="C302" s="6" t="s">
        <v>60</v>
      </c>
      <c r="D302" s="7">
        <v>0</v>
      </c>
      <c r="E302" s="6" t="s">
        <v>7</v>
      </c>
      <c r="G302" s="6" t="s">
        <v>79</v>
      </c>
      <c r="H302" s="6" t="s">
        <v>60</v>
      </c>
      <c r="I302" s="8">
        <v>1.7840860155650513E-2</v>
      </c>
      <c r="J302" s="6" t="s">
        <v>7</v>
      </c>
      <c r="L302" s="6" t="s">
        <v>80</v>
      </c>
      <c r="M302" s="6" t="s">
        <v>60</v>
      </c>
      <c r="N302" s="8">
        <v>2.0123267235568652E-2</v>
      </c>
      <c r="O302" s="6" t="s">
        <v>7</v>
      </c>
    </row>
    <row r="303" spans="2:15" x14ac:dyDescent="0.45">
      <c r="B303" s="3" t="s">
        <v>78</v>
      </c>
      <c r="C303" s="3" t="s">
        <v>61</v>
      </c>
      <c r="D303" s="4">
        <v>0</v>
      </c>
      <c r="E303" s="3" t="s">
        <v>7</v>
      </c>
      <c r="G303" s="3" t="s">
        <v>79</v>
      </c>
      <c r="H303" s="3" t="s">
        <v>61</v>
      </c>
      <c r="I303" s="5">
        <v>1.7961624803361186E-2</v>
      </c>
      <c r="J303" s="3" t="s">
        <v>7</v>
      </c>
      <c r="L303" s="3" t="s">
        <v>80</v>
      </c>
      <c r="M303" s="3" t="s">
        <v>61</v>
      </c>
      <c r="N303" s="5">
        <v>1.9926843276339565E-2</v>
      </c>
      <c r="O303" s="3" t="s">
        <v>7</v>
      </c>
    </row>
    <row r="304" spans="2:15" x14ac:dyDescent="0.45">
      <c r="B304" s="6" t="s">
        <v>78</v>
      </c>
      <c r="C304" s="6" t="s">
        <v>62</v>
      </c>
      <c r="D304" s="7">
        <v>8.5491633906508019E-3</v>
      </c>
      <c r="E304" s="6" t="s">
        <v>7</v>
      </c>
      <c r="G304" s="6" t="s">
        <v>79</v>
      </c>
      <c r="H304" s="6" t="s">
        <v>62</v>
      </c>
      <c r="I304" s="8">
        <v>1.7626656177768443E-2</v>
      </c>
      <c r="J304" s="6" t="s">
        <v>7</v>
      </c>
      <c r="L304" s="6" t="s">
        <v>80</v>
      </c>
      <c r="M304" s="6" t="s">
        <v>62</v>
      </c>
      <c r="N304" s="8">
        <v>1.945427803190386E-2</v>
      </c>
      <c r="O304" s="6" t="s">
        <v>7</v>
      </c>
    </row>
    <row r="305" spans="2:15" x14ac:dyDescent="0.45">
      <c r="B305" s="3" t="s">
        <v>78</v>
      </c>
      <c r="C305" s="3" t="s">
        <v>63</v>
      </c>
      <c r="D305" s="4">
        <v>2.6702723556490497E-2</v>
      </c>
      <c r="E305" s="3" t="s">
        <v>7</v>
      </c>
      <c r="G305" s="3" t="s">
        <v>79</v>
      </c>
      <c r="H305" s="3" t="s">
        <v>63</v>
      </c>
      <c r="I305" s="5">
        <v>1.7182613351165981E-2</v>
      </c>
      <c r="J305" s="3" t="s">
        <v>7</v>
      </c>
      <c r="L305" s="3" t="s">
        <v>80</v>
      </c>
      <c r="M305" s="3" t="s">
        <v>63</v>
      </c>
      <c r="N305" s="5">
        <v>1.87059756254556E-2</v>
      </c>
      <c r="O305" s="3" t="s">
        <v>7</v>
      </c>
    </row>
    <row r="306" spans="2:15" x14ac:dyDescent="0.45">
      <c r="B306" s="6" t="s">
        <v>78</v>
      </c>
      <c r="C306" s="6" t="s">
        <v>64</v>
      </c>
      <c r="D306" s="7">
        <v>2.9424757693627179E-2</v>
      </c>
      <c r="E306" s="6" t="s">
        <v>7</v>
      </c>
      <c r="G306" s="6" t="s">
        <v>79</v>
      </c>
      <c r="H306" s="6" t="s">
        <v>64</v>
      </c>
      <c r="I306" s="8">
        <v>1.7249687031917382E-2</v>
      </c>
      <c r="J306" s="6" t="s">
        <v>7</v>
      </c>
      <c r="L306" s="6" t="s">
        <v>80</v>
      </c>
      <c r="M306" s="6" t="s">
        <v>64</v>
      </c>
      <c r="N306" s="8">
        <v>1.8615252828530549E-2</v>
      </c>
      <c r="O306" s="6" t="s">
        <v>7</v>
      </c>
    </row>
    <row r="307" spans="2:15" x14ac:dyDescent="0.45">
      <c r="B307" s="3" t="s">
        <v>78</v>
      </c>
      <c r="C307" s="3" t="s">
        <v>65</v>
      </c>
      <c r="D307" s="4">
        <v>1.3368858019216143E-2</v>
      </c>
      <c r="E307" s="3" t="s">
        <v>7</v>
      </c>
      <c r="G307" s="3" t="s">
        <v>79</v>
      </c>
      <c r="H307" s="3" t="s">
        <v>65</v>
      </c>
      <c r="I307" s="5">
        <v>1.7143853252471673E-2</v>
      </c>
      <c r="J307" s="3" t="s">
        <v>7</v>
      </c>
      <c r="L307" s="3" t="s">
        <v>80</v>
      </c>
      <c r="M307" s="3" t="s">
        <v>65</v>
      </c>
      <c r="N307" s="5">
        <v>1.8757601927591627E-2</v>
      </c>
      <c r="O307" s="3" t="s">
        <v>7</v>
      </c>
    </row>
    <row r="308" spans="2:15" x14ac:dyDescent="0.45">
      <c r="B308" s="6" t="s">
        <v>78</v>
      </c>
      <c r="C308" s="6" t="s">
        <v>66</v>
      </c>
      <c r="D308" s="7">
        <v>4.0996581659944546E-5</v>
      </c>
      <c r="E308" s="6" t="s">
        <v>7</v>
      </c>
      <c r="G308" s="6" t="s">
        <v>79</v>
      </c>
      <c r="H308" s="6" t="s">
        <v>66</v>
      </c>
      <c r="I308" s="8">
        <v>1.7392611279581482E-2</v>
      </c>
      <c r="J308" s="6" t="s">
        <v>7</v>
      </c>
      <c r="L308" s="6" t="s">
        <v>80</v>
      </c>
      <c r="M308" s="6" t="s">
        <v>66</v>
      </c>
      <c r="N308" s="8">
        <v>1.9112130058513827E-2</v>
      </c>
      <c r="O308" s="6" t="s">
        <v>7</v>
      </c>
    </row>
    <row r="309" spans="2:15" x14ac:dyDescent="0.45">
      <c r="B309" s="3" t="s">
        <v>78</v>
      </c>
      <c r="C309" s="3" t="s">
        <v>67</v>
      </c>
      <c r="D309" s="4">
        <v>0</v>
      </c>
      <c r="E309" s="3" t="s">
        <v>7</v>
      </c>
      <c r="G309" s="3" t="s">
        <v>79</v>
      </c>
      <c r="H309" s="3" t="s">
        <v>67</v>
      </c>
      <c r="I309" s="5">
        <v>1.7952190003439773E-2</v>
      </c>
      <c r="J309" s="3" t="s">
        <v>7</v>
      </c>
      <c r="L309" s="3" t="s">
        <v>80</v>
      </c>
      <c r="M309" s="3" t="s">
        <v>67</v>
      </c>
      <c r="N309" s="5">
        <v>1.9726826190542349E-2</v>
      </c>
      <c r="O309" s="3" t="s">
        <v>7</v>
      </c>
    </row>
    <row r="310" spans="2:15" x14ac:dyDescent="0.45">
      <c r="B310" s="6" t="s">
        <v>78</v>
      </c>
      <c r="C310" s="6" t="s">
        <v>68</v>
      </c>
      <c r="D310" s="7">
        <v>0</v>
      </c>
      <c r="E310" s="6" t="s">
        <v>7</v>
      </c>
      <c r="G310" s="6" t="s">
        <v>79</v>
      </c>
      <c r="H310" s="6" t="s">
        <v>68</v>
      </c>
      <c r="I310" s="8">
        <v>2.7124918770437635E-2</v>
      </c>
      <c r="J310" s="6" t="s">
        <v>7</v>
      </c>
      <c r="L310" s="6" t="s">
        <v>80</v>
      </c>
      <c r="M310" s="6" t="s">
        <v>68</v>
      </c>
      <c r="N310" s="8">
        <v>3.0177022783520933E-2</v>
      </c>
      <c r="O310" s="6" t="s">
        <v>7</v>
      </c>
    </row>
    <row r="311" spans="2:15" x14ac:dyDescent="0.45">
      <c r="B311" s="3" t="s">
        <v>81</v>
      </c>
      <c r="C311" s="3" t="s">
        <v>6</v>
      </c>
      <c r="D311" s="4">
        <v>0</v>
      </c>
      <c r="E311" s="3" t="s">
        <v>7</v>
      </c>
      <c r="G311" s="3" t="s">
        <v>82</v>
      </c>
      <c r="H311" s="3" t="s">
        <v>6</v>
      </c>
      <c r="I311" s="5">
        <v>3.6962977592485215E-2</v>
      </c>
      <c r="J311" s="3" t="s">
        <v>7</v>
      </c>
      <c r="L311" s="3" t="s">
        <v>83</v>
      </c>
      <c r="M311" s="3" t="s">
        <v>6</v>
      </c>
      <c r="N311" s="5">
        <v>3.6326554829184794E-2</v>
      </c>
      <c r="O311" s="3" t="s">
        <v>7</v>
      </c>
    </row>
    <row r="312" spans="2:15" x14ac:dyDescent="0.45">
      <c r="B312" s="6" t="s">
        <v>81</v>
      </c>
      <c r="C312" s="6" t="s">
        <v>10</v>
      </c>
      <c r="D312" s="7">
        <v>0</v>
      </c>
      <c r="E312" s="6" t="s">
        <v>7</v>
      </c>
      <c r="G312" s="6" t="s">
        <v>82</v>
      </c>
      <c r="H312" s="6" t="s">
        <v>10</v>
      </c>
      <c r="I312" s="8">
        <v>1.4659985242509072E-2</v>
      </c>
      <c r="J312" s="6" t="s">
        <v>7</v>
      </c>
      <c r="L312" s="6" t="s">
        <v>83</v>
      </c>
      <c r="M312" s="6" t="s">
        <v>10</v>
      </c>
      <c r="N312" s="8">
        <v>1.4582844659251666E-2</v>
      </c>
      <c r="O312" s="6" t="s">
        <v>7</v>
      </c>
    </row>
    <row r="313" spans="2:15" x14ac:dyDescent="0.45">
      <c r="B313" s="3" t="s">
        <v>81</v>
      </c>
      <c r="C313" s="3" t="s">
        <v>11</v>
      </c>
      <c r="D313" s="4">
        <v>1.5246424226697137E-4</v>
      </c>
      <c r="E313" s="3" t="s">
        <v>7</v>
      </c>
      <c r="G313" s="3" t="s">
        <v>82</v>
      </c>
      <c r="H313" s="3" t="s">
        <v>11</v>
      </c>
      <c r="I313" s="5">
        <v>1.4975467679368516E-2</v>
      </c>
      <c r="J313" s="3" t="s">
        <v>7</v>
      </c>
      <c r="L313" s="3" t="s">
        <v>83</v>
      </c>
      <c r="M313" s="3" t="s">
        <v>11</v>
      </c>
      <c r="N313" s="5">
        <v>1.514548604370651E-2</v>
      </c>
      <c r="O313" s="3" t="s">
        <v>7</v>
      </c>
    </row>
    <row r="314" spans="2:15" x14ac:dyDescent="0.45">
      <c r="B314" s="6" t="s">
        <v>81</v>
      </c>
      <c r="C314" s="6" t="s">
        <v>12</v>
      </c>
      <c r="D314" s="7">
        <v>1.020562532126169E-2</v>
      </c>
      <c r="E314" s="6" t="s">
        <v>7</v>
      </c>
      <c r="G314" s="6" t="s">
        <v>82</v>
      </c>
      <c r="H314" s="6" t="s">
        <v>12</v>
      </c>
      <c r="I314" s="8">
        <v>1.4842457822044483E-2</v>
      </c>
      <c r="J314" s="6" t="s">
        <v>7</v>
      </c>
      <c r="L314" s="6" t="s">
        <v>83</v>
      </c>
      <c r="M314" s="6" t="s">
        <v>12</v>
      </c>
      <c r="N314" s="8">
        <v>1.569965836987311E-2</v>
      </c>
      <c r="O314" s="6" t="s">
        <v>7</v>
      </c>
    </row>
    <row r="315" spans="2:15" x14ac:dyDescent="0.45">
      <c r="B315" s="3" t="s">
        <v>81</v>
      </c>
      <c r="C315" s="3" t="s">
        <v>13</v>
      </c>
      <c r="D315" s="4">
        <v>2.8181232602386141E-2</v>
      </c>
      <c r="E315" s="3" t="s">
        <v>7</v>
      </c>
      <c r="G315" s="3" t="s">
        <v>82</v>
      </c>
      <c r="H315" s="3" t="s">
        <v>13</v>
      </c>
      <c r="I315" s="5">
        <v>1.474853027971758E-2</v>
      </c>
      <c r="J315" s="3" t="s">
        <v>7</v>
      </c>
      <c r="L315" s="3" t="s">
        <v>83</v>
      </c>
      <c r="M315" s="3" t="s">
        <v>13</v>
      </c>
      <c r="N315" s="5">
        <v>1.5470019902090211E-2</v>
      </c>
      <c r="O315" s="3" t="s">
        <v>7</v>
      </c>
    </row>
    <row r="316" spans="2:15" x14ac:dyDescent="0.45">
      <c r="B316" s="6" t="s">
        <v>81</v>
      </c>
      <c r="C316" s="6" t="s">
        <v>14</v>
      </c>
      <c r="D316" s="7">
        <v>3.1664997420415952E-2</v>
      </c>
      <c r="E316" s="6" t="s">
        <v>7</v>
      </c>
      <c r="G316" s="6" t="s">
        <v>82</v>
      </c>
      <c r="H316" s="6" t="s">
        <v>14</v>
      </c>
      <c r="I316" s="8">
        <v>1.4342697894248666E-2</v>
      </c>
      <c r="J316" s="6" t="s">
        <v>7</v>
      </c>
      <c r="L316" s="6" t="s">
        <v>83</v>
      </c>
      <c r="M316" s="6" t="s">
        <v>14</v>
      </c>
      <c r="N316" s="8">
        <v>1.4791247280764813E-2</v>
      </c>
      <c r="O316" s="6" t="s">
        <v>7</v>
      </c>
    </row>
    <row r="317" spans="2:15" x14ac:dyDescent="0.45">
      <c r="B317" s="3" t="s">
        <v>81</v>
      </c>
      <c r="C317" s="3" t="s">
        <v>15</v>
      </c>
      <c r="D317" s="4">
        <v>1.9752552637298231E-2</v>
      </c>
      <c r="E317" s="3" t="s">
        <v>7</v>
      </c>
      <c r="G317" s="3" t="s">
        <v>82</v>
      </c>
      <c r="H317" s="3" t="s">
        <v>15</v>
      </c>
      <c r="I317" s="5">
        <v>1.41951667978738E-2</v>
      </c>
      <c r="J317" s="3" t="s">
        <v>7</v>
      </c>
      <c r="L317" s="3" t="s">
        <v>83</v>
      </c>
      <c r="M317" s="3" t="s">
        <v>15</v>
      </c>
      <c r="N317" s="5">
        <v>1.4504958201786516E-2</v>
      </c>
      <c r="O317" s="3" t="s">
        <v>7</v>
      </c>
    </row>
    <row r="318" spans="2:15" x14ac:dyDescent="0.45">
      <c r="B318" s="6" t="s">
        <v>81</v>
      </c>
      <c r="C318" s="6" t="s">
        <v>16</v>
      </c>
      <c r="D318" s="7">
        <v>3.0686364445142913E-3</v>
      </c>
      <c r="E318" s="6" t="s">
        <v>7</v>
      </c>
      <c r="G318" s="6" t="s">
        <v>82</v>
      </c>
      <c r="H318" s="6" t="s">
        <v>16</v>
      </c>
      <c r="I318" s="8">
        <v>1.446146466596911E-2</v>
      </c>
      <c r="J318" s="6" t="s">
        <v>7</v>
      </c>
      <c r="L318" s="6" t="s">
        <v>83</v>
      </c>
      <c r="M318" s="6" t="s">
        <v>16</v>
      </c>
      <c r="N318" s="8">
        <v>1.4629095341841409E-2</v>
      </c>
      <c r="O318" s="6" t="s">
        <v>7</v>
      </c>
    </row>
    <row r="319" spans="2:15" x14ac:dyDescent="0.45">
      <c r="B319" s="3" t="s">
        <v>81</v>
      </c>
      <c r="C319" s="3" t="s">
        <v>17</v>
      </c>
      <c r="D319" s="4">
        <v>0</v>
      </c>
      <c r="E319" s="3" t="s">
        <v>7</v>
      </c>
      <c r="G319" s="3" t="s">
        <v>82</v>
      </c>
      <c r="H319" s="3" t="s">
        <v>17</v>
      </c>
      <c r="I319" s="5">
        <v>1.5117631803629183E-2</v>
      </c>
      <c r="J319" s="3" t="s">
        <v>7</v>
      </c>
      <c r="L319" s="3" t="s">
        <v>83</v>
      </c>
      <c r="M319" s="3" t="s">
        <v>17</v>
      </c>
      <c r="N319" s="5">
        <v>1.5127068830908971E-2</v>
      </c>
      <c r="O319" s="3" t="s">
        <v>7</v>
      </c>
    </row>
    <row r="320" spans="2:15" x14ac:dyDescent="0.45">
      <c r="B320" s="6" t="s">
        <v>81</v>
      </c>
      <c r="C320" s="6" t="s">
        <v>18</v>
      </c>
      <c r="D320" s="7">
        <v>0</v>
      </c>
      <c r="E320" s="6" t="s">
        <v>7</v>
      </c>
      <c r="G320" s="6" t="s">
        <v>82</v>
      </c>
      <c r="H320" s="6" t="s">
        <v>18</v>
      </c>
      <c r="I320" s="8">
        <v>2.2091108228029118E-2</v>
      </c>
      <c r="J320" s="6" t="s">
        <v>7</v>
      </c>
      <c r="L320" s="6" t="s">
        <v>83</v>
      </c>
      <c r="M320" s="6" t="s">
        <v>18</v>
      </c>
      <c r="N320" s="8">
        <v>2.2427657770881515E-2</v>
      </c>
      <c r="O320" s="6" t="s">
        <v>7</v>
      </c>
    </row>
    <row r="321" spans="2:15" x14ac:dyDescent="0.45">
      <c r="B321" s="3" t="s">
        <v>81</v>
      </c>
      <c r="C321" s="3" t="s">
        <v>19</v>
      </c>
      <c r="D321" s="4">
        <v>0</v>
      </c>
      <c r="E321" s="3" t="s">
        <v>7</v>
      </c>
      <c r="G321" s="3" t="s">
        <v>82</v>
      </c>
      <c r="H321" s="3" t="s">
        <v>19</v>
      </c>
      <c r="I321" s="5">
        <v>3.6940830365919997E-2</v>
      </c>
      <c r="J321" s="3" t="s">
        <v>7</v>
      </c>
      <c r="L321" s="3" t="s">
        <v>83</v>
      </c>
      <c r="M321" s="3" t="s">
        <v>19</v>
      </c>
      <c r="N321" s="5">
        <v>3.2297589836057329E-2</v>
      </c>
      <c r="O321" s="3" t="s">
        <v>7</v>
      </c>
    </row>
    <row r="322" spans="2:15" x14ac:dyDescent="0.45">
      <c r="B322" s="6" t="s">
        <v>81</v>
      </c>
      <c r="C322" s="6" t="s">
        <v>20</v>
      </c>
      <c r="D322" s="7">
        <v>6.6047656856592826E-5</v>
      </c>
      <c r="E322" s="6" t="s">
        <v>7</v>
      </c>
      <c r="G322" s="6" t="s">
        <v>82</v>
      </c>
      <c r="H322" s="6" t="s">
        <v>20</v>
      </c>
      <c r="I322" s="8">
        <v>1.4955225609646504E-2</v>
      </c>
      <c r="J322" s="6" t="s">
        <v>7</v>
      </c>
      <c r="L322" s="6" t="s">
        <v>83</v>
      </c>
      <c r="M322" s="6" t="s">
        <v>20</v>
      </c>
      <c r="N322" s="8">
        <v>1.2575485624325467E-2</v>
      </c>
      <c r="O322" s="6" t="s">
        <v>7</v>
      </c>
    </row>
    <row r="323" spans="2:15" x14ac:dyDescent="0.45">
      <c r="B323" s="3" t="s">
        <v>81</v>
      </c>
      <c r="C323" s="3" t="s">
        <v>21</v>
      </c>
      <c r="D323" s="4">
        <v>8.0749614861653479E-3</v>
      </c>
      <c r="E323" s="3" t="s">
        <v>7</v>
      </c>
      <c r="G323" s="3" t="s">
        <v>82</v>
      </c>
      <c r="H323" s="3" t="s">
        <v>21</v>
      </c>
      <c r="I323" s="5">
        <v>1.5140808334717046E-2</v>
      </c>
      <c r="J323" s="3" t="s">
        <v>7</v>
      </c>
      <c r="L323" s="3" t="s">
        <v>83</v>
      </c>
      <c r="M323" s="3" t="s">
        <v>21</v>
      </c>
      <c r="N323" s="5">
        <v>1.2298076714329873E-2</v>
      </c>
      <c r="O323" s="3" t="s">
        <v>7</v>
      </c>
    </row>
    <row r="324" spans="2:15" x14ac:dyDescent="0.45">
      <c r="B324" s="6" t="s">
        <v>81</v>
      </c>
      <c r="C324" s="6" t="s">
        <v>22</v>
      </c>
      <c r="D324" s="7">
        <v>3.3988758482079898E-2</v>
      </c>
      <c r="E324" s="6" t="s">
        <v>7</v>
      </c>
      <c r="G324" s="6" t="s">
        <v>82</v>
      </c>
      <c r="H324" s="6" t="s">
        <v>22</v>
      </c>
      <c r="I324" s="8">
        <v>1.5394487735711884E-2</v>
      </c>
      <c r="J324" s="6" t="s">
        <v>7</v>
      </c>
      <c r="L324" s="6" t="s">
        <v>83</v>
      </c>
      <c r="M324" s="6" t="s">
        <v>22</v>
      </c>
      <c r="N324" s="8">
        <v>1.2118998305373252E-2</v>
      </c>
      <c r="O324" s="6" t="s">
        <v>7</v>
      </c>
    </row>
    <row r="325" spans="2:15" x14ac:dyDescent="0.45">
      <c r="B325" s="3" t="s">
        <v>81</v>
      </c>
      <c r="C325" s="3" t="s">
        <v>23</v>
      </c>
      <c r="D325" s="4">
        <v>5.1392034178289497E-2</v>
      </c>
      <c r="E325" s="3" t="s">
        <v>7</v>
      </c>
      <c r="G325" s="3" t="s">
        <v>82</v>
      </c>
      <c r="H325" s="3" t="s">
        <v>23</v>
      </c>
      <c r="I325" s="5">
        <v>1.4876618693977809E-2</v>
      </c>
      <c r="J325" s="3" t="s">
        <v>7</v>
      </c>
      <c r="L325" s="3" t="s">
        <v>83</v>
      </c>
      <c r="M325" s="3" t="s">
        <v>23</v>
      </c>
      <c r="N325" s="5">
        <v>1.2217156635663994E-2</v>
      </c>
      <c r="O325" s="3" t="s">
        <v>7</v>
      </c>
    </row>
    <row r="326" spans="2:15" x14ac:dyDescent="0.45">
      <c r="B326" s="6" t="s">
        <v>81</v>
      </c>
      <c r="C326" s="6" t="s">
        <v>24</v>
      </c>
      <c r="D326" s="7">
        <v>5.4872662779426262E-2</v>
      </c>
      <c r="E326" s="6" t="s">
        <v>7</v>
      </c>
      <c r="G326" s="6" t="s">
        <v>82</v>
      </c>
      <c r="H326" s="6" t="s">
        <v>24</v>
      </c>
      <c r="I326" s="8">
        <v>1.4521562767129841E-2</v>
      </c>
      <c r="J326" s="6" t="s">
        <v>7</v>
      </c>
      <c r="L326" s="6" t="s">
        <v>83</v>
      </c>
      <c r="M326" s="6" t="s">
        <v>24</v>
      </c>
      <c r="N326" s="8">
        <v>1.2764553444712791E-2</v>
      </c>
      <c r="O326" s="6" t="s">
        <v>7</v>
      </c>
    </row>
    <row r="327" spans="2:15" x14ac:dyDescent="0.45">
      <c r="B327" s="3" t="s">
        <v>81</v>
      </c>
      <c r="C327" s="3" t="s">
        <v>25</v>
      </c>
      <c r="D327" s="4">
        <v>4.2477358261668187E-2</v>
      </c>
      <c r="E327" s="3" t="s">
        <v>7</v>
      </c>
      <c r="G327" s="3" t="s">
        <v>82</v>
      </c>
      <c r="H327" s="3" t="s">
        <v>25</v>
      </c>
      <c r="I327" s="5">
        <v>1.4311400930694841E-2</v>
      </c>
      <c r="J327" s="3" t="s">
        <v>7</v>
      </c>
      <c r="L327" s="3" t="s">
        <v>83</v>
      </c>
      <c r="M327" s="3" t="s">
        <v>25</v>
      </c>
      <c r="N327" s="5">
        <v>1.3437574896295067E-2</v>
      </c>
      <c r="O327" s="3" t="s">
        <v>7</v>
      </c>
    </row>
    <row r="328" spans="2:15" x14ac:dyDescent="0.45">
      <c r="B328" s="6" t="s">
        <v>81</v>
      </c>
      <c r="C328" s="6" t="s">
        <v>26</v>
      </c>
      <c r="D328" s="7">
        <v>1.7896242299033246E-2</v>
      </c>
      <c r="E328" s="6" t="s">
        <v>7</v>
      </c>
      <c r="G328" s="6" t="s">
        <v>82</v>
      </c>
      <c r="H328" s="6" t="s">
        <v>26</v>
      </c>
      <c r="I328" s="8">
        <v>1.3904002701245411E-2</v>
      </c>
      <c r="J328" s="6" t="s">
        <v>7</v>
      </c>
      <c r="L328" s="6" t="s">
        <v>83</v>
      </c>
      <c r="M328" s="6" t="s">
        <v>26</v>
      </c>
      <c r="N328" s="8">
        <v>1.394808092240748E-2</v>
      </c>
      <c r="O328" s="6" t="s">
        <v>7</v>
      </c>
    </row>
    <row r="329" spans="2:15" x14ac:dyDescent="0.45">
      <c r="B329" s="3" t="s">
        <v>81</v>
      </c>
      <c r="C329" s="3" t="s">
        <v>27</v>
      </c>
      <c r="D329" s="4">
        <v>4.7306658164143815E-4</v>
      </c>
      <c r="E329" s="3" t="s">
        <v>7</v>
      </c>
      <c r="G329" s="3" t="s">
        <v>82</v>
      </c>
      <c r="H329" s="3" t="s">
        <v>27</v>
      </c>
      <c r="I329" s="5">
        <v>1.4252582122989299E-2</v>
      </c>
      <c r="J329" s="3" t="s">
        <v>7</v>
      </c>
      <c r="L329" s="3" t="s">
        <v>83</v>
      </c>
      <c r="M329" s="3" t="s">
        <v>27</v>
      </c>
      <c r="N329" s="5">
        <v>1.4203910023423163E-2</v>
      </c>
      <c r="O329" s="3" t="s">
        <v>7</v>
      </c>
    </row>
    <row r="330" spans="2:15" x14ac:dyDescent="0.45">
      <c r="B330" s="6" t="s">
        <v>81</v>
      </c>
      <c r="C330" s="6" t="s">
        <v>28</v>
      </c>
      <c r="D330" s="7">
        <v>0</v>
      </c>
      <c r="E330" s="6" t="s">
        <v>7</v>
      </c>
      <c r="G330" s="6" t="s">
        <v>82</v>
      </c>
      <c r="H330" s="6" t="s">
        <v>28</v>
      </c>
      <c r="I330" s="8">
        <v>2.2321382423775758E-2</v>
      </c>
      <c r="J330" s="6" t="s">
        <v>7</v>
      </c>
      <c r="L330" s="6" t="s">
        <v>83</v>
      </c>
      <c r="M330" s="6" t="s">
        <v>28</v>
      </c>
      <c r="N330" s="8">
        <v>2.0661892151809105E-2</v>
      </c>
      <c r="O330" s="6" t="s">
        <v>7</v>
      </c>
    </row>
    <row r="331" spans="2:15" x14ac:dyDescent="0.45">
      <c r="B331" s="3" t="s">
        <v>81</v>
      </c>
      <c r="C331" s="3" t="s">
        <v>29</v>
      </c>
      <c r="D331" s="4">
        <v>0</v>
      </c>
      <c r="E331" s="3" t="s">
        <v>7</v>
      </c>
      <c r="G331" s="3" t="s">
        <v>82</v>
      </c>
      <c r="H331" s="3" t="s">
        <v>29</v>
      </c>
      <c r="I331" s="5">
        <v>2.8347067140057108E-2</v>
      </c>
      <c r="J331" s="3" t="s">
        <v>7</v>
      </c>
      <c r="L331" s="3" t="s">
        <v>83</v>
      </c>
      <c r="M331" s="3" t="s">
        <v>29</v>
      </c>
      <c r="N331" s="5">
        <v>2.8578194439251577E-2</v>
      </c>
      <c r="O331" s="3" t="s">
        <v>7</v>
      </c>
    </row>
    <row r="332" spans="2:15" x14ac:dyDescent="0.45">
      <c r="B332" s="6" t="s">
        <v>81</v>
      </c>
      <c r="C332" s="6" t="s">
        <v>30</v>
      </c>
      <c r="D332" s="7">
        <v>1.8573067815738423E-3</v>
      </c>
      <c r="E332" s="6" t="s">
        <v>7</v>
      </c>
      <c r="G332" s="6" t="s">
        <v>82</v>
      </c>
      <c r="H332" s="6" t="s">
        <v>30</v>
      </c>
      <c r="I332" s="8">
        <v>1.1068958561700846E-2</v>
      </c>
      <c r="J332" s="6" t="s">
        <v>7</v>
      </c>
      <c r="L332" s="6" t="s">
        <v>83</v>
      </c>
      <c r="M332" s="6" t="s">
        <v>30</v>
      </c>
      <c r="N332" s="8">
        <v>1.1163439016614039E-2</v>
      </c>
      <c r="O332" s="6" t="s">
        <v>7</v>
      </c>
    </row>
    <row r="333" spans="2:15" x14ac:dyDescent="0.45">
      <c r="B333" s="3" t="s">
        <v>81</v>
      </c>
      <c r="C333" s="3" t="s">
        <v>31</v>
      </c>
      <c r="D333" s="4">
        <v>1.7201979347706526E-2</v>
      </c>
      <c r="E333" s="3" t="s">
        <v>7</v>
      </c>
      <c r="G333" s="3" t="s">
        <v>82</v>
      </c>
      <c r="H333" s="3" t="s">
        <v>31</v>
      </c>
      <c r="I333" s="5">
        <v>1.129680572637798E-2</v>
      </c>
      <c r="J333" s="3" t="s">
        <v>7</v>
      </c>
      <c r="L333" s="3" t="s">
        <v>83</v>
      </c>
      <c r="M333" s="3" t="s">
        <v>31</v>
      </c>
      <c r="N333" s="5">
        <v>1.1041959826543643E-2</v>
      </c>
      <c r="O333" s="3" t="s">
        <v>7</v>
      </c>
    </row>
    <row r="334" spans="2:15" x14ac:dyDescent="0.45">
      <c r="B334" s="6" t="s">
        <v>81</v>
      </c>
      <c r="C334" s="6" t="s">
        <v>32</v>
      </c>
      <c r="D334" s="7">
        <v>4.0860942928512049E-2</v>
      </c>
      <c r="E334" s="6" t="s">
        <v>7</v>
      </c>
      <c r="G334" s="6" t="s">
        <v>82</v>
      </c>
      <c r="H334" s="6" t="s">
        <v>32</v>
      </c>
      <c r="I334" s="8">
        <v>1.163186998655477E-2</v>
      </c>
      <c r="J334" s="6" t="s">
        <v>7</v>
      </c>
      <c r="L334" s="6" t="s">
        <v>83</v>
      </c>
      <c r="M334" s="6" t="s">
        <v>32</v>
      </c>
      <c r="N334" s="8">
        <v>1.1165878811342868E-2</v>
      </c>
      <c r="O334" s="6" t="s">
        <v>7</v>
      </c>
    </row>
    <row r="335" spans="2:15" x14ac:dyDescent="0.45">
      <c r="B335" s="3" t="s">
        <v>81</v>
      </c>
      <c r="C335" s="3" t="s">
        <v>33</v>
      </c>
      <c r="D335" s="4">
        <v>5.5056089128210306E-2</v>
      </c>
      <c r="E335" s="3" t="s">
        <v>7</v>
      </c>
      <c r="G335" s="3" t="s">
        <v>82</v>
      </c>
      <c r="H335" s="3" t="s">
        <v>33</v>
      </c>
      <c r="I335" s="5">
        <v>1.2095140080985767E-2</v>
      </c>
      <c r="J335" s="3" t="s">
        <v>7</v>
      </c>
      <c r="L335" s="3" t="s">
        <v>83</v>
      </c>
      <c r="M335" s="3" t="s">
        <v>33</v>
      </c>
      <c r="N335" s="5">
        <v>1.1312788397316297E-2</v>
      </c>
      <c r="O335" s="3" t="s">
        <v>7</v>
      </c>
    </row>
    <row r="336" spans="2:15" x14ac:dyDescent="0.45">
      <c r="B336" s="6" t="s">
        <v>81</v>
      </c>
      <c r="C336" s="6" t="s">
        <v>34</v>
      </c>
      <c r="D336" s="7">
        <v>5.6255359668892536E-2</v>
      </c>
      <c r="E336" s="6" t="s">
        <v>7</v>
      </c>
      <c r="G336" s="6" t="s">
        <v>82</v>
      </c>
      <c r="H336" s="6" t="s">
        <v>34</v>
      </c>
      <c r="I336" s="8">
        <v>1.2544802290598674E-2</v>
      </c>
      <c r="J336" s="6" t="s">
        <v>7</v>
      </c>
      <c r="L336" s="6" t="s">
        <v>83</v>
      </c>
      <c r="M336" s="6" t="s">
        <v>34</v>
      </c>
      <c r="N336" s="8">
        <v>1.13369656273461E-2</v>
      </c>
      <c r="O336" s="6" t="s">
        <v>7</v>
      </c>
    </row>
    <row r="337" spans="2:15" x14ac:dyDescent="0.45">
      <c r="B337" s="3" t="s">
        <v>81</v>
      </c>
      <c r="C337" s="3" t="s">
        <v>35</v>
      </c>
      <c r="D337" s="4">
        <v>4.6032746982219513E-2</v>
      </c>
      <c r="E337" s="3" t="s">
        <v>7</v>
      </c>
      <c r="G337" s="3" t="s">
        <v>82</v>
      </c>
      <c r="H337" s="3" t="s">
        <v>35</v>
      </c>
      <c r="I337" s="5">
        <v>1.2538684646654377E-2</v>
      </c>
      <c r="J337" s="3" t="s">
        <v>7</v>
      </c>
      <c r="L337" s="3" t="s">
        <v>83</v>
      </c>
      <c r="M337" s="3" t="s">
        <v>35</v>
      </c>
      <c r="N337" s="5">
        <v>1.1343778415250944E-2</v>
      </c>
      <c r="O337" s="3" t="s">
        <v>7</v>
      </c>
    </row>
    <row r="338" spans="2:15" x14ac:dyDescent="0.45">
      <c r="B338" s="6" t="s">
        <v>81</v>
      </c>
      <c r="C338" s="6" t="s">
        <v>36</v>
      </c>
      <c r="D338" s="7">
        <v>2.4796049538731924E-2</v>
      </c>
      <c r="E338" s="6" t="s">
        <v>7</v>
      </c>
      <c r="G338" s="6" t="s">
        <v>82</v>
      </c>
      <c r="H338" s="6" t="s">
        <v>36</v>
      </c>
      <c r="I338" s="8">
        <v>1.2138637048329714E-2</v>
      </c>
      <c r="J338" s="6" t="s">
        <v>7</v>
      </c>
      <c r="L338" s="6" t="s">
        <v>83</v>
      </c>
      <c r="M338" s="6" t="s">
        <v>36</v>
      </c>
      <c r="N338" s="8">
        <v>1.1385984779834935E-2</v>
      </c>
      <c r="O338" s="6" t="s">
        <v>7</v>
      </c>
    </row>
    <row r="339" spans="2:15" x14ac:dyDescent="0.45">
      <c r="B339" s="3" t="s">
        <v>81</v>
      </c>
      <c r="C339" s="3" t="s">
        <v>37</v>
      </c>
      <c r="D339" s="4">
        <v>3.9820856273063429E-3</v>
      </c>
      <c r="E339" s="3" t="s">
        <v>7</v>
      </c>
      <c r="G339" s="3" t="s">
        <v>82</v>
      </c>
      <c r="H339" s="3" t="s">
        <v>37</v>
      </c>
      <c r="I339" s="5">
        <v>1.1964737744157312E-2</v>
      </c>
      <c r="J339" s="3" t="s">
        <v>7</v>
      </c>
      <c r="L339" s="3" t="s">
        <v>83</v>
      </c>
      <c r="M339" s="3" t="s">
        <v>37</v>
      </c>
      <c r="N339" s="5">
        <v>1.147214824795015E-2</v>
      </c>
      <c r="O339" s="3" t="s">
        <v>7</v>
      </c>
    </row>
    <row r="340" spans="2:15" x14ac:dyDescent="0.45">
      <c r="B340" s="6" t="s">
        <v>81</v>
      </c>
      <c r="C340" s="6" t="s">
        <v>38</v>
      </c>
      <c r="D340" s="7">
        <v>3.5521533040587792E-5</v>
      </c>
      <c r="E340" s="6" t="s">
        <v>7</v>
      </c>
      <c r="G340" s="6" t="s">
        <v>82</v>
      </c>
      <c r="H340" s="6" t="s">
        <v>38</v>
      </c>
      <c r="I340" s="8">
        <v>1.7479541252134499E-2</v>
      </c>
      <c r="J340" s="6" t="s">
        <v>7</v>
      </c>
      <c r="L340" s="6" t="s">
        <v>83</v>
      </c>
      <c r="M340" s="6" t="s">
        <v>38</v>
      </c>
      <c r="N340" s="8">
        <v>1.7343362825899881E-2</v>
      </c>
      <c r="O340" s="6" t="s">
        <v>7</v>
      </c>
    </row>
    <row r="341" spans="2:15" x14ac:dyDescent="0.45">
      <c r="B341" s="3" t="s">
        <v>81</v>
      </c>
      <c r="C341" s="3" t="s">
        <v>39</v>
      </c>
      <c r="D341" s="4">
        <v>0</v>
      </c>
      <c r="E341" s="3" t="s">
        <v>7</v>
      </c>
      <c r="G341" s="3" t="s">
        <v>82</v>
      </c>
      <c r="H341" s="3" t="s">
        <v>39</v>
      </c>
      <c r="I341" s="5">
        <v>1.9916673074993126E-2</v>
      </c>
      <c r="J341" s="3" t="s">
        <v>7</v>
      </c>
      <c r="L341" s="3" t="s">
        <v>83</v>
      </c>
      <c r="M341" s="3" t="s">
        <v>39</v>
      </c>
      <c r="N341" s="5">
        <v>3.2164918664707567E-2</v>
      </c>
      <c r="O341" s="3" t="s">
        <v>7</v>
      </c>
    </row>
    <row r="342" spans="2:15" x14ac:dyDescent="0.45">
      <c r="B342" s="6" t="s">
        <v>81</v>
      </c>
      <c r="C342" s="6" t="s">
        <v>40</v>
      </c>
      <c r="D342" s="7">
        <v>9.4564067318622289E-4</v>
      </c>
      <c r="E342" s="6" t="s">
        <v>7</v>
      </c>
      <c r="G342" s="6" t="s">
        <v>82</v>
      </c>
      <c r="H342" s="6" t="s">
        <v>40</v>
      </c>
      <c r="I342" s="8">
        <v>8.113122697878658E-3</v>
      </c>
      <c r="J342" s="6" t="s">
        <v>7</v>
      </c>
      <c r="L342" s="6" t="s">
        <v>83</v>
      </c>
      <c r="M342" s="6" t="s">
        <v>40</v>
      </c>
      <c r="N342" s="8">
        <v>1.2539545102504521E-2</v>
      </c>
      <c r="O342" s="6" t="s">
        <v>7</v>
      </c>
    </row>
    <row r="343" spans="2:15" x14ac:dyDescent="0.45">
      <c r="B343" s="3" t="s">
        <v>81</v>
      </c>
      <c r="C343" s="3" t="s">
        <v>41</v>
      </c>
      <c r="D343" s="4">
        <v>1.3649221734607836E-2</v>
      </c>
      <c r="E343" s="3" t="s">
        <v>7</v>
      </c>
      <c r="G343" s="3" t="s">
        <v>82</v>
      </c>
      <c r="H343" s="3" t="s">
        <v>41</v>
      </c>
      <c r="I343" s="5">
        <v>8.2536583228129349E-3</v>
      </c>
      <c r="J343" s="3" t="s">
        <v>7</v>
      </c>
      <c r="L343" s="3" t="s">
        <v>83</v>
      </c>
      <c r="M343" s="3" t="s">
        <v>41</v>
      </c>
      <c r="N343" s="5">
        <v>1.2147132393299434E-2</v>
      </c>
      <c r="O343" s="3" t="s">
        <v>7</v>
      </c>
    </row>
    <row r="344" spans="2:15" x14ac:dyDescent="0.45">
      <c r="B344" s="6" t="s">
        <v>81</v>
      </c>
      <c r="C344" s="6" t="s">
        <v>42</v>
      </c>
      <c r="D344" s="7">
        <v>3.8313858153757804E-2</v>
      </c>
      <c r="E344" s="6" t="s">
        <v>7</v>
      </c>
      <c r="G344" s="6" t="s">
        <v>82</v>
      </c>
      <c r="H344" s="6" t="s">
        <v>42</v>
      </c>
      <c r="I344" s="8">
        <v>8.2522730811266792E-3</v>
      </c>
      <c r="J344" s="6" t="s">
        <v>7</v>
      </c>
      <c r="L344" s="6" t="s">
        <v>83</v>
      </c>
      <c r="M344" s="6" t="s">
        <v>42</v>
      </c>
      <c r="N344" s="8">
        <v>1.187160647421295E-2</v>
      </c>
      <c r="O344" s="6" t="s">
        <v>7</v>
      </c>
    </row>
    <row r="345" spans="2:15" x14ac:dyDescent="0.45">
      <c r="B345" s="3" t="s">
        <v>81</v>
      </c>
      <c r="C345" s="3" t="s">
        <v>43</v>
      </c>
      <c r="D345" s="4">
        <v>5.6098615942979331E-2</v>
      </c>
      <c r="E345" s="3" t="s">
        <v>7</v>
      </c>
      <c r="G345" s="3" t="s">
        <v>82</v>
      </c>
      <c r="H345" s="3" t="s">
        <v>43</v>
      </c>
      <c r="I345" s="5">
        <v>8.4316400101850184E-3</v>
      </c>
      <c r="J345" s="3" t="s">
        <v>7</v>
      </c>
      <c r="L345" s="3" t="s">
        <v>83</v>
      </c>
      <c r="M345" s="3" t="s">
        <v>43</v>
      </c>
      <c r="N345" s="5">
        <v>1.2113880039914137E-2</v>
      </c>
      <c r="O345" s="3" t="s">
        <v>7</v>
      </c>
    </row>
    <row r="346" spans="2:15" x14ac:dyDescent="0.45">
      <c r="B346" s="6" t="s">
        <v>81</v>
      </c>
      <c r="C346" s="6" t="s">
        <v>44</v>
      </c>
      <c r="D346" s="7">
        <v>5.9381486081123196E-2</v>
      </c>
      <c r="E346" s="6" t="s">
        <v>7</v>
      </c>
      <c r="G346" s="6" t="s">
        <v>82</v>
      </c>
      <c r="H346" s="6" t="s">
        <v>44</v>
      </c>
      <c r="I346" s="8">
        <v>8.7827206060244137E-3</v>
      </c>
      <c r="J346" s="6" t="s">
        <v>7</v>
      </c>
      <c r="L346" s="6" t="s">
        <v>83</v>
      </c>
      <c r="M346" s="6" t="s">
        <v>44</v>
      </c>
      <c r="N346" s="8">
        <v>1.2464837203712047E-2</v>
      </c>
      <c r="O346" s="6" t="s">
        <v>7</v>
      </c>
    </row>
    <row r="347" spans="2:15" x14ac:dyDescent="0.45">
      <c r="B347" s="3" t="s">
        <v>81</v>
      </c>
      <c r="C347" s="3" t="s">
        <v>45</v>
      </c>
      <c r="D347" s="4">
        <v>4.882134944112599E-2</v>
      </c>
      <c r="E347" s="3" t="s">
        <v>7</v>
      </c>
      <c r="G347" s="3" t="s">
        <v>82</v>
      </c>
      <c r="H347" s="3" t="s">
        <v>45</v>
      </c>
      <c r="I347" s="5">
        <v>8.7676393283394171E-3</v>
      </c>
      <c r="J347" s="3" t="s">
        <v>7</v>
      </c>
      <c r="L347" s="3" t="s">
        <v>83</v>
      </c>
      <c r="M347" s="3" t="s">
        <v>45</v>
      </c>
      <c r="N347" s="5">
        <v>1.2764225860184867E-2</v>
      </c>
      <c r="O347" s="3" t="s">
        <v>7</v>
      </c>
    </row>
    <row r="348" spans="2:15" x14ac:dyDescent="0.45">
      <c r="B348" s="6" t="s">
        <v>81</v>
      </c>
      <c r="C348" s="6" t="s">
        <v>46</v>
      </c>
      <c r="D348" s="7">
        <v>2.50624297945383E-2</v>
      </c>
      <c r="E348" s="6" t="s">
        <v>7</v>
      </c>
      <c r="G348" s="6" t="s">
        <v>82</v>
      </c>
      <c r="H348" s="6" t="s">
        <v>46</v>
      </c>
      <c r="I348" s="8">
        <v>8.5086321430734111E-3</v>
      </c>
      <c r="J348" s="6" t="s">
        <v>7</v>
      </c>
      <c r="L348" s="6" t="s">
        <v>83</v>
      </c>
      <c r="M348" s="6" t="s">
        <v>46</v>
      </c>
      <c r="N348" s="8">
        <v>1.2843963249134088E-2</v>
      </c>
      <c r="O348" s="6" t="s">
        <v>7</v>
      </c>
    </row>
    <row r="349" spans="2:15" x14ac:dyDescent="0.45">
      <c r="B349" s="3" t="s">
        <v>81</v>
      </c>
      <c r="C349" s="3" t="s">
        <v>47</v>
      </c>
      <c r="D349" s="4">
        <v>3.4387159080073249E-3</v>
      </c>
      <c r="E349" s="3" t="s">
        <v>7</v>
      </c>
      <c r="G349" s="3" t="s">
        <v>82</v>
      </c>
      <c r="H349" s="3" t="s">
        <v>47</v>
      </c>
      <c r="I349" s="5">
        <v>8.2202838311641237E-3</v>
      </c>
      <c r="J349" s="3" t="s">
        <v>7</v>
      </c>
      <c r="L349" s="3" t="s">
        <v>83</v>
      </c>
      <c r="M349" s="3" t="s">
        <v>47</v>
      </c>
      <c r="N349" s="5">
        <v>1.2895280100301743E-2</v>
      </c>
      <c r="O349" s="3" t="s">
        <v>7</v>
      </c>
    </row>
    <row r="350" spans="2:15" x14ac:dyDescent="0.45">
      <c r="B350" s="6" t="s">
        <v>81</v>
      </c>
      <c r="C350" s="6" t="s">
        <v>48</v>
      </c>
      <c r="D350" s="7">
        <v>1.7631606829974211E-5</v>
      </c>
      <c r="E350" s="6" t="s">
        <v>7</v>
      </c>
      <c r="G350" s="6" t="s">
        <v>82</v>
      </c>
      <c r="H350" s="6" t="s">
        <v>48</v>
      </c>
      <c r="I350" s="8">
        <v>1.2454460128160892E-2</v>
      </c>
      <c r="J350" s="6" t="s">
        <v>7</v>
      </c>
      <c r="L350" s="6" t="s">
        <v>83</v>
      </c>
      <c r="M350" s="6" t="s">
        <v>48</v>
      </c>
      <c r="N350" s="8">
        <v>1.9243887887792108E-2</v>
      </c>
      <c r="O350" s="6" t="s">
        <v>7</v>
      </c>
    </row>
    <row r="351" spans="2:15" x14ac:dyDescent="0.45">
      <c r="B351" s="3" t="s">
        <v>81</v>
      </c>
      <c r="C351" s="3" t="s">
        <v>49</v>
      </c>
      <c r="D351" s="4">
        <v>0</v>
      </c>
      <c r="E351" s="3" t="s">
        <v>7</v>
      </c>
      <c r="G351" s="3" t="s">
        <v>82</v>
      </c>
      <c r="H351" s="3" t="s">
        <v>49</v>
      </c>
      <c r="I351" s="5">
        <v>3.7947836149500001E-2</v>
      </c>
      <c r="J351" s="3" t="s">
        <v>7</v>
      </c>
      <c r="L351" s="3" t="s">
        <v>83</v>
      </c>
      <c r="M351" s="3" t="s">
        <v>49</v>
      </c>
      <c r="N351" s="5">
        <v>3.3239366514648344E-2</v>
      </c>
      <c r="O351" s="3" t="s">
        <v>7</v>
      </c>
    </row>
    <row r="352" spans="2:15" x14ac:dyDescent="0.45">
      <c r="B352" s="6" t="s">
        <v>81</v>
      </c>
      <c r="C352" s="6" t="s">
        <v>50</v>
      </c>
      <c r="D352" s="7">
        <v>0</v>
      </c>
      <c r="E352" s="6" t="s">
        <v>7</v>
      </c>
      <c r="G352" s="6" t="s">
        <v>82</v>
      </c>
      <c r="H352" s="6" t="s">
        <v>50</v>
      </c>
      <c r="I352" s="8">
        <v>1.4507613569545736E-2</v>
      </c>
      <c r="J352" s="6" t="s">
        <v>7</v>
      </c>
      <c r="L352" s="6" t="s">
        <v>83</v>
      </c>
      <c r="M352" s="6" t="s">
        <v>50</v>
      </c>
      <c r="N352" s="8">
        <v>1.2902383342102648E-2</v>
      </c>
      <c r="O352" s="6" t="s">
        <v>7</v>
      </c>
    </row>
    <row r="353" spans="2:15" x14ac:dyDescent="0.45">
      <c r="B353" s="3" t="s">
        <v>81</v>
      </c>
      <c r="C353" s="3" t="s">
        <v>51</v>
      </c>
      <c r="D353" s="4">
        <v>3.621237969079098E-3</v>
      </c>
      <c r="E353" s="3" t="s">
        <v>7</v>
      </c>
      <c r="G353" s="3" t="s">
        <v>82</v>
      </c>
      <c r="H353" s="3" t="s">
        <v>51</v>
      </c>
      <c r="I353" s="5">
        <v>1.4862215664500062E-2</v>
      </c>
      <c r="J353" s="3" t="s">
        <v>7</v>
      </c>
      <c r="L353" s="3" t="s">
        <v>83</v>
      </c>
      <c r="M353" s="3" t="s">
        <v>51</v>
      </c>
      <c r="N353" s="5">
        <v>1.2960748978028576E-2</v>
      </c>
      <c r="O353" s="3" t="s">
        <v>7</v>
      </c>
    </row>
    <row r="354" spans="2:15" x14ac:dyDescent="0.45">
      <c r="B354" s="6" t="s">
        <v>81</v>
      </c>
      <c r="C354" s="6" t="s">
        <v>52</v>
      </c>
      <c r="D354" s="7">
        <v>2.1793300248430802E-2</v>
      </c>
      <c r="E354" s="6" t="s">
        <v>7</v>
      </c>
      <c r="G354" s="6" t="s">
        <v>82</v>
      </c>
      <c r="H354" s="6" t="s">
        <v>52</v>
      </c>
      <c r="I354" s="8">
        <v>1.5287601575656111E-2</v>
      </c>
      <c r="J354" s="6" t="s">
        <v>7</v>
      </c>
      <c r="L354" s="6" t="s">
        <v>83</v>
      </c>
      <c r="M354" s="6" t="s">
        <v>52</v>
      </c>
      <c r="N354" s="8">
        <v>1.2923758339283248E-2</v>
      </c>
      <c r="O354" s="6" t="s">
        <v>7</v>
      </c>
    </row>
    <row r="355" spans="2:15" x14ac:dyDescent="0.45">
      <c r="B355" s="3" t="s">
        <v>81</v>
      </c>
      <c r="C355" s="3" t="s">
        <v>53</v>
      </c>
      <c r="D355" s="4">
        <v>3.6482881114554035E-2</v>
      </c>
      <c r="E355" s="3" t="s">
        <v>7</v>
      </c>
      <c r="G355" s="3" t="s">
        <v>82</v>
      </c>
      <c r="H355" s="3" t="s">
        <v>53</v>
      </c>
      <c r="I355" s="5">
        <v>1.5767443457090823E-2</v>
      </c>
      <c r="J355" s="3" t="s">
        <v>7</v>
      </c>
      <c r="L355" s="3" t="s">
        <v>83</v>
      </c>
      <c r="M355" s="3" t="s">
        <v>53</v>
      </c>
      <c r="N355" s="5">
        <v>1.2807395575802287E-2</v>
      </c>
      <c r="O355" s="3" t="s">
        <v>7</v>
      </c>
    </row>
    <row r="356" spans="2:15" x14ac:dyDescent="0.45">
      <c r="B356" s="6" t="s">
        <v>81</v>
      </c>
      <c r="C356" s="6" t="s">
        <v>54</v>
      </c>
      <c r="D356" s="7">
        <v>3.6891685870263181E-2</v>
      </c>
      <c r="E356" s="6" t="s">
        <v>7</v>
      </c>
      <c r="G356" s="6" t="s">
        <v>82</v>
      </c>
      <c r="H356" s="6" t="s">
        <v>54</v>
      </c>
      <c r="I356" s="8">
        <v>1.5637717593218314E-2</v>
      </c>
      <c r="J356" s="6" t="s">
        <v>7</v>
      </c>
      <c r="L356" s="6" t="s">
        <v>83</v>
      </c>
      <c r="M356" s="6" t="s">
        <v>54</v>
      </c>
      <c r="N356" s="8">
        <v>1.2988728107927254E-2</v>
      </c>
      <c r="O356" s="6" t="s">
        <v>7</v>
      </c>
    </row>
    <row r="357" spans="2:15" x14ac:dyDescent="0.45">
      <c r="B357" s="3" t="s">
        <v>81</v>
      </c>
      <c r="C357" s="3" t="s">
        <v>55</v>
      </c>
      <c r="D357" s="4">
        <v>2.5198504851512146E-2</v>
      </c>
      <c r="E357" s="3" t="s">
        <v>7</v>
      </c>
      <c r="G357" s="3" t="s">
        <v>82</v>
      </c>
      <c r="H357" s="3" t="s">
        <v>55</v>
      </c>
      <c r="I357" s="5">
        <v>1.584355128398621E-2</v>
      </c>
      <c r="J357" s="3" t="s">
        <v>7</v>
      </c>
      <c r="L357" s="3" t="s">
        <v>83</v>
      </c>
      <c r="M357" s="3" t="s">
        <v>55</v>
      </c>
      <c r="N357" s="5">
        <v>1.3309559616704015E-2</v>
      </c>
      <c r="O357" s="3" t="s">
        <v>7</v>
      </c>
    </row>
    <row r="358" spans="2:15" x14ac:dyDescent="0.45">
      <c r="B358" s="6" t="s">
        <v>81</v>
      </c>
      <c r="C358" s="6" t="s">
        <v>56</v>
      </c>
      <c r="D358" s="7">
        <v>6.960661470192378E-3</v>
      </c>
      <c r="E358" s="6" t="s">
        <v>7</v>
      </c>
      <c r="G358" s="6" t="s">
        <v>82</v>
      </c>
      <c r="H358" s="6" t="s">
        <v>56</v>
      </c>
      <c r="I358" s="8">
        <v>1.6098271362783224E-2</v>
      </c>
      <c r="J358" s="6" t="s">
        <v>7</v>
      </c>
      <c r="L358" s="6" t="s">
        <v>83</v>
      </c>
      <c r="M358" s="6" t="s">
        <v>56</v>
      </c>
      <c r="N358" s="8">
        <v>1.3601345676265315E-2</v>
      </c>
      <c r="O358" s="6" t="s">
        <v>7</v>
      </c>
    </row>
    <row r="359" spans="2:15" x14ac:dyDescent="0.45">
      <c r="B359" s="3" t="s">
        <v>81</v>
      </c>
      <c r="C359" s="3" t="s">
        <v>57</v>
      </c>
      <c r="D359" s="4">
        <v>3.3735248854417543E-5</v>
      </c>
      <c r="E359" s="3" t="s">
        <v>7</v>
      </c>
      <c r="G359" s="3" t="s">
        <v>82</v>
      </c>
      <c r="H359" s="3" t="s">
        <v>57</v>
      </c>
      <c r="I359" s="5">
        <v>1.6116831067688884E-2</v>
      </c>
      <c r="J359" s="3" t="s">
        <v>7</v>
      </c>
      <c r="L359" s="3" t="s">
        <v>83</v>
      </c>
      <c r="M359" s="3" t="s">
        <v>57</v>
      </c>
      <c r="N359" s="5">
        <v>1.3675989246645167E-2</v>
      </c>
      <c r="O359" s="3" t="s">
        <v>7</v>
      </c>
    </row>
    <row r="360" spans="2:15" x14ac:dyDescent="0.45">
      <c r="B360" s="6" t="s">
        <v>81</v>
      </c>
      <c r="C360" s="6" t="s">
        <v>58</v>
      </c>
      <c r="D360" s="7">
        <v>0</v>
      </c>
      <c r="E360" s="6" t="s">
        <v>7</v>
      </c>
      <c r="G360" s="6" t="s">
        <v>82</v>
      </c>
      <c r="H360" s="6" t="s">
        <v>58</v>
      </c>
      <c r="I360" s="8">
        <v>2.4406471498303935E-2</v>
      </c>
      <c r="J360" s="6" t="s">
        <v>7</v>
      </c>
      <c r="L360" s="6" t="s">
        <v>83</v>
      </c>
      <c r="M360" s="6" t="s">
        <v>58</v>
      </c>
      <c r="N360" s="8">
        <v>2.0141583291314283E-2</v>
      </c>
      <c r="O360" s="6" t="s">
        <v>7</v>
      </c>
    </row>
    <row r="361" spans="2:15" x14ac:dyDescent="0.45">
      <c r="B361" s="3" t="s">
        <v>81</v>
      </c>
      <c r="C361" s="3" t="s">
        <v>59</v>
      </c>
      <c r="D361" s="4">
        <v>0</v>
      </c>
      <c r="E361" s="3" t="s">
        <v>7</v>
      </c>
      <c r="G361" s="3" t="s">
        <v>82</v>
      </c>
      <c r="H361" s="3" t="s">
        <v>59</v>
      </c>
      <c r="I361" s="5">
        <v>4.7619109656748725E-2</v>
      </c>
      <c r="J361" s="3" t="s">
        <v>7</v>
      </c>
      <c r="L361" s="3" t="s">
        <v>83</v>
      </c>
      <c r="M361" s="3" t="s">
        <v>59</v>
      </c>
      <c r="N361" s="5">
        <v>4.7159218818604132E-2</v>
      </c>
      <c r="O361" s="3" t="s">
        <v>7</v>
      </c>
    </row>
    <row r="362" spans="2:15" x14ac:dyDescent="0.45">
      <c r="B362" s="6" t="s">
        <v>81</v>
      </c>
      <c r="C362" s="6" t="s">
        <v>60</v>
      </c>
      <c r="D362" s="7">
        <v>0</v>
      </c>
      <c r="E362" s="6" t="s">
        <v>7</v>
      </c>
      <c r="G362" s="6" t="s">
        <v>82</v>
      </c>
      <c r="H362" s="6" t="s">
        <v>60</v>
      </c>
      <c r="I362" s="8">
        <v>1.8488276492855907E-2</v>
      </c>
      <c r="J362" s="6" t="s">
        <v>7</v>
      </c>
      <c r="L362" s="6" t="s">
        <v>83</v>
      </c>
      <c r="M362" s="6" t="s">
        <v>60</v>
      </c>
      <c r="N362" s="8">
        <v>1.8980153435363068E-2</v>
      </c>
      <c r="O362" s="6" t="s">
        <v>7</v>
      </c>
    </row>
    <row r="363" spans="2:15" x14ac:dyDescent="0.45">
      <c r="B363" s="3" t="s">
        <v>81</v>
      </c>
      <c r="C363" s="3" t="s">
        <v>61</v>
      </c>
      <c r="D363" s="4">
        <v>0</v>
      </c>
      <c r="E363" s="3" t="s">
        <v>7</v>
      </c>
      <c r="G363" s="3" t="s">
        <v>82</v>
      </c>
      <c r="H363" s="3" t="s">
        <v>61</v>
      </c>
      <c r="I363" s="5">
        <v>1.84784714352371E-2</v>
      </c>
      <c r="J363" s="3" t="s">
        <v>7</v>
      </c>
      <c r="L363" s="3" t="s">
        <v>83</v>
      </c>
      <c r="M363" s="3" t="s">
        <v>61</v>
      </c>
      <c r="N363" s="5">
        <v>1.8656577153609338E-2</v>
      </c>
      <c r="O363" s="3" t="s">
        <v>7</v>
      </c>
    </row>
    <row r="364" spans="2:15" x14ac:dyDescent="0.45">
      <c r="B364" s="6" t="s">
        <v>81</v>
      </c>
      <c r="C364" s="6" t="s">
        <v>62</v>
      </c>
      <c r="D364" s="7">
        <v>9.4152889952410449E-3</v>
      </c>
      <c r="E364" s="6" t="s">
        <v>7</v>
      </c>
      <c r="G364" s="6" t="s">
        <v>82</v>
      </c>
      <c r="H364" s="6" t="s">
        <v>62</v>
      </c>
      <c r="I364" s="8">
        <v>1.8027251680115219E-2</v>
      </c>
      <c r="J364" s="6" t="s">
        <v>7</v>
      </c>
      <c r="L364" s="6" t="s">
        <v>83</v>
      </c>
      <c r="M364" s="6" t="s">
        <v>62</v>
      </c>
      <c r="N364" s="8">
        <v>1.8420116768842521E-2</v>
      </c>
      <c r="O364" s="6" t="s">
        <v>7</v>
      </c>
    </row>
    <row r="365" spans="2:15" x14ac:dyDescent="0.45">
      <c r="B365" s="3" t="s">
        <v>81</v>
      </c>
      <c r="C365" s="3" t="s">
        <v>63</v>
      </c>
      <c r="D365" s="4">
        <v>2.5822541033611236E-2</v>
      </c>
      <c r="E365" s="3" t="s">
        <v>7</v>
      </c>
      <c r="G365" s="3" t="s">
        <v>82</v>
      </c>
      <c r="H365" s="3" t="s">
        <v>63</v>
      </c>
      <c r="I365" s="5">
        <v>1.760799498978664E-2</v>
      </c>
      <c r="J365" s="3" t="s">
        <v>7</v>
      </c>
      <c r="L365" s="3" t="s">
        <v>83</v>
      </c>
      <c r="M365" s="3" t="s">
        <v>63</v>
      </c>
      <c r="N365" s="5">
        <v>1.7922078863154368E-2</v>
      </c>
      <c r="O365" s="3" t="s">
        <v>7</v>
      </c>
    </row>
    <row r="366" spans="2:15" x14ac:dyDescent="0.45">
      <c r="B366" s="6" t="s">
        <v>81</v>
      </c>
      <c r="C366" s="6" t="s">
        <v>64</v>
      </c>
      <c r="D366" s="7">
        <v>2.7639805541558274E-2</v>
      </c>
      <c r="E366" s="6" t="s">
        <v>7</v>
      </c>
      <c r="G366" s="6" t="s">
        <v>82</v>
      </c>
      <c r="H366" s="6" t="s">
        <v>64</v>
      </c>
      <c r="I366" s="8">
        <v>1.7536148001512358E-2</v>
      </c>
      <c r="J366" s="6" t="s">
        <v>7</v>
      </c>
      <c r="L366" s="6" t="s">
        <v>83</v>
      </c>
      <c r="M366" s="6" t="s">
        <v>64</v>
      </c>
      <c r="N366" s="8">
        <v>1.7488514330777794E-2</v>
      </c>
      <c r="O366" s="6" t="s">
        <v>7</v>
      </c>
    </row>
    <row r="367" spans="2:15" x14ac:dyDescent="0.45">
      <c r="B367" s="3" t="s">
        <v>81</v>
      </c>
      <c r="C367" s="3" t="s">
        <v>65</v>
      </c>
      <c r="D367" s="4">
        <v>1.2062569174925493E-2</v>
      </c>
      <c r="E367" s="3" t="s">
        <v>7</v>
      </c>
      <c r="G367" s="3" t="s">
        <v>82</v>
      </c>
      <c r="H367" s="3" t="s">
        <v>65</v>
      </c>
      <c r="I367" s="5">
        <v>1.7535553704371015E-2</v>
      </c>
      <c r="J367" s="3" t="s">
        <v>7</v>
      </c>
      <c r="L367" s="3" t="s">
        <v>83</v>
      </c>
      <c r="M367" s="3" t="s">
        <v>65</v>
      </c>
      <c r="N367" s="5">
        <v>1.6977096246021544E-2</v>
      </c>
      <c r="O367" s="3" t="s">
        <v>7</v>
      </c>
    </row>
    <row r="368" spans="2:15" x14ac:dyDescent="0.45">
      <c r="B368" s="6" t="s">
        <v>81</v>
      </c>
      <c r="C368" s="6" t="s">
        <v>66</v>
      </c>
      <c r="D368" s="7">
        <v>4.1172161245922435E-6</v>
      </c>
      <c r="E368" s="6" t="s">
        <v>7</v>
      </c>
      <c r="G368" s="6" t="s">
        <v>82</v>
      </c>
      <c r="H368" s="6" t="s">
        <v>66</v>
      </c>
      <c r="I368" s="8">
        <v>1.772025722946266E-2</v>
      </c>
      <c r="J368" s="6" t="s">
        <v>7</v>
      </c>
      <c r="L368" s="6" t="s">
        <v>83</v>
      </c>
      <c r="M368" s="6" t="s">
        <v>66</v>
      </c>
      <c r="N368" s="8">
        <v>1.7682141369784327E-2</v>
      </c>
      <c r="O368" s="6" t="s">
        <v>7</v>
      </c>
    </row>
    <row r="369" spans="2:15" x14ac:dyDescent="0.45">
      <c r="B369" s="3" t="s">
        <v>81</v>
      </c>
      <c r="C369" s="3" t="s">
        <v>67</v>
      </c>
      <c r="D369" s="4">
        <v>0</v>
      </c>
      <c r="E369" s="3" t="s">
        <v>7</v>
      </c>
      <c r="G369" s="3" t="s">
        <v>82</v>
      </c>
      <c r="H369" s="3" t="s">
        <v>67</v>
      </c>
      <c r="I369" s="5">
        <v>1.8390291468659288E-2</v>
      </c>
      <c r="J369" s="3" t="s">
        <v>7</v>
      </c>
      <c r="L369" s="3" t="s">
        <v>83</v>
      </c>
      <c r="M369" s="3" t="s">
        <v>67</v>
      </c>
      <c r="N369" s="5">
        <v>1.8137105852064333E-2</v>
      </c>
      <c r="O369" s="3" t="s">
        <v>7</v>
      </c>
    </row>
    <row r="370" spans="2:15" x14ac:dyDescent="0.45">
      <c r="B370" s="6" t="s">
        <v>81</v>
      </c>
      <c r="C370" s="6" t="s">
        <v>68</v>
      </c>
      <c r="D370" s="7">
        <v>0</v>
      </c>
      <c r="E370" s="6" t="s">
        <v>7</v>
      </c>
      <c r="G370" s="6" t="s">
        <v>82</v>
      </c>
      <c r="H370" s="6" t="s">
        <v>68</v>
      </c>
      <c r="I370" s="8">
        <v>2.8297354725984932E-2</v>
      </c>
      <c r="J370" s="6" t="s">
        <v>7</v>
      </c>
      <c r="L370" s="6" t="s">
        <v>83</v>
      </c>
      <c r="M370" s="6" t="s">
        <v>68</v>
      </c>
      <c r="N370" s="8">
        <v>2.7604451325256442E-2</v>
      </c>
      <c r="O370" s="6" t="s">
        <v>7</v>
      </c>
    </row>
    <row r="371" spans="2:15" x14ac:dyDescent="0.45">
      <c r="B371" s="3" t="s">
        <v>84</v>
      </c>
      <c r="C371" s="3" t="s">
        <v>6</v>
      </c>
      <c r="D371" s="4">
        <v>0</v>
      </c>
      <c r="E371" s="3" t="s">
        <v>7</v>
      </c>
      <c r="G371" s="3" t="s">
        <v>85</v>
      </c>
      <c r="H371" s="3" t="s">
        <v>6</v>
      </c>
      <c r="I371" s="5">
        <v>3.4542796561614519E-2</v>
      </c>
      <c r="J371" s="3" t="s">
        <v>7</v>
      </c>
      <c r="L371" s="3" t="s">
        <v>86</v>
      </c>
      <c r="M371" s="3" t="s">
        <v>6</v>
      </c>
      <c r="N371" s="5">
        <v>3.7364429150487904E-2</v>
      </c>
      <c r="O371" s="3" t="s">
        <v>7</v>
      </c>
    </row>
    <row r="372" spans="2:15" x14ac:dyDescent="0.45">
      <c r="B372" s="6" t="s">
        <v>84</v>
      </c>
      <c r="C372" s="6" t="s">
        <v>10</v>
      </c>
      <c r="D372" s="7">
        <v>0</v>
      </c>
      <c r="E372" s="6" t="s">
        <v>7</v>
      </c>
      <c r="G372" s="6" t="s">
        <v>85</v>
      </c>
      <c r="H372" s="6" t="s">
        <v>10</v>
      </c>
      <c r="I372" s="8">
        <v>1.3527715824282239E-2</v>
      </c>
      <c r="J372" s="6" t="s">
        <v>7</v>
      </c>
      <c r="L372" s="6" t="s">
        <v>86</v>
      </c>
      <c r="M372" s="6" t="s">
        <v>10</v>
      </c>
      <c r="N372" s="8">
        <v>1.4984573310341523E-2</v>
      </c>
      <c r="O372" s="6" t="s">
        <v>7</v>
      </c>
    </row>
    <row r="373" spans="2:15" x14ac:dyDescent="0.45">
      <c r="B373" s="3" t="s">
        <v>84</v>
      </c>
      <c r="C373" s="3" t="s">
        <v>11</v>
      </c>
      <c r="D373" s="4">
        <v>1.4582746480713049E-4</v>
      </c>
      <c r="E373" s="3" t="s">
        <v>7</v>
      </c>
      <c r="G373" s="3" t="s">
        <v>85</v>
      </c>
      <c r="H373" s="3" t="s">
        <v>11</v>
      </c>
      <c r="I373" s="5">
        <v>1.3521255431816287E-2</v>
      </c>
      <c r="J373" s="3" t="s">
        <v>7</v>
      </c>
      <c r="L373" s="3" t="s">
        <v>86</v>
      </c>
      <c r="M373" s="3" t="s">
        <v>11</v>
      </c>
      <c r="N373" s="5">
        <v>1.5190745516584588E-2</v>
      </c>
      <c r="O373" s="3" t="s">
        <v>7</v>
      </c>
    </row>
    <row r="374" spans="2:15" x14ac:dyDescent="0.45">
      <c r="B374" s="6" t="s">
        <v>84</v>
      </c>
      <c r="C374" s="6" t="s">
        <v>12</v>
      </c>
      <c r="D374" s="7">
        <v>1.0659136719000527E-2</v>
      </c>
      <c r="E374" s="6" t="s">
        <v>7</v>
      </c>
      <c r="G374" s="6" t="s">
        <v>85</v>
      </c>
      <c r="H374" s="6" t="s">
        <v>12</v>
      </c>
      <c r="I374" s="8">
        <v>1.3353702222030684E-2</v>
      </c>
      <c r="J374" s="6" t="s">
        <v>7</v>
      </c>
      <c r="L374" s="6" t="s">
        <v>86</v>
      </c>
      <c r="M374" s="6" t="s">
        <v>12</v>
      </c>
      <c r="N374" s="8">
        <v>1.5402675084882024E-2</v>
      </c>
      <c r="O374" s="6" t="s">
        <v>7</v>
      </c>
    </row>
    <row r="375" spans="2:15" x14ac:dyDescent="0.45">
      <c r="B375" s="3" t="s">
        <v>84</v>
      </c>
      <c r="C375" s="3" t="s">
        <v>13</v>
      </c>
      <c r="D375" s="4">
        <v>3.0957905175160866E-2</v>
      </c>
      <c r="E375" s="3" t="s">
        <v>7</v>
      </c>
      <c r="G375" s="3" t="s">
        <v>85</v>
      </c>
      <c r="H375" s="3" t="s">
        <v>13</v>
      </c>
      <c r="I375" s="5">
        <v>1.3585497903433857E-2</v>
      </c>
      <c r="J375" s="3" t="s">
        <v>7</v>
      </c>
      <c r="L375" s="3" t="s">
        <v>86</v>
      </c>
      <c r="M375" s="3" t="s">
        <v>13</v>
      </c>
      <c r="N375" s="5">
        <v>1.5209706669871636E-2</v>
      </c>
      <c r="O375" s="3" t="s">
        <v>7</v>
      </c>
    </row>
    <row r="376" spans="2:15" x14ac:dyDescent="0.45">
      <c r="B376" s="6" t="s">
        <v>84</v>
      </c>
      <c r="C376" s="6" t="s">
        <v>14</v>
      </c>
      <c r="D376" s="7">
        <v>3.408387011654495E-2</v>
      </c>
      <c r="E376" s="6" t="s">
        <v>7</v>
      </c>
      <c r="G376" s="6" t="s">
        <v>85</v>
      </c>
      <c r="H376" s="6" t="s">
        <v>14</v>
      </c>
      <c r="I376" s="8">
        <v>1.37310956668335E-2</v>
      </c>
      <c r="J376" s="6" t="s">
        <v>7</v>
      </c>
      <c r="L376" s="6" t="s">
        <v>86</v>
      </c>
      <c r="M376" s="6" t="s">
        <v>14</v>
      </c>
      <c r="N376" s="8">
        <v>1.4815823774342173E-2</v>
      </c>
      <c r="O376" s="6" t="s">
        <v>7</v>
      </c>
    </row>
    <row r="377" spans="2:15" x14ac:dyDescent="0.45">
      <c r="B377" s="3" t="s">
        <v>84</v>
      </c>
      <c r="C377" s="3" t="s">
        <v>15</v>
      </c>
      <c r="D377" s="4">
        <v>2.0335680496412805E-2</v>
      </c>
      <c r="E377" s="3" t="s">
        <v>7</v>
      </c>
      <c r="G377" s="3" t="s">
        <v>85</v>
      </c>
      <c r="H377" s="3" t="s">
        <v>15</v>
      </c>
      <c r="I377" s="5">
        <v>1.3397954226427096E-2</v>
      </c>
      <c r="J377" s="3" t="s">
        <v>7</v>
      </c>
      <c r="L377" s="3" t="s">
        <v>86</v>
      </c>
      <c r="M377" s="3" t="s">
        <v>15</v>
      </c>
      <c r="N377" s="5">
        <v>1.4724946231407332E-2</v>
      </c>
      <c r="O377" s="3" t="s">
        <v>7</v>
      </c>
    </row>
    <row r="378" spans="2:15" x14ac:dyDescent="0.45">
      <c r="B378" s="6" t="s">
        <v>84</v>
      </c>
      <c r="C378" s="6" t="s">
        <v>16</v>
      </c>
      <c r="D378" s="7">
        <v>2.8216103892139779E-3</v>
      </c>
      <c r="E378" s="6" t="s">
        <v>7</v>
      </c>
      <c r="G378" s="6" t="s">
        <v>85</v>
      </c>
      <c r="H378" s="6" t="s">
        <v>16</v>
      </c>
      <c r="I378" s="8">
        <v>1.370616809651452E-2</v>
      </c>
      <c r="J378" s="6" t="s">
        <v>7</v>
      </c>
      <c r="L378" s="6" t="s">
        <v>86</v>
      </c>
      <c r="M378" s="6" t="s">
        <v>16</v>
      </c>
      <c r="N378" s="8">
        <v>1.5163866996188356E-2</v>
      </c>
      <c r="O378" s="6" t="s">
        <v>7</v>
      </c>
    </row>
    <row r="379" spans="2:15" x14ac:dyDescent="0.45">
      <c r="B379" s="3" t="s">
        <v>84</v>
      </c>
      <c r="C379" s="3" t="s">
        <v>17</v>
      </c>
      <c r="D379" s="4">
        <v>0</v>
      </c>
      <c r="E379" s="3" t="s">
        <v>7</v>
      </c>
      <c r="G379" s="3" t="s">
        <v>85</v>
      </c>
      <c r="H379" s="3" t="s">
        <v>17</v>
      </c>
      <c r="I379" s="5">
        <v>1.4287014816737017E-2</v>
      </c>
      <c r="J379" s="3" t="s">
        <v>7</v>
      </c>
      <c r="L379" s="3" t="s">
        <v>86</v>
      </c>
      <c r="M379" s="3" t="s">
        <v>17</v>
      </c>
      <c r="N379" s="5">
        <v>1.5419650035112774E-2</v>
      </c>
      <c r="O379" s="3" t="s">
        <v>7</v>
      </c>
    </row>
    <row r="380" spans="2:15" x14ac:dyDescent="0.45">
      <c r="B380" s="6" t="s">
        <v>84</v>
      </c>
      <c r="C380" s="6" t="s">
        <v>18</v>
      </c>
      <c r="D380" s="7">
        <v>0</v>
      </c>
      <c r="E380" s="6" t="s">
        <v>7</v>
      </c>
      <c r="G380" s="6" t="s">
        <v>85</v>
      </c>
      <c r="H380" s="6" t="s">
        <v>18</v>
      </c>
      <c r="I380" s="8">
        <v>2.0930626915495298E-2</v>
      </c>
      <c r="J380" s="6" t="s">
        <v>7</v>
      </c>
      <c r="L380" s="6" t="s">
        <v>86</v>
      </c>
      <c r="M380" s="6" t="s">
        <v>18</v>
      </c>
      <c r="N380" s="8">
        <v>2.2749398343431856E-2</v>
      </c>
      <c r="O380" s="6" t="s">
        <v>7</v>
      </c>
    </row>
    <row r="381" spans="2:15" x14ac:dyDescent="0.45">
      <c r="B381" s="3" t="s">
        <v>84</v>
      </c>
      <c r="C381" s="3" t="s">
        <v>19</v>
      </c>
      <c r="D381" s="4">
        <v>0</v>
      </c>
      <c r="E381" s="3" t="s">
        <v>7</v>
      </c>
      <c r="G381" s="3" t="s">
        <v>85</v>
      </c>
      <c r="H381" s="3" t="s">
        <v>19</v>
      </c>
      <c r="I381" s="5">
        <v>3.4894865295259085E-2</v>
      </c>
      <c r="J381" s="3" t="s">
        <v>7</v>
      </c>
      <c r="L381" s="3" t="s">
        <v>86</v>
      </c>
      <c r="M381" s="3" t="s">
        <v>19</v>
      </c>
      <c r="N381" s="5">
        <v>3.1804799259002925E-2</v>
      </c>
      <c r="O381" s="3" t="s">
        <v>7</v>
      </c>
    </row>
    <row r="382" spans="2:15" x14ac:dyDescent="0.45">
      <c r="B382" s="6" t="s">
        <v>84</v>
      </c>
      <c r="C382" s="6" t="s">
        <v>20</v>
      </c>
      <c r="D382" s="7">
        <v>1.0329539659183815E-4</v>
      </c>
      <c r="E382" s="6" t="s">
        <v>7</v>
      </c>
      <c r="G382" s="6" t="s">
        <v>85</v>
      </c>
      <c r="H382" s="6" t="s">
        <v>20</v>
      </c>
      <c r="I382" s="8">
        <v>1.3918108690418573E-2</v>
      </c>
      <c r="J382" s="6" t="s">
        <v>7</v>
      </c>
      <c r="L382" s="6" t="s">
        <v>86</v>
      </c>
      <c r="M382" s="6" t="s">
        <v>20</v>
      </c>
      <c r="N382" s="8">
        <v>1.2261788860035826E-2</v>
      </c>
      <c r="O382" s="6" t="s">
        <v>7</v>
      </c>
    </row>
    <row r="383" spans="2:15" x14ac:dyDescent="0.45">
      <c r="B383" s="3" t="s">
        <v>84</v>
      </c>
      <c r="C383" s="3" t="s">
        <v>21</v>
      </c>
      <c r="D383" s="4">
        <v>9.1396997746491654E-3</v>
      </c>
      <c r="E383" s="3" t="s">
        <v>7</v>
      </c>
      <c r="G383" s="3" t="s">
        <v>85</v>
      </c>
      <c r="H383" s="3" t="s">
        <v>21</v>
      </c>
      <c r="I383" s="5">
        <v>1.4490979750196146E-2</v>
      </c>
      <c r="J383" s="3" t="s">
        <v>7</v>
      </c>
      <c r="L383" s="3" t="s">
        <v>86</v>
      </c>
      <c r="M383" s="3" t="s">
        <v>21</v>
      </c>
      <c r="N383" s="5">
        <v>1.2232915686845515E-2</v>
      </c>
      <c r="O383" s="3" t="s">
        <v>7</v>
      </c>
    </row>
    <row r="384" spans="2:15" x14ac:dyDescent="0.45">
      <c r="B384" s="6" t="s">
        <v>84</v>
      </c>
      <c r="C384" s="6" t="s">
        <v>22</v>
      </c>
      <c r="D384" s="7">
        <v>3.6817414857391442E-2</v>
      </c>
      <c r="E384" s="6" t="s">
        <v>7</v>
      </c>
      <c r="G384" s="6" t="s">
        <v>85</v>
      </c>
      <c r="H384" s="6" t="s">
        <v>22</v>
      </c>
      <c r="I384" s="8">
        <v>1.6600895544697198E-2</v>
      </c>
      <c r="J384" s="6" t="s">
        <v>7</v>
      </c>
      <c r="L384" s="6" t="s">
        <v>86</v>
      </c>
      <c r="M384" s="6" t="s">
        <v>22</v>
      </c>
      <c r="N384" s="8">
        <v>1.2355216848093264E-2</v>
      </c>
      <c r="O384" s="6" t="s">
        <v>7</v>
      </c>
    </row>
    <row r="385" spans="2:15" x14ac:dyDescent="0.45">
      <c r="B385" s="3" t="s">
        <v>84</v>
      </c>
      <c r="C385" s="3" t="s">
        <v>23</v>
      </c>
      <c r="D385" s="4">
        <v>5.2714868769327912E-2</v>
      </c>
      <c r="E385" s="3" t="s">
        <v>7</v>
      </c>
      <c r="G385" s="3" t="s">
        <v>85</v>
      </c>
      <c r="H385" s="3" t="s">
        <v>23</v>
      </c>
      <c r="I385" s="5">
        <v>1.6977583666544383E-2</v>
      </c>
      <c r="J385" s="3" t="s">
        <v>7</v>
      </c>
      <c r="L385" s="3" t="s">
        <v>86</v>
      </c>
      <c r="M385" s="3" t="s">
        <v>23</v>
      </c>
      <c r="N385" s="5">
        <v>1.2627535492146829E-2</v>
      </c>
      <c r="O385" s="3" t="s">
        <v>7</v>
      </c>
    </row>
    <row r="386" spans="2:15" x14ac:dyDescent="0.45">
      <c r="B386" s="6" t="s">
        <v>84</v>
      </c>
      <c r="C386" s="6" t="s">
        <v>24</v>
      </c>
      <c r="D386" s="7">
        <v>5.4847539041759756E-2</v>
      </c>
      <c r="E386" s="6" t="s">
        <v>7</v>
      </c>
      <c r="G386" s="6" t="s">
        <v>85</v>
      </c>
      <c r="H386" s="6" t="s">
        <v>24</v>
      </c>
      <c r="I386" s="8">
        <v>1.7034797889000183E-2</v>
      </c>
      <c r="J386" s="6" t="s">
        <v>7</v>
      </c>
      <c r="L386" s="6" t="s">
        <v>86</v>
      </c>
      <c r="M386" s="6" t="s">
        <v>24</v>
      </c>
      <c r="N386" s="8">
        <v>1.3116870957089284E-2</v>
      </c>
      <c r="O386" s="6" t="s">
        <v>7</v>
      </c>
    </row>
    <row r="387" spans="2:15" x14ac:dyDescent="0.45">
      <c r="B387" s="3" t="s">
        <v>84</v>
      </c>
      <c r="C387" s="3" t="s">
        <v>25</v>
      </c>
      <c r="D387" s="4">
        <v>4.1825751759155337E-2</v>
      </c>
      <c r="E387" s="3" t="s">
        <v>7</v>
      </c>
      <c r="G387" s="3" t="s">
        <v>85</v>
      </c>
      <c r="H387" s="3" t="s">
        <v>25</v>
      </c>
      <c r="I387" s="5">
        <v>1.6921843200885973E-2</v>
      </c>
      <c r="J387" s="3" t="s">
        <v>7</v>
      </c>
      <c r="L387" s="3" t="s">
        <v>86</v>
      </c>
      <c r="M387" s="3" t="s">
        <v>25</v>
      </c>
      <c r="N387" s="5">
        <v>1.3615992789505689E-2</v>
      </c>
      <c r="O387" s="3" t="s">
        <v>7</v>
      </c>
    </row>
    <row r="388" spans="2:15" x14ac:dyDescent="0.45">
      <c r="B388" s="6" t="s">
        <v>84</v>
      </c>
      <c r="C388" s="6" t="s">
        <v>26</v>
      </c>
      <c r="D388" s="7">
        <v>1.8503646561328701E-2</v>
      </c>
      <c r="E388" s="6" t="s">
        <v>7</v>
      </c>
      <c r="G388" s="6" t="s">
        <v>85</v>
      </c>
      <c r="H388" s="6" t="s">
        <v>26</v>
      </c>
      <c r="I388" s="8">
        <v>1.5731243926934584E-2</v>
      </c>
      <c r="J388" s="6" t="s">
        <v>7</v>
      </c>
      <c r="L388" s="6" t="s">
        <v>86</v>
      </c>
      <c r="M388" s="6" t="s">
        <v>26</v>
      </c>
      <c r="N388" s="8">
        <v>1.3920466940101585E-2</v>
      </c>
      <c r="O388" s="6" t="s">
        <v>7</v>
      </c>
    </row>
    <row r="389" spans="2:15" x14ac:dyDescent="0.45">
      <c r="B389" s="3" t="s">
        <v>84</v>
      </c>
      <c r="C389" s="3" t="s">
        <v>27</v>
      </c>
      <c r="D389" s="4">
        <v>5.5791597204205262E-4</v>
      </c>
      <c r="E389" s="3" t="s">
        <v>7</v>
      </c>
      <c r="G389" s="3" t="s">
        <v>85</v>
      </c>
      <c r="H389" s="3" t="s">
        <v>27</v>
      </c>
      <c r="I389" s="5">
        <v>1.5174921997886472E-2</v>
      </c>
      <c r="J389" s="3" t="s">
        <v>7</v>
      </c>
      <c r="L389" s="3" t="s">
        <v>86</v>
      </c>
      <c r="M389" s="3" t="s">
        <v>27</v>
      </c>
      <c r="N389" s="5">
        <v>1.4124200260927025E-2</v>
      </c>
      <c r="O389" s="3" t="s">
        <v>7</v>
      </c>
    </row>
    <row r="390" spans="2:15" x14ac:dyDescent="0.45">
      <c r="B390" s="6" t="s">
        <v>84</v>
      </c>
      <c r="C390" s="6" t="s">
        <v>28</v>
      </c>
      <c r="D390" s="7">
        <v>0</v>
      </c>
      <c r="E390" s="6" t="s">
        <v>7</v>
      </c>
      <c r="G390" s="6" t="s">
        <v>85</v>
      </c>
      <c r="H390" s="6" t="s">
        <v>28</v>
      </c>
      <c r="I390" s="8">
        <v>2.19540172468667E-2</v>
      </c>
      <c r="J390" s="6" t="s">
        <v>7</v>
      </c>
      <c r="L390" s="6" t="s">
        <v>86</v>
      </c>
      <c r="M390" s="6" t="s">
        <v>28</v>
      </c>
      <c r="N390" s="8">
        <v>2.088634676999692E-2</v>
      </c>
      <c r="O390" s="6" t="s">
        <v>7</v>
      </c>
    </row>
    <row r="391" spans="2:15" x14ac:dyDescent="0.45">
      <c r="B391" s="3" t="s">
        <v>84</v>
      </c>
      <c r="C391" s="3" t="s">
        <v>29</v>
      </c>
      <c r="D391" s="4">
        <v>0</v>
      </c>
      <c r="E391" s="3" t="s">
        <v>7</v>
      </c>
      <c r="G391" s="3" t="s">
        <v>85</v>
      </c>
      <c r="H391" s="3" t="s">
        <v>29</v>
      </c>
      <c r="I391" s="5">
        <v>2.2920881741013723E-2</v>
      </c>
      <c r="J391" s="3" t="s">
        <v>7</v>
      </c>
      <c r="L391" s="3" t="s">
        <v>86</v>
      </c>
      <c r="M391" s="3" t="s">
        <v>29</v>
      </c>
      <c r="N391" s="5">
        <v>2.9077278107865447E-2</v>
      </c>
      <c r="O391" s="3" t="s">
        <v>7</v>
      </c>
    </row>
    <row r="392" spans="2:15" x14ac:dyDescent="0.45">
      <c r="B392" s="6" t="s">
        <v>84</v>
      </c>
      <c r="C392" s="6" t="s">
        <v>30</v>
      </c>
      <c r="D392" s="7">
        <v>2.382706692392671E-3</v>
      </c>
      <c r="E392" s="6" t="s">
        <v>7</v>
      </c>
      <c r="G392" s="6" t="s">
        <v>85</v>
      </c>
      <c r="H392" s="6" t="s">
        <v>30</v>
      </c>
      <c r="I392" s="8">
        <v>8.7552912361523877E-3</v>
      </c>
      <c r="J392" s="6" t="s">
        <v>7</v>
      </c>
      <c r="L392" s="6" t="s">
        <v>86</v>
      </c>
      <c r="M392" s="6" t="s">
        <v>30</v>
      </c>
      <c r="N392" s="8">
        <v>1.1551610752485068E-2</v>
      </c>
      <c r="O392" s="6" t="s">
        <v>7</v>
      </c>
    </row>
    <row r="393" spans="2:15" x14ac:dyDescent="0.45">
      <c r="B393" s="3" t="s">
        <v>84</v>
      </c>
      <c r="C393" s="3" t="s">
        <v>31</v>
      </c>
      <c r="D393" s="4">
        <v>1.9361698688287271E-2</v>
      </c>
      <c r="E393" s="3" t="s">
        <v>7</v>
      </c>
      <c r="G393" s="3" t="s">
        <v>85</v>
      </c>
      <c r="H393" s="3" t="s">
        <v>31</v>
      </c>
      <c r="I393" s="5">
        <v>9.4192566913394588E-3</v>
      </c>
      <c r="J393" s="3" t="s">
        <v>7</v>
      </c>
      <c r="L393" s="3" t="s">
        <v>86</v>
      </c>
      <c r="M393" s="3" t="s">
        <v>31</v>
      </c>
      <c r="N393" s="5">
        <v>1.1385468506648832E-2</v>
      </c>
      <c r="O393" s="3" t="s">
        <v>7</v>
      </c>
    </row>
    <row r="394" spans="2:15" x14ac:dyDescent="0.45">
      <c r="B394" s="6" t="s">
        <v>84</v>
      </c>
      <c r="C394" s="6" t="s">
        <v>32</v>
      </c>
      <c r="D394" s="7">
        <v>4.1722722056194067E-2</v>
      </c>
      <c r="E394" s="6" t="s">
        <v>7</v>
      </c>
      <c r="G394" s="6" t="s">
        <v>85</v>
      </c>
      <c r="H394" s="6" t="s">
        <v>32</v>
      </c>
      <c r="I394" s="8">
        <v>1.0683108590292579E-2</v>
      </c>
      <c r="J394" s="6" t="s">
        <v>7</v>
      </c>
      <c r="L394" s="6" t="s">
        <v>86</v>
      </c>
      <c r="M394" s="6" t="s">
        <v>32</v>
      </c>
      <c r="N394" s="8">
        <v>1.1333363614708596E-2</v>
      </c>
      <c r="O394" s="6" t="s">
        <v>7</v>
      </c>
    </row>
    <row r="395" spans="2:15" x14ac:dyDescent="0.45">
      <c r="B395" s="3" t="s">
        <v>84</v>
      </c>
      <c r="C395" s="3" t="s">
        <v>33</v>
      </c>
      <c r="D395" s="4">
        <v>5.4952721550678117E-2</v>
      </c>
      <c r="E395" s="3" t="s">
        <v>7</v>
      </c>
      <c r="G395" s="3" t="s">
        <v>85</v>
      </c>
      <c r="H395" s="3" t="s">
        <v>33</v>
      </c>
      <c r="I395" s="5">
        <v>1.2047020698369488E-2</v>
      </c>
      <c r="J395" s="3" t="s">
        <v>7</v>
      </c>
      <c r="L395" s="3" t="s">
        <v>86</v>
      </c>
      <c r="M395" s="3" t="s">
        <v>33</v>
      </c>
      <c r="N395" s="5">
        <v>1.1384204991866232E-2</v>
      </c>
      <c r="O395" s="3" t="s">
        <v>7</v>
      </c>
    </row>
    <row r="396" spans="2:15" x14ac:dyDescent="0.45">
      <c r="B396" s="6" t="s">
        <v>84</v>
      </c>
      <c r="C396" s="6" t="s">
        <v>34</v>
      </c>
      <c r="D396" s="7">
        <v>5.2763399740845783E-2</v>
      </c>
      <c r="E396" s="6" t="s">
        <v>7</v>
      </c>
      <c r="G396" s="6" t="s">
        <v>85</v>
      </c>
      <c r="H396" s="6" t="s">
        <v>34</v>
      </c>
      <c r="I396" s="8">
        <v>1.2897564765448406E-2</v>
      </c>
      <c r="J396" s="6" t="s">
        <v>7</v>
      </c>
      <c r="L396" s="6" t="s">
        <v>86</v>
      </c>
      <c r="M396" s="6" t="s">
        <v>34</v>
      </c>
      <c r="N396" s="8">
        <v>1.1357159476162212E-2</v>
      </c>
      <c r="O396" s="6" t="s">
        <v>7</v>
      </c>
    </row>
    <row r="397" spans="2:15" x14ac:dyDescent="0.45">
      <c r="B397" s="3" t="s">
        <v>84</v>
      </c>
      <c r="C397" s="3" t="s">
        <v>35</v>
      </c>
      <c r="D397" s="4">
        <v>4.1572779563939587E-2</v>
      </c>
      <c r="E397" s="3" t="s">
        <v>7</v>
      </c>
      <c r="G397" s="3" t="s">
        <v>85</v>
      </c>
      <c r="H397" s="3" t="s">
        <v>35</v>
      </c>
      <c r="I397" s="5">
        <v>1.3012356539993695E-2</v>
      </c>
      <c r="J397" s="3" t="s">
        <v>7</v>
      </c>
      <c r="L397" s="3" t="s">
        <v>86</v>
      </c>
      <c r="M397" s="3" t="s">
        <v>35</v>
      </c>
      <c r="N397" s="5">
        <v>1.1438630096308237E-2</v>
      </c>
      <c r="O397" s="3" t="s">
        <v>7</v>
      </c>
    </row>
    <row r="398" spans="2:15" x14ac:dyDescent="0.45">
      <c r="B398" s="6" t="s">
        <v>84</v>
      </c>
      <c r="C398" s="6" t="s">
        <v>36</v>
      </c>
      <c r="D398" s="7">
        <v>2.305193528887433E-2</v>
      </c>
      <c r="E398" s="6" t="s">
        <v>7</v>
      </c>
      <c r="G398" s="6" t="s">
        <v>85</v>
      </c>
      <c r="H398" s="6" t="s">
        <v>36</v>
      </c>
      <c r="I398" s="8">
        <v>1.1882198575596775E-2</v>
      </c>
      <c r="J398" s="6" t="s">
        <v>7</v>
      </c>
      <c r="L398" s="6" t="s">
        <v>86</v>
      </c>
      <c r="M398" s="6" t="s">
        <v>36</v>
      </c>
      <c r="N398" s="8">
        <v>1.1584235960652724E-2</v>
      </c>
      <c r="O398" s="6" t="s">
        <v>7</v>
      </c>
    </row>
    <row r="399" spans="2:15" x14ac:dyDescent="0.45">
      <c r="B399" s="3" t="s">
        <v>84</v>
      </c>
      <c r="C399" s="3" t="s">
        <v>37</v>
      </c>
      <c r="D399" s="4">
        <v>4.3006848305892137E-3</v>
      </c>
      <c r="E399" s="3" t="s">
        <v>7</v>
      </c>
      <c r="G399" s="3" t="s">
        <v>85</v>
      </c>
      <c r="H399" s="3" t="s">
        <v>37</v>
      </c>
      <c r="I399" s="5">
        <v>1.074945973133247E-2</v>
      </c>
      <c r="J399" s="3" t="s">
        <v>7</v>
      </c>
      <c r="L399" s="3" t="s">
        <v>86</v>
      </c>
      <c r="M399" s="3" t="s">
        <v>37</v>
      </c>
      <c r="N399" s="5">
        <v>1.1742091730952404E-2</v>
      </c>
      <c r="O399" s="3" t="s">
        <v>7</v>
      </c>
    </row>
    <row r="400" spans="2:15" x14ac:dyDescent="0.45">
      <c r="B400" s="6" t="s">
        <v>84</v>
      </c>
      <c r="C400" s="6" t="s">
        <v>38</v>
      </c>
      <c r="D400" s="7">
        <v>5.9620059497475274E-5</v>
      </c>
      <c r="E400" s="6" t="s">
        <v>7</v>
      </c>
      <c r="G400" s="6" t="s">
        <v>85</v>
      </c>
      <c r="H400" s="6" t="s">
        <v>38</v>
      </c>
      <c r="I400" s="8">
        <v>1.4561774798885716E-2</v>
      </c>
      <c r="J400" s="6" t="s">
        <v>7</v>
      </c>
      <c r="L400" s="6" t="s">
        <v>86</v>
      </c>
      <c r="M400" s="6" t="s">
        <v>38</v>
      </c>
      <c r="N400" s="8">
        <v>1.7299935596441413E-2</v>
      </c>
      <c r="O400" s="6" t="s">
        <v>7</v>
      </c>
    </row>
    <row r="401" spans="2:15" x14ac:dyDescent="0.45">
      <c r="B401" s="3" t="s">
        <v>84</v>
      </c>
      <c r="C401" s="3" t="s">
        <v>39</v>
      </c>
      <c r="D401" s="4">
        <v>0</v>
      </c>
      <c r="E401" s="3" t="s">
        <v>7</v>
      </c>
      <c r="G401" s="3" t="s">
        <v>85</v>
      </c>
      <c r="H401" s="3" t="s">
        <v>39</v>
      </c>
      <c r="I401" s="5">
        <v>1.6632189427208895E-2</v>
      </c>
      <c r="J401" s="3" t="s">
        <v>7</v>
      </c>
      <c r="L401" s="3" t="s">
        <v>86</v>
      </c>
      <c r="M401" s="3" t="s">
        <v>39</v>
      </c>
      <c r="N401" s="5">
        <v>3.1404645310460479E-2</v>
      </c>
      <c r="O401" s="3" t="s">
        <v>7</v>
      </c>
    </row>
    <row r="402" spans="2:15" x14ac:dyDescent="0.45">
      <c r="B402" s="6" t="s">
        <v>84</v>
      </c>
      <c r="C402" s="6" t="s">
        <v>40</v>
      </c>
      <c r="D402" s="7">
        <v>1.1968788394645759E-3</v>
      </c>
      <c r="E402" s="6" t="s">
        <v>7</v>
      </c>
      <c r="G402" s="6" t="s">
        <v>85</v>
      </c>
      <c r="H402" s="6" t="s">
        <v>40</v>
      </c>
      <c r="I402" s="8">
        <v>6.6484556792655043E-3</v>
      </c>
      <c r="J402" s="6" t="s">
        <v>7</v>
      </c>
      <c r="L402" s="6" t="s">
        <v>86</v>
      </c>
      <c r="M402" s="6" t="s">
        <v>40</v>
      </c>
      <c r="N402" s="8">
        <v>1.2524562835625804E-2</v>
      </c>
      <c r="O402" s="6" t="s">
        <v>7</v>
      </c>
    </row>
    <row r="403" spans="2:15" x14ac:dyDescent="0.45">
      <c r="B403" s="3" t="s">
        <v>84</v>
      </c>
      <c r="C403" s="3" t="s">
        <v>41</v>
      </c>
      <c r="D403" s="4">
        <v>1.4550563587365983E-2</v>
      </c>
      <c r="E403" s="3" t="s">
        <v>7</v>
      </c>
      <c r="G403" s="3" t="s">
        <v>85</v>
      </c>
      <c r="H403" s="3" t="s">
        <v>41</v>
      </c>
      <c r="I403" s="5">
        <v>7.8654434255525027E-3</v>
      </c>
      <c r="J403" s="3" t="s">
        <v>7</v>
      </c>
      <c r="L403" s="3" t="s">
        <v>86</v>
      </c>
      <c r="M403" s="3" t="s">
        <v>41</v>
      </c>
      <c r="N403" s="5">
        <v>1.2506501114561497E-2</v>
      </c>
      <c r="O403" s="3" t="s">
        <v>7</v>
      </c>
    </row>
    <row r="404" spans="2:15" x14ac:dyDescent="0.45">
      <c r="B404" s="6" t="s">
        <v>84</v>
      </c>
      <c r="C404" s="6" t="s">
        <v>42</v>
      </c>
      <c r="D404" s="7">
        <v>3.9532145075701755E-2</v>
      </c>
      <c r="E404" s="6" t="s">
        <v>7</v>
      </c>
      <c r="G404" s="6" t="s">
        <v>85</v>
      </c>
      <c r="H404" s="6" t="s">
        <v>42</v>
      </c>
      <c r="I404" s="8">
        <v>9.0978444167279324E-3</v>
      </c>
      <c r="J404" s="6" t="s">
        <v>7</v>
      </c>
      <c r="L404" s="6" t="s">
        <v>86</v>
      </c>
      <c r="M404" s="6" t="s">
        <v>42</v>
      </c>
      <c r="N404" s="8">
        <v>1.2353972901551175E-2</v>
      </c>
      <c r="O404" s="6" t="s">
        <v>7</v>
      </c>
    </row>
    <row r="405" spans="2:15" x14ac:dyDescent="0.45">
      <c r="B405" s="3" t="s">
        <v>84</v>
      </c>
      <c r="C405" s="3" t="s">
        <v>43</v>
      </c>
      <c r="D405" s="4">
        <v>5.5279735717865638E-2</v>
      </c>
      <c r="E405" s="3" t="s">
        <v>7</v>
      </c>
      <c r="G405" s="3" t="s">
        <v>85</v>
      </c>
      <c r="H405" s="3" t="s">
        <v>43</v>
      </c>
      <c r="I405" s="5">
        <v>1.0156548297331258E-2</v>
      </c>
      <c r="J405" s="3" t="s">
        <v>7</v>
      </c>
      <c r="L405" s="3" t="s">
        <v>86</v>
      </c>
      <c r="M405" s="3" t="s">
        <v>43</v>
      </c>
      <c r="N405" s="5">
        <v>1.2583402743975392E-2</v>
      </c>
      <c r="O405" s="3" t="s">
        <v>7</v>
      </c>
    </row>
    <row r="406" spans="2:15" x14ac:dyDescent="0.45">
      <c r="B406" s="6" t="s">
        <v>84</v>
      </c>
      <c r="C406" s="6" t="s">
        <v>44</v>
      </c>
      <c r="D406" s="7">
        <v>5.8818403530536585E-2</v>
      </c>
      <c r="E406" s="6" t="s">
        <v>7</v>
      </c>
      <c r="G406" s="6" t="s">
        <v>85</v>
      </c>
      <c r="H406" s="6" t="s">
        <v>44</v>
      </c>
      <c r="I406" s="8">
        <v>1.1021884551504057E-2</v>
      </c>
      <c r="J406" s="6" t="s">
        <v>7</v>
      </c>
      <c r="L406" s="6" t="s">
        <v>86</v>
      </c>
      <c r="M406" s="6" t="s">
        <v>44</v>
      </c>
      <c r="N406" s="8">
        <v>1.2603857413951938E-2</v>
      </c>
      <c r="O406" s="6" t="s">
        <v>7</v>
      </c>
    </row>
    <row r="407" spans="2:15" x14ac:dyDescent="0.45">
      <c r="B407" s="3" t="s">
        <v>84</v>
      </c>
      <c r="C407" s="3" t="s">
        <v>45</v>
      </c>
      <c r="D407" s="4">
        <v>4.7829286012197145E-2</v>
      </c>
      <c r="E407" s="3" t="s">
        <v>7</v>
      </c>
      <c r="G407" s="3" t="s">
        <v>85</v>
      </c>
      <c r="H407" s="3" t="s">
        <v>45</v>
      </c>
      <c r="I407" s="5">
        <v>1.0660237342889371E-2</v>
      </c>
      <c r="J407" s="3" t="s">
        <v>7</v>
      </c>
      <c r="L407" s="3" t="s">
        <v>86</v>
      </c>
      <c r="M407" s="3" t="s">
        <v>45</v>
      </c>
      <c r="N407" s="5">
        <v>1.2475557850882614E-2</v>
      </c>
      <c r="O407" s="3" t="s">
        <v>7</v>
      </c>
    </row>
    <row r="408" spans="2:15" x14ac:dyDescent="0.45">
      <c r="B408" s="6" t="s">
        <v>84</v>
      </c>
      <c r="C408" s="6" t="s">
        <v>46</v>
      </c>
      <c r="D408" s="7">
        <v>2.5630430741688331E-2</v>
      </c>
      <c r="E408" s="6" t="s">
        <v>7</v>
      </c>
      <c r="G408" s="6" t="s">
        <v>85</v>
      </c>
      <c r="H408" s="6" t="s">
        <v>46</v>
      </c>
      <c r="I408" s="8">
        <v>9.4369421460003648E-3</v>
      </c>
      <c r="J408" s="6" t="s">
        <v>7</v>
      </c>
      <c r="L408" s="6" t="s">
        <v>86</v>
      </c>
      <c r="M408" s="6" t="s">
        <v>46</v>
      </c>
      <c r="N408" s="8">
        <v>1.2357086372910019E-2</v>
      </c>
      <c r="O408" s="6" t="s">
        <v>7</v>
      </c>
    </row>
    <row r="409" spans="2:15" x14ac:dyDescent="0.45">
      <c r="B409" s="3" t="s">
        <v>84</v>
      </c>
      <c r="C409" s="3" t="s">
        <v>47</v>
      </c>
      <c r="D409" s="4">
        <v>3.7113525155432364E-3</v>
      </c>
      <c r="E409" s="3" t="s">
        <v>7</v>
      </c>
      <c r="G409" s="3" t="s">
        <v>85</v>
      </c>
      <c r="H409" s="3" t="s">
        <v>47</v>
      </c>
      <c r="I409" s="5">
        <v>7.9588977522773285E-3</v>
      </c>
      <c r="J409" s="3" t="s">
        <v>7</v>
      </c>
      <c r="L409" s="3" t="s">
        <v>86</v>
      </c>
      <c r="M409" s="3" t="s">
        <v>47</v>
      </c>
      <c r="N409" s="5">
        <v>1.2465166563489487E-2</v>
      </c>
      <c r="O409" s="3" t="s">
        <v>7</v>
      </c>
    </row>
    <row r="410" spans="2:15" x14ac:dyDescent="0.45">
      <c r="B410" s="6" t="s">
        <v>84</v>
      </c>
      <c r="C410" s="6" t="s">
        <v>48</v>
      </c>
      <c r="D410" s="7">
        <v>2.9189499333657069E-5</v>
      </c>
      <c r="E410" s="6" t="s">
        <v>7</v>
      </c>
      <c r="G410" s="6" t="s">
        <v>85</v>
      </c>
      <c r="H410" s="6" t="s">
        <v>48</v>
      </c>
      <c r="I410" s="8">
        <v>1.0691835336179466E-2</v>
      </c>
      <c r="J410" s="6" t="s">
        <v>7</v>
      </c>
      <c r="L410" s="6" t="s">
        <v>86</v>
      </c>
      <c r="M410" s="6" t="s">
        <v>48</v>
      </c>
      <c r="N410" s="8">
        <v>1.8510226576299783E-2</v>
      </c>
      <c r="O410" s="6" t="s">
        <v>7</v>
      </c>
    </row>
    <row r="411" spans="2:15" x14ac:dyDescent="0.45">
      <c r="B411" s="3" t="s">
        <v>84</v>
      </c>
      <c r="C411" s="3" t="s">
        <v>49</v>
      </c>
      <c r="D411" s="4">
        <v>0</v>
      </c>
      <c r="E411" s="3" t="s">
        <v>7</v>
      </c>
      <c r="G411" s="3" t="s">
        <v>85</v>
      </c>
      <c r="H411" s="3" t="s">
        <v>49</v>
      </c>
      <c r="I411" s="5">
        <v>3.2148442194629576E-2</v>
      </c>
      <c r="J411" s="3" t="s">
        <v>7</v>
      </c>
      <c r="L411" s="3" t="s">
        <v>86</v>
      </c>
      <c r="M411" s="3" t="s">
        <v>49</v>
      </c>
      <c r="N411" s="5">
        <v>3.1906347661696602E-2</v>
      </c>
      <c r="O411" s="3" t="s">
        <v>7</v>
      </c>
    </row>
    <row r="412" spans="2:15" x14ac:dyDescent="0.45">
      <c r="B412" s="6" t="s">
        <v>84</v>
      </c>
      <c r="C412" s="6" t="s">
        <v>50</v>
      </c>
      <c r="D412" s="7">
        <v>0</v>
      </c>
      <c r="E412" s="6" t="s">
        <v>7</v>
      </c>
      <c r="G412" s="6" t="s">
        <v>85</v>
      </c>
      <c r="H412" s="6" t="s">
        <v>50</v>
      </c>
      <c r="I412" s="8">
        <v>1.2414840092476918E-2</v>
      </c>
      <c r="J412" s="6" t="s">
        <v>7</v>
      </c>
      <c r="L412" s="6" t="s">
        <v>86</v>
      </c>
      <c r="M412" s="6" t="s">
        <v>50</v>
      </c>
      <c r="N412" s="8">
        <v>1.2647455357470028E-2</v>
      </c>
      <c r="O412" s="6" t="s">
        <v>7</v>
      </c>
    </row>
    <row r="413" spans="2:15" x14ac:dyDescent="0.45">
      <c r="B413" s="3" t="s">
        <v>84</v>
      </c>
      <c r="C413" s="3" t="s">
        <v>51</v>
      </c>
      <c r="D413" s="4">
        <v>3.790120463475489E-3</v>
      </c>
      <c r="E413" s="3" t="s">
        <v>7</v>
      </c>
      <c r="G413" s="3" t="s">
        <v>85</v>
      </c>
      <c r="H413" s="3" t="s">
        <v>51</v>
      </c>
      <c r="I413" s="5">
        <v>1.3021885141591329E-2</v>
      </c>
      <c r="J413" s="3" t="s">
        <v>7</v>
      </c>
      <c r="L413" s="3" t="s">
        <v>86</v>
      </c>
      <c r="M413" s="3" t="s">
        <v>51</v>
      </c>
      <c r="N413" s="5">
        <v>1.2683428677756172E-2</v>
      </c>
      <c r="O413" s="3" t="s">
        <v>7</v>
      </c>
    </row>
    <row r="414" spans="2:15" x14ac:dyDescent="0.45">
      <c r="B414" s="6" t="s">
        <v>84</v>
      </c>
      <c r="C414" s="6" t="s">
        <v>52</v>
      </c>
      <c r="D414" s="7">
        <v>2.1850261666367492E-2</v>
      </c>
      <c r="E414" s="6" t="s">
        <v>7</v>
      </c>
      <c r="G414" s="6" t="s">
        <v>85</v>
      </c>
      <c r="H414" s="6" t="s">
        <v>52</v>
      </c>
      <c r="I414" s="8">
        <v>1.4635159343033112E-2</v>
      </c>
      <c r="J414" s="6" t="s">
        <v>7</v>
      </c>
      <c r="L414" s="6" t="s">
        <v>86</v>
      </c>
      <c r="M414" s="6" t="s">
        <v>52</v>
      </c>
      <c r="N414" s="8">
        <v>1.2792970504023544E-2</v>
      </c>
      <c r="O414" s="6" t="s">
        <v>7</v>
      </c>
    </row>
    <row r="415" spans="2:15" x14ac:dyDescent="0.45">
      <c r="B415" s="3" t="s">
        <v>84</v>
      </c>
      <c r="C415" s="3" t="s">
        <v>53</v>
      </c>
      <c r="D415" s="4">
        <v>3.5835641653968943E-2</v>
      </c>
      <c r="E415" s="3" t="s">
        <v>7</v>
      </c>
      <c r="G415" s="3" t="s">
        <v>85</v>
      </c>
      <c r="H415" s="3" t="s">
        <v>53</v>
      </c>
      <c r="I415" s="5">
        <v>1.6047013915323274E-2</v>
      </c>
      <c r="J415" s="3" t="s">
        <v>7</v>
      </c>
      <c r="L415" s="3" t="s">
        <v>86</v>
      </c>
      <c r="M415" s="3" t="s">
        <v>53</v>
      </c>
      <c r="N415" s="5">
        <v>1.3170735884327562E-2</v>
      </c>
      <c r="O415" s="3" t="s">
        <v>7</v>
      </c>
    </row>
    <row r="416" spans="2:15" x14ac:dyDescent="0.45">
      <c r="B416" s="6" t="s">
        <v>84</v>
      </c>
      <c r="C416" s="6" t="s">
        <v>54</v>
      </c>
      <c r="D416" s="7">
        <v>3.5493396748928818E-2</v>
      </c>
      <c r="E416" s="6" t="s">
        <v>7</v>
      </c>
      <c r="G416" s="6" t="s">
        <v>85</v>
      </c>
      <c r="H416" s="6" t="s">
        <v>54</v>
      </c>
      <c r="I416" s="8">
        <v>1.6608426858816205E-2</v>
      </c>
      <c r="J416" s="6" t="s">
        <v>7</v>
      </c>
      <c r="L416" s="6" t="s">
        <v>86</v>
      </c>
      <c r="M416" s="6" t="s">
        <v>54</v>
      </c>
      <c r="N416" s="8">
        <v>1.3234668415656941E-2</v>
      </c>
      <c r="O416" s="6" t="s">
        <v>7</v>
      </c>
    </row>
    <row r="417" spans="2:15" x14ac:dyDescent="0.45">
      <c r="B417" s="3" t="s">
        <v>84</v>
      </c>
      <c r="C417" s="3" t="s">
        <v>55</v>
      </c>
      <c r="D417" s="4">
        <v>2.4619059509657978E-2</v>
      </c>
      <c r="E417" s="3" t="s">
        <v>7</v>
      </c>
      <c r="G417" s="3" t="s">
        <v>85</v>
      </c>
      <c r="H417" s="3" t="s">
        <v>55</v>
      </c>
      <c r="I417" s="5">
        <v>1.61613552231228E-2</v>
      </c>
      <c r="J417" s="3" t="s">
        <v>7</v>
      </c>
      <c r="L417" s="3" t="s">
        <v>86</v>
      </c>
      <c r="M417" s="3" t="s">
        <v>55</v>
      </c>
      <c r="N417" s="5">
        <v>1.324680693870584E-2</v>
      </c>
      <c r="O417" s="3" t="s">
        <v>7</v>
      </c>
    </row>
    <row r="418" spans="2:15" x14ac:dyDescent="0.45">
      <c r="B418" s="6" t="s">
        <v>84</v>
      </c>
      <c r="C418" s="6" t="s">
        <v>56</v>
      </c>
      <c r="D418" s="7">
        <v>6.7198718682924046E-3</v>
      </c>
      <c r="E418" s="6" t="s">
        <v>7</v>
      </c>
      <c r="G418" s="6" t="s">
        <v>85</v>
      </c>
      <c r="H418" s="6" t="s">
        <v>56</v>
      </c>
      <c r="I418" s="8">
        <v>1.4683561432271964E-2</v>
      </c>
      <c r="J418" s="6" t="s">
        <v>7</v>
      </c>
      <c r="L418" s="6" t="s">
        <v>86</v>
      </c>
      <c r="M418" s="6" t="s">
        <v>56</v>
      </c>
      <c r="N418" s="8">
        <v>1.3239957055460282E-2</v>
      </c>
      <c r="O418" s="6" t="s">
        <v>7</v>
      </c>
    </row>
    <row r="419" spans="2:15" x14ac:dyDescent="0.45">
      <c r="B419" s="3" t="s">
        <v>84</v>
      </c>
      <c r="C419" s="3" t="s">
        <v>57</v>
      </c>
      <c r="D419" s="4">
        <v>2.6726528850827874E-5</v>
      </c>
      <c r="E419" s="3" t="s">
        <v>7</v>
      </c>
      <c r="G419" s="3" t="s">
        <v>85</v>
      </c>
      <c r="H419" s="3" t="s">
        <v>57</v>
      </c>
      <c r="I419" s="5">
        <v>1.4077218874028203E-2</v>
      </c>
      <c r="J419" s="3" t="s">
        <v>7</v>
      </c>
      <c r="L419" s="3" t="s">
        <v>86</v>
      </c>
      <c r="M419" s="3" t="s">
        <v>57</v>
      </c>
      <c r="N419" s="5">
        <v>1.3168259673073498E-2</v>
      </c>
      <c r="O419" s="3" t="s">
        <v>7</v>
      </c>
    </row>
    <row r="420" spans="2:15" x14ac:dyDescent="0.45">
      <c r="B420" s="6" t="s">
        <v>84</v>
      </c>
      <c r="C420" s="6" t="s">
        <v>58</v>
      </c>
      <c r="D420" s="7">
        <v>0</v>
      </c>
      <c r="E420" s="6" t="s">
        <v>7</v>
      </c>
      <c r="G420" s="6" t="s">
        <v>85</v>
      </c>
      <c r="H420" s="6" t="s">
        <v>58</v>
      </c>
      <c r="I420" s="8">
        <v>2.0404804888723094E-2</v>
      </c>
      <c r="J420" s="6" t="s">
        <v>7</v>
      </c>
      <c r="L420" s="6" t="s">
        <v>86</v>
      </c>
      <c r="M420" s="6" t="s">
        <v>58</v>
      </c>
      <c r="N420" s="8">
        <v>1.9809236956044061E-2</v>
      </c>
      <c r="O420" s="6" t="s">
        <v>7</v>
      </c>
    </row>
    <row r="421" spans="2:15" x14ac:dyDescent="0.45">
      <c r="B421" s="3" t="s">
        <v>84</v>
      </c>
      <c r="C421" s="3" t="s">
        <v>59</v>
      </c>
      <c r="D421" s="4">
        <v>0</v>
      </c>
      <c r="E421" s="3" t="s">
        <v>7</v>
      </c>
      <c r="G421" s="3" t="s">
        <v>85</v>
      </c>
      <c r="H421" s="3" t="s">
        <v>59</v>
      </c>
      <c r="I421" s="5">
        <v>5.5084527376225767E-2</v>
      </c>
      <c r="J421" s="3" t="s">
        <v>7</v>
      </c>
      <c r="L421" s="3" t="s">
        <v>86</v>
      </c>
      <c r="M421" s="3" t="s">
        <v>59</v>
      </c>
      <c r="N421" s="5">
        <v>4.7953678705882297E-2</v>
      </c>
      <c r="O421" s="3" t="s">
        <v>7</v>
      </c>
    </row>
    <row r="422" spans="2:15" x14ac:dyDescent="0.45">
      <c r="B422" s="6" t="s">
        <v>84</v>
      </c>
      <c r="C422" s="6" t="s">
        <v>60</v>
      </c>
      <c r="D422" s="7">
        <v>0</v>
      </c>
      <c r="E422" s="6" t="s">
        <v>7</v>
      </c>
      <c r="G422" s="6" t="s">
        <v>85</v>
      </c>
      <c r="H422" s="6" t="s">
        <v>60</v>
      </c>
      <c r="I422" s="8">
        <v>2.0925841702814155E-2</v>
      </c>
      <c r="J422" s="6" t="s">
        <v>7</v>
      </c>
      <c r="L422" s="6" t="s">
        <v>86</v>
      </c>
      <c r="M422" s="6" t="s">
        <v>60</v>
      </c>
      <c r="N422" s="8">
        <v>1.8733367877565639E-2</v>
      </c>
      <c r="O422" s="6" t="s">
        <v>7</v>
      </c>
    </row>
    <row r="423" spans="2:15" x14ac:dyDescent="0.45">
      <c r="B423" s="3" t="s">
        <v>84</v>
      </c>
      <c r="C423" s="3" t="s">
        <v>61</v>
      </c>
      <c r="D423" s="4">
        <v>0</v>
      </c>
      <c r="E423" s="3" t="s">
        <v>7</v>
      </c>
      <c r="G423" s="3" t="s">
        <v>85</v>
      </c>
      <c r="H423" s="3" t="s">
        <v>61</v>
      </c>
      <c r="I423" s="5">
        <v>2.0669335157110395E-2</v>
      </c>
      <c r="J423" s="3" t="s">
        <v>7</v>
      </c>
      <c r="L423" s="3" t="s">
        <v>86</v>
      </c>
      <c r="M423" s="3" t="s">
        <v>61</v>
      </c>
      <c r="N423" s="5">
        <v>1.8213962217342474E-2</v>
      </c>
      <c r="O423" s="3" t="s">
        <v>7</v>
      </c>
    </row>
    <row r="424" spans="2:15" x14ac:dyDescent="0.45">
      <c r="B424" s="6" t="s">
        <v>84</v>
      </c>
      <c r="C424" s="6" t="s">
        <v>62</v>
      </c>
      <c r="D424" s="7">
        <v>9.5696958557864188E-3</v>
      </c>
      <c r="E424" s="6" t="s">
        <v>7</v>
      </c>
      <c r="G424" s="6" t="s">
        <v>85</v>
      </c>
      <c r="H424" s="6" t="s">
        <v>62</v>
      </c>
      <c r="I424" s="8">
        <v>2.0458182960979475E-2</v>
      </c>
      <c r="J424" s="6" t="s">
        <v>7</v>
      </c>
      <c r="L424" s="6" t="s">
        <v>86</v>
      </c>
      <c r="M424" s="6" t="s">
        <v>62</v>
      </c>
      <c r="N424" s="8">
        <v>1.7358783806992521E-2</v>
      </c>
      <c r="O424" s="6" t="s">
        <v>7</v>
      </c>
    </row>
    <row r="425" spans="2:15" x14ac:dyDescent="0.45">
      <c r="B425" s="3" t="s">
        <v>84</v>
      </c>
      <c r="C425" s="3" t="s">
        <v>63</v>
      </c>
      <c r="D425" s="4">
        <v>2.5233516764635509E-2</v>
      </c>
      <c r="E425" s="3" t="s">
        <v>7</v>
      </c>
      <c r="G425" s="3" t="s">
        <v>85</v>
      </c>
      <c r="H425" s="3" t="s">
        <v>63</v>
      </c>
      <c r="I425" s="5">
        <v>2.0844337905234853E-2</v>
      </c>
      <c r="J425" s="3" t="s">
        <v>7</v>
      </c>
      <c r="L425" s="3" t="s">
        <v>86</v>
      </c>
      <c r="M425" s="3" t="s">
        <v>63</v>
      </c>
      <c r="N425" s="5">
        <v>1.7008416828918647E-2</v>
      </c>
      <c r="O425" s="3" t="s">
        <v>7</v>
      </c>
    </row>
    <row r="426" spans="2:15" x14ac:dyDescent="0.45">
      <c r="B426" s="6" t="s">
        <v>84</v>
      </c>
      <c r="C426" s="6" t="s">
        <v>64</v>
      </c>
      <c r="D426" s="7">
        <v>2.6431194661357814E-2</v>
      </c>
      <c r="E426" s="6" t="s">
        <v>7</v>
      </c>
      <c r="G426" s="6" t="s">
        <v>85</v>
      </c>
      <c r="H426" s="6" t="s">
        <v>64</v>
      </c>
      <c r="I426" s="8">
        <v>2.1436651467653719E-2</v>
      </c>
      <c r="J426" s="6" t="s">
        <v>7</v>
      </c>
      <c r="L426" s="6" t="s">
        <v>86</v>
      </c>
      <c r="M426" s="6" t="s">
        <v>64</v>
      </c>
      <c r="N426" s="8">
        <v>1.7173687691043365E-2</v>
      </c>
      <c r="O426" s="6" t="s">
        <v>7</v>
      </c>
    </row>
    <row r="427" spans="2:15" x14ac:dyDescent="0.45">
      <c r="B427" s="3" t="s">
        <v>84</v>
      </c>
      <c r="C427" s="3" t="s">
        <v>65</v>
      </c>
      <c r="D427" s="4">
        <v>1.0170097794296418E-2</v>
      </c>
      <c r="E427" s="3" t="s">
        <v>7</v>
      </c>
      <c r="G427" s="3" t="s">
        <v>85</v>
      </c>
      <c r="H427" s="3" t="s">
        <v>65</v>
      </c>
      <c r="I427" s="5">
        <v>2.1144155971527169E-2</v>
      </c>
      <c r="J427" s="3" t="s">
        <v>7</v>
      </c>
      <c r="L427" s="3" t="s">
        <v>86</v>
      </c>
      <c r="M427" s="3" t="s">
        <v>65</v>
      </c>
      <c r="N427" s="5">
        <v>1.7724475126356606E-2</v>
      </c>
      <c r="O427" s="3" t="s">
        <v>7</v>
      </c>
    </row>
    <row r="428" spans="2:15" x14ac:dyDescent="0.45">
      <c r="B428" s="6" t="s">
        <v>84</v>
      </c>
      <c r="C428" s="6" t="s">
        <v>66</v>
      </c>
      <c r="D428" s="7">
        <v>0</v>
      </c>
      <c r="E428" s="6" t="s">
        <v>7</v>
      </c>
      <c r="G428" s="6" t="s">
        <v>85</v>
      </c>
      <c r="H428" s="6" t="s">
        <v>66</v>
      </c>
      <c r="I428" s="8">
        <v>2.0623240829347748E-2</v>
      </c>
      <c r="J428" s="6" t="s">
        <v>7</v>
      </c>
      <c r="L428" s="6" t="s">
        <v>86</v>
      </c>
      <c r="M428" s="6" t="s">
        <v>66</v>
      </c>
      <c r="N428" s="8">
        <v>1.7875952452684033E-2</v>
      </c>
      <c r="O428" s="6" t="s">
        <v>7</v>
      </c>
    </row>
    <row r="429" spans="2:15" x14ac:dyDescent="0.45">
      <c r="B429" s="3" t="s">
        <v>84</v>
      </c>
      <c r="C429" s="3" t="s">
        <v>67</v>
      </c>
      <c r="D429" s="4">
        <v>0</v>
      </c>
      <c r="E429" s="3" t="s">
        <v>7</v>
      </c>
      <c r="G429" s="3" t="s">
        <v>85</v>
      </c>
      <c r="H429" s="3" t="s">
        <v>67</v>
      </c>
      <c r="I429" s="5">
        <v>2.0894764585658528E-2</v>
      </c>
      <c r="J429" s="3" t="s">
        <v>7</v>
      </c>
      <c r="L429" s="3" t="s">
        <v>86</v>
      </c>
      <c r="M429" s="3" t="s">
        <v>67</v>
      </c>
      <c r="N429" s="5">
        <v>1.7934673784888847E-2</v>
      </c>
      <c r="O429" s="3" t="s">
        <v>7</v>
      </c>
    </row>
    <row r="430" spans="2:15" x14ac:dyDescent="0.45">
      <c r="B430" s="6" t="s">
        <v>84</v>
      </c>
      <c r="C430" s="6" t="s">
        <v>68</v>
      </c>
      <c r="D430" s="7">
        <v>0</v>
      </c>
      <c r="E430" s="6" t="s">
        <v>7</v>
      </c>
      <c r="G430" s="6" t="s">
        <v>85</v>
      </c>
      <c r="H430" s="6" t="s">
        <v>68</v>
      </c>
      <c r="I430" s="8">
        <v>3.233397746219599E-2</v>
      </c>
      <c r="J430" s="6" t="s">
        <v>7</v>
      </c>
      <c r="L430" s="6" t="s">
        <v>86</v>
      </c>
      <c r="M430" s="6" t="s">
        <v>68</v>
      </c>
      <c r="N430" s="8">
        <v>2.8212226889916706E-2</v>
      </c>
      <c r="O430" s="6" t="s">
        <v>7</v>
      </c>
    </row>
    <row r="431" spans="2:15" x14ac:dyDescent="0.45">
      <c r="B431" s="3" t="s">
        <v>87</v>
      </c>
      <c r="C431" s="3" t="s">
        <v>6</v>
      </c>
      <c r="D431" s="4">
        <v>0</v>
      </c>
      <c r="E431" s="3" t="s">
        <v>7</v>
      </c>
      <c r="G431" s="3" t="s">
        <v>88</v>
      </c>
      <c r="H431" s="3" t="s">
        <v>6</v>
      </c>
      <c r="I431" s="5">
        <v>3.8726381695866653E-2</v>
      </c>
      <c r="J431" s="3" t="s">
        <v>7</v>
      </c>
      <c r="L431" s="3" t="s">
        <v>89</v>
      </c>
      <c r="M431" s="3" t="s">
        <v>6</v>
      </c>
      <c r="N431" s="5">
        <v>3.9569487062665415E-2</v>
      </c>
      <c r="O431" s="3" t="s">
        <v>7</v>
      </c>
    </row>
    <row r="432" spans="2:15" x14ac:dyDescent="0.45">
      <c r="B432" s="6" t="s">
        <v>87</v>
      </c>
      <c r="C432" s="6" t="s">
        <v>10</v>
      </c>
      <c r="D432" s="7">
        <v>0</v>
      </c>
      <c r="E432" s="6" t="s">
        <v>7</v>
      </c>
      <c r="G432" s="6" t="s">
        <v>88</v>
      </c>
      <c r="H432" s="6" t="s">
        <v>10</v>
      </c>
      <c r="I432" s="8">
        <v>1.4899773554096701E-2</v>
      </c>
      <c r="J432" s="6" t="s">
        <v>7</v>
      </c>
      <c r="L432" s="6" t="s">
        <v>89</v>
      </c>
      <c r="M432" s="6" t="s">
        <v>10</v>
      </c>
      <c r="N432" s="8">
        <v>1.5563431152764885E-2</v>
      </c>
      <c r="O432" s="6" t="s">
        <v>7</v>
      </c>
    </row>
    <row r="433" spans="2:15" x14ac:dyDescent="0.45">
      <c r="B433" s="3" t="s">
        <v>87</v>
      </c>
      <c r="C433" s="3" t="s">
        <v>11</v>
      </c>
      <c r="D433" s="4">
        <v>2.5459328959159938E-6</v>
      </c>
      <c r="E433" s="3" t="s">
        <v>7</v>
      </c>
      <c r="G433" s="3" t="s">
        <v>88</v>
      </c>
      <c r="H433" s="3" t="s">
        <v>11</v>
      </c>
      <c r="I433" s="5">
        <v>1.4754437674413302E-2</v>
      </c>
      <c r="J433" s="3" t="s">
        <v>7</v>
      </c>
      <c r="L433" s="3" t="s">
        <v>89</v>
      </c>
      <c r="M433" s="3" t="s">
        <v>11</v>
      </c>
      <c r="N433" s="5">
        <v>1.5607159390413542E-2</v>
      </c>
      <c r="O433" s="3" t="s">
        <v>7</v>
      </c>
    </row>
    <row r="434" spans="2:15" x14ac:dyDescent="0.45">
      <c r="B434" s="6" t="s">
        <v>87</v>
      </c>
      <c r="C434" s="6" t="s">
        <v>12</v>
      </c>
      <c r="D434" s="7">
        <v>8.929486984922087E-3</v>
      </c>
      <c r="E434" s="6" t="s">
        <v>7</v>
      </c>
      <c r="G434" s="6" t="s">
        <v>88</v>
      </c>
      <c r="H434" s="6" t="s">
        <v>12</v>
      </c>
      <c r="I434" s="8">
        <v>1.5043135689512245E-2</v>
      </c>
      <c r="J434" s="6" t="s">
        <v>7</v>
      </c>
      <c r="L434" s="6" t="s">
        <v>89</v>
      </c>
      <c r="M434" s="6" t="s">
        <v>12</v>
      </c>
      <c r="N434" s="8">
        <v>1.553303491957745E-2</v>
      </c>
      <c r="O434" s="6" t="s">
        <v>7</v>
      </c>
    </row>
    <row r="435" spans="2:15" x14ac:dyDescent="0.45">
      <c r="B435" s="3" t="s">
        <v>87</v>
      </c>
      <c r="C435" s="3" t="s">
        <v>13</v>
      </c>
      <c r="D435" s="4">
        <v>2.5093863594541393E-2</v>
      </c>
      <c r="E435" s="3" t="s">
        <v>7</v>
      </c>
      <c r="G435" s="3" t="s">
        <v>88</v>
      </c>
      <c r="H435" s="3" t="s">
        <v>13</v>
      </c>
      <c r="I435" s="5">
        <v>1.5152290795860265E-2</v>
      </c>
      <c r="J435" s="3" t="s">
        <v>7</v>
      </c>
      <c r="L435" s="3" t="s">
        <v>89</v>
      </c>
      <c r="M435" s="3" t="s">
        <v>13</v>
      </c>
      <c r="N435" s="5">
        <v>1.5296140145213412E-2</v>
      </c>
      <c r="O435" s="3" t="s">
        <v>7</v>
      </c>
    </row>
    <row r="436" spans="2:15" x14ac:dyDescent="0.45">
      <c r="B436" s="6" t="s">
        <v>87</v>
      </c>
      <c r="C436" s="6" t="s">
        <v>14</v>
      </c>
      <c r="D436" s="7">
        <v>2.9929045206892355E-2</v>
      </c>
      <c r="E436" s="6" t="s">
        <v>7</v>
      </c>
      <c r="G436" s="6" t="s">
        <v>88</v>
      </c>
      <c r="H436" s="6" t="s">
        <v>14</v>
      </c>
      <c r="I436" s="8">
        <v>1.5636420482949626E-2</v>
      </c>
      <c r="J436" s="6" t="s">
        <v>7</v>
      </c>
      <c r="L436" s="6" t="s">
        <v>89</v>
      </c>
      <c r="M436" s="6" t="s">
        <v>14</v>
      </c>
      <c r="N436" s="8">
        <v>1.5018502196418671E-2</v>
      </c>
      <c r="O436" s="6" t="s">
        <v>7</v>
      </c>
    </row>
    <row r="437" spans="2:15" x14ac:dyDescent="0.45">
      <c r="B437" s="3" t="s">
        <v>87</v>
      </c>
      <c r="C437" s="3" t="s">
        <v>15</v>
      </c>
      <c r="D437" s="4">
        <v>1.9639811563092191E-2</v>
      </c>
      <c r="E437" s="3" t="s">
        <v>7</v>
      </c>
      <c r="G437" s="3" t="s">
        <v>88</v>
      </c>
      <c r="H437" s="3" t="s">
        <v>15</v>
      </c>
      <c r="I437" s="5">
        <v>1.5343215264316215E-2</v>
      </c>
      <c r="J437" s="3" t="s">
        <v>7</v>
      </c>
      <c r="L437" s="3" t="s">
        <v>89</v>
      </c>
      <c r="M437" s="3" t="s">
        <v>15</v>
      </c>
      <c r="N437" s="5">
        <v>1.5011677341527052E-2</v>
      </c>
      <c r="O437" s="3" t="s">
        <v>7</v>
      </c>
    </row>
    <row r="438" spans="2:15" x14ac:dyDescent="0.45">
      <c r="B438" s="6" t="s">
        <v>87</v>
      </c>
      <c r="C438" s="6" t="s">
        <v>16</v>
      </c>
      <c r="D438" s="7">
        <v>3.7063681946000668E-3</v>
      </c>
      <c r="E438" s="6" t="s">
        <v>7</v>
      </c>
      <c r="G438" s="6" t="s">
        <v>88</v>
      </c>
      <c r="H438" s="6" t="s">
        <v>16</v>
      </c>
      <c r="I438" s="8">
        <v>1.5184883499732647E-2</v>
      </c>
      <c r="J438" s="6" t="s">
        <v>7</v>
      </c>
      <c r="L438" s="6" t="s">
        <v>89</v>
      </c>
      <c r="M438" s="6" t="s">
        <v>16</v>
      </c>
      <c r="N438" s="8">
        <v>1.5133455653491185E-2</v>
      </c>
      <c r="O438" s="6" t="s">
        <v>7</v>
      </c>
    </row>
    <row r="439" spans="2:15" x14ac:dyDescent="0.45">
      <c r="B439" s="3" t="s">
        <v>87</v>
      </c>
      <c r="C439" s="3" t="s">
        <v>17</v>
      </c>
      <c r="D439" s="4">
        <v>0</v>
      </c>
      <c r="E439" s="3" t="s">
        <v>7</v>
      </c>
      <c r="G439" s="3" t="s">
        <v>88</v>
      </c>
      <c r="H439" s="3" t="s">
        <v>17</v>
      </c>
      <c r="I439" s="5">
        <v>1.5201086205343925E-2</v>
      </c>
      <c r="J439" s="3" t="s">
        <v>7</v>
      </c>
      <c r="L439" s="3" t="s">
        <v>89</v>
      </c>
      <c r="M439" s="3" t="s">
        <v>17</v>
      </c>
      <c r="N439" s="5">
        <v>1.5649476041165955E-2</v>
      </c>
      <c r="O439" s="3" t="s">
        <v>7</v>
      </c>
    </row>
    <row r="440" spans="2:15" x14ac:dyDescent="0.45">
      <c r="B440" s="6" t="s">
        <v>87</v>
      </c>
      <c r="C440" s="6" t="s">
        <v>18</v>
      </c>
      <c r="D440" s="7">
        <v>0</v>
      </c>
      <c r="E440" s="6" t="s">
        <v>7</v>
      </c>
      <c r="G440" s="6" t="s">
        <v>88</v>
      </c>
      <c r="H440" s="6" t="s">
        <v>18</v>
      </c>
      <c r="I440" s="8">
        <v>2.3519220666257942E-2</v>
      </c>
      <c r="J440" s="6" t="s">
        <v>7</v>
      </c>
      <c r="L440" s="6" t="s">
        <v>89</v>
      </c>
      <c r="M440" s="6" t="s">
        <v>18</v>
      </c>
      <c r="N440" s="8">
        <v>2.354559077169982E-2</v>
      </c>
      <c r="O440" s="6" t="s">
        <v>7</v>
      </c>
    </row>
    <row r="441" spans="2:15" x14ac:dyDescent="0.45">
      <c r="B441" s="3" t="s">
        <v>87</v>
      </c>
      <c r="C441" s="3" t="s">
        <v>19</v>
      </c>
      <c r="D441" s="4">
        <v>0</v>
      </c>
      <c r="E441" s="3" t="s">
        <v>7</v>
      </c>
      <c r="G441" s="3" t="s">
        <v>88</v>
      </c>
      <c r="H441" s="3" t="s">
        <v>19</v>
      </c>
      <c r="I441" s="5">
        <v>3.9455438784232882E-2</v>
      </c>
      <c r="J441" s="3" t="s">
        <v>7</v>
      </c>
      <c r="L441" s="3" t="s">
        <v>89</v>
      </c>
      <c r="M441" s="3" t="s">
        <v>19</v>
      </c>
      <c r="N441" s="5">
        <v>3.7658348342787827E-2</v>
      </c>
      <c r="O441" s="3" t="s">
        <v>7</v>
      </c>
    </row>
    <row r="442" spans="2:15" x14ac:dyDescent="0.45">
      <c r="B442" s="6" t="s">
        <v>87</v>
      </c>
      <c r="C442" s="6" t="s">
        <v>20</v>
      </c>
      <c r="D442" s="7">
        <v>3.4429937659353358E-5</v>
      </c>
      <c r="E442" s="6" t="s">
        <v>7</v>
      </c>
      <c r="G442" s="6" t="s">
        <v>88</v>
      </c>
      <c r="H442" s="6" t="s">
        <v>20</v>
      </c>
      <c r="I442" s="8">
        <v>1.5459095131254944E-2</v>
      </c>
      <c r="J442" s="6" t="s">
        <v>7</v>
      </c>
      <c r="L442" s="6" t="s">
        <v>89</v>
      </c>
      <c r="M442" s="6" t="s">
        <v>20</v>
      </c>
      <c r="N442" s="8">
        <v>1.4970882491141256E-2</v>
      </c>
      <c r="O442" s="6" t="s">
        <v>7</v>
      </c>
    </row>
    <row r="443" spans="2:15" x14ac:dyDescent="0.45">
      <c r="B443" s="3" t="s">
        <v>87</v>
      </c>
      <c r="C443" s="3" t="s">
        <v>21</v>
      </c>
      <c r="D443" s="4">
        <v>6.747557992124985E-3</v>
      </c>
      <c r="E443" s="3" t="s">
        <v>7</v>
      </c>
      <c r="G443" s="3" t="s">
        <v>88</v>
      </c>
      <c r="H443" s="3" t="s">
        <v>21</v>
      </c>
      <c r="I443" s="5">
        <v>1.5282839687486232E-2</v>
      </c>
      <c r="J443" s="3" t="s">
        <v>7</v>
      </c>
      <c r="L443" s="3" t="s">
        <v>89</v>
      </c>
      <c r="M443" s="3" t="s">
        <v>21</v>
      </c>
      <c r="N443" s="5">
        <v>1.520884405455847E-2</v>
      </c>
      <c r="O443" s="3" t="s">
        <v>7</v>
      </c>
    </row>
    <row r="444" spans="2:15" x14ac:dyDescent="0.45">
      <c r="B444" s="6" t="s">
        <v>87</v>
      </c>
      <c r="C444" s="6" t="s">
        <v>22</v>
      </c>
      <c r="D444" s="7">
        <v>3.2932351822827916E-2</v>
      </c>
      <c r="E444" s="6" t="s">
        <v>7</v>
      </c>
      <c r="G444" s="6" t="s">
        <v>88</v>
      </c>
      <c r="H444" s="6" t="s">
        <v>22</v>
      </c>
      <c r="I444" s="8">
        <v>1.7241536648925172E-2</v>
      </c>
      <c r="J444" s="6" t="s">
        <v>7</v>
      </c>
      <c r="L444" s="6" t="s">
        <v>89</v>
      </c>
      <c r="M444" s="6" t="s">
        <v>22</v>
      </c>
      <c r="N444" s="8">
        <v>1.5149470859399324E-2</v>
      </c>
      <c r="O444" s="6" t="s">
        <v>7</v>
      </c>
    </row>
    <row r="445" spans="2:15" x14ac:dyDescent="0.45">
      <c r="B445" s="3" t="s">
        <v>87</v>
      </c>
      <c r="C445" s="3" t="s">
        <v>23</v>
      </c>
      <c r="D445" s="4">
        <v>5.047170646554535E-2</v>
      </c>
      <c r="E445" s="3" t="s">
        <v>7</v>
      </c>
      <c r="G445" s="3" t="s">
        <v>88</v>
      </c>
      <c r="H445" s="3" t="s">
        <v>23</v>
      </c>
      <c r="I445" s="5">
        <v>1.762331183585809E-2</v>
      </c>
      <c r="J445" s="3" t="s">
        <v>7</v>
      </c>
      <c r="L445" s="3" t="s">
        <v>89</v>
      </c>
      <c r="M445" s="3" t="s">
        <v>23</v>
      </c>
      <c r="N445" s="5">
        <v>1.4757638380583712E-2</v>
      </c>
      <c r="O445" s="3" t="s">
        <v>7</v>
      </c>
    </row>
    <row r="446" spans="2:15" x14ac:dyDescent="0.45">
      <c r="B446" s="6" t="s">
        <v>87</v>
      </c>
      <c r="C446" s="6" t="s">
        <v>24</v>
      </c>
      <c r="D446" s="7">
        <v>5.2842216907150824E-2</v>
      </c>
      <c r="E446" s="6" t="s">
        <v>7</v>
      </c>
      <c r="G446" s="6" t="s">
        <v>88</v>
      </c>
      <c r="H446" s="6" t="s">
        <v>24</v>
      </c>
      <c r="I446" s="8">
        <v>1.7516074174670777E-2</v>
      </c>
      <c r="J446" s="6" t="s">
        <v>7</v>
      </c>
      <c r="L446" s="6" t="s">
        <v>89</v>
      </c>
      <c r="M446" s="6" t="s">
        <v>24</v>
      </c>
      <c r="N446" s="8">
        <v>1.4384238913881919E-2</v>
      </c>
      <c r="O446" s="6" t="s">
        <v>7</v>
      </c>
    </row>
    <row r="447" spans="2:15" x14ac:dyDescent="0.45">
      <c r="B447" s="3" t="s">
        <v>87</v>
      </c>
      <c r="C447" s="3" t="s">
        <v>25</v>
      </c>
      <c r="D447" s="4">
        <v>4.1048860763183627E-2</v>
      </c>
      <c r="E447" s="3" t="s">
        <v>7</v>
      </c>
      <c r="G447" s="3" t="s">
        <v>88</v>
      </c>
      <c r="H447" s="3" t="s">
        <v>25</v>
      </c>
      <c r="I447" s="5">
        <v>1.7237024922383444E-2</v>
      </c>
      <c r="J447" s="3" t="s">
        <v>7</v>
      </c>
      <c r="L447" s="3" t="s">
        <v>89</v>
      </c>
      <c r="M447" s="3" t="s">
        <v>25</v>
      </c>
      <c r="N447" s="5">
        <v>1.4145414626425556E-2</v>
      </c>
      <c r="O447" s="3" t="s">
        <v>7</v>
      </c>
    </row>
    <row r="448" spans="2:15" x14ac:dyDescent="0.45">
      <c r="B448" s="6" t="s">
        <v>87</v>
      </c>
      <c r="C448" s="6" t="s">
        <v>26</v>
      </c>
      <c r="D448" s="7">
        <v>1.8272590903743387E-2</v>
      </c>
      <c r="E448" s="6" t="s">
        <v>7</v>
      </c>
      <c r="G448" s="6" t="s">
        <v>88</v>
      </c>
      <c r="H448" s="6" t="s">
        <v>26</v>
      </c>
      <c r="I448" s="8">
        <v>1.5967861244857821E-2</v>
      </c>
      <c r="J448" s="6" t="s">
        <v>7</v>
      </c>
      <c r="L448" s="6" t="s">
        <v>89</v>
      </c>
      <c r="M448" s="6" t="s">
        <v>26</v>
      </c>
      <c r="N448" s="8">
        <v>1.419242686932219E-2</v>
      </c>
      <c r="O448" s="6" t="s">
        <v>7</v>
      </c>
    </row>
    <row r="449" spans="2:15" x14ac:dyDescent="0.45">
      <c r="B449" s="3" t="s">
        <v>87</v>
      </c>
      <c r="C449" s="3" t="s">
        <v>27</v>
      </c>
      <c r="D449" s="4">
        <v>8.7048702797826963E-4</v>
      </c>
      <c r="E449" s="3" t="s">
        <v>7</v>
      </c>
      <c r="G449" s="3" t="s">
        <v>88</v>
      </c>
      <c r="H449" s="3" t="s">
        <v>27</v>
      </c>
      <c r="I449" s="5">
        <v>1.5357844674436931E-2</v>
      </c>
      <c r="J449" s="3" t="s">
        <v>7</v>
      </c>
      <c r="L449" s="3" t="s">
        <v>89</v>
      </c>
      <c r="M449" s="3" t="s">
        <v>27</v>
      </c>
      <c r="N449" s="5">
        <v>1.4849514349362445E-2</v>
      </c>
      <c r="O449" s="3" t="s">
        <v>7</v>
      </c>
    </row>
    <row r="450" spans="2:15" x14ac:dyDescent="0.45">
      <c r="B450" s="6" t="s">
        <v>87</v>
      </c>
      <c r="C450" s="6" t="s">
        <v>28</v>
      </c>
      <c r="D450" s="7">
        <v>0</v>
      </c>
      <c r="E450" s="6" t="s">
        <v>7</v>
      </c>
      <c r="G450" s="6" t="s">
        <v>88</v>
      </c>
      <c r="H450" s="6" t="s">
        <v>28</v>
      </c>
      <c r="I450" s="8">
        <v>2.3947085869076425E-2</v>
      </c>
      <c r="J450" s="6" t="s">
        <v>7</v>
      </c>
      <c r="L450" s="6" t="s">
        <v>89</v>
      </c>
      <c r="M450" s="6" t="s">
        <v>28</v>
      </c>
      <c r="N450" s="8">
        <v>2.3210315883909784E-2</v>
      </c>
      <c r="O450" s="6" t="s">
        <v>7</v>
      </c>
    </row>
    <row r="451" spans="2:15" x14ac:dyDescent="0.45">
      <c r="B451" s="3" t="s">
        <v>87</v>
      </c>
      <c r="C451" s="3" t="s">
        <v>29</v>
      </c>
      <c r="D451" s="4">
        <v>0</v>
      </c>
      <c r="E451" s="3" t="s">
        <v>7</v>
      </c>
      <c r="G451" s="3" t="s">
        <v>88</v>
      </c>
      <c r="H451" s="3" t="s">
        <v>29</v>
      </c>
      <c r="I451" s="5">
        <v>2.7190557598165271E-2</v>
      </c>
      <c r="J451" s="3" t="s">
        <v>7</v>
      </c>
      <c r="L451" s="3" t="s">
        <v>89</v>
      </c>
      <c r="M451" s="3" t="s">
        <v>29</v>
      </c>
      <c r="N451" s="5">
        <v>2.8559833108384176E-2</v>
      </c>
      <c r="O451" s="3" t="s">
        <v>7</v>
      </c>
    </row>
    <row r="452" spans="2:15" x14ac:dyDescent="0.45">
      <c r="B452" s="6" t="s">
        <v>87</v>
      </c>
      <c r="C452" s="6" t="s">
        <v>30</v>
      </c>
      <c r="D452" s="7">
        <v>1.4337515421678976E-3</v>
      </c>
      <c r="E452" s="6" t="s">
        <v>7</v>
      </c>
      <c r="G452" s="6" t="s">
        <v>88</v>
      </c>
      <c r="H452" s="6" t="s">
        <v>30</v>
      </c>
      <c r="I452" s="8">
        <v>1.1425713310854646E-2</v>
      </c>
      <c r="J452" s="6" t="s">
        <v>7</v>
      </c>
      <c r="L452" s="6" t="s">
        <v>89</v>
      </c>
      <c r="M452" s="6" t="s">
        <v>30</v>
      </c>
      <c r="N452" s="8">
        <v>1.1301812883641812E-2</v>
      </c>
      <c r="O452" s="6" t="s">
        <v>7</v>
      </c>
    </row>
    <row r="453" spans="2:15" x14ac:dyDescent="0.45">
      <c r="B453" s="3" t="s">
        <v>87</v>
      </c>
      <c r="C453" s="3" t="s">
        <v>31</v>
      </c>
      <c r="D453" s="4">
        <v>1.4864335403537765E-2</v>
      </c>
      <c r="E453" s="3" t="s">
        <v>7</v>
      </c>
      <c r="G453" s="3" t="s">
        <v>88</v>
      </c>
      <c r="H453" s="3" t="s">
        <v>31</v>
      </c>
      <c r="I453" s="5">
        <v>1.1951652555885811E-2</v>
      </c>
      <c r="J453" s="3" t="s">
        <v>7</v>
      </c>
      <c r="L453" s="3" t="s">
        <v>89</v>
      </c>
      <c r="M453" s="3" t="s">
        <v>31</v>
      </c>
      <c r="N453" s="5">
        <v>1.1674959173019125E-2</v>
      </c>
      <c r="O453" s="3" t="s">
        <v>7</v>
      </c>
    </row>
    <row r="454" spans="2:15" x14ac:dyDescent="0.45">
      <c r="B454" s="6" t="s">
        <v>87</v>
      </c>
      <c r="C454" s="6" t="s">
        <v>32</v>
      </c>
      <c r="D454" s="7">
        <v>3.8442950980287251E-2</v>
      </c>
      <c r="E454" s="6" t="s">
        <v>7</v>
      </c>
      <c r="G454" s="6" t="s">
        <v>88</v>
      </c>
      <c r="H454" s="6" t="s">
        <v>32</v>
      </c>
      <c r="I454" s="8">
        <v>1.208477080479068E-2</v>
      </c>
      <c r="J454" s="6" t="s">
        <v>7</v>
      </c>
      <c r="L454" s="6" t="s">
        <v>89</v>
      </c>
      <c r="M454" s="6" t="s">
        <v>32</v>
      </c>
      <c r="N454" s="8">
        <v>1.1680355086392908E-2</v>
      </c>
      <c r="O454" s="6" t="s">
        <v>7</v>
      </c>
    </row>
    <row r="455" spans="2:15" x14ac:dyDescent="0.45">
      <c r="B455" s="3" t="s">
        <v>87</v>
      </c>
      <c r="C455" s="3" t="s">
        <v>33</v>
      </c>
      <c r="D455" s="4">
        <v>5.4605444282532035E-2</v>
      </c>
      <c r="E455" s="3" t="s">
        <v>7</v>
      </c>
      <c r="G455" s="3" t="s">
        <v>88</v>
      </c>
      <c r="H455" s="3" t="s">
        <v>33</v>
      </c>
      <c r="I455" s="5">
        <v>1.2247087249604997E-2</v>
      </c>
      <c r="J455" s="3" t="s">
        <v>7</v>
      </c>
      <c r="L455" s="3" t="s">
        <v>89</v>
      </c>
      <c r="M455" s="3" t="s">
        <v>33</v>
      </c>
      <c r="N455" s="5">
        <v>1.15382058957696E-2</v>
      </c>
      <c r="O455" s="3" t="s">
        <v>7</v>
      </c>
    </row>
    <row r="456" spans="2:15" x14ac:dyDescent="0.45">
      <c r="B456" s="6" t="s">
        <v>87</v>
      </c>
      <c r="C456" s="6" t="s">
        <v>34</v>
      </c>
      <c r="D456" s="7">
        <v>5.7196840159558636E-2</v>
      </c>
      <c r="E456" s="6" t="s">
        <v>7</v>
      </c>
      <c r="G456" s="6" t="s">
        <v>88</v>
      </c>
      <c r="H456" s="6" t="s">
        <v>34</v>
      </c>
      <c r="I456" s="8">
        <v>1.2375861504925676E-2</v>
      </c>
      <c r="J456" s="6" t="s">
        <v>7</v>
      </c>
      <c r="L456" s="6" t="s">
        <v>89</v>
      </c>
      <c r="M456" s="6" t="s">
        <v>34</v>
      </c>
      <c r="N456" s="8">
        <v>1.1924851060021944E-2</v>
      </c>
      <c r="O456" s="6" t="s">
        <v>7</v>
      </c>
    </row>
    <row r="457" spans="2:15" x14ac:dyDescent="0.45">
      <c r="B457" s="3" t="s">
        <v>87</v>
      </c>
      <c r="C457" s="3" t="s">
        <v>35</v>
      </c>
      <c r="D457" s="4">
        <v>4.8131511133674622E-2</v>
      </c>
      <c r="E457" s="3" t="s">
        <v>7</v>
      </c>
      <c r="G457" s="3" t="s">
        <v>88</v>
      </c>
      <c r="H457" s="3" t="s">
        <v>35</v>
      </c>
      <c r="I457" s="5">
        <v>1.2436424060936721E-2</v>
      </c>
      <c r="J457" s="3" t="s">
        <v>7</v>
      </c>
      <c r="L457" s="3" t="s">
        <v>89</v>
      </c>
      <c r="M457" s="3" t="s">
        <v>35</v>
      </c>
      <c r="N457" s="5">
        <v>1.2259246854128474E-2</v>
      </c>
      <c r="O457" s="3" t="s">
        <v>7</v>
      </c>
    </row>
    <row r="458" spans="2:15" x14ac:dyDescent="0.45">
      <c r="B458" s="6" t="s">
        <v>87</v>
      </c>
      <c r="C458" s="6" t="s">
        <v>36</v>
      </c>
      <c r="D458" s="7">
        <v>2.6994562146690538E-2</v>
      </c>
      <c r="E458" s="6" t="s">
        <v>7</v>
      </c>
      <c r="G458" s="6" t="s">
        <v>88</v>
      </c>
      <c r="H458" s="6" t="s">
        <v>36</v>
      </c>
      <c r="I458" s="8">
        <v>1.1871269644225024E-2</v>
      </c>
      <c r="J458" s="6" t="s">
        <v>7</v>
      </c>
      <c r="L458" s="6" t="s">
        <v>89</v>
      </c>
      <c r="M458" s="6" t="s">
        <v>36</v>
      </c>
      <c r="N458" s="8">
        <v>1.2259780157563288E-2</v>
      </c>
      <c r="O458" s="6" t="s">
        <v>7</v>
      </c>
    </row>
    <row r="459" spans="2:15" x14ac:dyDescent="0.45">
      <c r="B459" s="3" t="s">
        <v>87</v>
      </c>
      <c r="C459" s="3" t="s">
        <v>37</v>
      </c>
      <c r="D459" s="4">
        <v>4.9245165987463271E-3</v>
      </c>
      <c r="E459" s="3" t="s">
        <v>7</v>
      </c>
      <c r="G459" s="3" t="s">
        <v>88</v>
      </c>
      <c r="H459" s="3" t="s">
        <v>37</v>
      </c>
      <c r="I459" s="5">
        <v>1.0886788121244049E-2</v>
      </c>
      <c r="J459" s="3" t="s">
        <v>7</v>
      </c>
      <c r="L459" s="3" t="s">
        <v>89</v>
      </c>
      <c r="M459" s="3" t="s">
        <v>37</v>
      </c>
      <c r="N459" s="5">
        <v>1.221282081614818E-2</v>
      </c>
      <c r="O459" s="3" t="s">
        <v>7</v>
      </c>
    </row>
    <row r="460" spans="2:15" x14ac:dyDescent="0.45">
      <c r="B460" s="6" t="s">
        <v>87</v>
      </c>
      <c r="C460" s="6" t="s">
        <v>38</v>
      </c>
      <c r="D460" s="7">
        <v>6.486685075562579E-5</v>
      </c>
      <c r="E460" s="6" t="s">
        <v>7</v>
      </c>
      <c r="G460" s="6" t="s">
        <v>88</v>
      </c>
      <c r="H460" s="6" t="s">
        <v>38</v>
      </c>
      <c r="I460" s="8">
        <v>1.5844451610742803E-2</v>
      </c>
      <c r="J460" s="6" t="s">
        <v>7</v>
      </c>
      <c r="L460" s="6" t="s">
        <v>89</v>
      </c>
      <c r="M460" s="6" t="s">
        <v>38</v>
      </c>
      <c r="N460" s="8">
        <v>1.7852346699283515E-2</v>
      </c>
      <c r="O460" s="6" t="s">
        <v>7</v>
      </c>
    </row>
    <row r="461" spans="2:15" x14ac:dyDescent="0.45">
      <c r="B461" s="3" t="s">
        <v>87</v>
      </c>
      <c r="C461" s="3" t="s">
        <v>39</v>
      </c>
      <c r="D461" s="4">
        <v>0</v>
      </c>
      <c r="E461" s="3" t="s">
        <v>7</v>
      </c>
      <c r="G461" s="3" t="s">
        <v>88</v>
      </c>
      <c r="H461" s="3" t="s">
        <v>39</v>
      </c>
      <c r="I461" s="5">
        <v>1.8374941472416199E-2</v>
      </c>
      <c r="J461" s="3" t="s">
        <v>7</v>
      </c>
      <c r="L461" s="3" t="s">
        <v>89</v>
      </c>
      <c r="M461" s="3" t="s">
        <v>39</v>
      </c>
      <c r="N461" s="5">
        <v>2.2389720345966611E-2</v>
      </c>
      <c r="O461" s="3" t="s">
        <v>7</v>
      </c>
    </row>
    <row r="462" spans="2:15" x14ac:dyDescent="0.45">
      <c r="B462" s="6" t="s">
        <v>87</v>
      </c>
      <c r="C462" s="6" t="s">
        <v>40</v>
      </c>
      <c r="D462" s="7">
        <v>8.0769230954562399E-4</v>
      </c>
      <c r="E462" s="6" t="s">
        <v>7</v>
      </c>
      <c r="G462" s="6" t="s">
        <v>88</v>
      </c>
      <c r="H462" s="6" t="s">
        <v>40</v>
      </c>
      <c r="I462" s="8">
        <v>7.4489529971893771E-3</v>
      </c>
      <c r="J462" s="6" t="s">
        <v>7</v>
      </c>
      <c r="L462" s="6" t="s">
        <v>89</v>
      </c>
      <c r="M462" s="6" t="s">
        <v>40</v>
      </c>
      <c r="N462" s="8">
        <v>8.5621489267266402E-3</v>
      </c>
      <c r="O462" s="6" t="s">
        <v>7</v>
      </c>
    </row>
    <row r="463" spans="2:15" x14ac:dyDescent="0.45">
      <c r="B463" s="3" t="s">
        <v>87</v>
      </c>
      <c r="C463" s="3" t="s">
        <v>41</v>
      </c>
      <c r="D463" s="4">
        <v>1.2961573487570701E-2</v>
      </c>
      <c r="E463" s="3" t="s">
        <v>7</v>
      </c>
      <c r="G463" s="3" t="s">
        <v>88</v>
      </c>
      <c r="H463" s="3" t="s">
        <v>41</v>
      </c>
      <c r="I463" s="5">
        <v>7.8531316356717125E-3</v>
      </c>
      <c r="J463" s="3" t="s">
        <v>7</v>
      </c>
      <c r="L463" s="3" t="s">
        <v>89</v>
      </c>
      <c r="M463" s="3" t="s">
        <v>41</v>
      </c>
      <c r="N463" s="5">
        <v>8.6931575322824039E-3</v>
      </c>
      <c r="O463" s="3" t="s">
        <v>7</v>
      </c>
    </row>
    <row r="464" spans="2:15" x14ac:dyDescent="0.45">
      <c r="B464" s="6" t="s">
        <v>87</v>
      </c>
      <c r="C464" s="6" t="s">
        <v>42</v>
      </c>
      <c r="D464" s="7">
        <v>3.8044727055681668E-2</v>
      </c>
      <c r="E464" s="6" t="s">
        <v>7</v>
      </c>
      <c r="G464" s="6" t="s">
        <v>88</v>
      </c>
      <c r="H464" s="6" t="s">
        <v>42</v>
      </c>
      <c r="I464" s="8">
        <v>8.0990508106855534E-3</v>
      </c>
      <c r="J464" s="6" t="s">
        <v>7</v>
      </c>
      <c r="L464" s="6" t="s">
        <v>89</v>
      </c>
      <c r="M464" s="6" t="s">
        <v>42</v>
      </c>
      <c r="N464" s="8">
        <v>8.1742610234794722E-3</v>
      </c>
      <c r="O464" s="6" t="s">
        <v>7</v>
      </c>
    </row>
    <row r="465" spans="2:15" x14ac:dyDescent="0.45">
      <c r="B465" s="3" t="s">
        <v>87</v>
      </c>
      <c r="C465" s="3" t="s">
        <v>43</v>
      </c>
      <c r="D465" s="4">
        <v>5.4580853758871138E-2</v>
      </c>
      <c r="E465" s="3" t="s">
        <v>7</v>
      </c>
      <c r="G465" s="3" t="s">
        <v>88</v>
      </c>
      <c r="H465" s="3" t="s">
        <v>43</v>
      </c>
      <c r="I465" s="5">
        <v>8.0817676508851567E-3</v>
      </c>
      <c r="J465" s="3" t="s">
        <v>7</v>
      </c>
      <c r="L465" s="3" t="s">
        <v>89</v>
      </c>
      <c r="M465" s="3" t="s">
        <v>43</v>
      </c>
      <c r="N465" s="5">
        <v>7.97400780980413E-3</v>
      </c>
      <c r="O465" s="3" t="s">
        <v>7</v>
      </c>
    </row>
    <row r="466" spans="2:15" x14ac:dyDescent="0.45">
      <c r="B466" s="6" t="s">
        <v>87</v>
      </c>
      <c r="C466" s="6" t="s">
        <v>44</v>
      </c>
      <c r="D466" s="7">
        <v>5.707795915639613E-2</v>
      </c>
      <c r="E466" s="6" t="s">
        <v>7</v>
      </c>
      <c r="G466" s="6" t="s">
        <v>88</v>
      </c>
      <c r="H466" s="6" t="s">
        <v>44</v>
      </c>
      <c r="I466" s="8">
        <v>8.6257298888607805E-3</v>
      </c>
      <c r="J466" s="6" t="s">
        <v>7</v>
      </c>
      <c r="L466" s="6" t="s">
        <v>89</v>
      </c>
      <c r="M466" s="6" t="s">
        <v>44</v>
      </c>
      <c r="N466" s="8">
        <v>8.243266330337928E-3</v>
      </c>
      <c r="O466" s="6" t="s">
        <v>7</v>
      </c>
    </row>
    <row r="467" spans="2:15" x14ac:dyDescent="0.45">
      <c r="B467" s="3" t="s">
        <v>87</v>
      </c>
      <c r="C467" s="3" t="s">
        <v>45</v>
      </c>
      <c r="D467" s="4">
        <v>4.7392200820239982E-2</v>
      </c>
      <c r="E467" s="3" t="s">
        <v>7</v>
      </c>
      <c r="G467" s="3" t="s">
        <v>88</v>
      </c>
      <c r="H467" s="3" t="s">
        <v>45</v>
      </c>
      <c r="I467" s="5">
        <v>8.3230583606262523E-3</v>
      </c>
      <c r="J467" s="3" t="s">
        <v>7</v>
      </c>
      <c r="L467" s="3" t="s">
        <v>89</v>
      </c>
      <c r="M467" s="3" t="s">
        <v>45</v>
      </c>
      <c r="N467" s="5">
        <v>8.5559728152626059E-3</v>
      </c>
      <c r="O467" s="3" t="s">
        <v>7</v>
      </c>
    </row>
    <row r="468" spans="2:15" x14ac:dyDescent="0.45">
      <c r="B468" s="6" t="s">
        <v>87</v>
      </c>
      <c r="C468" s="6" t="s">
        <v>46</v>
      </c>
      <c r="D468" s="7">
        <v>2.5675774356715114E-2</v>
      </c>
      <c r="E468" s="6" t="s">
        <v>7</v>
      </c>
      <c r="G468" s="6" t="s">
        <v>88</v>
      </c>
      <c r="H468" s="6" t="s">
        <v>46</v>
      </c>
      <c r="I468" s="8">
        <v>7.4575648453545024E-3</v>
      </c>
      <c r="J468" s="6" t="s">
        <v>7</v>
      </c>
      <c r="L468" s="6" t="s">
        <v>89</v>
      </c>
      <c r="M468" s="6" t="s">
        <v>46</v>
      </c>
      <c r="N468" s="8">
        <v>8.7626335006501209E-3</v>
      </c>
      <c r="O468" s="6" t="s">
        <v>7</v>
      </c>
    </row>
    <row r="469" spans="2:15" x14ac:dyDescent="0.45">
      <c r="B469" s="3" t="s">
        <v>87</v>
      </c>
      <c r="C469" s="3" t="s">
        <v>47</v>
      </c>
      <c r="D469" s="4">
        <v>4.2102367171946821E-3</v>
      </c>
      <c r="E469" s="3" t="s">
        <v>7</v>
      </c>
      <c r="G469" s="3" t="s">
        <v>88</v>
      </c>
      <c r="H469" s="3" t="s">
        <v>47</v>
      </c>
      <c r="I469" s="5">
        <v>6.8027600670240527E-3</v>
      </c>
      <c r="J469" s="3" t="s">
        <v>7</v>
      </c>
      <c r="L469" s="3" t="s">
        <v>89</v>
      </c>
      <c r="M469" s="3" t="s">
        <v>47</v>
      </c>
      <c r="N469" s="5">
        <v>8.9870250581176956E-3</v>
      </c>
      <c r="O469" s="3" t="s">
        <v>7</v>
      </c>
    </row>
    <row r="470" spans="2:15" x14ac:dyDescent="0.45">
      <c r="B470" s="6" t="s">
        <v>87</v>
      </c>
      <c r="C470" s="6" t="s">
        <v>48</v>
      </c>
      <c r="D470" s="7">
        <v>3.6914975465692602E-5</v>
      </c>
      <c r="E470" s="6" t="s">
        <v>7</v>
      </c>
      <c r="G470" s="6" t="s">
        <v>88</v>
      </c>
      <c r="H470" s="6" t="s">
        <v>48</v>
      </c>
      <c r="I470" s="8">
        <v>1.047214476272605E-2</v>
      </c>
      <c r="J470" s="6" t="s">
        <v>7</v>
      </c>
      <c r="L470" s="6" t="s">
        <v>89</v>
      </c>
      <c r="M470" s="6" t="s">
        <v>48</v>
      </c>
      <c r="N470" s="8">
        <v>1.3435190655921175E-2</v>
      </c>
      <c r="O470" s="6" t="s">
        <v>7</v>
      </c>
    </row>
    <row r="471" spans="2:15" x14ac:dyDescent="0.45">
      <c r="B471" s="3" t="s">
        <v>87</v>
      </c>
      <c r="C471" s="3" t="s">
        <v>49</v>
      </c>
      <c r="D471" s="4">
        <v>0</v>
      </c>
      <c r="E471" s="3" t="s">
        <v>7</v>
      </c>
      <c r="G471" s="3" t="s">
        <v>88</v>
      </c>
      <c r="H471" s="3" t="s">
        <v>49</v>
      </c>
      <c r="I471" s="5">
        <v>3.1439014836592172E-2</v>
      </c>
      <c r="J471" s="3" t="s">
        <v>7</v>
      </c>
      <c r="L471" s="3" t="s">
        <v>89</v>
      </c>
      <c r="M471" s="3" t="s">
        <v>49</v>
      </c>
      <c r="N471" s="5">
        <v>3.6430719697134385E-2</v>
      </c>
      <c r="O471" s="3" t="s">
        <v>7</v>
      </c>
    </row>
    <row r="472" spans="2:15" x14ac:dyDescent="0.45">
      <c r="B472" s="6" t="s">
        <v>87</v>
      </c>
      <c r="C472" s="6" t="s">
        <v>50</v>
      </c>
      <c r="D472" s="7">
        <v>0</v>
      </c>
      <c r="E472" s="6" t="s">
        <v>7</v>
      </c>
      <c r="G472" s="6" t="s">
        <v>88</v>
      </c>
      <c r="H472" s="6" t="s">
        <v>50</v>
      </c>
      <c r="I472" s="8">
        <v>1.2992626231484261E-2</v>
      </c>
      <c r="J472" s="6" t="s">
        <v>7</v>
      </c>
      <c r="L472" s="6" t="s">
        <v>89</v>
      </c>
      <c r="M472" s="6" t="s">
        <v>50</v>
      </c>
      <c r="N472" s="8">
        <v>1.4473145061873282E-2</v>
      </c>
      <c r="O472" s="6" t="s">
        <v>7</v>
      </c>
    </row>
    <row r="473" spans="2:15" x14ac:dyDescent="0.45">
      <c r="B473" s="3" t="s">
        <v>87</v>
      </c>
      <c r="C473" s="3" t="s">
        <v>51</v>
      </c>
      <c r="D473" s="4">
        <v>3.2689810464529502E-3</v>
      </c>
      <c r="E473" s="3" t="s">
        <v>7</v>
      </c>
      <c r="G473" s="3" t="s">
        <v>88</v>
      </c>
      <c r="H473" s="3" t="s">
        <v>51</v>
      </c>
      <c r="I473" s="5">
        <v>1.350429756879214E-2</v>
      </c>
      <c r="J473" s="3" t="s">
        <v>7</v>
      </c>
      <c r="L473" s="3" t="s">
        <v>89</v>
      </c>
      <c r="M473" s="3" t="s">
        <v>51</v>
      </c>
      <c r="N473" s="5">
        <v>1.4704905275072134E-2</v>
      </c>
      <c r="O473" s="3" t="s">
        <v>7</v>
      </c>
    </row>
    <row r="474" spans="2:15" x14ac:dyDescent="0.45">
      <c r="B474" s="6" t="s">
        <v>87</v>
      </c>
      <c r="C474" s="6" t="s">
        <v>52</v>
      </c>
      <c r="D474" s="7">
        <v>2.2879769322967078E-2</v>
      </c>
      <c r="E474" s="6" t="s">
        <v>7</v>
      </c>
      <c r="G474" s="6" t="s">
        <v>88</v>
      </c>
      <c r="H474" s="6" t="s">
        <v>52</v>
      </c>
      <c r="I474" s="8">
        <v>1.4845883399528947E-2</v>
      </c>
      <c r="J474" s="6" t="s">
        <v>7</v>
      </c>
      <c r="L474" s="6" t="s">
        <v>89</v>
      </c>
      <c r="M474" s="6" t="s">
        <v>52</v>
      </c>
      <c r="N474" s="8">
        <v>1.5042232699548359E-2</v>
      </c>
      <c r="O474" s="6" t="s">
        <v>7</v>
      </c>
    </row>
    <row r="475" spans="2:15" x14ac:dyDescent="0.45">
      <c r="B475" s="3" t="s">
        <v>87</v>
      </c>
      <c r="C475" s="3" t="s">
        <v>53</v>
      </c>
      <c r="D475" s="4">
        <v>3.7542037456744531E-2</v>
      </c>
      <c r="E475" s="3" t="s">
        <v>7</v>
      </c>
      <c r="G475" s="3" t="s">
        <v>88</v>
      </c>
      <c r="H475" s="3" t="s">
        <v>53</v>
      </c>
      <c r="I475" s="5">
        <v>1.5730224186942292E-2</v>
      </c>
      <c r="J475" s="3" t="s">
        <v>7</v>
      </c>
      <c r="L475" s="3" t="s">
        <v>89</v>
      </c>
      <c r="M475" s="3" t="s">
        <v>53</v>
      </c>
      <c r="N475" s="5">
        <v>1.4974256662977036E-2</v>
      </c>
      <c r="O475" s="3" t="s">
        <v>7</v>
      </c>
    </row>
    <row r="476" spans="2:15" x14ac:dyDescent="0.45">
      <c r="B476" s="6" t="s">
        <v>87</v>
      </c>
      <c r="C476" s="6" t="s">
        <v>54</v>
      </c>
      <c r="D476" s="7">
        <v>3.7046148053775395E-2</v>
      </c>
      <c r="E476" s="6" t="s">
        <v>7</v>
      </c>
      <c r="G476" s="6" t="s">
        <v>88</v>
      </c>
      <c r="H476" s="6" t="s">
        <v>54</v>
      </c>
      <c r="I476" s="8">
        <v>1.5495122019635548E-2</v>
      </c>
      <c r="J476" s="6" t="s">
        <v>7</v>
      </c>
      <c r="L476" s="6" t="s">
        <v>89</v>
      </c>
      <c r="M476" s="6" t="s">
        <v>54</v>
      </c>
      <c r="N476" s="8">
        <v>1.4710923078213475E-2</v>
      </c>
      <c r="O476" s="6" t="s">
        <v>7</v>
      </c>
    </row>
    <row r="477" spans="2:15" x14ac:dyDescent="0.45">
      <c r="B477" s="3" t="s">
        <v>87</v>
      </c>
      <c r="C477" s="3" t="s">
        <v>55</v>
      </c>
      <c r="D477" s="4">
        <v>2.6442275199438332E-2</v>
      </c>
      <c r="E477" s="3" t="s">
        <v>7</v>
      </c>
      <c r="G477" s="3" t="s">
        <v>88</v>
      </c>
      <c r="H477" s="3" t="s">
        <v>55</v>
      </c>
      <c r="I477" s="5">
        <v>1.4545449623970235E-2</v>
      </c>
      <c r="J477" s="3" t="s">
        <v>7</v>
      </c>
      <c r="L477" s="3" t="s">
        <v>89</v>
      </c>
      <c r="M477" s="3" t="s">
        <v>55</v>
      </c>
      <c r="N477" s="5">
        <v>1.4791699833304287E-2</v>
      </c>
      <c r="O477" s="3" t="s">
        <v>7</v>
      </c>
    </row>
    <row r="478" spans="2:15" x14ac:dyDescent="0.45">
      <c r="B478" s="6" t="s">
        <v>87</v>
      </c>
      <c r="C478" s="6" t="s">
        <v>56</v>
      </c>
      <c r="D478" s="7">
        <v>8.1080172258544483E-3</v>
      </c>
      <c r="E478" s="6" t="s">
        <v>7</v>
      </c>
      <c r="G478" s="6" t="s">
        <v>88</v>
      </c>
      <c r="H478" s="6" t="s">
        <v>56</v>
      </c>
      <c r="I478" s="8">
        <v>1.297239489102092E-2</v>
      </c>
      <c r="J478" s="6" t="s">
        <v>7</v>
      </c>
      <c r="L478" s="6" t="s">
        <v>89</v>
      </c>
      <c r="M478" s="6" t="s">
        <v>56</v>
      </c>
      <c r="N478" s="8">
        <v>1.4955034078833739E-2</v>
      </c>
      <c r="O478" s="6" t="s">
        <v>7</v>
      </c>
    </row>
    <row r="479" spans="2:15" x14ac:dyDescent="0.45">
      <c r="B479" s="3" t="s">
        <v>87</v>
      </c>
      <c r="C479" s="3" t="s">
        <v>57</v>
      </c>
      <c r="D479" s="4">
        <v>8.1826245196884171E-5</v>
      </c>
      <c r="E479" s="3" t="s">
        <v>7</v>
      </c>
      <c r="G479" s="3" t="s">
        <v>88</v>
      </c>
      <c r="H479" s="3" t="s">
        <v>57</v>
      </c>
      <c r="I479" s="5">
        <v>1.3047190072807418E-2</v>
      </c>
      <c r="J479" s="3" t="s">
        <v>7</v>
      </c>
      <c r="L479" s="3" t="s">
        <v>89</v>
      </c>
      <c r="M479" s="3" t="s">
        <v>57</v>
      </c>
      <c r="N479" s="5">
        <v>1.5249839637310971E-2</v>
      </c>
      <c r="O479" s="3" t="s">
        <v>7</v>
      </c>
    </row>
    <row r="480" spans="2:15" x14ac:dyDescent="0.45">
      <c r="B480" s="6" t="s">
        <v>87</v>
      </c>
      <c r="C480" s="6" t="s">
        <v>58</v>
      </c>
      <c r="D480" s="7">
        <v>0</v>
      </c>
      <c r="E480" s="6" t="s">
        <v>7</v>
      </c>
      <c r="G480" s="6" t="s">
        <v>88</v>
      </c>
      <c r="H480" s="6" t="s">
        <v>58</v>
      </c>
      <c r="I480" s="8">
        <v>1.9661367841800899E-2</v>
      </c>
      <c r="J480" s="6" t="s">
        <v>7</v>
      </c>
      <c r="L480" s="6" t="s">
        <v>89</v>
      </c>
      <c r="M480" s="6" t="s">
        <v>58</v>
      </c>
      <c r="N480" s="8">
        <v>2.3021808474738455E-2</v>
      </c>
      <c r="O480" s="6" t="s">
        <v>7</v>
      </c>
    </row>
    <row r="481" spans="2:15" x14ac:dyDescent="0.45">
      <c r="B481" s="3" t="s">
        <v>87</v>
      </c>
      <c r="C481" s="3" t="s">
        <v>59</v>
      </c>
      <c r="D481" s="4">
        <v>0</v>
      </c>
      <c r="E481" s="3" t="s">
        <v>7</v>
      </c>
      <c r="G481" s="3" t="s">
        <v>88</v>
      </c>
      <c r="H481" s="3" t="s">
        <v>59</v>
      </c>
      <c r="I481" s="5">
        <v>4.7547904136594377E-2</v>
      </c>
      <c r="J481" s="3" t="s">
        <v>7</v>
      </c>
      <c r="L481" s="3" t="s">
        <v>89</v>
      </c>
      <c r="M481" s="3" t="s">
        <v>59</v>
      </c>
      <c r="N481" s="5">
        <v>4.5131935499923038E-2</v>
      </c>
      <c r="O481" s="3" t="s">
        <v>7</v>
      </c>
    </row>
    <row r="482" spans="2:15" x14ac:dyDescent="0.45">
      <c r="B482" s="6" t="s">
        <v>87</v>
      </c>
      <c r="C482" s="6" t="s">
        <v>60</v>
      </c>
      <c r="D482" s="7">
        <v>0</v>
      </c>
      <c r="E482" s="6" t="s">
        <v>7</v>
      </c>
      <c r="G482" s="6" t="s">
        <v>88</v>
      </c>
      <c r="H482" s="6" t="s">
        <v>60</v>
      </c>
      <c r="I482" s="8">
        <v>1.8815583487083884E-2</v>
      </c>
      <c r="J482" s="6" t="s">
        <v>7</v>
      </c>
      <c r="L482" s="6" t="s">
        <v>89</v>
      </c>
      <c r="M482" s="6" t="s">
        <v>60</v>
      </c>
      <c r="N482" s="8">
        <v>1.79657448518395E-2</v>
      </c>
      <c r="O482" s="6" t="s">
        <v>7</v>
      </c>
    </row>
    <row r="483" spans="2:15" x14ac:dyDescent="0.45">
      <c r="B483" s="3" t="s">
        <v>87</v>
      </c>
      <c r="C483" s="3" t="s">
        <v>61</v>
      </c>
      <c r="D483" s="4">
        <v>0</v>
      </c>
      <c r="E483" s="3" t="s">
        <v>7</v>
      </c>
      <c r="G483" s="3" t="s">
        <v>88</v>
      </c>
      <c r="H483" s="3" t="s">
        <v>61</v>
      </c>
      <c r="I483" s="5">
        <v>1.9040305239530066E-2</v>
      </c>
      <c r="J483" s="3" t="s">
        <v>7</v>
      </c>
      <c r="L483" s="3" t="s">
        <v>89</v>
      </c>
      <c r="M483" s="3" t="s">
        <v>61</v>
      </c>
      <c r="N483" s="5">
        <v>1.7730995148813974E-2</v>
      </c>
      <c r="O483" s="3" t="s">
        <v>7</v>
      </c>
    </row>
    <row r="484" spans="2:15" x14ac:dyDescent="0.45">
      <c r="B484" s="6" t="s">
        <v>87</v>
      </c>
      <c r="C484" s="6" t="s">
        <v>62</v>
      </c>
      <c r="D484" s="7">
        <v>9.230711023071039E-3</v>
      </c>
      <c r="E484" s="6" t="s">
        <v>7</v>
      </c>
      <c r="G484" s="6" t="s">
        <v>88</v>
      </c>
      <c r="H484" s="6" t="s">
        <v>62</v>
      </c>
      <c r="I484" s="8">
        <v>1.858037466412512E-2</v>
      </c>
      <c r="J484" s="6" t="s">
        <v>7</v>
      </c>
      <c r="L484" s="6" t="s">
        <v>89</v>
      </c>
      <c r="M484" s="6" t="s">
        <v>62</v>
      </c>
      <c r="N484" s="8">
        <v>1.735281351381562E-2</v>
      </c>
      <c r="O484" s="6" t="s">
        <v>7</v>
      </c>
    </row>
    <row r="485" spans="2:15" x14ac:dyDescent="0.45">
      <c r="B485" s="3" t="s">
        <v>87</v>
      </c>
      <c r="C485" s="3" t="s">
        <v>63</v>
      </c>
      <c r="D485" s="4">
        <v>2.9279515169488814E-2</v>
      </c>
      <c r="E485" s="3" t="s">
        <v>7</v>
      </c>
      <c r="G485" s="3" t="s">
        <v>88</v>
      </c>
      <c r="H485" s="3" t="s">
        <v>63</v>
      </c>
      <c r="I485" s="5">
        <v>1.7697586723686286E-2</v>
      </c>
      <c r="J485" s="3" t="s">
        <v>7</v>
      </c>
      <c r="L485" s="3" t="s">
        <v>89</v>
      </c>
      <c r="M485" s="3" t="s">
        <v>63</v>
      </c>
      <c r="N485" s="5">
        <v>1.7205747998636084E-2</v>
      </c>
      <c r="O485" s="3" t="s">
        <v>7</v>
      </c>
    </row>
    <row r="486" spans="2:15" x14ac:dyDescent="0.45">
      <c r="B486" s="6" t="s">
        <v>87</v>
      </c>
      <c r="C486" s="6" t="s">
        <v>64</v>
      </c>
      <c r="D486" s="7">
        <v>3.284443920154733E-2</v>
      </c>
      <c r="E486" s="6" t="s">
        <v>7</v>
      </c>
      <c r="G486" s="6" t="s">
        <v>88</v>
      </c>
      <c r="H486" s="6" t="s">
        <v>64</v>
      </c>
      <c r="I486" s="8">
        <v>1.8315827499089218E-2</v>
      </c>
      <c r="J486" s="6" t="s">
        <v>7</v>
      </c>
      <c r="L486" s="6" t="s">
        <v>89</v>
      </c>
      <c r="M486" s="6" t="s">
        <v>64</v>
      </c>
      <c r="N486" s="8">
        <v>1.7252149275936216E-2</v>
      </c>
      <c r="O486" s="6" t="s">
        <v>7</v>
      </c>
    </row>
    <row r="487" spans="2:15" x14ac:dyDescent="0.45">
      <c r="B487" s="3" t="s">
        <v>87</v>
      </c>
      <c r="C487" s="3" t="s">
        <v>65</v>
      </c>
      <c r="D487" s="4">
        <v>1.5144887760021009E-2</v>
      </c>
      <c r="E487" s="3" t="s">
        <v>7</v>
      </c>
      <c r="G487" s="3" t="s">
        <v>88</v>
      </c>
      <c r="H487" s="3" t="s">
        <v>65</v>
      </c>
      <c r="I487" s="5">
        <v>1.8470380787930202E-2</v>
      </c>
      <c r="J487" s="3" t="s">
        <v>7</v>
      </c>
      <c r="L487" s="3" t="s">
        <v>89</v>
      </c>
      <c r="M487" s="3" t="s">
        <v>65</v>
      </c>
      <c r="N487" s="5">
        <v>1.7154486750830252E-2</v>
      </c>
      <c r="O487" s="3" t="s">
        <v>7</v>
      </c>
    </row>
    <row r="488" spans="2:15" x14ac:dyDescent="0.45">
      <c r="B488" s="6" t="s">
        <v>87</v>
      </c>
      <c r="C488" s="6" t="s">
        <v>66</v>
      </c>
      <c r="D488" s="7">
        <v>1.6335726265310325E-4</v>
      </c>
      <c r="E488" s="6" t="s">
        <v>7</v>
      </c>
      <c r="G488" s="6" t="s">
        <v>88</v>
      </c>
      <c r="H488" s="6" t="s">
        <v>66</v>
      </c>
      <c r="I488" s="8">
        <v>1.8874755269322467E-2</v>
      </c>
      <c r="J488" s="6" t="s">
        <v>7</v>
      </c>
      <c r="L488" s="6" t="s">
        <v>89</v>
      </c>
      <c r="M488" s="6" t="s">
        <v>66</v>
      </c>
      <c r="N488" s="8">
        <v>1.7427855373338921E-2</v>
      </c>
      <c r="O488" s="6" t="s">
        <v>7</v>
      </c>
    </row>
    <row r="489" spans="2:15" x14ac:dyDescent="0.45">
      <c r="B489" s="3" t="s">
        <v>87</v>
      </c>
      <c r="C489" s="3" t="s">
        <v>67</v>
      </c>
      <c r="D489" s="4">
        <v>0</v>
      </c>
      <c r="E489" s="3" t="s">
        <v>7</v>
      </c>
      <c r="G489" s="3" t="s">
        <v>88</v>
      </c>
      <c r="H489" s="3" t="s">
        <v>67</v>
      </c>
      <c r="I489" s="5">
        <v>1.9567149286229296E-2</v>
      </c>
      <c r="J489" s="3" t="s">
        <v>7</v>
      </c>
      <c r="L489" s="3" t="s">
        <v>89</v>
      </c>
      <c r="M489" s="3" t="s">
        <v>67</v>
      </c>
      <c r="N489" s="5">
        <v>1.7931195224388921E-2</v>
      </c>
      <c r="O489" s="3" t="s">
        <v>7</v>
      </c>
    </row>
    <row r="490" spans="2:15" x14ac:dyDescent="0.45">
      <c r="B490" s="6" t="s">
        <v>87</v>
      </c>
      <c r="C490" s="6" t="s">
        <v>68</v>
      </c>
      <c r="D490" s="7">
        <v>0</v>
      </c>
      <c r="E490" s="6" t="s">
        <v>7</v>
      </c>
      <c r="G490" s="6" t="s">
        <v>88</v>
      </c>
      <c r="H490" s="6" t="s">
        <v>68</v>
      </c>
      <c r="I490" s="8">
        <v>3.0453924779486774E-2</v>
      </c>
      <c r="J490" s="6" t="s">
        <v>7</v>
      </c>
      <c r="L490" s="6" t="s">
        <v>89</v>
      </c>
      <c r="M490" s="6" t="s">
        <v>68</v>
      </c>
      <c r="N490" s="8">
        <v>2.6995866684259729E-2</v>
      </c>
      <c r="O490" s="6" t="s">
        <v>7</v>
      </c>
    </row>
    <row r="491" spans="2:15" x14ac:dyDescent="0.45">
      <c r="B491" s="3" t="s">
        <v>90</v>
      </c>
      <c r="C491" s="3" t="s">
        <v>6</v>
      </c>
      <c r="D491" s="4">
        <v>0</v>
      </c>
      <c r="E491" s="3" t="s">
        <v>7</v>
      </c>
      <c r="G491" s="3" t="s">
        <v>91</v>
      </c>
      <c r="H491" s="3" t="s">
        <v>6</v>
      </c>
      <c r="I491" s="5">
        <v>3.6637523684743378E-2</v>
      </c>
      <c r="J491" s="3" t="s">
        <v>7</v>
      </c>
      <c r="L491" s="3" t="s">
        <v>92</v>
      </c>
      <c r="M491" s="3" t="s">
        <v>6</v>
      </c>
      <c r="N491" s="5">
        <v>3.9349507234794322E-2</v>
      </c>
      <c r="O491" s="3" t="s">
        <v>7</v>
      </c>
    </row>
    <row r="492" spans="2:15" x14ac:dyDescent="0.45">
      <c r="B492" s="6" t="s">
        <v>90</v>
      </c>
      <c r="C492" s="6" t="s">
        <v>10</v>
      </c>
      <c r="D492" s="7">
        <v>0</v>
      </c>
      <c r="E492" s="6" t="s">
        <v>7</v>
      </c>
      <c r="G492" s="6" t="s">
        <v>91</v>
      </c>
      <c r="H492" s="6" t="s">
        <v>10</v>
      </c>
      <c r="I492" s="8">
        <v>1.451321313214054E-2</v>
      </c>
      <c r="J492" s="6" t="s">
        <v>7</v>
      </c>
      <c r="L492" s="6" t="s">
        <v>92</v>
      </c>
      <c r="M492" s="6" t="s">
        <v>10</v>
      </c>
      <c r="N492" s="8">
        <v>1.5341182029004516E-2</v>
      </c>
      <c r="O492" s="6" t="s">
        <v>7</v>
      </c>
    </row>
    <row r="493" spans="2:15" x14ac:dyDescent="0.45">
      <c r="B493" s="3" t="s">
        <v>90</v>
      </c>
      <c r="C493" s="3" t="s">
        <v>11</v>
      </c>
      <c r="D493" s="4">
        <v>3.9609508242896535E-4</v>
      </c>
      <c r="E493" s="3" t="s">
        <v>7</v>
      </c>
      <c r="G493" s="3" t="s">
        <v>91</v>
      </c>
      <c r="H493" s="3" t="s">
        <v>11</v>
      </c>
      <c r="I493" s="5">
        <v>1.4185429887261106E-2</v>
      </c>
      <c r="J493" s="3" t="s">
        <v>7</v>
      </c>
      <c r="L493" s="3" t="s">
        <v>92</v>
      </c>
      <c r="M493" s="3" t="s">
        <v>11</v>
      </c>
      <c r="N493" s="5">
        <v>1.5783679730200471E-2</v>
      </c>
      <c r="O493" s="3" t="s">
        <v>7</v>
      </c>
    </row>
    <row r="494" spans="2:15" x14ac:dyDescent="0.45">
      <c r="B494" s="6" t="s">
        <v>90</v>
      </c>
      <c r="C494" s="6" t="s">
        <v>12</v>
      </c>
      <c r="D494" s="7">
        <v>1.2767803756414738E-2</v>
      </c>
      <c r="E494" s="6" t="s">
        <v>7</v>
      </c>
      <c r="G494" s="6" t="s">
        <v>91</v>
      </c>
      <c r="H494" s="6" t="s">
        <v>12</v>
      </c>
      <c r="I494" s="8">
        <v>1.3532117365799897E-2</v>
      </c>
      <c r="J494" s="6" t="s">
        <v>7</v>
      </c>
      <c r="L494" s="6" t="s">
        <v>92</v>
      </c>
      <c r="M494" s="6" t="s">
        <v>12</v>
      </c>
      <c r="N494" s="8">
        <v>1.5759981591992496E-2</v>
      </c>
      <c r="O494" s="6" t="s">
        <v>7</v>
      </c>
    </row>
    <row r="495" spans="2:15" x14ac:dyDescent="0.45">
      <c r="B495" s="3" t="s">
        <v>90</v>
      </c>
      <c r="C495" s="3" t="s">
        <v>13</v>
      </c>
      <c r="D495" s="4">
        <v>2.8213025992393358E-2</v>
      </c>
      <c r="E495" s="3" t="s">
        <v>7</v>
      </c>
      <c r="G495" s="3" t="s">
        <v>91</v>
      </c>
      <c r="H495" s="3" t="s">
        <v>13</v>
      </c>
      <c r="I495" s="5">
        <v>1.3626538856503988E-2</v>
      </c>
      <c r="J495" s="3" t="s">
        <v>7</v>
      </c>
      <c r="L495" s="3" t="s">
        <v>92</v>
      </c>
      <c r="M495" s="3" t="s">
        <v>13</v>
      </c>
      <c r="N495" s="5">
        <v>1.531454696862043E-2</v>
      </c>
      <c r="O495" s="3" t="s">
        <v>7</v>
      </c>
    </row>
    <row r="496" spans="2:15" x14ac:dyDescent="0.45">
      <c r="B496" s="6" t="s">
        <v>90</v>
      </c>
      <c r="C496" s="6" t="s">
        <v>14</v>
      </c>
      <c r="D496" s="7">
        <v>2.8583618653066228E-2</v>
      </c>
      <c r="E496" s="6" t="s">
        <v>7</v>
      </c>
      <c r="G496" s="6" t="s">
        <v>91</v>
      </c>
      <c r="H496" s="6" t="s">
        <v>14</v>
      </c>
      <c r="I496" s="8">
        <v>1.3845098996031573E-2</v>
      </c>
      <c r="J496" s="6" t="s">
        <v>7</v>
      </c>
      <c r="L496" s="6" t="s">
        <v>92</v>
      </c>
      <c r="M496" s="6" t="s">
        <v>14</v>
      </c>
      <c r="N496" s="8">
        <v>1.4870900395160942E-2</v>
      </c>
      <c r="O496" s="6" t="s">
        <v>7</v>
      </c>
    </row>
    <row r="497" spans="2:15" x14ac:dyDescent="0.45">
      <c r="B497" s="3" t="s">
        <v>90</v>
      </c>
      <c r="C497" s="3" t="s">
        <v>15</v>
      </c>
      <c r="D497" s="4">
        <v>1.5348408064863185E-2</v>
      </c>
      <c r="E497" s="3" t="s">
        <v>7</v>
      </c>
      <c r="G497" s="3" t="s">
        <v>91</v>
      </c>
      <c r="H497" s="3" t="s">
        <v>15</v>
      </c>
      <c r="I497" s="5">
        <v>1.384442916739409E-2</v>
      </c>
      <c r="J497" s="3" t="s">
        <v>7</v>
      </c>
      <c r="L497" s="3" t="s">
        <v>92</v>
      </c>
      <c r="M497" s="3" t="s">
        <v>15</v>
      </c>
      <c r="N497" s="5">
        <v>1.4720095282276488E-2</v>
      </c>
      <c r="O497" s="3" t="s">
        <v>7</v>
      </c>
    </row>
    <row r="498" spans="2:15" x14ac:dyDescent="0.45">
      <c r="B498" s="6" t="s">
        <v>90</v>
      </c>
      <c r="C498" s="6" t="s">
        <v>16</v>
      </c>
      <c r="D498" s="7">
        <v>1.2021654299348929E-3</v>
      </c>
      <c r="E498" s="6" t="s">
        <v>7</v>
      </c>
      <c r="G498" s="6" t="s">
        <v>91</v>
      </c>
      <c r="H498" s="6" t="s">
        <v>16</v>
      </c>
      <c r="I498" s="8">
        <v>1.4450393279371752E-2</v>
      </c>
      <c r="J498" s="6" t="s">
        <v>7</v>
      </c>
      <c r="L498" s="6" t="s">
        <v>92</v>
      </c>
      <c r="M498" s="6" t="s">
        <v>16</v>
      </c>
      <c r="N498" s="8">
        <v>1.4851587516370756E-2</v>
      </c>
      <c r="O498" s="6" t="s">
        <v>7</v>
      </c>
    </row>
    <row r="499" spans="2:15" x14ac:dyDescent="0.45">
      <c r="B499" s="3" t="s">
        <v>90</v>
      </c>
      <c r="C499" s="3" t="s">
        <v>17</v>
      </c>
      <c r="D499" s="4">
        <v>0</v>
      </c>
      <c r="E499" s="3" t="s">
        <v>7</v>
      </c>
      <c r="G499" s="3" t="s">
        <v>91</v>
      </c>
      <c r="H499" s="3" t="s">
        <v>17</v>
      </c>
      <c r="I499" s="5">
        <v>1.5075318029913786E-2</v>
      </c>
      <c r="J499" s="3" t="s">
        <v>7</v>
      </c>
      <c r="L499" s="3" t="s">
        <v>92</v>
      </c>
      <c r="M499" s="3" t="s">
        <v>17</v>
      </c>
      <c r="N499" s="5">
        <v>1.5535883851821343E-2</v>
      </c>
      <c r="O499" s="3" t="s">
        <v>7</v>
      </c>
    </row>
    <row r="500" spans="2:15" x14ac:dyDescent="0.45">
      <c r="B500" s="6" t="s">
        <v>90</v>
      </c>
      <c r="C500" s="6" t="s">
        <v>18</v>
      </c>
      <c r="D500" s="7">
        <v>0</v>
      </c>
      <c r="E500" s="6" t="s">
        <v>7</v>
      </c>
      <c r="G500" s="6" t="s">
        <v>91</v>
      </c>
      <c r="H500" s="6" t="s">
        <v>18</v>
      </c>
      <c r="I500" s="8">
        <v>2.2138710397394928E-2</v>
      </c>
      <c r="J500" s="6" t="s">
        <v>7</v>
      </c>
      <c r="L500" s="6" t="s">
        <v>92</v>
      </c>
      <c r="M500" s="6" t="s">
        <v>18</v>
      </c>
      <c r="N500" s="8">
        <v>2.3255541478359783E-2</v>
      </c>
      <c r="O500" s="6" t="s">
        <v>7</v>
      </c>
    </row>
    <row r="501" spans="2:15" x14ac:dyDescent="0.45">
      <c r="B501" s="3" t="s">
        <v>90</v>
      </c>
      <c r="C501" s="3" t="s">
        <v>19</v>
      </c>
      <c r="D501" s="4">
        <v>0</v>
      </c>
      <c r="E501" s="3" t="s">
        <v>7</v>
      </c>
      <c r="G501" s="3" t="s">
        <v>91</v>
      </c>
      <c r="H501" s="3" t="s">
        <v>19</v>
      </c>
      <c r="I501" s="5">
        <v>3.679677705157839E-2</v>
      </c>
      <c r="J501" s="3" t="s">
        <v>7</v>
      </c>
      <c r="L501" s="3" t="s">
        <v>92</v>
      </c>
      <c r="M501" s="3" t="s">
        <v>19</v>
      </c>
      <c r="N501" s="5">
        <v>3.8818474232746605E-2</v>
      </c>
      <c r="O501" s="3" t="s">
        <v>7</v>
      </c>
    </row>
    <row r="502" spans="2:15" x14ac:dyDescent="0.45">
      <c r="B502" s="6" t="s">
        <v>90</v>
      </c>
      <c r="C502" s="6" t="s">
        <v>20</v>
      </c>
      <c r="D502" s="7">
        <v>2.1546177067817659E-4</v>
      </c>
      <c r="E502" s="6" t="s">
        <v>7</v>
      </c>
      <c r="G502" s="6" t="s">
        <v>91</v>
      </c>
      <c r="H502" s="6" t="s">
        <v>20</v>
      </c>
      <c r="I502" s="8">
        <v>1.4403468241389994E-2</v>
      </c>
      <c r="J502" s="6" t="s">
        <v>7</v>
      </c>
      <c r="L502" s="6" t="s">
        <v>92</v>
      </c>
      <c r="M502" s="6" t="s">
        <v>20</v>
      </c>
      <c r="N502" s="8">
        <v>1.5376653461678123E-2</v>
      </c>
      <c r="O502" s="6" t="s">
        <v>7</v>
      </c>
    </row>
    <row r="503" spans="2:15" x14ac:dyDescent="0.45">
      <c r="B503" s="3" t="s">
        <v>90</v>
      </c>
      <c r="C503" s="3" t="s">
        <v>21</v>
      </c>
      <c r="D503" s="4">
        <v>1.1390163724477471E-2</v>
      </c>
      <c r="E503" s="3" t="s">
        <v>7</v>
      </c>
      <c r="G503" s="3" t="s">
        <v>91</v>
      </c>
      <c r="H503" s="3" t="s">
        <v>21</v>
      </c>
      <c r="I503" s="5">
        <v>1.4486258444438741E-2</v>
      </c>
      <c r="J503" s="3" t="s">
        <v>7</v>
      </c>
      <c r="L503" s="3" t="s">
        <v>92</v>
      </c>
      <c r="M503" s="3" t="s">
        <v>21</v>
      </c>
      <c r="N503" s="5">
        <v>1.5615895761215961E-2</v>
      </c>
      <c r="O503" s="3" t="s">
        <v>7</v>
      </c>
    </row>
    <row r="504" spans="2:15" x14ac:dyDescent="0.45">
      <c r="B504" s="6" t="s">
        <v>90</v>
      </c>
      <c r="C504" s="6" t="s">
        <v>22</v>
      </c>
      <c r="D504" s="7">
        <v>3.5716839561433067E-2</v>
      </c>
      <c r="E504" s="6" t="s">
        <v>7</v>
      </c>
      <c r="G504" s="6" t="s">
        <v>91</v>
      </c>
      <c r="H504" s="6" t="s">
        <v>22</v>
      </c>
      <c r="I504" s="8">
        <v>1.5338690537052949E-2</v>
      </c>
      <c r="J504" s="6" t="s">
        <v>7</v>
      </c>
      <c r="L504" s="6" t="s">
        <v>92</v>
      </c>
      <c r="M504" s="6" t="s">
        <v>22</v>
      </c>
      <c r="N504" s="8">
        <v>1.5401150797922165E-2</v>
      </c>
      <c r="O504" s="6" t="s">
        <v>7</v>
      </c>
    </row>
    <row r="505" spans="2:15" x14ac:dyDescent="0.45">
      <c r="B505" s="3" t="s">
        <v>90</v>
      </c>
      <c r="C505" s="3" t="s">
        <v>23</v>
      </c>
      <c r="D505" s="4">
        <v>5.1744505850329074E-2</v>
      </c>
      <c r="E505" s="3" t="s">
        <v>7</v>
      </c>
      <c r="G505" s="3" t="s">
        <v>91</v>
      </c>
      <c r="H505" s="3" t="s">
        <v>23</v>
      </c>
      <c r="I505" s="5">
        <v>1.5175609654672798E-2</v>
      </c>
      <c r="J505" s="3" t="s">
        <v>7</v>
      </c>
      <c r="L505" s="3" t="s">
        <v>92</v>
      </c>
      <c r="M505" s="3" t="s">
        <v>23</v>
      </c>
      <c r="N505" s="5">
        <v>1.4720166088457047E-2</v>
      </c>
      <c r="O505" s="3" t="s">
        <v>7</v>
      </c>
    </row>
    <row r="506" spans="2:15" x14ac:dyDescent="0.45">
      <c r="B506" s="6" t="s">
        <v>90</v>
      </c>
      <c r="C506" s="6" t="s">
        <v>24</v>
      </c>
      <c r="D506" s="7">
        <v>5.2720929684596914E-2</v>
      </c>
      <c r="E506" s="6" t="s">
        <v>7</v>
      </c>
      <c r="G506" s="6" t="s">
        <v>91</v>
      </c>
      <c r="H506" s="6" t="s">
        <v>24</v>
      </c>
      <c r="I506" s="8">
        <v>1.5659660114887067E-2</v>
      </c>
      <c r="J506" s="6" t="s">
        <v>7</v>
      </c>
      <c r="L506" s="6" t="s">
        <v>92</v>
      </c>
      <c r="M506" s="6" t="s">
        <v>24</v>
      </c>
      <c r="N506" s="8">
        <v>1.4064120631496937E-2</v>
      </c>
      <c r="O506" s="6" t="s">
        <v>7</v>
      </c>
    </row>
    <row r="507" spans="2:15" x14ac:dyDescent="0.45">
      <c r="B507" s="3" t="s">
        <v>90</v>
      </c>
      <c r="C507" s="3" t="s">
        <v>25</v>
      </c>
      <c r="D507" s="4">
        <v>3.5015681259111038E-2</v>
      </c>
      <c r="E507" s="3" t="s">
        <v>7</v>
      </c>
      <c r="G507" s="3" t="s">
        <v>91</v>
      </c>
      <c r="H507" s="3" t="s">
        <v>25</v>
      </c>
      <c r="I507" s="5">
        <v>1.560740129874422E-2</v>
      </c>
      <c r="J507" s="3" t="s">
        <v>7</v>
      </c>
      <c r="L507" s="3" t="s">
        <v>92</v>
      </c>
      <c r="M507" s="3" t="s">
        <v>25</v>
      </c>
      <c r="N507" s="5">
        <v>1.3800173678084116E-2</v>
      </c>
      <c r="O507" s="3" t="s">
        <v>7</v>
      </c>
    </row>
    <row r="508" spans="2:15" x14ac:dyDescent="0.45">
      <c r="B508" s="6" t="s">
        <v>90</v>
      </c>
      <c r="C508" s="6" t="s">
        <v>26</v>
      </c>
      <c r="D508" s="7">
        <v>1.0787290951815616E-2</v>
      </c>
      <c r="E508" s="6" t="s">
        <v>7</v>
      </c>
      <c r="G508" s="6" t="s">
        <v>91</v>
      </c>
      <c r="H508" s="6" t="s">
        <v>26</v>
      </c>
      <c r="I508" s="8">
        <v>1.5029625477723265E-2</v>
      </c>
      <c r="J508" s="6" t="s">
        <v>7</v>
      </c>
      <c r="L508" s="6" t="s">
        <v>92</v>
      </c>
      <c r="M508" s="6" t="s">
        <v>26</v>
      </c>
      <c r="N508" s="8">
        <v>1.3764401018701048E-2</v>
      </c>
      <c r="O508" s="6" t="s">
        <v>7</v>
      </c>
    </row>
    <row r="509" spans="2:15" x14ac:dyDescent="0.45">
      <c r="B509" s="3" t="s">
        <v>90</v>
      </c>
      <c r="C509" s="3" t="s">
        <v>27</v>
      </c>
      <c r="D509" s="4">
        <v>1.401325185041426E-4</v>
      </c>
      <c r="E509" s="3" t="s">
        <v>7</v>
      </c>
      <c r="G509" s="3" t="s">
        <v>91</v>
      </c>
      <c r="H509" s="3" t="s">
        <v>27</v>
      </c>
      <c r="I509" s="5">
        <v>1.4801792434139689E-2</v>
      </c>
      <c r="J509" s="3" t="s">
        <v>7</v>
      </c>
      <c r="L509" s="3" t="s">
        <v>92</v>
      </c>
      <c r="M509" s="3" t="s">
        <v>27</v>
      </c>
      <c r="N509" s="5">
        <v>1.4332265180355411E-2</v>
      </c>
      <c r="O509" s="3" t="s">
        <v>7</v>
      </c>
    </row>
    <row r="510" spans="2:15" x14ac:dyDescent="0.45">
      <c r="B510" s="6" t="s">
        <v>90</v>
      </c>
      <c r="C510" s="6" t="s">
        <v>28</v>
      </c>
      <c r="D510" s="7">
        <v>0</v>
      </c>
      <c r="E510" s="6" t="s">
        <v>7</v>
      </c>
      <c r="G510" s="6" t="s">
        <v>91</v>
      </c>
      <c r="H510" s="6" t="s">
        <v>28</v>
      </c>
      <c r="I510" s="8">
        <v>2.2348287565478756E-2</v>
      </c>
      <c r="J510" s="6" t="s">
        <v>7</v>
      </c>
      <c r="L510" s="6" t="s">
        <v>92</v>
      </c>
      <c r="M510" s="6" t="s">
        <v>28</v>
      </c>
      <c r="N510" s="8">
        <v>2.3183605248758479E-2</v>
      </c>
      <c r="O510" s="6" t="s">
        <v>7</v>
      </c>
    </row>
    <row r="511" spans="2:15" x14ac:dyDescent="0.45">
      <c r="B511" s="3" t="s">
        <v>90</v>
      </c>
      <c r="C511" s="3" t="s">
        <v>29</v>
      </c>
      <c r="D511" s="4">
        <v>0</v>
      </c>
      <c r="E511" s="3" t="s">
        <v>7</v>
      </c>
      <c r="G511" s="3" t="s">
        <v>91</v>
      </c>
      <c r="H511" s="3" t="s">
        <v>29</v>
      </c>
      <c r="I511" s="5">
        <v>3.1684288277977139E-2</v>
      </c>
      <c r="J511" s="3" t="s">
        <v>7</v>
      </c>
      <c r="L511" s="3" t="s">
        <v>92</v>
      </c>
      <c r="M511" s="3" t="s">
        <v>29</v>
      </c>
      <c r="N511" s="5">
        <v>2.8487036416640524E-2</v>
      </c>
      <c r="O511" s="3" t="s">
        <v>7</v>
      </c>
    </row>
    <row r="512" spans="2:15" x14ac:dyDescent="0.45">
      <c r="B512" s="6" t="s">
        <v>90</v>
      </c>
      <c r="C512" s="6" t="s">
        <v>30</v>
      </c>
      <c r="D512" s="7">
        <v>2.4597421129916659E-3</v>
      </c>
      <c r="E512" s="6" t="s">
        <v>7</v>
      </c>
      <c r="G512" s="6" t="s">
        <v>91</v>
      </c>
      <c r="H512" s="6" t="s">
        <v>30</v>
      </c>
      <c r="I512" s="8">
        <v>1.2563829634060825E-2</v>
      </c>
      <c r="J512" s="6" t="s">
        <v>7</v>
      </c>
      <c r="L512" s="6" t="s">
        <v>92</v>
      </c>
      <c r="M512" s="6" t="s">
        <v>30</v>
      </c>
      <c r="N512" s="8">
        <v>1.1141144362474318E-2</v>
      </c>
      <c r="O512" s="6" t="s">
        <v>7</v>
      </c>
    </row>
    <row r="513" spans="2:15" x14ac:dyDescent="0.45">
      <c r="B513" s="3" t="s">
        <v>90</v>
      </c>
      <c r="C513" s="3" t="s">
        <v>31</v>
      </c>
      <c r="D513" s="4">
        <v>2.041108831801209E-2</v>
      </c>
      <c r="E513" s="3" t="s">
        <v>7</v>
      </c>
      <c r="G513" s="3" t="s">
        <v>91</v>
      </c>
      <c r="H513" s="3" t="s">
        <v>31</v>
      </c>
      <c r="I513" s="5">
        <v>1.2559147230609656E-2</v>
      </c>
      <c r="J513" s="3" t="s">
        <v>7</v>
      </c>
      <c r="L513" s="3" t="s">
        <v>92</v>
      </c>
      <c r="M513" s="3" t="s">
        <v>31</v>
      </c>
      <c r="N513" s="5">
        <v>1.1370222161314836E-2</v>
      </c>
      <c r="O513" s="3" t="s">
        <v>7</v>
      </c>
    </row>
    <row r="514" spans="2:15" x14ac:dyDescent="0.45">
      <c r="B514" s="6" t="s">
        <v>90</v>
      </c>
      <c r="C514" s="6" t="s">
        <v>32</v>
      </c>
      <c r="D514" s="7">
        <v>4.2833410260454285E-2</v>
      </c>
      <c r="E514" s="6" t="s">
        <v>7</v>
      </c>
      <c r="G514" s="6" t="s">
        <v>91</v>
      </c>
      <c r="H514" s="6" t="s">
        <v>32</v>
      </c>
      <c r="I514" s="8">
        <v>1.2476481138084484E-2</v>
      </c>
      <c r="J514" s="6" t="s">
        <v>7</v>
      </c>
      <c r="L514" s="6" t="s">
        <v>92</v>
      </c>
      <c r="M514" s="6" t="s">
        <v>32</v>
      </c>
      <c r="N514" s="8">
        <v>1.1362616686994955E-2</v>
      </c>
      <c r="O514" s="6" t="s">
        <v>7</v>
      </c>
    </row>
    <row r="515" spans="2:15" x14ac:dyDescent="0.45">
      <c r="B515" s="3" t="s">
        <v>90</v>
      </c>
      <c r="C515" s="3" t="s">
        <v>33</v>
      </c>
      <c r="D515" s="4">
        <v>5.4887326180343268E-2</v>
      </c>
      <c r="E515" s="3" t="s">
        <v>7</v>
      </c>
      <c r="G515" s="3" t="s">
        <v>91</v>
      </c>
      <c r="H515" s="3" t="s">
        <v>33</v>
      </c>
      <c r="I515" s="5">
        <v>1.2818116380023004E-2</v>
      </c>
      <c r="J515" s="3" t="s">
        <v>7</v>
      </c>
      <c r="L515" s="3" t="s">
        <v>92</v>
      </c>
      <c r="M515" s="3" t="s">
        <v>33</v>
      </c>
      <c r="N515" s="5">
        <v>1.1416639305288833E-2</v>
      </c>
      <c r="O515" s="3" t="s">
        <v>7</v>
      </c>
    </row>
    <row r="516" spans="2:15" x14ac:dyDescent="0.45">
      <c r="B516" s="6" t="s">
        <v>90</v>
      </c>
      <c r="C516" s="6" t="s">
        <v>34</v>
      </c>
      <c r="D516" s="7">
        <v>5.4189215717817894E-2</v>
      </c>
      <c r="E516" s="6" t="s">
        <v>7</v>
      </c>
      <c r="G516" s="6" t="s">
        <v>91</v>
      </c>
      <c r="H516" s="6" t="s">
        <v>34</v>
      </c>
      <c r="I516" s="8">
        <v>1.3470740071794303E-2</v>
      </c>
      <c r="J516" s="6" t="s">
        <v>7</v>
      </c>
      <c r="L516" s="6" t="s">
        <v>92</v>
      </c>
      <c r="M516" s="6" t="s">
        <v>34</v>
      </c>
      <c r="N516" s="8">
        <v>1.1882398914799629E-2</v>
      </c>
      <c r="O516" s="6" t="s">
        <v>7</v>
      </c>
    </row>
    <row r="517" spans="2:15" x14ac:dyDescent="0.45">
      <c r="B517" s="3" t="s">
        <v>90</v>
      </c>
      <c r="C517" s="3" t="s">
        <v>35</v>
      </c>
      <c r="D517" s="4">
        <v>4.018454787427575E-2</v>
      </c>
      <c r="E517" s="3" t="s">
        <v>7</v>
      </c>
      <c r="G517" s="3" t="s">
        <v>91</v>
      </c>
      <c r="H517" s="3" t="s">
        <v>35</v>
      </c>
      <c r="I517" s="5">
        <v>1.3448838336394403E-2</v>
      </c>
      <c r="J517" s="3" t="s">
        <v>7</v>
      </c>
      <c r="L517" s="3" t="s">
        <v>92</v>
      </c>
      <c r="M517" s="3" t="s">
        <v>35</v>
      </c>
      <c r="N517" s="5">
        <v>1.1784128969096941E-2</v>
      </c>
      <c r="O517" s="3" t="s">
        <v>7</v>
      </c>
    </row>
    <row r="518" spans="2:15" x14ac:dyDescent="0.45">
      <c r="B518" s="6" t="s">
        <v>90</v>
      </c>
      <c r="C518" s="6" t="s">
        <v>36</v>
      </c>
      <c r="D518" s="7">
        <v>1.7670427147415523E-2</v>
      </c>
      <c r="E518" s="6" t="s">
        <v>7</v>
      </c>
      <c r="G518" s="6" t="s">
        <v>91</v>
      </c>
      <c r="H518" s="6" t="s">
        <v>36</v>
      </c>
      <c r="I518" s="8">
        <v>1.2518249031154966E-2</v>
      </c>
      <c r="J518" s="6" t="s">
        <v>7</v>
      </c>
      <c r="L518" s="6" t="s">
        <v>92</v>
      </c>
      <c r="M518" s="6" t="s">
        <v>36</v>
      </c>
      <c r="N518" s="8">
        <v>1.184473852412332E-2</v>
      </c>
      <c r="O518" s="6" t="s">
        <v>7</v>
      </c>
    </row>
    <row r="519" spans="2:15" x14ac:dyDescent="0.45">
      <c r="B519" s="3" t="s">
        <v>90</v>
      </c>
      <c r="C519" s="3" t="s">
        <v>37</v>
      </c>
      <c r="D519" s="4">
        <v>1.8945438877033711E-3</v>
      </c>
      <c r="E519" s="3" t="s">
        <v>7</v>
      </c>
      <c r="G519" s="3" t="s">
        <v>91</v>
      </c>
      <c r="H519" s="3" t="s">
        <v>37</v>
      </c>
      <c r="I519" s="5">
        <v>1.2358422873811954E-2</v>
      </c>
      <c r="J519" s="3" t="s">
        <v>7</v>
      </c>
      <c r="L519" s="3" t="s">
        <v>92</v>
      </c>
      <c r="M519" s="3" t="s">
        <v>37</v>
      </c>
      <c r="N519" s="5">
        <v>1.1937682326419674E-2</v>
      </c>
      <c r="O519" s="3" t="s">
        <v>7</v>
      </c>
    </row>
    <row r="520" spans="2:15" x14ac:dyDescent="0.45">
      <c r="B520" s="6" t="s">
        <v>90</v>
      </c>
      <c r="C520" s="6" t="s">
        <v>38</v>
      </c>
      <c r="D520" s="7">
        <v>0</v>
      </c>
      <c r="E520" s="6" t="s">
        <v>7</v>
      </c>
      <c r="G520" s="6" t="s">
        <v>91</v>
      </c>
      <c r="H520" s="6" t="s">
        <v>38</v>
      </c>
      <c r="I520" s="8">
        <v>1.894933280939359E-2</v>
      </c>
      <c r="J520" s="6" t="s">
        <v>7</v>
      </c>
      <c r="L520" s="6" t="s">
        <v>92</v>
      </c>
      <c r="M520" s="6" t="s">
        <v>38</v>
      </c>
      <c r="N520" s="8">
        <v>1.769974277722423E-2</v>
      </c>
      <c r="O520" s="6" t="s">
        <v>7</v>
      </c>
    </row>
    <row r="521" spans="2:15" x14ac:dyDescent="0.45">
      <c r="B521" s="3" t="s">
        <v>90</v>
      </c>
      <c r="C521" s="3" t="s">
        <v>39</v>
      </c>
      <c r="D521" s="4">
        <v>0</v>
      </c>
      <c r="E521" s="3" t="s">
        <v>7</v>
      </c>
      <c r="G521" s="3" t="s">
        <v>91</v>
      </c>
      <c r="H521" s="3" t="s">
        <v>39</v>
      </c>
      <c r="I521" s="5">
        <v>2.1360713515264019E-2</v>
      </c>
      <c r="J521" s="3" t="s">
        <v>7</v>
      </c>
      <c r="L521" s="3" t="s">
        <v>92</v>
      </c>
      <c r="M521" s="3" t="s">
        <v>39</v>
      </c>
      <c r="N521" s="5">
        <v>2.2526006264406585E-2</v>
      </c>
      <c r="O521" s="3" t="s">
        <v>7</v>
      </c>
    </row>
    <row r="522" spans="2:15" x14ac:dyDescent="0.45">
      <c r="B522" s="6" t="s">
        <v>90</v>
      </c>
      <c r="C522" s="6" t="s">
        <v>40</v>
      </c>
      <c r="D522" s="7">
        <v>1.5413205489163636E-3</v>
      </c>
      <c r="E522" s="6" t="s">
        <v>7</v>
      </c>
      <c r="G522" s="6" t="s">
        <v>91</v>
      </c>
      <c r="H522" s="6" t="s">
        <v>40</v>
      </c>
      <c r="I522" s="8">
        <v>7.6512940265722022E-3</v>
      </c>
      <c r="J522" s="6" t="s">
        <v>7</v>
      </c>
      <c r="L522" s="6" t="s">
        <v>92</v>
      </c>
      <c r="M522" s="6" t="s">
        <v>40</v>
      </c>
      <c r="N522" s="8">
        <v>8.5467222675167671E-3</v>
      </c>
      <c r="O522" s="6" t="s">
        <v>7</v>
      </c>
    </row>
    <row r="523" spans="2:15" x14ac:dyDescent="0.45">
      <c r="B523" s="3" t="s">
        <v>90</v>
      </c>
      <c r="C523" s="3" t="s">
        <v>41</v>
      </c>
      <c r="D523" s="4">
        <v>1.8615473986148857E-2</v>
      </c>
      <c r="E523" s="3" t="s">
        <v>7</v>
      </c>
      <c r="G523" s="3" t="s">
        <v>91</v>
      </c>
      <c r="H523" s="3" t="s">
        <v>41</v>
      </c>
      <c r="I523" s="5">
        <v>6.6308995976350586E-3</v>
      </c>
      <c r="J523" s="3" t="s">
        <v>7</v>
      </c>
      <c r="L523" s="3" t="s">
        <v>92</v>
      </c>
      <c r="M523" s="3" t="s">
        <v>41</v>
      </c>
      <c r="N523" s="5">
        <v>8.5460924866690297E-3</v>
      </c>
      <c r="O523" s="3" t="s">
        <v>7</v>
      </c>
    </row>
    <row r="524" spans="2:15" x14ac:dyDescent="0.45">
      <c r="B524" s="6" t="s">
        <v>90</v>
      </c>
      <c r="C524" s="6" t="s">
        <v>42</v>
      </c>
      <c r="D524" s="7">
        <v>4.5812532538719662E-2</v>
      </c>
      <c r="E524" s="6" t="s">
        <v>7</v>
      </c>
      <c r="G524" s="6" t="s">
        <v>91</v>
      </c>
      <c r="H524" s="6" t="s">
        <v>42</v>
      </c>
      <c r="I524" s="8">
        <v>6.3853133768231275E-3</v>
      </c>
      <c r="J524" s="6" t="s">
        <v>7</v>
      </c>
      <c r="L524" s="6" t="s">
        <v>92</v>
      </c>
      <c r="M524" s="6" t="s">
        <v>42</v>
      </c>
      <c r="N524" s="8">
        <v>8.0224645248216271E-3</v>
      </c>
      <c r="O524" s="6" t="s">
        <v>7</v>
      </c>
    </row>
    <row r="525" spans="2:15" x14ac:dyDescent="0.45">
      <c r="B525" s="3" t="s">
        <v>90</v>
      </c>
      <c r="C525" s="3" t="s">
        <v>43</v>
      </c>
      <c r="D525" s="4">
        <v>6.1767756844657046E-2</v>
      </c>
      <c r="E525" s="3" t="s">
        <v>7</v>
      </c>
      <c r="G525" s="3" t="s">
        <v>91</v>
      </c>
      <c r="H525" s="3" t="s">
        <v>43</v>
      </c>
      <c r="I525" s="5">
        <v>7.0288195990982896E-3</v>
      </c>
      <c r="J525" s="3" t="s">
        <v>7</v>
      </c>
      <c r="L525" s="3" t="s">
        <v>92</v>
      </c>
      <c r="M525" s="3" t="s">
        <v>43</v>
      </c>
      <c r="N525" s="5">
        <v>7.8647788514744094E-3</v>
      </c>
      <c r="O525" s="3" t="s">
        <v>7</v>
      </c>
    </row>
    <row r="526" spans="2:15" x14ac:dyDescent="0.45">
      <c r="B526" s="6" t="s">
        <v>90</v>
      </c>
      <c r="C526" s="6" t="s">
        <v>44</v>
      </c>
      <c r="D526" s="7">
        <v>6.0903520092700253E-2</v>
      </c>
      <c r="E526" s="6" t="s">
        <v>7</v>
      </c>
      <c r="G526" s="6" t="s">
        <v>91</v>
      </c>
      <c r="H526" s="6" t="s">
        <v>44</v>
      </c>
      <c r="I526" s="8">
        <v>7.9448240224266106E-3</v>
      </c>
      <c r="J526" s="6" t="s">
        <v>7</v>
      </c>
      <c r="L526" s="6" t="s">
        <v>92</v>
      </c>
      <c r="M526" s="6" t="s">
        <v>44</v>
      </c>
      <c r="N526" s="8">
        <v>8.3077939123712349E-3</v>
      </c>
      <c r="O526" s="6" t="s">
        <v>7</v>
      </c>
    </row>
    <row r="527" spans="2:15" x14ac:dyDescent="0.45">
      <c r="B527" s="3" t="s">
        <v>90</v>
      </c>
      <c r="C527" s="3" t="s">
        <v>45</v>
      </c>
      <c r="D527" s="4">
        <v>4.4901066406211297E-2</v>
      </c>
      <c r="E527" s="3" t="s">
        <v>7</v>
      </c>
      <c r="G527" s="3" t="s">
        <v>91</v>
      </c>
      <c r="H527" s="3" t="s">
        <v>45</v>
      </c>
      <c r="I527" s="5">
        <v>7.9233815275229786E-3</v>
      </c>
      <c r="J527" s="3" t="s">
        <v>7</v>
      </c>
      <c r="L527" s="3" t="s">
        <v>92</v>
      </c>
      <c r="M527" s="3" t="s">
        <v>45</v>
      </c>
      <c r="N527" s="5">
        <v>8.7909350567212767E-3</v>
      </c>
      <c r="O527" s="3" t="s">
        <v>7</v>
      </c>
    </row>
    <row r="528" spans="2:15" x14ac:dyDescent="0.45">
      <c r="B528" s="6" t="s">
        <v>90</v>
      </c>
      <c r="C528" s="6" t="s">
        <v>46</v>
      </c>
      <c r="D528" s="7">
        <v>1.8823190412004535E-2</v>
      </c>
      <c r="E528" s="6" t="s">
        <v>7</v>
      </c>
      <c r="G528" s="6" t="s">
        <v>91</v>
      </c>
      <c r="H528" s="6" t="s">
        <v>46</v>
      </c>
      <c r="I528" s="8">
        <v>7.8625284128129701E-3</v>
      </c>
      <c r="J528" s="6" t="s">
        <v>7</v>
      </c>
      <c r="L528" s="6" t="s">
        <v>92</v>
      </c>
      <c r="M528" s="6" t="s">
        <v>46</v>
      </c>
      <c r="N528" s="8">
        <v>9.1271948097272522E-3</v>
      </c>
      <c r="O528" s="6" t="s">
        <v>7</v>
      </c>
    </row>
    <row r="529" spans="2:15" x14ac:dyDescent="0.45">
      <c r="B529" s="3" t="s">
        <v>90</v>
      </c>
      <c r="C529" s="3" t="s">
        <v>47</v>
      </c>
      <c r="D529" s="4">
        <v>1.5079595193740957E-3</v>
      </c>
      <c r="E529" s="3" t="s">
        <v>7</v>
      </c>
      <c r="G529" s="3" t="s">
        <v>91</v>
      </c>
      <c r="H529" s="3" t="s">
        <v>47</v>
      </c>
      <c r="I529" s="5">
        <v>8.5555695619947397E-3</v>
      </c>
      <c r="J529" s="3" t="s">
        <v>7</v>
      </c>
      <c r="L529" s="3" t="s">
        <v>92</v>
      </c>
      <c r="M529" s="3" t="s">
        <v>47</v>
      </c>
      <c r="N529" s="5">
        <v>9.2069957165656843E-3</v>
      </c>
      <c r="O529" s="3" t="s">
        <v>7</v>
      </c>
    </row>
    <row r="530" spans="2:15" x14ac:dyDescent="0.45">
      <c r="B530" s="6" t="s">
        <v>90</v>
      </c>
      <c r="C530" s="6" t="s">
        <v>48</v>
      </c>
      <c r="D530" s="7">
        <v>0</v>
      </c>
      <c r="E530" s="6" t="s">
        <v>7</v>
      </c>
      <c r="G530" s="6" t="s">
        <v>91</v>
      </c>
      <c r="H530" s="6" t="s">
        <v>48</v>
      </c>
      <c r="I530" s="8">
        <v>1.3776944084265341E-2</v>
      </c>
      <c r="J530" s="6" t="s">
        <v>7</v>
      </c>
      <c r="L530" s="6" t="s">
        <v>92</v>
      </c>
      <c r="M530" s="6" t="s">
        <v>48</v>
      </c>
      <c r="N530" s="8">
        <v>1.3764996833160615E-2</v>
      </c>
      <c r="O530" s="6" t="s">
        <v>7</v>
      </c>
    </row>
    <row r="531" spans="2:15" x14ac:dyDescent="0.45">
      <c r="B531" s="3" t="s">
        <v>90</v>
      </c>
      <c r="C531" s="3" t="s">
        <v>49</v>
      </c>
      <c r="D531" s="4">
        <v>0</v>
      </c>
      <c r="E531" s="3" t="s">
        <v>7</v>
      </c>
      <c r="G531" s="3" t="s">
        <v>91</v>
      </c>
      <c r="H531" s="3" t="s">
        <v>49</v>
      </c>
      <c r="I531" s="5">
        <v>3.9092755207545522E-2</v>
      </c>
      <c r="J531" s="3" t="s">
        <v>7</v>
      </c>
      <c r="L531" s="3" t="s">
        <v>92</v>
      </c>
      <c r="M531" s="3" t="s">
        <v>49</v>
      </c>
      <c r="N531" s="5">
        <v>3.7716873923410985E-2</v>
      </c>
      <c r="O531" s="3" t="s">
        <v>7</v>
      </c>
    </row>
    <row r="532" spans="2:15" x14ac:dyDescent="0.45">
      <c r="B532" s="6" t="s">
        <v>90</v>
      </c>
      <c r="C532" s="6" t="s">
        <v>50</v>
      </c>
      <c r="D532" s="7">
        <v>1.7351312735209312E-5</v>
      </c>
      <c r="E532" s="6" t="s">
        <v>7</v>
      </c>
      <c r="G532" s="6" t="s">
        <v>91</v>
      </c>
      <c r="H532" s="6" t="s">
        <v>50</v>
      </c>
      <c r="I532" s="8">
        <v>1.5254528184693895E-2</v>
      </c>
      <c r="J532" s="6" t="s">
        <v>7</v>
      </c>
      <c r="L532" s="6" t="s">
        <v>92</v>
      </c>
      <c r="M532" s="6" t="s">
        <v>50</v>
      </c>
      <c r="N532" s="8">
        <v>1.4665114935200164E-2</v>
      </c>
      <c r="O532" s="6" t="s">
        <v>7</v>
      </c>
    </row>
    <row r="533" spans="2:15" x14ac:dyDescent="0.45">
      <c r="B533" s="3" t="s">
        <v>90</v>
      </c>
      <c r="C533" s="3" t="s">
        <v>51</v>
      </c>
      <c r="D533" s="4">
        <v>8.1219611182494402E-3</v>
      </c>
      <c r="E533" s="3" t="s">
        <v>7</v>
      </c>
      <c r="G533" s="3" t="s">
        <v>91</v>
      </c>
      <c r="H533" s="3" t="s">
        <v>51</v>
      </c>
      <c r="I533" s="5">
        <v>1.4524358947481514E-2</v>
      </c>
      <c r="J533" s="3" t="s">
        <v>7</v>
      </c>
      <c r="L533" s="3" t="s">
        <v>92</v>
      </c>
      <c r="M533" s="3" t="s">
        <v>51</v>
      </c>
      <c r="N533" s="5">
        <v>1.4920457626575696E-2</v>
      </c>
      <c r="O533" s="3" t="s">
        <v>7</v>
      </c>
    </row>
    <row r="534" spans="2:15" x14ac:dyDescent="0.45">
      <c r="B534" s="6" t="s">
        <v>90</v>
      </c>
      <c r="C534" s="6" t="s">
        <v>52</v>
      </c>
      <c r="D534" s="7">
        <v>3.1157766178140263E-2</v>
      </c>
      <c r="E534" s="6" t="s">
        <v>7</v>
      </c>
      <c r="G534" s="6" t="s">
        <v>91</v>
      </c>
      <c r="H534" s="6" t="s">
        <v>52</v>
      </c>
      <c r="I534" s="8">
        <v>1.391488033146291E-2</v>
      </c>
      <c r="J534" s="6" t="s">
        <v>7</v>
      </c>
      <c r="L534" s="6" t="s">
        <v>92</v>
      </c>
      <c r="M534" s="6" t="s">
        <v>52</v>
      </c>
      <c r="N534" s="8">
        <v>1.5031236567465963E-2</v>
      </c>
      <c r="O534" s="6" t="s">
        <v>7</v>
      </c>
    </row>
    <row r="535" spans="2:15" x14ac:dyDescent="0.45">
      <c r="B535" s="3" t="s">
        <v>90</v>
      </c>
      <c r="C535" s="3" t="s">
        <v>53</v>
      </c>
      <c r="D535" s="4">
        <v>4.4213861288030981E-2</v>
      </c>
      <c r="E535" s="3" t="s">
        <v>7</v>
      </c>
      <c r="G535" s="3" t="s">
        <v>91</v>
      </c>
      <c r="H535" s="3" t="s">
        <v>53</v>
      </c>
      <c r="I535" s="5">
        <v>1.472679616189141E-2</v>
      </c>
      <c r="J535" s="3" t="s">
        <v>7</v>
      </c>
      <c r="L535" s="3" t="s">
        <v>92</v>
      </c>
      <c r="M535" s="3" t="s">
        <v>53</v>
      </c>
      <c r="N535" s="5">
        <v>1.5202386210355382E-2</v>
      </c>
      <c r="O535" s="3" t="s">
        <v>7</v>
      </c>
    </row>
    <row r="536" spans="2:15" x14ac:dyDescent="0.45">
      <c r="B536" s="6" t="s">
        <v>90</v>
      </c>
      <c r="C536" s="6" t="s">
        <v>54</v>
      </c>
      <c r="D536" s="7">
        <v>3.9957344455316568E-2</v>
      </c>
      <c r="E536" s="6" t="s">
        <v>7</v>
      </c>
      <c r="G536" s="6" t="s">
        <v>91</v>
      </c>
      <c r="H536" s="6" t="s">
        <v>54</v>
      </c>
      <c r="I536" s="8">
        <v>1.5314427554126984E-2</v>
      </c>
      <c r="J536" s="6" t="s">
        <v>7</v>
      </c>
      <c r="L536" s="6" t="s">
        <v>92</v>
      </c>
      <c r="M536" s="6" t="s">
        <v>54</v>
      </c>
      <c r="N536" s="8">
        <v>1.5168108302040807E-2</v>
      </c>
      <c r="O536" s="6" t="s">
        <v>7</v>
      </c>
    </row>
    <row r="537" spans="2:15" x14ac:dyDescent="0.45">
      <c r="B537" s="3" t="s">
        <v>90</v>
      </c>
      <c r="C537" s="3" t="s">
        <v>55</v>
      </c>
      <c r="D537" s="4">
        <v>2.3410424703590761E-2</v>
      </c>
      <c r="E537" s="3" t="s">
        <v>7</v>
      </c>
      <c r="G537" s="3" t="s">
        <v>91</v>
      </c>
      <c r="H537" s="3" t="s">
        <v>55</v>
      </c>
      <c r="I537" s="5">
        <v>1.5272166093420352E-2</v>
      </c>
      <c r="J537" s="3" t="s">
        <v>7</v>
      </c>
      <c r="L537" s="3" t="s">
        <v>92</v>
      </c>
      <c r="M537" s="3" t="s">
        <v>55</v>
      </c>
      <c r="N537" s="5">
        <v>1.5335177249992117E-2</v>
      </c>
      <c r="O537" s="3" t="s">
        <v>7</v>
      </c>
    </row>
    <row r="538" spans="2:15" x14ac:dyDescent="0.45">
      <c r="B538" s="6" t="s">
        <v>90</v>
      </c>
      <c r="C538" s="6" t="s">
        <v>56</v>
      </c>
      <c r="D538" s="7">
        <v>4.281490847911058E-3</v>
      </c>
      <c r="E538" s="6" t="s">
        <v>7</v>
      </c>
      <c r="G538" s="6" t="s">
        <v>91</v>
      </c>
      <c r="H538" s="6" t="s">
        <v>56</v>
      </c>
      <c r="I538" s="8">
        <v>1.5225405722420933E-2</v>
      </c>
      <c r="J538" s="6" t="s">
        <v>7</v>
      </c>
      <c r="L538" s="6" t="s">
        <v>92</v>
      </c>
      <c r="M538" s="6" t="s">
        <v>56</v>
      </c>
      <c r="N538" s="8">
        <v>1.5615065864810656E-2</v>
      </c>
      <c r="O538" s="6" t="s">
        <v>7</v>
      </c>
    </row>
    <row r="539" spans="2:15" x14ac:dyDescent="0.45">
      <c r="B539" s="3" t="s">
        <v>90</v>
      </c>
      <c r="C539" s="3" t="s">
        <v>57</v>
      </c>
      <c r="D539" s="4">
        <v>1.3629729759719299E-6</v>
      </c>
      <c r="E539" s="3" t="s">
        <v>7</v>
      </c>
      <c r="G539" s="3" t="s">
        <v>91</v>
      </c>
      <c r="H539" s="3" t="s">
        <v>57</v>
      </c>
      <c r="I539" s="5">
        <v>1.5778298227853701E-2</v>
      </c>
      <c r="J539" s="3" t="s">
        <v>7</v>
      </c>
      <c r="L539" s="3" t="s">
        <v>92</v>
      </c>
      <c r="M539" s="3" t="s">
        <v>57</v>
      </c>
      <c r="N539" s="5">
        <v>1.5852639763524096E-2</v>
      </c>
      <c r="O539" s="3" t="s">
        <v>7</v>
      </c>
    </row>
    <row r="540" spans="2:15" x14ac:dyDescent="0.45">
      <c r="B540" s="6" t="s">
        <v>90</v>
      </c>
      <c r="C540" s="6" t="s">
        <v>58</v>
      </c>
      <c r="D540" s="7">
        <v>0</v>
      </c>
      <c r="E540" s="6" t="s">
        <v>7</v>
      </c>
      <c r="G540" s="6" t="s">
        <v>91</v>
      </c>
      <c r="H540" s="6" t="s">
        <v>58</v>
      </c>
      <c r="I540" s="8">
        <v>2.4236068414375284E-2</v>
      </c>
      <c r="J540" s="6" t="s">
        <v>7</v>
      </c>
      <c r="L540" s="6" t="s">
        <v>92</v>
      </c>
      <c r="M540" s="6" t="s">
        <v>58</v>
      </c>
      <c r="N540" s="8">
        <v>2.4440649334892612E-2</v>
      </c>
      <c r="O540" s="6" t="s">
        <v>7</v>
      </c>
    </row>
    <row r="541" spans="2:15" x14ac:dyDescent="0.45">
      <c r="B541" s="3" t="s">
        <v>90</v>
      </c>
      <c r="C541" s="3" t="s">
        <v>59</v>
      </c>
      <c r="D541" s="4">
        <v>0</v>
      </c>
      <c r="E541" s="3" t="s">
        <v>7</v>
      </c>
      <c r="G541" s="3" t="s">
        <v>91</v>
      </c>
      <c r="H541" s="3" t="s">
        <v>59</v>
      </c>
      <c r="I541" s="5">
        <v>4.546697652186623E-2</v>
      </c>
      <c r="J541" s="3" t="s">
        <v>7</v>
      </c>
      <c r="L541" s="3" t="s">
        <v>92</v>
      </c>
      <c r="M541" s="3" t="s">
        <v>59</v>
      </c>
      <c r="N541" s="5">
        <v>4.4634508192022894E-2</v>
      </c>
      <c r="O541" s="3" t="s">
        <v>7</v>
      </c>
    </row>
    <row r="542" spans="2:15" x14ac:dyDescent="0.45">
      <c r="B542" s="6" t="s">
        <v>90</v>
      </c>
      <c r="C542" s="6" t="s">
        <v>60</v>
      </c>
      <c r="D542" s="7">
        <v>0</v>
      </c>
      <c r="E542" s="6" t="s">
        <v>7</v>
      </c>
      <c r="G542" s="6" t="s">
        <v>91</v>
      </c>
      <c r="H542" s="6" t="s">
        <v>60</v>
      </c>
      <c r="I542" s="8">
        <v>1.9209764113766511E-2</v>
      </c>
      <c r="J542" s="6" t="s">
        <v>7</v>
      </c>
      <c r="L542" s="6" t="s">
        <v>92</v>
      </c>
      <c r="M542" s="6" t="s">
        <v>60</v>
      </c>
      <c r="N542" s="8">
        <v>1.7726420201949804E-2</v>
      </c>
      <c r="O542" s="6" t="s">
        <v>7</v>
      </c>
    </row>
    <row r="543" spans="2:15" x14ac:dyDescent="0.45">
      <c r="B543" s="3" t="s">
        <v>90</v>
      </c>
      <c r="C543" s="3" t="s">
        <v>61</v>
      </c>
      <c r="D543" s="4">
        <v>6.3529916690128292E-4</v>
      </c>
      <c r="E543" s="3" t="s">
        <v>7</v>
      </c>
      <c r="G543" s="3" t="s">
        <v>91</v>
      </c>
      <c r="H543" s="3" t="s">
        <v>61</v>
      </c>
      <c r="I543" s="5">
        <v>1.8921098244415246E-2</v>
      </c>
      <c r="J543" s="3" t="s">
        <v>7</v>
      </c>
      <c r="L543" s="3" t="s">
        <v>92</v>
      </c>
      <c r="M543" s="3" t="s">
        <v>61</v>
      </c>
      <c r="N543" s="5">
        <v>1.7773787477701898E-2</v>
      </c>
      <c r="O543" s="3" t="s">
        <v>7</v>
      </c>
    </row>
    <row r="544" spans="2:15" x14ac:dyDescent="0.45">
      <c r="B544" s="6" t="s">
        <v>90</v>
      </c>
      <c r="C544" s="6" t="s">
        <v>62</v>
      </c>
      <c r="D544" s="7">
        <v>1.4019722581108392E-2</v>
      </c>
      <c r="E544" s="6" t="s">
        <v>7</v>
      </c>
      <c r="G544" s="6" t="s">
        <v>91</v>
      </c>
      <c r="H544" s="6" t="s">
        <v>62</v>
      </c>
      <c r="I544" s="8">
        <v>1.7919000650065291E-2</v>
      </c>
      <c r="J544" s="6" t="s">
        <v>7</v>
      </c>
      <c r="L544" s="6" t="s">
        <v>92</v>
      </c>
      <c r="M544" s="6" t="s">
        <v>62</v>
      </c>
      <c r="N544" s="8">
        <v>1.7373485937042563E-2</v>
      </c>
      <c r="O544" s="6" t="s">
        <v>7</v>
      </c>
    </row>
    <row r="545" spans="2:15" x14ac:dyDescent="0.45">
      <c r="B545" s="3" t="s">
        <v>90</v>
      </c>
      <c r="C545" s="3" t="s">
        <v>63</v>
      </c>
      <c r="D545" s="4">
        <v>2.8044512022594226E-2</v>
      </c>
      <c r="E545" s="3" t="s">
        <v>7</v>
      </c>
      <c r="G545" s="3" t="s">
        <v>91</v>
      </c>
      <c r="H545" s="3" t="s">
        <v>63</v>
      </c>
      <c r="I545" s="5">
        <v>1.7464929701580232E-2</v>
      </c>
      <c r="J545" s="3" t="s">
        <v>7</v>
      </c>
      <c r="L545" s="3" t="s">
        <v>92</v>
      </c>
      <c r="M545" s="3" t="s">
        <v>63</v>
      </c>
      <c r="N545" s="5">
        <v>1.6634332417221179E-2</v>
      </c>
      <c r="O545" s="3" t="s">
        <v>7</v>
      </c>
    </row>
    <row r="546" spans="2:15" x14ac:dyDescent="0.45">
      <c r="B546" s="6" t="s">
        <v>90</v>
      </c>
      <c r="C546" s="6" t="s">
        <v>64</v>
      </c>
      <c r="D546" s="7">
        <v>2.4756100684845937E-2</v>
      </c>
      <c r="E546" s="6" t="s">
        <v>7</v>
      </c>
      <c r="G546" s="6" t="s">
        <v>91</v>
      </c>
      <c r="H546" s="6" t="s">
        <v>64</v>
      </c>
      <c r="I546" s="8">
        <v>1.7667265641037457E-2</v>
      </c>
      <c r="J546" s="6" t="s">
        <v>7</v>
      </c>
      <c r="L546" s="6" t="s">
        <v>92</v>
      </c>
      <c r="M546" s="6" t="s">
        <v>64</v>
      </c>
      <c r="N546" s="8">
        <v>1.6657129994127624E-2</v>
      </c>
      <c r="O546" s="6" t="s">
        <v>7</v>
      </c>
    </row>
    <row r="547" spans="2:15" x14ac:dyDescent="0.45">
      <c r="B547" s="3" t="s">
        <v>90</v>
      </c>
      <c r="C547" s="3" t="s">
        <v>65</v>
      </c>
      <c r="D547" s="4">
        <v>8.7375585198070666E-3</v>
      </c>
      <c r="E547" s="3" t="s">
        <v>7</v>
      </c>
      <c r="G547" s="3" t="s">
        <v>91</v>
      </c>
      <c r="H547" s="3" t="s">
        <v>65</v>
      </c>
      <c r="I547" s="5">
        <v>1.7499989270360672E-2</v>
      </c>
      <c r="J547" s="3" t="s">
        <v>7</v>
      </c>
      <c r="L547" s="3" t="s">
        <v>92</v>
      </c>
      <c r="M547" s="3" t="s">
        <v>65</v>
      </c>
      <c r="N547" s="5">
        <v>1.6648153782540837E-2</v>
      </c>
      <c r="O547" s="3" t="s">
        <v>7</v>
      </c>
    </row>
    <row r="548" spans="2:15" x14ac:dyDescent="0.45">
      <c r="B548" s="6" t="s">
        <v>90</v>
      </c>
      <c r="C548" s="6" t="s">
        <v>66</v>
      </c>
      <c r="D548" s="7">
        <v>0</v>
      </c>
      <c r="E548" s="6" t="s">
        <v>7</v>
      </c>
      <c r="G548" s="6" t="s">
        <v>91</v>
      </c>
      <c r="H548" s="6" t="s">
        <v>66</v>
      </c>
      <c r="I548" s="8">
        <v>1.7883156756193314E-2</v>
      </c>
      <c r="J548" s="6" t="s">
        <v>7</v>
      </c>
      <c r="L548" s="6" t="s">
        <v>92</v>
      </c>
      <c r="M548" s="6" t="s">
        <v>66</v>
      </c>
      <c r="N548" s="8">
        <v>1.6735278352548243E-2</v>
      </c>
      <c r="O548" s="6" t="s">
        <v>7</v>
      </c>
    </row>
    <row r="549" spans="2:15" x14ac:dyDescent="0.45">
      <c r="B549" s="3" t="s">
        <v>90</v>
      </c>
      <c r="C549" s="3" t="s">
        <v>67</v>
      </c>
      <c r="D549" s="4">
        <v>0</v>
      </c>
      <c r="E549" s="3" t="s">
        <v>7</v>
      </c>
      <c r="G549" s="3" t="s">
        <v>91</v>
      </c>
      <c r="H549" s="3" t="s">
        <v>67</v>
      </c>
      <c r="I549" s="5">
        <v>1.841185360486413E-2</v>
      </c>
      <c r="J549" s="3" t="s">
        <v>7</v>
      </c>
      <c r="L549" s="3" t="s">
        <v>92</v>
      </c>
      <c r="M549" s="3" t="s">
        <v>67</v>
      </c>
      <c r="N549" s="5">
        <v>1.7638374663757155E-2</v>
      </c>
      <c r="O549" s="3" t="s">
        <v>7</v>
      </c>
    </row>
    <row r="550" spans="2:15" x14ac:dyDescent="0.45">
      <c r="B550" s="6" t="s">
        <v>90</v>
      </c>
      <c r="C550" s="6" t="s">
        <v>68</v>
      </c>
      <c r="D550" s="7">
        <v>0</v>
      </c>
      <c r="E550" s="6" t="s">
        <v>7</v>
      </c>
      <c r="G550" s="6" t="s">
        <v>91</v>
      </c>
      <c r="H550" s="6" t="s">
        <v>68</v>
      </c>
      <c r="I550" s="8">
        <v>2.6752203526197893E-2</v>
      </c>
      <c r="J550" s="6" t="s">
        <v>7</v>
      </c>
      <c r="L550" s="6" t="s">
        <v>92</v>
      </c>
      <c r="M550" s="6" t="s">
        <v>68</v>
      </c>
      <c r="N550" s="8">
        <v>2.6740675856990179E-2</v>
      </c>
      <c r="O550" s="6" t="s">
        <v>7</v>
      </c>
    </row>
    <row r="551" spans="2:15" x14ac:dyDescent="0.45">
      <c r="B551" s="3" t="s">
        <v>93</v>
      </c>
      <c r="C551" s="3" t="s">
        <v>6</v>
      </c>
      <c r="D551" s="4">
        <v>0</v>
      </c>
      <c r="E551" s="3" t="s">
        <v>7</v>
      </c>
      <c r="G551" s="3" t="s">
        <v>94</v>
      </c>
      <c r="H551" s="3" t="s">
        <v>6</v>
      </c>
      <c r="I551" s="5">
        <v>3.7762565099442792E-2</v>
      </c>
      <c r="J551" s="3" t="s">
        <v>7</v>
      </c>
      <c r="L551" s="3" t="s">
        <v>95</v>
      </c>
      <c r="M551" s="3" t="s">
        <v>6</v>
      </c>
      <c r="N551" s="5">
        <v>3.4627924264264233E-2</v>
      </c>
      <c r="O551" s="3" t="s">
        <v>7</v>
      </c>
    </row>
    <row r="552" spans="2:15" x14ac:dyDescent="0.45">
      <c r="B552" s="6" t="s">
        <v>93</v>
      </c>
      <c r="C552" s="6" t="s">
        <v>10</v>
      </c>
      <c r="D552" s="7">
        <v>0</v>
      </c>
      <c r="E552" s="6" t="s">
        <v>7</v>
      </c>
      <c r="G552" s="6" t="s">
        <v>94</v>
      </c>
      <c r="H552" s="6" t="s">
        <v>10</v>
      </c>
      <c r="I552" s="8">
        <v>1.463385982171936E-2</v>
      </c>
      <c r="J552" s="6" t="s">
        <v>7</v>
      </c>
      <c r="L552" s="6" t="s">
        <v>95</v>
      </c>
      <c r="M552" s="6" t="s">
        <v>10</v>
      </c>
      <c r="N552" s="8">
        <v>1.3594966379075505E-2</v>
      </c>
      <c r="O552" s="6" t="s">
        <v>7</v>
      </c>
    </row>
    <row r="553" spans="2:15" x14ac:dyDescent="0.45">
      <c r="B553" s="3" t="s">
        <v>93</v>
      </c>
      <c r="C553" s="3" t="s">
        <v>11</v>
      </c>
      <c r="D553" s="4">
        <v>1.1472260295762942E-5</v>
      </c>
      <c r="E553" s="3" t="s">
        <v>7</v>
      </c>
      <c r="G553" s="3" t="s">
        <v>94</v>
      </c>
      <c r="H553" s="3" t="s">
        <v>11</v>
      </c>
      <c r="I553" s="5">
        <v>1.4539975583454975E-2</v>
      </c>
      <c r="J553" s="3" t="s">
        <v>7</v>
      </c>
      <c r="L553" s="3" t="s">
        <v>95</v>
      </c>
      <c r="M553" s="3" t="s">
        <v>11</v>
      </c>
      <c r="N553" s="5">
        <v>1.3815644379295187E-2</v>
      </c>
      <c r="O553" s="3" t="s">
        <v>7</v>
      </c>
    </row>
    <row r="554" spans="2:15" x14ac:dyDescent="0.45">
      <c r="B554" s="6" t="s">
        <v>93</v>
      </c>
      <c r="C554" s="6" t="s">
        <v>12</v>
      </c>
      <c r="D554" s="7">
        <v>8.502812970280018E-3</v>
      </c>
      <c r="E554" s="6" t="s">
        <v>7</v>
      </c>
      <c r="G554" s="6" t="s">
        <v>94</v>
      </c>
      <c r="H554" s="6" t="s">
        <v>12</v>
      </c>
      <c r="I554" s="8">
        <v>1.4326921849960598E-2</v>
      </c>
      <c r="J554" s="6" t="s">
        <v>7</v>
      </c>
      <c r="L554" s="6" t="s">
        <v>95</v>
      </c>
      <c r="M554" s="6" t="s">
        <v>12</v>
      </c>
      <c r="N554" s="8">
        <v>1.3766447422227778E-2</v>
      </c>
      <c r="O554" s="6" t="s">
        <v>7</v>
      </c>
    </row>
    <row r="555" spans="2:15" x14ac:dyDescent="0.45">
      <c r="B555" s="3" t="s">
        <v>93</v>
      </c>
      <c r="C555" s="3" t="s">
        <v>13</v>
      </c>
      <c r="D555" s="4">
        <v>2.6685805234440498E-2</v>
      </c>
      <c r="E555" s="3" t="s">
        <v>7</v>
      </c>
      <c r="G555" s="3" t="s">
        <v>94</v>
      </c>
      <c r="H555" s="3" t="s">
        <v>13</v>
      </c>
      <c r="I555" s="5">
        <v>1.4570508338854204E-2</v>
      </c>
      <c r="J555" s="3" t="s">
        <v>7</v>
      </c>
      <c r="L555" s="3" t="s">
        <v>95</v>
      </c>
      <c r="M555" s="3" t="s">
        <v>13</v>
      </c>
      <c r="N555" s="5">
        <v>1.3547282787366442E-2</v>
      </c>
      <c r="O555" s="3" t="s">
        <v>7</v>
      </c>
    </row>
    <row r="556" spans="2:15" x14ac:dyDescent="0.45">
      <c r="B556" s="6" t="s">
        <v>93</v>
      </c>
      <c r="C556" s="6" t="s">
        <v>14</v>
      </c>
      <c r="D556" s="7">
        <v>3.1461743951756133E-2</v>
      </c>
      <c r="E556" s="6" t="s">
        <v>7</v>
      </c>
      <c r="G556" s="6" t="s">
        <v>94</v>
      </c>
      <c r="H556" s="6" t="s">
        <v>14</v>
      </c>
      <c r="I556" s="8">
        <v>1.4990568109306122E-2</v>
      </c>
      <c r="J556" s="6" t="s">
        <v>7</v>
      </c>
      <c r="L556" s="6" t="s">
        <v>95</v>
      </c>
      <c r="M556" s="6" t="s">
        <v>14</v>
      </c>
      <c r="N556" s="8">
        <v>1.3338805507196084E-2</v>
      </c>
      <c r="O556" s="6" t="s">
        <v>7</v>
      </c>
    </row>
    <row r="557" spans="2:15" x14ac:dyDescent="0.45">
      <c r="B557" s="3" t="s">
        <v>93</v>
      </c>
      <c r="C557" s="3" t="s">
        <v>15</v>
      </c>
      <c r="D557" s="4">
        <v>1.9182623800176674E-2</v>
      </c>
      <c r="E557" s="3" t="s">
        <v>7</v>
      </c>
      <c r="G557" s="3" t="s">
        <v>94</v>
      </c>
      <c r="H557" s="3" t="s">
        <v>15</v>
      </c>
      <c r="I557" s="5">
        <v>1.4950279354183102E-2</v>
      </c>
      <c r="J557" s="3" t="s">
        <v>7</v>
      </c>
      <c r="L557" s="3" t="s">
        <v>95</v>
      </c>
      <c r="M557" s="3" t="s">
        <v>15</v>
      </c>
      <c r="N557" s="5">
        <v>1.3092188200751443E-2</v>
      </c>
      <c r="O557" s="3" t="s">
        <v>7</v>
      </c>
    </row>
    <row r="558" spans="2:15" x14ac:dyDescent="0.45">
      <c r="B558" s="6" t="s">
        <v>93</v>
      </c>
      <c r="C558" s="6" t="s">
        <v>16</v>
      </c>
      <c r="D558" s="7">
        <v>2.9017690194752307E-3</v>
      </c>
      <c r="E558" s="6" t="s">
        <v>7</v>
      </c>
      <c r="G558" s="6" t="s">
        <v>94</v>
      </c>
      <c r="H558" s="6" t="s">
        <v>16</v>
      </c>
      <c r="I558" s="8">
        <v>1.5072654744694358E-2</v>
      </c>
      <c r="J558" s="6" t="s">
        <v>7</v>
      </c>
      <c r="L558" s="6" t="s">
        <v>95</v>
      </c>
      <c r="M558" s="6" t="s">
        <v>16</v>
      </c>
      <c r="N558" s="8">
        <v>1.395449419219843E-2</v>
      </c>
      <c r="O558" s="6" t="s">
        <v>7</v>
      </c>
    </row>
    <row r="559" spans="2:15" x14ac:dyDescent="0.45">
      <c r="B559" s="3" t="s">
        <v>93</v>
      </c>
      <c r="C559" s="3" t="s">
        <v>17</v>
      </c>
      <c r="D559" s="4">
        <v>0</v>
      </c>
      <c r="E559" s="3" t="s">
        <v>7</v>
      </c>
      <c r="G559" s="3" t="s">
        <v>94</v>
      </c>
      <c r="H559" s="3" t="s">
        <v>17</v>
      </c>
      <c r="I559" s="5">
        <v>1.5326483038091988E-2</v>
      </c>
      <c r="J559" s="3" t="s">
        <v>7</v>
      </c>
      <c r="L559" s="3" t="s">
        <v>95</v>
      </c>
      <c r="M559" s="3" t="s">
        <v>17</v>
      </c>
      <c r="N559" s="5">
        <v>1.449474474671892E-2</v>
      </c>
      <c r="O559" s="3" t="s">
        <v>7</v>
      </c>
    </row>
    <row r="560" spans="2:15" x14ac:dyDescent="0.45">
      <c r="B560" s="6" t="s">
        <v>93</v>
      </c>
      <c r="C560" s="6" t="s">
        <v>18</v>
      </c>
      <c r="D560" s="7">
        <v>0</v>
      </c>
      <c r="E560" s="6" t="s">
        <v>7</v>
      </c>
      <c r="G560" s="6" t="s">
        <v>94</v>
      </c>
      <c r="H560" s="6" t="s">
        <v>18</v>
      </c>
      <c r="I560" s="8">
        <v>2.2650243584347453E-2</v>
      </c>
      <c r="J560" s="6" t="s">
        <v>7</v>
      </c>
      <c r="L560" s="6" t="s">
        <v>95</v>
      </c>
      <c r="M560" s="6" t="s">
        <v>18</v>
      </c>
      <c r="N560" s="8">
        <v>2.1245059982343509E-2</v>
      </c>
      <c r="O560" s="6" t="s">
        <v>7</v>
      </c>
    </row>
    <row r="561" spans="2:15" x14ac:dyDescent="0.45">
      <c r="B561" s="3" t="s">
        <v>93</v>
      </c>
      <c r="C561" s="3" t="s">
        <v>19</v>
      </c>
      <c r="D561" s="4">
        <v>0</v>
      </c>
      <c r="E561" s="3" t="s">
        <v>7</v>
      </c>
      <c r="G561" s="3" t="s">
        <v>94</v>
      </c>
      <c r="H561" s="3" t="s">
        <v>19</v>
      </c>
      <c r="I561" s="5">
        <v>3.3802217307083791E-2</v>
      </c>
      <c r="J561" s="3" t="s">
        <v>7</v>
      </c>
      <c r="L561" s="3" t="s">
        <v>95</v>
      </c>
      <c r="M561" s="3" t="s">
        <v>19</v>
      </c>
      <c r="N561" s="5">
        <v>3.492408666517087E-2</v>
      </c>
      <c r="O561" s="3" t="s">
        <v>7</v>
      </c>
    </row>
    <row r="562" spans="2:15" x14ac:dyDescent="0.45">
      <c r="B562" s="6" t="s">
        <v>93</v>
      </c>
      <c r="C562" s="6" t="s">
        <v>20</v>
      </c>
      <c r="D562" s="7">
        <v>7.4591250280510839E-5</v>
      </c>
      <c r="E562" s="6" t="s">
        <v>7</v>
      </c>
      <c r="G562" s="6" t="s">
        <v>94</v>
      </c>
      <c r="H562" s="6" t="s">
        <v>20</v>
      </c>
      <c r="I562" s="8">
        <v>1.2981159076430854E-2</v>
      </c>
      <c r="J562" s="6" t="s">
        <v>7</v>
      </c>
      <c r="L562" s="6" t="s">
        <v>95</v>
      </c>
      <c r="M562" s="6" t="s">
        <v>20</v>
      </c>
      <c r="N562" s="8">
        <v>1.4337139945013401E-2</v>
      </c>
      <c r="O562" s="6" t="s">
        <v>7</v>
      </c>
    </row>
    <row r="563" spans="2:15" x14ac:dyDescent="0.45">
      <c r="B563" s="3" t="s">
        <v>93</v>
      </c>
      <c r="C563" s="3" t="s">
        <v>21</v>
      </c>
      <c r="D563" s="4">
        <v>8.160564784887768E-3</v>
      </c>
      <c r="E563" s="3" t="s">
        <v>7</v>
      </c>
      <c r="G563" s="3" t="s">
        <v>94</v>
      </c>
      <c r="H563" s="3" t="s">
        <v>21</v>
      </c>
      <c r="I563" s="5">
        <v>1.3181022843362982E-2</v>
      </c>
      <c r="J563" s="3" t="s">
        <v>7</v>
      </c>
      <c r="L563" s="3" t="s">
        <v>95</v>
      </c>
      <c r="M563" s="3" t="s">
        <v>21</v>
      </c>
      <c r="N563" s="5">
        <v>1.4802933989147091E-2</v>
      </c>
      <c r="O563" s="3" t="s">
        <v>7</v>
      </c>
    </row>
    <row r="564" spans="2:15" x14ac:dyDescent="0.45">
      <c r="B564" s="6" t="s">
        <v>93</v>
      </c>
      <c r="C564" s="6" t="s">
        <v>22</v>
      </c>
      <c r="D564" s="7">
        <v>3.7173475009946409E-2</v>
      </c>
      <c r="E564" s="6" t="s">
        <v>7</v>
      </c>
      <c r="G564" s="6" t="s">
        <v>94</v>
      </c>
      <c r="H564" s="6" t="s">
        <v>22</v>
      </c>
      <c r="I564" s="8">
        <v>1.4095056915196108E-2</v>
      </c>
      <c r="J564" s="6" t="s">
        <v>7</v>
      </c>
      <c r="L564" s="6" t="s">
        <v>95</v>
      </c>
      <c r="M564" s="6" t="s">
        <v>22</v>
      </c>
      <c r="N564" s="8">
        <v>1.5846405088726558E-2</v>
      </c>
      <c r="O564" s="6" t="s">
        <v>7</v>
      </c>
    </row>
    <row r="565" spans="2:15" x14ac:dyDescent="0.45">
      <c r="B565" s="3" t="s">
        <v>93</v>
      </c>
      <c r="C565" s="3" t="s">
        <v>23</v>
      </c>
      <c r="D565" s="4">
        <v>5.7911992111652752E-2</v>
      </c>
      <c r="E565" s="3" t="s">
        <v>7</v>
      </c>
      <c r="G565" s="3" t="s">
        <v>94</v>
      </c>
      <c r="H565" s="3" t="s">
        <v>23</v>
      </c>
      <c r="I565" s="5">
        <v>1.4588110608010024E-2</v>
      </c>
      <c r="J565" s="3" t="s">
        <v>7</v>
      </c>
      <c r="L565" s="3" t="s">
        <v>95</v>
      </c>
      <c r="M565" s="3" t="s">
        <v>23</v>
      </c>
      <c r="N565" s="5">
        <v>1.5517815308733834E-2</v>
      </c>
      <c r="O565" s="3" t="s">
        <v>7</v>
      </c>
    </row>
    <row r="566" spans="2:15" x14ac:dyDescent="0.45">
      <c r="B566" s="6" t="s">
        <v>93</v>
      </c>
      <c r="C566" s="6" t="s">
        <v>24</v>
      </c>
      <c r="D566" s="7">
        <v>5.9418600660604164E-2</v>
      </c>
      <c r="E566" s="6" t="s">
        <v>7</v>
      </c>
      <c r="G566" s="6" t="s">
        <v>94</v>
      </c>
      <c r="H566" s="6" t="s">
        <v>24</v>
      </c>
      <c r="I566" s="8">
        <v>1.4808547743669387E-2</v>
      </c>
      <c r="J566" s="6" t="s">
        <v>7</v>
      </c>
      <c r="L566" s="6" t="s">
        <v>95</v>
      </c>
      <c r="M566" s="6" t="s">
        <v>24</v>
      </c>
      <c r="N566" s="8">
        <v>1.5536086316418203E-2</v>
      </c>
      <c r="O566" s="6" t="s">
        <v>7</v>
      </c>
    </row>
    <row r="567" spans="2:15" x14ac:dyDescent="0.45">
      <c r="B567" s="3" t="s">
        <v>93</v>
      </c>
      <c r="C567" s="3" t="s">
        <v>25</v>
      </c>
      <c r="D567" s="4">
        <v>4.4940495500329677E-2</v>
      </c>
      <c r="E567" s="3" t="s">
        <v>7</v>
      </c>
      <c r="G567" s="3" t="s">
        <v>94</v>
      </c>
      <c r="H567" s="3" t="s">
        <v>25</v>
      </c>
      <c r="I567" s="5">
        <v>1.4669670430382788E-2</v>
      </c>
      <c r="J567" s="3" t="s">
        <v>7</v>
      </c>
      <c r="L567" s="3" t="s">
        <v>95</v>
      </c>
      <c r="M567" s="3" t="s">
        <v>25</v>
      </c>
      <c r="N567" s="5">
        <v>1.5719755700090609E-2</v>
      </c>
      <c r="O567" s="3" t="s">
        <v>7</v>
      </c>
    </row>
    <row r="568" spans="2:15" x14ac:dyDescent="0.45">
      <c r="B568" s="6" t="s">
        <v>93</v>
      </c>
      <c r="C568" s="6" t="s">
        <v>26</v>
      </c>
      <c r="D568" s="7">
        <v>1.9349583208127685E-2</v>
      </c>
      <c r="E568" s="6" t="s">
        <v>7</v>
      </c>
      <c r="G568" s="6" t="s">
        <v>94</v>
      </c>
      <c r="H568" s="6" t="s">
        <v>26</v>
      </c>
      <c r="I568" s="8">
        <v>1.4496162030577353E-2</v>
      </c>
      <c r="J568" s="6" t="s">
        <v>7</v>
      </c>
      <c r="L568" s="6" t="s">
        <v>95</v>
      </c>
      <c r="M568" s="6" t="s">
        <v>26</v>
      </c>
      <c r="N568" s="8">
        <v>1.5280152248635211E-2</v>
      </c>
      <c r="O568" s="6" t="s">
        <v>7</v>
      </c>
    </row>
    <row r="569" spans="2:15" x14ac:dyDescent="0.45">
      <c r="B569" s="3" t="s">
        <v>93</v>
      </c>
      <c r="C569" s="3" t="s">
        <v>27</v>
      </c>
      <c r="D569" s="4">
        <v>7.1975723278730279E-4</v>
      </c>
      <c r="E569" s="3" t="s">
        <v>7</v>
      </c>
      <c r="G569" s="3" t="s">
        <v>94</v>
      </c>
      <c r="H569" s="3" t="s">
        <v>27</v>
      </c>
      <c r="I569" s="5">
        <v>1.4814029376805579E-2</v>
      </c>
      <c r="J569" s="3" t="s">
        <v>7</v>
      </c>
      <c r="L569" s="3" t="s">
        <v>95</v>
      </c>
      <c r="M569" s="3" t="s">
        <v>27</v>
      </c>
      <c r="N569" s="5">
        <v>1.4763946070534793E-2</v>
      </c>
      <c r="O569" s="3" t="s">
        <v>7</v>
      </c>
    </row>
    <row r="570" spans="2:15" x14ac:dyDescent="0.45">
      <c r="B570" s="6" t="s">
        <v>93</v>
      </c>
      <c r="C570" s="6" t="s">
        <v>28</v>
      </c>
      <c r="D570" s="7">
        <v>0</v>
      </c>
      <c r="E570" s="6" t="s">
        <v>7</v>
      </c>
      <c r="G570" s="6" t="s">
        <v>94</v>
      </c>
      <c r="H570" s="6" t="s">
        <v>28</v>
      </c>
      <c r="I570" s="8">
        <v>2.2265862861704414E-2</v>
      </c>
      <c r="J570" s="6" t="s">
        <v>7</v>
      </c>
      <c r="L570" s="6" t="s">
        <v>95</v>
      </c>
      <c r="M570" s="6" t="s">
        <v>28</v>
      </c>
      <c r="N570" s="8">
        <v>2.1456347597407961E-2</v>
      </c>
      <c r="O570" s="6" t="s">
        <v>7</v>
      </c>
    </row>
    <row r="571" spans="2:15" x14ac:dyDescent="0.45">
      <c r="B571" s="3" t="s">
        <v>93</v>
      </c>
      <c r="C571" s="3" t="s">
        <v>29</v>
      </c>
      <c r="D571" s="4">
        <v>0</v>
      </c>
      <c r="E571" s="3" t="s">
        <v>7</v>
      </c>
      <c r="G571" s="3" t="s">
        <v>94</v>
      </c>
      <c r="H571" s="3" t="s">
        <v>29</v>
      </c>
      <c r="I571" s="5">
        <v>2.4670728239343614E-2</v>
      </c>
      <c r="J571" s="3" t="s">
        <v>7</v>
      </c>
      <c r="L571" s="3" t="s">
        <v>95</v>
      </c>
      <c r="M571" s="3" t="s">
        <v>29</v>
      </c>
      <c r="N571" s="5">
        <v>2.4524060077504323E-2</v>
      </c>
      <c r="O571" s="3" t="s">
        <v>7</v>
      </c>
    </row>
    <row r="572" spans="2:15" x14ac:dyDescent="0.45">
      <c r="B572" s="6" t="s">
        <v>93</v>
      </c>
      <c r="C572" s="6" t="s">
        <v>30</v>
      </c>
      <c r="D572" s="7">
        <v>1.9884035460143927E-3</v>
      </c>
      <c r="E572" s="6" t="s">
        <v>7</v>
      </c>
      <c r="G572" s="6" t="s">
        <v>94</v>
      </c>
      <c r="H572" s="6" t="s">
        <v>30</v>
      </c>
      <c r="I572" s="8">
        <v>9.5748992048203044E-3</v>
      </c>
      <c r="J572" s="6" t="s">
        <v>7</v>
      </c>
      <c r="L572" s="6" t="s">
        <v>95</v>
      </c>
      <c r="M572" s="6" t="s">
        <v>30</v>
      </c>
      <c r="N572" s="8">
        <v>9.1264741828351263E-3</v>
      </c>
      <c r="O572" s="6" t="s">
        <v>7</v>
      </c>
    </row>
    <row r="573" spans="2:15" x14ac:dyDescent="0.45">
      <c r="B573" s="3" t="s">
        <v>93</v>
      </c>
      <c r="C573" s="3" t="s">
        <v>31</v>
      </c>
      <c r="D573" s="4">
        <v>1.7098214227935751E-2</v>
      </c>
      <c r="E573" s="3" t="s">
        <v>7</v>
      </c>
      <c r="G573" s="3" t="s">
        <v>94</v>
      </c>
      <c r="H573" s="3" t="s">
        <v>31</v>
      </c>
      <c r="I573" s="5">
        <v>1.0222451794187905E-2</v>
      </c>
      <c r="J573" s="3" t="s">
        <v>7</v>
      </c>
      <c r="L573" s="3" t="s">
        <v>95</v>
      </c>
      <c r="M573" s="3" t="s">
        <v>31</v>
      </c>
      <c r="N573" s="5">
        <v>9.7342616423516885E-3</v>
      </c>
      <c r="O573" s="3" t="s">
        <v>7</v>
      </c>
    </row>
    <row r="574" spans="2:15" x14ac:dyDescent="0.45">
      <c r="B574" s="6" t="s">
        <v>93</v>
      </c>
      <c r="C574" s="6" t="s">
        <v>32</v>
      </c>
      <c r="D574" s="7">
        <v>4.0705470667670024E-2</v>
      </c>
      <c r="E574" s="6" t="s">
        <v>7</v>
      </c>
      <c r="G574" s="6" t="s">
        <v>94</v>
      </c>
      <c r="H574" s="6" t="s">
        <v>32</v>
      </c>
      <c r="I574" s="8">
        <v>1.1033640413477378E-2</v>
      </c>
      <c r="J574" s="6" t="s">
        <v>7</v>
      </c>
      <c r="L574" s="6" t="s">
        <v>95</v>
      </c>
      <c r="M574" s="6" t="s">
        <v>32</v>
      </c>
      <c r="N574" s="8">
        <v>1.0124189584875726E-2</v>
      </c>
      <c r="O574" s="6" t="s">
        <v>7</v>
      </c>
    </row>
    <row r="575" spans="2:15" x14ac:dyDescent="0.45">
      <c r="B575" s="3" t="s">
        <v>93</v>
      </c>
      <c r="C575" s="3" t="s">
        <v>33</v>
      </c>
      <c r="D575" s="4">
        <v>5.5747301955387199E-2</v>
      </c>
      <c r="E575" s="3" t="s">
        <v>7</v>
      </c>
      <c r="G575" s="3" t="s">
        <v>94</v>
      </c>
      <c r="H575" s="3" t="s">
        <v>33</v>
      </c>
      <c r="I575" s="5">
        <v>1.1710363562980653E-2</v>
      </c>
      <c r="J575" s="3" t="s">
        <v>7</v>
      </c>
      <c r="L575" s="3" t="s">
        <v>95</v>
      </c>
      <c r="M575" s="3" t="s">
        <v>33</v>
      </c>
      <c r="N575" s="5">
        <v>1.0873180023666159E-2</v>
      </c>
      <c r="O575" s="3" t="s">
        <v>7</v>
      </c>
    </row>
    <row r="576" spans="2:15" x14ac:dyDescent="0.45">
      <c r="B576" s="6" t="s">
        <v>93</v>
      </c>
      <c r="C576" s="6" t="s">
        <v>34</v>
      </c>
      <c r="D576" s="7">
        <v>5.7292046953228183E-2</v>
      </c>
      <c r="E576" s="6" t="s">
        <v>7</v>
      </c>
      <c r="G576" s="6" t="s">
        <v>94</v>
      </c>
      <c r="H576" s="6" t="s">
        <v>34</v>
      </c>
      <c r="I576" s="8">
        <v>1.208560244655784E-2</v>
      </c>
      <c r="J576" s="6" t="s">
        <v>7</v>
      </c>
      <c r="L576" s="6" t="s">
        <v>95</v>
      </c>
      <c r="M576" s="6" t="s">
        <v>34</v>
      </c>
      <c r="N576" s="8">
        <v>1.1713288107912426E-2</v>
      </c>
      <c r="O576" s="6" t="s">
        <v>7</v>
      </c>
    </row>
    <row r="577" spans="2:15" x14ac:dyDescent="0.45">
      <c r="B577" s="3" t="s">
        <v>93</v>
      </c>
      <c r="C577" s="3" t="s">
        <v>35</v>
      </c>
      <c r="D577" s="4">
        <v>4.6599341218423983E-2</v>
      </c>
      <c r="E577" s="3" t="s">
        <v>7</v>
      </c>
      <c r="G577" s="3" t="s">
        <v>94</v>
      </c>
      <c r="H577" s="3" t="s">
        <v>35</v>
      </c>
      <c r="I577" s="5">
        <v>1.2356458983279677E-2</v>
      </c>
      <c r="J577" s="3" t="s">
        <v>7</v>
      </c>
      <c r="L577" s="3" t="s">
        <v>95</v>
      </c>
      <c r="M577" s="3" t="s">
        <v>35</v>
      </c>
      <c r="N577" s="5">
        <v>1.238460975238468E-2</v>
      </c>
      <c r="O577" s="3" t="s">
        <v>7</v>
      </c>
    </row>
    <row r="578" spans="2:15" x14ac:dyDescent="0.45">
      <c r="B578" s="6" t="s">
        <v>93</v>
      </c>
      <c r="C578" s="6" t="s">
        <v>36</v>
      </c>
      <c r="D578" s="7">
        <v>2.5547270470574372E-2</v>
      </c>
      <c r="E578" s="6" t="s">
        <v>7</v>
      </c>
      <c r="G578" s="6" t="s">
        <v>94</v>
      </c>
      <c r="H578" s="6" t="s">
        <v>36</v>
      </c>
      <c r="I578" s="8">
        <v>1.2344034348350776E-2</v>
      </c>
      <c r="J578" s="6" t="s">
        <v>7</v>
      </c>
      <c r="L578" s="6" t="s">
        <v>95</v>
      </c>
      <c r="M578" s="6" t="s">
        <v>36</v>
      </c>
      <c r="N578" s="8">
        <v>1.1682224395302511E-2</v>
      </c>
      <c r="O578" s="6" t="s">
        <v>7</v>
      </c>
    </row>
    <row r="579" spans="2:15" x14ac:dyDescent="0.45">
      <c r="B579" s="3" t="s">
        <v>93</v>
      </c>
      <c r="C579" s="3" t="s">
        <v>37</v>
      </c>
      <c r="D579" s="4">
        <v>5.1056072879004334E-3</v>
      </c>
      <c r="E579" s="3" t="s">
        <v>7</v>
      </c>
      <c r="G579" s="3" t="s">
        <v>94</v>
      </c>
      <c r="H579" s="3" t="s">
        <v>37</v>
      </c>
      <c r="I579" s="5">
        <v>1.1510061429609284E-2</v>
      </c>
      <c r="J579" s="3" t="s">
        <v>7</v>
      </c>
      <c r="L579" s="3" t="s">
        <v>95</v>
      </c>
      <c r="M579" s="3" t="s">
        <v>37</v>
      </c>
      <c r="N579" s="5">
        <v>1.0839113195033454E-2</v>
      </c>
      <c r="O579" s="3" t="s">
        <v>7</v>
      </c>
    </row>
    <row r="580" spans="2:15" x14ac:dyDescent="0.45">
      <c r="B580" s="6" t="s">
        <v>93</v>
      </c>
      <c r="C580" s="6" t="s">
        <v>38</v>
      </c>
      <c r="D580" s="7">
        <v>1.3893856090345155E-4</v>
      </c>
      <c r="E580" s="6" t="s">
        <v>7</v>
      </c>
      <c r="G580" s="6" t="s">
        <v>94</v>
      </c>
      <c r="H580" s="6" t="s">
        <v>38</v>
      </c>
      <c r="I580" s="8">
        <v>1.5262796018999759E-2</v>
      </c>
      <c r="J580" s="6" t="s">
        <v>7</v>
      </c>
      <c r="L580" s="6" t="s">
        <v>95</v>
      </c>
      <c r="M580" s="6" t="s">
        <v>38</v>
      </c>
      <c r="N580" s="8">
        <v>1.5504126422944456E-2</v>
      </c>
      <c r="O580" s="6" t="s">
        <v>7</v>
      </c>
    </row>
    <row r="581" spans="2:15" x14ac:dyDescent="0.45">
      <c r="B581" s="3" t="s">
        <v>93</v>
      </c>
      <c r="C581" s="3" t="s">
        <v>39</v>
      </c>
      <c r="D581" s="4">
        <v>0</v>
      </c>
      <c r="E581" s="3" t="s">
        <v>7</v>
      </c>
      <c r="G581" s="3" t="s">
        <v>94</v>
      </c>
      <c r="H581" s="3" t="s">
        <v>39</v>
      </c>
      <c r="I581" s="5">
        <v>2.2383898284553883E-2</v>
      </c>
      <c r="J581" s="3" t="s">
        <v>7</v>
      </c>
      <c r="L581" s="3" t="s">
        <v>95</v>
      </c>
      <c r="M581" s="3" t="s">
        <v>39</v>
      </c>
      <c r="N581" s="5">
        <v>1.8290994660372296E-2</v>
      </c>
      <c r="O581" s="3" t="s">
        <v>7</v>
      </c>
    </row>
    <row r="582" spans="2:15" x14ac:dyDescent="0.45">
      <c r="B582" s="6" t="s">
        <v>93</v>
      </c>
      <c r="C582" s="6" t="s">
        <v>40</v>
      </c>
      <c r="D582" s="7">
        <v>9.9499006681276936E-4</v>
      </c>
      <c r="E582" s="6" t="s">
        <v>7</v>
      </c>
      <c r="G582" s="6" t="s">
        <v>94</v>
      </c>
      <c r="H582" s="6" t="s">
        <v>40</v>
      </c>
      <c r="I582" s="8">
        <v>8.78277881330667E-3</v>
      </c>
      <c r="J582" s="6" t="s">
        <v>7</v>
      </c>
      <c r="L582" s="6" t="s">
        <v>95</v>
      </c>
      <c r="M582" s="6" t="s">
        <v>40</v>
      </c>
      <c r="N582" s="8">
        <v>7.1997303897066815E-3</v>
      </c>
      <c r="O582" s="6" t="s">
        <v>7</v>
      </c>
    </row>
    <row r="583" spans="2:15" x14ac:dyDescent="0.45">
      <c r="B583" s="3" t="s">
        <v>93</v>
      </c>
      <c r="C583" s="3" t="s">
        <v>41</v>
      </c>
      <c r="D583" s="4">
        <v>1.2642745956453186E-2</v>
      </c>
      <c r="E583" s="3" t="s">
        <v>7</v>
      </c>
      <c r="G583" s="3" t="s">
        <v>94</v>
      </c>
      <c r="H583" s="3" t="s">
        <v>41</v>
      </c>
      <c r="I583" s="5">
        <v>9.3036687396731189E-3</v>
      </c>
      <c r="J583" s="3" t="s">
        <v>7</v>
      </c>
      <c r="L583" s="3" t="s">
        <v>95</v>
      </c>
      <c r="M583" s="3" t="s">
        <v>41</v>
      </c>
      <c r="N583" s="5">
        <v>7.8205615838515333E-3</v>
      </c>
      <c r="O583" s="3" t="s">
        <v>7</v>
      </c>
    </row>
    <row r="584" spans="2:15" x14ac:dyDescent="0.45">
      <c r="B584" s="6" t="s">
        <v>93</v>
      </c>
      <c r="C584" s="6" t="s">
        <v>42</v>
      </c>
      <c r="D584" s="7">
        <v>3.5940638721295742E-2</v>
      </c>
      <c r="E584" s="6" t="s">
        <v>7</v>
      </c>
      <c r="G584" s="6" t="s">
        <v>94</v>
      </c>
      <c r="H584" s="6" t="s">
        <v>42</v>
      </c>
      <c r="I584" s="8">
        <v>9.8082506141621353E-3</v>
      </c>
      <c r="J584" s="6" t="s">
        <v>7</v>
      </c>
      <c r="L584" s="6" t="s">
        <v>95</v>
      </c>
      <c r="M584" s="6" t="s">
        <v>42</v>
      </c>
      <c r="N584" s="8">
        <v>8.6428782584272359E-3</v>
      </c>
      <c r="O584" s="6" t="s">
        <v>7</v>
      </c>
    </row>
    <row r="585" spans="2:15" x14ac:dyDescent="0.45">
      <c r="B585" s="3" t="s">
        <v>93</v>
      </c>
      <c r="C585" s="3" t="s">
        <v>43</v>
      </c>
      <c r="D585" s="4">
        <v>5.4766681614035459E-2</v>
      </c>
      <c r="E585" s="3" t="s">
        <v>7</v>
      </c>
      <c r="G585" s="3" t="s">
        <v>94</v>
      </c>
      <c r="H585" s="3" t="s">
        <v>43</v>
      </c>
      <c r="I585" s="5">
        <v>1.0510842648319739E-2</v>
      </c>
      <c r="J585" s="3" t="s">
        <v>7</v>
      </c>
      <c r="L585" s="3" t="s">
        <v>95</v>
      </c>
      <c r="M585" s="3" t="s">
        <v>43</v>
      </c>
      <c r="N585" s="5">
        <v>9.0986738272379394E-3</v>
      </c>
      <c r="O585" s="3" t="s">
        <v>7</v>
      </c>
    </row>
    <row r="586" spans="2:15" x14ac:dyDescent="0.45">
      <c r="B586" s="6" t="s">
        <v>93</v>
      </c>
      <c r="C586" s="6" t="s">
        <v>44</v>
      </c>
      <c r="D586" s="7">
        <v>5.9852023469544081E-2</v>
      </c>
      <c r="E586" s="6" t="s">
        <v>7</v>
      </c>
      <c r="G586" s="6" t="s">
        <v>94</v>
      </c>
      <c r="H586" s="6" t="s">
        <v>44</v>
      </c>
      <c r="I586" s="8">
        <v>1.091530366476736E-2</v>
      </c>
      <c r="J586" s="6" t="s">
        <v>7</v>
      </c>
      <c r="L586" s="6" t="s">
        <v>95</v>
      </c>
      <c r="M586" s="6" t="s">
        <v>44</v>
      </c>
      <c r="N586" s="8">
        <v>9.6687040400231846E-3</v>
      </c>
      <c r="O586" s="6" t="s">
        <v>7</v>
      </c>
    </row>
    <row r="587" spans="2:15" x14ac:dyDescent="0.45">
      <c r="B587" s="3" t="s">
        <v>93</v>
      </c>
      <c r="C587" s="3" t="s">
        <v>45</v>
      </c>
      <c r="D587" s="4">
        <v>4.8475032519429355E-2</v>
      </c>
      <c r="E587" s="3" t="s">
        <v>7</v>
      </c>
      <c r="G587" s="3" t="s">
        <v>94</v>
      </c>
      <c r="H587" s="3" t="s">
        <v>45</v>
      </c>
      <c r="I587" s="5">
        <v>1.0698816497694105E-2</v>
      </c>
      <c r="J587" s="3" t="s">
        <v>7</v>
      </c>
      <c r="L587" s="3" t="s">
        <v>95</v>
      </c>
      <c r="M587" s="3" t="s">
        <v>45</v>
      </c>
      <c r="N587" s="5">
        <v>9.7402347215361906E-3</v>
      </c>
      <c r="O587" s="3" t="s">
        <v>7</v>
      </c>
    </row>
    <row r="588" spans="2:15" x14ac:dyDescent="0.45">
      <c r="B588" s="6" t="s">
        <v>93</v>
      </c>
      <c r="C588" s="6" t="s">
        <v>46</v>
      </c>
      <c r="D588" s="7">
        <v>2.5785051675854181E-2</v>
      </c>
      <c r="E588" s="6" t="s">
        <v>7</v>
      </c>
      <c r="G588" s="6" t="s">
        <v>94</v>
      </c>
      <c r="H588" s="6" t="s">
        <v>46</v>
      </c>
      <c r="I588" s="8">
        <v>9.9445584138473375E-3</v>
      </c>
      <c r="J588" s="6" t="s">
        <v>7</v>
      </c>
      <c r="L588" s="6" t="s">
        <v>95</v>
      </c>
      <c r="M588" s="6" t="s">
        <v>46</v>
      </c>
      <c r="N588" s="8">
        <v>9.0231624336620641E-3</v>
      </c>
      <c r="O588" s="6" t="s">
        <v>7</v>
      </c>
    </row>
    <row r="589" spans="2:15" x14ac:dyDescent="0.45">
      <c r="B589" s="3" t="s">
        <v>93</v>
      </c>
      <c r="C589" s="3" t="s">
        <v>47</v>
      </c>
      <c r="D589" s="4">
        <v>4.1906200757223276E-3</v>
      </c>
      <c r="E589" s="3" t="s">
        <v>7</v>
      </c>
      <c r="G589" s="3" t="s">
        <v>94</v>
      </c>
      <c r="H589" s="3" t="s">
        <v>47</v>
      </c>
      <c r="I589" s="5">
        <v>8.8391454216418322E-3</v>
      </c>
      <c r="J589" s="3" t="s">
        <v>7</v>
      </c>
      <c r="L589" s="3" t="s">
        <v>95</v>
      </c>
      <c r="M589" s="3" t="s">
        <v>47</v>
      </c>
      <c r="N589" s="5">
        <v>8.5795967328208163E-3</v>
      </c>
      <c r="O589" s="3" t="s">
        <v>7</v>
      </c>
    </row>
    <row r="590" spans="2:15" x14ac:dyDescent="0.45">
      <c r="B590" s="6" t="s">
        <v>93</v>
      </c>
      <c r="C590" s="6" t="s">
        <v>48</v>
      </c>
      <c r="D590" s="7">
        <v>6.1400222561386924E-5</v>
      </c>
      <c r="E590" s="6" t="s">
        <v>7</v>
      </c>
      <c r="G590" s="6" t="s">
        <v>94</v>
      </c>
      <c r="H590" s="6" t="s">
        <v>48</v>
      </c>
      <c r="I590" s="8">
        <v>1.307331259134111E-2</v>
      </c>
      <c r="J590" s="6" t="s">
        <v>7</v>
      </c>
      <c r="L590" s="6" t="s">
        <v>95</v>
      </c>
      <c r="M590" s="6" t="s">
        <v>48</v>
      </c>
      <c r="N590" s="8">
        <v>1.2133418184496095E-2</v>
      </c>
      <c r="O590" s="6" t="s">
        <v>7</v>
      </c>
    </row>
    <row r="591" spans="2:15" x14ac:dyDescent="0.45">
      <c r="B591" s="3" t="s">
        <v>93</v>
      </c>
      <c r="C591" s="3" t="s">
        <v>49</v>
      </c>
      <c r="D591" s="4">
        <v>0</v>
      </c>
      <c r="E591" s="3" t="s">
        <v>7</v>
      </c>
      <c r="G591" s="3" t="s">
        <v>94</v>
      </c>
      <c r="H591" s="3" t="s">
        <v>49</v>
      </c>
      <c r="I591" s="5">
        <v>3.1663991163311284E-2</v>
      </c>
      <c r="J591" s="3" t="s">
        <v>7</v>
      </c>
      <c r="L591" s="3" t="s">
        <v>95</v>
      </c>
      <c r="M591" s="3" t="s">
        <v>49</v>
      </c>
      <c r="N591" s="5">
        <v>3.5545522747298178E-2</v>
      </c>
      <c r="O591" s="3" t="s">
        <v>7</v>
      </c>
    </row>
    <row r="592" spans="2:15" x14ac:dyDescent="0.45">
      <c r="B592" s="6" t="s">
        <v>93</v>
      </c>
      <c r="C592" s="6" t="s">
        <v>50</v>
      </c>
      <c r="D592" s="7">
        <v>0</v>
      </c>
      <c r="E592" s="6" t="s">
        <v>7</v>
      </c>
      <c r="G592" s="6" t="s">
        <v>94</v>
      </c>
      <c r="H592" s="6" t="s">
        <v>50</v>
      </c>
      <c r="I592" s="8">
        <v>1.3114252134245174E-2</v>
      </c>
      <c r="J592" s="6" t="s">
        <v>7</v>
      </c>
      <c r="L592" s="6" t="s">
        <v>95</v>
      </c>
      <c r="M592" s="6" t="s">
        <v>50</v>
      </c>
      <c r="N592" s="8">
        <v>1.3199568863346106E-2</v>
      </c>
      <c r="O592" s="6" t="s">
        <v>7</v>
      </c>
    </row>
    <row r="593" spans="2:15" x14ac:dyDescent="0.45">
      <c r="B593" s="3" t="s">
        <v>93</v>
      </c>
      <c r="C593" s="3" t="s">
        <v>51</v>
      </c>
      <c r="D593" s="4">
        <v>3.5031343483908337E-3</v>
      </c>
      <c r="E593" s="3" t="s">
        <v>7</v>
      </c>
      <c r="G593" s="3" t="s">
        <v>94</v>
      </c>
      <c r="H593" s="3" t="s">
        <v>51</v>
      </c>
      <c r="I593" s="5">
        <v>1.3719227722951883E-2</v>
      </c>
      <c r="J593" s="3" t="s">
        <v>7</v>
      </c>
      <c r="L593" s="3" t="s">
        <v>95</v>
      </c>
      <c r="M593" s="3" t="s">
        <v>51</v>
      </c>
      <c r="N593" s="5">
        <v>1.32377363855664E-2</v>
      </c>
      <c r="O593" s="3" t="s">
        <v>7</v>
      </c>
    </row>
    <row r="594" spans="2:15" x14ac:dyDescent="0.45">
      <c r="B594" s="6" t="s">
        <v>93</v>
      </c>
      <c r="C594" s="6" t="s">
        <v>52</v>
      </c>
      <c r="D594" s="7">
        <v>2.1968383091711122E-2</v>
      </c>
      <c r="E594" s="6" t="s">
        <v>7</v>
      </c>
      <c r="G594" s="6" t="s">
        <v>94</v>
      </c>
      <c r="H594" s="6" t="s">
        <v>52</v>
      </c>
      <c r="I594" s="8">
        <v>1.4571740988849304E-2</v>
      </c>
      <c r="J594" s="6" t="s">
        <v>7</v>
      </c>
      <c r="L594" s="6" t="s">
        <v>95</v>
      </c>
      <c r="M594" s="6" t="s">
        <v>52</v>
      </c>
      <c r="N594" s="8">
        <v>1.4171376377935379E-2</v>
      </c>
      <c r="O594" s="6" t="s">
        <v>7</v>
      </c>
    </row>
    <row r="595" spans="2:15" x14ac:dyDescent="0.45">
      <c r="B595" s="3" t="s">
        <v>93</v>
      </c>
      <c r="C595" s="3" t="s">
        <v>53</v>
      </c>
      <c r="D595" s="4">
        <v>3.7338874190984091E-2</v>
      </c>
      <c r="E595" s="3" t="s">
        <v>7</v>
      </c>
      <c r="G595" s="3" t="s">
        <v>94</v>
      </c>
      <c r="H595" s="3" t="s">
        <v>53</v>
      </c>
      <c r="I595" s="5">
        <v>1.5262787462843101E-2</v>
      </c>
      <c r="J595" s="3" t="s">
        <v>7</v>
      </c>
      <c r="L595" s="3" t="s">
        <v>95</v>
      </c>
      <c r="M595" s="3" t="s">
        <v>53</v>
      </c>
      <c r="N595" s="5">
        <v>1.4687499643069682E-2</v>
      </c>
      <c r="O595" s="3" t="s">
        <v>7</v>
      </c>
    </row>
    <row r="596" spans="2:15" x14ac:dyDescent="0.45">
      <c r="B596" s="6" t="s">
        <v>93</v>
      </c>
      <c r="C596" s="6" t="s">
        <v>54</v>
      </c>
      <c r="D596" s="7">
        <v>3.8170495451019366E-2</v>
      </c>
      <c r="E596" s="6" t="s">
        <v>7</v>
      </c>
      <c r="G596" s="6" t="s">
        <v>94</v>
      </c>
      <c r="H596" s="6" t="s">
        <v>54</v>
      </c>
      <c r="I596" s="8">
        <v>1.5178674606989189E-2</v>
      </c>
      <c r="J596" s="6" t="s">
        <v>7</v>
      </c>
      <c r="L596" s="6" t="s">
        <v>95</v>
      </c>
      <c r="M596" s="6" t="s">
        <v>54</v>
      </c>
      <c r="N596" s="8">
        <v>1.5484315749636861E-2</v>
      </c>
      <c r="O596" s="6" t="s">
        <v>7</v>
      </c>
    </row>
    <row r="597" spans="2:15" x14ac:dyDescent="0.45">
      <c r="B597" s="3" t="s">
        <v>93</v>
      </c>
      <c r="C597" s="3" t="s">
        <v>55</v>
      </c>
      <c r="D597" s="4">
        <v>2.6528335293145602E-2</v>
      </c>
      <c r="E597" s="3" t="s">
        <v>7</v>
      </c>
      <c r="G597" s="3" t="s">
        <v>94</v>
      </c>
      <c r="H597" s="3" t="s">
        <v>55</v>
      </c>
      <c r="I597" s="5">
        <v>1.4872513110980983E-2</v>
      </c>
      <c r="J597" s="3" t="s">
        <v>7</v>
      </c>
      <c r="L597" s="3" t="s">
        <v>95</v>
      </c>
      <c r="M597" s="3" t="s">
        <v>55</v>
      </c>
      <c r="N597" s="5">
        <v>1.5597925290754691E-2</v>
      </c>
      <c r="O597" s="3" t="s">
        <v>7</v>
      </c>
    </row>
    <row r="598" spans="2:15" x14ac:dyDescent="0.45">
      <c r="B598" s="6" t="s">
        <v>93</v>
      </c>
      <c r="C598" s="6" t="s">
        <v>56</v>
      </c>
      <c r="D598" s="7">
        <v>7.3440910584585085E-3</v>
      </c>
      <c r="E598" s="6" t="s">
        <v>7</v>
      </c>
      <c r="G598" s="6" t="s">
        <v>94</v>
      </c>
      <c r="H598" s="6" t="s">
        <v>56</v>
      </c>
      <c r="I598" s="8">
        <v>1.4225797499782174E-2</v>
      </c>
      <c r="J598" s="6" t="s">
        <v>7</v>
      </c>
      <c r="L598" s="6" t="s">
        <v>95</v>
      </c>
      <c r="M598" s="6" t="s">
        <v>56</v>
      </c>
      <c r="N598" s="8">
        <v>1.5053763952118732E-2</v>
      </c>
      <c r="O598" s="6" t="s">
        <v>7</v>
      </c>
    </row>
    <row r="599" spans="2:15" x14ac:dyDescent="0.45">
      <c r="B599" s="3" t="s">
        <v>93</v>
      </c>
      <c r="C599" s="3" t="s">
        <v>57</v>
      </c>
      <c r="D599" s="4">
        <v>3.8694057925856249E-5</v>
      </c>
      <c r="E599" s="3" t="s">
        <v>7</v>
      </c>
      <c r="G599" s="3" t="s">
        <v>94</v>
      </c>
      <c r="H599" s="3" t="s">
        <v>57</v>
      </c>
      <c r="I599" s="5">
        <v>1.3753672782761895E-2</v>
      </c>
      <c r="J599" s="3" t="s">
        <v>7</v>
      </c>
      <c r="L599" s="3" t="s">
        <v>95</v>
      </c>
      <c r="M599" s="3" t="s">
        <v>57</v>
      </c>
      <c r="N599" s="5">
        <v>1.474079218120789E-2</v>
      </c>
      <c r="O599" s="3" t="s">
        <v>7</v>
      </c>
    </row>
    <row r="600" spans="2:15" x14ac:dyDescent="0.45">
      <c r="B600" s="6" t="s">
        <v>93</v>
      </c>
      <c r="C600" s="6" t="s">
        <v>58</v>
      </c>
      <c r="D600" s="7">
        <v>0</v>
      </c>
      <c r="E600" s="6" t="s">
        <v>7</v>
      </c>
      <c r="G600" s="6" t="s">
        <v>94</v>
      </c>
      <c r="H600" s="6" t="s">
        <v>58</v>
      </c>
      <c r="I600" s="8">
        <v>1.9611025077623592E-2</v>
      </c>
      <c r="J600" s="6" t="s">
        <v>7</v>
      </c>
      <c r="L600" s="6" t="s">
        <v>95</v>
      </c>
      <c r="M600" s="6" t="s">
        <v>58</v>
      </c>
      <c r="N600" s="8">
        <v>2.1877850081067903E-2</v>
      </c>
      <c r="O600" s="6" t="s">
        <v>7</v>
      </c>
    </row>
    <row r="601" spans="2:15" x14ac:dyDescent="0.45">
      <c r="B601" s="3" t="s">
        <v>93</v>
      </c>
      <c r="C601" s="3" t="s">
        <v>59</v>
      </c>
      <c r="D601" s="4">
        <v>0</v>
      </c>
      <c r="E601" s="3" t="s">
        <v>7</v>
      </c>
      <c r="G601" s="3" t="s">
        <v>94</v>
      </c>
      <c r="H601" s="3" t="s">
        <v>59</v>
      </c>
      <c r="I601" s="5">
        <v>5.1000492899245201E-2</v>
      </c>
      <c r="J601" s="3" t="s">
        <v>7</v>
      </c>
      <c r="L601" s="3" t="s">
        <v>95</v>
      </c>
      <c r="M601" s="3" t="s">
        <v>59</v>
      </c>
      <c r="N601" s="5">
        <v>5.5522348876750768E-2</v>
      </c>
      <c r="O601" s="3" t="s">
        <v>7</v>
      </c>
    </row>
    <row r="602" spans="2:15" x14ac:dyDescent="0.45">
      <c r="B602" s="6" t="s">
        <v>93</v>
      </c>
      <c r="C602" s="6" t="s">
        <v>60</v>
      </c>
      <c r="D602" s="7">
        <v>0</v>
      </c>
      <c r="E602" s="6" t="s">
        <v>7</v>
      </c>
      <c r="G602" s="6" t="s">
        <v>94</v>
      </c>
      <c r="H602" s="6" t="s">
        <v>60</v>
      </c>
      <c r="I602" s="8">
        <v>1.9916284892011308E-2</v>
      </c>
      <c r="J602" s="6" t="s">
        <v>7</v>
      </c>
      <c r="L602" s="6" t="s">
        <v>95</v>
      </c>
      <c r="M602" s="6" t="s">
        <v>60</v>
      </c>
      <c r="N602" s="8">
        <v>2.1096372561047478E-2</v>
      </c>
      <c r="O602" s="6" t="s">
        <v>7</v>
      </c>
    </row>
    <row r="603" spans="2:15" x14ac:dyDescent="0.45">
      <c r="B603" s="3" t="s">
        <v>93</v>
      </c>
      <c r="C603" s="3" t="s">
        <v>61</v>
      </c>
      <c r="D603" s="4">
        <v>0</v>
      </c>
      <c r="E603" s="3" t="s">
        <v>7</v>
      </c>
      <c r="G603" s="3" t="s">
        <v>94</v>
      </c>
      <c r="H603" s="3" t="s">
        <v>61</v>
      </c>
      <c r="I603" s="5">
        <v>1.9789516719440615E-2</v>
      </c>
      <c r="J603" s="3" t="s">
        <v>7</v>
      </c>
      <c r="L603" s="3" t="s">
        <v>95</v>
      </c>
      <c r="M603" s="3" t="s">
        <v>61</v>
      </c>
      <c r="N603" s="5">
        <v>2.0717760898508273E-2</v>
      </c>
      <c r="O603" s="3" t="s">
        <v>7</v>
      </c>
    </row>
    <row r="604" spans="2:15" x14ac:dyDescent="0.45">
      <c r="B604" s="6" t="s">
        <v>93</v>
      </c>
      <c r="C604" s="6" t="s">
        <v>62</v>
      </c>
      <c r="D604" s="7">
        <v>6.3244772349547781E-3</v>
      </c>
      <c r="E604" s="6" t="s">
        <v>7</v>
      </c>
      <c r="G604" s="6" t="s">
        <v>94</v>
      </c>
      <c r="H604" s="6" t="s">
        <v>62</v>
      </c>
      <c r="I604" s="8">
        <v>1.9403780532919312E-2</v>
      </c>
      <c r="J604" s="6" t="s">
        <v>7</v>
      </c>
      <c r="L604" s="6" t="s">
        <v>95</v>
      </c>
      <c r="M604" s="6" t="s">
        <v>62</v>
      </c>
      <c r="N604" s="8">
        <v>2.0815081962603559E-2</v>
      </c>
      <c r="O604" s="6" t="s">
        <v>7</v>
      </c>
    </row>
    <row r="605" spans="2:15" x14ac:dyDescent="0.45">
      <c r="B605" s="3" t="s">
        <v>93</v>
      </c>
      <c r="C605" s="3" t="s">
        <v>63</v>
      </c>
      <c r="D605" s="4">
        <v>1.9362063806633509E-2</v>
      </c>
      <c r="E605" s="3" t="s">
        <v>7</v>
      </c>
      <c r="G605" s="3" t="s">
        <v>94</v>
      </c>
      <c r="H605" s="3" t="s">
        <v>63</v>
      </c>
      <c r="I605" s="5">
        <v>1.9247853579664489E-2</v>
      </c>
      <c r="J605" s="3" t="s">
        <v>7</v>
      </c>
      <c r="L605" s="3" t="s">
        <v>95</v>
      </c>
      <c r="M605" s="3" t="s">
        <v>63</v>
      </c>
      <c r="N605" s="5">
        <v>2.0824744072630103E-2</v>
      </c>
      <c r="O605" s="3" t="s">
        <v>7</v>
      </c>
    </row>
    <row r="606" spans="2:15" x14ac:dyDescent="0.45">
      <c r="B606" s="6" t="s">
        <v>93</v>
      </c>
      <c r="C606" s="6" t="s">
        <v>64</v>
      </c>
      <c r="D606" s="7">
        <v>2.1153722347710083E-2</v>
      </c>
      <c r="E606" s="6" t="s">
        <v>7</v>
      </c>
      <c r="G606" s="6" t="s">
        <v>94</v>
      </c>
      <c r="H606" s="6" t="s">
        <v>64</v>
      </c>
      <c r="I606" s="8">
        <v>1.9982334069135251E-2</v>
      </c>
      <c r="J606" s="6" t="s">
        <v>7</v>
      </c>
      <c r="L606" s="6" t="s">
        <v>95</v>
      </c>
      <c r="M606" s="6" t="s">
        <v>64</v>
      </c>
      <c r="N606" s="8">
        <v>2.1039373654038119E-2</v>
      </c>
      <c r="O606" s="6" t="s">
        <v>7</v>
      </c>
    </row>
    <row r="607" spans="2:15" x14ac:dyDescent="0.45">
      <c r="B607" s="3" t="s">
        <v>93</v>
      </c>
      <c r="C607" s="3" t="s">
        <v>65</v>
      </c>
      <c r="D607" s="4">
        <v>8.8406629142793649E-3</v>
      </c>
      <c r="E607" s="3" t="s">
        <v>7</v>
      </c>
      <c r="G607" s="3" t="s">
        <v>94</v>
      </c>
      <c r="H607" s="3" t="s">
        <v>65</v>
      </c>
      <c r="I607" s="5">
        <v>2.008808196006771E-2</v>
      </c>
      <c r="J607" s="3" t="s">
        <v>7</v>
      </c>
      <c r="L607" s="3" t="s">
        <v>95</v>
      </c>
      <c r="M607" s="3" t="s">
        <v>65</v>
      </c>
      <c r="N607" s="5">
        <v>2.0901361148921539E-2</v>
      </c>
      <c r="O607" s="3" t="s">
        <v>7</v>
      </c>
    </row>
    <row r="608" spans="2:15" x14ac:dyDescent="0.45">
      <c r="B608" s="6" t="s">
        <v>93</v>
      </c>
      <c r="C608" s="6" t="s">
        <v>66</v>
      </c>
      <c r="D608" s="7">
        <v>0</v>
      </c>
      <c r="E608" s="6" t="s">
        <v>7</v>
      </c>
      <c r="G608" s="6" t="s">
        <v>94</v>
      </c>
      <c r="H608" s="6" t="s">
        <v>66</v>
      </c>
      <c r="I608" s="8">
        <v>2.0037098986137866E-2</v>
      </c>
      <c r="J608" s="6" t="s">
        <v>7</v>
      </c>
      <c r="L608" s="6" t="s">
        <v>95</v>
      </c>
      <c r="M608" s="6" t="s">
        <v>66</v>
      </c>
      <c r="N608" s="8">
        <v>2.0840105623223928E-2</v>
      </c>
      <c r="O608" s="6" t="s">
        <v>7</v>
      </c>
    </row>
    <row r="609" spans="2:15" x14ac:dyDescent="0.45">
      <c r="B609" s="3" t="s">
        <v>93</v>
      </c>
      <c r="C609" s="3" t="s">
        <v>67</v>
      </c>
      <c r="D609" s="4">
        <v>0</v>
      </c>
      <c r="E609" s="3" t="s">
        <v>7</v>
      </c>
      <c r="G609" s="3" t="s">
        <v>94</v>
      </c>
      <c r="H609" s="3" t="s">
        <v>67</v>
      </c>
      <c r="I609" s="5">
        <v>2.0196896411828306E-2</v>
      </c>
      <c r="J609" s="3" t="s">
        <v>7</v>
      </c>
      <c r="L609" s="3" t="s">
        <v>95</v>
      </c>
      <c r="M609" s="3" t="s">
        <v>67</v>
      </c>
      <c r="N609" s="5">
        <v>2.1174933271692609E-2</v>
      </c>
      <c r="O609" s="3" t="s">
        <v>7</v>
      </c>
    </row>
    <row r="610" spans="2:15" x14ac:dyDescent="0.45">
      <c r="B610" s="6" t="s">
        <v>93</v>
      </c>
      <c r="C610" s="6" t="s">
        <v>68</v>
      </c>
      <c r="D610" s="7">
        <v>0</v>
      </c>
      <c r="E610" s="6" t="s">
        <v>7</v>
      </c>
      <c r="G610" s="6" t="s">
        <v>94</v>
      </c>
      <c r="H610" s="6" t="s">
        <v>68</v>
      </c>
      <c r="I610" s="8">
        <v>3.0806466551018642E-2</v>
      </c>
      <c r="J610" s="6" t="s">
        <v>7</v>
      </c>
      <c r="L610" s="6" t="s">
        <v>95</v>
      </c>
      <c r="M610" s="6" t="s">
        <v>68</v>
      </c>
      <c r="N610" s="8">
        <v>3.310585765032114E-2</v>
      </c>
      <c r="O610" s="6" t="s">
        <v>7</v>
      </c>
    </row>
    <row r="611" spans="2:15" x14ac:dyDescent="0.45">
      <c r="B611" s="3" t="s">
        <v>96</v>
      </c>
      <c r="C611" s="3" t="s">
        <v>6</v>
      </c>
      <c r="D611" s="4">
        <v>0</v>
      </c>
      <c r="E611" s="3" t="s">
        <v>7</v>
      </c>
      <c r="G611" s="3" t="s">
        <v>97</v>
      </c>
      <c r="H611" s="3" t="s">
        <v>6</v>
      </c>
      <c r="I611" s="5">
        <v>3.9039209415727603E-2</v>
      </c>
      <c r="J611" s="3" t="s">
        <v>7</v>
      </c>
      <c r="L611" s="3" t="s">
        <v>98</v>
      </c>
      <c r="M611" s="3" t="s">
        <v>6</v>
      </c>
      <c r="N611" s="5">
        <v>3.8577771183503376E-2</v>
      </c>
      <c r="O611" s="3" t="s">
        <v>7</v>
      </c>
    </row>
    <row r="612" spans="2:15" x14ac:dyDescent="0.45">
      <c r="B612" s="6" t="s">
        <v>96</v>
      </c>
      <c r="C612" s="6" t="s">
        <v>10</v>
      </c>
      <c r="D612" s="7">
        <v>0</v>
      </c>
      <c r="E612" s="6" t="s">
        <v>7</v>
      </c>
      <c r="G612" s="6" t="s">
        <v>97</v>
      </c>
      <c r="H612" s="6" t="s">
        <v>10</v>
      </c>
      <c r="I612" s="8">
        <v>1.4491741086897532E-2</v>
      </c>
      <c r="J612" s="6" t="s">
        <v>7</v>
      </c>
      <c r="L612" s="6" t="s">
        <v>98</v>
      </c>
      <c r="M612" s="6" t="s">
        <v>10</v>
      </c>
      <c r="N612" s="8">
        <v>1.5239366086456322E-2</v>
      </c>
      <c r="O612" s="6" t="s">
        <v>7</v>
      </c>
    </row>
    <row r="613" spans="2:15" x14ac:dyDescent="0.45">
      <c r="B613" s="3" t="s">
        <v>96</v>
      </c>
      <c r="C613" s="3" t="s">
        <v>11</v>
      </c>
      <c r="D613" s="4">
        <v>4.880850613673702E-4</v>
      </c>
      <c r="E613" s="3" t="s">
        <v>7</v>
      </c>
      <c r="G613" s="3" t="s">
        <v>97</v>
      </c>
      <c r="H613" s="3" t="s">
        <v>11</v>
      </c>
      <c r="I613" s="5">
        <v>1.4490584151087104E-2</v>
      </c>
      <c r="J613" s="3" t="s">
        <v>7</v>
      </c>
      <c r="L613" s="3" t="s">
        <v>98</v>
      </c>
      <c r="M613" s="3" t="s">
        <v>11</v>
      </c>
      <c r="N613" s="5">
        <v>1.5454196150921364E-2</v>
      </c>
      <c r="O613" s="3" t="s">
        <v>7</v>
      </c>
    </row>
    <row r="614" spans="2:15" x14ac:dyDescent="0.45">
      <c r="B614" s="6" t="s">
        <v>96</v>
      </c>
      <c r="C614" s="6" t="s">
        <v>12</v>
      </c>
      <c r="D614" s="7">
        <v>1.3473033837478063E-2</v>
      </c>
      <c r="E614" s="6" t="s">
        <v>7</v>
      </c>
      <c r="G614" s="6" t="s">
        <v>97</v>
      </c>
      <c r="H614" s="6" t="s">
        <v>12</v>
      </c>
      <c r="I614" s="8">
        <v>1.331938245867779E-2</v>
      </c>
      <c r="J614" s="6" t="s">
        <v>7</v>
      </c>
      <c r="L614" s="6" t="s">
        <v>98</v>
      </c>
      <c r="M614" s="6" t="s">
        <v>12</v>
      </c>
      <c r="N614" s="8">
        <v>1.5273177161832574E-2</v>
      </c>
      <c r="O614" s="6" t="s">
        <v>7</v>
      </c>
    </row>
    <row r="615" spans="2:15" x14ac:dyDescent="0.45">
      <c r="B615" s="3" t="s">
        <v>96</v>
      </c>
      <c r="C615" s="3" t="s">
        <v>13</v>
      </c>
      <c r="D615" s="4">
        <v>2.8159755893243151E-2</v>
      </c>
      <c r="E615" s="3" t="s">
        <v>7</v>
      </c>
      <c r="G615" s="3" t="s">
        <v>97</v>
      </c>
      <c r="H615" s="3" t="s">
        <v>13</v>
      </c>
      <c r="I615" s="5">
        <v>1.3538093548844393E-2</v>
      </c>
      <c r="J615" s="3" t="s">
        <v>7</v>
      </c>
      <c r="L615" s="3" t="s">
        <v>98</v>
      </c>
      <c r="M615" s="3" t="s">
        <v>13</v>
      </c>
      <c r="N615" s="5">
        <v>1.506261970247953E-2</v>
      </c>
      <c r="O615" s="3" t="s">
        <v>7</v>
      </c>
    </row>
    <row r="616" spans="2:15" x14ac:dyDescent="0.45">
      <c r="B616" s="6" t="s">
        <v>96</v>
      </c>
      <c r="C616" s="6" t="s">
        <v>14</v>
      </c>
      <c r="D616" s="7">
        <v>2.8712293466899078E-2</v>
      </c>
      <c r="E616" s="6" t="s">
        <v>7</v>
      </c>
      <c r="G616" s="6" t="s">
        <v>97</v>
      </c>
      <c r="H616" s="6" t="s">
        <v>14</v>
      </c>
      <c r="I616" s="8">
        <v>1.4656819339722273E-2</v>
      </c>
      <c r="J616" s="6" t="s">
        <v>7</v>
      </c>
      <c r="L616" s="6" t="s">
        <v>98</v>
      </c>
      <c r="M616" s="6" t="s">
        <v>14</v>
      </c>
      <c r="N616" s="8">
        <v>1.488569534351232E-2</v>
      </c>
      <c r="O616" s="6" t="s">
        <v>7</v>
      </c>
    </row>
    <row r="617" spans="2:15" x14ac:dyDescent="0.45">
      <c r="B617" s="3" t="s">
        <v>96</v>
      </c>
      <c r="C617" s="3" t="s">
        <v>15</v>
      </c>
      <c r="D617" s="4">
        <v>1.6091797684540221E-2</v>
      </c>
      <c r="E617" s="3" t="s">
        <v>7</v>
      </c>
      <c r="G617" s="3" t="s">
        <v>97</v>
      </c>
      <c r="H617" s="3" t="s">
        <v>15</v>
      </c>
      <c r="I617" s="5">
        <v>1.4844290511887005E-2</v>
      </c>
      <c r="J617" s="3" t="s">
        <v>7</v>
      </c>
      <c r="L617" s="3" t="s">
        <v>98</v>
      </c>
      <c r="M617" s="3" t="s">
        <v>15</v>
      </c>
      <c r="N617" s="5">
        <v>1.4811275904670906E-2</v>
      </c>
      <c r="O617" s="3" t="s">
        <v>7</v>
      </c>
    </row>
    <row r="618" spans="2:15" x14ac:dyDescent="0.45">
      <c r="B618" s="6" t="s">
        <v>96</v>
      </c>
      <c r="C618" s="6" t="s">
        <v>16</v>
      </c>
      <c r="D618" s="7">
        <v>1.8724776353360598E-3</v>
      </c>
      <c r="E618" s="6" t="s">
        <v>7</v>
      </c>
      <c r="G618" s="6" t="s">
        <v>97</v>
      </c>
      <c r="H618" s="6" t="s">
        <v>16</v>
      </c>
      <c r="I618" s="8">
        <v>1.528640605343605E-2</v>
      </c>
      <c r="J618" s="6" t="s">
        <v>7</v>
      </c>
      <c r="L618" s="6" t="s">
        <v>98</v>
      </c>
      <c r="M618" s="6" t="s">
        <v>16</v>
      </c>
      <c r="N618" s="8">
        <v>1.5075405870796348E-2</v>
      </c>
      <c r="O618" s="6" t="s">
        <v>7</v>
      </c>
    </row>
    <row r="619" spans="2:15" x14ac:dyDescent="0.45">
      <c r="B619" s="3" t="s">
        <v>96</v>
      </c>
      <c r="C619" s="3" t="s">
        <v>17</v>
      </c>
      <c r="D619" s="4">
        <v>0</v>
      </c>
      <c r="E619" s="3" t="s">
        <v>7</v>
      </c>
      <c r="G619" s="3" t="s">
        <v>97</v>
      </c>
      <c r="H619" s="3" t="s">
        <v>17</v>
      </c>
      <c r="I619" s="5">
        <v>1.6029198379993181E-2</v>
      </c>
      <c r="J619" s="3" t="s">
        <v>7</v>
      </c>
      <c r="L619" s="3" t="s">
        <v>98</v>
      </c>
      <c r="M619" s="3" t="s">
        <v>17</v>
      </c>
      <c r="N619" s="5">
        <v>1.5368697541312433E-2</v>
      </c>
      <c r="O619" s="3" t="s">
        <v>7</v>
      </c>
    </row>
    <row r="620" spans="2:15" x14ac:dyDescent="0.45">
      <c r="B620" s="6" t="s">
        <v>96</v>
      </c>
      <c r="C620" s="6" t="s">
        <v>18</v>
      </c>
      <c r="D620" s="7">
        <v>0</v>
      </c>
      <c r="E620" s="6" t="s">
        <v>7</v>
      </c>
      <c r="G620" s="6" t="s">
        <v>97</v>
      </c>
      <c r="H620" s="6" t="s">
        <v>18</v>
      </c>
      <c r="I620" s="8">
        <v>2.3886935994478917E-2</v>
      </c>
      <c r="J620" s="6" t="s">
        <v>7</v>
      </c>
      <c r="L620" s="6" t="s">
        <v>98</v>
      </c>
      <c r="M620" s="6" t="s">
        <v>18</v>
      </c>
      <c r="N620" s="8">
        <v>2.3319054249266755E-2</v>
      </c>
      <c r="O620" s="6" t="s">
        <v>7</v>
      </c>
    </row>
    <row r="621" spans="2:15" x14ac:dyDescent="0.45">
      <c r="B621" s="3" t="s">
        <v>96</v>
      </c>
      <c r="C621" s="3" t="s">
        <v>19</v>
      </c>
      <c r="D621" s="4">
        <v>0</v>
      </c>
      <c r="E621" s="3" t="s">
        <v>7</v>
      </c>
      <c r="G621" s="3" t="s">
        <v>97</v>
      </c>
      <c r="H621" s="3" t="s">
        <v>19</v>
      </c>
      <c r="I621" s="5">
        <v>3.8316263274936938E-2</v>
      </c>
      <c r="J621" s="3" t="s">
        <v>7</v>
      </c>
      <c r="L621" s="3" t="s">
        <v>98</v>
      </c>
      <c r="M621" s="3" t="s">
        <v>19</v>
      </c>
      <c r="N621" s="5">
        <v>3.8803611103508287E-2</v>
      </c>
      <c r="O621" s="3" t="s">
        <v>7</v>
      </c>
    </row>
    <row r="622" spans="2:15" x14ac:dyDescent="0.45">
      <c r="B622" s="6" t="s">
        <v>96</v>
      </c>
      <c r="C622" s="6" t="s">
        <v>20</v>
      </c>
      <c r="D622" s="7">
        <v>1.4374604744398848E-4</v>
      </c>
      <c r="E622" s="6" t="s">
        <v>7</v>
      </c>
      <c r="G622" s="6" t="s">
        <v>97</v>
      </c>
      <c r="H622" s="6" t="s">
        <v>20</v>
      </c>
      <c r="I622" s="8">
        <v>1.4748441056465805E-2</v>
      </c>
      <c r="J622" s="6" t="s">
        <v>7</v>
      </c>
      <c r="L622" s="6" t="s">
        <v>98</v>
      </c>
      <c r="M622" s="6" t="s">
        <v>20</v>
      </c>
      <c r="N622" s="8">
        <v>1.6042173983094623E-2</v>
      </c>
      <c r="O622" s="6" t="s">
        <v>7</v>
      </c>
    </row>
    <row r="623" spans="2:15" x14ac:dyDescent="0.45">
      <c r="B623" s="3" t="s">
        <v>96</v>
      </c>
      <c r="C623" s="3" t="s">
        <v>21</v>
      </c>
      <c r="D623" s="4">
        <v>1.1028351873959962E-2</v>
      </c>
      <c r="E623" s="3" t="s">
        <v>7</v>
      </c>
      <c r="G623" s="3" t="s">
        <v>97</v>
      </c>
      <c r="H623" s="3" t="s">
        <v>21</v>
      </c>
      <c r="I623" s="5">
        <v>1.4412577325181733E-2</v>
      </c>
      <c r="J623" s="3" t="s">
        <v>7</v>
      </c>
      <c r="L623" s="3" t="s">
        <v>98</v>
      </c>
      <c r="M623" s="3" t="s">
        <v>21</v>
      </c>
      <c r="N623" s="5">
        <v>1.6589851576811893E-2</v>
      </c>
      <c r="O623" s="3" t="s">
        <v>7</v>
      </c>
    </row>
    <row r="624" spans="2:15" x14ac:dyDescent="0.45">
      <c r="B624" s="6" t="s">
        <v>96</v>
      </c>
      <c r="C624" s="6" t="s">
        <v>22</v>
      </c>
      <c r="D624" s="7">
        <v>3.6771972604462765E-2</v>
      </c>
      <c r="E624" s="6" t="s">
        <v>7</v>
      </c>
      <c r="G624" s="6" t="s">
        <v>97</v>
      </c>
      <c r="H624" s="6" t="s">
        <v>22</v>
      </c>
      <c r="I624" s="8">
        <v>1.5206906544735124E-2</v>
      </c>
      <c r="J624" s="6" t="s">
        <v>7</v>
      </c>
      <c r="L624" s="6" t="s">
        <v>98</v>
      </c>
      <c r="M624" s="6" t="s">
        <v>22</v>
      </c>
      <c r="N624" s="8">
        <v>1.6441038228770449E-2</v>
      </c>
      <c r="O624" s="6" t="s">
        <v>7</v>
      </c>
    </row>
    <row r="625" spans="2:15" x14ac:dyDescent="0.45">
      <c r="B625" s="3" t="s">
        <v>96</v>
      </c>
      <c r="C625" s="3" t="s">
        <v>23</v>
      </c>
      <c r="D625" s="4">
        <v>4.9634863927526751E-2</v>
      </c>
      <c r="E625" s="3" t="s">
        <v>7</v>
      </c>
      <c r="G625" s="3" t="s">
        <v>97</v>
      </c>
      <c r="H625" s="3" t="s">
        <v>23</v>
      </c>
      <c r="I625" s="5">
        <v>1.5189568927066141E-2</v>
      </c>
      <c r="J625" s="3" t="s">
        <v>7</v>
      </c>
      <c r="L625" s="3" t="s">
        <v>98</v>
      </c>
      <c r="M625" s="3" t="s">
        <v>23</v>
      </c>
      <c r="N625" s="5">
        <v>1.5320414548365951E-2</v>
      </c>
      <c r="O625" s="3" t="s">
        <v>7</v>
      </c>
    </row>
    <row r="626" spans="2:15" x14ac:dyDescent="0.45">
      <c r="B626" s="6" t="s">
        <v>96</v>
      </c>
      <c r="C626" s="6" t="s">
        <v>24</v>
      </c>
      <c r="D626" s="7">
        <v>4.7219357820525866E-2</v>
      </c>
      <c r="E626" s="6" t="s">
        <v>7</v>
      </c>
      <c r="G626" s="6" t="s">
        <v>97</v>
      </c>
      <c r="H626" s="6" t="s">
        <v>24</v>
      </c>
      <c r="I626" s="8">
        <v>1.5907460121743735E-2</v>
      </c>
      <c r="J626" s="6" t="s">
        <v>7</v>
      </c>
      <c r="L626" s="6" t="s">
        <v>98</v>
      </c>
      <c r="M626" s="6" t="s">
        <v>24</v>
      </c>
      <c r="N626" s="8">
        <v>1.4586955118333909E-2</v>
      </c>
      <c r="O626" s="6" t="s">
        <v>7</v>
      </c>
    </row>
    <row r="627" spans="2:15" x14ac:dyDescent="0.45">
      <c r="B627" s="3" t="s">
        <v>96</v>
      </c>
      <c r="C627" s="3" t="s">
        <v>25</v>
      </c>
      <c r="D627" s="4">
        <v>3.2919702801557794E-2</v>
      </c>
      <c r="E627" s="3" t="s">
        <v>7</v>
      </c>
      <c r="G627" s="3" t="s">
        <v>97</v>
      </c>
      <c r="H627" s="3" t="s">
        <v>25</v>
      </c>
      <c r="I627" s="5">
        <v>1.6337703403681781E-2</v>
      </c>
      <c r="J627" s="3" t="s">
        <v>7</v>
      </c>
      <c r="L627" s="3" t="s">
        <v>98</v>
      </c>
      <c r="M627" s="3" t="s">
        <v>25</v>
      </c>
      <c r="N627" s="5">
        <v>1.4349992874916751E-2</v>
      </c>
      <c r="O627" s="3" t="s">
        <v>7</v>
      </c>
    </row>
    <row r="628" spans="2:15" x14ac:dyDescent="0.45">
      <c r="B628" s="6" t="s">
        <v>96</v>
      </c>
      <c r="C628" s="6" t="s">
        <v>26</v>
      </c>
      <c r="D628" s="7">
        <v>1.1661985961649236E-2</v>
      </c>
      <c r="E628" s="6" t="s">
        <v>7</v>
      </c>
      <c r="G628" s="6" t="s">
        <v>97</v>
      </c>
      <c r="H628" s="6" t="s">
        <v>26</v>
      </c>
      <c r="I628" s="8">
        <v>1.5396621268579309E-2</v>
      </c>
      <c r="J628" s="6" t="s">
        <v>7</v>
      </c>
      <c r="L628" s="6" t="s">
        <v>98</v>
      </c>
      <c r="M628" s="6" t="s">
        <v>26</v>
      </c>
      <c r="N628" s="8">
        <v>1.4286959085322683E-2</v>
      </c>
      <c r="O628" s="6" t="s">
        <v>7</v>
      </c>
    </row>
    <row r="629" spans="2:15" x14ac:dyDescent="0.45">
      <c r="B629" s="3" t="s">
        <v>96</v>
      </c>
      <c r="C629" s="3" t="s">
        <v>27</v>
      </c>
      <c r="D629" s="4">
        <v>1.9036476327701578E-4</v>
      </c>
      <c r="E629" s="3" t="s">
        <v>7</v>
      </c>
      <c r="G629" s="3" t="s">
        <v>97</v>
      </c>
      <c r="H629" s="3" t="s">
        <v>27</v>
      </c>
      <c r="I629" s="5">
        <v>1.5850281406701423E-2</v>
      </c>
      <c r="J629" s="3" t="s">
        <v>7</v>
      </c>
      <c r="L629" s="3" t="s">
        <v>98</v>
      </c>
      <c r="M629" s="3" t="s">
        <v>27</v>
      </c>
      <c r="N629" s="5">
        <v>1.4675326103750051E-2</v>
      </c>
      <c r="O629" s="3" t="s">
        <v>7</v>
      </c>
    </row>
    <row r="630" spans="2:15" x14ac:dyDescent="0.45">
      <c r="B630" s="6" t="s">
        <v>96</v>
      </c>
      <c r="C630" s="6" t="s">
        <v>28</v>
      </c>
      <c r="D630" s="7">
        <v>0</v>
      </c>
      <c r="E630" s="6" t="s">
        <v>7</v>
      </c>
      <c r="G630" s="6" t="s">
        <v>97</v>
      </c>
      <c r="H630" s="6" t="s">
        <v>28</v>
      </c>
      <c r="I630" s="8">
        <v>2.3791582995929213E-2</v>
      </c>
      <c r="J630" s="6" t="s">
        <v>7</v>
      </c>
      <c r="L630" s="6" t="s">
        <v>98</v>
      </c>
      <c r="M630" s="6" t="s">
        <v>28</v>
      </c>
      <c r="N630" s="8">
        <v>2.263879468265783E-2</v>
      </c>
      <c r="O630" s="6" t="s">
        <v>7</v>
      </c>
    </row>
    <row r="631" spans="2:15" x14ac:dyDescent="0.45">
      <c r="B631" s="3" t="s">
        <v>96</v>
      </c>
      <c r="C631" s="3" t="s">
        <v>29</v>
      </c>
      <c r="D631" s="4">
        <v>0</v>
      </c>
      <c r="E631" s="3" t="s">
        <v>7</v>
      </c>
      <c r="G631" s="3" t="s">
        <v>97</v>
      </c>
      <c r="H631" s="3" t="s">
        <v>29</v>
      </c>
      <c r="I631" s="5">
        <v>3.3419215040546096E-2</v>
      </c>
      <c r="J631" s="3" t="s">
        <v>7</v>
      </c>
      <c r="L631" s="3" t="s">
        <v>98</v>
      </c>
      <c r="M631" s="3" t="s">
        <v>29</v>
      </c>
      <c r="N631" s="5">
        <v>3.0935669911749831E-2</v>
      </c>
      <c r="O631" s="3" t="s">
        <v>7</v>
      </c>
    </row>
    <row r="632" spans="2:15" x14ac:dyDescent="0.45">
      <c r="B632" s="6" t="s">
        <v>96</v>
      </c>
      <c r="C632" s="6" t="s">
        <v>30</v>
      </c>
      <c r="D632" s="7">
        <v>2.0533168110047268E-3</v>
      </c>
      <c r="E632" s="6" t="s">
        <v>7</v>
      </c>
      <c r="G632" s="6" t="s">
        <v>97</v>
      </c>
      <c r="H632" s="6" t="s">
        <v>30</v>
      </c>
      <c r="I632" s="8">
        <v>1.2357463398270719E-2</v>
      </c>
      <c r="J632" s="6" t="s">
        <v>7</v>
      </c>
      <c r="L632" s="6" t="s">
        <v>98</v>
      </c>
      <c r="M632" s="6" t="s">
        <v>30</v>
      </c>
      <c r="N632" s="8">
        <v>1.1959797661152041E-2</v>
      </c>
      <c r="O632" s="6" t="s">
        <v>7</v>
      </c>
    </row>
    <row r="633" spans="2:15" x14ac:dyDescent="0.45">
      <c r="B633" s="3" t="s">
        <v>96</v>
      </c>
      <c r="C633" s="3" t="s">
        <v>31</v>
      </c>
      <c r="D633" s="4">
        <v>1.9305735614078556E-2</v>
      </c>
      <c r="E633" s="3" t="s">
        <v>7</v>
      </c>
      <c r="G633" s="3" t="s">
        <v>97</v>
      </c>
      <c r="H633" s="3" t="s">
        <v>31</v>
      </c>
      <c r="I633" s="5">
        <v>1.2982982301726802E-2</v>
      </c>
      <c r="J633" s="3" t="s">
        <v>7</v>
      </c>
      <c r="L633" s="3" t="s">
        <v>98</v>
      </c>
      <c r="M633" s="3" t="s">
        <v>31</v>
      </c>
      <c r="N633" s="5">
        <v>1.1926760084705034E-2</v>
      </c>
      <c r="O633" s="3" t="s">
        <v>7</v>
      </c>
    </row>
    <row r="634" spans="2:15" x14ac:dyDescent="0.45">
      <c r="B634" s="6" t="s">
        <v>96</v>
      </c>
      <c r="C634" s="6" t="s">
        <v>32</v>
      </c>
      <c r="D634" s="7">
        <v>4.2723822636092354E-2</v>
      </c>
      <c r="E634" s="6" t="s">
        <v>7</v>
      </c>
      <c r="G634" s="6" t="s">
        <v>97</v>
      </c>
      <c r="H634" s="6" t="s">
        <v>32</v>
      </c>
      <c r="I634" s="8">
        <v>1.2129643565672284E-2</v>
      </c>
      <c r="J634" s="6" t="s">
        <v>7</v>
      </c>
      <c r="L634" s="6" t="s">
        <v>98</v>
      </c>
      <c r="M634" s="6" t="s">
        <v>32</v>
      </c>
      <c r="N634" s="8">
        <v>1.1340818711528224E-2</v>
      </c>
      <c r="O634" s="6" t="s">
        <v>7</v>
      </c>
    </row>
    <row r="635" spans="2:15" x14ac:dyDescent="0.45">
      <c r="B635" s="3" t="s">
        <v>96</v>
      </c>
      <c r="C635" s="3" t="s">
        <v>33</v>
      </c>
      <c r="D635" s="4">
        <v>5.3749124218248415E-2</v>
      </c>
      <c r="E635" s="3" t="s">
        <v>7</v>
      </c>
      <c r="G635" s="3" t="s">
        <v>97</v>
      </c>
      <c r="H635" s="3" t="s">
        <v>33</v>
      </c>
      <c r="I635" s="5">
        <v>1.2181791267616666E-2</v>
      </c>
      <c r="J635" s="3" t="s">
        <v>7</v>
      </c>
      <c r="L635" s="3" t="s">
        <v>98</v>
      </c>
      <c r="M635" s="3" t="s">
        <v>33</v>
      </c>
      <c r="N635" s="5">
        <v>1.120730561687156E-2</v>
      </c>
      <c r="O635" s="3" t="s">
        <v>7</v>
      </c>
    </row>
    <row r="636" spans="2:15" x14ac:dyDescent="0.45">
      <c r="B636" s="6" t="s">
        <v>96</v>
      </c>
      <c r="C636" s="6" t="s">
        <v>34</v>
      </c>
      <c r="D636" s="7">
        <v>5.3308328569091228E-2</v>
      </c>
      <c r="E636" s="6" t="s">
        <v>7</v>
      </c>
      <c r="G636" s="6" t="s">
        <v>97</v>
      </c>
      <c r="H636" s="6" t="s">
        <v>34</v>
      </c>
      <c r="I636" s="8">
        <v>1.3177023741142539E-2</v>
      </c>
      <c r="J636" s="6" t="s">
        <v>7</v>
      </c>
      <c r="L636" s="6" t="s">
        <v>98</v>
      </c>
      <c r="M636" s="6" t="s">
        <v>34</v>
      </c>
      <c r="N636" s="8">
        <v>1.1906042225943349E-2</v>
      </c>
      <c r="O636" s="6" t="s">
        <v>7</v>
      </c>
    </row>
    <row r="637" spans="2:15" x14ac:dyDescent="0.45">
      <c r="B637" s="3" t="s">
        <v>96</v>
      </c>
      <c r="C637" s="3" t="s">
        <v>35</v>
      </c>
      <c r="D637" s="4">
        <v>4.0695772343640108E-2</v>
      </c>
      <c r="E637" s="3" t="s">
        <v>7</v>
      </c>
      <c r="G637" s="3" t="s">
        <v>97</v>
      </c>
      <c r="H637" s="3" t="s">
        <v>35</v>
      </c>
      <c r="I637" s="5">
        <v>1.3873689160452129E-2</v>
      </c>
      <c r="J637" s="3" t="s">
        <v>7</v>
      </c>
      <c r="L637" s="3" t="s">
        <v>98</v>
      </c>
      <c r="M637" s="3" t="s">
        <v>35</v>
      </c>
      <c r="N637" s="5">
        <v>1.2547455797643669E-2</v>
      </c>
      <c r="O637" s="3" t="s">
        <v>7</v>
      </c>
    </row>
    <row r="638" spans="2:15" x14ac:dyDescent="0.45">
      <c r="B638" s="6" t="s">
        <v>96</v>
      </c>
      <c r="C638" s="6" t="s">
        <v>36</v>
      </c>
      <c r="D638" s="7">
        <v>1.9327686315553622E-2</v>
      </c>
      <c r="E638" s="6" t="s">
        <v>7</v>
      </c>
      <c r="G638" s="6" t="s">
        <v>97</v>
      </c>
      <c r="H638" s="6" t="s">
        <v>36</v>
      </c>
      <c r="I638" s="8">
        <v>1.3857729039758208E-2</v>
      </c>
      <c r="J638" s="6" t="s">
        <v>7</v>
      </c>
      <c r="L638" s="6" t="s">
        <v>98</v>
      </c>
      <c r="M638" s="6" t="s">
        <v>36</v>
      </c>
      <c r="N638" s="8">
        <v>1.280407038566558E-2</v>
      </c>
      <c r="O638" s="6" t="s">
        <v>7</v>
      </c>
    </row>
    <row r="639" spans="2:15" x14ac:dyDescent="0.45">
      <c r="B639" s="3" t="s">
        <v>96</v>
      </c>
      <c r="C639" s="3" t="s">
        <v>37</v>
      </c>
      <c r="D639" s="4">
        <v>2.2523664055832775E-3</v>
      </c>
      <c r="E639" s="3" t="s">
        <v>7</v>
      </c>
      <c r="G639" s="3" t="s">
        <v>97</v>
      </c>
      <c r="H639" s="3" t="s">
        <v>37</v>
      </c>
      <c r="I639" s="5">
        <v>1.4017914430543326E-2</v>
      </c>
      <c r="J639" s="3" t="s">
        <v>7</v>
      </c>
      <c r="L639" s="3" t="s">
        <v>98</v>
      </c>
      <c r="M639" s="3" t="s">
        <v>37</v>
      </c>
      <c r="N639" s="5">
        <v>1.2873391375816348E-2</v>
      </c>
      <c r="O639" s="3" t="s">
        <v>7</v>
      </c>
    </row>
    <row r="640" spans="2:15" x14ac:dyDescent="0.45">
      <c r="B640" s="6" t="s">
        <v>96</v>
      </c>
      <c r="C640" s="6" t="s">
        <v>38</v>
      </c>
      <c r="D640" s="7">
        <v>0</v>
      </c>
      <c r="E640" s="6" t="s">
        <v>7</v>
      </c>
      <c r="G640" s="6" t="s">
        <v>97</v>
      </c>
      <c r="H640" s="6" t="s">
        <v>38</v>
      </c>
      <c r="I640" s="8">
        <v>2.0755455572385229E-2</v>
      </c>
      <c r="J640" s="6" t="s">
        <v>7</v>
      </c>
      <c r="L640" s="6" t="s">
        <v>98</v>
      </c>
      <c r="M640" s="6" t="s">
        <v>38</v>
      </c>
      <c r="N640" s="8">
        <v>1.9815478242328904E-2</v>
      </c>
      <c r="O640" s="6" t="s">
        <v>7</v>
      </c>
    </row>
    <row r="641" spans="2:15" x14ac:dyDescent="0.45">
      <c r="B641" s="3" t="s">
        <v>96</v>
      </c>
      <c r="C641" s="3" t="s">
        <v>39</v>
      </c>
      <c r="D641" s="4">
        <v>0</v>
      </c>
      <c r="E641" s="3" t="s">
        <v>7</v>
      </c>
      <c r="G641" s="3" t="s">
        <v>97</v>
      </c>
      <c r="H641" s="3" t="s">
        <v>39</v>
      </c>
      <c r="I641" s="5">
        <v>2.0866356550717668E-2</v>
      </c>
      <c r="J641" s="3" t="s">
        <v>7</v>
      </c>
      <c r="L641" s="3" t="s">
        <v>98</v>
      </c>
      <c r="M641" s="3" t="s">
        <v>39</v>
      </c>
      <c r="N641" s="5">
        <v>2.2328003423905729E-2</v>
      </c>
      <c r="O641" s="3" t="s">
        <v>7</v>
      </c>
    </row>
    <row r="642" spans="2:15" x14ac:dyDescent="0.45">
      <c r="B642" s="6" t="s">
        <v>96</v>
      </c>
      <c r="C642" s="6" t="s">
        <v>40</v>
      </c>
      <c r="D642" s="7">
        <v>1.2399143537221429E-3</v>
      </c>
      <c r="E642" s="6" t="s">
        <v>7</v>
      </c>
      <c r="G642" s="6" t="s">
        <v>97</v>
      </c>
      <c r="H642" s="6" t="s">
        <v>40</v>
      </c>
      <c r="I642" s="8">
        <v>7.611128927241164E-3</v>
      </c>
      <c r="J642" s="6" t="s">
        <v>7</v>
      </c>
      <c r="L642" s="6" t="s">
        <v>98</v>
      </c>
      <c r="M642" s="6" t="s">
        <v>40</v>
      </c>
      <c r="N642" s="8">
        <v>8.3724998587145893E-3</v>
      </c>
      <c r="O642" s="6" t="s">
        <v>7</v>
      </c>
    </row>
    <row r="643" spans="2:15" x14ac:dyDescent="0.45">
      <c r="B643" s="3" t="s">
        <v>96</v>
      </c>
      <c r="C643" s="3" t="s">
        <v>41</v>
      </c>
      <c r="D643" s="4">
        <v>1.7699748346560421E-2</v>
      </c>
      <c r="E643" s="3" t="s">
        <v>7</v>
      </c>
      <c r="G643" s="3" t="s">
        <v>97</v>
      </c>
      <c r="H643" s="3" t="s">
        <v>41</v>
      </c>
      <c r="I643" s="5">
        <v>7.258283786717514E-3</v>
      </c>
      <c r="J643" s="3" t="s">
        <v>7</v>
      </c>
      <c r="L643" s="3" t="s">
        <v>98</v>
      </c>
      <c r="M643" s="3" t="s">
        <v>41</v>
      </c>
      <c r="N643" s="5">
        <v>8.4732250624130565E-3</v>
      </c>
      <c r="O643" s="3" t="s">
        <v>7</v>
      </c>
    </row>
    <row r="644" spans="2:15" x14ac:dyDescent="0.45">
      <c r="B644" s="6" t="s">
        <v>96</v>
      </c>
      <c r="C644" s="6" t="s">
        <v>42</v>
      </c>
      <c r="D644" s="7">
        <v>4.6754502390842417E-2</v>
      </c>
      <c r="E644" s="6" t="s">
        <v>7</v>
      </c>
      <c r="G644" s="6" t="s">
        <v>97</v>
      </c>
      <c r="H644" s="6" t="s">
        <v>42</v>
      </c>
      <c r="I644" s="8">
        <v>7.1331343942603711E-3</v>
      </c>
      <c r="J644" s="6" t="s">
        <v>7</v>
      </c>
      <c r="L644" s="6" t="s">
        <v>98</v>
      </c>
      <c r="M644" s="6" t="s">
        <v>42</v>
      </c>
      <c r="N644" s="8">
        <v>8.1051239677283424E-3</v>
      </c>
      <c r="O644" s="6" t="s">
        <v>7</v>
      </c>
    </row>
    <row r="645" spans="2:15" x14ac:dyDescent="0.45">
      <c r="B645" s="3" t="s">
        <v>96</v>
      </c>
      <c r="C645" s="3" t="s">
        <v>43</v>
      </c>
      <c r="D645" s="4">
        <v>6.2888251898895089E-2</v>
      </c>
      <c r="E645" s="3" t="s">
        <v>7</v>
      </c>
      <c r="G645" s="3" t="s">
        <v>97</v>
      </c>
      <c r="H645" s="3" t="s">
        <v>43</v>
      </c>
      <c r="I645" s="5">
        <v>7.7093133054618353E-3</v>
      </c>
      <c r="J645" s="3" t="s">
        <v>7</v>
      </c>
      <c r="L645" s="3" t="s">
        <v>98</v>
      </c>
      <c r="M645" s="3" t="s">
        <v>43</v>
      </c>
      <c r="N645" s="5">
        <v>8.3869666064165325E-3</v>
      </c>
      <c r="O645" s="3" t="s">
        <v>7</v>
      </c>
    </row>
    <row r="646" spans="2:15" x14ac:dyDescent="0.45">
      <c r="B646" s="6" t="s">
        <v>96</v>
      </c>
      <c r="C646" s="6" t="s">
        <v>44</v>
      </c>
      <c r="D646" s="7">
        <v>6.065606293758246E-2</v>
      </c>
      <c r="E646" s="6" t="s">
        <v>7</v>
      </c>
      <c r="G646" s="6" t="s">
        <v>97</v>
      </c>
      <c r="H646" s="6" t="s">
        <v>44</v>
      </c>
      <c r="I646" s="8">
        <v>8.8692692710267782E-3</v>
      </c>
      <c r="J646" s="6" t="s">
        <v>7</v>
      </c>
      <c r="L646" s="6" t="s">
        <v>98</v>
      </c>
      <c r="M646" s="6" t="s">
        <v>44</v>
      </c>
      <c r="N646" s="8">
        <v>9.4684313436532788E-3</v>
      </c>
      <c r="O646" s="6" t="s">
        <v>7</v>
      </c>
    </row>
    <row r="647" spans="2:15" x14ac:dyDescent="0.45">
      <c r="B647" s="3" t="s">
        <v>96</v>
      </c>
      <c r="C647" s="3" t="s">
        <v>45</v>
      </c>
      <c r="D647" s="4">
        <v>4.6221480569937363E-2</v>
      </c>
      <c r="E647" s="3" t="s">
        <v>7</v>
      </c>
      <c r="G647" s="3" t="s">
        <v>97</v>
      </c>
      <c r="H647" s="3" t="s">
        <v>45</v>
      </c>
      <c r="I647" s="5">
        <v>9.4192934120485121E-3</v>
      </c>
      <c r="J647" s="3" t="s">
        <v>7</v>
      </c>
      <c r="L647" s="3" t="s">
        <v>98</v>
      </c>
      <c r="M647" s="3" t="s">
        <v>45</v>
      </c>
      <c r="N647" s="5">
        <v>1.0384162892981302E-2</v>
      </c>
      <c r="O647" s="3" t="s">
        <v>7</v>
      </c>
    </row>
    <row r="648" spans="2:15" x14ac:dyDescent="0.45">
      <c r="B648" s="6" t="s">
        <v>96</v>
      </c>
      <c r="C648" s="6" t="s">
        <v>46</v>
      </c>
      <c r="D648" s="7">
        <v>2.1452851677008649E-2</v>
      </c>
      <c r="E648" s="6" t="s">
        <v>7</v>
      </c>
      <c r="G648" s="6" t="s">
        <v>97</v>
      </c>
      <c r="H648" s="6" t="s">
        <v>46</v>
      </c>
      <c r="I648" s="8">
        <v>8.9559056250985893E-3</v>
      </c>
      <c r="J648" s="6" t="s">
        <v>7</v>
      </c>
      <c r="L648" s="6" t="s">
        <v>98</v>
      </c>
      <c r="M648" s="6" t="s">
        <v>46</v>
      </c>
      <c r="N648" s="8">
        <v>1.0982571866394539E-2</v>
      </c>
      <c r="O648" s="6" t="s">
        <v>7</v>
      </c>
    </row>
    <row r="649" spans="2:15" x14ac:dyDescent="0.45">
      <c r="B649" s="3" t="s">
        <v>96</v>
      </c>
      <c r="C649" s="3" t="s">
        <v>47</v>
      </c>
      <c r="D649" s="4">
        <v>1.7516931302224213E-3</v>
      </c>
      <c r="E649" s="3" t="s">
        <v>7</v>
      </c>
      <c r="G649" s="3" t="s">
        <v>97</v>
      </c>
      <c r="H649" s="3" t="s">
        <v>47</v>
      </c>
      <c r="I649" s="5">
        <v>9.121184168453601E-3</v>
      </c>
      <c r="J649" s="3" t="s">
        <v>7</v>
      </c>
      <c r="L649" s="3" t="s">
        <v>98</v>
      </c>
      <c r="M649" s="3" t="s">
        <v>47</v>
      </c>
      <c r="N649" s="5">
        <v>1.0753533198227099E-2</v>
      </c>
      <c r="O649" s="3" t="s">
        <v>7</v>
      </c>
    </row>
    <row r="650" spans="2:15" x14ac:dyDescent="0.45">
      <c r="B650" s="6" t="s">
        <v>96</v>
      </c>
      <c r="C650" s="6" t="s">
        <v>48</v>
      </c>
      <c r="D650" s="7">
        <v>0</v>
      </c>
      <c r="E650" s="6" t="s">
        <v>7</v>
      </c>
      <c r="G650" s="6" t="s">
        <v>97</v>
      </c>
      <c r="H650" s="6" t="s">
        <v>48</v>
      </c>
      <c r="I650" s="8">
        <v>1.4124635274075524E-2</v>
      </c>
      <c r="J650" s="6" t="s">
        <v>7</v>
      </c>
      <c r="L650" s="6" t="s">
        <v>98</v>
      </c>
      <c r="M650" s="6" t="s">
        <v>48</v>
      </c>
      <c r="N650" s="8">
        <v>1.5212621302601299E-2</v>
      </c>
      <c r="O650" s="6" t="s">
        <v>7</v>
      </c>
    </row>
    <row r="651" spans="2:15" x14ac:dyDescent="0.45">
      <c r="B651" s="3" t="s">
        <v>96</v>
      </c>
      <c r="C651" s="3" t="s">
        <v>49</v>
      </c>
      <c r="D651" s="4">
        <v>0</v>
      </c>
      <c r="E651" s="3" t="s">
        <v>7</v>
      </c>
      <c r="G651" s="3" t="s">
        <v>97</v>
      </c>
      <c r="H651" s="3" t="s">
        <v>49</v>
      </c>
      <c r="I651" s="5">
        <v>3.5120718843818989E-2</v>
      </c>
      <c r="J651" s="3" t="s">
        <v>7</v>
      </c>
      <c r="L651" s="3" t="s">
        <v>98</v>
      </c>
      <c r="M651" s="3" t="s">
        <v>49</v>
      </c>
      <c r="N651" s="5">
        <v>3.4610877884917353E-2</v>
      </c>
      <c r="O651" s="3" t="s">
        <v>7</v>
      </c>
    </row>
    <row r="652" spans="2:15" x14ac:dyDescent="0.45">
      <c r="B652" s="6" t="s">
        <v>96</v>
      </c>
      <c r="C652" s="6" t="s">
        <v>50</v>
      </c>
      <c r="D652" s="7">
        <v>4.3653120408789712E-6</v>
      </c>
      <c r="E652" s="6" t="s">
        <v>7</v>
      </c>
      <c r="G652" s="6" t="s">
        <v>97</v>
      </c>
      <c r="H652" s="6" t="s">
        <v>50</v>
      </c>
      <c r="I652" s="8">
        <v>1.3461866985855908E-2</v>
      </c>
      <c r="J652" s="6" t="s">
        <v>7</v>
      </c>
      <c r="L652" s="6" t="s">
        <v>98</v>
      </c>
      <c r="M652" s="6" t="s">
        <v>50</v>
      </c>
      <c r="N652" s="8">
        <v>1.411951611390103E-2</v>
      </c>
      <c r="O652" s="6" t="s">
        <v>7</v>
      </c>
    </row>
    <row r="653" spans="2:15" x14ac:dyDescent="0.45">
      <c r="B653" s="3" t="s">
        <v>96</v>
      </c>
      <c r="C653" s="3" t="s">
        <v>51</v>
      </c>
      <c r="D653" s="4">
        <v>6.7102946578307685E-3</v>
      </c>
      <c r="E653" s="3" t="s">
        <v>7</v>
      </c>
      <c r="G653" s="3" t="s">
        <v>97</v>
      </c>
      <c r="H653" s="3" t="s">
        <v>51</v>
      </c>
      <c r="I653" s="5">
        <v>1.320745485069473E-2</v>
      </c>
      <c r="J653" s="3" t="s">
        <v>7</v>
      </c>
      <c r="L653" s="3" t="s">
        <v>98</v>
      </c>
      <c r="M653" s="3" t="s">
        <v>51</v>
      </c>
      <c r="N653" s="5">
        <v>1.4515195225368809E-2</v>
      </c>
      <c r="O653" s="3" t="s">
        <v>7</v>
      </c>
    </row>
    <row r="654" spans="2:15" x14ac:dyDescent="0.45">
      <c r="B654" s="6" t="s">
        <v>96</v>
      </c>
      <c r="C654" s="6" t="s">
        <v>52</v>
      </c>
      <c r="D654" s="7">
        <v>2.8235636115411685E-2</v>
      </c>
      <c r="E654" s="6" t="s">
        <v>7</v>
      </c>
      <c r="G654" s="6" t="s">
        <v>97</v>
      </c>
      <c r="H654" s="6" t="s">
        <v>52</v>
      </c>
      <c r="I654" s="8">
        <v>1.2948396463551013E-2</v>
      </c>
      <c r="J654" s="6" t="s">
        <v>7</v>
      </c>
      <c r="L654" s="6" t="s">
        <v>98</v>
      </c>
      <c r="M654" s="6" t="s">
        <v>52</v>
      </c>
      <c r="N654" s="8">
        <v>1.4910253096667714E-2</v>
      </c>
      <c r="O654" s="6" t="s">
        <v>7</v>
      </c>
    </row>
    <row r="655" spans="2:15" x14ac:dyDescent="0.45">
      <c r="B655" s="3" t="s">
        <v>96</v>
      </c>
      <c r="C655" s="3" t="s">
        <v>53</v>
      </c>
      <c r="D655" s="4">
        <v>4.1381423054145272E-2</v>
      </c>
      <c r="E655" s="3" t="s">
        <v>7</v>
      </c>
      <c r="G655" s="3" t="s">
        <v>97</v>
      </c>
      <c r="H655" s="3" t="s">
        <v>53</v>
      </c>
      <c r="I655" s="5">
        <v>1.3442359905284133E-2</v>
      </c>
      <c r="J655" s="3" t="s">
        <v>7</v>
      </c>
      <c r="L655" s="3" t="s">
        <v>98</v>
      </c>
      <c r="M655" s="3" t="s">
        <v>53</v>
      </c>
      <c r="N655" s="5">
        <v>1.5080737579017912E-2</v>
      </c>
      <c r="O655" s="3" t="s">
        <v>7</v>
      </c>
    </row>
    <row r="656" spans="2:15" x14ac:dyDescent="0.45">
      <c r="B656" s="6" t="s">
        <v>96</v>
      </c>
      <c r="C656" s="6" t="s">
        <v>54</v>
      </c>
      <c r="D656" s="7">
        <v>3.6829494127378785E-2</v>
      </c>
      <c r="E656" s="6" t="s">
        <v>7</v>
      </c>
      <c r="G656" s="6" t="s">
        <v>97</v>
      </c>
      <c r="H656" s="6" t="s">
        <v>54</v>
      </c>
      <c r="I656" s="8">
        <v>1.4386599268555908E-2</v>
      </c>
      <c r="J656" s="6" t="s">
        <v>7</v>
      </c>
      <c r="L656" s="6" t="s">
        <v>98</v>
      </c>
      <c r="M656" s="6" t="s">
        <v>54</v>
      </c>
      <c r="N656" s="8">
        <v>1.5077468606226658E-2</v>
      </c>
      <c r="O656" s="6" t="s">
        <v>7</v>
      </c>
    </row>
    <row r="657" spans="2:15" x14ac:dyDescent="0.45">
      <c r="B657" s="3" t="s">
        <v>96</v>
      </c>
      <c r="C657" s="3" t="s">
        <v>55</v>
      </c>
      <c r="D657" s="4">
        <v>2.377448652435107E-2</v>
      </c>
      <c r="E657" s="3" t="s">
        <v>7</v>
      </c>
      <c r="G657" s="3" t="s">
        <v>97</v>
      </c>
      <c r="H657" s="3" t="s">
        <v>55</v>
      </c>
      <c r="I657" s="5">
        <v>1.4423083164299228E-2</v>
      </c>
      <c r="J657" s="3" t="s">
        <v>7</v>
      </c>
      <c r="L657" s="3" t="s">
        <v>98</v>
      </c>
      <c r="M657" s="3" t="s">
        <v>55</v>
      </c>
      <c r="N657" s="5">
        <v>1.5020937263989665E-2</v>
      </c>
      <c r="O657" s="3" t="s">
        <v>7</v>
      </c>
    </row>
    <row r="658" spans="2:15" x14ac:dyDescent="0.45">
      <c r="B658" s="6" t="s">
        <v>96</v>
      </c>
      <c r="C658" s="6" t="s">
        <v>56</v>
      </c>
      <c r="D658" s="7">
        <v>5.5501848024172721E-3</v>
      </c>
      <c r="E658" s="6" t="s">
        <v>7</v>
      </c>
      <c r="G658" s="6" t="s">
        <v>97</v>
      </c>
      <c r="H658" s="6" t="s">
        <v>56</v>
      </c>
      <c r="I658" s="8">
        <v>1.4672926702077264E-2</v>
      </c>
      <c r="J658" s="6" t="s">
        <v>7</v>
      </c>
      <c r="L658" s="6" t="s">
        <v>98</v>
      </c>
      <c r="M658" s="6" t="s">
        <v>56</v>
      </c>
      <c r="N658" s="8">
        <v>1.4888552391022948E-2</v>
      </c>
      <c r="O658" s="6" t="s">
        <v>7</v>
      </c>
    </row>
    <row r="659" spans="2:15" x14ac:dyDescent="0.45">
      <c r="B659" s="3" t="s">
        <v>96</v>
      </c>
      <c r="C659" s="3" t="s">
        <v>57</v>
      </c>
      <c r="D659" s="4">
        <v>7.7398421316585576E-6</v>
      </c>
      <c r="E659" s="3" t="s">
        <v>7</v>
      </c>
      <c r="G659" s="3" t="s">
        <v>97</v>
      </c>
      <c r="H659" s="3" t="s">
        <v>57</v>
      </c>
      <c r="I659" s="5">
        <v>1.5476071560654071E-2</v>
      </c>
      <c r="J659" s="3" t="s">
        <v>7</v>
      </c>
      <c r="L659" s="3" t="s">
        <v>98</v>
      </c>
      <c r="M659" s="3" t="s">
        <v>57</v>
      </c>
      <c r="N659" s="5">
        <v>1.497891750093624E-2</v>
      </c>
      <c r="O659" s="3" t="s">
        <v>7</v>
      </c>
    </row>
    <row r="660" spans="2:15" x14ac:dyDescent="0.45">
      <c r="B660" s="6" t="s">
        <v>96</v>
      </c>
      <c r="C660" s="6" t="s">
        <v>58</v>
      </c>
      <c r="D660" s="7">
        <v>0</v>
      </c>
      <c r="E660" s="6" t="s">
        <v>7</v>
      </c>
      <c r="G660" s="6" t="s">
        <v>97</v>
      </c>
      <c r="H660" s="6" t="s">
        <v>58</v>
      </c>
      <c r="I660" s="8">
        <v>2.2663055853203024E-2</v>
      </c>
      <c r="J660" s="6" t="s">
        <v>7</v>
      </c>
      <c r="L660" s="6" t="s">
        <v>98</v>
      </c>
      <c r="M660" s="6" t="s">
        <v>58</v>
      </c>
      <c r="N660" s="8">
        <v>2.2021995146061388E-2</v>
      </c>
      <c r="O660" s="6" t="s">
        <v>7</v>
      </c>
    </row>
    <row r="661" spans="2:15" x14ac:dyDescent="0.45">
      <c r="B661" s="3" t="s">
        <v>96</v>
      </c>
      <c r="C661" s="3" t="s">
        <v>59</v>
      </c>
      <c r="D661" s="4">
        <v>0</v>
      </c>
      <c r="E661" s="3" t="s">
        <v>7</v>
      </c>
      <c r="G661" s="3" t="s">
        <v>97</v>
      </c>
      <c r="H661" s="3" t="s">
        <v>59</v>
      </c>
      <c r="I661" s="5">
        <v>4.4347528466156742E-2</v>
      </c>
      <c r="J661" s="3" t="s">
        <v>7</v>
      </c>
      <c r="L661" s="3" t="s">
        <v>98</v>
      </c>
      <c r="M661" s="3" t="s">
        <v>59</v>
      </c>
      <c r="N661" s="5">
        <v>4.2174017684191052E-2</v>
      </c>
      <c r="O661" s="3" t="s">
        <v>7</v>
      </c>
    </row>
    <row r="662" spans="2:15" x14ac:dyDescent="0.45">
      <c r="B662" s="6" t="s">
        <v>96</v>
      </c>
      <c r="C662" s="6" t="s">
        <v>60</v>
      </c>
      <c r="D662" s="7">
        <v>0</v>
      </c>
      <c r="E662" s="6" t="s">
        <v>7</v>
      </c>
      <c r="G662" s="6" t="s">
        <v>97</v>
      </c>
      <c r="H662" s="6" t="s">
        <v>60</v>
      </c>
      <c r="I662" s="8">
        <v>1.7837566436691571E-2</v>
      </c>
      <c r="J662" s="6" t="s">
        <v>7</v>
      </c>
      <c r="L662" s="6" t="s">
        <v>98</v>
      </c>
      <c r="M662" s="6" t="s">
        <v>60</v>
      </c>
      <c r="N662" s="8">
        <v>1.6494165768053844E-2</v>
      </c>
      <c r="O662" s="6" t="s">
        <v>7</v>
      </c>
    </row>
    <row r="663" spans="2:15" x14ac:dyDescent="0.45">
      <c r="B663" s="3" t="s">
        <v>96</v>
      </c>
      <c r="C663" s="3" t="s">
        <v>61</v>
      </c>
      <c r="D663" s="4">
        <v>3.6629743495343928E-4</v>
      </c>
      <c r="E663" s="3" t="s">
        <v>7</v>
      </c>
      <c r="G663" s="3" t="s">
        <v>97</v>
      </c>
      <c r="H663" s="3" t="s">
        <v>61</v>
      </c>
      <c r="I663" s="5">
        <v>1.7864405646026139E-2</v>
      </c>
      <c r="J663" s="3" t="s">
        <v>7</v>
      </c>
      <c r="L663" s="3" t="s">
        <v>98</v>
      </c>
      <c r="M663" s="3" t="s">
        <v>61</v>
      </c>
      <c r="N663" s="5">
        <v>1.6401985022597848E-2</v>
      </c>
      <c r="O663" s="3" t="s">
        <v>7</v>
      </c>
    </row>
    <row r="664" spans="2:15" x14ac:dyDescent="0.45">
      <c r="B664" s="6" t="s">
        <v>96</v>
      </c>
      <c r="C664" s="6" t="s">
        <v>62</v>
      </c>
      <c r="D664" s="7">
        <v>1.4481625833952995E-2</v>
      </c>
      <c r="E664" s="6" t="s">
        <v>7</v>
      </c>
      <c r="G664" s="6" t="s">
        <v>97</v>
      </c>
      <c r="H664" s="6" t="s">
        <v>62</v>
      </c>
      <c r="I664" s="8">
        <v>1.6928114177466671E-2</v>
      </c>
      <c r="J664" s="6" t="s">
        <v>7</v>
      </c>
      <c r="L664" s="6" t="s">
        <v>98</v>
      </c>
      <c r="M664" s="6" t="s">
        <v>62</v>
      </c>
      <c r="N664" s="8">
        <v>1.6254615417749606E-2</v>
      </c>
      <c r="O664" s="6" t="s">
        <v>7</v>
      </c>
    </row>
    <row r="665" spans="2:15" x14ac:dyDescent="0.45">
      <c r="B665" s="3" t="s">
        <v>96</v>
      </c>
      <c r="C665" s="3" t="s">
        <v>63</v>
      </c>
      <c r="D665" s="4">
        <v>2.9950330024102374E-2</v>
      </c>
      <c r="E665" s="3" t="s">
        <v>7</v>
      </c>
      <c r="G665" s="3" t="s">
        <v>97</v>
      </c>
      <c r="H665" s="3" t="s">
        <v>63</v>
      </c>
      <c r="I665" s="5">
        <v>1.6454890856757016E-2</v>
      </c>
      <c r="J665" s="3" t="s">
        <v>7</v>
      </c>
      <c r="L665" s="3" t="s">
        <v>98</v>
      </c>
      <c r="M665" s="3" t="s">
        <v>63</v>
      </c>
      <c r="N665" s="5">
        <v>1.6089912609189128E-2</v>
      </c>
      <c r="O665" s="3" t="s">
        <v>7</v>
      </c>
    </row>
    <row r="666" spans="2:15" x14ac:dyDescent="0.45">
      <c r="B666" s="6" t="s">
        <v>96</v>
      </c>
      <c r="C666" s="6" t="s">
        <v>64</v>
      </c>
      <c r="D666" s="7">
        <v>2.9229022918532233E-2</v>
      </c>
      <c r="E666" s="6" t="s">
        <v>7</v>
      </c>
      <c r="G666" s="6" t="s">
        <v>97</v>
      </c>
      <c r="H666" s="6" t="s">
        <v>64</v>
      </c>
      <c r="I666" s="8">
        <v>1.6655258725880386E-2</v>
      </c>
      <c r="J666" s="6" t="s">
        <v>7</v>
      </c>
      <c r="L666" s="6" t="s">
        <v>98</v>
      </c>
      <c r="M666" s="6" t="s">
        <v>64</v>
      </c>
      <c r="N666" s="8">
        <v>1.5892554991096177E-2</v>
      </c>
      <c r="O666" s="6" t="s">
        <v>7</v>
      </c>
    </row>
    <row r="667" spans="2:15" x14ac:dyDescent="0.45">
      <c r="B667" s="3" t="s">
        <v>96</v>
      </c>
      <c r="C667" s="3" t="s">
        <v>65</v>
      </c>
      <c r="D667" s="4">
        <v>1.3030651755421042E-2</v>
      </c>
      <c r="E667" s="3" t="s">
        <v>7</v>
      </c>
      <c r="G667" s="3" t="s">
        <v>97</v>
      </c>
      <c r="H667" s="3" t="s">
        <v>65</v>
      </c>
      <c r="I667" s="5">
        <v>1.6268864713463956E-2</v>
      </c>
      <c r="J667" s="3" t="s">
        <v>7</v>
      </c>
      <c r="L667" s="3" t="s">
        <v>98</v>
      </c>
      <c r="M667" s="3" t="s">
        <v>65</v>
      </c>
      <c r="N667" s="5">
        <v>1.5986247244599041E-2</v>
      </c>
      <c r="O667" s="3" t="s">
        <v>7</v>
      </c>
    </row>
    <row r="668" spans="2:15" x14ac:dyDescent="0.45">
      <c r="B668" s="6" t="s">
        <v>96</v>
      </c>
      <c r="C668" s="6" t="s">
        <v>66</v>
      </c>
      <c r="D668" s="7">
        <v>0</v>
      </c>
      <c r="E668" s="6" t="s">
        <v>7</v>
      </c>
      <c r="G668" s="6" t="s">
        <v>97</v>
      </c>
      <c r="H668" s="6" t="s">
        <v>66</v>
      </c>
      <c r="I668" s="8">
        <v>1.6744750601783844E-2</v>
      </c>
      <c r="J668" s="6" t="s">
        <v>7</v>
      </c>
      <c r="L668" s="6" t="s">
        <v>98</v>
      </c>
      <c r="M668" s="6" t="s">
        <v>66</v>
      </c>
      <c r="N668" s="8">
        <v>1.6421103552672425E-2</v>
      </c>
      <c r="O668" s="6" t="s">
        <v>7</v>
      </c>
    </row>
    <row r="669" spans="2:15" x14ac:dyDescent="0.45">
      <c r="B669" s="3" t="s">
        <v>96</v>
      </c>
      <c r="C669" s="3" t="s">
        <v>67</v>
      </c>
      <c r="D669" s="4">
        <v>0</v>
      </c>
      <c r="E669" s="3" t="s">
        <v>7</v>
      </c>
      <c r="G669" s="3" t="s">
        <v>97</v>
      </c>
      <c r="H669" s="3" t="s">
        <v>67</v>
      </c>
      <c r="I669" s="5">
        <v>1.693431635661332E-2</v>
      </c>
      <c r="J669" s="3" t="s">
        <v>7</v>
      </c>
      <c r="L669" s="3" t="s">
        <v>98</v>
      </c>
      <c r="M669" s="3" t="s">
        <v>67</v>
      </c>
      <c r="N669" s="5">
        <v>1.6725280801208702E-2</v>
      </c>
      <c r="O669" s="3" t="s">
        <v>7</v>
      </c>
    </row>
    <row r="670" spans="2:15" x14ac:dyDescent="0.45">
      <c r="B670" s="6" t="s">
        <v>96</v>
      </c>
      <c r="C670" s="6" t="s">
        <v>68</v>
      </c>
      <c r="D670" s="7">
        <v>0</v>
      </c>
      <c r="E670" s="6" t="s">
        <v>7</v>
      </c>
      <c r="G670" s="6" t="s">
        <v>97</v>
      </c>
      <c r="H670" s="6" t="s">
        <v>68</v>
      </c>
      <c r="I670" s="8">
        <v>2.5600290922177502E-2</v>
      </c>
      <c r="J670" s="6" t="s">
        <v>7</v>
      </c>
      <c r="L670" s="6" t="s">
        <v>98</v>
      </c>
      <c r="M670" s="6" t="s">
        <v>68</v>
      </c>
      <c r="N670" s="8">
        <v>2.5749360063807816E-2</v>
      </c>
      <c r="O670" s="6" t="s">
        <v>7</v>
      </c>
    </row>
    <row r="671" spans="2:15" x14ac:dyDescent="0.45">
      <c r="B671" s="3" t="s">
        <v>99</v>
      </c>
      <c r="C671" s="3" t="s">
        <v>6</v>
      </c>
      <c r="D671" s="4">
        <v>0</v>
      </c>
      <c r="E671" s="3" t="s">
        <v>7</v>
      </c>
      <c r="G671" s="3" t="s">
        <v>100</v>
      </c>
      <c r="H671" s="3" t="s">
        <v>6</v>
      </c>
      <c r="I671" s="5">
        <v>3.89416112260541E-2</v>
      </c>
      <c r="J671" s="3" t="s">
        <v>7</v>
      </c>
      <c r="L671" s="3" t="s">
        <v>101</v>
      </c>
      <c r="M671" s="3" t="s">
        <v>6</v>
      </c>
      <c r="N671" s="5">
        <v>3.5108874087758847E-2</v>
      </c>
      <c r="O671" s="3" t="s">
        <v>7</v>
      </c>
    </row>
    <row r="672" spans="2:15" x14ac:dyDescent="0.45">
      <c r="B672" s="6" t="s">
        <v>99</v>
      </c>
      <c r="C672" s="6" t="s">
        <v>10</v>
      </c>
      <c r="D672" s="7">
        <v>0</v>
      </c>
      <c r="E672" s="6" t="s">
        <v>7</v>
      </c>
      <c r="G672" s="6" t="s">
        <v>100</v>
      </c>
      <c r="H672" s="6" t="s">
        <v>10</v>
      </c>
      <c r="I672" s="8">
        <v>1.5199605130096197E-2</v>
      </c>
      <c r="J672" s="6" t="s">
        <v>7</v>
      </c>
      <c r="L672" s="6" t="s">
        <v>101</v>
      </c>
      <c r="M672" s="6" t="s">
        <v>10</v>
      </c>
      <c r="N672" s="8">
        <v>1.4287474579912994E-2</v>
      </c>
      <c r="O672" s="6" t="s">
        <v>7</v>
      </c>
    </row>
    <row r="673" spans="2:15" x14ac:dyDescent="0.45">
      <c r="B673" s="3" t="s">
        <v>99</v>
      </c>
      <c r="C673" s="3" t="s">
        <v>11</v>
      </c>
      <c r="D673" s="4">
        <v>2.7387066639685757E-4</v>
      </c>
      <c r="E673" s="3" t="s">
        <v>7</v>
      </c>
      <c r="G673" s="3" t="s">
        <v>100</v>
      </c>
      <c r="H673" s="3" t="s">
        <v>11</v>
      </c>
      <c r="I673" s="5">
        <v>1.5314969134879832E-2</v>
      </c>
      <c r="J673" s="3" t="s">
        <v>7</v>
      </c>
      <c r="L673" s="3" t="s">
        <v>101</v>
      </c>
      <c r="M673" s="3" t="s">
        <v>11</v>
      </c>
      <c r="N673" s="5">
        <v>1.4155187338742806E-2</v>
      </c>
      <c r="O673" s="3" t="s">
        <v>7</v>
      </c>
    </row>
    <row r="674" spans="2:15" x14ac:dyDescent="0.45">
      <c r="B674" s="6" t="s">
        <v>99</v>
      </c>
      <c r="C674" s="6" t="s">
        <v>12</v>
      </c>
      <c r="D674" s="7">
        <v>1.2098435818017899E-2</v>
      </c>
      <c r="E674" s="6" t="s">
        <v>7</v>
      </c>
      <c r="G674" s="6" t="s">
        <v>100</v>
      </c>
      <c r="H674" s="6" t="s">
        <v>12</v>
      </c>
      <c r="I674" s="8">
        <v>1.4802838001752016E-2</v>
      </c>
      <c r="J674" s="6" t="s">
        <v>7</v>
      </c>
      <c r="L674" s="6" t="s">
        <v>101</v>
      </c>
      <c r="M674" s="6" t="s">
        <v>12</v>
      </c>
      <c r="N674" s="8">
        <v>1.3798734512747424E-2</v>
      </c>
      <c r="O674" s="6" t="s">
        <v>7</v>
      </c>
    </row>
    <row r="675" spans="2:15" x14ac:dyDescent="0.45">
      <c r="B675" s="3" t="s">
        <v>99</v>
      </c>
      <c r="C675" s="3" t="s">
        <v>13</v>
      </c>
      <c r="D675" s="4">
        <v>2.8540172802687881E-2</v>
      </c>
      <c r="E675" s="3" t="s">
        <v>7</v>
      </c>
      <c r="G675" s="3" t="s">
        <v>100</v>
      </c>
      <c r="H675" s="3" t="s">
        <v>13</v>
      </c>
      <c r="I675" s="5">
        <v>1.5026789412811997E-2</v>
      </c>
      <c r="J675" s="3" t="s">
        <v>7</v>
      </c>
      <c r="L675" s="3" t="s">
        <v>101</v>
      </c>
      <c r="M675" s="3" t="s">
        <v>13</v>
      </c>
      <c r="N675" s="5">
        <v>1.3516915315569525E-2</v>
      </c>
      <c r="O675" s="3" t="s">
        <v>7</v>
      </c>
    </row>
    <row r="676" spans="2:15" x14ac:dyDescent="0.45">
      <c r="B676" s="6" t="s">
        <v>99</v>
      </c>
      <c r="C676" s="6" t="s">
        <v>14</v>
      </c>
      <c r="D676" s="7">
        <v>2.9813392687240443E-2</v>
      </c>
      <c r="E676" s="6" t="s">
        <v>7</v>
      </c>
      <c r="G676" s="6" t="s">
        <v>100</v>
      </c>
      <c r="H676" s="6" t="s">
        <v>14</v>
      </c>
      <c r="I676" s="8">
        <v>1.5323676535302356E-2</v>
      </c>
      <c r="J676" s="6" t="s">
        <v>7</v>
      </c>
      <c r="L676" s="6" t="s">
        <v>101</v>
      </c>
      <c r="M676" s="6" t="s">
        <v>14</v>
      </c>
      <c r="N676" s="8">
        <v>1.3454756673166708E-2</v>
      </c>
      <c r="O676" s="6" t="s">
        <v>7</v>
      </c>
    </row>
    <row r="677" spans="2:15" x14ac:dyDescent="0.45">
      <c r="B677" s="3" t="s">
        <v>99</v>
      </c>
      <c r="C677" s="3" t="s">
        <v>15</v>
      </c>
      <c r="D677" s="4">
        <v>1.8352112227167313E-2</v>
      </c>
      <c r="E677" s="3" t="s">
        <v>7</v>
      </c>
      <c r="G677" s="3" t="s">
        <v>100</v>
      </c>
      <c r="H677" s="3" t="s">
        <v>15</v>
      </c>
      <c r="I677" s="5">
        <v>1.5279844508620409E-2</v>
      </c>
      <c r="J677" s="3" t="s">
        <v>7</v>
      </c>
      <c r="L677" s="3" t="s">
        <v>101</v>
      </c>
      <c r="M677" s="3" t="s">
        <v>15</v>
      </c>
      <c r="N677" s="5">
        <v>1.3741816238793867E-2</v>
      </c>
      <c r="O677" s="3" t="s">
        <v>7</v>
      </c>
    </row>
    <row r="678" spans="2:15" x14ac:dyDescent="0.45">
      <c r="B678" s="6" t="s">
        <v>99</v>
      </c>
      <c r="C678" s="6" t="s">
        <v>16</v>
      </c>
      <c r="D678" s="7">
        <v>2.7317876449374947E-3</v>
      </c>
      <c r="E678" s="6" t="s">
        <v>7</v>
      </c>
      <c r="G678" s="6" t="s">
        <v>100</v>
      </c>
      <c r="H678" s="6" t="s">
        <v>16</v>
      </c>
      <c r="I678" s="8">
        <v>1.5610826449569098E-2</v>
      </c>
      <c r="J678" s="6" t="s">
        <v>7</v>
      </c>
      <c r="L678" s="6" t="s">
        <v>101</v>
      </c>
      <c r="M678" s="6" t="s">
        <v>16</v>
      </c>
      <c r="N678" s="8">
        <v>1.4366620453660509E-2</v>
      </c>
      <c r="O678" s="6" t="s">
        <v>7</v>
      </c>
    </row>
    <row r="679" spans="2:15" x14ac:dyDescent="0.45">
      <c r="B679" s="3" t="s">
        <v>99</v>
      </c>
      <c r="C679" s="3" t="s">
        <v>17</v>
      </c>
      <c r="D679" s="4">
        <v>0</v>
      </c>
      <c r="E679" s="3" t="s">
        <v>7</v>
      </c>
      <c r="G679" s="3" t="s">
        <v>100</v>
      </c>
      <c r="H679" s="3" t="s">
        <v>17</v>
      </c>
      <c r="I679" s="5">
        <v>1.5746768171135492E-2</v>
      </c>
      <c r="J679" s="3" t="s">
        <v>7</v>
      </c>
      <c r="L679" s="3" t="s">
        <v>101</v>
      </c>
      <c r="M679" s="3" t="s">
        <v>17</v>
      </c>
      <c r="N679" s="5">
        <v>1.453854716550693E-2</v>
      </c>
      <c r="O679" s="3" t="s">
        <v>7</v>
      </c>
    </row>
    <row r="680" spans="2:15" x14ac:dyDescent="0.45">
      <c r="B680" s="6" t="s">
        <v>99</v>
      </c>
      <c r="C680" s="6" t="s">
        <v>18</v>
      </c>
      <c r="D680" s="7">
        <v>0</v>
      </c>
      <c r="E680" s="6" t="s">
        <v>7</v>
      </c>
      <c r="G680" s="6" t="s">
        <v>100</v>
      </c>
      <c r="H680" s="6" t="s">
        <v>18</v>
      </c>
      <c r="I680" s="8">
        <v>2.3416164849754079E-2</v>
      </c>
      <c r="J680" s="6" t="s">
        <v>7</v>
      </c>
      <c r="L680" s="6" t="s">
        <v>101</v>
      </c>
      <c r="M680" s="6" t="s">
        <v>18</v>
      </c>
      <c r="N680" s="8">
        <v>2.1208730457512443E-2</v>
      </c>
      <c r="O680" s="6" t="s">
        <v>7</v>
      </c>
    </row>
    <row r="681" spans="2:15" x14ac:dyDescent="0.45">
      <c r="B681" s="3" t="s">
        <v>99</v>
      </c>
      <c r="C681" s="3" t="s">
        <v>19</v>
      </c>
      <c r="D681" s="4">
        <v>0</v>
      </c>
      <c r="E681" s="3" t="s">
        <v>7</v>
      </c>
      <c r="G681" s="3" t="s">
        <v>100</v>
      </c>
      <c r="H681" s="3" t="s">
        <v>19</v>
      </c>
      <c r="I681" s="5">
        <v>3.7946613834657382E-2</v>
      </c>
      <c r="J681" s="3" t="s">
        <v>7</v>
      </c>
      <c r="L681" s="3" t="s">
        <v>101</v>
      </c>
      <c r="M681" s="3" t="s">
        <v>19</v>
      </c>
      <c r="N681" s="5">
        <v>3.5781187559477221E-2</v>
      </c>
      <c r="O681" s="3" t="s">
        <v>7</v>
      </c>
    </row>
    <row r="682" spans="2:15" x14ac:dyDescent="0.45">
      <c r="B682" s="6" t="s">
        <v>99</v>
      </c>
      <c r="C682" s="6" t="s">
        <v>20</v>
      </c>
      <c r="D682" s="7">
        <v>4.9991686439692763E-5</v>
      </c>
      <c r="E682" s="6" t="s">
        <v>7</v>
      </c>
      <c r="G682" s="6" t="s">
        <v>100</v>
      </c>
      <c r="H682" s="6" t="s">
        <v>20</v>
      </c>
      <c r="I682" s="8">
        <v>1.5441534738028374E-2</v>
      </c>
      <c r="J682" s="6" t="s">
        <v>7</v>
      </c>
      <c r="L682" s="6" t="s">
        <v>101</v>
      </c>
      <c r="M682" s="6" t="s">
        <v>20</v>
      </c>
      <c r="N682" s="8">
        <v>1.4384066239719072E-2</v>
      </c>
      <c r="O682" s="6" t="s">
        <v>7</v>
      </c>
    </row>
    <row r="683" spans="2:15" x14ac:dyDescent="0.45">
      <c r="B683" s="3" t="s">
        <v>99</v>
      </c>
      <c r="C683" s="3" t="s">
        <v>21</v>
      </c>
      <c r="D683" s="4">
        <v>7.7231084598642355E-3</v>
      </c>
      <c r="E683" s="3" t="s">
        <v>7</v>
      </c>
      <c r="G683" s="3" t="s">
        <v>100</v>
      </c>
      <c r="H683" s="3" t="s">
        <v>21</v>
      </c>
      <c r="I683" s="5">
        <v>1.5824615639963711E-2</v>
      </c>
      <c r="J683" s="3" t="s">
        <v>7</v>
      </c>
      <c r="L683" s="3" t="s">
        <v>101</v>
      </c>
      <c r="M683" s="3" t="s">
        <v>21</v>
      </c>
      <c r="N683" s="5">
        <v>1.4617083372531399E-2</v>
      </c>
      <c r="O683" s="3" t="s">
        <v>7</v>
      </c>
    </row>
    <row r="684" spans="2:15" x14ac:dyDescent="0.45">
      <c r="B684" s="6" t="s">
        <v>99</v>
      </c>
      <c r="C684" s="6" t="s">
        <v>22</v>
      </c>
      <c r="D684" s="7">
        <v>3.2494509842957424E-2</v>
      </c>
      <c r="E684" s="6" t="s">
        <v>7</v>
      </c>
      <c r="G684" s="6" t="s">
        <v>100</v>
      </c>
      <c r="H684" s="6" t="s">
        <v>22</v>
      </c>
      <c r="I684" s="8">
        <v>1.6088508431870673E-2</v>
      </c>
      <c r="J684" s="6" t="s">
        <v>7</v>
      </c>
      <c r="L684" s="6" t="s">
        <v>101</v>
      </c>
      <c r="M684" s="6" t="s">
        <v>22</v>
      </c>
      <c r="N684" s="8">
        <v>1.4572234207627268E-2</v>
      </c>
      <c r="O684" s="6" t="s">
        <v>7</v>
      </c>
    </row>
    <row r="685" spans="2:15" x14ac:dyDescent="0.45">
      <c r="B685" s="3" t="s">
        <v>99</v>
      </c>
      <c r="C685" s="3" t="s">
        <v>23</v>
      </c>
      <c r="D685" s="4">
        <v>4.8347786183433709E-2</v>
      </c>
      <c r="E685" s="3" t="s">
        <v>7</v>
      </c>
      <c r="G685" s="3" t="s">
        <v>100</v>
      </c>
      <c r="H685" s="3" t="s">
        <v>23</v>
      </c>
      <c r="I685" s="5">
        <v>1.5821223926232419E-2</v>
      </c>
      <c r="J685" s="3" t="s">
        <v>7</v>
      </c>
      <c r="L685" s="3" t="s">
        <v>101</v>
      </c>
      <c r="M685" s="3" t="s">
        <v>23</v>
      </c>
      <c r="N685" s="5">
        <v>1.4318697570183907E-2</v>
      </c>
      <c r="O685" s="3" t="s">
        <v>7</v>
      </c>
    </row>
    <row r="686" spans="2:15" x14ac:dyDescent="0.45">
      <c r="B686" s="6" t="s">
        <v>99</v>
      </c>
      <c r="C686" s="6" t="s">
        <v>24</v>
      </c>
      <c r="D686" s="7">
        <v>4.9129561288661076E-2</v>
      </c>
      <c r="E686" s="6" t="s">
        <v>7</v>
      </c>
      <c r="G686" s="6" t="s">
        <v>100</v>
      </c>
      <c r="H686" s="6" t="s">
        <v>24</v>
      </c>
      <c r="I686" s="8">
        <v>1.6000228959127331E-2</v>
      </c>
      <c r="J686" s="6" t="s">
        <v>7</v>
      </c>
      <c r="L686" s="6" t="s">
        <v>101</v>
      </c>
      <c r="M686" s="6" t="s">
        <v>24</v>
      </c>
      <c r="N686" s="8">
        <v>1.4420041748097098E-2</v>
      </c>
      <c r="O686" s="6" t="s">
        <v>7</v>
      </c>
    </row>
    <row r="687" spans="2:15" x14ac:dyDescent="0.45">
      <c r="B687" s="3" t="s">
        <v>99</v>
      </c>
      <c r="C687" s="3" t="s">
        <v>25</v>
      </c>
      <c r="D687" s="4">
        <v>3.6510320312009084E-2</v>
      </c>
      <c r="E687" s="3" t="s">
        <v>7</v>
      </c>
      <c r="G687" s="3" t="s">
        <v>100</v>
      </c>
      <c r="H687" s="3" t="s">
        <v>25</v>
      </c>
      <c r="I687" s="5">
        <v>1.5953912602362477E-2</v>
      </c>
      <c r="J687" s="3" t="s">
        <v>7</v>
      </c>
      <c r="L687" s="3" t="s">
        <v>101</v>
      </c>
      <c r="M687" s="3" t="s">
        <v>25</v>
      </c>
      <c r="N687" s="5">
        <v>1.4700815456194189E-2</v>
      </c>
      <c r="O687" s="3" t="s">
        <v>7</v>
      </c>
    </row>
    <row r="688" spans="2:15" x14ac:dyDescent="0.45">
      <c r="B688" s="6" t="s">
        <v>99</v>
      </c>
      <c r="C688" s="6" t="s">
        <v>26</v>
      </c>
      <c r="D688" s="7">
        <v>1.4484810767011863E-2</v>
      </c>
      <c r="E688" s="6" t="s">
        <v>7</v>
      </c>
      <c r="G688" s="6" t="s">
        <v>100</v>
      </c>
      <c r="H688" s="6" t="s">
        <v>26</v>
      </c>
      <c r="I688" s="8">
        <v>1.5697598520628318E-2</v>
      </c>
      <c r="J688" s="6" t="s">
        <v>7</v>
      </c>
      <c r="L688" s="6" t="s">
        <v>101</v>
      </c>
      <c r="M688" s="6" t="s">
        <v>26</v>
      </c>
      <c r="N688" s="8">
        <v>1.4953905583915303E-2</v>
      </c>
      <c r="O688" s="6" t="s">
        <v>7</v>
      </c>
    </row>
    <row r="689" spans="2:15" x14ac:dyDescent="0.45">
      <c r="B689" s="3" t="s">
        <v>99</v>
      </c>
      <c r="C689" s="3" t="s">
        <v>27</v>
      </c>
      <c r="D689" s="4">
        <v>3.1819276238038855E-4</v>
      </c>
      <c r="E689" s="3" t="s">
        <v>7</v>
      </c>
      <c r="G689" s="3" t="s">
        <v>100</v>
      </c>
      <c r="H689" s="3" t="s">
        <v>27</v>
      </c>
      <c r="I689" s="5">
        <v>1.5521761398341277E-2</v>
      </c>
      <c r="J689" s="3" t="s">
        <v>7</v>
      </c>
      <c r="L689" s="3" t="s">
        <v>101</v>
      </c>
      <c r="M689" s="3" t="s">
        <v>27</v>
      </c>
      <c r="N689" s="5">
        <v>1.5045393527521619E-2</v>
      </c>
      <c r="O689" s="3" t="s">
        <v>7</v>
      </c>
    </row>
    <row r="690" spans="2:15" x14ac:dyDescent="0.45">
      <c r="B690" s="6" t="s">
        <v>99</v>
      </c>
      <c r="C690" s="6" t="s">
        <v>28</v>
      </c>
      <c r="D690" s="7">
        <v>0</v>
      </c>
      <c r="E690" s="6" t="s">
        <v>7</v>
      </c>
      <c r="G690" s="6" t="s">
        <v>100</v>
      </c>
      <c r="H690" s="6" t="s">
        <v>28</v>
      </c>
      <c r="I690" s="8">
        <v>2.2134475145782484E-2</v>
      </c>
      <c r="J690" s="6" t="s">
        <v>7</v>
      </c>
      <c r="L690" s="6" t="s">
        <v>101</v>
      </c>
      <c r="M690" s="6" t="s">
        <v>28</v>
      </c>
      <c r="N690" s="8">
        <v>2.2189805997964825E-2</v>
      </c>
      <c r="O690" s="6" t="s">
        <v>7</v>
      </c>
    </row>
    <row r="691" spans="2:15" x14ac:dyDescent="0.45">
      <c r="B691" s="3" t="s">
        <v>99</v>
      </c>
      <c r="C691" s="3" t="s">
        <v>29</v>
      </c>
      <c r="D691" s="4">
        <v>0</v>
      </c>
      <c r="E691" s="3" t="s">
        <v>7</v>
      </c>
      <c r="G691" s="3" t="s">
        <v>100</v>
      </c>
      <c r="H691" s="3" t="s">
        <v>29</v>
      </c>
      <c r="I691" s="5">
        <v>3.4981210746676997E-2</v>
      </c>
      <c r="J691" s="3" t="s">
        <v>7</v>
      </c>
      <c r="L691" s="3" t="s">
        <v>101</v>
      </c>
      <c r="M691" s="3" t="s">
        <v>29</v>
      </c>
      <c r="N691" s="5">
        <v>3.2008220424375088E-2</v>
      </c>
      <c r="O691" s="3" t="s">
        <v>7</v>
      </c>
    </row>
    <row r="692" spans="2:15" x14ac:dyDescent="0.45">
      <c r="B692" s="6" t="s">
        <v>99</v>
      </c>
      <c r="C692" s="6" t="s">
        <v>30</v>
      </c>
      <c r="D692" s="7">
        <v>1.378447990892751E-3</v>
      </c>
      <c r="E692" s="6" t="s">
        <v>7</v>
      </c>
      <c r="G692" s="6" t="s">
        <v>100</v>
      </c>
      <c r="H692" s="6" t="s">
        <v>30</v>
      </c>
      <c r="I692" s="8">
        <v>1.3061952832237543E-2</v>
      </c>
      <c r="J692" s="6" t="s">
        <v>7</v>
      </c>
      <c r="L692" s="6" t="s">
        <v>101</v>
      </c>
      <c r="M692" s="6" t="s">
        <v>30</v>
      </c>
      <c r="N692" s="8">
        <v>1.3291772473449153E-2</v>
      </c>
      <c r="O692" s="6" t="s">
        <v>7</v>
      </c>
    </row>
    <row r="693" spans="2:15" x14ac:dyDescent="0.45">
      <c r="B693" s="3" t="s">
        <v>99</v>
      </c>
      <c r="C693" s="3" t="s">
        <v>31</v>
      </c>
      <c r="D693" s="4">
        <v>1.6171307892002825E-2</v>
      </c>
      <c r="E693" s="3" t="s">
        <v>7</v>
      </c>
      <c r="G693" s="3" t="s">
        <v>100</v>
      </c>
      <c r="H693" s="3" t="s">
        <v>31</v>
      </c>
      <c r="I693" s="5">
        <v>1.2989132304647275E-2</v>
      </c>
      <c r="J693" s="3" t="s">
        <v>7</v>
      </c>
      <c r="L693" s="3" t="s">
        <v>101</v>
      </c>
      <c r="M693" s="3" t="s">
        <v>31</v>
      </c>
      <c r="N693" s="5">
        <v>1.3328333508204773E-2</v>
      </c>
      <c r="O693" s="3" t="s">
        <v>7</v>
      </c>
    </row>
    <row r="694" spans="2:15" x14ac:dyDescent="0.45">
      <c r="B694" s="6" t="s">
        <v>99</v>
      </c>
      <c r="C694" s="6" t="s">
        <v>32</v>
      </c>
      <c r="D694" s="7">
        <v>4.0915349865606479E-2</v>
      </c>
      <c r="E694" s="6" t="s">
        <v>7</v>
      </c>
      <c r="G694" s="6" t="s">
        <v>100</v>
      </c>
      <c r="H694" s="6" t="s">
        <v>32</v>
      </c>
      <c r="I694" s="8">
        <v>1.2744705304523152E-2</v>
      </c>
      <c r="J694" s="6" t="s">
        <v>7</v>
      </c>
      <c r="L694" s="6" t="s">
        <v>101</v>
      </c>
      <c r="M694" s="6" t="s">
        <v>32</v>
      </c>
      <c r="N694" s="8">
        <v>1.277519691372637E-2</v>
      </c>
      <c r="O694" s="6" t="s">
        <v>7</v>
      </c>
    </row>
    <row r="695" spans="2:15" x14ac:dyDescent="0.45">
      <c r="B695" s="3" t="s">
        <v>99</v>
      </c>
      <c r="C695" s="3" t="s">
        <v>33</v>
      </c>
      <c r="D695" s="4">
        <v>5.601710968450644E-2</v>
      </c>
      <c r="E695" s="3" t="s">
        <v>7</v>
      </c>
      <c r="G695" s="3" t="s">
        <v>100</v>
      </c>
      <c r="H695" s="3" t="s">
        <v>33</v>
      </c>
      <c r="I695" s="5">
        <v>1.2746917452244487E-2</v>
      </c>
      <c r="J695" s="3" t="s">
        <v>7</v>
      </c>
      <c r="L695" s="3" t="s">
        <v>101</v>
      </c>
      <c r="M695" s="3" t="s">
        <v>33</v>
      </c>
      <c r="N695" s="5">
        <v>1.2442977596320149E-2</v>
      </c>
      <c r="O695" s="3" t="s">
        <v>7</v>
      </c>
    </row>
    <row r="696" spans="2:15" x14ac:dyDescent="0.45">
      <c r="B696" s="6" t="s">
        <v>99</v>
      </c>
      <c r="C696" s="6" t="s">
        <v>34</v>
      </c>
      <c r="D696" s="7">
        <v>5.7779023494337091E-2</v>
      </c>
      <c r="E696" s="6" t="s">
        <v>7</v>
      </c>
      <c r="G696" s="6" t="s">
        <v>100</v>
      </c>
      <c r="H696" s="6" t="s">
        <v>34</v>
      </c>
      <c r="I696" s="8">
        <v>1.3767564360906015E-2</v>
      </c>
      <c r="J696" s="6" t="s">
        <v>7</v>
      </c>
      <c r="L696" s="6" t="s">
        <v>101</v>
      </c>
      <c r="M696" s="6" t="s">
        <v>34</v>
      </c>
      <c r="N696" s="8">
        <v>1.2861472866603328E-2</v>
      </c>
      <c r="O696" s="6" t="s">
        <v>7</v>
      </c>
    </row>
    <row r="697" spans="2:15" x14ac:dyDescent="0.45">
      <c r="B697" s="3" t="s">
        <v>99</v>
      </c>
      <c r="C697" s="3" t="s">
        <v>35</v>
      </c>
      <c r="D697" s="4">
        <v>4.6791659158969622E-2</v>
      </c>
      <c r="E697" s="3" t="s">
        <v>7</v>
      </c>
      <c r="G697" s="3" t="s">
        <v>100</v>
      </c>
      <c r="H697" s="3" t="s">
        <v>35</v>
      </c>
      <c r="I697" s="5">
        <v>1.4872066551959738E-2</v>
      </c>
      <c r="J697" s="3" t="s">
        <v>7</v>
      </c>
      <c r="L697" s="3" t="s">
        <v>101</v>
      </c>
      <c r="M697" s="3" t="s">
        <v>35</v>
      </c>
      <c r="N697" s="5">
        <v>1.314039935052461E-2</v>
      </c>
      <c r="O697" s="3" t="s">
        <v>7</v>
      </c>
    </row>
    <row r="698" spans="2:15" x14ac:dyDescent="0.45">
      <c r="B698" s="6" t="s">
        <v>99</v>
      </c>
      <c r="C698" s="6" t="s">
        <v>36</v>
      </c>
      <c r="D698" s="7">
        <v>2.3154947009819724E-2</v>
      </c>
      <c r="E698" s="6" t="s">
        <v>7</v>
      </c>
      <c r="G698" s="6" t="s">
        <v>100</v>
      </c>
      <c r="H698" s="6" t="s">
        <v>36</v>
      </c>
      <c r="I698" s="8">
        <v>1.5159629451257307E-2</v>
      </c>
      <c r="J698" s="6" t="s">
        <v>7</v>
      </c>
      <c r="L698" s="6" t="s">
        <v>101</v>
      </c>
      <c r="M698" s="6" t="s">
        <v>36</v>
      </c>
      <c r="N698" s="8">
        <v>1.3158831238959263E-2</v>
      </c>
      <c r="O698" s="6" t="s">
        <v>7</v>
      </c>
    </row>
    <row r="699" spans="2:15" x14ac:dyDescent="0.45">
      <c r="B699" s="3" t="s">
        <v>99</v>
      </c>
      <c r="C699" s="3" t="s">
        <v>37</v>
      </c>
      <c r="D699" s="4">
        <v>2.8227103619348302E-3</v>
      </c>
      <c r="E699" s="3" t="s">
        <v>7</v>
      </c>
      <c r="G699" s="3" t="s">
        <v>100</v>
      </c>
      <c r="H699" s="3" t="s">
        <v>37</v>
      </c>
      <c r="I699" s="5">
        <v>1.4916624725939194E-2</v>
      </c>
      <c r="J699" s="3" t="s">
        <v>7</v>
      </c>
      <c r="L699" s="3" t="s">
        <v>101</v>
      </c>
      <c r="M699" s="3" t="s">
        <v>37</v>
      </c>
      <c r="N699" s="5">
        <v>1.3203654478185028E-2</v>
      </c>
      <c r="O699" s="3" t="s">
        <v>7</v>
      </c>
    </row>
    <row r="700" spans="2:15" x14ac:dyDescent="0.45">
      <c r="B700" s="6" t="s">
        <v>99</v>
      </c>
      <c r="C700" s="6" t="s">
        <v>38</v>
      </c>
      <c r="D700" s="7">
        <v>0</v>
      </c>
      <c r="E700" s="6" t="s">
        <v>7</v>
      </c>
      <c r="G700" s="6" t="s">
        <v>100</v>
      </c>
      <c r="H700" s="6" t="s">
        <v>38</v>
      </c>
      <c r="I700" s="8">
        <v>2.1703465050279518E-2</v>
      </c>
      <c r="J700" s="6" t="s">
        <v>7</v>
      </c>
      <c r="L700" s="6" t="s">
        <v>101</v>
      </c>
      <c r="M700" s="6" t="s">
        <v>38</v>
      </c>
      <c r="N700" s="8">
        <v>1.9305975051240713E-2</v>
      </c>
      <c r="O700" s="6" t="s">
        <v>7</v>
      </c>
    </row>
    <row r="701" spans="2:15" x14ac:dyDescent="0.45">
      <c r="B701" s="3" t="s">
        <v>99</v>
      </c>
      <c r="C701" s="3" t="s">
        <v>39</v>
      </c>
      <c r="D701" s="4">
        <v>0</v>
      </c>
      <c r="E701" s="3" t="s">
        <v>7</v>
      </c>
      <c r="G701" s="3" t="s">
        <v>100</v>
      </c>
      <c r="H701" s="3" t="s">
        <v>39</v>
      </c>
      <c r="I701" s="5">
        <v>2.1052579718807845E-2</v>
      </c>
      <c r="J701" s="3" t="s">
        <v>7</v>
      </c>
      <c r="L701" s="3" t="s">
        <v>101</v>
      </c>
      <c r="M701" s="3" t="s">
        <v>39</v>
      </c>
      <c r="N701" s="5">
        <v>2.4672236211440768E-2</v>
      </c>
      <c r="O701" s="3" t="s">
        <v>7</v>
      </c>
    </row>
    <row r="702" spans="2:15" x14ac:dyDescent="0.45">
      <c r="B702" s="6" t="s">
        <v>99</v>
      </c>
      <c r="C702" s="6" t="s">
        <v>40</v>
      </c>
      <c r="D702" s="7">
        <v>6.844602762349092E-4</v>
      </c>
      <c r="E702" s="6" t="s">
        <v>7</v>
      </c>
      <c r="G702" s="6" t="s">
        <v>100</v>
      </c>
      <c r="H702" s="6" t="s">
        <v>40</v>
      </c>
      <c r="I702" s="8">
        <v>7.8810594795852961E-3</v>
      </c>
      <c r="J702" s="6" t="s">
        <v>7</v>
      </c>
      <c r="L702" s="6" t="s">
        <v>101</v>
      </c>
      <c r="M702" s="6" t="s">
        <v>40</v>
      </c>
      <c r="N702" s="8">
        <v>9.0723615903863537E-3</v>
      </c>
      <c r="O702" s="6" t="s">
        <v>7</v>
      </c>
    </row>
    <row r="703" spans="2:15" x14ac:dyDescent="0.45">
      <c r="B703" s="3" t="s">
        <v>99</v>
      </c>
      <c r="C703" s="3" t="s">
        <v>41</v>
      </c>
      <c r="D703" s="4">
        <v>1.3406548616059347E-2</v>
      </c>
      <c r="E703" s="3" t="s">
        <v>7</v>
      </c>
      <c r="G703" s="3" t="s">
        <v>100</v>
      </c>
      <c r="H703" s="3" t="s">
        <v>41</v>
      </c>
      <c r="I703" s="5">
        <v>7.9572726759899251E-3</v>
      </c>
      <c r="J703" s="3" t="s">
        <v>7</v>
      </c>
      <c r="L703" s="3" t="s">
        <v>101</v>
      </c>
      <c r="M703" s="3" t="s">
        <v>41</v>
      </c>
      <c r="N703" s="5">
        <v>8.8778023048722739E-3</v>
      </c>
      <c r="O703" s="3" t="s">
        <v>7</v>
      </c>
    </row>
    <row r="704" spans="2:15" x14ac:dyDescent="0.45">
      <c r="B704" s="6" t="s">
        <v>99</v>
      </c>
      <c r="C704" s="6" t="s">
        <v>42</v>
      </c>
      <c r="D704" s="7">
        <v>4.0288803995358044E-2</v>
      </c>
      <c r="E704" s="6" t="s">
        <v>7</v>
      </c>
      <c r="G704" s="6" t="s">
        <v>100</v>
      </c>
      <c r="H704" s="6" t="s">
        <v>42</v>
      </c>
      <c r="I704" s="8">
        <v>7.8783484315775101E-3</v>
      </c>
      <c r="J704" s="6" t="s">
        <v>7</v>
      </c>
      <c r="L704" s="6" t="s">
        <v>101</v>
      </c>
      <c r="M704" s="6" t="s">
        <v>42</v>
      </c>
      <c r="N704" s="8">
        <v>8.4341646788065622E-3</v>
      </c>
      <c r="O704" s="6" t="s">
        <v>7</v>
      </c>
    </row>
    <row r="705" spans="2:15" x14ac:dyDescent="0.45">
      <c r="B705" s="3" t="s">
        <v>99</v>
      </c>
      <c r="C705" s="3" t="s">
        <v>43</v>
      </c>
      <c r="D705" s="4">
        <v>5.8355587064563674E-2</v>
      </c>
      <c r="E705" s="3" t="s">
        <v>7</v>
      </c>
      <c r="G705" s="3" t="s">
        <v>100</v>
      </c>
      <c r="H705" s="3" t="s">
        <v>43</v>
      </c>
      <c r="I705" s="5">
        <v>7.9710557672433568E-3</v>
      </c>
      <c r="J705" s="3" t="s">
        <v>7</v>
      </c>
      <c r="L705" s="3" t="s">
        <v>101</v>
      </c>
      <c r="M705" s="3" t="s">
        <v>43</v>
      </c>
      <c r="N705" s="5">
        <v>7.9808774092315071E-3</v>
      </c>
      <c r="O705" s="3" t="s">
        <v>7</v>
      </c>
    </row>
    <row r="706" spans="2:15" x14ac:dyDescent="0.45">
      <c r="B706" s="6" t="s">
        <v>99</v>
      </c>
      <c r="C706" s="6" t="s">
        <v>44</v>
      </c>
      <c r="D706" s="7">
        <v>6.2134557707323956E-2</v>
      </c>
      <c r="E706" s="6" t="s">
        <v>7</v>
      </c>
      <c r="G706" s="6" t="s">
        <v>100</v>
      </c>
      <c r="H706" s="6" t="s">
        <v>44</v>
      </c>
      <c r="I706" s="8">
        <v>8.8114665759159161E-3</v>
      </c>
      <c r="J706" s="6" t="s">
        <v>7</v>
      </c>
      <c r="L706" s="6" t="s">
        <v>101</v>
      </c>
      <c r="M706" s="6" t="s">
        <v>44</v>
      </c>
      <c r="N706" s="8">
        <v>8.0343299969989589E-3</v>
      </c>
      <c r="O706" s="6" t="s">
        <v>7</v>
      </c>
    </row>
    <row r="707" spans="2:15" x14ac:dyDescent="0.45">
      <c r="B707" s="3" t="s">
        <v>99</v>
      </c>
      <c r="C707" s="3" t="s">
        <v>45</v>
      </c>
      <c r="D707" s="4">
        <v>4.9715902548753181E-2</v>
      </c>
      <c r="E707" s="3" t="s">
        <v>7</v>
      </c>
      <c r="G707" s="3" t="s">
        <v>100</v>
      </c>
      <c r="H707" s="3" t="s">
        <v>45</v>
      </c>
      <c r="I707" s="5">
        <v>9.4744876182920809E-3</v>
      </c>
      <c r="J707" s="3" t="s">
        <v>7</v>
      </c>
      <c r="L707" s="3" t="s">
        <v>101</v>
      </c>
      <c r="M707" s="3" t="s">
        <v>45</v>
      </c>
      <c r="N707" s="5">
        <v>8.0294270089132612E-3</v>
      </c>
      <c r="O707" s="3" t="s">
        <v>7</v>
      </c>
    </row>
    <row r="708" spans="2:15" x14ac:dyDescent="0.45">
      <c r="B708" s="6" t="s">
        <v>99</v>
      </c>
      <c r="C708" s="6" t="s">
        <v>46</v>
      </c>
      <c r="D708" s="7">
        <v>2.4470235566720771E-2</v>
      </c>
      <c r="E708" s="6" t="s">
        <v>7</v>
      </c>
      <c r="G708" s="6" t="s">
        <v>100</v>
      </c>
      <c r="H708" s="6" t="s">
        <v>46</v>
      </c>
      <c r="I708" s="8">
        <v>9.4842030075345252E-3</v>
      </c>
      <c r="J708" s="6" t="s">
        <v>7</v>
      </c>
      <c r="L708" s="6" t="s">
        <v>101</v>
      </c>
      <c r="M708" s="6" t="s">
        <v>46</v>
      </c>
      <c r="N708" s="8">
        <v>7.9756157125505829E-3</v>
      </c>
      <c r="O708" s="6" t="s">
        <v>7</v>
      </c>
    </row>
    <row r="709" spans="2:15" x14ac:dyDescent="0.45">
      <c r="B709" s="3" t="s">
        <v>99</v>
      </c>
      <c r="C709" s="3" t="s">
        <v>47</v>
      </c>
      <c r="D709" s="4">
        <v>2.4636757453456028E-3</v>
      </c>
      <c r="E709" s="3" t="s">
        <v>7</v>
      </c>
      <c r="G709" s="3" t="s">
        <v>100</v>
      </c>
      <c r="H709" s="3" t="s">
        <v>47</v>
      </c>
      <c r="I709" s="5">
        <v>8.7850196037869699E-3</v>
      </c>
      <c r="J709" s="3" t="s">
        <v>7</v>
      </c>
      <c r="L709" s="3" t="s">
        <v>101</v>
      </c>
      <c r="M709" s="3" t="s">
        <v>47</v>
      </c>
      <c r="N709" s="5">
        <v>8.3591713619726483E-3</v>
      </c>
      <c r="O709" s="3" t="s">
        <v>7</v>
      </c>
    </row>
    <row r="710" spans="2:15" x14ac:dyDescent="0.45">
      <c r="B710" s="6" t="s">
        <v>99</v>
      </c>
      <c r="C710" s="6" t="s">
        <v>48</v>
      </c>
      <c r="D710" s="7">
        <v>0</v>
      </c>
      <c r="E710" s="6" t="s">
        <v>7</v>
      </c>
      <c r="G710" s="6" t="s">
        <v>100</v>
      </c>
      <c r="H710" s="6" t="s">
        <v>48</v>
      </c>
      <c r="I710" s="8">
        <v>1.2401008952943163E-2</v>
      </c>
      <c r="J710" s="6" t="s">
        <v>7</v>
      </c>
      <c r="L710" s="6" t="s">
        <v>101</v>
      </c>
      <c r="M710" s="6" t="s">
        <v>48</v>
      </c>
      <c r="N710" s="8">
        <v>1.3791588341701546E-2</v>
      </c>
      <c r="O710" s="6" t="s">
        <v>7</v>
      </c>
    </row>
    <row r="711" spans="2:15" x14ac:dyDescent="0.45">
      <c r="B711" s="3" t="s">
        <v>99</v>
      </c>
      <c r="C711" s="3" t="s">
        <v>49</v>
      </c>
      <c r="D711" s="4">
        <v>0</v>
      </c>
      <c r="E711" s="3" t="s">
        <v>7</v>
      </c>
      <c r="G711" s="3" t="s">
        <v>100</v>
      </c>
      <c r="H711" s="3" t="s">
        <v>49</v>
      </c>
      <c r="I711" s="5">
        <v>3.4667235164405445E-2</v>
      </c>
      <c r="J711" s="3" t="s">
        <v>7</v>
      </c>
      <c r="L711" s="3" t="s">
        <v>101</v>
      </c>
      <c r="M711" s="3" t="s">
        <v>49</v>
      </c>
      <c r="N711" s="5">
        <v>3.976625679573622E-2</v>
      </c>
      <c r="O711" s="3" t="s">
        <v>7</v>
      </c>
    </row>
    <row r="712" spans="2:15" x14ac:dyDescent="0.45">
      <c r="B712" s="6" t="s">
        <v>99</v>
      </c>
      <c r="C712" s="6" t="s">
        <v>50</v>
      </c>
      <c r="D712" s="7">
        <v>0</v>
      </c>
      <c r="E712" s="6" t="s">
        <v>7</v>
      </c>
      <c r="G712" s="6" t="s">
        <v>100</v>
      </c>
      <c r="H712" s="6" t="s">
        <v>50</v>
      </c>
      <c r="I712" s="8">
        <v>1.3484756839402328E-2</v>
      </c>
      <c r="J712" s="6" t="s">
        <v>7</v>
      </c>
      <c r="L712" s="6" t="s">
        <v>101</v>
      </c>
      <c r="M712" s="6" t="s">
        <v>50</v>
      </c>
      <c r="N712" s="8">
        <v>1.5143550552056403E-2</v>
      </c>
      <c r="O712" s="6" t="s">
        <v>7</v>
      </c>
    </row>
    <row r="713" spans="2:15" x14ac:dyDescent="0.45">
      <c r="B713" s="3" t="s">
        <v>99</v>
      </c>
      <c r="C713" s="3" t="s">
        <v>51</v>
      </c>
      <c r="D713" s="4">
        <v>4.1026950274538638E-3</v>
      </c>
      <c r="E713" s="3" t="s">
        <v>7</v>
      </c>
      <c r="G713" s="3" t="s">
        <v>100</v>
      </c>
      <c r="H713" s="3" t="s">
        <v>51</v>
      </c>
      <c r="I713" s="5">
        <v>1.3465273144544657E-2</v>
      </c>
      <c r="J713" s="3" t="s">
        <v>7</v>
      </c>
      <c r="L713" s="3" t="s">
        <v>101</v>
      </c>
      <c r="M713" s="3" t="s">
        <v>51</v>
      </c>
      <c r="N713" s="5">
        <v>1.5438626067174655E-2</v>
      </c>
      <c r="O713" s="3" t="s">
        <v>7</v>
      </c>
    </row>
    <row r="714" spans="2:15" x14ac:dyDescent="0.45">
      <c r="B714" s="6" t="s">
        <v>99</v>
      </c>
      <c r="C714" s="6" t="s">
        <v>52</v>
      </c>
      <c r="D714" s="7">
        <v>2.30776515819466E-2</v>
      </c>
      <c r="E714" s="6" t="s">
        <v>7</v>
      </c>
      <c r="G714" s="6" t="s">
        <v>100</v>
      </c>
      <c r="H714" s="6" t="s">
        <v>52</v>
      </c>
      <c r="I714" s="8">
        <v>1.3978297156556491E-2</v>
      </c>
      <c r="J714" s="6" t="s">
        <v>7</v>
      </c>
      <c r="L714" s="6" t="s">
        <v>101</v>
      </c>
      <c r="M714" s="6" t="s">
        <v>52</v>
      </c>
      <c r="N714" s="8">
        <v>1.5510398369425518E-2</v>
      </c>
      <c r="O714" s="6" t="s">
        <v>7</v>
      </c>
    </row>
    <row r="715" spans="2:15" x14ac:dyDescent="0.45">
      <c r="B715" s="3" t="s">
        <v>99</v>
      </c>
      <c r="C715" s="3" t="s">
        <v>53</v>
      </c>
      <c r="D715" s="4">
        <v>3.8228590310609448E-2</v>
      </c>
      <c r="E715" s="3" t="s">
        <v>7</v>
      </c>
      <c r="G715" s="3" t="s">
        <v>100</v>
      </c>
      <c r="H715" s="3" t="s">
        <v>53</v>
      </c>
      <c r="I715" s="5">
        <v>1.4413301933772465E-2</v>
      </c>
      <c r="J715" s="3" t="s">
        <v>7</v>
      </c>
      <c r="L715" s="3" t="s">
        <v>101</v>
      </c>
      <c r="M715" s="3" t="s">
        <v>53</v>
      </c>
      <c r="N715" s="5">
        <v>1.5595113394369328E-2</v>
      </c>
      <c r="O715" s="3" t="s">
        <v>7</v>
      </c>
    </row>
    <row r="716" spans="2:15" x14ac:dyDescent="0.45">
      <c r="B716" s="6" t="s">
        <v>99</v>
      </c>
      <c r="C716" s="6" t="s">
        <v>54</v>
      </c>
      <c r="D716" s="7">
        <v>4.1049319881833871E-2</v>
      </c>
      <c r="E716" s="6" t="s">
        <v>7</v>
      </c>
      <c r="G716" s="6" t="s">
        <v>100</v>
      </c>
      <c r="H716" s="6" t="s">
        <v>54</v>
      </c>
      <c r="I716" s="8">
        <v>1.5331785822012379E-2</v>
      </c>
      <c r="J716" s="6" t="s">
        <v>7</v>
      </c>
      <c r="L716" s="6" t="s">
        <v>101</v>
      </c>
      <c r="M716" s="6" t="s">
        <v>54</v>
      </c>
      <c r="N716" s="8">
        <v>1.5816628789046116E-2</v>
      </c>
      <c r="O716" s="6" t="s">
        <v>7</v>
      </c>
    </row>
    <row r="717" spans="2:15" x14ac:dyDescent="0.45">
      <c r="B717" s="3" t="s">
        <v>99</v>
      </c>
      <c r="C717" s="3" t="s">
        <v>55</v>
      </c>
      <c r="D717" s="4">
        <v>2.79570875269252E-2</v>
      </c>
      <c r="E717" s="3" t="s">
        <v>7</v>
      </c>
      <c r="G717" s="3" t="s">
        <v>100</v>
      </c>
      <c r="H717" s="3" t="s">
        <v>55</v>
      </c>
      <c r="I717" s="5">
        <v>1.581468464379028E-2</v>
      </c>
      <c r="J717" s="3" t="s">
        <v>7</v>
      </c>
      <c r="L717" s="3" t="s">
        <v>101</v>
      </c>
      <c r="M717" s="3" t="s">
        <v>55</v>
      </c>
      <c r="N717" s="5">
        <v>1.5833771869121743E-2</v>
      </c>
      <c r="O717" s="3" t="s">
        <v>7</v>
      </c>
    </row>
    <row r="718" spans="2:15" x14ac:dyDescent="0.45">
      <c r="B718" s="6" t="s">
        <v>99</v>
      </c>
      <c r="C718" s="6" t="s">
        <v>56</v>
      </c>
      <c r="D718" s="7">
        <v>7.3493281778621257E-3</v>
      </c>
      <c r="E718" s="6" t="s">
        <v>7</v>
      </c>
      <c r="G718" s="6" t="s">
        <v>100</v>
      </c>
      <c r="H718" s="6" t="s">
        <v>56</v>
      </c>
      <c r="I718" s="8">
        <v>1.5478032089579033E-2</v>
      </c>
      <c r="J718" s="6" t="s">
        <v>7</v>
      </c>
      <c r="L718" s="6" t="s">
        <v>101</v>
      </c>
      <c r="M718" s="6" t="s">
        <v>56</v>
      </c>
      <c r="N718" s="8">
        <v>1.5864079719644181E-2</v>
      </c>
      <c r="O718" s="6" t="s">
        <v>7</v>
      </c>
    </row>
    <row r="719" spans="2:15" x14ac:dyDescent="0.45">
      <c r="B719" s="3" t="s">
        <v>99</v>
      </c>
      <c r="C719" s="3" t="s">
        <v>57</v>
      </c>
      <c r="D719" s="4">
        <v>3.6745454806620046E-5</v>
      </c>
      <c r="E719" s="3" t="s">
        <v>7</v>
      </c>
      <c r="G719" s="3" t="s">
        <v>100</v>
      </c>
      <c r="H719" s="3" t="s">
        <v>57</v>
      </c>
      <c r="I719" s="5">
        <v>1.4839659980210832E-2</v>
      </c>
      <c r="J719" s="3" t="s">
        <v>7</v>
      </c>
      <c r="L719" s="3" t="s">
        <v>101</v>
      </c>
      <c r="M719" s="3" t="s">
        <v>57</v>
      </c>
      <c r="N719" s="5">
        <v>1.5974203656101332E-2</v>
      </c>
      <c r="O719" s="3" t="s">
        <v>7</v>
      </c>
    </row>
    <row r="720" spans="2:15" x14ac:dyDescent="0.45">
      <c r="B720" s="6" t="s">
        <v>99</v>
      </c>
      <c r="C720" s="6" t="s">
        <v>58</v>
      </c>
      <c r="D720" s="7">
        <v>0</v>
      </c>
      <c r="E720" s="6" t="s">
        <v>7</v>
      </c>
      <c r="G720" s="6" t="s">
        <v>100</v>
      </c>
      <c r="H720" s="6" t="s">
        <v>58</v>
      </c>
      <c r="I720" s="8">
        <v>2.1318317075852355E-2</v>
      </c>
      <c r="J720" s="6" t="s">
        <v>7</v>
      </c>
      <c r="L720" s="6" t="s">
        <v>101</v>
      </c>
      <c r="M720" s="6" t="s">
        <v>58</v>
      </c>
      <c r="N720" s="8">
        <v>2.4092013183747041E-2</v>
      </c>
      <c r="O720" s="6" t="s">
        <v>7</v>
      </c>
    </row>
    <row r="721" spans="2:15" x14ac:dyDescent="0.45">
      <c r="B721" s="3" t="s">
        <v>99</v>
      </c>
      <c r="C721" s="3" t="s">
        <v>59</v>
      </c>
      <c r="D721" s="4">
        <v>0</v>
      </c>
      <c r="E721" s="3" t="s">
        <v>7</v>
      </c>
      <c r="G721" s="3" t="s">
        <v>100</v>
      </c>
      <c r="H721" s="3" t="s">
        <v>59</v>
      </c>
      <c r="I721" s="5">
        <v>3.931188387322123E-2</v>
      </c>
      <c r="J721" s="3" t="s">
        <v>7</v>
      </c>
      <c r="L721" s="3" t="s">
        <v>101</v>
      </c>
      <c r="M721" s="3" t="s">
        <v>59</v>
      </c>
      <c r="N721" s="5">
        <v>4.3240911784120865E-2</v>
      </c>
      <c r="O721" s="3" t="s">
        <v>7</v>
      </c>
    </row>
    <row r="722" spans="2:15" x14ac:dyDescent="0.45">
      <c r="B722" s="6" t="s">
        <v>99</v>
      </c>
      <c r="C722" s="6" t="s">
        <v>60</v>
      </c>
      <c r="D722" s="7">
        <v>0</v>
      </c>
      <c r="E722" s="6" t="s">
        <v>7</v>
      </c>
      <c r="G722" s="6" t="s">
        <v>100</v>
      </c>
      <c r="H722" s="6" t="s">
        <v>60</v>
      </c>
      <c r="I722" s="8">
        <v>1.5851473669294448E-2</v>
      </c>
      <c r="J722" s="6" t="s">
        <v>7</v>
      </c>
      <c r="L722" s="6" t="s">
        <v>101</v>
      </c>
      <c r="M722" s="6" t="s">
        <v>60</v>
      </c>
      <c r="N722" s="8">
        <v>1.7663861939980791E-2</v>
      </c>
      <c r="O722" s="6" t="s">
        <v>7</v>
      </c>
    </row>
    <row r="723" spans="2:15" x14ac:dyDescent="0.45">
      <c r="B723" s="3" t="s">
        <v>99</v>
      </c>
      <c r="C723" s="3" t="s">
        <v>61</v>
      </c>
      <c r="D723" s="4">
        <v>1.4253533945440041E-4</v>
      </c>
      <c r="E723" s="3" t="s">
        <v>7</v>
      </c>
      <c r="G723" s="3" t="s">
        <v>100</v>
      </c>
      <c r="H723" s="3" t="s">
        <v>61</v>
      </c>
      <c r="I723" s="5">
        <v>1.607153921377389E-2</v>
      </c>
      <c r="J723" s="3" t="s">
        <v>7</v>
      </c>
      <c r="L723" s="3" t="s">
        <v>101</v>
      </c>
      <c r="M723" s="3" t="s">
        <v>61</v>
      </c>
      <c r="N723" s="5">
        <v>1.7489122714762877E-2</v>
      </c>
      <c r="O723" s="3" t="s">
        <v>7</v>
      </c>
    </row>
    <row r="724" spans="2:15" x14ac:dyDescent="0.45">
      <c r="B724" s="6" t="s">
        <v>99</v>
      </c>
      <c r="C724" s="6" t="s">
        <v>62</v>
      </c>
      <c r="D724" s="7">
        <v>1.0958053849175498E-2</v>
      </c>
      <c r="E724" s="6" t="s">
        <v>7</v>
      </c>
      <c r="G724" s="6" t="s">
        <v>100</v>
      </c>
      <c r="H724" s="6" t="s">
        <v>62</v>
      </c>
      <c r="I724" s="8">
        <v>1.5211073977655171E-2</v>
      </c>
      <c r="J724" s="6" t="s">
        <v>7</v>
      </c>
      <c r="L724" s="6" t="s">
        <v>101</v>
      </c>
      <c r="M724" s="6" t="s">
        <v>62</v>
      </c>
      <c r="N724" s="8">
        <v>1.724281697024891E-2</v>
      </c>
      <c r="O724" s="6" t="s">
        <v>7</v>
      </c>
    </row>
    <row r="725" spans="2:15" x14ac:dyDescent="0.45">
      <c r="B725" s="3" t="s">
        <v>99</v>
      </c>
      <c r="C725" s="3" t="s">
        <v>63</v>
      </c>
      <c r="D725" s="4">
        <v>2.7695535634444005E-2</v>
      </c>
      <c r="E725" s="3" t="s">
        <v>7</v>
      </c>
      <c r="G725" s="3" t="s">
        <v>100</v>
      </c>
      <c r="H725" s="3" t="s">
        <v>63</v>
      </c>
      <c r="I725" s="5">
        <v>1.5210803131426448E-2</v>
      </c>
      <c r="J725" s="3" t="s">
        <v>7</v>
      </c>
      <c r="L725" s="3" t="s">
        <v>101</v>
      </c>
      <c r="M725" s="3" t="s">
        <v>63</v>
      </c>
      <c r="N725" s="5">
        <v>1.7334669755279756E-2</v>
      </c>
      <c r="O725" s="3" t="s">
        <v>7</v>
      </c>
    </row>
    <row r="726" spans="2:15" x14ac:dyDescent="0.45">
      <c r="B726" s="6" t="s">
        <v>99</v>
      </c>
      <c r="C726" s="6" t="s">
        <v>64</v>
      </c>
      <c r="D726" s="7">
        <v>2.868152557924275E-2</v>
      </c>
      <c r="E726" s="6" t="s">
        <v>7</v>
      </c>
      <c r="G726" s="6" t="s">
        <v>100</v>
      </c>
      <c r="H726" s="6" t="s">
        <v>64</v>
      </c>
      <c r="I726" s="8">
        <v>1.5625223393505153E-2</v>
      </c>
      <c r="J726" s="6" t="s">
        <v>7</v>
      </c>
      <c r="L726" s="6" t="s">
        <v>101</v>
      </c>
      <c r="M726" s="6" t="s">
        <v>64</v>
      </c>
      <c r="N726" s="8">
        <v>1.7091326612847509E-2</v>
      </c>
      <c r="O726" s="6" t="s">
        <v>7</v>
      </c>
    </row>
    <row r="727" spans="2:15" x14ac:dyDescent="0.45">
      <c r="B727" s="3" t="s">
        <v>99</v>
      </c>
      <c r="C727" s="3" t="s">
        <v>65</v>
      </c>
      <c r="D727" s="4">
        <v>1.3181603238758593E-2</v>
      </c>
      <c r="E727" s="3" t="s">
        <v>7</v>
      </c>
      <c r="G727" s="3" t="s">
        <v>100</v>
      </c>
      <c r="H727" s="3" t="s">
        <v>65</v>
      </c>
      <c r="I727" s="5">
        <v>1.5364900350704116E-2</v>
      </c>
      <c r="J727" s="3" t="s">
        <v>7</v>
      </c>
      <c r="L727" s="3" t="s">
        <v>101</v>
      </c>
      <c r="M727" s="3" t="s">
        <v>65</v>
      </c>
      <c r="N727" s="5">
        <v>1.6986298668404867E-2</v>
      </c>
      <c r="O727" s="3" t="s">
        <v>7</v>
      </c>
    </row>
    <row r="728" spans="2:15" x14ac:dyDescent="0.45">
      <c r="B728" s="6" t="s">
        <v>99</v>
      </c>
      <c r="C728" s="6" t="s">
        <v>66</v>
      </c>
      <c r="D728" s="7">
        <v>1.2094826985241303E-4</v>
      </c>
      <c r="E728" s="6" t="s">
        <v>7</v>
      </c>
      <c r="G728" s="6" t="s">
        <v>100</v>
      </c>
      <c r="H728" s="6" t="s">
        <v>66</v>
      </c>
      <c r="I728" s="8">
        <v>1.5804129107119008E-2</v>
      </c>
      <c r="J728" s="6" t="s">
        <v>7</v>
      </c>
      <c r="L728" s="6" t="s">
        <v>101</v>
      </c>
      <c r="M728" s="6" t="s">
        <v>66</v>
      </c>
      <c r="N728" s="8">
        <v>1.6989935298696413E-2</v>
      </c>
      <c r="O728" s="6" t="s">
        <v>7</v>
      </c>
    </row>
    <row r="729" spans="2:15" x14ac:dyDescent="0.45">
      <c r="B729" s="3" t="s">
        <v>99</v>
      </c>
      <c r="C729" s="3" t="s">
        <v>67</v>
      </c>
      <c r="D729" s="4">
        <v>0</v>
      </c>
      <c r="E729" s="3" t="s">
        <v>7</v>
      </c>
      <c r="G729" s="3" t="s">
        <v>100</v>
      </c>
      <c r="H729" s="3" t="s">
        <v>67</v>
      </c>
      <c r="I729" s="5">
        <v>1.5812476893561505E-2</v>
      </c>
      <c r="J729" s="3" t="s">
        <v>7</v>
      </c>
      <c r="L729" s="3" t="s">
        <v>101</v>
      </c>
      <c r="M729" s="3" t="s">
        <v>67</v>
      </c>
      <c r="N729" s="5">
        <v>1.7231288647193227E-2</v>
      </c>
      <c r="O729" s="3" t="s">
        <v>7</v>
      </c>
    </row>
    <row r="730" spans="2:15" x14ac:dyDescent="0.45">
      <c r="B730" s="6" t="s">
        <v>99</v>
      </c>
      <c r="C730" s="6" t="s">
        <v>68</v>
      </c>
      <c r="D730" s="7">
        <v>0</v>
      </c>
      <c r="E730" s="6" t="s">
        <v>7</v>
      </c>
      <c r="G730" s="6" t="s">
        <v>100</v>
      </c>
      <c r="H730" s="6" t="s">
        <v>68</v>
      </c>
      <c r="I730" s="8">
        <v>2.321181531029497E-2</v>
      </c>
      <c r="J730" s="6" t="s">
        <v>7</v>
      </c>
      <c r="L730" s="6" t="s">
        <v>101</v>
      </c>
      <c r="M730" s="6" t="s">
        <v>68</v>
      </c>
      <c r="N730" s="8">
        <v>2.5789828606975339E-2</v>
      </c>
      <c r="O730" s="6" t="s">
        <v>7</v>
      </c>
    </row>
    <row r="731" spans="2:15" x14ac:dyDescent="0.45">
      <c r="B731" s="3" t="s">
        <v>102</v>
      </c>
      <c r="C731" s="3" t="s">
        <v>6</v>
      </c>
      <c r="D731" s="4">
        <v>0</v>
      </c>
      <c r="E731" s="3" t="s">
        <v>7</v>
      </c>
      <c r="G731" s="3" t="s">
        <v>103</v>
      </c>
      <c r="H731" s="3" t="s">
        <v>6</v>
      </c>
      <c r="I731" s="5">
        <v>3.6367535752140828E-2</v>
      </c>
      <c r="J731" s="3" t="s">
        <v>7</v>
      </c>
      <c r="L731" s="3" t="s">
        <v>104</v>
      </c>
      <c r="M731" s="3" t="s">
        <v>6</v>
      </c>
      <c r="N731" s="5">
        <v>3.8934617617069213E-2</v>
      </c>
      <c r="O731" s="3" t="s">
        <v>7</v>
      </c>
    </row>
    <row r="732" spans="2:15" x14ac:dyDescent="0.45">
      <c r="B732" s="6" t="s">
        <v>102</v>
      </c>
      <c r="C732" s="6" t="s">
        <v>10</v>
      </c>
      <c r="D732" s="7">
        <v>0</v>
      </c>
      <c r="E732" s="6" t="s">
        <v>7</v>
      </c>
      <c r="G732" s="6" t="s">
        <v>103</v>
      </c>
      <c r="H732" s="6" t="s">
        <v>10</v>
      </c>
      <c r="I732" s="8">
        <v>1.3760005414156687E-2</v>
      </c>
      <c r="J732" s="6" t="s">
        <v>7</v>
      </c>
      <c r="L732" s="6" t="s">
        <v>104</v>
      </c>
      <c r="M732" s="6" t="s">
        <v>10</v>
      </c>
      <c r="N732" s="8">
        <v>1.5173088691803654E-2</v>
      </c>
      <c r="O732" s="6" t="s">
        <v>7</v>
      </c>
    </row>
    <row r="733" spans="2:15" x14ac:dyDescent="0.45">
      <c r="B733" s="3" t="s">
        <v>102</v>
      </c>
      <c r="C733" s="3" t="s">
        <v>11</v>
      </c>
      <c r="D733" s="4">
        <v>2.1457448301370462E-4</v>
      </c>
      <c r="E733" s="3" t="s">
        <v>7</v>
      </c>
      <c r="G733" s="3" t="s">
        <v>103</v>
      </c>
      <c r="H733" s="3" t="s">
        <v>11</v>
      </c>
      <c r="I733" s="5">
        <v>1.4133539121462002E-2</v>
      </c>
      <c r="J733" s="3" t="s">
        <v>7</v>
      </c>
      <c r="L733" s="3" t="s">
        <v>104</v>
      </c>
      <c r="M733" s="3" t="s">
        <v>11</v>
      </c>
      <c r="N733" s="5">
        <v>1.5067427723958424E-2</v>
      </c>
      <c r="O733" s="3" t="s">
        <v>7</v>
      </c>
    </row>
    <row r="734" spans="2:15" x14ac:dyDescent="0.45">
      <c r="B734" s="6" t="s">
        <v>102</v>
      </c>
      <c r="C734" s="6" t="s">
        <v>12</v>
      </c>
      <c r="D734" s="7">
        <v>1.1556279431088924E-2</v>
      </c>
      <c r="E734" s="6" t="s">
        <v>7</v>
      </c>
      <c r="G734" s="6" t="s">
        <v>103</v>
      </c>
      <c r="H734" s="6" t="s">
        <v>12</v>
      </c>
      <c r="I734" s="8">
        <v>1.4190320349193123E-2</v>
      </c>
      <c r="J734" s="6" t="s">
        <v>7</v>
      </c>
      <c r="L734" s="6" t="s">
        <v>104</v>
      </c>
      <c r="M734" s="6" t="s">
        <v>12</v>
      </c>
      <c r="N734" s="8">
        <v>1.4906178377517103E-2</v>
      </c>
      <c r="O734" s="6" t="s">
        <v>7</v>
      </c>
    </row>
    <row r="735" spans="2:15" x14ac:dyDescent="0.45">
      <c r="B735" s="3" t="s">
        <v>102</v>
      </c>
      <c r="C735" s="3" t="s">
        <v>13</v>
      </c>
      <c r="D735" s="4">
        <v>2.8281017380450323E-2</v>
      </c>
      <c r="E735" s="3" t="s">
        <v>7</v>
      </c>
      <c r="G735" s="3" t="s">
        <v>103</v>
      </c>
      <c r="H735" s="3" t="s">
        <v>13</v>
      </c>
      <c r="I735" s="5">
        <v>1.4896560674976966E-2</v>
      </c>
      <c r="J735" s="3" t="s">
        <v>7</v>
      </c>
      <c r="L735" s="3" t="s">
        <v>104</v>
      </c>
      <c r="M735" s="3" t="s">
        <v>13</v>
      </c>
      <c r="N735" s="5">
        <v>1.5052872964662097E-2</v>
      </c>
      <c r="O735" s="3" t="s">
        <v>7</v>
      </c>
    </row>
    <row r="736" spans="2:15" x14ac:dyDescent="0.45">
      <c r="B736" s="6" t="s">
        <v>102</v>
      </c>
      <c r="C736" s="6" t="s">
        <v>14</v>
      </c>
      <c r="D736" s="7">
        <v>3.069358291451962E-2</v>
      </c>
      <c r="E736" s="6" t="s">
        <v>7</v>
      </c>
      <c r="G736" s="6" t="s">
        <v>103</v>
      </c>
      <c r="H736" s="6" t="s">
        <v>14</v>
      </c>
      <c r="I736" s="8">
        <v>1.5182377903062816E-2</v>
      </c>
      <c r="J736" s="6" t="s">
        <v>7</v>
      </c>
      <c r="L736" s="6" t="s">
        <v>104</v>
      </c>
      <c r="M736" s="6" t="s">
        <v>14</v>
      </c>
      <c r="N736" s="8">
        <v>1.5266202730589718E-2</v>
      </c>
      <c r="O736" s="6" t="s">
        <v>7</v>
      </c>
    </row>
    <row r="737" spans="2:15" x14ac:dyDescent="0.45">
      <c r="B737" s="3" t="s">
        <v>102</v>
      </c>
      <c r="C737" s="3" t="s">
        <v>15</v>
      </c>
      <c r="D737" s="4">
        <v>1.8961520225153013E-2</v>
      </c>
      <c r="E737" s="3" t="s">
        <v>7</v>
      </c>
      <c r="G737" s="3" t="s">
        <v>103</v>
      </c>
      <c r="H737" s="3" t="s">
        <v>15</v>
      </c>
      <c r="I737" s="5">
        <v>1.4917883291174897E-2</v>
      </c>
      <c r="J737" s="3" t="s">
        <v>7</v>
      </c>
      <c r="L737" s="3" t="s">
        <v>104</v>
      </c>
      <c r="M737" s="3" t="s">
        <v>15</v>
      </c>
      <c r="N737" s="5">
        <v>1.5301379633334774E-2</v>
      </c>
      <c r="O737" s="3" t="s">
        <v>7</v>
      </c>
    </row>
    <row r="738" spans="2:15" x14ac:dyDescent="0.45">
      <c r="B738" s="6" t="s">
        <v>102</v>
      </c>
      <c r="C738" s="6" t="s">
        <v>16</v>
      </c>
      <c r="D738" s="7">
        <v>2.7942863924893435E-3</v>
      </c>
      <c r="E738" s="6" t="s">
        <v>7</v>
      </c>
      <c r="G738" s="6" t="s">
        <v>103</v>
      </c>
      <c r="H738" s="6" t="s">
        <v>16</v>
      </c>
      <c r="I738" s="8">
        <v>1.4731384865422973E-2</v>
      </c>
      <c r="J738" s="6" t="s">
        <v>7</v>
      </c>
      <c r="L738" s="6" t="s">
        <v>104</v>
      </c>
      <c r="M738" s="6" t="s">
        <v>16</v>
      </c>
      <c r="N738" s="8">
        <v>1.5386042093064708E-2</v>
      </c>
      <c r="O738" s="6" t="s">
        <v>7</v>
      </c>
    </row>
    <row r="739" spans="2:15" x14ac:dyDescent="0.45">
      <c r="B739" s="3" t="s">
        <v>102</v>
      </c>
      <c r="C739" s="3" t="s">
        <v>17</v>
      </c>
      <c r="D739" s="4">
        <v>0</v>
      </c>
      <c r="E739" s="3" t="s">
        <v>7</v>
      </c>
      <c r="G739" s="3" t="s">
        <v>103</v>
      </c>
      <c r="H739" s="3" t="s">
        <v>17</v>
      </c>
      <c r="I739" s="5">
        <v>1.5137229747062886E-2</v>
      </c>
      <c r="J739" s="3" t="s">
        <v>7</v>
      </c>
      <c r="L739" s="3" t="s">
        <v>104</v>
      </c>
      <c r="M739" s="3" t="s">
        <v>17</v>
      </c>
      <c r="N739" s="5">
        <v>1.5605660503023214E-2</v>
      </c>
      <c r="O739" s="3" t="s">
        <v>7</v>
      </c>
    </row>
    <row r="740" spans="2:15" x14ac:dyDescent="0.45">
      <c r="B740" s="6" t="s">
        <v>102</v>
      </c>
      <c r="C740" s="6" t="s">
        <v>18</v>
      </c>
      <c r="D740" s="7">
        <v>0</v>
      </c>
      <c r="E740" s="6" t="s">
        <v>7</v>
      </c>
      <c r="G740" s="6" t="s">
        <v>103</v>
      </c>
      <c r="H740" s="6" t="s">
        <v>18</v>
      </c>
      <c r="I740" s="8">
        <v>2.248825812319772E-2</v>
      </c>
      <c r="J740" s="6" t="s">
        <v>7</v>
      </c>
      <c r="L740" s="6" t="s">
        <v>104</v>
      </c>
      <c r="M740" s="6" t="s">
        <v>18</v>
      </c>
      <c r="N740" s="8">
        <v>2.3213649720257037E-2</v>
      </c>
      <c r="O740" s="6" t="s">
        <v>7</v>
      </c>
    </row>
    <row r="741" spans="2:15" x14ac:dyDescent="0.45">
      <c r="B741" s="3" t="s">
        <v>102</v>
      </c>
      <c r="C741" s="3" t="s">
        <v>19</v>
      </c>
      <c r="D741" s="4">
        <v>0</v>
      </c>
      <c r="E741" s="3" t="s">
        <v>7</v>
      </c>
      <c r="G741" s="3" t="s">
        <v>103</v>
      </c>
      <c r="H741" s="3" t="s">
        <v>19</v>
      </c>
      <c r="I741" s="5">
        <v>3.4177429850857782E-2</v>
      </c>
      <c r="J741" s="3" t="s">
        <v>7</v>
      </c>
      <c r="L741" s="3" t="s">
        <v>104</v>
      </c>
      <c r="M741" s="3" t="s">
        <v>19</v>
      </c>
      <c r="N741" s="5">
        <v>3.3115263467136967E-2</v>
      </c>
      <c r="O741" s="3" t="s">
        <v>7</v>
      </c>
    </row>
    <row r="742" spans="2:15" x14ac:dyDescent="0.45">
      <c r="B742" s="6" t="s">
        <v>102</v>
      </c>
      <c r="C742" s="6" t="s">
        <v>20</v>
      </c>
      <c r="D742" s="7">
        <v>8.1356012621079405E-5</v>
      </c>
      <c r="E742" s="6" t="s">
        <v>7</v>
      </c>
      <c r="G742" s="6" t="s">
        <v>103</v>
      </c>
      <c r="H742" s="6" t="s">
        <v>20</v>
      </c>
      <c r="I742" s="8">
        <v>1.4132634119074037E-2</v>
      </c>
      <c r="J742" s="6" t="s">
        <v>7</v>
      </c>
      <c r="L742" s="6" t="s">
        <v>104</v>
      </c>
      <c r="M742" s="6" t="s">
        <v>20</v>
      </c>
      <c r="N742" s="8">
        <v>1.2736127438996037E-2</v>
      </c>
      <c r="O742" s="6" t="s">
        <v>7</v>
      </c>
    </row>
    <row r="743" spans="2:15" x14ac:dyDescent="0.45">
      <c r="B743" s="3" t="s">
        <v>102</v>
      </c>
      <c r="C743" s="3" t="s">
        <v>21</v>
      </c>
      <c r="D743" s="4">
        <v>9.3917115020902189E-3</v>
      </c>
      <c r="E743" s="3" t="s">
        <v>7</v>
      </c>
      <c r="G743" s="3" t="s">
        <v>103</v>
      </c>
      <c r="H743" s="3" t="s">
        <v>21</v>
      </c>
      <c r="I743" s="5">
        <v>1.4960874514712416E-2</v>
      </c>
      <c r="J743" s="3" t="s">
        <v>7</v>
      </c>
      <c r="L743" s="3" t="s">
        <v>104</v>
      </c>
      <c r="M743" s="3" t="s">
        <v>21</v>
      </c>
      <c r="N743" s="5">
        <v>1.2775938024351343E-2</v>
      </c>
      <c r="O743" s="3" t="s">
        <v>7</v>
      </c>
    </row>
    <row r="744" spans="2:15" x14ac:dyDescent="0.45">
      <c r="B744" s="6" t="s">
        <v>102</v>
      </c>
      <c r="C744" s="6" t="s">
        <v>22</v>
      </c>
      <c r="D744" s="7">
        <v>3.5831741894336744E-2</v>
      </c>
      <c r="E744" s="6" t="s">
        <v>7</v>
      </c>
      <c r="G744" s="6" t="s">
        <v>103</v>
      </c>
      <c r="H744" s="6" t="s">
        <v>22</v>
      </c>
      <c r="I744" s="8">
        <v>1.6559479504195992E-2</v>
      </c>
      <c r="J744" s="6" t="s">
        <v>7</v>
      </c>
      <c r="L744" s="6" t="s">
        <v>104</v>
      </c>
      <c r="M744" s="6" t="s">
        <v>22</v>
      </c>
      <c r="N744" s="8">
        <v>1.3016769599460791E-2</v>
      </c>
      <c r="O744" s="6" t="s">
        <v>7</v>
      </c>
    </row>
    <row r="745" spans="2:15" x14ac:dyDescent="0.45">
      <c r="B745" s="3" t="s">
        <v>102</v>
      </c>
      <c r="C745" s="3" t="s">
        <v>23</v>
      </c>
      <c r="D745" s="4">
        <v>5.0386703565084588E-2</v>
      </c>
      <c r="E745" s="3" t="s">
        <v>7</v>
      </c>
      <c r="G745" s="3" t="s">
        <v>103</v>
      </c>
      <c r="H745" s="3" t="s">
        <v>23</v>
      </c>
      <c r="I745" s="5">
        <v>1.7163712791408631E-2</v>
      </c>
      <c r="J745" s="3" t="s">
        <v>7</v>
      </c>
      <c r="L745" s="3" t="s">
        <v>104</v>
      </c>
      <c r="M745" s="3" t="s">
        <v>23</v>
      </c>
      <c r="N745" s="5">
        <v>1.3275847375824528E-2</v>
      </c>
      <c r="O745" s="3" t="s">
        <v>7</v>
      </c>
    </row>
    <row r="746" spans="2:15" x14ac:dyDescent="0.45">
      <c r="B746" s="6" t="s">
        <v>102</v>
      </c>
      <c r="C746" s="6" t="s">
        <v>24</v>
      </c>
      <c r="D746" s="7">
        <v>5.0768035183130472E-2</v>
      </c>
      <c r="E746" s="6" t="s">
        <v>7</v>
      </c>
      <c r="G746" s="6" t="s">
        <v>103</v>
      </c>
      <c r="H746" s="6" t="s">
        <v>24</v>
      </c>
      <c r="I746" s="8">
        <v>1.7021835796495431E-2</v>
      </c>
      <c r="J746" s="6" t="s">
        <v>7</v>
      </c>
      <c r="L746" s="6" t="s">
        <v>104</v>
      </c>
      <c r="M746" s="6" t="s">
        <v>24</v>
      </c>
      <c r="N746" s="8">
        <v>1.3496699679138505E-2</v>
      </c>
      <c r="O746" s="6" t="s">
        <v>7</v>
      </c>
    </row>
    <row r="747" spans="2:15" x14ac:dyDescent="0.45">
      <c r="B747" s="3" t="s">
        <v>102</v>
      </c>
      <c r="C747" s="3" t="s">
        <v>25</v>
      </c>
      <c r="D747" s="4">
        <v>3.8327054467517538E-2</v>
      </c>
      <c r="E747" s="3" t="s">
        <v>7</v>
      </c>
      <c r="G747" s="3" t="s">
        <v>103</v>
      </c>
      <c r="H747" s="3" t="s">
        <v>25</v>
      </c>
      <c r="I747" s="5">
        <v>1.6330403480520221E-2</v>
      </c>
      <c r="J747" s="3" t="s">
        <v>7</v>
      </c>
      <c r="L747" s="3" t="s">
        <v>104</v>
      </c>
      <c r="M747" s="3" t="s">
        <v>25</v>
      </c>
      <c r="N747" s="5">
        <v>1.3598262778876897E-2</v>
      </c>
      <c r="O747" s="3" t="s">
        <v>7</v>
      </c>
    </row>
    <row r="748" spans="2:15" x14ac:dyDescent="0.45">
      <c r="B748" s="6" t="s">
        <v>102</v>
      </c>
      <c r="C748" s="6" t="s">
        <v>26</v>
      </c>
      <c r="D748" s="7">
        <v>1.5713421161184422E-2</v>
      </c>
      <c r="E748" s="6" t="s">
        <v>7</v>
      </c>
      <c r="G748" s="6" t="s">
        <v>103</v>
      </c>
      <c r="H748" s="6" t="s">
        <v>26</v>
      </c>
      <c r="I748" s="8">
        <v>1.4686839855988575E-2</v>
      </c>
      <c r="J748" s="6" t="s">
        <v>7</v>
      </c>
      <c r="L748" s="6" t="s">
        <v>104</v>
      </c>
      <c r="M748" s="6" t="s">
        <v>26</v>
      </c>
      <c r="N748" s="8">
        <v>1.3786862457818036E-2</v>
      </c>
      <c r="O748" s="6" t="s">
        <v>7</v>
      </c>
    </row>
    <row r="749" spans="2:15" x14ac:dyDescent="0.45">
      <c r="B749" s="3" t="s">
        <v>102</v>
      </c>
      <c r="C749" s="3" t="s">
        <v>27</v>
      </c>
      <c r="D749" s="4">
        <v>3.4431503722507419E-4</v>
      </c>
      <c r="E749" s="3" t="s">
        <v>7</v>
      </c>
      <c r="G749" s="3" t="s">
        <v>103</v>
      </c>
      <c r="H749" s="3" t="s">
        <v>27</v>
      </c>
      <c r="I749" s="5">
        <v>1.4506244847478299E-2</v>
      </c>
      <c r="J749" s="3" t="s">
        <v>7</v>
      </c>
      <c r="L749" s="3" t="s">
        <v>104</v>
      </c>
      <c r="M749" s="3" t="s">
        <v>27</v>
      </c>
      <c r="N749" s="5">
        <v>1.4263617217887598E-2</v>
      </c>
      <c r="O749" s="3" t="s">
        <v>7</v>
      </c>
    </row>
    <row r="750" spans="2:15" x14ac:dyDescent="0.45">
      <c r="B750" s="6" t="s">
        <v>102</v>
      </c>
      <c r="C750" s="6" t="s">
        <v>28</v>
      </c>
      <c r="D750" s="7">
        <v>0</v>
      </c>
      <c r="E750" s="6" t="s">
        <v>7</v>
      </c>
      <c r="G750" s="6" t="s">
        <v>103</v>
      </c>
      <c r="H750" s="6" t="s">
        <v>28</v>
      </c>
      <c r="I750" s="8">
        <v>2.1662575005847739E-2</v>
      </c>
      <c r="J750" s="6" t="s">
        <v>7</v>
      </c>
      <c r="L750" s="6" t="s">
        <v>104</v>
      </c>
      <c r="M750" s="6" t="s">
        <v>28</v>
      </c>
      <c r="N750" s="8">
        <v>2.174866857686792E-2</v>
      </c>
      <c r="O750" s="6" t="s">
        <v>7</v>
      </c>
    </row>
    <row r="751" spans="2:15" x14ac:dyDescent="0.45">
      <c r="B751" s="3" t="s">
        <v>102</v>
      </c>
      <c r="C751" s="3" t="s">
        <v>29</v>
      </c>
      <c r="D751" s="4">
        <v>0</v>
      </c>
      <c r="E751" s="3" t="s">
        <v>7</v>
      </c>
      <c r="G751" s="3" t="s">
        <v>103</v>
      </c>
      <c r="H751" s="3" t="s">
        <v>29</v>
      </c>
      <c r="I751" s="5">
        <v>3.0311834365083185E-2</v>
      </c>
      <c r="J751" s="3" t="s">
        <v>7</v>
      </c>
      <c r="L751" s="3" t="s">
        <v>104</v>
      </c>
      <c r="M751" s="3" t="s">
        <v>29</v>
      </c>
      <c r="N751" s="5">
        <v>2.6112130616107232E-2</v>
      </c>
      <c r="O751" s="3" t="s">
        <v>7</v>
      </c>
    </row>
    <row r="752" spans="2:15" x14ac:dyDescent="0.45">
      <c r="B752" s="6" t="s">
        <v>102</v>
      </c>
      <c r="C752" s="6" t="s">
        <v>30</v>
      </c>
      <c r="D752" s="7">
        <v>1.8116879095340706E-3</v>
      </c>
      <c r="E752" s="6" t="s">
        <v>7</v>
      </c>
      <c r="G752" s="6" t="s">
        <v>103</v>
      </c>
      <c r="H752" s="6" t="s">
        <v>30</v>
      </c>
      <c r="I752" s="8">
        <v>1.145645392924043E-2</v>
      </c>
      <c r="J752" s="6" t="s">
        <v>7</v>
      </c>
      <c r="L752" s="6" t="s">
        <v>104</v>
      </c>
      <c r="M752" s="6" t="s">
        <v>30</v>
      </c>
      <c r="N752" s="8">
        <v>1.0291306147519785E-2</v>
      </c>
      <c r="O752" s="6" t="s">
        <v>7</v>
      </c>
    </row>
    <row r="753" spans="2:15" x14ac:dyDescent="0.45">
      <c r="B753" s="3" t="s">
        <v>102</v>
      </c>
      <c r="C753" s="3" t="s">
        <v>31</v>
      </c>
      <c r="D753" s="4">
        <v>1.8027025391696417E-2</v>
      </c>
      <c r="E753" s="3" t="s">
        <v>7</v>
      </c>
      <c r="G753" s="3" t="s">
        <v>103</v>
      </c>
      <c r="H753" s="3" t="s">
        <v>31</v>
      </c>
      <c r="I753" s="5">
        <v>1.2433472798108504E-2</v>
      </c>
      <c r="J753" s="3" t="s">
        <v>7</v>
      </c>
      <c r="L753" s="3" t="s">
        <v>104</v>
      </c>
      <c r="M753" s="3" t="s">
        <v>31</v>
      </c>
      <c r="N753" s="5">
        <v>1.0777702871808468E-2</v>
      </c>
      <c r="O753" s="3" t="s">
        <v>7</v>
      </c>
    </row>
    <row r="754" spans="2:15" x14ac:dyDescent="0.45">
      <c r="B754" s="6" t="s">
        <v>102</v>
      </c>
      <c r="C754" s="6" t="s">
        <v>32</v>
      </c>
      <c r="D754" s="7">
        <v>4.2093315283466999E-2</v>
      </c>
      <c r="E754" s="6" t="s">
        <v>7</v>
      </c>
      <c r="G754" s="6" t="s">
        <v>103</v>
      </c>
      <c r="H754" s="6" t="s">
        <v>32</v>
      </c>
      <c r="I754" s="8">
        <v>1.2262077816022794E-2</v>
      </c>
      <c r="J754" s="6" t="s">
        <v>7</v>
      </c>
      <c r="L754" s="6" t="s">
        <v>104</v>
      </c>
      <c r="M754" s="6" t="s">
        <v>32</v>
      </c>
      <c r="N754" s="8">
        <v>1.1152969427463424E-2</v>
      </c>
      <c r="O754" s="6" t="s">
        <v>7</v>
      </c>
    </row>
    <row r="755" spans="2:15" x14ac:dyDescent="0.45">
      <c r="B755" s="3" t="s">
        <v>102</v>
      </c>
      <c r="C755" s="3" t="s">
        <v>33</v>
      </c>
      <c r="D755" s="4">
        <v>5.6442475552704721E-2</v>
      </c>
      <c r="E755" s="3" t="s">
        <v>7</v>
      </c>
      <c r="G755" s="3" t="s">
        <v>103</v>
      </c>
      <c r="H755" s="3" t="s">
        <v>33</v>
      </c>
      <c r="I755" s="5">
        <v>1.2491155644867007E-2</v>
      </c>
      <c r="J755" s="3" t="s">
        <v>7</v>
      </c>
      <c r="L755" s="3" t="s">
        <v>104</v>
      </c>
      <c r="M755" s="3" t="s">
        <v>33</v>
      </c>
      <c r="N755" s="5">
        <v>1.1513591517515737E-2</v>
      </c>
      <c r="O755" s="3" t="s">
        <v>7</v>
      </c>
    </row>
    <row r="756" spans="2:15" x14ac:dyDescent="0.45">
      <c r="B756" s="6" t="s">
        <v>102</v>
      </c>
      <c r="C756" s="6" t="s">
        <v>34</v>
      </c>
      <c r="D756" s="7">
        <v>5.677283905614141E-2</v>
      </c>
      <c r="E756" s="6" t="s">
        <v>7</v>
      </c>
      <c r="G756" s="6" t="s">
        <v>103</v>
      </c>
      <c r="H756" s="6" t="s">
        <v>34</v>
      </c>
      <c r="I756" s="8">
        <v>1.3315002198638931E-2</v>
      </c>
      <c r="J756" s="6" t="s">
        <v>7</v>
      </c>
      <c r="L756" s="6" t="s">
        <v>104</v>
      </c>
      <c r="M756" s="6" t="s">
        <v>34</v>
      </c>
      <c r="N756" s="8">
        <v>1.1884618417135912E-2</v>
      </c>
      <c r="O756" s="6" t="s">
        <v>7</v>
      </c>
    </row>
    <row r="757" spans="2:15" x14ac:dyDescent="0.45">
      <c r="B757" s="3" t="s">
        <v>102</v>
      </c>
      <c r="C757" s="3" t="s">
        <v>35</v>
      </c>
      <c r="D757" s="4">
        <v>4.5493522290784544E-2</v>
      </c>
      <c r="E757" s="3" t="s">
        <v>7</v>
      </c>
      <c r="G757" s="3" t="s">
        <v>103</v>
      </c>
      <c r="H757" s="3" t="s">
        <v>35</v>
      </c>
      <c r="I757" s="5">
        <v>1.3846241364681234E-2</v>
      </c>
      <c r="J757" s="3" t="s">
        <v>7</v>
      </c>
      <c r="L757" s="3" t="s">
        <v>104</v>
      </c>
      <c r="M757" s="3" t="s">
        <v>35</v>
      </c>
      <c r="N757" s="5">
        <v>1.2251752503884007E-2</v>
      </c>
      <c r="O757" s="3" t="s">
        <v>7</v>
      </c>
    </row>
    <row r="758" spans="2:15" x14ac:dyDescent="0.45">
      <c r="B758" s="6" t="s">
        <v>102</v>
      </c>
      <c r="C758" s="6" t="s">
        <v>36</v>
      </c>
      <c r="D758" s="7">
        <v>2.334816710883824E-2</v>
      </c>
      <c r="E758" s="6" t="s">
        <v>7</v>
      </c>
      <c r="G758" s="6" t="s">
        <v>103</v>
      </c>
      <c r="H758" s="6" t="s">
        <v>36</v>
      </c>
      <c r="I758" s="8">
        <v>1.394919590321347E-2</v>
      </c>
      <c r="J758" s="6" t="s">
        <v>7</v>
      </c>
      <c r="L758" s="6" t="s">
        <v>104</v>
      </c>
      <c r="M758" s="6" t="s">
        <v>36</v>
      </c>
      <c r="N758" s="8">
        <v>1.23283217945146E-2</v>
      </c>
      <c r="O758" s="6" t="s">
        <v>7</v>
      </c>
    </row>
    <row r="759" spans="2:15" x14ac:dyDescent="0.45">
      <c r="B759" s="3" t="s">
        <v>102</v>
      </c>
      <c r="C759" s="3" t="s">
        <v>37</v>
      </c>
      <c r="D759" s="4">
        <v>3.0167416474943748E-3</v>
      </c>
      <c r="E759" s="3" t="s">
        <v>7</v>
      </c>
      <c r="G759" s="3" t="s">
        <v>103</v>
      </c>
      <c r="H759" s="3" t="s">
        <v>37</v>
      </c>
      <c r="I759" s="5">
        <v>1.3430190718917479E-2</v>
      </c>
      <c r="J759" s="3" t="s">
        <v>7</v>
      </c>
      <c r="L759" s="3" t="s">
        <v>104</v>
      </c>
      <c r="M759" s="3" t="s">
        <v>37</v>
      </c>
      <c r="N759" s="5">
        <v>1.1590555966020755E-2</v>
      </c>
      <c r="O759" s="3" t="s">
        <v>7</v>
      </c>
    </row>
    <row r="760" spans="2:15" x14ac:dyDescent="0.45">
      <c r="B760" s="6" t="s">
        <v>102</v>
      </c>
      <c r="C760" s="6" t="s">
        <v>38</v>
      </c>
      <c r="D760" s="7">
        <v>1.3349288789793825E-6</v>
      </c>
      <c r="E760" s="6" t="s">
        <v>7</v>
      </c>
      <c r="G760" s="6" t="s">
        <v>103</v>
      </c>
      <c r="H760" s="6" t="s">
        <v>38</v>
      </c>
      <c r="I760" s="8">
        <v>1.9538811414105219E-2</v>
      </c>
      <c r="J760" s="6" t="s">
        <v>7</v>
      </c>
      <c r="L760" s="6" t="s">
        <v>104</v>
      </c>
      <c r="M760" s="6" t="s">
        <v>38</v>
      </c>
      <c r="N760" s="8">
        <v>1.5872343733059128E-2</v>
      </c>
      <c r="O760" s="6" t="s">
        <v>7</v>
      </c>
    </row>
    <row r="761" spans="2:15" x14ac:dyDescent="0.45">
      <c r="B761" s="3" t="s">
        <v>102</v>
      </c>
      <c r="C761" s="3" t="s">
        <v>39</v>
      </c>
      <c r="D761" s="4">
        <v>0</v>
      </c>
      <c r="E761" s="3" t="s">
        <v>7</v>
      </c>
      <c r="G761" s="3" t="s">
        <v>103</v>
      </c>
      <c r="H761" s="3" t="s">
        <v>39</v>
      </c>
      <c r="I761" s="5">
        <v>1.8389174196085493E-2</v>
      </c>
      <c r="J761" s="3" t="s">
        <v>7</v>
      </c>
      <c r="L761" s="3" t="s">
        <v>104</v>
      </c>
      <c r="M761" s="3" t="s">
        <v>39</v>
      </c>
      <c r="N761" s="5">
        <v>2.4401425689152451E-2</v>
      </c>
      <c r="O761" s="3" t="s">
        <v>7</v>
      </c>
    </row>
    <row r="762" spans="2:15" x14ac:dyDescent="0.45">
      <c r="B762" s="6" t="s">
        <v>102</v>
      </c>
      <c r="C762" s="6" t="s">
        <v>40</v>
      </c>
      <c r="D762" s="7">
        <v>9.6158415907911232E-4</v>
      </c>
      <c r="E762" s="6" t="s">
        <v>7</v>
      </c>
      <c r="G762" s="6" t="s">
        <v>103</v>
      </c>
      <c r="H762" s="6" t="s">
        <v>40</v>
      </c>
      <c r="I762" s="8">
        <v>6.8271412304782781E-3</v>
      </c>
      <c r="J762" s="6" t="s">
        <v>7</v>
      </c>
      <c r="L762" s="6" t="s">
        <v>104</v>
      </c>
      <c r="M762" s="6" t="s">
        <v>40</v>
      </c>
      <c r="N762" s="8">
        <v>9.6070876548573127E-3</v>
      </c>
      <c r="O762" s="6" t="s">
        <v>7</v>
      </c>
    </row>
    <row r="763" spans="2:15" x14ac:dyDescent="0.45">
      <c r="B763" s="3" t="s">
        <v>102</v>
      </c>
      <c r="C763" s="3" t="s">
        <v>41</v>
      </c>
      <c r="D763" s="4">
        <v>1.4941155257761917E-2</v>
      </c>
      <c r="E763" s="3" t="s">
        <v>7</v>
      </c>
      <c r="G763" s="3" t="s">
        <v>103</v>
      </c>
      <c r="H763" s="3" t="s">
        <v>41</v>
      </c>
      <c r="I763" s="5">
        <v>7.6028185526861043E-3</v>
      </c>
      <c r="J763" s="3" t="s">
        <v>7</v>
      </c>
      <c r="L763" s="3" t="s">
        <v>104</v>
      </c>
      <c r="M763" s="3" t="s">
        <v>41</v>
      </c>
      <c r="N763" s="5">
        <v>9.8406886368531156E-3</v>
      </c>
      <c r="O763" s="3" t="s">
        <v>7</v>
      </c>
    </row>
    <row r="764" spans="2:15" x14ac:dyDescent="0.45">
      <c r="B764" s="6" t="s">
        <v>102</v>
      </c>
      <c r="C764" s="6" t="s">
        <v>42</v>
      </c>
      <c r="D764" s="7">
        <v>4.1136535588454176E-2</v>
      </c>
      <c r="E764" s="6" t="s">
        <v>7</v>
      </c>
      <c r="G764" s="6" t="s">
        <v>103</v>
      </c>
      <c r="H764" s="6" t="s">
        <v>42</v>
      </c>
      <c r="I764" s="8">
        <v>7.954951533349592E-3</v>
      </c>
      <c r="J764" s="6" t="s">
        <v>7</v>
      </c>
      <c r="L764" s="6" t="s">
        <v>104</v>
      </c>
      <c r="M764" s="6" t="s">
        <v>42</v>
      </c>
      <c r="N764" s="8">
        <v>9.984682435048629E-3</v>
      </c>
      <c r="O764" s="6" t="s">
        <v>7</v>
      </c>
    </row>
    <row r="765" spans="2:15" x14ac:dyDescent="0.45">
      <c r="B765" s="3" t="s">
        <v>102</v>
      </c>
      <c r="C765" s="3" t="s">
        <v>43</v>
      </c>
      <c r="D765" s="4">
        <v>5.8099146745911441E-2</v>
      </c>
      <c r="E765" s="3" t="s">
        <v>7</v>
      </c>
      <c r="G765" s="3" t="s">
        <v>103</v>
      </c>
      <c r="H765" s="3" t="s">
        <v>43</v>
      </c>
      <c r="I765" s="5">
        <v>8.2427616869492366E-3</v>
      </c>
      <c r="J765" s="3" t="s">
        <v>7</v>
      </c>
      <c r="L765" s="3" t="s">
        <v>104</v>
      </c>
      <c r="M765" s="3" t="s">
        <v>43</v>
      </c>
      <c r="N765" s="5">
        <v>1.0369190334426313E-2</v>
      </c>
      <c r="O765" s="3" t="s">
        <v>7</v>
      </c>
    </row>
    <row r="766" spans="2:15" x14ac:dyDescent="0.45">
      <c r="B766" s="6" t="s">
        <v>102</v>
      </c>
      <c r="C766" s="6" t="s">
        <v>44</v>
      </c>
      <c r="D766" s="7">
        <v>5.8668852406639091E-2</v>
      </c>
      <c r="E766" s="6" t="s">
        <v>7</v>
      </c>
      <c r="G766" s="6" t="s">
        <v>103</v>
      </c>
      <c r="H766" s="6" t="s">
        <v>44</v>
      </c>
      <c r="I766" s="8">
        <v>9.0836750190527674E-3</v>
      </c>
      <c r="J766" s="6" t="s">
        <v>7</v>
      </c>
      <c r="L766" s="6" t="s">
        <v>104</v>
      </c>
      <c r="M766" s="6" t="s">
        <v>44</v>
      </c>
      <c r="N766" s="8">
        <v>1.0593411261564704E-2</v>
      </c>
      <c r="O766" s="6" t="s">
        <v>7</v>
      </c>
    </row>
    <row r="767" spans="2:15" x14ac:dyDescent="0.45">
      <c r="B767" s="3" t="s">
        <v>102</v>
      </c>
      <c r="C767" s="3" t="s">
        <v>45</v>
      </c>
      <c r="D767" s="4">
        <v>4.7433313536748949E-2</v>
      </c>
      <c r="E767" s="3" t="s">
        <v>7</v>
      </c>
      <c r="G767" s="3" t="s">
        <v>103</v>
      </c>
      <c r="H767" s="3" t="s">
        <v>45</v>
      </c>
      <c r="I767" s="5">
        <v>9.2656517338904187E-3</v>
      </c>
      <c r="J767" s="3" t="s">
        <v>7</v>
      </c>
      <c r="L767" s="3" t="s">
        <v>104</v>
      </c>
      <c r="M767" s="3" t="s">
        <v>45</v>
      </c>
      <c r="N767" s="5">
        <v>1.0451378918931881E-2</v>
      </c>
      <c r="O767" s="3" t="s">
        <v>7</v>
      </c>
    </row>
    <row r="768" spans="2:15" x14ac:dyDescent="0.45">
      <c r="B768" s="6" t="s">
        <v>102</v>
      </c>
      <c r="C768" s="6" t="s">
        <v>46</v>
      </c>
      <c r="D768" s="7">
        <v>2.4065306562618318E-2</v>
      </c>
      <c r="E768" s="6" t="s">
        <v>7</v>
      </c>
      <c r="G768" s="6" t="s">
        <v>103</v>
      </c>
      <c r="H768" s="6" t="s">
        <v>46</v>
      </c>
      <c r="I768" s="8">
        <v>9.0702955512236109E-3</v>
      </c>
      <c r="J768" s="6" t="s">
        <v>7</v>
      </c>
      <c r="L768" s="6" t="s">
        <v>104</v>
      </c>
      <c r="M768" s="6" t="s">
        <v>46</v>
      </c>
      <c r="N768" s="8">
        <v>9.8987877582087536E-3</v>
      </c>
      <c r="O768" s="6" t="s">
        <v>7</v>
      </c>
    </row>
    <row r="769" spans="2:15" x14ac:dyDescent="0.45">
      <c r="B769" s="3" t="s">
        <v>102</v>
      </c>
      <c r="C769" s="3" t="s">
        <v>47</v>
      </c>
      <c r="D769" s="4">
        <v>2.7593470558667094E-3</v>
      </c>
      <c r="E769" s="3" t="s">
        <v>7</v>
      </c>
      <c r="G769" s="3" t="s">
        <v>103</v>
      </c>
      <c r="H769" s="3" t="s">
        <v>47</v>
      </c>
      <c r="I769" s="5">
        <v>8.3652615520969954E-3</v>
      </c>
      <c r="J769" s="3" t="s">
        <v>7</v>
      </c>
      <c r="L769" s="3" t="s">
        <v>104</v>
      </c>
      <c r="M769" s="3" t="s">
        <v>47</v>
      </c>
      <c r="N769" s="5">
        <v>9.2065293172740852E-3</v>
      </c>
      <c r="O769" s="3" t="s">
        <v>7</v>
      </c>
    </row>
    <row r="770" spans="2:15" x14ac:dyDescent="0.45">
      <c r="B770" s="6" t="s">
        <v>102</v>
      </c>
      <c r="C770" s="6" t="s">
        <v>48</v>
      </c>
      <c r="D770" s="7">
        <v>0</v>
      </c>
      <c r="E770" s="6" t="s">
        <v>7</v>
      </c>
      <c r="G770" s="6" t="s">
        <v>103</v>
      </c>
      <c r="H770" s="6" t="s">
        <v>48</v>
      </c>
      <c r="I770" s="8">
        <v>1.1976721954304914E-2</v>
      </c>
      <c r="J770" s="6" t="s">
        <v>7</v>
      </c>
      <c r="L770" s="6" t="s">
        <v>104</v>
      </c>
      <c r="M770" s="6" t="s">
        <v>48</v>
      </c>
      <c r="N770" s="8">
        <v>1.4008635235737261E-2</v>
      </c>
      <c r="O770" s="6" t="s">
        <v>7</v>
      </c>
    </row>
    <row r="771" spans="2:15" x14ac:dyDescent="0.45">
      <c r="B771" s="3" t="s">
        <v>102</v>
      </c>
      <c r="C771" s="3" t="s">
        <v>49</v>
      </c>
      <c r="D771" s="4">
        <v>0</v>
      </c>
      <c r="E771" s="3" t="s">
        <v>7</v>
      </c>
      <c r="G771" s="3" t="s">
        <v>103</v>
      </c>
      <c r="H771" s="3" t="s">
        <v>49</v>
      </c>
      <c r="I771" s="5">
        <v>3.3855142292255912E-2</v>
      </c>
      <c r="J771" s="3" t="s">
        <v>7</v>
      </c>
      <c r="L771" s="3" t="s">
        <v>104</v>
      </c>
      <c r="M771" s="3" t="s">
        <v>49</v>
      </c>
      <c r="N771" s="5">
        <v>3.2532432847268623E-2</v>
      </c>
      <c r="O771" s="3" t="s">
        <v>7</v>
      </c>
    </row>
    <row r="772" spans="2:15" x14ac:dyDescent="0.45">
      <c r="B772" s="6" t="s">
        <v>102</v>
      </c>
      <c r="C772" s="6" t="s">
        <v>50</v>
      </c>
      <c r="D772" s="7">
        <v>0</v>
      </c>
      <c r="E772" s="6" t="s">
        <v>7</v>
      </c>
      <c r="G772" s="6" t="s">
        <v>103</v>
      </c>
      <c r="H772" s="6" t="s">
        <v>50</v>
      </c>
      <c r="I772" s="8">
        <v>1.2861677183625676E-2</v>
      </c>
      <c r="J772" s="6" t="s">
        <v>7</v>
      </c>
      <c r="L772" s="6" t="s">
        <v>104</v>
      </c>
      <c r="M772" s="6" t="s">
        <v>50</v>
      </c>
      <c r="N772" s="8">
        <v>1.3446841643488432E-2</v>
      </c>
      <c r="O772" s="6" t="s">
        <v>7</v>
      </c>
    </row>
    <row r="773" spans="2:15" x14ac:dyDescent="0.45">
      <c r="B773" s="3" t="s">
        <v>102</v>
      </c>
      <c r="C773" s="3" t="s">
        <v>51</v>
      </c>
      <c r="D773" s="4">
        <v>4.0892251768303647E-3</v>
      </c>
      <c r="E773" s="3" t="s">
        <v>7</v>
      </c>
      <c r="G773" s="3" t="s">
        <v>103</v>
      </c>
      <c r="H773" s="3" t="s">
        <v>51</v>
      </c>
      <c r="I773" s="5">
        <v>1.3349932865843113E-2</v>
      </c>
      <c r="J773" s="3" t="s">
        <v>7</v>
      </c>
      <c r="L773" s="3" t="s">
        <v>104</v>
      </c>
      <c r="M773" s="3" t="s">
        <v>51</v>
      </c>
      <c r="N773" s="5">
        <v>1.4006131305830796E-2</v>
      </c>
      <c r="O773" s="3" t="s">
        <v>7</v>
      </c>
    </row>
    <row r="774" spans="2:15" x14ac:dyDescent="0.45">
      <c r="B774" s="6" t="s">
        <v>102</v>
      </c>
      <c r="C774" s="6" t="s">
        <v>52</v>
      </c>
      <c r="D774" s="7">
        <v>2.1807711133123717E-2</v>
      </c>
      <c r="E774" s="6" t="s">
        <v>7</v>
      </c>
      <c r="G774" s="6" t="s">
        <v>103</v>
      </c>
      <c r="H774" s="6" t="s">
        <v>52</v>
      </c>
      <c r="I774" s="8">
        <v>1.4500115656106812E-2</v>
      </c>
      <c r="J774" s="6" t="s">
        <v>7</v>
      </c>
      <c r="L774" s="6" t="s">
        <v>104</v>
      </c>
      <c r="M774" s="6" t="s">
        <v>52</v>
      </c>
      <c r="N774" s="8">
        <v>1.4640168942631978E-2</v>
      </c>
      <c r="O774" s="6" t="s">
        <v>7</v>
      </c>
    </row>
    <row r="775" spans="2:15" x14ac:dyDescent="0.45">
      <c r="B775" s="3" t="s">
        <v>102</v>
      </c>
      <c r="C775" s="3" t="s">
        <v>53</v>
      </c>
      <c r="D775" s="4">
        <v>3.6714004245946841E-2</v>
      </c>
      <c r="E775" s="3" t="s">
        <v>7</v>
      </c>
      <c r="G775" s="3" t="s">
        <v>103</v>
      </c>
      <c r="H775" s="3" t="s">
        <v>53</v>
      </c>
      <c r="I775" s="5">
        <v>1.5689539523530999E-2</v>
      </c>
      <c r="J775" s="3" t="s">
        <v>7</v>
      </c>
      <c r="L775" s="3" t="s">
        <v>104</v>
      </c>
      <c r="M775" s="3" t="s">
        <v>53</v>
      </c>
      <c r="N775" s="5">
        <v>1.487833610196959E-2</v>
      </c>
      <c r="O775" s="3" t="s">
        <v>7</v>
      </c>
    </row>
    <row r="776" spans="2:15" x14ac:dyDescent="0.45">
      <c r="B776" s="6" t="s">
        <v>102</v>
      </c>
      <c r="C776" s="6" t="s">
        <v>54</v>
      </c>
      <c r="D776" s="7">
        <v>3.9879607529822267E-2</v>
      </c>
      <c r="E776" s="6" t="s">
        <v>7</v>
      </c>
      <c r="G776" s="6" t="s">
        <v>103</v>
      </c>
      <c r="H776" s="6" t="s">
        <v>54</v>
      </c>
      <c r="I776" s="8">
        <v>1.6482841448613447E-2</v>
      </c>
      <c r="J776" s="6" t="s">
        <v>7</v>
      </c>
      <c r="L776" s="6" t="s">
        <v>104</v>
      </c>
      <c r="M776" s="6" t="s">
        <v>54</v>
      </c>
      <c r="N776" s="8">
        <v>1.4553171751144036E-2</v>
      </c>
      <c r="O776" s="6" t="s">
        <v>7</v>
      </c>
    </row>
    <row r="777" spans="2:15" x14ac:dyDescent="0.45">
      <c r="B777" s="3" t="s">
        <v>102</v>
      </c>
      <c r="C777" s="3" t="s">
        <v>55</v>
      </c>
      <c r="D777" s="4">
        <v>2.6215381633315989E-2</v>
      </c>
      <c r="E777" s="3" t="s">
        <v>7</v>
      </c>
      <c r="G777" s="3" t="s">
        <v>103</v>
      </c>
      <c r="H777" s="3" t="s">
        <v>55</v>
      </c>
      <c r="I777" s="5">
        <v>1.6671326600086946E-2</v>
      </c>
      <c r="J777" s="3" t="s">
        <v>7</v>
      </c>
      <c r="L777" s="3" t="s">
        <v>104</v>
      </c>
      <c r="M777" s="3" t="s">
        <v>55</v>
      </c>
      <c r="N777" s="5">
        <v>1.437017683623421E-2</v>
      </c>
      <c r="O777" s="3" t="s">
        <v>7</v>
      </c>
    </row>
    <row r="778" spans="2:15" x14ac:dyDescent="0.45">
      <c r="B778" s="6" t="s">
        <v>102</v>
      </c>
      <c r="C778" s="6" t="s">
        <v>56</v>
      </c>
      <c r="D778" s="7">
        <v>6.6635334543844243E-3</v>
      </c>
      <c r="E778" s="6" t="s">
        <v>7</v>
      </c>
      <c r="G778" s="6" t="s">
        <v>103</v>
      </c>
      <c r="H778" s="6" t="s">
        <v>56</v>
      </c>
      <c r="I778" s="8">
        <v>1.5939122246466323E-2</v>
      </c>
      <c r="J778" s="6" t="s">
        <v>7</v>
      </c>
      <c r="L778" s="6" t="s">
        <v>104</v>
      </c>
      <c r="M778" s="6" t="s">
        <v>56</v>
      </c>
      <c r="N778" s="8">
        <v>1.4205965651894178E-2</v>
      </c>
      <c r="O778" s="6" t="s">
        <v>7</v>
      </c>
    </row>
    <row r="779" spans="2:15" x14ac:dyDescent="0.45">
      <c r="B779" s="3" t="s">
        <v>102</v>
      </c>
      <c r="C779" s="3" t="s">
        <v>57</v>
      </c>
      <c r="D779" s="4">
        <v>3.2826244944788215E-5</v>
      </c>
      <c r="E779" s="3" t="s">
        <v>7</v>
      </c>
      <c r="G779" s="3" t="s">
        <v>103</v>
      </c>
      <c r="H779" s="3" t="s">
        <v>57</v>
      </c>
      <c r="I779" s="5">
        <v>1.5793123392716144E-2</v>
      </c>
      <c r="J779" s="3" t="s">
        <v>7</v>
      </c>
      <c r="L779" s="3" t="s">
        <v>104</v>
      </c>
      <c r="M779" s="3" t="s">
        <v>57</v>
      </c>
      <c r="N779" s="5">
        <v>1.3933308198096532E-2</v>
      </c>
      <c r="O779" s="3" t="s">
        <v>7</v>
      </c>
    </row>
    <row r="780" spans="2:15" x14ac:dyDescent="0.45">
      <c r="B780" s="6" t="s">
        <v>102</v>
      </c>
      <c r="C780" s="6" t="s">
        <v>58</v>
      </c>
      <c r="D780" s="7">
        <v>0</v>
      </c>
      <c r="E780" s="6" t="s">
        <v>7</v>
      </c>
      <c r="G780" s="6" t="s">
        <v>103</v>
      </c>
      <c r="H780" s="6" t="s">
        <v>58</v>
      </c>
      <c r="I780" s="8">
        <v>2.2500115694944398E-2</v>
      </c>
      <c r="J780" s="6" t="s">
        <v>7</v>
      </c>
      <c r="L780" s="6" t="s">
        <v>104</v>
      </c>
      <c r="M780" s="6" t="s">
        <v>58</v>
      </c>
      <c r="N780" s="8">
        <v>2.0163805600325969E-2</v>
      </c>
      <c r="O780" s="6" t="s">
        <v>7</v>
      </c>
    </row>
    <row r="781" spans="2:15" x14ac:dyDescent="0.45">
      <c r="B781" s="3" t="s">
        <v>102</v>
      </c>
      <c r="C781" s="3" t="s">
        <v>59</v>
      </c>
      <c r="D781" s="4">
        <v>0</v>
      </c>
      <c r="E781" s="3" t="s">
        <v>7</v>
      </c>
      <c r="G781" s="3" t="s">
        <v>103</v>
      </c>
      <c r="H781" s="3" t="s">
        <v>59</v>
      </c>
      <c r="I781" s="5">
        <v>4.7353024894761557E-2</v>
      </c>
      <c r="J781" s="3" t="s">
        <v>7</v>
      </c>
      <c r="L781" s="3" t="s">
        <v>104</v>
      </c>
      <c r="M781" s="3" t="s">
        <v>59</v>
      </c>
      <c r="N781" s="5">
        <v>4.966760523714505E-2</v>
      </c>
      <c r="O781" s="3" t="s">
        <v>7</v>
      </c>
    </row>
    <row r="782" spans="2:15" x14ac:dyDescent="0.45">
      <c r="B782" s="6" t="s">
        <v>102</v>
      </c>
      <c r="C782" s="6" t="s">
        <v>60</v>
      </c>
      <c r="D782" s="7">
        <v>0</v>
      </c>
      <c r="E782" s="6" t="s">
        <v>7</v>
      </c>
      <c r="G782" s="6" t="s">
        <v>103</v>
      </c>
      <c r="H782" s="6" t="s">
        <v>60</v>
      </c>
      <c r="I782" s="8">
        <v>1.8146959688057487E-2</v>
      </c>
      <c r="J782" s="6" t="s">
        <v>7</v>
      </c>
      <c r="L782" s="6" t="s">
        <v>104</v>
      </c>
      <c r="M782" s="6" t="s">
        <v>60</v>
      </c>
      <c r="N782" s="8">
        <v>1.9554010278858464E-2</v>
      </c>
      <c r="O782" s="6" t="s">
        <v>7</v>
      </c>
    </row>
    <row r="783" spans="2:15" x14ac:dyDescent="0.45">
      <c r="B783" s="3" t="s">
        <v>102</v>
      </c>
      <c r="C783" s="3" t="s">
        <v>61</v>
      </c>
      <c r="D783" s="4">
        <v>1.1513196696088504E-4</v>
      </c>
      <c r="E783" s="3" t="s">
        <v>7</v>
      </c>
      <c r="G783" s="3" t="s">
        <v>103</v>
      </c>
      <c r="H783" s="3" t="s">
        <v>61</v>
      </c>
      <c r="I783" s="5">
        <v>1.8186270361890335E-2</v>
      </c>
      <c r="J783" s="3" t="s">
        <v>7</v>
      </c>
      <c r="L783" s="3" t="s">
        <v>104</v>
      </c>
      <c r="M783" s="3" t="s">
        <v>61</v>
      </c>
      <c r="N783" s="5">
        <v>1.9284302020718312E-2</v>
      </c>
      <c r="O783" s="3" t="s">
        <v>7</v>
      </c>
    </row>
    <row r="784" spans="2:15" x14ac:dyDescent="0.45">
      <c r="B784" s="6" t="s">
        <v>102</v>
      </c>
      <c r="C784" s="6" t="s">
        <v>62</v>
      </c>
      <c r="D784" s="7">
        <v>9.917400904568564E-3</v>
      </c>
      <c r="E784" s="6" t="s">
        <v>7</v>
      </c>
      <c r="G784" s="6" t="s">
        <v>103</v>
      </c>
      <c r="H784" s="6" t="s">
        <v>62</v>
      </c>
      <c r="I784" s="8">
        <v>1.7733060559940624E-2</v>
      </c>
      <c r="J784" s="6" t="s">
        <v>7</v>
      </c>
      <c r="L784" s="6" t="s">
        <v>104</v>
      </c>
      <c r="M784" s="6" t="s">
        <v>62</v>
      </c>
      <c r="N784" s="8">
        <v>1.8858090679356478E-2</v>
      </c>
      <c r="O784" s="6" t="s">
        <v>7</v>
      </c>
    </row>
    <row r="785" spans="2:15" x14ac:dyDescent="0.45">
      <c r="B785" s="3" t="s">
        <v>102</v>
      </c>
      <c r="C785" s="3" t="s">
        <v>63</v>
      </c>
      <c r="D785" s="4">
        <v>2.7007167138683438E-2</v>
      </c>
      <c r="E785" s="3" t="s">
        <v>7</v>
      </c>
      <c r="G785" s="3" t="s">
        <v>103</v>
      </c>
      <c r="H785" s="3" t="s">
        <v>63</v>
      </c>
      <c r="I785" s="5">
        <v>1.7507361319408093E-2</v>
      </c>
      <c r="J785" s="3" t="s">
        <v>7</v>
      </c>
      <c r="L785" s="3" t="s">
        <v>104</v>
      </c>
      <c r="M785" s="3" t="s">
        <v>63</v>
      </c>
      <c r="N785" s="5">
        <v>1.8623267020958009E-2</v>
      </c>
      <c r="O785" s="3" t="s">
        <v>7</v>
      </c>
    </row>
    <row r="786" spans="2:15" x14ac:dyDescent="0.45">
      <c r="B786" s="6" t="s">
        <v>102</v>
      </c>
      <c r="C786" s="6" t="s">
        <v>64</v>
      </c>
      <c r="D786" s="7">
        <v>2.6966586253228102E-2</v>
      </c>
      <c r="E786" s="6" t="s">
        <v>7</v>
      </c>
      <c r="G786" s="6" t="s">
        <v>103</v>
      </c>
      <c r="H786" s="6" t="s">
        <v>64</v>
      </c>
      <c r="I786" s="8">
        <v>1.7426906616159914E-2</v>
      </c>
      <c r="J786" s="6" t="s">
        <v>7</v>
      </c>
      <c r="L786" s="6" t="s">
        <v>104</v>
      </c>
      <c r="M786" s="6" t="s">
        <v>64</v>
      </c>
      <c r="N786" s="8">
        <v>1.9462882324798328E-2</v>
      </c>
      <c r="O786" s="6" t="s">
        <v>7</v>
      </c>
    </row>
    <row r="787" spans="2:15" x14ac:dyDescent="0.45">
      <c r="B787" s="3" t="s">
        <v>102</v>
      </c>
      <c r="C787" s="3" t="s">
        <v>65</v>
      </c>
      <c r="D787" s="4">
        <v>1.2165737463762436E-2</v>
      </c>
      <c r="E787" s="3" t="s">
        <v>7</v>
      </c>
      <c r="G787" s="3" t="s">
        <v>103</v>
      </c>
      <c r="H787" s="3" t="s">
        <v>65</v>
      </c>
      <c r="I787" s="5">
        <v>1.7210246561131324E-2</v>
      </c>
      <c r="J787" s="3" t="s">
        <v>7</v>
      </c>
      <c r="L787" s="3" t="s">
        <v>104</v>
      </c>
      <c r="M787" s="3" t="s">
        <v>65</v>
      </c>
      <c r="N787" s="5">
        <v>1.9731474316834953E-2</v>
      </c>
      <c r="O787" s="3" t="s">
        <v>7</v>
      </c>
    </row>
    <row r="788" spans="2:15" x14ac:dyDescent="0.45">
      <c r="B788" s="6" t="s">
        <v>102</v>
      </c>
      <c r="C788" s="6" t="s">
        <v>66</v>
      </c>
      <c r="D788" s="7">
        <v>7.7367219036138493E-6</v>
      </c>
      <c r="E788" s="6" t="s">
        <v>7</v>
      </c>
      <c r="G788" s="6" t="s">
        <v>103</v>
      </c>
      <c r="H788" s="6" t="s">
        <v>66</v>
      </c>
      <c r="I788" s="8">
        <v>1.728220756302128E-2</v>
      </c>
      <c r="J788" s="6" t="s">
        <v>7</v>
      </c>
      <c r="L788" s="6" t="s">
        <v>104</v>
      </c>
      <c r="M788" s="6" t="s">
        <v>66</v>
      </c>
      <c r="N788" s="8">
        <v>1.9836805443925014E-2</v>
      </c>
      <c r="O788" s="6" t="s">
        <v>7</v>
      </c>
    </row>
    <row r="789" spans="2:15" x14ac:dyDescent="0.45">
      <c r="B789" s="3" t="s">
        <v>102</v>
      </c>
      <c r="C789" s="3" t="s">
        <v>67</v>
      </c>
      <c r="D789" s="4">
        <v>0</v>
      </c>
      <c r="E789" s="3" t="s">
        <v>7</v>
      </c>
      <c r="G789" s="3" t="s">
        <v>103</v>
      </c>
      <c r="H789" s="3" t="s">
        <v>67</v>
      </c>
      <c r="I789" s="5">
        <v>1.7596346598669575E-2</v>
      </c>
      <c r="J789" s="3" t="s">
        <v>7</v>
      </c>
      <c r="L789" s="3" t="s">
        <v>104</v>
      </c>
      <c r="M789" s="3" t="s">
        <v>67</v>
      </c>
      <c r="N789" s="5">
        <v>2.0077065948981381E-2</v>
      </c>
      <c r="O789" s="3" t="s">
        <v>7</v>
      </c>
    </row>
    <row r="790" spans="2:15" x14ac:dyDescent="0.45">
      <c r="B790" s="6" t="s">
        <v>102</v>
      </c>
      <c r="C790" s="6" t="s">
        <v>68</v>
      </c>
      <c r="D790" s="7">
        <v>0</v>
      </c>
      <c r="E790" s="6" t="s">
        <v>7</v>
      </c>
      <c r="G790" s="6" t="s">
        <v>103</v>
      </c>
      <c r="H790" s="6" t="s">
        <v>68</v>
      </c>
      <c r="I790" s="8">
        <v>2.7094664761344374E-2</v>
      </c>
      <c r="J790" s="6" t="s">
        <v>7</v>
      </c>
      <c r="L790" s="6" t="s">
        <v>104</v>
      </c>
      <c r="M790" s="6" t="s">
        <v>68</v>
      </c>
      <c r="N790" s="8">
        <v>3.0315870940817568E-2</v>
      </c>
      <c r="O790" s="6" t="s">
        <v>7</v>
      </c>
    </row>
    <row r="791" spans="2:15" x14ac:dyDescent="0.45">
      <c r="B791" s="3" t="s">
        <v>105</v>
      </c>
      <c r="C791" s="3" t="s">
        <v>6</v>
      </c>
      <c r="D791" s="4">
        <v>0</v>
      </c>
      <c r="E791" s="3" t="s">
        <v>7</v>
      </c>
      <c r="G791" s="3" t="s">
        <v>106</v>
      </c>
      <c r="H791" s="3" t="s">
        <v>6</v>
      </c>
      <c r="I791" s="5">
        <v>3.8738926830529791E-2</v>
      </c>
      <c r="J791" s="3" t="s">
        <v>7</v>
      </c>
      <c r="L791" s="3" t="s">
        <v>107</v>
      </c>
      <c r="M791" s="3" t="s">
        <v>6</v>
      </c>
      <c r="N791" s="5">
        <v>3.9351104521134432E-2</v>
      </c>
      <c r="O791" s="3" t="s">
        <v>7</v>
      </c>
    </row>
    <row r="792" spans="2:15" x14ac:dyDescent="0.45">
      <c r="B792" s="6" t="s">
        <v>105</v>
      </c>
      <c r="C792" s="6" t="s">
        <v>10</v>
      </c>
      <c r="D792" s="7">
        <v>0</v>
      </c>
      <c r="E792" s="6" t="s">
        <v>7</v>
      </c>
      <c r="G792" s="6" t="s">
        <v>106</v>
      </c>
      <c r="H792" s="6" t="s">
        <v>10</v>
      </c>
      <c r="I792" s="8">
        <v>1.5106494129504168E-2</v>
      </c>
      <c r="J792" s="6" t="s">
        <v>7</v>
      </c>
      <c r="L792" s="6" t="s">
        <v>107</v>
      </c>
      <c r="M792" s="6" t="s">
        <v>10</v>
      </c>
      <c r="N792" s="8">
        <v>1.5969860882039555E-2</v>
      </c>
      <c r="O792" s="6" t="s">
        <v>7</v>
      </c>
    </row>
    <row r="793" spans="2:15" x14ac:dyDescent="0.45">
      <c r="B793" s="3" t="s">
        <v>105</v>
      </c>
      <c r="C793" s="3" t="s">
        <v>11</v>
      </c>
      <c r="D793" s="4">
        <v>0</v>
      </c>
      <c r="E793" s="3" t="s">
        <v>7</v>
      </c>
      <c r="G793" s="3" t="s">
        <v>106</v>
      </c>
      <c r="H793" s="3" t="s">
        <v>11</v>
      </c>
      <c r="I793" s="5">
        <v>1.4818344352471726E-2</v>
      </c>
      <c r="J793" s="3" t="s">
        <v>7</v>
      </c>
      <c r="L793" s="3" t="s">
        <v>107</v>
      </c>
      <c r="M793" s="3" t="s">
        <v>11</v>
      </c>
      <c r="N793" s="5">
        <v>1.6115382606703997E-2</v>
      </c>
      <c r="O793" s="3" t="s">
        <v>7</v>
      </c>
    </row>
    <row r="794" spans="2:15" x14ac:dyDescent="0.45">
      <c r="B794" s="6" t="s">
        <v>105</v>
      </c>
      <c r="C794" s="6" t="s">
        <v>12</v>
      </c>
      <c r="D794" s="7">
        <v>7.8297831504817953E-3</v>
      </c>
      <c r="E794" s="6" t="s">
        <v>7</v>
      </c>
      <c r="G794" s="6" t="s">
        <v>106</v>
      </c>
      <c r="H794" s="6" t="s">
        <v>12</v>
      </c>
      <c r="I794" s="8">
        <v>1.5055895385328616E-2</v>
      </c>
      <c r="J794" s="6" t="s">
        <v>7</v>
      </c>
      <c r="L794" s="6" t="s">
        <v>107</v>
      </c>
      <c r="M794" s="6" t="s">
        <v>12</v>
      </c>
      <c r="N794" s="8">
        <v>1.6243289054280935E-2</v>
      </c>
      <c r="O794" s="6" t="s">
        <v>7</v>
      </c>
    </row>
    <row r="795" spans="2:15" x14ac:dyDescent="0.45">
      <c r="B795" s="3" t="s">
        <v>105</v>
      </c>
      <c r="C795" s="3" t="s">
        <v>13</v>
      </c>
      <c r="D795" s="4">
        <v>2.5066803232950928E-2</v>
      </c>
      <c r="E795" s="3" t="s">
        <v>7</v>
      </c>
      <c r="G795" s="3" t="s">
        <v>106</v>
      </c>
      <c r="H795" s="3" t="s">
        <v>13</v>
      </c>
      <c r="I795" s="5">
        <v>1.5444407749802543E-2</v>
      </c>
      <c r="J795" s="3" t="s">
        <v>7</v>
      </c>
      <c r="L795" s="3" t="s">
        <v>107</v>
      </c>
      <c r="M795" s="3" t="s">
        <v>13</v>
      </c>
      <c r="N795" s="5">
        <v>1.6211462918425183E-2</v>
      </c>
      <c r="O795" s="3" t="s">
        <v>7</v>
      </c>
    </row>
    <row r="796" spans="2:15" x14ac:dyDescent="0.45">
      <c r="B796" s="6" t="s">
        <v>105</v>
      </c>
      <c r="C796" s="6" t="s">
        <v>14</v>
      </c>
      <c r="D796" s="7">
        <v>3.0654216815008024E-2</v>
      </c>
      <c r="E796" s="6" t="s">
        <v>7</v>
      </c>
      <c r="G796" s="6" t="s">
        <v>106</v>
      </c>
      <c r="H796" s="6" t="s">
        <v>14</v>
      </c>
      <c r="I796" s="8">
        <v>1.5727674406644541E-2</v>
      </c>
      <c r="J796" s="6" t="s">
        <v>7</v>
      </c>
      <c r="L796" s="6" t="s">
        <v>107</v>
      </c>
      <c r="M796" s="6" t="s">
        <v>14</v>
      </c>
      <c r="N796" s="8">
        <v>1.6060540465388441E-2</v>
      </c>
      <c r="O796" s="6" t="s">
        <v>7</v>
      </c>
    </row>
    <row r="797" spans="2:15" x14ac:dyDescent="0.45">
      <c r="B797" s="3" t="s">
        <v>105</v>
      </c>
      <c r="C797" s="3" t="s">
        <v>15</v>
      </c>
      <c r="D797" s="4">
        <v>2.0674700463773704E-2</v>
      </c>
      <c r="E797" s="3" t="s">
        <v>7</v>
      </c>
      <c r="G797" s="3" t="s">
        <v>106</v>
      </c>
      <c r="H797" s="3" t="s">
        <v>15</v>
      </c>
      <c r="I797" s="5">
        <v>1.5570450089487629E-2</v>
      </c>
      <c r="J797" s="3" t="s">
        <v>7</v>
      </c>
      <c r="L797" s="3" t="s">
        <v>107</v>
      </c>
      <c r="M797" s="3" t="s">
        <v>15</v>
      </c>
      <c r="N797" s="5">
        <v>1.5969910272972981E-2</v>
      </c>
      <c r="O797" s="3" t="s">
        <v>7</v>
      </c>
    </row>
    <row r="798" spans="2:15" x14ac:dyDescent="0.45">
      <c r="B798" s="6" t="s">
        <v>105</v>
      </c>
      <c r="C798" s="6" t="s">
        <v>16</v>
      </c>
      <c r="D798" s="7">
        <v>4.091205256050578E-3</v>
      </c>
      <c r="E798" s="6" t="s">
        <v>7</v>
      </c>
      <c r="G798" s="6" t="s">
        <v>106</v>
      </c>
      <c r="H798" s="6" t="s">
        <v>16</v>
      </c>
      <c r="I798" s="8">
        <v>1.5510788196016799E-2</v>
      </c>
      <c r="J798" s="6" t="s">
        <v>7</v>
      </c>
      <c r="L798" s="6" t="s">
        <v>107</v>
      </c>
      <c r="M798" s="6" t="s">
        <v>16</v>
      </c>
      <c r="N798" s="8">
        <v>1.587632950737116E-2</v>
      </c>
      <c r="O798" s="6" t="s">
        <v>7</v>
      </c>
    </row>
    <row r="799" spans="2:15" x14ac:dyDescent="0.45">
      <c r="B799" s="3" t="s">
        <v>105</v>
      </c>
      <c r="C799" s="3" t="s">
        <v>17</v>
      </c>
      <c r="D799" s="4">
        <v>0</v>
      </c>
      <c r="E799" s="3" t="s">
        <v>7</v>
      </c>
      <c r="G799" s="3" t="s">
        <v>106</v>
      </c>
      <c r="H799" s="3" t="s">
        <v>17</v>
      </c>
      <c r="I799" s="5">
        <v>1.571698971893086E-2</v>
      </c>
      <c r="J799" s="3" t="s">
        <v>7</v>
      </c>
      <c r="L799" s="3" t="s">
        <v>107</v>
      </c>
      <c r="M799" s="3" t="s">
        <v>17</v>
      </c>
      <c r="N799" s="5">
        <v>1.5792805508770835E-2</v>
      </c>
      <c r="O799" s="3" t="s">
        <v>7</v>
      </c>
    </row>
    <row r="800" spans="2:15" x14ac:dyDescent="0.45">
      <c r="B800" s="6" t="s">
        <v>105</v>
      </c>
      <c r="C800" s="6" t="s">
        <v>18</v>
      </c>
      <c r="D800" s="7">
        <v>0</v>
      </c>
      <c r="E800" s="6" t="s">
        <v>7</v>
      </c>
      <c r="G800" s="6" t="s">
        <v>106</v>
      </c>
      <c r="H800" s="6" t="s">
        <v>18</v>
      </c>
      <c r="I800" s="8">
        <v>2.3450000246625444E-2</v>
      </c>
      <c r="J800" s="6" t="s">
        <v>7</v>
      </c>
      <c r="L800" s="6" t="s">
        <v>107</v>
      </c>
      <c r="M800" s="6" t="s">
        <v>18</v>
      </c>
      <c r="N800" s="8">
        <v>2.3348723883518625E-2</v>
      </c>
      <c r="O800" s="6" t="s">
        <v>7</v>
      </c>
    </row>
    <row r="801" spans="2:15" x14ac:dyDescent="0.45">
      <c r="B801" s="3" t="s">
        <v>105</v>
      </c>
      <c r="C801" s="3" t="s">
        <v>19</v>
      </c>
      <c r="D801" s="4">
        <v>0</v>
      </c>
      <c r="E801" s="3" t="s">
        <v>7</v>
      </c>
      <c r="G801" s="3" t="s">
        <v>106</v>
      </c>
      <c r="H801" s="3" t="s">
        <v>19</v>
      </c>
      <c r="I801" s="5">
        <v>3.5653722748164723E-2</v>
      </c>
      <c r="J801" s="3" t="s">
        <v>7</v>
      </c>
      <c r="L801" s="3" t="s">
        <v>107</v>
      </c>
      <c r="M801" s="3" t="s">
        <v>19</v>
      </c>
      <c r="N801" s="5">
        <v>4.1879250868588444E-2</v>
      </c>
      <c r="O801" s="3" t="s">
        <v>7</v>
      </c>
    </row>
    <row r="802" spans="2:15" x14ac:dyDescent="0.45">
      <c r="B802" s="6" t="s">
        <v>105</v>
      </c>
      <c r="C802" s="6" t="s">
        <v>20</v>
      </c>
      <c r="D802" s="7">
        <v>3.3588845654471129E-5</v>
      </c>
      <c r="E802" s="6" t="s">
        <v>7</v>
      </c>
      <c r="G802" s="6" t="s">
        <v>106</v>
      </c>
      <c r="H802" s="6" t="s">
        <v>20</v>
      </c>
      <c r="I802" s="8">
        <v>1.414380054429001E-2</v>
      </c>
      <c r="J802" s="6" t="s">
        <v>7</v>
      </c>
      <c r="L802" s="6" t="s">
        <v>107</v>
      </c>
      <c r="M802" s="6" t="s">
        <v>20</v>
      </c>
      <c r="N802" s="8">
        <v>1.6599337572523052E-2</v>
      </c>
      <c r="O802" s="6" t="s">
        <v>7</v>
      </c>
    </row>
    <row r="803" spans="2:15" x14ac:dyDescent="0.45">
      <c r="B803" s="3" t="s">
        <v>105</v>
      </c>
      <c r="C803" s="3" t="s">
        <v>21</v>
      </c>
      <c r="D803" s="4">
        <v>6.6069981518376017E-3</v>
      </c>
      <c r="E803" s="3" t="s">
        <v>7</v>
      </c>
      <c r="G803" s="3" t="s">
        <v>106</v>
      </c>
      <c r="H803" s="3" t="s">
        <v>21</v>
      </c>
      <c r="I803" s="5">
        <v>1.4137023272949851E-2</v>
      </c>
      <c r="J803" s="3" t="s">
        <v>7</v>
      </c>
      <c r="L803" s="3" t="s">
        <v>107</v>
      </c>
      <c r="M803" s="3" t="s">
        <v>21</v>
      </c>
      <c r="N803" s="5">
        <v>1.660700307015861E-2</v>
      </c>
      <c r="O803" s="3" t="s">
        <v>7</v>
      </c>
    </row>
    <row r="804" spans="2:15" x14ac:dyDescent="0.45">
      <c r="B804" s="6" t="s">
        <v>105</v>
      </c>
      <c r="C804" s="6" t="s">
        <v>22</v>
      </c>
      <c r="D804" s="7">
        <v>3.4534783264129787E-2</v>
      </c>
      <c r="E804" s="6" t="s">
        <v>7</v>
      </c>
      <c r="G804" s="6" t="s">
        <v>106</v>
      </c>
      <c r="H804" s="6" t="s">
        <v>22</v>
      </c>
      <c r="I804" s="8">
        <v>1.5412346493227829E-2</v>
      </c>
      <c r="J804" s="6" t="s">
        <v>7</v>
      </c>
      <c r="L804" s="6" t="s">
        <v>107</v>
      </c>
      <c r="M804" s="6" t="s">
        <v>22</v>
      </c>
      <c r="N804" s="8">
        <v>1.6292846225634414E-2</v>
      </c>
      <c r="O804" s="6" t="s">
        <v>7</v>
      </c>
    </row>
    <row r="805" spans="2:15" x14ac:dyDescent="0.45">
      <c r="B805" s="3" t="s">
        <v>105</v>
      </c>
      <c r="C805" s="3" t="s">
        <v>23</v>
      </c>
      <c r="D805" s="4">
        <v>5.3523693390008828E-2</v>
      </c>
      <c r="E805" s="3" t="s">
        <v>7</v>
      </c>
      <c r="G805" s="3" t="s">
        <v>106</v>
      </c>
      <c r="H805" s="3" t="s">
        <v>23</v>
      </c>
      <c r="I805" s="5">
        <v>1.5955036561398798E-2</v>
      </c>
      <c r="J805" s="3" t="s">
        <v>7</v>
      </c>
      <c r="L805" s="3" t="s">
        <v>107</v>
      </c>
      <c r="M805" s="3" t="s">
        <v>23</v>
      </c>
      <c r="N805" s="5">
        <v>1.6105888447837152E-2</v>
      </c>
      <c r="O805" s="3" t="s">
        <v>7</v>
      </c>
    </row>
    <row r="806" spans="2:15" x14ac:dyDescent="0.45">
      <c r="B806" s="6" t="s">
        <v>105</v>
      </c>
      <c r="C806" s="6" t="s">
        <v>24</v>
      </c>
      <c r="D806" s="7">
        <v>5.6787658693769928E-2</v>
      </c>
      <c r="E806" s="6" t="s">
        <v>7</v>
      </c>
      <c r="G806" s="6" t="s">
        <v>106</v>
      </c>
      <c r="H806" s="6" t="s">
        <v>24</v>
      </c>
      <c r="I806" s="8">
        <v>1.6250213292400371E-2</v>
      </c>
      <c r="J806" s="6" t="s">
        <v>7</v>
      </c>
      <c r="L806" s="6" t="s">
        <v>107</v>
      </c>
      <c r="M806" s="6" t="s">
        <v>24</v>
      </c>
      <c r="N806" s="8">
        <v>1.5775518953861627E-2</v>
      </c>
      <c r="O806" s="6" t="s">
        <v>7</v>
      </c>
    </row>
    <row r="807" spans="2:15" x14ac:dyDescent="0.45">
      <c r="B807" s="3" t="s">
        <v>105</v>
      </c>
      <c r="C807" s="3" t="s">
        <v>25</v>
      </c>
      <c r="D807" s="4">
        <v>4.534745822507974E-2</v>
      </c>
      <c r="E807" s="3" t="s">
        <v>7</v>
      </c>
      <c r="G807" s="3" t="s">
        <v>106</v>
      </c>
      <c r="H807" s="3" t="s">
        <v>25</v>
      </c>
      <c r="I807" s="5">
        <v>1.6180501630213003E-2</v>
      </c>
      <c r="J807" s="3" t="s">
        <v>7</v>
      </c>
      <c r="L807" s="3" t="s">
        <v>107</v>
      </c>
      <c r="M807" s="3" t="s">
        <v>25</v>
      </c>
      <c r="N807" s="5">
        <v>1.5714407511397414E-2</v>
      </c>
      <c r="O807" s="3" t="s">
        <v>7</v>
      </c>
    </row>
    <row r="808" spans="2:15" x14ac:dyDescent="0.45">
      <c r="B808" s="6" t="s">
        <v>105</v>
      </c>
      <c r="C808" s="6" t="s">
        <v>26</v>
      </c>
      <c r="D808" s="7">
        <v>2.0196963262821367E-2</v>
      </c>
      <c r="E808" s="6" t="s">
        <v>7</v>
      </c>
      <c r="G808" s="6" t="s">
        <v>106</v>
      </c>
      <c r="H808" s="6" t="s">
        <v>26</v>
      </c>
      <c r="I808" s="8">
        <v>1.5653782943087127E-2</v>
      </c>
      <c r="J808" s="6" t="s">
        <v>7</v>
      </c>
      <c r="L808" s="6" t="s">
        <v>107</v>
      </c>
      <c r="M808" s="6" t="s">
        <v>26</v>
      </c>
      <c r="N808" s="8">
        <v>1.5931424700979566E-2</v>
      </c>
      <c r="O808" s="6" t="s">
        <v>7</v>
      </c>
    </row>
    <row r="809" spans="2:15" x14ac:dyDescent="0.45">
      <c r="B809" s="3" t="s">
        <v>105</v>
      </c>
      <c r="C809" s="3" t="s">
        <v>27</v>
      </c>
      <c r="D809" s="4">
        <v>1.11195517428161E-3</v>
      </c>
      <c r="E809" s="3" t="s">
        <v>7</v>
      </c>
      <c r="G809" s="3" t="s">
        <v>106</v>
      </c>
      <c r="H809" s="3" t="s">
        <v>27</v>
      </c>
      <c r="I809" s="5">
        <v>1.5099893814089139E-2</v>
      </c>
      <c r="J809" s="3" t="s">
        <v>7</v>
      </c>
      <c r="L809" s="3" t="s">
        <v>107</v>
      </c>
      <c r="M809" s="3" t="s">
        <v>27</v>
      </c>
      <c r="N809" s="5">
        <v>1.6413118796663174E-2</v>
      </c>
      <c r="O809" s="3" t="s">
        <v>7</v>
      </c>
    </row>
    <row r="810" spans="2:15" x14ac:dyDescent="0.45">
      <c r="B810" s="6" t="s">
        <v>105</v>
      </c>
      <c r="C810" s="6" t="s">
        <v>28</v>
      </c>
      <c r="D810" s="7">
        <v>0</v>
      </c>
      <c r="E810" s="6" t="s">
        <v>7</v>
      </c>
      <c r="G810" s="6" t="s">
        <v>106</v>
      </c>
      <c r="H810" s="6" t="s">
        <v>28</v>
      </c>
      <c r="I810" s="8">
        <v>2.252782934831794E-2</v>
      </c>
      <c r="J810" s="6" t="s">
        <v>7</v>
      </c>
      <c r="L810" s="6" t="s">
        <v>107</v>
      </c>
      <c r="M810" s="6" t="s">
        <v>28</v>
      </c>
      <c r="N810" s="8">
        <v>2.4672839217819906E-2</v>
      </c>
      <c r="O810" s="6" t="s">
        <v>7</v>
      </c>
    </row>
    <row r="811" spans="2:15" x14ac:dyDescent="0.45">
      <c r="B811" s="3" t="s">
        <v>105</v>
      </c>
      <c r="C811" s="3" t="s">
        <v>29</v>
      </c>
      <c r="D811" s="4">
        <v>0</v>
      </c>
      <c r="E811" s="3" t="s">
        <v>7</v>
      </c>
      <c r="G811" s="3" t="s">
        <v>106</v>
      </c>
      <c r="H811" s="3" t="s">
        <v>29</v>
      </c>
      <c r="I811" s="5">
        <v>2.7259160659890737E-2</v>
      </c>
      <c r="J811" s="3" t="s">
        <v>7</v>
      </c>
      <c r="L811" s="3" t="s">
        <v>107</v>
      </c>
      <c r="M811" s="3" t="s">
        <v>29</v>
      </c>
      <c r="N811" s="5">
        <v>3.5169764035553365E-2</v>
      </c>
      <c r="O811" s="3" t="s">
        <v>7</v>
      </c>
    </row>
    <row r="812" spans="2:15" x14ac:dyDescent="0.45">
      <c r="B812" s="6" t="s">
        <v>105</v>
      </c>
      <c r="C812" s="6" t="s">
        <v>30</v>
      </c>
      <c r="D812" s="7">
        <v>1.4012573508414181E-3</v>
      </c>
      <c r="E812" s="6" t="s">
        <v>7</v>
      </c>
      <c r="G812" s="6" t="s">
        <v>106</v>
      </c>
      <c r="H812" s="6" t="s">
        <v>30</v>
      </c>
      <c r="I812" s="8">
        <v>1.1521442814028419E-2</v>
      </c>
      <c r="J812" s="6" t="s">
        <v>7</v>
      </c>
      <c r="L812" s="6" t="s">
        <v>107</v>
      </c>
      <c r="M812" s="6" t="s">
        <v>30</v>
      </c>
      <c r="N812" s="8">
        <v>1.3743605198657617E-2</v>
      </c>
      <c r="O812" s="6" t="s">
        <v>7</v>
      </c>
    </row>
    <row r="813" spans="2:15" x14ac:dyDescent="0.45">
      <c r="B813" s="3" t="s">
        <v>105</v>
      </c>
      <c r="C813" s="3" t="s">
        <v>31</v>
      </c>
      <c r="D813" s="4">
        <v>1.4031811078104976E-2</v>
      </c>
      <c r="E813" s="3" t="s">
        <v>7</v>
      </c>
      <c r="G813" s="3" t="s">
        <v>106</v>
      </c>
      <c r="H813" s="3" t="s">
        <v>31</v>
      </c>
      <c r="I813" s="5">
        <v>1.2023642821067222E-2</v>
      </c>
      <c r="J813" s="3" t="s">
        <v>7</v>
      </c>
      <c r="L813" s="3" t="s">
        <v>107</v>
      </c>
      <c r="M813" s="3" t="s">
        <v>31</v>
      </c>
      <c r="N813" s="5">
        <v>1.3412963426222774E-2</v>
      </c>
      <c r="O813" s="3" t="s">
        <v>7</v>
      </c>
    </row>
    <row r="814" spans="2:15" x14ac:dyDescent="0.45">
      <c r="B814" s="6" t="s">
        <v>105</v>
      </c>
      <c r="C814" s="6" t="s">
        <v>32</v>
      </c>
      <c r="D814" s="7">
        <v>3.7177167893903004E-2</v>
      </c>
      <c r="E814" s="6" t="s">
        <v>7</v>
      </c>
      <c r="G814" s="6" t="s">
        <v>106</v>
      </c>
      <c r="H814" s="6" t="s">
        <v>32</v>
      </c>
      <c r="I814" s="8">
        <v>1.2254524605527745E-2</v>
      </c>
      <c r="J814" s="6" t="s">
        <v>7</v>
      </c>
      <c r="L814" s="6" t="s">
        <v>107</v>
      </c>
      <c r="M814" s="6" t="s">
        <v>32</v>
      </c>
      <c r="N814" s="8">
        <v>1.2882594404836202E-2</v>
      </c>
      <c r="O814" s="6" t="s">
        <v>7</v>
      </c>
    </row>
    <row r="815" spans="2:15" x14ac:dyDescent="0.45">
      <c r="B815" s="3" t="s">
        <v>105</v>
      </c>
      <c r="C815" s="3" t="s">
        <v>33</v>
      </c>
      <c r="D815" s="4">
        <v>5.3805366670032655E-2</v>
      </c>
      <c r="E815" s="3" t="s">
        <v>7</v>
      </c>
      <c r="G815" s="3" t="s">
        <v>106</v>
      </c>
      <c r="H815" s="3" t="s">
        <v>33</v>
      </c>
      <c r="I815" s="5">
        <v>1.2232756043865875E-2</v>
      </c>
      <c r="J815" s="3" t="s">
        <v>7</v>
      </c>
      <c r="L815" s="3" t="s">
        <v>107</v>
      </c>
      <c r="M815" s="3" t="s">
        <v>33</v>
      </c>
      <c r="N815" s="5">
        <v>1.2775995457453872E-2</v>
      </c>
      <c r="O815" s="3" t="s">
        <v>7</v>
      </c>
    </row>
    <row r="816" spans="2:15" x14ac:dyDescent="0.45">
      <c r="B816" s="6" t="s">
        <v>105</v>
      </c>
      <c r="C816" s="6" t="s">
        <v>34</v>
      </c>
      <c r="D816" s="7">
        <v>5.7098524058521116E-2</v>
      </c>
      <c r="E816" s="6" t="s">
        <v>7</v>
      </c>
      <c r="G816" s="6" t="s">
        <v>106</v>
      </c>
      <c r="H816" s="6" t="s">
        <v>34</v>
      </c>
      <c r="I816" s="8">
        <v>1.2443831249003978E-2</v>
      </c>
      <c r="J816" s="6" t="s">
        <v>7</v>
      </c>
      <c r="L816" s="6" t="s">
        <v>107</v>
      </c>
      <c r="M816" s="6" t="s">
        <v>34</v>
      </c>
      <c r="N816" s="8">
        <v>1.3242642874098345E-2</v>
      </c>
      <c r="O816" s="6" t="s">
        <v>7</v>
      </c>
    </row>
    <row r="817" spans="2:15" x14ac:dyDescent="0.45">
      <c r="B817" s="3" t="s">
        <v>105</v>
      </c>
      <c r="C817" s="3" t="s">
        <v>35</v>
      </c>
      <c r="D817" s="4">
        <v>4.9287870595835385E-2</v>
      </c>
      <c r="E817" s="3" t="s">
        <v>7</v>
      </c>
      <c r="G817" s="3" t="s">
        <v>106</v>
      </c>
      <c r="H817" s="3" t="s">
        <v>35</v>
      </c>
      <c r="I817" s="5">
        <v>1.2619623955476817E-2</v>
      </c>
      <c r="J817" s="3" t="s">
        <v>7</v>
      </c>
      <c r="L817" s="3" t="s">
        <v>107</v>
      </c>
      <c r="M817" s="3" t="s">
        <v>35</v>
      </c>
      <c r="N817" s="5">
        <v>1.3748244636279621E-2</v>
      </c>
      <c r="O817" s="3" t="s">
        <v>7</v>
      </c>
    </row>
    <row r="818" spans="2:15" x14ac:dyDescent="0.45">
      <c r="B818" s="6" t="s">
        <v>105</v>
      </c>
      <c r="C818" s="6" t="s">
        <v>36</v>
      </c>
      <c r="D818" s="7">
        <v>2.8078212754373597E-2</v>
      </c>
      <c r="E818" s="6" t="s">
        <v>7</v>
      </c>
      <c r="G818" s="6" t="s">
        <v>106</v>
      </c>
      <c r="H818" s="6" t="s">
        <v>36</v>
      </c>
      <c r="I818" s="8">
        <v>1.2414049941322926E-2</v>
      </c>
      <c r="J818" s="6" t="s">
        <v>7</v>
      </c>
      <c r="L818" s="6" t="s">
        <v>107</v>
      </c>
      <c r="M818" s="6" t="s">
        <v>36</v>
      </c>
      <c r="N818" s="8">
        <v>1.4247536772608645E-2</v>
      </c>
      <c r="O818" s="6" t="s">
        <v>7</v>
      </c>
    </row>
    <row r="819" spans="2:15" x14ac:dyDescent="0.45">
      <c r="B819" s="3" t="s">
        <v>105</v>
      </c>
      <c r="C819" s="3" t="s">
        <v>37</v>
      </c>
      <c r="D819" s="4">
        <v>5.5829780427900343E-3</v>
      </c>
      <c r="E819" s="3" t="s">
        <v>7</v>
      </c>
      <c r="G819" s="3" t="s">
        <v>106</v>
      </c>
      <c r="H819" s="3" t="s">
        <v>37</v>
      </c>
      <c r="I819" s="5">
        <v>1.1461613734847729E-2</v>
      </c>
      <c r="J819" s="3" t="s">
        <v>7</v>
      </c>
      <c r="L819" s="3" t="s">
        <v>107</v>
      </c>
      <c r="M819" s="3" t="s">
        <v>37</v>
      </c>
      <c r="N819" s="5">
        <v>1.4293472114489869E-2</v>
      </c>
      <c r="O819" s="3" t="s">
        <v>7</v>
      </c>
    </row>
    <row r="820" spans="2:15" x14ac:dyDescent="0.45">
      <c r="B820" s="6" t="s">
        <v>105</v>
      </c>
      <c r="C820" s="6" t="s">
        <v>38</v>
      </c>
      <c r="D820" s="7">
        <v>1.2773511866658998E-4</v>
      </c>
      <c r="E820" s="6" t="s">
        <v>7</v>
      </c>
      <c r="G820" s="6" t="s">
        <v>106</v>
      </c>
      <c r="H820" s="6" t="s">
        <v>38</v>
      </c>
      <c r="I820" s="8">
        <v>1.5974622771870072E-2</v>
      </c>
      <c r="J820" s="6" t="s">
        <v>7</v>
      </c>
      <c r="L820" s="6" t="s">
        <v>107</v>
      </c>
      <c r="M820" s="6" t="s">
        <v>38</v>
      </c>
      <c r="N820" s="8">
        <v>2.085174244732875E-2</v>
      </c>
      <c r="O820" s="6" t="s">
        <v>7</v>
      </c>
    </row>
    <row r="821" spans="2:15" x14ac:dyDescent="0.45">
      <c r="B821" s="3" t="s">
        <v>105</v>
      </c>
      <c r="C821" s="3" t="s">
        <v>39</v>
      </c>
      <c r="D821" s="4">
        <v>0</v>
      </c>
      <c r="E821" s="3" t="s">
        <v>7</v>
      </c>
      <c r="G821" s="3" t="s">
        <v>106</v>
      </c>
      <c r="H821" s="3" t="s">
        <v>39</v>
      </c>
      <c r="I821" s="5">
        <v>2.1302334819285527E-2</v>
      </c>
      <c r="J821" s="3" t="s">
        <v>7</v>
      </c>
      <c r="L821" s="3" t="s">
        <v>107</v>
      </c>
      <c r="M821" s="3" t="s">
        <v>39</v>
      </c>
      <c r="N821" s="5">
        <v>2.4537734762445036E-2</v>
      </c>
      <c r="O821" s="3" t="s">
        <v>7</v>
      </c>
    </row>
    <row r="822" spans="2:15" x14ac:dyDescent="0.45">
      <c r="B822" s="6" t="s">
        <v>105</v>
      </c>
      <c r="C822" s="6" t="s">
        <v>40</v>
      </c>
      <c r="D822" s="7">
        <v>7.7528420678307027E-4</v>
      </c>
      <c r="E822" s="6" t="s">
        <v>7</v>
      </c>
      <c r="G822" s="6" t="s">
        <v>106</v>
      </c>
      <c r="H822" s="6" t="s">
        <v>40</v>
      </c>
      <c r="I822" s="8">
        <v>8.5491694618589822E-3</v>
      </c>
      <c r="J822" s="6" t="s">
        <v>7</v>
      </c>
      <c r="L822" s="6" t="s">
        <v>107</v>
      </c>
      <c r="M822" s="6" t="s">
        <v>40</v>
      </c>
      <c r="N822" s="8">
        <v>9.642180175898768E-3</v>
      </c>
      <c r="O822" s="6" t="s">
        <v>7</v>
      </c>
    </row>
    <row r="823" spans="2:15" x14ac:dyDescent="0.45">
      <c r="B823" s="3" t="s">
        <v>105</v>
      </c>
      <c r="C823" s="3" t="s">
        <v>41</v>
      </c>
      <c r="D823" s="4">
        <v>1.1868710103552142E-2</v>
      </c>
      <c r="E823" s="3" t="s">
        <v>7</v>
      </c>
      <c r="G823" s="3" t="s">
        <v>106</v>
      </c>
      <c r="H823" s="3" t="s">
        <v>41</v>
      </c>
      <c r="I823" s="5">
        <v>8.9135667098902936E-3</v>
      </c>
      <c r="J823" s="3" t="s">
        <v>7</v>
      </c>
      <c r="L823" s="3" t="s">
        <v>107</v>
      </c>
      <c r="M823" s="3" t="s">
        <v>41</v>
      </c>
      <c r="N823" s="5">
        <v>9.449826882438634E-3</v>
      </c>
      <c r="O823" s="3" t="s">
        <v>7</v>
      </c>
    </row>
    <row r="824" spans="2:15" x14ac:dyDescent="0.45">
      <c r="B824" s="6" t="s">
        <v>105</v>
      </c>
      <c r="C824" s="6" t="s">
        <v>42</v>
      </c>
      <c r="D824" s="7">
        <v>3.622338345640462E-2</v>
      </c>
      <c r="E824" s="6" t="s">
        <v>7</v>
      </c>
      <c r="G824" s="6" t="s">
        <v>106</v>
      </c>
      <c r="H824" s="6" t="s">
        <v>42</v>
      </c>
      <c r="I824" s="8">
        <v>9.1734429325741884E-3</v>
      </c>
      <c r="J824" s="6" t="s">
        <v>7</v>
      </c>
      <c r="L824" s="6" t="s">
        <v>107</v>
      </c>
      <c r="M824" s="6" t="s">
        <v>42</v>
      </c>
      <c r="N824" s="8">
        <v>8.7412657381121996E-3</v>
      </c>
      <c r="O824" s="6" t="s">
        <v>7</v>
      </c>
    </row>
    <row r="825" spans="2:15" x14ac:dyDescent="0.45">
      <c r="B825" s="3" t="s">
        <v>105</v>
      </c>
      <c r="C825" s="3" t="s">
        <v>43</v>
      </c>
      <c r="D825" s="4">
        <v>5.3960032891018125E-2</v>
      </c>
      <c r="E825" s="3" t="s">
        <v>7</v>
      </c>
      <c r="G825" s="3" t="s">
        <v>106</v>
      </c>
      <c r="H825" s="3" t="s">
        <v>43</v>
      </c>
      <c r="I825" s="5">
        <v>9.2911146458554677E-3</v>
      </c>
      <c r="J825" s="3" t="s">
        <v>7</v>
      </c>
      <c r="L825" s="3" t="s">
        <v>107</v>
      </c>
      <c r="M825" s="3" t="s">
        <v>43</v>
      </c>
      <c r="N825" s="5">
        <v>8.5115125922345398E-3</v>
      </c>
      <c r="O825" s="3" t="s">
        <v>7</v>
      </c>
    </row>
    <row r="826" spans="2:15" x14ac:dyDescent="0.45">
      <c r="B826" s="6" t="s">
        <v>105</v>
      </c>
      <c r="C826" s="6" t="s">
        <v>44</v>
      </c>
      <c r="D826" s="7">
        <v>5.8081245017608883E-2</v>
      </c>
      <c r="E826" s="6" t="s">
        <v>7</v>
      </c>
      <c r="G826" s="6" t="s">
        <v>106</v>
      </c>
      <c r="H826" s="6" t="s">
        <v>44</v>
      </c>
      <c r="I826" s="8">
        <v>9.5722042821372848E-3</v>
      </c>
      <c r="J826" s="6" t="s">
        <v>7</v>
      </c>
      <c r="L826" s="6" t="s">
        <v>107</v>
      </c>
      <c r="M826" s="6" t="s">
        <v>44</v>
      </c>
      <c r="N826" s="8">
        <v>8.9246703214145712E-3</v>
      </c>
      <c r="O826" s="6" t="s">
        <v>7</v>
      </c>
    </row>
    <row r="827" spans="2:15" x14ac:dyDescent="0.45">
      <c r="B827" s="3" t="s">
        <v>105</v>
      </c>
      <c r="C827" s="3" t="s">
        <v>45</v>
      </c>
      <c r="D827" s="4">
        <v>4.7562648546247518E-2</v>
      </c>
      <c r="E827" s="3" t="s">
        <v>7</v>
      </c>
      <c r="G827" s="3" t="s">
        <v>106</v>
      </c>
      <c r="H827" s="3" t="s">
        <v>45</v>
      </c>
      <c r="I827" s="5">
        <v>9.400747352522127E-3</v>
      </c>
      <c r="J827" s="3" t="s">
        <v>7</v>
      </c>
      <c r="L827" s="3" t="s">
        <v>107</v>
      </c>
      <c r="M827" s="3" t="s">
        <v>45</v>
      </c>
      <c r="N827" s="5">
        <v>9.6011434640395042E-3</v>
      </c>
      <c r="O827" s="3" t="s">
        <v>7</v>
      </c>
    </row>
    <row r="828" spans="2:15" x14ac:dyDescent="0.45">
      <c r="B828" s="6" t="s">
        <v>105</v>
      </c>
      <c r="C828" s="6" t="s">
        <v>46</v>
      </c>
      <c r="D828" s="7">
        <v>2.5853915525927564E-2</v>
      </c>
      <c r="E828" s="6" t="s">
        <v>7</v>
      </c>
      <c r="G828" s="6" t="s">
        <v>106</v>
      </c>
      <c r="H828" s="6" t="s">
        <v>46</v>
      </c>
      <c r="I828" s="8">
        <v>8.9041894199079763E-3</v>
      </c>
      <c r="J828" s="6" t="s">
        <v>7</v>
      </c>
      <c r="L828" s="6" t="s">
        <v>107</v>
      </c>
      <c r="M828" s="6" t="s">
        <v>46</v>
      </c>
      <c r="N828" s="8">
        <v>9.7706102866767699E-3</v>
      </c>
      <c r="O828" s="6" t="s">
        <v>7</v>
      </c>
    </row>
    <row r="829" spans="2:15" x14ac:dyDescent="0.45">
      <c r="B829" s="3" t="s">
        <v>105</v>
      </c>
      <c r="C829" s="3" t="s">
        <v>47</v>
      </c>
      <c r="D829" s="4">
        <v>4.5422716561263638E-3</v>
      </c>
      <c r="E829" s="3" t="s">
        <v>7</v>
      </c>
      <c r="G829" s="3" t="s">
        <v>106</v>
      </c>
      <c r="H829" s="3" t="s">
        <v>47</v>
      </c>
      <c r="I829" s="5">
        <v>8.1622661044603636E-3</v>
      </c>
      <c r="J829" s="3" t="s">
        <v>7</v>
      </c>
      <c r="L829" s="3" t="s">
        <v>107</v>
      </c>
      <c r="M829" s="3" t="s">
        <v>47</v>
      </c>
      <c r="N829" s="5">
        <v>9.5202351888212522E-3</v>
      </c>
      <c r="O829" s="3" t="s">
        <v>7</v>
      </c>
    </row>
    <row r="830" spans="2:15" x14ac:dyDescent="0.45">
      <c r="B830" s="6" t="s">
        <v>105</v>
      </c>
      <c r="C830" s="6" t="s">
        <v>48</v>
      </c>
      <c r="D830" s="7">
        <v>6.9187676414158653E-5</v>
      </c>
      <c r="E830" s="6" t="s">
        <v>7</v>
      </c>
      <c r="G830" s="6" t="s">
        <v>106</v>
      </c>
      <c r="H830" s="6" t="s">
        <v>48</v>
      </c>
      <c r="I830" s="8">
        <v>1.2011686569706125E-2</v>
      </c>
      <c r="J830" s="6" t="s">
        <v>7</v>
      </c>
      <c r="L830" s="6" t="s">
        <v>107</v>
      </c>
      <c r="M830" s="6" t="s">
        <v>48</v>
      </c>
      <c r="N830" s="8">
        <v>1.4101847127756112E-2</v>
      </c>
      <c r="O830" s="6" t="s">
        <v>7</v>
      </c>
    </row>
    <row r="831" spans="2:15" x14ac:dyDescent="0.45">
      <c r="B831" s="3" t="s">
        <v>105</v>
      </c>
      <c r="C831" s="3" t="s">
        <v>49</v>
      </c>
      <c r="D831" s="4">
        <v>0</v>
      </c>
      <c r="E831" s="3" t="s">
        <v>7</v>
      </c>
      <c r="G831" s="3" t="s">
        <v>106</v>
      </c>
      <c r="H831" s="3" t="s">
        <v>49</v>
      </c>
      <c r="I831" s="5">
        <v>3.1847274353391894E-2</v>
      </c>
      <c r="J831" s="3" t="s">
        <v>7</v>
      </c>
      <c r="L831" s="3" t="s">
        <v>107</v>
      </c>
      <c r="M831" s="3" t="s">
        <v>49</v>
      </c>
      <c r="N831" s="5">
        <v>3.2104132902014713E-2</v>
      </c>
      <c r="O831" s="3" t="s">
        <v>7</v>
      </c>
    </row>
    <row r="832" spans="2:15" x14ac:dyDescent="0.45">
      <c r="B832" s="6" t="s">
        <v>105</v>
      </c>
      <c r="C832" s="6" t="s">
        <v>50</v>
      </c>
      <c r="D832" s="7">
        <v>0</v>
      </c>
      <c r="E832" s="6" t="s">
        <v>7</v>
      </c>
      <c r="G832" s="6" t="s">
        <v>106</v>
      </c>
      <c r="H832" s="6" t="s">
        <v>50</v>
      </c>
      <c r="I832" s="8">
        <v>1.3324682158979617E-2</v>
      </c>
      <c r="J832" s="6" t="s">
        <v>7</v>
      </c>
      <c r="L832" s="6" t="s">
        <v>107</v>
      </c>
      <c r="M832" s="6" t="s">
        <v>50</v>
      </c>
      <c r="N832" s="8">
        <v>1.3055683722515215E-2</v>
      </c>
      <c r="O832" s="6" t="s">
        <v>7</v>
      </c>
    </row>
    <row r="833" spans="2:15" x14ac:dyDescent="0.45">
      <c r="B833" s="3" t="s">
        <v>105</v>
      </c>
      <c r="C833" s="3" t="s">
        <v>51</v>
      </c>
      <c r="D833" s="4">
        <v>2.8424709401035095E-3</v>
      </c>
      <c r="E833" s="3" t="s">
        <v>7</v>
      </c>
      <c r="G833" s="3" t="s">
        <v>106</v>
      </c>
      <c r="H833" s="3" t="s">
        <v>51</v>
      </c>
      <c r="I833" s="5">
        <v>1.3851780434083798E-2</v>
      </c>
      <c r="J833" s="3" t="s">
        <v>7</v>
      </c>
      <c r="L833" s="3" t="s">
        <v>107</v>
      </c>
      <c r="M833" s="3" t="s">
        <v>51</v>
      </c>
      <c r="N833" s="5">
        <v>1.3060428579461224E-2</v>
      </c>
      <c r="O833" s="3" t="s">
        <v>7</v>
      </c>
    </row>
    <row r="834" spans="2:15" x14ac:dyDescent="0.45">
      <c r="B834" s="6" t="s">
        <v>105</v>
      </c>
      <c r="C834" s="6" t="s">
        <v>52</v>
      </c>
      <c r="D834" s="7">
        <v>2.1512578481645644E-2</v>
      </c>
      <c r="E834" s="6" t="s">
        <v>7</v>
      </c>
      <c r="G834" s="6" t="s">
        <v>106</v>
      </c>
      <c r="H834" s="6" t="s">
        <v>52</v>
      </c>
      <c r="I834" s="8">
        <v>1.4956807315952503E-2</v>
      </c>
      <c r="J834" s="6" t="s">
        <v>7</v>
      </c>
      <c r="L834" s="6" t="s">
        <v>107</v>
      </c>
      <c r="M834" s="6" t="s">
        <v>52</v>
      </c>
      <c r="N834" s="8">
        <v>1.318177932685171E-2</v>
      </c>
      <c r="O834" s="6" t="s">
        <v>7</v>
      </c>
    </row>
    <row r="835" spans="2:15" x14ac:dyDescent="0.45">
      <c r="B835" s="3" t="s">
        <v>105</v>
      </c>
      <c r="C835" s="3" t="s">
        <v>53</v>
      </c>
      <c r="D835" s="4">
        <v>3.6419140088152627E-2</v>
      </c>
      <c r="E835" s="3" t="s">
        <v>7</v>
      </c>
      <c r="G835" s="3" t="s">
        <v>106</v>
      </c>
      <c r="H835" s="3" t="s">
        <v>53</v>
      </c>
      <c r="I835" s="5">
        <v>1.5408734803944821E-2</v>
      </c>
      <c r="J835" s="3" t="s">
        <v>7</v>
      </c>
      <c r="L835" s="3" t="s">
        <v>107</v>
      </c>
      <c r="M835" s="3" t="s">
        <v>53</v>
      </c>
      <c r="N835" s="5">
        <v>1.3277466263119753E-2</v>
      </c>
      <c r="O835" s="3" t="s">
        <v>7</v>
      </c>
    </row>
    <row r="836" spans="2:15" x14ac:dyDescent="0.45">
      <c r="B836" s="6" t="s">
        <v>105</v>
      </c>
      <c r="C836" s="6" t="s">
        <v>54</v>
      </c>
      <c r="D836" s="7">
        <v>3.8396376260170874E-2</v>
      </c>
      <c r="E836" s="6" t="s">
        <v>7</v>
      </c>
      <c r="G836" s="6" t="s">
        <v>106</v>
      </c>
      <c r="H836" s="6" t="s">
        <v>54</v>
      </c>
      <c r="I836" s="8">
        <v>1.4833056659664501E-2</v>
      </c>
      <c r="J836" s="6" t="s">
        <v>7</v>
      </c>
      <c r="L836" s="6" t="s">
        <v>107</v>
      </c>
      <c r="M836" s="6" t="s">
        <v>54</v>
      </c>
      <c r="N836" s="8">
        <v>1.3374521761388232E-2</v>
      </c>
      <c r="O836" s="6" t="s">
        <v>7</v>
      </c>
    </row>
    <row r="837" spans="2:15" x14ac:dyDescent="0.45">
      <c r="B837" s="3" t="s">
        <v>105</v>
      </c>
      <c r="C837" s="3" t="s">
        <v>55</v>
      </c>
      <c r="D837" s="4">
        <v>2.7932006086288159E-2</v>
      </c>
      <c r="E837" s="3" t="s">
        <v>7</v>
      </c>
      <c r="G837" s="3" t="s">
        <v>106</v>
      </c>
      <c r="H837" s="3" t="s">
        <v>55</v>
      </c>
      <c r="I837" s="5">
        <v>1.4353761396441412E-2</v>
      </c>
      <c r="J837" s="3" t="s">
        <v>7</v>
      </c>
      <c r="L837" s="3" t="s">
        <v>107</v>
      </c>
      <c r="M837" s="3" t="s">
        <v>55</v>
      </c>
      <c r="N837" s="5">
        <v>1.3372790665399651E-2</v>
      </c>
      <c r="O837" s="3" t="s">
        <v>7</v>
      </c>
    </row>
    <row r="838" spans="2:15" x14ac:dyDescent="0.45">
      <c r="B838" s="6" t="s">
        <v>105</v>
      </c>
      <c r="C838" s="6" t="s">
        <v>56</v>
      </c>
      <c r="D838" s="7">
        <v>8.6626448384514547E-3</v>
      </c>
      <c r="E838" s="6" t="s">
        <v>7</v>
      </c>
      <c r="G838" s="6" t="s">
        <v>106</v>
      </c>
      <c r="H838" s="6" t="s">
        <v>56</v>
      </c>
      <c r="I838" s="8">
        <v>1.3287513361065473E-2</v>
      </c>
      <c r="J838" s="6" t="s">
        <v>7</v>
      </c>
      <c r="L838" s="6" t="s">
        <v>107</v>
      </c>
      <c r="M838" s="6" t="s">
        <v>56</v>
      </c>
      <c r="N838" s="8">
        <v>1.2814350915514599E-2</v>
      </c>
      <c r="O838" s="6" t="s">
        <v>7</v>
      </c>
    </row>
    <row r="839" spans="2:15" x14ac:dyDescent="0.45">
      <c r="B839" s="3" t="s">
        <v>105</v>
      </c>
      <c r="C839" s="3" t="s">
        <v>57</v>
      </c>
      <c r="D839" s="4">
        <v>8.9933998203664808E-5</v>
      </c>
      <c r="E839" s="3" t="s">
        <v>7</v>
      </c>
      <c r="G839" s="3" t="s">
        <v>106</v>
      </c>
      <c r="H839" s="3" t="s">
        <v>57</v>
      </c>
      <c r="I839" s="5">
        <v>1.2901533283449677E-2</v>
      </c>
      <c r="J839" s="3" t="s">
        <v>7</v>
      </c>
      <c r="L839" s="3" t="s">
        <v>107</v>
      </c>
      <c r="M839" s="3" t="s">
        <v>57</v>
      </c>
      <c r="N839" s="5">
        <v>1.222975006066947E-2</v>
      </c>
      <c r="O839" s="3" t="s">
        <v>7</v>
      </c>
    </row>
    <row r="840" spans="2:15" x14ac:dyDescent="0.45">
      <c r="B840" s="6" t="s">
        <v>105</v>
      </c>
      <c r="C840" s="6" t="s">
        <v>58</v>
      </c>
      <c r="D840" s="7">
        <v>0</v>
      </c>
      <c r="E840" s="6" t="s">
        <v>7</v>
      </c>
      <c r="G840" s="6" t="s">
        <v>106</v>
      </c>
      <c r="H840" s="6" t="s">
        <v>58</v>
      </c>
      <c r="I840" s="8">
        <v>1.9167370230728609E-2</v>
      </c>
      <c r="J840" s="6" t="s">
        <v>7</v>
      </c>
      <c r="L840" s="6" t="s">
        <v>107</v>
      </c>
      <c r="M840" s="6" t="s">
        <v>58</v>
      </c>
      <c r="N840" s="8">
        <v>1.8532493169802614E-2</v>
      </c>
      <c r="O840" s="6" t="s">
        <v>7</v>
      </c>
    </row>
    <row r="841" spans="2:15" x14ac:dyDescent="0.45">
      <c r="B841" s="3" t="s">
        <v>105</v>
      </c>
      <c r="C841" s="3" t="s">
        <v>59</v>
      </c>
      <c r="D841" s="4">
        <v>0</v>
      </c>
      <c r="E841" s="3" t="s">
        <v>7</v>
      </c>
      <c r="G841" s="3" t="s">
        <v>106</v>
      </c>
      <c r="H841" s="3" t="s">
        <v>59</v>
      </c>
      <c r="I841" s="5">
        <v>4.6523814024874217E-2</v>
      </c>
      <c r="J841" s="3" t="s">
        <v>7</v>
      </c>
      <c r="L841" s="3" t="s">
        <v>107</v>
      </c>
      <c r="M841" s="3" t="s">
        <v>59</v>
      </c>
      <c r="N841" s="5">
        <v>3.6549049296785471E-2</v>
      </c>
      <c r="O841" s="3" t="s">
        <v>7</v>
      </c>
    </row>
    <row r="842" spans="2:15" x14ac:dyDescent="0.45">
      <c r="B842" s="6" t="s">
        <v>105</v>
      </c>
      <c r="C842" s="6" t="s">
        <v>60</v>
      </c>
      <c r="D842" s="7">
        <v>0</v>
      </c>
      <c r="E842" s="6" t="s">
        <v>7</v>
      </c>
      <c r="G842" s="6" t="s">
        <v>106</v>
      </c>
      <c r="H842" s="6" t="s">
        <v>60</v>
      </c>
      <c r="I842" s="8">
        <v>1.823510465307298E-2</v>
      </c>
      <c r="J842" s="6" t="s">
        <v>7</v>
      </c>
      <c r="L842" s="6" t="s">
        <v>107</v>
      </c>
      <c r="M842" s="6" t="s">
        <v>60</v>
      </c>
      <c r="N842" s="8">
        <v>1.4510640848810078E-2</v>
      </c>
      <c r="O842" s="6" t="s">
        <v>7</v>
      </c>
    </row>
    <row r="843" spans="2:15" x14ac:dyDescent="0.45">
      <c r="B843" s="3" t="s">
        <v>105</v>
      </c>
      <c r="C843" s="3" t="s">
        <v>61</v>
      </c>
      <c r="D843" s="4">
        <v>0</v>
      </c>
      <c r="E843" s="3" t="s">
        <v>7</v>
      </c>
      <c r="G843" s="3" t="s">
        <v>106</v>
      </c>
      <c r="H843" s="3" t="s">
        <v>61</v>
      </c>
      <c r="I843" s="5">
        <v>1.8313009476628773E-2</v>
      </c>
      <c r="J843" s="3" t="s">
        <v>7</v>
      </c>
      <c r="L843" s="3" t="s">
        <v>107</v>
      </c>
      <c r="M843" s="3" t="s">
        <v>61</v>
      </c>
      <c r="N843" s="5">
        <v>1.4279367639022548E-2</v>
      </c>
      <c r="O843" s="3" t="s">
        <v>7</v>
      </c>
    </row>
    <row r="844" spans="2:15" x14ac:dyDescent="0.45">
      <c r="B844" s="6" t="s">
        <v>105</v>
      </c>
      <c r="C844" s="6" t="s">
        <v>62</v>
      </c>
      <c r="D844" s="7">
        <v>6.9608047939672159E-3</v>
      </c>
      <c r="E844" s="6" t="s">
        <v>7</v>
      </c>
      <c r="G844" s="6" t="s">
        <v>106</v>
      </c>
      <c r="H844" s="6" t="s">
        <v>62</v>
      </c>
      <c r="I844" s="8">
        <v>1.8127374857813298E-2</v>
      </c>
      <c r="J844" s="6" t="s">
        <v>7</v>
      </c>
      <c r="L844" s="6" t="s">
        <v>107</v>
      </c>
      <c r="M844" s="6" t="s">
        <v>62</v>
      </c>
      <c r="N844" s="8">
        <v>1.4116390292804959E-2</v>
      </c>
      <c r="O844" s="6" t="s">
        <v>7</v>
      </c>
    </row>
    <row r="845" spans="2:15" x14ac:dyDescent="0.45">
      <c r="B845" s="3" t="s">
        <v>105</v>
      </c>
      <c r="C845" s="3" t="s">
        <v>63</v>
      </c>
      <c r="D845" s="4">
        <v>2.4051075699498173E-2</v>
      </c>
      <c r="E845" s="3" t="s">
        <v>7</v>
      </c>
      <c r="G845" s="3" t="s">
        <v>106</v>
      </c>
      <c r="H845" s="3" t="s">
        <v>63</v>
      </c>
      <c r="I845" s="5">
        <v>1.7939186757043438E-2</v>
      </c>
      <c r="J845" s="3" t="s">
        <v>7</v>
      </c>
      <c r="L845" s="3" t="s">
        <v>107</v>
      </c>
      <c r="M845" s="3" t="s">
        <v>63</v>
      </c>
      <c r="N845" s="5">
        <v>1.4485767222887852E-2</v>
      </c>
      <c r="O845" s="3" t="s">
        <v>7</v>
      </c>
    </row>
    <row r="846" spans="2:15" x14ac:dyDescent="0.45">
      <c r="B846" s="6" t="s">
        <v>105</v>
      </c>
      <c r="C846" s="6" t="s">
        <v>64</v>
      </c>
      <c r="D846" s="7">
        <v>2.7983397467774306E-2</v>
      </c>
      <c r="E846" s="6" t="s">
        <v>7</v>
      </c>
      <c r="G846" s="6" t="s">
        <v>106</v>
      </c>
      <c r="H846" s="6" t="s">
        <v>64</v>
      </c>
      <c r="I846" s="8">
        <v>1.8622683623963514E-2</v>
      </c>
      <c r="J846" s="6" t="s">
        <v>7</v>
      </c>
      <c r="L846" s="6" t="s">
        <v>107</v>
      </c>
      <c r="M846" s="6" t="s">
        <v>64</v>
      </c>
      <c r="N846" s="8">
        <v>1.5162502462764437E-2</v>
      </c>
      <c r="O846" s="6" t="s">
        <v>7</v>
      </c>
    </row>
    <row r="847" spans="2:15" x14ac:dyDescent="0.45">
      <c r="B847" s="3" t="s">
        <v>105</v>
      </c>
      <c r="C847" s="3" t="s">
        <v>65</v>
      </c>
      <c r="D847" s="4">
        <v>1.2943317581458325E-2</v>
      </c>
      <c r="E847" s="3" t="s">
        <v>7</v>
      </c>
      <c r="G847" s="3" t="s">
        <v>106</v>
      </c>
      <c r="H847" s="3" t="s">
        <v>65</v>
      </c>
      <c r="I847" s="5">
        <v>1.9015579763645544E-2</v>
      </c>
      <c r="J847" s="3" t="s">
        <v>7</v>
      </c>
      <c r="L847" s="3" t="s">
        <v>107</v>
      </c>
      <c r="M847" s="3" t="s">
        <v>65</v>
      </c>
      <c r="N847" s="5">
        <v>1.5871271097442272E-2</v>
      </c>
      <c r="O847" s="3" t="s">
        <v>7</v>
      </c>
    </row>
    <row r="848" spans="2:15" x14ac:dyDescent="0.45">
      <c r="B848" s="6" t="s">
        <v>105</v>
      </c>
      <c r="C848" s="6" t="s">
        <v>66</v>
      </c>
      <c r="D848" s="7">
        <v>2.1884319528641942E-4</v>
      </c>
      <c r="E848" s="6" t="s">
        <v>7</v>
      </c>
      <c r="G848" s="6" t="s">
        <v>106</v>
      </c>
      <c r="H848" s="6" t="s">
        <v>66</v>
      </c>
      <c r="I848" s="8">
        <v>1.9112065338319478E-2</v>
      </c>
      <c r="J848" s="6" t="s">
        <v>7</v>
      </c>
      <c r="L848" s="6" t="s">
        <v>107</v>
      </c>
      <c r="M848" s="6" t="s">
        <v>66</v>
      </c>
      <c r="N848" s="8">
        <v>1.6266846144126358E-2</v>
      </c>
      <c r="O848" s="6" t="s">
        <v>7</v>
      </c>
    </row>
    <row r="849" spans="2:15" x14ac:dyDescent="0.45">
      <c r="B849" s="3" t="s">
        <v>105</v>
      </c>
      <c r="C849" s="3" t="s">
        <v>67</v>
      </c>
      <c r="D849" s="4">
        <v>0</v>
      </c>
      <c r="E849" s="3" t="s">
        <v>7</v>
      </c>
      <c r="G849" s="3" t="s">
        <v>106</v>
      </c>
      <c r="H849" s="3" t="s">
        <v>67</v>
      </c>
      <c r="I849" s="5">
        <v>1.9362987237353881E-2</v>
      </c>
      <c r="J849" s="3" t="s">
        <v>7</v>
      </c>
      <c r="L849" s="3" t="s">
        <v>107</v>
      </c>
      <c r="M849" s="3" t="s">
        <v>67</v>
      </c>
      <c r="N849" s="5">
        <v>1.632639650611669E-2</v>
      </c>
      <c r="O849" s="3" t="s">
        <v>7</v>
      </c>
    </row>
    <row r="850" spans="2:15" x14ac:dyDescent="0.45">
      <c r="B850" s="6" t="s">
        <v>105</v>
      </c>
      <c r="C850" s="6" t="s">
        <v>68</v>
      </c>
      <c r="D850" s="7">
        <v>0</v>
      </c>
      <c r="E850" s="6" t="s">
        <v>7</v>
      </c>
      <c r="G850" s="6" t="s">
        <v>106</v>
      </c>
      <c r="H850" s="6" t="s">
        <v>68</v>
      </c>
      <c r="I850" s="8">
        <v>2.9175567621001933E-2</v>
      </c>
      <c r="J850" s="6" t="s">
        <v>7</v>
      </c>
      <c r="L850" s="6" t="s">
        <v>107</v>
      </c>
      <c r="M850" s="6" t="s">
        <v>68</v>
      </c>
      <c r="N850" s="8">
        <v>2.3327738229066187E-2</v>
      </c>
      <c r="O850" s="6" t="s">
        <v>7</v>
      </c>
    </row>
    <row r="851" spans="2:15" x14ac:dyDescent="0.45">
      <c r="B851" s="3" t="s">
        <v>108</v>
      </c>
      <c r="C851" s="3" t="s">
        <v>6</v>
      </c>
      <c r="D851" s="4">
        <v>0</v>
      </c>
      <c r="E851" s="3" t="s">
        <v>7</v>
      </c>
      <c r="G851" s="3" t="s">
        <v>109</v>
      </c>
      <c r="H851" s="3" t="s">
        <v>6</v>
      </c>
      <c r="I851" s="5">
        <v>3.7369406704395966E-2</v>
      </c>
      <c r="J851" s="3" t="s">
        <v>7</v>
      </c>
      <c r="L851" s="3" t="s">
        <v>110</v>
      </c>
      <c r="M851" s="3" t="s">
        <v>6</v>
      </c>
      <c r="N851" s="5">
        <v>3.8132741420977903E-2</v>
      </c>
      <c r="O851" s="3" t="s">
        <v>7</v>
      </c>
    </row>
    <row r="852" spans="2:15" x14ac:dyDescent="0.45">
      <c r="B852" s="6" t="s">
        <v>108</v>
      </c>
      <c r="C852" s="6" t="s">
        <v>10</v>
      </c>
      <c r="D852" s="7">
        <v>0</v>
      </c>
      <c r="E852" s="6" t="s">
        <v>7</v>
      </c>
      <c r="G852" s="6" t="s">
        <v>109</v>
      </c>
      <c r="H852" s="6" t="s">
        <v>10</v>
      </c>
      <c r="I852" s="8">
        <v>1.4714984576925967E-2</v>
      </c>
      <c r="J852" s="6" t="s">
        <v>7</v>
      </c>
      <c r="L852" s="6" t="s">
        <v>110</v>
      </c>
      <c r="M852" s="6" t="s">
        <v>10</v>
      </c>
      <c r="N852" s="8">
        <v>1.5094110398538819E-2</v>
      </c>
      <c r="O852" s="6" t="s">
        <v>7</v>
      </c>
    </row>
    <row r="853" spans="2:15" x14ac:dyDescent="0.45">
      <c r="B853" s="3" t="s">
        <v>108</v>
      </c>
      <c r="C853" s="3" t="s">
        <v>11</v>
      </c>
      <c r="D853" s="4">
        <v>1.549814417599227E-4</v>
      </c>
      <c r="E853" s="3" t="s">
        <v>7</v>
      </c>
      <c r="G853" s="3" t="s">
        <v>109</v>
      </c>
      <c r="H853" s="3" t="s">
        <v>11</v>
      </c>
      <c r="I853" s="5">
        <v>1.4680513345083699E-2</v>
      </c>
      <c r="J853" s="3" t="s">
        <v>7</v>
      </c>
      <c r="L853" s="3" t="s">
        <v>110</v>
      </c>
      <c r="M853" s="3" t="s">
        <v>11</v>
      </c>
      <c r="N853" s="5">
        <v>1.5192014942604758E-2</v>
      </c>
      <c r="O853" s="3" t="s">
        <v>7</v>
      </c>
    </row>
    <row r="854" spans="2:15" x14ac:dyDescent="0.45">
      <c r="B854" s="6" t="s">
        <v>108</v>
      </c>
      <c r="C854" s="6" t="s">
        <v>12</v>
      </c>
      <c r="D854" s="7">
        <v>9.8073629911410894E-3</v>
      </c>
      <c r="E854" s="6" t="s">
        <v>7</v>
      </c>
      <c r="G854" s="6" t="s">
        <v>109</v>
      </c>
      <c r="H854" s="6" t="s">
        <v>12</v>
      </c>
      <c r="I854" s="8">
        <v>1.4513724786539615E-2</v>
      </c>
      <c r="J854" s="6" t="s">
        <v>7</v>
      </c>
      <c r="L854" s="6" t="s">
        <v>110</v>
      </c>
      <c r="M854" s="6" t="s">
        <v>12</v>
      </c>
      <c r="N854" s="8">
        <v>1.5138217573198002E-2</v>
      </c>
      <c r="O854" s="6" t="s">
        <v>7</v>
      </c>
    </row>
    <row r="855" spans="2:15" x14ac:dyDescent="0.45">
      <c r="B855" s="3" t="s">
        <v>108</v>
      </c>
      <c r="C855" s="3" t="s">
        <v>13</v>
      </c>
      <c r="D855" s="4">
        <v>2.8508947199864739E-2</v>
      </c>
      <c r="E855" s="3" t="s">
        <v>7</v>
      </c>
      <c r="G855" s="3" t="s">
        <v>109</v>
      </c>
      <c r="H855" s="3" t="s">
        <v>13</v>
      </c>
      <c r="I855" s="5">
        <v>1.4606443263627917E-2</v>
      </c>
      <c r="J855" s="3" t="s">
        <v>7</v>
      </c>
      <c r="L855" s="3" t="s">
        <v>110</v>
      </c>
      <c r="M855" s="3" t="s">
        <v>13</v>
      </c>
      <c r="N855" s="5">
        <v>1.5244042124324461E-2</v>
      </c>
      <c r="O855" s="3" t="s">
        <v>7</v>
      </c>
    </row>
    <row r="856" spans="2:15" x14ac:dyDescent="0.45">
      <c r="B856" s="6" t="s">
        <v>108</v>
      </c>
      <c r="C856" s="6" t="s">
        <v>14</v>
      </c>
      <c r="D856" s="7">
        <v>3.4471161194127409E-2</v>
      </c>
      <c r="E856" s="6" t="s">
        <v>7</v>
      </c>
      <c r="G856" s="6" t="s">
        <v>109</v>
      </c>
      <c r="H856" s="6" t="s">
        <v>14</v>
      </c>
      <c r="I856" s="8">
        <v>1.4673726647402664E-2</v>
      </c>
      <c r="J856" s="6" t="s">
        <v>7</v>
      </c>
      <c r="L856" s="6" t="s">
        <v>110</v>
      </c>
      <c r="M856" s="6" t="s">
        <v>14</v>
      </c>
      <c r="N856" s="8">
        <v>1.5204634504246086E-2</v>
      </c>
      <c r="O856" s="6" t="s">
        <v>7</v>
      </c>
    </row>
    <row r="857" spans="2:15" x14ac:dyDescent="0.45">
      <c r="B857" s="3" t="s">
        <v>108</v>
      </c>
      <c r="C857" s="3" t="s">
        <v>15</v>
      </c>
      <c r="D857" s="4">
        <v>1.8782635909011015E-2</v>
      </c>
      <c r="E857" s="3" t="s">
        <v>7</v>
      </c>
      <c r="G857" s="3" t="s">
        <v>109</v>
      </c>
      <c r="H857" s="3" t="s">
        <v>15</v>
      </c>
      <c r="I857" s="5">
        <v>1.4133520066354639E-2</v>
      </c>
      <c r="J857" s="3" t="s">
        <v>7</v>
      </c>
      <c r="L857" s="3" t="s">
        <v>110</v>
      </c>
      <c r="M857" s="3" t="s">
        <v>15</v>
      </c>
      <c r="N857" s="5">
        <v>1.5409754582296736E-2</v>
      </c>
      <c r="O857" s="3" t="s">
        <v>7</v>
      </c>
    </row>
    <row r="858" spans="2:15" x14ac:dyDescent="0.45">
      <c r="B858" s="6" t="s">
        <v>108</v>
      </c>
      <c r="C858" s="6" t="s">
        <v>16</v>
      </c>
      <c r="D858" s="7">
        <v>2.1951915731215732E-3</v>
      </c>
      <c r="E858" s="6" t="s">
        <v>7</v>
      </c>
      <c r="G858" s="6" t="s">
        <v>109</v>
      </c>
      <c r="H858" s="6" t="s">
        <v>16</v>
      </c>
      <c r="I858" s="8">
        <v>1.3811067399015921E-2</v>
      </c>
      <c r="J858" s="6" t="s">
        <v>7</v>
      </c>
      <c r="L858" s="6" t="s">
        <v>110</v>
      </c>
      <c r="M858" s="6" t="s">
        <v>16</v>
      </c>
      <c r="N858" s="8">
        <v>1.5434443089513285E-2</v>
      </c>
      <c r="O858" s="6" t="s">
        <v>7</v>
      </c>
    </row>
    <row r="859" spans="2:15" x14ac:dyDescent="0.45">
      <c r="B859" s="3" t="s">
        <v>108</v>
      </c>
      <c r="C859" s="3" t="s">
        <v>17</v>
      </c>
      <c r="D859" s="4">
        <v>0</v>
      </c>
      <c r="E859" s="3" t="s">
        <v>7</v>
      </c>
      <c r="G859" s="3" t="s">
        <v>109</v>
      </c>
      <c r="H859" s="3" t="s">
        <v>17</v>
      </c>
      <c r="I859" s="5">
        <v>1.4620433537348296E-2</v>
      </c>
      <c r="J859" s="3" t="s">
        <v>7</v>
      </c>
      <c r="L859" s="3" t="s">
        <v>110</v>
      </c>
      <c r="M859" s="3" t="s">
        <v>17</v>
      </c>
      <c r="N859" s="5">
        <v>1.5236653703888482E-2</v>
      </c>
      <c r="O859" s="3" t="s">
        <v>7</v>
      </c>
    </row>
    <row r="860" spans="2:15" x14ac:dyDescent="0.45">
      <c r="B860" s="6" t="s">
        <v>108</v>
      </c>
      <c r="C860" s="6" t="s">
        <v>18</v>
      </c>
      <c r="D860" s="7">
        <v>0</v>
      </c>
      <c r="E860" s="6" t="s">
        <v>7</v>
      </c>
      <c r="G860" s="6" t="s">
        <v>109</v>
      </c>
      <c r="H860" s="6" t="s">
        <v>18</v>
      </c>
      <c r="I860" s="8">
        <v>2.2164719843361467E-2</v>
      </c>
      <c r="J860" s="6" t="s">
        <v>7</v>
      </c>
      <c r="L860" s="6" t="s">
        <v>110</v>
      </c>
      <c r="M860" s="6" t="s">
        <v>18</v>
      </c>
      <c r="N860" s="8">
        <v>2.2857034830655064E-2</v>
      </c>
      <c r="O860" s="6" t="s">
        <v>7</v>
      </c>
    </row>
    <row r="861" spans="2:15" x14ac:dyDescent="0.45">
      <c r="B861" s="3" t="s">
        <v>108</v>
      </c>
      <c r="C861" s="3" t="s">
        <v>19</v>
      </c>
      <c r="D861" s="4">
        <v>0</v>
      </c>
      <c r="E861" s="3" t="s">
        <v>7</v>
      </c>
      <c r="G861" s="3" t="s">
        <v>109</v>
      </c>
      <c r="H861" s="3" t="s">
        <v>19</v>
      </c>
      <c r="I861" s="5">
        <v>3.2278138574701951E-2</v>
      </c>
      <c r="J861" s="3" t="s">
        <v>7</v>
      </c>
      <c r="L861" s="3" t="s">
        <v>110</v>
      </c>
      <c r="M861" s="3" t="s">
        <v>19</v>
      </c>
      <c r="N861" s="5">
        <v>3.9452626362846424E-2</v>
      </c>
      <c r="O861" s="3" t="s">
        <v>7</v>
      </c>
    </row>
    <row r="862" spans="2:15" x14ac:dyDescent="0.45">
      <c r="B862" s="6" t="s">
        <v>108</v>
      </c>
      <c r="C862" s="6" t="s">
        <v>20</v>
      </c>
      <c r="D862" s="7">
        <v>1.7429299159726783E-4</v>
      </c>
      <c r="E862" s="6" t="s">
        <v>7</v>
      </c>
      <c r="G862" s="6" t="s">
        <v>109</v>
      </c>
      <c r="H862" s="6" t="s">
        <v>20</v>
      </c>
      <c r="I862" s="8">
        <v>1.2350933048511273E-2</v>
      </c>
      <c r="J862" s="6" t="s">
        <v>7</v>
      </c>
      <c r="L862" s="6" t="s">
        <v>110</v>
      </c>
      <c r="M862" s="6" t="s">
        <v>20</v>
      </c>
      <c r="N862" s="8">
        <v>1.6540041475453834E-2</v>
      </c>
      <c r="O862" s="6" t="s">
        <v>7</v>
      </c>
    </row>
    <row r="863" spans="2:15" x14ac:dyDescent="0.45">
      <c r="B863" s="3" t="s">
        <v>108</v>
      </c>
      <c r="C863" s="3" t="s">
        <v>21</v>
      </c>
      <c r="D863" s="4">
        <v>9.4564319563090124E-3</v>
      </c>
      <c r="E863" s="3" t="s">
        <v>7</v>
      </c>
      <c r="G863" s="3" t="s">
        <v>109</v>
      </c>
      <c r="H863" s="3" t="s">
        <v>21</v>
      </c>
      <c r="I863" s="5">
        <v>1.2666431868160804E-2</v>
      </c>
      <c r="J863" s="3" t="s">
        <v>7</v>
      </c>
      <c r="L863" s="3" t="s">
        <v>110</v>
      </c>
      <c r="M863" s="3" t="s">
        <v>21</v>
      </c>
      <c r="N863" s="5">
        <v>1.6828817007685293E-2</v>
      </c>
      <c r="O863" s="3" t="s">
        <v>7</v>
      </c>
    </row>
    <row r="864" spans="2:15" x14ac:dyDescent="0.45">
      <c r="B864" s="6" t="s">
        <v>108</v>
      </c>
      <c r="C864" s="6" t="s">
        <v>22</v>
      </c>
      <c r="D864" s="7">
        <v>3.5302878482581665E-2</v>
      </c>
      <c r="E864" s="6" t="s">
        <v>7</v>
      </c>
      <c r="G864" s="6" t="s">
        <v>109</v>
      </c>
      <c r="H864" s="6" t="s">
        <v>22</v>
      </c>
      <c r="I864" s="8">
        <v>1.4397172149236092E-2</v>
      </c>
      <c r="J864" s="6" t="s">
        <v>7</v>
      </c>
      <c r="L864" s="6" t="s">
        <v>110</v>
      </c>
      <c r="M864" s="6" t="s">
        <v>22</v>
      </c>
      <c r="N864" s="8">
        <v>1.6648985139499483E-2</v>
      </c>
      <c r="O864" s="6" t="s">
        <v>7</v>
      </c>
    </row>
    <row r="865" spans="2:15" x14ac:dyDescent="0.45">
      <c r="B865" s="3" t="s">
        <v>108</v>
      </c>
      <c r="C865" s="3" t="s">
        <v>23</v>
      </c>
      <c r="D865" s="4">
        <v>5.3633874202229398E-2</v>
      </c>
      <c r="E865" s="3" t="s">
        <v>7</v>
      </c>
      <c r="G865" s="3" t="s">
        <v>109</v>
      </c>
      <c r="H865" s="3" t="s">
        <v>23</v>
      </c>
      <c r="I865" s="5">
        <v>1.5500325748921986E-2</v>
      </c>
      <c r="J865" s="3" t="s">
        <v>7</v>
      </c>
      <c r="L865" s="3" t="s">
        <v>110</v>
      </c>
      <c r="M865" s="3" t="s">
        <v>23</v>
      </c>
      <c r="N865" s="5">
        <v>1.5795735262517353E-2</v>
      </c>
      <c r="O865" s="3" t="s">
        <v>7</v>
      </c>
    </row>
    <row r="866" spans="2:15" x14ac:dyDescent="0.45">
      <c r="B866" s="6" t="s">
        <v>108</v>
      </c>
      <c r="C866" s="6" t="s">
        <v>24</v>
      </c>
      <c r="D866" s="7">
        <v>5.5487101825013166E-2</v>
      </c>
      <c r="E866" s="6" t="s">
        <v>7</v>
      </c>
      <c r="G866" s="6" t="s">
        <v>109</v>
      </c>
      <c r="H866" s="6" t="s">
        <v>24</v>
      </c>
      <c r="I866" s="8">
        <v>1.5311284935755301E-2</v>
      </c>
      <c r="J866" s="6" t="s">
        <v>7</v>
      </c>
      <c r="L866" s="6" t="s">
        <v>110</v>
      </c>
      <c r="M866" s="6" t="s">
        <v>24</v>
      </c>
      <c r="N866" s="8">
        <v>1.5101694272430631E-2</v>
      </c>
      <c r="O866" s="6" t="s">
        <v>7</v>
      </c>
    </row>
    <row r="867" spans="2:15" x14ac:dyDescent="0.45">
      <c r="B867" s="3" t="s">
        <v>108</v>
      </c>
      <c r="C867" s="3" t="s">
        <v>25</v>
      </c>
      <c r="D867" s="4">
        <v>4.2801683410815E-2</v>
      </c>
      <c r="E867" s="3" t="s">
        <v>7</v>
      </c>
      <c r="G867" s="3" t="s">
        <v>109</v>
      </c>
      <c r="H867" s="3" t="s">
        <v>25</v>
      </c>
      <c r="I867" s="5">
        <v>1.499888473726857E-2</v>
      </c>
      <c r="J867" s="3" t="s">
        <v>7</v>
      </c>
      <c r="L867" s="3" t="s">
        <v>110</v>
      </c>
      <c r="M867" s="3" t="s">
        <v>25</v>
      </c>
      <c r="N867" s="5">
        <v>1.4893733083281435E-2</v>
      </c>
      <c r="O867" s="3" t="s">
        <v>7</v>
      </c>
    </row>
    <row r="868" spans="2:15" x14ac:dyDescent="0.45">
      <c r="B868" s="6" t="s">
        <v>108</v>
      </c>
      <c r="C868" s="6" t="s">
        <v>26</v>
      </c>
      <c r="D868" s="7">
        <v>1.715263993042555E-2</v>
      </c>
      <c r="E868" s="6" t="s">
        <v>7</v>
      </c>
      <c r="G868" s="6" t="s">
        <v>109</v>
      </c>
      <c r="H868" s="6" t="s">
        <v>26</v>
      </c>
      <c r="I868" s="8">
        <v>1.4063919566944326E-2</v>
      </c>
      <c r="J868" s="6" t="s">
        <v>7</v>
      </c>
      <c r="L868" s="6" t="s">
        <v>110</v>
      </c>
      <c r="M868" s="6" t="s">
        <v>26</v>
      </c>
      <c r="N868" s="8">
        <v>1.4987864835487634E-2</v>
      </c>
      <c r="O868" s="6" t="s">
        <v>7</v>
      </c>
    </row>
    <row r="869" spans="2:15" x14ac:dyDescent="0.45">
      <c r="B869" s="3" t="s">
        <v>108</v>
      </c>
      <c r="C869" s="3" t="s">
        <v>27</v>
      </c>
      <c r="D869" s="4">
        <v>5.6287690861591875E-4</v>
      </c>
      <c r="E869" s="3" t="s">
        <v>7</v>
      </c>
      <c r="G869" s="3" t="s">
        <v>109</v>
      </c>
      <c r="H869" s="3" t="s">
        <v>27</v>
      </c>
      <c r="I869" s="5">
        <v>1.3462975867358789E-2</v>
      </c>
      <c r="J869" s="3" t="s">
        <v>7</v>
      </c>
      <c r="L869" s="3" t="s">
        <v>110</v>
      </c>
      <c r="M869" s="3" t="s">
        <v>27</v>
      </c>
      <c r="N869" s="5">
        <v>1.51716669745472E-2</v>
      </c>
      <c r="O869" s="3" t="s">
        <v>7</v>
      </c>
    </row>
    <row r="870" spans="2:15" x14ac:dyDescent="0.45">
      <c r="B870" s="6" t="s">
        <v>108</v>
      </c>
      <c r="C870" s="6" t="s">
        <v>28</v>
      </c>
      <c r="D870" s="7">
        <v>0</v>
      </c>
      <c r="E870" s="6" t="s">
        <v>7</v>
      </c>
      <c r="G870" s="6" t="s">
        <v>109</v>
      </c>
      <c r="H870" s="6" t="s">
        <v>28</v>
      </c>
      <c r="I870" s="8">
        <v>2.0046954800474904E-2</v>
      </c>
      <c r="J870" s="6" t="s">
        <v>7</v>
      </c>
      <c r="L870" s="6" t="s">
        <v>110</v>
      </c>
      <c r="M870" s="6" t="s">
        <v>28</v>
      </c>
      <c r="N870" s="8">
        <v>2.2519714917147854E-2</v>
      </c>
      <c r="O870" s="6" t="s">
        <v>7</v>
      </c>
    </row>
    <row r="871" spans="2:15" x14ac:dyDescent="0.45">
      <c r="B871" s="3" t="s">
        <v>108</v>
      </c>
      <c r="C871" s="3" t="s">
        <v>29</v>
      </c>
      <c r="D871" s="4">
        <v>0</v>
      </c>
      <c r="E871" s="3" t="s">
        <v>7</v>
      </c>
      <c r="G871" s="3" t="s">
        <v>109</v>
      </c>
      <c r="H871" s="3" t="s">
        <v>29</v>
      </c>
      <c r="I871" s="5">
        <v>2.3415876810178666E-2</v>
      </c>
      <c r="J871" s="3" t="s">
        <v>7</v>
      </c>
      <c r="L871" s="3" t="s">
        <v>110</v>
      </c>
      <c r="M871" s="3" t="s">
        <v>29</v>
      </c>
      <c r="N871" s="5">
        <v>3.4816665614103001E-2</v>
      </c>
      <c r="O871" s="3" t="s">
        <v>7</v>
      </c>
    </row>
    <row r="872" spans="2:15" x14ac:dyDescent="0.45">
      <c r="B872" s="6" t="s">
        <v>108</v>
      </c>
      <c r="C872" s="6" t="s">
        <v>30</v>
      </c>
      <c r="D872" s="7">
        <v>2.7903080624099509E-3</v>
      </c>
      <c r="E872" s="6" t="s">
        <v>7</v>
      </c>
      <c r="G872" s="6" t="s">
        <v>109</v>
      </c>
      <c r="H872" s="6" t="s">
        <v>30</v>
      </c>
      <c r="I872" s="8">
        <v>8.7977517115673618E-3</v>
      </c>
      <c r="J872" s="6" t="s">
        <v>7</v>
      </c>
      <c r="L872" s="6" t="s">
        <v>110</v>
      </c>
      <c r="M872" s="6" t="s">
        <v>30</v>
      </c>
      <c r="N872" s="8">
        <v>1.3306516033405047E-2</v>
      </c>
      <c r="O872" s="6" t="s">
        <v>7</v>
      </c>
    </row>
    <row r="873" spans="2:15" x14ac:dyDescent="0.45">
      <c r="B873" s="3" t="s">
        <v>108</v>
      </c>
      <c r="C873" s="3" t="s">
        <v>31</v>
      </c>
      <c r="D873" s="4">
        <v>1.9686210799006398E-2</v>
      </c>
      <c r="E873" s="3" t="s">
        <v>7</v>
      </c>
      <c r="G873" s="3" t="s">
        <v>109</v>
      </c>
      <c r="H873" s="3" t="s">
        <v>31</v>
      </c>
      <c r="I873" s="5">
        <v>9.0772825840523177E-3</v>
      </c>
      <c r="J873" s="3" t="s">
        <v>7</v>
      </c>
      <c r="L873" s="3" t="s">
        <v>110</v>
      </c>
      <c r="M873" s="3" t="s">
        <v>31</v>
      </c>
      <c r="N873" s="5">
        <v>1.311313088531575E-2</v>
      </c>
      <c r="O873" s="3" t="s">
        <v>7</v>
      </c>
    </row>
    <row r="874" spans="2:15" x14ac:dyDescent="0.45">
      <c r="B874" s="6" t="s">
        <v>108</v>
      </c>
      <c r="C874" s="6" t="s">
        <v>32</v>
      </c>
      <c r="D874" s="7">
        <v>4.2707302574583654E-2</v>
      </c>
      <c r="E874" s="6" t="s">
        <v>7</v>
      </c>
      <c r="G874" s="6" t="s">
        <v>109</v>
      </c>
      <c r="H874" s="6" t="s">
        <v>32</v>
      </c>
      <c r="I874" s="8">
        <v>9.8314945277948266E-3</v>
      </c>
      <c r="J874" s="6" t="s">
        <v>7</v>
      </c>
      <c r="L874" s="6" t="s">
        <v>110</v>
      </c>
      <c r="M874" s="6" t="s">
        <v>32</v>
      </c>
      <c r="N874" s="8">
        <v>1.2630840802202815E-2</v>
      </c>
      <c r="O874" s="6" t="s">
        <v>7</v>
      </c>
    </row>
    <row r="875" spans="2:15" x14ac:dyDescent="0.45">
      <c r="B875" s="3" t="s">
        <v>108</v>
      </c>
      <c r="C875" s="3" t="s">
        <v>33</v>
      </c>
      <c r="D875" s="4">
        <v>5.6737343029787647E-2</v>
      </c>
      <c r="E875" s="3" t="s">
        <v>7</v>
      </c>
      <c r="G875" s="3" t="s">
        <v>109</v>
      </c>
      <c r="H875" s="3" t="s">
        <v>33</v>
      </c>
      <c r="I875" s="5">
        <v>1.092186651713887E-2</v>
      </c>
      <c r="J875" s="3" t="s">
        <v>7</v>
      </c>
      <c r="L875" s="3" t="s">
        <v>110</v>
      </c>
      <c r="M875" s="3" t="s">
        <v>33</v>
      </c>
      <c r="N875" s="5">
        <v>1.2423978846192008E-2</v>
      </c>
      <c r="O875" s="3" t="s">
        <v>7</v>
      </c>
    </row>
    <row r="876" spans="2:15" x14ac:dyDescent="0.45">
      <c r="B876" s="6" t="s">
        <v>108</v>
      </c>
      <c r="C876" s="6" t="s">
        <v>34</v>
      </c>
      <c r="D876" s="7">
        <v>5.6608932708067342E-2</v>
      </c>
      <c r="E876" s="6" t="s">
        <v>7</v>
      </c>
      <c r="G876" s="6" t="s">
        <v>109</v>
      </c>
      <c r="H876" s="6" t="s">
        <v>34</v>
      </c>
      <c r="I876" s="8">
        <v>1.1600243259623094E-2</v>
      </c>
      <c r="J876" s="6" t="s">
        <v>7</v>
      </c>
      <c r="L876" s="6" t="s">
        <v>110</v>
      </c>
      <c r="M876" s="6" t="s">
        <v>34</v>
      </c>
      <c r="N876" s="8">
        <v>1.2938321802390388E-2</v>
      </c>
      <c r="O876" s="6" t="s">
        <v>7</v>
      </c>
    </row>
    <row r="877" spans="2:15" x14ac:dyDescent="0.45">
      <c r="B877" s="3" t="s">
        <v>108</v>
      </c>
      <c r="C877" s="3" t="s">
        <v>35</v>
      </c>
      <c r="D877" s="4">
        <v>4.4958700321991979E-2</v>
      </c>
      <c r="E877" s="3" t="s">
        <v>7</v>
      </c>
      <c r="G877" s="3" t="s">
        <v>109</v>
      </c>
      <c r="H877" s="3" t="s">
        <v>35</v>
      </c>
      <c r="I877" s="5">
        <v>1.1917419737109398E-2</v>
      </c>
      <c r="J877" s="3" t="s">
        <v>7</v>
      </c>
      <c r="L877" s="3" t="s">
        <v>110</v>
      </c>
      <c r="M877" s="3" t="s">
        <v>35</v>
      </c>
      <c r="N877" s="5">
        <v>1.3624762807672957E-2</v>
      </c>
      <c r="O877" s="3" t="s">
        <v>7</v>
      </c>
    </row>
    <row r="878" spans="2:15" x14ac:dyDescent="0.45">
      <c r="B878" s="6" t="s">
        <v>108</v>
      </c>
      <c r="C878" s="6" t="s">
        <v>36</v>
      </c>
      <c r="D878" s="7">
        <v>2.2949578820778697E-2</v>
      </c>
      <c r="E878" s="6" t="s">
        <v>7</v>
      </c>
      <c r="G878" s="6" t="s">
        <v>109</v>
      </c>
      <c r="H878" s="6" t="s">
        <v>36</v>
      </c>
      <c r="I878" s="8">
        <v>1.109196783345367E-2</v>
      </c>
      <c r="J878" s="6" t="s">
        <v>7</v>
      </c>
      <c r="L878" s="6" t="s">
        <v>110</v>
      </c>
      <c r="M878" s="6" t="s">
        <v>36</v>
      </c>
      <c r="N878" s="8">
        <v>1.4025000860676207E-2</v>
      </c>
      <c r="O878" s="6" t="s">
        <v>7</v>
      </c>
    </row>
    <row r="879" spans="2:15" x14ac:dyDescent="0.45">
      <c r="B879" s="3" t="s">
        <v>108</v>
      </c>
      <c r="C879" s="3" t="s">
        <v>37</v>
      </c>
      <c r="D879" s="4">
        <v>4.1856315472159778E-3</v>
      </c>
      <c r="E879" s="3" t="s">
        <v>7</v>
      </c>
      <c r="G879" s="3" t="s">
        <v>109</v>
      </c>
      <c r="H879" s="3" t="s">
        <v>37</v>
      </c>
      <c r="I879" s="5">
        <v>9.7823502069821697E-3</v>
      </c>
      <c r="J879" s="3" t="s">
        <v>7</v>
      </c>
      <c r="L879" s="3" t="s">
        <v>110</v>
      </c>
      <c r="M879" s="3" t="s">
        <v>37</v>
      </c>
      <c r="N879" s="5">
        <v>1.4253609255712583E-2</v>
      </c>
      <c r="O879" s="3" t="s">
        <v>7</v>
      </c>
    </row>
    <row r="880" spans="2:15" x14ac:dyDescent="0.45">
      <c r="B880" s="6" t="s">
        <v>108</v>
      </c>
      <c r="C880" s="6" t="s">
        <v>38</v>
      </c>
      <c r="D880" s="7">
        <v>1.132549866129829E-4</v>
      </c>
      <c r="E880" s="6" t="s">
        <v>7</v>
      </c>
      <c r="G880" s="6" t="s">
        <v>109</v>
      </c>
      <c r="H880" s="6" t="s">
        <v>38</v>
      </c>
      <c r="I880" s="8">
        <v>1.3877142617702848E-2</v>
      </c>
      <c r="J880" s="6" t="s">
        <v>7</v>
      </c>
      <c r="L880" s="6" t="s">
        <v>110</v>
      </c>
      <c r="M880" s="6" t="s">
        <v>38</v>
      </c>
      <c r="N880" s="8">
        <v>2.1273069178327542E-2</v>
      </c>
      <c r="O880" s="6" t="s">
        <v>7</v>
      </c>
    </row>
    <row r="881" spans="2:15" x14ac:dyDescent="0.45">
      <c r="B881" s="3" t="s">
        <v>108</v>
      </c>
      <c r="C881" s="3" t="s">
        <v>39</v>
      </c>
      <c r="D881" s="4">
        <v>0</v>
      </c>
      <c r="E881" s="3" t="s">
        <v>7</v>
      </c>
      <c r="G881" s="3" t="s">
        <v>109</v>
      </c>
      <c r="H881" s="3" t="s">
        <v>39</v>
      </c>
      <c r="I881" s="5">
        <v>1.649301167795756E-2</v>
      </c>
      <c r="J881" s="3" t="s">
        <v>7</v>
      </c>
      <c r="L881" s="3" t="s">
        <v>110</v>
      </c>
      <c r="M881" s="3" t="s">
        <v>39</v>
      </c>
      <c r="N881" s="5">
        <v>2.3640507643841614E-2</v>
      </c>
      <c r="O881" s="3" t="s">
        <v>7</v>
      </c>
    </row>
    <row r="882" spans="2:15" x14ac:dyDescent="0.45">
      <c r="B882" s="6" t="s">
        <v>108</v>
      </c>
      <c r="C882" s="6" t="s">
        <v>40</v>
      </c>
      <c r="D882" s="7">
        <v>1.5592241559778518E-3</v>
      </c>
      <c r="E882" s="6" t="s">
        <v>7</v>
      </c>
      <c r="G882" s="6" t="s">
        <v>109</v>
      </c>
      <c r="H882" s="6" t="s">
        <v>40</v>
      </c>
      <c r="I882" s="8">
        <v>6.465747184490841E-3</v>
      </c>
      <c r="J882" s="6" t="s">
        <v>7</v>
      </c>
      <c r="L882" s="6" t="s">
        <v>110</v>
      </c>
      <c r="M882" s="6" t="s">
        <v>40</v>
      </c>
      <c r="N882" s="8">
        <v>8.6427799340764253E-3</v>
      </c>
      <c r="O882" s="6" t="s">
        <v>7</v>
      </c>
    </row>
    <row r="883" spans="2:15" x14ac:dyDescent="0.45">
      <c r="B883" s="3" t="s">
        <v>108</v>
      </c>
      <c r="C883" s="3" t="s">
        <v>41</v>
      </c>
      <c r="D883" s="4">
        <v>1.6762637667584731E-2</v>
      </c>
      <c r="E883" s="3" t="s">
        <v>7</v>
      </c>
      <c r="G883" s="3" t="s">
        <v>109</v>
      </c>
      <c r="H883" s="3" t="s">
        <v>41</v>
      </c>
      <c r="I883" s="5">
        <v>7.6050851298838252E-3</v>
      </c>
      <c r="J883" s="3" t="s">
        <v>7</v>
      </c>
      <c r="L883" s="3" t="s">
        <v>110</v>
      </c>
      <c r="M883" s="3" t="s">
        <v>41</v>
      </c>
      <c r="N883" s="5">
        <v>8.5787528466465569E-3</v>
      </c>
      <c r="O883" s="3" t="s">
        <v>7</v>
      </c>
    </row>
    <row r="884" spans="2:15" x14ac:dyDescent="0.45">
      <c r="B884" s="6" t="s">
        <v>108</v>
      </c>
      <c r="C884" s="6" t="s">
        <v>42</v>
      </c>
      <c r="D884" s="7">
        <v>4.2029906243136808E-2</v>
      </c>
      <c r="E884" s="6" t="s">
        <v>7</v>
      </c>
      <c r="G884" s="6" t="s">
        <v>109</v>
      </c>
      <c r="H884" s="6" t="s">
        <v>42</v>
      </c>
      <c r="I884" s="8">
        <v>9.1251982035282543E-3</v>
      </c>
      <c r="J884" s="6" t="s">
        <v>7</v>
      </c>
      <c r="L884" s="6" t="s">
        <v>110</v>
      </c>
      <c r="M884" s="6" t="s">
        <v>42</v>
      </c>
      <c r="N884" s="8">
        <v>8.3777186805378129E-3</v>
      </c>
      <c r="O884" s="6" t="s">
        <v>7</v>
      </c>
    </row>
    <row r="885" spans="2:15" x14ac:dyDescent="0.45">
      <c r="B885" s="3" t="s">
        <v>108</v>
      </c>
      <c r="C885" s="3" t="s">
        <v>43</v>
      </c>
      <c r="D885" s="4">
        <v>5.6799201942500065E-2</v>
      </c>
      <c r="E885" s="3" t="s">
        <v>7</v>
      </c>
      <c r="G885" s="3" t="s">
        <v>109</v>
      </c>
      <c r="H885" s="3" t="s">
        <v>43</v>
      </c>
      <c r="I885" s="5">
        <v>1.0176525492912524E-2</v>
      </c>
      <c r="J885" s="3" t="s">
        <v>7</v>
      </c>
      <c r="L885" s="3" t="s">
        <v>110</v>
      </c>
      <c r="M885" s="3" t="s">
        <v>43</v>
      </c>
      <c r="N885" s="5">
        <v>8.3878614532301721E-3</v>
      </c>
      <c r="O885" s="3" t="s">
        <v>7</v>
      </c>
    </row>
    <row r="886" spans="2:15" x14ac:dyDescent="0.45">
      <c r="B886" s="6" t="s">
        <v>108</v>
      </c>
      <c r="C886" s="6" t="s">
        <v>44</v>
      </c>
      <c r="D886" s="7">
        <v>5.8959610676813594E-2</v>
      </c>
      <c r="E886" s="6" t="s">
        <v>7</v>
      </c>
      <c r="G886" s="6" t="s">
        <v>109</v>
      </c>
      <c r="H886" s="6" t="s">
        <v>44</v>
      </c>
      <c r="I886" s="8">
        <v>1.0635561337013787E-2</v>
      </c>
      <c r="J886" s="6" t="s">
        <v>7</v>
      </c>
      <c r="L886" s="6" t="s">
        <v>110</v>
      </c>
      <c r="M886" s="6" t="s">
        <v>44</v>
      </c>
      <c r="N886" s="8">
        <v>9.2750602780570287E-3</v>
      </c>
      <c r="O886" s="6" t="s">
        <v>7</v>
      </c>
    </row>
    <row r="887" spans="2:15" x14ac:dyDescent="0.45">
      <c r="B887" s="3" t="s">
        <v>108</v>
      </c>
      <c r="C887" s="3" t="s">
        <v>45</v>
      </c>
      <c r="D887" s="4">
        <v>4.6238649467219929E-2</v>
      </c>
      <c r="E887" s="3" t="s">
        <v>7</v>
      </c>
      <c r="G887" s="3" t="s">
        <v>109</v>
      </c>
      <c r="H887" s="3" t="s">
        <v>45</v>
      </c>
      <c r="I887" s="5">
        <v>1.0437170169406743E-2</v>
      </c>
      <c r="J887" s="3" t="s">
        <v>7</v>
      </c>
      <c r="L887" s="3" t="s">
        <v>110</v>
      </c>
      <c r="M887" s="3" t="s">
        <v>45</v>
      </c>
      <c r="N887" s="5">
        <v>1.0059390083003708E-2</v>
      </c>
      <c r="O887" s="3" t="s">
        <v>7</v>
      </c>
    </row>
    <row r="888" spans="2:15" x14ac:dyDescent="0.45">
      <c r="B888" s="6" t="s">
        <v>108</v>
      </c>
      <c r="C888" s="6" t="s">
        <v>46</v>
      </c>
      <c r="D888" s="7">
        <v>2.3643403128007546E-2</v>
      </c>
      <c r="E888" s="6" t="s">
        <v>7</v>
      </c>
      <c r="G888" s="6" t="s">
        <v>109</v>
      </c>
      <c r="H888" s="6" t="s">
        <v>46</v>
      </c>
      <c r="I888" s="8">
        <v>9.1705599418532881E-3</v>
      </c>
      <c r="J888" s="6" t="s">
        <v>7</v>
      </c>
      <c r="L888" s="6" t="s">
        <v>110</v>
      </c>
      <c r="M888" s="6" t="s">
        <v>46</v>
      </c>
      <c r="N888" s="8">
        <v>1.0430317816499297E-2</v>
      </c>
      <c r="O888" s="6" t="s">
        <v>7</v>
      </c>
    </row>
    <row r="889" spans="2:15" x14ac:dyDescent="0.45">
      <c r="B889" s="3" t="s">
        <v>108</v>
      </c>
      <c r="C889" s="3" t="s">
        <v>47</v>
      </c>
      <c r="D889" s="4">
        <v>3.5857768019393189E-3</v>
      </c>
      <c r="E889" s="3" t="s">
        <v>7</v>
      </c>
      <c r="G889" s="3" t="s">
        <v>109</v>
      </c>
      <c r="H889" s="3" t="s">
        <v>47</v>
      </c>
      <c r="I889" s="5">
        <v>7.6502995357266013E-3</v>
      </c>
      <c r="J889" s="3" t="s">
        <v>7</v>
      </c>
      <c r="L889" s="3" t="s">
        <v>110</v>
      </c>
      <c r="M889" s="3" t="s">
        <v>47</v>
      </c>
      <c r="N889" s="5">
        <v>1.0380558914831244E-2</v>
      </c>
      <c r="O889" s="3" t="s">
        <v>7</v>
      </c>
    </row>
    <row r="890" spans="2:15" x14ac:dyDescent="0.45">
      <c r="B890" s="6" t="s">
        <v>108</v>
      </c>
      <c r="C890" s="6" t="s">
        <v>48</v>
      </c>
      <c r="D890" s="7">
        <v>5.3437691783737211E-5</v>
      </c>
      <c r="E890" s="6" t="s">
        <v>7</v>
      </c>
      <c r="G890" s="6" t="s">
        <v>109</v>
      </c>
      <c r="H890" s="6" t="s">
        <v>48</v>
      </c>
      <c r="I890" s="8">
        <v>1.0229405627243213E-2</v>
      </c>
      <c r="J890" s="6" t="s">
        <v>7</v>
      </c>
      <c r="L890" s="6" t="s">
        <v>110</v>
      </c>
      <c r="M890" s="6" t="s">
        <v>48</v>
      </c>
      <c r="N890" s="8">
        <v>1.4981639720452746E-2</v>
      </c>
      <c r="O890" s="6" t="s">
        <v>7</v>
      </c>
    </row>
    <row r="891" spans="2:15" x14ac:dyDescent="0.45">
      <c r="B891" s="3" t="s">
        <v>108</v>
      </c>
      <c r="C891" s="3" t="s">
        <v>49</v>
      </c>
      <c r="D891" s="4">
        <v>0</v>
      </c>
      <c r="E891" s="3" t="s">
        <v>7</v>
      </c>
      <c r="G891" s="3" t="s">
        <v>109</v>
      </c>
      <c r="H891" s="3" t="s">
        <v>49</v>
      </c>
      <c r="I891" s="5">
        <v>3.2477556172698242E-2</v>
      </c>
      <c r="J891" s="3" t="s">
        <v>7</v>
      </c>
      <c r="L891" s="3" t="s">
        <v>110</v>
      </c>
      <c r="M891" s="3" t="s">
        <v>49</v>
      </c>
      <c r="N891" s="5">
        <v>3.3545082654494747E-2</v>
      </c>
      <c r="O891" s="3" t="s">
        <v>7</v>
      </c>
    </row>
    <row r="892" spans="2:15" x14ac:dyDescent="0.45">
      <c r="B892" s="6" t="s">
        <v>108</v>
      </c>
      <c r="C892" s="6" t="s">
        <v>50</v>
      </c>
      <c r="D892" s="7">
        <v>0</v>
      </c>
      <c r="E892" s="6" t="s">
        <v>7</v>
      </c>
      <c r="G892" s="6" t="s">
        <v>109</v>
      </c>
      <c r="H892" s="6" t="s">
        <v>50</v>
      </c>
      <c r="I892" s="8">
        <v>1.272931220723706E-2</v>
      </c>
      <c r="J892" s="6" t="s">
        <v>7</v>
      </c>
      <c r="L892" s="6" t="s">
        <v>110</v>
      </c>
      <c r="M892" s="6" t="s">
        <v>50</v>
      </c>
      <c r="N892" s="8">
        <v>1.3675904305827935E-2</v>
      </c>
      <c r="O892" s="6" t="s">
        <v>7</v>
      </c>
    </row>
    <row r="893" spans="2:15" x14ac:dyDescent="0.45">
      <c r="B893" s="3" t="s">
        <v>108</v>
      </c>
      <c r="C893" s="3" t="s">
        <v>51</v>
      </c>
      <c r="D893" s="4">
        <v>4.1601174109453963E-3</v>
      </c>
      <c r="E893" s="3" t="s">
        <v>7</v>
      </c>
      <c r="G893" s="3" t="s">
        <v>109</v>
      </c>
      <c r="H893" s="3" t="s">
        <v>51</v>
      </c>
      <c r="I893" s="5">
        <v>1.3010751954893344E-2</v>
      </c>
      <c r="J893" s="3" t="s">
        <v>7</v>
      </c>
      <c r="L893" s="3" t="s">
        <v>110</v>
      </c>
      <c r="M893" s="3" t="s">
        <v>51</v>
      </c>
      <c r="N893" s="5">
        <v>1.3858921827985381E-2</v>
      </c>
      <c r="O893" s="3" t="s">
        <v>7</v>
      </c>
    </row>
    <row r="894" spans="2:15" x14ac:dyDescent="0.45">
      <c r="B894" s="6" t="s">
        <v>108</v>
      </c>
      <c r="C894" s="6" t="s">
        <v>52</v>
      </c>
      <c r="D894" s="7">
        <v>2.3919946664068669E-2</v>
      </c>
      <c r="E894" s="6" t="s">
        <v>7</v>
      </c>
      <c r="G894" s="6" t="s">
        <v>109</v>
      </c>
      <c r="H894" s="6" t="s">
        <v>52</v>
      </c>
      <c r="I894" s="8">
        <v>1.4300048805622868E-2</v>
      </c>
      <c r="J894" s="6" t="s">
        <v>7</v>
      </c>
      <c r="L894" s="6" t="s">
        <v>110</v>
      </c>
      <c r="M894" s="6" t="s">
        <v>52</v>
      </c>
      <c r="N894" s="8">
        <v>1.4120527070164068E-2</v>
      </c>
      <c r="O894" s="6" t="s">
        <v>7</v>
      </c>
    </row>
    <row r="895" spans="2:15" x14ac:dyDescent="0.45">
      <c r="B895" s="3" t="s">
        <v>108</v>
      </c>
      <c r="C895" s="3" t="s">
        <v>53</v>
      </c>
      <c r="D895" s="4">
        <v>3.8906315616788804E-2</v>
      </c>
      <c r="E895" s="3" t="s">
        <v>7</v>
      </c>
      <c r="G895" s="3" t="s">
        <v>109</v>
      </c>
      <c r="H895" s="3" t="s">
        <v>53</v>
      </c>
      <c r="I895" s="5">
        <v>1.5977150782061102E-2</v>
      </c>
      <c r="J895" s="3" t="s">
        <v>7</v>
      </c>
      <c r="L895" s="3" t="s">
        <v>110</v>
      </c>
      <c r="M895" s="3" t="s">
        <v>53</v>
      </c>
      <c r="N895" s="5">
        <v>1.4195393974872371E-2</v>
      </c>
      <c r="O895" s="3" t="s">
        <v>7</v>
      </c>
    </row>
    <row r="896" spans="2:15" x14ac:dyDescent="0.45">
      <c r="B896" s="6" t="s">
        <v>108</v>
      </c>
      <c r="C896" s="6" t="s">
        <v>54</v>
      </c>
      <c r="D896" s="7">
        <v>3.5961797240557175E-2</v>
      </c>
      <c r="E896" s="6" t="s">
        <v>7</v>
      </c>
      <c r="G896" s="6" t="s">
        <v>109</v>
      </c>
      <c r="H896" s="6" t="s">
        <v>54</v>
      </c>
      <c r="I896" s="8">
        <v>1.6307513520763112E-2</v>
      </c>
      <c r="J896" s="6" t="s">
        <v>7</v>
      </c>
      <c r="L896" s="6" t="s">
        <v>110</v>
      </c>
      <c r="M896" s="6" t="s">
        <v>54</v>
      </c>
      <c r="N896" s="8">
        <v>1.4522137273544363E-2</v>
      </c>
      <c r="O896" s="6" t="s">
        <v>7</v>
      </c>
    </row>
    <row r="897" spans="2:15" x14ac:dyDescent="0.45">
      <c r="B897" s="3" t="s">
        <v>108</v>
      </c>
      <c r="C897" s="3" t="s">
        <v>55</v>
      </c>
      <c r="D897" s="4">
        <v>2.3594335088263179E-2</v>
      </c>
      <c r="E897" s="3" t="s">
        <v>7</v>
      </c>
      <c r="G897" s="3" t="s">
        <v>109</v>
      </c>
      <c r="H897" s="3" t="s">
        <v>55</v>
      </c>
      <c r="I897" s="5">
        <v>1.5645297625078956E-2</v>
      </c>
      <c r="J897" s="3" t="s">
        <v>7</v>
      </c>
      <c r="L897" s="3" t="s">
        <v>110</v>
      </c>
      <c r="M897" s="3" t="s">
        <v>55</v>
      </c>
      <c r="N897" s="5">
        <v>1.4810896653047703E-2</v>
      </c>
      <c r="O897" s="3" t="s">
        <v>7</v>
      </c>
    </row>
    <row r="898" spans="2:15" x14ac:dyDescent="0.45">
      <c r="B898" s="6" t="s">
        <v>108</v>
      </c>
      <c r="C898" s="6" t="s">
        <v>56</v>
      </c>
      <c r="D898" s="7">
        <v>5.8929706159176068E-3</v>
      </c>
      <c r="E898" s="6" t="s">
        <v>7</v>
      </c>
      <c r="G898" s="6" t="s">
        <v>109</v>
      </c>
      <c r="H898" s="6" t="s">
        <v>56</v>
      </c>
      <c r="I898" s="8">
        <v>1.4325106809085631E-2</v>
      </c>
      <c r="J898" s="6" t="s">
        <v>7</v>
      </c>
      <c r="L898" s="6" t="s">
        <v>110</v>
      </c>
      <c r="M898" s="6" t="s">
        <v>56</v>
      </c>
      <c r="N898" s="8">
        <v>1.4755442419709672E-2</v>
      </c>
      <c r="O898" s="6" t="s">
        <v>7</v>
      </c>
    </row>
    <row r="899" spans="2:15" x14ac:dyDescent="0.45">
      <c r="B899" s="3" t="s">
        <v>108</v>
      </c>
      <c r="C899" s="3" t="s">
        <v>57</v>
      </c>
      <c r="D899" s="4">
        <v>2.849224254694647E-5</v>
      </c>
      <c r="E899" s="3" t="s">
        <v>7</v>
      </c>
      <c r="G899" s="3" t="s">
        <v>109</v>
      </c>
      <c r="H899" s="3" t="s">
        <v>57</v>
      </c>
      <c r="I899" s="5">
        <v>1.4179502833686148E-2</v>
      </c>
      <c r="J899" s="3" t="s">
        <v>7</v>
      </c>
      <c r="L899" s="3" t="s">
        <v>110</v>
      </c>
      <c r="M899" s="3" t="s">
        <v>57</v>
      </c>
      <c r="N899" s="5">
        <v>1.4353244414819192E-2</v>
      </c>
      <c r="O899" s="3" t="s">
        <v>7</v>
      </c>
    </row>
    <row r="900" spans="2:15" x14ac:dyDescent="0.45">
      <c r="B900" s="6" t="s">
        <v>108</v>
      </c>
      <c r="C900" s="6" t="s">
        <v>58</v>
      </c>
      <c r="D900" s="7">
        <v>0</v>
      </c>
      <c r="E900" s="6" t="s">
        <v>7</v>
      </c>
      <c r="G900" s="6" t="s">
        <v>109</v>
      </c>
      <c r="H900" s="6" t="s">
        <v>58</v>
      </c>
      <c r="I900" s="8">
        <v>2.0548257873348824E-2</v>
      </c>
      <c r="J900" s="6" t="s">
        <v>7</v>
      </c>
      <c r="L900" s="6" t="s">
        <v>110</v>
      </c>
      <c r="M900" s="6" t="s">
        <v>58</v>
      </c>
      <c r="N900" s="8">
        <v>2.0761012651594097E-2</v>
      </c>
      <c r="O900" s="6" t="s">
        <v>7</v>
      </c>
    </row>
    <row r="901" spans="2:15" x14ac:dyDescent="0.45">
      <c r="B901" s="3" t="s">
        <v>108</v>
      </c>
      <c r="C901" s="3" t="s">
        <v>59</v>
      </c>
      <c r="D901" s="4">
        <v>0</v>
      </c>
      <c r="E901" s="3" t="s">
        <v>7</v>
      </c>
      <c r="G901" s="3" t="s">
        <v>109</v>
      </c>
      <c r="H901" s="3" t="s">
        <v>59</v>
      </c>
      <c r="I901" s="5">
        <v>5.9648818822924235E-2</v>
      </c>
      <c r="J901" s="3" t="s">
        <v>7</v>
      </c>
      <c r="L901" s="3" t="s">
        <v>110</v>
      </c>
      <c r="M901" s="3" t="s">
        <v>59</v>
      </c>
      <c r="N901" s="5">
        <v>3.8540302517539315E-2</v>
      </c>
      <c r="O901" s="3" t="s">
        <v>7</v>
      </c>
    </row>
    <row r="902" spans="2:15" x14ac:dyDescent="0.45">
      <c r="B902" s="6" t="s">
        <v>108</v>
      </c>
      <c r="C902" s="6" t="s">
        <v>60</v>
      </c>
      <c r="D902" s="7">
        <v>0</v>
      </c>
      <c r="E902" s="6" t="s">
        <v>7</v>
      </c>
      <c r="G902" s="6" t="s">
        <v>109</v>
      </c>
      <c r="H902" s="6" t="s">
        <v>60</v>
      </c>
      <c r="I902" s="8">
        <v>2.3029224467042201E-2</v>
      </c>
      <c r="J902" s="6" t="s">
        <v>7</v>
      </c>
      <c r="L902" s="6" t="s">
        <v>110</v>
      </c>
      <c r="M902" s="6" t="s">
        <v>60</v>
      </c>
      <c r="N902" s="8">
        <v>1.5276495776695067E-2</v>
      </c>
      <c r="O902" s="6" t="s">
        <v>7</v>
      </c>
    </row>
    <row r="903" spans="2:15" x14ac:dyDescent="0.45">
      <c r="B903" s="3" t="s">
        <v>108</v>
      </c>
      <c r="C903" s="3" t="s">
        <v>61</v>
      </c>
      <c r="D903" s="4">
        <v>0</v>
      </c>
      <c r="E903" s="3" t="s">
        <v>7</v>
      </c>
      <c r="G903" s="3" t="s">
        <v>109</v>
      </c>
      <c r="H903" s="3" t="s">
        <v>61</v>
      </c>
      <c r="I903" s="5">
        <v>2.2307725441744523E-2</v>
      </c>
      <c r="J903" s="3" t="s">
        <v>7</v>
      </c>
      <c r="L903" s="3" t="s">
        <v>110</v>
      </c>
      <c r="M903" s="3" t="s">
        <v>61</v>
      </c>
      <c r="N903" s="5">
        <v>1.5337155461087134E-2</v>
      </c>
      <c r="O903" s="3" t="s">
        <v>7</v>
      </c>
    </row>
    <row r="904" spans="2:15" x14ac:dyDescent="0.45">
      <c r="B904" s="6" t="s">
        <v>108</v>
      </c>
      <c r="C904" s="6" t="s">
        <v>62</v>
      </c>
      <c r="D904" s="7">
        <v>7.417713629743976E-3</v>
      </c>
      <c r="E904" s="6" t="s">
        <v>7</v>
      </c>
      <c r="G904" s="6" t="s">
        <v>109</v>
      </c>
      <c r="H904" s="6" t="s">
        <v>62</v>
      </c>
      <c r="I904" s="8">
        <v>2.1745073319147958E-2</v>
      </c>
      <c r="J904" s="6" t="s">
        <v>7</v>
      </c>
      <c r="L904" s="6" t="s">
        <v>110</v>
      </c>
      <c r="M904" s="6" t="s">
        <v>62</v>
      </c>
      <c r="N904" s="8">
        <v>1.5097665694230912E-2</v>
      </c>
      <c r="O904" s="6" t="s">
        <v>7</v>
      </c>
    </row>
    <row r="905" spans="2:15" x14ac:dyDescent="0.45">
      <c r="B905" s="3" t="s">
        <v>108</v>
      </c>
      <c r="C905" s="3" t="s">
        <v>63</v>
      </c>
      <c r="D905" s="4">
        <v>2.2167915275473057E-2</v>
      </c>
      <c r="E905" s="3" t="s">
        <v>7</v>
      </c>
      <c r="G905" s="3" t="s">
        <v>109</v>
      </c>
      <c r="H905" s="3" t="s">
        <v>63</v>
      </c>
      <c r="I905" s="5">
        <v>2.1675328492881465E-2</v>
      </c>
      <c r="J905" s="3" t="s">
        <v>7</v>
      </c>
      <c r="L905" s="3" t="s">
        <v>110</v>
      </c>
      <c r="M905" s="3" t="s">
        <v>63</v>
      </c>
      <c r="N905" s="5">
        <v>1.5165450579405789E-2</v>
      </c>
      <c r="O905" s="3" t="s">
        <v>7</v>
      </c>
    </row>
    <row r="906" spans="2:15" x14ac:dyDescent="0.45">
      <c r="B906" s="6" t="s">
        <v>108</v>
      </c>
      <c r="C906" s="6" t="s">
        <v>64</v>
      </c>
      <c r="D906" s="7">
        <v>2.2013420217358248E-2</v>
      </c>
      <c r="E906" s="6" t="s">
        <v>7</v>
      </c>
      <c r="G906" s="6" t="s">
        <v>109</v>
      </c>
      <c r="H906" s="6" t="s">
        <v>64</v>
      </c>
      <c r="I906" s="8">
        <v>2.2393426405476161E-2</v>
      </c>
      <c r="J906" s="6" t="s">
        <v>7</v>
      </c>
      <c r="L906" s="6" t="s">
        <v>110</v>
      </c>
      <c r="M906" s="6" t="s">
        <v>64</v>
      </c>
      <c r="N906" s="8">
        <v>1.5223907382818461E-2</v>
      </c>
      <c r="O906" s="6" t="s">
        <v>7</v>
      </c>
    </row>
    <row r="907" spans="2:15" x14ac:dyDescent="0.45">
      <c r="B907" s="3" t="s">
        <v>108</v>
      </c>
      <c r="C907" s="3" t="s">
        <v>65</v>
      </c>
      <c r="D907" s="4">
        <v>7.0758053563059692E-3</v>
      </c>
      <c r="E907" s="3" t="s">
        <v>7</v>
      </c>
      <c r="G907" s="3" t="s">
        <v>109</v>
      </c>
      <c r="H907" s="3" t="s">
        <v>65</v>
      </c>
      <c r="I907" s="5">
        <v>2.2165223212606062E-2</v>
      </c>
      <c r="J907" s="3" t="s">
        <v>7</v>
      </c>
      <c r="L907" s="3" t="s">
        <v>110</v>
      </c>
      <c r="M907" s="3" t="s">
        <v>65</v>
      </c>
      <c r="N907" s="5">
        <v>1.5380726651059004E-2</v>
      </c>
      <c r="O907" s="3" t="s">
        <v>7</v>
      </c>
    </row>
    <row r="908" spans="2:15" x14ac:dyDescent="0.45">
      <c r="B908" s="6" t="s">
        <v>108</v>
      </c>
      <c r="C908" s="6" t="s">
        <v>66</v>
      </c>
      <c r="D908" s="7">
        <v>0</v>
      </c>
      <c r="E908" s="6" t="s">
        <v>7</v>
      </c>
      <c r="G908" s="6" t="s">
        <v>109</v>
      </c>
      <c r="H908" s="6" t="s">
        <v>66</v>
      </c>
      <c r="I908" s="8">
        <v>2.1743871785364733E-2</v>
      </c>
      <c r="J908" s="6" t="s">
        <v>7</v>
      </c>
      <c r="L908" s="6" t="s">
        <v>110</v>
      </c>
      <c r="M908" s="6" t="s">
        <v>66</v>
      </c>
      <c r="N908" s="8">
        <v>1.5930047154768968E-2</v>
      </c>
      <c r="O908" s="6" t="s">
        <v>7</v>
      </c>
    </row>
    <row r="909" spans="2:15" x14ac:dyDescent="0.45">
      <c r="B909" s="3" t="s">
        <v>108</v>
      </c>
      <c r="C909" s="3" t="s">
        <v>67</v>
      </c>
      <c r="D909" s="4">
        <v>0</v>
      </c>
      <c r="E909" s="3" t="s">
        <v>7</v>
      </c>
      <c r="G909" s="3" t="s">
        <v>109</v>
      </c>
      <c r="H909" s="3" t="s">
        <v>67</v>
      </c>
      <c r="I909" s="5">
        <v>2.2541901922550622E-2</v>
      </c>
      <c r="J909" s="3" t="s">
        <v>7</v>
      </c>
      <c r="L909" s="3" t="s">
        <v>110</v>
      </c>
      <c r="M909" s="3" t="s">
        <v>67</v>
      </c>
      <c r="N909" s="5">
        <v>1.5789974761195154E-2</v>
      </c>
      <c r="O909" s="3" t="s">
        <v>7</v>
      </c>
    </row>
    <row r="910" spans="2:15" x14ac:dyDescent="0.45">
      <c r="B910" s="6" t="s">
        <v>108</v>
      </c>
      <c r="C910" s="6" t="s">
        <v>68</v>
      </c>
      <c r="D910" s="7">
        <v>0</v>
      </c>
      <c r="E910" s="6" t="s">
        <v>7</v>
      </c>
      <c r="G910" s="6" t="s">
        <v>109</v>
      </c>
      <c r="H910" s="6" t="s">
        <v>68</v>
      </c>
      <c r="I910" s="8">
        <v>3.458138597277665E-2</v>
      </c>
      <c r="J910" s="6" t="s">
        <v>7</v>
      </c>
      <c r="L910" s="6" t="s">
        <v>110</v>
      </c>
      <c r="M910" s="6" t="s">
        <v>68</v>
      </c>
      <c r="N910" s="8">
        <v>2.3614700816825027E-2</v>
      </c>
      <c r="O910" s="6" t="s">
        <v>7</v>
      </c>
    </row>
    <row r="911" spans="2:15" x14ac:dyDescent="0.45">
      <c r="B911" s="3" t="s">
        <v>111</v>
      </c>
      <c r="C911" s="3" t="s">
        <v>6</v>
      </c>
      <c r="D911" s="4">
        <v>0</v>
      </c>
      <c r="E911" s="3" t="s">
        <v>7</v>
      </c>
      <c r="G911" s="3" t="s">
        <v>112</v>
      </c>
      <c r="H911" s="3" t="s">
        <v>6</v>
      </c>
      <c r="I911" s="5">
        <v>3.9777877847763925E-2</v>
      </c>
      <c r="J911" s="3" t="s">
        <v>7</v>
      </c>
      <c r="L911" s="3" t="s">
        <v>113</v>
      </c>
      <c r="M911" s="3" t="s">
        <v>6</v>
      </c>
      <c r="N911" s="5">
        <v>3.8699473190768406E-2</v>
      </c>
      <c r="O911" s="3" t="s">
        <v>7</v>
      </c>
    </row>
    <row r="912" spans="2:15" x14ac:dyDescent="0.45">
      <c r="B912" s="6" t="s">
        <v>111</v>
      </c>
      <c r="C912" s="6" t="s">
        <v>10</v>
      </c>
      <c r="D912" s="7">
        <v>0</v>
      </c>
      <c r="E912" s="6" t="s">
        <v>7</v>
      </c>
      <c r="G912" s="6" t="s">
        <v>112</v>
      </c>
      <c r="H912" s="6" t="s">
        <v>10</v>
      </c>
      <c r="I912" s="8">
        <v>1.5203657078614902E-2</v>
      </c>
      <c r="J912" s="6" t="s">
        <v>7</v>
      </c>
      <c r="L912" s="6" t="s">
        <v>113</v>
      </c>
      <c r="M912" s="6" t="s">
        <v>10</v>
      </c>
      <c r="N912" s="8">
        <v>1.5767310406902171E-2</v>
      </c>
      <c r="O912" s="6" t="s">
        <v>7</v>
      </c>
    </row>
    <row r="913" spans="2:15" x14ac:dyDescent="0.45">
      <c r="B913" s="3" t="s">
        <v>111</v>
      </c>
      <c r="C913" s="3" t="s">
        <v>11</v>
      </c>
      <c r="D913" s="4">
        <v>4.8175932965332716E-4</v>
      </c>
      <c r="E913" s="3" t="s">
        <v>7</v>
      </c>
      <c r="G913" s="3" t="s">
        <v>112</v>
      </c>
      <c r="H913" s="3" t="s">
        <v>11</v>
      </c>
      <c r="I913" s="5">
        <v>1.5141451451648627E-2</v>
      </c>
      <c r="J913" s="3" t="s">
        <v>7</v>
      </c>
      <c r="L913" s="3" t="s">
        <v>113</v>
      </c>
      <c r="M913" s="3" t="s">
        <v>11</v>
      </c>
      <c r="N913" s="5">
        <v>1.6024438747943209E-2</v>
      </c>
      <c r="O913" s="3" t="s">
        <v>7</v>
      </c>
    </row>
    <row r="914" spans="2:15" x14ac:dyDescent="0.45">
      <c r="B914" s="6" t="s">
        <v>111</v>
      </c>
      <c r="C914" s="6" t="s">
        <v>12</v>
      </c>
      <c r="D914" s="7">
        <v>1.2438317311744197E-2</v>
      </c>
      <c r="E914" s="6" t="s">
        <v>7</v>
      </c>
      <c r="G914" s="6" t="s">
        <v>112</v>
      </c>
      <c r="H914" s="6" t="s">
        <v>12</v>
      </c>
      <c r="I914" s="8">
        <v>1.4173804677359542E-2</v>
      </c>
      <c r="J914" s="6" t="s">
        <v>7</v>
      </c>
      <c r="L914" s="6" t="s">
        <v>113</v>
      </c>
      <c r="M914" s="6" t="s">
        <v>12</v>
      </c>
      <c r="N914" s="8">
        <v>1.5991661803318152E-2</v>
      </c>
      <c r="O914" s="6" t="s">
        <v>7</v>
      </c>
    </row>
    <row r="915" spans="2:15" x14ac:dyDescent="0.45">
      <c r="B915" s="3" t="s">
        <v>111</v>
      </c>
      <c r="C915" s="3" t="s">
        <v>13</v>
      </c>
      <c r="D915" s="4">
        <v>2.7376688938599708E-2</v>
      </c>
      <c r="E915" s="3" t="s">
        <v>7</v>
      </c>
      <c r="G915" s="3" t="s">
        <v>112</v>
      </c>
      <c r="H915" s="3" t="s">
        <v>13</v>
      </c>
      <c r="I915" s="5">
        <v>1.4012430883240619E-2</v>
      </c>
      <c r="J915" s="3" t="s">
        <v>7</v>
      </c>
      <c r="L915" s="3" t="s">
        <v>113</v>
      </c>
      <c r="M915" s="3" t="s">
        <v>13</v>
      </c>
      <c r="N915" s="5">
        <v>1.5899562584735696E-2</v>
      </c>
      <c r="O915" s="3" t="s">
        <v>7</v>
      </c>
    </row>
    <row r="916" spans="2:15" x14ac:dyDescent="0.45">
      <c r="B916" s="6" t="s">
        <v>111</v>
      </c>
      <c r="C916" s="6" t="s">
        <v>14</v>
      </c>
      <c r="D916" s="7">
        <v>2.7699124627012708E-2</v>
      </c>
      <c r="E916" s="6" t="s">
        <v>7</v>
      </c>
      <c r="G916" s="6" t="s">
        <v>112</v>
      </c>
      <c r="H916" s="6" t="s">
        <v>14</v>
      </c>
      <c r="I916" s="8">
        <v>1.4888912635190713E-2</v>
      </c>
      <c r="J916" s="6" t="s">
        <v>7</v>
      </c>
      <c r="L916" s="6" t="s">
        <v>113</v>
      </c>
      <c r="M916" s="6" t="s">
        <v>14</v>
      </c>
      <c r="N916" s="8">
        <v>1.5887656290520566E-2</v>
      </c>
      <c r="O916" s="6" t="s">
        <v>7</v>
      </c>
    </row>
    <row r="917" spans="2:15" x14ac:dyDescent="0.45">
      <c r="B917" s="3" t="s">
        <v>111</v>
      </c>
      <c r="C917" s="3" t="s">
        <v>15</v>
      </c>
      <c r="D917" s="4">
        <v>1.5812908921082905E-2</v>
      </c>
      <c r="E917" s="3" t="s">
        <v>7</v>
      </c>
      <c r="G917" s="3" t="s">
        <v>112</v>
      </c>
      <c r="H917" s="3" t="s">
        <v>15</v>
      </c>
      <c r="I917" s="5">
        <v>1.4876292947729412E-2</v>
      </c>
      <c r="J917" s="3" t="s">
        <v>7</v>
      </c>
      <c r="L917" s="3" t="s">
        <v>113</v>
      </c>
      <c r="M917" s="3" t="s">
        <v>15</v>
      </c>
      <c r="N917" s="5">
        <v>1.5664359865296244E-2</v>
      </c>
      <c r="O917" s="3" t="s">
        <v>7</v>
      </c>
    </row>
    <row r="918" spans="2:15" x14ac:dyDescent="0.45">
      <c r="B918" s="6" t="s">
        <v>111</v>
      </c>
      <c r="C918" s="6" t="s">
        <v>16</v>
      </c>
      <c r="D918" s="7">
        <v>2.0340039591147984E-3</v>
      </c>
      <c r="E918" s="6" t="s">
        <v>7</v>
      </c>
      <c r="G918" s="6" t="s">
        <v>112</v>
      </c>
      <c r="H918" s="6" t="s">
        <v>16</v>
      </c>
      <c r="I918" s="8">
        <v>1.504228636292086E-2</v>
      </c>
      <c r="J918" s="6" t="s">
        <v>7</v>
      </c>
      <c r="L918" s="6" t="s">
        <v>113</v>
      </c>
      <c r="M918" s="6" t="s">
        <v>16</v>
      </c>
      <c r="N918" s="8">
        <v>1.5395425328935279E-2</v>
      </c>
      <c r="O918" s="6" t="s">
        <v>7</v>
      </c>
    </row>
    <row r="919" spans="2:15" x14ac:dyDescent="0.45">
      <c r="B919" s="3" t="s">
        <v>111</v>
      </c>
      <c r="C919" s="3" t="s">
        <v>17</v>
      </c>
      <c r="D919" s="4">
        <v>0</v>
      </c>
      <c r="E919" s="3" t="s">
        <v>7</v>
      </c>
      <c r="G919" s="3" t="s">
        <v>112</v>
      </c>
      <c r="H919" s="3" t="s">
        <v>17</v>
      </c>
      <c r="I919" s="5">
        <v>1.5737482278208835E-2</v>
      </c>
      <c r="J919" s="3" t="s">
        <v>7</v>
      </c>
      <c r="L919" s="3" t="s">
        <v>113</v>
      </c>
      <c r="M919" s="3" t="s">
        <v>17</v>
      </c>
      <c r="N919" s="5">
        <v>1.5258954996367603E-2</v>
      </c>
      <c r="O919" s="3" t="s">
        <v>7</v>
      </c>
    </row>
    <row r="920" spans="2:15" x14ac:dyDescent="0.45">
      <c r="B920" s="6" t="s">
        <v>111</v>
      </c>
      <c r="C920" s="6" t="s">
        <v>18</v>
      </c>
      <c r="D920" s="7">
        <v>0</v>
      </c>
      <c r="E920" s="6" t="s">
        <v>7</v>
      </c>
      <c r="G920" s="6" t="s">
        <v>112</v>
      </c>
      <c r="H920" s="6" t="s">
        <v>18</v>
      </c>
      <c r="I920" s="8">
        <v>2.3761988176913107E-2</v>
      </c>
      <c r="J920" s="6" t="s">
        <v>7</v>
      </c>
      <c r="L920" s="6" t="s">
        <v>113</v>
      </c>
      <c r="M920" s="6" t="s">
        <v>18</v>
      </c>
      <c r="N920" s="8">
        <v>2.2525529621579325E-2</v>
      </c>
      <c r="O920" s="6" t="s">
        <v>7</v>
      </c>
    </row>
    <row r="921" spans="2:15" x14ac:dyDescent="0.45">
      <c r="B921" s="3" t="s">
        <v>111</v>
      </c>
      <c r="C921" s="3" t="s">
        <v>19</v>
      </c>
      <c r="D921" s="4">
        <v>0</v>
      </c>
      <c r="E921" s="3" t="s">
        <v>7</v>
      </c>
      <c r="G921" s="3" t="s">
        <v>112</v>
      </c>
      <c r="H921" s="3" t="s">
        <v>19</v>
      </c>
      <c r="I921" s="5">
        <v>3.9173578974326169E-2</v>
      </c>
      <c r="J921" s="3" t="s">
        <v>7</v>
      </c>
      <c r="L921" s="3" t="s">
        <v>113</v>
      </c>
      <c r="M921" s="3" t="s">
        <v>19</v>
      </c>
      <c r="N921" s="5">
        <v>4.0610649531720874E-2</v>
      </c>
      <c r="O921" s="3" t="s">
        <v>7</v>
      </c>
    </row>
    <row r="922" spans="2:15" x14ac:dyDescent="0.45">
      <c r="B922" s="6" t="s">
        <v>111</v>
      </c>
      <c r="C922" s="6" t="s">
        <v>20</v>
      </c>
      <c r="D922" s="7">
        <v>1.0979119038804542E-4</v>
      </c>
      <c r="E922" s="6" t="s">
        <v>7</v>
      </c>
      <c r="G922" s="6" t="s">
        <v>112</v>
      </c>
      <c r="H922" s="6" t="s">
        <v>20</v>
      </c>
      <c r="I922" s="8">
        <v>1.5215726149245408E-2</v>
      </c>
      <c r="J922" s="6" t="s">
        <v>7</v>
      </c>
      <c r="L922" s="6" t="s">
        <v>113</v>
      </c>
      <c r="M922" s="6" t="s">
        <v>20</v>
      </c>
      <c r="N922" s="8">
        <v>1.5967317953805779E-2</v>
      </c>
      <c r="O922" s="6" t="s">
        <v>7</v>
      </c>
    </row>
    <row r="923" spans="2:15" x14ac:dyDescent="0.45">
      <c r="B923" s="3" t="s">
        <v>111</v>
      </c>
      <c r="C923" s="3" t="s">
        <v>21</v>
      </c>
      <c r="D923" s="4">
        <v>9.9363161322684988E-3</v>
      </c>
      <c r="E923" s="3" t="s">
        <v>7</v>
      </c>
      <c r="G923" s="3" t="s">
        <v>112</v>
      </c>
      <c r="H923" s="3" t="s">
        <v>21</v>
      </c>
      <c r="I923" s="5">
        <v>1.5061721443657035E-2</v>
      </c>
      <c r="J923" s="3" t="s">
        <v>7</v>
      </c>
      <c r="L923" s="3" t="s">
        <v>113</v>
      </c>
      <c r="M923" s="3" t="s">
        <v>21</v>
      </c>
      <c r="N923" s="5">
        <v>1.5687071942507923E-2</v>
      </c>
      <c r="O923" s="3" t="s">
        <v>7</v>
      </c>
    </row>
    <row r="924" spans="2:15" x14ac:dyDescent="0.45">
      <c r="B924" s="6" t="s">
        <v>111</v>
      </c>
      <c r="C924" s="6" t="s">
        <v>22</v>
      </c>
      <c r="D924" s="7">
        <v>3.4711092626169025E-2</v>
      </c>
      <c r="E924" s="6" t="s">
        <v>7</v>
      </c>
      <c r="G924" s="6" t="s">
        <v>112</v>
      </c>
      <c r="H924" s="6" t="s">
        <v>22</v>
      </c>
      <c r="I924" s="8">
        <v>1.5093174709079542E-2</v>
      </c>
      <c r="J924" s="6" t="s">
        <v>7</v>
      </c>
      <c r="L924" s="6" t="s">
        <v>113</v>
      </c>
      <c r="M924" s="6" t="s">
        <v>22</v>
      </c>
      <c r="N924" s="8">
        <v>1.5461400079028118E-2</v>
      </c>
      <c r="O924" s="6" t="s">
        <v>7</v>
      </c>
    </row>
    <row r="925" spans="2:15" x14ac:dyDescent="0.45">
      <c r="B925" s="3" t="s">
        <v>111</v>
      </c>
      <c r="C925" s="3" t="s">
        <v>23</v>
      </c>
      <c r="D925" s="4">
        <v>4.7648937035160939E-2</v>
      </c>
      <c r="E925" s="3" t="s">
        <v>7</v>
      </c>
      <c r="G925" s="3" t="s">
        <v>112</v>
      </c>
      <c r="H925" s="3" t="s">
        <v>23</v>
      </c>
      <c r="I925" s="5">
        <v>1.4856552877234499E-2</v>
      </c>
      <c r="J925" s="3" t="s">
        <v>7</v>
      </c>
      <c r="L925" s="3" t="s">
        <v>113</v>
      </c>
      <c r="M925" s="3" t="s">
        <v>23</v>
      </c>
      <c r="N925" s="5">
        <v>1.5405205003319673E-2</v>
      </c>
      <c r="O925" s="3" t="s">
        <v>7</v>
      </c>
    </row>
    <row r="926" spans="2:15" x14ac:dyDescent="0.45">
      <c r="B926" s="6" t="s">
        <v>111</v>
      </c>
      <c r="C926" s="6" t="s">
        <v>24</v>
      </c>
      <c r="D926" s="7">
        <v>4.7053128304796736E-2</v>
      </c>
      <c r="E926" s="6" t="s">
        <v>7</v>
      </c>
      <c r="G926" s="6" t="s">
        <v>112</v>
      </c>
      <c r="H926" s="6" t="s">
        <v>24</v>
      </c>
      <c r="I926" s="8">
        <v>1.5389728744522475E-2</v>
      </c>
      <c r="J926" s="6" t="s">
        <v>7</v>
      </c>
      <c r="L926" s="6" t="s">
        <v>113</v>
      </c>
      <c r="M926" s="6" t="s">
        <v>24</v>
      </c>
      <c r="N926" s="8">
        <v>1.5578364649824986E-2</v>
      </c>
      <c r="O926" s="6" t="s">
        <v>7</v>
      </c>
    </row>
    <row r="927" spans="2:15" x14ac:dyDescent="0.45">
      <c r="B927" s="3" t="s">
        <v>111</v>
      </c>
      <c r="C927" s="3" t="s">
        <v>25</v>
      </c>
      <c r="D927" s="4">
        <v>3.404902438742332E-2</v>
      </c>
      <c r="E927" s="3" t="s">
        <v>7</v>
      </c>
      <c r="G927" s="3" t="s">
        <v>112</v>
      </c>
      <c r="H927" s="3" t="s">
        <v>25</v>
      </c>
      <c r="I927" s="5">
        <v>1.6091604995063097E-2</v>
      </c>
      <c r="J927" s="3" t="s">
        <v>7</v>
      </c>
      <c r="L927" s="3" t="s">
        <v>113</v>
      </c>
      <c r="M927" s="3" t="s">
        <v>25</v>
      </c>
      <c r="N927" s="5">
        <v>1.6018191728896868E-2</v>
      </c>
      <c r="O927" s="3" t="s">
        <v>7</v>
      </c>
    </row>
    <row r="928" spans="2:15" x14ac:dyDescent="0.45">
      <c r="B928" s="6" t="s">
        <v>111</v>
      </c>
      <c r="C928" s="6" t="s">
        <v>26</v>
      </c>
      <c r="D928" s="7">
        <v>1.2134032815955761E-2</v>
      </c>
      <c r="E928" s="6" t="s">
        <v>7</v>
      </c>
      <c r="G928" s="6" t="s">
        <v>112</v>
      </c>
      <c r="H928" s="6" t="s">
        <v>26</v>
      </c>
      <c r="I928" s="8">
        <v>1.5469634322832042E-2</v>
      </c>
      <c r="J928" s="6" t="s">
        <v>7</v>
      </c>
      <c r="L928" s="6" t="s">
        <v>113</v>
      </c>
      <c r="M928" s="6" t="s">
        <v>26</v>
      </c>
      <c r="N928" s="8">
        <v>1.6443135453496079E-2</v>
      </c>
      <c r="O928" s="6" t="s">
        <v>7</v>
      </c>
    </row>
    <row r="929" spans="2:15" x14ac:dyDescent="0.45">
      <c r="B929" s="3" t="s">
        <v>111</v>
      </c>
      <c r="C929" s="3" t="s">
        <v>27</v>
      </c>
      <c r="D929" s="4">
        <v>2.0317105124222E-4</v>
      </c>
      <c r="E929" s="3" t="s">
        <v>7</v>
      </c>
      <c r="G929" s="3" t="s">
        <v>112</v>
      </c>
      <c r="H929" s="3" t="s">
        <v>27</v>
      </c>
      <c r="I929" s="5">
        <v>1.5732692602446172E-2</v>
      </c>
      <c r="J929" s="3" t="s">
        <v>7</v>
      </c>
      <c r="L929" s="3" t="s">
        <v>113</v>
      </c>
      <c r="M929" s="3" t="s">
        <v>27</v>
      </c>
      <c r="N929" s="5">
        <v>1.6708268251322513E-2</v>
      </c>
      <c r="O929" s="3" t="s">
        <v>7</v>
      </c>
    </row>
    <row r="930" spans="2:15" x14ac:dyDescent="0.45">
      <c r="B930" s="6" t="s">
        <v>111</v>
      </c>
      <c r="C930" s="6" t="s">
        <v>28</v>
      </c>
      <c r="D930" s="7">
        <v>0</v>
      </c>
      <c r="E930" s="6" t="s">
        <v>7</v>
      </c>
      <c r="G930" s="6" t="s">
        <v>112</v>
      </c>
      <c r="H930" s="6" t="s">
        <v>28</v>
      </c>
      <c r="I930" s="8">
        <v>2.3573397119437123E-2</v>
      </c>
      <c r="J930" s="6" t="s">
        <v>7</v>
      </c>
      <c r="L930" s="6" t="s">
        <v>113</v>
      </c>
      <c r="M930" s="6" t="s">
        <v>28</v>
      </c>
      <c r="N930" s="8">
        <v>2.4598982130878442E-2</v>
      </c>
      <c r="O930" s="6" t="s">
        <v>7</v>
      </c>
    </row>
    <row r="931" spans="2:15" x14ac:dyDescent="0.45">
      <c r="B931" s="3" t="s">
        <v>111</v>
      </c>
      <c r="C931" s="3" t="s">
        <v>29</v>
      </c>
      <c r="D931" s="4">
        <v>0</v>
      </c>
      <c r="E931" s="3" t="s">
        <v>7</v>
      </c>
      <c r="G931" s="3" t="s">
        <v>112</v>
      </c>
      <c r="H931" s="3" t="s">
        <v>29</v>
      </c>
      <c r="I931" s="5">
        <v>3.5233347703323238E-2</v>
      </c>
      <c r="J931" s="3" t="s">
        <v>7</v>
      </c>
      <c r="L931" s="3" t="s">
        <v>113</v>
      </c>
      <c r="M931" s="3" t="s">
        <v>29</v>
      </c>
      <c r="N931" s="5">
        <v>3.5208442136873734E-2</v>
      </c>
      <c r="O931" s="3" t="s">
        <v>7</v>
      </c>
    </row>
    <row r="932" spans="2:15" x14ac:dyDescent="0.45">
      <c r="B932" s="6" t="s">
        <v>111</v>
      </c>
      <c r="C932" s="6" t="s">
        <v>30</v>
      </c>
      <c r="D932" s="7">
        <v>1.7443810661671381E-3</v>
      </c>
      <c r="E932" s="6" t="s">
        <v>7</v>
      </c>
      <c r="G932" s="6" t="s">
        <v>112</v>
      </c>
      <c r="H932" s="6" t="s">
        <v>30</v>
      </c>
      <c r="I932" s="8">
        <v>1.2972550590410095E-2</v>
      </c>
      <c r="J932" s="6" t="s">
        <v>7</v>
      </c>
      <c r="L932" s="6" t="s">
        <v>113</v>
      </c>
      <c r="M932" s="6" t="s">
        <v>30</v>
      </c>
      <c r="N932" s="8">
        <v>1.3742959898836445E-2</v>
      </c>
      <c r="O932" s="6" t="s">
        <v>7</v>
      </c>
    </row>
    <row r="933" spans="2:15" x14ac:dyDescent="0.45">
      <c r="B933" s="3" t="s">
        <v>111</v>
      </c>
      <c r="C933" s="3" t="s">
        <v>31</v>
      </c>
      <c r="D933" s="4">
        <v>1.8412599395791769E-2</v>
      </c>
      <c r="E933" s="3" t="s">
        <v>7</v>
      </c>
      <c r="G933" s="3" t="s">
        <v>112</v>
      </c>
      <c r="H933" s="3" t="s">
        <v>31</v>
      </c>
      <c r="I933" s="5">
        <v>1.3152894121666953E-2</v>
      </c>
      <c r="J933" s="3" t="s">
        <v>7</v>
      </c>
      <c r="L933" s="3" t="s">
        <v>113</v>
      </c>
      <c r="M933" s="3" t="s">
        <v>31</v>
      </c>
      <c r="N933" s="5">
        <v>1.3358438501302129E-2</v>
      </c>
      <c r="O933" s="3" t="s">
        <v>7</v>
      </c>
    </row>
    <row r="934" spans="2:15" x14ac:dyDescent="0.45">
      <c r="B934" s="6" t="s">
        <v>111</v>
      </c>
      <c r="C934" s="6" t="s">
        <v>32</v>
      </c>
      <c r="D934" s="7">
        <v>4.2168100493021762E-2</v>
      </c>
      <c r="E934" s="6" t="s">
        <v>7</v>
      </c>
      <c r="G934" s="6" t="s">
        <v>112</v>
      </c>
      <c r="H934" s="6" t="s">
        <v>32</v>
      </c>
      <c r="I934" s="8">
        <v>1.2325314022885487E-2</v>
      </c>
      <c r="J934" s="6" t="s">
        <v>7</v>
      </c>
      <c r="L934" s="6" t="s">
        <v>113</v>
      </c>
      <c r="M934" s="6" t="s">
        <v>32</v>
      </c>
      <c r="N934" s="8">
        <v>1.3002978119032414E-2</v>
      </c>
      <c r="O934" s="6" t="s">
        <v>7</v>
      </c>
    </row>
    <row r="935" spans="2:15" x14ac:dyDescent="0.45">
      <c r="B935" s="3" t="s">
        <v>111</v>
      </c>
      <c r="C935" s="3" t="s">
        <v>33</v>
      </c>
      <c r="D935" s="4">
        <v>5.4564095810909999E-2</v>
      </c>
      <c r="E935" s="3" t="s">
        <v>7</v>
      </c>
      <c r="G935" s="3" t="s">
        <v>112</v>
      </c>
      <c r="H935" s="3" t="s">
        <v>33</v>
      </c>
      <c r="I935" s="5">
        <v>1.2173607940264161E-2</v>
      </c>
      <c r="J935" s="3" t="s">
        <v>7</v>
      </c>
      <c r="L935" s="3" t="s">
        <v>113</v>
      </c>
      <c r="M935" s="3" t="s">
        <v>33</v>
      </c>
      <c r="N935" s="5">
        <v>1.2888606079791825E-2</v>
      </c>
      <c r="O935" s="3" t="s">
        <v>7</v>
      </c>
    </row>
    <row r="936" spans="2:15" x14ac:dyDescent="0.45">
      <c r="B936" s="6" t="s">
        <v>111</v>
      </c>
      <c r="C936" s="6" t="s">
        <v>34</v>
      </c>
      <c r="D936" s="7">
        <v>5.4898012723868371E-2</v>
      </c>
      <c r="E936" s="6" t="s">
        <v>7</v>
      </c>
      <c r="G936" s="6" t="s">
        <v>112</v>
      </c>
      <c r="H936" s="6" t="s">
        <v>34</v>
      </c>
      <c r="I936" s="8">
        <v>1.3050292038853729E-2</v>
      </c>
      <c r="J936" s="6" t="s">
        <v>7</v>
      </c>
      <c r="L936" s="6" t="s">
        <v>113</v>
      </c>
      <c r="M936" s="6" t="s">
        <v>34</v>
      </c>
      <c r="N936" s="8">
        <v>1.3721391619152671E-2</v>
      </c>
      <c r="O936" s="6" t="s">
        <v>7</v>
      </c>
    </row>
    <row r="937" spans="2:15" x14ac:dyDescent="0.45">
      <c r="B937" s="3" t="s">
        <v>111</v>
      </c>
      <c r="C937" s="3" t="s">
        <v>35</v>
      </c>
      <c r="D937" s="4">
        <v>4.269934841121055E-2</v>
      </c>
      <c r="E937" s="3" t="s">
        <v>7</v>
      </c>
      <c r="G937" s="3" t="s">
        <v>112</v>
      </c>
      <c r="H937" s="3" t="s">
        <v>35</v>
      </c>
      <c r="I937" s="5">
        <v>1.382104650540821E-2</v>
      </c>
      <c r="J937" s="3" t="s">
        <v>7</v>
      </c>
      <c r="L937" s="3" t="s">
        <v>113</v>
      </c>
      <c r="M937" s="3" t="s">
        <v>35</v>
      </c>
      <c r="N937" s="5">
        <v>1.4422240755636417E-2</v>
      </c>
      <c r="O937" s="3" t="s">
        <v>7</v>
      </c>
    </row>
    <row r="938" spans="2:15" x14ac:dyDescent="0.45">
      <c r="B938" s="6" t="s">
        <v>111</v>
      </c>
      <c r="C938" s="6" t="s">
        <v>36</v>
      </c>
      <c r="D938" s="7">
        <v>2.0236659121226495E-2</v>
      </c>
      <c r="E938" s="6" t="s">
        <v>7</v>
      </c>
      <c r="G938" s="6" t="s">
        <v>112</v>
      </c>
      <c r="H938" s="6" t="s">
        <v>36</v>
      </c>
      <c r="I938" s="8">
        <v>1.395206904646514E-2</v>
      </c>
      <c r="J938" s="6" t="s">
        <v>7</v>
      </c>
      <c r="L938" s="6" t="s">
        <v>113</v>
      </c>
      <c r="M938" s="6" t="s">
        <v>36</v>
      </c>
      <c r="N938" s="8">
        <v>1.4660261975435625E-2</v>
      </c>
      <c r="O938" s="6" t="s">
        <v>7</v>
      </c>
    </row>
    <row r="939" spans="2:15" x14ac:dyDescent="0.45">
      <c r="B939" s="3" t="s">
        <v>111</v>
      </c>
      <c r="C939" s="3" t="s">
        <v>37</v>
      </c>
      <c r="D939" s="4">
        <v>2.3191519151988613E-3</v>
      </c>
      <c r="E939" s="3" t="s">
        <v>7</v>
      </c>
      <c r="G939" s="3" t="s">
        <v>112</v>
      </c>
      <c r="H939" s="3" t="s">
        <v>37</v>
      </c>
      <c r="I939" s="5">
        <v>1.409508687014575E-2</v>
      </c>
      <c r="J939" s="3" t="s">
        <v>7</v>
      </c>
      <c r="L939" s="3" t="s">
        <v>113</v>
      </c>
      <c r="M939" s="3" t="s">
        <v>37</v>
      </c>
      <c r="N939" s="5">
        <v>1.44321913300788E-2</v>
      </c>
      <c r="O939" s="3" t="s">
        <v>7</v>
      </c>
    </row>
    <row r="940" spans="2:15" x14ac:dyDescent="0.45">
      <c r="B940" s="6" t="s">
        <v>111</v>
      </c>
      <c r="C940" s="6" t="s">
        <v>38</v>
      </c>
      <c r="D940" s="7">
        <v>0</v>
      </c>
      <c r="E940" s="6" t="s">
        <v>7</v>
      </c>
      <c r="G940" s="6" t="s">
        <v>112</v>
      </c>
      <c r="H940" s="6" t="s">
        <v>38</v>
      </c>
      <c r="I940" s="8">
        <v>2.0897157137378039E-2</v>
      </c>
      <c r="J940" s="6" t="s">
        <v>7</v>
      </c>
      <c r="L940" s="6" t="s">
        <v>113</v>
      </c>
      <c r="M940" s="6" t="s">
        <v>38</v>
      </c>
      <c r="N940" s="8">
        <v>2.0441669079073271E-2</v>
      </c>
      <c r="O940" s="6" t="s">
        <v>7</v>
      </c>
    </row>
    <row r="941" spans="2:15" x14ac:dyDescent="0.45">
      <c r="B941" s="3" t="s">
        <v>111</v>
      </c>
      <c r="C941" s="3" t="s">
        <v>39</v>
      </c>
      <c r="D941" s="4">
        <v>0</v>
      </c>
      <c r="E941" s="3" t="s">
        <v>7</v>
      </c>
      <c r="G941" s="3" t="s">
        <v>112</v>
      </c>
      <c r="H941" s="3" t="s">
        <v>39</v>
      </c>
      <c r="I941" s="5">
        <v>2.0885100457099723E-2</v>
      </c>
      <c r="J941" s="3" t="s">
        <v>7</v>
      </c>
      <c r="L941" s="3" t="s">
        <v>113</v>
      </c>
      <c r="M941" s="3" t="s">
        <v>39</v>
      </c>
      <c r="N941" s="5">
        <v>2.4762813495064255E-2</v>
      </c>
      <c r="O941" s="3" t="s">
        <v>7</v>
      </c>
    </row>
    <row r="942" spans="2:15" x14ac:dyDescent="0.45">
      <c r="B942" s="6" t="s">
        <v>111</v>
      </c>
      <c r="C942" s="6" t="s">
        <v>40</v>
      </c>
      <c r="D942" s="7">
        <v>1.0032651886680306E-3</v>
      </c>
      <c r="E942" s="6" t="s">
        <v>7</v>
      </c>
      <c r="G942" s="6" t="s">
        <v>112</v>
      </c>
      <c r="H942" s="6" t="s">
        <v>40</v>
      </c>
      <c r="I942" s="8">
        <v>8.0442167619230402E-3</v>
      </c>
      <c r="J942" s="6" t="s">
        <v>7</v>
      </c>
      <c r="L942" s="6" t="s">
        <v>113</v>
      </c>
      <c r="M942" s="6" t="s">
        <v>40</v>
      </c>
      <c r="N942" s="8">
        <v>9.6373551017123471E-3</v>
      </c>
      <c r="O942" s="6" t="s">
        <v>7</v>
      </c>
    </row>
    <row r="943" spans="2:15" x14ac:dyDescent="0.45">
      <c r="B943" s="3" t="s">
        <v>111</v>
      </c>
      <c r="C943" s="3" t="s">
        <v>41</v>
      </c>
      <c r="D943" s="4">
        <v>1.6680306790303946E-2</v>
      </c>
      <c r="E943" s="3" t="s">
        <v>7</v>
      </c>
      <c r="G943" s="3" t="s">
        <v>112</v>
      </c>
      <c r="H943" s="3" t="s">
        <v>41</v>
      </c>
      <c r="I943" s="5">
        <v>7.9785596654269996E-3</v>
      </c>
      <c r="J943" s="3" t="s">
        <v>7</v>
      </c>
      <c r="L943" s="3" t="s">
        <v>113</v>
      </c>
      <c r="M943" s="3" t="s">
        <v>41</v>
      </c>
      <c r="N943" s="5">
        <v>9.4301769031826053E-3</v>
      </c>
      <c r="O943" s="3" t="s">
        <v>7</v>
      </c>
    </row>
    <row r="944" spans="2:15" x14ac:dyDescent="0.45">
      <c r="B944" s="6" t="s">
        <v>111</v>
      </c>
      <c r="C944" s="6" t="s">
        <v>42</v>
      </c>
      <c r="D944" s="7">
        <v>4.5155905279434506E-2</v>
      </c>
      <c r="E944" s="6" t="s">
        <v>7</v>
      </c>
      <c r="G944" s="6" t="s">
        <v>112</v>
      </c>
      <c r="H944" s="6" t="s">
        <v>42</v>
      </c>
      <c r="I944" s="8">
        <v>8.0385934202743814E-3</v>
      </c>
      <c r="J944" s="6" t="s">
        <v>7</v>
      </c>
      <c r="L944" s="6" t="s">
        <v>113</v>
      </c>
      <c r="M944" s="6" t="s">
        <v>42</v>
      </c>
      <c r="N944" s="8">
        <v>9.2581311897903182E-3</v>
      </c>
      <c r="O944" s="6" t="s">
        <v>7</v>
      </c>
    </row>
    <row r="945" spans="2:15" x14ac:dyDescent="0.45">
      <c r="B945" s="3" t="s">
        <v>111</v>
      </c>
      <c r="C945" s="3" t="s">
        <v>43</v>
      </c>
      <c r="D945" s="4">
        <v>6.1720705045119499E-2</v>
      </c>
      <c r="E945" s="3" t="s">
        <v>7</v>
      </c>
      <c r="G945" s="3" t="s">
        <v>112</v>
      </c>
      <c r="H945" s="3" t="s">
        <v>43</v>
      </c>
      <c r="I945" s="5">
        <v>8.2347173676221592E-3</v>
      </c>
      <c r="J945" s="3" t="s">
        <v>7</v>
      </c>
      <c r="L945" s="3" t="s">
        <v>113</v>
      </c>
      <c r="M945" s="3" t="s">
        <v>43</v>
      </c>
      <c r="N945" s="5">
        <v>9.0978211250469145E-3</v>
      </c>
      <c r="O945" s="3" t="s">
        <v>7</v>
      </c>
    </row>
    <row r="946" spans="2:15" x14ac:dyDescent="0.45">
      <c r="B946" s="6" t="s">
        <v>111</v>
      </c>
      <c r="C946" s="6" t="s">
        <v>44</v>
      </c>
      <c r="D946" s="7">
        <v>6.120028533640761E-2</v>
      </c>
      <c r="E946" s="6" t="s">
        <v>7</v>
      </c>
      <c r="G946" s="6" t="s">
        <v>112</v>
      </c>
      <c r="H946" s="6" t="s">
        <v>44</v>
      </c>
      <c r="I946" s="8">
        <v>9.2639118822307742E-3</v>
      </c>
      <c r="J946" s="6" t="s">
        <v>7</v>
      </c>
      <c r="L946" s="6" t="s">
        <v>113</v>
      </c>
      <c r="M946" s="6" t="s">
        <v>44</v>
      </c>
      <c r="N946" s="8">
        <v>9.4754254408653121E-3</v>
      </c>
      <c r="O946" s="6" t="s">
        <v>7</v>
      </c>
    </row>
    <row r="947" spans="2:15" x14ac:dyDescent="0.45">
      <c r="B947" s="3" t="s">
        <v>111</v>
      </c>
      <c r="C947" s="3" t="s">
        <v>45</v>
      </c>
      <c r="D947" s="4">
        <v>4.8148584531817452E-2</v>
      </c>
      <c r="E947" s="3" t="s">
        <v>7</v>
      </c>
      <c r="G947" s="3" t="s">
        <v>112</v>
      </c>
      <c r="H947" s="3" t="s">
        <v>45</v>
      </c>
      <c r="I947" s="5">
        <v>9.8095477792544336E-3</v>
      </c>
      <c r="J947" s="3" t="s">
        <v>7</v>
      </c>
      <c r="L947" s="3" t="s">
        <v>113</v>
      </c>
      <c r="M947" s="3" t="s">
        <v>45</v>
      </c>
      <c r="N947" s="5">
        <v>1.023603859010443E-2</v>
      </c>
      <c r="O947" s="3" t="s">
        <v>7</v>
      </c>
    </row>
    <row r="948" spans="2:15" x14ac:dyDescent="0.45">
      <c r="B948" s="6" t="s">
        <v>111</v>
      </c>
      <c r="C948" s="6" t="s">
        <v>46</v>
      </c>
      <c r="D948" s="7">
        <v>2.2277475531252568E-2</v>
      </c>
      <c r="E948" s="6" t="s">
        <v>7</v>
      </c>
      <c r="G948" s="6" t="s">
        <v>112</v>
      </c>
      <c r="H948" s="6" t="s">
        <v>46</v>
      </c>
      <c r="I948" s="8">
        <v>9.6266467046251577E-3</v>
      </c>
      <c r="J948" s="6" t="s">
        <v>7</v>
      </c>
      <c r="L948" s="6" t="s">
        <v>113</v>
      </c>
      <c r="M948" s="6" t="s">
        <v>46</v>
      </c>
      <c r="N948" s="8">
        <v>1.0765017612640268E-2</v>
      </c>
      <c r="O948" s="6" t="s">
        <v>7</v>
      </c>
    </row>
    <row r="949" spans="2:15" x14ac:dyDescent="0.45">
      <c r="B949" s="3" t="s">
        <v>111</v>
      </c>
      <c r="C949" s="3" t="s">
        <v>47</v>
      </c>
      <c r="D949" s="4">
        <v>1.7100122858697557E-3</v>
      </c>
      <c r="E949" s="3" t="s">
        <v>7</v>
      </c>
      <c r="G949" s="3" t="s">
        <v>112</v>
      </c>
      <c r="H949" s="3" t="s">
        <v>47</v>
      </c>
      <c r="I949" s="5">
        <v>9.7204681584358507E-3</v>
      </c>
      <c r="J949" s="3" t="s">
        <v>7</v>
      </c>
      <c r="L949" s="3" t="s">
        <v>113</v>
      </c>
      <c r="M949" s="3" t="s">
        <v>47</v>
      </c>
      <c r="N949" s="5">
        <v>1.0450208355062284E-2</v>
      </c>
      <c r="O949" s="3" t="s">
        <v>7</v>
      </c>
    </row>
    <row r="950" spans="2:15" x14ac:dyDescent="0.45">
      <c r="B950" s="6" t="s">
        <v>111</v>
      </c>
      <c r="C950" s="6" t="s">
        <v>48</v>
      </c>
      <c r="D950" s="7">
        <v>0</v>
      </c>
      <c r="E950" s="6" t="s">
        <v>7</v>
      </c>
      <c r="G950" s="6" t="s">
        <v>112</v>
      </c>
      <c r="H950" s="6" t="s">
        <v>48</v>
      </c>
      <c r="I950" s="8">
        <v>1.4083959995308567E-2</v>
      </c>
      <c r="J950" s="6" t="s">
        <v>7</v>
      </c>
      <c r="L950" s="6" t="s">
        <v>113</v>
      </c>
      <c r="M950" s="6" t="s">
        <v>48</v>
      </c>
      <c r="N950" s="8">
        <v>1.4847302517893179E-2</v>
      </c>
      <c r="O950" s="6" t="s">
        <v>7</v>
      </c>
    </row>
    <row r="951" spans="2:15" x14ac:dyDescent="0.45">
      <c r="B951" s="3" t="s">
        <v>111</v>
      </c>
      <c r="C951" s="3" t="s">
        <v>49</v>
      </c>
      <c r="D951" s="4">
        <v>0</v>
      </c>
      <c r="E951" s="3" t="s">
        <v>7</v>
      </c>
      <c r="G951" s="3" t="s">
        <v>112</v>
      </c>
      <c r="H951" s="3" t="s">
        <v>49</v>
      </c>
      <c r="I951" s="5">
        <v>3.4012855560724226E-2</v>
      </c>
      <c r="J951" s="3" t="s">
        <v>7</v>
      </c>
      <c r="L951" s="3" t="s">
        <v>113</v>
      </c>
      <c r="M951" s="3" t="s">
        <v>49</v>
      </c>
      <c r="N951" s="5">
        <v>3.1166541022091418E-2</v>
      </c>
      <c r="O951" s="3" t="s">
        <v>7</v>
      </c>
    </row>
    <row r="952" spans="2:15" x14ac:dyDescent="0.45">
      <c r="B952" s="6" t="s">
        <v>111</v>
      </c>
      <c r="C952" s="6" t="s">
        <v>50</v>
      </c>
      <c r="D952" s="7">
        <v>0</v>
      </c>
      <c r="E952" s="6" t="s">
        <v>7</v>
      </c>
      <c r="G952" s="6" t="s">
        <v>112</v>
      </c>
      <c r="H952" s="6" t="s">
        <v>50</v>
      </c>
      <c r="I952" s="8">
        <v>1.306443849988986E-2</v>
      </c>
      <c r="J952" s="6" t="s">
        <v>7</v>
      </c>
      <c r="L952" s="6" t="s">
        <v>113</v>
      </c>
      <c r="M952" s="6" t="s">
        <v>50</v>
      </c>
      <c r="N952" s="8">
        <v>1.2327436147382648E-2</v>
      </c>
      <c r="O952" s="6" t="s">
        <v>7</v>
      </c>
    </row>
    <row r="953" spans="2:15" x14ac:dyDescent="0.45">
      <c r="B953" s="3" t="s">
        <v>111</v>
      </c>
      <c r="C953" s="3" t="s">
        <v>51</v>
      </c>
      <c r="D953" s="4">
        <v>6.1622685064410777E-3</v>
      </c>
      <c r="E953" s="3" t="s">
        <v>7</v>
      </c>
      <c r="G953" s="3" t="s">
        <v>112</v>
      </c>
      <c r="H953" s="3" t="s">
        <v>51</v>
      </c>
      <c r="I953" s="5">
        <v>1.3304112064758794E-2</v>
      </c>
      <c r="J953" s="3" t="s">
        <v>7</v>
      </c>
      <c r="L953" s="3" t="s">
        <v>113</v>
      </c>
      <c r="M953" s="3" t="s">
        <v>51</v>
      </c>
      <c r="N953" s="5">
        <v>1.2448240360609309E-2</v>
      </c>
      <c r="O953" s="3" t="s">
        <v>7</v>
      </c>
    </row>
    <row r="954" spans="2:15" x14ac:dyDescent="0.45">
      <c r="B954" s="6" t="s">
        <v>111</v>
      </c>
      <c r="C954" s="6" t="s">
        <v>52</v>
      </c>
      <c r="D954" s="7">
        <v>2.7713358262334026E-2</v>
      </c>
      <c r="E954" s="6" t="s">
        <v>7</v>
      </c>
      <c r="G954" s="6" t="s">
        <v>112</v>
      </c>
      <c r="H954" s="6" t="s">
        <v>52</v>
      </c>
      <c r="I954" s="8">
        <v>1.3069348831245713E-2</v>
      </c>
      <c r="J954" s="6" t="s">
        <v>7</v>
      </c>
      <c r="L954" s="6" t="s">
        <v>113</v>
      </c>
      <c r="M954" s="6" t="s">
        <v>52</v>
      </c>
      <c r="N954" s="8">
        <v>1.2573811266964559E-2</v>
      </c>
      <c r="O954" s="6" t="s">
        <v>7</v>
      </c>
    </row>
    <row r="955" spans="2:15" x14ac:dyDescent="0.45">
      <c r="B955" s="3" t="s">
        <v>111</v>
      </c>
      <c r="C955" s="3" t="s">
        <v>53</v>
      </c>
      <c r="D955" s="4">
        <v>4.1327291028399916E-2</v>
      </c>
      <c r="E955" s="3" t="s">
        <v>7</v>
      </c>
      <c r="G955" s="3" t="s">
        <v>112</v>
      </c>
      <c r="H955" s="3" t="s">
        <v>53</v>
      </c>
      <c r="I955" s="5">
        <v>1.3581826534503979E-2</v>
      </c>
      <c r="J955" s="3" t="s">
        <v>7</v>
      </c>
      <c r="L955" s="3" t="s">
        <v>113</v>
      </c>
      <c r="M955" s="3" t="s">
        <v>53</v>
      </c>
      <c r="N955" s="5">
        <v>1.2926427239039863E-2</v>
      </c>
      <c r="O955" s="3" t="s">
        <v>7</v>
      </c>
    </row>
    <row r="956" spans="2:15" x14ac:dyDescent="0.45">
      <c r="B956" s="6" t="s">
        <v>111</v>
      </c>
      <c r="C956" s="6" t="s">
        <v>54</v>
      </c>
      <c r="D956" s="7">
        <v>3.9147428408626464E-2</v>
      </c>
      <c r="E956" s="6" t="s">
        <v>7</v>
      </c>
      <c r="G956" s="6" t="s">
        <v>112</v>
      </c>
      <c r="H956" s="6" t="s">
        <v>54</v>
      </c>
      <c r="I956" s="8">
        <v>1.4670337360806005E-2</v>
      </c>
      <c r="J956" s="6" t="s">
        <v>7</v>
      </c>
      <c r="L956" s="6" t="s">
        <v>113</v>
      </c>
      <c r="M956" s="6" t="s">
        <v>54</v>
      </c>
      <c r="N956" s="8">
        <v>1.2942558691798627E-2</v>
      </c>
      <c r="O956" s="6" t="s">
        <v>7</v>
      </c>
    </row>
    <row r="957" spans="2:15" x14ac:dyDescent="0.45">
      <c r="B957" s="3" t="s">
        <v>111</v>
      </c>
      <c r="C957" s="3" t="s">
        <v>55</v>
      </c>
      <c r="D957" s="4">
        <v>2.5890593574617721E-2</v>
      </c>
      <c r="E957" s="3" t="s">
        <v>7</v>
      </c>
      <c r="G957" s="3" t="s">
        <v>112</v>
      </c>
      <c r="H957" s="3" t="s">
        <v>55</v>
      </c>
      <c r="I957" s="5">
        <v>1.5087763115788775E-2</v>
      </c>
      <c r="J957" s="3" t="s">
        <v>7</v>
      </c>
      <c r="L957" s="3" t="s">
        <v>113</v>
      </c>
      <c r="M957" s="3" t="s">
        <v>55</v>
      </c>
      <c r="N957" s="5">
        <v>1.3227442663904108E-2</v>
      </c>
      <c r="O957" s="3" t="s">
        <v>7</v>
      </c>
    </row>
    <row r="958" spans="2:15" x14ac:dyDescent="0.45">
      <c r="B958" s="6" t="s">
        <v>111</v>
      </c>
      <c r="C958" s="6" t="s">
        <v>56</v>
      </c>
      <c r="D958" s="7">
        <v>6.2981450633391939E-3</v>
      </c>
      <c r="E958" s="6" t="s">
        <v>7</v>
      </c>
      <c r="G958" s="6" t="s">
        <v>112</v>
      </c>
      <c r="H958" s="6" t="s">
        <v>56</v>
      </c>
      <c r="I958" s="8">
        <v>1.5411134833244019E-2</v>
      </c>
      <c r="J958" s="6" t="s">
        <v>7</v>
      </c>
      <c r="L958" s="6" t="s">
        <v>113</v>
      </c>
      <c r="M958" s="6" t="s">
        <v>56</v>
      </c>
      <c r="N958" s="8">
        <v>1.335878873688481E-2</v>
      </c>
      <c r="O958" s="6" t="s">
        <v>7</v>
      </c>
    </row>
    <row r="959" spans="2:15" x14ac:dyDescent="0.45">
      <c r="B959" s="3" t="s">
        <v>111</v>
      </c>
      <c r="C959" s="3" t="s">
        <v>57</v>
      </c>
      <c r="D959" s="4">
        <v>1.2803277106331124E-5</v>
      </c>
      <c r="E959" s="3" t="s">
        <v>7</v>
      </c>
      <c r="G959" s="3" t="s">
        <v>112</v>
      </c>
      <c r="H959" s="3" t="s">
        <v>57</v>
      </c>
      <c r="I959" s="5">
        <v>1.529226667350634E-2</v>
      </c>
      <c r="J959" s="3" t="s">
        <v>7</v>
      </c>
      <c r="L959" s="3" t="s">
        <v>113</v>
      </c>
      <c r="M959" s="3" t="s">
        <v>57</v>
      </c>
      <c r="N959" s="5">
        <v>1.3252437196876379E-2</v>
      </c>
      <c r="O959" s="3" t="s">
        <v>7</v>
      </c>
    </row>
    <row r="960" spans="2:15" x14ac:dyDescent="0.45">
      <c r="B960" s="6" t="s">
        <v>111</v>
      </c>
      <c r="C960" s="6" t="s">
        <v>58</v>
      </c>
      <c r="D960" s="7">
        <v>0</v>
      </c>
      <c r="E960" s="6" t="s">
        <v>7</v>
      </c>
      <c r="G960" s="6" t="s">
        <v>112</v>
      </c>
      <c r="H960" s="6" t="s">
        <v>58</v>
      </c>
      <c r="I960" s="8">
        <v>2.2179939829877721E-2</v>
      </c>
      <c r="J960" s="6" t="s">
        <v>7</v>
      </c>
      <c r="L960" s="6" t="s">
        <v>113</v>
      </c>
      <c r="M960" s="6" t="s">
        <v>58</v>
      </c>
      <c r="N960" s="8">
        <v>1.893160716194351E-2</v>
      </c>
      <c r="O960" s="6" t="s">
        <v>7</v>
      </c>
    </row>
    <row r="961" spans="2:15" x14ac:dyDescent="0.45">
      <c r="B961" s="3" t="s">
        <v>111</v>
      </c>
      <c r="C961" s="3" t="s">
        <v>59</v>
      </c>
      <c r="D961" s="4">
        <v>0</v>
      </c>
      <c r="E961" s="3" t="s">
        <v>7</v>
      </c>
      <c r="G961" s="3" t="s">
        <v>112</v>
      </c>
      <c r="H961" s="3" t="s">
        <v>59</v>
      </c>
      <c r="I961" s="5">
        <v>4.1302257638967575E-2</v>
      </c>
      <c r="J961" s="3" t="s">
        <v>7</v>
      </c>
      <c r="L961" s="3" t="s">
        <v>113</v>
      </c>
      <c r="M961" s="3" t="s">
        <v>59</v>
      </c>
      <c r="N961" s="5">
        <v>3.8731195765998344E-2</v>
      </c>
      <c r="O961" s="3" t="s">
        <v>7</v>
      </c>
    </row>
    <row r="962" spans="2:15" x14ac:dyDescent="0.45">
      <c r="B962" s="6" t="s">
        <v>111</v>
      </c>
      <c r="C962" s="6" t="s">
        <v>60</v>
      </c>
      <c r="D962" s="7">
        <v>0</v>
      </c>
      <c r="E962" s="6" t="s">
        <v>7</v>
      </c>
      <c r="G962" s="6" t="s">
        <v>112</v>
      </c>
      <c r="H962" s="6" t="s">
        <v>60</v>
      </c>
      <c r="I962" s="8">
        <v>1.664186718686184E-2</v>
      </c>
      <c r="J962" s="6" t="s">
        <v>7</v>
      </c>
      <c r="L962" s="6" t="s">
        <v>113</v>
      </c>
      <c r="M962" s="6" t="s">
        <v>60</v>
      </c>
      <c r="N962" s="8">
        <v>1.5283864791875854E-2</v>
      </c>
      <c r="O962" s="6" t="s">
        <v>7</v>
      </c>
    </row>
    <row r="963" spans="2:15" x14ac:dyDescent="0.45">
      <c r="B963" s="3" t="s">
        <v>111</v>
      </c>
      <c r="C963" s="3" t="s">
        <v>61</v>
      </c>
      <c r="D963" s="4">
        <v>3.0327284029038615E-4</v>
      </c>
      <c r="E963" s="3" t="s">
        <v>7</v>
      </c>
      <c r="G963" s="3" t="s">
        <v>112</v>
      </c>
      <c r="H963" s="3" t="s">
        <v>61</v>
      </c>
      <c r="I963" s="5">
        <v>1.6956183180114544E-2</v>
      </c>
      <c r="J963" s="3" t="s">
        <v>7</v>
      </c>
      <c r="L963" s="3" t="s">
        <v>113</v>
      </c>
      <c r="M963" s="3" t="s">
        <v>61</v>
      </c>
      <c r="N963" s="5">
        <v>1.5128248040534807E-2</v>
      </c>
      <c r="O963" s="3" t="s">
        <v>7</v>
      </c>
    </row>
    <row r="964" spans="2:15" x14ac:dyDescent="0.45">
      <c r="B964" s="6" t="s">
        <v>111</v>
      </c>
      <c r="C964" s="6" t="s">
        <v>62</v>
      </c>
      <c r="D964" s="7">
        <v>1.383495597676346E-2</v>
      </c>
      <c r="E964" s="6" t="s">
        <v>7</v>
      </c>
      <c r="G964" s="6" t="s">
        <v>112</v>
      </c>
      <c r="H964" s="6" t="s">
        <v>62</v>
      </c>
      <c r="I964" s="8">
        <v>1.6486714084458027E-2</v>
      </c>
      <c r="J964" s="6" t="s">
        <v>7</v>
      </c>
      <c r="L964" s="6" t="s">
        <v>113</v>
      </c>
      <c r="M964" s="6" t="s">
        <v>62</v>
      </c>
      <c r="N964" s="8">
        <v>1.4639483459705534E-2</v>
      </c>
      <c r="O964" s="6" t="s">
        <v>7</v>
      </c>
    </row>
    <row r="965" spans="2:15" x14ac:dyDescent="0.45">
      <c r="B965" s="3" t="s">
        <v>111</v>
      </c>
      <c r="C965" s="3" t="s">
        <v>63</v>
      </c>
      <c r="D965" s="4">
        <v>2.9926571933247718E-2</v>
      </c>
      <c r="E965" s="3" t="s">
        <v>7</v>
      </c>
      <c r="G965" s="3" t="s">
        <v>112</v>
      </c>
      <c r="H965" s="3" t="s">
        <v>63</v>
      </c>
      <c r="I965" s="5">
        <v>1.580848049242576E-2</v>
      </c>
      <c r="J965" s="3" t="s">
        <v>7</v>
      </c>
      <c r="L965" s="3" t="s">
        <v>113</v>
      </c>
      <c r="M965" s="3" t="s">
        <v>63</v>
      </c>
      <c r="N965" s="5">
        <v>1.4156729335166561E-2</v>
      </c>
      <c r="O965" s="3" t="s">
        <v>7</v>
      </c>
    </row>
    <row r="966" spans="2:15" x14ac:dyDescent="0.45">
      <c r="B966" s="6" t="s">
        <v>111</v>
      </c>
      <c r="C966" s="6" t="s">
        <v>64</v>
      </c>
      <c r="D966" s="7">
        <v>2.9642614303020558E-2</v>
      </c>
      <c r="E966" s="6" t="s">
        <v>7</v>
      </c>
      <c r="G966" s="6" t="s">
        <v>112</v>
      </c>
      <c r="H966" s="6" t="s">
        <v>64</v>
      </c>
      <c r="I966" s="8">
        <v>1.5953526766450597E-2</v>
      </c>
      <c r="J966" s="6" t="s">
        <v>7</v>
      </c>
      <c r="L966" s="6" t="s">
        <v>113</v>
      </c>
      <c r="M966" s="6" t="s">
        <v>64</v>
      </c>
      <c r="N966" s="8">
        <v>1.4184514138723891E-2</v>
      </c>
      <c r="O966" s="6" t="s">
        <v>7</v>
      </c>
    </row>
    <row r="967" spans="2:15" x14ac:dyDescent="0.45">
      <c r="B967" s="3" t="s">
        <v>111</v>
      </c>
      <c r="C967" s="3" t="s">
        <v>65</v>
      </c>
      <c r="D967" s="4">
        <v>1.3110870468443957E-2</v>
      </c>
      <c r="E967" s="3" t="s">
        <v>7</v>
      </c>
      <c r="G967" s="3" t="s">
        <v>112</v>
      </c>
      <c r="H967" s="3" t="s">
        <v>65</v>
      </c>
      <c r="I967" s="5">
        <v>1.5557118199844771E-2</v>
      </c>
      <c r="J967" s="3" t="s">
        <v>7</v>
      </c>
      <c r="L967" s="3" t="s">
        <v>113</v>
      </c>
      <c r="M967" s="3" t="s">
        <v>65</v>
      </c>
      <c r="N967" s="5">
        <v>1.5028924701802867E-2</v>
      </c>
      <c r="O967" s="3" t="s">
        <v>7</v>
      </c>
    </row>
    <row r="968" spans="2:15" x14ac:dyDescent="0.45">
      <c r="B968" s="6" t="s">
        <v>111</v>
      </c>
      <c r="C968" s="6" t="s">
        <v>66</v>
      </c>
      <c r="D968" s="7">
        <v>2.6408004886917814E-6</v>
      </c>
      <c r="E968" s="6" t="s">
        <v>7</v>
      </c>
      <c r="G968" s="6" t="s">
        <v>112</v>
      </c>
      <c r="H968" s="6" t="s">
        <v>66</v>
      </c>
      <c r="I968" s="8">
        <v>1.5881933857894121E-2</v>
      </c>
      <c r="J968" s="6" t="s">
        <v>7</v>
      </c>
      <c r="L968" s="6" t="s">
        <v>113</v>
      </c>
      <c r="M968" s="6" t="s">
        <v>66</v>
      </c>
      <c r="N968" s="8">
        <v>1.5860879110062058E-2</v>
      </c>
      <c r="O968" s="6" t="s">
        <v>7</v>
      </c>
    </row>
    <row r="969" spans="2:15" x14ac:dyDescent="0.45">
      <c r="B969" s="3" t="s">
        <v>111</v>
      </c>
      <c r="C969" s="3" t="s">
        <v>67</v>
      </c>
      <c r="D969" s="4">
        <v>0</v>
      </c>
      <c r="E969" s="3" t="s">
        <v>7</v>
      </c>
      <c r="G969" s="3" t="s">
        <v>112</v>
      </c>
      <c r="H969" s="3" t="s">
        <v>67</v>
      </c>
      <c r="I969" s="5">
        <v>1.629921082595202E-2</v>
      </c>
      <c r="J969" s="3" t="s">
        <v>7</v>
      </c>
      <c r="L969" s="3" t="s">
        <v>113</v>
      </c>
      <c r="M969" s="3" t="s">
        <v>67</v>
      </c>
      <c r="N969" s="5">
        <v>1.6086299564408258E-2</v>
      </c>
      <c r="O969" s="3" t="s">
        <v>7</v>
      </c>
    </row>
    <row r="970" spans="2:15" x14ac:dyDescent="0.45">
      <c r="B970" s="6" t="s">
        <v>111</v>
      </c>
      <c r="C970" s="6" t="s">
        <v>68</v>
      </c>
      <c r="D970" s="7">
        <v>0</v>
      </c>
      <c r="E970" s="6" t="s">
        <v>7</v>
      </c>
      <c r="G970" s="6" t="s">
        <v>112</v>
      </c>
      <c r="H970" s="6" t="s">
        <v>68</v>
      </c>
      <c r="I970" s="8">
        <v>2.3805600016249321E-2</v>
      </c>
      <c r="J970" s="6" t="s">
        <v>7</v>
      </c>
      <c r="L970" s="6" t="s">
        <v>113</v>
      </c>
      <c r="M970" s="6" t="s">
        <v>68</v>
      </c>
      <c r="N970" s="8">
        <v>2.4312141216483518E-2</v>
      </c>
      <c r="O970" s="6" t="s">
        <v>7</v>
      </c>
    </row>
    <row r="971" spans="2:15" x14ac:dyDescent="0.45">
      <c r="B971" s="3" t="s">
        <v>114</v>
      </c>
      <c r="C971" s="3" t="s">
        <v>6</v>
      </c>
      <c r="D971" s="4">
        <v>0</v>
      </c>
      <c r="E971" s="3" t="s">
        <v>7</v>
      </c>
      <c r="G971" s="3" t="s">
        <v>115</v>
      </c>
      <c r="H971" s="3" t="s">
        <v>6</v>
      </c>
      <c r="I971" s="5">
        <v>3.4693517458018977E-2</v>
      </c>
      <c r="J971" s="3" t="s">
        <v>7</v>
      </c>
      <c r="L971" s="3" t="s">
        <v>116</v>
      </c>
      <c r="M971" s="3" t="s">
        <v>6</v>
      </c>
      <c r="N971" s="5">
        <v>3.7997594343881613E-2</v>
      </c>
      <c r="O971" s="3" t="s">
        <v>7</v>
      </c>
    </row>
    <row r="972" spans="2:15" x14ac:dyDescent="0.45">
      <c r="B972" s="6" t="s">
        <v>114</v>
      </c>
      <c r="C972" s="6" t="s">
        <v>10</v>
      </c>
      <c r="D972" s="7">
        <v>0</v>
      </c>
      <c r="E972" s="6" t="s">
        <v>7</v>
      </c>
      <c r="G972" s="6" t="s">
        <v>115</v>
      </c>
      <c r="H972" s="6" t="s">
        <v>10</v>
      </c>
      <c r="I972" s="8">
        <v>1.3904259393682384E-2</v>
      </c>
      <c r="J972" s="6" t="s">
        <v>7</v>
      </c>
      <c r="L972" s="6" t="s">
        <v>116</v>
      </c>
      <c r="M972" s="6" t="s">
        <v>10</v>
      </c>
      <c r="N972" s="8">
        <v>1.5208168504749332E-2</v>
      </c>
      <c r="O972" s="6" t="s">
        <v>7</v>
      </c>
    </row>
    <row r="973" spans="2:15" x14ac:dyDescent="0.45">
      <c r="B973" s="3" t="s">
        <v>114</v>
      </c>
      <c r="C973" s="3" t="s">
        <v>11</v>
      </c>
      <c r="D973" s="4">
        <v>2.7583368747691021E-4</v>
      </c>
      <c r="E973" s="3" t="s">
        <v>7</v>
      </c>
      <c r="G973" s="3" t="s">
        <v>115</v>
      </c>
      <c r="H973" s="3" t="s">
        <v>11</v>
      </c>
      <c r="I973" s="5">
        <v>1.4107242424105037E-2</v>
      </c>
      <c r="J973" s="3" t="s">
        <v>7</v>
      </c>
      <c r="L973" s="3" t="s">
        <v>116</v>
      </c>
      <c r="M973" s="3" t="s">
        <v>11</v>
      </c>
      <c r="N973" s="5">
        <v>1.5288168496769505E-2</v>
      </c>
      <c r="O973" s="3" t="s">
        <v>7</v>
      </c>
    </row>
    <row r="974" spans="2:15" x14ac:dyDescent="0.45">
      <c r="B974" s="6" t="s">
        <v>114</v>
      </c>
      <c r="C974" s="6" t="s">
        <v>12</v>
      </c>
      <c r="D974" s="7">
        <v>1.2120244139262087E-2</v>
      </c>
      <c r="E974" s="6" t="s">
        <v>7</v>
      </c>
      <c r="G974" s="6" t="s">
        <v>115</v>
      </c>
      <c r="H974" s="6" t="s">
        <v>12</v>
      </c>
      <c r="I974" s="8">
        <v>1.3876818427400446E-2</v>
      </c>
      <c r="J974" s="6" t="s">
        <v>7</v>
      </c>
      <c r="L974" s="6" t="s">
        <v>116</v>
      </c>
      <c r="M974" s="6" t="s">
        <v>12</v>
      </c>
      <c r="N974" s="8">
        <v>1.5163214964487595E-2</v>
      </c>
      <c r="O974" s="6" t="s">
        <v>7</v>
      </c>
    </row>
    <row r="975" spans="2:15" x14ac:dyDescent="0.45">
      <c r="B975" s="3" t="s">
        <v>114</v>
      </c>
      <c r="C975" s="3" t="s">
        <v>13</v>
      </c>
      <c r="D975" s="4">
        <v>3.0163307738822944E-2</v>
      </c>
      <c r="E975" s="3" t="s">
        <v>7</v>
      </c>
      <c r="G975" s="3" t="s">
        <v>115</v>
      </c>
      <c r="H975" s="3" t="s">
        <v>13</v>
      </c>
      <c r="I975" s="5">
        <v>1.3991788024388977E-2</v>
      </c>
      <c r="J975" s="3" t="s">
        <v>7</v>
      </c>
      <c r="L975" s="3" t="s">
        <v>116</v>
      </c>
      <c r="M975" s="3" t="s">
        <v>13</v>
      </c>
      <c r="N975" s="5">
        <v>1.5067182972631678E-2</v>
      </c>
      <c r="O975" s="3" t="s">
        <v>7</v>
      </c>
    </row>
    <row r="976" spans="2:15" x14ac:dyDescent="0.45">
      <c r="B976" s="6" t="s">
        <v>114</v>
      </c>
      <c r="C976" s="6" t="s">
        <v>14</v>
      </c>
      <c r="D976" s="7">
        <v>3.1238689375016615E-2</v>
      </c>
      <c r="E976" s="6" t="s">
        <v>7</v>
      </c>
      <c r="G976" s="6" t="s">
        <v>115</v>
      </c>
      <c r="H976" s="6" t="s">
        <v>14</v>
      </c>
      <c r="I976" s="8">
        <v>1.3982339646704929E-2</v>
      </c>
      <c r="J976" s="6" t="s">
        <v>7</v>
      </c>
      <c r="L976" s="6" t="s">
        <v>116</v>
      </c>
      <c r="M976" s="6" t="s">
        <v>14</v>
      </c>
      <c r="N976" s="8">
        <v>1.5051068917343579E-2</v>
      </c>
      <c r="O976" s="6" t="s">
        <v>7</v>
      </c>
    </row>
    <row r="977" spans="2:15" x14ac:dyDescent="0.45">
      <c r="B977" s="3" t="s">
        <v>114</v>
      </c>
      <c r="C977" s="3" t="s">
        <v>15</v>
      </c>
      <c r="D977" s="4">
        <v>1.7591970626371731E-2</v>
      </c>
      <c r="E977" s="3" t="s">
        <v>7</v>
      </c>
      <c r="G977" s="3" t="s">
        <v>115</v>
      </c>
      <c r="H977" s="3" t="s">
        <v>15</v>
      </c>
      <c r="I977" s="5">
        <v>1.3779538840052234E-2</v>
      </c>
      <c r="J977" s="3" t="s">
        <v>7</v>
      </c>
      <c r="L977" s="3" t="s">
        <v>116</v>
      </c>
      <c r="M977" s="3" t="s">
        <v>15</v>
      </c>
      <c r="N977" s="5">
        <v>1.5082210934106893E-2</v>
      </c>
      <c r="O977" s="3" t="s">
        <v>7</v>
      </c>
    </row>
    <row r="978" spans="2:15" x14ac:dyDescent="0.45">
      <c r="B978" s="6" t="s">
        <v>114</v>
      </c>
      <c r="C978" s="6" t="s">
        <v>16</v>
      </c>
      <c r="D978" s="7">
        <v>2.0096400849018976E-3</v>
      </c>
      <c r="E978" s="6" t="s">
        <v>7</v>
      </c>
      <c r="G978" s="6" t="s">
        <v>115</v>
      </c>
      <c r="H978" s="6" t="s">
        <v>16</v>
      </c>
      <c r="I978" s="8">
        <v>1.4327141260167162E-2</v>
      </c>
      <c r="J978" s="6" t="s">
        <v>7</v>
      </c>
      <c r="L978" s="6" t="s">
        <v>116</v>
      </c>
      <c r="M978" s="6" t="s">
        <v>16</v>
      </c>
      <c r="N978" s="8">
        <v>1.5160150219975497E-2</v>
      </c>
      <c r="O978" s="6" t="s">
        <v>7</v>
      </c>
    </row>
    <row r="979" spans="2:15" x14ac:dyDescent="0.45">
      <c r="B979" s="3" t="s">
        <v>114</v>
      </c>
      <c r="C979" s="3" t="s">
        <v>17</v>
      </c>
      <c r="D979" s="4">
        <v>0</v>
      </c>
      <c r="E979" s="3" t="s">
        <v>7</v>
      </c>
      <c r="G979" s="3" t="s">
        <v>115</v>
      </c>
      <c r="H979" s="3" t="s">
        <v>17</v>
      </c>
      <c r="I979" s="5">
        <v>1.4901478696309194E-2</v>
      </c>
      <c r="J979" s="3" t="s">
        <v>7</v>
      </c>
      <c r="L979" s="3" t="s">
        <v>116</v>
      </c>
      <c r="M979" s="3" t="s">
        <v>17</v>
      </c>
      <c r="N979" s="5">
        <v>1.5019150731959746E-2</v>
      </c>
      <c r="O979" s="3" t="s">
        <v>7</v>
      </c>
    </row>
    <row r="980" spans="2:15" x14ac:dyDescent="0.45">
      <c r="B980" s="6" t="s">
        <v>114</v>
      </c>
      <c r="C980" s="6" t="s">
        <v>18</v>
      </c>
      <c r="D980" s="7">
        <v>0</v>
      </c>
      <c r="E980" s="6" t="s">
        <v>7</v>
      </c>
      <c r="G980" s="6" t="s">
        <v>115</v>
      </c>
      <c r="H980" s="6" t="s">
        <v>18</v>
      </c>
      <c r="I980" s="8">
        <v>2.1673961343270834E-2</v>
      </c>
      <c r="J980" s="6" t="s">
        <v>7</v>
      </c>
      <c r="L980" s="6" t="s">
        <v>116</v>
      </c>
      <c r="M980" s="6" t="s">
        <v>18</v>
      </c>
      <c r="N980" s="8">
        <v>2.227772073730001E-2</v>
      </c>
      <c r="O980" s="6" t="s">
        <v>7</v>
      </c>
    </row>
    <row r="981" spans="2:15" x14ac:dyDescent="0.45">
      <c r="B981" s="3" t="s">
        <v>114</v>
      </c>
      <c r="C981" s="3" t="s">
        <v>19</v>
      </c>
      <c r="D981" s="4">
        <v>0</v>
      </c>
      <c r="E981" s="3" t="s">
        <v>7</v>
      </c>
      <c r="G981" s="3" t="s">
        <v>115</v>
      </c>
      <c r="H981" s="3" t="s">
        <v>19</v>
      </c>
      <c r="I981" s="5">
        <v>3.3983339401620648E-2</v>
      </c>
      <c r="J981" s="3" t="s">
        <v>7</v>
      </c>
      <c r="L981" s="3" t="s">
        <v>116</v>
      </c>
      <c r="M981" s="3" t="s">
        <v>19</v>
      </c>
      <c r="N981" s="5">
        <v>3.9600453283950565E-2</v>
      </c>
      <c r="O981" s="3" t="s">
        <v>7</v>
      </c>
    </row>
    <row r="982" spans="2:15" x14ac:dyDescent="0.45">
      <c r="B982" s="6" t="s">
        <v>114</v>
      </c>
      <c r="C982" s="6" t="s">
        <v>20</v>
      </c>
      <c r="D982" s="7">
        <v>1.4542385890603662E-4</v>
      </c>
      <c r="E982" s="6" t="s">
        <v>7</v>
      </c>
      <c r="G982" s="6" t="s">
        <v>115</v>
      </c>
      <c r="H982" s="6" t="s">
        <v>20</v>
      </c>
      <c r="I982" s="8">
        <v>1.4163532196777824E-2</v>
      </c>
      <c r="J982" s="6" t="s">
        <v>7</v>
      </c>
      <c r="L982" s="6" t="s">
        <v>116</v>
      </c>
      <c r="M982" s="6" t="s">
        <v>20</v>
      </c>
      <c r="N982" s="8">
        <v>1.558663243479653E-2</v>
      </c>
      <c r="O982" s="6" t="s">
        <v>7</v>
      </c>
    </row>
    <row r="983" spans="2:15" x14ac:dyDescent="0.45">
      <c r="B983" s="3" t="s">
        <v>114</v>
      </c>
      <c r="C983" s="3" t="s">
        <v>21</v>
      </c>
      <c r="D983" s="4">
        <v>9.6423497727475185E-3</v>
      </c>
      <c r="E983" s="3" t="s">
        <v>7</v>
      </c>
      <c r="G983" s="3" t="s">
        <v>115</v>
      </c>
      <c r="H983" s="3" t="s">
        <v>21</v>
      </c>
      <c r="I983" s="5">
        <v>1.4763005353120629E-2</v>
      </c>
      <c r="J983" s="3" t="s">
        <v>7</v>
      </c>
      <c r="L983" s="3" t="s">
        <v>116</v>
      </c>
      <c r="M983" s="3" t="s">
        <v>21</v>
      </c>
      <c r="N983" s="5">
        <v>1.5435451241911001E-2</v>
      </c>
      <c r="O983" s="3" t="s">
        <v>7</v>
      </c>
    </row>
    <row r="984" spans="2:15" x14ac:dyDescent="0.45">
      <c r="B984" s="6" t="s">
        <v>114</v>
      </c>
      <c r="C984" s="6" t="s">
        <v>22</v>
      </c>
      <c r="D984" s="7">
        <v>3.4816173197934334E-2</v>
      </c>
      <c r="E984" s="6" t="s">
        <v>7</v>
      </c>
      <c r="G984" s="6" t="s">
        <v>115</v>
      </c>
      <c r="H984" s="6" t="s">
        <v>22</v>
      </c>
      <c r="I984" s="8">
        <v>1.6249105825311288E-2</v>
      </c>
      <c r="J984" s="6" t="s">
        <v>7</v>
      </c>
      <c r="L984" s="6" t="s">
        <v>116</v>
      </c>
      <c r="M984" s="6" t="s">
        <v>22</v>
      </c>
      <c r="N984" s="8">
        <v>1.50839767833734E-2</v>
      </c>
      <c r="O984" s="6" t="s">
        <v>7</v>
      </c>
    </row>
    <row r="985" spans="2:15" x14ac:dyDescent="0.45">
      <c r="B985" s="3" t="s">
        <v>114</v>
      </c>
      <c r="C985" s="3" t="s">
        <v>23</v>
      </c>
      <c r="D985" s="4">
        <v>5.1771735695199793E-2</v>
      </c>
      <c r="E985" s="3" t="s">
        <v>7</v>
      </c>
      <c r="G985" s="3" t="s">
        <v>115</v>
      </c>
      <c r="H985" s="3" t="s">
        <v>23</v>
      </c>
      <c r="I985" s="5">
        <v>1.6177822805149643E-2</v>
      </c>
      <c r="J985" s="3" t="s">
        <v>7</v>
      </c>
      <c r="L985" s="3" t="s">
        <v>116</v>
      </c>
      <c r="M985" s="3" t="s">
        <v>23</v>
      </c>
      <c r="N985" s="5">
        <v>1.4996939034145082E-2</v>
      </c>
      <c r="O985" s="3" t="s">
        <v>7</v>
      </c>
    </row>
    <row r="986" spans="2:15" x14ac:dyDescent="0.45">
      <c r="B986" s="6" t="s">
        <v>114</v>
      </c>
      <c r="C986" s="6" t="s">
        <v>24</v>
      </c>
      <c r="D986" s="7">
        <v>5.1660511878794106E-2</v>
      </c>
      <c r="E986" s="6" t="s">
        <v>7</v>
      </c>
      <c r="G986" s="6" t="s">
        <v>115</v>
      </c>
      <c r="H986" s="6" t="s">
        <v>24</v>
      </c>
      <c r="I986" s="8">
        <v>1.5726428581795078E-2</v>
      </c>
      <c r="J986" s="6" t="s">
        <v>7</v>
      </c>
      <c r="L986" s="6" t="s">
        <v>116</v>
      </c>
      <c r="M986" s="6" t="s">
        <v>24</v>
      </c>
      <c r="N986" s="8">
        <v>1.5268516771817106E-2</v>
      </c>
      <c r="O986" s="6" t="s">
        <v>7</v>
      </c>
    </row>
    <row r="987" spans="2:15" x14ac:dyDescent="0.45">
      <c r="B987" s="3" t="s">
        <v>114</v>
      </c>
      <c r="C987" s="3" t="s">
        <v>25</v>
      </c>
      <c r="D987" s="4">
        <v>3.9687171873538138E-2</v>
      </c>
      <c r="E987" s="3" t="s">
        <v>7</v>
      </c>
      <c r="G987" s="3" t="s">
        <v>115</v>
      </c>
      <c r="H987" s="3" t="s">
        <v>25</v>
      </c>
      <c r="I987" s="5">
        <v>1.5331162535800883E-2</v>
      </c>
      <c r="J987" s="3" t="s">
        <v>7</v>
      </c>
      <c r="L987" s="3" t="s">
        <v>116</v>
      </c>
      <c r="M987" s="3" t="s">
        <v>25</v>
      </c>
      <c r="N987" s="5">
        <v>1.5655235456878049E-2</v>
      </c>
      <c r="O987" s="3" t="s">
        <v>7</v>
      </c>
    </row>
    <row r="988" spans="2:15" x14ac:dyDescent="0.45">
      <c r="B988" s="6" t="s">
        <v>114</v>
      </c>
      <c r="C988" s="6" t="s">
        <v>26</v>
      </c>
      <c r="D988" s="7">
        <v>1.535259822542844E-2</v>
      </c>
      <c r="E988" s="6" t="s">
        <v>7</v>
      </c>
      <c r="G988" s="6" t="s">
        <v>115</v>
      </c>
      <c r="H988" s="6" t="s">
        <v>26</v>
      </c>
      <c r="I988" s="8">
        <v>1.444680537343075E-2</v>
      </c>
      <c r="J988" s="6" t="s">
        <v>7</v>
      </c>
      <c r="L988" s="6" t="s">
        <v>116</v>
      </c>
      <c r="M988" s="6" t="s">
        <v>26</v>
      </c>
      <c r="N988" s="8">
        <v>1.5963248458027098E-2</v>
      </c>
      <c r="O988" s="6" t="s">
        <v>7</v>
      </c>
    </row>
    <row r="989" spans="2:15" x14ac:dyDescent="0.45">
      <c r="B989" s="3" t="s">
        <v>114</v>
      </c>
      <c r="C989" s="3" t="s">
        <v>27</v>
      </c>
      <c r="D989" s="4">
        <v>3.9035139742457908E-4</v>
      </c>
      <c r="E989" s="3" t="s">
        <v>7</v>
      </c>
      <c r="G989" s="3" t="s">
        <v>115</v>
      </c>
      <c r="H989" s="3" t="s">
        <v>27</v>
      </c>
      <c r="I989" s="5">
        <v>1.384612410140613E-2</v>
      </c>
      <c r="J989" s="3" t="s">
        <v>7</v>
      </c>
      <c r="L989" s="3" t="s">
        <v>116</v>
      </c>
      <c r="M989" s="3" t="s">
        <v>27</v>
      </c>
      <c r="N989" s="5">
        <v>1.5916984467431172E-2</v>
      </c>
      <c r="O989" s="3" t="s">
        <v>7</v>
      </c>
    </row>
    <row r="990" spans="2:15" x14ac:dyDescent="0.45">
      <c r="B990" s="6" t="s">
        <v>114</v>
      </c>
      <c r="C990" s="6" t="s">
        <v>28</v>
      </c>
      <c r="D990" s="7">
        <v>0</v>
      </c>
      <c r="E990" s="6" t="s">
        <v>7</v>
      </c>
      <c r="G990" s="6" t="s">
        <v>115</v>
      </c>
      <c r="H990" s="6" t="s">
        <v>28</v>
      </c>
      <c r="I990" s="8">
        <v>2.03244147208766E-2</v>
      </c>
      <c r="J990" s="6" t="s">
        <v>7</v>
      </c>
      <c r="L990" s="6" t="s">
        <v>116</v>
      </c>
      <c r="M990" s="6" t="s">
        <v>28</v>
      </c>
      <c r="N990" s="8">
        <v>2.2803600047658815E-2</v>
      </c>
      <c r="O990" s="6" t="s">
        <v>7</v>
      </c>
    </row>
    <row r="991" spans="2:15" x14ac:dyDescent="0.45">
      <c r="B991" s="3" t="s">
        <v>114</v>
      </c>
      <c r="C991" s="3" t="s">
        <v>29</v>
      </c>
      <c r="D991" s="4">
        <v>0</v>
      </c>
      <c r="E991" s="3" t="s">
        <v>7</v>
      </c>
      <c r="G991" s="3" t="s">
        <v>115</v>
      </c>
      <c r="H991" s="3" t="s">
        <v>29</v>
      </c>
      <c r="I991" s="5">
        <v>2.5072347150702601E-2</v>
      </c>
      <c r="J991" s="3" t="s">
        <v>7</v>
      </c>
      <c r="L991" s="3" t="s">
        <v>116</v>
      </c>
      <c r="M991" s="3" t="s">
        <v>29</v>
      </c>
      <c r="N991" s="5">
        <v>3.5972621924957981E-2</v>
      </c>
      <c r="O991" s="3" t="s">
        <v>7</v>
      </c>
    </row>
    <row r="992" spans="2:15" x14ac:dyDescent="0.45">
      <c r="B992" s="6" t="s">
        <v>114</v>
      </c>
      <c r="C992" s="6" t="s">
        <v>30</v>
      </c>
      <c r="D992" s="7">
        <v>2.5550088633516832E-3</v>
      </c>
      <c r="E992" s="6" t="s">
        <v>7</v>
      </c>
      <c r="G992" s="6" t="s">
        <v>115</v>
      </c>
      <c r="H992" s="6" t="s">
        <v>30</v>
      </c>
      <c r="I992" s="8">
        <v>9.6771327033121912E-3</v>
      </c>
      <c r="J992" s="6" t="s">
        <v>7</v>
      </c>
      <c r="L992" s="6" t="s">
        <v>116</v>
      </c>
      <c r="M992" s="6" t="s">
        <v>30</v>
      </c>
      <c r="N992" s="8">
        <v>1.3681392110482412E-2</v>
      </c>
      <c r="O992" s="6" t="s">
        <v>7</v>
      </c>
    </row>
    <row r="993" spans="2:15" x14ac:dyDescent="0.45">
      <c r="B993" s="3" t="s">
        <v>114</v>
      </c>
      <c r="C993" s="3" t="s">
        <v>31</v>
      </c>
      <c r="D993" s="4">
        <v>2.0555127107351624E-2</v>
      </c>
      <c r="E993" s="3" t="s">
        <v>7</v>
      </c>
      <c r="G993" s="3" t="s">
        <v>115</v>
      </c>
      <c r="H993" s="3" t="s">
        <v>31</v>
      </c>
      <c r="I993" s="5">
        <v>1.0643050234100931E-2</v>
      </c>
      <c r="J993" s="3" t="s">
        <v>7</v>
      </c>
      <c r="L993" s="3" t="s">
        <v>116</v>
      </c>
      <c r="M993" s="3" t="s">
        <v>31</v>
      </c>
      <c r="N993" s="5">
        <v>1.3078550971161045E-2</v>
      </c>
      <c r="O993" s="3" t="s">
        <v>7</v>
      </c>
    </row>
    <row r="994" spans="2:15" x14ac:dyDescent="0.45">
      <c r="B994" s="6" t="s">
        <v>114</v>
      </c>
      <c r="C994" s="6" t="s">
        <v>32</v>
      </c>
      <c r="D994" s="7">
        <v>4.3420553387322848E-2</v>
      </c>
      <c r="E994" s="6" t="s">
        <v>7</v>
      </c>
      <c r="G994" s="6" t="s">
        <v>115</v>
      </c>
      <c r="H994" s="6" t="s">
        <v>32</v>
      </c>
      <c r="I994" s="8">
        <v>1.1171617560358647E-2</v>
      </c>
      <c r="J994" s="6" t="s">
        <v>7</v>
      </c>
      <c r="L994" s="6" t="s">
        <v>116</v>
      </c>
      <c r="M994" s="6" t="s">
        <v>32</v>
      </c>
      <c r="N994" s="8">
        <v>1.2551791467641547E-2</v>
      </c>
      <c r="O994" s="6" t="s">
        <v>7</v>
      </c>
    </row>
    <row r="995" spans="2:15" x14ac:dyDescent="0.45">
      <c r="B995" s="3" t="s">
        <v>114</v>
      </c>
      <c r="C995" s="3" t="s">
        <v>33</v>
      </c>
      <c r="D995" s="4">
        <v>5.3589172783026329E-2</v>
      </c>
      <c r="E995" s="3" t="s">
        <v>7</v>
      </c>
      <c r="G995" s="3" t="s">
        <v>115</v>
      </c>
      <c r="H995" s="3" t="s">
        <v>33</v>
      </c>
      <c r="I995" s="5">
        <v>1.1505070860982087E-2</v>
      </c>
      <c r="J995" s="3" t="s">
        <v>7</v>
      </c>
      <c r="L995" s="3" t="s">
        <v>116</v>
      </c>
      <c r="M995" s="3" t="s">
        <v>33</v>
      </c>
      <c r="N995" s="5">
        <v>1.2486199823047925E-2</v>
      </c>
      <c r="O995" s="3" t="s">
        <v>7</v>
      </c>
    </row>
    <row r="996" spans="2:15" x14ac:dyDescent="0.45">
      <c r="B996" s="6" t="s">
        <v>114</v>
      </c>
      <c r="C996" s="6" t="s">
        <v>34</v>
      </c>
      <c r="D996" s="7">
        <v>5.4833071647261637E-2</v>
      </c>
      <c r="E996" s="6" t="s">
        <v>7</v>
      </c>
      <c r="G996" s="6" t="s">
        <v>115</v>
      </c>
      <c r="H996" s="6" t="s">
        <v>34</v>
      </c>
      <c r="I996" s="8">
        <v>1.1920586783144362E-2</v>
      </c>
      <c r="J996" s="6" t="s">
        <v>7</v>
      </c>
      <c r="L996" s="6" t="s">
        <v>116</v>
      </c>
      <c r="M996" s="6" t="s">
        <v>34</v>
      </c>
      <c r="N996" s="8">
        <v>1.3057076361909928E-2</v>
      </c>
      <c r="O996" s="6" t="s">
        <v>7</v>
      </c>
    </row>
    <row r="997" spans="2:15" x14ac:dyDescent="0.45">
      <c r="B997" s="3" t="s">
        <v>114</v>
      </c>
      <c r="C997" s="3" t="s">
        <v>35</v>
      </c>
      <c r="D997" s="4">
        <v>4.2304376413407688E-2</v>
      </c>
      <c r="E997" s="3" t="s">
        <v>7</v>
      </c>
      <c r="G997" s="3" t="s">
        <v>115</v>
      </c>
      <c r="H997" s="3" t="s">
        <v>35</v>
      </c>
      <c r="I997" s="5">
        <v>1.227514134064807E-2</v>
      </c>
      <c r="J997" s="3" t="s">
        <v>7</v>
      </c>
      <c r="L997" s="3" t="s">
        <v>116</v>
      </c>
      <c r="M997" s="3" t="s">
        <v>35</v>
      </c>
      <c r="N997" s="5">
        <v>1.407638908017881E-2</v>
      </c>
      <c r="O997" s="3" t="s">
        <v>7</v>
      </c>
    </row>
    <row r="998" spans="2:15" x14ac:dyDescent="0.45">
      <c r="B998" s="6" t="s">
        <v>114</v>
      </c>
      <c r="C998" s="6" t="s">
        <v>36</v>
      </c>
      <c r="D998" s="7">
        <v>2.1623173331703275E-2</v>
      </c>
      <c r="E998" s="6" t="s">
        <v>7</v>
      </c>
      <c r="G998" s="6" t="s">
        <v>115</v>
      </c>
      <c r="H998" s="6" t="s">
        <v>36</v>
      </c>
      <c r="I998" s="8">
        <v>1.1583248888327062E-2</v>
      </c>
      <c r="J998" s="6" t="s">
        <v>7</v>
      </c>
      <c r="L998" s="6" t="s">
        <v>116</v>
      </c>
      <c r="M998" s="6" t="s">
        <v>36</v>
      </c>
      <c r="N998" s="8">
        <v>1.4851372016933793E-2</v>
      </c>
      <c r="O998" s="6" t="s">
        <v>7</v>
      </c>
    </row>
    <row r="999" spans="2:15" x14ac:dyDescent="0.45">
      <c r="B999" s="3" t="s">
        <v>114</v>
      </c>
      <c r="C999" s="3" t="s">
        <v>37</v>
      </c>
      <c r="D999" s="4">
        <v>3.4228057223211839E-3</v>
      </c>
      <c r="E999" s="3" t="s">
        <v>7</v>
      </c>
      <c r="G999" s="3" t="s">
        <v>115</v>
      </c>
      <c r="H999" s="3" t="s">
        <v>37</v>
      </c>
      <c r="I999" s="5">
        <v>1.0653498194655216E-2</v>
      </c>
      <c r="J999" s="3" t="s">
        <v>7</v>
      </c>
      <c r="L999" s="3" t="s">
        <v>116</v>
      </c>
      <c r="M999" s="3" t="s">
        <v>37</v>
      </c>
      <c r="N999" s="5">
        <v>1.5268996998584482E-2</v>
      </c>
      <c r="O999" s="3" t="s">
        <v>7</v>
      </c>
    </row>
    <row r="1000" spans="2:15" x14ac:dyDescent="0.45">
      <c r="B1000" s="6" t="s">
        <v>114</v>
      </c>
      <c r="C1000" s="6" t="s">
        <v>38</v>
      </c>
      <c r="D1000" s="7">
        <v>1.4208211047261569E-5</v>
      </c>
      <c r="E1000" s="6" t="s">
        <v>7</v>
      </c>
      <c r="G1000" s="6" t="s">
        <v>115</v>
      </c>
      <c r="H1000" s="6" t="s">
        <v>38</v>
      </c>
      <c r="I1000" s="8">
        <v>1.5405112577715332E-2</v>
      </c>
      <c r="J1000" s="6" t="s">
        <v>7</v>
      </c>
      <c r="L1000" s="6" t="s">
        <v>116</v>
      </c>
      <c r="M1000" s="6" t="s">
        <v>38</v>
      </c>
      <c r="N1000" s="8">
        <v>2.2305074798130559E-2</v>
      </c>
      <c r="O1000" s="6" t="s">
        <v>7</v>
      </c>
    </row>
    <row r="1001" spans="2:15" x14ac:dyDescent="0.45">
      <c r="B1001" s="3" t="s">
        <v>114</v>
      </c>
      <c r="C1001" s="3" t="s">
        <v>39</v>
      </c>
      <c r="D1001" s="4">
        <v>0</v>
      </c>
      <c r="E1001" s="3" t="s">
        <v>7</v>
      </c>
      <c r="G1001" s="3" t="s">
        <v>115</v>
      </c>
      <c r="H1001" s="3" t="s">
        <v>39</v>
      </c>
      <c r="I1001" s="5">
        <v>1.771967423595338E-2</v>
      </c>
      <c r="J1001" s="3" t="s">
        <v>7</v>
      </c>
      <c r="L1001" s="3" t="s">
        <v>116</v>
      </c>
      <c r="M1001" s="3" t="s">
        <v>39</v>
      </c>
      <c r="N1001" s="5">
        <v>2.2548796998285242E-2</v>
      </c>
      <c r="O1001" s="3" t="s">
        <v>7</v>
      </c>
    </row>
    <row r="1002" spans="2:15" x14ac:dyDescent="0.45">
      <c r="B1002" s="6" t="s">
        <v>114</v>
      </c>
      <c r="C1002" s="6" t="s">
        <v>40</v>
      </c>
      <c r="D1002" s="7">
        <v>1.423881666398679E-3</v>
      </c>
      <c r="E1002" s="6" t="s">
        <v>7</v>
      </c>
      <c r="G1002" s="6" t="s">
        <v>115</v>
      </c>
      <c r="H1002" s="6" t="s">
        <v>40</v>
      </c>
      <c r="I1002" s="8">
        <v>6.8578922362001584E-3</v>
      </c>
      <c r="J1002" s="6" t="s">
        <v>7</v>
      </c>
      <c r="L1002" s="6" t="s">
        <v>116</v>
      </c>
      <c r="M1002" s="6" t="s">
        <v>40</v>
      </c>
      <c r="N1002" s="8">
        <v>9.2381204396266119E-3</v>
      </c>
      <c r="O1002" s="6" t="s">
        <v>7</v>
      </c>
    </row>
    <row r="1003" spans="2:15" x14ac:dyDescent="0.45">
      <c r="B1003" s="3" t="s">
        <v>114</v>
      </c>
      <c r="C1003" s="3" t="s">
        <v>41</v>
      </c>
      <c r="D1003" s="4">
        <v>1.6594308203424619E-2</v>
      </c>
      <c r="E1003" s="3" t="s">
        <v>7</v>
      </c>
      <c r="G1003" s="3" t="s">
        <v>115</v>
      </c>
      <c r="H1003" s="3" t="s">
        <v>41</v>
      </c>
      <c r="I1003" s="5">
        <v>7.3477599688900521E-3</v>
      </c>
      <c r="J1003" s="3" t="s">
        <v>7</v>
      </c>
      <c r="L1003" s="3" t="s">
        <v>116</v>
      </c>
      <c r="M1003" s="3" t="s">
        <v>41</v>
      </c>
      <c r="N1003" s="5">
        <v>9.2907357034761554E-3</v>
      </c>
      <c r="O1003" s="3" t="s">
        <v>7</v>
      </c>
    </row>
    <row r="1004" spans="2:15" x14ac:dyDescent="0.45">
      <c r="B1004" s="6" t="s">
        <v>114</v>
      </c>
      <c r="C1004" s="6" t="s">
        <v>42</v>
      </c>
      <c r="D1004" s="7">
        <v>4.4091936907370725E-2</v>
      </c>
      <c r="E1004" s="6" t="s">
        <v>7</v>
      </c>
      <c r="G1004" s="6" t="s">
        <v>115</v>
      </c>
      <c r="H1004" s="6" t="s">
        <v>42</v>
      </c>
      <c r="I1004" s="8">
        <v>8.3884057465222883E-3</v>
      </c>
      <c r="J1004" s="6" t="s">
        <v>7</v>
      </c>
      <c r="L1004" s="6" t="s">
        <v>116</v>
      </c>
      <c r="M1004" s="6" t="s">
        <v>42</v>
      </c>
      <c r="N1004" s="8">
        <v>9.0174401496191051E-3</v>
      </c>
      <c r="O1004" s="6" t="s">
        <v>7</v>
      </c>
    </row>
    <row r="1005" spans="2:15" x14ac:dyDescent="0.45">
      <c r="B1005" s="3" t="s">
        <v>114</v>
      </c>
      <c r="C1005" s="3" t="s">
        <v>43</v>
      </c>
      <c r="D1005" s="4">
        <v>5.8685362004063116E-2</v>
      </c>
      <c r="E1005" s="3" t="s">
        <v>7</v>
      </c>
      <c r="G1005" s="3" t="s">
        <v>115</v>
      </c>
      <c r="H1005" s="3" t="s">
        <v>43</v>
      </c>
      <c r="I1005" s="5">
        <v>8.9437121313681225E-3</v>
      </c>
      <c r="J1005" s="3" t="s">
        <v>7</v>
      </c>
      <c r="L1005" s="3" t="s">
        <v>116</v>
      </c>
      <c r="M1005" s="3" t="s">
        <v>43</v>
      </c>
      <c r="N1005" s="5">
        <v>8.8094562354826232E-3</v>
      </c>
      <c r="O1005" s="3" t="s">
        <v>7</v>
      </c>
    </row>
    <row r="1006" spans="2:15" x14ac:dyDescent="0.45">
      <c r="B1006" s="6" t="s">
        <v>114</v>
      </c>
      <c r="C1006" s="6" t="s">
        <v>44</v>
      </c>
      <c r="D1006" s="7">
        <v>5.8408636109697119E-2</v>
      </c>
      <c r="E1006" s="6" t="s">
        <v>7</v>
      </c>
      <c r="G1006" s="6" t="s">
        <v>115</v>
      </c>
      <c r="H1006" s="6" t="s">
        <v>44</v>
      </c>
      <c r="I1006" s="8">
        <v>9.2808120584356307E-3</v>
      </c>
      <c r="J1006" s="6" t="s">
        <v>7</v>
      </c>
      <c r="L1006" s="6" t="s">
        <v>116</v>
      </c>
      <c r="M1006" s="6" t="s">
        <v>44</v>
      </c>
      <c r="N1006" s="8">
        <v>9.2826600006590387E-3</v>
      </c>
      <c r="O1006" s="6" t="s">
        <v>7</v>
      </c>
    </row>
    <row r="1007" spans="2:15" x14ac:dyDescent="0.45">
      <c r="B1007" s="3" t="s">
        <v>114</v>
      </c>
      <c r="C1007" s="3" t="s">
        <v>45</v>
      </c>
      <c r="D1007" s="4">
        <v>4.5203712763955725E-2</v>
      </c>
      <c r="E1007" s="3" t="s">
        <v>7</v>
      </c>
      <c r="G1007" s="3" t="s">
        <v>115</v>
      </c>
      <c r="H1007" s="3" t="s">
        <v>45</v>
      </c>
      <c r="I1007" s="5">
        <v>9.3493052260865215E-3</v>
      </c>
      <c r="J1007" s="3" t="s">
        <v>7</v>
      </c>
      <c r="L1007" s="3" t="s">
        <v>116</v>
      </c>
      <c r="M1007" s="3" t="s">
        <v>45</v>
      </c>
      <c r="N1007" s="5">
        <v>9.8869923350782783E-3</v>
      </c>
      <c r="O1007" s="3" t="s">
        <v>7</v>
      </c>
    </row>
    <row r="1008" spans="2:15" x14ac:dyDescent="0.45">
      <c r="B1008" s="6" t="s">
        <v>114</v>
      </c>
      <c r="C1008" s="6" t="s">
        <v>46</v>
      </c>
      <c r="D1008" s="7">
        <v>2.2314644221692596E-2</v>
      </c>
      <c r="E1008" s="6" t="s">
        <v>7</v>
      </c>
      <c r="G1008" s="6" t="s">
        <v>115</v>
      </c>
      <c r="H1008" s="6" t="s">
        <v>46</v>
      </c>
      <c r="I1008" s="8">
        <v>8.3948625285207874E-3</v>
      </c>
      <c r="J1008" s="6" t="s">
        <v>7</v>
      </c>
      <c r="L1008" s="6" t="s">
        <v>116</v>
      </c>
      <c r="M1008" s="6" t="s">
        <v>46</v>
      </c>
      <c r="N1008" s="8">
        <v>1.0122307771177662E-2</v>
      </c>
      <c r="O1008" s="6" t="s">
        <v>7</v>
      </c>
    </row>
    <row r="1009" spans="2:15" x14ac:dyDescent="0.45">
      <c r="B1009" s="3" t="s">
        <v>114</v>
      </c>
      <c r="C1009" s="3" t="s">
        <v>47</v>
      </c>
      <c r="D1009" s="4">
        <v>2.7614029000531553E-3</v>
      </c>
      <c r="E1009" s="3" t="s">
        <v>7</v>
      </c>
      <c r="G1009" s="3" t="s">
        <v>115</v>
      </c>
      <c r="H1009" s="3" t="s">
        <v>47</v>
      </c>
      <c r="I1009" s="5">
        <v>7.5549978949040952E-3</v>
      </c>
      <c r="J1009" s="3" t="s">
        <v>7</v>
      </c>
      <c r="L1009" s="3" t="s">
        <v>116</v>
      </c>
      <c r="M1009" s="3" t="s">
        <v>47</v>
      </c>
      <c r="N1009" s="5">
        <v>9.8147750885798617E-3</v>
      </c>
      <c r="O1009" s="3" t="s">
        <v>7</v>
      </c>
    </row>
    <row r="1010" spans="2:15" x14ac:dyDescent="0.45">
      <c r="B1010" s="6" t="s">
        <v>114</v>
      </c>
      <c r="C1010" s="6" t="s">
        <v>48</v>
      </c>
      <c r="D1010" s="7">
        <v>6.6275196423790942E-6</v>
      </c>
      <c r="E1010" s="6" t="s">
        <v>7</v>
      </c>
      <c r="G1010" s="6" t="s">
        <v>115</v>
      </c>
      <c r="H1010" s="6" t="s">
        <v>48</v>
      </c>
      <c r="I1010" s="8">
        <v>1.1314850605725724E-2</v>
      </c>
      <c r="J1010" s="6" t="s">
        <v>7</v>
      </c>
      <c r="L1010" s="6" t="s">
        <v>116</v>
      </c>
      <c r="M1010" s="6" t="s">
        <v>48</v>
      </c>
      <c r="N1010" s="8">
        <v>1.3482907711900865E-2</v>
      </c>
      <c r="O1010" s="6" t="s">
        <v>7</v>
      </c>
    </row>
    <row r="1011" spans="2:15" x14ac:dyDescent="0.45">
      <c r="B1011" s="3" t="s">
        <v>114</v>
      </c>
      <c r="C1011" s="3" t="s">
        <v>49</v>
      </c>
      <c r="D1011" s="4">
        <v>0</v>
      </c>
      <c r="E1011" s="3" t="s">
        <v>7</v>
      </c>
      <c r="G1011" s="3" t="s">
        <v>115</v>
      </c>
      <c r="H1011" s="3" t="s">
        <v>49</v>
      </c>
      <c r="I1011" s="5">
        <v>3.7868811502884923E-2</v>
      </c>
      <c r="J1011" s="3" t="s">
        <v>7</v>
      </c>
      <c r="L1011" s="3" t="s">
        <v>116</v>
      </c>
      <c r="M1011" s="3" t="s">
        <v>49</v>
      </c>
      <c r="N1011" s="5">
        <v>3.3894635720366426E-2</v>
      </c>
      <c r="O1011" s="3" t="s">
        <v>7</v>
      </c>
    </row>
    <row r="1012" spans="2:15" x14ac:dyDescent="0.45">
      <c r="B1012" s="6" t="s">
        <v>114</v>
      </c>
      <c r="C1012" s="6" t="s">
        <v>50</v>
      </c>
      <c r="D1012" s="7">
        <v>1.1780208001290599E-6</v>
      </c>
      <c r="E1012" s="6" t="s">
        <v>7</v>
      </c>
      <c r="G1012" s="6" t="s">
        <v>115</v>
      </c>
      <c r="H1012" s="6" t="s">
        <v>50</v>
      </c>
      <c r="I1012" s="8">
        <v>1.407063098942846E-2</v>
      </c>
      <c r="J1012" s="6" t="s">
        <v>7</v>
      </c>
      <c r="L1012" s="6" t="s">
        <v>116</v>
      </c>
      <c r="M1012" s="6" t="s">
        <v>50</v>
      </c>
      <c r="N1012" s="8">
        <v>1.3122954675892449E-2</v>
      </c>
      <c r="O1012" s="6" t="s">
        <v>7</v>
      </c>
    </row>
    <row r="1013" spans="2:15" x14ac:dyDescent="0.45">
      <c r="B1013" s="3" t="s">
        <v>114</v>
      </c>
      <c r="C1013" s="3" t="s">
        <v>51</v>
      </c>
      <c r="D1013" s="4">
        <v>5.2541376481676566E-3</v>
      </c>
      <c r="E1013" s="3" t="s">
        <v>7</v>
      </c>
      <c r="G1013" s="3" t="s">
        <v>115</v>
      </c>
      <c r="H1013" s="3" t="s">
        <v>51</v>
      </c>
      <c r="I1013" s="5">
        <v>1.4092528760745985E-2</v>
      </c>
      <c r="J1013" s="3" t="s">
        <v>7</v>
      </c>
      <c r="L1013" s="3" t="s">
        <v>116</v>
      </c>
      <c r="M1013" s="3" t="s">
        <v>51</v>
      </c>
      <c r="N1013" s="5">
        <v>1.3227471456871389E-2</v>
      </c>
      <c r="O1013" s="3" t="s">
        <v>7</v>
      </c>
    </row>
    <row r="1014" spans="2:15" x14ac:dyDescent="0.45">
      <c r="B1014" s="6" t="s">
        <v>114</v>
      </c>
      <c r="C1014" s="6" t="s">
        <v>52</v>
      </c>
      <c r="D1014" s="7">
        <v>2.3712616531050223E-2</v>
      </c>
      <c r="E1014" s="6" t="s">
        <v>7</v>
      </c>
      <c r="G1014" s="6" t="s">
        <v>115</v>
      </c>
      <c r="H1014" s="6" t="s">
        <v>52</v>
      </c>
      <c r="I1014" s="8">
        <v>1.525491089899738E-2</v>
      </c>
      <c r="J1014" s="6" t="s">
        <v>7</v>
      </c>
      <c r="L1014" s="6" t="s">
        <v>116</v>
      </c>
      <c r="M1014" s="6" t="s">
        <v>52</v>
      </c>
      <c r="N1014" s="8">
        <v>1.3250841932347931E-2</v>
      </c>
      <c r="O1014" s="6" t="s">
        <v>7</v>
      </c>
    </row>
    <row r="1015" spans="2:15" x14ac:dyDescent="0.45">
      <c r="B1015" s="3" t="s">
        <v>114</v>
      </c>
      <c r="C1015" s="3" t="s">
        <v>53</v>
      </c>
      <c r="D1015" s="4">
        <v>3.6113564473767221E-2</v>
      </c>
      <c r="E1015" s="3" t="s">
        <v>7</v>
      </c>
      <c r="G1015" s="3" t="s">
        <v>115</v>
      </c>
      <c r="H1015" s="3" t="s">
        <v>53</v>
      </c>
      <c r="I1015" s="5">
        <v>1.6148840885284382E-2</v>
      </c>
      <c r="J1015" s="3" t="s">
        <v>7</v>
      </c>
      <c r="L1015" s="3" t="s">
        <v>116</v>
      </c>
      <c r="M1015" s="3" t="s">
        <v>53</v>
      </c>
      <c r="N1015" s="5">
        <v>1.3153520226193861E-2</v>
      </c>
      <c r="O1015" s="3" t="s">
        <v>7</v>
      </c>
    </row>
    <row r="1016" spans="2:15" x14ac:dyDescent="0.45">
      <c r="B1016" s="6" t="s">
        <v>114</v>
      </c>
      <c r="C1016" s="6" t="s">
        <v>54</v>
      </c>
      <c r="D1016" s="7">
        <v>3.5237221892285633E-2</v>
      </c>
      <c r="E1016" s="6" t="s">
        <v>7</v>
      </c>
      <c r="G1016" s="6" t="s">
        <v>115</v>
      </c>
      <c r="H1016" s="6" t="s">
        <v>54</v>
      </c>
      <c r="I1016" s="8">
        <v>1.6725026425511626E-2</v>
      </c>
      <c r="J1016" s="6" t="s">
        <v>7</v>
      </c>
      <c r="L1016" s="6" t="s">
        <v>116</v>
      </c>
      <c r="M1016" s="6" t="s">
        <v>54</v>
      </c>
      <c r="N1016" s="8">
        <v>1.3840517435903775E-2</v>
      </c>
      <c r="O1016" s="6" t="s">
        <v>7</v>
      </c>
    </row>
    <row r="1017" spans="2:15" x14ac:dyDescent="0.45">
      <c r="B1017" s="3" t="s">
        <v>114</v>
      </c>
      <c r="C1017" s="3" t="s">
        <v>55</v>
      </c>
      <c r="D1017" s="4">
        <v>2.3353379313378279E-2</v>
      </c>
      <c r="E1017" s="3" t="s">
        <v>7</v>
      </c>
      <c r="G1017" s="3" t="s">
        <v>115</v>
      </c>
      <c r="H1017" s="3" t="s">
        <v>55</v>
      </c>
      <c r="I1017" s="5">
        <v>1.6679654800194552E-2</v>
      </c>
      <c r="J1017" s="3" t="s">
        <v>7</v>
      </c>
      <c r="L1017" s="3" t="s">
        <v>116</v>
      </c>
      <c r="M1017" s="3" t="s">
        <v>55</v>
      </c>
      <c r="N1017" s="5">
        <v>1.4628271704440953E-2</v>
      </c>
      <c r="O1017" s="3" t="s">
        <v>7</v>
      </c>
    </row>
    <row r="1018" spans="2:15" x14ac:dyDescent="0.45">
      <c r="B1018" s="6" t="s">
        <v>114</v>
      </c>
      <c r="C1018" s="6" t="s">
        <v>56</v>
      </c>
      <c r="D1018" s="7">
        <v>5.6577891676805247E-3</v>
      </c>
      <c r="E1018" s="6" t="s">
        <v>7</v>
      </c>
      <c r="G1018" s="6" t="s">
        <v>115</v>
      </c>
      <c r="H1018" s="6" t="s">
        <v>56</v>
      </c>
      <c r="I1018" s="8">
        <v>1.6161139898967357E-2</v>
      </c>
      <c r="J1018" s="6" t="s">
        <v>7</v>
      </c>
      <c r="L1018" s="6" t="s">
        <v>116</v>
      </c>
      <c r="M1018" s="6" t="s">
        <v>56</v>
      </c>
      <c r="N1018" s="8">
        <v>1.4757438595779793E-2</v>
      </c>
      <c r="O1018" s="6" t="s">
        <v>7</v>
      </c>
    </row>
    <row r="1019" spans="2:15" x14ac:dyDescent="0.45">
      <c r="B1019" s="3" t="s">
        <v>114</v>
      </c>
      <c r="C1019" s="3" t="s">
        <v>57</v>
      </c>
      <c r="D1019" s="4">
        <v>1.8411969785719171E-5</v>
      </c>
      <c r="E1019" s="3" t="s">
        <v>7</v>
      </c>
      <c r="G1019" s="3" t="s">
        <v>115</v>
      </c>
      <c r="H1019" s="3" t="s">
        <v>57</v>
      </c>
      <c r="I1019" s="5">
        <v>1.6129210598581623E-2</v>
      </c>
      <c r="J1019" s="3" t="s">
        <v>7</v>
      </c>
      <c r="L1019" s="3" t="s">
        <v>116</v>
      </c>
      <c r="M1019" s="3" t="s">
        <v>57</v>
      </c>
      <c r="N1019" s="5">
        <v>1.4344860663513958E-2</v>
      </c>
      <c r="O1019" s="3" t="s">
        <v>7</v>
      </c>
    </row>
    <row r="1020" spans="2:15" x14ac:dyDescent="0.45">
      <c r="B1020" s="6" t="s">
        <v>114</v>
      </c>
      <c r="C1020" s="6" t="s">
        <v>58</v>
      </c>
      <c r="D1020" s="7">
        <v>0</v>
      </c>
      <c r="E1020" s="6" t="s">
        <v>7</v>
      </c>
      <c r="G1020" s="6" t="s">
        <v>115</v>
      </c>
      <c r="H1020" s="6" t="s">
        <v>58</v>
      </c>
      <c r="I1020" s="8">
        <v>2.4203871781484556E-2</v>
      </c>
      <c r="J1020" s="6" t="s">
        <v>7</v>
      </c>
      <c r="L1020" s="6" t="s">
        <v>116</v>
      </c>
      <c r="M1020" s="6" t="s">
        <v>58</v>
      </c>
      <c r="N1020" s="8">
        <v>2.0885675036461496E-2</v>
      </c>
      <c r="O1020" s="6" t="s">
        <v>7</v>
      </c>
    </row>
    <row r="1021" spans="2:15" x14ac:dyDescent="0.45">
      <c r="B1021" s="3" t="s">
        <v>114</v>
      </c>
      <c r="C1021" s="3" t="s">
        <v>59</v>
      </c>
      <c r="D1021" s="4">
        <v>0</v>
      </c>
      <c r="E1021" s="3" t="s">
        <v>7</v>
      </c>
      <c r="G1021" s="3" t="s">
        <v>115</v>
      </c>
      <c r="H1021" s="3" t="s">
        <v>59</v>
      </c>
      <c r="I1021" s="5">
        <v>5.2769059515988821E-2</v>
      </c>
      <c r="J1021" s="3" t="s">
        <v>7</v>
      </c>
      <c r="L1021" s="3" t="s">
        <v>116</v>
      </c>
      <c r="M1021" s="3" t="s">
        <v>59</v>
      </c>
      <c r="N1021" s="5">
        <v>3.9677549825654315E-2</v>
      </c>
      <c r="O1021" s="3" t="s">
        <v>7</v>
      </c>
    </row>
    <row r="1022" spans="2:15" x14ac:dyDescent="0.45">
      <c r="B1022" s="6" t="s">
        <v>114</v>
      </c>
      <c r="C1022" s="6" t="s">
        <v>60</v>
      </c>
      <c r="D1022" s="7">
        <v>0</v>
      </c>
      <c r="E1022" s="6" t="s">
        <v>7</v>
      </c>
      <c r="G1022" s="6" t="s">
        <v>115</v>
      </c>
      <c r="H1022" s="6" t="s">
        <v>60</v>
      </c>
      <c r="I1022" s="8">
        <v>2.0177570418692819E-2</v>
      </c>
      <c r="J1022" s="6" t="s">
        <v>7</v>
      </c>
      <c r="L1022" s="6" t="s">
        <v>116</v>
      </c>
      <c r="M1022" s="6" t="s">
        <v>60</v>
      </c>
      <c r="N1022" s="8">
        <v>1.5787156636320795E-2</v>
      </c>
      <c r="O1022" s="6" t="s">
        <v>7</v>
      </c>
    </row>
    <row r="1023" spans="2:15" x14ac:dyDescent="0.45">
      <c r="B1023" s="3" t="s">
        <v>114</v>
      </c>
      <c r="C1023" s="3" t="s">
        <v>61</v>
      </c>
      <c r="D1023" s="4">
        <v>1.0501274745115024E-4</v>
      </c>
      <c r="E1023" s="3" t="s">
        <v>7</v>
      </c>
      <c r="G1023" s="3" t="s">
        <v>115</v>
      </c>
      <c r="H1023" s="3" t="s">
        <v>61</v>
      </c>
      <c r="I1023" s="5">
        <v>1.9825381359771983E-2</v>
      </c>
      <c r="J1023" s="3" t="s">
        <v>7</v>
      </c>
      <c r="L1023" s="3" t="s">
        <v>116</v>
      </c>
      <c r="M1023" s="3" t="s">
        <v>61</v>
      </c>
      <c r="N1023" s="5">
        <v>1.6131122926501758E-2</v>
      </c>
      <c r="O1023" s="3" t="s">
        <v>7</v>
      </c>
    </row>
    <row r="1024" spans="2:15" x14ac:dyDescent="0.45">
      <c r="B1024" s="6" t="s">
        <v>114</v>
      </c>
      <c r="C1024" s="6" t="s">
        <v>62</v>
      </c>
      <c r="D1024" s="7">
        <v>1.2215044271812681E-2</v>
      </c>
      <c r="E1024" s="6" t="s">
        <v>7</v>
      </c>
      <c r="G1024" s="6" t="s">
        <v>115</v>
      </c>
      <c r="H1024" s="6" t="s">
        <v>62</v>
      </c>
      <c r="I1024" s="8">
        <v>1.9787302783127736E-2</v>
      </c>
      <c r="J1024" s="6" t="s">
        <v>7</v>
      </c>
      <c r="L1024" s="6" t="s">
        <v>116</v>
      </c>
      <c r="M1024" s="6" t="s">
        <v>62</v>
      </c>
      <c r="N1024" s="8">
        <v>1.5781131784155408E-2</v>
      </c>
      <c r="O1024" s="6" t="s">
        <v>7</v>
      </c>
    </row>
    <row r="1025" spans="2:15" x14ac:dyDescent="0.45">
      <c r="B1025" s="3" t="s">
        <v>114</v>
      </c>
      <c r="C1025" s="3" t="s">
        <v>63</v>
      </c>
      <c r="D1025" s="4">
        <v>3.0548116700024972E-2</v>
      </c>
      <c r="E1025" s="3" t="s">
        <v>7</v>
      </c>
      <c r="G1025" s="3" t="s">
        <v>115</v>
      </c>
      <c r="H1025" s="3" t="s">
        <v>63</v>
      </c>
      <c r="I1025" s="5">
        <v>1.9743708790655658E-2</v>
      </c>
      <c r="J1025" s="3" t="s">
        <v>7</v>
      </c>
      <c r="L1025" s="3" t="s">
        <v>116</v>
      </c>
      <c r="M1025" s="3" t="s">
        <v>63</v>
      </c>
      <c r="N1025" s="5">
        <v>1.5330743913183878E-2</v>
      </c>
      <c r="O1025" s="3" t="s">
        <v>7</v>
      </c>
    </row>
    <row r="1026" spans="2:15" x14ac:dyDescent="0.45">
      <c r="B1026" s="6" t="s">
        <v>114</v>
      </c>
      <c r="C1026" s="6" t="s">
        <v>64</v>
      </c>
      <c r="D1026" s="7">
        <v>2.858053662850564E-2</v>
      </c>
      <c r="E1026" s="6" t="s">
        <v>7</v>
      </c>
      <c r="G1026" s="6" t="s">
        <v>115</v>
      </c>
      <c r="H1026" s="6" t="s">
        <v>64</v>
      </c>
      <c r="I1026" s="8">
        <v>1.9572105586949152E-2</v>
      </c>
      <c r="J1026" s="6" t="s">
        <v>7</v>
      </c>
      <c r="L1026" s="6" t="s">
        <v>116</v>
      </c>
      <c r="M1026" s="6" t="s">
        <v>64</v>
      </c>
      <c r="N1026" s="8">
        <v>1.5189801290055821E-2</v>
      </c>
      <c r="O1026" s="6" t="s">
        <v>7</v>
      </c>
    </row>
    <row r="1027" spans="2:15" x14ac:dyDescent="0.45">
      <c r="B1027" s="3" t="s">
        <v>114</v>
      </c>
      <c r="C1027" s="3" t="s">
        <v>65</v>
      </c>
      <c r="D1027" s="4">
        <v>1.0528979320373288E-2</v>
      </c>
      <c r="E1027" s="3" t="s">
        <v>7</v>
      </c>
      <c r="G1027" s="3" t="s">
        <v>115</v>
      </c>
      <c r="H1027" s="3" t="s">
        <v>65</v>
      </c>
      <c r="I1027" s="5">
        <v>1.97233275553561E-2</v>
      </c>
      <c r="J1027" s="3" t="s">
        <v>7</v>
      </c>
      <c r="L1027" s="3" t="s">
        <v>116</v>
      </c>
      <c r="M1027" s="3" t="s">
        <v>65</v>
      </c>
      <c r="N1027" s="5">
        <v>1.529702694634133E-2</v>
      </c>
      <c r="O1027" s="3" t="s">
        <v>7</v>
      </c>
    </row>
    <row r="1028" spans="2:15" x14ac:dyDescent="0.45">
      <c r="B1028" s="6" t="s">
        <v>114</v>
      </c>
      <c r="C1028" s="6" t="s">
        <v>66</v>
      </c>
      <c r="D1028" s="7">
        <v>0</v>
      </c>
      <c r="E1028" s="6" t="s">
        <v>7</v>
      </c>
      <c r="G1028" s="6" t="s">
        <v>115</v>
      </c>
      <c r="H1028" s="6" t="s">
        <v>66</v>
      </c>
      <c r="I1028" s="8">
        <v>2.0017676850606594E-2</v>
      </c>
      <c r="J1028" s="6" t="s">
        <v>7</v>
      </c>
      <c r="L1028" s="6" t="s">
        <v>116</v>
      </c>
      <c r="M1028" s="6" t="s">
        <v>66</v>
      </c>
      <c r="N1028" s="8">
        <v>1.574688688475347E-2</v>
      </c>
      <c r="O1028" s="6" t="s">
        <v>7</v>
      </c>
    </row>
    <row r="1029" spans="2:15" x14ac:dyDescent="0.45">
      <c r="B1029" s="3" t="s">
        <v>114</v>
      </c>
      <c r="C1029" s="3" t="s">
        <v>67</v>
      </c>
      <c r="D1029" s="4">
        <v>0</v>
      </c>
      <c r="E1029" s="3" t="s">
        <v>7</v>
      </c>
      <c r="G1029" s="3" t="s">
        <v>115</v>
      </c>
      <c r="H1029" s="3" t="s">
        <v>67</v>
      </c>
      <c r="I1029" s="5">
        <v>2.0296980283929875E-2</v>
      </c>
      <c r="J1029" s="3" t="s">
        <v>7</v>
      </c>
      <c r="L1029" s="3" t="s">
        <v>116</v>
      </c>
      <c r="M1029" s="3" t="s">
        <v>67</v>
      </c>
      <c r="N1029" s="5">
        <v>1.5878240441686453E-2</v>
      </c>
      <c r="O1029" s="3" t="s">
        <v>7</v>
      </c>
    </row>
    <row r="1030" spans="2:15" x14ac:dyDescent="0.45">
      <c r="B1030" s="6" t="s">
        <v>114</v>
      </c>
      <c r="C1030" s="6" t="s">
        <v>68</v>
      </c>
      <c r="D1030" s="7">
        <v>0</v>
      </c>
      <c r="E1030" s="6" t="s">
        <v>7</v>
      </c>
      <c r="G1030" s="6" t="s">
        <v>115</v>
      </c>
      <c r="H1030" s="6" t="s">
        <v>68</v>
      </c>
      <c r="I1030" s="8">
        <v>3.1443354976897514E-2</v>
      </c>
      <c r="J1030" s="6" t="s">
        <v>7</v>
      </c>
      <c r="L1030" s="6" t="s">
        <v>116</v>
      </c>
      <c r="M1030" s="6" t="s">
        <v>68</v>
      </c>
      <c r="N1030" s="8">
        <v>2.3624825113466506E-2</v>
      </c>
      <c r="O1030" s="6" t="s">
        <v>7</v>
      </c>
    </row>
    <row r="1031" spans="2:15" x14ac:dyDescent="0.45">
      <c r="B1031" s="3" t="s">
        <v>117</v>
      </c>
      <c r="C1031" s="3" t="s">
        <v>6</v>
      </c>
      <c r="D1031" s="4">
        <v>0</v>
      </c>
      <c r="E1031" s="3" t="s">
        <v>7</v>
      </c>
      <c r="G1031" s="3" t="s">
        <v>118</v>
      </c>
      <c r="H1031" s="3" t="s">
        <v>6</v>
      </c>
      <c r="I1031" s="5">
        <v>3.7581233534186756E-2</v>
      </c>
      <c r="J1031" s="3" t="s">
        <v>7</v>
      </c>
      <c r="L1031" s="3" t="s">
        <v>119</v>
      </c>
      <c r="M1031" s="3" t="s">
        <v>6</v>
      </c>
      <c r="N1031" s="5">
        <v>3.670684116294614E-2</v>
      </c>
      <c r="O1031" s="3" t="s">
        <v>7</v>
      </c>
    </row>
    <row r="1032" spans="2:15" x14ac:dyDescent="0.45">
      <c r="B1032" s="6" t="s">
        <v>117</v>
      </c>
      <c r="C1032" s="6" t="s">
        <v>10</v>
      </c>
      <c r="D1032" s="7">
        <v>0</v>
      </c>
      <c r="E1032" s="6" t="s">
        <v>7</v>
      </c>
      <c r="G1032" s="6" t="s">
        <v>118</v>
      </c>
      <c r="H1032" s="6" t="s">
        <v>10</v>
      </c>
      <c r="I1032" s="8">
        <v>1.4443604524446634E-2</v>
      </c>
      <c r="J1032" s="6" t="s">
        <v>7</v>
      </c>
      <c r="L1032" s="6" t="s">
        <v>119</v>
      </c>
      <c r="M1032" s="6" t="s">
        <v>10</v>
      </c>
      <c r="N1032" s="8">
        <v>1.4537639940829534E-2</v>
      </c>
      <c r="O1032" s="6" t="s">
        <v>7</v>
      </c>
    </row>
    <row r="1033" spans="2:15" x14ac:dyDescent="0.45">
      <c r="B1033" s="3" t="s">
        <v>117</v>
      </c>
      <c r="C1033" s="3" t="s">
        <v>11</v>
      </c>
      <c r="D1033" s="4">
        <v>5.2035045401247761E-4</v>
      </c>
      <c r="E1033" s="3" t="s">
        <v>7</v>
      </c>
      <c r="G1033" s="3" t="s">
        <v>118</v>
      </c>
      <c r="H1033" s="3" t="s">
        <v>11</v>
      </c>
      <c r="I1033" s="5">
        <v>1.4093933307160297E-2</v>
      </c>
      <c r="J1033" s="3" t="s">
        <v>7</v>
      </c>
      <c r="L1033" s="3" t="s">
        <v>119</v>
      </c>
      <c r="M1033" s="3" t="s">
        <v>11</v>
      </c>
      <c r="N1033" s="5">
        <v>1.4838877114867746E-2</v>
      </c>
      <c r="O1033" s="3" t="s">
        <v>7</v>
      </c>
    </row>
    <row r="1034" spans="2:15" x14ac:dyDescent="0.45">
      <c r="B1034" s="6" t="s">
        <v>117</v>
      </c>
      <c r="C1034" s="6" t="s">
        <v>12</v>
      </c>
      <c r="D1034" s="7">
        <v>1.3116009027285293E-2</v>
      </c>
      <c r="E1034" s="6" t="s">
        <v>7</v>
      </c>
      <c r="G1034" s="6" t="s">
        <v>118</v>
      </c>
      <c r="H1034" s="6" t="s">
        <v>12</v>
      </c>
      <c r="I1034" s="8">
        <v>1.4041510275642597E-2</v>
      </c>
      <c r="J1034" s="6" t="s">
        <v>7</v>
      </c>
      <c r="L1034" s="6" t="s">
        <v>119</v>
      </c>
      <c r="M1034" s="6" t="s">
        <v>12</v>
      </c>
      <c r="N1034" s="8">
        <v>1.4527195983225693E-2</v>
      </c>
      <c r="O1034" s="6" t="s">
        <v>7</v>
      </c>
    </row>
    <row r="1035" spans="2:15" x14ac:dyDescent="0.45">
      <c r="B1035" s="3" t="s">
        <v>117</v>
      </c>
      <c r="C1035" s="3" t="s">
        <v>13</v>
      </c>
      <c r="D1035" s="4">
        <v>2.8222326114659933E-2</v>
      </c>
      <c r="E1035" s="3" t="s">
        <v>7</v>
      </c>
      <c r="G1035" s="3" t="s">
        <v>118</v>
      </c>
      <c r="H1035" s="3" t="s">
        <v>13</v>
      </c>
      <c r="I1035" s="5">
        <v>1.3649287761640911E-2</v>
      </c>
      <c r="J1035" s="3" t="s">
        <v>7</v>
      </c>
      <c r="L1035" s="3" t="s">
        <v>119</v>
      </c>
      <c r="M1035" s="3" t="s">
        <v>13</v>
      </c>
      <c r="N1035" s="5">
        <v>1.4324671345317112E-2</v>
      </c>
      <c r="O1035" s="3" t="s">
        <v>7</v>
      </c>
    </row>
    <row r="1036" spans="2:15" x14ac:dyDescent="0.45">
      <c r="B1036" s="6" t="s">
        <v>117</v>
      </c>
      <c r="C1036" s="6" t="s">
        <v>14</v>
      </c>
      <c r="D1036" s="7">
        <v>2.8044168428935881E-2</v>
      </c>
      <c r="E1036" s="6" t="s">
        <v>7</v>
      </c>
      <c r="G1036" s="6" t="s">
        <v>118</v>
      </c>
      <c r="H1036" s="6" t="s">
        <v>14</v>
      </c>
      <c r="I1036" s="8">
        <v>1.3920317925024208E-2</v>
      </c>
      <c r="J1036" s="6" t="s">
        <v>7</v>
      </c>
      <c r="L1036" s="6" t="s">
        <v>119</v>
      </c>
      <c r="M1036" s="6" t="s">
        <v>14</v>
      </c>
      <c r="N1036" s="8">
        <v>1.3981765754880519E-2</v>
      </c>
      <c r="O1036" s="6" t="s">
        <v>7</v>
      </c>
    </row>
    <row r="1037" spans="2:15" x14ac:dyDescent="0.45">
      <c r="B1037" s="3" t="s">
        <v>117</v>
      </c>
      <c r="C1037" s="3" t="s">
        <v>15</v>
      </c>
      <c r="D1037" s="4">
        <v>1.5179944877298381E-2</v>
      </c>
      <c r="E1037" s="3" t="s">
        <v>7</v>
      </c>
      <c r="G1037" s="3" t="s">
        <v>118</v>
      </c>
      <c r="H1037" s="3" t="s">
        <v>15</v>
      </c>
      <c r="I1037" s="5">
        <v>1.4203674791022046E-2</v>
      </c>
      <c r="J1037" s="3" t="s">
        <v>7</v>
      </c>
      <c r="L1037" s="3" t="s">
        <v>119</v>
      </c>
      <c r="M1037" s="3" t="s">
        <v>15</v>
      </c>
      <c r="N1037" s="5">
        <v>1.3904056242614864E-2</v>
      </c>
      <c r="O1037" s="3" t="s">
        <v>7</v>
      </c>
    </row>
    <row r="1038" spans="2:15" x14ac:dyDescent="0.45">
      <c r="B1038" s="6" t="s">
        <v>117</v>
      </c>
      <c r="C1038" s="6" t="s">
        <v>16</v>
      </c>
      <c r="D1038" s="7">
        <v>1.4892753844909755E-3</v>
      </c>
      <c r="E1038" s="6" t="s">
        <v>7</v>
      </c>
      <c r="G1038" s="6" t="s">
        <v>118</v>
      </c>
      <c r="H1038" s="6" t="s">
        <v>16</v>
      </c>
      <c r="I1038" s="8">
        <v>1.471400050207871E-2</v>
      </c>
      <c r="J1038" s="6" t="s">
        <v>7</v>
      </c>
      <c r="L1038" s="6" t="s">
        <v>119</v>
      </c>
      <c r="M1038" s="6" t="s">
        <v>16</v>
      </c>
      <c r="N1038" s="8">
        <v>1.4111266235258766E-2</v>
      </c>
      <c r="O1038" s="6" t="s">
        <v>7</v>
      </c>
    </row>
    <row r="1039" spans="2:15" x14ac:dyDescent="0.45">
      <c r="B1039" s="3" t="s">
        <v>117</v>
      </c>
      <c r="C1039" s="3" t="s">
        <v>17</v>
      </c>
      <c r="D1039" s="4">
        <v>0</v>
      </c>
      <c r="E1039" s="3" t="s">
        <v>7</v>
      </c>
      <c r="G1039" s="3" t="s">
        <v>118</v>
      </c>
      <c r="H1039" s="3" t="s">
        <v>17</v>
      </c>
      <c r="I1039" s="5">
        <v>1.5257488875598607E-2</v>
      </c>
      <c r="J1039" s="3" t="s">
        <v>7</v>
      </c>
      <c r="L1039" s="3" t="s">
        <v>119</v>
      </c>
      <c r="M1039" s="3" t="s">
        <v>17</v>
      </c>
      <c r="N1039" s="5">
        <v>1.4658326015495471E-2</v>
      </c>
      <c r="O1039" s="3" t="s">
        <v>7</v>
      </c>
    </row>
    <row r="1040" spans="2:15" x14ac:dyDescent="0.45">
      <c r="B1040" s="6" t="s">
        <v>117</v>
      </c>
      <c r="C1040" s="6" t="s">
        <v>18</v>
      </c>
      <c r="D1040" s="7">
        <v>0</v>
      </c>
      <c r="E1040" s="6" t="s">
        <v>7</v>
      </c>
      <c r="G1040" s="6" t="s">
        <v>118</v>
      </c>
      <c r="H1040" s="6" t="s">
        <v>18</v>
      </c>
      <c r="I1040" s="8">
        <v>2.279557794793155E-2</v>
      </c>
      <c r="J1040" s="6" t="s">
        <v>7</v>
      </c>
      <c r="L1040" s="6" t="s">
        <v>119</v>
      </c>
      <c r="M1040" s="6" t="s">
        <v>18</v>
      </c>
      <c r="N1040" s="8">
        <v>2.1793932535182404E-2</v>
      </c>
      <c r="O1040" s="6" t="s">
        <v>7</v>
      </c>
    </row>
    <row r="1041" spans="2:15" x14ac:dyDescent="0.45">
      <c r="B1041" s="3" t="s">
        <v>117</v>
      </c>
      <c r="C1041" s="3" t="s">
        <v>19</v>
      </c>
      <c r="D1041" s="4">
        <v>0</v>
      </c>
      <c r="E1041" s="3" t="s">
        <v>7</v>
      </c>
      <c r="G1041" s="3" t="s">
        <v>118</v>
      </c>
      <c r="H1041" s="3" t="s">
        <v>19</v>
      </c>
      <c r="I1041" s="5">
        <v>3.6391372704080244E-2</v>
      </c>
      <c r="J1041" s="3" t="s">
        <v>7</v>
      </c>
      <c r="L1041" s="3" t="s">
        <v>119</v>
      </c>
      <c r="M1041" s="3" t="s">
        <v>19</v>
      </c>
      <c r="N1041" s="5">
        <v>3.6996142714925573E-2</v>
      </c>
      <c r="O1041" s="3" t="s">
        <v>7</v>
      </c>
    </row>
    <row r="1042" spans="2:15" x14ac:dyDescent="0.45">
      <c r="B1042" s="6" t="s">
        <v>117</v>
      </c>
      <c r="C1042" s="6" t="s">
        <v>20</v>
      </c>
      <c r="D1042" s="7">
        <v>1.5492862375013195E-4</v>
      </c>
      <c r="E1042" s="6" t="s">
        <v>7</v>
      </c>
      <c r="G1042" s="6" t="s">
        <v>118</v>
      </c>
      <c r="H1042" s="6" t="s">
        <v>20</v>
      </c>
      <c r="I1042" s="8">
        <v>1.4827788822400208E-2</v>
      </c>
      <c r="J1042" s="6" t="s">
        <v>7</v>
      </c>
      <c r="L1042" s="6" t="s">
        <v>119</v>
      </c>
      <c r="M1042" s="6" t="s">
        <v>20</v>
      </c>
      <c r="N1042" s="8">
        <v>1.5098997628518426E-2</v>
      </c>
      <c r="O1042" s="6" t="s">
        <v>7</v>
      </c>
    </row>
    <row r="1043" spans="2:15" x14ac:dyDescent="0.45">
      <c r="B1043" s="3" t="s">
        <v>117</v>
      </c>
      <c r="C1043" s="3" t="s">
        <v>21</v>
      </c>
      <c r="D1043" s="4">
        <v>1.0287321123558945E-2</v>
      </c>
      <c r="E1043" s="3" t="s">
        <v>7</v>
      </c>
      <c r="G1043" s="3" t="s">
        <v>118</v>
      </c>
      <c r="H1043" s="3" t="s">
        <v>21</v>
      </c>
      <c r="I1043" s="5">
        <v>1.4771909879658172E-2</v>
      </c>
      <c r="J1043" s="3" t="s">
        <v>7</v>
      </c>
      <c r="L1043" s="3" t="s">
        <v>119</v>
      </c>
      <c r="M1043" s="3" t="s">
        <v>21</v>
      </c>
      <c r="N1043" s="5">
        <v>1.5652918789167955E-2</v>
      </c>
      <c r="O1043" s="3" t="s">
        <v>7</v>
      </c>
    </row>
    <row r="1044" spans="2:15" x14ac:dyDescent="0.45">
      <c r="B1044" s="6" t="s">
        <v>117</v>
      </c>
      <c r="C1044" s="6" t="s">
        <v>22</v>
      </c>
      <c r="D1044" s="7">
        <v>3.4485907052499161E-2</v>
      </c>
      <c r="E1044" s="6" t="s">
        <v>7</v>
      </c>
      <c r="G1044" s="6" t="s">
        <v>118</v>
      </c>
      <c r="H1044" s="6" t="s">
        <v>22</v>
      </c>
      <c r="I1044" s="8">
        <v>1.3951004086156554E-2</v>
      </c>
      <c r="J1044" s="6" t="s">
        <v>7</v>
      </c>
      <c r="L1044" s="6" t="s">
        <v>119</v>
      </c>
      <c r="M1044" s="6" t="s">
        <v>22</v>
      </c>
      <c r="N1044" s="8">
        <v>1.5508357052570466E-2</v>
      </c>
      <c r="O1044" s="6" t="s">
        <v>7</v>
      </c>
    </row>
    <row r="1045" spans="2:15" x14ac:dyDescent="0.45">
      <c r="B1045" s="3" t="s">
        <v>117</v>
      </c>
      <c r="C1045" s="3" t="s">
        <v>23</v>
      </c>
      <c r="D1045" s="4">
        <v>5.1228821944117008E-2</v>
      </c>
      <c r="E1045" s="3" t="s">
        <v>7</v>
      </c>
      <c r="G1045" s="3" t="s">
        <v>118</v>
      </c>
      <c r="H1045" s="3" t="s">
        <v>23</v>
      </c>
      <c r="I1045" s="5">
        <v>1.3467889593411457E-2</v>
      </c>
      <c r="J1045" s="3" t="s">
        <v>7</v>
      </c>
      <c r="L1045" s="3" t="s">
        <v>119</v>
      </c>
      <c r="M1045" s="3" t="s">
        <v>23</v>
      </c>
      <c r="N1045" s="5">
        <v>1.5105555609091582E-2</v>
      </c>
      <c r="O1045" s="3" t="s">
        <v>7</v>
      </c>
    </row>
    <row r="1046" spans="2:15" x14ac:dyDescent="0.45">
      <c r="B1046" s="6" t="s">
        <v>117</v>
      </c>
      <c r="C1046" s="6" t="s">
        <v>24</v>
      </c>
      <c r="D1046" s="7">
        <v>5.0805167989014084E-2</v>
      </c>
      <c r="E1046" s="6" t="s">
        <v>7</v>
      </c>
      <c r="G1046" s="6" t="s">
        <v>118</v>
      </c>
      <c r="H1046" s="6" t="s">
        <v>24</v>
      </c>
      <c r="I1046" s="8">
        <v>1.3933524735998935E-2</v>
      </c>
      <c r="J1046" s="6" t="s">
        <v>7</v>
      </c>
      <c r="L1046" s="6" t="s">
        <v>119</v>
      </c>
      <c r="M1046" s="6" t="s">
        <v>24</v>
      </c>
      <c r="N1046" s="8">
        <v>1.4754785444017484E-2</v>
      </c>
      <c r="O1046" s="6" t="s">
        <v>7</v>
      </c>
    </row>
    <row r="1047" spans="2:15" x14ac:dyDescent="0.45">
      <c r="B1047" s="3" t="s">
        <v>117</v>
      </c>
      <c r="C1047" s="3" t="s">
        <v>25</v>
      </c>
      <c r="D1047" s="4">
        <v>3.5412241904095441E-2</v>
      </c>
      <c r="E1047" s="3" t="s">
        <v>7</v>
      </c>
      <c r="G1047" s="3" t="s">
        <v>118</v>
      </c>
      <c r="H1047" s="3" t="s">
        <v>25</v>
      </c>
      <c r="I1047" s="5">
        <v>1.4614398783912894E-2</v>
      </c>
      <c r="J1047" s="3" t="s">
        <v>7</v>
      </c>
      <c r="L1047" s="3" t="s">
        <v>119</v>
      </c>
      <c r="M1047" s="3" t="s">
        <v>25</v>
      </c>
      <c r="N1047" s="5">
        <v>1.4508209554524157E-2</v>
      </c>
      <c r="O1047" s="3" t="s">
        <v>7</v>
      </c>
    </row>
    <row r="1048" spans="2:15" x14ac:dyDescent="0.45">
      <c r="B1048" s="6" t="s">
        <v>117</v>
      </c>
      <c r="C1048" s="6" t="s">
        <v>26</v>
      </c>
      <c r="D1048" s="7">
        <v>1.1339887887635862E-2</v>
      </c>
      <c r="E1048" s="6" t="s">
        <v>7</v>
      </c>
      <c r="G1048" s="6" t="s">
        <v>118</v>
      </c>
      <c r="H1048" s="6" t="s">
        <v>26</v>
      </c>
      <c r="I1048" s="8">
        <v>1.4938280009552649E-2</v>
      </c>
      <c r="J1048" s="6" t="s">
        <v>7</v>
      </c>
      <c r="L1048" s="6" t="s">
        <v>119</v>
      </c>
      <c r="M1048" s="6" t="s">
        <v>26</v>
      </c>
      <c r="N1048" s="8">
        <v>1.4078575279534235E-2</v>
      </c>
      <c r="O1048" s="6" t="s">
        <v>7</v>
      </c>
    </row>
    <row r="1049" spans="2:15" x14ac:dyDescent="0.45">
      <c r="B1049" s="3" t="s">
        <v>117</v>
      </c>
      <c r="C1049" s="3" t="s">
        <v>27</v>
      </c>
      <c r="D1049" s="4">
        <v>1.2794202399617118E-4</v>
      </c>
      <c r="E1049" s="3" t="s">
        <v>7</v>
      </c>
      <c r="G1049" s="3" t="s">
        <v>118</v>
      </c>
      <c r="H1049" s="3" t="s">
        <v>27</v>
      </c>
      <c r="I1049" s="5">
        <v>1.5495572620600636E-2</v>
      </c>
      <c r="J1049" s="3" t="s">
        <v>7</v>
      </c>
      <c r="L1049" s="3" t="s">
        <v>119</v>
      </c>
      <c r="M1049" s="3" t="s">
        <v>27</v>
      </c>
      <c r="N1049" s="5">
        <v>1.4484131683826946E-2</v>
      </c>
      <c r="O1049" s="3" t="s">
        <v>7</v>
      </c>
    </row>
    <row r="1050" spans="2:15" x14ac:dyDescent="0.45">
      <c r="B1050" s="6" t="s">
        <v>117</v>
      </c>
      <c r="C1050" s="6" t="s">
        <v>28</v>
      </c>
      <c r="D1050" s="7">
        <v>0</v>
      </c>
      <c r="E1050" s="6" t="s">
        <v>7</v>
      </c>
      <c r="G1050" s="6" t="s">
        <v>118</v>
      </c>
      <c r="H1050" s="6" t="s">
        <v>28</v>
      </c>
      <c r="I1050" s="8">
        <v>2.2957000482870457E-2</v>
      </c>
      <c r="J1050" s="6" t="s">
        <v>7</v>
      </c>
      <c r="L1050" s="6" t="s">
        <v>119</v>
      </c>
      <c r="M1050" s="6" t="s">
        <v>28</v>
      </c>
      <c r="N1050" s="8">
        <v>2.2481425314000089E-2</v>
      </c>
      <c r="O1050" s="6" t="s">
        <v>7</v>
      </c>
    </row>
    <row r="1051" spans="2:15" x14ac:dyDescent="0.45">
      <c r="B1051" s="3" t="s">
        <v>117</v>
      </c>
      <c r="C1051" s="3" t="s">
        <v>29</v>
      </c>
      <c r="D1051" s="4">
        <v>0</v>
      </c>
      <c r="E1051" s="3" t="s">
        <v>7</v>
      </c>
      <c r="G1051" s="3" t="s">
        <v>118</v>
      </c>
      <c r="H1051" s="3" t="s">
        <v>29</v>
      </c>
      <c r="I1051" s="5">
        <v>3.5858680741480693E-2</v>
      </c>
      <c r="J1051" s="3" t="s">
        <v>7</v>
      </c>
      <c r="L1051" s="3" t="s">
        <v>119</v>
      </c>
      <c r="M1051" s="3" t="s">
        <v>29</v>
      </c>
      <c r="N1051" s="5">
        <v>3.0650154304459422E-2</v>
      </c>
      <c r="O1051" s="3" t="s">
        <v>7</v>
      </c>
    </row>
    <row r="1052" spans="2:15" x14ac:dyDescent="0.45">
      <c r="B1052" s="6" t="s">
        <v>117</v>
      </c>
      <c r="C1052" s="6" t="s">
        <v>30</v>
      </c>
      <c r="D1052" s="7">
        <v>2.0664302879789347E-3</v>
      </c>
      <c r="E1052" s="6" t="s">
        <v>7</v>
      </c>
      <c r="G1052" s="6" t="s">
        <v>118</v>
      </c>
      <c r="H1052" s="6" t="s">
        <v>30</v>
      </c>
      <c r="I1052" s="8">
        <v>1.3460790820615635E-2</v>
      </c>
      <c r="J1052" s="6" t="s">
        <v>7</v>
      </c>
      <c r="L1052" s="6" t="s">
        <v>119</v>
      </c>
      <c r="M1052" s="6" t="s">
        <v>30</v>
      </c>
      <c r="N1052" s="8">
        <v>1.1622940718521992E-2</v>
      </c>
      <c r="O1052" s="6" t="s">
        <v>7</v>
      </c>
    </row>
    <row r="1053" spans="2:15" x14ac:dyDescent="0.45">
      <c r="B1053" s="3" t="s">
        <v>117</v>
      </c>
      <c r="C1053" s="3" t="s">
        <v>31</v>
      </c>
      <c r="D1053" s="4">
        <v>1.8670074747537964E-2</v>
      </c>
      <c r="E1053" s="3" t="s">
        <v>7</v>
      </c>
      <c r="G1053" s="3" t="s">
        <v>118</v>
      </c>
      <c r="H1053" s="3" t="s">
        <v>31</v>
      </c>
      <c r="I1053" s="5">
        <v>1.3341607601799586E-2</v>
      </c>
      <c r="J1053" s="3" t="s">
        <v>7</v>
      </c>
      <c r="L1053" s="3" t="s">
        <v>119</v>
      </c>
      <c r="M1053" s="3" t="s">
        <v>31</v>
      </c>
      <c r="N1053" s="5">
        <v>1.1866496749923018E-2</v>
      </c>
      <c r="O1053" s="3" t="s">
        <v>7</v>
      </c>
    </row>
    <row r="1054" spans="2:15" x14ac:dyDescent="0.45">
      <c r="B1054" s="6" t="s">
        <v>117</v>
      </c>
      <c r="C1054" s="6" t="s">
        <v>32</v>
      </c>
      <c r="D1054" s="7">
        <v>4.1710590153898296E-2</v>
      </c>
      <c r="E1054" s="6" t="s">
        <v>7</v>
      </c>
      <c r="G1054" s="6" t="s">
        <v>118</v>
      </c>
      <c r="H1054" s="6" t="s">
        <v>32</v>
      </c>
      <c r="I1054" s="8">
        <v>1.2622599877435527E-2</v>
      </c>
      <c r="J1054" s="6" t="s">
        <v>7</v>
      </c>
      <c r="L1054" s="6" t="s">
        <v>119</v>
      </c>
      <c r="M1054" s="6" t="s">
        <v>32</v>
      </c>
      <c r="N1054" s="8">
        <v>1.1565343580946401E-2</v>
      </c>
      <c r="O1054" s="6" t="s">
        <v>7</v>
      </c>
    </row>
    <row r="1055" spans="2:15" x14ac:dyDescent="0.45">
      <c r="B1055" s="3" t="s">
        <v>117</v>
      </c>
      <c r="C1055" s="3" t="s">
        <v>33</v>
      </c>
      <c r="D1055" s="4">
        <v>5.4131728000116071E-2</v>
      </c>
      <c r="E1055" s="3" t="s">
        <v>7</v>
      </c>
      <c r="G1055" s="3" t="s">
        <v>118</v>
      </c>
      <c r="H1055" s="3" t="s">
        <v>33</v>
      </c>
      <c r="I1055" s="5">
        <v>1.2328719597013284E-2</v>
      </c>
      <c r="J1055" s="3" t="s">
        <v>7</v>
      </c>
      <c r="L1055" s="3" t="s">
        <v>119</v>
      </c>
      <c r="M1055" s="3" t="s">
        <v>33</v>
      </c>
      <c r="N1055" s="5">
        <v>1.1371909940703221E-2</v>
      </c>
      <c r="O1055" s="3" t="s">
        <v>7</v>
      </c>
    </row>
    <row r="1056" spans="2:15" x14ac:dyDescent="0.45">
      <c r="B1056" s="6" t="s">
        <v>117</v>
      </c>
      <c r="C1056" s="6" t="s">
        <v>34</v>
      </c>
      <c r="D1056" s="7">
        <v>5.2980357327713758E-2</v>
      </c>
      <c r="E1056" s="6" t="s">
        <v>7</v>
      </c>
      <c r="G1056" s="6" t="s">
        <v>118</v>
      </c>
      <c r="H1056" s="6" t="s">
        <v>34</v>
      </c>
      <c r="I1056" s="8">
        <v>1.2888300008410675E-2</v>
      </c>
      <c r="J1056" s="6" t="s">
        <v>7</v>
      </c>
      <c r="L1056" s="6" t="s">
        <v>119</v>
      </c>
      <c r="M1056" s="6" t="s">
        <v>34</v>
      </c>
      <c r="N1056" s="8">
        <v>1.2006189618878704E-2</v>
      </c>
      <c r="O1056" s="6" t="s">
        <v>7</v>
      </c>
    </row>
    <row r="1057" spans="2:15" x14ac:dyDescent="0.45">
      <c r="B1057" s="3" t="s">
        <v>117</v>
      </c>
      <c r="C1057" s="3" t="s">
        <v>35</v>
      </c>
      <c r="D1057" s="4">
        <v>4.1840339014662074E-2</v>
      </c>
      <c r="E1057" s="3" t="s">
        <v>7</v>
      </c>
      <c r="G1057" s="3" t="s">
        <v>118</v>
      </c>
      <c r="H1057" s="3" t="s">
        <v>35</v>
      </c>
      <c r="I1057" s="5">
        <v>1.3641074052734273E-2</v>
      </c>
      <c r="J1057" s="3" t="s">
        <v>7</v>
      </c>
      <c r="L1057" s="3" t="s">
        <v>119</v>
      </c>
      <c r="M1057" s="3" t="s">
        <v>35</v>
      </c>
      <c r="N1057" s="5">
        <v>1.2224421200107312E-2</v>
      </c>
      <c r="O1057" s="3" t="s">
        <v>7</v>
      </c>
    </row>
    <row r="1058" spans="2:15" x14ac:dyDescent="0.45">
      <c r="B1058" s="6" t="s">
        <v>117</v>
      </c>
      <c r="C1058" s="6" t="s">
        <v>36</v>
      </c>
      <c r="D1058" s="7">
        <v>1.8394011687694056E-2</v>
      </c>
      <c r="E1058" s="6" t="s">
        <v>7</v>
      </c>
      <c r="G1058" s="6" t="s">
        <v>118</v>
      </c>
      <c r="H1058" s="6" t="s">
        <v>36</v>
      </c>
      <c r="I1058" s="8">
        <v>1.3794430712148918E-2</v>
      </c>
      <c r="J1058" s="6" t="s">
        <v>7</v>
      </c>
      <c r="L1058" s="6" t="s">
        <v>119</v>
      </c>
      <c r="M1058" s="6" t="s">
        <v>36</v>
      </c>
      <c r="N1058" s="8">
        <v>1.240769983384179E-2</v>
      </c>
      <c r="O1058" s="6" t="s">
        <v>7</v>
      </c>
    </row>
    <row r="1059" spans="2:15" x14ac:dyDescent="0.45">
      <c r="B1059" s="3" t="s">
        <v>117</v>
      </c>
      <c r="C1059" s="3" t="s">
        <v>37</v>
      </c>
      <c r="D1059" s="4">
        <v>1.7648363171380548E-3</v>
      </c>
      <c r="E1059" s="3" t="s">
        <v>7</v>
      </c>
      <c r="G1059" s="3" t="s">
        <v>118</v>
      </c>
      <c r="H1059" s="3" t="s">
        <v>37</v>
      </c>
      <c r="I1059" s="5">
        <v>1.4298818094973118E-2</v>
      </c>
      <c r="J1059" s="3" t="s">
        <v>7</v>
      </c>
      <c r="L1059" s="3" t="s">
        <v>119</v>
      </c>
      <c r="M1059" s="3" t="s">
        <v>37</v>
      </c>
      <c r="N1059" s="5">
        <v>1.3002256787280305E-2</v>
      </c>
      <c r="O1059" s="3" t="s">
        <v>7</v>
      </c>
    </row>
    <row r="1060" spans="2:15" x14ac:dyDescent="0.45">
      <c r="B1060" s="6" t="s">
        <v>117</v>
      </c>
      <c r="C1060" s="6" t="s">
        <v>38</v>
      </c>
      <c r="D1060" s="7">
        <v>0</v>
      </c>
      <c r="E1060" s="6" t="s">
        <v>7</v>
      </c>
      <c r="G1060" s="6" t="s">
        <v>118</v>
      </c>
      <c r="H1060" s="6" t="s">
        <v>38</v>
      </c>
      <c r="I1060" s="8">
        <v>2.2158419722175578E-2</v>
      </c>
      <c r="J1060" s="6" t="s">
        <v>7</v>
      </c>
      <c r="L1060" s="6" t="s">
        <v>119</v>
      </c>
      <c r="M1060" s="6" t="s">
        <v>38</v>
      </c>
      <c r="N1060" s="8">
        <v>1.9519947383779955E-2</v>
      </c>
      <c r="O1060" s="6" t="s">
        <v>7</v>
      </c>
    </row>
    <row r="1061" spans="2:15" x14ac:dyDescent="0.45">
      <c r="B1061" s="3" t="s">
        <v>117</v>
      </c>
      <c r="C1061" s="3" t="s">
        <v>39</v>
      </c>
      <c r="D1061" s="4">
        <v>0</v>
      </c>
      <c r="E1061" s="3" t="s">
        <v>7</v>
      </c>
      <c r="G1061" s="3" t="s">
        <v>118</v>
      </c>
      <c r="H1061" s="3" t="s">
        <v>39</v>
      </c>
      <c r="I1061" s="5">
        <v>2.5978454998332286E-2</v>
      </c>
      <c r="J1061" s="3" t="s">
        <v>7</v>
      </c>
      <c r="L1061" s="3" t="s">
        <v>119</v>
      </c>
      <c r="M1061" s="3" t="s">
        <v>39</v>
      </c>
      <c r="N1061" s="5">
        <v>2.3134512743724023E-2</v>
      </c>
      <c r="O1061" s="3" t="s">
        <v>7</v>
      </c>
    </row>
    <row r="1062" spans="2:15" x14ac:dyDescent="0.45">
      <c r="B1062" s="6" t="s">
        <v>117</v>
      </c>
      <c r="C1062" s="6" t="s">
        <v>40</v>
      </c>
      <c r="D1062" s="7">
        <v>1.2781681379407737E-3</v>
      </c>
      <c r="E1062" s="6" t="s">
        <v>7</v>
      </c>
      <c r="G1062" s="6" t="s">
        <v>118</v>
      </c>
      <c r="H1062" s="6" t="s">
        <v>40</v>
      </c>
      <c r="I1062" s="8">
        <v>9.531118359377911E-3</v>
      </c>
      <c r="J1062" s="6" t="s">
        <v>7</v>
      </c>
      <c r="L1062" s="6" t="s">
        <v>119</v>
      </c>
      <c r="M1062" s="6" t="s">
        <v>40</v>
      </c>
      <c r="N1062" s="8">
        <v>8.5670143709709132E-3</v>
      </c>
      <c r="O1062" s="6" t="s">
        <v>7</v>
      </c>
    </row>
    <row r="1063" spans="2:15" x14ac:dyDescent="0.45">
      <c r="B1063" s="3" t="s">
        <v>117</v>
      </c>
      <c r="C1063" s="3" t="s">
        <v>41</v>
      </c>
      <c r="D1063" s="4">
        <v>1.7797268505546093E-2</v>
      </c>
      <c r="E1063" s="3" t="s">
        <v>7</v>
      </c>
      <c r="G1063" s="3" t="s">
        <v>118</v>
      </c>
      <c r="H1063" s="3" t="s">
        <v>41</v>
      </c>
      <c r="I1063" s="5">
        <v>9.1843990256580063E-3</v>
      </c>
      <c r="J1063" s="3" t="s">
        <v>7</v>
      </c>
      <c r="L1063" s="3" t="s">
        <v>119</v>
      </c>
      <c r="M1063" s="3" t="s">
        <v>41</v>
      </c>
      <c r="N1063" s="5">
        <v>8.5235319063690675E-3</v>
      </c>
      <c r="O1063" s="3" t="s">
        <v>7</v>
      </c>
    </row>
    <row r="1064" spans="2:15" x14ac:dyDescent="0.45">
      <c r="B1064" s="6" t="s">
        <v>117</v>
      </c>
      <c r="C1064" s="6" t="s">
        <v>42</v>
      </c>
      <c r="D1064" s="7">
        <v>4.5186082102773341E-2</v>
      </c>
      <c r="E1064" s="6" t="s">
        <v>7</v>
      </c>
      <c r="G1064" s="6" t="s">
        <v>118</v>
      </c>
      <c r="H1064" s="6" t="s">
        <v>42</v>
      </c>
      <c r="I1064" s="8">
        <v>9.1014690510217364E-3</v>
      </c>
      <c r="J1064" s="6" t="s">
        <v>7</v>
      </c>
      <c r="L1064" s="6" t="s">
        <v>119</v>
      </c>
      <c r="M1064" s="6" t="s">
        <v>42</v>
      </c>
      <c r="N1064" s="8">
        <v>8.3343046849212055E-3</v>
      </c>
      <c r="O1064" s="6" t="s">
        <v>7</v>
      </c>
    </row>
    <row r="1065" spans="2:15" x14ac:dyDescent="0.45">
      <c r="B1065" s="3" t="s">
        <v>117</v>
      </c>
      <c r="C1065" s="3" t="s">
        <v>43</v>
      </c>
      <c r="D1065" s="4">
        <v>6.359156893841704E-2</v>
      </c>
      <c r="E1065" s="3" t="s">
        <v>7</v>
      </c>
      <c r="G1065" s="3" t="s">
        <v>118</v>
      </c>
      <c r="H1065" s="3" t="s">
        <v>43</v>
      </c>
      <c r="I1065" s="5">
        <v>9.614101962993872E-3</v>
      </c>
      <c r="J1065" s="3" t="s">
        <v>7</v>
      </c>
      <c r="L1065" s="3" t="s">
        <v>119</v>
      </c>
      <c r="M1065" s="3" t="s">
        <v>43</v>
      </c>
      <c r="N1065" s="5">
        <v>8.4237417120608168E-3</v>
      </c>
      <c r="O1065" s="3" t="s">
        <v>7</v>
      </c>
    </row>
    <row r="1066" spans="2:15" x14ac:dyDescent="0.45">
      <c r="B1066" s="6" t="s">
        <v>117</v>
      </c>
      <c r="C1066" s="6" t="s">
        <v>44</v>
      </c>
      <c r="D1066" s="7">
        <v>6.4081117472020832E-2</v>
      </c>
      <c r="E1066" s="6" t="s">
        <v>7</v>
      </c>
      <c r="G1066" s="6" t="s">
        <v>118</v>
      </c>
      <c r="H1066" s="6" t="s">
        <v>44</v>
      </c>
      <c r="I1066" s="8">
        <v>1.0643965925655991E-2</v>
      </c>
      <c r="J1066" s="6" t="s">
        <v>7</v>
      </c>
      <c r="L1066" s="6" t="s">
        <v>119</v>
      </c>
      <c r="M1066" s="6" t="s">
        <v>44</v>
      </c>
      <c r="N1066" s="8">
        <v>8.7837859677529304E-3</v>
      </c>
      <c r="O1066" s="6" t="s">
        <v>7</v>
      </c>
    </row>
    <row r="1067" spans="2:15" x14ac:dyDescent="0.45">
      <c r="B1067" s="3" t="s">
        <v>117</v>
      </c>
      <c r="C1067" s="3" t="s">
        <v>45</v>
      </c>
      <c r="D1067" s="4">
        <v>4.7885305093986467E-2</v>
      </c>
      <c r="E1067" s="3" t="s">
        <v>7</v>
      </c>
      <c r="G1067" s="3" t="s">
        <v>118</v>
      </c>
      <c r="H1067" s="3" t="s">
        <v>45</v>
      </c>
      <c r="I1067" s="5">
        <v>1.160426939877131E-2</v>
      </c>
      <c r="J1067" s="3" t="s">
        <v>7</v>
      </c>
      <c r="L1067" s="3" t="s">
        <v>119</v>
      </c>
      <c r="M1067" s="3" t="s">
        <v>45</v>
      </c>
      <c r="N1067" s="5">
        <v>8.9873717796519533E-3</v>
      </c>
      <c r="O1067" s="3" t="s">
        <v>7</v>
      </c>
    </row>
    <row r="1068" spans="2:15" x14ac:dyDescent="0.45">
      <c r="B1068" s="6" t="s">
        <v>117</v>
      </c>
      <c r="C1068" s="6" t="s">
        <v>46</v>
      </c>
      <c r="D1068" s="7">
        <v>2.0180430432903431E-2</v>
      </c>
      <c r="E1068" s="6" t="s">
        <v>7</v>
      </c>
      <c r="G1068" s="6" t="s">
        <v>118</v>
      </c>
      <c r="H1068" s="6" t="s">
        <v>46</v>
      </c>
      <c r="I1068" s="8">
        <v>1.1485284429874718E-2</v>
      </c>
      <c r="J1068" s="6" t="s">
        <v>7</v>
      </c>
      <c r="L1068" s="6" t="s">
        <v>119</v>
      </c>
      <c r="M1068" s="6" t="s">
        <v>46</v>
      </c>
      <c r="N1068" s="8">
        <v>9.320176040156572E-3</v>
      </c>
      <c r="O1068" s="6" t="s">
        <v>7</v>
      </c>
    </row>
    <row r="1069" spans="2:15" x14ac:dyDescent="0.45">
      <c r="B1069" s="3" t="s">
        <v>117</v>
      </c>
      <c r="C1069" s="3" t="s">
        <v>47</v>
      </c>
      <c r="D1069" s="4">
        <v>1.3249471540159403E-3</v>
      </c>
      <c r="E1069" s="3" t="s">
        <v>7</v>
      </c>
      <c r="G1069" s="3" t="s">
        <v>118</v>
      </c>
      <c r="H1069" s="3" t="s">
        <v>47</v>
      </c>
      <c r="I1069" s="5">
        <v>1.165670211183752E-2</v>
      </c>
      <c r="J1069" s="3" t="s">
        <v>7</v>
      </c>
      <c r="L1069" s="3" t="s">
        <v>119</v>
      </c>
      <c r="M1069" s="3" t="s">
        <v>47</v>
      </c>
      <c r="N1069" s="5">
        <v>9.7861013299797781E-3</v>
      </c>
      <c r="O1069" s="3" t="s">
        <v>7</v>
      </c>
    </row>
    <row r="1070" spans="2:15" x14ac:dyDescent="0.45">
      <c r="B1070" s="6" t="s">
        <v>117</v>
      </c>
      <c r="C1070" s="6" t="s">
        <v>48</v>
      </c>
      <c r="D1070" s="7">
        <v>0</v>
      </c>
      <c r="E1070" s="6" t="s">
        <v>7</v>
      </c>
      <c r="G1070" s="6" t="s">
        <v>118</v>
      </c>
      <c r="H1070" s="6" t="s">
        <v>48</v>
      </c>
      <c r="I1070" s="8">
        <v>1.7330379565407922E-2</v>
      </c>
      <c r="J1070" s="6" t="s">
        <v>7</v>
      </c>
      <c r="L1070" s="6" t="s">
        <v>119</v>
      </c>
      <c r="M1070" s="6" t="s">
        <v>48</v>
      </c>
      <c r="N1070" s="8">
        <v>1.490011175960816E-2</v>
      </c>
      <c r="O1070" s="6" t="s">
        <v>7</v>
      </c>
    </row>
    <row r="1071" spans="2:15" x14ac:dyDescent="0.45">
      <c r="B1071" s="3" t="s">
        <v>117</v>
      </c>
      <c r="C1071" s="3" t="s">
        <v>49</v>
      </c>
      <c r="D1071" s="4">
        <v>0</v>
      </c>
      <c r="E1071" s="3" t="s">
        <v>7</v>
      </c>
      <c r="G1071" s="3" t="s">
        <v>118</v>
      </c>
      <c r="H1071" s="3" t="s">
        <v>49</v>
      </c>
      <c r="I1071" s="5">
        <v>3.2962431855879278E-2</v>
      </c>
      <c r="J1071" s="3" t="s">
        <v>7</v>
      </c>
      <c r="L1071" s="3" t="s">
        <v>119</v>
      </c>
      <c r="M1071" s="3" t="s">
        <v>49</v>
      </c>
      <c r="N1071" s="5">
        <v>3.815702152029566E-2</v>
      </c>
      <c r="O1071" s="3" t="s">
        <v>7</v>
      </c>
    </row>
    <row r="1072" spans="2:15" x14ac:dyDescent="0.45">
      <c r="B1072" s="6" t="s">
        <v>117</v>
      </c>
      <c r="C1072" s="6" t="s">
        <v>50</v>
      </c>
      <c r="D1072" s="7">
        <v>1.0746204384620136E-5</v>
      </c>
      <c r="E1072" s="6" t="s">
        <v>7</v>
      </c>
      <c r="G1072" s="6" t="s">
        <v>118</v>
      </c>
      <c r="H1072" s="6" t="s">
        <v>50</v>
      </c>
      <c r="I1072" s="8">
        <v>1.2362365499595098E-2</v>
      </c>
      <c r="J1072" s="6" t="s">
        <v>7</v>
      </c>
      <c r="L1072" s="6" t="s">
        <v>119</v>
      </c>
      <c r="M1072" s="6" t="s">
        <v>50</v>
      </c>
      <c r="N1072" s="8">
        <v>1.4671913738858431E-2</v>
      </c>
      <c r="O1072" s="6" t="s">
        <v>7</v>
      </c>
    </row>
    <row r="1073" spans="2:15" x14ac:dyDescent="0.45">
      <c r="B1073" s="3" t="s">
        <v>117</v>
      </c>
      <c r="C1073" s="3" t="s">
        <v>51</v>
      </c>
      <c r="D1073" s="4">
        <v>8.0079593937458782E-3</v>
      </c>
      <c r="E1073" s="3" t="s">
        <v>7</v>
      </c>
      <c r="G1073" s="3" t="s">
        <v>118</v>
      </c>
      <c r="H1073" s="3" t="s">
        <v>51</v>
      </c>
      <c r="I1073" s="5">
        <v>1.218976452612352E-2</v>
      </c>
      <c r="J1073" s="3" t="s">
        <v>7</v>
      </c>
      <c r="L1073" s="3" t="s">
        <v>119</v>
      </c>
      <c r="M1073" s="3" t="s">
        <v>51</v>
      </c>
      <c r="N1073" s="5">
        <v>1.4699571403292975E-2</v>
      </c>
      <c r="O1073" s="3" t="s">
        <v>7</v>
      </c>
    </row>
    <row r="1074" spans="2:15" x14ac:dyDescent="0.45">
      <c r="B1074" s="6" t="s">
        <v>117</v>
      </c>
      <c r="C1074" s="6" t="s">
        <v>52</v>
      </c>
      <c r="D1074" s="7">
        <v>3.0978074363782446E-2</v>
      </c>
      <c r="E1074" s="6" t="s">
        <v>7</v>
      </c>
      <c r="G1074" s="6" t="s">
        <v>118</v>
      </c>
      <c r="H1074" s="6" t="s">
        <v>52</v>
      </c>
      <c r="I1074" s="8">
        <v>1.2615836752064293E-2</v>
      </c>
      <c r="J1074" s="6" t="s">
        <v>7</v>
      </c>
      <c r="L1074" s="6" t="s">
        <v>119</v>
      </c>
      <c r="M1074" s="6" t="s">
        <v>52</v>
      </c>
      <c r="N1074" s="8">
        <v>1.4929561982929525E-2</v>
      </c>
      <c r="O1074" s="6" t="s">
        <v>7</v>
      </c>
    </row>
    <row r="1075" spans="2:15" x14ac:dyDescent="0.45">
      <c r="B1075" s="3" t="s">
        <v>117</v>
      </c>
      <c r="C1075" s="3" t="s">
        <v>53</v>
      </c>
      <c r="D1075" s="4">
        <v>4.2928046188708976E-2</v>
      </c>
      <c r="E1075" s="3" t="s">
        <v>7</v>
      </c>
      <c r="G1075" s="3" t="s">
        <v>118</v>
      </c>
      <c r="H1075" s="3" t="s">
        <v>53</v>
      </c>
      <c r="I1075" s="5">
        <v>1.2778070761344143E-2</v>
      </c>
      <c r="J1075" s="3" t="s">
        <v>7</v>
      </c>
      <c r="L1075" s="3" t="s">
        <v>119</v>
      </c>
      <c r="M1075" s="3" t="s">
        <v>53</v>
      </c>
      <c r="N1075" s="5">
        <v>1.5512851219067595E-2</v>
      </c>
      <c r="O1075" s="3" t="s">
        <v>7</v>
      </c>
    </row>
    <row r="1076" spans="2:15" x14ac:dyDescent="0.45">
      <c r="B1076" s="6" t="s">
        <v>117</v>
      </c>
      <c r="C1076" s="6" t="s">
        <v>54</v>
      </c>
      <c r="D1076" s="7">
        <v>3.9151895418064249E-2</v>
      </c>
      <c r="E1076" s="6" t="s">
        <v>7</v>
      </c>
      <c r="G1076" s="6" t="s">
        <v>118</v>
      </c>
      <c r="H1076" s="6" t="s">
        <v>54</v>
      </c>
      <c r="I1076" s="8">
        <v>1.3050845013934524E-2</v>
      </c>
      <c r="J1076" s="6" t="s">
        <v>7</v>
      </c>
      <c r="L1076" s="6" t="s">
        <v>119</v>
      </c>
      <c r="M1076" s="6" t="s">
        <v>54</v>
      </c>
      <c r="N1076" s="8">
        <v>1.5483885734930081E-2</v>
      </c>
      <c r="O1076" s="6" t="s">
        <v>7</v>
      </c>
    </row>
    <row r="1077" spans="2:15" x14ac:dyDescent="0.45">
      <c r="B1077" s="3" t="s">
        <v>117</v>
      </c>
      <c r="C1077" s="3" t="s">
        <v>55</v>
      </c>
      <c r="D1077" s="4">
        <v>2.3973456855369172E-2</v>
      </c>
      <c r="E1077" s="3" t="s">
        <v>7</v>
      </c>
      <c r="G1077" s="3" t="s">
        <v>118</v>
      </c>
      <c r="H1077" s="3" t="s">
        <v>55</v>
      </c>
      <c r="I1077" s="5">
        <v>1.3526958030075663E-2</v>
      </c>
      <c r="J1077" s="3" t="s">
        <v>7</v>
      </c>
      <c r="L1077" s="3" t="s">
        <v>119</v>
      </c>
      <c r="M1077" s="3" t="s">
        <v>55</v>
      </c>
      <c r="N1077" s="5">
        <v>1.569550562352379E-2</v>
      </c>
      <c r="O1077" s="3" t="s">
        <v>7</v>
      </c>
    </row>
    <row r="1078" spans="2:15" x14ac:dyDescent="0.45">
      <c r="B1078" s="6" t="s">
        <v>117</v>
      </c>
      <c r="C1078" s="6" t="s">
        <v>56</v>
      </c>
      <c r="D1078" s="7">
        <v>4.8351995999965387E-3</v>
      </c>
      <c r="E1078" s="6" t="s">
        <v>7</v>
      </c>
      <c r="G1078" s="6" t="s">
        <v>118</v>
      </c>
      <c r="H1078" s="6" t="s">
        <v>56</v>
      </c>
      <c r="I1078" s="8">
        <v>1.4354428767576286E-2</v>
      </c>
      <c r="J1078" s="6" t="s">
        <v>7</v>
      </c>
      <c r="L1078" s="6" t="s">
        <v>119</v>
      </c>
      <c r="M1078" s="6" t="s">
        <v>56</v>
      </c>
      <c r="N1078" s="8">
        <v>1.6159263857901916E-2</v>
      </c>
      <c r="O1078" s="6" t="s">
        <v>7</v>
      </c>
    </row>
    <row r="1079" spans="2:15" x14ac:dyDescent="0.45">
      <c r="B1079" s="3" t="s">
        <v>117</v>
      </c>
      <c r="C1079" s="3" t="s">
        <v>57</v>
      </c>
      <c r="D1079" s="4">
        <v>0</v>
      </c>
      <c r="E1079" s="3" t="s">
        <v>7</v>
      </c>
      <c r="G1079" s="3" t="s">
        <v>118</v>
      </c>
      <c r="H1079" s="3" t="s">
        <v>57</v>
      </c>
      <c r="I1079" s="5">
        <v>1.4866398181662865E-2</v>
      </c>
      <c r="J1079" s="3" t="s">
        <v>7</v>
      </c>
      <c r="L1079" s="3" t="s">
        <v>119</v>
      </c>
      <c r="M1079" s="3" t="s">
        <v>57</v>
      </c>
      <c r="N1079" s="5">
        <v>1.6705142723414761E-2</v>
      </c>
      <c r="O1079" s="3" t="s">
        <v>7</v>
      </c>
    </row>
    <row r="1080" spans="2:15" x14ac:dyDescent="0.45">
      <c r="B1080" s="6" t="s">
        <v>117</v>
      </c>
      <c r="C1080" s="6" t="s">
        <v>58</v>
      </c>
      <c r="D1080" s="7">
        <v>0</v>
      </c>
      <c r="E1080" s="6" t="s">
        <v>7</v>
      </c>
      <c r="G1080" s="6" t="s">
        <v>118</v>
      </c>
      <c r="H1080" s="6" t="s">
        <v>58</v>
      </c>
      <c r="I1080" s="8">
        <v>2.1857839960987838E-2</v>
      </c>
      <c r="J1080" s="6" t="s">
        <v>7</v>
      </c>
      <c r="L1080" s="6" t="s">
        <v>119</v>
      </c>
      <c r="M1080" s="6" t="s">
        <v>58</v>
      </c>
      <c r="N1080" s="8">
        <v>2.510098111944754E-2</v>
      </c>
      <c r="O1080" s="6" t="s">
        <v>7</v>
      </c>
    </row>
    <row r="1081" spans="2:15" x14ac:dyDescent="0.45">
      <c r="B1081" s="3" t="s">
        <v>117</v>
      </c>
      <c r="C1081" s="3" t="s">
        <v>59</v>
      </c>
      <c r="D1081" s="4">
        <v>0</v>
      </c>
      <c r="E1081" s="3" t="s">
        <v>7</v>
      </c>
      <c r="G1081" s="3" t="s">
        <v>118</v>
      </c>
      <c r="H1081" s="3" t="s">
        <v>59</v>
      </c>
      <c r="I1081" s="5">
        <v>4.0479904799217807E-2</v>
      </c>
      <c r="J1081" s="3" t="s">
        <v>7</v>
      </c>
      <c r="L1081" s="3" t="s">
        <v>119</v>
      </c>
      <c r="M1081" s="3" t="s">
        <v>59</v>
      </c>
      <c r="N1081" s="5">
        <v>4.4918541313606709E-2</v>
      </c>
      <c r="O1081" s="3" t="s">
        <v>7</v>
      </c>
    </row>
    <row r="1082" spans="2:15" x14ac:dyDescent="0.45">
      <c r="B1082" s="6" t="s">
        <v>117</v>
      </c>
      <c r="C1082" s="6" t="s">
        <v>60</v>
      </c>
      <c r="D1082" s="7">
        <v>0</v>
      </c>
      <c r="E1082" s="6" t="s">
        <v>7</v>
      </c>
      <c r="G1082" s="6" t="s">
        <v>118</v>
      </c>
      <c r="H1082" s="6" t="s">
        <v>60</v>
      </c>
      <c r="I1082" s="8">
        <v>1.6470706629502407E-2</v>
      </c>
      <c r="J1082" s="6" t="s">
        <v>7</v>
      </c>
      <c r="L1082" s="6" t="s">
        <v>119</v>
      </c>
      <c r="M1082" s="6" t="s">
        <v>60</v>
      </c>
      <c r="N1082" s="8">
        <v>1.7557671855008068E-2</v>
      </c>
      <c r="O1082" s="6" t="s">
        <v>7</v>
      </c>
    </row>
    <row r="1083" spans="2:15" x14ac:dyDescent="0.45">
      <c r="B1083" s="3" t="s">
        <v>117</v>
      </c>
      <c r="C1083" s="3" t="s">
        <v>61</v>
      </c>
      <c r="D1083" s="4">
        <v>5.4300485445958049E-4</v>
      </c>
      <c r="E1083" s="3" t="s">
        <v>7</v>
      </c>
      <c r="G1083" s="3" t="s">
        <v>118</v>
      </c>
      <c r="H1083" s="3" t="s">
        <v>61</v>
      </c>
      <c r="I1083" s="5">
        <v>1.6506512251321288E-2</v>
      </c>
      <c r="J1083" s="3" t="s">
        <v>7</v>
      </c>
      <c r="L1083" s="3" t="s">
        <v>119</v>
      </c>
      <c r="M1083" s="3" t="s">
        <v>61</v>
      </c>
      <c r="N1083" s="5">
        <v>1.7295200476183409E-2</v>
      </c>
      <c r="O1083" s="3" t="s">
        <v>7</v>
      </c>
    </row>
    <row r="1084" spans="2:15" x14ac:dyDescent="0.45">
      <c r="B1084" s="6" t="s">
        <v>117</v>
      </c>
      <c r="C1084" s="6" t="s">
        <v>62</v>
      </c>
      <c r="D1084" s="7">
        <v>1.365367311860231E-2</v>
      </c>
      <c r="E1084" s="6" t="s">
        <v>7</v>
      </c>
      <c r="G1084" s="6" t="s">
        <v>118</v>
      </c>
      <c r="H1084" s="6" t="s">
        <v>62</v>
      </c>
      <c r="I1084" s="8">
        <v>1.6471998134920913E-2</v>
      </c>
      <c r="J1084" s="6" t="s">
        <v>7</v>
      </c>
      <c r="L1084" s="6" t="s">
        <v>119</v>
      </c>
      <c r="M1084" s="6" t="s">
        <v>62</v>
      </c>
      <c r="N1084" s="8">
        <v>1.6802518278016237E-2</v>
      </c>
      <c r="O1084" s="6" t="s">
        <v>7</v>
      </c>
    </row>
    <row r="1085" spans="2:15" x14ac:dyDescent="0.45">
      <c r="B1085" s="3" t="s">
        <v>117</v>
      </c>
      <c r="C1085" s="3" t="s">
        <v>63</v>
      </c>
      <c r="D1085" s="4">
        <v>2.6743391540089107E-2</v>
      </c>
      <c r="E1085" s="3" t="s">
        <v>7</v>
      </c>
      <c r="G1085" s="3" t="s">
        <v>118</v>
      </c>
      <c r="H1085" s="3" t="s">
        <v>63</v>
      </c>
      <c r="I1085" s="5">
        <v>1.6532755968918181E-2</v>
      </c>
      <c r="J1085" s="3" t="s">
        <v>7</v>
      </c>
      <c r="L1085" s="3" t="s">
        <v>119</v>
      </c>
      <c r="M1085" s="3" t="s">
        <v>63</v>
      </c>
      <c r="N1085" s="5">
        <v>1.6121922594036418E-2</v>
      </c>
      <c r="O1085" s="3" t="s">
        <v>7</v>
      </c>
    </row>
    <row r="1086" spans="2:15" x14ac:dyDescent="0.45">
      <c r="B1086" s="6" t="s">
        <v>117</v>
      </c>
      <c r="C1086" s="6" t="s">
        <v>64</v>
      </c>
      <c r="D1086" s="7">
        <v>2.5464639561789296E-2</v>
      </c>
      <c r="E1086" s="6" t="s">
        <v>7</v>
      </c>
      <c r="G1086" s="6" t="s">
        <v>118</v>
      </c>
      <c r="H1086" s="6" t="s">
        <v>64</v>
      </c>
      <c r="I1086" s="8">
        <v>1.6923036207057776E-2</v>
      </c>
      <c r="J1086" s="6" t="s">
        <v>7</v>
      </c>
      <c r="L1086" s="6" t="s">
        <v>119</v>
      </c>
      <c r="M1086" s="6" t="s">
        <v>64</v>
      </c>
      <c r="N1086" s="8">
        <v>1.6258343331286784E-2</v>
      </c>
      <c r="O1086" s="6" t="s">
        <v>7</v>
      </c>
    </row>
    <row r="1087" spans="2:15" x14ac:dyDescent="0.45">
      <c r="B1087" s="3" t="s">
        <v>117</v>
      </c>
      <c r="C1087" s="3" t="s">
        <v>65</v>
      </c>
      <c r="D1087" s="4">
        <v>1.0412364691314985E-2</v>
      </c>
      <c r="E1087" s="3" t="s">
        <v>7</v>
      </c>
      <c r="G1087" s="3" t="s">
        <v>118</v>
      </c>
      <c r="H1087" s="3" t="s">
        <v>65</v>
      </c>
      <c r="I1087" s="5">
        <v>1.682646345621186E-2</v>
      </c>
      <c r="J1087" s="3" t="s">
        <v>7</v>
      </c>
      <c r="L1087" s="3" t="s">
        <v>119</v>
      </c>
      <c r="M1087" s="3" t="s">
        <v>65</v>
      </c>
      <c r="N1087" s="5">
        <v>1.6236557803726029E-2</v>
      </c>
      <c r="O1087" s="3" t="s">
        <v>7</v>
      </c>
    </row>
    <row r="1088" spans="2:15" x14ac:dyDescent="0.45">
      <c r="B1088" s="6" t="s">
        <v>117</v>
      </c>
      <c r="C1088" s="6" t="s">
        <v>66</v>
      </c>
      <c r="D1088" s="7">
        <v>0</v>
      </c>
      <c r="E1088" s="6" t="s">
        <v>7</v>
      </c>
      <c r="G1088" s="6" t="s">
        <v>118</v>
      </c>
      <c r="H1088" s="6" t="s">
        <v>66</v>
      </c>
      <c r="I1088" s="8">
        <v>1.6754045305540054E-2</v>
      </c>
      <c r="J1088" s="6" t="s">
        <v>7</v>
      </c>
      <c r="L1088" s="6" t="s">
        <v>119</v>
      </c>
      <c r="M1088" s="6" t="s">
        <v>66</v>
      </c>
      <c r="N1088" s="8">
        <v>1.6593408959305337E-2</v>
      </c>
      <c r="O1088" s="6" t="s">
        <v>7</v>
      </c>
    </row>
    <row r="1089" spans="2:15" x14ac:dyDescent="0.45">
      <c r="B1089" s="3" t="s">
        <v>117</v>
      </c>
      <c r="C1089" s="3" t="s">
        <v>67</v>
      </c>
      <c r="D1089" s="4">
        <v>0</v>
      </c>
      <c r="E1089" s="3" t="s">
        <v>7</v>
      </c>
      <c r="G1089" s="3" t="s">
        <v>118</v>
      </c>
      <c r="H1089" s="3" t="s">
        <v>67</v>
      </c>
      <c r="I1089" s="5">
        <v>1.6933242958830613E-2</v>
      </c>
      <c r="J1089" s="3" t="s">
        <v>7</v>
      </c>
      <c r="L1089" s="3" t="s">
        <v>119</v>
      </c>
      <c r="M1089" s="3" t="s">
        <v>67</v>
      </c>
      <c r="N1089" s="5">
        <v>1.7197324345337286E-2</v>
      </c>
      <c r="O1089" s="3" t="s">
        <v>7</v>
      </c>
    </row>
    <row r="1090" spans="2:15" x14ac:dyDescent="0.45">
      <c r="B1090" s="6" t="s">
        <v>117</v>
      </c>
      <c r="C1090" s="6" t="s">
        <v>68</v>
      </c>
      <c r="D1090" s="7">
        <v>0</v>
      </c>
      <c r="E1090" s="6" t="s">
        <v>7</v>
      </c>
      <c r="G1090" s="6" t="s">
        <v>118</v>
      </c>
      <c r="H1090" s="6" t="s">
        <v>68</v>
      </c>
      <c r="I1090" s="8">
        <v>2.4963437718142512E-2</v>
      </c>
      <c r="J1090" s="6" t="s">
        <v>7</v>
      </c>
      <c r="L1090" s="6" t="s">
        <v>119</v>
      </c>
      <c r="M1090" s="6" t="s">
        <v>68</v>
      </c>
      <c r="N1090" s="8">
        <v>2.6851128305398729E-2</v>
      </c>
      <c r="O1090" s="6" t="s">
        <v>7</v>
      </c>
    </row>
    <row r="1091" spans="2:15" x14ac:dyDescent="0.45">
      <c r="B1091" s="3" t="s">
        <v>120</v>
      </c>
      <c r="C1091" s="3" t="s">
        <v>6</v>
      </c>
      <c r="D1091" s="4">
        <v>0</v>
      </c>
      <c r="E1091" s="3" t="s">
        <v>7</v>
      </c>
      <c r="G1091" s="3" t="s">
        <v>121</v>
      </c>
      <c r="H1091" s="3" t="s">
        <v>6</v>
      </c>
      <c r="I1091" s="5">
        <v>3.5001493581362557E-2</v>
      </c>
      <c r="J1091" s="3" t="s">
        <v>7</v>
      </c>
      <c r="L1091" s="3" t="s">
        <v>122</v>
      </c>
      <c r="M1091" s="3" t="s">
        <v>6</v>
      </c>
      <c r="N1091" s="5">
        <v>3.8120898904588245E-2</v>
      </c>
      <c r="O1091" s="3" t="s">
        <v>7</v>
      </c>
    </row>
    <row r="1092" spans="2:15" x14ac:dyDescent="0.45">
      <c r="B1092" s="6" t="s">
        <v>120</v>
      </c>
      <c r="C1092" s="6" t="s">
        <v>10</v>
      </c>
      <c r="D1092" s="7">
        <v>0</v>
      </c>
      <c r="E1092" s="6" t="s">
        <v>7</v>
      </c>
      <c r="G1092" s="6" t="s">
        <v>121</v>
      </c>
      <c r="H1092" s="6" t="s">
        <v>10</v>
      </c>
      <c r="I1092" s="8">
        <v>1.3374298651754471E-2</v>
      </c>
      <c r="J1092" s="6" t="s">
        <v>7</v>
      </c>
      <c r="L1092" s="6" t="s">
        <v>122</v>
      </c>
      <c r="M1092" s="6" t="s">
        <v>10</v>
      </c>
      <c r="N1092" s="8">
        <v>1.5013508352588325E-2</v>
      </c>
      <c r="O1092" s="6" t="s">
        <v>7</v>
      </c>
    </row>
    <row r="1093" spans="2:15" x14ac:dyDescent="0.45">
      <c r="B1093" s="3" t="s">
        <v>120</v>
      </c>
      <c r="C1093" s="3" t="s">
        <v>11</v>
      </c>
      <c r="D1093" s="4">
        <v>3.1222561800698441E-4</v>
      </c>
      <c r="E1093" s="3" t="s">
        <v>7</v>
      </c>
      <c r="G1093" s="3" t="s">
        <v>121</v>
      </c>
      <c r="H1093" s="3" t="s">
        <v>11</v>
      </c>
      <c r="I1093" s="5">
        <v>1.3688843546712286E-2</v>
      </c>
      <c r="J1093" s="3" t="s">
        <v>7</v>
      </c>
      <c r="L1093" s="3" t="s">
        <v>122</v>
      </c>
      <c r="M1093" s="3" t="s">
        <v>11</v>
      </c>
      <c r="N1093" s="5">
        <v>1.5303546252272161E-2</v>
      </c>
      <c r="O1093" s="3" t="s">
        <v>7</v>
      </c>
    </row>
    <row r="1094" spans="2:15" x14ac:dyDescent="0.45">
      <c r="B1094" s="6" t="s">
        <v>120</v>
      </c>
      <c r="C1094" s="6" t="s">
        <v>12</v>
      </c>
      <c r="D1094" s="7">
        <v>1.2801314277308542E-2</v>
      </c>
      <c r="E1094" s="6" t="s">
        <v>7</v>
      </c>
      <c r="G1094" s="6" t="s">
        <v>121</v>
      </c>
      <c r="H1094" s="6" t="s">
        <v>12</v>
      </c>
      <c r="I1094" s="8">
        <v>1.3212311064783032E-2</v>
      </c>
      <c r="J1094" s="6" t="s">
        <v>7</v>
      </c>
      <c r="L1094" s="6" t="s">
        <v>122</v>
      </c>
      <c r="M1094" s="6" t="s">
        <v>12</v>
      </c>
      <c r="N1094" s="8">
        <v>1.5712481343681549E-2</v>
      </c>
      <c r="O1094" s="6" t="s">
        <v>7</v>
      </c>
    </row>
    <row r="1095" spans="2:15" x14ac:dyDescent="0.45">
      <c r="B1095" s="3" t="s">
        <v>120</v>
      </c>
      <c r="C1095" s="3" t="s">
        <v>13</v>
      </c>
      <c r="D1095" s="4">
        <v>3.0885097782774162E-2</v>
      </c>
      <c r="E1095" s="3" t="s">
        <v>7</v>
      </c>
      <c r="G1095" s="3" t="s">
        <v>121</v>
      </c>
      <c r="H1095" s="3" t="s">
        <v>13</v>
      </c>
      <c r="I1095" s="5">
        <v>1.3800386951628338E-2</v>
      </c>
      <c r="J1095" s="3" t="s">
        <v>7</v>
      </c>
      <c r="L1095" s="3" t="s">
        <v>122</v>
      </c>
      <c r="M1095" s="3" t="s">
        <v>13</v>
      </c>
      <c r="N1095" s="5">
        <v>1.5875133576423957E-2</v>
      </c>
      <c r="O1095" s="3" t="s">
        <v>7</v>
      </c>
    </row>
    <row r="1096" spans="2:15" x14ac:dyDescent="0.45">
      <c r="B1096" s="6" t="s">
        <v>120</v>
      </c>
      <c r="C1096" s="6" t="s">
        <v>14</v>
      </c>
      <c r="D1096" s="7">
        <v>3.1476102335691557E-2</v>
      </c>
      <c r="E1096" s="6" t="s">
        <v>7</v>
      </c>
      <c r="G1096" s="6" t="s">
        <v>121</v>
      </c>
      <c r="H1096" s="6" t="s">
        <v>14</v>
      </c>
      <c r="I1096" s="8">
        <v>1.4202195190704646E-2</v>
      </c>
      <c r="J1096" s="6" t="s">
        <v>7</v>
      </c>
      <c r="L1096" s="6" t="s">
        <v>122</v>
      </c>
      <c r="M1096" s="6" t="s">
        <v>14</v>
      </c>
      <c r="N1096" s="8">
        <v>1.602794760348291E-2</v>
      </c>
      <c r="O1096" s="6" t="s">
        <v>7</v>
      </c>
    </row>
    <row r="1097" spans="2:15" x14ac:dyDescent="0.45">
      <c r="B1097" s="3" t="s">
        <v>120</v>
      </c>
      <c r="C1097" s="3" t="s">
        <v>15</v>
      </c>
      <c r="D1097" s="4">
        <v>1.8304485884950501E-2</v>
      </c>
      <c r="E1097" s="3" t="s">
        <v>7</v>
      </c>
      <c r="G1097" s="3" t="s">
        <v>121</v>
      </c>
      <c r="H1097" s="3" t="s">
        <v>15</v>
      </c>
      <c r="I1097" s="5">
        <v>1.4099060997938563E-2</v>
      </c>
      <c r="J1097" s="3" t="s">
        <v>7</v>
      </c>
      <c r="L1097" s="3" t="s">
        <v>122</v>
      </c>
      <c r="M1097" s="3" t="s">
        <v>15</v>
      </c>
      <c r="N1097" s="5">
        <v>1.6104740058820784E-2</v>
      </c>
      <c r="O1097" s="3" t="s">
        <v>7</v>
      </c>
    </row>
    <row r="1098" spans="2:15" x14ac:dyDescent="0.45">
      <c r="B1098" s="6" t="s">
        <v>120</v>
      </c>
      <c r="C1098" s="6" t="s">
        <v>16</v>
      </c>
      <c r="D1098" s="7">
        <v>2.4559702135268056E-3</v>
      </c>
      <c r="E1098" s="6" t="s">
        <v>7</v>
      </c>
      <c r="G1098" s="6" t="s">
        <v>121</v>
      </c>
      <c r="H1098" s="6" t="s">
        <v>16</v>
      </c>
      <c r="I1098" s="8">
        <v>1.4357406620276934E-2</v>
      </c>
      <c r="J1098" s="6" t="s">
        <v>7</v>
      </c>
      <c r="L1098" s="6" t="s">
        <v>122</v>
      </c>
      <c r="M1098" s="6" t="s">
        <v>16</v>
      </c>
      <c r="N1098" s="8">
        <v>1.5889943630087864E-2</v>
      </c>
      <c r="O1098" s="6" t="s">
        <v>7</v>
      </c>
    </row>
    <row r="1099" spans="2:15" x14ac:dyDescent="0.45">
      <c r="B1099" s="3" t="s">
        <v>120</v>
      </c>
      <c r="C1099" s="3" t="s">
        <v>17</v>
      </c>
      <c r="D1099" s="4">
        <v>0</v>
      </c>
      <c r="E1099" s="3" t="s">
        <v>7</v>
      </c>
      <c r="G1099" s="3" t="s">
        <v>121</v>
      </c>
      <c r="H1099" s="3" t="s">
        <v>17</v>
      </c>
      <c r="I1099" s="5">
        <v>1.5135031156064143E-2</v>
      </c>
      <c r="J1099" s="3" t="s">
        <v>7</v>
      </c>
      <c r="L1099" s="3" t="s">
        <v>122</v>
      </c>
      <c r="M1099" s="3" t="s">
        <v>17</v>
      </c>
      <c r="N1099" s="5">
        <v>1.5807940180652649E-2</v>
      </c>
      <c r="O1099" s="3" t="s">
        <v>7</v>
      </c>
    </row>
    <row r="1100" spans="2:15" x14ac:dyDescent="0.45">
      <c r="B1100" s="6" t="s">
        <v>120</v>
      </c>
      <c r="C1100" s="6" t="s">
        <v>18</v>
      </c>
      <c r="D1100" s="7">
        <v>0</v>
      </c>
      <c r="E1100" s="6" t="s">
        <v>7</v>
      </c>
      <c r="G1100" s="6" t="s">
        <v>121</v>
      </c>
      <c r="H1100" s="6" t="s">
        <v>18</v>
      </c>
      <c r="I1100" s="8">
        <v>2.2538271068673885E-2</v>
      </c>
      <c r="J1100" s="6" t="s">
        <v>7</v>
      </c>
      <c r="L1100" s="6" t="s">
        <v>122</v>
      </c>
      <c r="M1100" s="6" t="s">
        <v>18</v>
      </c>
      <c r="N1100" s="8">
        <v>2.294750573992094E-2</v>
      </c>
      <c r="O1100" s="6" t="s">
        <v>7</v>
      </c>
    </row>
    <row r="1101" spans="2:15" x14ac:dyDescent="0.45">
      <c r="B1101" s="3" t="s">
        <v>120</v>
      </c>
      <c r="C1101" s="3" t="s">
        <v>19</v>
      </c>
      <c r="D1101" s="4">
        <v>0</v>
      </c>
      <c r="E1101" s="3" t="s">
        <v>7</v>
      </c>
      <c r="G1101" s="3" t="s">
        <v>121</v>
      </c>
      <c r="H1101" s="3" t="s">
        <v>19</v>
      </c>
      <c r="I1101" s="5">
        <v>3.4376821762680781E-2</v>
      </c>
      <c r="J1101" s="3" t="s">
        <v>7</v>
      </c>
      <c r="L1101" s="3" t="s">
        <v>122</v>
      </c>
      <c r="M1101" s="3" t="s">
        <v>19</v>
      </c>
      <c r="N1101" s="5">
        <v>3.6296685010238215E-2</v>
      </c>
      <c r="O1101" s="3" t="s">
        <v>7</v>
      </c>
    </row>
    <row r="1102" spans="2:15" x14ac:dyDescent="0.45">
      <c r="B1102" s="6" t="s">
        <v>120</v>
      </c>
      <c r="C1102" s="6" t="s">
        <v>20</v>
      </c>
      <c r="D1102" s="7">
        <v>1.3538859026496311E-4</v>
      </c>
      <c r="E1102" s="6" t="s">
        <v>7</v>
      </c>
      <c r="G1102" s="6" t="s">
        <v>121</v>
      </c>
      <c r="H1102" s="6" t="s">
        <v>20</v>
      </c>
      <c r="I1102" s="8">
        <v>1.4108715788790433E-2</v>
      </c>
      <c r="J1102" s="6" t="s">
        <v>7</v>
      </c>
      <c r="L1102" s="6" t="s">
        <v>122</v>
      </c>
      <c r="M1102" s="6" t="s">
        <v>20</v>
      </c>
      <c r="N1102" s="8">
        <v>1.45604966431589E-2</v>
      </c>
      <c r="O1102" s="6" t="s">
        <v>7</v>
      </c>
    </row>
    <row r="1103" spans="2:15" x14ac:dyDescent="0.45">
      <c r="B1103" s="3" t="s">
        <v>120</v>
      </c>
      <c r="C1103" s="3" t="s">
        <v>21</v>
      </c>
      <c r="D1103" s="4">
        <v>1.0728729756558949E-2</v>
      </c>
      <c r="E1103" s="3" t="s">
        <v>7</v>
      </c>
      <c r="G1103" s="3" t="s">
        <v>121</v>
      </c>
      <c r="H1103" s="3" t="s">
        <v>21</v>
      </c>
      <c r="I1103" s="5">
        <v>1.4861680996288793E-2</v>
      </c>
      <c r="J1103" s="3" t="s">
        <v>7</v>
      </c>
      <c r="L1103" s="3" t="s">
        <v>122</v>
      </c>
      <c r="M1103" s="3" t="s">
        <v>21</v>
      </c>
      <c r="N1103" s="5">
        <v>1.4878590415968739E-2</v>
      </c>
      <c r="O1103" s="3" t="s">
        <v>7</v>
      </c>
    </row>
    <row r="1104" spans="2:15" x14ac:dyDescent="0.45">
      <c r="B1104" s="6" t="s">
        <v>120</v>
      </c>
      <c r="C1104" s="6" t="s">
        <v>22</v>
      </c>
      <c r="D1104" s="7">
        <v>3.7945837088611135E-2</v>
      </c>
      <c r="E1104" s="6" t="s">
        <v>7</v>
      </c>
      <c r="G1104" s="6" t="s">
        <v>121</v>
      </c>
      <c r="H1104" s="6" t="s">
        <v>22</v>
      </c>
      <c r="I1104" s="8">
        <v>1.6563741652026318E-2</v>
      </c>
      <c r="J1104" s="6" t="s">
        <v>7</v>
      </c>
      <c r="L1104" s="6" t="s">
        <v>122</v>
      </c>
      <c r="M1104" s="6" t="s">
        <v>22</v>
      </c>
      <c r="N1104" s="8">
        <v>1.4963401280042948E-2</v>
      </c>
      <c r="O1104" s="6" t="s">
        <v>7</v>
      </c>
    </row>
    <row r="1105" spans="2:15" x14ac:dyDescent="0.45">
      <c r="B1105" s="3" t="s">
        <v>120</v>
      </c>
      <c r="C1105" s="3" t="s">
        <v>23</v>
      </c>
      <c r="D1105" s="4">
        <v>5.1115662068361503E-2</v>
      </c>
      <c r="E1105" s="3" t="s">
        <v>7</v>
      </c>
      <c r="G1105" s="3" t="s">
        <v>121</v>
      </c>
      <c r="H1105" s="3" t="s">
        <v>23</v>
      </c>
      <c r="I1105" s="5">
        <v>1.7602262840266086E-2</v>
      </c>
      <c r="J1105" s="3" t="s">
        <v>7</v>
      </c>
      <c r="L1105" s="3" t="s">
        <v>122</v>
      </c>
      <c r="M1105" s="3" t="s">
        <v>23</v>
      </c>
      <c r="N1105" s="5">
        <v>1.5181826850600941E-2</v>
      </c>
      <c r="O1105" s="3" t="s">
        <v>7</v>
      </c>
    </row>
    <row r="1106" spans="2:15" x14ac:dyDescent="0.45">
      <c r="B1106" s="6" t="s">
        <v>120</v>
      </c>
      <c r="C1106" s="6" t="s">
        <v>24</v>
      </c>
      <c r="D1106" s="7">
        <v>5.0729568500794554E-2</v>
      </c>
      <c r="E1106" s="6" t="s">
        <v>7</v>
      </c>
      <c r="G1106" s="6" t="s">
        <v>121</v>
      </c>
      <c r="H1106" s="6" t="s">
        <v>24</v>
      </c>
      <c r="I1106" s="8">
        <v>1.741261365457426E-2</v>
      </c>
      <c r="J1106" s="6" t="s">
        <v>7</v>
      </c>
      <c r="L1106" s="6" t="s">
        <v>122</v>
      </c>
      <c r="M1106" s="6" t="s">
        <v>24</v>
      </c>
      <c r="N1106" s="8">
        <v>1.5280061872402087E-2</v>
      </c>
      <c r="O1106" s="6" t="s">
        <v>7</v>
      </c>
    </row>
    <row r="1107" spans="2:15" x14ac:dyDescent="0.45">
      <c r="B1107" s="3" t="s">
        <v>120</v>
      </c>
      <c r="C1107" s="3" t="s">
        <v>25</v>
      </c>
      <c r="D1107" s="4">
        <v>3.7936703615399525E-2</v>
      </c>
      <c r="E1107" s="3" t="s">
        <v>7</v>
      </c>
      <c r="G1107" s="3" t="s">
        <v>121</v>
      </c>
      <c r="H1107" s="3" t="s">
        <v>25</v>
      </c>
      <c r="I1107" s="5">
        <v>1.6551919164836539E-2</v>
      </c>
      <c r="J1107" s="3" t="s">
        <v>7</v>
      </c>
      <c r="L1107" s="3" t="s">
        <v>122</v>
      </c>
      <c r="M1107" s="3" t="s">
        <v>25</v>
      </c>
      <c r="N1107" s="5">
        <v>1.4963984212954346E-2</v>
      </c>
      <c r="O1107" s="3" t="s">
        <v>7</v>
      </c>
    </row>
    <row r="1108" spans="2:15" x14ac:dyDescent="0.45">
      <c r="B1108" s="6" t="s">
        <v>120</v>
      </c>
      <c r="C1108" s="6" t="s">
        <v>26</v>
      </c>
      <c r="D1108" s="7">
        <v>1.3924029218897595E-2</v>
      </c>
      <c r="E1108" s="6" t="s">
        <v>7</v>
      </c>
      <c r="G1108" s="6" t="s">
        <v>121</v>
      </c>
      <c r="H1108" s="6" t="s">
        <v>26</v>
      </c>
      <c r="I1108" s="8">
        <v>1.5236572815973378E-2</v>
      </c>
      <c r="J1108" s="6" t="s">
        <v>7</v>
      </c>
      <c r="L1108" s="6" t="s">
        <v>122</v>
      </c>
      <c r="M1108" s="6" t="s">
        <v>26</v>
      </c>
      <c r="N1108" s="8">
        <v>1.4444741518646583E-2</v>
      </c>
      <c r="O1108" s="6" t="s">
        <v>7</v>
      </c>
    </row>
    <row r="1109" spans="2:15" x14ac:dyDescent="0.45">
      <c r="B1109" s="3" t="s">
        <v>120</v>
      </c>
      <c r="C1109" s="3" t="s">
        <v>27</v>
      </c>
      <c r="D1109" s="4">
        <v>2.832488627825315E-4</v>
      </c>
      <c r="E1109" s="3" t="s">
        <v>7</v>
      </c>
      <c r="G1109" s="3" t="s">
        <v>121</v>
      </c>
      <c r="H1109" s="3" t="s">
        <v>27</v>
      </c>
      <c r="I1109" s="5">
        <v>1.5200981305785753E-2</v>
      </c>
      <c r="J1109" s="3" t="s">
        <v>7</v>
      </c>
      <c r="L1109" s="3" t="s">
        <v>122</v>
      </c>
      <c r="M1109" s="3" t="s">
        <v>27</v>
      </c>
      <c r="N1109" s="5">
        <v>1.4311357242364155E-2</v>
      </c>
      <c r="O1109" s="3" t="s">
        <v>7</v>
      </c>
    </row>
    <row r="1110" spans="2:15" x14ac:dyDescent="0.45">
      <c r="B1110" s="6" t="s">
        <v>120</v>
      </c>
      <c r="C1110" s="6" t="s">
        <v>28</v>
      </c>
      <c r="D1110" s="7">
        <v>0</v>
      </c>
      <c r="E1110" s="6" t="s">
        <v>7</v>
      </c>
      <c r="G1110" s="6" t="s">
        <v>121</v>
      </c>
      <c r="H1110" s="6" t="s">
        <v>28</v>
      </c>
      <c r="I1110" s="8">
        <v>2.1710625212151825E-2</v>
      </c>
      <c r="J1110" s="6" t="s">
        <v>7</v>
      </c>
      <c r="L1110" s="6" t="s">
        <v>122</v>
      </c>
      <c r="M1110" s="6" t="s">
        <v>28</v>
      </c>
      <c r="N1110" s="8">
        <v>2.1845603018554826E-2</v>
      </c>
      <c r="O1110" s="6" t="s">
        <v>7</v>
      </c>
    </row>
    <row r="1111" spans="2:15" x14ac:dyDescent="0.45">
      <c r="B1111" s="3" t="s">
        <v>120</v>
      </c>
      <c r="C1111" s="3" t="s">
        <v>29</v>
      </c>
      <c r="D1111" s="4">
        <v>0</v>
      </c>
      <c r="E1111" s="3" t="s">
        <v>7</v>
      </c>
      <c r="G1111" s="3" t="s">
        <v>121</v>
      </c>
      <c r="H1111" s="3" t="s">
        <v>29</v>
      </c>
      <c r="I1111" s="5">
        <v>2.9979035675830497E-2</v>
      </c>
      <c r="J1111" s="3" t="s">
        <v>7</v>
      </c>
      <c r="L1111" s="3" t="s">
        <v>122</v>
      </c>
      <c r="M1111" s="3" t="s">
        <v>29</v>
      </c>
      <c r="N1111" s="5">
        <v>2.9111211073023883E-2</v>
      </c>
      <c r="O1111" s="3" t="s">
        <v>7</v>
      </c>
    </row>
    <row r="1112" spans="2:15" x14ac:dyDescent="0.45">
      <c r="B1112" s="6" t="s">
        <v>120</v>
      </c>
      <c r="C1112" s="6" t="s">
        <v>30</v>
      </c>
      <c r="D1112" s="7">
        <v>2.1510840628384082E-3</v>
      </c>
      <c r="E1112" s="6" t="s">
        <v>7</v>
      </c>
      <c r="G1112" s="6" t="s">
        <v>121</v>
      </c>
      <c r="H1112" s="6" t="s">
        <v>30</v>
      </c>
      <c r="I1112" s="8">
        <v>1.102250331233833E-2</v>
      </c>
      <c r="J1112" s="6" t="s">
        <v>7</v>
      </c>
      <c r="L1112" s="6" t="s">
        <v>122</v>
      </c>
      <c r="M1112" s="6" t="s">
        <v>30</v>
      </c>
      <c r="N1112" s="8">
        <v>1.1498341692463495E-2</v>
      </c>
      <c r="O1112" s="6" t="s">
        <v>7</v>
      </c>
    </row>
    <row r="1113" spans="2:15" x14ac:dyDescent="0.45">
      <c r="B1113" s="3" t="s">
        <v>120</v>
      </c>
      <c r="C1113" s="3" t="s">
        <v>31</v>
      </c>
      <c r="D1113" s="4">
        <v>1.925540742278423E-2</v>
      </c>
      <c r="E1113" s="3" t="s">
        <v>7</v>
      </c>
      <c r="G1113" s="3" t="s">
        <v>121</v>
      </c>
      <c r="H1113" s="3" t="s">
        <v>31</v>
      </c>
      <c r="I1113" s="5">
        <v>1.1847960934943677E-2</v>
      </c>
      <c r="J1113" s="3" t="s">
        <v>7</v>
      </c>
      <c r="L1113" s="3" t="s">
        <v>122</v>
      </c>
      <c r="M1113" s="3" t="s">
        <v>31</v>
      </c>
      <c r="N1113" s="5">
        <v>1.1664085140950433E-2</v>
      </c>
      <c r="O1113" s="3" t="s">
        <v>7</v>
      </c>
    </row>
    <row r="1114" spans="2:15" x14ac:dyDescent="0.45">
      <c r="B1114" s="6" t="s">
        <v>120</v>
      </c>
      <c r="C1114" s="6" t="s">
        <v>32</v>
      </c>
      <c r="D1114" s="7">
        <v>4.2273083837288443E-2</v>
      </c>
      <c r="E1114" s="6" t="s">
        <v>7</v>
      </c>
      <c r="G1114" s="6" t="s">
        <v>121</v>
      </c>
      <c r="H1114" s="6" t="s">
        <v>32</v>
      </c>
      <c r="I1114" s="8">
        <v>1.1583256678051653E-2</v>
      </c>
      <c r="J1114" s="6" t="s">
        <v>7</v>
      </c>
      <c r="L1114" s="6" t="s">
        <v>122</v>
      </c>
      <c r="M1114" s="6" t="s">
        <v>32</v>
      </c>
      <c r="N1114" s="8">
        <v>1.169460569898634E-2</v>
      </c>
      <c r="O1114" s="6" t="s">
        <v>7</v>
      </c>
    </row>
    <row r="1115" spans="2:15" x14ac:dyDescent="0.45">
      <c r="B1115" s="3" t="s">
        <v>120</v>
      </c>
      <c r="C1115" s="3" t="s">
        <v>33</v>
      </c>
      <c r="D1115" s="4">
        <v>5.5154869814487834E-2</v>
      </c>
      <c r="E1115" s="3" t="s">
        <v>7</v>
      </c>
      <c r="G1115" s="3" t="s">
        <v>121</v>
      </c>
      <c r="H1115" s="3" t="s">
        <v>33</v>
      </c>
      <c r="I1115" s="5">
        <v>1.2145497548702498E-2</v>
      </c>
      <c r="J1115" s="3" t="s">
        <v>7</v>
      </c>
      <c r="L1115" s="3" t="s">
        <v>122</v>
      </c>
      <c r="M1115" s="3" t="s">
        <v>33</v>
      </c>
      <c r="N1115" s="5">
        <v>1.2205758991819421E-2</v>
      </c>
      <c r="O1115" s="3" t="s">
        <v>7</v>
      </c>
    </row>
    <row r="1116" spans="2:15" x14ac:dyDescent="0.45">
      <c r="B1116" s="6" t="s">
        <v>120</v>
      </c>
      <c r="C1116" s="6" t="s">
        <v>34</v>
      </c>
      <c r="D1116" s="7">
        <v>5.4993009859866972E-2</v>
      </c>
      <c r="E1116" s="6" t="s">
        <v>7</v>
      </c>
      <c r="G1116" s="6" t="s">
        <v>121</v>
      </c>
      <c r="H1116" s="6" t="s">
        <v>34</v>
      </c>
      <c r="I1116" s="8">
        <v>1.3187683173073384E-2</v>
      </c>
      <c r="J1116" s="6" t="s">
        <v>7</v>
      </c>
      <c r="L1116" s="6" t="s">
        <v>122</v>
      </c>
      <c r="M1116" s="6" t="s">
        <v>34</v>
      </c>
      <c r="N1116" s="8">
        <v>1.2592638132901941E-2</v>
      </c>
      <c r="O1116" s="6" t="s">
        <v>7</v>
      </c>
    </row>
    <row r="1117" spans="2:15" x14ac:dyDescent="0.45">
      <c r="B1117" s="3" t="s">
        <v>120</v>
      </c>
      <c r="C1117" s="3" t="s">
        <v>35</v>
      </c>
      <c r="D1117" s="4">
        <v>4.2633894055770068E-2</v>
      </c>
      <c r="E1117" s="3" t="s">
        <v>7</v>
      </c>
      <c r="G1117" s="3" t="s">
        <v>121</v>
      </c>
      <c r="H1117" s="3" t="s">
        <v>35</v>
      </c>
      <c r="I1117" s="5">
        <v>1.3775521971831866E-2</v>
      </c>
      <c r="J1117" s="3" t="s">
        <v>7</v>
      </c>
      <c r="L1117" s="3" t="s">
        <v>122</v>
      </c>
      <c r="M1117" s="3" t="s">
        <v>35</v>
      </c>
      <c r="N1117" s="5">
        <v>1.2665032083174609E-2</v>
      </c>
      <c r="O1117" s="3" t="s">
        <v>7</v>
      </c>
    </row>
    <row r="1118" spans="2:15" x14ac:dyDescent="0.45">
      <c r="B1118" s="6" t="s">
        <v>120</v>
      </c>
      <c r="C1118" s="6" t="s">
        <v>36</v>
      </c>
      <c r="D1118" s="7">
        <v>2.1475965055913836E-2</v>
      </c>
      <c r="E1118" s="6" t="s">
        <v>7</v>
      </c>
      <c r="G1118" s="6" t="s">
        <v>121</v>
      </c>
      <c r="H1118" s="6" t="s">
        <v>36</v>
      </c>
      <c r="I1118" s="8">
        <v>1.3359416038312786E-2</v>
      </c>
      <c r="J1118" s="6" t="s">
        <v>7</v>
      </c>
      <c r="L1118" s="6" t="s">
        <v>122</v>
      </c>
      <c r="M1118" s="6" t="s">
        <v>36</v>
      </c>
      <c r="N1118" s="8">
        <v>1.2526306938241832E-2</v>
      </c>
      <c r="O1118" s="6" t="s">
        <v>7</v>
      </c>
    </row>
    <row r="1119" spans="2:15" x14ac:dyDescent="0.45">
      <c r="B1119" s="3" t="s">
        <v>120</v>
      </c>
      <c r="C1119" s="3" t="s">
        <v>37</v>
      </c>
      <c r="D1119" s="4">
        <v>2.7217612432420134E-3</v>
      </c>
      <c r="E1119" s="3" t="s">
        <v>7</v>
      </c>
      <c r="G1119" s="3" t="s">
        <v>121</v>
      </c>
      <c r="H1119" s="3" t="s">
        <v>37</v>
      </c>
      <c r="I1119" s="5">
        <v>1.2832245392169385E-2</v>
      </c>
      <c r="J1119" s="3" t="s">
        <v>7</v>
      </c>
      <c r="L1119" s="3" t="s">
        <v>122</v>
      </c>
      <c r="M1119" s="3" t="s">
        <v>37</v>
      </c>
      <c r="N1119" s="5">
        <v>1.2184359139279555E-2</v>
      </c>
      <c r="O1119" s="3" t="s">
        <v>7</v>
      </c>
    </row>
    <row r="1120" spans="2:15" x14ac:dyDescent="0.45">
      <c r="B1120" s="6" t="s">
        <v>120</v>
      </c>
      <c r="C1120" s="6" t="s">
        <v>38</v>
      </c>
      <c r="D1120" s="7">
        <v>0</v>
      </c>
      <c r="E1120" s="6" t="s">
        <v>7</v>
      </c>
      <c r="G1120" s="6" t="s">
        <v>121</v>
      </c>
      <c r="H1120" s="6" t="s">
        <v>38</v>
      </c>
      <c r="I1120" s="8">
        <v>1.8885889292943984E-2</v>
      </c>
      <c r="J1120" s="6" t="s">
        <v>7</v>
      </c>
      <c r="L1120" s="6" t="s">
        <v>122</v>
      </c>
      <c r="M1120" s="6" t="s">
        <v>38</v>
      </c>
      <c r="N1120" s="8">
        <v>1.7641860757044929E-2</v>
      </c>
      <c r="O1120" s="6" t="s">
        <v>7</v>
      </c>
    </row>
    <row r="1121" spans="2:15" x14ac:dyDescent="0.45">
      <c r="B1121" s="3" t="s">
        <v>120</v>
      </c>
      <c r="C1121" s="3" t="s">
        <v>39</v>
      </c>
      <c r="D1121" s="4">
        <v>0</v>
      </c>
      <c r="E1121" s="3" t="s">
        <v>7</v>
      </c>
      <c r="G1121" s="3" t="s">
        <v>121</v>
      </c>
      <c r="H1121" s="3" t="s">
        <v>39</v>
      </c>
      <c r="I1121" s="5">
        <v>1.842952830204193E-2</v>
      </c>
      <c r="J1121" s="3" t="s">
        <v>7</v>
      </c>
      <c r="L1121" s="3" t="s">
        <v>122</v>
      </c>
      <c r="M1121" s="3" t="s">
        <v>39</v>
      </c>
      <c r="N1121" s="5">
        <v>3.2568491253796246E-2</v>
      </c>
      <c r="O1121" s="3" t="s">
        <v>7</v>
      </c>
    </row>
    <row r="1122" spans="2:15" x14ac:dyDescent="0.45">
      <c r="B1122" s="6" t="s">
        <v>120</v>
      </c>
      <c r="C1122" s="6" t="s">
        <v>40</v>
      </c>
      <c r="D1122" s="7">
        <v>1.230949104986884E-3</v>
      </c>
      <c r="E1122" s="6" t="s">
        <v>7</v>
      </c>
      <c r="G1122" s="6" t="s">
        <v>121</v>
      </c>
      <c r="H1122" s="6" t="s">
        <v>40</v>
      </c>
      <c r="I1122" s="8">
        <v>6.8147164320104025E-3</v>
      </c>
      <c r="J1122" s="6" t="s">
        <v>7</v>
      </c>
      <c r="L1122" s="6" t="s">
        <v>122</v>
      </c>
      <c r="M1122" s="6" t="s">
        <v>40</v>
      </c>
      <c r="N1122" s="8">
        <v>1.2611744157558589E-2</v>
      </c>
      <c r="O1122" s="6" t="s">
        <v>7</v>
      </c>
    </row>
    <row r="1123" spans="2:15" x14ac:dyDescent="0.45">
      <c r="B1123" s="3" t="s">
        <v>120</v>
      </c>
      <c r="C1123" s="3" t="s">
        <v>41</v>
      </c>
      <c r="D1123" s="4">
        <v>1.6802698878047518E-2</v>
      </c>
      <c r="E1123" s="3" t="s">
        <v>7</v>
      </c>
      <c r="G1123" s="3" t="s">
        <v>121</v>
      </c>
      <c r="H1123" s="3" t="s">
        <v>41</v>
      </c>
      <c r="I1123" s="5">
        <v>7.3239268688488138E-3</v>
      </c>
      <c r="J1123" s="3" t="s">
        <v>7</v>
      </c>
      <c r="L1123" s="3" t="s">
        <v>122</v>
      </c>
      <c r="M1123" s="3" t="s">
        <v>41</v>
      </c>
      <c r="N1123" s="5">
        <v>1.2492523731954006E-2</v>
      </c>
      <c r="O1123" s="3" t="s">
        <v>7</v>
      </c>
    </row>
    <row r="1124" spans="2:15" x14ac:dyDescent="0.45">
      <c r="B1124" s="6" t="s">
        <v>120</v>
      </c>
      <c r="C1124" s="6" t="s">
        <v>42</v>
      </c>
      <c r="D1124" s="7">
        <v>4.3740265602255642E-2</v>
      </c>
      <c r="E1124" s="6" t="s">
        <v>7</v>
      </c>
      <c r="G1124" s="6" t="s">
        <v>121</v>
      </c>
      <c r="H1124" s="6" t="s">
        <v>42</v>
      </c>
      <c r="I1124" s="8">
        <v>8.0420435395406123E-3</v>
      </c>
      <c r="J1124" s="6" t="s">
        <v>7</v>
      </c>
      <c r="L1124" s="6" t="s">
        <v>122</v>
      </c>
      <c r="M1124" s="6" t="s">
        <v>42</v>
      </c>
      <c r="N1124" s="8">
        <v>1.2429952327310161E-2</v>
      </c>
      <c r="O1124" s="6" t="s">
        <v>7</v>
      </c>
    </row>
    <row r="1125" spans="2:15" x14ac:dyDescent="0.45">
      <c r="B1125" s="3" t="s">
        <v>120</v>
      </c>
      <c r="C1125" s="3" t="s">
        <v>43</v>
      </c>
      <c r="D1125" s="4">
        <v>5.6638564171917406E-2</v>
      </c>
      <c r="E1125" s="3" t="s">
        <v>7</v>
      </c>
      <c r="G1125" s="3" t="s">
        <v>121</v>
      </c>
      <c r="H1125" s="3" t="s">
        <v>43</v>
      </c>
      <c r="I1125" s="5">
        <v>8.8023188203059672E-3</v>
      </c>
      <c r="J1125" s="3" t="s">
        <v>7</v>
      </c>
      <c r="L1125" s="3" t="s">
        <v>122</v>
      </c>
      <c r="M1125" s="3" t="s">
        <v>43</v>
      </c>
      <c r="N1125" s="5">
        <v>1.2467249844405838E-2</v>
      </c>
      <c r="O1125" s="3" t="s">
        <v>7</v>
      </c>
    </row>
    <row r="1126" spans="2:15" x14ac:dyDescent="0.45">
      <c r="B1126" s="6" t="s">
        <v>120</v>
      </c>
      <c r="C1126" s="6" t="s">
        <v>44</v>
      </c>
      <c r="D1126" s="7">
        <v>5.6122811846707463E-2</v>
      </c>
      <c r="E1126" s="6" t="s">
        <v>7</v>
      </c>
      <c r="G1126" s="6" t="s">
        <v>121</v>
      </c>
      <c r="H1126" s="6" t="s">
        <v>44</v>
      </c>
      <c r="I1126" s="8">
        <v>9.1486642185570188E-3</v>
      </c>
      <c r="J1126" s="6" t="s">
        <v>7</v>
      </c>
      <c r="L1126" s="6" t="s">
        <v>122</v>
      </c>
      <c r="M1126" s="6" t="s">
        <v>44</v>
      </c>
      <c r="N1126" s="8">
        <v>1.2726672958190315E-2</v>
      </c>
      <c r="O1126" s="6" t="s">
        <v>7</v>
      </c>
    </row>
    <row r="1127" spans="2:15" x14ac:dyDescent="0.45">
      <c r="B1127" s="3" t="s">
        <v>120</v>
      </c>
      <c r="C1127" s="3" t="s">
        <v>45</v>
      </c>
      <c r="D1127" s="4">
        <v>4.3491038155091581E-2</v>
      </c>
      <c r="E1127" s="3" t="s">
        <v>7</v>
      </c>
      <c r="G1127" s="3" t="s">
        <v>121</v>
      </c>
      <c r="H1127" s="3" t="s">
        <v>45</v>
      </c>
      <c r="I1127" s="5">
        <v>9.0805061229032643E-3</v>
      </c>
      <c r="J1127" s="3" t="s">
        <v>7</v>
      </c>
      <c r="L1127" s="3" t="s">
        <v>122</v>
      </c>
      <c r="M1127" s="3" t="s">
        <v>45</v>
      </c>
      <c r="N1127" s="5">
        <v>1.2840049119530411E-2</v>
      </c>
      <c r="O1127" s="3" t="s">
        <v>7</v>
      </c>
    </row>
    <row r="1128" spans="2:15" x14ac:dyDescent="0.45">
      <c r="B1128" s="6" t="s">
        <v>120</v>
      </c>
      <c r="C1128" s="6" t="s">
        <v>46</v>
      </c>
      <c r="D1128" s="7">
        <v>2.1783354552666744E-2</v>
      </c>
      <c r="E1128" s="6" t="s">
        <v>7</v>
      </c>
      <c r="G1128" s="6" t="s">
        <v>121</v>
      </c>
      <c r="H1128" s="6" t="s">
        <v>46</v>
      </c>
      <c r="I1128" s="8">
        <v>8.2747544635154227E-3</v>
      </c>
      <c r="J1128" s="6" t="s">
        <v>7</v>
      </c>
      <c r="L1128" s="6" t="s">
        <v>122</v>
      </c>
      <c r="M1128" s="6" t="s">
        <v>46</v>
      </c>
      <c r="N1128" s="8">
        <v>1.2952426617974043E-2</v>
      </c>
      <c r="O1128" s="6" t="s">
        <v>7</v>
      </c>
    </row>
    <row r="1129" spans="2:15" x14ac:dyDescent="0.45">
      <c r="B1129" s="3" t="s">
        <v>120</v>
      </c>
      <c r="C1129" s="3" t="s">
        <v>47</v>
      </c>
      <c r="D1129" s="4">
        <v>2.3861115867402638E-3</v>
      </c>
      <c r="E1129" s="3" t="s">
        <v>7</v>
      </c>
      <c r="G1129" s="3" t="s">
        <v>121</v>
      </c>
      <c r="H1129" s="3" t="s">
        <v>47</v>
      </c>
      <c r="I1129" s="5">
        <v>7.9606882618609986E-3</v>
      </c>
      <c r="J1129" s="3" t="s">
        <v>7</v>
      </c>
      <c r="L1129" s="3" t="s">
        <v>122</v>
      </c>
      <c r="M1129" s="3" t="s">
        <v>47</v>
      </c>
      <c r="N1129" s="5">
        <v>1.28934418334697E-2</v>
      </c>
      <c r="O1129" s="3" t="s">
        <v>7</v>
      </c>
    </row>
    <row r="1130" spans="2:15" x14ac:dyDescent="0.45">
      <c r="B1130" s="6" t="s">
        <v>120</v>
      </c>
      <c r="C1130" s="6" t="s">
        <v>48</v>
      </c>
      <c r="D1130" s="7">
        <v>0</v>
      </c>
      <c r="E1130" s="6" t="s">
        <v>7</v>
      </c>
      <c r="G1130" s="6" t="s">
        <v>121</v>
      </c>
      <c r="H1130" s="6" t="s">
        <v>48</v>
      </c>
      <c r="I1130" s="8">
        <v>1.1686434767424415E-2</v>
      </c>
      <c r="J1130" s="6" t="s">
        <v>7</v>
      </c>
      <c r="L1130" s="6" t="s">
        <v>122</v>
      </c>
      <c r="M1130" s="6" t="s">
        <v>48</v>
      </c>
      <c r="N1130" s="8">
        <v>1.9252154429467126E-2</v>
      </c>
      <c r="O1130" s="6" t="s">
        <v>7</v>
      </c>
    </row>
    <row r="1131" spans="2:15" x14ac:dyDescent="0.45">
      <c r="B1131" s="3" t="s">
        <v>120</v>
      </c>
      <c r="C1131" s="3" t="s">
        <v>49</v>
      </c>
      <c r="D1131" s="4">
        <v>0</v>
      </c>
      <c r="E1131" s="3" t="s">
        <v>7</v>
      </c>
      <c r="G1131" s="3" t="s">
        <v>121</v>
      </c>
      <c r="H1131" s="3" t="s">
        <v>49</v>
      </c>
      <c r="I1131" s="5">
        <v>3.6701888537904376E-2</v>
      </c>
      <c r="J1131" s="3" t="s">
        <v>7</v>
      </c>
      <c r="L1131" s="3" t="s">
        <v>122</v>
      </c>
      <c r="M1131" s="3" t="s">
        <v>49</v>
      </c>
      <c r="N1131" s="5">
        <v>3.1541733775322087E-2</v>
      </c>
      <c r="O1131" s="3" t="s">
        <v>7</v>
      </c>
    </row>
    <row r="1132" spans="2:15" x14ac:dyDescent="0.45">
      <c r="B1132" s="6" t="s">
        <v>120</v>
      </c>
      <c r="C1132" s="6" t="s">
        <v>50</v>
      </c>
      <c r="D1132" s="7">
        <v>1.1884794651992383E-6</v>
      </c>
      <c r="E1132" s="6" t="s">
        <v>7</v>
      </c>
      <c r="G1132" s="6" t="s">
        <v>121</v>
      </c>
      <c r="H1132" s="6" t="s">
        <v>50</v>
      </c>
      <c r="I1132" s="8">
        <v>1.3736769061447742E-2</v>
      </c>
      <c r="J1132" s="6" t="s">
        <v>7</v>
      </c>
      <c r="L1132" s="6" t="s">
        <v>122</v>
      </c>
      <c r="M1132" s="6" t="s">
        <v>50</v>
      </c>
      <c r="N1132" s="8">
        <v>1.1760290090981264E-2</v>
      </c>
      <c r="O1132" s="6" t="s">
        <v>7</v>
      </c>
    </row>
    <row r="1133" spans="2:15" x14ac:dyDescent="0.45">
      <c r="B1133" s="3" t="s">
        <v>120</v>
      </c>
      <c r="C1133" s="3" t="s">
        <v>51</v>
      </c>
      <c r="D1133" s="4">
        <v>4.9468908247486494E-3</v>
      </c>
      <c r="E1133" s="3" t="s">
        <v>7</v>
      </c>
      <c r="G1133" s="3" t="s">
        <v>121</v>
      </c>
      <c r="H1133" s="3" t="s">
        <v>51</v>
      </c>
      <c r="I1133" s="5">
        <v>1.396375587633634E-2</v>
      </c>
      <c r="J1133" s="3" t="s">
        <v>7</v>
      </c>
      <c r="L1133" s="3" t="s">
        <v>122</v>
      </c>
      <c r="M1133" s="3" t="s">
        <v>51</v>
      </c>
      <c r="N1133" s="5">
        <v>1.1796364765104456E-2</v>
      </c>
      <c r="O1133" s="3" t="s">
        <v>7</v>
      </c>
    </row>
    <row r="1134" spans="2:15" x14ac:dyDescent="0.45">
      <c r="B1134" s="6" t="s">
        <v>120</v>
      </c>
      <c r="C1134" s="6" t="s">
        <v>52</v>
      </c>
      <c r="D1134" s="7">
        <v>2.266405454184478E-2</v>
      </c>
      <c r="E1134" s="6" t="s">
        <v>7</v>
      </c>
      <c r="G1134" s="6" t="s">
        <v>121</v>
      </c>
      <c r="H1134" s="6" t="s">
        <v>52</v>
      </c>
      <c r="I1134" s="8">
        <v>1.4641907415753282E-2</v>
      </c>
      <c r="J1134" s="6" t="s">
        <v>7</v>
      </c>
      <c r="L1134" s="6" t="s">
        <v>122</v>
      </c>
      <c r="M1134" s="6" t="s">
        <v>52</v>
      </c>
      <c r="N1134" s="8">
        <v>1.183556910991836E-2</v>
      </c>
      <c r="O1134" s="6" t="s">
        <v>7</v>
      </c>
    </row>
    <row r="1135" spans="2:15" x14ac:dyDescent="0.45">
      <c r="B1135" s="3" t="s">
        <v>120</v>
      </c>
      <c r="C1135" s="3" t="s">
        <v>53</v>
      </c>
      <c r="D1135" s="4">
        <v>3.6701571667871725E-2</v>
      </c>
      <c r="E1135" s="3" t="s">
        <v>7</v>
      </c>
      <c r="G1135" s="3" t="s">
        <v>121</v>
      </c>
      <c r="H1135" s="3" t="s">
        <v>53</v>
      </c>
      <c r="I1135" s="5">
        <v>1.5718437402214579E-2</v>
      </c>
      <c r="J1135" s="3" t="s">
        <v>7</v>
      </c>
      <c r="L1135" s="3" t="s">
        <v>122</v>
      </c>
      <c r="M1135" s="3" t="s">
        <v>53</v>
      </c>
      <c r="N1135" s="5">
        <v>1.2069033881074423E-2</v>
      </c>
      <c r="O1135" s="3" t="s">
        <v>7</v>
      </c>
    </row>
    <row r="1136" spans="2:15" x14ac:dyDescent="0.45">
      <c r="B1136" s="6" t="s">
        <v>120</v>
      </c>
      <c r="C1136" s="6" t="s">
        <v>54</v>
      </c>
      <c r="D1136" s="7">
        <v>3.7642231306067107E-2</v>
      </c>
      <c r="E1136" s="6" t="s">
        <v>7</v>
      </c>
      <c r="G1136" s="6" t="s">
        <v>121</v>
      </c>
      <c r="H1136" s="6" t="s">
        <v>54</v>
      </c>
      <c r="I1136" s="8">
        <v>1.6501757684625532E-2</v>
      </c>
      <c r="J1136" s="6" t="s">
        <v>7</v>
      </c>
      <c r="L1136" s="6" t="s">
        <v>122</v>
      </c>
      <c r="M1136" s="6" t="s">
        <v>54</v>
      </c>
      <c r="N1136" s="8">
        <v>1.231965527504782E-2</v>
      </c>
      <c r="O1136" s="6" t="s">
        <v>7</v>
      </c>
    </row>
    <row r="1137" spans="2:15" x14ac:dyDescent="0.45">
      <c r="B1137" s="3" t="s">
        <v>120</v>
      </c>
      <c r="C1137" s="3" t="s">
        <v>55</v>
      </c>
      <c r="D1137" s="4">
        <v>2.4531444579184131E-2</v>
      </c>
      <c r="E1137" s="3" t="s">
        <v>7</v>
      </c>
      <c r="G1137" s="3" t="s">
        <v>121</v>
      </c>
      <c r="H1137" s="3" t="s">
        <v>55</v>
      </c>
      <c r="I1137" s="5">
        <v>1.6566747237711323E-2</v>
      </c>
      <c r="J1137" s="3" t="s">
        <v>7</v>
      </c>
      <c r="L1137" s="3" t="s">
        <v>122</v>
      </c>
      <c r="M1137" s="3" t="s">
        <v>55</v>
      </c>
      <c r="N1137" s="5">
        <v>1.2270556127948822E-2</v>
      </c>
      <c r="O1137" s="3" t="s">
        <v>7</v>
      </c>
    </row>
    <row r="1138" spans="2:15" x14ac:dyDescent="0.45">
      <c r="B1138" s="6" t="s">
        <v>120</v>
      </c>
      <c r="C1138" s="6" t="s">
        <v>56</v>
      </c>
      <c r="D1138" s="7">
        <v>5.9250368848742631E-3</v>
      </c>
      <c r="E1138" s="6" t="s">
        <v>7</v>
      </c>
      <c r="G1138" s="6" t="s">
        <v>121</v>
      </c>
      <c r="H1138" s="6" t="s">
        <v>56</v>
      </c>
      <c r="I1138" s="8">
        <v>1.6453693414114842E-2</v>
      </c>
      <c r="J1138" s="6" t="s">
        <v>7</v>
      </c>
      <c r="L1138" s="6" t="s">
        <v>122</v>
      </c>
      <c r="M1138" s="6" t="s">
        <v>56</v>
      </c>
      <c r="N1138" s="8">
        <v>1.216674531415325E-2</v>
      </c>
      <c r="O1138" s="6" t="s">
        <v>7</v>
      </c>
    </row>
    <row r="1139" spans="2:15" x14ac:dyDescent="0.45">
      <c r="B1139" s="3" t="s">
        <v>120</v>
      </c>
      <c r="C1139" s="3" t="s">
        <v>57</v>
      </c>
      <c r="D1139" s="4">
        <v>1.8677860530047448E-5</v>
      </c>
      <c r="E1139" s="3" t="s">
        <v>7</v>
      </c>
      <c r="G1139" s="3" t="s">
        <v>121</v>
      </c>
      <c r="H1139" s="3" t="s">
        <v>57</v>
      </c>
      <c r="I1139" s="5">
        <v>1.6900983212091054E-2</v>
      </c>
      <c r="J1139" s="3" t="s">
        <v>7</v>
      </c>
      <c r="L1139" s="3" t="s">
        <v>122</v>
      </c>
      <c r="M1139" s="3" t="s">
        <v>57</v>
      </c>
      <c r="N1139" s="5">
        <v>1.2288577889761662E-2</v>
      </c>
      <c r="O1139" s="3" t="s">
        <v>7</v>
      </c>
    </row>
    <row r="1140" spans="2:15" x14ac:dyDescent="0.45">
      <c r="B1140" s="6" t="s">
        <v>120</v>
      </c>
      <c r="C1140" s="6" t="s">
        <v>58</v>
      </c>
      <c r="D1140" s="7">
        <v>0</v>
      </c>
      <c r="E1140" s="6" t="s">
        <v>7</v>
      </c>
      <c r="G1140" s="6" t="s">
        <v>121</v>
      </c>
      <c r="H1140" s="6" t="s">
        <v>58</v>
      </c>
      <c r="I1140" s="8">
        <v>2.420852016650879E-2</v>
      </c>
      <c r="J1140" s="6" t="s">
        <v>7</v>
      </c>
      <c r="L1140" s="6" t="s">
        <v>122</v>
      </c>
      <c r="M1140" s="6" t="s">
        <v>58</v>
      </c>
      <c r="N1140" s="8">
        <v>1.893682866193646E-2</v>
      </c>
      <c r="O1140" s="6" t="s">
        <v>7</v>
      </c>
    </row>
    <row r="1141" spans="2:15" x14ac:dyDescent="0.45">
      <c r="B1141" s="3" t="s">
        <v>120</v>
      </c>
      <c r="C1141" s="3" t="s">
        <v>59</v>
      </c>
      <c r="D1141" s="4">
        <v>0</v>
      </c>
      <c r="E1141" s="3" t="s">
        <v>7</v>
      </c>
      <c r="G1141" s="3" t="s">
        <v>121</v>
      </c>
      <c r="H1141" s="3" t="s">
        <v>59</v>
      </c>
      <c r="I1141" s="5">
        <v>4.8861846376412665E-2</v>
      </c>
      <c r="J1141" s="3" t="s">
        <v>7</v>
      </c>
      <c r="L1141" s="3" t="s">
        <v>122</v>
      </c>
      <c r="M1141" s="3" t="s">
        <v>59</v>
      </c>
      <c r="N1141" s="5">
        <v>3.9005397121089018E-2</v>
      </c>
      <c r="O1141" s="3" t="s">
        <v>7</v>
      </c>
    </row>
    <row r="1142" spans="2:15" x14ac:dyDescent="0.45">
      <c r="B1142" s="6" t="s">
        <v>120</v>
      </c>
      <c r="C1142" s="6" t="s">
        <v>60</v>
      </c>
      <c r="D1142" s="7">
        <v>0</v>
      </c>
      <c r="E1142" s="6" t="s">
        <v>7</v>
      </c>
      <c r="G1142" s="6" t="s">
        <v>121</v>
      </c>
      <c r="H1142" s="6" t="s">
        <v>60</v>
      </c>
      <c r="I1142" s="8">
        <v>1.9024254963216063E-2</v>
      </c>
      <c r="J1142" s="6" t="s">
        <v>7</v>
      </c>
      <c r="L1142" s="6" t="s">
        <v>122</v>
      </c>
      <c r="M1142" s="6" t="s">
        <v>60</v>
      </c>
      <c r="N1142" s="8">
        <v>1.5029513637660398E-2</v>
      </c>
      <c r="O1142" s="6" t="s">
        <v>7</v>
      </c>
    </row>
    <row r="1143" spans="2:15" x14ac:dyDescent="0.45">
      <c r="B1143" s="3" t="s">
        <v>120</v>
      </c>
      <c r="C1143" s="3" t="s">
        <v>61</v>
      </c>
      <c r="D1143" s="4">
        <v>2.1814098053385127E-4</v>
      </c>
      <c r="E1143" s="3" t="s">
        <v>7</v>
      </c>
      <c r="G1143" s="3" t="s">
        <v>121</v>
      </c>
      <c r="H1143" s="3" t="s">
        <v>61</v>
      </c>
      <c r="I1143" s="5">
        <v>1.8672236983187353E-2</v>
      </c>
      <c r="J1143" s="3" t="s">
        <v>7</v>
      </c>
      <c r="L1143" s="3" t="s">
        <v>122</v>
      </c>
      <c r="M1143" s="3" t="s">
        <v>61</v>
      </c>
      <c r="N1143" s="5">
        <v>1.5519673397534631E-2</v>
      </c>
      <c r="O1143" s="3" t="s">
        <v>7</v>
      </c>
    </row>
    <row r="1144" spans="2:15" x14ac:dyDescent="0.45">
      <c r="B1144" s="6" t="s">
        <v>120</v>
      </c>
      <c r="C1144" s="6" t="s">
        <v>62</v>
      </c>
      <c r="D1144" s="7">
        <v>1.2394246905810558E-2</v>
      </c>
      <c r="E1144" s="6" t="s">
        <v>7</v>
      </c>
      <c r="G1144" s="6" t="s">
        <v>121</v>
      </c>
      <c r="H1144" s="6" t="s">
        <v>62</v>
      </c>
      <c r="I1144" s="8">
        <v>1.7818060958771004E-2</v>
      </c>
      <c r="J1144" s="6" t="s">
        <v>7</v>
      </c>
      <c r="L1144" s="6" t="s">
        <v>122</v>
      </c>
      <c r="M1144" s="6" t="s">
        <v>62</v>
      </c>
      <c r="N1144" s="8">
        <v>1.6032382858599117E-2</v>
      </c>
      <c r="O1144" s="6" t="s">
        <v>7</v>
      </c>
    </row>
    <row r="1145" spans="2:15" x14ac:dyDescent="0.45">
      <c r="B1145" s="3" t="s">
        <v>120</v>
      </c>
      <c r="C1145" s="3" t="s">
        <v>63</v>
      </c>
      <c r="D1145" s="4">
        <v>3.1251717036236783E-2</v>
      </c>
      <c r="E1145" s="3" t="s">
        <v>7</v>
      </c>
      <c r="G1145" s="3" t="s">
        <v>121</v>
      </c>
      <c r="H1145" s="3" t="s">
        <v>63</v>
      </c>
      <c r="I1145" s="5">
        <v>1.6963437242133617E-2</v>
      </c>
      <c r="J1145" s="3" t="s">
        <v>7</v>
      </c>
      <c r="L1145" s="3" t="s">
        <v>122</v>
      </c>
      <c r="M1145" s="3" t="s">
        <v>63</v>
      </c>
      <c r="N1145" s="5">
        <v>1.6194509838287952E-2</v>
      </c>
      <c r="O1145" s="3" t="s">
        <v>7</v>
      </c>
    </row>
    <row r="1146" spans="2:15" x14ac:dyDescent="0.45">
      <c r="B1146" s="6" t="s">
        <v>120</v>
      </c>
      <c r="C1146" s="6" t="s">
        <v>64</v>
      </c>
      <c r="D1146" s="7">
        <v>2.960577444524112E-2</v>
      </c>
      <c r="E1146" s="6" t="s">
        <v>7</v>
      </c>
      <c r="G1146" s="6" t="s">
        <v>121</v>
      </c>
      <c r="H1146" s="6" t="s">
        <v>64</v>
      </c>
      <c r="I1146" s="8">
        <v>1.6889930456261585E-2</v>
      </c>
      <c r="J1146" s="6" t="s">
        <v>7</v>
      </c>
      <c r="L1146" s="6" t="s">
        <v>122</v>
      </c>
      <c r="M1146" s="6" t="s">
        <v>64</v>
      </c>
      <c r="N1146" s="8">
        <v>1.6602056022330728E-2</v>
      </c>
      <c r="O1146" s="6" t="s">
        <v>7</v>
      </c>
    </row>
    <row r="1147" spans="2:15" x14ac:dyDescent="0.45">
      <c r="B1147" s="3" t="s">
        <v>120</v>
      </c>
      <c r="C1147" s="3" t="s">
        <v>65</v>
      </c>
      <c r="D1147" s="4">
        <v>1.2209791423057116E-2</v>
      </c>
      <c r="E1147" s="3" t="s">
        <v>7</v>
      </c>
      <c r="G1147" s="3" t="s">
        <v>121</v>
      </c>
      <c r="H1147" s="3" t="s">
        <v>65</v>
      </c>
      <c r="I1147" s="5">
        <v>1.704818498803172E-2</v>
      </c>
      <c r="J1147" s="3" t="s">
        <v>7</v>
      </c>
      <c r="L1147" s="3" t="s">
        <v>122</v>
      </c>
      <c r="M1147" s="3" t="s">
        <v>65</v>
      </c>
      <c r="N1147" s="5">
        <v>1.7131373761275971E-2</v>
      </c>
      <c r="O1147" s="3" t="s">
        <v>7</v>
      </c>
    </row>
    <row r="1148" spans="2:15" x14ac:dyDescent="0.45">
      <c r="B1148" s="6" t="s">
        <v>120</v>
      </c>
      <c r="C1148" s="6" t="s">
        <v>66</v>
      </c>
      <c r="D1148" s="7">
        <v>0</v>
      </c>
      <c r="E1148" s="6" t="s">
        <v>7</v>
      </c>
      <c r="G1148" s="6" t="s">
        <v>121</v>
      </c>
      <c r="H1148" s="6" t="s">
        <v>66</v>
      </c>
      <c r="I1148" s="8">
        <v>1.7267901843486005E-2</v>
      </c>
      <c r="J1148" s="6" t="s">
        <v>7</v>
      </c>
      <c r="L1148" s="6" t="s">
        <v>122</v>
      </c>
      <c r="M1148" s="6" t="s">
        <v>66</v>
      </c>
      <c r="N1148" s="8">
        <v>1.6725719357849167E-2</v>
      </c>
      <c r="O1148" s="6" t="s">
        <v>7</v>
      </c>
    </row>
    <row r="1149" spans="2:15" x14ac:dyDescent="0.45">
      <c r="B1149" s="3" t="s">
        <v>120</v>
      </c>
      <c r="C1149" s="3" t="s">
        <v>67</v>
      </c>
      <c r="D1149" s="4">
        <v>0</v>
      </c>
      <c r="E1149" s="3" t="s">
        <v>7</v>
      </c>
      <c r="G1149" s="3" t="s">
        <v>121</v>
      </c>
      <c r="H1149" s="3" t="s">
        <v>67</v>
      </c>
      <c r="I1149" s="5">
        <v>1.7345617767611683E-2</v>
      </c>
      <c r="J1149" s="3" t="s">
        <v>7</v>
      </c>
      <c r="L1149" s="3" t="s">
        <v>122</v>
      </c>
      <c r="M1149" s="3" t="s">
        <v>67</v>
      </c>
      <c r="N1149" s="5">
        <v>1.6333097802057231E-2</v>
      </c>
      <c r="O1149" s="3" t="s">
        <v>7</v>
      </c>
    </row>
    <row r="1150" spans="2:15" x14ac:dyDescent="0.45">
      <c r="B1150" s="6" t="s">
        <v>120</v>
      </c>
      <c r="C1150" s="6" t="s">
        <v>68</v>
      </c>
      <c r="D1150" s="7">
        <v>0</v>
      </c>
      <c r="E1150" s="6" t="s">
        <v>7</v>
      </c>
      <c r="G1150" s="6" t="s">
        <v>121</v>
      </c>
      <c r="H1150" s="6" t="s">
        <v>68</v>
      </c>
      <c r="I1150" s="8">
        <v>2.7496242573700525E-2</v>
      </c>
      <c r="J1150" s="6" t="s">
        <v>7</v>
      </c>
      <c r="L1150" s="6" t="s">
        <v>122</v>
      </c>
      <c r="M1150" s="6" t="s">
        <v>68</v>
      </c>
      <c r="N1150" s="8">
        <v>2.3891621683073159E-2</v>
      </c>
      <c r="O1150" s="6" t="s">
        <v>7</v>
      </c>
    </row>
    <row r="1151" spans="2:15" x14ac:dyDescent="0.45">
      <c r="B1151" s="3" t="s">
        <v>123</v>
      </c>
      <c r="C1151" s="3" t="s">
        <v>6</v>
      </c>
      <c r="D1151" s="4">
        <v>0</v>
      </c>
      <c r="E1151" s="3" t="s">
        <v>7</v>
      </c>
      <c r="G1151" s="3" t="s">
        <v>124</v>
      </c>
      <c r="H1151" s="3" t="s">
        <v>6</v>
      </c>
      <c r="I1151" s="5">
        <v>3.4059267228367364E-2</v>
      </c>
      <c r="J1151" s="3" t="s">
        <v>7</v>
      </c>
      <c r="L1151" s="3" t="s">
        <v>125</v>
      </c>
      <c r="M1151" s="3" t="s">
        <v>6</v>
      </c>
      <c r="N1151" s="5">
        <v>4.0014079297384507E-2</v>
      </c>
      <c r="O1151" s="3" t="s">
        <v>7</v>
      </c>
    </row>
    <row r="1152" spans="2:15" x14ac:dyDescent="0.45">
      <c r="B1152" s="6" t="s">
        <v>123</v>
      </c>
      <c r="C1152" s="6" t="s">
        <v>10</v>
      </c>
      <c r="D1152" s="7">
        <v>0</v>
      </c>
      <c r="E1152" s="6" t="s">
        <v>7</v>
      </c>
      <c r="G1152" s="6" t="s">
        <v>124</v>
      </c>
      <c r="H1152" s="6" t="s">
        <v>10</v>
      </c>
      <c r="I1152" s="8">
        <v>1.3596405459629455E-2</v>
      </c>
      <c r="J1152" s="6" t="s">
        <v>7</v>
      </c>
      <c r="L1152" s="6" t="s">
        <v>125</v>
      </c>
      <c r="M1152" s="6" t="s">
        <v>10</v>
      </c>
      <c r="N1152" s="8">
        <v>1.5793758273777606E-2</v>
      </c>
      <c r="O1152" s="6" t="s">
        <v>7</v>
      </c>
    </row>
    <row r="1153" spans="2:15" x14ac:dyDescent="0.45">
      <c r="B1153" s="3" t="s">
        <v>123</v>
      </c>
      <c r="C1153" s="3" t="s">
        <v>11</v>
      </c>
      <c r="D1153" s="4">
        <v>3.0386712068595552E-4</v>
      </c>
      <c r="E1153" s="3" t="s">
        <v>7</v>
      </c>
      <c r="G1153" s="3" t="s">
        <v>124</v>
      </c>
      <c r="H1153" s="3" t="s">
        <v>11</v>
      </c>
      <c r="I1153" s="5">
        <v>1.3928274683510263E-2</v>
      </c>
      <c r="J1153" s="3" t="s">
        <v>7</v>
      </c>
      <c r="L1153" s="3" t="s">
        <v>125</v>
      </c>
      <c r="M1153" s="3" t="s">
        <v>11</v>
      </c>
      <c r="N1153" s="5">
        <v>1.5443569115338182E-2</v>
      </c>
      <c r="O1153" s="3" t="s">
        <v>7</v>
      </c>
    </row>
    <row r="1154" spans="2:15" x14ac:dyDescent="0.45">
      <c r="B1154" s="6" t="s">
        <v>123</v>
      </c>
      <c r="C1154" s="6" t="s">
        <v>12</v>
      </c>
      <c r="D1154" s="7">
        <v>1.1920099432019524E-2</v>
      </c>
      <c r="E1154" s="6" t="s">
        <v>7</v>
      </c>
      <c r="G1154" s="6" t="s">
        <v>124</v>
      </c>
      <c r="H1154" s="6" t="s">
        <v>12</v>
      </c>
      <c r="I1154" s="8">
        <v>1.3791095009828044E-2</v>
      </c>
      <c r="J1154" s="6" t="s">
        <v>7</v>
      </c>
      <c r="L1154" s="6" t="s">
        <v>125</v>
      </c>
      <c r="M1154" s="6" t="s">
        <v>12</v>
      </c>
      <c r="N1154" s="8">
        <v>1.5742754096999375E-2</v>
      </c>
      <c r="O1154" s="6" t="s">
        <v>7</v>
      </c>
    </row>
    <row r="1155" spans="2:15" x14ac:dyDescent="0.45">
      <c r="B1155" s="3" t="s">
        <v>123</v>
      </c>
      <c r="C1155" s="3" t="s">
        <v>13</v>
      </c>
      <c r="D1155" s="4">
        <v>3.0238136890657234E-2</v>
      </c>
      <c r="E1155" s="3" t="s">
        <v>7</v>
      </c>
      <c r="G1155" s="3" t="s">
        <v>124</v>
      </c>
      <c r="H1155" s="3" t="s">
        <v>13</v>
      </c>
      <c r="I1155" s="5">
        <v>1.409970062811901E-2</v>
      </c>
      <c r="J1155" s="3" t="s">
        <v>7</v>
      </c>
      <c r="L1155" s="3" t="s">
        <v>125</v>
      </c>
      <c r="M1155" s="3" t="s">
        <v>13</v>
      </c>
      <c r="N1155" s="5">
        <v>1.5755636174283019E-2</v>
      </c>
      <c r="O1155" s="3" t="s">
        <v>7</v>
      </c>
    </row>
    <row r="1156" spans="2:15" x14ac:dyDescent="0.45">
      <c r="B1156" s="6" t="s">
        <v>123</v>
      </c>
      <c r="C1156" s="6" t="s">
        <v>14</v>
      </c>
      <c r="D1156" s="7">
        <v>3.1916345332389941E-2</v>
      </c>
      <c r="E1156" s="6" t="s">
        <v>7</v>
      </c>
      <c r="G1156" s="6" t="s">
        <v>124</v>
      </c>
      <c r="H1156" s="6" t="s">
        <v>14</v>
      </c>
      <c r="I1156" s="8">
        <v>1.4075284275586878E-2</v>
      </c>
      <c r="J1156" s="6" t="s">
        <v>7</v>
      </c>
      <c r="L1156" s="6" t="s">
        <v>125</v>
      </c>
      <c r="M1156" s="6" t="s">
        <v>14</v>
      </c>
      <c r="N1156" s="8">
        <v>1.5727948441265325E-2</v>
      </c>
      <c r="O1156" s="6" t="s">
        <v>7</v>
      </c>
    </row>
    <row r="1157" spans="2:15" x14ac:dyDescent="0.45">
      <c r="B1157" s="3" t="s">
        <v>123</v>
      </c>
      <c r="C1157" s="3" t="s">
        <v>15</v>
      </c>
      <c r="D1157" s="4">
        <v>1.902384006293651E-2</v>
      </c>
      <c r="E1157" s="3" t="s">
        <v>7</v>
      </c>
      <c r="G1157" s="3" t="s">
        <v>124</v>
      </c>
      <c r="H1157" s="3" t="s">
        <v>15</v>
      </c>
      <c r="I1157" s="5">
        <v>1.3721989708473515E-2</v>
      </c>
      <c r="J1157" s="3" t="s">
        <v>7</v>
      </c>
      <c r="L1157" s="3" t="s">
        <v>125</v>
      </c>
      <c r="M1157" s="3" t="s">
        <v>15</v>
      </c>
      <c r="N1157" s="5">
        <v>1.581764970469051E-2</v>
      </c>
      <c r="O1157" s="3" t="s">
        <v>7</v>
      </c>
    </row>
    <row r="1158" spans="2:15" x14ac:dyDescent="0.45">
      <c r="B1158" s="6" t="s">
        <v>123</v>
      </c>
      <c r="C1158" s="6" t="s">
        <v>16</v>
      </c>
      <c r="D1158" s="7">
        <v>2.7294476754777227E-3</v>
      </c>
      <c r="E1158" s="6" t="s">
        <v>7</v>
      </c>
      <c r="G1158" s="6" t="s">
        <v>124</v>
      </c>
      <c r="H1158" s="6" t="s">
        <v>16</v>
      </c>
      <c r="I1158" s="8">
        <v>1.4133999587017996E-2</v>
      </c>
      <c r="J1158" s="6" t="s">
        <v>7</v>
      </c>
      <c r="L1158" s="6" t="s">
        <v>125</v>
      </c>
      <c r="M1158" s="6" t="s">
        <v>16</v>
      </c>
      <c r="N1158" s="8">
        <v>1.6058767892081046E-2</v>
      </c>
      <c r="O1158" s="6" t="s">
        <v>7</v>
      </c>
    </row>
    <row r="1159" spans="2:15" x14ac:dyDescent="0.45">
      <c r="B1159" s="3" t="s">
        <v>123</v>
      </c>
      <c r="C1159" s="3" t="s">
        <v>17</v>
      </c>
      <c r="D1159" s="4">
        <v>0</v>
      </c>
      <c r="E1159" s="3" t="s">
        <v>7</v>
      </c>
      <c r="G1159" s="3" t="s">
        <v>124</v>
      </c>
      <c r="H1159" s="3" t="s">
        <v>17</v>
      </c>
      <c r="I1159" s="5">
        <v>1.4749096859640379E-2</v>
      </c>
      <c r="J1159" s="3" t="s">
        <v>7</v>
      </c>
      <c r="L1159" s="3" t="s">
        <v>125</v>
      </c>
      <c r="M1159" s="3" t="s">
        <v>17</v>
      </c>
      <c r="N1159" s="5">
        <v>1.6245078911764941E-2</v>
      </c>
      <c r="O1159" s="3" t="s">
        <v>7</v>
      </c>
    </row>
    <row r="1160" spans="2:15" x14ac:dyDescent="0.45">
      <c r="B1160" s="6" t="s">
        <v>123</v>
      </c>
      <c r="C1160" s="6" t="s">
        <v>18</v>
      </c>
      <c r="D1160" s="7">
        <v>0</v>
      </c>
      <c r="E1160" s="6" t="s">
        <v>7</v>
      </c>
      <c r="G1160" s="6" t="s">
        <v>124</v>
      </c>
      <c r="H1160" s="6" t="s">
        <v>18</v>
      </c>
      <c r="I1160" s="8">
        <v>2.1528671429532867E-2</v>
      </c>
      <c r="J1160" s="6" t="s">
        <v>7</v>
      </c>
      <c r="L1160" s="6" t="s">
        <v>125</v>
      </c>
      <c r="M1160" s="6" t="s">
        <v>18</v>
      </c>
      <c r="N1160" s="8">
        <v>2.3800301495693864E-2</v>
      </c>
      <c r="O1160" s="6" t="s">
        <v>7</v>
      </c>
    </row>
    <row r="1161" spans="2:15" x14ac:dyDescent="0.45">
      <c r="B1161" s="3" t="s">
        <v>123</v>
      </c>
      <c r="C1161" s="3" t="s">
        <v>19</v>
      </c>
      <c r="D1161" s="4">
        <v>0</v>
      </c>
      <c r="E1161" s="3" t="s">
        <v>7</v>
      </c>
      <c r="G1161" s="3" t="s">
        <v>124</v>
      </c>
      <c r="H1161" s="3" t="s">
        <v>19</v>
      </c>
      <c r="I1161" s="5">
        <v>3.4128610228803972E-2</v>
      </c>
      <c r="J1161" s="3" t="s">
        <v>7</v>
      </c>
      <c r="L1161" s="3" t="s">
        <v>125</v>
      </c>
      <c r="M1161" s="3" t="s">
        <v>19</v>
      </c>
      <c r="N1161" s="5">
        <v>3.4866263315958927E-2</v>
      </c>
      <c r="O1161" s="3" t="s">
        <v>7</v>
      </c>
    </row>
    <row r="1162" spans="2:15" x14ac:dyDescent="0.45">
      <c r="B1162" s="6" t="s">
        <v>123</v>
      </c>
      <c r="C1162" s="6" t="s">
        <v>20</v>
      </c>
      <c r="D1162" s="7">
        <v>1.0599625354482994E-4</v>
      </c>
      <c r="E1162" s="6" t="s">
        <v>7</v>
      </c>
      <c r="G1162" s="6" t="s">
        <v>124</v>
      </c>
      <c r="H1162" s="6" t="s">
        <v>20</v>
      </c>
      <c r="I1162" s="8">
        <v>1.4318841506949925E-2</v>
      </c>
      <c r="J1162" s="6" t="s">
        <v>7</v>
      </c>
      <c r="L1162" s="6" t="s">
        <v>125</v>
      </c>
      <c r="M1162" s="6" t="s">
        <v>20</v>
      </c>
      <c r="N1162" s="8">
        <v>1.3831664690623406E-2</v>
      </c>
      <c r="O1162" s="6" t="s">
        <v>7</v>
      </c>
    </row>
    <row r="1163" spans="2:15" x14ac:dyDescent="0.45">
      <c r="B1163" s="3" t="s">
        <v>123</v>
      </c>
      <c r="C1163" s="3" t="s">
        <v>21</v>
      </c>
      <c r="D1163" s="4">
        <v>9.457389992615443E-3</v>
      </c>
      <c r="E1163" s="3" t="s">
        <v>7</v>
      </c>
      <c r="G1163" s="3" t="s">
        <v>124</v>
      </c>
      <c r="H1163" s="3" t="s">
        <v>21</v>
      </c>
      <c r="I1163" s="5">
        <v>1.5194151648376793E-2</v>
      </c>
      <c r="J1163" s="3" t="s">
        <v>7</v>
      </c>
      <c r="L1163" s="3" t="s">
        <v>125</v>
      </c>
      <c r="M1163" s="3" t="s">
        <v>21</v>
      </c>
      <c r="N1163" s="5">
        <v>1.3972310440205049E-2</v>
      </c>
      <c r="O1163" s="3" t="s">
        <v>7</v>
      </c>
    </row>
    <row r="1164" spans="2:15" x14ac:dyDescent="0.45">
      <c r="B1164" s="6" t="s">
        <v>123</v>
      </c>
      <c r="C1164" s="6" t="s">
        <v>22</v>
      </c>
      <c r="D1164" s="7">
        <v>3.6605994148172345E-2</v>
      </c>
      <c r="E1164" s="6" t="s">
        <v>7</v>
      </c>
      <c r="G1164" s="6" t="s">
        <v>124</v>
      </c>
      <c r="H1164" s="6" t="s">
        <v>22</v>
      </c>
      <c r="I1164" s="8">
        <v>1.7062421021690203E-2</v>
      </c>
      <c r="J1164" s="6" t="s">
        <v>7</v>
      </c>
      <c r="L1164" s="6" t="s">
        <v>125</v>
      </c>
      <c r="M1164" s="6" t="s">
        <v>22</v>
      </c>
      <c r="N1164" s="8">
        <v>1.3980772182372165E-2</v>
      </c>
      <c r="O1164" s="6" t="s">
        <v>7</v>
      </c>
    </row>
    <row r="1165" spans="2:15" x14ac:dyDescent="0.45">
      <c r="B1165" s="3" t="s">
        <v>123</v>
      </c>
      <c r="C1165" s="3" t="s">
        <v>23</v>
      </c>
      <c r="D1165" s="4">
        <v>5.2422960156169478E-2</v>
      </c>
      <c r="E1165" s="3" t="s">
        <v>7</v>
      </c>
      <c r="G1165" s="3" t="s">
        <v>124</v>
      </c>
      <c r="H1165" s="3" t="s">
        <v>23</v>
      </c>
      <c r="I1165" s="5">
        <v>1.7378791423669861E-2</v>
      </c>
      <c r="J1165" s="3" t="s">
        <v>7</v>
      </c>
      <c r="L1165" s="3" t="s">
        <v>125</v>
      </c>
      <c r="M1165" s="3" t="s">
        <v>23</v>
      </c>
      <c r="N1165" s="5">
        <v>1.4093314637389187E-2</v>
      </c>
      <c r="O1165" s="3" t="s">
        <v>7</v>
      </c>
    </row>
    <row r="1166" spans="2:15" x14ac:dyDescent="0.45">
      <c r="B1166" s="6" t="s">
        <v>123</v>
      </c>
      <c r="C1166" s="6" t="s">
        <v>24</v>
      </c>
      <c r="D1166" s="7">
        <v>5.4161733975413323E-2</v>
      </c>
      <c r="E1166" s="6" t="s">
        <v>7</v>
      </c>
      <c r="G1166" s="6" t="s">
        <v>124</v>
      </c>
      <c r="H1166" s="6" t="s">
        <v>24</v>
      </c>
      <c r="I1166" s="8">
        <v>1.7132677941654614E-2</v>
      </c>
      <c r="J1166" s="6" t="s">
        <v>7</v>
      </c>
      <c r="L1166" s="6" t="s">
        <v>125</v>
      </c>
      <c r="M1166" s="6" t="s">
        <v>24</v>
      </c>
      <c r="N1166" s="8">
        <v>1.4125197625770811E-2</v>
      </c>
      <c r="O1166" s="6" t="s">
        <v>7</v>
      </c>
    </row>
    <row r="1167" spans="2:15" x14ac:dyDescent="0.45">
      <c r="B1167" s="3" t="s">
        <v>123</v>
      </c>
      <c r="C1167" s="3" t="s">
        <v>25</v>
      </c>
      <c r="D1167" s="4">
        <v>4.1964207370814653E-2</v>
      </c>
      <c r="E1167" s="3" t="s">
        <v>7</v>
      </c>
      <c r="G1167" s="3" t="s">
        <v>124</v>
      </c>
      <c r="H1167" s="3" t="s">
        <v>25</v>
      </c>
      <c r="I1167" s="5">
        <v>1.6398589131763543E-2</v>
      </c>
      <c r="J1167" s="3" t="s">
        <v>7</v>
      </c>
      <c r="L1167" s="3" t="s">
        <v>125</v>
      </c>
      <c r="M1167" s="3" t="s">
        <v>25</v>
      </c>
      <c r="N1167" s="5">
        <v>1.4187670989423522E-2</v>
      </c>
      <c r="O1167" s="3" t="s">
        <v>7</v>
      </c>
    </row>
    <row r="1168" spans="2:15" x14ac:dyDescent="0.45">
      <c r="B1168" s="6" t="s">
        <v>123</v>
      </c>
      <c r="C1168" s="6" t="s">
        <v>26</v>
      </c>
      <c r="D1168" s="7">
        <v>1.6866341346418966E-2</v>
      </c>
      <c r="E1168" s="6" t="s">
        <v>7</v>
      </c>
      <c r="G1168" s="6" t="s">
        <v>124</v>
      </c>
      <c r="H1168" s="6" t="s">
        <v>26</v>
      </c>
      <c r="I1168" s="8">
        <v>1.5053656186698414E-2</v>
      </c>
      <c r="J1168" s="6" t="s">
        <v>7</v>
      </c>
      <c r="L1168" s="6" t="s">
        <v>125</v>
      </c>
      <c r="M1168" s="6" t="s">
        <v>26</v>
      </c>
      <c r="N1168" s="8">
        <v>1.4341511001156829E-2</v>
      </c>
      <c r="O1168" s="6" t="s">
        <v>7</v>
      </c>
    </row>
    <row r="1169" spans="2:15" x14ac:dyDescent="0.45">
      <c r="B1169" s="3" t="s">
        <v>123</v>
      </c>
      <c r="C1169" s="3" t="s">
        <v>27</v>
      </c>
      <c r="D1169" s="4">
        <v>3.9191448140266631E-4</v>
      </c>
      <c r="E1169" s="3" t="s">
        <v>7</v>
      </c>
      <c r="G1169" s="3" t="s">
        <v>124</v>
      </c>
      <c r="H1169" s="3" t="s">
        <v>27</v>
      </c>
      <c r="I1169" s="5">
        <v>1.4672578938469443E-2</v>
      </c>
      <c r="J1169" s="3" t="s">
        <v>7</v>
      </c>
      <c r="L1169" s="3" t="s">
        <v>125</v>
      </c>
      <c r="M1169" s="3" t="s">
        <v>27</v>
      </c>
      <c r="N1169" s="5">
        <v>1.4692146756422541E-2</v>
      </c>
      <c r="O1169" s="3" t="s">
        <v>7</v>
      </c>
    </row>
    <row r="1170" spans="2:15" x14ac:dyDescent="0.45">
      <c r="B1170" s="6" t="s">
        <v>123</v>
      </c>
      <c r="C1170" s="6" t="s">
        <v>28</v>
      </c>
      <c r="D1170" s="7">
        <v>0</v>
      </c>
      <c r="E1170" s="6" t="s">
        <v>7</v>
      </c>
      <c r="G1170" s="6" t="s">
        <v>124</v>
      </c>
      <c r="H1170" s="6" t="s">
        <v>28</v>
      </c>
      <c r="I1170" s="8">
        <v>2.1062396103123441E-2</v>
      </c>
      <c r="J1170" s="6" t="s">
        <v>7</v>
      </c>
      <c r="L1170" s="6" t="s">
        <v>125</v>
      </c>
      <c r="M1170" s="6" t="s">
        <v>28</v>
      </c>
      <c r="N1170" s="8">
        <v>2.1900085241537671E-2</v>
      </c>
      <c r="O1170" s="6" t="s">
        <v>7</v>
      </c>
    </row>
    <row r="1171" spans="2:15" x14ac:dyDescent="0.45">
      <c r="B1171" s="3" t="s">
        <v>123</v>
      </c>
      <c r="C1171" s="3" t="s">
        <v>29</v>
      </c>
      <c r="D1171" s="4">
        <v>0</v>
      </c>
      <c r="E1171" s="3" t="s">
        <v>7</v>
      </c>
      <c r="G1171" s="3" t="s">
        <v>124</v>
      </c>
      <c r="H1171" s="3" t="s">
        <v>29</v>
      </c>
      <c r="I1171" s="5">
        <v>2.5799025606000336E-2</v>
      </c>
      <c r="J1171" s="3" t="s">
        <v>7</v>
      </c>
      <c r="L1171" s="3" t="s">
        <v>125</v>
      </c>
      <c r="M1171" s="3" t="s">
        <v>29</v>
      </c>
      <c r="N1171" s="5">
        <v>2.8585310205532958E-2</v>
      </c>
      <c r="O1171" s="3" t="s">
        <v>7</v>
      </c>
    </row>
    <row r="1172" spans="2:15" x14ac:dyDescent="0.45">
      <c r="B1172" s="6" t="s">
        <v>123</v>
      </c>
      <c r="C1172" s="6" t="s">
        <v>30</v>
      </c>
      <c r="D1172" s="7">
        <v>2.2958802718993387E-3</v>
      </c>
      <c r="E1172" s="6" t="s">
        <v>7</v>
      </c>
      <c r="G1172" s="6" t="s">
        <v>124</v>
      </c>
      <c r="H1172" s="6" t="s">
        <v>30</v>
      </c>
      <c r="I1172" s="8">
        <v>9.9232557655310281E-3</v>
      </c>
      <c r="J1172" s="6" t="s">
        <v>7</v>
      </c>
      <c r="L1172" s="6" t="s">
        <v>125</v>
      </c>
      <c r="M1172" s="6" t="s">
        <v>30</v>
      </c>
      <c r="N1172" s="8">
        <v>1.1735315703807528E-2</v>
      </c>
      <c r="O1172" s="6" t="s">
        <v>7</v>
      </c>
    </row>
    <row r="1173" spans="2:15" x14ac:dyDescent="0.45">
      <c r="B1173" s="3" t="s">
        <v>123</v>
      </c>
      <c r="C1173" s="3" t="s">
        <v>31</v>
      </c>
      <c r="D1173" s="4">
        <v>1.9432648705429493E-2</v>
      </c>
      <c r="E1173" s="3" t="s">
        <v>7</v>
      </c>
      <c r="G1173" s="3" t="s">
        <v>124</v>
      </c>
      <c r="H1173" s="3" t="s">
        <v>31</v>
      </c>
      <c r="I1173" s="5">
        <v>1.0847448008044849E-2</v>
      </c>
      <c r="J1173" s="3" t="s">
        <v>7</v>
      </c>
      <c r="L1173" s="3" t="s">
        <v>125</v>
      </c>
      <c r="M1173" s="3" t="s">
        <v>31</v>
      </c>
      <c r="N1173" s="5">
        <v>1.2095401961077184E-2</v>
      </c>
      <c r="O1173" s="3" t="s">
        <v>7</v>
      </c>
    </row>
    <row r="1174" spans="2:15" x14ac:dyDescent="0.45">
      <c r="B1174" s="6" t="s">
        <v>123</v>
      </c>
      <c r="C1174" s="6" t="s">
        <v>32</v>
      </c>
      <c r="D1174" s="7">
        <v>4.1677490901241621E-2</v>
      </c>
      <c r="E1174" s="6" t="s">
        <v>7</v>
      </c>
      <c r="G1174" s="6" t="s">
        <v>124</v>
      </c>
      <c r="H1174" s="6" t="s">
        <v>32</v>
      </c>
      <c r="I1174" s="8">
        <v>1.1259485152677036E-2</v>
      </c>
      <c r="J1174" s="6" t="s">
        <v>7</v>
      </c>
      <c r="L1174" s="6" t="s">
        <v>125</v>
      </c>
      <c r="M1174" s="6" t="s">
        <v>32</v>
      </c>
      <c r="N1174" s="8">
        <v>1.1994056362876492E-2</v>
      </c>
      <c r="O1174" s="6" t="s">
        <v>7</v>
      </c>
    </row>
    <row r="1175" spans="2:15" x14ac:dyDescent="0.45">
      <c r="B1175" s="3" t="s">
        <v>123</v>
      </c>
      <c r="C1175" s="3" t="s">
        <v>33</v>
      </c>
      <c r="D1175" s="4">
        <v>5.3054238678722804E-2</v>
      </c>
      <c r="E1175" s="3" t="s">
        <v>7</v>
      </c>
      <c r="G1175" s="3" t="s">
        <v>124</v>
      </c>
      <c r="H1175" s="3" t="s">
        <v>33</v>
      </c>
      <c r="I1175" s="5">
        <v>1.1932901519035019E-2</v>
      </c>
      <c r="J1175" s="3" t="s">
        <v>7</v>
      </c>
      <c r="L1175" s="3" t="s">
        <v>125</v>
      </c>
      <c r="M1175" s="3" t="s">
        <v>33</v>
      </c>
      <c r="N1175" s="5">
        <v>1.1817388036454777E-2</v>
      </c>
      <c r="O1175" s="3" t="s">
        <v>7</v>
      </c>
    </row>
    <row r="1176" spans="2:15" x14ac:dyDescent="0.45">
      <c r="B1176" s="6" t="s">
        <v>123</v>
      </c>
      <c r="C1176" s="6" t="s">
        <v>34</v>
      </c>
      <c r="D1176" s="7">
        <v>5.4857939507799401E-2</v>
      </c>
      <c r="E1176" s="6" t="s">
        <v>7</v>
      </c>
      <c r="G1176" s="6" t="s">
        <v>124</v>
      </c>
      <c r="H1176" s="6" t="s">
        <v>34</v>
      </c>
      <c r="I1176" s="8">
        <v>1.2715176701721665E-2</v>
      </c>
      <c r="J1176" s="6" t="s">
        <v>7</v>
      </c>
      <c r="L1176" s="6" t="s">
        <v>125</v>
      </c>
      <c r="M1176" s="6" t="s">
        <v>34</v>
      </c>
      <c r="N1176" s="8">
        <v>1.1785380945989335E-2</v>
      </c>
      <c r="O1176" s="6" t="s">
        <v>7</v>
      </c>
    </row>
    <row r="1177" spans="2:15" x14ac:dyDescent="0.45">
      <c r="B1177" s="3" t="s">
        <v>123</v>
      </c>
      <c r="C1177" s="3" t="s">
        <v>35</v>
      </c>
      <c r="D1177" s="4">
        <v>4.373936802319351E-2</v>
      </c>
      <c r="E1177" s="3" t="s">
        <v>7</v>
      </c>
      <c r="G1177" s="3" t="s">
        <v>124</v>
      </c>
      <c r="H1177" s="3" t="s">
        <v>35</v>
      </c>
      <c r="I1177" s="5">
        <v>1.3093396715001883E-2</v>
      </c>
      <c r="J1177" s="3" t="s">
        <v>7</v>
      </c>
      <c r="L1177" s="3" t="s">
        <v>125</v>
      </c>
      <c r="M1177" s="3" t="s">
        <v>35</v>
      </c>
      <c r="N1177" s="5">
        <v>1.2050895509590853E-2</v>
      </c>
      <c r="O1177" s="3" t="s">
        <v>7</v>
      </c>
    </row>
    <row r="1178" spans="2:15" x14ac:dyDescent="0.45">
      <c r="B1178" s="6" t="s">
        <v>123</v>
      </c>
      <c r="C1178" s="6" t="s">
        <v>36</v>
      </c>
      <c r="D1178" s="7">
        <v>2.2801162063835454E-2</v>
      </c>
      <c r="E1178" s="6" t="s">
        <v>7</v>
      </c>
      <c r="G1178" s="6" t="s">
        <v>124</v>
      </c>
      <c r="H1178" s="6" t="s">
        <v>36</v>
      </c>
      <c r="I1178" s="8">
        <v>1.2325434680295781E-2</v>
      </c>
      <c r="J1178" s="6" t="s">
        <v>7</v>
      </c>
      <c r="L1178" s="6" t="s">
        <v>125</v>
      </c>
      <c r="M1178" s="6" t="s">
        <v>36</v>
      </c>
      <c r="N1178" s="8">
        <v>1.1976235480977152E-2</v>
      </c>
      <c r="O1178" s="6" t="s">
        <v>7</v>
      </c>
    </row>
    <row r="1179" spans="2:15" x14ac:dyDescent="0.45">
      <c r="B1179" s="3" t="s">
        <v>123</v>
      </c>
      <c r="C1179" s="3" t="s">
        <v>37</v>
      </c>
      <c r="D1179" s="4">
        <v>3.4300740168666296E-3</v>
      </c>
      <c r="E1179" s="3" t="s">
        <v>7</v>
      </c>
      <c r="G1179" s="3" t="s">
        <v>124</v>
      </c>
      <c r="H1179" s="3" t="s">
        <v>37</v>
      </c>
      <c r="I1179" s="5">
        <v>1.1484742272001849E-2</v>
      </c>
      <c r="J1179" s="3" t="s">
        <v>7</v>
      </c>
      <c r="L1179" s="3" t="s">
        <v>125</v>
      </c>
      <c r="M1179" s="3" t="s">
        <v>37</v>
      </c>
      <c r="N1179" s="5">
        <v>1.1674464596659039E-2</v>
      </c>
      <c r="O1179" s="3" t="s">
        <v>7</v>
      </c>
    </row>
    <row r="1180" spans="2:15" x14ac:dyDescent="0.45">
      <c r="B1180" s="6" t="s">
        <v>123</v>
      </c>
      <c r="C1180" s="6" t="s">
        <v>38</v>
      </c>
      <c r="D1180" s="7">
        <v>1.1574987070204628E-5</v>
      </c>
      <c r="E1180" s="6" t="s">
        <v>7</v>
      </c>
      <c r="G1180" s="6" t="s">
        <v>124</v>
      </c>
      <c r="H1180" s="6" t="s">
        <v>38</v>
      </c>
      <c r="I1180" s="8">
        <v>1.6387249741281772E-2</v>
      </c>
      <c r="J1180" s="6" t="s">
        <v>7</v>
      </c>
      <c r="L1180" s="6" t="s">
        <v>125</v>
      </c>
      <c r="M1180" s="6" t="s">
        <v>38</v>
      </c>
      <c r="N1180" s="8">
        <v>1.7018593354555078E-2</v>
      </c>
      <c r="O1180" s="6" t="s">
        <v>7</v>
      </c>
    </row>
    <row r="1181" spans="2:15" x14ac:dyDescent="0.45">
      <c r="B1181" s="3" t="s">
        <v>123</v>
      </c>
      <c r="C1181" s="3" t="s">
        <v>39</v>
      </c>
      <c r="D1181" s="4">
        <v>0</v>
      </c>
      <c r="E1181" s="3" t="s">
        <v>7</v>
      </c>
      <c r="G1181" s="3" t="s">
        <v>124</v>
      </c>
      <c r="H1181" s="3" t="s">
        <v>39</v>
      </c>
      <c r="I1181" s="5">
        <v>1.64484363422258E-2</v>
      </c>
      <c r="J1181" s="3" t="s">
        <v>7</v>
      </c>
      <c r="L1181" s="3" t="s">
        <v>125</v>
      </c>
      <c r="M1181" s="3" t="s">
        <v>39</v>
      </c>
      <c r="N1181" s="5">
        <v>2.6638596433686584E-2</v>
      </c>
      <c r="O1181" s="3" t="s">
        <v>7</v>
      </c>
    </row>
    <row r="1182" spans="2:15" x14ac:dyDescent="0.45">
      <c r="B1182" s="6" t="s">
        <v>123</v>
      </c>
      <c r="C1182" s="6" t="s">
        <v>40</v>
      </c>
      <c r="D1182" s="7">
        <v>1.2114834986538094E-3</v>
      </c>
      <c r="E1182" s="6" t="s">
        <v>7</v>
      </c>
      <c r="G1182" s="6" t="s">
        <v>124</v>
      </c>
      <c r="H1182" s="6" t="s">
        <v>40</v>
      </c>
      <c r="I1182" s="8">
        <v>6.6023862596480713E-3</v>
      </c>
      <c r="J1182" s="6" t="s">
        <v>7</v>
      </c>
      <c r="L1182" s="6" t="s">
        <v>125</v>
      </c>
      <c r="M1182" s="6" t="s">
        <v>40</v>
      </c>
      <c r="N1182" s="8">
        <v>1.0590765063870201E-2</v>
      </c>
      <c r="O1182" s="6" t="s">
        <v>7</v>
      </c>
    </row>
    <row r="1183" spans="2:15" x14ac:dyDescent="0.45">
      <c r="B1183" s="3" t="s">
        <v>123</v>
      </c>
      <c r="C1183" s="3" t="s">
        <v>41</v>
      </c>
      <c r="D1183" s="4">
        <v>1.5389724509639827E-2</v>
      </c>
      <c r="E1183" s="3" t="s">
        <v>7</v>
      </c>
      <c r="G1183" s="3" t="s">
        <v>124</v>
      </c>
      <c r="H1183" s="3" t="s">
        <v>41</v>
      </c>
      <c r="I1183" s="5">
        <v>7.4164688378834101E-3</v>
      </c>
      <c r="J1183" s="3" t="s">
        <v>7</v>
      </c>
      <c r="L1183" s="3" t="s">
        <v>125</v>
      </c>
      <c r="M1183" s="3" t="s">
        <v>41</v>
      </c>
      <c r="N1183" s="5">
        <v>1.0404835049045913E-2</v>
      </c>
      <c r="O1183" s="3" t="s">
        <v>7</v>
      </c>
    </row>
    <row r="1184" spans="2:15" x14ac:dyDescent="0.45">
      <c r="B1184" s="6" t="s">
        <v>123</v>
      </c>
      <c r="C1184" s="6" t="s">
        <v>42</v>
      </c>
      <c r="D1184" s="7">
        <v>4.1880137106147658E-2</v>
      </c>
      <c r="E1184" s="6" t="s">
        <v>7</v>
      </c>
      <c r="G1184" s="6" t="s">
        <v>124</v>
      </c>
      <c r="H1184" s="6" t="s">
        <v>42</v>
      </c>
      <c r="I1184" s="8">
        <v>8.4441942218440331E-3</v>
      </c>
      <c r="J1184" s="6" t="s">
        <v>7</v>
      </c>
      <c r="L1184" s="6" t="s">
        <v>125</v>
      </c>
      <c r="M1184" s="6" t="s">
        <v>42</v>
      </c>
      <c r="N1184" s="8">
        <v>1.004943495218589E-2</v>
      </c>
      <c r="O1184" s="6" t="s">
        <v>7</v>
      </c>
    </row>
    <row r="1185" spans="2:15" x14ac:dyDescent="0.45">
      <c r="B1185" s="3" t="s">
        <v>123</v>
      </c>
      <c r="C1185" s="3" t="s">
        <v>43</v>
      </c>
      <c r="D1185" s="4">
        <v>5.7019727131568693E-2</v>
      </c>
      <c r="E1185" s="3" t="s">
        <v>7</v>
      </c>
      <c r="G1185" s="3" t="s">
        <v>124</v>
      </c>
      <c r="H1185" s="3" t="s">
        <v>43</v>
      </c>
      <c r="I1185" s="5">
        <v>9.1891271420934256E-3</v>
      </c>
      <c r="J1185" s="3" t="s">
        <v>7</v>
      </c>
      <c r="L1185" s="3" t="s">
        <v>125</v>
      </c>
      <c r="M1185" s="3" t="s">
        <v>43</v>
      </c>
      <c r="N1185" s="5">
        <v>1.0041251145725892E-2</v>
      </c>
      <c r="O1185" s="3" t="s">
        <v>7</v>
      </c>
    </row>
    <row r="1186" spans="2:15" x14ac:dyDescent="0.45">
      <c r="B1186" s="6" t="s">
        <v>123</v>
      </c>
      <c r="C1186" s="6" t="s">
        <v>44</v>
      </c>
      <c r="D1186" s="7">
        <v>5.9117500556243242E-2</v>
      </c>
      <c r="E1186" s="6" t="s">
        <v>7</v>
      </c>
      <c r="G1186" s="6" t="s">
        <v>124</v>
      </c>
      <c r="H1186" s="6" t="s">
        <v>44</v>
      </c>
      <c r="I1186" s="8">
        <v>9.4785273068247067E-3</v>
      </c>
      <c r="J1186" s="6" t="s">
        <v>7</v>
      </c>
      <c r="L1186" s="6" t="s">
        <v>125</v>
      </c>
      <c r="M1186" s="6" t="s">
        <v>44</v>
      </c>
      <c r="N1186" s="8">
        <v>1.0104781258934362E-2</v>
      </c>
      <c r="O1186" s="6" t="s">
        <v>7</v>
      </c>
    </row>
    <row r="1187" spans="2:15" x14ac:dyDescent="0.45">
      <c r="B1187" s="3" t="s">
        <v>123</v>
      </c>
      <c r="C1187" s="3" t="s">
        <v>45</v>
      </c>
      <c r="D1187" s="4">
        <v>4.6436218399903091E-2</v>
      </c>
      <c r="E1187" s="3" t="s">
        <v>7</v>
      </c>
      <c r="G1187" s="3" t="s">
        <v>124</v>
      </c>
      <c r="H1187" s="3" t="s">
        <v>45</v>
      </c>
      <c r="I1187" s="5">
        <v>9.3218713776530692E-3</v>
      </c>
      <c r="J1187" s="3" t="s">
        <v>7</v>
      </c>
      <c r="L1187" s="3" t="s">
        <v>125</v>
      </c>
      <c r="M1187" s="3" t="s">
        <v>45</v>
      </c>
      <c r="N1187" s="5">
        <v>1.0189336353860804E-2</v>
      </c>
      <c r="O1187" s="3" t="s">
        <v>7</v>
      </c>
    </row>
    <row r="1188" spans="2:15" x14ac:dyDescent="0.45">
      <c r="B1188" s="6" t="s">
        <v>123</v>
      </c>
      <c r="C1188" s="6" t="s">
        <v>46</v>
      </c>
      <c r="D1188" s="7">
        <v>2.3441453679423564E-2</v>
      </c>
      <c r="E1188" s="6" t="s">
        <v>7</v>
      </c>
      <c r="G1188" s="6" t="s">
        <v>124</v>
      </c>
      <c r="H1188" s="6" t="s">
        <v>46</v>
      </c>
      <c r="I1188" s="8">
        <v>8.3204923958901129E-3</v>
      </c>
      <c r="J1188" s="6" t="s">
        <v>7</v>
      </c>
      <c r="L1188" s="6" t="s">
        <v>125</v>
      </c>
      <c r="M1188" s="6" t="s">
        <v>46</v>
      </c>
      <c r="N1188" s="8">
        <v>1.0256520322609484E-2</v>
      </c>
      <c r="O1188" s="6" t="s">
        <v>7</v>
      </c>
    </row>
    <row r="1189" spans="2:15" x14ac:dyDescent="0.45">
      <c r="B1189" s="3" t="s">
        <v>123</v>
      </c>
      <c r="C1189" s="3" t="s">
        <v>47</v>
      </c>
      <c r="D1189" s="4">
        <v>2.9235397478310325E-3</v>
      </c>
      <c r="E1189" s="3" t="s">
        <v>7</v>
      </c>
      <c r="G1189" s="3" t="s">
        <v>124</v>
      </c>
      <c r="H1189" s="3" t="s">
        <v>47</v>
      </c>
      <c r="I1189" s="5">
        <v>7.3015454126280537E-3</v>
      </c>
      <c r="J1189" s="3" t="s">
        <v>7</v>
      </c>
      <c r="L1189" s="3" t="s">
        <v>125</v>
      </c>
      <c r="M1189" s="3" t="s">
        <v>47</v>
      </c>
      <c r="N1189" s="5">
        <v>1.0209865088194336E-2</v>
      </c>
      <c r="O1189" s="3" t="s">
        <v>7</v>
      </c>
    </row>
    <row r="1190" spans="2:15" x14ac:dyDescent="0.45">
      <c r="B1190" s="6" t="s">
        <v>123</v>
      </c>
      <c r="C1190" s="6" t="s">
        <v>48</v>
      </c>
      <c r="D1190" s="7">
        <v>4.426022873752487E-6</v>
      </c>
      <c r="E1190" s="6" t="s">
        <v>7</v>
      </c>
      <c r="G1190" s="6" t="s">
        <v>124</v>
      </c>
      <c r="H1190" s="6" t="s">
        <v>48</v>
      </c>
      <c r="I1190" s="8">
        <v>1.058807108861602E-2</v>
      </c>
      <c r="J1190" s="6" t="s">
        <v>7</v>
      </c>
      <c r="L1190" s="6" t="s">
        <v>125</v>
      </c>
      <c r="M1190" s="6" t="s">
        <v>48</v>
      </c>
      <c r="N1190" s="8">
        <v>1.532012226319061E-2</v>
      </c>
      <c r="O1190" s="6" t="s">
        <v>7</v>
      </c>
    </row>
    <row r="1191" spans="2:15" x14ac:dyDescent="0.45">
      <c r="B1191" s="3" t="s">
        <v>123</v>
      </c>
      <c r="C1191" s="3" t="s">
        <v>49</v>
      </c>
      <c r="D1191" s="4">
        <v>0</v>
      </c>
      <c r="E1191" s="3" t="s">
        <v>7</v>
      </c>
      <c r="G1191" s="3" t="s">
        <v>124</v>
      </c>
      <c r="H1191" s="3" t="s">
        <v>49</v>
      </c>
      <c r="I1191" s="5">
        <v>3.7036071639377548E-2</v>
      </c>
      <c r="J1191" s="3" t="s">
        <v>7</v>
      </c>
      <c r="L1191" s="3" t="s">
        <v>125</v>
      </c>
      <c r="M1191" s="3" t="s">
        <v>49</v>
      </c>
      <c r="N1191" s="5">
        <v>3.3729683240012201E-2</v>
      </c>
      <c r="O1191" s="3" t="s">
        <v>7</v>
      </c>
    </row>
    <row r="1192" spans="2:15" x14ac:dyDescent="0.45">
      <c r="B1192" s="6" t="s">
        <v>123</v>
      </c>
      <c r="C1192" s="6" t="s">
        <v>50</v>
      </c>
      <c r="D1192" s="7">
        <v>0</v>
      </c>
      <c r="E1192" s="6" t="s">
        <v>7</v>
      </c>
      <c r="G1192" s="6" t="s">
        <v>124</v>
      </c>
      <c r="H1192" s="6" t="s">
        <v>50</v>
      </c>
      <c r="I1192" s="8">
        <v>1.3779521956460046E-2</v>
      </c>
      <c r="J1192" s="6" t="s">
        <v>7</v>
      </c>
      <c r="L1192" s="6" t="s">
        <v>125</v>
      </c>
      <c r="M1192" s="6" t="s">
        <v>50</v>
      </c>
      <c r="N1192" s="8">
        <v>1.4136292760251449E-2</v>
      </c>
      <c r="O1192" s="6" t="s">
        <v>7</v>
      </c>
    </row>
    <row r="1193" spans="2:15" x14ac:dyDescent="0.45">
      <c r="B1193" s="3" t="s">
        <v>123</v>
      </c>
      <c r="C1193" s="3" t="s">
        <v>51</v>
      </c>
      <c r="D1193" s="4">
        <v>4.1435349042212438E-3</v>
      </c>
      <c r="E1193" s="3" t="s">
        <v>7</v>
      </c>
      <c r="G1193" s="3" t="s">
        <v>124</v>
      </c>
      <c r="H1193" s="3" t="s">
        <v>51</v>
      </c>
      <c r="I1193" s="5">
        <v>1.4284372494078379E-2</v>
      </c>
      <c r="J1193" s="3" t="s">
        <v>7</v>
      </c>
      <c r="L1193" s="3" t="s">
        <v>125</v>
      </c>
      <c r="M1193" s="3" t="s">
        <v>51</v>
      </c>
      <c r="N1193" s="5">
        <v>1.4448312635022583E-2</v>
      </c>
      <c r="O1193" s="3" t="s">
        <v>7</v>
      </c>
    </row>
    <row r="1194" spans="2:15" x14ac:dyDescent="0.45">
      <c r="B1194" s="6" t="s">
        <v>123</v>
      </c>
      <c r="C1194" s="6" t="s">
        <v>52</v>
      </c>
      <c r="D1194" s="7">
        <v>2.1393813155063522E-2</v>
      </c>
      <c r="E1194" s="6" t="s">
        <v>7</v>
      </c>
      <c r="G1194" s="6" t="s">
        <v>124</v>
      </c>
      <c r="H1194" s="6" t="s">
        <v>52</v>
      </c>
      <c r="I1194" s="8">
        <v>1.5718690110900692E-2</v>
      </c>
      <c r="J1194" s="6" t="s">
        <v>7</v>
      </c>
      <c r="L1194" s="6" t="s">
        <v>125</v>
      </c>
      <c r="M1194" s="6" t="s">
        <v>52</v>
      </c>
      <c r="N1194" s="8">
        <v>1.4429447709866325E-2</v>
      </c>
      <c r="O1194" s="6" t="s">
        <v>7</v>
      </c>
    </row>
    <row r="1195" spans="2:15" x14ac:dyDescent="0.45">
      <c r="B1195" s="3" t="s">
        <v>123</v>
      </c>
      <c r="C1195" s="3" t="s">
        <v>53</v>
      </c>
      <c r="D1195" s="4">
        <v>3.5233046022942111E-2</v>
      </c>
      <c r="E1195" s="3" t="s">
        <v>7</v>
      </c>
      <c r="G1195" s="3" t="s">
        <v>124</v>
      </c>
      <c r="H1195" s="3" t="s">
        <v>53</v>
      </c>
      <c r="I1195" s="5">
        <v>1.6830907913894477E-2</v>
      </c>
      <c r="J1195" s="3" t="s">
        <v>7</v>
      </c>
      <c r="L1195" s="3" t="s">
        <v>125</v>
      </c>
      <c r="M1195" s="3" t="s">
        <v>53</v>
      </c>
      <c r="N1195" s="5">
        <v>1.4234650876641773E-2</v>
      </c>
      <c r="O1195" s="3" t="s">
        <v>7</v>
      </c>
    </row>
    <row r="1196" spans="2:15" x14ac:dyDescent="0.45">
      <c r="B1196" s="6" t="s">
        <v>123</v>
      </c>
      <c r="C1196" s="6" t="s">
        <v>54</v>
      </c>
      <c r="D1196" s="7">
        <v>3.4934078710217621E-2</v>
      </c>
      <c r="E1196" s="6" t="s">
        <v>7</v>
      </c>
      <c r="G1196" s="6" t="s">
        <v>124</v>
      </c>
      <c r="H1196" s="6" t="s">
        <v>54</v>
      </c>
      <c r="I1196" s="8">
        <v>1.7534248149757268E-2</v>
      </c>
      <c r="J1196" s="6" t="s">
        <v>7</v>
      </c>
      <c r="L1196" s="6" t="s">
        <v>125</v>
      </c>
      <c r="M1196" s="6" t="s">
        <v>54</v>
      </c>
      <c r="N1196" s="8">
        <v>1.4037511409561165E-2</v>
      </c>
      <c r="O1196" s="6" t="s">
        <v>7</v>
      </c>
    </row>
    <row r="1197" spans="2:15" x14ac:dyDescent="0.45">
      <c r="B1197" s="3" t="s">
        <v>123</v>
      </c>
      <c r="C1197" s="3" t="s">
        <v>55</v>
      </c>
      <c r="D1197" s="4">
        <v>2.3157958134388906E-2</v>
      </c>
      <c r="E1197" s="3" t="s">
        <v>7</v>
      </c>
      <c r="G1197" s="3" t="s">
        <v>124</v>
      </c>
      <c r="H1197" s="3" t="s">
        <v>55</v>
      </c>
      <c r="I1197" s="5">
        <v>1.7309556246638481E-2</v>
      </c>
      <c r="J1197" s="3" t="s">
        <v>7</v>
      </c>
      <c r="L1197" s="3" t="s">
        <v>125</v>
      </c>
      <c r="M1197" s="3" t="s">
        <v>55</v>
      </c>
      <c r="N1197" s="5">
        <v>1.3956140774305034E-2</v>
      </c>
      <c r="O1197" s="3" t="s">
        <v>7</v>
      </c>
    </row>
    <row r="1198" spans="2:15" x14ac:dyDescent="0.45">
      <c r="B1198" s="6" t="s">
        <v>123</v>
      </c>
      <c r="C1198" s="6" t="s">
        <v>56</v>
      </c>
      <c r="D1198" s="7">
        <v>6.0867138280786669E-3</v>
      </c>
      <c r="E1198" s="6" t="s">
        <v>7</v>
      </c>
      <c r="G1198" s="6" t="s">
        <v>124</v>
      </c>
      <c r="H1198" s="6" t="s">
        <v>56</v>
      </c>
      <c r="I1198" s="8">
        <v>1.662030991210281E-2</v>
      </c>
      <c r="J1198" s="6" t="s">
        <v>7</v>
      </c>
      <c r="L1198" s="6" t="s">
        <v>125</v>
      </c>
      <c r="M1198" s="6" t="s">
        <v>56</v>
      </c>
      <c r="N1198" s="8">
        <v>1.3894846567505085E-2</v>
      </c>
      <c r="O1198" s="6" t="s">
        <v>7</v>
      </c>
    </row>
    <row r="1199" spans="2:15" x14ac:dyDescent="0.45">
      <c r="B1199" s="3" t="s">
        <v>123</v>
      </c>
      <c r="C1199" s="3" t="s">
        <v>57</v>
      </c>
      <c r="D1199" s="4">
        <v>2.1233837705724773E-5</v>
      </c>
      <c r="E1199" s="3" t="s">
        <v>7</v>
      </c>
      <c r="G1199" s="3" t="s">
        <v>124</v>
      </c>
      <c r="H1199" s="3" t="s">
        <v>57</v>
      </c>
      <c r="I1199" s="5">
        <v>1.6496272286515016E-2</v>
      </c>
      <c r="J1199" s="3" t="s">
        <v>7</v>
      </c>
      <c r="L1199" s="3" t="s">
        <v>125</v>
      </c>
      <c r="M1199" s="3" t="s">
        <v>57</v>
      </c>
      <c r="N1199" s="5">
        <v>1.3860543573585489E-2</v>
      </c>
      <c r="O1199" s="3" t="s">
        <v>7</v>
      </c>
    </row>
    <row r="1200" spans="2:15" x14ac:dyDescent="0.45">
      <c r="B1200" s="6" t="s">
        <v>123</v>
      </c>
      <c r="C1200" s="6" t="s">
        <v>58</v>
      </c>
      <c r="D1200" s="7">
        <v>0</v>
      </c>
      <c r="E1200" s="6" t="s">
        <v>7</v>
      </c>
      <c r="G1200" s="6" t="s">
        <v>124</v>
      </c>
      <c r="H1200" s="6" t="s">
        <v>58</v>
      </c>
      <c r="I1200" s="8">
        <v>2.4336007251430595E-2</v>
      </c>
      <c r="J1200" s="6" t="s">
        <v>7</v>
      </c>
      <c r="L1200" s="6" t="s">
        <v>125</v>
      </c>
      <c r="M1200" s="6" t="s">
        <v>58</v>
      </c>
      <c r="N1200" s="8">
        <v>2.0303378125504579E-2</v>
      </c>
      <c r="O1200" s="6" t="s">
        <v>7</v>
      </c>
    </row>
    <row r="1201" spans="2:15" x14ac:dyDescent="0.45">
      <c r="B1201" s="3" t="s">
        <v>123</v>
      </c>
      <c r="C1201" s="3" t="s">
        <v>59</v>
      </c>
      <c r="D1201" s="4">
        <v>0</v>
      </c>
      <c r="E1201" s="3" t="s">
        <v>7</v>
      </c>
      <c r="G1201" s="3" t="s">
        <v>124</v>
      </c>
      <c r="H1201" s="3" t="s">
        <v>59</v>
      </c>
      <c r="I1201" s="5">
        <v>5.0761878574577285E-2</v>
      </c>
      <c r="J1201" s="3" t="s">
        <v>7</v>
      </c>
      <c r="L1201" s="3" t="s">
        <v>125</v>
      </c>
      <c r="M1201" s="3" t="s">
        <v>59</v>
      </c>
      <c r="N1201" s="5">
        <v>4.3690570224465104E-2</v>
      </c>
      <c r="O1201" s="3" t="s">
        <v>7</v>
      </c>
    </row>
    <row r="1202" spans="2:15" x14ac:dyDescent="0.45">
      <c r="B1202" s="6" t="s">
        <v>123</v>
      </c>
      <c r="C1202" s="6" t="s">
        <v>60</v>
      </c>
      <c r="D1202" s="7">
        <v>0</v>
      </c>
      <c r="E1202" s="6" t="s">
        <v>7</v>
      </c>
      <c r="G1202" s="6" t="s">
        <v>124</v>
      </c>
      <c r="H1202" s="6" t="s">
        <v>60</v>
      </c>
      <c r="I1202" s="8">
        <v>1.9160001518742076E-2</v>
      </c>
      <c r="J1202" s="6" t="s">
        <v>7</v>
      </c>
      <c r="L1202" s="6" t="s">
        <v>125</v>
      </c>
      <c r="M1202" s="6" t="s">
        <v>60</v>
      </c>
      <c r="N1202" s="8">
        <v>1.7153884085045135E-2</v>
      </c>
      <c r="O1202" s="6" t="s">
        <v>7</v>
      </c>
    </row>
    <row r="1203" spans="2:15" x14ac:dyDescent="0.45">
      <c r="B1203" s="3" t="s">
        <v>123</v>
      </c>
      <c r="C1203" s="3" t="s">
        <v>61</v>
      </c>
      <c r="D1203" s="4">
        <v>5.4686276972136162E-5</v>
      </c>
      <c r="E1203" s="3" t="s">
        <v>7</v>
      </c>
      <c r="G1203" s="3" t="s">
        <v>124</v>
      </c>
      <c r="H1203" s="3" t="s">
        <v>61</v>
      </c>
      <c r="I1203" s="5">
        <v>1.892081021153846E-2</v>
      </c>
      <c r="J1203" s="3" t="s">
        <v>7</v>
      </c>
      <c r="L1203" s="3" t="s">
        <v>125</v>
      </c>
      <c r="M1203" s="3" t="s">
        <v>61</v>
      </c>
      <c r="N1203" s="5">
        <v>1.6590345217154537E-2</v>
      </c>
      <c r="O1203" s="3" t="s">
        <v>7</v>
      </c>
    </row>
    <row r="1204" spans="2:15" x14ac:dyDescent="0.45">
      <c r="B1204" s="6" t="s">
        <v>123</v>
      </c>
      <c r="C1204" s="6" t="s">
        <v>62</v>
      </c>
      <c r="D1204" s="7">
        <v>1.1083472716596062E-2</v>
      </c>
      <c r="E1204" s="6" t="s">
        <v>7</v>
      </c>
      <c r="G1204" s="6" t="s">
        <v>124</v>
      </c>
      <c r="H1204" s="6" t="s">
        <v>62</v>
      </c>
      <c r="I1204" s="8">
        <v>1.8629999668429733E-2</v>
      </c>
      <c r="J1204" s="6" t="s">
        <v>7</v>
      </c>
      <c r="L1204" s="6" t="s">
        <v>125</v>
      </c>
      <c r="M1204" s="6" t="s">
        <v>62</v>
      </c>
      <c r="N1204" s="8">
        <v>1.6593819620908553E-2</v>
      </c>
      <c r="O1204" s="6" t="s">
        <v>7</v>
      </c>
    </row>
    <row r="1205" spans="2:15" x14ac:dyDescent="0.45">
      <c r="B1205" s="3" t="s">
        <v>123</v>
      </c>
      <c r="C1205" s="3" t="s">
        <v>63</v>
      </c>
      <c r="D1205" s="4">
        <v>2.8404854775641555E-2</v>
      </c>
      <c r="E1205" s="3" t="s">
        <v>7</v>
      </c>
      <c r="G1205" s="3" t="s">
        <v>124</v>
      </c>
      <c r="H1205" s="3" t="s">
        <v>63</v>
      </c>
      <c r="I1205" s="5">
        <v>1.8719331926814086E-2</v>
      </c>
      <c r="J1205" s="3" t="s">
        <v>7</v>
      </c>
      <c r="L1205" s="3" t="s">
        <v>125</v>
      </c>
      <c r="M1205" s="3" t="s">
        <v>63</v>
      </c>
      <c r="N1205" s="5">
        <v>1.6977627977102398E-2</v>
      </c>
      <c r="O1205" s="3" t="s">
        <v>7</v>
      </c>
    </row>
    <row r="1206" spans="2:15" x14ac:dyDescent="0.45">
      <c r="B1206" s="6" t="s">
        <v>123</v>
      </c>
      <c r="C1206" s="6" t="s">
        <v>64</v>
      </c>
      <c r="D1206" s="7">
        <v>2.7284474213803988E-2</v>
      </c>
      <c r="E1206" s="6" t="s">
        <v>7</v>
      </c>
      <c r="G1206" s="6" t="s">
        <v>124</v>
      </c>
      <c r="H1206" s="6" t="s">
        <v>64</v>
      </c>
      <c r="I1206" s="8">
        <v>1.8799095253875374E-2</v>
      </c>
      <c r="J1206" s="6" t="s">
        <v>7</v>
      </c>
      <c r="L1206" s="6" t="s">
        <v>125</v>
      </c>
      <c r="M1206" s="6" t="s">
        <v>64</v>
      </c>
      <c r="N1206" s="8">
        <v>1.7427214507772987E-2</v>
      </c>
      <c r="O1206" s="6" t="s">
        <v>7</v>
      </c>
    </row>
    <row r="1207" spans="2:15" x14ac:dyDescent="0.45">
      <c r="B1207" s="3" t="s">
        <v>123</v>
      </c>
      <c r="C1207" s="3" t="s">
        <v>65</v>
      </c>
      <c r="D1207" s="4">
        <v>1.1369271377306724E-2</v>
      </c>
      <c r="E1207" s="3" t="s">
        <v>7</v>
      </c>
      <c r="G1207" s="3" t="s">
        <v>124</v>
      </c>
      <c r="H1207" s="3" t="s">
        <v>65</v>
      </c>
      <c r="I1207" s="5">
        <v>1.8806487142071854E-2</v>
      </c>
      <c r="J1207" s="3" t="s">
        <v>7</v>
      </c>
      <c r="L1207" s="3" t="s">
        <v>125</v>
      </c>
      <c r="M1207" s="3" t="s">
        <v>65</v>
      </c>
      <c r="N1207" s="5">
        <v>1.7815214003930702E-2</v>
      </c>
      <c r="O1207" s="3" t="s">
        <v>7</v>
      </c>
    </row>
    <row r="1208" spans="2:15" x14ac:dyDescent="0.45">
      <c r="B1208" s="6" t="s">
        <v>123</v>
      </c>
      <c r="C1208" s="6" t="s">
        <v>66</v>
      </c>
      <c r="D1208" s="7">
        <v>0</v>
      </c>
      <c r="E1208" s="6" t="s">
        <v>7</v>
      </c>
      <c r="G1208" s="6" t="s">
        <v>124</v>
      </c>
      <c r="H1208" s="6" t="s">
        <v>66</v>
      </c>
      <c r="I1208" s="8">
        <v>1.872921249648226E-2</v>
      </c>
      <c r="J1208" s="6" t="s">
        <v>7</v>
      </c>
      <c r="L1208" s="6" t="s">
        <v>125</v>
      </c>
      <c r="M1208" s="6" t="s">
        <v>66</v>
      </c>
      <c r="N1208" s="8">
        <v>1.7790302754230422E-2</v>
      </c>
      <c r="O1208" s="6" t="s">
        <v>7</v>
      </c>
    </row>
    <row r="1209" spans="2:15" x14ac:dyDescent="0.45">
      <c r="B1209" s="3" t="s">
        <v>123</v>
      </c>
      <c r="C1209" s="3" t="s">
        <v>67</v>
      </c>
      <c r="D1209" s="4">
        <v>0</v>
      </c>
      <c r="E1209" s="3" t="s">
        <v>7</v>
      </c>
      <c r="G1209" s="3" t="s">
        <v>124</v>
      </c>
      <c r="H1209" s="3" t="s">
        <v>67</v>
      </c>
      <c r="I1209" s="5">
        <v>1.8916211689051943E-2</v>
      </c>
      <c r="J1209" s="3" t="s">
        <v>7</v>
      </c>
      <c r="L1209" s="3" t="s">
        <v>125</v>
      </c>
      <c r="M1209" s="3" t="s">
        <v>67</v>
      </c>
      <c r="N1209" s="5">
        <v>1.7811466730140047E-2</v>
      </c>
      <c r="O1209" s="3" t="s">
        <v>7</v>
      </c>
    </row>
    <row r="1210" spans="2:15" x14ac:dyDescent="0.45">
      <c r="B1210" s="6" t="s">
        <v>123</v>
      </c>
      <c r="C1210" s="6" t="s">
        <v>68</v>
      </c>
      <c r="D1210" s="7">
        <v>0</v>
      </c>
      <c r="E1210" s="6" t="s">
        <v>7</v>
      </c>
      <c r="G1210" s="6" t="s">
        <v>124</v>
      </c>
      <c r="H1210" s="6" t="s">
        <v>68</v>
      </c>
      <c r="I1210" s="8">
        <v>2.9645278009457699E-2</v>
      </c>
      <c r="J1210" s="6" t="s">
        <v>7</v>
      </c>
      <c r="L1210" s="6" t="s">
        <v>125</v>
      </c>
      <c r="M1210" s="6" t="s">
        <v>68</v>
      </c>
      <c r="N1210" s="8">
        <v>2.6189716834031436E-2</v>
      </c>
      <c r="O1210" s="6" t="s">
        <v>7</v>
      </c>
    </row>
    <row r="1211" spans="2:15" x14ac:dyDescent="0.45">
      <c r="B1211" s="3" t="s">
        <v>126</v>
      </c>
      <c r="C1211" s="3" t="s">
        <v>6</v>
      </c>
      <c r="D1211" s="4">
        <v>0</v>
      </c>
      <c r="E1211" s="3" t="s">
        <v>7</v>
      </c>
      <c r="G1211" s="3" t="s">
        <v>127</v>
      </c>
      <c r="H1211" s="3" t="s">
        <v>6</v>
      </c>
      <c r="I1211" s="5">
        <v>3.8661418877032991E-2</v>
      </c>
      <c r="J1211" s="3" t="s">
        <v>7</v>
      </c>
      <c r="L1211" s="3" t="s">
        <v>128</v>
      </c>
      <c r="M1211" s="3" t="s">
        <v>6</v>
      </c>
      <c r="N1211" s="5">
        <v>4.0361058351299745E-2</v>
      </c>
      <c r="O1211" s="3" t="s">
        <v>7</v>
      </c>
    </row>
    <row r="1212" spans="2:15" x14ac:dyDescent="0.45">
      <c r="B1212" s="6" t="s">
        <v>126</v>
      </c>
      <c r="C1212" s="6" t="s">
        <v>10</v>
      </c>
      <c r="D1212" s="7">
        <v>0</v>
      </c>
      <c r="E1212" s="6" t="s">
        <v>7</v>
      </c>
      <c r="G1212" s="6" t="s">
        <v>127</v>
      </c>
      <c r="H1212" s="6" t="s">
        <v>10</v>
      </c>
      <c r="I1212" s="8">
        <v>1.48922187980706E-2</v>
      </c>
      <c r="J1212" s="6" t="s">
        <v>7</v>
      </c>
      <c r="L1212" s="6" t="s">
        <v>128</v>
      </c>
      <c r="M1212" s="6" t="s">
        <v>10</v>
      </c>
      <c r="N1212" s="8">
        <v>1.564133886692843E-2</v>
      </c>
      <c r="O1212" s="6" t="s">
        <v>7</v>
      </c>
    </row>
    <row r="1213" spans="2:15" x14ac:dyDescent="0.45">
      <c r="B1213" s="3" t="s">
        <v>126</v>
      </c>
      <c r="C1213" s="3" t="s">
        <v>11</v>
      </c>
      <c r="D1213" s="4">
        <v>3.1293193772040769E-4</v>
      </c>
      <c r="E1213" s="3" t="s">
        <v>7</v>
      </c>
      <c r="G1213" s="3" t="s">
        <v>127</v>
      </c>
      <c r="H1213" s="3" t="s">
        <v>11</v>
      </c>
      <c r="I1213" s="5">
        <v>1.5066736186182518E-2</v>
      </c>
      <c r="J1213" s="3" t="s">
        <v>7</v>
      </c>
      <c r="L1213" s="3" t="s">
        <v>128</v>
      </c>
      <c r="M1213" s="3" t="s">
        <v>11</v>
      </c>
      <c r="N1213" s="5">
        <v>1.5274208732320976E-2</v>
      </c>
      <c r="O1213" s="3" t="s">
        <v>7</v>
      </c>
    </row>
    <row r="1214" spans="2:15" x14ac:dyDescent="0.45">
      <c r="B1214" s="6" t="s">
        <v>126</v>
      </c>
      <c r="C1214" s="6" t="s">
        <v>12</v>
      </c>
      <c r="D1214" s="7">
        <v>1.2089837499762824E-2</v>
      </c>
      <c r="E1214" s="6" t="s">
        <v>7</v>
      </c>
      <c r="G1214" s="6" t="s">
        <v>127</v>
      </c>
      <c r="H1214" s="6" t="s">
        <v>12</v>
      </c>
      <c r="I1214" s="8">
        <v>1.4621893617382744E-2</v>
      </c>
      <c r="J1214" s="6" t="s">
        <v>7</v>
      </c>
      <c r="L1214" s="6" t="s">
        <v>128</v>
      </c>
      <c r="M1214" s="6" t="s">
        <v>12</v>
      </c>
      <c r="N1214" s="8">
        <v>1.5285652963609902E-2</v>
      </c>
      <c r="O1214" s="6" t="s">
        <v>7</v>
      </c>
    </row>
    <row r="1215" spans="2:15" x14ac:dyDescent="0.45">
      <c r="B1215" s="3" t="s">
        <v>126</v>
      </c>
      <c r="C1215" s="3" t="s">
        <v>13</v>
      </c>
      <c r="D1215" s="4">
        <v>2.8929557215609896E-2</v>
      </c>
      <c r="E1215" s="3" t="s">
        <v>7</v>
      </c>
      <c r="G1215" s="3" t="s">
        <v>127</v>
      </c>
      <c r="H1215" s="3" t="s">
        <v>13</v>
      </c>
      <c r="I1215" s="5">
        <v>1.4956257728193312E-2</v>
      </c>
      <c r="J1215" s="3" t="s">
        <v>7</v>
      </c>
      <c r="L1215" s="3" t="s">
        <v>128</v>
      </c>
      <c r="M1215" s="3" t="s">
        <v>13</v>
      </c>
      <c r="N1215" s="5">
        <v>1.5790835888967718E-2</v>
      </c>
      <c r="O1215" s="3" t="s">
        <v>7</v>
      </c>
    </row>
    <row r="1216" spans="2:15" x14ac:dyDescent="0.45">
      <c r="B1216" s="6" t="s">
        <v>126</v>
      </c>
      <c r="C1216" s="6" t="s">
        <v>14</v>
      </c>
      <c r="D1216" s="7">
        <v>3.0101334145504668E-2</v>
      </c>
      <c r="E1216" s="6" t="s">
        <v>7</v>
      </c>
      <c r="G1216" s="6" t="s">
        <v>127</v>
      </c>
      <c r="H1216" s="6" t="s">
        <v>14</v>
      </c>
      <c r="I1216" s="8">
        <v>1.5386873603075316E-2</v>
      </c>
      <c r="J1216" s="6" t="s">
        <v>7</v>
      </c>
      <c r="L1216" s="6" t="s">
        <v>128</v>
      </c>
      <c r="M1216" s="6" t="s">
        <v>14</v>
      </c>
      <c r="N1216" s="8">
        <v>1.6076760375740698E-2</v>
      </c>
      <c r="O1216" s="6" t="s">
        <v>7</v>
      </c>
    </row>
    <row r="1217" spans="2:15" x14ac:dyDescent="0.45">
      <c r="B1217" s="3" t="s">
        <v>126</v>
      </c>
      <c r="C1217" s="3" t="s">
        <v>15</v>
      </c>
      <c r="D1217" s="4">
        <v>1.8219637289142599E-2</v>
      </c>
      <c r="E1217" s="3" t="s">
        <v>7</v>
      </c>
      <c r="G1217" s="3" t="s">
        <v>127</v>
      </c>
      <c r="H1217" s="3" t="s">
        <v>15</v>
      </c>
      <c r="I1217" s="5">
        <v>1.5146267256771751E-2</v>
      </c>
      <c r="J1217" s="3" t="s">
        <v>7</v>
      </c>
      <c r="L1217" s="3" t="s">
        <v>128</v>
      </c>
      <c r="M1217" s="3" t="s">
        <v>15</v>
      </c>
      <c r="N1217" s="5">
        <v>1.5902561561748848E-2</v>
      </c>
      <c r="O1217" s="3" t="s">
        <v>7</v>
      </c>
    </row>
    <row r="1218" spans="2:15" x14ac:dyDescent="0.45">
      <c r="B1218" s="6" t="s">
        <v>126</v>
      </c>
      <c r="C1218" s="6" t="s">
        <v>16</v>
      </c>
      <c r="D1218" s="7">
        <v>2.6483605080034984E-3</v>
      </c>
      <c r="E1218" s="6" t="s">
        <v>7</v>
      </c>
      <c r="G1218" s="6" t="s">
        <v>127</v>
      </c>
      <c r="H1218" s="6" t="s">
        <v>16</v>
      </c>
      <c r="I1218" s="8">
        <v>1.5350733959227631E-2</v>
      </c>
      <c r="J1218" s="6" t="s">
        <v>7</v>
      </c>
      <c r="L1218" s="6" t="s">
        <v>128</v>
      </c>
      <c r="M1218" s="6" t="s">
        <v>16</v>
      </c>
      <c r="N1218" s="8">
        <v>1.5711072916731985E-2</v>
      </c>
      <c r="O1218" s="6" t="s">
        <v>7</v>
      </c>
    </row>
    <row r="1219" spans="2:15" x14ac:dyDescent="0.45">
      <c r="B1219" s="3" t="s">
        <v>126</v>
      </c>
      <c r="C1219" s="3" t="s">
        <v>17</v>
      </c>
      <c r="D1219" s="4">
        <v>0</v>
      </c>
      <c r="E1219" s="3" t="s">
        <v>7</v>
      </c>
      <c r="G1219" s="3" t="s">
        <v>127</v>
      </c>
      <c r="H1219" s="3" t="s">
        <v>17</v>
      </c>
      <c r="I1219" s="5">
        <v>1.5891944741262886E-2</v>
      </c>
      <c r="J1219" s="3" t="s">
        <v>7</v>
      </c>
      <c r="L1219" s="3" t="s">
        <v>128</v>
      </c>
      <c r="M1219" s="3" t="s">
        <v>17</v>
      </c>
      <c r="N1219" s="5">
        <v>1.5714615873952533E-2</v>
      </c>
      <c r="O1219" s="3" t="s">
        <v>7</v>
      </c>
    </row>
    <row r="1220" spans="2:15" x14ac:dyDescent="0.45">
      <c r="B1220" s="6" t="s">
        <v>126</v>
      </c>
      <c r="C1220" s="6" t="s">
        <v>18</v>
      </c>
      <c r="D1220" s="7">
        <v>0</v>
      </c>
      <c r="E1220" s="6" t="s">
        <v>7</v>
      </c>
      <c r="G1220" s="6" t="s">
        <v>127</v>
      </c>
      <c r="H1220" s="6" t="s">
        <v>18</v>
      </c>
      <c r="I1220" s="8">
        <v>2.3692679861710617E-2</v>
      </c>
      <c r="J1220" s="6" t="s">
        <v>7</v>
      </c>
      <c r="L1220" s="6" t="s">
        <v>128</v>
      </c>
      <c r="M1220" s="6" t="s">
        <v>18</v>
      </c>
      <c r="N1220" s="8">
        <v>2.4049950248017368E-2</v>
      </c>
      <c r="O1220" s="6" t="s">
        <v>7</v>
      </c>
    </row>
    <row r="1221" spans="2:15" x14ac:dyDescent="0.45">
      <c r="B1221" s="3" t="s">
        <v>126</v>
      </c>
      <c r="C1221" s="3" t="s">
        <v>19</v>
      </c>
      <c r="D1221" s="4">
        <v>0</v>
      </c>
      <c r="E1221" s="3" t="s">
        <v>7</v>
      </c>
      <c r="G1221" s="3" t="s">
        <v>127</v>
      </c>
      <c r="H1221" s="3" t="s">
        <v>19</v>
      </c>
      <c r="I1221" s="5">
        <v>3.7089577707982394E-2</v>
      </c>
      <c r="J1221" s="3" t="s">
        <v>7</v>
      </c>
      <c r="L1221" s="3" t="s">
        <v>128</v>
      </c>
      <c r="M1221" s="3" t="s">
        <v>19</v>
      </c>
      <c r="N1221" s="5">
        <v>3.2740957942227956E-2</v>
      </c>
      <c r="O1221" s="3" t="s">
        <v>7</v>
      </c>
    </row>
    <row r="1222" spans="2:15" x14ac:dyDescent="0.45">
      <c r="B1222" s="6" t="s">
        <v>126</v>
      </c>
      <c r="C1222" s="6" t="s">
        <v>20</v>
      </c>
      <c r="D1222" s="7">
        <v>7.0912003598801854E-5</v>
      </c>
      <c r="E1222" s="6" t="s">
        <v>7</v>
      </c>
      <c r="G1222" s="6" t="s">
        <v>127</v>
      </c>
      <c r="H1222" s="6" t="s">
        <v>20</v>
      </c>
      <c r="I1222" s="8">
        <v>1.4857354455322156E-2</v>
      </c>
      <c r="J1222" s="6" t="s">
        <v>7</v>
      </c>
      <c r="L1222" s="6" t="s">
        <v>128</v>
      </c>
      <c r="M1222" s="6" t="s">
        <v>20</v>
      </c>
      <c r="N1222" s="8">
        <v>1.3436439580833962E-2</v>
      </c>
      <c r="O1222" s="6" t="s">
        <v>7</v>
      </c>
    </row>
    <row r="1223" spans="2:15" x14ac:dyDescent="0.45">
      <c r="B1223" s="3" t="s">
        <v>126</v>
      </c>
      <c r="C1223" s="3" t="s">
        <v>21</v>
      </c>
      <c r="D1223" s="4">
        <v>8.923839636769312E-3</v>
      </c>
      <c r="E1223" s="3" t="s">
        <v>7</v>
      </c>
      <c r="G1223" s="3" t="s">
        <v>127</v>
      </c>
      <c r="H1223" s="3" t="s">
        <v>21</v>
      </c>
      <c r="I1223" s="5">
        <v>1.5419424365399139E-2</v>
      </c>
      <c r="J1223" s="3" t="s">
        <v>7</v>
      </c>
      <c r="L1223" s="3" t="s">
        <v>128</v>
      </c>
      <c r="M1223" s="3" t="s">
        <v>21</v>
      </c>
      <c r="N1223" s="5">
        <v>1.3532714100528679E-2</v>
      </c>
      <c r="O1223" s="3" t="s">
        <v>7</v>
      </c>
    </row>
    <row r="1224" spans="2:15" x14ac:dyDescent="0.45">
      <c r="B1224" s="6" t="s">
        <v>126</v>
      </c>
      <c r="C1224" s="6" t="s">
        <v>22</v>
      </c>
      <c r="D1224" s="7">
        <v>3.4430400955180948E-2</v>
      </c>
      <c r="E1224" s="6" t="s">
        <v>7</v>
      </c>
      <c r="G1224" s="6" t="s">
        <v>127</v>
      </c>
      <c r="H1224" s="6" t="s">
        <v>22</v>
      </c>
      <c r="I1224" s="8">
        <v>1.6488406912422173E-2</v>
      </c>
      <c r="J1224" s="6" t="s">
        <v>7</v>
      </c>
      <c r="L1224" s="6" t="s">
        <v>128</v>
      </c>
      <c r="M1224" s="6" t="s">
        <v>22</v>
      </c>
      <c r="N1224" s="8">
        <v>1.3743882466232647E-2</v>
      </c>
      <c r="O1224" s="6" t="s">
        <v>7</v>
      </c>
    </row>
    <row r="1225" spans="2:15" x14ac:dyDescent="0.45">
      <c r="B1225" s="3" t="s">
        <v>126</v>
      </c>
      <c r="C1225" s="3" t="s">
        <v>23</v>
      </c>
      <c r="D1225" s="4">
        <v>4.961078988287828E-2</v>
      </c>
      <c r="E1225" s="3" t="s">
        <v>7</v>
      </c>
      <c r="G1225" s="3" t="s">
        <v>127</v>
      </c>
      <c r="H1225" s="3" t="s">
        <v>23</v>
      </c>
      <c r="I1225" s="5">
        <v>1.6589208408124913E-2</v>
      </c>
      <c r="J1225" s="3" t="s">
        <v>7</v>
      </c>
      <c r="L1225" s="3" t="s">
        <v>128</v>
      </c>
      <c r="M1225" s="3" t="s">
        <v>23</v>
      </c>
      <c r="N1225" s="5">
        <v>1.4175683206747199E-2</v>
      </c>
      <c r="O1225" s="3" t="s">
        <v>7</v>
      </c>
    </row>
    <row r="1226" spans="2:15" x14ac:dyDescent="0.45">
      <c r="B1226" s="6" t="s">
        <v>126</v>
      </c>
      <c r="C1226" s="6" t="s">
        <v>24</v>
      </c>
      <c r="D1226" s="7">
        <v>4.8824008349626753E-2</v>
      </c>
      <c r="E1226" s="6" t="s">
        <v>7</v>
      </c>
      <c r="G1226" s="6" t="s">
        <v>127</v>
      </c>
      <c r="H1226" s="6" t="s">
        <v>24</v>
      </c>
      <c r="I1226" s="8">
        <v>1.6353932701503083E-2</v>
      </c>
      <c r="J1226" s="6" t="s">
        <v>7</v>
      </c>
      <c r="L1226" s="6" t="s">
        <v>128</v>
      </c>
      <c r="M1226" s="6" t="s">
        <v>24</v>
      </c>
      <c r="N1226" s="8">
        <v>1.4130089672161535E-2</v>
      </c>
      <c r="O1226" s="6" t="s">
        <v>7</v>
      </c>
    </row>
    <row r="1227" spans="2:15" x14ac:dyDescent="0.45">
      <c r="B1227" s="3" t="s">
        <v>126</v>
      </c>
      <c r="C1227" s="3" t="s">
        <v>25</v>
      </c>
      <c r="D1227" s="4">
        <v>3.6442286202758085E-2</v>
      </c>
      <c r="E1227" s="3" t="s">
        <v>7</v>
      </c>
      <c r="G1227" s="3" t="s">
        <v>127</v>
      </c>
      <c r="H1227" s="3" t="s">
        <v>25</v>
      </c>
      <c r="I1227" s="5">
        <v>1.6171002737915649E-2</v>
      </c>
      <c r="J1227" s="3" t="s">
        <v>7</v>
      </c>
      <c r="L1227" s="3" t="s">
        <v>128</v>
      </c>
      <c r="M1227" s="3" t="s">
        <v>25</v>
      </c>
      <c r="N1227" s="5">
        <v>1.3888892463355054E-2</v>
      </c>
      <c r="O1227" s="3" t="s">
        <v>7</v>
      </c>
    </row>
    <row r="1228" spans="2:15" x14ac:dyDescent="0.45">
      <c r="B1228" s="6" t="s">
        <v>126</v>
      </c>
      <c r="C1228" s="6" t="s">
        <v>26</v>
      </c>
      <c r="D1228" s="7">
        <v>1.42529171311976E-2</v>
      </c>
      <c r="E1228" s="6" t="s">
        <v>7</v>
      </c>
      <c r="G1228" s="6" t="s">
        <v>127</v>
      </c>
      <c r="H1228" s="6" t="s">
        <v>26</v>
      </c>
      <c r="I1228" s="8">
        <v>1.5177184690528957E-2</v>
      </c>
      <c r="J1228" s="6" t="s">
        <v>7</v>
      </c>
      <c r="L1228" s="6" t="s">
        <v>128</v>
      </c>
      <c r="M1228" s="6" t="s">
        <v>26</v>
      </c>
      <c r="N1228" s="8">
        <v>1.3758652920723532E-2</v>
      </c>
      <c r="O1228" s="6" t="s">
        <v>7</v>
      </c>
    </row>
    <row r="1229" spans="2:15" x14ac:dyDescent="0.45">
      <c r="B1229" s="3" t="s">
        <v>126</v>
      </c>
      <c r="C1229" s="3" t="s">
        <v>27</v>
      </c>
      <c r="D1229" s="4">
        <v>3.0577661899032802E-4</v>
      </c>
      <c r="E1229" s="3" t="s">
        <v>7</v>
      </c>
      <c r="G1229" s="3" t="s">
        <v>127</v>
      </c>
      <c r="H1229" s="3" t="s">
        <v>27</v>
      </c>
      <c r="I1229" s="5">
        <v>1.4913016317814699E-2</v>
      </c>
      <c r="J1229" s="3" t="s">
        <v>7</v>
      </c>
      <c r="L1229" s="3" t="s">
        <v>128</v>
      </c>
      <c r="M1229" s="3" t="s">
        <v>27</v>
      </c>
      <c r="N1229" s="5">
        <v>1.3674016603038549E-2</v>
      </c>
      <c r="O1229" s="3" t="s">
        <v>7</v>
      </c>
    </row>
    <row r="1230" spans="2:15" x14ac:dyDescent="0.45">
      <c r="B1230" s="6" t="s">
        <v>126</v>
      </c>
      <c r="C1230" s="6" t="s">
        <v>28</v>
      </c>
      <c r="D1230" s="7">
        <v>0</v>
      </c>
      <c r="E1230" s="6" t="s">
        <v>7</v>
      </c>
      <c r="G1230" s="6" t="s">
        <v>127</v>
      </c>
      <c r="H1230" s="6" t="s">
        <v>28</v>
      </c>
      <c r="I1230" s="8">
        <v>2.2164209173847711E-2</v>
      </c>
      <c r="J1230" s="6" t="s">
        <v>7</v>
      </c>
      <c r="L1230" s="6" t="s">
        <v>128</v>
      </c>
      <c r="M1230" s="6" t="s">
        <v>28</v>
      </c>
      <c r="N1230" s="8">
        <v>2.0044208033073625E-2</v>
      </c>
      <c r="O1230" s="6" t="s">
        <v>7</v>
      </c>
    </row>
    <row r="1231" spans="2:15" x14ac:dyDescent="0.45">
      <c r="B1231" s="3" t="s">
        <v>126</v>
      </c>
      <c r="C1231" s="3" t="s">
        <v>29</v>
      </c>
      <c r="D1231" s="4">
        <v>0</v>
      </c>
      <c r="E1231" s="3" t="s">
        <v>7</v>
      </c>
      <c r="G1231" s="3" t="s">
        <v>127</v>
      </c>
      <c r="H1231" s="3" t="s">
        <v>29</v>
      </c>
      <c r="I1231" s="5">
        <v>3.298802793102619E-2</v>
      </c>
      <c r="J1231" s="3" t="s">
        <v>7</v>
      </c>
      <c r="L1231" s="3" t="s">
        <v>128</v>
      </c>
      <c r="M1231" s="3" t="s">
        <v>29</v>
      </c>
      <c r="N1231" s="5">
        <v>3.012144299162622E-2</v>
      </c>
      <c r="O1231" s="3" t="s">
        <v>7</v>
      </c>
    </row>
    <row r="1232" spans="2:15" x14ac:dyDescent="0.45">
      <c r="B1232" s="6" t="s">
        <v>126</v>
      </c>
      <c r="C1232" s="6" t="s">
        <v>30</v>
      </c>
      <c r="D1232" s="7">
        <v>1.6213729129380431E-3</v>
      </c>
      <c r="E1232" s="6" t="s">
        <v>7</v>
      </c>
      <c r="G1232" s="6" t="s">
        <v>127</v>
      </c>
      <c r="H1232" s="6" t="s">
        <v>30</v>
      </c>
      <c r="I1232" s="8">
        <v>1.2470614032932462E-2</v>
      </c>
      <c r="J1232" s="6" t="s">
        <v>7</v>
      </c>
      <c r="L1232" s="6" t="s">
        <v>128</v>
      </c>
      <c r="M1232" s="6" t="s">
        <v>30</v>
      </c>
      <c r="N1232" s="8">
        <v>1.1543504605277987E-2</v>
      </c>
      <c r="O1232" s="6" t="s">
        <v>7</v>
      </c>
    </row>
    <row r="1233" spans="2:15" x14ac:dyDescent="0.45">
      <c r="B1233" s="3" t="s">
        <v>126</v>
      </c>
      <c r="C1233" s="3" t="s">
        <v>31</v>
      </c>
      <c r="D1233" s="4">
        <v>1.7809847602449892E-2</v>
      </c>
      <c r="E1233" s="3" t="s">
        <v>7</v>
      </c>
      <c r="G1233" s="3" t="s">
        <v>127</v>
      </c>
      <c r="H1233" s="3" t="s">
        <v>31</v>
      </c>
      <c r="I1233" s="5">
        <v>1.3031048883807069E-2</v>
      </c>
      <c r="J1233" s="3" t="s">
        <v>7</v>
      </c>
      <c r="L1233" s="3" t="s">
        <v>128</v>
      </c>
      <c r="M1233" s="3" t="s">
        <v>31</v>
      </c>
      <c r="N1233" s="5">
        <v>1.1639169673850749E-2</v>
      </c>
      <c r="O1233" s="3" t="s">
        <v>7</v>
      </c>
    </row>
    <row r="1234" spans="2:15" x14ac:dyDescent="0.45">
      <c r="B1234" s="6" t="s">
        <v>126</v>
      </c>
      <c r="C1234" s="6" t="s">
        <v>32</v>
      </c>
      <c r="D1234" s="7">
        <v>4.1911305893499264E-2</v>
      </c>
      <c r="E1234" s="6" t="s">
        <v>7</v>
      </c>
      <c r="G1234" s="6" t="s">
        <v>127</v>
      </c>
      <c r="H1234" s="6" t="s">
        <v>32</v>
      </c>
      <c r="I1234" s="8">
        <v>1.2548443951383322E-2</v>
      </c>
      <c r="J1234" s="6" t="s">
        <v>7</v>
      </c>
      <c r="L1234" s="6" t="s">
        <v>128</v>
      </c>
      <c r="M1234" s="6" t="s">
        <v>32</v>
      </c>
      <c r="N1234" s="8">
        <v>1.1677525862061713E-2</v>
      </c>
      <c r="O1234" s="6" t="s">
        <v>7</v>
      </c>
    </row>
    <row r="1235" spans="2:15" x14ac:dyDescent="0.45">
      <c r="B1235" s="3" t="s">
        <v>126</v>
      </c>
      <c r="C1235" s="3" t="s">
        <v>33</v>
      </c>
      <c r="D1235" s="4">
        <v>5.4559425077387425E-2</v>
      </c>
      <c r="E1235" s="3" t="s">
        <v>7</v>
      </c>
      <c r="G1235" s="3" t="s">
        <v>127</v>
      </c>
      <c r="H1235" s="3" t="s">
        <v>33</v>
      </c>
      <c r="I1235" s="5">
        <v>1.2518310324716784E-2</v>
      </c>
      <c r="J1235" s="3" t="s">
        <v>7</v>
      </c>
      <c r="L1235" s="3" t="s">
        <v>128</v>
      </c>
      <c r="M1235" s="3" t="s">
        <v>33</v>
      </c>
      <c r="N1235" s="5">
        <v>1.1696733584992841E-2</v>
      </c>
      <c r="O1235" s="3" t="s">
        <v>7</v>
      </c>
    </row>
    <row r="1236" spans="2:15" x14ac:dyDescent="0.45">
      <c r="B1236" s="6" t="s">
        <v>126</v>
      </c>
      <c r="C1236" s="6" t="s">
        <v>34</v>
      </c>
      <c r="D1236" s="7">
        <v>5.6081839261413011E-2</v>
      </c>
      <c r="E1236" s="6" t="s">
        <v>7</v>
      </c>
      <c r="G1236" s="6" t="s">
        <v>127</v>
      </c>
      <c r="H1236" s="6" t="s">
        <v>34</v>
      </c>
      <c r="I1236" s="8">
        <v>1.3476759734171907E-2</v>
      </c>
      <c r="J1236" s="6" t="s">
        <v>7</v>
      </c>
      <c r="L1236" s="6" t="s">
        <v>128</v>
      </c>
      <c r="M1236" s="6" t="s">
        <v>34</v>
      </c>
      <c r="N1236" s="8">
        <v>1.1991054929024886E-2</v>
      </c>
      <c r="O1236" s="6" t="s">
        <v>7</v>
      </c>
    </row>
    <row r="1237" spans="2:15" x14ac:dyDescent="0.45">
      <c r="B1237" s="3" t="s">
        <v>126</v>
      </c>
      <c r="C1237" s="3" t="s">
        <v>35</v>
      </c>
      <c r="D1237" s="4">
        <v>4.5118307811322554E-2</v>
      </c>
      <c r="E1237" s="3" t="s">
        <v>7</v>
      </c>
      <c r="G1237" s="3" t="s">
        <v>127</v>
      </c>
      <c r="H1237" s="3" t="s">
        <v>35</v>
      </c>
      <c r="I1237" s="5">
        <v>1.4647880410710853E-2</v>
      </c>
      <c r="J1237" s="3" t="s">
        <v>7</v>
      </c>
      <c r="L1237" s="3" t="s">
        <v>128</v>
      </c>
      <c r="M1237" s="3" t="s">
        <v>35</v>
      </c>
      <c r="N1237" s="5">
        <v>1.2394321915599599E-2</v>
      </c>
      <c r="O1237" s="3" t="s">
        <v>7</v>
      </c>
    </row>
    <row r="1238" spans="2:15" x14ac:dyDescent="0.45">
      <c r="B1238" s="6" t="s">
        <v>126</v>
      </c>
      <c r="C1238" s="6" t="s">
        <v>36</v>
      </c>
      <c r="D1238" s="7">
        <v>2.2330111481646236E-2</v>
      </c>
      <c r="E1238" s="6" t="s">
        <v>7</v>
      </c>
      <c r="G1238" s="6" t="s">
        <v>127</v>
      </c>
      <c r="H1238" s="6" t="s">
        <v>36</v>
      </c>
      <c r="I1238" s="8">
        <v>1.4912797924229041E-2</v>
      </c>
      <c r="J1238" s="6" t="s">
        <v>7</v>
      </c>
      <c r="L1238" s="6" t="s">
        <v>128</v>
      </c>
      <c r="M1238" s="6" t="s">
        <v>36</v>
      </c>
      <c r="N1238" s="8">
        <v>1.2647452507074063E-2</v>
      </c>
      <c r="O1238" s="6" t="s">
        <v>7</v>
      </c>
    </row>
    <row r="1239" spans="2:15" x14ac:dyDescent="0.45">
      <c r="B1239" s="3" t="s">
        <v>126</v>
      </c>
      <c r="C1239" s="3" t="s">
        <v>37</v>
      </c>
      <c r="D1239" s="4">
        <v>2.7741940947488041E-3</v>
      </c>
      <c r="E1239" s="3" t="s">
        <v>7</v>
      </c>
      <c r="G1239" s="3" t="s">
        <v>127</v>
      </c>
      <c r="H1239" s="3" t="s">
        <v>37</v>
      </c>
      <c r="I1239" s="5">
        <v>1.4558880659422666E-2</v>
      </c>
      <c r="J1239" s="3" t="s">
        <v>7</v>
      </c>
      <c r="L1239" s="3" t="s">
        <v>128</v>
      </c>
      <c r="M1239" s="3" t="s">
        <v>37</v>
      </c>
      <c r="N1239" s="5">
        <v>1.2622230659824563E-2</v>
      </c>
      <c r="O1239" s="3" t="s">
        <v>7</v>
      </c>
    </row>
    <row r="1240" spans="2:15" x14ac:dyDescent="0.45">
      <c r="B1240" s="6" t="s">
        <v>126</v>
      </c>
      <c r="C1240" s="6" t="s">
        <v>38</v>
      </c>
      <c r="D1240" s="7">
        <v>0</v>
      </c>
      <c r="E1240" s="6" t="s">
        <v>7</v>
      </c>
      <c r="G1240" s="6" t="s">
        <v>127</v>
      </c>
      <c r="H1240" s="6" t="s">
        <v>38</v>
      </c>
      <c r="I1240" s="8">
        <v>2.0831959198435487E-2</v>
      </c>
      <c r="J1240" s="6" t="s">
        <v>7</v>
      </c>
      <c r="L1240" s="6" t="s">
        <v>128</v>
      </c>
      <c r="M1240" s="6" t="s">
        <v>38</v>
      </c>
      <c r="N1240" s="8">
        <v>1.8491490816878474E-2</v>
      </c>
      <c r="O1240" s="6" t="s">
        <v>7</v>
      </c>
    </row>
    <row r="1241" spans="2:15" x14ac:dyDescent="0.45">
      <c r="B1241" s="3" t="s">
        <v>126</v>
      </c>
      <c r="C1241" s="3" t="s">
        <v>39</v>
      </c>
      <c r="D1241" s="4">
        <v>0</v>
      </c>
      <c r="E1241" s="3" t="s">
        <v>7</v>
      </c>
      <c r="G1241" s="3" t="s">
        <v>127</v>
      </c>
      <c r="H1241" s="3" t="s">
        <v>39</v>
      </c>
      <c r="I1241" s="5">
        <v>1.9941999869715708E-2</v>
      </c>
      <c r="J1241" s="3" t="s">
        <v>7</v>
      </c>
      <c r="L1241" s="3" t="s">
        <v>128</v>
      </c>
      <c r="M1241" s="3" t="s">
        <v>39</v>
      </c>
      <c r="N1241" s="5">
        <v>3.115421617567073E-2</v>
      </c>
      <c r="O1241" s="3" t="s">
        <v>7</v>
      </c>
    </row>
    <row r="1242" spans="2:15" x14ac:dyDescent="0.45">
      <c r="B1242" s="6" t="s">
        <v>126</v>
      </c>
      <c r="C1242" s="6" t="s">
        <v>40</v>
      </c>
      <c r="D1242" s="7">
        <v>8.4797784199609533E-4</v>
      </c>
      <c r="E1242" s="6" t="s">
        <v>7</v>
      </c>
      <c r="G1242" s="6" t="s">
        <v>127</v>
      </c>
      <c r="H1242" s="6" t="s">
        <v>40</v>
      </c>
      <c r="I1242" s="8">
        <v>7.2352066352566833E-3</v>
      </c>
      <c r="J1242" s="6" t="s">
        <v>7</v>
      </c>
      <c r="L1242" s="6" t="s">
        <v>128</v>
      </c>
      <c r="M1242" s="6" t="s">
        <v>40</v>
      </c>
      <c r="N1242" s="8">
        <v>1.2551109244087904E-2</v>
      </c>
      <c r="O1242" s="6" t="s">
        <v>7</v>
      </c>
    </row>
    <row r="1243" spans="2:15" x14ac:dyDescent="0.45">
      <c r="B1243" s="3" t="s">
        <v>126</v>
      </c>
      <c r="C1243" s="3" t="s">
        <v>41</v>
      </c>
      <c r="D1243" s="4">
        <v>1.4878560562838457E-2</v>
      </c>
      <c r="E1243" s="3" t="s">
        <v>7</v>
      </c>
      <c r="G1243" s="3" t="s">
        <v>127</v>
      </c>
      <c r="H1243" s="3" t="s">
        <v>41</v>
      </c>
      <c r="I1243" s="5">
        <v>7.4600896436558583E-3</v>
      </c>
      <c r="J1243" s="3" t="s">
        <v>7</v>
      </c>
      <c r="L1243" s="3" t="s">
        <v>128</v>
      </c>
      <c r="M1243" s="3" t="s">
        <v>41</v>
      </c>
      <c r="N1243" s="5">
        <v>1.2567967875795609E-2</v>
      </c>
      <c r="O1243" s="3" t="s">
        <v>7</v>
      </c>
    </row>
    <row r="1244" spans="2:15" x14ac:dyDescent="0.45">
      <c r="B1244" s="6" t="s">
        <v>126</v>
      </c>
      <c r="C1244" s="6" t="s">
        <v>42</v>
      </c>
      <c r="D1244" s="7">
        <v>4.1926138067697585E-2</v>
      </c>
      <c r="E1244" s="6" t="s">
        <v>7</v>
      </c>
      <c r="G1244" s="6" t="s">
        <v>127</v>
      </c>
      <c r="H1244" s="6" t="s">
        <v>42</v>
      </c>
      <c r="I1244" s="8">
        <v>7.5776089723474747E-3</v>
      </c>
      <c r="J1244" s="6" t="s">
        <v>7</v>
      </c>
      <c r="L1244" s="6" t="s">
        <v>128</v>
      </c>
      <c r="M1244" s="6" t="s">
        <v>42</v>
      </c>
      <c r="N1244" s="8">
        <v>1.2564061045068057E-2</v>
      </c>
      <c r="O1244" s="6" t="s">
        <v>7</v>
      </c>
    </row>
    <row r="1245" spans="2:15" x14ac:dyDescent="0.45">
      <c r="B1245" s="3" t="s">
        <v>126</v>
      </c>
      <c r="C1245" s="3" t="s">
        <v>43</v>
      </c>
      <c r="D1245" s="4">
        <v>5.9000938767958519E-2</v>
      </c>
      <c r="E1245" s="3" t="s">
        <v>7</v>
      </c>
      <c r="G1245" s="3" t="s">
        <v>127</v>
      </c>
      <c r="H1245" s="3" t="s">
        <v>43</v>
      </c>
      <c r="I1245" s="5">
        <v>8.042944528888334E-3</v>
      </c>
      <c r="J1245" s="3" t="s">
        <v>7</v>
      </c>
      <c r="L1245" s="3" t="s">
        <v>128</v>
      </c>
      <c r="M1245" s="3" t="s">
        <v>43</v>
      </c>
      <c r="N1245" s="5">
        <v>1.2505332690617774E-2</v>
      </c>
      <c r="O1245" s="3" t="s">
        <v>7</v>
      </c>
    </row>
    <row r="1246" spans="2:15" x14ac:dyDescent="0.45">
      <c r="B1246" s="6" t="s">
        <v>126</v>
      </c>
      <c r="C1246" s="6" t="s">
        <v>44</v>
      </c>
      <c r="D1246" s="7">
        <v>6.0156220062959689E-2</v>
      </c>
      <c r="E1246" s="6" t="s">
        <v>7</v>
      </c>
      <c r="G1246" s="6" t="s">
        <v>127</v>
      </c>
      <c r="H1246" s="6" t="s">
        <v>44</v>
      </c>
      <c r="I1246" s="8">
        <v>8.9512725945416396E-3</v>
      </c>
      <c r="J1246" s="6" t="s">
        <v>7</v>
      </c>
      <c r="L1246" s="6" t="s">
        <v>128</v>
      </c>
      <c r="M1246" s="6" t="s">
        <v>44</v>
      </c>
      <c r="N1246" s="8">
        <v>1.2336958183261562E-2</v>
      </c>
      <c r="O1246" s="6" t="s">
        <v>7</v>
      </c>
    </row>
    <row r="1247" spans="2:15" x14ac:dyDescent="0.45">
      <c r="B1247" s="3" t="s">
        <v>126</v>
      </c>
      <c r="C1247" s="3" t="s">
        <v>45</v>
      </c>
      <c r="D1247" s="4">
        <v>4.8904258377271595E-2</v>
      </c>
      <c r="E1247" s="3" t="s">
        <v>7</v>
      </c>
      <c r="G1247" s="3" t="s">
        <v>127</v>
      </c>
      <c r="H1247" s="3" t="s">
        <v>45</v>
      </c>
      <c r="I1247" s="5">
        <v>9.5865497413566182E-3</v>
      </c>
      <c r="J1247" s="3" t="s">
        <v>7</v>
      </c>
      <c r="L1247" s="3" t="s">
        <v>128</v>
      </c>
      <c r="M1247" s="3" t="s">
        <v>45</v>
      </c>
      <c r="N1247" s="5">
        <v>1.2045254500168344E-2</v>
      </c>
      <c r="O1247" s="3" t="s">
        <v>7</v>
      </c>
    </row>
    <row r="1248" spans="2:15" x14ac:dyDescent="0.45">
      <c r="B1248" s="6" t="s">
        <v>126</v>
      </c>
      <c r="C1248" s="6" t="s">
        <v>46</v>
      </c>
      <c r="D1248" s="7">
        <v>2.3914821607562448E-2</v>
      </c>
      <c r="E1248" s="6" t="s">
        <v>7</v>
      </c>
      <c r="G1248" s="6" t="s">
        <v>127</v>
      </c>
      <c r="H1248" s="6" t="s">
        <v>46</v>
      </c>
      <c r="I1248" s="8">
        <v>9.5613663674391849E-3</v>
      </c>
      <c r="J1248" s="6" t="s">
        <v>7</v>
      </c>
      <c r="L1248" s="6" t="s">
        <v>128</v>
      </c>
      <c r="M1248" s="6" t="s">
        <v>46</v>
      </c>
      <c r="N1248" s="8">
        <v>1.1771485151783135E-2</v>
      </c>
      <c r="O1248" s="6" t="s">
        <v>7</v>
      </c>
    </row>
    <row r="1249" spans="2:15" x14ac:dyDescent="0.45">
      <c r="B1249" s="3" t="s">
        <v>126</v>
      </c>
      <c r="C1249" s="3" t="s">
        <v>47</v>
      </c>
      <c r="D1249" s="4">
        <v>2.4112118679061748E-3</v>
      </c>
      <c r="E1249" s="3" t="s">
        <v>7</v>
      </c>
      <c r="G1249" s="3" t="s">
        <v>127</v>
      </c>
      <c r="H1249" s="3" t="s">
        <v>47</v>
      </c>
      <c r="I1249" s="5">
        <v>8.6782608064875436E-3</v>
      </c>
      <c r="J1249" s="3" t="s">
        <v>7</v>
      </c>
      <c r="L1249" s="3" t="s">
        <v>128</v>
      </c>
      <c r="M1249" s="3" t="s">
        <v>47</v>
      </c>
      <c r="N1249" s="5">
        <v>1.1761206921693841E-2</v>
      </c>
      <c r="O1249" s="3" t="s">
        <v>7</v>
      </c>
    </row>
    <row r="1250" spans="2:15" x14ac:dyDescent="0.45">
      <c r="B1250" s="6" t="s">
        <v>126</v>
      </c>
      <c r="C1250" s="6" t="s">
        <v>48</v>
      </c>
      <c r="D1250" s="7">
        <v>0</v>
      </c>
      <c r="E1250" s="6" t="s">
        <v>7</v>
      </c>
      <c r="G1250" s="6" t="s">
        <v>127</v>
      </c>
      <c r="H1250" s="6" t="s">
        <v>48</v>
      </c>
      <c r="I1250" s="8">
        <v>1.2262744081586396E-2</v>
      </c>
      <c r="J1250" s="6" t="s">
        <v>7</v>
      </c>
      <c r="L1250" s="6" t="s">
        <v>128</v>
      </c>
      <c r="M1250" s="6" t="s">
        <v>48</v>
      </c>
      <c r="N1250" s="8">
        <v>1.8015695587496605E-2</v>
      </c>
      <c r="O1250" s="6" t="s">
        <v>7</v>
      </c>
    </row>
    <row r="1251" spans="2:15" x14ac:dyDescent="0.45">
      <c r="B1251" s="3" t="s">
        <v>126</v>
      </c>
      <c r="C1251" s="3" t="s">
        <v>49</v>
      </c>
      <c r="D1251" s="4">
        <v>0</v>
      </c>
      <c r="E1251" s="3" t="s">
        <v>7</v>
      </c>
      <c r="G1251" s="3" t="s">
        <v>127</v>
      </c>
      <c r="H1251" s="3" t="s">
        <v>49</v>
      </c>
      <c r="I1251" s="5">
        <v>3.288151967200733E-2</v>
      </c>
      <c r="J1251" s="3" t="s">
        <v>7</v>
      </c>
      <c r="L1251" s="3" t="s">
        <v>128</v>
      </c>
      <c r="M1251" s="3" t="s">
        <v>49</v>
      </c>
      <c r="N1251" s="5">
        <v>3.050099429292083E-2</v>
      </c>
      <c r="O1251" s="3" t="s">
        <v>7</v>
      </c>
    </row>
    <row r="1252" spans="2:15" x14ac:dyDescent="0.45">
      <c r="B1252" s="6" t="s">
        <v>126</v>
      </c>
      <c r="C1252" s="6" t="s">
        <v>50</v>
      </c>
      <c r="D1252" s="7">
        <v>0</v>
      </c>
      <c r="E1252" s="6" t="s">
        <v>7</v>
      </c>
      <c r="G1252" s="6" t="s">
        <v>127</v>
      </c>
      <c r="H1252" s="6" t="s">
        <v>50</v>
      </c>
      <c r="I1252" s="8">
        <v>1.3061965074539158E-2</v>
      </c>
      <c r="J1252" s="6" t="s">
        <v>7</v>
      </c>
      <c r="L1252" s="6" t="s">
        <v>128</v>
      </c>
      <c r="M1252" s="6" t="s">
        <v>50</v>
      </c>
      <c r="N1252" s="8">
        <v>1.2080456730098691E-2</v>
      </c>
      <c r="O1252" s="6" t="s">
        <v>7</v>
      </c>
    </row>
    <row r="1253" spans="2:15" x14ac:dyDescent="0.45">
      <c r="B1253" s="3" t="s">
        <v>126</v>
      </c>
      <c r="C1253" s="3" t="s">
        <v>51</v>
      </c>
      <c r="D1253" s="4">
        <v>4.466014426143452E-3</v>
      </c>
      <c r="E1253" s="3" t="s">
        <v>7</v>
      </c>
      <c r="G1253" s="3" t="s">
        <v>127</v>
      </c>
      <c r="H1253" s="3" t="s">
        <v>51</v>
      </c>
      <c r="I1253" s="5">
        <v>1.3689934859222945E-2</v>
      </c>
      <c r="J1253" s="3" t="s">
        <v>7</v>
      </c>
      <c r="L1253" s="3" t="s">
        <v>128</v>
      </c>
      <c r="M1253" s="3" t="s">
        <v>51</v>
      </c>
      <c r="N1253" s="5">
        <v>1.2434670070518159E-2</v>
      </c>
      <c r="O1253" s="3" t="s">
        <v>7</v>
      </c>
    </row>
    <row r="1254" spans="2:15" x14ac:dyDescent="0.45">
      <c r="B1254" s="6" t="s">
        <v>126</v>
      </c>
      <c r="C1254" s="6" t="s">
        <v>52</v>
      </c>
      <c r="D1254" s="7">
        <v>2.3511557847174847E-2</v>
      </c>
      <c r="E1254" s="6" t="s">
        <v>7</v>
      </c>
      <c r="G1254" s="6" t="s">
        <v>127</v>
      </c>
      <c r="H1254" s="6" t="s">
        <v>52</v>
      </c>
      <c r="I1254" s="8">
        <v>1.4383755450455511E-2</v>
      </c>
      <c r="J1254" s="6" t="s">
        <v>7</v>
      </c>
      <c r="L1254" s="6" t="s">
        <v>128</v>
      </c>
      <c r="M1254" s="6" t="s">
        <v>52</v>
      </c>
      <c r="N1254" s="8">
        <v>1.2862487011981916E-2</v>
      </c>
      <c r="O1254" s="6" t="s">
        <v>7</v>
      </c>
    </row>
    <row r="1255" spans="2:15" x14ac:dyDescent="0.45">
      <c r="B1255" s="3" t="s">
        <v>126</v>
      </c>
      <c r="C1255" s="3" t="s">
        <v>53</v>
      </c>
      <c r="D1255" s="4">
        <v>3.7651734775525893E-2</v>
      </c>
      <c r="E1255" s="3" t="s">
        <v>7</v>
      </c>
      <c r="G1255" s="3" t="s">
        <v>127</v>
      </c>
      <c r="H1255" s="3" t="s">
        <v>53</v>
      </c>
      <c r="I1255" s="5">
        <v>1.4845876326278123E-2</v>
      </c>
      <c r="J1255" s="3" t="s">
        <v>7</v>
      </c>
      <c r="L1255" s="3" t="s">
        <v>128</v>
      </c>
      <c r="M1255" s="3" t="s">
        <v>53</v>
      </c>
      <c r="N1255" s="5">
        <v>1.3235483519763494E-2</v>
      </c>
      <c r="O1255" s="3" t="s">
        <v>7</v>
      </c>
    </row>
    <row r="1256" spans="2:15" x14ac:dyDescent="0.45">
      <c r="B1256" s="6" t="s">
        <v>126</v>
      </c>
      <c r="C1256" s="6" t="s">
        <v>54</v>
      </c>
      <c r="D1256" s="7">
        <v>3.9187896123858042E-2</v>
      </c>
      <c r="E1256" s="6" t="s">
        <v>7</v>
      </c>
      <c r="G1256" s="6" t="s">
        <v>127</v>
      </c>
      <c r="H1256" s="6" t="s">
        <v>54</v>
      </c>
      <c r="I1256" s="8">
        <v>1.5650780701831523E-2</v>
      </c>
      <c r="J1256" s="6" t="s">
        <v>7</v>
      </c>
      <c r="L1256" s="6" t="s">
        <v>128</v>
      </c>
      <c r="M1256" s="6" t="s">
        <v>54</v>
      </c>
      <c r="N1256" s="8">
        <v>1.2932808135202908E-2</v>
      </c>
      <c r="O1256" s="6" t="s">
        <v>7</v>
      </c>
    </row>
    <row r="1257" spans="2:15" x14ac:dyDescent="0.45">
      <c r="B1257" s="3" t="s">
        <v>126</v>
      </c>
      <c r="C1257" s="3" t="s">
        <v>55</v>
      </c>
      <c r="D1257" s="4">
        <v>2.6786295357444079E-2</v>
      </c>
      <c r="E1257" s="3" t="s">
        <v>7</v>
      </c>
      <c r="G1257" s="3" t="s">
        <v>127</v>
      </c>
      <c r="H1257" s="3" t="s">
        <v>55</v>
      </c>
      <c r="I1257" s="5">
        <v>1.6040999249897284E-2</v>
      </c>
      <c r="J1257" s="3" t="s">
        <v>7</v>
      </c>
      <c r="L1257" s="3" t="s">
        <v>128</v>
      </c>
      <c r="M1257" s="3" t="s">
        <v>55</v>
      </c>
      <c r="N1257" s="5">
        <v>1.2415221836132881E-2</v>
      </c>
      <c r="O1257" s="3" t="s">
        <v>7</v>
      </c>
    </row>
    <row r="1258" spans="2:15" x14ac:dyDescent="0.45">
      <c r="B1258" s="6" t="s">
        <v>126</v>
      </c>
      <c r="C1258" s="6" t="s">
        <v>56</v>
      </c>
      <c r="D1258" s="7">
        <v>6.873130213968185E-3</v>
      </c>
      <c r="E1258" s="6" t="s">
        <v>7</v>
      </c>
      <c r="G1258" s="6" t="s">
        <v>127</v>
      </c>
      <c r="H1258" s="6" t="s">
        <v>56</v>
      </c>
      <c r="I1258" s="8">
        <v>1.55539621888578E-2</v>
      </c>
      <c r="J1258" s="6" t="s">
        <v>7</v>
      </c>
      <c r="L1258" s="6" t="s">
        <v>128</v>
      </c>
      <c r="M1258" s="6" t="s">
        <v>56</v>
      </c>
      <c r="N1258" s="8">
        <v>1.2200817611243517E-2</v>
      </c>
      <c r="O1258" s="6" t="s">
        <v>7</v>
      </c>
    </row>
    <row r="1259" spans="2:15" x14ac:dyDescent="0.45">
      <c r="B1259" s="3" t="s">
        <v>126</v>
      </c>
      <c r="C1259" s="3" t="s">
        <v>57</v>
      </c>
      <c r="D1259" s="4">
        <v>3.2564649031306796E-5</v>
      </c>
      <c r="E1259" s="3" t="s">
        <v>7</v>
      </c>
      <c r="G1259" s="3" t="s">
        <v>127</v>
      </c>
      <c r="H1259" s="3" t="s">
        <v>57</v>
      </c>
      <c r="I1259" s="5">
        <v>1.4997233195710993E-2</v>
      </c>
      <c r="J1259" s="3" t="s">
        <v>7</v>
      </c>
      <c r="L1259" s="3" t="s">
        <v>128</v>
      </c>
      <c r="M1259" s="3" t="s">
        <v>57</v>
      </c>
      <c r="N1259" s="5">
        <v>1.212340862143863E-2</v>
      </c>
      <c r="O1259" s="3" t="s">
        <v>7</v>
      </c>
    </row>
    <row r="1260" spans="2:15" x14ac:dyDescent="0.45">
      <c r="B1260" s="6" t="s">
        <v>126</v>
      </c>
      <c r="C1260" s="6" t="s">
        <v>58</v>
      </c>
      <c r="D1260" s="7">
        <v>0</v>
      </c>
      <c r="E1260" s="6" t="s">
        <v>7</v>
      </c>
      <c r="G1260" s="6" t="s">
        <v>127</v>
      </c>
      <c r="H1260" s="6" t="s">
        <v>58</v>
      </c>
      <c r="I1260" s="8">
        <v>2.1111797045607721E-2</v>
      </c>
      <c r="J1260" s="6" t="s">
        <v>7</v>
      </c>
      <c r="L1260" s="6" t="s">
        <v>128</v>
      </c>
      <c r="M1260" s="6" t="s">
        <v>58</v>
      </c>
      <c r="N1260" s="8">
        <v>1.8278418851927093E-2</v>
      </c>
      <c r="O1260" s="6" t="s">
        <v>7</v>
      </c>
    </row>
    <row r="1261" spans="2:15" x14ac:dyDescent="0.45">
      <c r="B1261" s="3" t="s">
        <v>126</v>
      </c>
      <c r="C1261" s="3" t="s">
        <v>59</v>
      </c>
      <c r="D1261" s="4">
        <v>0</v>
      </c>
      <c r="E1261" s="3" t="s">
        <v>7</v>
      </c>
      <c r="G1261" s="3" t="s">
        <v>127</v>
      </c>
      <c r="H1261" s="3" t="s">
        <v>59</v>
      </c>
      <c r="I1261" s="5">
        <v>4.2296596781910521E-2</v>
      </c>
      <c r="J1261" s="3" t="s">
        <v>7</v>
      </c>
      <c r="L1261" s="3" t="s">
        <v>128</v>
      </c>
      <c r="M1261" s="3" t="s">
        <v>59</v>
      </c>
      <c r="N1261" s="5">
        <v>4.4781824422730765E-2</v>
      </c>
      <c r="O1261" s="3" t="s">
        <v>7</v>
      </c>
    </row>
    <row r="1262" spans="2:15" x14ac:dyDescent="0.45">
      <c r="B1262" s="6" t="s">
        <v>126</v>
      </c>
      <c r="C1262" s="6" t="s">
        <v>60</v>
      </c>
      <c r="D1262" s="7">
        <v>0</v>
      </c>
      <c r="E1262" s="6" t="s">
        <v>7</v>
      </c>
      <c r="G1262" s="6" t="s">
        <v>127</v>
      </c>
      <c r="H1262" s="6" t="s">
        <v>60</v>
      </c>
      <c r="I1262" s="8">
        <v>1.6454814525506543E-2</v>
      </c>
      <c r="J1262" s="6" t="s">
        <v>7</v>
      </c>
      <c r="L1262" s="6" t="s">
        <v>128</v>
      </c>
      <c r="M1262" s="6" t="s">
        <v>60</v>
      </c>
      <c r="N1262" s="8">
        <v>1.7140255478364414E-2</v>
      </c>
      <c r="O1262" s="6" t="s">
        <v>7</v>
      </c>
    </row>
    <row r="1263" spans="2:15" x14ac:dyDescent="0.45">
      <c r="B1263" s="3" t="s">
        <v>126</v>
      </c>
      <c r="C1263" s="3" t="s">
        <v>61</v>
      </c>
      <c r="D1263" s="4">
        <v>1.3693483601826122E-4</v>
      </c>
      <c r="E1263" s="3" t="s">
        <v>7</v>
      </c>
      <c r="G1263" s="3" t="s">
        <v>127</v>
      </c>
      <c r="H1263" s="3" t="s">
        <v>61</v>
      </c>
      <c r="I1263" s="5">
        <v>1.6733537046604893E-2</v>
      </c>
      <c r="J1263" s="3" t="s">
        <v>7</v>
      </c>
      <c r="L1263" s="3" t="s">
        <v>128</v>
      </c>
      <c r="M1263" s="3" t="s">
        <v>61</v>
      </c>
      <c r="N1263" s="5">
        <v>1.6356430518570393E-2</v>
      </c>
      <c r="O1263" s="3" t="s">
        <v>7</v>
      </c>
    </row>
    <row r="1264" spans="2:15" x14ac:dyDescent="0.45">
      <c r="B1264" s="6" t="s">
        <v>126</v>
      </c>
      <c r="C1264" s="6" t="s">
        <v>62</v>
      </c>
      <c r="D1264" s="7">
        <v>1.1385557187973494E-2</v>
      </c>
      <c r="E1264" s="6" t="s">
        <v>7</v>
      </c>
      <c r="G1264" s="6" t="s">
        <v>127</v>
      </c>
      <c r="H1264" s="6" t="s">
        <v>62</v>
      </c>
      <c r="I1264" s="8">
        <v>1.6171349173270667E-2</v>
      </c>
      <c r="J1264" s="6" t="s">
        <v>7</v>
      </c>
      <c r="L1264" s="6" t="s">
        <v>128</v>
      </c>
      <c r="M1264" s="6" t="s">
        <v>62</v>
      </c>
      <c r="N1264" s="8">
        <v>1.6064617422559324E-2</v>
      </c>
      <c r="O1264" s="6" t="s">
        <v>7</v>
      </c>
    </row>
    <row r="1265" spans="2:15" x14ac:dyDescent="0.45">
      <c r="B1265" s="3" t="s">
        <v>126</v>
      </c>
      <c r="C1265" s="3" t="s">
        <v>63</v>
      </c>
      <c r="D1265" s="4">
        <v>2.8327397880253655E-2</v>
      </c>
      <c r="E1265" s="3" t="s">
        <v>7</v>
      </c>
      <c r="G1265" s="3" t="s">
        <v>127</v>
      </c>
      <c r="H1265" s="3" t="s">
        <v>63</v>
      </c>
      <c r="I1265" s="5">
        <v>1.6251965564091819E-2</v>
      </c>
      <c r="J1265" s="3" t="s">
        <v>7</v>
      </c>
      <c r="L1265" s="3" t="s">
        <v>128</v>
      </c>
      <c r="M1265" s="3" t="s">
        <v>63</v>
      </c>
      <c r="N1265" s="5">
        <v>1.6309612202297631E-2</v>
      </c>
      <c r="O1265" s="3" t="s">
        <v>7</v>
      </c>
    </row>
    <row r="1266" spans="2:15" x14ac:dyDescent="0.45">
      <c r="B1266" s="6" t="s">
        <v>126</v>
      </c>
      <c r="C1266" s="6" t="s">
        <v>64</v>
      </c>
      <c r="D1266" s="7">
        <v>2.896170799528917E-2</v>
      </c>
      <c r="E1266" s="6" t="s">
        <v>7</v>
      </c>
      <c r="G1266" s="6" t="s">
        <v>127</v>
      </c>
      <c r="H1266" s="6" t="s">
        <v>64</v>
      </c>
      <c r="I1266" s="8">
        <v>1.6434602269671927E-2</v>
      </c>
      <c r="J1266" s="6" t="s">
        <v>7</v>
      </c>
      <c r="L1266" s="6" t="s">
        <v>128</v>
      </c>
      <c r="M1266" s="6" t="s">
        <v>64</v>
      </c>
      <c r="N1266" s="8">
        <v>1.6909961570002116E-2</v>
      </c>
      <c r="O1266" s="6" t="s">
        <v>7</v>
      </c>
    </row>
    <row r="1267" spans="2:15" x14ac:dyDescent="0.45">
      <c r="B1267" s="3" t="s">
        <v>126</v>
      </c>
      <c r="C1267" s="3" t="s">
        <v>65</v>
      </c>
      <c r="D1267" s="4">
        <v>1.3210992862345738E-2</v>
      </c>
      <c r="E1267" s="3" t="s">
        <v>7</v>
      </c>
      <c r="G1267" s="3" t="s">
        <v>127</v>
      </c>
      <c r="H1267" s="3" t="s">
        <v>65</v>
      </c>
      <c r="I1267" s="5">
        <v>1.6181938236188659E-2</v>
      </c>
      <c r="J1267" s="3" t="s">
        <v>7</v>
      </c>
      <c r="L1267" s="3" t="s">
        <v>128</v>
      </c>
      <c r="M1267" s="3" t="s">
        <v>65</v>
      </c>
      <c r="N1267" s="5">
        <v>1.6926271110726424E-2</v>
      </c>
      <c r="O1267" s="3" t="s">
        <v>7</v>
      </c>
    </row>
    <row r="1268" spans="2:15" x14ac:dyDescent="0.45">
      <c r="B1268" s="6" t="s">
        <v>126</v>
      </c>
      <c r="C1268" s="6" t="s">
        <v>66</v>
      </c>
      <c r="D1268" s="7">
        <v>5.9095176634062041E-5</v>
      </c>
      <c r="E1268" s="6" t="s">
        <v>7</v>
      </c>
      <c r="G1268" s="6" t="s">
        <v>127</v>
      </c>
      <c r="H1268" s="6" t="s">
        <v>66</v>
      </c>
      <c r="I1268" s="8">
        <v>1.6324714779231812E-2</v>
      </c>
      <c r="J1268" s="6" t="s">
        <v>7</v>
      </c>
      <c r="L1268" s="6" t="s">
        <v>128</v>
      </c>
      <c r="M1268" s="6" t="s">
        <v>66</v>
      </c>
      <c r="N1268" s="8">
        <v>1.6763929335862345E-2</v>
      </c>
      <c r="O1268" s="6" t="s">
        <v>7</v>
      </c>
    </row>
    <row r="1269" spans="2:15" x14ac:dyDescent="0.45">
      <c r="B1269" s="3" t="s">
        <v>126</v>
      </c>
      <c r="C1269" s="3" t="s">
        <v>67</v>
      </c>
      <c r="D1269" s="4">
        <v>0</v>
      </c>
      <c r="E1269" s="3" t="s">
        <v>7</v>
      </c>
      <c r="G1269" s="3" t="s">
        <v>127</v>
      </c>
      <c r="H1269" s="3" t="s">
        <v>67</v>
      </c>
      <c r="I1269" s="5">
        <v>1.6371474665421538E-2</v>
      </c>
      <c r="J1269" s="3" t="s">
        <v>7</v>
      </c>
      <c r="L1269" s="3" t="s">
        <v>128</v>
      </c>
      <c r="M1269" s="3" t="s">
        <v>67</v>
      </c>
      <c r="N1269" s="5">
        <v>1.7421966731832429E-2</v>
      </c>
      <c r="O1269" s="3" t="s">
        <v>7</v>
      </c>
    </row>
    <row r="1270" spans="2:15" x14ac:dyDescent="0.45">
      <c r="B1270" s="6" t="s">
        <v>126</v>
      </c>
      <c r="C1270" s="6" t="s">
        <v>68</v>
      </c>
      <c r="D1270" s="7">
        <v>0</v>
      </c>
      <c r="E1270" s="6" t="s">
        <v>7</v>
      </c>
      <c r="G1270" s="6" t="s">
        <v>127</v>
      </c>
      <c r="H1270" s="6" t="s">
        <v>68</v>
      </c>
      <c r="I1270" s="8">
        <v>2.4388074801810867E-2</v>
      </c>
      <c r="J1270" s="6" t="s">
        <v>7</v>
      </c>
      <c r="L1270" s="6" t="s">
        <v>128</v>
      </c>
      <c r="M1270" s="6" t="s">
        <v>68</v>
      </c>
      <c r="N1270" s="8">
        <v>2.7228556835730437E-2</v>
      </c>
      <c r="O1270" s="6" t="s">
        <v>7</v>
      </c>
    </row>
    <row r="1271" spans="2:15" x14ac:dyDescent="0.45">
      <c r="B1271" s="3" t="s">
        <v>129</v>
      </c>
      <c r="C1271" s="3" t="s">
        <v>6</v>
      </c>
      <c r="D1271" s="4">
        <v>0</v>
      </c>
      <c r="E1271" s="3" t="s">
        <v>7</v>
      </c>
      <c r="G1271" s="3" t="s">
        <v>130</v>
      </c>
      <c r="H1271" s="3" t="s">
        <v>6</v>
      </c>
      <c r="I1271" s="5">
        <v>3.5003169705624448E-2</v>
      </c>
      <c r="J1271" s="3" t="s">
        <v>7</v>
      </c>
      <c r="L1271" s="3" t="s">
        <v>131</v>
      </c>
      <c r="M1271" s="3" t="s">
        <v>6</v>
      </c>
      <c r="N1271" s="5">
        <v>3.9351794318396381E-2</v>
      </c>
      <c r="O1271" s="3" t="s">
        <v>7</v>
      </c>
    </row>
    <row r="1272" spans="2:15" x14ac:dyDescent="0.45">
      <c r="B1272" s="6" t="s">
        <v>129</v>
      </c>
      <c r="C1272" s="6" t="s">
        <v>10</v>
      </c>
      <c r="D1272" s="7">
        <v>0</v>
      </c>
      <c r="E1272" s="6" t="s">
        <v>7</v>
      </c>
      <c r="G1272" s="6" t="s">
        <v>130</v>
      </c>
      <c r="H1272" s="6" t="s">
        <v>10</v>
      </c>
      <c r="I1272" s="8">
        <v>1.3630421991896851E-2</v>
      </c>
      <c r="J1272" s="6" t="s">
        <v>7</v>
      </c>
      <c r="L1272" s="6" t="s">
        <v>131</v>
      </c>
      <c r="M1272" s="6" t="s">
        <v>10</v>
      </c>
      <c r="N1272" s="8">
        <v>1.5608983814100049E-2</v>
      </c>
      <c r="O1272" s="6" t="s">
        <v>7</v>
      </c>
    </row>
    <row r="1273" spans="2:15" x14ac:dyDescent="0.45">
      <c r="B1273" s="3" t="s">
        <v>129</v>
      </c>
      <c r="C1273" s="3" t="s">
        <v>11</v>
      </c>
      <c r="D1273" s="4">
        <v>1.4828382122946153E-4</v>
      </c>
      <c r="E1273" s="3" t="s">
        <v>7</v>
      </c>
      <c r="G1273" s="3" t="s">
        <v>130</v>
      </c>
      <c r="H1273" s="3" t="s">
        <v>11</v>
      </c>
      <c r="I1273" s="5">
        <v>1.4273745252341843E-2</v>
      </c>
      <c r="J1273" s="3" t="s">
        <v>7</v>
      </c>
      <c r="L1273" s="3" t="s">
        <v>131</v>
      </c>
      <c r="M1273" s="3" t="s">
        <v>11</v>
      </c>
      <c r="N1273" s="5">
        <v>1.5497748887516779E-2</v>
      </c>
      <c r="O1273" s="3" t="s">
        <v>7</v>
      </c>
    </row>
    <row r="1274" spans="2:15" x14ac:dyDescent="0.45">
      <c r="B1274" s="6" t="s">
        <v>129</v>
      </c>
      <c r="C1274" s="6" t="s">
        <v>12</v>
      </c>
      <c r="D1274" s="7">
        <v>8.0109146331304205E-3</v>
      </c>
      <c r="E1274" s="6" t="s">
        <v>7</v>
      </c>
      <c r="G1274" s="6" t="s">
        <v>130</v>
      </c>
      <c r="H1274" s="6" t="s">
        <v>12</v>
      </c>
      <c r="I1274" s="8">
        <v>1.4533142923962915E-2</v>
      </c>
      <c r="J1274" s="6" t="s">
        <v>7</v>
      </c>
      <c r="L1274" s="6" t="s">
        <v>131</v>
      </c>
      <c r="M1274" s="6" t="s">
        <v>12</v>
      </c>
      <c r="N1274" s="8">
        <v>1.5690903886198058E-2</v>
      </c>
      <c r="O1274" s="6" t="s">
        <v>7</v>
      </c>
    </row>
    <row r="1275" spans="2:15" x14ac:dyDescent="0.45">
      <c r="B1275" s="3" t="s">
        <v>129</v>
      </c>
      <c r="C1275" s="3" t="s">
        <v>13</v>
      </c>
      <c r="D1275" s="4">
        <v>2.3924259355247855E-2</v>
      </c>
      <c r="E1275" s="3" t="s">
        <v>7</v>
      </c>
      <c r="G1275" s="3" t="s">
        <v>130</v>
      </c>
      <c r="H1275" s="3" t="s">
        <v>13</v>
      </c>
      <c r="I1275" s="5">
        <v>1.4607300603739151E-2</v>
      </c>
      <c r="J1275" s="3" t="s">
        <v>7</v>
      </c>
      <c r="L1275" s="3" t="s">
        <v>131</v>
      </c>
      <c r="M1275" s="3" t="s">
        <v>13</v>
      </c>
      <c r="N1275" s="5">
        <v>1.5882417622765026E-2</v>
      </c>
      <c r="O1275" s="3" t="s">
        <v>7</v>
      </c>
    </row>
    <row r="1276" spans="2:15" x14ac:dyDescent="0.45">
      <c r="B1276" s="6" t="s">
        <v>129</v>
      </c>
      <c r="C1276" s="6" t="s">
        <v>14</v>
      </c>
      <c r="D1276" s="7">
        <v>2.881771178965966E-2</v>
      </c>
      <c r="E1276" s="6" t="s">
        <v>7</v>
      </c>
      <c r="G1276" s="6" t="s">
        <v>130</v>
      </c>
      <c r="H1276" s="6" t="s">
        <v>14</v>
      </c>
      <c r="I1276" s="8">
        <v>1.443924988744155E-2</v>
      </c>
      <c r="J1276" s="6" t="s">
        <v>7</v>
      </c>
      <c r="L1276" s="6" t="s">
        <v>131</v>
      </c>
      <c r="M1276" s="6" t="s">
        <v>14</v>
      </c>
      <c r="N1276" s="8">
        <v>1.6063709587851679E-2</v>
      </c>
      <c r="O1276" s="6" t="s">
        <v>7</v>
      </c>
    </row>
    <row r="1277" spans="2:15" x14ac:dyDescent="0.45">
      <c r="B1277" s="3" t="s">
        <v>129</v>
      </c>
      <c r="C1277" s="3" t="s">
        <v>15</v>
      </c>
      <c r="D1277" s="4">
        <v>1.4744634280724558E-2</v>
      </c>
      <c r="E1277" s="3" t="s">
        <v>7</v>
      </c>
      <c r="G1277" s="3" t="s">
        <v>130</v>
      </c>
      <c r="H1277" s="3" t="s">
        <v>15</v>
      </c>
      <c r="I1277" s="5">
        <v>1.4207284131870022E-2</v>
      </c>
      <c r="J1277" s="3" t="s">
        <v>7</v>
      </c>
      <c r="L1277" s="3" t="s">
        <v>131</v>
      </c>
      <c r="M1277" s="3" t="s">
        <v>15</v>
      </c>
      <c r="N1277" s="5">
        <v>1.6103644001692098E-2</v>
      </c>
      <c r="O1277" s="3" t="s">
        <v>7</v>
      </c>
    </row>
    <row r="1278" spans="2:15" x14ac:dyDescent="0.45">
      <c r="B1278" s="6" t="s">
        <v>129</v>
      </c>
      <c r="C1278" s="6" t="s">
        <v>16</v>
      </c>
      <c r="D1278" s="7">
        <v>1.1148374568866906E-3</v>
      </c>
      <c r="E1278" s="6" t="s">
        <v>7</v>
      </c>
      <c r="G1278" s="6" t="s">
        <v>130</v>
      </c>
      <c r="H1278" s="6" t="s">
        <v>16</v>
      </c>
      <c r="I1278" s="8">
        <v>1.4088613580479449E-2</v>
      </c>
      <c r="J1278" s="6" t="s">
        <v>7</v>
      </c>
      <c r="L1278" s="6" t="s">
        <v>131</v>
      </c>
      <c r="M1278" s="6" t="s">
        <v>16</v>
      </c>
      <c r="N1278" s="8">
        <v>1.6276742664770329E-2</v>
      </c>
      <c r="O1278" s="6" t="s">
        <v>7</v>
      </c>
    </row>
    <row r="1279" spans="2:15" x14ac:dyDescent="0.45">
      <c r="B1279" s="3" t="s">
        <v>129</v>
      </c>
      <c r="C1279" s="3" t="s">
        <v>17</v>
      </c>
      <c r="D1279" s="4">
        <v>0</v>
      </c>
      <c r="E1279" s="3" t="s">
        <v>7</v>
      </c>
      <c r="G1279" s="3" t="s">
        <v>130</v>
      </c>
      <c r="H1279" s="3" t="s">
        <v>17</v>
      </c>
      <c r="I1279" s="5">
        <v>1.4461189530577971E-2</v>
      </c>
      <c r="J1279" s="3" t="s">
        <v>7</v>
      </c>
      <c r="L1279" s="3" t="s">
        <v>131</v>
      </c>
      <c r="M1279" s="3" t="s">
        <v>17</v>
      </c>
      <c r="N1279" s="5">
        <v>1.629044157991812E-2</v>
      </c>
      <c r="O1279" s="3" t="s">
        <v>7</v>
      </c>
    </row>
    <row r="1280" spans="2:15" x14ac:dyDescent="0.45">
      <c r="B1280" s="6" t="s">
        <v>129</v>
      </c>
      <c r="C1280" s="6" t="s">
        <v>18</v>
      </c>
      <c r="D1280" s="7">
        <v>0</v>
      </c>
      <c r="E1280" s="6" t="s">
        <v>7</v>
      </c>
      <c r="G1280" s="6" t="s">
        <v>130</v>
      </c>
      <c r="H1280" s="6" t="s">
        <v>18</v>
      </c>
      <c r="I1280" s="8">
        <v>2.2339700074584013E-2</v>
      </c>
      <c r="J1280" s="6" t="s">
        <v>7</v>
      </c>
      <c r="L1280" s="6" t="s">
        <v>131</v>
      </c>
      <c r="M1280" s="6" t="s">
        <v>18</v>
      </c>
      <c r="N1280" s="8">
        <v>2.3821470185376257E-2</v>
      </c>
      <c r="O1280" s="6" t="s">
        <v>7</v>
      </c>
    </row>
    <row r="1281" spans="2:15" x14ac:dyDescent="0.45">
      <c r="B1281" s="3" t="s">
        <v>129</v>
      </c>
      <c r="C1281" s="3" t="s">
        <v>19</v>
      </c>
      <c r="D1281" s="4">
        <v>0</v>
      </c>
      <c r="E1281" s="3" t="s">
        <v>7</v>
      </c>
      <c r="G1281" s="3" t="s">
        <v>130</v>
      </c>
      <c r="H1281" s="3" t="s">
        <v>19</v>
      </c>
      <c r="I1281" s="5">
        <v>3.3472622310335549E-2</v>
      </c>
      <c r="J1281" s="3" t="s">
        <v>7</v>
      </c>
      <c r="L1281" s="3" t="s">
        <v>131</v>
      </c>
      <c r="M1281" s="3" t="s">
        <v>19</v>
      </c>
      <c r="N1281" s="5">
        <v>3.2920106573930921E-2</v>
      </c>
      <c r="O1281" s="3" t="s">
        <v>7</v>
      </c>
    </row>
    <row r="1282" spans="2:15" x14ac:dyDescent="0.45">
      <c r="B1282" s="6" t="s">
        <v>129</v>
      </c>
      <c r="C1282" s="6" t="s">
        <v>20</v>
      </c>
      <c r="D1282" s="7">
        <v>2.3537015494861478E-4</v>
      </c>
      <c r="E1282" s="6" t="s">
        <v>7</v>
      </c>
      <c r="G1282" s="6" t="s">
        <v>130</v>
      </c>
      <c r="H1282" s="6" t="s">
        <v>20</v>
      </c>
      <c r="I1282" s="8">
        <v>1.2702249152634671E-2</v>
      </c>
      <c r="J1282" s="6" t="s">
        <v>7</v>
      </c>
      <c r="L1282" s="6" t="s">
        <v>131</v>
      </c>
      <c r="M1282" s="6" t="s">
        <v>20</v>
      </c>
      <c r="N1282" s="8">
        <v>1.3123182002309419E-2</v>
      </c>
      <c r="O1282" s="6" t="s">
        <v>7</v>
      </c>
    </row>
    <row r="1283" spans="2:15" x14ac:dyDescent="0.45">
      <c r="B1283" s="3" t="s">
        <v>129</v>
      </c>
      <c r="C1283" s="3" t="s">
        <v>21</v>
      </c>
      <c r="D1283" s="4">
        <v>1.0666289982323628E-2</v>
      </c>
      <c r="E1283" s="3" t="s">
        <v>7</v>
      </c>
      <c r="G1283" s="3" t="s">
        <v>130</v>
      </c>
      <c r="H1283" s="3" t="s">
        <v>21</v>
      </c>
      <c r="I1283" s="5">
        <v>1.2596246571593231E-2</v>
      </c>
      <c r="J1283" s="3" t="s">
        <v>7</v>
      </c>
      <c r="L1283" s="3" t="s">
        <v>131</v>
      </c>
      <c r="M1283" s="3" t="s">
        <v>21</v>
      </c>
      <c r="N1283" s="5">
        <v>1.3332847800694844E-2</v>
      </c>
      <c r="O1283" s="3" t="s">
        <v>7</v>
      </c>
    </row>
    <row r="1284" spans="2:15" x14ac:dyDescent="0.45">
      <c r="B1284" s="6" t="s">
        <v>129</v>
      </c>
      <c r="C1284" s="6" t="s">
        <v>22</v>
      </c>
      <c r="D1284" s="7">
        <v>3.9925136492111581E-2</v>
      </c>
      <c r="E1284" s="6" t="s">
        <v>7</v>
      </c>
      <c r="G1284" s="6" t="s">
        <v>130</v>
      </c>
      <c r="H1284" s="6" t="s">
        <v>22</v>
      </c>
      <c r="I1284" s="8">
        <v>1.2616290229878206E-2</v>
      </c>
      <c r="J1284" s="6" t="s">
        <v>7</v>
      </c>
      <c r="L1284" s="6" t="s">
        <v>131</v>
      </c>
      <c r="M1284" s="6" t="s">
        <v>22</v>
      </c>
      <c r="N1284" s="8">
        <v>1.355782649721104E-2</v>
      </c>
      <c r="O1284" s="6" t="s">
        <v>7</v>
      </c>
    </row>
    <row r="1285" spans="2:15" x14ac:dyDescent="0.45">
      <c r="B1285" s="3" t="s">
        <v>129</v>
      </c>
      <c r="C1285" s="3" t="s">
        <v>23</v>
      </c>
      <c r="D1285" s="4">
        <v>6.2245022678818047E-2</v>
      </c>
      <c r="E1285" s="3" t="s">
        <v>7</v>
      </c>
      <c r="G1285" s="3" t="s">
        <v>130</v>
      </c>
      <c r="H1285" s="3" t="s">
        <v>23</v>
      </c>
      <c r="I1285" s="5">
        <v>1.2455253076546035E-2</v>
      </c>
      <c r="J1285" s="3" t="s">
        <v>7</v>
      </c>
      <c r="L1285" s="3" t="s">
        <v>131</v>
      </c>
      <c r="M1285" s="3" t="s">
        <v>23</v>
      </c>
      <c r="N1285" s="5">
        <v>1.3806868669390761E-2</v>
      </c>
      <c r="O1285" s="3" t="s">
        <v>7</v>
      </c>
    </row>
    <row r="1286" spans="2:15" x14ac:dyDescent="0.45">
      <c r="B1286" s="6" t="s">
        <v>129</v>
      </c>
      <c r="C1286" s="6" t="s">
        <v>24</v>
      </c>
      <c r="D1286" s="7">
        <v>6.5780988039901275E-2</v>
      </c>
      <c r="E1286" s="6" t="s">
        <v>7</v>
      </c>
      <c r="G1286" s="6" t="s">
        <v>130</v>
      </c>
      <c r="H1286" s="6" t="s">
        <v>24</v>
      </c>
      <c r="I1286" s="8">
        <v>1.2673798600799945E-2</v>
      </c>
      <c r="J1286" s="6" t="s">
        <v>7</v>
      </c>
      <c r="L1286" s="6" t="s">
        <v>131</v>
      </c>
      <c r="M1286" s="6" t="s">
        <v>24</v>
      </c>
      <c r="N1286" s="8">
        <v>1.405429578825435E-2</v>
      </c>
      <c r="O1286" s="6" t="s">
        <v>7</v>
      </c>
    </row>
    <row r="1287" spans="2:15" x14ac:dyDescent="0.45">
      <c r="B1287" s="3" t="s">
        <v>129</v>
      </c>
      <c r="C1287" s="3" t="s">
        <v>25</v>
      </c>
      <c r="D1287" s="4">
        <v>4.6457015593810415E-2</v>
      </c>
      <c r="E1287" s="3" t="s">
        <v>7</v>
      </c>
      <c r="G1287" s="3" t="s">
        <v>130</v>
      </c>
      <c r="H1287" s="3" t="s">
        <v>25</v>
      </c>
      <c r="I1287" s="5">
        <v>1.3174565128477247E-2</v>
      </c>
      <c r="J1287" s="3" t="s">
        <v>7</v>
      </c>
      <c r="L1287" s="3" t="s">
        <v>131</v>
      </c>
      <c r="M1287" s="3" t="s">
        <v>25</v>
      </c>
      <c r="N1287" s="5">
        <v>1.3976606969515261E-2</v>
      </c>
      <c r="O1287" s="3" t="s">
        <v>7</v>
      </c>
    </row>
    <row r="1288" spans="2:15" x14ac:dyDescent="0.45">
      <c r="B1288" s="6" t="s">
        <v>129</v>
      </c>
      <c r="C1288" s="6" t="s">
        <v>26</v>
      </c>
      <c r="D1288" s="7">
        <v>1.6460679624360361E-2</v>
      </c>
      <c r="E1288" s="6" t="s">
        <v>7</v>
      </c>
      <c r="G1288" s="6" t="s">
        <v>130</v>
      </c>
      <c r="H1288" s="6" t="s">
        <v>26</v>
      </c>
      <c r="I1288" s="8">
        <v>1.3799533420996895E-2</v>
      </c>
      <c r="J1288" s="6" t="s">
        <v>7</v>
      </c>
      <c r="L1288" s="6" t="s">
        <v>131</v>
      </c>
      <c r="M1288" s="6" t="s">
        <v>26</v>
      </c>
      <c r="N1288" s="8">
        <v>1.4016322251886655E-2</v>
      </c>
      <c r="O1288" s="6" t="s">
        <v>7</v>
      </c>
    </row>
    <row r="1289" spans="2:15" x14ac:dyDescent="0.45">
      <c r="B1289" s="3" t="s">
        <v>129</v>
      </c>
      <c r="C1289" s="3" t="s">
        <v>27</v>
      </c>
      <c r="D1289" s="4">
        <v>4.1775339384839843E-4</v>
      </c>
      <c r="E1289" s="3" t="s">
        <v>7</v>
      </c>
      <c r="G1289" s="3" t="s">
        <v>130</v>
      </c>
      <c r="H1289" s="3" t="s">
        <v>27</v>
      </c>
      <c r="I1289" s="5">
        <v>1.4023919422788161E-2</v>
      </c>
      <c r="J1289" s="3" t="s">
        <v>7</v>
      </c>
      <c r="L1289" s="3" t="s">
        <v>131</v>
      </c>
      <c r="M1289" s="3" t="s">
        <v>27</v>
      </c>
      <c r="N1289" s="5">
        <v>1.4130332538051741E-2</v>
      </c>
      <c r="O1289" s="3" t="s">
        <v>7</v>
      </c>
    </row>
    <row r="1290" spans="2:15" x14ac:dyDescent="0.45">
      <c r="B1290" s="6" t="s">
        <v>129</v>
      </c>
      <c r="C1290" s="6" t="s">
        <v>28</v>
      </c>
      <c r="D1290" s="7">
        <v>0</v>
      </c>
      <c r="E1290" s="6" t="s">
        <v>7</v>
      </c>
      <c r="G1290" s="6" t="s">
        <v>130</v>
      </c>
      <c r="H1290" s="6" t="s">
        <v>28</v>
      </c>
      <c r="I1290" s="8">
        <v>2.0817326286038731E-2</v>
      </c>
      <c r="J1290" s="6" t="s">
        <v>7</v>
      </c>
      <c r="L1290" s="6" t="s">
        <v>131</v>
      </c>
      <c r="M1290" s="6" t="s">
        <v>28</v>
      </c>
      <c r="N1290" s="8">
        <v>2.0955311133022431E-2</v>
      </c>
      <c r="O1290" s="6" t="s">
        <v>7</v>
      </c>
    </row>
    <row r="1291" spans="2:15" x14ac:dyDescent="0.45">
      <c r="B1291" s="3" t="s">
        <v>129</v>
      </c>
      <c r="C1291" s="3" t="s">
        <v>29</v>
      </c>
      <c r="D1291" s="4">
        <v>8.2446265879537113E-5</v>
      </c>
      <c r="E1291" s="3" t="s">
        <v>7</v>
      </c>
      <c r="G1291" s="3" t="s">
        <v>130</v>
      </c>
      <c r="H1291" s="3" t="s">
        <v>29</v>
      </c>
      <c r="I1291" s="5">
        <v>2.9903741521004362E-2</v>
      </c>
      <c r="J1291" s="3" t="s">
        <v>7</v>
      </c>
      <c r="L1291" s="3" t="s">
        <v>131</v>
      </c>
      <c r="M1291" s="3" t="s">
        <v>29</v>
      </c>
      <c r="N1291" s="5">
        <v>3.0145637959505978E-2</v>
      </c>
      <c r="O1291" s="3" t="s">
        <v>7</v>
      </c>
    </row>
    <row r="1292" spans="2:15" x14ac:dyDescent="0.45">
      <c r="B1292" s="6" t="s">
        <v>129</v>
      </c>
      <c r="C1292" s="6" t="s">
        <v>30</v>
      </c>
      <c r="D1292" s="7">
        <v>3.6332347352855858E-3</v>
      </c>
      <c r="E1292" s="6" t="s">
        <v>7</v>
      </c>
      <c r="G1292" s="6" t="s">
        <v>130</v>
      </c>
      <c r="H1292" s="6" t="s">
        <v>30</v>
      </c>
      <c r="I1292" s="8">
        <v>1.2309823189880597E-2</v>
      </c>
      <c r="J1292" s="6" t="s">
        <v>7</v>
      </c>
      <c r="L1292" s="6" t="s">
        <v>131</v>
      </c>
      <c r="M1292" s="6" t="s">
        <v>30</v>
      </c>
      <c r="N1292" s="8">
        <v>1.1978040538517813E-2</v>
      </c>
      <c r="O1292" s="6" t="s">
        <v>7</v>
      </c>
    </row>
    <row r="1293" spans="2:15" x14ac:dyDescent="0.45">
      <c r="B1293" s="3" t="s">
        <v>129</v>
      </c>
      <c r="C1293" s="3" t="s">
        <v>31</v>
      </c>
      <c r="D1293" s="4">
        <v>2.1775147762394063E-2</v>
      </c>
      <c r="E1293" s="3" t="s">
        <v>7</v>
      </c>
      <c r="G1293" s="3" t="s">
        <v>130</v>
      </c>
      <c r="H1293" s="3" t="s">
        <v>31</v>
      </c>
      <c r="I1293" s="5">
        <v>1.1942567068412088E-2</v>
      </c>
      <c r="J1293" s="3" t="s">
        <v>7</v>
      </c>
      <c r="L1293" s="3" t="s">
        <v>131</v>
      </c>
      <c r="M1293" s="3" t="s">
        <v>31</v>
      </c>
      <c r="N1293" s="5">
        <v>1.2026983017788038E-2</v>
      </c>
      <c r="O1293" s="3" t="s">
        <v>7</v>
      </c>
    </row>
    <row r="1294" spans="2:15" x14ac:dyDescent="0.45">
      <c r="B1294" s="6" t="s">
        <v>129</v>
      </c>
      <c r="C1294" s="6" t="s">
        <v>32</v>
      </c>
      <c r="D1294" s="7">
        <v>4.6580409520647202E-2</v>
      </c>
      <c r="E1294" s="6" t="s">
        <v>7</v>
      </c>
      <c r="G1294" s="6" t="s">
        <v>130</v>
      </c>
      <c r="H1294" s="6" t="s">
        <v>32</v>
      </c>
      <c r="I1294" s="8">
        <v>1.1677598590535932E-2</v>
      </c>
      <c r="J1294" s="6" t="s">
        <v>7</v>
      </c>
      <c r="L1294" s="6" t="s">
        <v>131</v>
      </c>
      <c r="M1294" s="6" t="s">
        <v>32</v>
      </c>
      <c r="N1294" s="8">
        <v>1.1877838874628399E-2</v>
      </c>
      <c r="O1294" s="6" t="s">
        <v>7</v>
      </c>
    </row>
    <row r="1295" spans="2:15" x14ac:dyDescent="0.45">
      <c r="B1295" s="3" t="s">
        <v>129</v>
      </c>
      <c r="C1295" s="3" t="s">
        <v>33</v>
      </c>
      <c r="D1295" s="4">
        <v>6.4737243649393969E-2</v>
      </c>
      <c r="E1295" s="3" t="s">
        <v>7</v>
      </c>
      <c r="G1295" s="3" t="s">
        <v>130</v>
      </c>
      <c r="H1295" s="3" t="s">
        <v>33</v>
      </c>
      <c r="I1295" s="5">
        <v>1.1698000981091097E-2</v>
      </c>
      <c r="J1295" s="3" t="s">
        <v>7</v>
      </c>
      <c r="L1295" s="3" t="s">
        <v>131</v>
      </c>
      <c r="M1295" s="3" t="s">
        <v>33</v>
      </c>
      <c r="N1295" s="5">
        <v>1.1784661858985478E-2</v>
      </c>
      <c r="O1295" s="3" t="s">
        <v>7</v>
      </c>
    </row>
    <row r="1296" spans="2:15" x14ac:dyDescent="0.45">
      <c r="B1296" s="6" t="s">
        <v>129</v>
      </c>
      <c r="C1296" s="6" t="s">
        <v>34</v>
      </c>
      <c r="D1296" s="7">
        <v>6.5918142116533171E-2</v>
      </c>
      <c r="E1296" s="6" t="s">
        <v>7</v>
      </c>
      <c r="G1296" s="6" t="s">
        <v>130</v>
      </c>
      <c r="H1296" s="6" t="s">
        <v>34</v>
      </c>
      <c r="I1296" s="8">
        <v>1.1815163363059902E-2</v>
      </c>
      <c r="J1296" s="6" t="s">
        <v>7</v>
      </c>
      <c r="L1296" s="6" t="s">
        <v>131</v>
      </c>
      <c r="M1296" s="6" t="s">
        <v>34</v>
      </c>
      <c r="N1296" s="8">
        <v>1.1985005333554901E-2</v>
      </c>
      <c r="O1296" s="6" t="s">
        <v>7</v>
      </c>
    </row>
    <row r="1297" spans="2:15" x14ac:dyDescent="0.45">
      <c r="B1297" s="3" t="s">
        <v>129</v>
      </c>
      <c r="C1297" s="3" t="s">
        <v>35</v>
      </c>
      <c r="D1297" s="4">
        <v>5.11322765688762E-2</v>
      </c>
      <c r="E1297" s="3" t="s">
        <v>7</v>
      </c>
      <c r="G1297" s="3" t="s">
        <v>130</v>
      </c>
      <c r="H1297" s="3" t="s">
        <v>35</v>
      </c>
      <c r="I1297" s="5">
        <v>1.1565179319894845E-2</v>
      </c>
      <c r="J1297" s="3" t="s">
        <v>7</v>
      </c>
      <c r="L1297" s="3" t="s">
        <v>131</v>
      </c>
      <c r="M1297" s="3" t="s">
        <v>35</v>
      </c>
      <c r="N1297" s="5">
        <v>1.2069403699435995E-2</v>
      </c>
      <c r="O1297" s="3" t="s">
        <v>7</v>
      </c>
    </row>
    <row r="1298" spans="2:15" x14ac:dyDescent="0.45">
      <c r="B1298" s="6" t="s">
        <v>129</v>
      </c>
      <c r="C1298" s="6" t="s">
        <v>36</v>
      </c>
      <c r="D1298" s="7">
        <v>2.5457921350108308E-2</v>
      </c>
      <c r="E1298" s="6" t="s">
        <v>7</v>
      </c>
      <c r="G1298" s="6" t="s">
        <v>130</v>
      </c>
      <c r="H1298" s="6" t="s">
        <v>36</v>
      </c>
      <c r="I1298" s="8">
        <v>1.1678055321785077E-2</v>
      </c>
      <c r="J1298" s="6" t="s">
        <v>7</v>
      </c>
      <c r="L1298" s="6" t="s">
        <v>131</v>
      </c>
      <c r="M1298" s="6" t="s">
        <v>36</v>
      </c>
      <c r="N1298" s="8">
        <v>1.1889093429348437E-2</v>
      </c>
      <c r="O1298" s="6" t="s">
        <v>7</v>
      </c>
    </row>
    <row r="1299" spans="2:15" x14ac:dyDescent="0.45">
      <c r="B1299" s="3" t="s">
        <v>129</v>
      </c>
      <c r="C1299" s="3" t="s">
        <v>37</v>
      </c>
      <c r="D1299" s="4">
        <v>4.329296411749165E-3</v>
      </c>
      <c r="E1299" s="3" t="s">
        <v>7</v>
      </c>
      <c r="G1299" s="3" t="s">
        <v>130</v>
      </c>
      <c r="H1299" s="3" t="s">
        <v>37</v>
      </c>
      <c r="I1299" s="5">
        <v>1.1782616234410466E-2</v>
      </c>
      <c r="J1299" s="3" t="s">
        <v>7</v>
      </c>
      <c r="L1299" s="3" t="s">
        <v>131</v>
      </c>
      <c r="M1299" s="3" t="s">
        <v>37</v>
      </c>
      <c r="N1299" s="5">
        <v>1.1602203677194134E-2</v>
      </c>
      <c r="O1299" s="3" t="s">
        <v>7</v>
      </c>
    </row>
    <row r="1300" spans="2:15" x14ac:dyDescent="0.45">
      <c r="B1300" s="6" t="s">
        <v>129</v>
      </c>
      <c r="C1300" s="6" t="s">
        <v>38</v>
      </c>
      <c r="D1300" s="7">
        <v>1.8390880975958747E-4</v>
      </c>
      <c r="E1300" s="6" t="s">
        <v>7</v>
      </c>
      <c r="G1300" s="6" t="s">
        <v>130</v>
      </c>
      <c r="H1300" s="6" t="s">
        <v>38</v>
      </c>
      <c r="I1300" s="8">
        <v>1.7640106988296236E-2</v>
      </c>
      <c r="J1300" s="6" t="s">
        <v>7</v>
      </c>
      <c r="L1300" s="6" t="s">
        <v>131</v>
      </c>
      <c r="M1300" s="6" t="s">
        <v>38</v>
      </c>
      <c r="N1300" s="8">
        <v>1.7136202361423457E-2</v>
      </c>
      <c r="O1300" s="6" t="s">
        <v>7</v>
      </c>
    </row>
    <row r="1301" spans="2:15" x14ac:dyDescent="0.45">
      <c r="B1301" s="3" t="s">
        <v>129</v>
      </c>
      <c r="C1301" s="3" t="s">
        <v>39</v>
      </c>
      <c r="D1301" s="4">
        <v>9.9659209418272863E-6</v>
      </c>
      <c r="E1301" s="3" t="s">
        <v>7</v>
      </c>
      <c r="G1301" s="3" t="s">
        <v>130</v>
      </c>
      <c r="H1301" s="3" t="s">
        <v>39</v>
      </c>
      <c r="I1301" s="5">
        <v>2.9902883800030845E-2</v>
      </c>
      <c r="J1301" s="3" t="s">
        <v>7</v>
      </c>
      <c r="L1301" s="3" t="s">
        <v>131</v>
      </c>
      <c r="M1301" s="3" t="s">
        <v>39</v>
      </c>
      <c r="N1301" s="5">
        <v>2.9480330908099883E-2</v>
      </c>
      <c r="O1301" s="3" t="s">
        <v>7</v>
      </c>
    </row>
    <row r="1302" spans="2:15" x14ac:dyDescent="0.45">
      <c r="B1302" s="6" t="s">
        <v>129</v>
      </c>
      <c r="C1302" s="6" t="s">
        <v>40</v>
      </c>
      <c r="D1302" s="7">
        <v>2.0049499944632125E-3</v>
      </c>
      <c r="E1302" s="6" t="s">
        <v>7</v>
      </c>
      <c r="G1302" s="6" t="s">
        <v>130</v>
      </c>
      <c r="H1302" s="6" t="s">
        <v>40</v>
      </c>
      <c r="I1302" s="8">
        <v>1.173260210400995E-2</v>
      </c>
      <c r="J1302" s="6" t="s">
        <v>7</v>
      </c>
      <c r="L1302" s="6" t="s">
        <v>131</v>
      </c>
      <c r="M1302" s="6" t="s">
        <v>40</v>
      </c>
      <c r="N1302" s="8">
        <v>1.168198333943193E-2</v>
      </c>
      <c r="O1302" s="6" t="s">
        <v>7</v>
      </c>
    </row>
    <row r="1303" spans="2:15" x14ac:dyDescent="0.45">
      <c r="B1303" s="3" t="s">
        <v>129</v>
      </c>
      <c r="C1303" s="3" t="s">
        <v>41</v>
      </c>
      <c r="D1303" s="4">
        <v>1.6042512910543615E-2</v>
      </c>
      <c r="E1303" s="3" t="s">
        <v>7</v>
      </c>
      <c r="G1303" s="3" t="s">
        <v>130</v>
      </c>
      <c r="H1303" s="3" t="s">
        <v>41</v>
      </c>
      <c r="I1303" s="5">
        <v>1.1971184600496272E-2</v>
      </c>
      <c r="J1303" s="3" t="s">
        <v>7</v>
      </c>
      <c r="L1303" s="3" t="s">
        <v>131</v>
      </c>
      <c r="M1303" s="3" t="s">
        <v>41</v>
      </c>
      <c r="N1303" s="5">
        <v>1.1379556428671271E-2</v>
      </c>
      <c r="O1303" s="3" t="s">
        <v>7</v>
      </c>
    </row>
    <row r="1304" spans="2:15" x14ac:dyDescent="0.45">
      <c r="B1304" s="6" t="s">
        <v>129</v>
      </c>
      <c r="C1304" s="6" t="s">
        <v>42</v>
      </c>
      <c r="D1304" s="7">
        <v>3.8006998654444082E-2</v>
      </c>
      <c r="E1304" s="6" t="s">
        <v>7</v>
      </c>
      <c r="G1304" s="6" t="s">
        <v>130</v>
      </c>
      <c r="H1304" s="6" t="s">
        <v>42</v>
      </c>
      <c r="I1304" s="8">
        <v>1.1849480670084428E-2</v>
      </c>
      <c r="J1304" s="6" t="s">
        <v>7</v>
      </c>
      <c r="L1304" s="6" t="s">
        <v>131</v>
      </c>
      <c r="M1304" s="6" t="s">
        <v>42</v>
      </c>
      <c r="N1304" s="8">
        <v>1.1161573811655379E-2</v>
      </c>
      <c r="O1304" s="6" t="s">
        <v>7</v>
      </c>
    </row>
    <row r="1305" spans="2:15" x14ac:dyDescent="0.45">
      <c r="B1305" s="3" t="s">
        <v>129</v>
      </c>
      <c r="C1305" s="3" t="s">
        <v>43</v>
      </c>
      <c r="D1305" s="4">
        <v>5.514017007895252E-2</v>
      </c>
      <c r="E1305" s="3" t="s">
        <v>7</v>
      </c>
      <c r="G1305" s="3" t="s">
        <v>130</v>
      </c>
      <c r="H1305" s="3" t="s">
        <v>43</v>
      </c>
      <c r="I1305" s="5">
        <v>1.1945535625354182E-2</v>
      </c>
      <c r="J1305" s="3" t="s">
        <v>7</v>
      </c>
      <c r="L1305" s="3" t="s">
        <v>131</v>
      </c>
      <c r="M1305" s="3" t="s">
        <v>43</v>
      </c>
      <c r="N1305" s="5">
        <v>1.1346534617221017E-2</v>
      </c>
      <c r="O1305" s="3" t="s">
        <v>7</v>
      </c>
    </row>
    <row r="1306" spans="2:15" x14ac:dyDescent="0.45">
      <c r="B1306" s="6" t="s">
        <v>129</v>
      </c>
      <c r="C1306" s="6" t="s">
        <v>44</v>
      </c>
      <c r="D1306" s="7">
        <v>5.8297224124544807E-2</v>
      </c>
      <c r="E1306" s="6" t="s">
        <v>7</v>
      </c>
      <c r="G1306" s="6" t="s">
        <v>130</v>
      </c>
      <c r="H1306" s="6" t="s">
        <v>44</v>
      </c>
      <c r="I1306" s="8">
        <v>1.2132747247229618E-2</v>
      </c>
      <c r="J1306" s="6" t="s">
        <v>7</v>
      </c>
      <c r="L1306" s="6" t="s">
        <v>131</v>
      </c>
      <c r="M1306" s="6" t="s">
        <v>44</v>
      </c>
      <c r="N1306" s="8">
        <v>1.1508630253413657E-2</v>
      </c>
      <c r="O1306" s="6" t="s">
        <v>7</v>
      </c>
    </row>
    <row r="1307" spans="2:15" x14ac:dyDescent="0.45">
      <c r="B1307" s="3" t="s">
        <v>129</v>
      </c>
      <c r="C1307" s="3" t="s">
        <v>45</v>
      </c>
      <c r="D1307" s="4">
        <v>4.6424677754882793E-2</v>
      </c>
      <c r="E1307" s="3" t="s">
        <v>7</v>
      </c>
      <c r="G1307" s="3" t="s">
        <v>130</v>
      </c>
      <c r="H1307" s="3" t="s">
        <v>45</v>
      </c>
      <c r="I1307" s="5">
        <v>1.1907134980966651E-2</v>
      </c>
      <c r="J1307" s="3" t="s">
        <v>7</v>
      </c>
      <c r="L1307" s="3" t="s">
        <v>131</v>
      </c>
      <c r="M1307" s="3" t="s">
        <v>45</v>
      </c>
      <c r="N1307" s="5">
        <v>1.1537425725087933E-2</v>
      </c>
      <c r="O1307" s="3" t="s">
        <v>7</v>
      </c>
    </row>
    <row r="1308" spans="2:15" x14ac:dyDescent="0.45">
      <c r="B1308" s="6" t="s">
        <v>129</v>
      </c>
      <c r="C1308" s="6" t="s">
        <v>46</v>
      </c>
      <c r="D1308" s="7">
        <v>2.3069246093565865E-2</v>
      </c>
      <c r="E1308" s="6" t="s">
        <v>7</v>
      </c>
      <c r="G1308" s="6" t="s">
        <v>130</v>
      </c>
      <c r="H1308" s="6" t="s">
        <v>46</v>
      </c>
      <c r="I1308" s="8">
        <v>1.1743290868414562E-2</v>
      </c>
      <c r="J1308" s="6" t="s">
        <v>7</v>
      </c>
      <c r="L1308" s="6" t="s">
        <v>131</v>
      </c>
      <c r="M1308" s="6" t="s">
        <v>46</v>
      </c>
      <c r="N1308" s="8">
        <v>1.149736951664365E-2</v>
      </c>
      <c r="O1308" s="6" t="s">
        <v>7</v>
      </c>
    </row>
    <row r="1309" spans="2:15" x14ac:dyDescent="0.45">
      <c r="B1309" s="3" t="s">
        <v>129</v>
      </c>
      <c r="C1309" s="3" t="s">
        <v>47</v>
      </c>
      <c r="D1309" s="4">
        <v>3.4319138602490851E-3</v>
      </c>
      <c r="E1309" s="3" t="s">
        <v>7</v>
      </c>
      <c r="G1309" s="3" t="s">
        <v>130</v>
      </c>
      <c r="H1309" s="3" t="s">
        <v>47</v>
      </c>
      <c r="I1309" s="5">
        <v>1.1631034639160914E-2</v>
      </c>
      <c r="J1309" s="3" t="s">
        <v>7</v>
      </c>
      <c r="L1309" s="3" t="s">
        <v>131</v>
      </c>
      <c r="M1309" s="3" t="s">
        <v>47</v>
      </c>
      <c r="N1309" s="5">
        <v>1.1390208372478401E-2</v>
      </c>
      <c r="O1309" s="3" t="s">
        <v>7</v>
      </c>
    </row>
    <row r="1310" spans="2:15" x14ac:dyDescent="0.45">
      <c r="B1310" s="6" t="s">
        <v>129</v>
      </c>
      <c r="C1310" s="6" t="s">
        <v>48</v>
      </c>
      <c r="D1310" s="7">
        <v>7.722215525611882E-5</v>
      </c>
      <c r="E1310" s="6" t="s">
        <v>7</v>
      </c>
      <c r="G1310" s="6" t="s">
        <v>130</v>
      </c>
      <c r="H1310" s="6" t="s">
        <v>48</v>
      </c>
      <c r="I1310" s="8">
        <v>1.7918425043574861E-2</v>
      </c>
      <c r="J1310" s="6" t="s">
        <v>7</v>
      </c>
      <c r="L1310" s="6" t="s">
        <v>131</v>
      </c>
      <c r="M1310" s="6" t="s">
        <v>48</v>
      </c>
      <c r="N1310" s="8">
        <v>1.721814803036539E-2</v>
      </c>
      <c r="O1310" s="6" t="s">
        <v>7</v>
      </c>
    </row>
    <row r="1311" spans="2:15" x14ac:dyDescent="0.45">
      <c r="B1311" s="3" t="s">
        <v>129</v>
      </c>
      <c r="C1311" s="3" t="s">
        <v>49</v>
      </c>
      <c r="D1311" s="4">
        <v>0</v>
      </c>
      <c r="E1311" s="3" t="s">
        <v>7</v>
      </c>
      <c r="G1311" s="3" t="s">
        <v>130</v>
      </c>
      <c r="H1311" s="3" t="s">
        <v>49</v>
      </c>
      <c r="I1311" s="5">
        <v>3.4754810003516969E-2</v>
      </c>
      <c r="J1311" s="3" t="s">
        <v>7</v>
      </c>
      <c r="L1311" s="3" t="s">
        <v>131</v>
      </c>
      <c r="M1311" s="3" t="s">
        <v>49</v>
      </c>
      <c r="N1311" s="5">
        <v>3.1398338541462206E-2</v>
      </c>
      <c r="O1311" s="3" t="s">
        <v>7</v>
      </c>
    </row>
    <row r="1312" spans="2:15" x14ac:dyDescent="0.45">
      <c r="B1312" s="6" t="s">
        <v>129</v>
      </c>
      <c r="C1312" s="6" t="s">
        <v>50</v>
      </c>
      <c r="D1312" s="7">
        <v>5.5256317454578911E-6</v>
      </c>
      <c r="E1312" s="6" t="s">
        <v>7</v>
      </c>
      <c r="G1312" s="6" t="s">
        <v>130</v>
      </c>
      <c r="H1312" s="6" t="s">
        <v>50</v>
      </c>
      <c r="I1312" s="8">
        <v>1.3607544208053558E-2</v>
      </c>
      <c r="J1312" s="6" t="s">
        <v>7</v>
      </c>
      <c r="L1312" s="6" t="s">
        <v>131</v>
      </c>
      <c r="M1312" s="6" t="s">
        <v>50</v>
      </c>
      <c r="N1312" s="8">
        <v>1.3361512840126136E-2</v>
      </c>
      <c r="O1312" s="6" t="s">
        <v>7</v>
      </c>
    </row>
    <row r="1313" spans="2:15" x14ac:dyDescent="0.45">
      <c r="B1313" s="3" t="s">
        <v>129</v>
      </c>
      <c r="C1313" s="3" t="s">
        <v>51</v>
      </c>
      <c r="D1313" s="4">
        <v>3.7463157680219781E-3</v>
      </c>
      <c r="E1313" s="3" t="s">
        <v>7</v>
      </c>
      <c r="G1313" s="3" t="s">
        <v>130</v>
      </c>
      <c r="H1313" s="3" t="s">
        <v>51</v>
      </c>
      <c r="I1313" s="5">
        <v>1.3865189456404475E-2</v>
      </c>
      <c r="J1313" s="3" t="s">
        <v>7</v>
      </c>
      <c r="L1313" s="3" t="s">
        <v>131</v>
      </c>
      <c r="M1313" s="3" t="s">
        <v>51</v>
      </c>
      <c r="N1313" s="5">
        <v>1.3576142558694066E-2</v>
      </c>
      <c r="O1313" s="3" t="s">
        <v>7</v>
      </c>
    </row>
    <row r="1314" spans="2:15" x14ac:dyDescent="0.45">
      <c r="B1314" s="6" t="s">
        <v>129</v>
      </c>
      <c r="C1314" s="6" t="s">
        <v>52</v>
      </c>
      <c r="D1314" s="7">
        <v>1.9117083268948107E-2</v>
      </c>
      <c r="E1314" s="6" t="s">
        <v>7</v>
      </c>
      <c r="G1314" s="6" t="s">
        <v>130</v>
      </c>
      <c r="H1314" s="6" t="s">
        <v>52</v>
      </c>
      <c r="I1314" s="8">
        <v>1.3749065808054663E-2</v>
      </c>
      <c r="J1314" s="6" t="s">
        <v>7</v>
      </c>
      <c r="L1314" s="6" t="s">
        <v>131</v>
      </c>
      <c r="M1314" s="6" t="s">
        <v>52</v>
      </c>
      <c r="N1314" s="8">
        <v>1.3471715880127364E-2</v>
      </c>
      <c r="O1314" s="6" t="s">
        <v>7</v>
      </c>
    </row>
    <row r="1315" spans="2:15" x14ac:dyDescent="0.45">
      <c r="B1315" s="3" t="s">
        <v>129</v>
      </c>
      <c r="C1315" s="3" t="s">
        <v>53</v>
      </c>
      <c r="D1315" s="4">
        <v>3.2558972896872852E-2</v>
      </c>
      <c r="E1315" s="3" t="s">
        <v>7</v>
      </c>
      <c r="G1315" s="3" t="s">
        <v>130</v>
      </c>
      <c r="H1315" s="3" t="s">
        <v>53</v>
      </c>
      <c r="I1315" s="5">
        <v>1.3219790238886638E-2</v>
      </c>
      <c r="J1315" s="3" t="s">
        <v>7</v>
      </c>
      <c r="L1315" s="3" t="s">
        <v>131</v>
      </c>
      <c r="M1315" s="3" t="s">
        <v>53</v>
      </c>
      <c r="N1315" s="5">
        <v>1.3300714013409513E-2</v>
      </c>
      <c r="O1315" s="3" t="s">
        <v>7</v>
      </c>
    </row>
    <row r="1316" spans="2:15" x14ac:dyDescent="0.45">
      <c r="B1316" s="6" t="s">
        <v>129</v>
      </c>
      <c r="C1316" s="6" t="s">
        <v>54</v>
      </c>
      <c r="D1316" s="7">
        <v>3.3720679792064195E-2</v>
      </c>
      <c r="E1316" s="6" t="s">
        <v>7</v>
      </c>
      <c r="G1316" s="6" t="s">
        <v>130</v>
      </c>
      <c r="H1316" s="6" t="s">
        <v>54</v>
      </c>
      <c r="I1316" s="8">
        <v>1.3119914217918546E-2</v>
      </c>
      <c r="J1316" s="6" t="s">
        <v>7</v>
      </c>
      <c r="L1316" s="6" t="s">
        <v>131</v>
      </c>
      <c r="M1316" s="6" t="s">
        <v>54</v>
      </c>
      <c r="N1316" s="8">
        <v>1.3185994227446932E-2</v>
      </c>
      <c r="O1316" s="6" t="s">
        <v>7</v>
      </c>
    </row>
    <row r="1317" spans="2:15" x14ac:dyDescent="0.45">
      <c r="B1317" s="3" t="s">
        <v>129</v>
      </c>
      <c r="C1317" s="3" t="s">
        <v>55</v>
      </c>
      <c r="D1317" s="4">
        <v>2.0375776812308184E-2</v>
      </c>
      <c r="E1317" s="3" t="s">
        <v>7</v>
      </c>
      <c r="G1317" s="3" t="s">
        <v>130</v>
      </c>
      <c r="H1317" s="3" t="s">
        <v>55</v>
      </c>
      <c r="I1317" s="5">
        <v>1.3324793020148003E-2</v>
      </c>
      <c r="J1317" s="3" t="s">
        <v>7</v>
      </c>
      <c r="L1317" s="3" t="s">
        <v>131</v>
      </c>
      <c r="M1317" s="3" t="s">
        <v>55</v>
      </c>
      <c r="N1317" s="5">
        <v>1.3384826939288113E-2</v>
      </c>
      <c r="O1317" s="3" t="s">
        <v>7</v>
      </c>
    </row>
    <row r="1318" spans="2:15" x14ac:dyDescent="0.45">
      <c r="B1318" s="6" t="s">
        <v>129</v>
      </c>
      <c r="C1318" s="6" t="s">
        <v>56</v>
      </c>
      <c r="D1318" s="7">
        <v>4.3692355354035184E-3</v>
      </c>
      <c r="E1318" s="6" t="s">
        <v>7</v>
      </c>
      <c r="G1318" s="6" t="s">
        <v>130</v>
      </c>
      <c r="H1318" s="6" t="s">
        <v>56</v>
      </c>
      <c r="I1318" s="8">
        <v>1.3669860988676287E-2</v>
      </c>
      <c r="J1318" s="6" t="s">
        <v>7</v>
      </c>
      <c r="L1318" s="6" t="s">
        <v>131</v>
      </c>
      <c r="M1318" s="6" t="s">
        <v>56</v>
      </c>
      <c r="N1318" s="8">
        <v>1.3307554859235876E-2</v>
      </c>
      <c r="O1318" s="6" t="s">
        <v>7</v>
      </c>
    </row>
    <row r="1319" spans="2:15" x14ac:dyDescent="0.45">
      <c r="B1319" s="3" t="s">
        <v>129</v>
      </c>
      <c r="C1319" s="3" t="s">
        <v>57</v>
      </c>
      <c r="D1319" s="4">
        <v>1.6681628216547418E-5</v>
      </c>
      <c r="E1319" s="3" t="s">
        <v>7</v>
      </c>
      <c r="G1319" s="3" t="s">
        <v>130</v>
      </c>
      <c r="H1319" s="3" t="s">
        <v>57</v>
      </c>
      <c r="I1319" s="5">
        <v>1.4188026339499216E-2</v>
      </c>
      <c r="J1319" s="3" t="s">
        <v>7</v>
      </c>
      <c r="L1319" s="3" t="s">
        <v>131</v>
      </c>
      <c r="M1319" s="3" t="s">
        <v>57</v>
      </c>
      <c r="N1319" s="5">
        <v>1.3025406542803935E-2</v>
      </c>
      <c r="O1319" s="3" t="s">
        <v>7</v>
      </c>
    </row>
    <row r="1320" spans="2:15" x14ac:dyDescent="0.45">
      <c r="B1320" s="6" t="s">
        <v>129</v>
      </c>
      <c r="C1320" s="6" t="s">
        <v>58</v>
      </c>
      <c r="D1320" s="7">
        <v>0</v>
      </c>
      <c r="E1320" s="6" t="s">
        <v>7</v>
      </c>
      <c r="G1320" s="6" t="s">
        <v>130</v>
      </c>
      <c r="H1320" s="6" t="s">
        <v>58</v>
      </c>
      <c r="I1320" s="8">
        <v>2.1136683402073149E-2</v>
      </c>
      <c r="J1320" s="6" t="s">
        <v>7</v>
      </c>
      <c r="L1320" s="6" t="s">
        <v>131</v>
      </c>
      <c r="M1320" s="6" t="s">
        <v>58</v>
      </c>
      <c r="N1320" s="8">
        <v>1.8730442105784995E-2</v>
      </c>
      <c r="O1320" s="6" t="s">
        <v>7</v>
      </c>
    </row>
    <row r="1321" spans="2:15" x14ac:dyDescent="0.45">
      <c r="B1321" s="3" t="s">
        <v>129</v>
      </c>
      <c r="C1321" s="3" t="s">
        <v>59</v>
      </c>
      <c r="D1321" s="4">
        <v>0</v>
      </c>
      <c r="E1321" s="3" t="s">
        <v>7</v>
      </c>
      <c r="G1321" s="3" t="s">
        <v>130</v>
      </c>
      <c r="H1321" s="3" t="s">
        <v>59</v>
      </c>
      <c r="I1321" s="5">
        <v>4.7354972765092471E-2</v>
      </c>
      <c r="J1321" s="3" t="s">
        <v>7</v>
      </c>
      <c r="L1321" s="3" t="s">
        <v>131</v>
      </c>
      <c r="M1321" s="3" t="s">
        <v>59</v>
      </c>
      <c r="N1321" s="5">
        <v>4.4236291253295063E-2</v>
      </c>
      <c r="O1321" s="3" t="s">
        <v>7</v>
      </c>
    </row>
    <row r="1322" spans="2:15" x14ac:dyDescent="0.45">
      <c r="B1322" s="6" t="s">
        <v>129</v>
      </c>
      <c r="C1322" s="6" t="s">
        <v>60</v>
      </c>
      <c r="D1322" s="7">
        <v>0</v>
      </c>
      <c r="E1322" s="6" t="s">
        <v>7</v>
      </c>
      <c r="G1322" s="6" t="s">
        <v>130</v>
      </c>
      <c r="H1322" s="6" t="s">
        <v>60</v>
      </c>
      <c r="I1322" s="8">
        <v>1.8458822645302485E-2</v>
      </c>
      <c r="J1322" s="6" t="s">
        <v>7</v>
      </c>
      <c r="L1322" s="6" t="s">
        <v>131</v>
      </c>
      <c r="M1322" s="6" t="s">
        <v>60</v>
      </c>
      <c r="N1322" s="8">
        <v>1.717638728845268E-2</v>
      </c>
      <c r="O1322" s="6" t="s">
        <v>7</v>
      </c>
    </row>
    <row r="1323" spans="2:15" x14ac:dyDescent="0.45">
      <c r="B1323" s="3" t="s">
        <v>129</v>
      </c>
      <c r="C1323" s="3" t="s">
        <v>61</v>
      </c>
      <c r="D1323" s="4">
        <v>0</v>
      </c>
      <c r="E1323" s="3" t="s">
        <v>7</v>
      </c>
      <c r="G1323" s="3" t="s">
        <v>130</v>
      </c>
      <c r="H1323" s="3" t="s">
        <v>61</v>
      </c>
      <c r="I1323" s="5">
        <v>1.8579368801213685E-2</v>
      </c>
      <c r="J1323" s="3" t="s">
        <v>7</v>
      </c>
      <c r="L1323" s="3" t="s">
        <v>131</v>
      </c>
      <c r="M1323" s="3" t="s">
        <v>61</v>
      </c>
      <c r="N1323" s="5">
        <v>1.6648516431450152E-2</v>
      </c>
      <c r="O1323" s="3" t="s">
        <v>7</v>
      </c>
    </row>
    <row r="1324" spans="2:15" x14ac:dyDescent="0.45">
      <c r="B1324" s="6" t="s">
        <v>129</v>
      </c>
      <c r="C1324" s="6" t="s">
        <v>62</v>
      </c>
      <c r="D1324" s="7">
        <v>4.8865920533579113E-3</v>
      </c>
      <c r="E1324" s="6" t="s">
        <v>7</v>
      </c>
      <c r="G1324" s="6" t="s">
        <v>130</v>
      </c>
      <c r="H1324" s="6" t="s">
        <v>62</v>
      </c>
      <c r="I1324" s="8">
        <v>1.8486657025057932E-2</v>
      </c>
      <c r="J1324" s="6" t="s">
        <v>7</v>
      </c>
      <c r="L1324" s="6" t="s">
        <v>131</v>
      </c>
      <c r="M1324" s="6" t="s">
        <v>62</v>
      </c>
      <c r="N1324" s="8">
        <v>1.6124861161298298E-2</v>
      </c>
      <c r="O1324" s="6" t="s">
        <v>7</v>
      </c>
    </row>
    <row r="1325" spans="2:15" x14ac:dyDescent="0.45">
      <c r="B1325" s="3" t="s">
        <v>129</v>
      </c>
      <c r="C1325" s="3" t="s">
        <v>63</v>
      </c>
      <c r="D1325" s="4">
        <v>1.6468008328739011E-2</v>
      </c>
      <c r="E1325" s="3" t="s">
        <v>7</v>
      </c>
      <c r="G1325" s="3" t="s">
        <v>130</v>
      </c>
      <c r="H1325" s="3" t="s">
        <v>63</v>
      </c>
      <c r="I1325" s="5">
        <v>1.8291848715979695E-2</v>
      </c>
      <c r="J1325" s="3" t="s">
        <v>7</v>
      </c>
      <c r="L1325" s="3" t="s">
        <v>131</v>
      </c>
      <c r="M1325" s="3" t="s">
        <v>63</v>
      </c>
      <c r="N1325" s="5">
        <v>1.6494958296608596E-2</v>
      </c>
      <c r="O1325" s="3" t="s">
        <v>7</v>
      </c>
    </row>
    <row r="1326" spans="2:15" x14ac:dyDescent="0.45">
      <c r="B1326" s="6" t="s">
        <v>129</v>
      </c>
      <c r="C1326" s="6" t="s">
        <v>64</v>
      </c>
      <c r="D1326" s="7">
        <v>1.5875561853218256E-2</v>
      </c>
      <c r="E1326" s="6" t="s">
        <v>7</v>
      </c>
      <c r="G1326" s="6" t="s">
        <v>130</v>
      </c>
      <c r="H1326" s="6" t="s">
        <v>64</v>
      </c>
      <c r="I1326" s="8">
        <v>1.8020321376062489E-2</v>
      </c>
      <c r="J1326" s="6" t="s">
        <v>7</v>
      </c>
      <c r="L1326" s="6" t="s">
        <v>131</v>
      </c>
      <c r="M1326" s="6" t="s">
        <v>64</v>
      </c>
      <c r="N1326" s="8">
        <v>1.7108686655815972E-2</v>
      </c>
      <c r="O1326" s="6" t="s">
        <v>7</v>
      </c>
    </row>
    <row r="1327" spans="2:15" x14ac:dyDescent="0.45">
      <c r="B1327" s="3" t="s">
        <v>129</v>
      </c>
      <c r="C1327" s="3" t="s">
        <v>65</v>
      </c>
      <c r="D1327" s="4">
        <v>3.5757603956323727E-3</v>
      </c>
      <c r="E1327" s="3" t="s">
        <v>7</v>
      </c>
      <c r="G1327" s="3" t="s">
        <v>130</v>
      </c>
      <c r="H1327" s="3" t="s">
        <v>65</v>
      </c>
      <c r="I1327" s="5">
        <v>1.7700206874611612E-2</v>
      </c>
      <c r="J1327" s="3" t="s">
        <v>7</v>
      </c>
      <c r="L1327" s="3" t="s">
        <v>131</v>
      </c>
      <c r="M1327" s="3" t="s">
        <v>65</v>
      </c>
      <c r="N1327" s="5">
        <v>1.746294302073436E-2</v>
      </c>
      <c r="O1327" s="3" t="s">
        <v>7</v>
      </c>
    </row>
    <row r="1328" spans="2:15" x14ac:dyDescent="0.45">
      <c r="B1328" s="6" t="s">
        <v>129</v>
      </c>
      <c r="C1328" s="6" t="s">
        <v>66</v>
      </c>
      <c r="D1328" s="7">
        <v>0</v>
      </c>
      <c r="E1328" s="6" t="s">
        <v>7</v>
      </c>
      <c r="G1328" s="6" t="s">
        <v>130</v>
      </c>
      <c r="H1328" s="6" t="s">
        <v>66</v>
      </c>
      <c r="I1328" s="8">
        <v>1.7502029490489776E-2</v>
      </c>
      <c r="J1328" s="6" t="s">
        <v>7</v>
      </c>
      <c r="L1328" s="6" t="s">
        <v>131</v>
      </c>
      <c r="M1328" s="6" t="s">
        <v>66</v>
      </c>
      <c r="N1328" s="8">
        <v>1.7416869642423883E-2</v>
      </c>
      <c r="O1328" s="6" t="s">
        <v>7</v>
      </c>
    </row>
    <row r="1329" spans="2:15" x14ac:dyDescent="0.45">
      <c r="B1329" s="3" t="s">
        <v>129</v>
      </c>
      <c r="C1329" s="3" t="s">
        <v>67</v>
      </c>
      <c r="D1329" s="4">
        <v>0</v>
      </c>
      <c r="E1329" s="3" t="s">
        <v>7</v>
      </c>
      <c r="G1329" s="3" t="s">
        <v>130</v>
      </c>
      <c r="H1329" s="3" t="s">
        <v>67</v>
      </c>
      <c r="I1329" s="5">
        <v>1.8277532129633539E-2</v>
      </c>
      <c r="J1329" s="3" t="s">
        <v>7</v>
      </c>
      <c r="L1329" s="3" t="s">
        <v>131</v>
      </c>
      <c r="M1329" s="3" t="s">
        <v>67</v>
      </c>
      <c r="N1329" s="5">
        <v>1.8038229697420784E-2</v>
      </c>
      <c r="O1329" s="3" t="s">
        <v>7</v>
      </c>
    </row>
    <row r="1330" spans="2:15" x14ac:dyDescent="0.45">
      <c r="B1330" s="6" t="s">
        <v>129</v>
      </c>
      <c r="C1330" s="6" t="s">
        <v>68</v>
      </c>
      <c r="D1330" s="7">
        <v>0</v>
      </c>
      <c r="E1330" s="6" t="s">
        <v>7</v>
      </c>
      <c r="G1330" s="6" t="s">
        <v>130</v>
      </c>
      <c r="H1330" s="6" t="s">
        <v>68</v>
      </c>
      <c r="I1330" s="8">
        <v>2.8029768453025111E-2</v>
      </c>
      <c r="J1330" s="6" t="s">
        <v>7</v>
      </c>
      <c r="L1330" s="6" t="s">
        <v>131</v>
      </c>
      <c r="M1330" s="6" t="s">
        <v>68</v>
      </c>
      <c r="N1330" s="8">
        <v>2.7391219517817752E-2</v>
      </c>
      <c r="O1330" s="6" t="s">
        <v>7</v>
      </c>
    </row>
    <row r="1331" spans="2:15" x14ac:dyDescent="0.45">
      <c r="L1331" s="3" t="s">
        <v>132</v>
      </c>
      <c r="M1331" s="3" t="s">
        <v>6</v>
      </c>
      <c r="N1331" s="5">
        <v>3.7480418484755099E-2</v>
      </c>
      <c r="O1331" s="3" t="s">
        <v>7</v>
      </c>
    </row>
    <row r="1332" spans="2:15" x14ac:dyDescent="0.45">
      <c r="L1332" s="6" t="s">
        <v>132</v>
      </c>
      <c r="M1332" s="6" t="s">
        <v>10</v>
      </c>
      <c r="N1332" s="8">
        <v>1.4999454521227633E-2</v>
      </c>
      <c r="O1332" s="6" t="s">
        <v>7</v>
      </c>
    </row>
    <row r="1333" spans="2:15" x14ac:dyDescent="0.45">
      <c r="L1333" s="3" t="s">
        <v>132</v>
      </c>
      <c r="M1333" s="3" t="s">
        <v>11</v>
      </c>
      <c r="N1333" s="5">
        <v>1.540480320487107E-2</v>
      </c>
      <c r="O1333" s="3" t="s">
        <v>7</v>
      </c>
    </row>
    <row r="1334" spans="2:15" x14ac:dyDescent="0.45">
      <c r="L1334" s="6" t="s">
        <v>132</v>
      </c>
      <c r="M1334" s="6" t="s">
        <v>12</v>
      </c>
      <c r="N1334" s="8">
        <v>1.5366179320864459E-2</v>
      </c>
      <c r="O1334" s="6" t="s">
        <v>7</v>
      </c>
    </row>
    <row r="1335" spans="2:15" x14ac:dyDescent="0.45">
      <c r="L1335" s="3" t="s">
        <v>132</v>
      </c>
      <c r="M1335" s="3" t="s">
        <v>13</v>
      </c>
      <c r="N1335" s="5">
        <v>1.4872213980242277E-2</v>
      </c>
      <c r="O1335" s="3" t="s">
        <v>7</v>
      </c>
    </row>
    <row r="1336" spans="2:15" x14ac:dyDescent="0.45">
      <c r="L1336" s="6" t="s">
        <v>132</v>
      </c>
      <c r="M1336" s="6" t="s">
        <v>14</v>
      </c>
      <c r="N1336" s="8">
        <v>1.4881107192322435E-2</v>
      </c>
      <c r="O1336" s="6" t="s">
        <v>7</v>
      </c>
    </row>
    <row r="1337" spans="2:15" x14ac:dyDescent="0.45">
      <c r="L1337" s="3" t="s">
        <v>132</v>
      </c>
      <c r="M1337" s="3" t="s">
        <v>15</v>
      </c>
      <c r="N1337" s="5">
        <v>1.4316545792242508E-2</v>
      </c>
      <c r="O1337" s="3" t="s">
        <v>7</v>
      </c>
    </row>
    <row r="1338" spans="2:15" x14ac:dyDescent="0.45">
      <c r="L1338" s="6" t="s">
        <v>132</v>
      </c>
      <c r="M1338" s="6" t="s">
        <v>16</v>
      </c>
      <c r="N1338" s="8">
        <v>1.4283076303111564E-2</v>
      </c>
      <c r="O1338" s="6" t="s">
        <v>7</v>
      </c>
    </row>
    <row r="1339" spans="2:15" x14ac:dyDescent="0.45">
      <c r="L1339" s="3" t="s">
        <v>132</v>
      </c>
      <c r="M1339" s="3" t="s">
        <v>17</v>
      </c>
      <c r="N1339" s="5">
        <v>1.4772999839870444E-2</v>
      </c>
      <c r="O1339" s="3" t="s">
        <v>7</v>
      </c>
    </row>
    <row r="1340" spans="2:15" x14ac:dyDescent="0.45">
      <c r="L1340" s="6" t="s">
        <v>132</v>
      </c>
      <c r="M1340" s="6" t="s">
        <v>18</v>
      </c>
      <c r="N1340" s="8">
        <v>2.2414517148401921E-2</v>
      </c>
      <c r="O1340" s="6" t="s">
        <v>7</v>
      </c>
    </row>
    <row r="1341" spans="2:15" x14ac:dyDescent="0.45">
      <c r="L1341" s="3" t="s">
        <v>132</v>
      </c>
      <c r="M1341" s="3" t="s">
        <v>19</v>
      </c>
      <c r="N1341" s="5">
        <v>3.3484455907732982E-2</v>
      </c>
      <c r="O1341" s="3" t="s">
        <v>7</v>
      </c>
    </row>
    <row r="1342" spans="2:15" x14ac:dyDescent="0.45">
      <c r="L1342" s="6" t="s">
        <v>132</v>
      </c>
      <c r="M1342" s="6" t="s">
        <v>20</v>
      </c>
      <c r="N1342" s="8">
        <v>1.2959193098916027E-2</v>
      </c>
      <c r="O1342" s="6" t="s">
        <v>7</v>
      </c>
    </row>
    <row r="1343" spans="2:15" x14ac:dyDescent="0.45">
      <c r="L1343" s="3" t="s">
        <v>132</v>
      </c>
      <c r="M1343" s="3" t="s">
        <v>21</v>
      </c>
      <c r="N1343" s="5">
        <v>1.2905727252014913E-2</v>
      </c>
      <c r="O1343" s="3" t="s">
        <v>7</v>
      </c>
    </row>
    <row r="1344" spans="2:15" x14ac:dyDescent="0.45">
      <c r="L1344" s="6" t="s">
        <v>132</v>
      </c>
      <c r="M1344" s="6" t="s">
        <v>22</v>
      </c>
      <c r="N1344" s="8">
        <v>1.2903301607076201E-2</v>
      </c>
      <c r="O1344" s="6" t="s">
        <v>7</v>
      </c>
    </row>
    <row r="1345" spans="12:15" x14ac:dyDescent="0.45">
      <c r="L1345" s="3" t="s">
        <v>132</v>
      </c>
      <c r="M1345" s="3" t="s">
        <v>23</v>
      </c>
      <c r="N1345" s="5">
        <v>1.281578862799603E-2</v>
      </c>
      <c r="O1345" s="3" t="s">
        <v>7</v>
      </c>
    </row>
    <row r="1346" spans="12:15" x14ac:dyDescent="0.45">
      <c r="L1346" s="6" t="s">
        <v>132</v>
      </c>
      <c r="M1346" s="6" t="s">
        <v>24</v>
      </c>
      <c r="N1346" s="8">
        <v>1.270848024440837E-2</v>
      </c>
      <c r="O1346" s="6" t="s">
        <v>7</v>
      </c>
    </row>
    <row r="1347" spans="12:15" x14ac:dyDescent="0.45">
      <c r="L1347" s="3" t="s">
        <v>132</v>
      </c>
      <c r="M1347" s="3" t="s">
        <v>25</v>
      </c>
      <c r="N1347" s="5">
        <v>1.2786676441617064E-2</v>
      </c>
      <c r="O1347" s="3" t="s">
        <v>7</v>
      </c>
    </row>
    <row r="1348" spans="12:15" x14ac:dyDescent="0.45">
      <c r="L1348" s="6" t="s">
        <v>132</v>
      </c>
      <c r="M1348" s="6" t="s">
        <v>26</v>
      </c>
      <c r="N1348" s="8">
        <v>1.3062396234346046E-2</v>
      </c>
      <c r="O1348" s="6" t="s">
        <v>7</v>
      </c>
    </row>
    <row r="1349" spans="12:15" x14ac:dyDescent="0.45">
      <c r="L1349" s="3" t="s">
        <v>132</v>
      </c>
      <c r="M1349" s="3" t="s">
        <v>27</v>
      </c>
      <c r="N1349" s="5">
        <v>1.3567220723314535E-2</v>
      </c>
      <c r="O1349" s="3" t="s">
        <v>7</v>
      </c>
    </row>
    <row r="1350" spans="12:15" x14ac:dyDescent="0.45">
      <c r="L1350" s="6" t="s">
        <v>132</v>
      </c>
      <c r="M1350" s="6" t="s">
        <v>28</v>
      </c>
      <c r="N1350" s="8">
        <v>2.0895434767731775E-2</v>
      </c>
      <c r="O1350" s="6" t="s">
        <v>7</v>
      </c>
    </row>
    <row r="1351" spans="12:15" x14ac:dyDescent="0.45">
      <c r="L1351" s="3" t="s">
        <v>132</v>
      </c>
      <c r="M1351" s="3" t="s">
        <v>29</v>
      </c>
      <c r="N1351" s="5">
        <v>2.833417741334332E-2</v>
      </c>
      <c r="O1351" s="3" t="s">
        <v>7</v>
      </c>
    </row>
    <row r="1352" spans="12:15" x14ac:dyDescent="0.45">
      <c r="L1352" s="6" t="s">
        <v>132</v>
      </c>
      <c r="M1352" s="6" t="s">
        <v>30</v>
      </c>
      <c r="N1352" s="8">
        <v>1.0758799896274786E-2</v>
      </c>
      <c r="O1352" s="6" t="s">
        <v>7</v>
      </c>
    </row>
    <row r="1353" spans="12:15" x14ac:dyDescent="0.45">
      <c r="L1353" s="3" t="s">
        <v>132</v>
      </c>
      <c r="M1353" s="3" t="s">
        <v>31</v>
      </c>
      <c r="N1353" s="5">
        <v>1.0301727586818377E-2</v>
      </c>
      <c r="O1353" s="3" t="s">
        <v>7</v>
      </c>
    </row>
    <row r="1354" spans="12:15" x14ac:dyDescent="0.45">
      <c r="L1354" s="6" t="s">
        <v>132</v>
      </c>
      <c r="M1354" s="6" t="s">
        <v>32</v>
      </c>
      <c r="N1354" s="8">
        <v>9.7319617993991362E-3</v>
      </c>
      <c r="O1354" s="6" t="s">
        <v>7</v>
      </c>
    </row>
    <row r="1355" spans="12:15" x14ac:dyDescent="0.45">
      <c r="L1355" s="3" t="s">
        <v>132</v>
      </c>
      <c r="M1355" s="3" t="s">
        <v>33</v>
      </c>
      <c r="N1355" s="5">
        <v>9.2780826595238643E-3</v>
      </c>
      <c r="O1355" s="3" t="s">
        <v>7</v>
      </c>
    </row>
    <row r="1356" spans="12:15" x14ac:dyDescent="0.45">
      <c r="L1356" s="6" t="s">
        <v>132</v>
      </c>
      <c r="M1356" s="6" t="s">
        <v>34</v>
      </c>
      <c r="N1356" s="8">
        <v>9.981148517419906E-3</v>
      </c>
      <c r="O1356" s="6" t="s">
        <v>7</v>
      </c>
    </row>
    <row r="1357" spans="12:15" x14ac:dyDescent="0.45">
      <c r="L1357" s="3" t="s">
        <v>132</v>
      </c>
      <c r="M1357" s="3" t="s">
        <v>35</v>
      </c>
      <c r="N1357" s="5">
        <v>1.0964917669807712E-2</v>
      </c>
      <c r="O1357" s="3" t="s">
        <v>7</v>
      </c>
    </row>
    <row r="1358" spans="12:15" x14ac:dyDescent="0.45">
      <c r="L1358" s="6" t="s">
        <v>132</v>
      </c>
      <c r="M1358" s="6" t="s">
        <v>36</v>
      </c>
      <c r="N1358" s="8">
        <v>1.1813771878645419E-2</v>
      </c>
      <c r="O1358" s="6" t="s">
        <v>7</v>
      </c>
    </row>
    <row r="1359" spans="12:15" x14ac:dyDescent="0.45">
      <c r="L1359" s="3" t="s">
        <v>132</v>
      </c>
      <c r="M1359" s="3" t="s">
        <v>37</v>
      </c>
      <c r="N1359" s="5">
        <v>1.189995260047004E-2</v>
      </c>
      <c r="O1359" s="3" t="s">
        <v>7</v>
      </c>
    </row>
    <row r="1360" spans="12:15" x14ac:dyDescent="0.45">
      <c r="L1360" s="6" t="s">
        <v>132</v>
      </c>
      <c r="M1360" s="6" t="s">
        <v>38</v>
      </c>
      <c r="N1360" s="8">
        <v>1.7181863929947003E-2</v>
      </c>
      <c r="O1360" s="6" t="s">
        <v>7</v>
      </c>
    </row>
    <row r="1361" spans="12:15" x14ac:dyDescent="0.45">
      <c r="L1361" s="3" t="s">
        <v>132</v>
      </c>
      <c r="M1361" s="3" t="s">
        <v>39</v>
      </c>
      <c r="N1361" s="5">
        <v>2.2908928634775467E-2</v>
      </c>
      <c r="O1361" s="3" t="s">
        <v>7</v>
      </c>
    </row>
    <row r="1362" spans="12:15" x14ac:dyDescent="0.45">
      <c r="L1362" s="6" t="s">
        <v>132</v>
      </c>
      <c r="M1362" s="6" t="s">
        <v>40</v>
      </c>
      <c r="N1362" s="8">
        <v>9.4356393850546991E-3</v>
      </c>
      <c r="O1362" s="6" t="s">
        <v>7</v>
      </c>
    </row>
    <row r="1363" spans="12:15" x14ac:dyDescent="0.45">
      <c r="L1363" s="3" t="s">
        <v>132</v>
      </c>
      <c r="M1363" s="3" t="s">
        <v>41</v>
      </c>
      <c r="N1363" s="5">
        <v>9.4413321705197461E-3</v>
      </c>
      <c r="O1363" s="3" t="s">
        <v>7</v>
      </c>
    </row>
    <row r="1364" spans="12:15" x14ac:dyDescent="0.45">
      <c r="L1364" s="6" t="s">
        <v>132</v>
      </c>
      <c r="M1364" s="6" t="s">
        <v>42</v>
      </c>
      <c r="N1364" s="8">
        <v>9.1490758481560155E-3</v>
      </c>
      <c r="O1364" s="6" t="s">
        <v>7</v>
      </c>
    </row>
    <row r="1365" spans="12:15" x14ac:dyDescent="0.45">
      <c r="L1365" s="3" t="s">
        <v>132</v>
      </c>
      <c r="M1365" s="3" t="s">
        <v>43</v>
      </c>
      <c r="N1365" s="5">
        <v>8.9312686692176527E-3</v>
      </c>
      <c r="O1365" s="3" t="s">
        <v>7</v>
      </c>
    </row>
    <row r="1366" spans="12:15" x14ac:dyDescent="0.45">
      <c r="L1366" s="6" t="s">
        <v>132</v>
      </c>
      <c r="M1366" s="6" t="s">
        <v>44</v>
      </c>
      <c r="N1366" s="8">
        <v>9.1229326022551661E-3</v>
      </c>
      <c r="O1366" s="6" t="s">
        <v>7</v>
      </c>
    </row>
    <row r="1367" spans="12:15" x14ac:dyDescent="0.45">
      <c r="L1367" s="3" t="s">
        <v>132</v>
      </c>
      <c r="M1367" s="3" t="s">
        <v>45</v>
      </c>
      <c r="N1367" s="5">
        <v>9.9661977457128157E-3</v>
      </c>
      <c r="O1367" s="3" t="s">
        <v>7</v>
      </c>
    </row>
    <row r="1368" spans="12:15" x14ac:dyDescent="0.45">
      <c r="L1368" s="6" t="s">
        <v>132</v>
      </c>
      <c r="M1368" s="6" t="s">
        <v>46</v>
      </c>
      <c r="N1368" s="8">
        <v>1.0431585862351867E-2</v>
      </c>
      <c r="O1368" s="6" t="s">
        <v>7</v>
      </c>
    </row>
    <row r="1369" spans="12:15" x14ac:dyDescent="0.45">
      <c r="L1369" s="3" t="s">
        <v>132</v>
      </c>
      <c r="M1369" s="3" t="s">
        <v>47</v>
      </c>
      <c r="N1369" s="5">
        <v>1.0377418894315463E-2</v>
      </c>
      <c r="O1369" s="3" t="s">
        <v>7</v>
      </c>
    </row>
    <row r="1370" spans="12:15" x14ac:dyDescent="0.45">
      <c r="L1370" s="6" t="s">
        <v>132</v>
      </c>
      <c r="M1370" s="6" t="s">
        <v>48</v>
      </c>
      <c r="N1370" s="8">
        <v>1.4536183620068231E-2</v>
      </c>
      <c r="O1370" s="6" t="s">
        <v>7</v>
      </c>
    </row>
    <row r="1371" spans="12:15" x14ac:dyDescent="0.45">
      <c r="L1371" s="3" t="s">
        <v>132</v>
      </c>
      <c r="M1371" s="3" t="s">
        <v>49</v>
      </c>
      <c r="N1371" s="5">
        <v>3.5647424557130956E-2</v>
      </c>
      <c r="O1371" s="3" t="s">
        <v>7</v>
      </c>
    </row>
    <row r="1372" spans="12:15" x14ac:dyDescent="0.45">
      <c r="L1372" s="6" t="s">
        <v>132</v>
      </c>
      <c r="M1372" s="6" t="s">
        <v>50</v>
      </c>
      <c r="N1372" s="8">
        <v>1.3718827006169705E-2</v>
      </c>
      <c r="O1372" s="6" t="s">
        <v>7</v>
      </c>
    </row>
    <row r="1373" spans="12:15" x14ac:dyDescent="0.45">
      <c r="L1373" s="3" t="s">
        <v>132</v>
      </c>
      <c r="M1373" s="3" t="s">
        <v>51</v>
      </c>
      <c r="N1373" s="5">
        <v>1.3836367946176339E-2</v>
      </c>
      <c r="O1373" s="3" t="s">
        <v>7</v>
      </c>
    </row>
    <row r="1374" spans="12:15" x14ac:dyDescent="0.45">
      <c r="L1374" s="6" t="s">
        <v>132</v>
      </c>
      <c r="M1374" s="6" t="s">
        <v>52</v>
      </c>
      <c r="N1374" s="8">
        <v>1.3907437928761255E-2</v>
      </c>
      <c r="O1374" s="6" t="s">
        <v>7</v>
      </c>
    </row>
    <row r="1375" spans="12:15" x14ac:dyDescent="0.45">
      <c r="L1375" s="3" t="s">
        <v>132</v>
      </c>
      <c r="M1375" s="3" t="s">
        <v>53</v>
      </c>
      <c r="N1375" s="5">
        <v>1.4131440452869718E-2</v>
      </c>
      <c r="O1375" s="3" t="s">
        <v>7</v>
      </c>
    </row>
    <row r="1376" spans="12:15" x14ac:dyDescent="0.45">
      <c r="L1376" s="6" t="s">
        <v>132</v>
      </c>
      <c r="M1376" s="6" t="s">
        <v>54</v>
      </c>
      <c r="N1376" s="8">
        <v>1.4444722598912415E-2</v>
      </c>
      <c r="O1376" s="6" t="s">
        <v>7</v>
      </c>
    </row>
    <row r="1377" spans="12:15" x14ac:dyDescent="0.45">
      <c r="L1377" s="3" t="s">
        <v>132</v>
      </c>
      <c r="M1377" s="3" t="s">
        <v>55</v>
      </c>
      <c r="N1377" s="5">
        <v>1.4569458850338255E-2</v>
      </c>
      <c r="O1377" s="3" t="s">
        <v>7</v>
      </c>
    </row>
    <row r="1378" spans="12:15" x14ac:dyDescent="0.45">
      <c r="L1378" s="6" t="s">
        <v>132</v>
      </c>
      <c r="M1378" s="6" t="s">
        <v>56</v>
      </c>
      <c r="N1378" s="8">
        <v>1.5037663689575872E-2</v>
      </c>
      <c r="O1378" s="6" t="s">
        <v>7</v>
      </c>
    </row>
    <row r="1379" spans="12:15" x14ac:dyDescent="0.45">
      <c r="L1379" s="3" t="s">
        <v>132</v>
      </c>
      <c r="M1379" s="3" t="s">
        <v>57</v>
      </c>
      <c r="N1379" s="5">
        <v>1.5728146972717429E-2</v>
      </c>
      <c r="O1379" s="3" t="s">
        <v>7</v>
      </c>
    </row>
    <row r="1380" spans="12:15" x14ac:dyDescent="0.45">
      <c r="L1380" s="6" t="s">
        <v>132</v>
      </c>
      <c r="M1380" s="6" t="s">
        <v>58</v>
      </c>
      <c r="N1380" s="8">
        <v>2.3196764813548262E-2</v>
      </c>
      <c r="O1380" s="6" t="s">
        <v>7</v>
      </c>
    </row>
    <row r="1381" spans="12:15" x14ac:dyDescent="0.45">
      <c r="L1381" s="3" t="s">
        <v>132</v>
      </c>
      <c r="M1381" s="3" t="s">
        <v>59</v>
      </c>
      <c r="N1381" s="5">
        <v>5.3082567755751681E-2</v>
      </c>
      <c r="O1381" s="3" t="s">
        <v>7</v>
      </c>
    </row>
    <row r="1382" spans="12:15" x14ac:dyDescent="0.45">
      <c r="L1382" s="6" t="s">
        <v>132</v>
      </c>
      <c r="M1382" s="6" t="s">
        <v>60</v>
      </c>
      <c r="N1382" s="8">
        <v>2.1106744152303503E-2</v>
      </c>
      <c r="O1382" s="6" t="s">
        <v>7</v>
      </c>
    </row>
    <row r="1383" spans="12:15" x14ac:dyDescent="0.45">
      <c r="L1383" s="3" t="s">
        <v>132</v>
      </c>
      <c r="M1383" s="3" t="s">
        <v>61</v>
      </c>
      <c r="N1383" s="5">
        <v>2.0617323096415025E-2</v>
      </c>
      <c r="O1383" s="3" t="s">
        <v>7</v>
      </c>
    </row>
    <row r="1384" spans="12:15" x14ac:dyDescent="0.45">
      <c r="L1384" s="6" t="s">
        <v>132</v>
      </c>
      <c r="M1384" s="6" t="s">
        <v>62</v>
      </c>
      <c r="N1384" s="8">
        <v>1.993589931462994E-2</v>
      </c>
      <c r="O1384" s="6" t="s">
        <v>7</v>
      </c>
    </row>
    <row r="1385" spans="12:15" x14ac:dyDescent="0.45">
      <c r="L1385" s="3" t="s">
        <v>132</v>
      </c>
      <c r="M1385" s="3" t="s">
        <v>63</v>
      </c>
      <c r="N1385" s="5">
        <v>1.9361899842525444E-2</v>
      </c>
      <c r="O1385" s="3" t="s">
        <v>7</v>
      </c>
    </row>
    <row r="1386" spans="12:15" x14ac:dyDescent="0.45">
      <c r="L1386" s="6" t="s">
        <v>132</v>
      </c>
      <c r="M1386" s="6" t="s">
        <v>64</v>
      </c>
      <c r="N1386" s="8">
        <v>1.9439575808143997E-2</v>
      </c>
      <c r="O1386" s="6" t="s">
        <v>7</v>
      </c>
    </row>
    <row r="1387" spans="12:15" x14ac:dyDescent="0.45">
      <c r="L1387" s="3" t="s">
        <v>132</v>
      </c>
      <c r="M1387" s="3" t="s">
        <v>65</v>
      </c>
      <c r="N1387" s="5">
        <v>1.9335199755493547E-2</v>
      </c>
      <c r="O1387" s="3" t="s">
        <v>7</v>
      </c>
    </row>
    <row r="1388" spans="12:15" x14ac:dyDescent="0.45">
      <c r="L1388" s="6" t="s">
        <v>132</v>
      </c>
      <c r="M1388" s="6" t="s">
        <v>66</v>
      </c>
      <c r="N1388" s="8">
        <v>1.9696540953980969E-2</v>
      </c>
      <c r="O1388" s="6" t="s">
        <v>7</v>
      </c>
    </row>
    <row r="1389" spans="12:15" x14ac:dyDescent="0.45">
      <c r="L1389" s="3" t="s">
        <v>132</v>
      </c>
      <c r="M1389" s="3" t="s">
        <v>67</v>
      </c>
      <c r="N1389" s="5">
        <v>2.0510125256376951E-2</v>
      </c>
      <c r="O1389" s="3" t="s">
        <v>7</v>
      </c>
    </row>
    <row r="1390" spans="12:15" x14ac:dyDescent="0.45">
      <c r="L1390" s="6" t="s">
        <v>132</v>
      </c>
      <c r="M1390" s="6" t="s">
        <v>68</v>
      </c>
      <c r="N1390" s="8">
        <v>3.1268911171038666E-2</v>
      </c>
      <c r="O1390" s="6" t="s">
        <v>7</v>
      </c>
    </row>
    <row r="1391" spans="12:15" x14ac:dyDescent="0.45">
      <c r="L1391" s="3" t="s">
        <v>133</v>
      </c>
      <c r="M1391" s="3" t="s">
        <v>6</v>
      </c>
      <c r="N1391" s="5">
        <v>3.7492110364554208E-2</v>
      </c>
      <c r="O1391" s="3" t="s">
        <v>7</v>
      </c>
    </row>
    <row r="1392" spans="12:15" x14ac:dyDescent="0.45">
      <c r="L1392" s="6" t="s">
        <v>133</v>
      </c>
      <c r="M1392" s="6" t="s">
        <v>10</v>
      </c>
      <c r="N1392" s="8">
        <v>1.49541730856324E-2</v>
      </c>
      <c r="O1392" s="6" t="s">
        <v>7</v>
      </c>
    </row>
    <row r="1393" spans="12:15" x14ac:dyDescent="0.45">
      <c r="L1393" s="3" t="s">
        <v>133</v>
      </c>
      <c r="M1393" s="3" t="s">
        <v>11</v>
      </c>
      <c r="N1393" s="5">
        <v>1.5053716394105843E-2</v>
      </c>
      <c r="O1393" s="3" t="s">
        <v>7</v>
      </c>
    </row>
    <row r="1394" spans="12:15" x14ac:dyDescent="0.45">
      <c r="L1394" s="6" t="s">
        <v>133</v>
      </c>
      <c r="M1394" s="6" t="s">
        <v>12</v>
      </c>
      <c r="N1394" s="8">
        <v>1.4641382703889951E-2</v>
      </c>
      <c r="O1394" s="6" t="s">
        <v>7</v>
      </c>
    </row>
    <row r="1395" spans="12:15" x14ac:dyDescent="0.45">
      <c r="L1395" s="3" t="s">
        <v>133</v>
      </c>
      <c r="M1395" s="3" t="s">
        <v>13</v>
      </c>
      <c r="N1395" s="5">
        <v>1.4145336913457629E-2</v>
      </c>
      <c r="O1395" s="3" t="s">
        <v>7</v>
      </c>
    </row>
    <row r="1396" spans="12:15" x14ac:dyDescent="0.45">
      <c r="L1396" s="6" t="s">
        <v>133</v>
      </c>
      <c r="M1396" s="6" t="s">
        <v>14</v>
      </c>
      <c r="N1396" s="8">
        <v>1.4051412336322974E-2</v>
      </c>
      <c r="O1396" s="6" t="s">
        <v>7</v>
      </c>
    </row>
    <row r="1397" spans="12:15" x14ac:dyDescent="0.45">
      <c r="L1397" s="3" t="s">
        <v>133</v>
      </c>
      <c r="M1397" s="3" t="s">
        <v>15</v>
      </c>
      <c r="N1397" s="5">
        <v>1.4254261751180372E-2</v>
      </c>
      <c r="O1397" s="3" t="s">
        <v>7</v>
      </c>
    </row>
    <row r="1398" spans="12:15" x14ac:dyDescent="0.45">
      <c r="L1398" s="6" t="s">
        <v>133</v>
      </c>
      <c r="M1398" s="6" t="s">
        <v>16</v>
      </c>
      <c r="N1398" s="8">
        <v>1.461687676375131E-2</v>
      </c>
      <c r="O1398" s="6" t="s">
        <v>7</v>
      </c>
    </row>
    <row r="1399" spans="12:15" x14ac:dyDescent="0.45">
      <c r="L1399" s="3" t="s">
        <v>133</v>
      </c>
      <c r="M1399" s="3" t="s">
        <v>17</v>
      </c>
      <c r="N1399" s="5">
        <v>1.5028992462675661E-2</v>
      </c>
      <c r="O1399" s="3" t="s">
        <v>7</v>
      </c>
    </row>
    <row r="1400" spans="12:15" x14ac:dyDescent="0.45">
      <c r="L1400" s="6" t="s">
        <v>133</v>
      </c>
      <c r="M1400" s="6" t="s">
        <v>18</v>
      </c>
      <c r="N1400" s="8">
        <v>2.2685254254048527E-2</v>
      </c>
      <c r="O1400" s="6" t="s">
        <v>7</v>
      </c>
    </row>
    <row r="1401" spans="12:15" x14ac:dyDescent="0.45">
      <c r="L1401" s="3" t="s">
        <v>133</v>
      </c>
      <c r="M1401" s="3" t="s">
        <v>19</v>
      </c>
      <c r="N1401" s="5">
        <v>3.8739351401081493E-2</v>
      </c>
      <c r="O1401" s="3" t="s">
        <v>7</v>
      </c>
    </row>
    <row r="1402" spans="12:15" x14ac:dyDescent="0.45">
      <c r="L1402" s="6" t="s">
        <v>133</v>
      </c>
      <c r="M1402" s="6" t="s">
        <v>20</v>
      </c>
      <c r="N1402" s="8">
        <v>1.5356996387279446E-2</v>
      </c>
      <c r="O1402" s="6" t="s">
        <v>7</v>
      </c>
    </row>
    <row r="1403" spans="12:15" x14ac:dyDescent="0.45">
      <c r="L1403" s="3" t="s">
        <v>133</v>
      </c>
      <c r="M1403" s="3" t="s">
        <v>21</v>
      </c>
      <c r="N1403" s="5">
        <v>1.5144266746026846E-2</v>
      </c>
      <c r="O1403" s="3" t="s">
        <v>7</v>
      </c>
    </row>
    <row r="1404" spans="12:15" x14ac:dyDescent="0.45">
      <c r="L1404" s="6" t="s">
        <v>133</v>
      </c>
      <c r="M1404" s="6" t="s">
        <v>22</v>
      </c>
      <c r="N1404" s="8">
        <v>1.4483808344858707E-2</v>
      </c>
      <c r="O1404" s="6" t="s">
        <v>7</v>
      </c>
    </row>
    <row r="1405" spans="12:15" x14ac:dyDescent="0.45">
      <c r="L1405" s="3" t="s">
        <v>133</v>
      </c>
      <c r="M1405" s="3" t="s">
        <v>23</v>
      </c>
      <c r="N1405" s="5">
        <v>1.4032494451138631E-2</v>
      </c>
      <c r="O1405" s="3" t="s">
        <v>7</v>
      </c>
    </row>
    <row r="1406" spans="12:15" x14ac:dyDescent="0.45">
      <c r="L1406" s="6" t="s">
        <v>133</v>
      </c>
      <c r="M1406" s="6" t="s">
        <v>24</v>
      </c>
      <c r="N1406" s="8">
        <v>1.4106303375650742E-2</v>
      </c>
      <c r="O1406" s="6" t="s">
        <v>7</v>
      </c>
    </row>
    <row r="1407" spans="12:15" x14ac:dyDescent="0.45">
      <c r="L1407" s="3" t="s">
        <v>133</v>
      </c>
      <c r="M1407" s="3" t="s">
        <v>25</v>
      </c>
      <c r="N1407" s="5">
        <v>1.450124818541028E-2</v>
      </c>
      <c r="O1407" s="3" t="s">
        <v>7</v>
      </c>
    </row>
    <row r="1408" spans="12:15" x14ac:dyDescent="0.45">
      <c r="L1408" s="6" t="s">
        <v>133</v>
      </c>
      <c r="M1408" s="6" t="s">
        <v>26</v>
      </c>
      <c r="N1408" s="8">
        <v>1.5111466527611814E-2</v>
      </c>
      <c r="O1408" s="6" t="s">
        <v>7</v>
      </c>
    </row>
    <row r="1409" spans="12:15" x14ac:dyDescent="0.45">
      <c r="L1409" s="3" t="s">
        <v>133</v>
      </c>
      <c r="M1409" s="3" t="s">
        <v>27</v>
      </c>
      <c r="N1409" s="5">
        <v>1.5569393139155785E-2</v>
      </c>
      <c r="O1409" s="3" t="s">
        <v>7</v>
      </c>
    </row>
    <row r="1410" spans="12:15" x14ac:dyDescent="0.45">
      <c r="L1410" s="6" t="s">
        <v>133</v>
      </c>
      <c r="M1410" s="6" t="s">
        <v>28</v>
      </c>
      <c r="N1410" s="8">
        <v>2.3029594988969115E-2</v>
      </c>
      <c r="O1410" s="6" t="s">
        <v>7</v>
      </c>
    </row>
    <row r="1411" spans="12:15" x14ac:dyDescent="0.45">
      <c r="L1411" s="3" t="s">
        <v>133</v>
      </c>
      <c r="M1411" s="3" t="s">
        <v>29</v>
      </c>
      <c r="N1411" s="5">
        <v>3.670635324773236E-2</v>
      </c>
      <c r="O1411" s="3" t="s">
        <v>7</v>
      </c>
    </row>
    <row r="1412" spans="12:15" x14ac:dyDescent="0.45">
      <c r="L1412" s="6" t="s">
        <v>133</v>
      </c>
      <c r="M1412" s="6" t="s">
        <v>30</v>
      </c>
      <c r="N1412" s="8">
        <v>1.3842088306828626E-2</v>
      </c>
      <c r="O1412" s="6" t="s">
        <v>7</v>
      </c>
    </row>
    <row r="1413" spans="12:15" x14ac:dyDescent="0.45">
      <c r="L1413" s="3" t="s">
        <v>133</v>
      </c>
      <c r="M1413" s="3" t="s">
        <v>31</v>
      </c>
      <c r="N1413" s="5">
        <v>1.3488811500063813E-2</v>
      </c>
      <c r="O1413" s="3" t="s">
        <v>7</v>
      </c>
    </row>
    <row r="1414" spans="12:15" x14ac:dyDescent="0.45">
      <c r="L1414" s="6" t="s">
        <v>133</v>
      </c>
      <c r="M1414" s="6" t="s">
        <v>32</v>
      </c>
      <c r="N1414" s="8">
        <v>1.242014287804635E-2</v>
      </c>
      <c r="O1414" s="6" t="s">
        <v>7</v>
      </c>
    </row>
    <row r="1415" spans="12:15" x14ac:dyDescent="0.45">
      <c r="L1415" s="3" t="s">
        <v>133</v>
      </c>
      <c r="M1415" s="3" t="s">
        <v>33</v>
      </c>
      <c r="N1415" s="5">
        <v>1.2110007203933763E-2</v>
      </c>
      <c r="O1415" s="3" t="s">
        <v>7</v>
      </c>
    </row>
    <row r="1416" spans="12:15" x14ac:dyDescent="0.45">
      <c r="L1416" s="6" t="s">
        <v>133</v>
      </c>
      <c r="M1416" s="6" t="s">
        <v>34</v>
      </c>
      <c r="N1416" s="8">
        <v>1.2607025363270517E-2</v>
      </c>
      <c r="O1416" s="6" t="s">
        <v>7</v>
      </c>
    </row>
    <row r="1417" spans="12:15" x14ac:dyDescent="0.45">
      <c r="L1417" s="3" t="s">
        <v>133</v>
      </c>
      <c r="M1417" s="3" t="s">
        <v>35</v>
      </c>
      <c r="N1417" s="5">
        <v>1.3332735062999795E-2</v>
      </c>
      <c r="O1417" s="3" t="s">
        <v>7</v>
      </c>
    </row>
    <row r="1418" spans="12:15" x14ac:dyDescent="0.45">
      <c r="L1418" s="6" t="s">
        <v>133</v>
      </c>
      <c r="M1418" s="6" t="s">
        <v>36</v>
      </c>
      <c r="N1418" s="8">
        <v>1.4002896015471666E-2</v>
      </c>
      <c r="O1418" s="6" t="s">
        <v>7</v>
      </c>
    </row>
    <row r="1419" spans="12:15" x14ac:dyDescent="0.45">
      <c r="L1419" s="3" t="s">
        <v>133</v>
      </c>
      <c r="M1419" s="3" t="s">
        <v>37</v>
      </c>
      <c r="N1419" s="5">
        <v>1.4629988445538132E-2</v>
      </c>
      <c r="O1419" s="3" t="s">
        <v>7</v>
      </c>
    </row>
    <row r="1420" spans="12:15" x14ac:dyDescent="0.45">
      <c r="L1420" s="6" t="s">
        <v>133</v>
      </c>
      <c r="M1420" s="6" t="s">
        <v>38</v>
      </c>
      <c r="N1420" s="8">
        <v>2.2501319189278633E-2</v>
      </c>
      <c r="O1420" s="6" t="s">
        <v>7</v>
      </c>
    </row>
    <row r="1421" spans="12:15" x14ac:dyDescent="0.45">
      <c r="L1421" s="3" t="s">
        <v>133</v>
      </c>
      <c r="M1421" s="3" t="s">
        <v>39</v>
      </c>
      <c r="N1421" s="5">
        <v>2.3701626841068718E-2</v>
      </c>
      <c r="O1421" s="3" t="s">
        <v>7</v>
      </c>
    </row>
    <row r="1422" spans="12:15" x14ac:dyDescent="0.45">
      <c r="L1422" s="6" t="s">
        <v>133</v>
      </c>
      <c r="M1422" s="6" t="s">
        <v>40</v>
      </c>
      <c r="N1422" s="8">
        <v>9.2733891697688621E-3</v>
      </c>
      <c r="O1422" s="6" t="s">
        <v>7</v>
      </c>
    </row>
    <row r="1423" spans="12:15" x14ac:dyDescent="0.45">
      <c r="L1423" s="3" t="s">
        <v>133</v>
      </c>
      <c r="M1423" s="3" t="s">
        <v>41</v>
      </c>
      <c r="N1423" s="5">
        <v>9.5445577861962023E-3</v>
      </c>
      <c r="O1423" s="3" t="s">
        <v>7</v>
      </c>
    </row>
    <row r="1424" spans="12:15" x14ac:dyDescent="0.45">
      <c r="L1424" s="6" t="s">
        <v>133</v>
      </c>
      <c r="M1424" s="6" t="s">
        <v>42</v>
      </c>
      <c r="N1424" s="8">
        <v>9.2614185720434894E-3</v>
      </c>
      <c r="O1424" s="6" t="s">
        <v>7</v>
      </c>
    </row>
    <row r="1425" spans="12:15" x14ac:dyDescent="0.45">
      <c r="L1425" s="3" t="s">
        <v>133</v>
      </c>
      <c r="M1425" s="3" t="s">
        <v>43</v>
      </c>
      <c r="N1425" s="5">
        <v>9.0379963357563788E-3</v>
      </c>
      <c r="O1425" s="3" t="s">
        <v>7</v>
      </c>
    </row>
    <row r="1426" spans="12:15" x14ac:dyDescent="0.45">
      <c r="L1426" s="6" t="s">
        <v>133</v>
      </c>
      <c r="M1426" s="6" t="s">
        <v>44</v>
      </c>
      <c r="N1426" s="8">
        <v>9.2491740035866958E-3</v>
      </c>
      <c r="O1426" s="6" t="s">
        <v>7</v>
      </c>
    </row>
    <row r="1427" spans="12:15" x14ac:dyDescent="0.45">
      <c r="L1427" s="3" t="s">
        <v>133</v>
      </c>
      <c r="M1427" s="3" t="s">
        <v>45</v>
      </c>
      <c r="N1427" s="5">
        <v>9.5826454919066776E-3</v>
      </c>
      <c r="O1427" s="3" t="s">
        <v>7</v>
      </c>
    </row>
    <row r="1428" spans="12:15" x14ac:dyDescent="0.45">
      <c r="L1428" s="6" t="s">
        <v>133</v>
      </c>
      <c r="M1428" s="6" t="s">
        <v>46</v>
      </c>
      <c r="N1428" s="8">
        <v>1.0241592617388861E-2</v>
      </c>
      <c r="O1428" s="6" t="s">
        <v>7</v>
      </c>
    </row>
    <row r="1429" spans="12:15" x14ac:dyDescent="0.45">
      <c r="L1429" s="3" t="s">
        <v>133</v>
      </c>
      <c r="M1429" s="3" t="s">
        <v>47</v>
      </c>
      <c r="N1429" s="5">
        <v>1.0818614732821419E-2</v>
      </c>
      <c r="O1429" s="3" t="s">
        <v>7</v>
      </c>
    </row>
    <row r="1430" spans="12:15" x14ac:dyDescent="0.45">
      <c r="L1430" s="6" t="s">
        <v>133</v>
      </c>
      <c r="M1430" s="6" t="s">
        <v>48</v>
      </c>
      <c r="N1430" s="8">
        <v>1.5950708257127678E-2</v>
      </c>
      <c r="O1430" s="6" t="s">
        <v>7</v>
      </c>
    </row>
    <row r="1431" spans="12:15" x14ac:dyDescent="0.45">
      <c r="L1431" s="3" t="s">
        <v>133</v>
      </c>
      <c r="M1431" s="3" t="s">
        <v>49</v>
      </c>
      <c r="N1431" s="5">
        <v>3.2832432172214938E-2</v>
      </c>
      <c r="O1431" s="3" t="s">
        <v>7</v>
      </c>
    </row>
    <row r="1432" spans="12:15" x14ac:dyDescent="0.45">
      <c r="L1432" s="6" t="s">
        <v>133</v>
      </c>
      <c r="M1432" s="6" t="s">
        <v>50</v>
      </c>
      <c r="N1432" s="8">
        <v>1.2717802937548041E-2</v>
      </c>
      <c r="O1432" s="6" t="s">
        <v>7</v>
      </c>
    </row>
    <row r="1433" spans="12:15" x14ac:dyDescent="0.45">
      <c r="L1433" s="3" t="s">
        <v>133</v>
      </c>
      <c r="M1433" s="3" t="s">
        <v>51</v>
      </c>
      <c r="N1433" s="5">
        <v>1.3222173369949268E-2</v>
      </c>
      <c r="O1433" s="3" t="s">
        <v>7</v>
      </c>
    </row>
    <row r="1434" spans="12:15" x14ac:dyDescent="0.45">
      <c r="L1434" s="6" t="s">
        <v>133</v>
      </c>
      <c r="M1434" s="6" t="s">
        <v>52</v>
      </c>
      <c r="N1434" s="8">
        <v>1.3244883178613361E-2</v>
      </c>
      <c r="O1434" s="6" t="s">
        <v>7</v>
      </c>
    </row>
    <row r="1435" spans="12:15" x14ac:dyDescent="0.45">
      <c r="L1435" s="3" t="s">
        <v>133</v>
      </c>
      <c r="M1435" s="3" t="s">
        <v>53</v>
      </c>
      <c r="N1435" s="5">
        <v>1.3295765758828926E-2</v>
      </c>
      <c r="O1435" s="3" t="s">
        <v>7</v>
      </c>
    </row>
    <row r="1436" spans="12:15" x14ac:dyDescent="0.45">
      <c r="L1436" s="6" t="s">
        <v>133</v>
      </c>
      <c r="M1436" s="6" t="s">
        <v>54</v>
      </c>
      <c r="N1436" s="8">
        <v>1.3895415276133541E-2</v>
      </c>
      <c r="O1436" s="6" t="s">
        <v>7</v>
      </c>
    </row>
    <row r="1437" spans="12:15" x14ac:dyDescent="0.45">
      <c r="L1437" s="3" t="s">
        <v>133</v>
      </c>
      <c r="M1437" s="3" t="s">
        <v>55</v>
      </c>
      <c r="N1437" s="5">
        <v>1.4707701528830627E-2</v>
      </c>
      <c r="O1437" s="3" t="s">
        <v>7</v>
      </c>
    </row>
    <row r="1438" spans="12:15" x14ac:dyDescent="0.45">
      <c r="L1438" s="6" t="s">
        <v>133</v>
      </c>
      <c r="M1438" s="6" t="s">
        <v>56</v>
      </c>
      <c r="N1438" s="8">
        <v>1.5315068861690101E-2</v>
      </c>
      <c r="O1438" s="6" t="s">
        <v>7</v>
      </c>
    </row>
    <row r="1439" spans="12:15" x14ac:dyDescent="0.45">
      <c r="L1439" s="3" t="s">
        <v>133</v>
      </c>
      <c r="M1439" s="3" t="s">
        <v>57</v>
      </c>
      <c r="N1439" s="5">
        <v>1.4945730415588146E-2</v>
      </c>
      <c r="O1439" s="3" t="s">
        <v>7</v>
      </c>
    </row>
    <row r="1440" spans="12:15" x14ac:dyDescent="0.45">
      <c r="L1440" s="6" t="s">
        <v>133</v>
      </c>
      <c r="M1440" s="6" t="s">
        <v>58</v>
      </c>
      <c r="N1440" s="8">
        <v>2.1957636818777576E-2</v>
      </c>
      <c r="O1440" s="6" t="s">
        <v>7</v>
      </c>
    </row>
    <row r="1441" spans="12:15" x14ac:dyDescent="0.45">
      <c r="L1441" s="3" t="s">
        <v>133</v>
      </c>
      <c r="M1441" s="3" t="s">
        <v>59</v>
      </c>
      <c r="N1441" s="5">
        <v>4.0216456286921429E-2</v>
      </c>
      <c r="O1441" s="3" t="s">
        <v>7</v>
      </c>
    </row>
    <row r="1442" spans="12:15" x14ac:dyDescent="0.45">
      <c r="L1442" s="6" t="s">
        <v>133</v>
      </c>
      <c r="M1442" s="6" t="s">
        <v>60</v>
      </c>
      <c r="N1442" s="8">
        <v>1.6380512774270366E-2</v>
      </c>
      <c r="O1442" s="6" t="s">
        <v>7</v>
      </c>
    </row>
    <row r="1443" spans="12:15" x14ac:dyDescent="0.45">
      <c r="L1443" s="3" t="s">
        <v>133</v>
      </c>
      <c r="M1443" s="3" t="s">
        <v>61</v>
      </c>
      <c r="N1443" s="5">
        <v>1.6639075058302186E-2</v>
      </c>
      <c r="O1443" s="3" t="s">
        <v>7</v>
      </c>
    </row>
    <row r="1444" spans="12:15" x14ac:dyDescent="0.45">
      <c r="L1444" s="6" t="s">
        <v>133</v>
      </c>
      <c r="M1444" s="6" t="s">
        <v>62</v>
      </c>
      <c r="N1444" s="8">
        <v>1.6960022224365164E-2</v>
      </c>
      <c r="O1444" s="6" t="s">
        <v>7</v>
      </c>
    </row>
    <row r="1445" spans="12:15" x14ac:dyDescent="0.45">
      <c r="L1445" s="3" t="s">
        <v>133</v>
      </c>
      <c r="M1445" s="3" t="s">
        <v>63</v>
      </c>
      <c r="N1445" s="5">
        <v>1.6498173199950845E-2</v>
      </c>
      <c r="O1445" s="3" t="s">
        <v>7</v>
      </c>
    </row>
    <row r="1446" spans="12:15" x14ac:dyDescent="0.45">
      <c r="L1446" s="6" t="s">
        <v>133</v>
      </c>
      <c r="M1446" s="6" t="s">
        <v>64</v>
      </c>
      <c r="N1446" s="8">
        <v>1.6064446059777266E-2</v>
      </c>
      <c r="O1446" s="6" t="s">
        <v>7</v>
      </c>
    </row>
    <row r="1447" spans="12:15" x14ac:dyDescent="0.45">
      <c r="L1447" s="3" t="s">
        <v>133</v>
      </c>
      <c r="M1447" s="3" t="s">
        <v>65</v>
      </c>
      <c r="N1447" s="5">
        <v>1.6055774178701229E-2</v>
      </c>
      <c r="O1447" s="3" t="s">
        <v>7</v>
      </c>
    </row>
    <row r="1448" spans="12:15" x14ac:dyDescent="0.45">
      <c r="L1448" s="6" t="s">
        <v>133</v>
      </c>
      <c r="M1448" s="6" t="s">
        <v>66</v>
      </c>
      <c r="N1448" s="8">
        <v>1.6157774897104321E-2</v>
      </c>
      <c r="O1448" s="6" t="s">
        <v>7</v>
      </c>
    </row>
    <row r="1449" spans="12:15" x14ac:dyDescent="0.45">
      <c r="L1449" s="3" t="s">
        <v>133</v>
      </c>
      <c r="M1449" s="3" t="s">
        <v>67</v>
      </c>
      <c r="N1449" s="5">
        <v>1.62843508173337E-2</v>
      </c>
      <c r="O1449" s="3" t="s">
        <v>7</v>
      </c>
    </row>
    <row r="1450" spans="12:15" x14ac:dyDescent="0.45">
      <c r="L1450" s="6" t="s">
        <v>133</v>
      </c>
      <c r="M1450" s="6" t="s">
        <v>68</v>
      </c>
      <c r="N1450" s="8">
        <v>2.3307272587468678E-2</v>
      </c>
      <c r="O1450" s="6" t="s">
        <v>7</v>
      </c>
    </row>
    <row r="1451" spans="12:15" x14ac:dyDescent="0.45">
      <c r="L1451" s="3" t="s">
        <v>134</v>
      </c>
      <c r="M1451" s="3" t="s">
        <v>6</v>
      </c>
      <c r="N1451" s="5">
        <v>3.4847546320188244E-2</v>
      </c>
      <c r="O1451" s="3" t="s">
        <v>7</v>
      </c>
    </row>
    <row r="1452" spans="12:15" x14ac:dyDescent="0.45">
      <c r="L1452" s="6" t="s">
        <v>134</v>
      </c>
      <c r="M1452" s="6" t="s">
        <v>10</v>
      </c>
      <c r="N1452" s="8">
        <v>1.3796050935367489E-2</v>
      </c>
      <c r="O1452" s="6" t="s">
        <v>7</v>
      </c>
    </row>
    <row r="1453" spans="12:15" x14ac:dyDescent="0.45">
      <c r="L1453" s="3" t="s">
        <v>134</v>
      </c>
      <c r="M1453" s="3" t="s">
        <v>11</v>
      </c>
      <c r="N1453" s="5">
        <v>1.3910913272126643E-2</v>
      </c>
      <c r="O1453" s="3" t="s">
        <v>7</v>
      </c>
    </row>
    <row r="1454" spans="12:15" x14ac:dyDescent="0.45">
      <c r="L1454" s="6" t="s">
        <v>134</v>
      </c>
      <c r="M1454" s="6" t="s">
        <v>12</v>
      </c>
      <c r="N1454" s="8">
        <v>1.4116096034109795E-2</v>
      </c>
      <c r="O1454" s="6" t="s">
        <v>7</v>
      </c>
    </row>
    <row r="1455" spans="12:15" x14ac:dyDescent="0.45">
      <c r="L1455" s="3" t="s">
        <v>134</v>
      </c>
      <c r="M1455" s="3" t="s">
        <v>13</v>
      </c>
      <c r="N1455" s="5">
        <v>1.4063630335479459E-2</v>
      </c>
      <c r="O1455" s="3" t="s">
        <v>7</v>
      </c>
    </row>
    <row r="1456" spans="12:15" x14ac:dyDescent="0.45">
      <c r="L1456" s="6" t="s">
        <v>134</v>
      </c>
      <c r="M1456" s="6" t="s">
        <v>14</v>
      </c>
      <c r="N1456" s="8">
        <v>1.3980115030499431E-2</v>
      </c>
      <c r="O1456" s="6" t="s">
        <v>7</v>
      </c>
    </row>
    <row r="1457" spans="12:15" x14ac:dyDescent="0.45">
      <c r="L1457" s="3" t="s">
        <v>134</v>
      </c>
      <c r="M1457" s="3" t="s">
        <v>15</v>
      </c>
      <c r="N1457" s="5">
        <v>1.3939017698205776E-2</v>
      </c>
      <c r="O1457" s="3" t="s">
        <v>7</v>
      </c>
    </row>
    <row r="1458" spans="12:15" x14ac:dyDescent="0.45">
      <c r="L1458" s="6" t="s">
        <v>134</v>
      </c>
      <c r="M1458" s="6" t="s">
        <v>16</v>
      </c>
      <c r="N1458" s="8">
        <v>1.3901659606041656E-2</v>
      </c>
      <c r="O1458" s="6" t="s">
        <v>7</v>
      </c>
    </row>
    <row r="1459" spans="12:15" x14ac:dyDescent="0.45">
      <c r="L1459" s="3" t="s">
        <v>134</v>
      </c>
      <c r="M1459" s="3" t="s">
        <v>17</v>
      </c>
      <c r="N1459" s="5">
        <v>1.3956713368811791E-2</v>
      </c>
      <c r="O1459" s="3" t="s">
        <v>7</v>
      </c>
    </row>
    <row r="1460" spans="12:15" x14ac:dyDescent="0.45">
      <c r="L1460" s="6" t="s">
        <v>134</v>
      </c>
      <c r="M1460" s="6" t="s">
        <v>18</v>
      </c>
      <c r="N1460" s="8">
        <v>2.0547505491139987E-2</v>
      </c>
      <c r="O1460" s="6" t="s">
        <v>7</v>
      </c>
    </row>
    <row r="1461" spans="12:15" x14ac:dyDescent="0.45">
      <c r="L1461" s="3" t="s">
        <v>134</v>
      </c>
      <c r="M1461" s="3" t="s">
        <v>19</v>
      </c>
      <c r="N1461" s="5">
        <v>3.5457063149180082E-2</v>
      </c>
      <c r="O1461" s="3" t="s">
        <v>7</v>
      </c>
    </row>
    <row r="1462" spans="12:15" x14ac:dyDescent="0.45">
      <c r="L1462" s="6" t="s">
        <v>134</v>
      </c>
      <c r="M1462" s="6" t="s">
        <v>20</v>
      </c>
      <c r="N1462" s="8">
        <v>1.4740668222972457E-2</v>
      </c>
      <c r="O1462" s="6" t="s">
        <v>7</v>
      </c>
    </row>
    <row r="1463" spans="12:15" x14ac:dyDescent="0.45">
      <c r="L1463" s="3" t="s">
        <v>134</v>
      </c>
      <c r="M1463" s="3" t="s">
        <v>21</v>
      </c>
      <c r="N1463" s="5">
        <v>1.5084781245193636E-2</v>
      </c>
      <c r="O1463" s="3" t="s">
        <v>7</v>
      </c>
    </row>
    <row r="1464" spans="12:15" x14ac:dyDescent="0.45">
      <c r="L1464" s="6" t="s">
        <v>134</v>
      </c>
      <c r="M1464" s="6" t="s">
        <v>22</v>
      </c>
      <c r="N1464" s="8">
        <v>1.5083700559577015E-2</v>
      </c>
      <c r="O1464" s="6" t="s">
        <v>7</v>
      </c>
    </row>
    <row r="1465" spans="12:15" x14ac:dyDescent="0.45">
      <c r="L1465" s="3" t="s">
        <v>134</v>
      </c>
      <c r="M1465" s="3" t="s">
        <v>23</v>
      </c>
      <c r="N1465" s="5">
        <v>1.4564628048800524E-2</v>
      </c>
      <c r="O1465" s="3" t="s">
        <v>7</v>
      </c>
    </row>
    <row r="1466" spans="12:15" x14ac:dyDescent="0.45">
      <c r="L1466" s="6" t="s">
        <v>134</v>
      </c>
      <c r="M1466" s="6" t="s">
        <v>24</v>
      </c>
      <c r="N1466" s="8">
        <v>1.4178810038633622E-2</v>
      </c>
      <c r="O1466" s="6" t="s">
        <v>7</v>
      </c>
    </row>
    <row r="1467" spans="12:15" x14ac:dyDescent="0.45">
      <c r="L1467" s="3" t="s">
        <v>134</v>
      </c>
      <c r="M1467" s="3" t="s">
        <v>25</v>
      </c>
      <c r="N1467" s="5">
        <v>1.3817379083245212E-2</v>
      </c>
      <c r="O1467" s="3" t="s">
        <v>7</v>
      </c>
    </row>
    <row r="1468" spans="12:15" x14ac:dyDescent="0.45">
      <c r="L1468" s="6" t="s">
        <v>134</v>
      </c>
      <c r="M1468" s="6" t="s">
        <v>26</v>
      </c>
      <c r="N1468" s="8">
        <v>1.3721521727014369E-2</v>
      </c>
      <c r="O1468" s="6" t="s">
        <v>7</v>
      </c>
    </row>
    <row r="1469" spans="12:15" x14ac:dyDescent="0.45">
      <c r="L1469" s="3" t="s">
        <v>134</v>
      </c>
      <c r="M1469" s="3" t="s">
        <v>27</v>
      </c>
      <c r="N1469" s="5">
        <v>1.3894171369910484E-2</v>
      </c>
      <c r="O1469" s="3" t="s">
        <v>7</v>
      </c>
    </row>
    <row r="1470" spans="12:15" x14ac:dyDescent="0.45">
      <c r="L1470" s="6" t="s">
        <v>134</v>
      </c>
      <c r="M1470" s="6" t="s">
        <v>28</v>
      </c>
      <c r="N1470" s="8">
        <v>2.1251243440084912E-2</v>
      </c>
      <c r="O1470" s="6" t="s">
        <v>7</v>
      </c>
    </row>
    <row r="1471" spans="12:15" x14ac:dyDescent="0.45">
      <c r="L1471" s="3" t="s">
        <v>134</v>
      </c>
      <c r="M1471" s="3" t="s">
        <v>29</v>
      </c>
      <c r="N1471" s="5">
        <v>2.9190123769559952E-2</v>
      </c>
      <c r="O1471" s="3" t="s">
        <v>7</v>
      </c>
    </row>
    <row r="1472" spans="12:15" x14ac:dyDescent="0.45">
      <c r="L1472" s="6" t="s">
        <v>134</v>
      </c>
      <c r="M1472" s="6" t="s">
        <v>30</v>
      </c>
      <c r="N1472" s="8">
        <v>1.1663949228144817E-2</v>
      </c>
      <c r="O1472" s="6" t="s">
        <v>7</v>
      </c>
    </row>
    <row r="1473" spans="12:15" x14ac:dyDescent="0.45">
      <c r="L1473" s="3" t="s">
        <v>134</v>
      </c>
      <c r="M1473" s="3" t="s">
        <v>31</v>
      </c>
      <c r="N1473" s="5">
        <v>1.1711376507930107E-2</v>
      </c>
      <c r="O1473" s="3" t="s">
        <v>7</v>
      </c>
    </row>
    <row r="1474" spans="12:15" x14ac:dyDescent="0.45">
      <c r="L1474" s="6" t="s">
        <v>134</v>
      </c>
      <c r="M1474" s="6" t="s">
        <v>32</v>
      </c>
      <c r="N1474" s="8">
        <v>1.1354274183014162E-2</v>
      </c>
      <c r="O1474" s="6" t="s">
        <v>7</v>
      </c>
    </row>
    <row r="1475" spans="12:15" x14ac:dyDescent="0.45">
      <c r="L1475" s="3" t="s">
        <v>134</v>
      </c>
      <c r="M1475" s="3" t="s">
        <v>33</v>
      </c>
      <c r="N1475" s="5">
        <v>1.1206723967029262E-2</v>
      </c>
      <c r="O1475" s="3" t="s">
        <v>7</v>
      </c>
    </row>
    <row r="1476" spans="12:15" x14ac:dyDescent="0.45">
      <c r="L1476" s="6" t="s">
        <v>134</v>
      </c>
      <c r="M1476" s="6" t="s">
        <v>34</v>
      </c>
      <c r="N1476" s="8">
        <v>1.1200735645651144E-2</v>
      </c>
      <c r="O1476" s="6" t="s">
        <v>7</v>
      </c>
    </row>
    <row r="1477" spans="12:15" x14ac:dyDescent="0.45">
      <c r="L1477" s="3" t="s">
        <v>134</v>
      </c>
      <c r="M1477" s="3" t="s">
        <v>35</v>
      </c>
      <c r="N1477" s="5">
        <v>1.1385113946563247E-2</v>
      </c>
      <c r="O1477" s="3" t="s">
        <v>7</v>
      </c>
    </row>
    <row r="1478" spans="12:15" x14ac:dyDescent="0.45">
      <c r="L1478" s="6" t="s">
        <v>134</v>
      </c>
      <c r="M1478" s="6" t="s">
        <v>36</v>
      </c>
      <c r="N1478" s="8">
        <v>1.1558475329406282E-2</v>
      </c>
      <c r="O1478" s="6" t="s">
        <v>7</v>
      </c>
    </row>
    <row r="1479" spans="12:15" x14ac:dyDescent="0.45">
      <c r="L1479" s="3" t="s">
        <v>134</v>
      </c>
      <c r="M1479" s="3" t="s">
        <v>37</v>
      </c>
      <c r="N1479" s="5">
        <v>1.1942173676242143E-2</v>
      </c>
      <c r="O1479" s="3" t="s">
        <v>7</v>
      </c>
    </row>
    <row r="1480" spans="12:15" x14ac:dyDescent="0.45">
      <c r="L1480" s="6" t="s">
        <v>134</v>
      </c>
      <c r="M1480" s="6" t="s">
        <v>38</v>
      </c>
      <c r="N1480" s="8">
        <v>1.8072761449239392E-2</v>
      </c>
      <c r="O1480" s="6" t="s">
        <v>7</v>
      </c>
    </row>
    <row r="1481" spans="12:15" x14ac:dyDescent="0.45">
      <c r="L1481" s="3" t="s">
        <v>134</v>
      </c>
      <c r="M1481" s="3" t="s">
        <v>39</v>
      </c>
      <c r="N1481" s="5">
        <v>2.4041330525681217E-2</v>
      </c>
      <c r="O1481" s="3" t="s">
        <v>7</v>
      </c>
    </row>
    <row r="1482" spans="12:15" x14ac:dyDescent="0.45">
      <c r="L1482" s="6" t="s">
        <v>134</v>
      </c>
      <c r="M1482" s="6" t="s">
        <v>40</v>
      </c>
      <c r="N1482" s="8">
        <v>8.9364837679565545E-3</v>
      </c>
      <c r="O1482" s="6" t="s">
        <v>7</v>
      </c>
    </row>
    <row r="1483" spans="12:15" x14ac:dyDescent="0.45">
      <c r="L1483" s="3" t="s">
        <v>134</v>
      </c>
      <c r="M1483" s="3" t="s">
        <v>41</v>
      </c>
      <c r="N1483" s="5">
        <v>9.0731650961223004E-3</v>
      </c>
      <c r="O1483" s="3" t="s">
        <v>7</v>
      </c>
    </row>
    <row r="1484" spans="12:15" x14ac:dyDescent="0.45">
      <c r="L1484" s="6" t="s">
        <v>134</v>
      </c>
      <c r="M1484" s="6" t="s">
        <v>42</v>
      </c>
      <c r="N1484" s="8">
        <v>8.9821551796968394E-3</v>
      </c>
      <c r="O1484" s="6" t="s">
        <v>7</v>
      </c>
    </row>
    <row r="1485" spans="12:15" x14ac:dyDescent="0.45">
      <c r="L1485" s="3" t="s">
        <v>134</v>
      </c>
      <c r="M1485" s="3" t="s">
        <v>43</v>
      </c>
      <c r="N1485" s="5">
        <v>8.6886590646532529E-3</v>
      </c>
      <c r="O1485" s="3" t="s">
        <v>7</v>
      </c>
    </row>
    <row r="1486" spans="12:15" x14ac:dyDescent="0.45">
      <c r="L1486" s="6" t="s">
        <v>134</v>
      </c>
      <c r="M1486" s="6" t="s">
        <v>44</v>
      </c>
      <c r="N1486" s="8">
        <v>8.5341971675678991E-3</v>
      </c>
      <c r="O1486" s="6" t="s">
        <v>7</v>
      </c>
    </row>
    <row r="1487" spans="12:15" x14ac:dyDescent="0.45">
      <c r="L1487" s="3" t="s">
        <v>134</v>
      </c>
      <c r="M1487" s="3" t="s">
        <v>45</v>
      </c>
      <c r="N1487" s="5">
        <v>8.4717775712639491E-3</v>
      </c>
      <c r="O1487" s="3" t="s">
        <v>7</v>
      </c>
    </row>
    <row r="1488" spans="12:15" x14ac:dyDescent="0.45">
      <c r="L1488" s="6" t="s">
        <v>134</v>
      </c>
      <c r="M1488" s="6" t="s">
        <v>46</v>
      </c>
      <c r="N1488" s="8">
        <v>8.7272437996903356E-3</v>
      </c>
      <c r="O1488" s="6" t="s">
        <v>7</v>
      </c>
    </row>
    <row r="1489" spans="12:15" x14ac:dyDescent="0.45">
      <c r="L1489" s="3" t="s">
        <v>134</v>
      </c>
      <c r="M1489" s="3" t="s">
        <v>47</v>
      </c>
      <c r="N1489" s="5">
        <v>9.3597274388247647E-3</v>
      </c>
      <c r="O1489" s="3" t="s">
        <v>7</v>
      </c>
    </row>
    <row r="1490" spans="12:15" x14ac:dyDescent="0.45">
      <c r="L1490" s="6" t="s">
        <v>134</v>
      </c>
      <c r="M1490" s="6" t="s">
        <v>48</v>
      </c>
      <c r="N1490" s="8">
        <v>1.4912754515889878E-2</v>
      </c>
      <c r="O1490" s="6" t="s">
        <v>7</v>
      </c>
    </row>
    <row r="1491" spans="12:15" x14ac:dyDescent="0.45">
      <c r="L1491" s="3" t="s">
        <v>134</v>
      </c>
      <c r="M1491" s="3" t="s">
        <v>49</v>
      </c>
      <c r="N1491" s="5">
        <v>3.964428340713895E-2</v>
      </c>
      <c r="O1491" s="3" t="s">
        <v>7</v>
      </c>
    </row>
    <row r="1492" spans="12:15" x14ac:dyDescent="0.45">
      <c r="L1492" s="6" t="s">
        <v>134</v>
      </c>
      <c r="M1492" s="6" t="s">
        <v>50</v>
      </c>
      <c r="N1492" s="8">
        <v>1.5567668534225374E-2</v>
      </c>
      <c r="O1492" s="6" t="s">
        <v>7</v>
      </c>
    </row>
    <row r="1493" spans="12:15" x14ac:dyDescent="0.45">
      <c r="L1493" s="3" t="s">
        <v>134</v>
      </c>
      <c r="M1493" s="3" t="s">
        <v>51</v>
      </c>
      <c r="N1493" s="5">
        <v>1.5107716742756036E-2</v>
      </c>
      <c r="O1493" s="3" t="s">
        <v>7</v>
      </c>
    </row>
    <row r="1494" spans="12:15" x14ac:dyDescent="0.45">
      <c r="L1494" s="6" t="s">
        <v>134</v>
      </c>
      <c r="M1494" s="6" t="s">
        <v>52</v>
      </c>
      <c r="N1494" s="8">
        <v>1.4979975344730098E-2</v>
      </c>
      <c r="O1494" s="6" t="s">
        <v>7</v>
      </c>
    </row>
    <row r="1495" spans="12:15" x14ac:dyDescent="0.45">
      <c r="L1495" s="3" t="s">
        <v>134</v>
      </c>
      <c r="M1495" s="3" t="s">
        <v>53</v>
      </c>
      <c r="N1495" s="5">
        <v>1.5237842736938088E-2</v>
      </c>
      <c r="O1495" s="3" t="s">
        <v>7</v>
      </c>
    </row>
    <row r="1496" spans="12:15" x14ac:dyDescent="0.45">
      <c r="L1496" s="6" t="s">
        <v>134</v>
      </c>
      <c r="M1496" s="6" t="s">
        <v>54</v>
      </c>
      <c r="N1496" s="8">
        <v>1.5409939328324018E-2</v>
      </c>
      <c r="O1496" s="6" t="s">
        <v>7</v>
      </c>
    </row>
    <row r="1497" spans="12:15" x14ac:dyDescent="0.45">
      <c r="L1497" s="3" t="s">
        <v>134</v>
      </c>
      <c r="M1497" s="3" t="s">
        <v>55</v>
      </c>
      <c r="N1497" s="5">
        <v>1.5534945795425961E-2</v>
      </c>
      <c r="O1497" s="3" t="s">
        <v>7</v>
      </c>
    </row>
    <row r="1498" spans="12:15" x14ac:dyDescent="0.45">
      <c r="L1498" s="6" t="s">
        <v>134</v>
      </c>
      <c r="M1498" s="6" t="s">
        <v>56</v>
      </c>
      <c r="N1498" s="8">
        <v>1.5953368690485151E-2</v>
      </c>
      <c r="O1498" s="6" t="s">
        <v>7</v>
      </c>
    </row>
    <row r="1499" spans="12:15" x14ac:dyDescent="0.45">
      <c r="L1499" s="3" t="s">
        <v>134</v>
      </c>
      <c r="M1499" s="3" t="s">
        <v>57</v>
      </c>
      <c r="N1499" s="5">
        <v>1.6556198064758765E-2</v>
      </c>
      <c r="O1499" s="3" t="s">
        <v>7</v>
      </c>
    </row>
    <row r="1500" spans="12:15" x14ac:dyDescent="0.45">
      <c r="L1500" s="6" t="s">
        <v>134</v>
      </c>
      <c r="M1500" s="6" t="s">
        <v>58</v>
      </c>
      <c r="N1500" s="8">
        <v>2.4887118346985069E-2</v>
      </c>
      <c r="O1500" s="6" t="s">
        <v>7</v>
      </c>
    </row>
    <row r="1501" spans="12:15" x14ac:dyDescent="0.45">
      <c r="L1501" s="3" t="s">
        <v>134</v>
      </c>
      <c r="M1501" s="3" t="s">
        <v>59</v>
      </c>
      <c r="N1501" s="5">
        <v>4.784097382927182E-2</v>
      </c>
      <c r="O1501" s="3" t="s">
        <v>7</v>
      </c>
    </row>
    <row r="1502" spans="12:15" x14ac:dyDescent="0.45">
      <c r="L1502" s="6" t="s">
        <v>134</v>
      </c>
      <c r="M1502" s="6" t="s">
        <v>60</v>
      </c>
      <c r="N1502" s="8">
        <v>1.8567439430899665E-2</v>
      </c>
      <c r="O1502" s="6" t="s">
        <v>7</v>
      </c>
    </row>
    <row r="1503" spans="12:15" x14ac:dyDescent="0.45">
      <c r="L1503" s="3" t="s">
        <v>134</v>
      </c>
      <c r="M1503" s="3" t="s">
        <v>61</v>
      </c>
      <c r="N1503" s="5">
        <v>1.8327971414956949E-2</v>
      </c>
      <c r="O1503" s="3" t="s">
        <v>7</v>
      </c>
    </row>
    <row r="1504" spans="12:15" x14ac:dyDescent="0.45">
      <c r="L1504" s="6" t="s">
        <v>134</v>
      </c>
      <c r="M1504" s="6" t="s">
        <v>62</v>
      </c>
      <c r="N1504" s="8">
        <v>1.8150332254443839E-2</v>
      </c>
      <c r="O1504" s="6" t="s">
        <v>7</v>
      </c>
    </row>
    <row r="1505" spans="12:15" x14ac:dyDescent="0.45">
      <c r="L1505" s="3" t="s">
        <v>134</v>
      </c>
      <c r="M1505" s="3" t="s">
        <v>63</v>
      </c>
      <c r="N1505" s="5">
        <v>1.8430087036191901E-2</v>
      </c>
      <c r="O1505" s="3" t="s">
        <v>7</v>
      </c>
    </row>
    <row r="1506" spans="12:15" x14ac:dyDescent="0.45">
      <c r="L1506" s="6" t="s">
        <v>134</v>
      </c>
      <c r="M1506" s="6" t="s">
        <v>64</v>
      </c>
      <c r="N1506" s="8">
        <v>1.8420101621537611E-2</v>
      </c>
      <c r="O1506" s="6" t="s">
        <v>7</v>
      </c>
    </row>
    <row r="1507" spans="12:15" x14ac:dyDescent="0.45">
      <c r="L1507" s="3" t="s">
        <v>134</v>
      </c>
      <c r="M1507" s="3" t="s">
        <v>65</v>
      </c>
      <c r="N1507" s="5">
        <v>1.8407232488300611E-2</v>
      </c>
      <c r="O1507" s="3" t="s">
        <v>7</v>
      </c>
    </row>
    <row r="1508" spans="12:15" x14ac:dyDescent="0.45">
      <c r="L1508" s="6" t="s">
        <v>134</v>
      </c>
      <c r="M1508" s="6" t="s">
        <v>66</v>
      </c>
      <c r="N1508" s="8">
        <v>1.8311667854787814E-2</v>
      </c>
      <c r="O1508" s="6" t="s">
        <v>7</v>
      </c>
    </row>
    <row r="1509" spans="12:15" x14ac:dyDescent="0.45">
      <c r="L1509" s="3" t="s">
        <v>134</v>
      </c>
      <c r="M1509" s="3" t="s">
        <v>67</v>
      </c>
      <c r="N1509" s="5">
        <v>1.8368148539022442E-2</v>
      </c>
      <c r="O1509" s="3" t="s">
        <v>7</v>
      </c>
    </row>
    <row r="1510" spans="12:15" x14ac:dyDescent="0.45">
      <c r="L1510" s="6" t="s">
        <v>134</v>
      </c>
      <c r="M1510" s="6" t="s">
        <v>68</v>
      </c>
      <c r="N1510" s="8">
        <v>2.8430571732109715E-2</v>
      </c>
      <c r="O1510" s="6" t="s">
        <v>7</v>
      </c>
    </row>
    <row r="1511" spans="12:15" x14ac:dyDescent="0.45">
      <c r="L1511" s="3" t="s">
        <v>135</v>
      </c>
      <c r="M1511" s="3" t="s">
        <v>6</v>
      </c>
      <c r="N1511" s="5">
        <v>3.6331947930023312E-2</v>
      </c>
      <c r="O1511" s="3" t="s">
        <v>7</v>
      </c>
    </row>
    <row r="1512" spans="12:15" x14ac:dyDescent="0.45">
      <c r="L1512" s="6" t="s">
        <v>135</v>
      </c>
      <c r="M1512" s="6" t="s">
        <v>10</v>
      </c>
      <c r="N1512" s="8">
        <v>1.4310962938197978E-2</v>
      </c>
      <c r="O1512" s="6" t="s">
        <v>7</v>
      </c>
    </row>
    <row r="1513" spans="12:15" x14ac:dyDescent="0.45">
      <c r="L1513" s="3" t="s">
        <v>135</v>
      </c>
      <c r="M1513" s="3" t="s">
        <v>11</v>
      </c>
      <c r="N1513" s="5">
        <v>1.4358369561934592E-2</v>
      </c>
      <c r="O1513" s="3" t="s">
        <v>7</v>
      </c>
    </row>
    <row r="1514" spans="12:15" x14ac:dyDescent="0.45">
      <c r="L1514" s="6" t="s">
        <v>135</v>
      </c>
      <c r="M1514" s="6" t="s">
        <v>12</v>
      </c>
      <c r="N1514" s="8">
        <v>1.4293043359421224E-2</v>
      </c>
      <c r="O1514" s="6" t="s">
        <v>7</v>
      </c>
    </row>
    <row r="1515" spans="12:15" x14ac:dyDescent="0.45">
      <c r="L1515" s="3" t="s">
        <v>135</v>
      </c>
      <c r="M1515" s="3" t="s">
        <v>13</v>
      </c>
      <c r="N1515" s="5">
        <v>1.4218070888230216E-2</v>
      </c>
      <c r="O1515" s="3" t="s">
        <v>7</v>
      </c>
    </row>
    <row r="1516" spans="12:15" x14ac:dyDescent="0.45">
      <c r="L1516" s="6" t="s">
        <v>135</v>
      </c>
      <c r="M1516" s="6" t="s">
        <v>14</v>
      </c>
      <c r="N1516" s="8">
        <v>1.4089263989260381E-2</v>
      </c>
      <c r="O1516" s="6" t="s">
        <v>7</v>
      </c>
    </row>
    <row r="1517" spans="12:15" x14ac:dyDescent="0.45">
      <c r="L1517" s="3" t="s">
        <v>135</v>
      </c>
      <c r="M1517" s="3" t="s">
        <v>15</v>
      </c>
      <c r="N1517" s="5">
        <v>1.3999400696900956E-2</v>
      </c>
      <c r="O1517" s="3" t="s">
        <v>7</v>
      </c>
    </row>
    <row r="1518" spans="12:15" x14ac:dyDescent="0.45">
      <c r="L1518" s="6" t="s">
        <v>135</v>
      </c>
      <c r="M1518" s="6" t="s">
        <v>16</v>
      </c>
      <c r="N1518" s="8">
        <v>1.4367574490988629E-2</v>
      </c>
      <c r="O1518" s="6" t="s">
        <v>7</v>
      </c>
    </row>
    <row r="1519" spans="12:15" x14ac:dyDescent="0.45">
      <c r="L1519" s="3" t="s">
        <v>135</v>
      </c>
      <c r="M1519" s="3" t="s">
        <v>17</v>
      </c>
      <c r="N1519" s="5">
        <v>1.488032436308827E-2</v>
      </c>
      <c r="O1519" s="3" t="s">
        <v>7</v>
      </c>
    </row>
    <row r="1520" spans="12:15" x14ac:dyDescent="0.45">
      <c r="L1520" s="6" t="s">
        <v>135</v>
      </c>
      <c r="M1520" s="6" t="s">
        <v>18</v>
      </c>
      <c r="N1520" s="8">
        <v>2.2327608649165345E-2</v>
      </c>
      <c r="O1520" s="6" t="s">
        <v>7</v>
      </c>
    </row>
    <row r="1521" spans="12:15" x14ac:dyDescent="0.45">
      <c r="L1521" s="3" t="s">
        <v>135</v>
      </c>
      <c r="M1521" s="3" t="s">
        <v>19</v>
      </c>
      <c r="N1521" s="5">
        <v>3.6185377691207721E-2</v>
      </c>
      <c r="O1521" s="3" t="s">
        <v>7</v>
      </c>
    </row>
    <row r="1522" spans="12:15" x14ac:dyDescent="0.45">
      <c r="L1522" s="6" t="s">
        <v>135</v>
      </c>
      <c r="M1522" s="6" t="s">
        <v>20</v>
      </c>
      <c r="N1522" s="8">
        <v>1.4847010714028793E-2</v>
      </c>
      <c r="O1522" s="6" t="s">
        <v>7</v>
      </c>
    </row>
    <row r="1523" spans="12:15" x14ac:dyDescent="0.45">
      <c r="L1523" s="3" t="s">
        <v>135</v>
      </c>
      <c r="M1523" s="3" t="s">
        <v>21</v>
      </c>
      <c r="N1523" s="5">
        <v>1.5206256469838432E-2</v>
      </c>
      <c r="O1523" s="3" t="s">
        <v>7</v>
      </c>
    </row>
    <row r="1524" spans="12:15" x14ac:dyDescent="0.45">
      <c r="L1524" s="6" t="s">
        <v>135</v>
      </c>
      <c r="M1524" s="6" t="s">
        <v>22</v>
      </c>
      <c r="N1524" s="8">
        <v>1.5122472963118982E-2</v>
      </c>
      <c r="O1524" s="6" t="s">
        <v>7</v>
      </c>
    </row>
    <row r="1525" spans="12:15" x14ac:dyDescent="0.45">
      <c r="L1525" s="3" t="s">
        <v>135</v>
      </c>
      <c r="M1525" s="3" t="s">
        <v>23</v>
      </c>
      <c r="N1525" s="5">
        <v>1.4549191304490719E-2</v>
      </c>
      <c r="O1525" s="3" t="s">
        <v>7</v>
      </c>
    </row>
    <row r="1526" spans="12:15" x14ac:dyDescent="0.45">
      <c r="L1526" s="6" t="s">
        <v>135</v>
      </c>
      <c r="M1526" s="6" t="s">
        <v>24</v>
      </c>
      <c r="N1526" s="8">
        <v>1.4001643947072623E-2</v>
      </c>
      <c r="O1526" s="6" t="s">
        <v>7</v>
      </c>
    </row>
    <row r="1527" spans="12:15" x14ac:dyDescent="0.45">
      <c r="L1527" s="3" t="s">
        <v>135</v>
      </c>
      <c r="M1527" s="3" t="s">
        <v>25</v>
      </c>
      <c r="N1527" s="5">
        <v>1.3640304367148807E-2</v>
      </c>
      <c r="O1527" s="3" t="s">
        <v>7</v>
      </c>
    </row>
    <row r="1528" spans="12:15" x14ac:dyDescent="0.45">
      <c r="L1528" s="6" t="s">
        <v>135</v>
      </c>
      <c r="M1528" s="6" t="s">
        <v>26</v>
      </c>
      <c r="N1528" s="8">
        <v>1.3785947119823361E-2</v>
      </c>
      <c r="O1528" s="6" t="s">
        <v>7</v>
      </c>
    </row>
    <row r="1529" spans="12:15" x14ac:dyDescent="0.45">
      <c r="L1529" s="3" t="s">
        <v>135</v>
      </c>
      <c r="M1529" s="3" t="s">
        <v>27</v>
      </c>
      <c r="N1529" s="5">
        <v>1.4241195326205739E-2</v>
      </c>
      <c r="O1529" s="3" t="s">
        <v>7</v>
      </c>
    </row>
    <row r="1530" spans="12:15" x14ac:dyDescent="0.45">
      <c r="L1530" s="6" t="s">
        <v>135</v>
      </c>
      <c r="M1530" s="6" t="s">
        <v>28</v>
      </c>
      <c r="N1530" s="8">
        <v>2.2134104850346743E-2</v>
      </c>
      <c r="O1530" s="6" t="s">
        <v>7</v>
      </c>
    </row>
    <row r="1531" spans="12:15" x14ac:dyDescent="0.45">
      <c r="L1531" s="3" t="s">
        <v>135</v>
      </c>
      <c r="M1531" s="3" t="s">
        <v>29</v>
      </c>
      <c r="N1531" s="5">
        <v>2.7808153572379792E-2</v>
      </c>
      <c r="O1531" s="3" t="s">
        <v>7</v>
      </c>
    </row>
    <row r="1532" spans="12:15" x14ac:dyDescent="0.45">
      <c r="L1532" s="6" t="s">
        <v>135</v>
      </c>
      <c r="M1532" s="6" t="s">
        <v>30</v>
      </c>
      <c r="N1532" s="8">
        <v>1.1478618651604008E-2</v>
      </c>
      <c r="O1532" s="6" t="s">
        <v>7</v>
      </c>
    </row>
    <row r="1533" spans="12:15" x14ac:dyDescent="0.45">
      <c r="L1533" s="3" t="s">
        <v>135</v>
      </c>
      <c r="M1533" s="3" t="s">
        <v>31</v>
      </c>
      <c r="N1533" s="5">
        <v>1.1318060246033488E-2</v>
      </c>
      <c r="O1533" s="3" t="s">
        <v>7</v>
      </c>
    </row>
    <row r="1534" spans="12:15" x14ac:dyDescent="0.45">
      <c r="L1534" s="6" t="s">
        <v>135</v>
      </c>
      <c r="M1534" s="6" t="s">
        <v>32</v>
      </c>
      <c r="N1534" s="8">
        <v>1.0744527230331731E-2</v>
      </c>
      <c r="O1534" s="6" t="s">
        <v>7</v>
      </c>
    </row>
    <row r="1535" spans="12:15" x14ac:dyDescent="0.45">
      <c r="L1535" s="3" t="s">
        <v>135</v>
      </c>
      <c r="M1535" s="3" t="s">
        <v>33</v>
      </c>
      <c r="N1535" s="5">
        <v>1.0359559015090994E-2</v>
      </c>
      <c r="O1535" s="3" t="s">
        <v>7</v>
      </c>
    </row>
    <row r="1536" spans="12:15" x14ac:dyDescent="0.45">
      <c r="L1536" s="6" t="s">
        <v>135</v>
      </c>
      <c r="M1536" s="6" t="s">
        <v>34</v>
      </c>
      <c r="N1536" s="8">
        <v>1.0308607965904572E-2</v>
      </c>
      <c r="O1536" s="6" t="s">
        <v>7</v>
      </c>
    </row>
    <row r="1537" spans="12:15" x14ac:dyDescent="0.45">
      <c r="L1537" s="3" t="s">
        <v>135</v>
      </c>
      <c r="M1537" s="3" t="s">
        <v>35</v>
      </c>
      <c r="N1537" s="5">
        <v>1.0829699473478017E-2</v>
      </c>
      <c r="O1537" s="3" t="s">
        <v>7</v>
      </c>
    </row>
    <row r="1538" spans="12:15" x14ac:dyDescent="0.45">
      <c r="L1538" s="6" t="s">
        <v>135</v>
      </c>
      <c r="M1538" s="6" t="s">
        <v>36</v>
      </c>
      <c r="N1538" s="8">
        <v>1.113015581477147E-2</v>
      </c>
      <c r="O1538" s="6" t="s">
        <v>7</v>
      </c>
    </row>
    <row r="1539" spans="12:15" x14ac:dyDescent="0.45">
      <c r="L1539" s="3" t="s">
        <v>135</v>
      </c>
      <c r="M1539" s="3" t="s">
        <v>37</v>
      </c>
      <c r="N1539" s="5">
        <v>1.1309765543400085E-2</v>
      </c>
      <c r="O1539" s="3" t="s">
        <v>7</v>
      </c>
    </row>
    <row r="1540" spans="12:15" x14ac:dyDescent="0.45">
      <c r="L1540" s="6" t="s">
        <v>135</v>
      </c>
      <c r="M1540" s="6" t="s">
        <v>38</v>
      </c>
      <c r="N1540" s="8">
        <v>1.6791231454345648E-2</v>
      </c>
      <c r="O1540" s="6" t="s">
        <v>7</v>
      </c>
    </row>
    <row r="1541" spans="12:15" x14ac:dyDescent="0.45">
      <c r="L1541" s="3" t="s">
        <v>135</v>
      </c>
      <c r="M1541" s="3" t="s">
        <v>39</v>
      </c>
      <c r="N1541" s="5">
        <v>2.2184404730224955E-2</v>
      </c>
      <c r="O1541" s="3" t="s">
        <v>7</v>
      </c>
    </row>
    <row r="1542" spans="12:15" x14ac:dyDescent="0.45">
      <c r="L1542" s="6" t="s">
        <v>135</v>
      </c>
      <c r="M1542" s="6" t="s">
        <v>40</v>
      </c>
      <c r="N1542" s="8">
        <v>8.3429293980337195E-3</v>
      </c>
      <c r="O1542" s="6" t="s">
        <v>7</v>
      </c>
    </row>
    <row r="1543" spans="12:15" x14ac:dyDescent="0.45">
      <c r="L1543" s="3" t="s">
        <v>135</v>
      </c>
      <c r="M1543" s="3" t="s">
        <v>41</v>
      </c>
      <c r="N1543" s="5">
        <v>8.382916725421595E-3</v>
      </c>
      <c r="O1543" s="3" t="s">
        <v>7</v>
      </c>
    </row>
    <row r="1544" spans="12:15" x14ac:dyDescent="0.45">
      <c r="L1544" s="6" t="s">
        <v>135</v>
      </c>
      <c r="M1544" s="6" t="s">
        <v>42</v>
      </c>
      <c r="N1544" s="8">
        <v>8.0737684529612937E-3</v>
      </c>
      <c r="O1544" s="6" t="s">
        <v>7</v>
      </c>
    </row>
    <row r="1545" spans="12:15" x14ac:dyDescent="0.45">
      <c r="L1545" s="3" t="s">
        <v>135</v>
      </c>
      <c r="M1545" s="3" t="s">
        <v>43</v>
      </c>
      <c r="N1545" s="5">
        <v>7.3736133021581624E-3</v>
      </c>
      <c r="O1545" s="3" t="s">
        <v>7</v>
      </c>
    </row>
    <row r="1546" spans="12:15" x14ac:dyDescent="0.45">
      <c r="L1546" s="6" t="s">
        <v>135</v>
      </c>
      <c r="M1546" s="6" t="s">
        <v>44</v>
      </c>
      <c r="N1546" s="8">
        <v>7.2359224869665952E-3</v>
      </c>
      <c r="O1546" s="6" t="s">
        <v>7</v>
      </c>
    </row>
    <row r="1547" spans="12:15" x14ac:dyDescent="0.45">
      <c r="L1547" s="3" t="s">
        <v>135</v>
      </c>
      <c r="M1547" s="3" t="s">
        <v>45</v>
      </c>
      <c r="N1547" s="5">
        <v>7.7647442876112244E-3</v>
      </c>
      <c r="O1547" s="3" t="s">
        <v>7</v>
      </c>
    </row>
    <row r="1548" spans="12:15" x14ac:dyDescent="0.45">
      <c r="L1548" s="6" t="s">
        <v>135</v>
      </c>
      <c r="M1548" s="6" t="s">
        <v>46</v>
      </c>
      <c r="N1548" s="8">
        <v>8.5575540294000191E-3</v>
      </c>
      <c r="O1548" s="6" t="s">
        <v>7</v>
      </c>
    </row>
    <row r="1549" spans="12:15" x14ac:dyDescent="0.45">
      <c r="L1549" s="3" t="s">
        <v>135</v>
      </c>
      <c r="M1549" s="3" t="s">
        <v>47</v>
      </c>
      <c r="N1549" s="5">
        <v>9.085036734578552E-3</v>
      </c>
      <c r="O1549" s="3" t="s">
        <v>7</v>
      </c>
    </row>
    <row r="1550" spans="12:15" x14ac:dyDescent="0.45">
      <c r="L1550" s="6" t="s">
        <v>135</v>
      </c>
      <c r="M1550" s="6" t="s">
        <v>48</v>
      </c>
      <c r="N1550" s="8">
        <v>1.4235538431788123E-2</v>
      </c>
      <c r="O1550" s="6" t="s">
        <v>7</v>
      </c>
    </row>
    <row r="1551" spans="12:15" x14ac:dyDescent="0.45">
      <c r="L1551" s="3" t="s">
        <v>135</v>
      </c>
      <c r="M1551" s="3" t="s">
        <v>49</v>
      </c>
      <c r="N1551" s="5">
        <v>4.0739722015489525E-2</v>
      </c>
      <c r="O1551" s="3" t="s">
        <v>7</v>
      </c>
    </row>
    <row r="1552" spans="12:15" x14ac:dyDescent="0.45">
      <c r="L1552" s="6" t="s">
        <v>135</v>
      </c>
      <c r="M1552" s="6" t="s">
        <v>50</v>
      </c>
      <c r="N1552" s="8">
        <v>1.5630044181287061E-2</v>
      </c>
      <c r="O1552" s="6" t="s">
        <v>7</v>
      </c>
    </row>
    <row r="1553" spans="12:15" x14ac:dyDescent="0.45">
      <c r="L1553" s="3" t="s">
        <v>135</v>
      </c>
      <c r="M1553" s="3" t="s">
        <v>51</v>
      </c>
      <c r="N1553" s="5">
        <v>1.5284176149149018E-2</v>
      </c>
      <c r="O1553" s="3" t="s">
        <v>7</v>
      </c>
    </row>
    <row r="1554" spans="12:15" x14ac:dyDescent="0.45">
      <c r="L1554" s="6" t="s">
        <v>135</v>
      </c>
      <c r="M1554" s="6" t="s">
        <v>52</v>
      </c>
      <c r="N1554" s="8">
        <v>1.5386083109981425E-2</v>
      </c>
      <c r="O1554" s="6" t="s">
        <v>7</v>
      </c>
    </row>
    <row r="1555" spans="12:15" x14ac:dyDescent="0.45">
      <c r="L1555" s="3" t="s">
        <v>135</v>
      </c>
      <c r="M1555" s="3" t="s">
        <v>53</v>
      </c>
      <c r="N1555" s="5">
        <v>1.5538052120824051E-2</v>
      </c>
      <c r="O1555" s="3" t="s">
        <v>7</v>
      </c>
    </row>
    <row r="1556" spans="12:15" x14ac:dyDescent="0.45">
      <c r="L1556" s="6" t="s">
        <v>135</v>
      </c>
      <c r="M1556" s="6" t="s">
        <v>54</v>
      </c>
      <c r="N1556" s="8">
        <v>1.5660934292053688E-2</v>
      </c>
      <c r="O1556" s="6" t="s">
        <v>7</v>
      </c>
    </row>
    <row r="1557" spans="12:15" x14ac:dyDescent="0.45">
      <c r="L1557" s="3" t="s">
        <v>135</v>
      </c>
      <c r="M1557" s="3" t="s">
        <v>55</v>
      </c>
      <c r="N1557" s="5">
        <v>1.5853381468138597E-2</v>
      </c>
      <c r="O1557" s="3" t="s">
        <v>7</v>
      </c>
    </row>
    <row r="1558" spans="12:15" x14ac:dyDescent="0.45">
      <c r="L1558" s="6" t="s">
        <v>135</v>
      </c>
      <c r="M1558" s="6" t="s">
        <v>56</v>
      </c>
      <c r="N1558" s="8">
        <v>1.6599067102061733E-2</v>
      </c>
      <c r="O1558" s="6" t="s">
        <v>7</v>
      </c>
    </row>
    <row r="1559" spans="12:15" x14ac:dyDescent="0.45">
      <c r="L1559" s="3" t="s">
        <v>135</v>
      </c>
      <c r="M1559" s="3" t="s">
        <v>57</v>
      </c>
      <c r="N1559" s="5">
        <v>1.7035799132608335E-2</v>
      </c>
      <c r="O1559" s="3" t="s">
        <v>7</v>
      </c>
    </row>
    <row r="1560" spans="12:15" x14ac:dyDescent="0.45">
      <c r="L1560" s="6" t="s">
        <v>135</v>
      </c>
      <c r="M1560" s="6" t="s">
        <v>58</v>
      </c>
      <c r="N1560" s="8">
        <v>2.5655269085850297E-2</v>
      </c>
      <c r="O1560" s="6" t="s">
        <v>7</v>
      </c>
    </row>
    <row r="1561" spans="12:15" x14ac:dyDescent="0.45">
      <c r="L1561" s="3" t="s">
        <v>135</v>
      </c>
      <c r="M1561" s="3" t="s">
        <v>59</v>
      </c>
      <c r="N1561" s="5">
        <v>4.8341633286891797E-2</v>
      </c>
      <c r="O1561" s="3" t="s">
        <v>7</v>
      </c>
    </row>
    <row r="1562" spans="12:15" x14ac:dyDescent="0.45">
      <c r="L1562" s="6" t="s">
        <v>135</v>
      </c>
      <c r="M1562" s="6" t="s">
        <v>60</v>
      </c>
      <c r="N1562" s="8">
        <v>1.8769196245386411E-2</v>
      </c>
      <c r="O1562" s="6" t="s">
        <v>7</v>
      </c>
    </row>
    <row r="1563" spans="12:15" x14ac:dyDescent="0.45">
      <c r="L1563" s="3" t="s">
        <v>135</v>
      </c>
      <c r="M1563" s="3" t="s">
        <v>61</v>
      </c>
      <c r="N1563" s="5">
        <v>1.8217173794037034E-2</v>
      </c>
      <c r="O1563" s="3" t="s">
        <v>7</v>
      </c>
    </row>
    <row r="1564" spans="12:15" x14ac:dyDescent="0.45">
      <c r="L1564" s="6" t="s">
        <v>135</v>
      </c>
      <c r="M1564" s="6" t="s">
        <v>62</v>
      </c>
      <c r="N1564" s="8">
        <v>1.8516211858505376E-2</v>
      </c>
      <c r="O1564" s="6" t="s">
        <v>7</v>
      </c>
    </row>
    <row r="1565" spans="12:15" x14ac:dyDescent="0.45">
      <c r="L1565" s="3" t="s">
        <v>135</v>
      </c>
      <c r="M1565" s="3" t="s">
        <v>63</v>
      </c>
      <c r="N1565" s="5">
        <v>1.8916300009411663E-2</v>
      </c>
      <c r="O1565" s="3" t="s">
        <v>7</v>
      </c>
    </row>
    <row r="1566" spans="12:15" x14ac:dyDescent="0.45">
      <c r="L1566" s="6" t="s">
        <v>135</v>
      </c>
      <c r="M1566" s="6" t="s">
        <v>64</v>
      </c>
      <c r="N1566" s="8">
        <v>1.8603591737799102E-2</v>
      </c>
      <c r="O1566" s="6" t="s">
        <v>7</v>
      </c>
    </row>
    <row r="1567" spans="12:15" x14ac:dyDescent="0.45">
      <c r="L1567" s="3" t="s">
        <v>135</v>
      </c>
      <c r="M1567" s="3" t="s">
        <v>65</v>
      </c>
      <c r="N1567" s="5">
        <v>1.8570425670462035E-2</v>
      </c>
      <c r="O1567" s="3" t="s">
        <v>7</v>
      </c>
    </row>
    <row r="1568" spans="12:15" x14ac:dyDescent="0.45">
      <c r="L1568" s="6" t="s">
        <v>135</v>
      </c>
      <c r="M1568" s="6" t="s">
        <v>66</v>
      </c>
      <c r="N1568" s="8">
        <v>1.8656195515030061E-2</v>
      </c>
      <c r="O1568" s="6" t="s">
        <v>7</v>
      </c>
    </row>
    <row r="1569" spans="12:15" x14ac:dyDescent="0.45">
      <c r="L1569" s="3" t="s">
        <v>135</v>
      </c>
      <c r="M1569" s="3" t="s">
        <v>67</v>
      </c>
      <c r="N1569" s="5">
        <v>1.8837683693054406E-2</v>
      </c>
      <c r="O1569" s="3" t="s">
        <v>7</v>
      </c>
    </row>
    <row r="1570" spans="12:15" x14ac:dyDescent="0.45">
      <c r="L1570" s="6" t="s">
        <v>135</v>
      </c>
      <c r="M1570" s="6" t="s">
        <v>68</v>
      </c>
      <c r="N1570" s="8">
        <v>2.8984180365001624E-2</v>
      </c>
      <c r="O1570" s="6" t="s">
        <v>7</v>
      </c>
    </row>
    <row r="1571" spans="12:15" x14ac:dyDescent="0.45">
      <c r="L1571" s="3" t="s">
        <v>136</v>
      </c>
      <c r="M1571" s="3" t="s">
        <v>6</v>
      </c>
      <c r="N1571" s="5">
        <v>3.7259653239373344E-2</v>
      </c>
      <c r="O1571" s="3" t="s">
        <v>7</v>
      </c>
    </row>
    <row r="1572" spans="12:15" x14ac:dyDescent="0.45">
      <c r="L1572" s="6" t="s">
        <v>136</v>
      </c>
      <c r="M1572" s="6" t="s">
        <v>10</v>
      </c>
      <c r="N1572" s="8">
        <v>1.4627755168773663E-2</v>
      </c>
      <c r="O1572" s="6" t="s">
        <v>7</v>
      </c>
    </row>
    <row r="1573" spans="12:15" x14ac:dyDescent="0.45">
      <c r="L1573" s="3" t="s">
        <v>136</v>
      </c>
      <c r="M1573" s="3" t="s">
        <v>11</v>
      </c>
      <c r="N1573" s="5">
        <v>1.4577135460751631E-2</v>
      </c>
      <c r="O1573" s="3" t="s">
        <v>7</v>
      </c>
    </row>
    <row r="1574" spans="12:15" x14ac:dyDescent="0.45">
      <c r="L1574" s="6" t="s">
        <v>136</v>
      </c>
      <c r="M1574" s="6" t="s">
        <v>12</v>
      </c>
      <c r="N1574" s="8">
        <v>1.427698825749966E-2</v>
      </c>
      <c r="O1574" s="6" t="s">
        <v>7</v>
      </c>
    </row>
    <row r="1575" spans="12:15" x14ac:dyDescent="0.45">
      <c r="L1575" s="3" t="s">
        <v>136</v>
      </c>
      <c r="M1575" s="3" t="s">
        <v>13</v>
      </c>
      <c r="N1575" s="5">
        <v>1.3704639936914516E-2</v>
      </c>
      <c r="O1575" s="3" t="s">
        <v>7</v>
      </c>
    </row>
    <row r="1576" spans="12:15" x14ac:dyDescent="0.45">
      <c r="L1576" s="6" t="s">
        <v>136</v>
      </c>
      <c r="M1576" s="6" t="s">
        <v>14</v>
      </c>
      <c r="N1576" s="8">
        <v>1.3657151576233739E-2</v>
      </c>
      <c r="O1576" s="6" t="s">
        <v>7</v>
      </c>
    </row>
    <row r="1577" spans="12:15" x14ac:dyDescent="0.45">
      <c r="L1577" s="3" t="s">
        <v>136</v>
      </c>
      <c r="M1577" s="3" t="s">
        <v>15</v>
      </c>
      <c r="N1577" s="5">
        <v>1.42194636896751E-2</v>
      </c>
      <c r="O1577" s="3" t="s">
        <v>7</v>
      </c>
    </row>
    <row r="1578" spans="12:15" x14ac:dyDescent="0.45">
      <c r="L1578" s="6" t="s">
        <v>136</v>
      </c>
      <c r="M1578" s="6" t="s">
        <v>16</v>
      </c>
      <c r="N1578" s="8">
        <v>1.4791916063630015E-2</v>
      </c>
      <c r="O1578" s="6" t="s">
        <v>7</v>
      </c>
    </row>
    <row r="1579" spans="12:15" x14ac:dyDescent="0.45">
      <c r="L1579" s="3" t="s">
        <v>136</v>
      </c>
      <c r="M1579" s="3" t="s">
        <v>17</v>
      </c>
      <c r="N1579" s="5">
        <v>1.5166346906372538E-2</v>
      </c>
      <c r="O1579" s="3" t="s">
        <v>7</v>
      </c>
    </row>
    <row r="1580" spans="12:15" x14ac:dyDescent="0.45">
      <c r="L1580" s="6" t="s">
        <v>136</v>
      </c>
      <c r="M1580" s="6" t="s">
        <v>18</v>
      </c>
      <c r="N1580" s="8">
        <v>2.2279042919992643E-2</v>
      </c>
      <c r="O1580" s="6" t="s">
        <v>7</v>
      </c>
    </row>
    <row r="1581" spans="12:15" x14ac:dyDescent="0.45">
      <c r="L1581" s="3" t="s">
        <v>136</v>
      </c>
      <c r="M1581" s="3" t="s">
        <v>19</v>
      </c>
      <c r="N1581" s="5">
        <v>3.5733504115345781E-2</v>
      </c>
      <c r="O1581" s="3" t="s">
        <v>7</v>
      </c>
    </row>
    <row r="1582" spans="12:15" x14ac:dyDescent="0.45">
      <c r="L1582" s="6" t="s">
        <v>136</v>
      </c>
      <c r="M1582" s="6" t="s">
        <v>20</v>
      </c>
      <c r="N1582" s="8">
        <v>1.4762627433757249E-2</v>
      </c>
      <c r="O1582" s="6" t="s">
        <v>7</v>
      </c>
    </row>
    <row r="1583" spans="12:15" x14ac:dyDescent="0.45">
      <c r="L1583" s="3" t="s">
        <v>136</v>
      </c>
      <c r="M1583" s="3" t="s">
        <v>21</v>
      </c>
      <c r="N1583" s="5">
        <v>1.4478667390679155E-2</v>
      </c>
      <c r="O1583" s="3" t="s">
        <v>7</v>
      </c>
    </row>
    <row r="1584" spans="12:15" x14ac:dyDescent="0.45">
      <c r="L1584" s="6" t="s">
        <v>136</v>
      </c>
      <c r="M1584" s="6" t="s">
        <v>22</v>
      </c>
      <c r="N1584" s="8">
        <v>1.3855089399427782E-2</v>
      </c>
      <c r="O1584" s="6" t="s">
        <v>7</v>
      </c>
    </row>
    <row r="1585" spans="12:15" x14ac:dyDescent="0.45">
      <c r="L1585" s="3" t="s">
        <v>136</v>
      </c>
      <c r="M1585" s="3" t="s">
        <v>23</v>
      </c>
      <c r="N1585" s="5">
        <v>1.3483559392778998E-2</v>
      </c>
      <c r="O1585" s="3" t="s">
        <v>7</v>
      </c>
    </row>
    <row r="1586" spans="12:15" x14ac:dyDescent="0.45">
      <c r="L1586" s="6" t="s">
        <v>136</v>
      </c>
      <c r="M1586" s="6" t="s">
        <v>24</v>
      </c>
      <c r="N1586" s="8">
        <v>1.3941278311403979E-2</v>
      </c>
      <c r="O1586" s="6" t="s">
        <v>7</v>
      </c>
    </row>
    <row r="1587" spans="12:15" x14ac:dyDescent="0.45">
      <c r="L1587" s="3" t="s">
        <v>136</v>
      </c>
      <c r="M1587" s="3" t="s">
        <v>25</v>
      </c>
      <c r="N1587" s="5">
        <v>1.4672908581955689E-2</v>
      </c>
      <c r="O1587" s="3" t="s">
        <v>7</v>
      </c>
    </row>
    <row r="1588" spans="12:15" x14ac:dyDescent="0.45">
      <c r="L1588" s="6" t="s">
        <v>136</v>
      </c>
      <c r="M1588" s="6" t="s">
        <v>26</v>
      </c>
      <c r="N1588" s="8">
        <v>1.5132040156232214E-2</v>
      </c>
      <c r="O1588" s="6" t="s">
        <v>7</v>
      </c>
    </row>
    <row r="1589" spans="12:15" x14ac:dyDescent="0.45">
      <c r="L1589" s="3" t="s">
        <v>136</v>
      </c>
      <c r="M1589" s="3" t="s">
        <v>27</v>
      </c>
      <c r="N1589" s="5">
        <v>1.5393551567533328E-2</v>
      </c>
      <c r="O1589" s="3" t="s">
        <v>7</v>
      </c>
    </row>
    <row r="1590" spans="12:15" x14ac:dyDescent="0.45">
      <c r="L1590" s="6" t="s">
        <v>136</v>
      </c>
      <c r="M1590" s="6" t="s">
        <v>28</v>
      </c>
      <c r="N1590" s="8">
        <v>2.2461247567726161E-2</v>
      </c>
      <c r="O1590" s="6" t="s">
        <v>7</v>
      </c>
    </row>
    <row r="1591" spans="12:15" x14ac:dyDescent="0.45">
      <c r="L1591" s="3" t="s">
        <v>136</v>
      </c>
      <c r="M1591" s="3" t="s">
        <v>29</v>
      </c>
      <c r="N1591" s="5">
        <v>3.4838595463711507E-2</v>
      </c>
      <c r="O1591" s="3" t="s">
        <v>7</v>
      </c>
    </row>
    <row r="1592" spans="12:15" x14ac:dyDescent="0.45">
      <c r="L1592" s="6" t="s">
        <v>136</v>
      </c>
      <c r="M1592" s="6" t="s">
        <v>30</v>
      </c>
      <c r="N1592" s="8">
        <v>1.3488737797064096E-2</v>
      </c>
      <c r="O1592" s="6" t="s">
        <v>7</v>
      </c>
    </row>
    <row r="1593" spans="12:15" x14ac:dyDescent="0.45">
      <c r="L1593" s="3" t="s">
        <v>136</v>
      </c>
      <c r="M1593" s="3" t="s">
        <v>31</v>
      </c>
      <c r="N1593" s="5">
        <v>1.3344358472846894E-2</v>
      </c>
      <c r="O1593" s="3" t="s">
        <v>7</v>
      </c>
    </row>
    <row r="1594" spans="12:15" x14ac:dyDescent="0.45">
      <c r="L1594" s="6" t="s">
        <v>136</v>
      </c>
      <c r="M1594" s="6" t="s">
        <v>32</v>
      </c>
      <c r="N1594" s="8">
        <v>1.3014105947368911E-2</v>
      </c>
      <c r="O1594" s="6" t="s">
        <v>7</v>
      </c>
    </row>
    <row r="1595" spans="12:15" x14ac:dyDescent="0.45">
      <c r="L1595" s="3" t="s">
        <v>136</v>
      </c>
      <c r="M1595" s="3" t="s">
        <v>33</v>
      </c>
      <c r="N1595" s="5">
        <v>1.3090518314474728E-2</v>
      </c>
      <c r="O1595" s="3" t="s">
        <v>7</v>
      </c>
    </row>
    <row r="1596" spans="12:15" x14ac:dyDescent="0.45">
      <c r="L1596" s="6" t="s">
        <v>136</v>
      </c>
      <c r="M1596" s="6" t="s">
        <v>34</v>
      </c>
      <c r="N1596" s="8">
        <v>1.3439346306217119E-2</v>
      </c>
      <c r="O1596" s="6" t="s">
        <v>7</v>
      </c>
    </row>
    <row r="1597" spans="12:15" x14ac:dyDescent="0.45">
      <c r="L1597" s="3" t="s">
        <v>136</v>
      </c>
      <c r="M1597" s="3" t="s">
        <v>35</v>
      </c>
      <c r="N1597" s="5">
        <v>1.3856741897480183E-2</v>
      </c>
      <c r="O1597" s="3" t="s">
        <v>7</v>
      </c>
    </row>
    <row r="1598" spans="12:15" x14ac:dyDescent="0.45">
      <c r="L1598" s="6" t="s">
        <v>136</v>
      </c>
      <c r="M1598" s="6" t="s">
        <v>36</v>
      </c>
      <c r="N1598" s="8">
        <v>1.4017663031503291E-2</v>
      </c>
      <c r="O1598" s="6" t="s">
        <v>7</v>
      </c>
    </row>
    <row r="1599" spans="12:15" x14ac:dyDescent="0.45">
      <c r="L1599" s="3" t="s">
        <v>136</v>
      </c>
      <c r="M1599" s="3" t="s">
        <v>37</v>
      </c>
      <c r="N1599" s="5">
        <v>1.4634970981837735E-2</v>
      </c>
      <c r="O1599" s="3" t="s">
        <v>7</v>
      </c>
    </row>
    <row r="1600" spans="12:15" x14ac:dyDescent="0.45">
      <c r="L1600" s="6" t="s">
        <v>136</v>
      </c>
      <c r="M1600" s="6" t="s">
        <v>38</v>
      </c>
      <c r="N1600" s="8">
        <v>2.2060429082198723E-2</v>
      </c>
      <c r="O1600" s="6" t="s">
        <v>7</v>
      </c>
    </row>
    <row r="1601" spans="12:15" x14ac:dyDescent="0.45">
      <c r="L1601" s="3" t="s">
        <v>136</v>
      </c>
      <c r="M1601" s="3" t="s">
        <v>39</v>
      </c>
      <c r="N1601" s="5">
        <v>2.3977358128277979E-2</v>
      </c>
      <c r="O1601" s="3" t="s">
        <v>7</v>
      </c>
    </row>
    <row r="1602" spans="12:15" x14ac:dyDescent="0.45">
      <c r="L1602" s="6" t="s">
        <v>136</v>
      </c>
      <c r="M1602" s="6" t="s">
        <v>40</v>
      </c>
      <c r="N1602" s="8">
        <v>8.940062362656433E-3</v>
      </c>
      <c r="O1602" s="6" t="s">
        <v>7</v>
      </c>
    </row>
    <row r="1603" spans="12:15" x14ac:dyDescent="0.45">
      <c r="L1603" s="3" t="s">
        <v>136</v>
      </c>
      <c r="M1603" s="3" t="s">
        <v>41</v>
      </c>
      <c r="N1603" s="5">
        <v>8.7615700137764572E-3</v>
      </c>
      <c r="O1603" s="3" t="s">
        <v>7</v>
      </c>
    </row>
    <row r="1604" spans="12:15" x14ac:dyDescent="0.45">
      <c r="L1604" s="6" t="s">
        <v>136</v>
      </c>
      <c r="M1604" s="6" t="s">
        <v>42</v>
      </c>
      <c r="N1604" s="8">
        <v>8.8573399290633563E-3</v>
      </c>
      <c r="O1604" s="6" t="s">
        <v>7</v>
      </c>
    </row>
    <row r="1605" spans="12:15" x14ac:dyDescent="0.45">
      <c r="L1605" s="3" t="s">
        <v>136</v>
      </c>
      <c r="M1605" s="3" t="s">
        <v>43</v>
      </c>
      <c r="N1605" s="5">
        <v>9.7671854288180881E-3</v>
      </c>
      <c r="O1605" s="3" t="s">
        <v>7</v>
      </c>
    </row>
    <row r="1606" spans="12:15" x14ac:dyDescent="0.45">
      <c r="L1606" s="6" t="s">
        <v>136</v>
      </c>
      <c r="M1606" s="6" t="s">
        <v>44</v>
      </c>
      <c r="N1606" s="8">
        <v>1.0921005635759221E-2</v>
      </c>
      <c r="O1606" s="6" t="s">
        <v>7</v>
      </c>
    </row>
    <row r="1607" spans="12:15" x14ac:dyDescent="0.45">
      <c r="L1607" s="3" t="s">
        <v>136</v>
      </c>
      <c r="M1607" s="3" t="s">
        <v>45</v>
      </c>
      <c r="N1607" s="5">
        <v>1.161069173647462E-2</v>
      </c>
      <c r="O1607" s="3" t="s">
        <v>7</v>
      </c>
    </row>
    <row r="1608" spans="12:15" x14ac:dyDescent="0.45">
      <c r="L1608" s="6" t="s">
        <v>136</v>
      </c>
      <c r="M1608" s="6" t="s">
        <v>46</v>
      </c>
      <c r="N1608" s="8">
        <v>1.1297919582871805E-2</v>
      </c>
      <c r="O1608" s="6" t="s">
        <v>7</v>
      </c>
    </row>
    <row r="1609" spans="12:15" x14ac:dyDescent="0.45">
      <c r="L1609" s="3" t="s">
        <v>136</v>
      </c>
      <c r="M1609" s="3" t="s">
        <v>47</v>
      </c>
      <c r="N1609" s="5">
        <v>1.1169201393768799E-2</v>
      </c>
      <c r="O1609" s="3" t="s">
        <v>7</v>
      </c>
    </row>
    <row r="1610" spans="12:15" x14ac:dyDescent="0.45">
      <c r="L1610" s="6" t="s">
        <v>136</v>
      </c>
      <c r="M1610" s="6" t="s">
        <v>48</v>
      </c>
      <c r="N1610" s="8">
        <v>1.6621471909782651E-2</v>
      </c>
      <c r="O1610" s="6" t="s">
        <v>7</v>
      </c>
    </row>
    <row r="1611" spans="12:15" x14ac:dyDescent="0.45">
      <c r="L1611" s="3" t="s">
        <v>136</v>
      </c>
      <c r="M1611" s="3" t="s">
        <v>49</v>
      </c>
      <c r="N1611" s="5">
        <v>3.2519465670273154E-2</v>
      </c>
      <c r="O1611" s="3" t="s">
        <v>7</v>
      </c>
    </row>
    <row r="1612" spans="12:15" x14ac:dyDescent="0.45">
      <c r="L1612" s="6" t="s">
        <v>136</v>
      </c>
      <c r="M1612" s="6" t="s">
        <v>50</v>
      </c>
      <c r="N1612" s="8">
        <v>1.2565060933880755E-2</v>
      </c>
      <c r="O1612" s="6" t="s">
        <v>7</v>
      </c>
    </row>
    <row r="1613" spans="12:15" x14ac:dyDescent="0.45">
      <c r="L1613" s="3" t="s">
        <v>136</v>
      </c>
      <c r="M1613" s="3" t="s">
        <v>51</v>
      </c>
      <c r="N1613" s="5">
        <v>1.2443300069390985E-2</v>
      </c>
      <c r="O1613" s="3" t="s">
        <v>7</v>
      </c>
    </row>
    <row r="1614" spans="12:15" x14ac:dyDescent="0.45">
      <c r="L1614" s="6" t="s">
        <v>136</v>
      </c>
      <c r="M1614" s="6" t="s">
        <v>52</v>
      </c>
      <c r="N1614" s="8">
        <v>1.2280722785402725E-2</v>
      </c>
      <c r="O1614" s="6" t="s">
        <v>7</v>
      </c>
    </row>
    <row r="1615" spans="12:15" x14ac:dyDescent="0.45">
      <c r="L1615" s="3" t="s">
        <v>136</v>
      </c>
      <c r="M1615" s="3" t="s">
        <v>53</v>
      </c>
      <c r="N1615" s="5">
        <v>1.2491109118589451E-2</v>
      </c>
      <c r="O1615" s="3" t="s">
        <v>7</v>
      </c>
    </row>
    <row r="1616" spans="12:15" x14ac:dyDescent="0.45">
      <c r="L1616" s="6" t="s">
        <v>136</v>
      </c>
      <c r="M1616" s="6" t="s">
        <v>54</v>
      </c>
      <c r="N1616" s="8">
        <v>1.2886248879410461E-2</v>
      </c>
      <c r="O1616" s="6" t="s">
        <v>7</v>
      </c>
    </row>
    <row r="1617" spans="12:15" x14ac:dyDescent="0.45">
      <c r="L1617" s="3" t="s">
        <v>136</v>
      </c>
      <c r="M1617" s="3" t="s">
        <v>55</v>
      </c>
      <c r="N1617" s="5">
        <v>1.3024781065864318E-2</v>
      </c>
      <c r="O1617" s="3" t="s">
        <v>7</v>
      </c>
    </row>
    <row r="1618" spans="12:15" x14ac:dyDescent="0.45">
      <c r="L1618" s="6" t="s">
        <v>136</v>
      </c>
      <c r="M1618" s="6" t="s">
        <v>56</v>
      </c>
      <c r="N1618" s="8">
        <v>1.3988313365023748E-2</v>
      </c>
      <c r="O1618" s="6" t="s">
        <v>7</v>
      </c>
    </row>
    <row r="1619" spans="12:15" x14ac:dyDescent="0.45">
      <c r="L1619" s="3" t="s">
        <v>136</v>
      </c>
      <c r="M1619" s="3" t="s">
        <v>57</v>
      </c>
      <c r="N1619" s="5">
        <v>1.4785602437279605E-2</v>
      </c>
      <c r="O1619" s="3" t="s">
        <v>7</v>
      </c>
    </row>
    <row r="1620" spans="12:15" x14ac:dyDescent="0.45">
      <c r="L1620" s="6" t="s">
        <v>136</v>
      </c>
      <c r="M1620" s="6" t="s">
        <v>58</v>
      </c>
      <c r="N1620" s="8">
        <v>2.1562688659845577E-2</v>
      </c>
      <c r="O1620" s="6" t="s">
        <v>7</v>
      </c>
    </row>
    <row r="1621" spans="12:15" x14ac:dyDescent="0.45">
      <c r="L1621" s="3" t="s">
        <v>136</v>
      </c>
      <c r="M1621" s="3" t="s">
        <v>59</v>
      </c>
      <c r="N1621" s="5">
        <v>4.1374124321037868E-2</v>
      </c>
      <c r="O1621" s="3" t="s">
        <v>7</v>
      </c>
    </row>
    <row r="1622" spans="12:15" x14ac:dyDescent="0.45">
      <c r="L1622" s="6" t="s">
        <v>136</v>
      </c>
      <c r="M1622" s="6" t="s">
        <v>60</v>
      </c>
      <c r="N1622" s="8">
        <v>1.6466360019406729E-2</v>
      </c>
      <c r="O1622" s="6" t="s">
        <v>7</v>
      </c>
    </row>
    <row r="1623" spans="12:15" x14ac:dyDescent="0.45">
      <c r="L1623" s="3" t="s">
        <v>136</v>
      </c>
      <c r="M1623" s="3" t="s">
        <v>61</v>
      </c>
      <c r="N1623" s="5">
        <v>1.6577046366815781E-2</v>
      </c>
      <c r="O1623" s="3" t="s">
        <v>7</v>
      </c>
    </row>
    <row r="1624" spans="12:15" x14ac:dyDescent="0.45">
      <c r="L1624" s="6" t="s">
        <v>136</v>
      </c>
      <c r="M1624" s="6" t="s">
        <v>62</v>
      </c>
      <c r="N1624" s="8">
        <v>1.653196047650057E-2</v>
      </c>
      <c r="O1624" s="6" t="s">
        <v>7</v>
      </c>
    </row>
    <row r="1625" spans="12:15" x14ac:dyDescent="0.45">
      <c r="L1625" s="3" t="s">
        <v>136</v>
      </c>
      <c r="M1625" s="3" t="s">
        <v>63</v>
      </c>
      <c r="N1625" s="5">
        <v>1.7028482514978422E-2</v>
      </c>
      <c r="O1625" s="3" t="s">
        <v>7</v>
      </c>
    </row>
    <row r="1626" spans="12:15" x14ac:dyDescent="0.45">
      <c r="L1626" s="6" t="s">
        <v>136</v>
      </c>
      <c r="M1626" s="6" t="s">
        <v>64</v>
      </c>
      <c r="N1626" s="8">
        <v>1.8103813559632E-2</v>
      </c>
      <c r="O1626" s="6" t="s">
        <v>7</v>
      </c>
    </row>
    <row r="1627" spans="12:15" x14ac:dyDescent="0.45">
      <c r="L1627" s="3" t="s">
        <v>136</v>
      </c>
      <c r="M1627" s="3" t="s">
        <v>65</v>
      </c>
      <c r="N1627" s="5">
        <v>1.7979355842695423E-2</v>
      </c>
      <c r="O1627" s="3" t="s">
        <v>7</v>
      </c>
    </row>
    <row r="1628" spans="12:15" x14ac:dyDescent="0.45">
      <c r="L1628" s="6" t="s">
        <v>136</v>
      </c>
      <c r="M1628" s="6" t="s">
        <v>66</v>
      </c>
      <c r="N1628" s="8">
        <v>1.763565198339509E-2</v>
      </c>
      <c r="O1628" s="6" t="s">
        <v>7</v>
      </c>
    </row>
    <row r="1629" spans="12:15" x14ac:dyDescent="0.45">
      <c r="L1629" s="3" t="s">
        <v>136</v>
      </c>
      <c r="M1629" s="3" t="s">
        <v>67</v>
      </c>
      <c r="N1629" s="5">
        <v>1.7583819873736865E-2</v>
      </c>
      <c r="O1629" s="3" t="s">
        <v>7</v>
      </c>
    </row>
    <row r="1630" spans="12:15" x14ac:dyDescent="0.45">
      <c r="L1630" s="6" t="s">
        <v>136</v>
      </c>
      <c r="M1630" s="6" t="s">
        <v>68</v>
      </c>
      <c r="N1630" s="8">
        <v>2.5988251504830698E-2</v>
      </c>
      <c r="O1630" s="6" t="s">
        <v>7</v>
      </c>
    </row>
    <row r="1631" spans="12:15" x14ac:dyDescent="0.45">
      <c r="L1631" s="3" t="s">
        <v>137</v>
      </c>
      <c r="M1631" s="3" t="s">
        <v>6</v>
      </c>
      <c r="N1631" s="5">
        <v>3.5529146512605886E-2</v>
      </c>
      <c r="O1631" s="3" t="s">
        <v>7</v>
      </c>
    </row>
    <row r="1632" spans="12:15" x14ac:dyDescent="0.45">
      <c r="L1632" s="6" t="s">
        <v>137</v>
      </c>
      <c r="M1632" s="6" t="s">
        <v>10</v>
      </c>
      <c r="N1632" s="8">
        <v>1.4217010032844608E-2</v>
      </c>
      <c r="O1632" s="6" t="s">
        <v>7</v>
      </c>
    </row>
    <row r="1633" spans="12:15" x14ac:dyDescent="0.45">
      <c r="L1633" s="3" t="s">
        <v>137</v>
      </c>
      <c r="M1633" s="3" t="s">
        <v>11</v>
      </c>
      <c r="N1633" s="5">
        <v>1.4550101057958714E-2</v>
      </c>
      <c r="O1633" s="3" t="s">
        <v>7</v>
      </c>
    </row>
    <row r="1634" spans="12:15" x14ac:dyDescent="0.45">
      <c r="L1634" s="6" t="s">
        <v>137</v>
      </c>
      <c r="M1634" s="6" t="s">
        <v>12</v>
      </c>
      <c r="N1634" s="8">
        <v>1.457541744297062E-2</v>
      </c>
      <c r="O1634" s="6" t="s">
        <v>7</v>
      </c>
    </row>
    <row r="1635" spans="12:15" x14ac:dyDescent="0.45">
      <c r="L1635" s="3" t="s">
        <v>137</v>
      </c>
      <c r="M1635" s="3" t="s">
        <v>13</v>
      </c>
      <c r="N1635" s="5">
        <v>1.4374342101815971E-2</v>
      </c>
      <c r="O1635" s="3" t="s">
        <v>7</v>
      </c>
    </row>
    <row r="1636" spans="12:15" x14ac:dyDescent="0.45">
      <c r="L1636" s="6" t="s">
        <v>137</v>
      </c>
      <c r="M1636" s="6" t="s">
        <v>14</v>
      </c>
      <c r="N1636" s="8">
        <v>1.3779045453950549E-2</v>
      </c>
      <c r="O1636" s="6" t="s">
        <v>7</v>
      </c>
    </row>
    <row r="1637" spans="12:15" x14ac:dyDescent="0.45">
      <c r="L1637" s="3" t="s">
        <v>137</v>
      </c>
      <c r="M1637" s="3" t="s">
        <v>15</v>
      </c>
      <c r="N1637" s="5">
        <v>1.3704262915404738E-2</v>
      </c>
      <c r="O1637" s="3" t="s">
        <v>7</v>
      </c>
    </row>
    <row r="1638" spans="12:15" x14ac:dyDescent="0.45">
      <c r="L1638" s="6" t="s">
        <v>137</v>
      </c>
      <c r="M1638" s="6" t="s">
        <v>16</v>
      </c>
      <c r="N1638" s="8">
        <v>1.3998555219685051E-2</v>
      </c>
      <c r="O1638" s="6" t="s">
        <v>7</v>
      </c>
    </row>
    <row r="1639" spans="12:15" x14ac:dyDescent="0.45">
      <c r="L1639" s="3" t="s">
        <v>137</v>
      </c>
      <c r="M1639" s="3" t="s">
        <v>17</v>
      </c>
      <c r="N1639" s="5">
        <v>1.459198157285559E-2</v>
      </c>
      <c r="O1639" s="3" t="s">
        <v>7</v>
      </c>
    </row>
    <row r="1640" spans="12:15" x14ac:dyDescent="0.45">
      <c r="L1640" s="6" t="s">
        <v>137</v>
      </c>
      <c r="M1640" s="6" t="s">
        <v>18</v>
      </c>
      <c r="N1640" s="8">
        <v>2.1566294922073175E-2</v>
      </c>
      <c r="O1640" s="6" t="s">
        <v>7</v>
      </c>
    </row>
    <row r="1641" spans="12:15" x14ac:dyDescent="0.45">
      <c r="L1641" s="3" t="s">
        <v>137</v>
      </c>
      <c r="M1641" s="3" t="s">
        <v>19</v>
      </c>
      <c r="N1641" s="5">
        <v>3.4114867933985223E-2</v>
      </c>
      <c r="O1641" s="3" t="s">
        <v>7</v>
      </c>
    </row>
    <row r="1642" spans="12:15" x14ac:dyDescent="0.45">
      <c r="L1642" s="6" t="s">
        <v>137</v>
      </c>
      <c r="M1642" s="6" t="s">
        <v>20</v>
      </c>
      <c r="N1642" s="8">
        <v>1.4083806477508884E-2</v>
      </c>
      <c r="O1642" s="6" t="s">
        <v>7</v>
      </c>
    </row>
    <row r="1643" spans="12:15" x14ac:dyDescent="0.45">
      <c r="L1643" s="3" t="s">
        <v>137</v>
      </c>
      <c r="M1643" s="3" t="s">
        <v>21</v>
      </c>
      <c r="N1643" s="5">
        <v>1.4369246046140248E-2</v>
      </c>
      <c r="O1643" s="3" t="s">
        <v>7</v>
      </c>
    </row>
    <row r="1644" spans="12:15" x14ac:dyDescent="0.45">
      <c r="L1644" s="6" t="s">
        <v>137</v>
      </c>
      <c r="M1644" s="6" t="s">
        <v>22</v>
      </c>
      <c r="N1644" s="8">
        <v>1.4720466266216675E-2</v>
      </c>
      <c r="O1644" s="6" t="s">
        <v>7</v>
      </c>
    </row>
    <row r="1645" spans="12:15" x14ac:dyDescent="0.45">
      <c r="L1645" s="3" t="s">
        <v>137</v>
      </c>
      <c r="M1645" s="3" t="s">
        <v>23</v>
      </c>
      <c r="N1645" s="5">
        <v>1.4318670575674149E-2</v>
      </c>
      <c r="O1645" s="3" t="s">
        <v>7</v>
      </c>
    </row>
    <row r="1646" spans="12:15" x14ac:dyDescent="0.45">
      <c r="L1646" s="6" t="s">
        <v>137</v>
      </c>
      <c r="M1646" s="6" t="s">
        <v>24</v>
      </c>
      <c r="N1646" s="8">
        <v>1.4227775765086936E-2</v>
      </c>
      <c r="O1646" s="6" t="s">
        <v>7</v>
      </c>
    </row>
    <row r="1647" spans="12:15" x14ac:dyDescent="0.45">
      <c r="L1647" s="3" t="s">
        <v>137</v>
      </c>
      <c r="M1647" s="3" t="s">
        <v>25</v>
      </c>
      <c r="N1647" s="5">
        <v>1.4118286300047004E-2</v>
      </c>
      <c r="O1647" s="3" t="s">
        <v>7</v>
      </c>
    </row>
    <row r="1648" spans="12:15" x14ac:dyDescent="0.45">
      <c r="L1648" s="6" t="s">
        <v>137</v>
      </c>
      <c r="M1648" s="6" t="s">
        <v>26</v>
      </c>
      <c r="N1648" s="8">
        <v>1.3730436719598374E-2</v>
      </c>
      <c r="O1648" s="6" t="s">
        <v>7</v>
      </c>
    </row>
    <row r="1649" spans="12:15" x14ac:dyDescent="0.45">
      <c r="L1649" s="3" t="s">
        <v>137</v>
      </c>
      <c r="M1649" s="3" t="s">
        <v>27</v>
      </c>
      <c r="N1649" s="5">
        <v>1.3791576348800466E-2</v>
      </c>
      <c r="O1649" s="3" t="s">
        <v>7</v>
      </c>
    </row>
    <row r="1650" spans="12:15" x14ac:dyDescent="0.45">
      <c r="L1650" s="6" t="s">
        <v>137</v>
      </c>
      <c r="M1650" s="6" t="s">
        <v>28</v>
      </c>
      <c r="N1650" s="8">
        <v>2.0456424404644562E-2</v>
      </c>
      <c r="O1650" s="6" t="s">
        <v>7</v>
      </c>
    </row>
    <row r="1651" spans="12:15" x14ac:dyDescent="0.45">
      <c r="L1651" s="3" t="s">
        <v>137</v>
      </c>
      <c r="M1651" s="3" t="s">
        <v>29</v>
      </c>
      <c r="N1651" s="5">
        <v>2.8034704238737638E-2</v>
      </c>
      <c r="O1651" s="3" t="s">
        <v>7</v>
      </c>
    </row>
    <row r="1652" spans="12:15" x14ac:dyDescent="0.45">
      <c r="L1652" s="6" t="s">
        <v>137</v>
      </c>
      <c r="M1652" s="6" t="s">
        <v>30</v>
      </c>
      <c r="N1652" s="8">
        <v>1.1212238452138349E-2</v>
      </c>
      <c r="O1652" s="6" t="s">
        <v>7</v>
      </c>
    </row>
    <row r="1653" spans="12:15" x14ac:dyDescent="0.45">
      <c r="L1653" s="3" t="s">
        <v>137</v>
      </c>
      <c r="M1653" s="3" t="s">
        <v>31</v>
      </c>
      <c r="N1653" s="5">
        <v>1.1366677069492551E-2</v>
      </c>
      <c r="O1653" s="3" t="s">
        <v>7</v>
      </c>
    </row>
    <row r="1654" spans="12:15" x14ac:dyDescent="0.45">
      <c r="L1654" s="6" t="s">
        <v>137</v>
      </c>
      <c r="M1654" s="6" t="s">
        <v>32</v>
      </c>
      <c r="N1654" s="8">
        <v>1.1334459453807261E-2</v>
      </c>
      <c r="O1654" s="6" t="s">
        <v>7</v>
      </c>
    </row>
    <row r="1655" spans="12:15" x14ac:dyDescent="0.45">
      <c r="L1655" s="3" t="s">
        <v>137</v>
      </c>
      <c r="M1655" s="3" t="s">
        <v>33</v>
      </c>
      <c r="N1655" s="5">
        <v>1.1855704721295613E-2</v>
      </c>
      <c r="O1655" s="3" t="s">
        <v>7</v>
      </c>
    </row>
    <row r="1656" spans="12:15" x14ac:dyDescent="0.45">
      <c r="L1656" s="6" t="s">
        <v>137</v>
      </c>
      <c r="M1656" s="6" t="s">
        <v>34</v>
      </c>
      <c r="N1656" s="8">
        <v>1.2635605338489552E-2</v>
      </c>
      <c r="O1656" s="6" t="s">
        <v>7</v>
      </c>
    </row>
    <row r="1657" spans="12:15" x14ac:dyDescent="0.45">
      <c r="L1657" s="3" t="s">
        <v>137</v>
      </c>
      <c r="M1657" s="3" t="s">
        <v>35</v>
      </c>
      <c r="N1657" s="5">
        <v>1.2954960553236172E-2</v>
      </c>
      <c r="O1657" s="3" t="s">
        <v>7</v>
      </c>
    </row>
    <row r="1658" spans="12:15" x14ac:dyDescent="0.45">
      <c r="L1658" s="6" t="s">
        <v>137</v>
      </c>
      <c r="M1658" s="6" t="s">
        <v>36</v>
      </c>
      <c r="N1658" s="8">
        <v>1.2469708233376958E-2</v>
      </c>
      <c r="O1658" s="6" t="s">
        <v>7</v>
      </c>
    </row>
    <row r="1659" spans="12:15" x14ac:dyDescent="0.45">
      <c r="L1659" s="3" t="s">
        <v>137</v>
      </c>
      <c r="M1659" s="3" t="s">
        <v>37</v>
      </c>
      <c r="N1659" s="5">
        <v>1.2189123462320062E-2</v>
      </c>
      <c r="O1659" s="3" t="s">
        <v>7</v>
      </c>
    </row>
    <row r="1660" spans="12:15" x14ac:dyDescent="0.45">
      <c r="L1660" s="6" t="s">
        <v>137</v>
      </c>
      <c r="M1660" s="6" t="s">
        <v>38</v>
      </c>
      <c r="N1660" s="8">
        <v>1.7622667924048804E-2</v>
      </c>
      <c r="O1660" s="6" t="s">
        <v>7</v>
      </c>
    </row>
    <row r="1661" spans="12:15" x14ac:dyDescent="0.45">
      <c r="L1661" s="3" t="s">
        <v>137</v>
      </c>
      <c r="M1661" s="3" t="s">
        <v>39</v>
      </c>
      <c r="N1661" s="5">
        <v>1.9674046678887853E-2</v>
      </c>
      <c r="O1661" s="3" t="s">
        <v>7</v>
      </c>
    </row>
    <row r="1662" spans="12:15" x14ac:dyDescent="0.45">
      <c r="L1662" s="6" t="s">
        <v>137</v>
      </c>
      <c r="M1662" s="6" t="s">
        <v>40</v>
      </c>
      <c r="N1662" s="8">
        <v>8.1054137078492433E-3</v>
      </c>
      <c r="O1662" s="6" t="s">
        <v>7</v>
      </c>
    </row>
    <row r="1663" spans="12:15" x14ac:dyDescent="0.45">
      <c r="L1663" s="3" t="s">
        <v>137</v>
      </c>
      <c r="M1663" s="3" t="s">
        <v>41</v>
      </c>
      <c r="N1663" s="5">
        <v>8.2600258084162426E-3</v>
      </c>
      <c r="O1663" s="3" t="s">
        <v>7</v>
      </c>
    </row>
    <row r="1664" spans="12:15" x14ac:dyDescent="0.45">
      <c r="L1664" s="6" t="s">
        <v>137</v>
      </c>
      <c r="M1664" s="6" t="s">
        <v>42</v>
      </c>
      <c r="N1664" s="8">
        <v>8.456365586149886E-3</v>
      </c>
      <c r="O1664" s="6" t="s">
        <v>7</v>
      </c>
    </row>
    <row r="1665" spans="12:15" x14ac:dyDescent="0.45">
      <c r="L1665" s="3" t="s">
        <v>137</v>
      </c>
      <c r="M1665" s="3" t="s">
        <v>43</v>
      </c>
      <c r="N1665" s="5">
        <v>8.6874534556346632E-3</v>
      </c>
      <c r="O1665" s="3" t="s">
        <v>7</v>
      </c>
    </row>
    <row r="1666" spans="12:15" x14ac:dyDescent="0.45">
      <c r="L1666" s="6" t="s">
        <v>137</v>
      </c>
      <c r="M1666" s="6" t="s">
        <v>44</v>
      </c>
      <c r="N1666" s="8">
        <v>8.7152538665512796E-3</v>
      </c>
      <c r="O1666" s="6" t="s">
        <v>7</v>
      </c>
    </row>
    <row r="1667" spans="12:15" x14ac:dyDescent="0.45">
      <c r="L1667" s="3" t="s">
        <v>137</v>
      </c>
      <c r="M1667" s="3" t="s">
        <v>45</v>
      </c>
      <c r="N1667" s="5">
        <v>8.5479002831771837E-3</v>
      </c>
      <c r="O1667" s="3" t="s">
        <v>7</v>
      </c>
    </row>
    <row r="1668" spans="12:15" x14ac:dyDescent="0.45">
      <c r="L1668" s="6" t="s">
        <v>137</v>
      </c>
      <c r="M1668" s="6" t="s">
        <v>46</v>
      </c>
      <c r="N1668" s="8">
        <v>8.45572212325762E-3</v>
      </c>
      <c r="O1668" s="6" t="s">
        <v>7</v>
      </c>
    </row>
    <row r="1669" spans="12:15" x14ac:dyDescent="0.45">
      <c r="L1669" s="3" t="s">
        <v>137</v>
      </c>
      <c r="M1669" s="3" t="s">
        <v>47</v>
      </c>
      <c r="N1669" s="5">
        <v>8.2243972761453753E-3</v>
      </c>
      <c r="O1669" s="3" t="s">
        <v>7</v>
      </c>
    </row>
    <row r="1670" spans="12:15" x14ac:dyDescent="0.45">
      <c r="L1670" s="6" t="s">
        <v>137</v>
      </c>
      <c r="M1670" s="6" t="s">
        <v>48</v>
      </c>
      <c r="N1670" s="8">
        <v>1.2676315914750743E-2</v>
      </c>
      <c r="O1670" s="6" t="s">
        <v>7</v>
      </c>
    </row>
    <row r="1671" spans="12:15" x14ac:dyDescent="0.45">
      <c r="L1671" s="3" t="s">
        <v>137</v>
      </c>
      <c r="M1671" s="3" t="s">
        <v>49</v>
      </c>
      <c r="N1671" s="5">
        <v>3.8916080418989772E-2</v>
      </c>
      <c r="O1671" s="3" t="s">
        <v>7</v>
      </c>
    </row>
    <row r="1672" spans="12:15" x14ac:dyDescent="0.45">
      <c r="L1672" s="6" t="s">
        <v>137</v>
      </c>
      <c r="M1672" s="6" t="s">
        <v>50</v>
      </c>
      <c r="N1672" s="8">
        <v>1.4510085821441464E-2</v>
      </c>
      <c r="O1672" s="6" t="s">
        <v>7</v>
      </c>
    </row>
    <row r="1673" spans="12:15" x14ac:dyDescent="0.45">
      <c r="L1673" s="3" t="s">
        <v>137</v>
      </c>
      <c r="M1673" s="3" t="s">
        <v>51</v>
      </c>
      <c r="N1673" s="5">
        <v>1.5409244139474391E-2</v>
      </c>
      <c r="O1673" s="3" t="s">
        <v>7</v>
      </c>
    </row>
    <row r="1674" spans="12:15" x14ac:dyDescent="0.45">
      <c r="L1674" s="6" t="s">
        <v>137</v>
      </c>
      <c r="M1674" s="6" t="s">
        <v>52</v>
      </c>
      <c r="N1674" s="8">
        <v>1.6078295738593852E-2</v>
      </c>
      <c r="O1674" s="6" t="s">
        <v>7</v>
      </c>
    </row>
    <row r="1675" spans="12:15" x14ac:dyDescent="0.45">
      <c r="L1675" s="3" t="s">
        <v>137</v>
      </c>
      <c r="M1675" s="3" t="s">
        <v>53</v>
      </c>
      <c r="N1675" s="5">
        <v>1.65320918250693E-2</v>
      </c>
      <c r="O1675" s="3" t="s">
        <v>7</v>
      </c>
    </row>
    <row r="1676" spans="12:15" x14ac:dyDescent="0.45">
      <c r="L1676" s="6" t="s">
        <v>137</v>
      </c>
      <c r="M1676" s="6" t="s">
        <v>54</v>
      </c>
      <c r="N1676" s="8">
        <v>1.6404206380304202E-2</v>
      </c>
      <c r="O1676" s="6" t="s">
        <v>7</v>
      </c>
    </row>
    <row r="1677" spans="12:15" x14ac:dyDescent="0.45">
      <c r="L1677" s="3" t="s">
        <v>137</v>
      </c>
      <c r="M1677" s="3" t="s">
        <v>55</v>
      </c>
      <c r="N1677" s="5">
        <v>1.6490903717381586E-2</v>
      </c>
      <c r="O1677" s="3" t="s">
        <v>7</v>
      </c>
    </row>
    <row r="1678" spans="12:15" x14ac:dyDescent="0.45">
      <c r="L1678" s="6" t="s">
        <v>137</v>
      </c>
      <c r="M1678" s="6" t="s">
        <v>56</v>
      </c>
      <c r="N1678" s="8">
        <v>1.6891181574137961E-2</v>
      </c>
      <c r="O1678" s="6" t="s">
        <v>7</v>
      </c>
    </row>
    <row r="1679" spans="12:15" x14ac:dyDescent="0.45">
      <c r="L1679" s="3" t="s">
        <v>137</v>
      </c>
      <c r="M1679" s="3" t="s">
        <v>57</v>
      </c>
      <c r="N1679" s="5">
        <v>1.6989199281103359E-2</v>
      </c>
      <c r="O1679" s="3" t="s">
        <v>7</v>
      </c>
    </row>
    <row r="1680" spans="12:15" x14ac:dyDescent="0.45">
      <c r="L1680" s="6" t="s">
        <v>137</v>
      </c>
      <c r="M1680" s="6" t="s">
        <v>58</v>
      </c>
      <c r="N1680" s="8">
        <v>2.5653119247428469E-2</v>
      </c>
      <c r="O1680" s="6" t="s">
        <v>7</v>
      </c>
    </row>
    <row r="1681" spans="12:15" x14ac:dyDescent="0.45">
      <c r="L1681" s="3" t="s">
        <v>137</v>
      </c>
      <c r="M1681" s="3" t="s">
        <v>59</v>
      </c>
      <c r="N1681" s="5">
        <v>4.9256853144071619E-2</v>
      </c>
      <c r="O1681" s="3" t="s">
        <v>7</v>
      </c>
    </row>
    <row r="1682" spans="12:15" x14ac:dyDescent="0.45">
      <c r="L1682" s="6" t="s">
        <v>137</v>
      </c>
      <c r="M1682" s="6" t="s">
        <v>60</v>
      </c>
      <c r="N1682" s="8">
        <v>1.8808800816902112E-2</v>
      </c>
      <c r="O1682" s="6" t="s">
        <v>7</v>
      </c>
    </row>
    <row r="1683" spans="12:15" x14ac:dyDescent="0.45">
      <c r="L1683" s="3" t="s">
        <v>137</v>
      </c>
      <c r="M1683" s="3" t="s">
        <v>61</v>
      </c>
      <c r="N1683" s="5">
        <v>1.8839122604805227E-2</v>
      </c>
      <c r="O1683" s="3" t="s">
        <v>7</v>
      </c>
    </row>
    <row r="1684" spans="12:15" x14ac:dyDescent="0.45">
      <c r="L1684" s="6" t="s">
        <v>137</v>
      </c>
      <c r="M1684" s="6" t="s">
        <v>62</v>
      </c>
      <c r="N1684" s="8">
        <v>1.8195521531337047E-2</v>
      </c>
      <c r="O1684" s="6" t="s">
        <v>7</v>
      </c>
    </row>
    <row r="1685" spans="12:15" x14ac:dyDescent="0.45">
      <c r="L1685" s="3" t="s">
        <v>137</v>
      </c>
      <c r="M1685" s="3" t="s">
        <v>63</v>
      </c>
      <c r="N1685" s="5">
        <v>1.808616791586545E-2</v>
      </c>
      <c r="O1685" s="3" t="s">
        <v>7</v>
      </c>
    </row>
    <row r="1686" spans="12:15" x14ac:dyDescent="0.45">
      <c r="L1686" s="6" t="s">
        <v>137</v>
      </c>
      <c r="M1686" s="6" t="s">
        <v>64</v>
      </c>
      <c r="N1686" s="8">
        <v>1.7909535995721568E-2</v>
      </c>
      <c r="O1686" s="6" t="s">
        <v>7</v>
      </c>
    </row>
    <row r="1687" spans="12:15" x14ac:dyDescent="0.45">
      <c r="L1687" s="3" t="s">
        <v>137</v>
      </c>
      <c r="M1687" s="3" t="s">
        <v>65</v>
      </c>
      <c r="N1687" s="5">
        <v>1.8098887209842183E-2</v>
      </c>
      <c r="O1687" s="3" t="s">
        <v>7</v>
      </c>
    </row>
    <row r="1688" spans="12:15" x14ac:dyDescent="0.45">
      <c r="L1688" s="6" t="s">
        <v>137</v>
      </c>
      <c r="M1688" s="6" t="s">
        <v>66</v>
      </c>
      <c r="N1688" s="8">
        <v>1.8382720762095534E-2</v>
      </c>
      <c r="O1688" s="6" t="s">
        <v>7</v>
      </c>
    </row>
    <row r="1689" spans="12:15" x14ac:dyDescent="0.45">
      <c r="L1689" s="3" t="s">
        <v>137</v>
      </c>
      <c r="M1689" s="3" t="s">
        <v>67</v>
      </c>
      <c r="N1689" s="5">
        <v>1.8947022110378787E-2</v>
      </c>
      <c r="O1689" s="3" t="s">
        <v>7</v>
      </c>
    </row>
    <row r="1690" spans="12:15" x14ac:dyDescent="0.45">
      <c r="L1690" s="6" t="s">
        <v>137</v>
      </c>
      <c r="M1690" s="6" t="s">
        <v>68</v>
      </c>
      <c r="N1690" s="8">
        <v>2.930450154742565E-2</v>
      </c>
      <c r="O1690" s="6" t="s">
        <v>7</v>
      </c>
    </row>
    <row r="1691" spans="12:15" x14ac:dyDescent="0.45">
      <c r="L1691" s="3" t="s">
        <v>138</v>
      </c>
      <c r="M1691" s="3" t="s">
        <v>6</v>
      </c>
      <c r="N1691" s="5">
        <v>3.8772495654121233E-2</v>
      </c>
      <c r="O1691" s="3" t="s">
        <v>7</v>
      </c>
    </row>
    <row r="1692" spans="12:15" x14ac:dyDescent="0.45">
      <c r="L1692" s="6" t="s">
        <v>138</v>
      </c>
      <c r="M1692" s="6" t="s">
        <v>10</v>
      </c>
      <c r="N1692" s="8">
        <v>1.5416133098615673E-2</v>
      </c>
      <c r="O1692" s="6" t="s">
        <v>7</v>
      </c>
    </row>
    <row r="1693" spans="12:15" x14ac:dyDescent="0.45">
      <c r="L1693" s="3" t="s">
        <v>138</v>
      </c>
      <c r="M1693" s="3" t="s">
        <v>11</v>
      </c>
      <c r="N1693" s="5">
        <v>1.5634212134942788E-2</v>
      </c>
      <c r="O1693" s="3" t="s">
        <v>7</v>
      </c>
    </row>
    <row r="1694" spans="12:15" x14ac:dyDescent="0.45">
      <c r="L1694" s="6" t="s">
        <v>138</v>
      </c>
      <c r="M1694" s="6" t="s">
        <v>12</v>
      </c>
      <c r="N1694" s="8">
        <v>1.5404001434717762E-2</v>
      </c>
      <c r="O1694" s="6" t="s">
        <v>7</v>
      </c>
    </row>
    <row r="1695" spans="12:15" x14ac:dyDescent="0.45">
      <c r="L1695" s="3" t="s">
        <v>138</v>
      </c>
      <c r="M1695" s="3" t="s">
        <v>13</v>
      </c>
      <c r="N1695" s="5">
        <v>1.4877742224499172E-2</v>
      </c>
      <c r="O1695" s="3" t="s">
        <v>7</v>
      </c>
    </row>
    <row r="1696" spans="12:15" x14ac:dyDescent="0.45">
      <c r="L1696" s="6" t="s">
        <v>138</v>
      </c>
      <c r="M1696" s="6" t="s">
        <v>14</v>
      </c>
      <c r="N1696" s="8">
        <v>1.4472039649628621E-2</v>
      </c>
      <c r="O1696" s="6" t="s">
        <v>7</v>
      </c>
    </row>
    <row r="1697" spans="12:15" x14ac:dyDescent="0.45">
      <c r="L1697" s="3" t="s">
        <v>138</v>
      </c>
      <c r="M1697" s="3" t="s">
        <v>15</v>
      </c>
      <c r="N1697" s="5">
        <v>1.4272732448026657E-2</v>
      </c>
      <c r="O1697" s="3" t="s">
        <v>7</v>
      </c>
    </row>
    <row r="1698" spans="12:15" x14ac:dyDescent="0.45">
      <c r="L1698" s="6" t="s">
        <v>138</v>
      </c>
      <c r="M1698" s="6" t="s">
        <v>16</v>
      </c>
      <c r="N1698" s="8">
        <v>1.4923202278767858E-2</v>
      </c>
      <c r="O1698" s="6" t="s">
        <v>7</v>
      </c>
    </row>
    <row r="1699" spans="12:15" x14ac:dyDescent="0.45">
      <c r="L1699" s="3" t="s">
        <v>138</v>
      </c>
      <c r="M1699" s="3" t="s">
        <v>17</v>
      </c>
      <c r="N1699" s="5">
        <v>1.5356188155067514E-2</v>
      </c>
      <c r="O1699" s="3" t="s">
        <v>7</v>
      </c>
    </row>
    <row r="1700" spans="12:15" x14ac:dyDescent="0.45">
      <c r="L1700" s="6" t="s">
        <v>138</v>
      </c>
      <c r="M1700" s="6" t="s">
        <v>18</v>
      </c>
      <c r="N1700" s="8">
        <v>2.3279212390374619E-2</v>
      </c>
      <c r="O1700" s="6" t="s">
        <v>7</v>
      </c>
    </row>
    <row r="1701" spans="12:15" x14ac:dyDescent="0.45">
      <c r="L1701" s="3" t="s">
        <v>138</v>
      </c>
      <c r="M1701" s="3" t="s">
        <v>19</v>
      </c>
      <c r="N1701" s="5">
        <v>3.6233992388362536E-2</v>
      </c>
      <c r="O1701" s="3" t="s">
        <v>7</v>
      </c>
    </row>
    <row r="1702" spans="12:15" x14ac:dyDescent="0.45">
      <c r="L1702" s="6" t="s">
        <v>138</v>
      </c>
      <c r="M1702" s="6" t="s">
        <v>20</v>
      </c>
      <c r="N1702" s="8">
        <v>1.5171033169348187E-2</v>
      </c>
      <c r="O1702" s="6" t="s">
        <v>7</v>
      </c>
    </row>
    <row r="1703" spans="12:15" x14ac:dyDescent="0.45">
      <c r="L1703" s="3" t="s">
        <v>138</v>
      </c>
      <c r="M1703" s="3" t="s">
        <v>21</v>
      </c>
      <c r="N1703" s="5">
        <v>1.5929643213289428E-2</v>
      </c>
      <c r="O1703" s="3" t="s">
        <v>7</v>
      </c>
    </row>
    <row r="1704" spans="12:15" x14ac:dyDescent="0.45">
      <c r="L1704" s="6" t="s">
        <v>138</v>
      </c>
      <c r="M1704" s="6" t="s">
        <v>22</v>
      </c>
      <c r="N1704" s="8">
        <v>1.5896613902407382E-2</v>
      </c>
      <c r="O1704" s="6" t="s">
        <v>7</v>
      </c>
    </row>
    <row r="1705" spans="12:15" x14ac:dyDescent="0.45">
      <c r="L1705" s="3" t="s">
        <v>138</v>
      </c>
      <c r="M1705" s="3" t="s">
        <v>23</v>
      </c>
      <c r="N1705" s="5">
        <v>1.4547133824043766E-2</v>
      </c>
      <c r="O1705" s="3" t="s">
        <v>7</v>
      </c>
    </row>
    <row r="1706" spans="12:15" x14ac:dyDescent="0.45">
      <c r="L1706" s="6" t="s">
        <v>138</v>
      </c>
      <c r="M1706" s="6" t="s">
        <v>24</v>
      </c>
      <c r="N1706" s="8">
        <v>1.3749153046513576E-2</v>
      </c>
      <c r="O1706" s="6" t="s">
        <v>7</v>
      </c>
    </row>
    <row r="1707" spans="12:15" x14ac:dyDescent="0.45">
      <c r="L1707" s="3" t="s">
        <v>138</v>
      </c>
      <c r="M1707" s="3" t="s">
        <v>25</v>
      </c>
      <c r="N1707" s="5">
        <v>1.3666969510929584E-2</v>
      </c>
      <c r="O1707" s="3" t="s">
        <v>7</v>
      </c>
    </row>
    <row r="1708" spans="12:15" x14ac:dyDescent="0.45">
      <c r="L1708" s="6" t="s">
        <v>138</v>
      </c>
      <c r="M1708" s="6" t="s">
        <v>26</v>
      </c>
      <c r="N1708" s="8">
        <v>1.3761741284340014E-2</v>
      </c>
      <c r="O1708" s="6" t="s">
        <v>7</v>
      </c>
    </row>
    <row r="1709" spans="12:15" x14ac:dyDescent="0.45">
      <c r="L1709" s="3" t="s">
        <v>138</v>
      </c>
      <c r="M1709" s="3" t="s">
        <v>27</v>
      </c>
      <c r="N1709" s="5">
        <v>1.3958033130717801E-2</v>
      </c>
      <c r="O1709" s="3" t="s">
        <v>7</v>
      </c>
    </row>
    <row r="1710" spans="12:15" x14ac:dyDescent="0.45">
      <c r="L1710" s="6" t="s">
        <v>138</v>
      </c>
      <c r="M1710" s="6" t="s">
        <v>28</v>
      </c>
      <c r="N1710" s="8">
        <v>2.1066150659751662E-2</v>
      </c>
      <c r="O1710" s="6" t="s">
        <v>7</v>
      </c>
    </row>
    <row r="1711" spans="12:15" x14ac:dyDescent="0.45">
      <c r="L1711" s="3" t="s">
        <v>138</v>
      </c>
      <c r="M1711" s="3" t="s">
        <v>29</v>
      </c>
      <c r="N1711" s="5">
        <v>3.1455661410747293E-2</v>
      </c>
      <c r="O1711" s="3" t="s">
        <v>7</v>
      </c>
    </row>
    <row r="1712" spans="12:15" x14ac:dyDescent="0.45">
      <c r="L1712" s="6" t="s">
        <v>138</v>
      </c>
      <c r="M1712" s="6" t="s">
        <v>30</v>
      </c>
      <c r="N1712" s="8">
        <v>1.2090160670708195E-2</v>
      </c>
      <c r="O1712" s="6" t="s">
        <v>7</v>
      </c>
    </row>
    <row r="1713" spans="12:15" x14ac:dyDescent="0.45">
      <c r="L1713" s="3" t="s">
        <v>138</v>
      </c>
      <c r="M1713" s="3" t="s">
        <v>31</v>
      </c>
      <c r="N1713" s="5">
        <v>1.1929210727782176E-2</v>
      </c>
      <c r="O1713" s="3" t="s">
        <v>7</v>
      </c>
    </row>
    <row r="1714" spans="12:15" x14ac:dyDescent="0.45">
      <c r="L1714" s="6" t="s">
        <v>138</v>
      </c>
      <c r="M1714" s="6" t="s">
        <v>32</v>
      </c>
      <c r="N1714" s="8">
        <v>1.1351024844763778E-2</v>
      </c>
      <c r="O1714" s="6" t="s">
        <v>7</v>
      </c>
    </row>
    <row r="1715" spans="12:15" x14ac:dyDescent="0.45">
      <c r="L1715" s="3" t="s">
        <v>138</v>
      </c>
      <c r="M1715" s="3" t="s">
        <v>33</v>
      </c>
      <c r="N1715" s="5">
        <v>1.1165379633733189E-2</v>
      </c>
      <c r="O1715" s="3" t="s">
        <v>7</v>
      </c>
    </row>
    <row r="1716" spans="12:15" x14ac:dyDescent="0.45">
      <c r="L1716" s="6" t="s">
        <v>138</v>
      </c>
      <c r="M1716" s="6" t="s">
        <v>34</v>
      </c>
      <c r="N1716" s="8">
        <v>1.186834498040612E-2</v>
      </c>
      <c r="O1716" s="6" t="s">
        <v>7</v>
      </c>
    </row>
    <row r="1717" spans="12:15" x14ac:dyDescent="0.45">
      <c r="L1717" s="3" t="s">
        <v>138</v>
      </c>
      <c r="M1717" s="3" t="s">
        <v>35</v>
      </c>
      <c r="N1717" s="5">
        <v>1.2649925149458851E-2</v>
      </c>
      <c r="O1717" s="3" t="s">
        <v>7</v>
      </c>
    </row>
    <row r="1718" spans="12:15" x14ac:dyDescent="0.45">
      <c r="L1718" s="6" t="s">
        <v>138</v>
      </c>
      <c r="M1718" s="6" t="s">
        <v>36</v>
      </c>
      <c r="N1718" s="8">
        <v>1.3175679293934714E-2</v>
      </c>
      <c r="O1718" s="6" t="s">
        <v>7</v>
      </c>
    </row>
    <row r="1719" spans="12:15" x14ac:dyDescent="0.45">
      <c r="L1719" s="3" t="s">
        <v>138</v>
      </c>
      <c r="M1719" s="3" t="s">
        <v>37</v>
      </c>
      <c r="N1719" s="5">
        <v>1.3306790436554316E-2</v>
      </c>
      <c r="O1719" s="3" t="s">
        <v>7</v>
      </c>
    </row>
    <row r="1720" spans="12:15" x14ac:dyDescent="0.45">
      <c r="L1720" s="6" t="s">
        <v>138</v>
      </c>
      <c r="M1720" s="6" t="s">
        <v>38</v>
      </c>
      <c r="N1720" s="8">
        <v>2.0529775031787472E-2</v>
      </c>
      <c r="O1720" s="6" t="s">
        <v>7</v>
      </c>
    </row>
    <row r="1721" spans="12:15" x14ac:dyDescent="0.45">
      <c r="L1721" s="3" t="s">
        <v>138</v>
      </c>
      <c r="M1721" s="3" t="s">
        <v>39</v>
      </c>
      <c r="N1721" s="5">
        <v>2.3857842339301921E-2</v>
      </c>
      <c r="O1721" s="3" t="s">
        <v>7</v>
      </c>
    </row>
    <row r="1722" spans="12:15" x14ac:dyDescent="0.45">
      <c r="L1722" s="6" t="s">
        <v>138</v>
      </c>
      <c r="M1722" s="6" t="s">
        <v>40</v>
      </c>
      <c r="N1722" s="8">
        <v>8.5646256090250623E-3</v>
      </c>
      <c r="O1722" s="6" t="s">
        <v>7</v>
      </c>
    </row>
    <row r="1723" spans="12:15" x14ac:dyDescent="0.45">
      <c r="L1723" s="3" t="s">
        <v>138</v>
      </c>
      <c r="M1723" s="3" t="s">
        <v>41</v>
      </c>
      <c r="N1723" s="5">
        <v>8.5897414363764746E-3</v>
      </c>
      <c r="O1723" s="3" t="s">
        <v>7</v>
      </c>
    </row>
    <row r="1724" spans="12:15" x14ac:dyDescent="0.45">
      <c r="L1724" s="6" t="s">
        <v>138</v>
      </c>
      <c r="M1724" s="6" t="s">
        <v>42</v>
      </c>
      <c r="N1724" s="8">
        <v>8.1768836705403154E-3</v>
      </c>
      <c r="O1724" s="6" t="s">
        <v>7</v>
      </c>
    </row>
    <row r="1725" spans="12:15" x14ac:dyDescent="0.45">
      <c r="L1725" s="3" t="s">
        <v>138</v>
      </c>
      <c r="M1725" s="3" t="s">
        <v>43</v>
      </c>
      <c r="N1725" s="5">
        <v>8.5328844489548483E-3</v>
      </c>
      <c r="O1725" s="3" t="s">
        <v>7</v>
      </c>
    </row>
    <row r="1726" spans="12:15" x14ac:dyDescent="0.45">
      <c r="L1726" s="6" t="s">
        <v>138</v>
      </c>
      <c r="M1726" s="6" t="s">
        <v>44</v>
      </c>
      <c r="N1726" s="8">
        <v>9.8553544091435855E-3</v>
      </c>
      <c r="O1726" s="6" t="s">
        <v>7</v>
      </c>
    </row>
    <row r="1727" spans="12:15" x14ac:dyDescent="0.45">
      <c r="L1727" s="3" t="s">
        <v>138</v>
      </c>
      <c r="M1727" s="3" t="s">
        <v>45</v>
      </c>
      <c r="N1727" s="5">
        <v>1.1247658348446297E-2</v>
      </c>
      <c r="O1727" s="3" t="s">
        <v>7</v>
      </c>
    </row>
    <row r="1728" spans="12:15" x14ac:dyDescent="0.45">
      <c r="L1728" s="6" t="s">
        <v>138</v>
      </c>
      <c r="M1728" s="6" t="s">
        <v>46</v>
      </c>
      <c r="N1728" s="8">
        <v>1.2099381822784075E-2</v>
      </c>
      <c r="O1728" s="6" t="s">
        <v>7</v>
      </c>
    </row>
    <row r="1729" spans="12:15" x14ac:dyDescent="0.45">
      <c r="L1729" s="3" t="s">
        <v>138</v>
      </c>
      <c r="M1729" s="3" t="s">
        <v>47</v>
      </c>
      <c r="N1729" s="5">
        <v>1.1527106458925008E-2</v>
      </c>
      <c r="O1729" s="3" t="s">
        <v>7</v>
      </c>
    </row>
    <row r="1730" spans="12:15" x14ac:dyDescent="0.45">
      <c r="L1730" s="6" t="s">
        <v>138</v>
      </c>
      <c r="M1730" s="6" t="s">
        <v>48</v>
      </c>
      <c r="N1730" s="8">
        <v>1.6064674186434098E-2</v>
      </c>
      <c r="O1730" s="6" t="s">
        <v>7</v>
      </c>
    </row>
    <row r="1731" spans="12:15" x14ac:dyDescent="0.45">
      <c r="L1731" s="3" t="s">
        <v>138</v>
      </c>
      <c r="M1731" s="3" t="s">
        <v>49</v>
      </c>
      <c r="N1731" s="5">
        <v>3.5469120669323936E-2</v>
      </c>
      <c r="O1731" s="3" t="s">
        <v>7</v>
      </c>
    </row>
    <row r="1732" spans="12:15" x14ac:dyDescent="0.45">
      <c r="L1732" s="6" t="s">
        <v>138</v>
      </c>
      <c r="M1732" s="6" t="s">
        <v>50</v>
      </c>
      <c r="N1732" s="8">
        <v>1.4207108932595289E-2</v>
      </c>
      <c r="O1732" s="6" t="s">
        <v>7</v>
      </c>
    </row>
    <row r="1733" spans="12:15" x14ac:dyDescent="0.45">
      <c r="L1733" s="3" t="s">
        <v>138</v>
      </c>
      <c r="M1733" s="3" t="s">
        <v>51</v>
      </c>
      <c r="N1733" s="5">
        <v>1.4599118315181063E-2</v>
      </c>
      <c r="O1733" s="3" t="s">
        <v>7</v>
      </c>
    </row>
    <row r="1734" spans="12:15" x14ac:dyDescent="0.45">
      <c r="L1734" s="6" t="s">
        <v>138</v>
      </c>
      <c r="M1734" s="6" t="s">
        <v>52</v>
      </c>
      <c r="N1734" s="8">
        <v>1.5208207587014959E-2</v>
      </c>
      <c r="O1734" s="6" t="s">
        <v>7</v>
      </c>
    </row>
    <row r="1735" spans="12:15" x14ac:dyDescent="0.45">
      <c r="L1735" s="3" t="s">
        <v>138</v>
      </c>
      <c r="M1735" s="3" t="s">
        <v>53</v>
      </c>
      <c r="N1735" s="5">
        <v>1.5328640317852124E-2</v>
      </c>
      <c r="O1735" s="3" t="s">
        <v>7</v>
      </c>
    </row>
    <row r="1736" spans="12:15" x14ac:dyDescent="0.45">
      <c r="L1736" s="6" t="s">
        <v>138</v>
      </c>
      <c r="M1736" s="6" t="s">
        <v>54</v>
      </c>
      <c r="N1736" s="8">
        <v>1.5200777365369698E-2</v>
      </c>
      <c r="O1736" s="6" t="s">
        <v>7</v>
      </c>
    </row>
    <row r="1737" spans="12:15" x14ac:dyDescent="0.45">
      <c r="L1737" s="3" t="s">
        <v>138</v>
      </c>
      <c r="M1737" s="3" t="s">
        <v>55</v>
      </c>
      <c r="N1737" s="5">
        <v>1.5193383345873675E-2</v>
      </c>
      <c r="O1737" s="3" t="s">
        <v>7</v>
      </c>
    </row>
    <row r="1738" spans="12:15" x14ac:dyDescent="0.45">
      <c r="L1738" s="6" t="s">
        <v>138</v>
      </c>
      <c r="M1738" s="6" t="s">
        <v>56</v>
      </c>
      <c r="N1738" s="8">
        <v>1.5326446845291962E-2</v>
      </c>
      <c r="O1738" s="6" t="s">
        <v>7</v>
      </c>
    </row>
    <row r="1739" spans="12:15" x14ac:dyDescent="0.45">
      <c r="L1739" s="3" t="s">
        <v>138</v>
      </c>
      <c r="M1739" s="3" t="s">
        <v>57</v>
      </c>
      <c r="N1739" s="5">
        <v>1.5332835606194601E-2</v>
      </c>
      <c r="O1739" s="3" t="s">
        <v>7</v>
      </c>
    </row>
    <row r="1740" spans="12:15" x14ac:dyDescent="0.45">
      <c r="L1740" s="6" t="s">
        <v>138</v>
      </c>
      <c r="M1740" s="6" t="s">
        <v>58</v>
      </c>
      <c r="N1740" s="8">
        <v>2.2385793117624078E-2</v>
      </c>
      <c r="O1740" s="6" t="s">
        <v>7</v>
      </c>
    </row>
    <row r="1741" spans="12:15" x14ac:dyDescent="0.45">
      <c r="L1741" s="3" t="s">
        <v>138</v>
      </c>
      <c r="M1741" s="3" t="s">
        <v>59</v>
      </c>
      <c r="N1741" s="5">
        <v>4.26323498187446E-2</v>
      </c>
      <c r="O1741" s="3" t="s">
        <v>7</v>
      </c>
    </row>
    <row r="1742" spans="12:15" x14ac:dyDescent="0.45">
      <c r="L1742" s="6" t="s">
        <v>138</v>
      </c>
      <c r="M1742" s="6" t="s">
        <v>60</v>
      </c>
      <c r="N1742" s="8">
        <v>1.6504598063342896E-2</v>
      </c>
      <c r="O1742" s="6" t="s">
        <v>7</v>
      </c>
    </row>
    <row r="1743" spans="12:15" x14ac:dyDescent="0.45">
      <c r="L1743" s="3" t="s">
        <v>138</v>
      </c>
      <c r="M1743" s="3" t="s">
        <v>61</v>
      </c>
      <c r="N1743" s="5">
        <v>1.6412694428449427E-2</v>
      </c>
      <c r="O1743" s="3" t="s">
        <v>7</v>
      </c>
    </row>
    <row r="1744" spans="12:15" x14ac:dyDescent="0.45">
      <c r="L1744" s="6" t="s">
        <v>138</v>
      </c>
      <c r="M1744" s="6" t="s">
        <v>62</v>
      </c>
      <c r="N1744" s="8">
        <v>1.6036654748326752E-2</v>
      </c>
      <c r="O1744" s="6" t="s">
        <v>7</v>
      </c>
    </row>
    <row r="1745" spans="12:15" x14ac:dyDescent="0.45">
      <c r="L1745" s="3" t="s">
        <v>138</v>
      </c>
      <c r="M1745" s="3" t="s">
        <v>63</v>
      </c>
      <c r="N1745" s="5">
        <v>1.5999150496880055E-2</v>
      </c>
      <c r="O1745" s="3" t="s">
        <v>7</v>
      </c>
    </row>
    <row r="1746" spans="12:15" x14ac:dyDescent="0.45">
      <c r="L1746" s="6" t="s">
        <v>138</v>
      </c>
      <c r="M1746" s="6" t="s">
        <v>64</v>
      </c>
      <c r="N1746" s="8">
        <v>1.5778185871035494E-2</v>
      </c>
      <c r="O1746" s="6" t="s">
        <v>7</v>
      </c>
    </row>
    <row r="1747" spans="12:15" x14ac:dyDescent="0.45">
      <c r="L1747" s="3" t="s">
        <v>138</v>
      </c>
      <c r="M1747" s="3" t="s">
        <v>65</v>
      </c>
      <c r="N1747" s="5">
        <v>1.5783598495653514E-2</v>
      </c>
      <c r="O1747" s="3" t="s">
        <v>7</v>
      </c>
    </row>
    <row r="1748" spans="12:15" x14ac:dyDescent="0.45">
      <c r="L1748" s="6" t="s">
        <v>138</v>
      </c>
      <c r="M1748" s="6" t="s">
        <v>66</v>
      </c>
      <c r="N1748" s="8">
        <v>1.6158942134955744E-2</v>
      </c>
      <c r="O1748" s="6" t="s">
        <v>7</v>
      </c>
    </row>
    <row r="1749" spans="12:15" x14ac:dyDescent="0.45">
      <c r="L1749" s="3" t="s">
        <v>138</v>
      </c>
      <c r="M1749" s="3" t="s">
        <v>67</v>
      </c>
      <c r="N1749" s="5">
        <v>1.6491779386338647E-2</v>
      </c>
      <c r="O1749" s="3" t="s">
        <v>7</v>
      </c>
    </row>
    <row r="1750" spans="12:15" x14ac:dyDescent="0.45">
      <c r="L1750" s="6" t="s">
        <v>138</v>
      </c>
      <c r="M1750" s="6" t="s">
        <v>68</v>
      </c>
      <c r="N1750" s="8">
        <v>2.5524085945677868E-2</v>
      </c>
      <c r="O1750" s="6" t="s">
        <v>7</v>
      </c>
    </row>
    <row r="1751" spans="12:15" x14ac:dyDescent="0.45">
      <c r="L1751" s="3" t="s">
        <v>139</v>
      </c>
      <c r="M1751" s="3" t="s">
        <v>6</v>
      </c>
      <c r="N1751" s="5">
        <v>3.5157450463955901E-2</v>
      </c>
      <c r="O1751" s="3" t="s">
        <v>7</v>
      </c>
    </row>
    <row r="1752" spans="12:15" x14ac:dyDescent="0.45">
      <c r="L1752" s="6" t="s">
        <v>139</v>
      </c>
      <c r="M1752" s="6" t="s">
        <v>10</v>
      </c>
      <c r="N1752" s="8">
        <v>1.3308375589981668E-2</v>
      </c>
      <c r="O1752" s="6" t="s">
        <v>7</v>
      </c>
    </row>
    <row r="1753" spans="12:15" x14ac:dyDescent="0.45">
      <c r="L1753" s="3" t="s">
        <v>139</v>
      </c>
      <c r="M1753" s="3" t="s">
        <v>11</v>
      </c>
      <c r="N1753" s="5">
        <v>1.2916726922441715E-2</v>
      </c>
      <c r="O1753" s="3" t="s">
        <v>7</v>
      </c>
    </row>
    <row r="1754" spans="12:15" x14ac:dyDescent="0.45">
      <c r="L1754" s="6" t="s">
        <v>139</v>
      </c>
      <c r="M1754" s="6" t="s">
        <v>12</v>
      </c>
      <c r="N1754" s="8">
        <v>1.289982087970282E-2</v>
      </c>
      <c r="O1754" s="6" t="s">
        <v>7</v>
      </c>
    </row>
    <row r="1755" spans="12:15" x14ac:dyDescent="0.45">
      <c r="L1755" s="3" t="s">
        <v>139</v>
      </c>
      <c r="M1755" s="3" t="s">
        <v>13</v>
      </c>
      <c r="N1755" s="5">
        <v>1.2990385583242768E-2</v>
      </c>
      <c r="O1755" s="3" t="s">
        <v>7</v>
      </c>
    </row>
    <row r="1756" spans="12:15" x14ac:dyDescent="0.45">
      <c r="L1756" s="6" t="s">
        <v>139</v>
      </c>
      <c r="M1756" s="6" t="s">
        <v>14</v>
      </c>
      <c r="N1756" s="8">
        <v>1.3176164445831202E-2</v>
      </c>
      <c r="O1756" s="6" t="s">
        <v>7</v>
      </c>
    </row>
    <row r="1757" spans="12:15" x14ac:dyDescent="0.45">
      <c r="L1757" s="3" t="s">
        <v>139</v>
      </c>
      <c r="M1757" s="3" t="s">
        <v>15</v>
      </c>
      <c r="N1757" s="5">
        <v>1.3183467827372586E-2</v>
      </c>
      <c r="O1757" s="3" t="s">
        <v>7</v>
      </c>
    </row>
    <row r="1758" spans="12:15" x14ac:dyDescent="0.45">
      <c r="L1758" s="6" t="s">
        <v>139</v>
      </c>
      <c r="M1758" s="6" t="s">
        <v>16</v>
      </c>
      <c r="N1758" s="8">
        <v>1.3281376756962233E-2</v>
      </c>
      <c r="O1758" s="6" t="s">
        <v>7</v>
      </c>
    </row>
    <row r="1759" spans="12:15" x14ac:dyDescent="0.45">
      <c r="L1759" s="3" t="s">
        <v>139</v>
      </c>
      <c r="M1759" s="3" t="s">
        <v>17</v>
      </c>
      <c r="N1759" s="5">
        <v>1.3383678658715125E-2</v>
      </c>
      <c r="O1759" s="3" t="s">
        <v>7</v>
      </c>
    </row>
    <row r="1760" spans="12:15" x14ac:dyDescent="0.45">
      <c r="L1760" s="6" t="s">
        <v>139</v>
      </c>
      <c r="M1760" s="6" t="s">
        <v>18</v>
      </c>
      <c r="N1760" s="8">
        <v>2.0488495060905391E-2</v>
      </c>
      <c r="O1760" s="6" t="s">
        <v>7</v>
      </c>
    </row>
    <row r="1761" spans="12:15" x14ac:dyDescent="0.45">
      <c r="L1761" s="3" t="s">
        <v>139</v>
      </c>
      <c r="M1761" s="3" t="s">
        <v>19</v>
      </c>
      <c r="N1761" s="5">
        <v>3.3361791929414117E-2</v>
      </c>
      <c r="O1761" s="3" t="s">
        <v>7</v>
      </c>
    </row>
    <row r="1762" spans="12:15" x14ac:dyDescent="0.45">
      <c r="L1762" s="6" t="s">
        <v>139</v>
      </c>
      <c r="M1762" s="6" t="s">
        <v>20</v>
      </c>
      <c r="N1762" s="8">
        <v>1.3121136562834538E-2</v>
      </c>
      <c r="O1762" s="6" t="s">
        <v>7</v>
      </c>
    </row>
    <row r="1763" spans="12:15" x14ac:dyDescent="0.45">
      <c r="L1763" s="3" t="s">
        <v>139</v>
      </c>
      <c r="M1763" s="3" t="s">
        <v>21</v>
      </c>
      <c r="N1763" s="5">
        <v>1.2966880051586771E-2</v>
      </c>
      <c r="O1763" s="3" t="s">
        <v>7</v>
      </c>
    </row>
    <row r="1764" spans="12:15" x14ac:dyDescent="0.45">
      <c r="L1764" s="6" t="s">
        <v>139</v>
      </c>
      <c r="M1764" s="6" t="s">
        <v>22</v>
      </c>
      <c r="N1764" s="8">
        <v>1.2616756825240709E-2</v>
      </c>
      <c r="O1764" s="6" t="s">
        <v>7</v>
      </c>
    </row>
    <row r="1765" spans="12:15" x14ac:dyDescent="0.45">
      <c r="L1765" s="3" t="s">
        <v>139</v>
      </c>
      <c r="M1765" s="3" t="s">
        <v>23</v>
      </c>
      <c r="N1765" s="5">
        <v>1.2247600497065164E-2</v>
      </c>
      <c r="O1765" s="3" t="s">
        <v>7</v>
      </c>
    </row>
    <row r="1766" spans="12:15" x14ac:dyDescent="0.45">
      <c r="L1766" s="6" t="s">
        <v>139</v>
      </c>
      <c r="M1766" s="6" t="s">
        <v>24</v>
      </c>
      <c r="N1766" s="8">
        <v>1.2183694071315898E-2</v>
      </c>
      <c r="O1766" s="6" t="s">
        <v>7</v>
      </c>
    </row>
    <row r="1767" spans="12:15" x14ac:dyDescent="0.45">
      <c r="L1767" s="3" t="s">
        <v>139</v>
      </c>
      <c r="M1767" s="3" t="s">
        <v>25</v>
      </c>
      <c r="N1767" s="5">
        <v>1.2207969355825915E-2</v>
      </c>
      <c r="O1767" s="3" t="s">
        <v>7</v>
      </c>
    </row>
    <row r="1768" spans="12:15" x14ac:dyDescent="0.45">
      <c r="L1768" s="6" t="s">
        <v>139</v>
      </c>
      <c r="M1768" s="6" t="s">
        <v>26</v>
      </c>
      <c r="N1768" s="8">
        <v>1.2359269386669036E-2</v>
      </c>
      <c r="O1768" s="6" t="s">
        <v>7</v>
      </c>
    </row>
    <row r="1769" spans="12:15" x14ac:dyDescent="0.45">
      <c r="L1769" s="3" t="s">
        <v>139</v>
      </c>
      <c r="M1769" s="3" t="s">
        <v>27</v>
      </c>
      <c r="N1769" s="5">
        <v>1.3047772322633551E-2</v>
      </c>
      <c r="O1769" s="3" t="s">
        <v>7</v>
      </c>
    </row>
    <row r="1770" spans="12:15" x14ac:dyDescent="0.45">
      <c r="L1770" s="6" t="s">
        <v>139</v>
      </c>
      <c r="M1770" s="6" t="s">
        <v>28</v>
      </c>
      <c r="N1770" s="8">
        <v>2.0018372077672392E-2</v>
      </c>
      <c r="O1770" s="6" t="s">
        <v>7</v>
      </c>
    </row>
    <row r="1771" spans="12:15" x14ac:dyDescent="0.45">
      <c r="L1771" s="3" t="s">
        <v>139</v>
      </c>
      <c r="M1771" s="3" t="s">
        <v>29</v>
      </c>
      <c r="N1771" s="5">
        <v>2.837577419471669E-2</v>
      </c>
      <c r="O1771" s="3" t="s">
        <v>7</v>
      </c>
    </row>
    <row r="1772" spans="12:15" x14ac:dyDescent="0.45">
      <c r="L1772" s="6" t="s">
        <v>139</v>
      </c>
      <c r="M1772" s="6" t="s">
        <v>30</v>
      </c>
      <c r="N1772" s="8">
        <v>1.1505887178601043E-2</v>
      </c>
      <c r="O1772" s="6" t="s">
        <v>7</v>
      </c>
    </row>
    <row r="1773" spans="12:15" x14ac:dyDescent="0.45">
      <c r="L1773" s="3" t="s">
        <v>139</v>
      </c>
      <c r="M1773" s="3" t="s">
        <v>31</v>
      </c>
      <c r="N1773" s="5">
        <v>1.1532933887254531E-2</v>
      </c>
      <c r="O1773" s="3" t="s">
        <v>7</v>
      </c>
    </row>
    <row r="1774" spans="12:15" x14ac:dyDescent="0.45">
      <c r="L1774" s="6" t="s">
        <v>139</v>
      </c>
      <c r="M1774" s="6" t="s">
        <v>32</v>
      </c>
      <c r="N1774" s="8">
        <v>1.1388670518234754E-2</v>
      </c>
      <c r="O1774" s="6" t="s">
        <v>7</v>
      </c>
    </row>
    <row r="1775" spans="12:15" x14ac:dyDescent="0.45">
      <c r="L1775" s="3" t="s">
        <v>139</v>
      </c>
      <c r="M1775" s="3" t="s">
        <v>33</v>
      </c>
      <c r="N1775" s="5">
        <v>1.1352192770637795E-2</v>
      </c>
      <c r="O1775" s="3" t="s">
        <v>7</v>
      </c>
    </row>
    <row r="1776" spans="12:15" x14ac:dyDescent="0.45">
      <c r="L1776" s="6" t="s">
        <v>139</v>
      </c>
      <c r="M1776" s="6" t="s">
        <v>34</v>
      </c>
      <c r="N1776" s="8">
        <v>1.1625136672990328E-2</v>
      </c>
      <c r="O1776" s="6" t="s">
        <v>7</v>
      </c>
    </row>
    <row r="1777" spans="12:15" x14ac:dyDescent="0.45">
      <c r="L1777" s="3" t="s">
        <v>139</v>
      </c>
      <c r="M1777" s="3" t="s">
        <v>35</v>
      </c>
      <c r="N1777" s="5">
        <v>1.1606595819281806E-2</v>
      </c>
      <c r="O1777" s="3" t="s">
        <v>7</v>
      </c>
    </row>
    <row r="1778" spans="12:15" x14ac:dyDescent="0.45">
      <c r="L1778" s="6" t="s">
        <v>139</v>
      </c>
      <c r="M1778" s="6" t="s">
        <v>36</v>
      </c>
      <c r="N1778" s="8">
        <v>1.1632892194835941E-2</v>
      </c>
      <c r="O1778" s="6" t="s">
        <v>7</v>
      </c>
    </row>
    <row r="1779" spans="12:15" x14ac:dyDescent="0.45">
      <c r="L1779" s="3" t="s">
        <v>139</v>
      </c>
      <c r="M1779" s="3" t="s">
        <v>37</v>
      </c>
      <c r="N1779" s="5">
        <v>1.1733426245349315E-2</v>
      </c>
      <c r="O1779" s="3" t="s">
        <v>7</v>
      </c>
    </row>
    <row r="1780" spans="12:15" x14ac:dyDescent="0.45">
      <c r="L1780" s="6" t="s">
        <v>139</v>
      </c>
      <c r="M1780" s="6" t="s">
        <v>38</v>
      </c>
      <c r="N1780" s="8">
        <v>1.7149449438890029E-2</v>
      </c>
      <c r="O1780" s="6" t="s">
        <v>7</v>
      </c>
    </row>
    <row r="1781" spans="12:15" x14ac:dyDescent="0.45">
      <c r="L1781" s="3" t="s">
        <v>139</v>
      </c>
      <c r="M1781" s="3" t="s">
        <v>39</v>
      </c>
      <c r="N1781" s="5">
        <v>2.9131418804919693E-2</v>
      </c>
      <c r="O1781" s="3" t="s">
        <v>7</v>
      </c>
    </row>
    <row r="1782" spans="12:15" x14ac:dyDescent="0.45">
      <c r="L1782" s="6" t="s">
        <v>139</v>
      </c>
      <c r="M1782" s="6" t="s">
        <v>40</v>
      </c>
      <c r="N1782" s="8">
        <v>1.1999429021910236E-2</v>
      </c>
      <c r="O1782" s="6" t="s">
        <v>7</v>
      </c>
    </row>
    <row r="1783" spans="12:15" x14ac:dyDescent="0.45">
      <c r="L1783" s="3" t="s">
        <v>139</v>
      </c>
      <c r="M1783" s="3" t="s">
        <v>41</v>
      </c>
      <c r="N1783" s="5">
        <v>1.2455045316253171E-2</v>
      </c>
      <c r="O1783" s="3" t="s">
        <v>7</v>
      </c>
    </row>
    <row r="1784" spans="12:15" x14ac:dyDescent="0.45">
      <c r="L1784" s="6" t="s">
        <v>139</v>
      </c>
      <c r="M1784" s="6" t="s">
        <v>42</v>
      </c>
      <c r="N1784" s="8">
        <v>1.2836594619146722E-2</v>
      </c>
      <c r="O1784" s="6" t="s">
        <v>7</v>
      </c>
    </row>
    <row r="1785" spans="12:15" x14ac:dyDescent="0.45">
      <c r="L1785" s="3" t="s">
        <v>139</v>
      </c>
      <c r="M1785" s="3" t="s">
        <v>43</v>
      </c>
      <c r="N1785" s="5">
        <v>1.2992760253934551E-2</v>
      </c>
      <c r="O1785" s="3" t="s">
        <v>7</v>
      </c>
    </row>
    <row r="1786" spans="12:15" x14ac:dyDescent="0.45">
      <c r="L1786" s="6" t="s">
        <v>139</v>
      </c>
      <c r="M1786" s="6" t="s">
        <v>44</v>
      </c>
      <c r="N1786" s="8">
        <v>1.3017207177374451E-2</v>
      </c>
      <c r="O1786" s="6" t="s">
        <v>7</v>
      </c>
    </row>
    <row r="1787" spans="12:15" x14ac:dyDescent="0.45">
      <c r="L1787" s="3" t="s">
        <v>139</v>
      </c>
      <c r="M1787" s="3" t="s">
        <v>45</v>
      </c>
      <c r="N1787" s="5">
        <v>1.2619695171703785E-2</v>
      </c>
      <c r="O1787" s="3" t="s">
        <v>7</v>
      </c>
    </row>
    <row r="1788" spans="12:15" x14ac:dyDescent="0.45">
      <c r="L1788" s="6" t="s">
        <v>139</v>
      </c>
      <c r="M1788" s="6" t="s">
        <v>46</v>
      </c>
      <c r="N1788" s="8">
        <v>1.2133321723798005E-2</v>
      </c>
      <c r="O1788" s="6" t="s">
        <v>7</v>
      </c>
    </row>
    <row r="1789" spans="12:15" x14ac:dyDescent="0.45">
      <c r="L1789" s="3" t="s">
        <v>139</v>
      </c>
      <c r="M1789" s="3" t="s">
        <v>47</v>
      </c>
      <c r="N1789" s="5">
        <v>1.1711746353732819E-2</v>
      </c>
      <c r="O1789" s="3" t="s">
        <v>7</v>
      </c>
    </row>
    <row r="1790" spans="12:15" x14ac:dyDescent="0.45">
      <c r="L1790" s="6" t="s">
        <v>139</v>
      </c>
      <c r="M1790" s="6" t="s">
        <v>48</v>
      </c>
      <c r="N1790" s="8">
        <v>1.7382318218763872E-2</v>
      </c>
      <c r="O1790" s="6" t="s">
        <v>7</v>
      </c>
    </row>
    <row r="1791" spans="12:15" x14ac:dyDescent="0.45">
      <c r="L1791" s="3" t="s">
        <v>139</v>
      </c>
      <c r="M1791" s="3" t="s">
        <v>49</v>
      </c>
      <c r="N1791" s="5">
        <v>3.5297518453576912E-2</v>
      </c>
      <c r="O1791" s="3" t="s">
        <v>7</v>
      </c>
    </row>
    <row r="1792" spans="12:15" x14ac:dyDescent="0.45">
      <c r="L1792" s="6" t="s">
        <v>139</v>
      </c>
      <c r="M1792" s="6" t="s">
        <v>50</v>
      </c>
      <c r="N1792" s="8">
        <v>1.371111111323323E-2</v>
      </c>
      <c r="O1792" s="6" t="s">
        <v>7</v>
      </c>
    </row>
    <row r="1793" spans="12:15" x14ac:dyDescent="0.45">
      <c r="L1793" s="3" t="s">
        <v>139</v>
      </c>
      <c r="M1793" s="3" t="s">
        <v>51</v>
      </c>
      <c r="N1793" s="5">
        <v>1.3511149819145024E-2</v>
      </c>
      <c r="O1793" s="3" t="s">
        <v>7</v>
      </c>
    </row>
    <row r="1794" spans="12:15" x14ac:dyDescent="0.45">
      <c r="L1794" s="6" t="s">
        <v>139</v>
      </c>
      <c r="M1794" s="6" t="s">
        <v>52</v>
      </c>
      <c r="N1794" s="8">
        <v>1.3694115122936772E-2</v>
      </c>
      <c r="O1794" s="6" t="s">
        <v>7</v>
      </c>
    </row>
    <row r="1795" spans="12:15" x14ac:dyDescent="0.45">
      <c r="L1795" s="3" t="s">
        <v>139</v>
      </c>
      <c r="M1795" s="3" t="s">
        <v>53</v>
      </c>
      <c r="N1795" s="5">
        <v>1.3582668144108729E-2</v>
      </c>
      <c r="O1795" s="3" t="s">
        <v>7</v>
      </c>
    </row>
    <row r="1796" spans="12:15" x14ac:dyDescent="0.45">
      <c r="L1796" s="6" t="s">
        <v>139</v>
      </c>
      <c r="M1796" s="6" t="s">
        <v>54</v>
      </c>
      <c r="N1796" s="8">
        <v>1.4071218509372582E-2</v>
      </c>
      <c r="O1796" s="6" t="s">
        <v>7</v>
      </c>
    </row>
    <row r="1797" spans="12:15" x14ac:dyDescent="0.45">
      <c r="L1797" s="3" t="s">
        <v>139</v>
      </c>
      <c r="M1797" s="3" t="s">
        <v>55</v>
      </c>
      <c r="N1797" s="5">
        <v>1.4299892561320113E-2</v>
      </c>
      <c r="O1797" s="3" t="s">
        <v>7</v>
      </c>
    </row>
    <row r="1798" spans="12:15" x14ac:dyDescent="0.45">
      <c r="L1798" s="6" t="s">
        <v>139</v>
      </c>
      <c r="M1798" s="6" t="s">
        <v>56</v>
      </c>
      <c r="N1798" s="8">
        <v>1.4311836140748256E-2</v>
      </c>
      <c r="O1798" s="6" t="s">
        <v>7</v>
      </c>
    </row>
    <row r="1799" spans="12:15" x14ac:dyDescent="0.45">
      <c r="L1799" s="3" t="s">
        <v>139</v>
      </c>
      <c r="M1799" s="3" t="s">
        <v>57</v>
      </c>
      <c r="N1799" s="5">
        <v>1.464765500474385E-2</v>
      </c>
      <c r="O1799" s="3" t="s">
        <v>7</v>
      </c>
    </row>
    <row r="1800" spans="12:15" x14ac:dyDescent="0.45">
      <c r="L1800" s="6" t="s">
        <v>139</v>
      </c>
      <c r="M1800" s="6" t="s">
        <v>58</v>
      </c>
      <c r="N1800" s="8">
        <v>2.1676712354980924E-2</v>
      </c>
      <c r="O1800" s="6" t="s">
        <v>7</v>
      </c>
    </row>
    <row r="1801" spans="12:15" x14ac:dyDescent="0.45">
      <c r="L1801" s="3" t="s">
        <v>139</v>
      </c>
      <c r="M1801" s="3" t="s">
        <v>59</v>
      </c>
      <c r="N1801" s="5">
        <v>4.9544352098002814E-2</v>
      </c>
      <c r="O1801" s="3" t="s">
        <v>7</v>
      </c>
    </row>
    <row r="1802" spans="12:15" x14ac:dyDescent="0.45">
      <c r="L1802" s="6" t="s">
        <v>139</v>
      </c>
      <c r="M1802" s="6" t="s">
        <v>60</v>
      </c>
      <c r="N1802" s="8">
        <v>2.0371005505087386E-2</v>
      </c>
      <c r="O1802" s="6" t="s">
        <v>7</v>
      </c>
    </row>
    <row r="1803" spans="12:15" x14ac:dyDescent="0.45">
      <c r="L1803" s="3" t="s">
        <v>139</v>
      </c>
      <c r="M1803" s="3" t="s">
        <v>61</v>
      </c>
      <c r="N1803" s="5">
        <v>1.9820959430003574E-2</v>
      </c>
      <c r="O1803" s="3" t="s">
        <v>7</v>
      </c>
    </row>
    <row r="1804" spans="12:15" x14ac:dyDescent="0.45">
      <c r="L1804" s="6" t="s">
        <v>139</v>
      </c>
      <c r="M1804" s="6" t="s">
        <v>62</v>
      </c>
      <c r="N1804" s="8">
        <v>1.9038590481585595E-2</v>
      </c>
      <c r="O1804" s="6" t="s">
        <v>7</v>
      </c>
    </row>
    <row r="1805" spans="12:15" x14ac:dyDescent="0.45">
      <c r="L1805" s="3" t="s">
        <v>139</v>
      </c>
      <c r="M1805" s="3" t="s">
        <v>63</v>
      </c>
      <c r="N1805" s="5">
        <v>1.9056780292250781E-2</v>
      </c>
      <c r="O1805" s="3" t="s">
        <v>7</v>
      </c>
    </row>
    <row r="1806" spans="12:15" x14ac:dyDescent="0.45">
      <c r="L1806" s="6" t="s">
        <v>139</v>
      </c>
      <c r="M1806" s="6" t="s">
        <v>64</v>
      </c>
      <c r="N1806" s="8">
        <v>1.9461264790161636E-2</v>
      </c>
      <c r="O1806" s="6" t="s">
        <v>7</v>
      </c>
    </row>
    <row r="1807" spans="12:15" x14ac:dyDescent="0.45">
      <c r="L1807" s="3" t="s">
        <v>139</v>
      </c>
      <c r="M1807" s="3" t="s">
        <v>65</v>
      </c>
      <c r="N1807" s="5">
        <v>1.8947558041758128E-2</v>
      </c>
      <c r="O1807" s="3" t="s">
        <v>7</v>
      </c>
    </row>
    <row r="1808" spans="12:15" x14ac:dyDescent="0.45">
      <c r="L1808" s="6" t="s">
        <v>139</v>
      </c>
      <c r="M1808" s="6" t="s">
        <v>66</v>
      </c>
      <c r="N1808" s="8">
        <v>1.8481531837459861E-2</v>
      </c>
      <c r="O1808" s="6" t="s">
        <v>7</v>
      </c>
    </row>
    <row r="1809" spans="12:15" x14ac:dyDescent="0.45">
      <c r="L1809" s="3" t="s">
        <v>139</v>
      </c>
      <c r="M1809" s="3" t="s">
        <v>67</v>
      </c>
      <c r="N1809" s="5">
        <v>1.8778779550525503E-2</v>
      </c>
      <c r="O1809" s="3" t="s">
        <v>7</v>
      </c>
    </row>
    <row r="1810" spans="12:15" x14ac:dyDescent="0.45">
      <c r="L1810" s="6" t="s">
        <v>139</v>
      </c>
      <c r="M1810" s="6" t="s">
        <v>68</v>
      </c>
      <c r="N1810" s="8">
        <v>2.8595619897299283E-2</v>
      </c>
      <c r="O1810" s="6" t="s">
        <v>7</v>
      </c>
    </row>
    <row r="1811" spans="12:15" x14ac:dyDescent="0.45">
      <c r="L1811" s="3" t="s">
        <v>140</v>
      </c>
      <c r="M1811" s="3" t="s">
        <v>6</v>
      </c>
      <c r="N1811" s="5">
        <v>3.5478917037728874E-2</v>
      </c>
      <c r="O1811" s="3" t="s">
        <v>7</v>
      </c>
    </row>
    <row r="1812" spans="12:15" x14ac:dyDescent="0.45">
      <c r="L1812" s="6" t="s">
        <v>140</v>
      </c>
      <c r="M1812" s="6" t="s">
        <v>10</v>
      </c>
      <c r="N1812" s="8">
        <v>1.3919702411594206E-2</v>
      </c>
      <c r="O1812" s="6" t="s">
        <v>7</v>
      </c>
    </row>
    <row r="1813" spans="12:15" x14ac:dyDescent="0.45">
      <c r="L1813" s="3" t="s">
        <v>140</v>
      </c>
      <c r="M1813" s="3" t="s">
        <v>11</v>
      </c>
      <c r="N1813" s="5">
        <v>1.4413905363117405E-2</v>
      </c>
      <c r="O1813" s="3" t="s">
        <v>7</v>
      </c>
    </row>
    <row r="1814" spans="12:15" x14ac:dyDescent="0.45">
      <c r="L1814" s="6" t="s">
        <v>140</v>
      </c>
      <c r="M1814" s="6" t="s">
        <v>12</v>
      </c>
      <c r="N1814" s="8">
        <v>1.4697020850778673E-2</v>
      </c>
      <c r="O1814" s="6" t="s">
        <v>7</v>
      </c>
    </row>
    <row r="1815" spans="12:15" x14ac:dyDescent="0.45">
      <c r="L1815" s="3" t="s">
        <v>140</v>
      </c>
      <c r="M1815" s="3" t="s">
        <v>13</v>
      </c>
      <c r="N1815" s="5">
        <v>1.4678227288689999E-2</v>
      </c>
      <c r="O1815" s="3" t="s">
        <v>7</v>
      </c>
    </row>
    <row r="1816" spans="12:15" x14ac:dyDescent="0.45">
      <c r="L1816" s="6" t="s">
        <v>140</v>
      </c>
      <c r="M1816" s="6" t="s">
        <v>14</v>
      </c>
      <c r="N1816" s="8">
        <v>1.4468694702822225E-2</v>
      </c>
      <c r="O1816" s="6" t="s">
        <v>7</v>
      </c>
    </row>
    <row r="1817" spans="12:15" x14ac:dyDescent="0.45">
      <c r="L1817" s="3" t="s">
        <v>140</v>
      </c>
      <c r="M1817" s="3" t="s">
        <v>15</v>
      </c>
      <c r="N1817" s="5">
        <v>1.4402274757499689E-2</v>
      </c>
      <c r="O1817" s="3" t="s">
        <v>7</v>
      </c>
    </row>
    <row r="1818" spans="12:15" x14ac:dyDescent="0.45">
      <c r="L1818" s="6" t="s">
        <v>140</v>
      </c>
      <c r="M1818" s="6" t="s">
        <v>16</v>
      </c>
      <c r="N1818" s="8">
        <v>1.4216089915768296E-2</v>
      </c>
      <c r="O1818" s="6" t="s">
        <v>7</v>
      </c>
    </row>
    <row r="1819" spans="12:15" x14ac:dyDescent="0.45">
      <c r="L1819" s="3" t="s">
        <v>140</v>
      </c>
      <c r="M1819" s="3" t="s">
        <v>17</v>
      </c>
      <c r="N1819" s="5">
        <v>1.44598566610998E-2</v>
      </c>
      <c r="O1819" s="3" t="s">
        <v>7</v>
      </c>
    </row>
    <row r="1820" spans="12:15" x14ac:dyDescent="0.45">
      <c r="L1820" s="6" t="s">
        <v>140</v>
      </c>
      <c r="M1820" s="6" t="s">
        <v>18</v>
      </c>
      <c r="N1820" s="8">
        <v>2.2363971393423804E-2</v>
      </c>
      <c r="O1820" s="6" t="s">
        <v>7</v>
      </c>
    </row>
    <row r="1821" spans="12:15" x14ac:dyDescent="0.45">
      <c r="L1821" s="3" t="s">
        <v>140</v>
      </c>
      <c r="M1821" s="3" t="s">
        <v>19</v>
      </c>
      <c r="N1821" s="5">
        <v>3.3855401637969205E-2</v>
      </c>
      <c r="O1821" s="3" t="s">
        <v>7</v>
      </c>
    </row>
    <row r="1822" spans="12:15" x14ac:dyDescent="0.45">
      <c r="L1822" s="6" t="s">
        <v>140</v>
      </c>
      <c r="M1822" s="6" t="s">
        <v>20</v>
      </c>
      <c r="N1822" s="8">
        <v>1.2964131725092812E-2</v>
      </c>
      <c r="O1822" s="6" t="s">
        <v>7</v>
      </c>
    </row>
    <row r="1823" spans="12:15" x14ac:dyDescent="0.45">
      <c r="L1823" s="3" t="s">
        <v>140</v>
      </c>
      <c r="M1823" s="3" t="s">
        <v>21</v>
      </c>
      <c r="N1823" s="5">
        <v>1.2784509945327658E-2</v>
      </c>
      <c r="O1823" s="3" t="s">
        <v>7</v>
      </c>
    </row>
    <row r="1824" spans="12:15" x14ac:dyDescent="0.45">
      <c r="L1824" s="6" t="s">
        <v>140</v>
      </c>
      <c r="M1824" s="6" t="s">
        <v>22</v>
      </c>
      <c r="N1824" s="8">
        <v>1.2574421204139513E-2</v>
      </c>
      <c r="O1824" s="6" t="s">
        <v>7</v>
      </c>
    </row>
    <row r="1825" spans="12:15" x14ac:dyDescent="0.45">
      <c r="L1825" s="3" t="s">
        <v>140</v>
      </c>
      <c r="M1825" s="3" t="s">
        <v>23</v>
      </c>
      <c r="N1825" s="5">
        <v>1.2268188252595166E-2</v>
      </c>
      <c r="O1825" s="3" t="s">
        <v>7</v>
      </c>
    </row>
    <row r="1826" spans="12:15" x14ac:dyDescent="0.45">
      <c r="L1826" s="6" t="s">
        <v>140</v>
      </c>
      <c r="M1826" s="6" t="s">
        <v>24</v>
      </c>
      <c r="N1826" s="8">
        <v>1.2351086036163899E-2</v>
      </c>
      <c r="O1826" s="6" t="s">
        <v>7</v>
      </c>
    </row>
    <row r="1827" spans="12:15" x14ac:dyDescent="0.45">
      <c r="L1827" s="3" t="s">
        <v>140</v>
      </c>
      <c r="M1827" s="3" t="s">
        <v>25</v>
      </c>
      <c r="N1827" s="5">
        <v>1.2876532157867953E-2</v>
      </c>
      <c r="O1827" s="3" t="s">
        <v>7</v>
      </c>
    </row>
    <row r="1828" spans="12:15" x14ac:dyDescent="0.45">
      <c r="L1828" s="6" t="s">
        <v>140</v>
      </c>
      <c r="M1828" s="6" t="s">
        <v>26</v>
      </c>
      <c r="N1828" s="8">
        <v>1.3543334701360182E-2</v>
      </c>
      <c r="O1828" s="6" t="s">
        <v>7</v>
      </c>
    </row>
    <row r="1829" spans="12:15" x14ac:dyDescent="0.45">
      <c r="L1829" s="3" t="s">
        <v>140</v>
      </c>
      <c r="M1829" s="3" t="s">
        <v>27</v>
      </c>
      <c r="N1829" s="5">
        <v>1.3858172941549399E-2</v>
      </c>
      <c r="O1829" s="3" t="s">
        <v>7</v>
      </c>
    </row>
    <row r="1830" spans="12:15" x14ac:dyDescent="0.45">
      <c r="L1830" s="6" t="s">
        <v>140</v>
      </c>
      <c r="M1830" s="6" t="s">
        <v>28</v>
      </c>
      <c r="N1830" s="8">
        <v>2.0996859405266636E-2</v>
      </c>
      <c r="O1830" s="6" t="s">
        <v>7</v>
      </c>
    </row>
    <row r="1831" spans="12:15" x14ac:dyDescent="0.45">
      <c r="L1831" s="3" t="s">
        <v>140</v>
      </c>
      <c r="M1831" s="3" t="s">
        <v>29</v>
      </c>
      <c r="N1831" s="5">
        <v>2.9137954596746233E-2</v>
      </c>
      <c r="O1831" s="3" t="s">
        <v>7</v>
      </c>
    </row>
    <row r="1832" spans="12:15" x14ac:dyDescent="0.45">
      <c r="L1832" s="6" t="s">
        <v>140</v>
      </c>
      <c r="M1832" s="6" t="s">
        <v>30</v>
      </c>
      <c r="N1832" s="8">
        <v>1.1931339492502557E-2</v>
      </c>
      <c r="O1832" s="6" t="s">
        <v>7</v>
      </c>
    </row>
    <row r="1833" spans="12:15" x14ac:dyDescent="0.45">
      <c r="L1833" s="3" t="s">
        <v>140</v>
      </c>
      <c r="M1833" s="3" t="s">
        <v>31</v>
      </c>
      <c r="N1833" s="5">
        <v>1.1557048502472628E-2</v>
      </c>
      <c r="O1833" s="3" t="s">
        <v>7</v>
      </c>
    </row>
    <row r="1834" spans="12:15" x14ac:dyDescent="0.45">
      <c r="L1834" s="6" t="s">
        <v>140</v>
      </c>
      <c r="M1834" s="6" t="s">
        <v>32</v>
      </c>
      <c r="N1834" s="8">
        <v>1.1342722465332257E-2</v>
      </c>
      <c r="O1834" s="6" t="s">
        <v>7</v>
      </c>
    </row>
    <row r="1835" spans="12:15" x14ac:dyDescent="0.45">
      <c r="L1835" s="3" t="s">
        <v>140</v>
      </c>
      <c r="M1835" s="3" t="s">
        <v>33</v>
      </c>
      <c r="N1835" s="5">
        <v>1.1168499728930829E-2</v>
      </c>
      <c r="O1835" s="3" t="s">
        <v>7</v>
      </c>
    </row>
    <row r="1836" spans="12:15" x14ac:dyDescent="0.45">
      <c r="L1836" s="6" t="s">
        <v>140</v>
      </c>
      <c r="M1836" s="6" t="s">
        <v>34</v>
      </c>
      <c r="N1836" s="8">
        <v>1.1187764154044747E-2</v>
      </c>
      <c r="O1836" s="6" t="s">
        <v>7</v>
      </c>
    </row>
    <row r="1837" spans="12:15" x14ac:dyDescent="0.45">
      <c r="L1837" s="3" t="s">
        <v>140</v>
      </c>
      <c r="M1837" s="3" t="s">
        <v>35</v>
      </c>
      <c r="N1837" s="5">
        <v>1.1053114434565562E-2</v>
      </c>
      <c r="O1837" s="3" t="s">
        <v>7</v>
      </c>
    </row>
    <row r="1838" spans="12:15" x14ac:dyDescent="0.45">
      <c r="L1838" s="6" t="s">
        <v>140</v>
      </c>
      <c r="M1838" s="6" t="s">
        <v>36</v>
      </c>
      <c r="N1838" s="8">
        <v>1.1239477551929512E-2</v>
      </c>
      <c r="O1838" s="6" t="s">
        <v>7</v>
      </c>
    </row>
    <row r="1839" spans="12:15" x14ac:dyDescent="0.45">
      <c r="L1839" s="3" t="s">
        <v>140</v>
      </c>
      <c r="M1839" s="3" t="s">
        <v>37</v>
      </c>
      <c r="N1839" s="5">
        <v>1.157106973148667E-2</v>
      </c>
      <c r="O1839" s="3" t="s">
        <v>7</v>
      </c>
    </row>
    <row r="1840" spans="12:15" x14ac:dyDescent="0.45">
      <c r="L1840" s="6" t="s">
        <v>140</v>
      </c>
      <c r="M1840" s="6" t="s">
        <v>38</v>
      </c>
      <c r="N1840" s="8">
        <v>1.7394900953820697E-2</v>
      </c>
      <c r="O1840" s="6" t="s">
        <v>7</v>
      </c>
    </row>
    <row r="1841" spans="12:15" x14ac:dyDescent="0.45">
      <c r="L1841" s="3" t="s">
        <v>140</v>
      </c>
      <c r="M1841" s="3" t="s">
        <v>39</v>
      </c>
      <c r="N1841" s="5">
        <v>2.7726376339295689E-2</v>
      </c>
      <c r="O1841" s="3" t="s">
        <v>7</v>
      </c>
    </row>
    <row r="1842" spans="12:15" x14ac:dyDescent="0.45">
      <c r="L1842" s="6" t="s">
        <v>140</v>
      </c>
      <c r="M1842" s="6" t="s">
        <v>40</v>
      </c>
      <c r="N1842" s="8">
        <v>1.1029533415663727E-2</v>
      </c>
      <c r="O1842" s="6" t="s">
        <v>7</v>
      </c>
    </row>
    <row r="1843" spans="12:15" x14ac:dyDescent="0.45">
      <c r="L1843" s="3" t="s">
        <v>140</v>
      </c>
      <c r="M1843" s="3" t="s">
        <v>41</v>
      </c>
      <c r="N1843" s="5">
        <v>1.1368357904060272E-2</v>
      </c>
      <c r="O1843" s="3" t="s">
        <v>7</v>
      </c>
    </row>
    <row r="1844" spans="12:15" x14ac:dyDescent="0.45">
      <c r="L1844" s="6" t="s">
        <v>140</v>
      </c>
      <c r="M1844" s="6" t="s">
        <v>42</v>
      </c>
      <c r="N1844" s="8">
        <v>1.1344622767630166E-2</v>
      </c>
      <c r="O1844" s="6" t="s">
        <v>7</v>
      </c>
    </row>
    <row r="1845" spans="12:15" x14ac:dyDescent="0.45">
      <c r="L1845" s="3" t="s">
        <v>140</v>
      </c>
      <c r="M1845" s="3" t="s">
        <v>43</v>
      </c>
      <c r="N1845" s="5">
        <v>1.1281465791538162E-2</v>
      </c>
      <c r="O1845" s="3" t="s">
        <v>7</v>
      </c>
    </row>
    <row r="1846" spans="12:15" x14ac:dyDescent="0.45">
      <c r="L1846" s="6" t="s">
        <v>140</v>
      </c>
      <c r="M1846" s="6" t="s">
        <v>44</v>
      </c>
      <c r="N1846" s="8">
        <v>1.1083343972817973E-2</v>
      </c>
      <c r="O1846" s="6" t="s">
        <v>7</v>
      </c>
    </row>
    <row r="1847" spans="12:15" x14ac:dyDescent="0.45">
      <c r="L1847" s="3" t="s">
        <v>140</v>
      </c>
      <c r="M1847" s="3" t="s">
        <v>45</v>
      </c>
      <c r="N1847" s="5">
        <v>1.0687761332291521E-2</v>
      </c>
      <c r="O1847" s="3" t="s">
        <v>7</v>
      </c>
    </row>
    <row r="1848" spans="12:15" x14ac:dyDescent="0.45">
      <c r="L1848" s="6" t="s">
        <v>140</v>
      </c>
      <c r="M1848" s="6" t="s">
        <v>46</v>
      </c>
      <c r="N1848" s="8">
        <v>1.0364684399023312E-2</v>
      </c>
      <c r="O1848" s="6" t="s">
        <v>7</v>
      </c>
    </row>
    <row r="1849" spans="12:15" x14ac:dyDescent="0.45">
      <c r="L1849" s="3" t="s">
        <v>140</v>
      </c>
      <c r="M1849" s="3" t="s">
        <v>47</v>
      </c>
      <c r="N1849" s="5">
        <v>1.0512306227803005E-2</v>
      </c>
      <c r="O1849" s="3" t="s">
        <v>7</v>
      </c>
    </row>
    <row r="1850" spans="12:15" x14ac:dyDescent="0.45">
      <c r="L1850" s="6" t="s">
        <v>140</v>
      </c>
      <c r="M1850" s="6" t="s">
        <v>48</v>
      </c>
      <c r="N1850" s="8">
        <v>1.6364970195240438E-2</v>
      </c>
      <c r="O1850" s="6" t="s">
        <v>7</v>
      </c>
    </row>
    <row r="1851" spans="12:15" x14ac:dyDescent="0.45">
      <c r="L1851" s="3" t="s">
        <v>140</v>
      </c>
      <c r="M1851" s="3" t="s">
        <v>49</v>
      </c>
      <c r="N1851" s="5">
        <v>3.6448861332353907E-2</v>
      </c>
      <c r="O1851" s="3" t="s">
        <v>7</v>
      </c>
    </row>
    <row r="1852" spans="12:15" x14ac:dyDescent="0.45">
      <c r="L1852" s="6" t="s">
        <v>140</v>
      </c>
      <c r="M1852" s="6" t="s">
        <v>50</v>
      </c>
      <c r="N1852" s="8">
        <v>1.393526522291587E-2</v>
      </c>
      <c r="O1852" s="6" t="s">
        <v>7</v>
      </c>
    </row>
    <row r="1853" spans="12:15" x14ac:dyDescent="0.45">
      <c r="L1853" s="3" t="s">
        <v>140</v>
      </c>
      <c r="M1853" s="3" t="s">
        <v>51</v>
      </c>
      <c r="N1853" s="5">
        <v>1.4064241212394541E-2</v>
      </c>
      <c r="O1853" s="3" t="s">
        <v>7</v>
      </c>
    </row>
    <row r="1854" spans="12:15" x14ac:dyDescent="0.45">
      <c r="L1854" s="6" t="s">
        <v>140</v>
      </c>
      <c r="M1854" s="6" t="s">
        <v>52</v>
      </c>
      <c r="N1854" s="8">
        <v>1.3866959416394386E-2</v>
      </c>
      <c r="O1854" s="6" t="s">
        <v>7</v>
      </c>
    </row>
    <row r="1855" spans="12:15" x14ac:dyDescent="0.45">
      <c r="L1855" s="3" t="s">
        <v>140</v>
      </c>
      <c r="M1855" s="3" t="s">
        <v>53</v>
      </c>
      <c r="N1855" s="5">
        <v>1.3445454161591132E-2</v>
      </c>
      <c r="O1855" s="3" t="s">
        <v>7</v>
      </c>
    </row>
    <row r="1856" spans="12:15" x14ac:dyDescent="0.45">
      <c r="L1856" s="6" t="s">
        <v>140</v>
      </c>
      <c r="M1856" s="6" t="s">
        <v>54</v>
      </c>
      <c r="N1856" s="8">
        <v>1.3379887270734098E-2</v>
      </c>
      <c r="O1856" s="6" t="s">
        <v>7</v>
      </c>
    </row>
    <row r="1857" spans="12:15" x14ac:dyDescent="0.45">
      <c r="L1857" s="3" t="s">
        <v>140</v>
      </c>
      <c r="M1857" s="3" t="s">
        <v>55</v>
      </c>
      <c r="N1857" s="5">
        <v>1.3800088505628572E-2</v>
      </c>
      <c r="O1857" s="3" t="s">
        <v>7</v>
      </c>
    </row>
    <row r="1858" spans="12:15" x14ac:dyDescent="0.45">
      <c r="L1858" s="6" t="s">
        <v>140</v>
      </c>
      <c r="M1858" s="6" t="s">
        <v>56</v>
      </c>
      <c r="N1858" s="8">
        <v>1.414602875640668E-2</v>
      </c>
      <c r="O1858" s="6" t="s">
        <v>7</v>
      </c>
    </row>
    <row r="1859" spans="12:15" x14ac:dyDescent="0.45">
      <c r="L1859" s="3" t="s">
        <v>140</v>
      </c>
      <c r="M1859" s="3" t="s">
        <v>57</v>
      </c>
      <c r="N1859" s="5">
        <v>1.4584274393894241E-2</v>
      </c>
      <c r="O1859" s="3" t="s">
        <v>7</v>
      </c>
    </row>
    <row r="1860" spans="12:15" x14ac:dyDescent="0.45">
      <c r="L1860" s="6" t="s">
        <v>140</v>
      </c>
      <c r="M1860" s="6" t="s">
        <v>58</v>
      </c>
      <c r="N1860" s="8">
        <v>2.205395229561101E-2</v>
      </c>
      <c r="O1860" s="6" t="s">
        <v>7</v>
      </c>
    </row>
    <row r="1861" spans="12:15" x14ac:dyDescent="0.45">
      <c r="L1861" s="3" t="s">
        <v>140</v>
      </c>
      <c r="M1861" s="3" t="s">
        <v>59</v>
      </c>
      <c r="N1861" s="5">
        <v>4.9357750535440864E-2</v>
      </c>
      <c r="O1861" s="3" t="s">
        <v>7</v>
      </c>
    </row>
    <row r="1862" spans="12:15" x14ac:dyDescent="0.45">
      <c r="L1862" s="6" t="s">
        <v>140</v>
      </c>
      <c r="M1862" s="6" t="s">
        <v>60</v>
      </c>
      <c r="N1862" s="8">
        <v>1.9307970836691987E-2</v>
      </c>
      <c r="O1862" s="6" t="s">
        <v>7</v>
      </c>
    </row>
    <row r="1863" spans="12:15" x14ac:dyDescent="0.45">
      <c r="L1863" s="3" t="s">
        <v>140</v>
      </c>
      <c r="M1863" s="3" t="s">
        <v>61</v>
      </c>
      <c r="N1863" s="5">
        <v>1.9426297258053518E-2</v>
      </c>
      <c r="O1863" s="3" t="s">
        <v>7</v>
      </c>
    </row>
    <row r="1864" spans="12:15" x14ac:dyDescent="0.45">
      <c r="L1864" s="6" t="s">
        <v>140</v>
      </c>
      <c r="M1864" s="6" t="s">
        <v>62</v>
      </c>
      <c r="N1864" s="8">
        <v>1.922025393768129E-2</v>
      </c>
      <c r="O1864" s="6" t="s">
        <v>7</v>
      </c>
    </row>
    <row r="1865" spans="12:15" x14ac:dyDescent="0.45">
      <c r="L1865" s="3" t="s">
        <v>140</v>
      </c>
      <c r="M1865" s="3" t="s">
        <v>63</v>
      </c>
      <c r="N1865" s="5">
        <v>1.8852094489461877E-2</v>
      </c>
      <c r="O1865" s="3" t="s">
        <v>7</v>
      </c>
    </row>
    <row r="1866" spans="12:15" x14ac:dyDescent="0.45">
      <c r="L1866" s="6" t="s">
        <v>140</v>
      </c>
      <c r="M1866" s="6" t="s">
        <v>64</v>
      </c>
      <c r="N1866" s="8">
        <v>1.8587992185621616E-2</v>
      </c>
      <c r="O1866" s="6" t="s">
        <v>7</v>
      </c>
    </row>
    <row r="1867" spans="12:15" x14ac:dyDescent="0.45">
      <c r="L1867" s="3" t="s">
        <v>140</v>
      </c>
      <c r="M1867" s="3" t="s">
        <v>65</v>
      </c>
      <c r="N1867" s="5">
        <v>1.8410170652472638E-2</v>
      </c>
      <c r="O1867" s="3" t="s">
        <v>7</v>
      </c>
    </row>
    <row r="1868" spans="12:15" x14ac:dyDescent="0.45">
      <c r="L1868" s="6" t="s">
        <v>140</v>
      </c>
      <c r="M1868" s="6" t="s">
        <v>66</v>
      </c>
      <c r="N1868" s="8">
        <v>1.8412657225752367E-2</v>
      </c>
      <c r="O1868" s="6" t="s">
        <v>7</v>
      </c>
    </row>
    <row r="1869" spans="12:15" x14ac:dyDescent="0.45">
      <c r="L1869" s="3" t="s">
        <v>140</v>
      </c>
      <c r="M1869" s="3" t="s">
        <v>67</v>
      </c>
      <c r="N1869" s="5">
        <v>1.9132661590735928E-2</v>
      </c>
      <c r="O1869" s="3" t="s">
        <v>7</v>
      </c>
    </row>
    <row r="1870" spans="12:15" x14ac:dyDescent="0.45">
      <c r="L1870" s="6" t="s">
        <v>140</v>
      </c>
      <c r="M1870" s="6" t="s">
        <v>68</v>
      </c>
      <c r="N1870" s="8">
        <v>2.904852637311214E-2</v>
      </c>
      <c r="O1870" s="6" t="s">
        <v>7</v>
      </c>
    </row>
    <row r="1871" spans="12:15" x14ac:dyDescent="0.45">
      <c r="L1871" s="3" t="s">
        <v>141</v>
      </c>
      <c r="M1871" s="3" t="s">
        <v>6</v>
      </c>
      <c r="N1871" s="5">
        <v>3.4991795289645987E-2</v>
      </c>
      <c r="O1871" s="3" t="s">
        <v>7</v>
      </c>
    </row>
    <row r="1872" spans="12:15" x14ac:dyDescent="0.45">
      <c r="L1872" s="6" t="s">
        <v>141</v>
      </c>
      <c r="M1872" s="6" t="s">
        <v>10</v>
      </c>
      <c r="N1872" s="8">
        <v>1.3801627632710782E-2</v>
      </c>
      <c r="O1872" s="6" t="s">
        <v>7</v>
      </c>
    </row>
    <row r="1873" spans="12:15" x14ac:dyDescent="0.45">
      <c r="L1873" s="3" t="s">
        <v>141</v>
      </c>
      <c r="M1873" s="3" t="s">
        <v>11</v>
      </c>
      <c r="N1873" s="5">
        <v>1.3715411915962952E-2</v>
      </c>
      <c r="O1873" s="3" t="s">
        <v>7</v>
      </c>
    </row>
    <row r="1874" spans="12:15" x14ac:dyDescent="0.45">
      <c r="L1874" s="6" t="s">
        <v>141</v>
      </c>
      <c r="M1874" s="6" t="s">
        <v>12</v>
      </c>
      <c r="N1874" s="8">
        <v>1.3658031433210045E-2</v>
      </c>
      <c r="O1874" s="6" t="s">
        <v>7</v>
      </c>
    </row>
    <row r="1875" spans="12:15" x14ac:dyDescent="0.45">
      <c r="L1875" s="3" t="s">
        <v>141</v>
      </c>
      <c r="M1875" s="3" t="s">
        <v>13</v>
      </c>
      <c r="N1875" s="5">
        <v>1.355981089949757E-2</v>
      </c>
      <c r="O1875" s="3" t="s">
        <v>7</v>
      </c>
    </row>
    <row r="1876" spans="12:15" x14ac:dyDescent="0.45">
      <c r="L1876" s="6" t="s">
        <v>141</v>
      </c>
      <c r="M1876" s="6" t="s">
        <v>14</v>
      </c>
      <c r="N1876" s="8">
        <v>1.3403423974190698E-2</v>
      </c>
      <c r="O1876" s="6" t="s">
        <v>7</v>
      </c>
    </row>
    <row r="1877" spans="12:15" x14ac:dyDescent="0.45">
      <c r="L1877" s="3" t="s">
        <v>141</v>
      </c>
      <c r="M1877" s="3" t="s">
        <v>15</v>
      </c>
      <c r="N1877" s="5">
        <v>1.3571673094901739E-2</v>
      </c>
      <c r="O1877" s="3" t="s">
        <v>7</v>
      </c>
    </row>
    <row r="1878" spans="12:15" x14ac:dyDescent="0.45">
      <c r="L1878" s="6" t="s">
        <v>141</v>
      </c>
      <c r="M1878" s="6" t="s">
        <v>16</v>
      </c>
      <c r="N1878" s="8">
        <v>1.3628150394406938E-2</v>
      </c>
      <c r="O1878" s="6" t="s">
        <v>7</v>
      </c>
    </row>
    <row r="1879" spans="12:15" x14ac:dyDescent="0.45">
      <c r="L1879" s="3" t="s">
        <v>141</v>
      </c>
      <c r="M1879" s="3" t="s">
        <v>17</v>
      </c>
      <c r="N1879" s="5">
        <v>1.3365604269101409E-2</v>
      </c>
      <c r="O1879" s="3" t="s">
        <v>7</v>
      </c>
    </row>
    <row r="1880" spans="12:15" x14ac:dyDescent="0.45">
      <c r="L1880" s="6" t="s">
        <v>141</v>
      </c>
      <c r="M1880" s="6" t="s">
        <v>18</v>
      </c>
      <c r="N1880" s="8">
        <v>2.0268898425816376E-2</v>
      </c>
      <c r="O1880" s="6" t="s">
        <v>7</v>
      </c>
    </row>
    <row r="1881" spans="12:15" x14ac:dyDescent="0.45">
      <c r="L1881" s="3" t="s">
        <v>141</v>
      </c>
      <c r="M1881" s="3" t="s">
        <v>19</v>
      </c>
      <c r="N1881" s="5">
        <v>3.4642353527918231E-2</v>
      </c>
      <c r="O1881" s="3" t="s">
        <v>7</v>
      </c>
    </row>
    <row r="1882" spans="12:15" x14ac:dyDescent="0.45">
      <c r="L1882" s="6" t="s">
        <v>141</v>
      </c>
      <c r="M1882" s="6" t="s">
        <v>20</v>
      </c>
      <c r="N1882" s="8">
        <v>1.4133191530540658E-2</v>
      </c>
      <c r="O1882" s="6" t="s">
        <v>7</v>
      </c>
    </row>
    <row r="1883" spans="12:15" x14ac:dyDescent="0.45">
      <c r="L1883" s="3" t="s">
        <v>141</v>
      </c>
      <c r="M1883" s="3" t="s">
        <v>21</v>
      </c>
      <c r="N1883" s="5">
        <v>1.4270202453642026E-2</v>
      </c>
      <c r="O1883" s="3" t="s">
        <v>7</v>
      </c>
    </row>
    <row r="1884" spans="12:15" x14ac:dyDescent="0.45">
      <c r="L1884" s="6" t="s">
        <v>141</v>
      </c>
      <c r="M1884" s="6" t="s">
        <v>22</v>
      </c>
      <c r="N1884" s="8">
        <v>1.376442420398204E-2</v>
      </c>
      <c r="O1884" s="6" t="s">
        <v>7</v>
      </c>
    </row>
    <row r="1885" spans="12:15" x14ac:dyDescent="0.45">
      <c r="L1885" s="3" t="s">
        <v>141</v>
      </c>
      <c r="M1885" s="3" t="s">
        <v>23</v>
      </c>
      <c r="N1885" s="5">
        <v>1.3266731995189445E-2</v>
      </c>
      <c r="O1885" s="3" t="s">
        <v>7</v>
      </c>
    </row>
    <row r="1886" spans="12:15" x14ac:dyDescent="0.45">
      <c r="L1886" s="6" t="s">
        <v>141</v>
      </c>
      <c r="M1886" s="6" t="s">
        <v>24</v>
      </c>
      <c r="N1886" s="8">
        <v>1.3042180518032099E-2</v>
      </c>
      <c r="O1886" s="6" t="s">
        <v>7</v>
      </c>
    </row>
    <row r="1887" spans="12:15" x14ac:dyDescent="0.45">
      <c r="L1887" s="3" t="s">
        <v>141</v>
      </c>
      <c r="M1887" s="3" t="s">
        <v>25</v>
      </c>
      <c r="N1887" s="5">
        <v>1.2824279129908023E-2</v>
      </c>
      <c r="O1887" s="3" t="s">
        <v>7</v>
      </c>
    </row>
    <row r="1888" spans="12:15" x14ac:dyDescent="0.45">
      <c r="L1888" s="6" t="s">
        <v>141</v>
      </c>
      <c r="M1888" s="6" t="s">
        <v>26</v>
      </c>
      <c r="N1888" s="8">
        <v>1.2864791395227683E-2</v>
      </c>
      <c r="O1888" s="6" t="s">
        <v>7</v>
      </c>
    </row>
    <row r="1889" spans="12:15" x14ac:dyDescent="0.45">
      <c r="L1889" s="3" t="s">
        <v>141</v>
      </c>
      <c r="M1889" s="3" t="s">
        <v>27</v>
      </c>
      <c r="N1889" s="5">
        <v>1.34471359060798E-2</v>
      </c>
      <c r="O1889" s="3" t="s">
        <v>7</v>
      </c>
    </row>
    <row r="1890" spans="12:15" x14ac:dyDescent="0.45">
      <c r="L1890" s="6" t="s">
        <v>141</v>
      </c>
      <c r="M1890" s="6" t="s">
        <v>28</v>
      </c>
      <c r="N1890" s="8">
        <v>2.0523989226373943E-2</v>
      </c>
      <c r="O1890" s="6" t="s">
        <v>7</v>
      </c>
    </row>
    <row r="1891" spans="12:15" x14ac:dyDescent="0.45">
      <c r="L1891" s="3" t="s">
        <v>141</v>
      </c>
      <c r="M1891" s="3" t="s">
        <v>29</v>
      </c>
      <c r="N1891" s="5">
        <v>2.8950533750132172E-2</v>
      </c>
      <c r="O1891" s="3" t="s">
        <v>7</v>
      </c>
    </row>
    <row r="1892" spans="12:15" x14ac:dyDescent="0.45">
      <c r="L1892" s="6" t="s">
        <v>141</v>
      </c>
      <c r="M1892" s="6" t="s">
        <v>30</v>
      </c>
      <c r="N1892" s="8">
        <v>1.2082887393243339E-2</v>
      </c>
      <c r="O1892" s="6" t="s">
        <v>7</v>
      </c>
    </row>
    <row r="1893" spans="12:15" x14ac:dyDescent="0.45">
      <c r="L1893" s="3" t="s">
        <v>141</v>
      </c>
      <c r="M1893" s="3" t="s">
        <v>31</v>
      </c>
      <c r="N1893" s="5">
        <v>1.2008340058000938E-2</v>
      </c>
      <c r="O1893" s="3" t="s">
        <v>7</v>
      </c>
    </row>
    <row r="1894" spans="12:15" x14ac:dyDescent="0.45">
      <c r="L1894" s="6" t="s">
        <v>141</v>
      </c>
      <c r="M1894" s="6" t="s">
        <v>32</v>
      </c>
      <c r="N1894" s="8">
        <v>1.1590132722708061E-2</v>
      </c>
      <c r="O1894" s="6" t="s">
        <v>7</v>
      </c>
    </row>
    <row r="1895" spans="12:15" x14ac:dyDescent="0.45">
      <c r="L1895" s="3" t="s">
        <v>141</v>
      </c>
      <c r="M1895" s="3" t="s">
        <v>33</v>
      </c>
      <c r="N1895" s="5">
        <v>1.1238365877938254E-2</v>
      </c>
      <c r="O1895" s="3" t="s">
        <v>7</v>
      </c>
    </row>
    <row r="1896" spans="12:15" x14ac:dyDescent="0.45">
      <c r="L1896" s="6" t="s">
        <v>141</v>
      </c>
      <c r="M1896" s="6" t="s">
        <v>34</v>
      </c>
      <c r="N1896" s="8">
        <v>1.1391848423665167E-2</v>
      </c>
      <c r="O1896" s="6" t="s">
        <v>7</v>
      </c>
    </row>
    <row r="1897" spans="12:15" x14ac:dyDescent="0.45">
      <c r="L1897" s="3" t="s">
        <v>141</v>
      </c>
      <c r="M1897" s="3" t="s">
        <v>35</v>
      </c>
      <c r="N1897" s="5">
        <v>1.1460845472456174E-2</v>
      </c>
      <c r="O1897" s="3" t="s">
        <v>7</v>
      </c>
    </row>
    <row r="1898" spans="12:15" x14ac:dyDescent="0.45">
      <c r="L1898" s="6" t="s">
        <v>141</v>
      </c>
      <c r="M1898" s="6" t="s">
        <v>36</v>
      </c>
      <c r="N1898" s="8">
        <v>1.1840466956548215E-2</v>
      </c>
      <c r="O1898" s="6" t="s">
        <v>7</v>
      </c>
    </row>
    <row r="1899" spans="12:15" x14ac:dyDescent="0.45">
      <c r="L1899" s="3" t="s">
        <v>141</v>
      </c>
      <c r="M1899" s="3" t="s">
        <v>37</v>
      </c>
      <c r="N1899" s="5">
        <v>1.1941658246664377E-2</v>
      </c>
      <c r="O1899" s="3" t="s">
        <v>7</v>
      </c>
    </row>
    <row r="1900" spans="12:15" x14ac:dyDescent="0.45">
      <c r="L1900" s="6" t="s">
        <v>141</v>
      </c>
      <c r="M1900" s="6" t="s">
        <v>38</v>
      </c>
      <c r="N1900" s="8">
        <v>1.7516161146905025E-2</v>
      </c>
      <c r="O1900" s="6" t="s">
        <v>7</v>
      </c>
    </row>
    <row r="1901" spans="12:15" x14ac:dyDescent="0.45">
      <c r="L1901" s="3" t="s">
        <v>141</v>
      </c>
      <c r="M1901" s="3" t="s">
        <v>39</v>
      </c>
      <c r="N1901" s="5">
        <v>2.5862567284850643E-2</v>
      </c>
      <c r="O1901" s="3" t="s">
        <v>7</v>
      </c>
    </row>
    <row r="1902" spans="12:15" x14ac:dyDescent="0.45">
      <c r="L1902" s="6" t="s">
        <v>141</v>
      </c>
      <c r="M1902" s="6" t="s">
        <v>40</v>
      </c>
      <c r="N1902" s="8">
        <v>1.0659947097057941E-2</v>
      </c>
      <c r="O1902" s="6" t="s">
        <v>7</v>
      </c>
    </row>
    <row r="1903" spans="12:15" x14ac:dyDescent="0.45">
      <c r="L1903" s="3" t="s">
        <v>141</v>
      </c>
      <c r="M1903" s="3" t="s">
        <v>41</v>
      </c>
      <c r="N1903" s="5">
        <v>1.1166825453740335E-2</v>
      </c>
      <c r="O1903" s="3" t="s">
        <v>7</v>
      </c>
    </row>
    <row r="1904" spans="12:15" x14ac:dyDescent="0.45">
      <c r="L1904" s="6" t="s">
        <v>141</v>
      </c>
      <c r="M1904" s="6" t="s">
        <v>42</v>
      </c>
      <c r="N1904" s="8">
        <v>1.1566056012438014E-2</v>
      </c>
      <c r="O1904" s="6" t="s">
        <v>7</v>
      </c>
    </row>
    <row r="1905" spans="12:15" x14ac:dyDescent="0.45">
      <c r="L1905" s="3" t="s">
        <v>141</v>
      </c>
      <c r="M1905" s="3" t="s">
        <v>43</v>
      </c>
      <c r="N1905" s="5">
        <v>1.1591203329330814E-2</v>
      </c>
      <c r="O1905" s="3" t="s">
        <v>7</v>
      </c>
    </row>
    <row r="1906" spans="12:15" x14ac:dyDescent="0.45">
      <c r="L1906" s="6" t="s">
        <v>141</v>
      </c>
      <c r="M1906" s="6" t="s">
        <v>44</v>
      </c>
      <c r="N1906" s="8">
        <v>1.102494734320655E-2</v>
      </c>
      <c r="O1906" s="6" t="s">
        <v>7</v>
      </c>
    </row>
    <row r="1907" spans="12:15" x14ac:dyDescent="0.45">
      <c r="L1907" s="3" t="s">
        <v>141</v>
      </c>
      <c r="M1907" s="3" t="s">
        <v>45</v>
      </c>
      <c r="N1907" s="5">
        <v>1.0296447977239925E-2</v>
      </c>
      <c r="O1907" s="3" t="s">
        <v>7</v>
      </c>
    </row>
    <row r="1908" spans="12:15" x14ac:dyDescent="0.45">
      <c r="L1908" s="6" t="s">
        <v>141</v>
      </c>
      <c r="M1908" s="6" t="s">
        <v>46</v>
      </c>
      <c r="N1908" s="8">
        <v>9.6264148062001394E-3</v>
      </c>
      <c r="O1908" s="6" t="s">
        <v>7</v>
      </c>
    </row>
    <row r="1909" spans="12:15" x14ac:dyDescent="0.45">
      <c r="L1909" s="3" t="s">
        <v>141</v>
      </c>
      <c r="M1909" s="3" t="s">
        <v>47</v>
      </c>
      <c r="N1909" s="5">
        <v>9.4632253884426327E-3</v>
      </c>
      <c r="O1909" s="3" t="s">
        <v>7</v>
      </c>
    </row>
    <row r="1910" spans="12:15" x14ac:dyDescent="0.45">
      <c r="L1910" s="6" t="s">
        <v>141</v>
      </c>
      <c r="M1910" s="6" t="s">
        <v>48</v>
      </c>
      <c r="N1910" s="8">
        <v>1.4670012321902483E-2</v>
      </c>
      <c r="O1910" s="6" t="s">
        <v>7</v>
      </c>
    </row>
    <row r="1911" spans="12:15" x14ac:dyDescent="0.45">
      <c r="L1911" s="3" t="s">
        <v>141</v>
      </c>
      <c r="M1911" s="3" t="s">
        <v>49</v>
      </c>
      <c r="N1911" s="5">
        <v>3.8305545159940738E-2</v>
      </c>
      <c r="O1911" s="3" t="s">
        <v>7</v>
      </c>
    </row>
    <row r="1912" spans="12:15" x14ac:dyDescent="0.45">
      <c r="L1912" s="6" t="s">
        <v>141</v>
      </c>
      <c r="M1912" s="6" t="s">
        <v>50</v>
      </c>
      <c r="N1912" s="8">
        <v>1.4600356902080017E-2</v>
      </c>
      <c r="O1912" s="6" t="s">
        <v>7</v>
      </c>
    </row>
    <row r="1913" spans="12:15" x14ac:dyDescent="0.45">
      <c r="L1913" s="3" t="s">
        <v>141</v>
      </c>
      <c r="M1913" s="3" t="s">
        <v>51</v>
      </c>
      <c r="N1913" s="5">
        <v>1.4334718574679765E-2</v>
      </c>
      <c r="O1913" s="3" t="s">
        <v>7</v>
      </c>
    </row>
    <row r="1914" spans="12:15" x14ac:dyDescent="0.45">
      <c r="L1914" s="6" t="s">
        <v>141</v>
      </c>
      <c r="M1914" s="6" t="s">
        <v>52</v>
      </c>
      <c r="N1914" s="8">
        <v>1.4482209463936283E-2</v>
      </c>
      <c r="O1914" s="6" t="s">
        <v>7</v>
      </c>
    </row>
    <row r="1915" spans="12:15" x14ac:dyDescent="0.45">
      <c r="L1915" s="3" t="s">
        <v>141</v>
      </c>
      <c r="M1915" s="3" t="s">
        <v>53</v>
      </c>
      <c r="N1915" s="5">
        <v>1.4396446918920247E-2</v>
      </c>
      <c r="O1915" s="3" t="s">
        <v>7</v>
      </c>
    </row>
    <row r="1916" spans="12:15" x14ac:dyDescent="0.45">
      <c r="L1916" s="6" t="s">
        <v>141</v>
      </c>
      <c r="M1916" s="6" t="s">
        <v>54</v>
      </c>
      <c r="N1916" s="8">
        <v>1.4502856568522928E-2</v>
      </c>
      <c r="O1916" s="6" t="s">
        <v>7</v>
      </c>
    </row>
    <row r="1917" spans="12:15" x14ac:dyDescent="0.45">
      <c r="L1917" s="3" t="s">
        <v>141</v>
      </c>
      <c r="M1917" s="3" t="s">
        <v>55</v>
      </c>
      <c r="N1917" s="5">
        <v>1.4658173678455143E-2</v>
      </c>
      <c r="O1917" s="3" t="s">
        <v>7</v>
      </c>
    </row>
    <row r="1918" spans="12:15" x14ac:dyDescent="0.45">
      <c r="L1918" s="6" t="s">
        <v>141</v>
      </c>
      <c r="M1918" s="6" t="s">
        <v>56</v>
      </c>
      <c r="N1918" s="8">
        <v>1.4904782133214866E-2</v>
      </c>
      <c r="O1918" s="6" t="s">
        <v>7</v>
      </c>
    </row>
    <row r="1919" spans="12:15" x14ac:dyDescent="0.45">
      <c r="L1919" s="3" t="s">
        <v>141</v>
      </c>
      <c r="M1919" s="3" t="s">
        <v>57</v>
      </c>
      <c r="N1919" s="5">
        <v>1.5230727738571521E-2</v>
      </c>
      <c r="O1919" s="3" t="s">
        <v>7</v>
      </c>
    </row>
    <row r="1920" spans="12:15" x14ac:dyDescent="0.45">
      <c r="L1920" s="6" t="s">
        <v>141</v>
      </c>
      <c r="M1920" s="6" t="s">
        <v>58</v>
      </c>
      <c r="N1920" s="8">
        <v>2.3263910657636507E-2</v>
      </c>
      <c r="O1920" s="6" t="s">
        <v>7</v>
      </c>
    </row>
    <row r="1921" spans="12:15" x14ac:dyDescent="0.45">
      <c r="L1921" s="3" t="s">
        <v>141</v>
      </c>
      <c r="M1921" s="3" t="s">
        <v>59</v>
      </c>
      <c r="N1921" s="5">
        <v>4.8621114444839506E-2</v>
      </c>
      <c r="O1921" s="3" t="s">
        <v>7</v>
      </c>
    </row>
    <row r="1922" spans="12:15" x14ac:dyDescent="0.45">
      <c r="L1922" s="6" t="s">
        <v>141</v>
      </c>
      <c r="M1922" s="6" t="s">
        <v>60</v>
      </c>
      <c r="N1922" s="8">
        <v>1.9693266897736948E-2</v>
      </c>
      <c r="O1922" s="6" t="s">
        <v>7</v>
      </c>
    </row>
    <row r="1923" spans="12:15" x14ac:dyDescent="0.45">
      <c r="L1923" s="3" t="s">
        <v>141</v>
      </c>
      <c r="M1923" s="3" t="s">
        <v>61</v>
      </c>
      <c r="N1923" s="5">
        <v>1.9246069152141478E-2</v>
      </c>
      <c r="O1923" s="3" t="s">
        <v>7</v>
      </c>
    </row>
    <row r="1924" spans="12:15" x14ac:dyDescent="0.45">
      <c r="L1924" s="6" t="s">
        <v>141</v>
      </c>
      <c r="M1924" s="6" t="s">
        <v>62</v>
      </c>
      <c r="N1924" s="8">
        <v>1.9047457635260268E-2</v>
      </c>
      <c r="O1924" s="6" t="s">
        <v>7</v>
      </c>
    </row>
    <row r="1925" spans="12:15" x14ac:dyDescent="0.45">
      <c r="L1925" s="3" t="s">
        <v>141</v>
      </c>
      <c r="M1925" s="3" t="s">
        <v>63</v>
      </c>
      <c r="N1925" s="5">
        <v>1.8886018452281963E-2</v>
      </c>
      <c r="O1925" s="3" t="s">
        <v>7</v>
      </c>
    </row>
    <row r="1926" spans="12:15" x14ac:dyDescent="0.45">
      <c r="L1926" s="6" t="s">
        <v>141</v>
      </c>
      <c r="M1926" s="6" t="s">
        <v>64</v>
      </c>
      <c r="N1926" s="8">
        <v>1.893168114335992E-2</v>
      </c>
      <c r="O1926" s="6" t="s">
        <v>7</v>
      </c>
    </row>
    <row r="1927" spans="12:15" x14ac:dyDescent="0.45">
      <c r="L1927" s="3" t="s">
        <v>141</v>
      </c>
      <c r="M1927" s="3" t="s">
        <v>65</v>
      </c>
      <c r="N1927" s="5">
        <v>1.8657174609610826E-2</v>
      </c>
      <c r="O1927" s="3" t="s">
        <v>7</v>
      </c>
    </row>
    <row r="1928" spans="12:15" x14ac:dyDescent="0.45">
      <c r="L1928" s="6" t="s">
        <v>141</v>
      </c>
      <c r="M1928" s="6" t="s">
        <v>66</v>
      </c>
      <c r="N1928" s="8">
        <v>1.8381304803910804E-2</v>
      </c>
      <c r="O1928" s="6" t="s">
        <v>7</v>
      </c>
    </row>
    <row r="1929" spans="12:15" x14ac:dyDescent="0.45">
      <c r="L1929" s="3" t="s">
        <v>141</v>
      </c>
      <c r="M1929" s="3" t="s">
        <v>67</v>
      </c>
      <c r="N1929" s="5">
        <v>1.8959644647833281E-2</v>
      </c>
      <c r="O1929" s="3" t="s">
        <v>7</v>
      </c>
    </row>
    <row r="1930" spans="12:15" x14ac:dyDescent="0.45">
      <c r="L1930" s="6" t="s">
        <v>141</v>
      </c>
      <c r="M1930" s="6" t="s">
        <v>68</v>
      </c>
      <c r="N1930" s="8">
        <v>2.8203946138057372E-2</v>
      </c>
      <c r="O1930" s="6" t="s">
        <v>7</v>
      </c>
    </row>
    <row r="1931" spans="12:15" x14ac:dyDescent="0.45">
      <c r="L1931" s="3" t="s">
        <v>142</v>
      </c>
      <c r="M1931" s="3" t="s">
        <v>6</v>
      </c>
      <c r="N1931" s="5">
        <v>3.4945385543559263E-2</v>
      </c>
      <c r="O1931" s="3" t="s">
        <v>7</v>
      </c>
    </row>
    <row r="1932" spans="12:15" x14ac:dyDescent="0.45">
      <c r="L1932" s="6" t="s">
        <v>142</v>
      </c>
      <c r="M1932" s="6" t="s">
        <v>10</v>
      </c>
      <c r="N1932" s="8">
        <v>1.3527527396992211E-2</v>
      </c>
      <c r="O1932" s="6" t="s">
        <v>7</v>
      </c>
    </row>
    <row r="1933" spans="12:15" x14ac:dyDescent="0.45">
      <c r="L1933" s="3" t="s">
        <v>142</v>
      </c>
      <c r="M1933" s="3" t="s">
        <v>11</v>
      </c>
      <c r="N1933" s="5">
        <v>1.3353973719415024E-2</v>
      </c>
      <c r="O1933" s="3" t="s">
        <v>7</v>
      </c>
    </row>
    <row r="1934" spans="12:15" x14ac:dyDescent="0.45">
      <c r="L1934" s="6" t="s">
        <v>142</v>
      </c>
      <c r="M1934" s="6" t="s">
        <v>12</v>
      </c>
      <c r="N1934" s="8">
        <v>1.3432545172634322E-2</v>
      </c>
      <c r="O1934" s="6" t="s">
        <v>7</v>
      </c>
    </row>
    <row r="1935" spans="12:15" x14ac:dyDescent="0.45">
      <c r="L1935" s="3" t="s">
        <v>142</v>
      </c>
      <c r="M1935" s="3" t="s">
        <v>13</v>
      </c>
      <c r="N1935" s="5">
        <v>1.3481573151374762E-2</v>
      </c>
      <c r="O1935" s="3" t="s">
        <v>7</v>
      </c>
    </row>
    <row r="1936" spans="12:15" x14ac:dyDescent="0.45">
      <c r="L1936" s="6" t="s">
        <v>142</v>
      </c>
      <c r="M1936" s="6" t="s">
        <v>14</v>
      </c>
      <c r="N1936" s="8">
        <v>1.369219622545453E-2</v>
      </c>
      <c r="O1936" s="6" t="s">
        <v>7</v>
      </c>
    </row>
    <row r="1937" spans="12:15" x14ac:dyDescent="0.45">
      <c r="L1937" s="3" t="s">
        <v>142</v>
      </c>
      <c r="M1937" s="3" t="s">
        <v>15</v>
      </c>
      <c r="N1937" s="5">
        <v>1.3904538681744644E-2</v>
      </c>
      <c r="O1937" s="3" t="s">
        <v>7</v>
      </c>
    </row>
    <row r="1938" spans="12:15" x14ac:dyDescent="0.45">
      <c r="L1938" s="6" t="s">
        <v>142</v>
      </c>
      <c r="M1938" s="6" t="s">
        <v>16</v>
      </c>
      <c r="N1938" s="8">
        <v>1.3738362501153161E-2</v>
      </c>
      <c r="O1938" s="6" t="s">
        <v>7</v>
      </c>
    </row>
    <row r="1939" spans="12:15" x14ac:dyDescent="0.45">
      <c r="L1939" s="3" t="s">
        <v>142</v>
      </c>
      <c r="M1939" s="3" t="s">
        <v>17</v>
      </c>
      <c r="N1939" s="5">
        <v>1.3567908138436531E-2</v>
      </c>
      <c r="O1939" s="3" t="s">
        <v>7</v>
      </c>
    </row>
    <row r="1940" spans="12:15" x14ac:dyDescent="0.45">
      <c r="L1940" s="6" t="s">
        <v>142</v>
      </c>
      <c r="M1940" s="6" t="s">
        <v>18</v>
      </c>
      <c r="N1940" s="8">
        <v>1.985030674245054E-2</v>
      </c>
      <c r="O1940" s="6" t="s">
        <v>7</v>
      </c>
    </row>
    <row r="1941" spans="12:15" x14ac:dyDescent="0.45">
      <c r="L1941" s="3" t="s">
        <v>142</v>
      </c>
      <c r="M1941" s="3" t="s">
        <v>19</v>
      </c>
      <c r="N1941" s="5">
        <v>3.4293898131782352E-2</v>
      </c>
      <c r="O1941" s="3" t="s">
        <v>7</v>
      </c>
    </row>
    <row r="1942" spans="12:15" x14ac:dyDescent="0.45">
      <c r="L1942" s="6" t="s">
        <v>142</v>
      </c>
      <c r="M1942" s="6" t="s">
        <v>20</v>
      </c>
      <c r="N1942" s="8">
        <v>1.3029094034655183E-2</v>
      </c>
      <c r="O1942" s="6" t="s">
        <v>7</v>
      </c>
    </row>
    <row r="1943" spans="12:15" x14ac:dyDescent="0.45">
      <c r="L1943" s="3" t="s">
        <v>142</v>
      </c>
      <c r="M1943" s="3" t="s">
        <v>21</v>
      </c>
      <c r="N1943" s="5">
        <v>1.2633245776049684E-2</v>
      </c>
      <c r="O1943" s="3" t="s">
        <v>7</v>
      </c>
    </row>
    <row r="1944" spans="12:15" x14ac:dyDescent="0.45">
      <c r="L1944" s="6" t="s">
        <v>142</v>
      </c>
      <c r="M1944" s="6" t="s">
        <v>22</v>
      </c>
      <c r="N1944" s="8">
        <v>1.2292552166197825E-2</v>
      </c>
      <c r="O1944" s="6" t="s">
        <v>7</v>
      </c>
    </row>
    <row r="1945" spans="12:15" x14ac:dyDescent="0.45">
      <c r="L1945" s="3" t="s">
        <v>142</v>
      </c>
      <c r="M1945" s="3" t="s">
        <v>23</v>
      </c>
      <c r="N1945" s="5">
        <v>1.2047499649416359E-2</v>
      </c>
      <c r="O1945" s="3" t="s">
        <v>7</v>
      </c>
    </row>
    <row r="1946" spans="12:15" x14ac:dyDescent="0.45">
      <c r="L1946" s="6" t="s">
        <v>142</v>
      </c>
      <c r="M1946" s="6" t="s">
        <v>24</v>
      </c>
      <c r="N1946" s="8">
        <v>1.1913408264659987E-2</v>
      </c>
      <c r="O1946" s="6" t="s">
        <v>7</v>
      </c>
    </row>
    <row r="1947" spans="12:15" x14ac:dyDescent="0.45">
      <c r="L1947" s="3" t="s">
        <v>142</v>
      </c>
      <c r="M1947" s="3" t="s">
        <v>25</v>
      </c>
      <c r="N1947" s="5">
        <v>1.2090858277603438E-2</v>
      </c>
      <c r="O1947" s="3" t="s">
        <v>7</v>
      </c>
    </row>
    <row r="1948" spans="12:15" x14ac:dyDescent="0.45">
      <c r="L1948" s="6" t="s">
        <v>142</v>
      </c>
      <c r="M1948" s="6" t="s">
        <v>26</v>
      </c>
      <c r="N1948" s="8">
        <v>1.2578664949420617E-2</v>
      </c>
      <c r="O1948" s="6" t="s">
        <v>7</v>
      </c>
    </row>
    <row r="1949" spans="12:15" x14ac:dyDescent="0.45">
      <c r="L1949" s="3" t="s">
        <v>142</v>
      </c>
      <c r="M1949" s="3" t="s">
        <v>27</v>
      </c>
      <c r="N1949" s="5">
        <v>1.3390111534580215E-2</v>
      </c>
      <c r="O1949" s="3" t="s">
        <v>7</v>
      </c>
    </row>
    <row r="1950" spans="12:15" x14ac:dyDescent="0.45">
      <c r="L1950" s="6" t="s">
        <v>142</v>
      </c>
      <c r="M1950" s="6" t="s">
        <v>28</v>
      </c>
      <c r="N1950" s="8">
        <v>2.0830911003443218E-2</v>
      </c>
      <c r="O1950" s="6" t="s">
        <v>7</v>
      </c>
    </row>
    <row r="1951" spans="12:15" x14ac:dyDescent="0.45">
      <c r="L1951" s="3" t="s">
        <v>142</v>
      </c>
      <c r="M1951" s="3" t="s">
        <v>29</v>
      </c>
      <c r="N1951" s="5">
        <v>2.7153399873688332E-2</v>
      </c>
      <c r="O1951" s="3" t="s">
        <v>7</v>
      </c>
    </row>
    <row r="1952" spans="12:15" x14ac:dyDescent="0.45">
      <c r="L1952" s="6" t="s">
        <v>142</v>
      </c>
      <c r="M1952" s="6" t="s">
        <v>30</v>
      </c>
      <c r="N1952" s="8">
        <v>1.0891191599166667E-2</v>
      </c>
      <c r="O1952" s="6" t="s">
        <v>7</v>
      </c>
    </row>
    <row r="1953" spans="12:15" x14ac:dyDescent="0.45">
      <c r="L1953" s="3" t="s">
        <v>142</v>
      </c>
      <c r="M1953" s="3" t="s">
        <v>31</v>
      </c>
      <c r="N1953" s="5">
        <v>1.1079227230812134E-2</v>
      </c>
      <c r="O1953" s="3" t="s">
        <v>7</v>
      </c>
    </row>
    <row r="1954" spans="12:15" x14ac:dyDescent="0.45">
      <c r="L1954" s="6" t="s">
        <v>142</v>
      </c>
      <c r="M1954" s="6" t="s">
        <v>32</v>
      </c>
      <c r="N1954" s="8">
        <v>1.0931722809814269E-2</v>
      </c>
      <c r="O1954" s="6" t="s">
        <v>7</v>
      </c>
    </row>
    <row r="1955" spans="12:15" x14ac:dyDescent="0.45">
      <c r="L1955" s="3" t="s">
        <v>142</v>
      </c>
      <c r="M1955" s="3" t="s">
        <v>33</v>
      </c>
      <c r="N1955" s="5">
        <v>1.0683092872492049E-2</v>
      </c>
      <c r="O1955" s="3" t="s">
        <v>7</v>
      </c>
    </row>
    <row r="1956" spans="12:15" x14ac:dyDescent="0.45">
      <c r="L1956" s="6" t="s">
        <v>142</v>
      </c>
      <c r="M1956" s="6" t="s">
        <v>34</v>
      </c>
      <c r="N1956" s="8">
        <v>1.0730568448311264E-2</v>
      </c>
      <c r="O1956" s="6" t="s">
        <v>7</v>
      </c>
    </row>
    <row r="1957" spans="12:15" x14ac:dyDescent="0.45">
      <c r="L1957" s="3" t="s">
        <v>142</v>
      </c>
      <c r="M1957" s="3" t="s">
        <v>35</v>
      </c>
      <c r="N1957" s="5">
        <v>1.088844068667319E-2</v>
      </c>
      <c r="O1957" s="3" t="s">
        <v>7</v>
      </c>
    </row>
    <row r="1958" spans="12:15" x14ac:dyDescent="0.45">
      <c r="L1958" s="6" t="s">
        <v>142</v>
      </c>
      <c r="M1958" s="6" t="s">
        <v>36</v>
      </c>
      <c r="N1958" s="8">
        <v>1.1206501166987612E-2</v>
      </c>
      <c r="O1958" s="6" t="s">
        <v>7</v>
      </c>
    </row>
    <row r="1959" spans="12:15" x14ac:dyDescent="0.45">
      <c r="L1959" s="3" t="s">
        <v>142</v>
      </c>
      <c r="M1959" s="3" t="s">
        <v>37</v>
      </c>
      <c r="N1959" s="5">
        <v>1.1416696029969389E-2</v>
      </c>
      <c r="O1959" s="3" t="s">
        <v>7</v>
      </c>
    </row>
    <row r="1960" spans="12:15" x14ac:dyDescent="0.45">
      <c r="L1960" s="6" t="s">
        <v>142</v>
      </c>
      <c r="M1960" s="6" t="s">
        <v>38</v>
      </c>
      <c r="N1960" s="8">
        <v>1.6744011462466148E-2</v>
      </c>
      <c r="O1960" s="6" t="s">
        <v>7</v>
      </c>
    </row>
    <row r="1961" spans="12:15" x14ac:dyDescent="0.45">
      <c r="L1961" s="3" t="s">
        <v>142</v>
      </c>
      <c r="M1961" s="3" t="s">
        <v>39</v>
      </c>
      <c r="N1961" s="5">
        <v>3.1316606862435752E-2</v>
      </c>
      <c r="O1961" s="3" t="s">
        <v>7</v>
      </c>
    </row>
    <row r="1962" spans="12:15" x14ac:dyDescent="0.45">
      <c r="L1962" s="6" t="s">
        <v>142</v>
      </c>
      <c r="M1962" s="6" t="s">
        <v>40</v>
      </c>
      <c r="N1962" s="8">
        <v>1.2676085842110133E-2</v>
      </c>
      <c r="O1962" s="6" t="s">
        <v>7</v>
      </c>
    </row>
    <row r="1963" spans="12:15" x14ac:dyDescent="0.45">
      <c r="L1963" s="3" t="s">
        <v>142</v>
      </c>
      <c r="M1963" s="3" t="s">
        <v>41</v>
      </c>
      <c r="N1963" s="5">
        <v>1.3166609464726718E-2</v>
      </c>
      <c r="O1963" s="3" t="s">
        <v>7</v>
      </c>
    </row>
    <row r="1964" spans="12:15" x14ac:dyDescent="0.45">
      <c r="L1964" s="6" t="s">
        <v>142</v>
      </c>
      <c r="M1964" s="6" t="s">
        <v>42</v>
      </c>
      <c r="N1964" s="8">
        <v>1.3336936716933562E-2</v>
      </c>
      <c r="O1964" s="6" t="s">
        <v>7</v>
      </c>
    </row>
    <row r="1965" spans="12:15" x14ac:dyDescent="0.45">
      <c r="L1965" s="3" t="s">
        <v>142</v>
      </c>
      <c r="M1965" s="3" t="s">
        <v>43</v>
      </c>
      <c r="N1965" s="5">
        <v>1.3545638400336884E-2</v>
      </c>
      <c r="O1965" s="3" t="s">
        <v>7</v>
      </c>
    </row>
    <row r="1966" spans="12:15" x14ac:dyDescent="0.45">
      <c r="L1966" s="6" t="s">
        <v>142</v>
      </c>
      <c r="M1966" s="6" t="s">
        <v>44</v>
      </c>
      <c r="N1966" s="8">
        <v>1.3729005165304521E-2</v>
      </c>
      <c r="O1966" s="6" t="s">
        <v>7</v>
      </c>
    </row>
    <row r="1967" spans="12:15" x14ac:dyDescent="0.45">
      <c r="L1967" s="3" t="s">
        <v>142</v>
      </c>
      <c r="M1967" s="3" t="s">
        <v>45</v>
      </c>
      <c r="N1967" s="5">
        <v>1.3625896901282249E-2</v>
      </c>
      <c r="O1967" s="3" t="s">
        <v>7</v>
      </c>
    </row>
    <row r="1968" spans="12:15" x14ac:dyDescent="0.45">
      <c r="L1968" s="6" t="s">
        <v>142</v>
      </c>
      <c r="M1968" s="6" t="s">
        <v>46</v>
      </c>
      <c r="N1968" s="8">
        <v>1.342213423957417E-2</v>
      </c>
      <c r="O1968" s="6" t="s">
        <v>7</v>
      </c>
    </row>
    <row r="1969" spans="12:15" x14ac:dyDescent="0.45">
      <c r="L1969" s="3" t="s">
        <v>142</v>
      </c>
      <c r="M1969" s="3" t="s">
        <v>47</v>
      </c>
      <c r="N1969" s="5">
        <v>1.314347172689067E-2</v>
      </c>
      <c r="O1969" s="3" t="s">
        <v>7</v>
      </c>
    </row>
    <row r="1970" spans="12:15" x14ac:dyDescent="0.45">
      <c r="L1970" s="6" t="s">
        <v>142</v>
      </c>
      <c r="M1970" s="6" t="s">
        <v>48</v>
      </c>
      <c r="N1970" s="8">
        <v>1.9492760526320426E-2</v>
      </c>
      <c r="O1970" s="6" t="s">
        <v>7</v>
      </c>
    </row>
    <row r="1971" spans="12:15" x14ac:dyDescent="0.45">
      <c r="L1971" s="3" t="s">
        <v>142</v>
      </c>
      <c r="M1971" s="3" t="s">
        <v>49</v>
      </c>
      <c r="N1971" s="5">
        <v>3.2732217877439442E-2</v>
      </c>
      <c r="O1971" s="3" t="s">
        <v>7</v>
      </c>
    </row>
    <row r="1972" spans="12:15" x14ac:dyDescent="0.45">
      <c r="L1972" s="6" t="s">
        <v>142</v>
      </c>
      <c r="M1972" s="6" t="s">
        <v>50</v>
      </c>
      <c r="N1972" s="8">
        <v>1.300839116266423E-2</v>
      </c>
      <c r="O1972" s="6" t="s">
        <v>7</v>
      </c>
    </row>
    <row r="1973" spans="12:15" x14ac:dyDescent="0.45">
      <c r="L1973" s="3" t="s">
        <v>142</v>
      </c>
      <c r="M1973" s="3" t="s">
        <v>51</v>
      </c>
      <c r="N1973" s="5">
        <v>1.3206060949576794E-2</v>
      </c>
      <c r="O1973" s="3" t="s">
        <v>7</v>
      </c>
    </row>
    <row r="1974" spans="12:15" x14ac:dyDescent="0.45">
      <c r="L1974" s="6" t="s">
        <v>142</v>
      </c>
      <c r="M1974" s="6" t="s">
        <v>52</v>
      </c>
      <c r="N1974" s="8">
        <v>1.3520905032175538E-2</v>
      </c>
      <c r="O1974" s="6" t="s">
        <v>7</v>
      </c>
    </row>
    <row r="1975" spans="12:15" x14ac:dyDescent="0.45">
      <c r="L1975" s="3" t="s">
        <v>142</v>
      </c>
      <c r="M1975" s="3" t="s">
        <v>53</v>
      </c>
      <c r="N1975" s="5">
        <v>1.391274249918186E-2</v>
      </c>
      <c r="O1975" s="3" t="s">
        <v>7</v>
      </c>
    </row>
    <row r="1976" spans="12:15" x14ac:dyDescent="0.45">
      <c r="L1976" s="6" t="s">
        <v>142</v>
      </c>
      <c r="M1976" s="6" t="s">
        <v>54</v>
      </c>
      <c r="N1976" s="8">
        <v>1.4090872499897149E-2</v>
      </c>
      <c r="O1976" s="6" t="s">
        <v>7</v>
      </c>
    </row>
    <row r="1977" spans="12:15" x14ac:dyDescent="0.45">
      <c r="L1977" s="3" t="s">
        <v>142</v>
      </c>
      <c r="M1977" s="3" t="s">
        <v>55</v>
      </c>
      <c r="N1977" s="5">
        <v>1.4116265209514253E-2</v>
      </c>
      <c r="O1977" s="3" t="s">
        <v>7</v>
      </c>
    </row>
    <row r="1978" spans="12:15" x14ac:dyDescent="0.45">
      <c r="L1978" s="6" t="s">
        <v>142</v>
      </c>
      <c r="M1978" s="6" t="s">
        <v>56</v>
      </c>
      <c r="N1978" s="8">
        <v>1.3800198490982268E-2</v>
      </c>
      <c r="O1978" s="6" t="s">
        <v>7</v>
      </c>
    </row>
    <row r="1979" spans="12:15" x14ac:dyDescent="0.45">
      <c r="L1979" s="3" t="s">
        <v>142</v>
      </c>
      <c r="M1979" s="3" t="s">
        <v>57</v>
      </c>
      <c r="N1979" s="5">
        <v>1.3681378609485574E-2</v>
      </c>
      <c r="O1979" s="3" t="s">
        <v>7</v>
      </c>
    </row>
    <row r="1980" spans="12:15" x14ac:dyDescent="0.45">
      <c r="L1980" s="6" t="s">
        <v>142</v>
      </c>
      <c r="M1980" s="6" t="s">
        <v>58</v>
      </c>
      <c r="N1980" s="8">
        <v>2.0289741384105379E-2</v>
      </c>
      <c r="O1980" s="6" t="s">
        <v>7</v>
      </c>
    </row>
    <row r="1981" spans="12:15" x14ac:dyDescent="0.45">
      <c r="L1981" s="3" t="s">
        <v>142</v>
      </c>
      <c r="M1981" s="3" t="s">
        <v>59</v>
      </c>
      <c r="N1981" s="5">
        <v>4.9184139092898337E-2</v>
      </c>
      <c r="O1981" s="3" t="s">
        <v>7</v>
      </c>
    </row>
    <row r="1982" spans="12:15" x14ac:dyDescent="0.45">
      <c r="L1982" s="6" t="s">
        <v>142</v>
      </c>
      <c r="M1982" s="6" t="s">
        <v>60</v>
      </c>
      <c r="N1982" s="8">
        <v>2.0153213552222899E-2</v>
      </c>
      <c r="O1982" s="6" t="s">
        <v>7</v>
      </c>
    </row>
    <row r="1983" spans="12:15" x14ac:dyDescent="0.45">
      <c r="L1983" s="3" t="s">
        <v>142</v>
      </c>
      <c r="M1983" s="3" t="s">
        <v>61</v>
      </c>
      <c r="N1983" s="5">
        <v>1.9544240246237101E-2</v>
      </c>
      <c r="O1983" s="3" t="s">
        <v>7</v>
      </c>
    </row>
    <row r="1984" spans="12:15" x14ac:dyDescent="0.45">
      <c r="L1984" s="6" t="s">
        <v>142</v>
      </c>
      <c r="M1984" s="6" t="s">
        <v>62</v>
      </c>
      <c r="N1984" s="8">
        <v>1.9048359846732522E-2</v>
      </c>
      <c r="O1984" s="6" t="s">
        <v>7</v>
      </c>
    </row>
    <row r="1985" spans="12:15" x14ac:dyDescent="0.45">
      <c r="L1985" s="3" t="s">
        <v>142</v>
      </c>
      <c r="M1985" s="3" t="s">
        <v>63</v>
      </c>
      <c r="N1985" s="5">
        <v>1.8845317071072967E-2</v>
      </c>
      <c r="O1985" s="3" t="s">
        <v>7</v>
      </c>
    </row>
    <row r="1986" spans="12:15" x14ac:dyDescent="0.45">
      <c r="L1986" s="6" t="s">
        <v>142</v>
      </c>
      <c r="M1986" s="6" t="s">
        <v>64</v>
      </c>
      <c r="N1986" s="8">
        <v>1.9032376818590272E-2</v>
      </c>
      <c r="O1986" s="6" t="s">
        <v>7</v>
      </c>
    </row>
    <row r="1987" spans="12:15" x14ac:dyDescent="0.45">
      <c r="L1987" s="3" t="s">
        <v>142</v>
      </c>
      <c r="M1987" s="3" t="s">
        <v>65</v>
      </c>
      <c r="N1987" s="5">
        <v>1.8536951113997925E-2</v>
      </c>
      <c r="O1987" s="3" t="s">
        <v>7</v>
      </c>
    </row>
    <row r="1988" spans="12:15" x14ac:dyDescent="0.45">
      <c r="L1988" s="6" t="s">
        <v>142</v>
      </c>
      <c r="M1988" s="6" t="s">
        <v>66</v>
      </c>
      <c r="N1988" s="8">
        <v>1.8304979838412016E-2</v>
      </c>
      <c r="O1988" s="6" t="s">
        <v>7</v>
      </c>
    </row>
    <row r="1989" spans="12:15" x14ac:dyDescent="0.45">
      <c r="L1989" s="3" t="s">
        <v>142</v>
      </c>
      <c r="M1989" s="3" t="s">
        <v>67</v>
      </c>
      <c r="N1989" s="5">
        <v>1.8523709688632671E-2</v>
      </c>
      <c r="O1989" s="3" t="s">
        <v>7</v>
      </c>
    </row>
    <row r="1990" spans="12:15" x14ac:dyDescent="0.45">
      <c r="L1990" s="6" t="s">
        <v>142</v>
      </c>
      <c r="M1990" s="6" t="s">
        <v>68</v>
      </c>
      <c r="N1990" s="8">
        <v>2.869337992886084E-2</v>
      </c>
      <c r="O1990" s="6" t="s">
        <v>7</v>
      </c>
    </row>
    <row r="1991" spans="12:15" x14ac:dyDescent="0.45">
      <c r="L1991" s="3" t="s">
        <v>143</v>
      </c>
      <c r="M1991" s="3" t="s">
        <v>6</v>
      </c>
      <c r="N1991" s="5">
        <v>3.6153478261523667E-2</v>
      </c>
      <c r="O1991" s="3" t="s">
        <v>7</v>
      </c>
    </row>
    <row r="1992" spans="12:15" x14ac:dyDescent="0.45">
      <c r="L1992" s="6" t="s">
        <v>143</v>
      </c>
      <c r="M1992" s="6" t="s">
        <v>10</v>
      </c>
      <c r="N1992" s="8">
        <v>1.3868565833582288E-2</v>
      </c>
      <c r="O1992" s="6" t="s">
        <v>7</v>
      </c>
    </row>
    <row r="1993" spans="12:15" x14ac:dyDescent="0.45">
      <c r="L1993" s="3" t="s">
        <v>143</v>
      </c>
      <c r="M1993" s="3" t="s">
        <v>11</v>
      </c>
      <c r="N1993" s="5">
        <v>1.4107456150641894E-2</v>
      </c>
      <c r="O1993" s="3" t="s">
        <v>7</v>
      </c>
    </row>
    <row r="1994" spans="12:15" x14ac:dyDescent="0.45">
      <c r="L1994" s="6" t="s">
        <v>143</v>
      </c>
      <c r="M1994" s="6" t="s">
        <v>12</v>
      </c>
      <c r="N1994" s="8">
        <v>1.4619813946687521E-2</v>
      </c>
      <c r="O1994" s="6" t="s">
        <v>7</v>
      </c>
    </row>
    <row r="1995" spans="12:15" x14ac:dyDescent="0.45">
      <c r="L1995" s="3" t="s">
        <v>143</v>
      </c>
      <c r="M1995" s="3" t="s">
        <v>13</v>
      </c>
      <c r="N1995" s="5">
        <v>1.5067653347546008E-2</v>
      </c>
      <c r="O1995" s="3" t="s">
        <v>7</v>
      </c>
    </row>
    <row r="1996" spans="12:15" x14ac:dyDescent="0.45">
      <c r="L1996" s="6" t="s">
        <v>143</v>
      </c>
      <c r="M1996" s="6" t="s">
        <v>14</v>
      </c>
      <c r="N1996" s="8">
        <v>1.5034181272599482E-2</v>
      </c>
      <c r="O1996" s="6" t="s">
        <v>7</v>
      </c>
    </row>
    <row r="1997" spans="12:15" x14ac:dyDescent="0.45">
      <c r="L1997" s="3" t="s">
        <v>143</v>
      </c>
      <c r="M1997" s="3" t="s">
        <v>15</v>
      </c>
      <c r="N1997" s="5">
        <v>1.4876981186955782E-2</v>
      </c>
      <c r="O1997" s="3" t="s">
        <v>7</v>
      </c>
    </row>
    <row r="1998" spans="12:15" x14ac:dyDescent="0.45">
      <c r="L1998" s="6" t="s">
        <v>143</v>
      </c>
      <c r="M1998" s="6" t="s">
        <v>16</v>
      </c>
      <c r="N1998" s="8">
        <v>1.4707350620484998E-2</v>
      </c>
      <c r="O1998" s="6" t="s">
        <v>7</v>
      </c>
    </row>
    <row r="1999" spans="12:15" x14ac:dyDescent="0.45">
      <c r="L1999" s="3" t="s">
        <v>143</v>
      </c>
      <c r="M1999" s="3" t="s">
        <v>17</v>
      </c>
      <c r="N1999" s="5">
        <v>1.4842728056760887E-2</v>
      </c>
      <c r="O1999" s="3" t="s">
        <v>7</v>
      </c>
    </row>
    <row r="2000" spans="12:15" x14ac:dyDescent="0.45">
      <c r="L2000" s="6" t="s">
        <v>143</v>
      </c>
      <c r="M2000" s="6" t="s">
        <v>18</v>
      </c>
      <c r="N2000" s="8">
        <v>2.2790406702968183E-2</v>
      </c>
      <c r="O2000" s="6" t="s">
        <v>7</v>
      </c>
    </row>
    <row r="2001" spans="12:15" x14ac:dyDescent="0.45">
      <c r="L2001" s="3" t="s">
        <v>143</v>
      </c>
      <c r="M2001" s="3" t="s">
        <v>19</v>
      </c>
      <c r="N2001" s="5">
        <v>3.3291961783354626E-2</v>
      </c>
      <c r="O2001" s="3" t="s">
        <v>7</v>
      </c>
    </row>
    <row r="2002" spans="12:15" x14ac:dyDescent="0.45">
      <c r="L2002" s="6" t="s">
        <v>143</v>
      </c>
      <c r="M2002" s="6" t="s">
        <v>20</v>
      </c>
      <c r="N2002" s="8">
        <v>1.2828023321505099E-2</v>
      </c>
      <c r="O2002" s="6" t="s">
        <v>7</v>
      </c>
    </row>
    <row r="2003" spans="12:15" x14ac:dyDescent="0.45">
      <c r="L2003" s="3" t="s">
        <v>143</v>
      </c>
      <c r="M2003" s="3" t="s">
        <v>21</v>
      </c>
      <c r="N2003" s="5">
        <v>1.2868268600256865E-2</v>
      </c>
      <c r="O2003" s="3" t="s">
        <v>7</v>
      </c>
    </row>
    <row r="2004" spans="12:15" x14ac:dyDescent="0.45">
      <c r="L2004" s="6" t="s">
        <v>143</v>
      </c>
      <c r="M2004" s="6" t="s">
        <v>22</v>
      </c>
      <c r="N2004" s="8">
        <v>1.2960010630630927E-2</v>
      </c>
      <c r="O2004" s="6" t="s">
        <v>7</v>
      </c>
    </row>
    <row r="2005" spans="12:15" x14ac:dyDescent="0.45">
      <c r="L2005" s="3" t="s">
        <v>143</v>
      </c>
      <c r="M2005" s="3" t="s">
        <v>23</v>
      </c>
      <c r="N2005" s="5">
        <v>1.2854027081115122E-2</v>
      </c>
      <c r="O2005" s="3" t="s">
        <v>7</v>
      </c>
    </row>
    <row r="2006" spans="12:15" x14ac:dyDescent="0.45">
      <c r="L2006" s="6" t="s">
        <v>143</v>
      </c>
      <c r="M2006" s="6" t="s">
        <v>24</v>
      </c>
      <c r="N2006" s="8">
        <v>1.2843981585262025E-2</v>
      </c>
      <c r="O2006" s="6" t="s">
        <v>7</v>
      </c>
    </row>
    <row r="2007" spans="12:15" x14ac:dyDescent="0.45">
      <c r="L2007" s="3" t="s">
        <v>143</v>
      </c>
      <c r="M2007" s="3" t="s">
        <v>25</v>
      </c>
      <c r="N2007" s="5">
        <v>1.3076112356215256E-2</v>
      </c>
      <c r="O2007" s="3" t="s">
        <v>7</v>
      </c>
    </row>
    <row r="2008" spans="12:15" x14ac:dyDescent="0.45">
      <c r="L2008" s="6" t="s">
        <v>143</v>
      </c>
      <c r="M2008" s="6" t="s">
        <v>26</v>
      </c>
      <c r="N2008" s="8">
        <v>1.3622745975250991E-2</v>
      </c>
      <c r="O2008" s="6" t="s">
        <v>7</v>
      </c>
    </row>
    <row r="2009" spans="12:15" x14ac:dyDescent="0.45">
      <c r="L2009" s="3" t="s">
        <v>143</v>
      </c>
      <c r="M2009" s="3" t="s">
        <v>27</v>
      </c>
      <c r="N2009" s="5">
        <v>1.4128368477722877E-2</v>
      </c>
      <c r="O2009" s="3" t="s">
        <v>7</v>
      </c>
    </row>
    <row r="2010" spans="12:15" x14ac:dyDescent="0.45">
      <c r="L2010" s="6" t="s">
        <v>143</v>
      </c>
      <c r="M2010" s="6" t="s">
        <v>28</v>
      </c>
      <c r="N2010" s="8">
        <v>2.1044716023328226E-2</v>
      </c>
      <c r="O2010" s="6" t="s">
        <v>7</v>
      </c>
    </row>
    <row r="2011" spans="12:15" x14ac:dyDescent="0.45">
      <c r="L2011" s="3" t="s">
        <v>143</v>
      </c>
      <c r="M2011" s="3" t="s">
        <v>29</v>
      </c>
      <c r="N2011" s="5">
        <v>2.7696794268218736E-2</v>
      </c>
      <c r="O2011" s="3" t="s">
        <v>7</v>
      </c>
    </row>
    <row r="2012" spans="12:15" x14ac:dyDescent="0.45">
      <c r="L2012" s="6" t="s">
        <v>143</v>
      </c>
      <c r="M2012" s="6" t="s">
        <v>30</v>
      </c>
      <c r="N2012" s="8">
        <v>1.1262350778958723E-2</v>
      </c>
      <c r="O2012" s="6" t="s">
        <v>7</v>
      </c>
    </row>
    <row r="2013" spans="12:15" x14ac:dyDescent="0.45">
      <c r="L2013" s="3" t="s">
        <v>143</v>
      </c>
      <c r="M2013" s="3" t="s">
        <v>31</v>
      </c>
      <c r="N2013" s="5">
        <v>1.1353314539699498E-2</v>
      </c>
      <c r="O2013" s="3" t="s">
        <v>7</v>
      </c>
    </row>
    <row r="2014" spans="12:15" x14ac:dyDescent="0.45">
      <c r="L2014" s="6" t="s">
        <v>143</v>
      </c>
      <c r="M2014" s="6" t="s">
        <v>32</v>
      </c>
      <c r="N2014" s="8">
        <v>1.1306937186719285E-2</v>
      </c>
      <c r="O2014" s="6" t="s">
        <v>7</v>
      </c>
    </row>
    <row r="2015" spans="12:15" x14ac:dyDescent="0.45">
      <c r="L2015" s="3" t="s">
        <v>143</v>
      </c>
      <c r="M2015" s="3" t="s">
        <v>33</v>
      </c>
      <c r="N2015" s="5">
        <v>1.1453471269065551E-2</v>
      </c>
      <c r="O2015" s="3" t="s">
        <v>7</v>
      </c>
    </row>
    <row r="2016" spans="12:15" x14ac:dyDescent="0.45">
      <c r="L2016" s="6" t="s">
        <v>143</v>
      </c>
      <c r="M2016" s="6" t="s">
        <v>34</v>
      </c>
      <c r="N2016" s="8">
        <v>1.1582118329300735E-2</v>
      </c>
      <c r="O2016" s="6" t="s">
        <v>7</v>
      </c>
    </row>
    <row r="2017" spans="12:15" x14ac:dyDescent="0.45">
      <c r="L2017" s="3" t="s">
        <v>143</v>
      </c>
      <c r="M2017" s="3" t="s">
        <v>35</v>
      </c>
      <c r="N2017" s="5">
        <v>1.1651273715985304E-2</v>
      </c>
      <c r="O2017" s="3" t="s">
        <v>7</v>
      </c>
    </row>
    <row r="2018" spans="12:15" x14ac:dyDescent="0.45">
      <c r="L2018" s="6" t="s">
        <v>143</v>
      </c>
      <c r="M2018" s="6" t="s">
        <v>36</v>
      </c>
      <c r="N2018" s="8">
        <v>1.1586626412585479E-2</v>
      </c>
      <c r="O2018" s="6" t="s">
        <v>7</v>
      </c>
    </row>
    <row r="2019" spans="12:15" x14ac:dyDescent="0.45">
      <c r="L2019" s="3" t="s">
        <v>143</v>
      </c>
      <c r="M2019" s="3" t="s">
        <v>37</v>
      </c>
      <c r="N2019" s="5">
        <v>1.1455273640864766E-2</v>
      </c>
      <c r="O2019" s="3" t="s">
        <v>7</v>
      </c>
    </row>
    <row r="2020" spans="12:15" x14ac:dyDescent="0.45">
      <c r="L2020" s="6" t="s">
        <v>143</v>
      </c>
      <c r="M2020" s="6" t="s">
        <v>38</v>
      </c>
      <c r="N2020" s="8">
        <v>1.6717706162336306E-2</v>
      </c>
      <c r="O2020" s="6" t="s">
        <v>7</v>
      </c>
    </row>
    <row r="2021" spans="12:15" x14ac:dyDescent="0.45">
      <c r="L2021" s="3" t="s">
        <v>143</v>
      </c>
      <c r="M2021" s="3" t="s">
        <v>39</v>
      </c>
      <c r="N2021" s="5">
        <v>3.1553425875907322E-2</v>
      </c>
      <c r="O2021" s="3" t="s">
        <v>7</v>
      </c>
    </row>
    <row r="2022" spans="12:15" x14ac:dyDescent="0.45">
      <c r="L2022" s="6" t="s">
        <v>143</v>
      </c>
      <c r="M2022" s="6" t="s">
        <v>40</v>
      </c>
      <c r="N2022" s="8">
        <v>1.2322024316159719E-2</v>
      </c>
      <c r="O2022" s="6" t="s">
        <v>7</v>
      </c>
    </row>
    <row r="2023" spans="12:15" x14ac:dyDescent="0.45">
      <c r="L2023" s="3" t="s">
        <v>143</v>
      </c>
      <c r="M2023" s="3" t="s">
        <v>41</v>
      </c>
      <c r="N2023" s="5">
        <v>1.2247623278388202E-2</v>
      </c>
      <c r="O2023" s="3" t="s">
        <v>7</v>
      </c>
    </row>
    <row r="2024" spans="12:15" x14ac:dyDescent="0.45">
      <c r="L2024" s="6" t="s">
        <v>143</v>
      </c>
      <c r="M2024" s="6" t="s">
        <v>42</v>
      </c>
      <c r="N2024" s="8">
        <v>1.1972404681649645E-2</v>
      </c>
      <c r="O2024" s="6" t="s">
        <v>7</v>
      </c>
    </row>
    <row r="2025" spans="12:15" x14ac:dyDescent="0.45">
      <c r="L2025" s="3" t="s">
        <v>143</v>
      </c>
      <c r="M2025" s="3" t="s">
        <v>43</v>
      </c>
      <c r="N2025" s="5">
        <v>1.2076857705203441E-2</v>
      </c>
      <c r="O2025" s="3" t="s">
        <v>7</v>
      </c>
    </row>
    <row r="2026" spans="12:15" x14ac:dyDescent="0.45">
      <c r="L2026" s="6" t="s">
        <v>143</v>
      </c>
      <c r="M2026" s="6" t="s">
        <v>44</v>
      </c>
      <c r="N2026" s="8">
        <v>1.2420241828860786E-2</v>
      </c>
      <c r="O2026" s="6" t="s">
        <v>7</v>
      </c>
    </row>
    <row r="2027" spans="12:15" x14ac:dyDescent="0.45">
      <c r="L2027" s="3" t="s">
        <v>143</v>
      </c>
      <c r="M2027" s="3" t="s">
        <v>45</v>
      </c>
      <c r="N2027" s="5">
        <v>1.257110182754476E-2</v>
      </c>
      <c r="O2027" s="3" t="s">
        <v>7</v>
      </c>
    </row>
    <row r="2028" spans="12:15" x14ac:dyDescent="0.45">
      <c r="L2028" s="6" t="s">
        <v>143</v>
      </c>
      <c r="M2028" s="6" t="s">
        <v>46</v>
      </c>
      <c r="N2028" s="8">
        <v>1.2623051125864263E-2</v>
      </c>
      <c r="O2028" s="6" t="s">
        <v>7</v>
      </c>
    </row>
    <row r="2029" spans="12:15" x14ac:dyDescent="0.45">
      <c r="L2029" s="3" t="s">
        <v>143</v>
      </c>
      <c r="M2029" s="3" t="s">
        <v>47</v>
      </c>
      <c r="N2029" s="5">
        <v>1.2574970556128795E-2</v>
      </c>
      <c r="O2029" s="3" t="s">
        <v>7</v>
      </c>
    </row>
    <row r="2030" spans="12:15" x14ac:dyDescent="0.45">
      <c r="L2030" s="6" t="s">
        <v>143</v>
      </c>
      <c r="M2030" s="6" t="s">
        <v>48</v>
      </c>
      <c r="N2030" s="8">
        <v>1.9059639909849147E-2</v>
      </c>
      <c r="O2030" s="6" t="s">
        <v>7</v>
      </c>
    </row>
    <row r="2031" spans="12:15" x14ac:dyDescent="0.45">
      <c r="L2031" s="3" t="s">
        <v>143</v>
      </c>
      <c r="M2031" s="3" t="s">
        <v>49</v>
      </c>
      <c r="N2031" s="5">
        <v>3.1516696855829862E-2</v>
      </c>
      <c r="O2031" s="3" t="s">
        <v>7</v>
      </c>
    </row>
    <row r="2032" spans="12:15" x14ac:dyDescent="0.45">
      <c r="L2032" s="6" t="s">
        <v>143</v>
      </c>
      <c r="M2032" s="6" t="s">
        <v>50</v>
      </c>
      <c r="N2032" s="8">
        <v>1.2753150180118543E-2</v>
      </c>
      <c r="O2032" s="6" t="s">
        <v>7</v>
      </c>
    </row>
    <row r="2033" spans="12:15" x14ac:dyDescent="0.45">
      <c r="L2033" s="3" t="s">
        <v>143</v>
      </c>
      <c r="M2033" s="3" t="s">
        <v>51</v>
      </c>
      <c r="N2033" s="5">
        <v>1.2985791136693826E-2</v>
      </c>
      <c r="O2033" s="3" t="s">
        <v>7</v>
      </c>
    </row>
    <row r="2034" spans="12:15" x14ac:dyDescent="0.45">
      <c r="L2034" s="6" t="s">
        <v>143</v>
      </c>
      <c r="M2034" s="6" t="s">
        <v>52</v>
      </c>
      <c r="N2034" s="8">
        <v>1.3290266354234219E-2</v>
      </c>
      <c r="O2034" s="6" t="s">
        <v>7</v>
      </c>
    </row>
    <row r="2035" spans="12:15" x14ac:dyDescent="0.45">
      <c r="L2035" s="3" t="s">
        <v>143</v>
      </c>
      <c r="M2035" s="3" t="s">
        <v>53</v>
      </c>
      <c r="N2035" s="5">
        <v>1.3236019078796861E-2</v>
      </c>
      <c r="O2035" s="3" t="s">
        <v>7</v>
      </c>
    </row>
    <row r="2036" spans="12:15" x14ac:dyDescent="0.45">
      <c r="L2036" s="6" t="s">
        <v>143</v>
      </c>
      <c r="M2036" s="6" t="s">
        <v>54</v>
      </c>
      <c r="N2036" s="8">
        <v>1.2984650283865631E-2</v>
      </c>
      <c r="O2036" s="6" t="s">
        <v>7</v>
      </c>
    </row>
    <row r="2037" spans="12:15" x14ac:dyDescent="0.45">
      <c r="L2037" s="3" t="s">
        <v>143</v>
      </c>
      <c r="M2037" s="3" t="s">
        <v>55</v>
      </c>
      <c r="N2037" s="5">
        <v>1.2848657397900141E-2</v>
      </c>
      <c r="O2037" s="3" t="s">
        <v>7</v>
      </c>
    </row>
    <row r="2038" spans="12:15" x14ac:dyDescent="0.45">
      <c r="L2038" s="6" t="s">
        <v>143</v>
      </c>
      <c r="M2038" s="6" t="s">
        <v>56</v>
      </c>
      <c r="N2038" s="8">
        <v>1.2977449502596128E-2</v>
      </c>
      <c r="O2038" s="6" t="s">
        <v>7</v>
      </c>
    </row>
    <row r="2039" spans="12:15" x14ac:dyDescent="0.45">
      <c r="L2039" s="3" t="s">
        <v>143</v>
      </c>
      <c r="M2039" s="3" t="s">
        <v>57</v>
      </c>
      <c r="N2039" s="5">
        <v>1.3319981050628454E-2</v>
      </c>
      <c r="O2039" s="3" t="s">
        <v>7</v>
      </c>
    </row>
    <row r="2040" spans="12:15" x14ac:dyDescent="0.45">
      <c r="L2040" s="6" t="s">
        <v>143</v>
      </c>
      <c r="M2040" s="6" t="s">
        <v>58</v>
      </c>
      <c r="N2040" s="8">
        <v>1.9566142180560013E-2</v>
      </c>
      <c r="O2040" s="6" t="s">
        <v>7</v>
      </c>
    </row>
    <row r="2041" spans="12:15" x14ac:dyDescent="0.45">
      <c r="L2041" s="3" t="s">
        <v>143</v>
      </c>
      <c r="M2041" s="3" t="s">
        <v>59</v>
      </c>
      <c r="N2041" s="5">
        <v>4.7695015004131883E-2</v>
      </c>
      <c r="O2041" s="3" t="s">
        <v>7</v>
      </c>
    </row>
    <row r="2042" spans="12:15" x14ac:dyDescent="0.45">
      <c r="L2042" s="6" t="s">
        <v>143</v>
      </c>
      <c r="M2042" s="6" t="s">
        <v>60</v>
      </c>
      <c r="N2042" s="8">
        <v>1.9068238909395938E-2</v>
      </c>
      <c r="O2042" s="6" t="s">
        <v>7</v>
      </c>
    </row>
    <row r="2043" spans="12:15" x14ac:dyDescent="0.45">
      <c r="L2043" s="3" t="s">
        <v>143</v>
      </c>
      <c r="M2043" s="3" t="s">
        <v>61</v>
      </c>
      <c r="N2043" s="5">
        <v>1.8833260588201194E-2</v>
      </c>
      <c r="O2043" s="3" t="s">
        <v>7</v>
      </c>
    </row>
    <row r="2044" spans="12:15" x14ac:dyDescent="0.45">
      <c r="L2044" s="6" t="s">
        <v>143</v>
      </c>
      <c r="M2044" s="6" t="s">
        <v>62</v>
      </c>
      <c r="N2044" s="8">
        <v>1.8675197881781597E-2</v>
      </c>
      <c r="O2044" s="6" t="s">
        <v>7</v>
      </c>
    </row>
    <row r="2045" spans="12:15" x14ac:dyDescent="0.45">
      <c r="L2045" s="3" t="s">
        <v>143</v>
      </c>
      <c r="M2045" s="3" t="s">
        <v>63</v>
      </c>
      <c r="N2045" s="5">
        <v>1.8664293896612099E-2</v>
      </c>
      <c r="O2045" s="3" t="s">
        <v>7</v>
      </c>
    </row>
    <row r="2046" spans="12:15" x14ac:dyDescent="0.45">
      <c r="L2046" s="6" t="s">
        <v>143</v>
      </c>
      <c r="M2046" s="6" t="s">
        <v>64</v>
      </c>
      <c r="N2046" s="8">
        <v>1.8526136056188185E-2</v>
      </c>
      <c r="O2046" s="6" t="s">
        <v>7</v>
      </c>
    </row>
    <row r="2047" spans="12:15" x14ac:dyDescent="0.45">
      <c r="L2047" s="3" t="s">
        <v>143</v>
      </c>
      <c r="M2047" s="3" t="s">
        <v>65</v>
      </c>
      <c r="N2047" s="5">
        <v>1.7752294534643175E-2</v>
      </c>
      <c r="O2047" s="3" t="s">
        <v>7</v>
      </c>
    </row>
    <row r="2048" spans="12:15" x14ac:dyDescent="0.45">
      <c r="L2048" s="6" t="s">
        <v>143</v>
      </c>
      <c r="M2048" s="6" t="s">
        <v>66</v>
      </c>
      <c r="N2048" s="8">
        <v>1.7523584756497301E-2</v>
      </c>
      <c r="O2048" s="6" t="s">
        <v>7</v>
      </c>
    </row>
    <row r="2049" spans="12:15" x14ac:dyDescent="0.45">
      <c r="L2049" s="3" t="s">
        <v>143</v>
      </c>
      <c r="M2049" s="3" t="s">
        <v>67</v>
      </c>
      <c r="N2049" s="5">
        <v>1.8222247847362046E-2</v>
      </c>
      <c r="O2049" s="3" t="s">
        <v>7</v>
      </c>
    </row>
    <row r="2050" spans="12:15" x14ac:dyDescent="0.45">
      <c r="L2050" s="6" t="s">
        <v>143</v>
      </c>
      <c r="M2050" s="6" t="s">
        <v>68</v>
      </c>
      <c r="N2050" s="8">
        <v>2.8486887880279695E-2</v>
      </c>
      <c r="O2050" s="6" t="s">
        <v>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0B27-B86B-4A9C-B08F-9057D044E97C}">
  <dimension ref="A1:LO88"/>
  <sheetViews>
    <sheetView workbookViewId="0">
      <selection sqref="A1:BH1"/>
    </sheetView>
  </sheetViews>
  <sheetFormatPr defaultRowHeight="14.25" x14ac:dyDescent="0.45"/>
  <cols>
    <col min="2" max="2" width="20.1328125" bestFit="1" customWidth="1"/>
    <col min="3" max="3" width="10.59765625" bestFit="1" customWidth="1"/>
    <col min="4" max="63" width="10.59765625" customWidth="1"/>
    <col min="65" max="65" width="20.1328125" bestFit="1" customWidth="1"/>
    <col min="66" max="66" width="10.59765625" bestFit="1" customWidth="1"/>
    <col min="67" max="126" width="10.59765625" customWidth="1"/>
    <col min="128" max="128" width="20.1328125" bestFit="1" customWidth="1"/>
    <col min="129" max="129" width="10.59765625" bestFit="1" customWidth="1"/>
    <col min="130" max="189" width="10.59765625" customWidth="1"/>
    <col min="191" max="191" width="20.1328125" bestFit="1" customWidth="1"/>
    <col min="192" max="192" width="10.59765625" bestFit="1" customWidth="1"/>
    <col min="193" max="252" width="10.59765625" customWidth="1"/>
    <col min="254" max="255" width="10.59765625" customWidth="1"/>
    <col min="256" max="256" width="15.1328125" bestFit="1" customWidth="1"/>
    <col min="257" max="259" width="10.59765625" customWidth="1"/>
    <col min="260" max="260" width="30.59765625" customWidth="1"/>
    <col min="262" max="262" width="20.1328125" bestFit="1" customWidth="1"/>
    <col min="263" max="322" width="10.59765625" customWidth="1"/>
    <col min="324" max="324" width="20.1328125" bestFit="1" customWidth="1"/>
    <col min="325" max="325" width="10.59765625" bestFit="1" customWidth="1"/>
    <col min="326" max="326" width="12.6640625" bestFit="1" customWidth="1"/>
    <col min="327" max="327" width="10.59765625" customWidth="1"/>
  </cols>
  <sheetData>
    <row r="1" spans="1:327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</row>
    <row r="9" spans="1:327" ht="14.65" thickBot="1" x14ac:dyDescent="0.5">
      <c r="B9" s="1" t="str">
        <f>IF(A11="x","DeActivated","~TFM_DINS-TSL: attribute=FLO_EMIS; other_indexes=ACT; region=GBR")</f>
        <v>~TFM_DINS-TSL: attribute=FLO_EMIS; other_indexes=ACT; region=GBR</v>
      </c>
      <c r="BM9" s="1" t="str">
        <f>IF(A11="x","DeActivated","~TFM_DINS-TSL: attribute=FLO_SHAR; limtype=FX; region=GBR")</f>
        <v>~TFM_DINS-TSL: attribute=FLO_SHAR; limtype=FX; region=GBR</v>
      </c>
      <c r="DX9" s="1" t="str">
        <f>IF(A11="x","DeActivated","~TFM_DINS-TSL: attribute=FLO_SHAR; limtype=FX; region=GBR")</f>
        <v>~TFM_DINS-TSL: attribute=FLO_SHAR; limtype=FX; region=GBR</v>
      </c>
      <c r="GI9" s="1" t="str">
        <f>IF(A11="x","DeActivated","~TFM_DINS-TSL: attribute=FLO_SHAR; limtype=FX; region=GBR")</f>
        <v>~TFM_DINS-TSL: attribute=FLO_SHAR; limtype=FX; region=GBR</v>
      </c>
      <c r="IT9" s="1" t="str">
        <f>IF(A11="x","DeActivated","~TFM_INS: region=GBR")</f>
        <v>~TFM_INS: region=GBR</v>
      </c>
      <c r="JB9" s="1" t="str">
        <f>IF(A11="x","DeActivated","~TFM_DINS-TSL: attribute=NCAP_PKCNT; region=GBR")</f>
        <v>~TFM_DINS-TSL: attribute=NCAP_PKCNT; region=GBR</v>
      </c>
      <c r="LL9" s="1" t="str">
        <f>IF(A11="x","DeActivated","~TFM_DINS-AT: region=GBR")</f>
        <v>~TFM_DINS-AT: region=GBR</v>
      </c>
    </row>
    <row r="10" spans="1:327" ht="15.75" thickBot="1" x14ac:dyDescent="0.6">
      <c r="B10" s="2" t="s">
        <v>4</v>
      </c>
      <c r="C10" s="2" t="s">
        <v>1</v>
      </c>
      <c r="D10" s="2" t="s">
        <v>6</v>
      </c>
      <c r="E10" s="2" t="s">
        <v>10</v>
      </c>
      <c r="F10" s="2" t="s">
        <v>11</v>
      </c>
      <c r="G10" s="2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  <c r="M10" s="2" t="s">
        <v>18</v>
      </c>
      <c r="N10" s="2" t="s">
        <v>19</v>
      </c>
      <c r="O10" s="2" t="s">
        <v>20</v>
      </c>
      <c r="P10" s="2" t="s">
        <v>21</v>
      </c>
      <c r="Q10" s="2" t="s">
        <v>22</v>
      </c>
      <c r="R10" s="2" t="s">
        <v>23</v>
      </c>
      <c r="S10" s="2" t="s">
        <v>24</v>
      </c>
      <c r="T10" s="2" t="s">
        <v>25</v>
      </c>
      <c r="U10" s="2" t="s">
        <v>26</v>
      </c>
      <c r="V10" s="2" t="s">
        <v>27</v>
      </c>
      <c r="W10" s="2" t="s">
        <v>28</v>
      </c>
      <c r="X10" s="2" t="s">
        <v>29</v>
      </c>
      <c r="Y10" s="2" t="s">
        <v>30</v>
      </c>
      <c r="Z10" s="2" t="s">
        <v>31</v>
      </c>
      <c r="AA10" s="2" t="s">
        <v>32</v>
      </c>
      <c r="AB10" s="2" t="s">
        <v>33</v>
      </c>
      <c r="AC10" s="2" t="s">
        <v>34</v>
      </c>
      <c r="AD10" s="2" t="s">
        <v>35</v>
      </c>
      <c r="AE10" s="2" t="s">
        <v>36</v>
      </c>
      <c r="AF10" s="2" t="s">
        <v>37</v>
      </c>
      <c r="AG10" s="2" t="s">
        <v>38</v>
      </c>
      <c r="AH10" s="2" t="s">
        <v>39</v>
      </c>
      <c r="AI10" s="2" t="s">
        <v>40</v>
      </c>
      <c r="AJ10" s="2" t="s">
        <v>41</v>
      </c>
      <c r="AK10" s="2" t="s">
        <v>42</v>
      </c>
      <c r="AL10" s="2" t="s">
        <v>43</v>
      </c>
      <c r="AM10" s="2" t="s">
        <v>44</v>
      </c>
      <c r="AN10" s="2" t="s">
        <v>45</v>
      </c>
      <c r="AO10" s="2" t="s">
        <v>46</v>
      </c>
      <c r="AP10" s="2" t="s">
        <v>47</v>
      </c>
      <c r="AQ10" s="2" t="s">
        <v>48</v>
      </c>
      <c r="AR10" s="2" t="s">
        <v>49</v>
      </c>
      <c r="AS10" s="2" t="s">
        <v>50</v>
      </c>
      <c r="AT10" s="2" t="s">
        <v>51</v>
      </c>
      <c r="AU10" s="2" t="s">
        <v>52</v>
      </c>
      <c r="AV10" s="2" t="s">
        <v>53</v>
      </c>
      <c r="AW10" s="2" t="s">
        <v>54</v>
      </c>
      <c r="AX10" s="2" t="s">
        <v>55</v>
      </c>
      <c r="AY10" s="2" t="s">
        <v>56</v>
      </c>
      <c r="AZ10" s="2" t="s">
        <v>57</v>
      </c>
      <c r="BA10" s="2" t="s">
        <v>58</v>
      </c>
      <c r="BB10" s="2" t="s">
        <v>59</v>
      </c>
      <c r="BC10" s="2" t="s">
        <v>60</v>
      </c>
      <c r="BD10" s="2" t="s">
        <v>61</v>
      </c>
      <c r="BE10" s="2" t="s">
        <v>62</v>
      </c>
      <c r="BF10" s="2" t="s">
        <v>63</v>
      </c>
      <c r="BG10" s="2" t="s">
        <v>64</v>
      </c>
      <c r="BH10" s="2" t="s">
        <v>65</v>
      </c>
      <c r="BI10" s="2" t="s">
        <v>66</v>
      </c>
      <c r="BJ10" s="2" t="s">
        <v>67</v>
      </c>
      <c r="BK10" s="2" t="s">
        <v>68</v>
      </c>
      <c r="BM10" s="2" t="s">
        <v>4</v>
      </c>
      <c r="BN10" s="2" t="s">
        <v>1</v>
      </c>
      <c r="BO10" s="2" t="s">
        <v>6</v>
      </c>
      <c r="BP10" s="2" t="s">
        <v>10</v>
      </c>
      <c r="BQ10" s="2" t="s">
        <v>11</v>
      </c>
      <c r="BR10" s="2" t="s">
        <v>12</v>
      </c>
      <c r="BS10" s="2" t="s">
        <v>13</v>
      </c>
      <c r="BT10" s="2" t="s">
        <v>14</v>
      </c>
      <c r="BU10" s="2" t="s">
        <v>15</v>
      </c>
      <c r="BV10" s="2" t="s">
        <v>16</v>
      </c>
      <c r="BW10" s="2" t="s">
        <v>17</v>
      </c>
      <c r="BX10" s="2" t="s">
        <v>18</v>
      </c>
      <c r="BY10" s="2" t="s">
        <v>19</v>
      </c>
      <c r="BZ10" s="2" t="s">
        <v>20</v>
      </c>
      <c r="CA10" s="2" t="s">
        <v>21</v>
      </c>
      <c r="CB10" s="2" t="s">
        <v>22</v>
      </c>
      <c r="CC10" s="2" t="s">
        <v>23</v>
      </c>
      <c r="CD10" s="2" t="s">
        <v>24</v>
      </c>
      <c r="CE10" s="2" t="s">
        <v>25</v>
      </c>
      <c r="CF10" s="2" t="s">
        <v>26</v>
      </c>
      <c r="CG10" s="2" t="s">
        <v>27</v>
      </c>
      <c r="CH10" s="2" t="s">
        <v>28</v>
      </c>
      <c r="CI10" s="2" t="s">
        <v>29</v>
      </c>
      <c r="CJ10" s="2" t="s">
        <v>30</v>
      </c>
      <c r="CK10" s="2" t="s">
        <v>31</v>
      </c>
      <c r="CL10" s="2" t="s">
        <v>32</v>
      </c>
      <c r="CM10" s="2" t="s">
        <v>33</v>
      </c>
      <c r="CN10" s="2" t="s">
        <v>34</v>
      </c>
      <c r="CO10" s="2" t="s">
        <v>35</v>
      </c>
      <c r="CP10" s="2" t="s">
        <v>36</v>
      </c>
      <c r="CQ10" s="2" t="s">
        <v>37</v>
      </c>
      <c r="CR10" s="2" t="s">
        <v>38</v>
      </c>
      <c r="CS10" s="2" t="s">
        <v>39</v>
      </c>
      <c r="CT10" s="2" t="s">
        <v>40</v>
      </c>
      <c r="CU10" s="2" t="s">
        <v>41</v>
      </c>
      <c r="CV10" s="2" t="s">
        <v>42</v>
      </c>
      <c r="CW10" s="2" t="s">
        <v>43</v>
      </c>
      <c r="CX10" s="2" t="s">
        <v>44</v>
      </c>
      <c r="CY10" s="2" t="s">
        <v>45</v>
      </c>
      <c r="CZ10" s="2" t="s">
        <v>46</v>
      </c>
      <c r="DA10" s="2" t="s">
        <v>47</v>
      </c>
      <c r="DB10" s="2" t="s">
        <v>48</v>
      </c>
      <c r="DC10" s="2" t="s">
        <v>49</v>
      </c>
      <c r="DD10" s="2" t="s">
        <v>50</v>
      </c>
      <c r="DE10" s="2" t="s">
        <v>51</v>
      </c>
      <c r="DF10" s="2" t="s">
        <v>52</v>
      </c>
      <c r="DG10" s="2" t="s">
        <v>53</v>
      </c>
      <c r="DH10" s="2" t="s">
        <v>54</v>
      </c>
      <c r="DI10" s="2" t="s">
        <v>55</v>
      </c>
      <c r="DJ10" s="2" t="s">
        <v>56</v>
      </c>
      <c r="DK10" s="2" t="s">
        <v>57</v>
      </c>
      <c r="DL10" s="2" t="s">
        <v>58</v>
      </c>
      <c r="DM10" s="2" t="s">
        <v>59</v>
      </c>
      <c r="DN10" s="2" t="s">
        <v>60</v>
      </c>
      <c r="DO10" s="2" t="s">
        <v>61</v>
      </c>
      <c r="DP10" s="2" t="s">
        <v>62</v>
      </c>
      <c r="DQ10" s="2" t="s">
        <v>63</v>
      </c>
      <c r="DR10" s="2" t="s">
        <v>64</v>
      </c>
      <c r="DS10" s="2" t="s">
        <v>65</v>
      </c>
      <c r="DT10" s="2" t="s">
        <v>66</v>
      </c>
      <c r="DU10" s="2" t="s">
        <v>67</v>
      </c>
      <c r="DV10" s="2" t="s">
        <v>68</v>
      </c>
      <c r="DX10" s="2" t="s">
        <v>4</v>
      </c>
      <c r="DY10" s="2" t="s">
        <v>1</v>
      </c>
      <c r="DZ10" s="2" t="s">
        <v>6</v>
      </c>
      <c r="EA10" s="2" t="s">
        <v>10</v>
      </c>
      <c r="EB10" s="2" t="s">
        <v>11</v>
      </c>
      <c r="EC10" s="2" t="s">
        <v>12</v>
      </c>
      <c r="ED10" s="2" t="s">
        <v>13</v>
      </c>
      <c r="EE10" s="2" t="s">
        <v>14</v>
      </c>
      <c r="EF10" s="2" t="s">
        <v>15</v>
      </c>
      <c r="EG10" s="2" t="s">
        <v>16</v>
      </c>
      <c r="EH10" s="2" t="s">
        <v>17</v>
      </c>
      <c r="EI10" s="2" t="s">
        <v>18</v>
      </c>
      <c r="EJ10" s="2" t="s">
        <v>19</v>
      </c>
      <c r="EK10" s="2" t="s">
        <v>20</v>
      </c>
      <c r="EL10" s="2" t="s">
        <v>21</v>
      </c>
      <c r="EM10" s="2" t="s">
        <v>22</v>
      </c>
      <c r="EN10" s="2" t="s">
        <v>23</v>
      </c>
      <c r="EO10" s="2" t="s">
        <v>24</v>
      </c>
      <c r="EP10" s="2" t="s">
        <v>25</v>
      </c>
      <c r="EQ10" s="2" t="s">
        <v>26</v>
      </c>
      <c r="ER10" s="2" t="s">
        <v>27</v>
      </c>
      <c r="ES10" s="2" t="s">
        <v>28</v>
      </c>
      <c r="ET10" s="2" t="s">
        <v>29</v>
      </c>
      <c r="EU10" s="2" t="s">
        <v>30</v>
      </c>
      <c r="EV10" s="2" t="s">
        <v>31</v>
      </c>
      <c r="EW10" s="2" t="s">
        <v>32</v>
      </c>
      <c r="EX10" s="2" t="s">
        <v>33</v>
      </c>
      <c r="EY10" s="2" t="s">
        <v>34</v>
      </c>
      <c r="EZ10" s="2" t="s">
        <v>35</v>
      </c>
      <c r="FA10" s="2" t="s">
        <v>36</v>
      </c>
      <c r="FB10" s="2" t="s">
        <v>37</v>
      </c>
      <c r="FC10" s="2" t="s">
        <v>38</v>
      </c>
      <c r="FD10" s="2" t="s">
        <v>39</v>
      </c>
      <c r="FE10" s="2" t="s">
        <v>40</v>
      </c>
      <c r="FF10" s="2" t="s">
        <v>41</v>
      </c>
      <c r="FG10" s="2" t="s">
        <v>42</v>
      </c>
      <c r="FH10" s="2" t="s">
        <v>43</v>
      </c>
      <c r="FI10" s="2" t="s">
        <v>44</v>
      </c>
      <c r="FJ10" s="2" t="s">
        <v>45</v>
      </c>
      <c r="FK10" s="2" t="s">
        <v>46</v>
      </c>
      <c r="FL10" s="2" t="s">
        <v>47</v>
      </c>
      <c r="FM10" s="2" t="s">
        <v>48</v>
      </c>
      <c r="FN10" s="2" t="s">
        <v>49</v>
      </c>
      <c r="FO10" s="2" t="s">
        <v>50</v>
      </c>
      <c r="FP10" s="2" t="s">
        <v>51</v>
      </c>
      <c r="FQ10" s="2" t="s">
        <v>52</v>
      </c>
      <c r="FR10" s="2" t="s">
        <v>53</v>
      </c>
      <c r="FS10" s="2" t="s">
        <v>54</v>
      </c>
      <c r="FT10" s="2" t="s">
        <v>55</v>
      </c>
      <c r="FU10" s="2" t="s">
        <v>56</v>
      </c>
      <c r="FV10" s="2" t="s">
        <v>57</v>
      </c>
      <c r="FW10" s="2" t="s">
        <v>58</v>
      </c>
      <c r="FX10" s="2" t="s">
        <v>59</v>
      </c>
      <c r="FY10" s="2" t="s">
        <v>60</v>
      </c>
      <c r="FZ10" s="2" t="s">
        <v>61</v>
      </c>
      <c r="GA10" s="2" t="s">
        <v>62</v>
      </c>
      <c r="GB10" s="2" t="s">
        <v>63</v>
      </c>
      <c r="GC10" s="2" t="s">
        <v>64</v>
      </c>
      <c r="GD10" s="2" t="s">
        <v>65</v>
      </c>
      <c r="GE10" s="2" t="s">
        <v>66</v>
      </c>
      <c r="GF10" s="2" t="s">
        <v>67</v>
      </c>
      <c r="GG10" s="2" t="s">
        <v>68</v>
      </c>
      <c r="GI10" s="2" t="s">
        <v>4</v>
      </c>
      <c r="GJ10" s="2" t="s">
        <v>1</v>
      </c>
      <c r="GK10" s="2" t="s">
        <v>6</v>
      </c>
      <c r="GL10" s="2" t="s">
        <v>10</v>
      </c>
      <c r="GM10" s="2" t="s">
        <v>11</v>
      </c>
      <c r="GN10" s="2" t="s">
        <v>12</v>
      </c>
      <c r="GO10" s="2" t="s">
        <v>13</v>
      </c>
      <c r="GP10" s="2" t="s">
        <v>14</v>
      </c>
      <c r="GQ10" s="2" t="s">
        <v>15</v>
      </c>
      <c r="GR10" s="2" t="s">
        <v>16</v>
      </c>
      <c r="GS10" s="2" t="s">
        <v>17</v>
      </c>
      <c r="GT10" s="2" t="s">
        <v>18</v>
      </c>
      <c r="GU10" s="2" t="s">
        <v>19</v>
      </c>
      <c r="GV10" s="2" t="s">
        <v>20</v>
      </c>
      <c r="GW10" s="2" t="s">
        <v>21</v>
      </c>
      <c r="GX10" s="2" t="s">
        <v>22</v>
      </c>
      <c r="GY10" s="2" t="s">
        <v>23</v>
      </c>
      <c r="GZ10" s="2" t="s">
        <v>24</v>
      </c>
      <c r="HA10" s="2" t="s">
        <v>25</v>
      </c>
      <c r="HB10" s="2" t="s">
        <v>26</v>
      </c>
      <c r="HC10" s="2" t="s">
        <v>27</v>
      </c>
      <c r="HD10" s="2" t="s">
        <v>28</v>
      </c>
      <c r="HE10" s="2" t="s">
        <v>29</v>
      </c>
      <c r="HF10" s="2" t="s">
        <v>30</v>
      </c>
      <c r="HG10" s="2" t="s">
        <v>31</v>
      </c>
      <c r="HH10" s="2" t="s">
        <v>32</v>
      </c>
      <c r="HI10" s="2" t="s">
        <v>33</v>
      </c>
      <c r="HJ10" s="2" t="s">
        <v>34</v>
      </c>
      <c r="HK10" s="2" t="s">
        <v>35</v>
      </c>
      <c r="HL10" s="2" t="s">
        <v>36</v>
      </c>
      <c r="HM10" s="2" t="s">
        <v>37</v>
      </c>
      <c r="HN10" s="2" t="s">
        <v>38</v>
      </c>
      <c r="HO10" s="2" t="s">
        <v>39</v>
      </c>
      <c r="HP10" s="2" t="s">
        <v>40</v>
      </c>
      <c r="HQ10" s="2" t="s">
        <v>41</v>
      </c>
      <c r="HR10" s="2" t="s">
        <v>42</v>
      </c>
      <c r="HS10" s="2" t="s">
        <v>43</v>
      </c>
      <c r="HT10" s="2" t="s">
        <v>44</v>
      </c>
      <c r="HU10" s="2" t="s">
        <v>45</v>
      </c>
      <c r="HV10" s="2" t="s">
        <v>46</v>
      </c>
      <c r="HW10" s="2" t="s">
        <v>47</v>
      </c>
      <c r="HX10" s="2" t="s">
        <v>48</v>
      </c>
      <c r="HY10" s="2" t="s">
        <v>49</v>
      </c>
      <c r="HZ10" s="2" t="s">
        <v>50</v>
      </c>
      <c r="IA10" s="2" t="s">
        <v>51</v>
      </c>
      <c r="IB10" s="2" t="s">
        <v>52</v>
      </c>
      <c r="IC10" s="2" t="s">
        <v>53</v>
      </c>
      <c r="ID10" s="2" t="s">
        <v>54</v>
      </c>
      <c r="IE10" s="2" t="s">
        <v>55</v>
      </c>
      <c r="IF10" s="2" t="s">
        <v>56</v>
      </c>
      <c r="IG10" s="2" t="s">
        <v>57</v>
      </c>
      <c r="IH10" s="2" t="s">
        <v>58</v>
      </c>
      <c r="II10" s="2" t="s">
        <v>59</v>
      </c>
      <c r="IJ10" s="2" t="s">
        <v>60</v>
      </c>
      <c r="IK10" s="2" t="s">
        <v>61</v>
      </c>
      <c r="IL10" s="2" t="s">
        <v>62</v>
      </c>
      <c r="IM10" s="2" t="s">
        <v>63</v>
      </c>
      <c r="IN10" s="2" t="s">
        <v>64</v>
      </c>
      <c r="IO10" s="2" t="s">
        <v>65</v>
      </c>
      <c r="IP10" s="2" t="s">
        <v>66</v>
      </c>
      <c r="IQ10" s="2" t="s">
        <v>67</v>
      </c>
      <c r="IR10" s="2" t="s">
        <v>68</v>
      </c>
      <c r="IT10" s="2" t="s">
        <v>144</v>
      </c>
      <c r="IU10" s="2" t="s">
        <v>4</v>
      </c>
      <c r="IV10" s="2" t="s">
        <v>1</v>
      </c>
      <c r="IW10" s="2" t="s">
        <v>145</v>
      </c>
      <c r="IX10" s="2" t="s">
        <v>146</v>
      </c>
      <c r="IY10" s="2" t="s">
        <v>147</v>
      </c>
      <c r="IZ10" s="2" t="s">
        <v>2</v>
      </c>
      <c r="JB10" s="2" t="s">
        <v>4</v>
      </c>
      <c r="JC10" s="2" t="s">
        <v>6</v>
      </c>
      <c r="JD10" s="2" t="s">
        <v>10</v>
      </c>
      <c r="JE10" s="2" t="s">
        <v>11</v>
      </c>
      <c r="JF10" s="2" t="s">
        <v>12</v>
      </c>
      <c r="JG10" s="2" t="s">
        <v>13</v>
      </c>
      <c r="JH10" s="2" t="s">
        <v>14</v>
      </c>
      <c r="JI10" s="2" t="s">
        <v>15</v>
      </c>
      <c r="JJ10" s="2" t="s">
        <v>16</v>
      </c>
      <c r="JK10" s="2" t="s">
        <v>17</v>
      </c>
      <c r="JL10" s="2" t="s">
        <v>18</v>
      </c>
      <c r="JM10" s="2" t="s">
        <v>19</v>
      </c>
      <c r="JN10" s="2" t="s">
        <v>20</v>
      </c>
      <c r="JO10" s="2" t="s">
        <v>21</v>
      </c>
      <c r="JP10" s="2" t="s">
        <v>22</v>
      </c>
      <c r="JQ10" s="2" t="s">
        <v>23</v>
      </c>
      <c r="JR10" s="2" t="s">
        <v>24</v>
      </c>
      <c r="JS10" s="2" t="s">
        <v>25</v>
      </c>
      <c r="JT10" s="2" t="s">
        <v>26</v>
      </c>
      <c r="JU10" s="2" t="s">
        <v>27</v>
      </c>
      <c r="JV10" s="2" t="s">
        <v>28</v>
      </c>
      <c r="JW10" s="2" t="s">
        <v>29</v>
      </c>
      <c r="JX10" s="2" t="s">
        <v>30</v>
      </c>
      <c r="JY10" s="2" t="s">
        <v>31</v>
      </c>
      <c r="JZ10" s="2" t="s">
        <v>32</v>
      </c>
      <c r="KA10" s="2" t="s">
        <v>33</v>
      </c>
      <c r="KB10" s="2" t="s">
        <v>34</v>
      </c>
      <c r="KC10" s="2" t="s">
        <v>35</v>
      </c>
      <c r="KD10" s="2" t="s">
        <v>36</v>
      </c>
      <c r="KE10" s="2" t="s">
        <v>37</v>
      </c>
      <c r="KF10" s="2" t="s">
        <v>38</v>
      </c>
      <c r="KG10" s="2" t="s">
        <v>39</v>
      </c>
      <c r="KH10" s="2" t="s">
        <v>40</v>
      </c>
      <c r="KI10" s="2" t="s">
        <v>41</v>
      </c>
      <c r="KJ10" s="2" t="s">
        <v>42</v>
      </c>
      <c r="KK10" s="2" t="s">
        <v>43</v>
      </c>
      <c r="KL10" s="2" t="s">
        <v>44</v>
      </c>
      <c r="KM10" s="2" t="s">
        <v>45</v>
      </c>
      <c r="KN10" s="2" t="s">
        <v>46</v>
      </c>
      <c r="KO10" s="2" t="s">
        <v>47</v>
      </c>
      <c r="KP10" s="2" t="s">
        <v>48</v>
      </c>
      <c r="KQ10" s="2" t="s">
        <v>49</v>
      </c>
      <c r="KR10" s="2" t="s">
        <v>50</v>
      </c>
      <c r="KS10" s="2" t="s">
        <v>51</v>
      </c>
      <c r="KT10" s="2" t="s">
        <v>52</v>
      </c>
      <c r="KU10" s="2" t="s">
        <v>53</v>
      </c>
      <c r="KV10" s="2" t="s">
        <v>54</v>
      </c>
      <c r="KW10" s="2" t="s">
        <v>55</v>
      </c>
      <c r="KX10" s="2" t="s">
        <v>56</v>
      </c>
      <c r="KY10" s="2" t="s">
        <v>57</v>
      </c>
      <c r="KZ10" s="2" t="s">
        <v>58</v>
      </c>
      <c r="LA10" s="2" t="s">
        <v>59</v>
      </c>
      <c r="LB10" s="2" t="s">
        <v>60</v>
      </c>
      <c r="LC10" s="2" t="s">
        <v>61</v>
      </c>
      <c r="LD10" s="2" t="s">
        <v>62</v>
      </c>
      <c r="LE10" s="2" t="s">
        <v>63</v>
      </c>
      <c r="LF10" s="2" t="s">
        <v>64</v>
      </c>
      <c r="LG10" s="2" t="s">
        <v>65</v>
      </c>
      <c r="LH10" s="2" t="s">
        <v>66</v>
      </c>
      <c r="LI10" s="2" t="s">
        <v>67</v>
      </c>
      <c r="LJ10" s="2" t="s">
        <v>68</v>
      </c>
      <c r="LL10" s="2" t="s">
        <v>4</v>
      </c>
      <c r="LM10" s="2" t="s">
        <v>1</v>
      </c>
      <c r="LN10" s="2" t="s">
        <v>148</v>
      </c>
      <c r="LO10" s="2" t="s">
        <v>149</v>
      </c>
    </row>
    <row r="11" spans="1:327" x14ac:dyDescent="0.45">
      <c r="B11" s="3" t="s">
        <v>150</v>
      </c>
      <c r="C11" s="3" t="s">
        <v>151</v>
      </c>
      <c r="D11" s="5">
        <v>0</v>
      </c>
      <c r="E11" s="5">
        <v>0</v>
      </c>
      <c r="F11" s="5">
        <v>0.88529427773724978</v>
      </c>
      <c r="G11" s="5">
        <v>0.34839974289921377</v>
      </c>
      <c r="H11" s="5">
        <v>0.25900497490928054</v>
      </c>
      <c r="I11" s="5">
        <v>0.27803658915179408</v>
      </c>
      <c r="J11" s="5">
        <v>0.33813613685200467</v>
      </c>
      <c r="K11" s="5">
        <v>0.7773577474964013</v>
      </c>
      <c r="L11" s="5">
        <v>0</v>
      </c>
      <c r="M11" s="5">
        <v>0</v>
      </c>
      <c r="N11" s="5">
        <v>0</v>
      </c>
      <c r="O11" s="5">
        <v>0.81969898361444449</v>
      </c>
      <c r="P11" s="5">
        <v>0.39317682209602961</v>
      </c>
      <c r="Q11" s="5">
        <v>0.21407585622091635</v>
      </c>
      <c r="R11" s="5">
        <v>0.17002665677608308</v>
      </c>
      <c r="S11" s="5">
        <v>0.15973269472451551</v>
      </c>
      <c r="T11" s="5">
        <v>0.19269698281121508</v>
      </c>
      <c r="U11" s="5">
        <v>0.32220032871568333</v>
      </c>
      <c r="V11" s="5">
        <v>0.79194205739093737</v>
      </c>
      <c r="W11" s="5">
        <v>0</v>
      </c>
      <c r="X11" s="5">
        <v>0</v>
      </c>
      <c r="Y11" s="5">
        <v>0.34984430146862783</v>
      </c>
      <c r="Z11" s="5">
        <v>0.22257022932543521</v>
      </c>
      <c r="AA11" s="5">
        <v>0.1877688518544493</v>
      </c>
      <c r="AB11" s="5">
        <v>0.16499146353518768</v>
      </c>
      <c r="AC11" s="5">
        <v>0.15307013993525309</v>
      </c>
      <c r="AD11" s="5">
        <v>0.16758204408917987</v>
      </c>
      <c r="AE11" s="5">
        <v>0.20499030381315783</v>
      </c>
      <c r="AF11" s="5">
        <v>0.34391740157333678</v>
      </c>
      <c r="AG11" s="5">
        <v>0</v>
      </c>
      <c r="AH11" s="5">
        <v>0</v>
      </c>
      <c r="AI11" s="5">
        <v>0.47732404071776596</v>
      </c>
      <c r="AJ11" s="5">
        <v>0.23736113122926925</v>
      </c>
      <c r="AK11" s="5">
        <v>0.14640987815403764</v>
      </c>
      <c r="AL11" s="5">
        <v>0.11351889251642688</v>
      </c>
      <c r="AM11" s="5">
        <v>0.12139291091920973</v>
      </c>
      <c r="AN11" s="5">
        <v>0.13848461750360178</v>
      </c>
      <c r="AO11" s="5">
        <v>0.20384870191778642</v>
      </c>
      <c r="AP11" s="5">
        <v>0.40958247000430231</v>
      </c>
      <c r="AQ11" s="5">
        <v>0</v>
      </c>
      <c r="AR11" s="5">
        <v>0</v>
      </c>
      <c r="AS11" s="5">
        <v>0.95145144394380243</v>
      </c>
      <c r="AT11" s="5">
        <v>0.42798953207966889</v>
      </c>
      <c r="AU11" s="5">
        <v>0.24756131842337556</v>
      </c>
      <c r="AV11" s="5">
        <v>0.2046874325043736</v>
      </c>
      <c r="AW11" s="5">
        <v>0.20417439553898947</v>
      </c>
      <c r="AX11" s="5">
        <v>0.24258254615233982</v>
      </c>
      <c r="AY11" s="5">
        <v>0.49873493935776803</v>
      </c>
      <c r="AZ11" s="5">
        <v>0.95801644847992329</v>
      </c>
      <c r="BA11" s="5">
        <v>0</v>
      </c>
      <c r="BB11" s="5">
        <v>0</v>
      </c>
      <c r="BC11" s="5">
        <v>0</v>
      </c>
      <c r="BD11" s="5">
        <v>0.91630671999722635</v>
      </c>
      <c r="BE11" s="5">
        <v>0.36506201894294943</v>
      </c>
      <c r="BF11" s="5">
        <v>0.2346506475138542</v>
      </c>
      <c r="BG11" s="5">
        <v>0.24759003426360546</v>
      </c>
      <c r="BH11" s="5">
        <v>0.3825272186711986</v>
      </c>
      <c r="BI11" s="5">
        <v>0</v>
      </c>
      <c r="BJ11" s="5">
        <v>0</v>
      </c>
      <c r="BK11" s="5">
        <v>0</v>
      </c>
      <c r="BM11" s="3" t="s">
        <v>150</v>
      </c>
      <c r="BN11" s="3" t="s">
        <v>152</v>
      </c>
      <c r="BO11" s="5">
        <v>0</v>
      </c>
      <c r="BP11" s="5">
        <v>0</v>
      </c>
      <c r="BQ11" s="4">
        <v>0.79311152334599</v>
      </c>
      <c r="BR11" s="5">
        <v>0.22673249524728303</v>
      </c>
      <c r="BS11" s="5">
        <v>0.14727996919812464</v>
      </c>
      <c r="BT11" s="5">
        <v>0.10797677457599913</v>
      </c>
      <c r="BU11" s="4">
        <v>6.2682217946733648E-2</v>
      </c>
      <c r="BV11" s="5">
        <v>0.16768348718385034</v>
      </c>
      <c r="BW11" s="4">
        <v>0</v>
      </c>
      <c r="BX11" s="5">
        <v>0</v>
      </c>
      <c r="BY11" s="4">
        <v>0</v>
      </c>
      <c r="BZ11" s="4">
        <v>0.70304460195337659</v>
      </c>
      <c r="CA11" s="4">
        <v>0.25946065083033121</v>
      </c>
      <c r="CB11" s="4">
        <v>0.11283907463540054</v>
      </c>
      <c r="CC11" s="4">
        <v>8.0917888295373663E-2</v>
      </c>
      <c r="CD11" s="5">
        <v>3.2692211193412805E-2</v>
      </c>
      <c r="CE11" s="4">
        <v>1.7523625948339474E-2</v>
      </c>
      <c r="CF11" s="5">
        <v>4.7943349739407302E-2</v>
      </c>
      <c r="CG11" s="4">
        <v>0.31276770268449516</v>
      </c>
      <c r="CH11" s="5">
        <v>0</v>
      </c>
      <c r="CI11" s="5">
        <v>0</v>
      </c>
      <c r="CJ11" s="4">
        <v>0.20917216358584581</v>
      </c>
      <c r="CK11" s="5">
        <v>0.1536044022848283</v>
      </c>
      <c r="CL11" s="4">
        <v>0.10886740675096356</v>
      </c>
      <c r="CM11" s="5">
        <v>7.8862157575530639E-2</v>
      </c>
      <c r="CN11" s="5">
        <v>1.8223583744558468E-2</v>
      </c>
      <c r="CO11" s="5">
        <v>1.4938824239461806E-2</v>
      </c>
      <c r="CP11" s="5">
        <v>4.9960824076559759E-2</v>
      </c>
      <c r="CQ11" s="5">
        <v>0.17654756402815727</v>
      </c>
      <c r="CR11" s="5">
        <v>0</v>
      </c>
      <c r="CS11" s="5">
        <v>0</v>
      </c>
      <c r="CT11" s="5">
        <v>0.32292333294616898</v>
      </c>
      <c r="CU11" s="4">
        <v>0.15330646639385279</v>
      </c>
      <c r="CV11" s="4">
        <v>7.656942415234648E-2</v>
      </c>
      <c r="CW11" s="5">
        <v>5.6461467182233716E-2</v>
      </c>
      <c r="CX11" s="4">
        <v>2.6690862212917055E-2</v>
      </c>
      <c r="CY11" s="4">
        <v>2.5441020116052811E-2</v>
      </c>
      <c r="CZ11" s="4">
        <v>4.9659609634576128E-2</v>
      </c>
      <c r="DA11" s="4">
        <v>0.20783243598308901</v>
      </c>
      <c r="DB11" s="5">
        <v>0</v>
      </c>
      <c r="DC11" s="5">
        <v>0</v>
      </c>
      <c r="DD11" s="4">
        <v>0.91245753230676119</v>
      </c>
      <c r="DE11" s="4">
        <v>0.29680625450879172</v>
      </c>
      <c r="DF11" s="5">
        <v>0.14627824627792074</v>
      </c>
      <c r="DG11" s="5">
        <v>0.10654135768860451</v>
      </c>
      <c r="DH11" s="4">
        <v>3.0095619646754796E-2</v>
      </c>
      <c r="DI11" s="4">
        <v>3.6269041102621906E-2</v>
      </c>
      <c r="DJ11" s="4">
        <v>0.13429081874035867</v>
      </c>
      <c r="DK11" s="4">
        <v>8.1877554744750905E-2</v>
      </c>
      <c r="DL11" s="5">
        <v>0</v>
      </c>
      <c r="DM11" s="5">
        <v>0</v>
      </c>
      <c r="DN11" s="5">
        <v>0</v>
      </c>
      <c r="DO11" s="5">
        <v>0.84119961180073255</v>
      </c>
      <c r="DP11" s="5">
        <v>0.22905185969940722</v>
      </c>
      <c r="DQ11" s="5">
        <v>0.13368187664268655</v>
      </c>
      <c r="DR11" s="5">
        <v>0.10329410252046554</v>
      </c>
      <c r="DS11" s="5">
        <v>7.5327367389802252E-2</v>
      </c>
      <c r="DT11" s="4">
        <v>0</v>
      </c>
      <c r="DU11" s="5">
        <v>0</v>
      </c>
      <c r="DV11" s="5">
        <v>0</v>
      </c>
      <c r="DX11" s="3" t="s">
        <v>150</v>
      </c>
      <c r="DY11" s="3" t="s">
        <v>153</v>
      </c>
      <c r="DZ11" s="4">
        <v>0</v>
      </c>
      <c r="EA11" s="5">
        <v>0</v>
      </c>
      <c r="EB11" s="5">
        <v>0</v>
      </c>
      <c r="EC11" s="5">
        <v>0</v>
      </c>
      <c r="ED11" s="4">
        <v>0</v>
      </c>
      <c r="EE11" s="5">
        <v>5.2225466587065748E-2</v>
      </c>
      <c r="EF11" s="4">
        <v>0.15968251364628855</v>
      </c>
      <c r="EG11" s="5">
        <v>0.46336863447346455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1.1165034628549517E-2</v>
      </c>
      <c r="EO11" s="4">
        <v>5.2102723910496203E-2</v>
      </c>
      <c r="EP11" s="4">
        <v>8.9754822261107814E-2</v>
      </c>
      <c r="EQ11" s="4">
        <v>0.15150858716407603</v>
      </c>
      <c r="ER11" s="4">
        <v>0.2281040865885009</v>
      </c>
      <c r="ES11" s="4">
        <v>0</v>
      </c>
      <c r="ET11" s="5">
        <v>0</v>
      </c>
      <c r="EU11" s="5">
        <v>0</v>
      </c>
      <c r="EV11" s="5">
        <v>0</v>
      </c>
      <c r="EW11" s="5">
        <v>0</v>
      </c>
      <c r="EX11" s="4">
        <v>1.8902539469916994E-2</v>
      </c>
      <c r="EY11" s="5">
        <v>7.183293277195156E-2</v>
      </c>
      <c r="EZ11" s="5">
        <v>8.1069368896522151E-2</v>
      </c>
      <c r="FA11" s="5">
        <v>4.6708108032034241E-2</v>
      </c>
      <c r="FB11" s="5">
        <v>3.2483394974665222E-2</v>
      </c>
      <c r="FC11" s="5">
        <v>0</v>
      </c>
      <c r="FD11" s="5">
        <v>0</v>
      </c>
      <c r="FE11" s="5">
        <v>0</v>
      </c>
      <c r="FF11" s="5">
        <v>0</v>
      </c>
      <c r="FG11" s="5">
        <v>0</v>
      </c>
      <c r="FH11" s="4">
        <v>4.8348012857336829E-3</v>
      </c>
      <c r="FI11" s="5">
        <v>4.6210789422937201E-2</v>
      </c>
      <c r="FJ11" s="5">
        <v>5.1609433055717711E-2</v>
      </c>
      <c r="FK11" s="5">
        <v>6.9663238106320149E-2</v>
      </c>
      <c r="FL11" s="5">
        <v>2.1450883344915909E-2</v>
      </c>
      <c r="FM11" s="4">
        <v>0</v>
      </c>
      <c r="FN11" s="5">
        <v>0</v>
      </c>
      <c r="FO11" s="5">
        <v>0</v>
      </c>
      <c r="FP11" s="4">
        <v>0</v>
      </c>
      <c r="FQ11" s="4">
        <v>0</v>
      </c>
      <c r="FR11" s="4">
        <v>1.4913131336995275E-2</v>
      </c>
      <c r="FS11" s="4">
        <v>8.6622915729640718E-2</v>
      </c>
      <c r="FT11" s="5">
        <v>0.10917628845331978</v>
      </c>
      <c r="FU11" s="5">
        <v>0.11940030525146744</v>
      </c>
      <c r="FV11" s="4">
        <v>0.45496809959522394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3.7567587331334105E-2</v>
      </c>
      <c r="GD11" s="5">
        <v>0.176778880555061</v>
      </c>
      <c r="GE11" s="5">
        <v>0</v>
      </c>
      <c r="GF11" s="5">
        <v>0</v>
      </c>
      <c r="GG11" s="5">
        <v>0</v>
      </c>
      <c r="GI11" s="3" t="s">
        <v>150</v>
      </c>
      <c r="GJ11" s="3" t="s">
        <v>154</v>
      </c>
      <c r="GK11" s="5">
        <v>0</v>
      </c>
      <c r="GL11" s="5">
        <v>0</v>
      </c>
      <c r="GM11" s="5">
        <v>0</v>
      </c>
      <c r="GN11" s="5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5">
        <v>0</v>
      </c>
      <c r="GV11" s="5">
        <v>0</v>
      </c>
      <c r="GW11" s="5">
        <v>0</v>
      </c>
      <c r="GX11" s="5">
        <v>0</v>
      </c>
      <c r="GY11" s="5">
        <v>0</v>
      </c>
      <c r="GZ11" s="5">
        <v>0</v>
      </c>
      <c r="HA11" s="4">
        <v>0</v>
      </c>
      <c r="HB11" s="5">
        <v>1.1148559522839441E-2</v>
      </c>
      <c r="HC11" s="5">
        <v>0.10433997577184775</v>
      </c>
      <c r="HD11" s="5">
        <v>0</v>
      </c>
      <c r="HE11" s="5">
        <v>0</v>
      </c>
      <c r="HF11" s="5">
        <v>0</v>
      </c>
      <c r="HG11" s="5">
        <v>0</v>
      </c>
      <c r="HH11" s="5">
        <v>0</v>
      </c>
      <c r="HI11" s="5">
        <v>0</v>
      </c>
      <c r="HJ11" s="5">
        <v>0</v>
      </c>
      <c r="HK11" s="5">
        <v>0</v>
      </c>
      <c r="HL11" s="4">
        <v>3.6281755284358536E-2</v>
      </c>
      <c r="HM11" s="5">
        <v>1.1367319371705688E-2</v>
      </c>
      <c r="HN11" s="5">
        <v>0</v>
      </c>
      <c r="HO11" s="5">
        <v>0</v>
      </c>
      <c r="HP11" s="5">
        <v>0</v>
      </c>
      <c r="HQ11" s="5">
        <v>0</v>
      </c>
      <c r="HR11" s="5">
        <v>0</v>
      </c>
      <c r="HS11" s="5">
        <v>0</v>
      </c>
      <c r="HT11" s="5">
        <v>0</v>
      </c>
      <c r="HU11" s="5">
        <v>0</v>
      </c>
      <c r="HV11" s="4">
        <v>1.2408078292820033E-2</v>
      </c>
      <c r="HW11" s="5">
        <v>5.1840500934155639E-2</v>
      </c>
      <c r="HX11" s="5">
        <v>0</v>
      </c>
      <c r="HY11" s="5">
        <v>0</v>
      </c>
      <c r="HZ11" s="5">
        <v>0</v>
      </c>
      <c r="IA11" s="5">
        <v>0</v>
      </c>
      <c r="IB11" s="5">
        <v>0</v>
      </c>
      <c r="IC11" s="5">
        <v>0</v>
      </c>
      <c r="ID11" s="5">
        <v>0</v>
      </c>
      <c r="IE11" s="5">
        <v>0</v>
      </c>
      <c r="IF11" s="5">
        <v>9.1979878658594111E-2</v>
      </c>
      <c r="IG11" s="5">
        <v>0.38190782493995123</v>
      </c>
      <c r="IH11" s="5">
        <v>0</v>
      </c>
      <c r="II11" s="5">
        <v>0</v>
      </c>
      <c r="IJ11" s="5">
        <v>0</v>
      </c>
      <c r="IK11" s="5">
        <v>0</v>
      </c>
      <c r="IL11" s="5">
        <v>0</v>
      </c>
      <c r="IM11" s="5">
        <v>0</v>
      </c>
      <c r="IN11" s="5">
        <v>0</v>
      </c>
      <c r="IO11" s="5">
        <v>0</v>
      </c>
      <c r="IP11" s="5">
        <v>0</v>
      </c>
      <c r="IQ11" s="5">
        <v>0</v>
      </c>
      <c r="IR11" s="5">
        <v>0</v>
      </c>
      <c r="IT11" s="3" t="s">
        <v>155</v>
      </c>
      <c r="IU11" s="3" t="s">
        <v>156</v>
      </c>
      <c r="IV11" s="3" t="s">
        <v>157</v>
      </c>
      <c r="IW11" s="9">
        <v>0</v>
      </c>
      <c r="IX11" s="3" t="s">
        <v>158</v>
      </c>
      <c r="IY11" s="10">
        <v>3</v>
      </c>
      <c r="IZ11" s="3" t="s">
        <v>159</v>
      </c>
      <c r="JB11" s="3" t="s">
        <v>150</v>
      </c>
      <c r="JC11" s="5">
        <v>0</v>
      </c>
      <c r="JD11" s="5">
        <v>0</v>
      </c>
      <c r="JE11" s="4">
        <v>3.5044658573473325E-3</v>
      </c>
      <c r="JF11" s="5">
        <v>0.11866942517607308</v>
      </c>
      <c r="JG11" s="5">
        <v>0.27101553388360394</v>
      </c>
      <c r="JH11" s="5">
        <v>0.27274067262374146</v>
      </c>
      <c r="JI11" s="5">
        <v>0.14721213804789346</v>
      </c>
      <c r="JJ11" s="5">
        <v>1.456430950304629E-2</v>
      </c>
      <c r="JK11" s="5">
        <v>0</v>
      </c>
      <c r="JL11" s="5">
        <v>0</v>
      </c>
      <c r="JM11" s="5">
        <v>0</v>
      </c>
      <c r="JN11" s="4">
        <v>1.6386271711949616E-3</v>
      </c>
      <c r="JO11" s="5">
        <v>9.6787917509475893E-2</v>
      </c>
      <c r="JP11" s="5">
        <v>0.3126163230542699</v>
      </c>
      <c r="JQ11" s="5">
        <v>0.43438329176224999</v>
      </c>
      <c r="JR11" s="5">
        <v>0.43222442031706143</v>
      </c>
      <c r="JS11" s="5">
        <v>0.30881945369973363</v>
      </c>
      <c r="JT11" s="5">
        <v>0.10505791096383577</v>
      </c>
      <c r="JU11" s="5">
        <v>1.7049787818331967E-3</v>
      </c>
      <c r="JV11" s="5">
        <v>0</v>
      </c>
      <c r="JW11" s="4">
        <v>0</v>
      </c>
      <c r="JX11" s="5">
        <v>1.9862752676798042E-2</v>
      </c>
      <c r="JY11" s="5">
        <v>0.1664217156816091</v>
      </c>
      <c r="JZ11" s="5">
        <v>0.35580683716929523</v>
      </c>
      <c r="KA11" s="5">
        <v>0.47170309905912144</v>
      </c>
      <c r="KB11" s="5">
        <v>0.4715534714973586</v>
      </c>
      <c r="KC11" s="5">
        <v>0.34750381109877959</v>
      </c>
      <c r="KD11" s="5">
        <v>0.16068909244456409</v>
      </c>
      <c r="KE11" s="5">
        <v>1.9499317026429253E-2</v>
      </c>
      <c r="KF11" s="4">
        <v>0</v>
      </c>
      <c r="KG11" s="4">
        <v>0</v>
      </c>
      <c r="KH11" s="5">
        <v>1.1920845107751888E-2</v>
      </c>
      <c r="KI11" s="5">
        <v>0.14825601325318477</v>
      </c>
      <c r="KJ11" s="5">
        <v>0.38215297193722564</v>
      </c>
      <c r="KK11" s="5">
        <v>0.50753815253633905</v>
      </c>
      <c r="KL11" s="5">
        <v>0.48629738008084533</v>
      </c>
      <c r="KM11" s="5">
        <v>0.36742967757180639</v>
      </c>
      <c r="KN11" s="5">
        <v>0.16717109674877348</v>
      </c>
      <c r="KO11" s="5">
        <v>1.5747970128212212E-2</v>
      </c>
      <c r="KP11" s="4">
        <v>0</v>
      </c>
      <c r="KQ11" s="5">
        <v>0</v>
      </c>
      <c r="KR11" s="4">
        <v>7.1460534208304691E-5</v>
      </c>
      <c r="KS11" s="5">
        <v>5.9481573897675492E-2</v>
      </c>
      <c r="KT11" s="5">
        <v>0.23812792928151694</v>
      </c>
      <c r="KU11" s="5">
        <v>0.34795714197430522</v>
      </c>
      <c r="KV11" s="5">
        <v>0.33574064077751153</v>
      </c>
      <c r="KW11" s="5">
        <v>0.21006455044116379</v>
      </c>
      <c r="KX11" s="5">
        <v>4.1256605604689633E-2</v>
      </c>
      <c r="KY11" s="4">
        <v>6.927307744948938E-5</v>
      </c>
      <c r="KZ11" s="5">
        <v>0</v>
      </c>
      <c r="LA11" s="5">
        <v>0</v>
      </c>
      <c r="LB11" s="5">
        <v>0</v>
      </c>
      <c r="LC11" s="4">
        <v>4.1532826857313783E-3</v>
      </c>
      <c r="LD11" s="5">
        <v>0.12456948807336372</v>
      </c>
      <c r="LE11" s="5">
        <v>0.26751221327171676</v>
      </c>
      <c r="LF11" s="5">
        <v>0.25163846259190481</v>
      </c>
      <c r="LG11" s="5">
        <v>9.5163202462715715E-2</v>
      </c>
      <c r="LH11" s="4">
        <v>0</v>
      </c>
      <c r="LI11" s="5">
        <v>0</v>
      </c>
      <c r="LJ11" s="5">
        <v>0</v>
      </c>
      <c r="LL11" s="3" t="s">
        <v>150</v>
      </c>
      <c r="LM11" s="3" t="s">
        <v>160</v>
      </c>
      <c r="LN11" s="3" t="s">
        <v>161</v>
      </c>
      <c r="LO11" s="5">
        <v>0.38950988414368398</v>
      </c>
    </row>
    <row r="12" spans="1:327" x14ac:dyDescent="0.45">
      <c r="B12" s="6" t="s">
        <v>162</v>
      </c>
      <c r="C12" s="6" t="s">
        <v>151</v>
      </c>
      <c r="D12" s="8">
        <v>0</v>
      </c>
      <c r="E12" s="8">
        <v>0</v>
      </c>
      <c r="F12" s="8">
        <v>0.87823357039983541</v>
      </c>
      <c r="G12" s="8">
        <v>0.37439981109196574</v>
      </c>
      <c r="H12" s="8">
        <v>0.29120216224154444</v>
      </c>
      <c r="I12" s="8">
        <v>0.31257450699397643</v>
      </c>
      <c r="J12" s="8">
        <v>0.37531806925375216</v>
      </c>
      <c r="K12" s="8">
        <v>0.77727733471593197</v>
      </c>
      <c r="L12" s="8">
        <v>0</v>
      </c>
      <c r="M12" s="8">
        <v>0</v>
      </c>
      <c r="N12" s="8">
        <v>0</v>
      </c>
      <c r="O12" s="8">
        <v>0.85762758504881054</v>
      </c>
      <c r="P12" s="8">
        <v>0.41133868279680869</v>
      </c>
      <c r="Q12" s="8">
        <v>0.22790023730195794</v>
      </c>
      <c r="R12" s="8">
        <v>0.17878732125041422</v>
      </c>
      <c r="S12" s="8">
        <v>0.19145363958810707</v>
      </c>
      <c r="T12" s="8">
        <v>0.20796157817030211</v>
      </c>
      <c r="U12" s="8">
        <v>0.31803658534084323</v>
      </c>
      <c r="V12" s="8">
        <v>0.81774349073760055</v>
      </c>
      <c r="W12" s="8">
        <v>0</v>
      </c>
      <c r="X12" s="8">
        <v>0</v>
      </c>
      <c r="Y12" s="8">
        <v>0.38840753563379476</v>
      </c>
      <c r="Z12" s="8">
        <v>0.22020036779278168</v>
      </c>
      <c r="AA12" s="8">
        <v>0.18256867546125105</v>
      </c>
      <c r="AB12" s="8">
        <v>0.16956714967578751</v>
      </c>
      <c r="AC12" s="8">
        <v>0.18521679445323527</v>
      </c>
      <c r="AD12" s="8">
        <v>0.18290628616133137</v>
      </c>
      <c r="AE12" s="8">
        <v>0.21300812270370539</v>
      </c>
      <c r="AF12" s="8">
        <v>0.39139409519685825</v>
      </c>
      <c r="AG12" s="8">
        <v>0</v>
      </c>
      <c r="AH12" s="8">
        <v>0</v>
      </c>
      <c r="AI12" s="8">
        <v>0.50237476417576188</v>
      </c>
      <c r="AJ12" s="8">
        <v>0.23354968114965333</v>
      </c>
      <c r="AK12" s="8">
        <v>0.14069732666001106</v>
      </c>
      <c r="AL12" s="8">
        <v>0.10787509439288671</v>
      </c>
      <c r="AM12" s="8">
        <v>0.11782442318038425</v>
      </c>
      <c r="AN12" s="8">
        <v>0.14081267785456603</v>
      </c>
      <c r="AO12" s="8">
        <v>0.21178346567711687</v>
      </c>
      <c r="AP12" s="8">
        <v>0.4376731145257185</v>
      </c>
      <c r="AQ12" s="8">
        <v>0</v>
      </c>
      <c r="AR12" s="8">
        <v>0</v>
      </c>
      <c r="AS12" s="8">
        <v>0.95901639344262291</v>
      </c>
      <c r="AT12" s="8">
        <v>0.42189804815184495</v>
      </c>
      <c r="AU12" s="8">
        <v>0.2408552393827432</v>
      </c>
      <c r="AV12" s="8">
        <v>0.22151742511677505</v>
      </c>
      <c r="AW12" s="8">
        <v>0.23730102239007719</v>
      </c>
      <c r="AX12" s="8">
        <v>0.26386758219426348</v>
      </c>
      <c r="AY12" s="8">
        <v>0.48842406982186914</v>
      </c>
      <c r="AZ12" s="8">
        <v>0.97540983606557385</v>
      </c>
      <c r="BA12" s="8">
        <v>0</v>
      </c>
      <c r="BB12" s="8">
        <v>0</v>
      </c>
      <c r="BC12" s="8">
        <v>0</v>
      </c>
      <c r="BD12" s="8">
        <v>0.89153917317323084</v>
      </c>
      <c r="BE12" s="8">
        <v>0.37605421461921085</v>
      </c>
      <c r="BF12" s="8">
        <v>0.32152752242725646</v>
      </c>
      <c r="BG12" s="8">
        <v>0.31987430291906743</v>
      </c>
      <c r="BH12" s="8">
        <v>0.37395659135477083</v>
      </c>
      <c r="BI12" s="8">
        <v>0</v>
      </c>
      <c r="BJ12" s="8">
        <v>0</v>
      </c>
      <c r="BK12" s="8">
        <v>0</v>
      </c>
      <c r="BM12" s="6" t="s">
        <v>162</v>
      </c>
      <c r="BN12" s="6" t="s">
        <v>152</v>
      </c>
      <c r="BO12" s="8">
        <v>0</v>
      </c>
      <c r="BP12" s="8">
        <v>0</v>
      </c>
      <c r="BQ12" s="7">
        <v>0.77623584284563607</v>
      </c>
      <c r="BR12" s="8">
        <v>0.24400646772410159</v>
      </c>
      <c r="BS12" s="8">
        <v>0.18030422324586376</v>
      </c>
      <c r="BT12" s="8">
        <v>0.14544130818107462</v>
      </c>
      <c r="BU12" s="7">
        <v>5.9625248641922847E-2</v>
      </c>
      <c r="BV12" s="8">
        <v>0.2466851993221994</v>
      </c>
      <c r="BW12" s="7">
        <v>0</v>
      </c>
      <c r="BX12" s="8">
        <v>0</v>
      </c>
      <c r="BY12" s="7">
        <v>0</v>
      </c>
      <c r="BZ12" s="7">
        <v>0.75067084724676147</v>
      </c>
      <c r="CA12" s="7">
        <v>0.27656255841122879</v>
      </c>
      <c r="CB12" s="7">
        <v>0.12591938741162284</v>
      </c>
      <c r="CC12" s="7">
        <v>7.6250299624768827E-2</v>
      </c>
      <c r="CD12" s="8">
        <v>4.2749387731765356E-2</v>
      </c>
      <c r="CE12" s="7">
        <v>2.2463171732528608E-2</v>
      </c>
      <c r="CF12" s="8">
        <v>7.287490431824005E-2</v>
      </c>
      <c r="CG12" s="7">
        <v>0.36750017657469669</v>
      </c>
      <c r="CH12" s="8">
        <v>0</v>
      </c>
      <c r="CI12" s="8">
        <v>0</v>
      </c>
      <c r="CJ12" s="7">
        <v>0.22375886976227308</v>
      </c>
      <c r="CK12" s="8">
        <v>0.1498923134617603</v>
      </c>
      <c r="CL12" s="7">
        <v>0.10065639342763366</v>
      </c>
      <c r="CM12" s="8">
        <v>9.038266114264458E-2</v>
      </c>
      <c r="CN12" s="8">
        <v>1.1026821518586255E-2</v>
      </c>
      <c r="CO12" s="8">
        <v>1.8921129827399075E-2</v>
      </c>
      <c r="CP12" s="8">
        <v>4.0429397872290058E-2</v>
      </c>
      <c r="CQ12" s="8">
        <v>0.22159674677645691</v>
      </c>
      <c r="CR12" s="8">
        <v>0</v>
      </c>
      <c r="CS12" s="8">
        <v>0</v>
      </c>
      <c r="CT12" s="8">
        <v>0.33808009805589373</v>
      </c>
      <c r="CU12" s="7">
        <v>0.14576604774399857</v>
      </c>
      <c r="CV12" s="7">
        <v>7.3123554880203126E-2</v>
      </c>
      <c r="CW12" s="8">
        <v>4.9473833994534429E-2</v>
      </c>
      <c r="CX12" s="7">
        <v>3.5381444556514999E-2</v>
      </c>
      <c r="CY12" s="7">
        <v>2.7399836076698308E-2</v>
      </c>
      <c r="CZ12" s="7">
        <v>6.6998874993779239E-2</v>
      </c>
      <c r="DA12" s="7">
        <v>0.29021801877149406</v>
      </c>
      <c r="DB12" s="8">
        <v>0</v>
      </c>
      <c r="DC12" s="8">
        <v>0</v>
      </c>
      <c r="DD12" s="7">
        <v>0.92185176418936809</v>
      </c>
      <c r="DE12" s="7">
        <v>0.2963698596255358</v>
      </c>
      <c r="DF12" s="8">
        <v>0.14192263240342615</v>
      </c>
      <c r="DG12" s="8">
        <v>9.8310722964471284E-2</v>
      </c>
      <c r="DH12" s="7">
        <v>3.5779593036661089E-2</v>
      </c>
      <c r="DI12" s="7">
        <v>4.0423546097186784E-2</v>
      </c>
      <c r="DJ12" s="7">
        <v>9.4563439273290834E-2</v>
      </c>
      <c r="DK12" s="7">
        <v>0</v>
      </c>
      <c r="DL12" s="8">
        <v>0</v>
      </c>
      <c r="DM12" s="8">
        <v>0</v>
      </c>
      <c r="DN12" s="8">
        <v>0</v>
      </c>
      <c r="DO12" s="8">
        <v>0.80505827569870458</v>
      </c>
      <c r="DP12" s="8">
        <v>0.24991080446188771</v>
      </c>
      <c r="DQ12" s="8">
        <v>0.18484334880808501</v>
      </c>
      <c r="DR12" s="8">
        <v>0.1017454039135523</v>
      </c>
      <c r="DS12" s="8">
        <v>8.9755932930301804E-2</v>
      </c>
      <c r="DT12" s="7">
        <v>0</v>
      </c>
      <c r="DU12" s="8">
        <v>0</v>
      </c>
      <c r="DV12" s="8">
        <v>0</v>
      </c>
      <c r="DX12" s="6" t="s">
        <v>162</v>
      </c>
      <c r="DY12" s="6" t="s">
        <v>153</v>
      </c>
      <c r="DZ12" s="7">
        <v>0</v>
      </c>
      <c r="EA12" s="8">
        <v>0</v>
      </c>
      <c r="EB12" s="8">
        <v>0</v>
      </c>
      <c r="EC12" s="8">
        <v>0</v>
      </c>
      <c r="ED12" s="7">
        <v>0</v>
      </c>
      <c r="EE12" s="8">
        <v>4.3151211069739993E-2</v>
      </c>
      <c r="EF12" s="7">
        <v>0.18047649058051402</v>
      </c>
      <c r="EG12" s="8">
        <v>0.39068718920031287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3.168094593928461E-2</v>
      </c>
      <c r="EO12" s="7">
        <v>7.4824939496216283E-2</v>
      </c>
      <c r="EP12" s="7">
        <v>0.10104679589920999</v>
      </c>
      <c r="EQ12" s="7">
        <v>0.10525221082830093</v>
      </c>
      <c r="ER12" s="7">
        <v>4.0187572009365798E-2</v>
      </c>
      <c r="ES12" s="7">
        <v>0</v>
      </c>
      <c r="ET12" s="8">
        <v>0</v>
      </c>
      <c r="EU12" s="8">
        <v>0</v>
      </c>
      <c r="EV12" s="8">
        <v>0</v>
      </c>
      <c r="EW12" s="8">
        <v>0</v>
      </c>
      <c r="EX12" s="7">
        <v>6.8054190985524033E-3</v>
      </c>
      <c r="EY12" s="8">
        <v>9.6235618242731774E-2</v>
      </c>
      <c r="EZ12" s="8">
        <v>8.437534669388054E-2</v>
      </c>
      <c r="FA12" s="8">
        <v>9.1376870279923833E-2</v>
      </c>
      <c r="FB12" s="8">
        <v>1.0859009287781878E-2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7">
        <v>0</v>
      </c>
      <c r="FI12" s="8">
        <v>2.1375721504424676E-2</v>
      </c>
      <c r="FJ12" s="8">
        <v>4.6797599063525645E-2</v>
      </c>
      <c r="FK12" s="8">
        <v>7.1132008933907448E-2</v>
      </c>
      <c r="FL12" s="8">
        <v>0</v>
      </c>
      <c r="FM12" s="7">
        <v>0</v>
      </c>
      <c r="FN12" s="8">
        <v>0</v>
      </c>
      <c r="FO12" s="8">
        <v>0</v>
      </c>
      <c r="FP12" s="7">
        <v>0</v>
      </c>
      <c r="FQ12" s="7">
        <v>0</v>
      </c>
      <c r="FR12" s="7">
        <v>1.9065842913515714E-2</v>
      </c>
      <c r="FS12" s="7">
        <v>9.0308020807764955E-2</v>
      </c>
      <c r="FT12" s="8">
        <v>0.12319166597260189</v>
      </c>
      <c r="FU12" s="8">
        <v>0.16806276012029991</v>
      </c>
      <c r="FV12" s="7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8.0575570825791018E-2</v>
      </c>
      <c r="GD12" s="8">
        <v>0.16374381852804612</v>
      </c>
      <c r="GE12" s="8">
        <v>0</v>
      </c>
      <c r="GF12" s="8">
        <v>0</v>
      </c>
      <c r="GG12" s="8">
        <v>0</v>
      </c>
      <c r="GI12" s="6" t="s">
        <v>162</v>
      </c>
      <c r="GJ12" s="6" t="s">
        <v>154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7">
        <v>2.2730901943186417E-3</v>
      </c>
      <c r="HB12" s="8">
        <v>3.5121999005751886E-2</v>
      </c>
      <c r="HC12" s="8">
        <v>0.27368893834151181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7">
        <v>1.3560602982826702E-2</v>
      </c>
      <c r="HM12" s="8">
        <v>1.5660766389977401E-2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7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7.8863557321925404E-2</v>
      </c>
      <c r="IG12" s="8">
        <v>0.95142434829346956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8">
        <v>0</v>
      </c>
      <c r="IO12" s="8">
        <v>0</v>
      </c>
      <c r="IP12" s="8">
        <v>0</v>
      </c>
      <c r="IQ12" s="8">
        <v>0</v>
      </c>
      <c r="IR12" s="8">
        <v>0</v>
      </c>
      <c r="JB12" s="6" t="s">
        <v>162</v>
      </c>
      <c r="JC12" s="8">
        <v>0</v>
      </c>
      <c r="JD12" s="8">
        <v>0</v>
      </c>
      <c r="JE12" s="7">
        <v>4.7674849586625996E-3</v>
      </c>
      <c r="JF12" s="8">
        <v>0.12261755224758029</v>
      </c>
      <c r="JG12" s="8">
        <v>0.24647993608387772</v>
      </c>
      <c r="JH12" s="8">
        <v>0.25188234814326138</v>
      </c>
      <c r="JI12" s="8">
        <v>0.14331551137115481</v>
      </c>
      <c r="JJ12" s="8">
        <v>1.5522130793935473E-2</v>
      </c>
      <c r="JK12" s="8">
        <v>0</v>
      </c>
      <c r="JL12" s="8">
        <v>0</v>
      </c>
      <c r="JM12" s="8">
        <v>0</v>
      </c>
      <c r="JN12" s="7">
        <v>1.331847899683519E-3</v>
      </c>
      <c r="JO12" s="8">
        <v>9.721837831482065E-2</v>
      </c>
      <c r="JP12" s="8">
        <v>0.31496755843800656</v>
      </c>
      <c r="JQ12" s="8">
        <v>0.43733236948141108</v>
      </c>
      <c r="JR12" s="8">
        <v>0.41825850492360322</v>
      </c>
      <c r="JS12" s="8">
        <v>0.29417181746832211</v>
      </c>
      <c r="JT12" s="8">
        <v>0.10009378173087682</v>
      </c>
      <c r="JU12" s="8">
        <v>1.4343765404824258E-3</v>
      </c>
      <c r="JV12" s="8">
        <v>0</v>
      </c>
      <c r="JW12" s="7">
        <v>0</v>
      </c>
      <c r="JX12" s="8">
        <v>1.888609339939281E-2</v>
      </c>
      <c r="JY12" s="8">
        <v>0.16852676729785282</v>
      </c>
      <c r="JZ12" s="8">
        <v>0.37073478683354638</v>
      </c>
      <c r="KA12" s="8">
        <v>0.46931946125154633</v>
      </c>
      <c r="KB12" s="8">
        <v>0.44853660610311635</v>
      </c>
      <c r="KC12" s="8">
        <v>0.35394566000627703</v>
      </c>
      <c r="KD12" s="8">
        <v>0.1629496435460987</v>
      </c>
      <c r="KE12" s="8">
        <v>1.7804973645518647E-2</v>
      </c>
      <c r="KF12" s="7">
        <v>0</v>
      </c>
      <c r="KG12" s="7">
        <v>0</v>
      </c>
      <c r="KH12" s="8">
        <v>1.1167613030572088E-2</v>
      </c>
      <c r="KI12" s="8">
        <v>0.15467220252899891</v>
      </c>
      <c r="KJ12" s="8">
        <v>0.39842537730228761</v>
      </c>
      <c r="KK12" s="8">
        <v>0.54913930208346995</v>
      </c>
      <c r="KL12" s="8">
        <v>0.5375255440082245</v>
      </c>
      <c r="KM12" s="8">
        <v>0.40330083921748472</v>
      </c>
      <c r="KN12" s="8">
        <v>0.18274854257285991</v>
      </c>
      <c r="KO12" s="8">
        <v>1.364361085797113E-2</v>
      </c>
      <c r="KP12" s="7">
        <v>0</v>
      </c>
      <c r="KQ12" s="8">
        <v>0</v>
      </c>
      <c r="KR12" s="7">
        <v>6.6555385686030031E-5</v>
      </c>
      <c r="KS12" s="8">
        <v>6.5145470362342181E-2</v>
      </c>
      <c r="KT12" s="8">
        <v>0.25787341425560273</v>
      </c>
      <c r="KU12" s="8">
        <v>0.3671461118981702</v>
      </c>
      <c r="KV12" s="8">
        <v>0.33133892959458566</v>
      </c>
      <c r="KW12" s="8">
        <v>0.206816607749608</v>
      </c>
      <c r="KX12" s="8">
        <v>4.4419288262657189E-2</v>
      </c>
      <c r="KY12" s="7">
        <v>3.6161224697429854E-5</v>
      </c>
      <c r="KZ12" s="8">
        <v>0</v>
      </c>
      <c r="LA12" s="8">
        <v>0</v>
      </c>
      <c r="LB12" s="8">
        <v>0</v>
      </c>
      <c r="LC12" s="7">
        <v>4.7121164332171554E-3</v>
      </c>
      <c r="LD12" s="8">
        <v>0.12730698969406479</v>
      </c>
      <c r="LE12" s="8">
        <v>0.25121701455206441</v>
      </c>
      <c r="LF12" s="8">
        <v>0.24406462343227711</v>
      </c>
      <c r="LG12" s="8">
        <v>0.10563235972444093</v>
      </c>
      <c r="LH12" s="7">
        <v>0</v>
      </c>
      <c r="LI12" s="8">
        <v>0</v>
      </c>
      <c r="LJ12" s="8">
        <v>0</v>
      </c>
      <c r="LL12" s="6" t="s">
        <v>162</v>
      </c>
      <c r="LM12" s="6" t="s">
        <v>160</v>
      </c>
      <c r="LN12" s="6" t="s">
        <v>161</v>
      </c>
      <c r="LO12" s="8">
        <v>0.51305709905390817</v>
      </c>
    </row>
    <row r="13" spans="1:327" x14ac:dyDescent="0.45">
      <c r="B13" s="3" t="s">
        <v>163</v>
      </c>
      <c r="C13" s="3" t="s">
        <v>151</v>
      </c>
      <c r="D13" s="5">
        <v>0</v>
      </c>
      <c r="E13" s="5">
        <v>0</v>
      </c>
      <c r="F13" s="5">
        <v>0.95762711864406791</v>
      </c>
      <c r="G13" s="5">
        <v>0.46298861887174159</v>
      </c>
      <c r="H13" s="5">
        <v>0.29172511152169728</v>
      </c>
      <c r="I13" s="5">
        <v>0.25857593941310736</v>
      </c>
      <c r="J13" s="5">
        <v>0.34344644801870483</v>
      </c>
      <c r="K13" s="5">
        <v>0.80098329307613902</v>
      </c>
      <c r="L13" s="5">
        <v>0</v>
      </c>
      <c r="M13" s="5">
        <v>0</v>
      </c>
      <c r="N13" s="5">
        <v>0</v>
      </c>
      <c r="O13" s="5">
        <v>0.83566137188030387</v>
      </c>
      <c r="P13" s="5">
        <v>0.40997915561873027</v>
      </c>
      <c r="Q13" s="5">
        <v>0.22833905888119138</v>
      </c>
      <c r="R13" s="5">
        <v>0.17988601899185661</v>
      </c>
      <c r="S13" s="5">
        <v>0.16671187135110768</v>
      </c>
      <c r="T13" s="5">
        <v>0.18604115164853152</v>
      </c>
      <c r="U13" s="5">
        <v>0.29606645641812246</v>
      </c>
      <c r="V13" s="5">
        <v>0.73835290032646861</v>
      </c>
      <c r="W13" s="5">
        <v>0</v>
      </c>
      <c r="X13" s="5">
        <v>0.97377049180327857</v>
      </c>
      <c r="Y13" s="5">
        <v>0.29443744550748441</v>
      </c>
      <c r="Z13" s="5">
        <v>0.20111112937786579</v>
      </c>
      <c r="AA13" s="5">
        <v>0.1495007483311821</v>
      </c>
      <c r="AB13" s="5">
        <v>0.13926138920862374</v>
      </c>
      <c r="AC13" s="5">
        <v>0.13423277872779793</v>
      </c>
      <c r="AD13" s="5">
        <v>0.13740266864769443</v>
      </c>
      <c r="AE13" s="5">
        <v>0.18112256395998932</v>
      </c>
      <c r="AF13" s="5">
        <v>0.27835314870196215</v>
      </c>
      <c r="AG13" s="5">
        <v>0.83727843397642654</v>
      </c>
      <c r="AH13" s="5">
        <v>0</v>
      </c>
      <c r="AI13" s="5">
        <v>0.44792148345231908</v>
      </c>
      <c r="AJ13" s="5">
        <v>0.24626463268868443</v>
      </c>
      <c r="AK13" s="5">
        <v>0.16888533718407547</v>
      </c>
      <c r="AL13" s="5">
        <v>0.15067075887324458</v>
      </c>
      <c r="AM13" s="5">
        <v>0.15287789262480156</v>
      </c>
      <c r="AN13" s="5">
        <v>0.16440101813953442</v>
      </c>
      <c r="AO13" s="5">
        <v>0.19814345478741263</v>
      </c>
      <c r="AP13" s="5">
        <v>0.36970116632365829</v>
      </c>
      <c r="AQ13" s="5">
        <v>0.90248094292006864</v>
      </c>
      <c r="AR13" s="5">
        <v>0</v>
      </c>
      <c r="AS13" s="5">
        <v>0.9672131147540981</v>
      </c>
      <c r="AT13" s="5">
        <v>0.49956596029695027</v>
      </c>
      <c r="AU13" s="5">
        <v>0.29043815733595496</v>
      </c>
      <c r="AV13" s="5">
        <v>0.258105889737681</v>
      </c>
      <c r="AW13" s="5">
        <v>0.2524869081338959</v>
      </c>
      <c r="AX13" s="5">
        <v>0.29155851024092688</v>
      </c>
      <c r="AY13" s="5">
        <v>0.51748899142505789</v>
      </c>
      <c r="AZ13" s="5">
        <v>0.92622950819672123</v>
      </c>
      <c r="BA13" s="5">
        <v>0</v>
      </c>
      <c r="BB13" s="5">
        <v>0</v>
      </c>
      <c r="BC13" s="5">
        <v>0</v>
      </c>
      <c r="BD13" s="5">
        <v>0</v>
      </c>
      <c r="BE13" s="5">
        <v>0.47708315550283686</v>
      </c>
      <c r="BF13" s="5">
        <v>0.27447934445686423</v>
      </c>
      <c r="BG13" s="5">
        <v>0.2982408081003744</v>
      </c>
      <c r="BH13" s="5">
        <v>0.48010735575925118</v>
      </c>
      <c r="BI13" s="5">
        <v>0</v>
      </c>
      <c r="BJ13" s="5">
        <v>0</v>
      </c>
      <c r="BK13" s="5">
        <v>0</v>
      </c>
      <c r="BM13" s="3" t="s">
        <v>163</v>
      </c>
      <c r="BN13" s="3" t="s">
        <v>152</v>
      </c>
      <c r="BO13" s="5">
        <v>0</v>
      </c>
      <c r="BP13" s="5">
        <v>0</v>
      </c>
      <c r="BQ13" s="4">
        <v>0.91704969836253969</v>
      </c>
      <c r="BR13" s="5">
        <v>0.30906208248568862</v>
      </c>
      <c r="BS13" s="5">
        <v>0.17525418329605172</v>
      </c>
      <c r="BT13" s="5">
        <v>9.5749444705295811E-2</v>
      </c>
      <c r="BU13" s="4">
        <v>4.7444036784402267E-2</v>
      </c>
      <c r="BV13" s="5">
        <v>0.15403195161215072</v>
      </c>
      <c r="BW13" s="4">
        <v>0</v>
      </c>
      <c r="BX13" s="5">
        <v>0</v>
      </c>
      <c r="BY13" s="4">
        <v>0</v>
      </c>
      <c r="BZ13" s="4">
        <v>0.71682557041751149</v>
      </c>
      <c r="CA13" s="4">
        <v>0.27766809532040715</v>
      </c>
      <c r="CB13" s="4">
        <v>0.124651806929515</v>
      </c>
      <c r="CC13" s="4">
        <v>5.2419557883015631E-2</v>
      </c>
      <c r="CD13" s="5">
        <v>4.0212589531040253E-2</v>
      </c>
      <c r="CE13" s="4">
        <v>5.2823603270054358E-2</v>
      </c>
      <c r="CF13" s="5">
        <v>0.11328183450330487</v>
      </c>
      <c r="CG13" s="4">
        <v>0.41657798123309986</v>
      </c>
      <c r="CH13" s="5">
        <v>0</v>
      </c>
      <c r="CI13" s="5">
        <v>0.94979248634343238</v>
      </c>
      <c r="CJ13" s="4">
        <v>0.16954719913664407</v>
      </c>
      <c r="CK13" s="5">
        <v>0.13429415802687833</v>
      </c>
      <c r="CL13" s="4">
        <v>8.6626103642766947E-2</v>
      </c>
      <c r="CM13" s="5">
        <v>7.7431960452851431E-2</v>
      </c>
      <c r="CN13" s="5">
        <v>2.4818579725331361E-2</v>
      </c>
      <c r="CO13" s="5">
        <v>2.5017961475700162E-2</v>
      </c>
      <c r="CP13" s="5">
        <v>5.3513539096365158E-2</v>
      </c>
      <c r="CQ13" s="5">
        <v>0.16768377131187079</v>
      </c>
      <c r="CR13" s="5">
        <v>0.71687916180342537</v>
      </c>
      <c r="CS13" s="5">
        <v>0</v>
      </c>
      <c r="CT13" s="5">
        <v>0.29900788830613495</v>
      </c>
      <c r="CU13" s="4">
        <v>0.15754178374196631</v>
      </c>
      <c r="CV13" s="4">
        <v>9.437383437072186E-2</v>
      </c>
      <c r="CW13" s="5">
        <v>7.8256086608192887E-2</v>
      </c>
      <c r="CX13" s="4">
        <v>4.1720557922389413E-2</v>
      </c>
      <c r="CY13" s="4">
        <v>2.3714056228026408E-2</v>
      </c>
      <c r="CZ13" s="4">
        <v>4.9755102447480021E-2</v>
      </c>
      <c r="DA13" s="4">
        <v>0.12748507917315893</v>
      </c>
      <c r="DB13" s="5">
        <v>0.67131019836368111</v>
      </c>
      <c r="DC13" s="5">
        <v>0</v>
      </c>
      <c r="DD13" s="4">
        <v>0.93550120935232461</v>
      </c>
      <c r="DE13" s="4">
        <v>0.35954297428575133</v>
      </c>
      <c r="DF13" s="5">
        <v>0.171636763226999</v>
      </c>
      <c r="DG13" s="5">
        <v>0.12777835544319102</v>
      </c>
      <c r="DH13" s="4">
        <v>5.4830257715942035E-2</v>
      </c>
      <c r="DI13" s="4">
        <v>3.2910924322699667E-2</v>
      </c>
      <c r="DJ13" s="4">
        <v>9.3466119699628064E-2</v>
      </c>
      <c r="DK13" s="4">
        <v>0.2062313922046744</v>
      </c>
      <c r="DL13" s="5">
        <v>0</v>
      </c>
      <c r="DM13" s="5">
        <v>0</v>
      </c>
      <c r="DN13" s="5">
        <v>0</v>
      </c>
      <c r="DO13" s="5">
        <v>0</v>
      </c>
      <c r="DP13" s="5">
        <v>0.30645690539622578</v>
      </c>
      <c r="DQ13" s="5">
        <v>0.1561354645551439</v>
      </c>
      <c r="DR13" s="5">
        <v>0.14003277244461093</v>
      </c>
      <c r="DS13" s="5">
        <v>0.11887163173368512</v>
      </c>
      <c r="DT13" s="4">
        <v>0</v>
      </c>
      <c r="DU13" s="5">
        <v>0</v>
      </c>
      <c r="DV13" s="5">
        <v>0</v>
      </c>
      <c r="DX13" s="3" t="s">
        <v>163</v>
      </c>
      <c r="DY13" s="3" t="s">
        <v>153</v>
      </c>
      <c r="DZ13" s="4">
        <v>0</v>
      </c>
      <c r="EA13" s="5">
        <v>0</v>
      </c>
      <c r="EB13" s="5">
        <v>0</v>
      </c>
      <c r="EC13" s="5">
        <v>0</v>
      </c>
      <c r="ED13" s="4">
        <v>0</v>
      </c>
      <c r="EE13" s="5">
        <v>5.7339893256168492E-2</v>
      </c>
      <c r="EF13" s="4">
        <v>0.17783322104676727</v>
      </c>
      <c r="EG13" s="5">
        <v>0.49932761724403152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3.9700802227007885E-2</v>
      </c>
      <c r="EO13" s="4">
        <v>4.8929477025857843E-2</v>
      </c>
      <c r="EP13" s="4">
        <v>4.8551512328657016E-2</v>
      </c>
      <c r="EQ13" s="4">
        <v>5.6463869947471677E-2</v>
      </c>
      <c r="ER13" s="4">
        <v>7.1381663057549005E-2</v>
      </c>
      <c r="ES13" s="4">
        <v>0</v>
      </c>
      <c r="ET13" s="5">
        <v>0</v>
      </c>
      <c r="EU13" s="5">
        <v>0</v>
      </c>
      <c r="EV13" s="5">
        <v>0</v>
      </c>
      <c r="EW13" s="5">
        <v>0</v>
      </c>
      <c r="EX13" s="4">
        <v>4.4867496953271309E-3</v>
      </c>
      <c r="EY13" s="5">
        <v>5.216307865540068E-2</v>
      </c>
      <c r="EZ13" s="5">
        <v>5.3796067104655267E-2</v>
      </c>
      <c r="FA13" s="5">
        <v>5.6093625338891014E-2</v>
      </c>
      <c r="FB13" s="5">
        <v>1.1071165924791014E-2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4">
        <v>6.6106636738223375E-3</v>
      </c>
      <c r="FI13" s="5">
        <v>4.0978846346945541E-2</v>
      </c>
      <c r="FJ13" s="5">
        <v>7.0377033280080659E-2</v>
      </c>
      <c r="FK13" s="5">
        <v>6.5088529137603185E-2</v>
      </c>
      <c r="FL13" s="5">
        <v>6.4684791091628058E-2</v>
      </c>
      <c r="FM13" s="4">
        <v>0</v>
      </c>
      <c r="FN13" s="5">
        <v>0</v>
      </c>
      <c r="FO13" s="5">
        <v>0</v>
      </c>
      <c r="FP13" s="4">
        <v>0</v>
      </c>
      <c r="FQ13" s="4">
        <v>0</v>
      </c>
      <c r="FR13" s="4">
        <v>1.9039370634413702E-2</v>
      </c>
      <c r="FS13" s="4">
        <v>9.054718681627083E-2</v>
      </c>
      <c r="FT13" s="5">
        <v>0.14581535160538495</v>
      </c>
      <c r="FU13" s="5">
        <v>0.18912996790509734</v>
      </c>
      <c r="FV13" s="4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2.4302214099638921E-2</v>
      </c>
      <c r="GD13" s="5">
        <v>0.1998315706571836</v>
      </c>
      <c r="GE13" s="5">
        <v>0</v>
      </c>
      <c r="GF13" s="5">
        <v>0</v>
      </c>
      <c r="GG13" s="5">
        <v>0</v>
      </c>
      <c r="GI13" s="3" t="s">
        <v>163</v>
      </c>
      <c r="GJ13" s="3" t="s">
        <v>154</v>
      </c>
      <c r="GK13" s="5">
        <v>0</v>
      </c>
      <c r="GL13" s="5">
        <v>0</v>
      </c>
      <c r="GM13" s="5">
        <v>0</v>
      </c>
      <c r="GN13" s="5">
        <v>0</v>
      </c>
      <c r="GO13" s="5">
        <v>0</v>
      </c>
      <c r="GP13" s="5">
        <v>0</v>
      </c>
      <c r="GQ13" s="5">
        <v>0</v>
      </c>
      <c r="GR13" s="5">
        <v>0</v>
      </c>
      <c r="GS13" s="5">
        <v>0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4">
        <v>8.2872578603883503E-5</v>
      </c>
      <c r="HB13" s="5">
        <v>1.947127049902319E-2</v>
      </c>
      <c r="HC13" s="5">
        <v>0.10218468956453218</v>
      </c>
      <c r="HD13" s="5">
        <v>0</v>
      </c>
      <c r="HE13" s="5">
        <v>0</v>
      </c>
      <c r="HF13" s="5">
        <v>0</v>
      </c>
      <c r="HG13" s="5">
        <v>0</v>
      </c>
      <c r="HH13" s="5">
        <v>0</v>
      </c>
      <c r="HI13" s="5">
        <v>0</v>
      </c>
      <c r="HJ13" s="5">
        <v>0</v>
      </c>
      <c r="HK13" s="5">
        <v>0</v>
      </c>
      <c r="HL13" s="4">
        <v>6.6925537715068675E-3</v>
      </c>
      <c r="HM13" s="5">
        <v>1.8462275545443596E-3</v>
      </c>
      <c r="HN13" s="5">
        <v>0</v>
      </c>
      <c r="HO13" s="5">
        <v>0</v>
      </c>
      <c r="HP13" s="5">
        <v>0</v>
      </c>
      <c r="HQ13" s="5">
        <v>0</v>
      </c>
      <c r="HR13" s="5">
        <v>0</v>
      </c>
      <c r="HS13" s="5">
        <v>0</v>
      </c>
      <c r="HT13" s="5">
        <v>0</v>
      </c>
      <c r="HU13" s="5">
        <v>0</v>
      </c>
      <c r="HV13" s="4">
        <v>1.0136267073648592E-2</v>
      </c>
      <c r="HW13" s="5">
        <v>5.8537633608276601E-2</v>
      </c>
      <c r="HX13" s="5">
        <v>0.14973468837964293</v>
      </c>
      <c r="HY13" s="5">
        <v>0</v>
      </c>
      <c r="HZ13" s="5">
        <v>0</v>
      </c>
      <c r="IA13" s="5">
        <v>0</v>
      </c>
      <c r="IB13" s="5">
        <v>0</v>
      </c>
      <c r="IC13" s="5">
        <v>0</v>
      </c>
      <c r="ID13" s="5">
        <v>0</v>
      </c>
      <c r="IE13" s="5">
        <v>9.5040271399071743E-3</v>
      </c>
      <c r="IF13" s="5">
        <v>7.6911902475883462E-2</v>
      </c>
      <c r="IG13" s="5">
        <v>0.65166970964966586</v>
      </c>
      <c r="IH13" s="5">
        <v>0</v>
      </c>
      <c r="II13" s="5">
        <v>0</v>
      </c>
      <c r="IJ13" s="5">
        <v>0</v>
      </c>
      <c r="IK13" s="5">
        <v>0</v>
      </c>
      <c r="IL13" s="5">
        <v>0</v>
      </c>
      <c r="IM13" s="5">
        <v>0</v>
      </c>
      <c r="IN13" s="5">
        <v>0</v>
      </c>
      <c r="IO13" s="5">
        <v>0</v>
      </c>
      <c r="IP13" s="5">
        <v>0</v>
      </c>
      <c r="IQ13" s="5">
        <v>0</v>
      </c>
      <c r="IR13" s="5">
        <v>0</v>
      </c>
      <c r="JB13" s="3" t="s">
        <v>163</v>
      </c>
      <c r="JC13" s="5">
        <v>0</v>
      </c>
      <c r="JD13" s="5">
        <v>0</v>
      </c>
      <c r="JE13" s="4">
        <v>1.8945291239920899E-3</v>
      </c>
      <c r="JF13" s="5">
        <v>8.6281276943763072E-2</v>
      </c>
      <c r="JG13" s="5">
        <v>0.24321262986664821</v>
      </c>
      <c r="JH13" s="5">
        <v>0.29066877072816483</v>
      </c>
      <c r="JI13" s="5">
        <v>0.16000464899381039</v>
      </c>
      <c r="JJ13" s="5">
        <v>1.66538142678248E-2</v>
      </c>
      <c r="JK13" s="5">
        <v>0</v>
      </c>
      <c r="JL13" s="5">
        <v>0</v>
      </c>
      <c r="JM13" s="5">
        <v>0</v>
      </c>
      <c r="JN13" s="4">
        <v>1.5856517649801374E-3</v>
      </c>
      <c r="JO13" s="5">
        <v>8.2470278252151294E-2</v>
      </c>
      <c r="JP13" s="5">
        <v>0.2955174871445132</v>
      </c>
      <c r="JQ13" s="5">
        <v>0.42670474524541524</v>
      </c>
      <c r="JR13" s="5">
        <v>0.4355896034632557</v>
      </c>
      <c r="JS13" s="5">
        <v>0.33109960681335648</v>
      </c>
      <c r="JT13" s="5">
        <v>0.13158629157308369</v>
      </c>
      <c r="JU13" s="5">
        <v>3.9022361184713932E-3</v>
      </c>
      <c r="JV13" s="5">
        <v>0</v>
      </c>
      <c r="JW13" s="4">
        <v>1.6316835036454437E-6</v>
      </c>
      <c r="JX13" s="5">
        <v>2.2953070249070753E-2</v>
      </c>
      <c r="JY13" s="5">
        <v>0.17129027736241531</v>
      </c>
      <c r="JZ13" s="5">
        <v>0.36353024731129258</v>
      </c>
      <c r="KA13" s="5">
        <v>0.47407802692023943</v>
      </c>
      <c r="KB13" s="5">
        <v>0.48224087263302784</v>
      </c>
      <c r="KC13" s="5">
        <v>0.38998653837658509</v>
      </c>
      <c r="KD13" s="5">
        <v>0.19419330229795351</v>
      </c>
      <c r="KE13" s="5">
        <v>3.2292754516432785E-2</v>
      </c>
      <c r="KF13" s="4">
        <v>4.5160553212669004E-4</v>
      </c>
      <c r="KG13" s="4">
        <v>0</v>
      </c>
      <c r="KH13" s="5">
        <v>1.2361665993958831E-2</v>
      </c>
      <c r="KI13" s="5">
        <v>0.14158895299358371</v>
      </c>
      <c r="KJ13" s="5">
        <v>0.34116974849702053</v>
      </c>
      <c r="KK13" s="5">
        <v>0.46031229597916107</v>
      </c>
      <c r="KL13" s="5">
        <v>0.47704239441781454</v>
      </c>
      <c r="KM13" s="5">
        <v>0.36914293746552557</v>
      </c>
      <c r="KN13" s="5">
        <v>0.18829146317192327</v>
      </c>
      <c r="KO13" s="5">
        <v>2.5578158068096987E-2</v>
      </c>
      <c r="KP13" s="4">
        <v>1.6395249284626996E-4</v>
      </c>
      <c r="KQ13" s="5">
        <v>0</v>
      </c>
      <c r="KR13" s="4">
        <v>8.4464378472983859E-6</v>
      </c>
      <c r="KS13" s="5">
        <v>4.0826683024730574E-2</v>
      </c>
      <c r="KT13" s="5">
        <v>0.21337030475877372</v>
      </c>
      <c r="KU13" s="5">
        <v>0.3172345978525537</v>
      </c>
      <c r="KV13" s="5">
        <v>0.2955316747210277</v>
      </c>
      <c r="KW13" s="5">
        <v>0.19113582075666191</v>
      </c>
      <c r="KX13" s="5">
        <v>4.8273127012641172E-2</v>
      </c>
      <c r="KY13" s="4">
        <v>1.9913633793803865E-4</v>
      </c>
      <c r="KZ13" s="5">
        <v>0</v>
      </c>
      <c r="LA13" s="5">
        <v>0</v>
      </c>
      <c r="LB13" s="5">
        <v>0</v>
      </c>
      <c r="LC13" s="4">
        <v>0</v>
      </c>
      <c r="LD13" s="5">
        <v>7.5030921044480683E-2</v>
      </c>
      <c r="LE13" s="5">
        <v>0.21638874583324433</v>
      </c>
      <c r="LF13" s="5">
        <v>0.20371082594489376</v>
      </c>
      <c r="LG13" s="5">
        <v>6.9123557668320998E-2</v>
      </c>
      <c r="LH13" s="4">
        <v>0</v>
      </c>
      <c r="LI13" s="5">
        <v>0</v>
      </c>
      <c r="LJ13" s="5">
        <v>0</v>
      </c>
      <c r="LL13" s="3" t="s">
        <v>163</v>
      </c>
      <c r="LM13" s="3" t="s">
        <v>160</v>
      </c>
      <c r="LN13" s="3" t="s">
        <v>161</v>
      </c>
      <c r="LO13" s="5">
        <v>0.43030971888085562</v>
      </c>
    </row>
    <row r="14" spans="1:327" x14ac:dyDescent="0.45">
      <c r="B14" s="6" t="s">
        <v>164</v>
      </c>
      <c r="C14" s="6" t="s">
        <v>151</v>
      </c>
      <c r="D14" s="8">
        <v>0</v>
      </c>
      <c r="E14" s="8">
        <v>0</v>
      </c>
      <c r="F14" s="8">
        <v>0.97283549969535232</v>
      </c>
      <c r="G14" s="8">
        <v>0.46705626405589196</v>
      </c>
      <c r="H14" s="8">
        <v>0.26042336827040985</v>
      </c>
      <c r="I14" s="8">
        <v>0.24618680322187753</v>
      </c>
      <c r="J14" s="8">
        <v>0.35044060737659116</v>
      </c>
      <c r="K14" s="8">
        <v>0.77757204447414896</v>
      </c>
      <c r="L14" s="8">
        <v>0</v>
      </c>
      <c r="M14" s="8">
        <v>0</v>
      </c>
      <c r="N14" s="8">
        <v>0</v>
      </c>
      <c r="O14" s="8">
        <v>0.84100966779667929</v>
      </c>
      <c r="P14" s="8">
        <v>0.41979299791964325</v>
      </c>
      <c r="Q14" s="8">
        <v>0.2149821672827357</v>
      </c>
      <c r="R14" s="8">
        <v>0.16182425905368122</v>
      </c>
      <c r="S14" s="8">
        <v>0.16051065188034369</v>
      </c>
      <c r="T14" s="8">
        <v>0.17457632812128573</v>
      </c>
      <c r="U14" s="8">
        <v>0.26703774714125778</v>
      </c>
      <c r="V14" s="8">
        <v>0.6860384000794707</v>
      </c>
      <c r="W14" s="8">
        <v>0</v>
      </c>
      <c r="X14" s="8">
        <v>0.9159720549060193</v>
      </c>
      <c r="Y14" s="8">
        <v>0.30354431391264525</v>
      </c>
      <c r="Z14" s="8">
        <v>0.21959341063545729</v>
      </c>
      <c r="AA14" s="8">
        <v>0.16091931419167754</v>
      </c>
      <c r="AB14" s="8">
        <v>0.14903722839979427</v>
      </c>
      <c r="AC14" s="8">
        <v>0.15231289315010393</v>
      </c>
      <c r="AD14" s="8">
        <v>0.15346611436607149</v>
      </c>
      <c r="AE14" s="8">
        <v>0.19047602084476517</v>
      </c>
      <c r="AF14" s="8">
        <v>0.27622535601194875</v>
      </c>
      <c r="AG14" s="8">
        <v>0.78562962952452264</v>
      </c>
      <c r="AH14" s="8">
        <v>0.98387096774193539</v>
      </c>
      <c r="AI14" s="8">
        <v>0.45704723076760673</v>
      </c>
      <c r="AJ14" s="8">
        <v>0.23761498019493141</v>
      </c>
      <c r="AK14" s="8">
        <v>0.14666741318910892</v>
      </c>
      <c r="AL14" s="8">
        <v>0.13764616192777154</v>
      </c>
      <c r="AM14" s="8">
        <v>0.13145369497685624</v>
      </c>
      <c r="AN14" s="8">
        <v>0.1514521069666831</v>
      </c>
      <c r="AO14" s="8">
        <v>0.19336304720537489</v>
      </c>
      <c r="AP14" s="8">
        <v>0.34541245125639114</v>
      </c>
      <c r="AQ14" s="8">
        <v>0.85615091268563204</v>
      </c>
      <c r="AR14" s="8">
        <v>0</v>
      </c>
      <c r="AS14" s="8">
        <v>0.97540983606557363</v>
      </c>
      <c r="AT14" s="8">
        <v>0.55632118153763688</v>
      </c>
      <c r="AU14" s="8">
        <v>0.29789180348997912</v>
      </c>
      <c r="AV14" s="8">
        <v>0.22973910270884829</v>
      </c>
      <c r="AW14" s="8">
        <v>0.22153328770585334</v>
      </c>
      <c r="AX14" s="8">
        <v>0.3003473605512858</v>
      </c>
      <c r="AY14" s="8">
        <v>0.49004130698888554</v>
      </c>
      <c r="AZ14" s="8">
        <v>0.88845099774516756</v>
      </c>
      <c r="BA14" s="8">
        <v>0</v>
      </c>
      <c r="BB14" s="8">
        <v>0</v>
      </c>
      <c r="BC14" s="8">
        <v>0</v>
      </c>
      <c r="BD14" s="8">
        <v>0</v>
      </c>
      <c r="BE14" s="8">
        <v>0.52946598473872164</v>
      </c>
      <c r="BF14" s="8">
        <v>0.30860725608654749</v>
      </c>
      <c r="BG14" s="8">
        <v>0.30986203634994158</v>
      </c>
      <c r="BH14" s="8">
        <v>0.49817104290926145</v>
      </c>
      <c r="BI14" s="8">
        <v>0</v>
      </c>
      <c r="BJ14" s="8">
        <v>0</v>
      </c>
      <c r="BK14" s="8">
        <v>0</v>
      </c>
      <c r="BM14" s="6" t="s">
        <v>164</v>
      </c>
      <c r="BN14" s="6" t="s">
        <v>152</v>
      </c>
      <c r="BO14" s="8">
        <v>0</v>
      </c>
      <c r="BP14" s="8">
        <v>0</v>
      </c>
      <c r="BQ14" s="7">
        <v>0.94810239377089423</v>
      </c>
      <c r="BR14" s="8">
        <v>0.31117921496599538</v>
      </c>
      <c r="BS14" s="8">
        <v>0.15858847084160621</v>
      </c>
      <c r="BT14" s="8">
        <v>7.6436384382259553E-2</v>
      </c>
      <c r="BU14" s="7">
        <v>6.4158651726542434E-2</v>
      </c>
      <c r="BV14" s="8">
        <v>9.3488659111821221E-2</v>
      </c>
      <c r="BW14" s="7">
        <v>0</v>
      </c>
      <c r="BX14" s="8">
        <v>0</v>
      </c>
      <c r="BY14" s="7">
        <v>0</v>
      </c>
      <c r="BZ14" s="7">
        <v>0.71949483019353777</v>
      </c>
      <c r="CA14" s="7">
        <v>0.28207036635573868</v>
      </c>
      <c r="CB14" s="7">
        <v>0.11581741099290592</v>
      </c>
      <c r="CC14" s="7">
        <v>6.8301040432967294E-2</v>
      </c>
      <c r="CD14" s="8">
        <v>3.4195825193709804E-2</v>
      </c>
      <c r="CE14" s="7">
        <v>2.4593144435346156E-2</v>
      </c>
      <c r="CF14" s="8">
        <v>3.8282966729766173E-2</v>
      </c>
      <c r="CG14" s="7">
        <v>0.32419446416196207</v>
      </c>
      <c r="CH14" s="8">
        <v>0</v>
      </c>
      <c r="CI14" s="8">
        <v>0.85812451459488137</v>
      </c>
      <c r="CJ14" s="7">
        <v>0.18811104025500064</v>
      </c>
      <c r="CK14" s="8">
        <v>0.14399285219854135</v>
      </c>
      <c r="CL14" s="7">
        <v>8.6828297117573477E-2</v>
      </c>
      <c r="CM14" s="8">
        <v>7.4878029132638288E-2</v>
      </c>
      <c r="CN14" s="8">
        <v>2.0140969235923459E-2</v>
      </c>
      <c r="CO14" s="8">
        <v>2.0626719876736747E-2</v>
      </c>
      <c r="CP14" s="8">
        <v>3.2145169462282949E-2</v>
      </c>
      <c r="CQ14" s="8">
        <v>0.12014688362022785</v>
      </c>
      <c r="CR14" s="8">
        <v>0.62678648038568463</v>
      </c>
      <c r="CS14" s="8">
        <v>0.9680020811654525</v>
      </c>
      <c r="CT14" s="8">
        <v>0.3042680130619565</v>
      </c>
      <c r="CU14" s="7">
        <v>0.14987927358209885</v>
      </c>
      <c r="CV14" s="7">
        <v>8.6623200144413631E-2</v>
      </c>
      <c r="CW14" s="8">
        <v>6.7158543648156419E-2</v>
      </c>
      <c r="CX14" s="7">
        <v>3.1039801065216571E-2</v>
      </c>
      <c r="CY14" s="7">
        <v>2.566345997059126E-2</v>
      </c>
      <c r="CZ14" s="7">
        <v>4.1732379951043633E-2</v>
      </c>
      <c r="DA14" s="7">
        <v>0.12924870296545643</v>
      </c>
      <c r="DB14" s="8">
        <v>0.68439684729160366</v>
      </c>
      <c r="DC14" s="8">
        <v>0</v>
      </c>
      <c r="DD14" s="7">
        <v>0.95474642870328119</v>
      </c>
      <c r="DE14" s="7">
        <v>0.40975731846484809</v>
      </c>
      <c r="DF14" s="8">
        <v>0.18475677411214778</v>
      </c>
      <c r="DG14" s="8">
        <v>0.12051181420551721</v>
      </c>
      <c r="DH14" s="7">
        <v>3.450050820467359E-2</v>
      </c>
      <c r="DI14" s="7">
        <v>3.7219036106592635E-2</v>
      </c>
      <c r="DJ14" s="7">
        <v>9.4000121794449193E-2</v>
      </c>
      <c r="DK14" s="7">
        <v>5.6901353044662366E-2</v>
      </c>
      <c r="DL14" s="8">
        <v>0</v>
      </c>
      <c r="DM14" s="8">
        <v>0</v>
      </c>
      <c r="DN14" s="8">
        <v>0</v>
      </c>
      <c r="DO14" s="8">
        <v>0</v>
      </c>
      <c r="DP14" s="8">
        <v>0.36818846458345023</v>
      </c>
      <c r="DQ14" s="8">
        <v>0.19557711114522111</v>
      </c>
      <c r="DR14" s="8">
        <v>0.1600137155668942</v>
      </c>
      <c r="DS14" s="8">
        <v>0.13059798467199357</v>
      </c>
      <c r="DT14" s="7">
        <v>0</v>
      </c>
      <c r="DU14" s="8">
        <v>0</v>
      </c>
      <c r="DV14" s="8">
        <v>0</v>
      </c>
      <c r="DX14" s="6" t="s">
        <v>164</v>
      </c>
      <c r="DY14" s="6" t="s">
        <v>153</v>
      </c>
      <c r="DZ14" s="7">
        <v>0</v>
      </c>
      <c r="EA14" s="8">
        <v>0</v>
      </c>
      <c r="EB14" s="8">
        <v>0</v>
      </c>
      <c r="EC14" s="8">
        <v>0</v>
      </c>
      <c r="ED14" s="7">
        <v>0</v>
      </c>
      <c r="EE14" s="8">
        <v>6.1290247509308636E-2</v>
      </c>
      <c r="EF14" s="7">
        <v>0.16077819346081026</v>
      </c>
      <c r="EG14" s="8">
        <v>0.54536389498587645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6.5804535362570318E-3</v>
      </c>
      <c r="EO14" s="7">
        <v>3.915908915975165E-2</v>
      </c>
      <c r="EP14" s="7">
        <v>6.3728897823653069E-2</v>
      </c>
      <c r="EQ14" s="7">
        <v>0.13378140195145127</v>
      </c>
      <c r="ER14" s="7">
        <v>0.18595723264903891</v>
      </c>
      <c r="ES14" s="7">
        <v>0</v>
      </c>
      <c r="ET14" s="8">
        <v>0</v>
      </c>
      <c r="EU14" s="8">
        <v>0</v>
      </c>
      <c r="EV14" s="8">
        <v>0</v>
      </c>
      <c r="EW14" s="8">
        <v>0</v>
      </c>
      <c r="EX14" s="7">
        <v>8.4590041196046795E-3</v>
      </c>
      <c r="EY14" s="8">
        <v>6.3404313617872535E-2</v>
      </c>
      <c r="EZ14" s="8">
        <v>6.2064321559590907E-2</v>
      </c>
      <c r="FA14" s="8">
        <v>8.1951172016532986E-2</v>
      </c>
      <c r="FB14" s="8">
        <v>2.2548347366220068E-2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7">
        <v>9.2321833331811595E-3</v>
      </c>
      <c r="FI14" s="8">
        <v>4.1129075728709379E-2</v>
      </c>
      <c r="FJ14" s="8">
        <v>6.0408431502958722E-2</v>
      </c>
      <c r="FK14" s="8">
        <v>5.8252345074492395E-2</v>
      </c>
      <c r="FL14" s="8">
        <v>3.7760039809606724E-2</v>
      </c>
      <c r="FM14" s="7">
        <v>0</v>
      </c>
      <c r="FN14" s="8">
        <v>0</v>
      </c>
      <c r="FO14" s="8">
        <v>0</v>
      </c>
      <c r="FP14" s="7">
        <v>0</v>
      </c>
      <c r="FQ14" s="7">
        <v>0</v>
      </c>
      <c r="FR14" s="7">
        <v>1.3314086729426652E-2</v>
      </c>
      <c r="FS14" s="7">
        <v>9.9656563131438711E-2</v>
      </c>
      <c r="FT14" s="8">
        <v>0.15179172065523028</v>
      </c>
      <c r="FU14" s="8">
        <v>0.21975202310082681</v>
      </c>
      <c r="FV14" s="7">
        <v>0.28688851594769366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3.4065829537629932E-2</v>
      </c>
      <c r="GD14" s="8">
        <v>0.21587074534351303</v>
      </c>
      <c r="GE14" s="8">
        <v>0</v>
      </c>
      <c r="GF14" s="8">
        <v>0</v>
      </c>
      <c r="GG14" s="8">
        <v>0</v>
      </c>
      <c r="GI14" s="6" t="s">
        <v>164</v>
      </c>
      <c r="GJ14" s="6" t="s">
        <v>154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 s="8">
        <v>0</v>
      </c>
      <c r="GV14" s="8">
        <v>0</v>
      </c>
      <c r="GW14" s="8">
        <v>0</v>
      </c>
      <c r="GX14" s="8">
        <v>0</v>
      </c>
      <c r="GY14" s="8">
        <v>0</v>
      </c>
      <c r="GZ14" s="8">
        <v>0</v>
      </c>
      <c r="HA14" s="7">
        <v>0</v>
      </c>
      <c r="HB14" s="8">
        <v>0</v>
      </c>
      <c r="HC14" s="8">
        <v>2.6462246935159892E-2</v>
      </c>
      <c r="HD14" s="8">
        <v>0</v>
      </c>
      <c r="HE14" s="8">
        <v>0</v>
      </c>
      <c r="HF14" s="8">
        <v>0</v>
      </c>
      <c r="HG14" s="8">
        <v>0</v>
      </c>
      <c r="HH14" s="8">
        <v>0</v>
      </c>
      <c r="HI14" s="8">
        <v>0</v>
      </c>
      <c r="HJ14" s="8">
        <v>0</v>
      </c>
      <c r="HK14" s="8">
        <v>0</v>
      </c>
      <c r="HL14" s="7">
        <v>5.4043616988730444E-3</v>
      </c>
      <c r="HM14" s="8">
        <v>2.8479132186953759E-2</v>
      </c>
      <c r="HN14" s="8">
        <v>0</v>
      </c>
      <c r="HO14" s="8">
        <v>0</v>
      </c>
      <c r="HP14" s="8">
        <v>0</v>
      </c>
      <c r="HQ14" s="8">
        <v>0</v>
      </c>
      <c r="HR14" s="8">
        <v>0</v>
      </c>
      <c r="HS14" s="8">
        <v>0</v>
      </c>
      <c r="HT14" s="8">
        <v>0</v>
      </c>
      <c r="HU14" s="8">
        <v>1.1672339303459736E-3</v>
      </c>
      <c r="HV14" s="7">
        <v>1.7614680569032728E-2</v>
      </c>
      <c r="HW14" s="8">
        <v>6.9169946117763684E-2</v>
      </c>
      <c r="HX14" s="8">
        <v>7.2878155241116363E-2</v>
      </c>
      <c r="HY14" s="8">
        <v>0</v>
      </c>
      <c r="HZ14" s="8">
        <v>0</v>
      </c>
      <c r="IA14" s="8">
        <v>0</v>
      </c>
      <c r="IB14" s="8">
        <v>0</v>
      </c>
      <c r="IC14" s="8">
        <v>0</v>
      </c>
      <c r="ID14" s="8">
        <v>0</v>
      </c>
      <c r="IE14" s="8">
        <v>0</v>
      </c>
      <c r="IF14" s="8">
        <v>4.6743405109140428E-2</v>
      </c>
      <c r="IG14" s="8">
        <v>0.46711916320766933</v>
      </c>
      <c r="IH14" s="8">
        <v>0</v>
      </c>
      <c r="II14" s="8">
        <v>0</v>
      </c>
      <c r="IJ14" s="8">
        <v>0</v>
      </c>
      <c r="IK14" s="8">
        <v>0</v>
      </c>
      <c r="IL14" s="8">
        <v>0</v>
      </c>
      <c r="IM14" s="8">
        <v>0</v>
      </c>
      <c r="IN14" s="8">
        <v>0</v>
      </c>
      <c r="IO14" s="8">
        <v>0</v>
      </c>
      <c r="IP14" s="8">
        <v>0</v>
      </c>
      <c r="IQ14" s="8">
        <v>0</v>
      </c>
      <c r="IR14" s="8">
        <v>0</v>
      </c>
      <c r="JB14" s="6" t="s">
        <v>164</v>
      </c>
      <c r="JC14" s="8">
        <v>0</v>
      </c>
      <c r="JD14" s="8">
        <v>0</v>
      </c>
      <c r="JE14" s="7">
        <v>2.510058422722829E-4</v>
      </c>
      <c r="JF14" s="8">
        <v>7.0954082206691541E-2</v>
      </c>
      <c r="JG14" s="8">
        <v>0.22714787057176114</v>
      </c>
      <c r="JH14" s="8">
        <v>0.26245960933265922</v>
      </c>
      <c r="JI14" s="8">
        <v>0.14422734586405589</v>
      </c>
      <c r="JJ14" s="8">
        <v>1.6996827072970972E-2</v>
      </c>
      <c r="JK14" s="8">
        <v>0</v>
      </c>
      <c r="JL14" s="8">
        <v>0</v>
      </c>
      <c r="JM14" s="8">
        <v>0</v>
      </c>
      <c r="JN14" s="7">
        <v>1.1337241931977807E-3</v>
      </c>
      <c r="JO14" s="8">
        <v>7.3039649818503569E-2</v>
      </c>
      <c r="JP14" s="8">
        <v>0.29591860475795534</v>
      </c>
      <c r="JQ14" s="8">
        <v>0.4616588462900682</v>
      </c>
      <c r="JR14" s="8">
        <v>0.48020749243815603</v>
      </c>
      <c r="JS14" s="8">
        <v>0.36460404456594481</v>
      </c>
      <c r="JT14" s="8">
        <v>0.14634814593048898</v>
      </c>
      <c r="JU14" s="8">
        <v>5.2584678085174814E-3</v>
      </c>
      <c r="JV14" s="8">
        <v>0</v>
      </c>
      <c r="JW14" s="7">
        <v>1.2294596250080514E-5</v>
      </c>
      <c r="JX14" s="8">
        <v>2.0359642449829188E-2</v>
      </c>
      <c r="JY14" s="8">
        <v>0.14579518964371219</v>
      </c>
      <c r="JZ14" s="8">
        <v>0.33118710213196306</v>
      </c>
      <c r="KA14" s="8">
        <v>0.44382931140091741</v>
      </c>
      <c r="KB14" s="8">
        <v>0.45986727550042789</v>
      </c>
      <c r="KC14" s="8">
        <v>0.37588556711038407</v>
      </c>
      <c r="KD14" s="8">
        <v>0.19717067570404501</v>
      </c>
      <c r="KE14" s="8">
        <v>3.7701278482298463E-2</v>
      </c>
      <c r="KF14" s="7">
        <v>1.0296870631562921E-3</v>
      </c>
      <c r="KG14" s="7">
        <v>0</v>
      </c>
      <c r="KH14" s="8">
        <v>1.1444330148763823E-2</v>
      </c>
      <c r="KI14" s="8">
        <v>0.11187859983163971</v>
      </c>
      <c r="KJ14" s="8">
        <v>0.29546782178189546</v>
      </c>
      <c r="KK14" s="8">
        <v>0.41507251656795574</v>
      </c>
      <c r="KL14" s="8">
        <v>0.4477685728132923</v>
      </c>
      <c r="KM14" s="8">
        <v>0.36104705071935678</v>
      </c>
      <c r="KN14" s="8">
        <v>0.18327336396016344</v>
      </c>
      <c r="KO14" s="8">
        <v>3.0779179512950516E-2</v>
      </c>
      <c r="KP14" s="7">
        <v>4.7590018011660633E-4</v>
      </c>
      <c r="KQ14" s="8">
        <v>0</v>
      </c>
      <c r="KR14" s="7">
        <v>0</v>
      </c>
      <c r="KS14" s="8">
        <v>2.7206486665371846E-2</v>
      </c>
      <c r="KT14" s="8">
        <v>0.16419763686284486</v>
      </c>
      <c r="KU14" s="8">
        <v>0.29019124042168926</v>
      </c>
      <c r="KV14" s="8">
        <v>0.29803711833890367</v>
      </c>
      <c r="KW14" s="8">
        <v>0.19051497545237489</v>
      </c>
      <c r="KX14" s="8">
        <v>4.8710569287961442E-2</v>
      </c>
      <c r="KY14" s="7">
        <v>3.0622949663810324E-4</v>
      </c>
      <c r="KZ14" s="8">
        <v>0</v>
      </c>
      <c r="LA14" s="8">
        <v>0</v>
      </c>
      <c r="LB14" s="8">
        <v>0</v>
      </c>
      <c r="LC14" s="7">
        <v>0</v>
      </c>
      <c r="LD14" s="8">
        <v>3.9662427615715777E-2</v>
      </c>
      <c r="LE14" s="8">
        <v>0.13292918145357591</v>
      </c>
      <c r="LF14" s="8">
        <v>0.1356110156940884</v>
      </c>
      <c r="LG14" s="8">
        <v>4.180825906255E-2</v>
      </c>
      <c r="LH14" s="7">
        <v>0</v>
      </c>
      <c r="LI14" s="8">
        <v>0</v>
      </c>
      <c r="LJ14" s="8">
        <v>0</v>
      </c>
      <c r="LL14" s="6" t="s">
        <v>164</v>
      </c>
      <c r="LM14" s="6" t="s">
        <v>160</v>
      </c>
      <c r="LN14" s="6" t="s">
        <v>161</v>
      </c>
      <c r="LO14" s="8">
        <v>0.40873337851274799</v>
      </c>
    </row>
    <row r="15" spans="1:327" x14ac:dyDescent="0.45">
      <c r="B15" s="3" t="s">
        <v>165</v>
      </c>
      <c r="C15" s="3" t="s">
        <v>151</v>
      </c>
      <c r="D15" s="5">
        <v>0</v>
      </c>
      <c r="E15" s="5">
        <v>0</v>
      </c>
      <c r="F15" s="5">
        <v>0.98305084745762716</v>
      </c>
      <c r="G15" s="5">
        <v>0.52012061574144142</v>
      </c>
      <c r="H15" s="5">
        <v>0.35438059015404605</v>
      </c>
      <c r="I15" s="5">
        <v>0.31628452096900783</v>
      </c>
      <c r="J15" s="5">
        <v>0.37182355807311246</v>
      </c>
      <c r="K15" s="5">
        <v>0.70640401132366815</v>
      </c>
      <c r="L15" s="5">
        <v>0</v>
      </c>
      <c r="M15" s="5">
        <v>0</v>
      </c>
      <c r="N15" s="5">
        <v>0</v>
      </c>
      <c r="O15" s="5">
        <v>0.90001610708085611</v>
      </c>
      <c r="P15" s="5">
        <v>0.4801081578718378</v>
      </c>
      <c r="Q15" s="5">
        <v>0.25050741018047884</v>
      </c>
      <c r="R15" s="5">
        <v>0.18689665670504835</v>
      </c>
      <c r="S15" s="5">
        <v>0.1829730686266805</v>
      </c>
      <c r="T15" s="5">
        <v>0.18956715478757641</v>
      </c>
      <c r="U15" s="5">
        <v>0.26412512887659784</v>
      </c>
      <c r="V15" s="5">
        <v>0.68672624492351808</v>
      </c>
      <c r="W15" s="5">
        <v>0</v>
      </c>
      <c r="X15" s="5">
        <v>0</v>
      </c>
      <c r="Y15" s="5">
        <v>0.42913754992364239</v>
      </c>
      <c r="Z15" s="5">
        <v>0.25934521716429698</v>
      </c>
      <c r="AA15" s="5">
        <v>0.20522932581655468</v>
      </c>
      <c r="AB15" s="5">
        <v>0.19500228566285463</v>
      </c>
      <c r="AC15" s="5">
        <v>0.17082933463496605</v>
      </c>
      <c r="AD15" s="5">
        <v>0.16466645429798024</v>
      </c>
      <c r="AE15" s="5">
        <v>0.17965205627685418</v>
      </c>
      <c r="AF15" s="5">
        <v>0.29793876579732037</v>
      </c>
      <c r="AG15" s="5">
        <v>0.83314862896833908</v>
      </c>
      <c r="AH15" s="5">
        <v>0</v>
      </c>
      <c r="AI15" s="5">
        <v>0.58224493695392554</v>
      </c>
      <c r="AJ15" s="5">
        <v>0.28061230394854159</v>
      </c>
      <c r="AK15" s="5">
        <v>0.15331016389591456</v>
      </c>
      <c r="AL15" s="5">
        <v>0.11390126139430304</v>
      </c>
      <c r="AM15" s="5">
        <v>0.12736045578281488</v>
      </c>
      <c r="AN15" s="5">
        <v>0.14567994806393805</v>
      </c>
      <c r="AO15" s="5">
        <v>0.20024777458656234</v>
      </c>
      <c r="AP15" s="5">
        <v>0.37259199773735802</v>
      </c>
      <c r="AQ15" s="5">
        <v>0.89279089010929413</v>
      </c>
      <c r="AR15" s="5">
        <v>0</v>
      </c>
      <c r="AS15" s="5">
        <v>0</v>
      </c>
      <c r="AT15" s="5">
        <v>0.54159517135630808</v>
      </c>
      <c r="AU15" s="5">
        <v>0.27564269442441075</v>
      </c>
      <c r="AV15" s="5">
        <v>0.2194777780705901</v>
      </c>
      <c r="AW15" s="5">
        <v>0.21951915866078603</v>
      </c>
      <c r="AX15" s="5">
        <v>0.26411072342410002</v>
      </c>
      <c r="AY15" s="5">
        <v>0.42273948144742135</v>
      </c>
      <c r="AZ15" s="5">
        <v>0.89618643310485946</v>
      </c>
      <c r="BA15" s="5">
        <v>0</v>
      </c>
      <c r="BB15" s="5">
        <v>0</v>
      </c>
      <c r="BC15" s="5">
        <v>0</v>
      </c>
      <c r="BD15" s="5">
        <v>0</v>
      </c>
      <c r="BE15" s="5">
        <v>0.48891628446439245</v>
      </c>
      <c r="BF15" s="5">
        <v>0.29068414604140957</v>
      </c>
      <c r="BG15" s="5">
        <v>0.25691960057206992</v>
      </c>
      <c r="BH15" s="5">
        <v>0.33985617162120285</v>
      </c>
      <c r="BI15" s="5">
        <v>0.97540983606557363</v>
      </c>
      <c r="BJ15" s="5">
        <v>0</v>
      </c>
      <c r="BK15" s="5">
        <v>0</v>
      </c>
      <c r="BM15" s="3" t="s">
        <v>165</v>
      </c>
      <c r="BN15" s="3" t="s">
        <v>152</v>
      </c>
      <c r="BO15" s="5">
        <v>0</v>
      </c>
      <c r="BP15" s="5">
        <v>0</v>
      </c>
      <c r="BQ15" s="4">
        <v>0.96638896868715884</v>
      </c>
      <c r="BR15" s="5">
        <v>0.34612979932302629</v>
      </c>
      <c r="BS15" s="5">
        <v>0.20917283287114949</v>
      </c>
      <c r="BT15" s="5">
        <v>0.1440834800387486</v>
      </c>
      <c r="BU15" s="4">
        <v>6.3476114409807341E-2</v>
      </c>
      <c r="BV15" s="5">
        <v>0.10017718215318083</v>
      </c>
      <c r="BW15" s="4">
        <v>0</v>
      </c>
      <c r="BX15" s="5">
        <v>0</v>
      </c>
      <c r="BY15" s="4">
        <v>0</v>
      </c>
      <c r="BZ15" s="4">
        <v>0.82056029019349086</v>
      </c>
      <c r="CA15" s="4">
        <v>0.34194722624728152</v>
      </c>
      <c r="CB15" s="4">
        <v>0.14818571842233777</v>
      </c>
      <c r="CC15" s="4">
        <v>8.380056821035814E-2</v>
      </c>
      <c r="CD15" s="5">
        <v>3.5231873821322104E-2</v>
      </c>
      <c r="CE15" s="4">
        <v>2.4212450482447245E-2</v>
      </c>
      <c r="CF15" s="5">
        <v>5.4084176840295567E-2</v>
      </c>
      <c r="CG15" s="4">
        <v>0.28512202377100276</v>
      </c>
      <c r="CH15" s="5">
        <v>0</v>
      </c>
      <c r="CI15" s="5">
        <v>0</v>
      </c>
      <c r="CJ15" s="4">
        <v>0.27371041907086452</v>
      </c>
      <c r="CK15" s="5">
        <v>0.17651396502890185</v>
      </c>
      <c r="CL15" s="4">
        <v>0.11408508857851844</v>
      </c>
      <c r="CM15" s="5">
        <v>0.10353807576778061</v>
      </c>
      <c r="CN15" s="5">
        <v>1.2762157885906948E-2</v>
      </c>
      <c r="CO15" s="5">
        <v>7.9479940638657008E-3</v>
      </c>
      <c r="CP15" s="5">
        <v>3.2992903078657848E-2</v>
      </c>
      <c r="CQ15" s="5">
        <v>0.11093851449871119</v>
      </c>
      <c r="CR15" s="5">
        <v>0.71165610712092964</v>
      </c>
      <c r="CS15" s="5">
        <v>0</v>
      </c>
      <c r="CT15" s="5">
        <v>0.41675790273446023</v>
      </c>
      <c r="CU15" s="4">
        <v>0.17693286208382408</v>
      </c>
      <c r="CV15" s="4">
        <v>8.5861186666285824E-2</v>
      </c>
      <c r="CW15" s="5">
        <v>6.5976734042152221E-2</v>
      </c>
      <c r="CX15" s="4">
        <v>2.2268657427448012E-2</v>
      </c>
      <c r="CY15" s="4">
        <v>2.3370437334807412E-2</v>
      </c>
      <c r="CZ15" s="4">
        <v>5.6000863639502976E-2</v>
      </c>
      <c r="DA15" s="4">
        <v>0.13037849403255203</v>
      </c>
      <c r="DB15" s="5">
        <v>0.72292520231888568</v>
      </c>
      <c r="DC15" s="5">
        <v>0</v>
      </c>
      <c r="DD15" s="4">
        <v>0</v>
      </c>
      <c r="DE15" s="4">
        <v>0.39900375534592358</v>
      </c>
      <c r="DF15" s="5">
        <v>0.16870228157802741</v>
      </c>
      <c r="DG15" s="5">
        <v>0.12631264316751906</v>
      </c>
      <c r="DH15" s="4">
        <v>3.2369939865401709E-2</v>
      </c>
      <c r="DI15" s="4">
        <v>4.4837069334973202E-2</v>
      </c>
      <c r="DJ15" s="4">
        <v>9.5244930747909975E-2</v>
      </c>
      <c r="DK15" s="4">
        <v>0.21176858795515049</v>
      </c>
      <c r="DL15" s="5">
        <v>0</v>
      </c>
      <c r="DM15" s="5">
        <v>0</v>
      </c>
      <c r="DN15" s="5">
        <v>0</v>
      </c>
      <c r="DO15" s="5">
        <v>0</v>
      </c>
      <c r="DP15" s="5">
        <v>0.31941655752469594</v>
      </c>
      <c r="DQ15" s="5">
        <v>0.17428008957603003</v>
      </c>
      <c r="DR15" s="5">
        <v>0.11422609178434688</v>
      </c>
      <c r="DS15" s="5">
        <v>5.4800111515672621E-2</v>
      </c>
      <c r="DT15" s="4">
        <v>0.16489811656612002</v>
      </c>
      <c r="DU15" s="5">
        <v>0</v>
      </c>
      <c r="DV15" s="5">
        <v>0</v>
      </c>
      <c r="DX15" s="3" t="s">
        <v>165</v>
      </c>
      <c r="DY15" s="3" t="s">
        <v>153</v>
      </c>
      <c r="DZ15" s="4">
        <v>0</v>
      </c>
      <c r="EA15" s="5">
        <v>0</v>
      </c>
      <c r="EB15" s="5">
        <v>0</v>
      </c>
      <c r="EC15" s="5">
        <v>0</v>
      </c>
      <c r="ED15" s="4">
        <v>0</v>
      </c>
      <c r="EE15" s="5">
        <v>3.7597456733095912E-2</v>
      </c>
      <c r="EF15" s="4">
        <v>0.16442979362933804</v>
      </c>
      <c r="EG15" s="5">
        <v>0.43322695668607547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1.8238721054750079E-2</v>
      </c>
      <c r="EO15" s="4">
        <v>6.0491412806608261E-2</v>
      </c>
      <c r="EP15" s="4">
        <v>7.6164088908745931E-2</v>
      </c>
      <c r="EQ15" s="4">
        <v>8.6026262022253178E-2</v>
      </c>
      <c r="ER15" s="4">
        <v>9.0316603295228531E-2</v>
      </c>
      <c r="ES15" s="4">
        <v>0</v>
      </c>
      <c r="ET15" s="5">
        <v>0</v>
      </c>
      <c r="EU15" s="5">
        <v>0</v>
      </c>
      <c r="EV15" s="5">
        <v>0</v>
      </c>
      <c r="EW15" s="5">
        <v>0</v>
      </c>
      <c r="EX15" s="4">
        <v>0</v>
      </c>
      <c r="EY15" s="5">
        <v>8.1643972952305299E-2</v>
      </c>
      <c r="EZ15" s="5">
        <v>8.0884407217981666E-2</v>
      </c>
      <c r="FA15" s="5">
        <v>8.0099488221034451E-2</v>
      </c>
      <c r="FB15" s="5">
        <v>1.4759375150548261E-2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4">
        <v>0</v>
      </c>
      <c r="FI15" s="5">
        <v>4.7209237873915524E-2</v>
      </c>
      <c r="FJ15" s="5">
        <v>5.5699477964662368E-2</v>
      </c>
      <c r="FK15" s="5">
        <v>6.6244230551265784E-2</v>
      </c>
      <c r="FL15" s="5">
        <v>5.7433183558878324E-2</v>
      </c>
      <c r="FM15" s="4">
        <v>8.0170597853839953E-2</v>
      </c>
      <c r="FN15" s="5">
        <v>0</v>
      </c>
      <c r="FO15" s="5">
        <v>0</v>
      </c>
      <c r="FP15" s="4">
        <v>0</v>
      </c>
      <c r="FQ15" s="4">
        <v>0</v>
      </c>
      <c r="FR15" s="4">
        <v>0</v>
      </c>
      <c r="FS15" s="4">
        <v>9.8872972217168634E-2</v>
      </c>
      <c r="FT15" s="5">
        <v>0.11890840990953472</v>
      </c>
      <c r="FU15" s="5">
        <v>0.19174051671755019</v>
      </c>
      <c r="FV15" s="4">
        <v>0.33284341039828719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2.7010011253117083E-2</v>
      </c>
      <c r="GD15" s="5">
        <v>0.16232357882563578</v>
      </c>
      <c r="GE15" s="5">
        <v>0.78652623172734959</v>
      </c>
      <c r="GF15" s="5">
        <v>0</v>
      </c>
      <c r="GG15" s="5">
        <v>0</v>
      </c>
      <c r="GI15" s="3" t="s">
        <v>165</v>
      </c>
      <c r="GJ15" s="3" t="s">
        <v>154</v>
      </c>
      <c r="GK15" s="5">
        <v>0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4">
        <v>0</v>
      </c>
      <c r="HB15" s="5">
        <v>2.6895321684662278E-2</v>
      </c>
      <c r="HC15" s="5">
        <v>0.15740240862055271</v>
      </c>
      <c r="HD15" s="5">
        <v>0</v>
      </c>
      <c r="HE15" s="5">
        <v>0</v>
      </c>
      <c r="HF15" s="5">
        <v>0</v>
      </c>
      <c r="HG15" s="5">
        <v>0</v>
      </c>
      <c r="HH15" s="5">
        <v>0</v>
      </c>
      <c r="HI15" s="5">
        <v>0</v>
      </c>
      <c r="HJ15" s="5">
        <v>0</v>
      </c>
      <c r="HK15" s="5">
        <v>0</v>
      </c>
      <c r="HL15" s="4">
        <v>0</v>
      </c>
      <c r="HM15" s="5">
        <v>5.5219042200454593E-2</v>
      </c>
      <c r="HN15" s="5">
        <v>0</v>
      </c>
      <c r="HO15" s="5">
        <v>0</v>
      </c>
      <c r="HP15" s="5">
        <v>0</v>
      </c>
      <c r="HQ15" s="5">
        <v>0</v>
      </c>
      <c r="HR15" s="5">
        <v>0</v>
      </c>
      <c r="HS15" s="5">
        <v>0</v>
      </c>
      <c r="HT15" s="5">
        <v>0</v>
      </c>
      <c r="HU15" s="5">
        <v>0</v>
      </c>
      <c r="HV15" s="4">
        <v>2.020622423682595E-4</v>
      </c>
      <c r="HW15" s="5">
        <v>6.1554649901981943E-2</v>
      </c>
      <c r="HX15" s="5">
        <v>0</v>
      </c>
      <c r="HY15" s="5">
        <v>0</v>
      </c>
      <c r="HZ15" s="5">
        <v>0</v>
      </c>
      <c r="IA15" s="5">
        <v>0</v>
      </c>
      <c r="IB15" s="5">
        <v>0</v>
      </c>
      <c r="IC15" s="5">
        <v>0</v>
      </c>
      <c r="ID15" s="5">
        <v>0</v>
      </c>
      <c r="IE15" s="5">
        <v>0</v>
      </c>
      <c r="IF15" s="5">
        <v>8.3265699037844611E-3</v>
      </c>
      <c r="IG15" s="5">
        <v>0.27184314034052404</v>
      </c>
      <c r="IH15" s="5">
        <v>0</v>
      </c>
      <c r="II15" s="5">
        <v>0</v>
      </c>
      <c r="IJ15" s="5">
        <v>0</v>
      </c>
      <c r="IK15" s="5">
        <v>0</v>
      </c>
      <c r="IL15" s="5">
        <v>0</v>
      </c>
      <c r="IM15" s="5">
        <v>0</v>
      </c>
      <c r="IN15" s="5">
        <v>0</v>
      </c>
      <c r="IO15" s="5">
        <v>0</v>
      </c>
      <c r="IP15" s="5">
        <v>0</v>
      </c>
      <c r="IQ15" s="5">
        <v>0</v>
      </c>
      <c r="IR15" s="5">
        <v>0</v>
      </c>
      <c r="JB15" s="3" t="s">
        <v>165</v>
      </c>
      <c r="JC15" s="5">
        <v>0</v>
      </c>
      <c r="JD15" s="5">
        <v>0</v>
      </c>
      <c r="JE15" s="4">
        <v>1.2183209965252962E-4</v>
      </c>
      <c r="JF15" s="5">
        <v>7.4852101858245979E-2</v>
      </c>
      <c r="JG15" s="5">
        <v>0.20957324360731391</v>
      </c>
      <c r="JH15" s="5">
        <v>0.24689852645134019</v>
      </c>
      <c r="JI15" s="5">
        <v>0.16205630066618609</v>
      </c>
      <c r="JJ15" s="5">
        <v>2.657988874357296E-2</v>
      </c>
      <c r="JK15" s="5">
        <v>0</v>
      </c>
      <c r="JL15" s="5">
        <v>0</v>
      </c>
      <c r="JM15" s="5">
        <v>0</v>
      </c>
      <c r="JN15" s="4">
        <v>3.7769865697004438E-4</v>
      </c>
      <c r="JO15" s="5">
        <v>5.6615133192264355E-2</v>
      </c>
      <c r="JP15" s="5">
        <v>0.25928850411264653</v>
      </c>
      <c r="JQ15" s="5">
        <v>0.42596646994358578</v>
      </c>
      <c r="JR15" s="5">
        <v>0.44849393875203597</v>
      </c>
      <c r="JS15" s="5">
        <v>0.34816056166303139</v>
      </c>
      <c r="JT15" s="5">
        <v>0.1517745523279668</v>
      </c>
      <c r="JU15" s="5">
        <v>5.69563215796055E-3</v>
      </c>
      <c r="JV15" s="5">
        <v>0</v>
      </c>
      <c r="JW15" s="4">
        <v>0</v>
      </c>
      <c r="JX15" s="5">
        <v>1.2700352741593477E-2</v>
      </c>
      <c r="JY15" s="5">
        <v>0.12790721014558754</v>
      </c>
      <c r="JZ15" s="5">
        <v>0.32355028089228999</v>
      </c>
      <c r="KA15" s="5">
        <v>0.45533391586567179</v>
      </c>
      <c r="KB15" s="5">
        <v>0.48616614264916408</v>
      </c>
      <c r="KC15" s="5">
        <v>0.40513817878835556</v>
      </c>
      <c r="KD15" s="5">
        <v>0.22105169389549215</v>
      </c>
      <c r="KE15" s="5">
        <v>3.7695797254767918E-2</v>
      </c>
      <c r="KF15" s="4">
        <v>3.5762763644802878E-4</v>
      </c>
      <c r="KG15" s="4">
        <v>0</v>
      </c>
      <c r="KH15" s="5">
        <v>6.9089849418511907E-3</v>
      </c>
      <c r="KI15" s="5">
        <v>0.10546163185077349</v>
      </c>
      <c r="KJ15" s="5">
        <v>0.31068268246392272</v>
      </c>
      <c r="KK15" s="5">
        <v>0.45692313820706415</v>
      </c>
      <c r="KL15" s="5">
        <v>0.47480846410312849</v>
      </c>
      <c r="KM15" s="5">
        <v>0.39512249435140623</v>
      </c>
      <c r="KN15" s="5">
        <v>0.2076560984243721</v>
      </c>
      <c r="KO15" s="5">
        <v>3.2711187751693738E-2</v>
      </c>
      <c r="KP15" s="4">
        <v>1.9175451648858747E-4</v>
      </c>
      <c r="KQ15" s="5">
        <v>0</v>
      </c>
      <c r="KR15" s="4">
        <v>0</v>
      </c>
      <c r="KS15" s="5">
        <v>2.8861713468308924E-2</v>
      </c>
      <c r="KT15" s="5">
        <v>0.18889751680339309</v>
      </c>
      <c r="KU15" s="5">
        <v>0.31765132372524596</v>
      </c>
      <c r="KV15" s="5">
        <v>0.32069312666866723</v>
      </c>
      <c r="KW15" s="5">
        <v>0.218853811080987</v>
      </c>
      <c r="KX15" s="5">
        <v>6.4095943997687518E-2</v>
      </c>
      <c r="KY15" s="4">
        <v>4.6553895963213373E-4</v>
      </c>
      <c r="KZ15" s="5">
        <v>0</v>
      </c>
      <c r="LA15" s="5">
        <v>0</v>
      </c>
      <c r="LB15" s="5">
        <v>0</v>
      </c>
      <c r="LC15" s="4">
        <v>0</v>
      </c>
      <c r="LD15" s="5">
        <v>7.0714693307324286E-2</v>
      </c>
      <c r="LE15" s="5">
        <v>0.22087247845005159</v>
      </c>
      <c r="LF15" s="5">
        <v>0.24338787561630393</v>
      </c>
      <c r="LG15" s="5">
        <v>0.11058095997227937</v>
      </c>
      <c r="LH15" s="4">
        <v>3.3910460781484306E-4</v>
      </c>
      <c r="LI15" s="5">
        <v>0</v>
      </c>
      <c r="LJ15" s="5">
        <v>0</v>
      </c>
      <c r="LL15" s="3" t="s">
        <v>165</v>
      </c>
      <c r="LM15" s="3" t="s">
        <v>160</v>
      </c>
      <c r="LN15" s="3" t="s">
        <v>161</v>
      </c>
      <c r="LO15" s="5">
        <v>0.43087207959264168</v>
      </c>
    </row>
    <row r="16" spans="1:327" x14ac:dyDescent="0.45">
      <c r="B16" s="6" t="s">
        <v>166</v>
      </c>
      <c r="C16" s="6" t="s">
        <v>151</v>
      </c>
      <c r="D16" s="8">
        <v>0</v>
      </c>
      <c r="E16" s="8">
        <v>0</v>
      </c>
      <c r="F16" s="8">
        <v>0.95762711864406813</v>
      </c>
      <c r="G16" s="8">
        <v>0.48168593576148716</v>
      </c>
      <c r="H16" s="8">
        <v>0.33671854896088832</v>
      </c>
      <c r="I16" s="8">
        <v>0.31830497317516576</v>
      </c>
      <c r="J16" s="8">
        <v>0.3657685661280029</v>
      </c>
      <c r="K16" s="8">
        <v>0.71721171271644257</v>
      </c>
      <c r="L16" s="8">
        <v>0</v>
      </c>
      <c r="M16" s="8">
        <v>0</v>
      </c>
      <c r="N16" s="8">
        <v>0</v>
      </c>
      <c r="O16" s="8">
        <v>0.8978880954964491</v>
      </c>
      <c r="P16" s="8">
        <v>0.45928816477477979</v>
      </c>
      <c r="Q16" s="8">
        <v>0.25959182023056998</v>
      </c>
      <c r="R16" s="8">
        <v>0.19226879941107888</v>
      </c>
      <c r="S16" s="8">
        <v>0.16792939112793467</v>
      </c>
      <c r="T16" s="8">
        <v>0.18105490607305708</v>
      </c>
      <c r="U16" s="8">
        <v>0.27739176519826525</v>
      </c>
      <c r="V16" s="8">
        <v>0.71615560431048841</v>
      </c>
      <c r="W16" s="8">
        <v>0</v>
      </c>
      <c r="X16" s="8">
        <v>0</v>
      </c>
      <c r="Y16" s="8">
        <v>0.39445499320640892</v>
      </c>
      <c r="Z16" s="8">
        <v>0.23040616483939846</v>
      </c>
      <c r="AA16" s="8">
        <v>0.18766870463422125</v>
      </c>
      <c r="AB16" s="8">
        <v>0.18534601303607848</v>
      </c>
      <c r="AC16" s="8">
        <v>0.18666804743563961</v>
      </c>
      <c r="AD16" s="8">
        <v>0.1730123727517367</v>
      </c>
      <c r="AE16" s="8">
        <v>0.1839636972343785</v>
      </c>
      <c r="AF16" s="8">
        <v>0.30050525894597707</v>
      </c>
      <c r="AG16" s="8">
        <v>0.85222503770875735</v>
      </c>
      <c r="AH16" s="8">
        <v>0</v>
      </c>
      <c r="AI16" s="8">
        <v>0.55118166155961723</v>
      </c>
      <c r="AJ16" s="8">
        <v>0.27123520846236526</v>
      </c>
      <c r="AK16" s="8">
        <v>0.17286042813215152</v>
      </c>
      <c r="AL16" s="8">
        <v>0.1441824727810381</v>
      </c>
      <c r="AM16" s="8">
        <v>0.13321668254504559</v>
      </c>
      <c r="AN16" s="8">
        <v>0.13875908941965692</v>
      </c>
      <c r="AO16" s="8">
        <v>0.19605885059644698</v>
      </c>
      <c r="AP16" s="8">
        <v>0.38745198957207205</v>
      </c>
      <c r="AQ16" s="8">
        <v>0.91207919748977084</v>
      </c>
      <c r="AR16" s="8">
        <v>0</v>
      </c>
      <c r="AS16" s="8">
        <v>0</v>
      </c>
      <c r="AT16" s="8">
        <v>0.52623214011927644</v>
      </c>
      <c r="AU16" s="8">
        <v>0.30019980457588491</v>
      </c>
      <c r="AV16" s="8">
        <v>0.2263475673508169</v>
      </c>
      <c r="AW16" s="8">
        <v>0.22631105648667543</v>
      </c>
      <c r="AX16" s="8">
        <v>0.26112119585764787</v>
      </c>
      <c r="AY16" s="8">
        <v>0.46402026085208664</v>
      </c>
      <c r="AZ16" s="8">
        <v>0.92427120351974379</v>
      </c>
      <c r="BA16" s="8">
        <v>0</v>
      </c>
      <c r="BB16" s="8">
        <v>0</v>
      </c>
      <c r="BC16" s="8">
        <v>0</v>
      </c>
      <c r="BD16" s="8">
        <v>0</v>
      </c>
      <c r="BE16" s="8">
        <v>0.45721213372551639</v>
      </c>
      <c r="BF16" s="8">
        <v>0.28756656665867908</v>
      </c>
      <c r="BG16" s="8">
        <v>0.28239081622582618</v>
      </c>
      <c r="BH16" s="8">
        <v>0.36513617771652429</v>
      </c>
      <c r="BI16" s="8">
        <v>0.9918032786885248</v>
      </c>
      <c r="BJ16" s="8">
        <v>0</v>
      </c>
      <c r="BK16" s="8">
        <v>0</v>
      </c>
      <c r="BM16" s="6" t="s">
        <v>166</v>
      </c>
      <c r="BN16" s="6" t="s">
        <v>152</v>
      </c>
      <c r="BO16" s="8">
        <v>0</v>
      </c>
      <c r="BP16" s="8">
        <v>0</v>
      </c>
      <c r="BQ16" s="7">
        <v>0.91704969836253969</v>
      </c>
      <c r="BR16" s="8">
        <v>0.31714716004192534</v>
      </c>
      <c r="BS16" s="8">
        <v>0.19635712265728184</v>
      </c>
      <c r="BT16" s="8">
        <v>8.9039497672952092E-2</v>
      </c>
      <c r="BU16" s="7">
        <v>4.7020029437230854E-2</v>
      </c>
      <c r="BV16" s="8">
        <v>7.5596425900654338E-2</v>
      </c>
      <c r="BW16" s="7">
        <v>0</v>
      </c>
      <c r="BX16" s="8">
        <v>0</v>
      </c>
      <c r="BY16" s="7">
        <v>0</v>
      </c>
      <c r="BZ16" s="7">
        <v>0.81669610214947397</v>
      </c>
      <c r="CA16" s="7">
        <v>0.31631740249994439</v>
      </c>
      <c r="CB16" s="7">
        <v>0.14034727962777893</v>
      </c>
      <c r="CC16" s="7">
        <v>8.831853830762279E-2</v>
      </c>
      <c r="CD16" s="8">
        <v>3.3623888954333811E-2</v>
      </c>
      <c r="CE16" s="7">
        <v>2.9022555483458237E-2</v>
      </c>
      <c r="CF16" s="8">
        <v>5.9010860424447191E-2</v>
      </c>
      <c r="CG16" s="7">
        <v>0.36237308922822048</v>
      </c>
      <c r="CH16" s="8">
        <v>0</v>
      </c>
      <c r="CI16" s="8">
        <v>0</v>
      </c>
      <c r="CJ16" s="7">
        <v>0.2388730467926744</v>
      </c>
      <c r="CK16" s="8">
        <v>0.15480299273532638</v>
      </c>
      <c r="CL16" s="7">
        <v>0.10171755641879508</v>
      </c>
      <c r="CM16" s="8">
        <v>8.9945623370983996E-2</v>
      </c>
      <c r="CN16" s="8">
        <v>3.2807391281511993E-2</v>
      </c>
      <c r="CO16" s="8">
        <v>2.1059016026980362E-2</v>
      </c>
      <c r="CP16" s="8">
        <v>3.8031736371979166E-2</v>
      </c>
      <c r="CQ16" s="8">
        <v>0.16289013663594748</v>
      </c>
      <c r="CR16" s="8">
        <v>0.74381799318764719</v>
      </c>
      <c r="CS16" s="8">
        <v>0</v>
      </c>
      <c r="CT16" s="8">
        <v>0.39169010469079013</v>
      </c>
      <c r="CU16" s="7">
        <v>0.17654002383272382</v>
      </c>
      <c r="CV16" s="7">
        <v>9.3179663163572693E-2</v>
      </c>
      <c r="CW16" s="8">
        <v>6.5901589858015544E-2</v>
      </c>
      <c r="CX16" s="7">
        <v>2.9983892785862099E-2</v>
      </c>
      <c r="CY16" s="7">
        <v>1.9683798661213826E-2</v>
      </c>
      <c r="CZ16" s="7">
        <v>3.3690548070732795E-2</v>
      </c>
      <c r="DA16" s="7">
        <v>0.1409914495589876</v>
      </c>
      <c r="DB16" s="8">
        <v>0.74785097736862682</v>
      </c>
      <c r="DC16" s="8">
        <v>0</v>
      </c>
      <c r="DD16" s="7">
        <v>0</v>
      </c>
      <c r="DE16" s="7">
        <v>0.38701997746012518</v>
      </c>
      <c r="DF16" s="8">
        <v>0.18905910776462867</v>
      </c>
      <c r="DG16" s="8">
        <v>0.13578352379877959</v>
      </c>
      <c r="DH16" s="7">
        <v>4.6464252537714697E-2</v>
      </c>
      <c r="DI16" s="7">
        <v>4.7371676094742909E-2</v>
      </c>
      <c r="DJ16" s="7">
        <v>9.3079372822810799E-2</v>
      </c>
      <c r="DK16" s="7">
        <v>0.33567673869420361</v>
      </c>
      <c r="DL16" s="8">
        <v>0</v>
      </c>
      <c r="DM16" s="8">
        <v>0</v>
      </c>
      <c r="DN16" s="8">
        <v>0</v>
      </c>
      <c r="DO16" s="8">
        <v>0</v>
      </c>
      <c r="DP16" s="8">
        <v>0.29106363158777726</v>
      </c>
      <c r="DQ16" s="8">
        <v>0.15847111496593011</v>
      </c>
      <c r="DR16" s="8">
        <v>0.12079151386858256</v>
      </c>
      <c r="DS16" s="8">
        <v>6.8993049161644296E-2</v>
      </c>
      <c r="DT16" s="7">
        <v>0</v>
      </c>
      <c r="DU16" s="8">
        <v>0</v>
      </c>
      <c r="DV16" s="8">
        <v>0</v>
      </c>
      <c r="DX16" s="6" t="s">
        <v>166</v>
      </c>
      <c r="DY16" s="6" t="s">
        <v>153</v>
      </c>
      <c r="DZ16" s="7">
        <v>0</v>
      </c>
      <c r="EA16" s="8">
        <v>0</v>
      </c>
      <c r="EB16" s="8">
        <v>0</v>
      </c>
      <c r="EC16" s="8">
        <v>0</v>
      </c>
      <c r="ED16" s="7">
        <v>0</v>
      </c>
      <c r="EE16" s="8">
        <v>9.2801733591511504E-2</v>
      </c>
      <c r="EF16" s="7">
        <v>0.19071004480262915</v>
      </c>
      <c r="EG16" s="8">
        <v>0.46634787971571812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2.2300178313679454E-2</v>
      </c>
      <c r="EO16" s="7">
        <v>5.6842976222779749E-2</v>
      </c>
      <c r="EP16" s="7">
        <v>6.2855179860479324E-2</v>
      </c>
      <c r="EQ16" s="7">
        <v>8.7541753326141628E-2</v>
      </c>
      <c r="ER16" s="7">
        <v>5.1036361983126277E-2</v>
      </c>
      <c r="ES16" s="7">
        <v>0</v>
      </c>
      <c r="ET16" s="8">
        <v>0</v>
      </c>
      <c r="EU16" s="8">
        <v>0</v>
      </c>
      <c r="EV16" s="8">
        <v>0</v>
      </c>
      <c r="EW16" s="8">
        <v>0</v>
      </c>
      <c r="EX16" s="7">
        <v>0</v>
      </c>
      <c r="EY16" s="8">
        <v>5.8667882573212773E-2</v>
      </c>
      <c r="EZ16" s="8">
        <v>6.672777821340313E-2</v>
      </c>
      <c r="FA16" s="8">
        <v>7.8136275725693011E-2</v>
      </c>
      <c r="FB16" s="8">
        <v>1.5774626813404403E-2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7">
        <v>4.2401903231584501E-3</v>
      </c>
      <c r="FI16" s="8">
        <v>3.7569262635474332E-2</v>
      </c>
      <c r="FJ16" s="8">
        <v>5.6721504253453695E-2</v>
      </c>
      <c r="FK16" s="8">
        <v>7.2989671326094199E-2</v>
      </c>
      <c r="FL16" s="8">
        <v>6.5329792288351715E-2</v>
      </c>
      <c r="FM16" s="7">
        <v>0</v>
      </c>
      <c r="FN16" s="8">
        <v>0</v>
      </c>
      <c r="FO16" s="8">
        <v>0</v>
      </c>
      <c r="FP16" s="7">
        <v>0</v>
      </c>
      <c r="FQ16" s="7">
        <v>0</v>
      </c>
      <c r="FR16" s="7">
        <v>0</v>
      </c>
      <c r="FS16" s="7">
        <v>9.0608824843425889E-2</v>
      </c>
      <c r="FT16" s="8">
        <v>0.10864738726744221</v>
      </c>
      <c r="FU16" s="8">
        <v>0.21915270697278652</v>
      </c>
      <c r="FV16" s="7">
        <v>0.27206963726261651</v>
      </c>
      <c r="FW16" s="8">
        <v>0</v>
      </c>
      <c r="FX16" s="8">
        <v>0</v>
      </c>
      <c r="FY16" s="8">
        <v>0</v>
      </c>
      <c r="FZ16" s="8">
        <v>0</v>
      </c>
      <c r="GA16" s="8">
        <v>0</v>
      </c>
      <c r="GB16" s="8">
        <v>0</v>
      </c>
      <c r="GC16" s="8">
        <v>3.3426863060806188E-2</v>
      </c>
      <c r="GD16" s="8">
        <v>0.17199324024103088</v>
      </c>
      <c r="GE16" s="8">
        <v>0.98367374361730731</v>
      </c>
      <c r="GF16" s="8">
        <v>0</v>
      </c>
      <c r="GG16" s="8">
        <v>0</v>
      </c>
      <c r="GI16" s="6" t="s">
        <v>166</v>
      </c>
      <c r="GJ16" s="6" t="s">
        <v>154</v>
      </c>
      <c r="GK16" s="8">
        <v>0</v>
      </c>
      <c r="GL16" s="8">
        <v>0</v>
      </c>
      <c r="GM16" s="8">
        <v>0</v>
      </c>
      <c r="GN16" s="8">
        <v>0</v>
      </c>
      <c r="GO16" s="8">
        <v>0</v>
      </c>
      <c r="GP16" s="8">
        <v>0</v>
      </c>
      <c r="GQ16" s="8">
        <v>0</v>
      </c>
      <c r="GR16" s="8">
        <v>1.1285125482646881E-2</v>
      </c>
      <c r="GS16" s="8">
        <v>0</v>
      </c>
      <c r="GT16" s="8">
        <v>0</v>
      </c>
      <c r="GU16" s="8">
        <v>0</v>
      </c>
      <c r="GV16" s="8">
        <v>0</v>
      </c>
      <c r="GW16" s="8">
        <v>0</v>
      </c>
      <c r="GX16" s="8">
        <v>0</v>
      </c>
      <c r="GY16" s="8">
        <v>0</v>
      </c>
      <c r="GZ16" s="8">
        <v>0</v>
      </c>
      <c r="HA16" s="7">
        <v>4.7398844279003677E-3</v>
      </c>
      <c r="HB16" s="8">
        <v>2.8507833469590634E-2</v>
      </c>
      <c r="HC16" s="8">
        <v>0.14902489235512242</v>
      </c>
      <c r="HD16" s="8">
        <v>0</v>
      </c>
      <c r="HE16" s="8">
        <v>0</v>
      </c>
      <c r="HF16" s="8">
        <v>0</v>
      </c>
      <c r="HG16" s="8">
        <v>0</v>
      </c>
      <c r="HH16" s="8">
        <v>0</v>
      </c>
      <c r="HI16" s="8">
        <v>0</v>
      </c>
      <c r="HJ16" s="8">
        <v>0</v>
      </c>
      <c r="HK16" s="8">
        <v>0</v>
      </c>
      <c r="HL16" s="7">
        <v>0</v>
      </c>
      <c r="HM16" s="8">
        <v>1.2831011460393811E-2</v>
      </c>
      <c r="HN16" s="8">
        <v>0</v>
      </c>
      <c r="HO16" s="8">
        <v>0</v>
      </c>
      <c r="HP16" s="8">
        <v>0</v>
      </c>
      <c r="HQ16" s="8">
        <v>0</v>
      </c>
      <c r="HR16" s="8">
        <v>0</v>
      </c>
      <c r="HS16" s="8">
        <v>0</v>
      </c>
      <c r="HT16" s="8">
        <v>0</v>
      </c>
      <c r="HU16" s="8">
        <v>0</v>
      </c>
      <c r="HV16" s="7">
        <v>9.1704667412370339E-3</v>
      </c>
      <c r="HW16" s="8">
        <v>5.2493799257450804E-2</v>
      </c>
      <c r="HX16" s="8">
        <v>9.1266532601207803E-2</v>
      </c>
      <c r="HY16" s="8">
        <v>0</v>
      </c>
      <c r="HZ16" s="8">
        <v>0</v>
      </c>
      <c r="IA16" s="8">
        <v>0</v>
      </c>
      <c r="IB16" s="8">
        <v>0</v>
      </c>
      <c r="IC16" s="8">
        <v>0</v>
      </c>
      <c r="ID16" s="8">
        <v>0</v>
      </c>
      <c r="IE16" s="8">
        <v>0</v>
      </c>
      <c r="IF16" s="8">
        <v>6.9510243056262674E-3</v>
      </c>
      <c r="IG16" s="8">
        <v>0.24834088631966386</v>
      </c>
      <c r="IH16" s="8">
        <v>0</v>
      </c>
      <c r="II16" s="8">
        <v>0</v>
      </c>
      <c r="IJ16" s="8">
        <v>0</v>
      </c>
      <c r="IK16" s="8">
        <v>0</v>
      </c>
      <c r="IL16" s="8">
        <v>0</v>
      </c>
      <c r="IM16" s="8">
        <v>0</v>
      </c>
      <c r="IN16" s="8">
        <v>0</v>
      </c>
      <c r="IO16" s="8">
        <v>0</v>
      </c>
      <c r="IP16" s="8">
        <v>0</v>
      </c>
      <c r="IQ16" s="8">
        <v>0</v>
      </c>
      <c r="IR16" s="8">
        <v>0</v>
      </c>
      <c r="JB16" s="6" t="s">
        <v>166</v>
      </c>
      <c r="JC16" s="8">
        <v>0</v>
      </c>
      <c r="JD16" s="8">
        <v>0</v>
      </c>
      <c r="JE16" s="7">
        <v>1.3174579015019377E-3</v>
      </c>
      <c r="JF16" s="8">
        <v>8.8187771239638335E-2</v>
      </c>
      <c r="JG16" s="8">
        <v>0.24351668964494416</v>
      </c>
      <c r="JH16" s="8">
        <v>0.27362023010954084</v>
      </c>
      <c r="JI16" s="8">
        <v>0.17068367087197953</v>
      </c>
      <c r="JJ16" s="8">
        <v>2.6516377024214333E-2</v>
      </c>
      <c r="JK16" s="8">
        <v>0</v>
      </c>
      <c r="JL16" s="8">
        <v>0</v>
      </c>
      <c r="JM16" s="8">
        <v>0</v>
      </c>
      <c r="JN16" s="7">
        <v>5.5201177067928052E-4</v>
      </c>
      <c r="JO16" s="8">
        <v>6.7488749795068415E-2</v>
      </c>
      <c r="JP16" s="8">
        <v>0.28407055822769151</v>
      </c>
      <c r="JQ16" s="8">
        <v>0.4295233038647292</v>
      </c>
      <c r="JR16" s="8">
        <v>0.45861363119249821</v>
      </c>
      <c r="JS16" s="8">
        <v>0.35501640578580285</v>
      </c>
      <c r="JT16" s="8">
        <v>0.14957285193999542</v>
      </c>
      <c r="JU16" s="8">
        <v>3.9537863083937402E-3</v>
      </c>
      <c r="JV16" s="8">
        <v>0</v>
      </c>
      <c r="JW16" s="7">
        <v>0</v>
      </c>
      <c r="JX16" s="8">
        <v>1.5522961055489315E-2</v>
      </c>
      <c r="JY16" s="8">
        <v>0.14377035508668526</v>
      </c>
      <c r="JZ16" s="8">
        <v>0.34150676240593186</v>
      </c>
      <c r="KA16" s="8">
        <v>0.46014666822061506</v>
      </c>
      <c r="KB16" s="8">
        <v>0.47016990729059299</v>
      </c>
      <c r="KC16" s="8">
        <v>0.38473156172761086</v>
      </c>
      <c r="KD16" s="8">
        <v>0.20723992134113489</v>
      </c>
      <c r="KE16" s="8">
        <v>3.3281394719250651E-2</v>
      </c>
      <c r="KF16" s="7">
        <v>1.9792076695521361E-4</v>
      </c>
      <c r="KG16" s="7">
        <v>0</v>
      </c>
      <c r="KH16" s="8">
        <v>7.775981388292056E-3</v>
      </c>
      <c r="KI16" s="8">
        <v>0.11223723469440998</v>
      </c>
      <c r="KJ16" s="8">
        <v>0.3150539696155944</v>
      </c>
      <c r="KK16" s="8">
        <v>0.46129762165554306</v>
      </c>
      <c r="KL16" s="8">
        <v>0.48829258688728844</v>
      </c>
      <c r="KM16" s="8">
        <v>0.40145682749280182</v>
      </c>
      <c r="KN16" s="8">
        <v>0.2060877806482927</v>
      </c>
      <c r="KO16" s="8">
        <v>2.8276481393501831E-2</v>
      </c>
      <c r="KP16" s="7">
        <v>9.6656196829048751E-5</v>
      </c>
      <c r="KQ16" s="8">
        <v>0</v>
      </c>
      <c r="KR16" s="7">
        <v>0</v>
      </c>
      <c r="KS16" s="8">
        <v>3.02655094593694E-2</v>
      </c>
      <c r="KT16" s="8">
        <v>0.18214360405248273</v>
      </c>
      <c r="KU16" s="8">
        <v>0.30491588592239954</v>
      </c>
      <c r="KV16" s="8">
        <v>0.30833258604169517</v>
      </c>
      <c r="KW16" s="8">
        <v>0.21060355421473495</v>
      </c>
      <c r="KX16" s="8">
        <v>5.8175675657998707E-2</v>
      </c>
      <c r="KY16" s="7">
        <v>2.8195178058878156E-4</v>
      </c>
      <c r="KZ16" s="8">
        <v>0</v>
      </c>
      <c r="LA16" s="8">
        <v>0</v>
      </c>
      <c r="LB16" s="8">
        <v>0</v>
      </c>
      <c r="LC16" s="7">
        <v>0</v>
      </c>
      <c r="LD16" s="8">
        <v>7.869091194264459E-2</v>
      </c>
      <c r="LE16" s="8">
        <v>0.21581911119651262</v>
      </c>
      <c r="LF16" s="8">
        <v>0.23100740774732845</v>
      </c>
      <c r="LG16" s="8">
        <v>0.10081629668785537</v>
      </c>
      <c r="LH16" s="7">
        <v>3.4410785656487449E-5</v>
      </c>
      <c r="LI16" s="8">
        <v>0</v>
      </c>
      <c r="LJ16" s="8">
        <v>0</v>
      </c>
      <c r="LL16" s="6" t="s">
        <v>166</v>
      </c>
      <c r="LM16" s="6" t="s">
        <v>160</v>
      </c>
      <c r="LN16" s="6" t="s">
        <v>161</v>
      </c>
      <c r="LO16" s="8">
        <v>0.43189594710793611</v>
      </c>
    </row>
    <row r="17" spans="2:327" x14ac:dyDescent="0.45">
      <c r="B17" s="3" t="s">
        <v>167</v>
      </c>
      <c r="C17" s="3" t="s">
        <v>151</v>
      </c>
      <c r="D17" s="5">
        <v>0</v>
      </c>
      <c r="E17" s="5">
        <v>0</v>
      </c>
      <c r="F17" s="5">
        <v>0.95496961146610015</v>
      </c>
      <c r="G17" s="5">
        <v>0.48873937859661271</v>
      </c>
      <c r="H17" s="5">
        <v>0.31709679844829575</v>
      </c>
      <c r="I17" s="5">
        <v>0.30759896937457559</v>
      </c>
      <c r="J17" s="5">
        <v>0.37240621277285035</v>
      </c>
      <c r="K17" s="5">
        <v>0.75106379631068287</v>
      </c>
      <c r="L17" s="5">
        <v>0</v>
      </c>
      <c r="M17" s="5">
        <v>0</v>
      </c>
      <c r="N17" s="5">
        <v>0</v>
      </c>
      <c r="O17" s="5">
        <v>0.88067367829969678</v>
      </c>
      <c r="P17" s="5">
        <v>0.44727043724958315</v>
      </c>
      <c r="Q17" s="5">
        <v>0.24682891394225262</v>
      </c>
      <c r="R17" s="5">
        <v>0.184677991105272</v>
      </c>
      <c r="S17" s="5">
        <v>0.16156947219212034</v>
      </c>
      <c r="T17" s="5">
        <v>0.1747559326020216</v>
      </c>
      <c r="U17" s="5">
        <v>0.26696879017823205</v>
      </c>
      <c r="V17" s="5">
        <v>0.71633842512746937</v>
      </c>
      <c r="W17" s="5">
        <v>0</v>
      </c>
      <c r="X17" s="5">
        <v>0</v>
      </c>
      <c r="Y17" s="5">
        <v>0.36730496715472249</v>
      </c>
      <c r="Z17" s="5">
        <v>0.21415279479387517</v>
      </c>
      <c r="AA17" s="5">
        <v>0.16828139795979072</v>
      </c>
      <c r="AB17" s="5">
        <v>0.16832544617410969</v>
      </c>
      <c r="AC17" s="5">
        <v>0.18319373386982135</v>
      </c>
      <c r="AD17" s="5">
        <v>0.18849064059820728</v>
      </c>
      <c r="AE17" s="5">
        <v>0.18769813557875792</v>
      </c>
      <c r="AF17" s="5">
        <v>0.29170452561302967</v>
      </c>
      <c r="AG17" s="5">
        <v>0.82728608183953933</v>
      </c>
      <c r="AH17" s="5">
        <v>0</v>
      </c>
      <c r="AI17" s="5">
        <v>0.52554242503570214</v>
      </c>
      <c r="AJ17" s="5">
        <v>0.25942692590141792</v>
      </c>
      <c r="AK17" s="5">
        <v>0.18259475284235857</v>
      </c>
      <c r="AL17" s="5">
        <v>0.17373144046284145</v>
      </c>
      <c r="AM17" s="5">
        <v>0.16556571563944614</v>
      </c>
      <c r="AN17" s="5">
        <v>0.17045366371507933</v>
      </c>
      <c r="AO17" s="5">
        <v>0.19940308924005928</v>
      </c>
      <c r="AP17" s="5">
        <v>0.38022330676914867</v>
      </c>
      <c r="AQ17" s="5">
        <v>0.89226274299618424</v>
      </c>
      <c r="AR17" s="5">
        <v>0</v>
      </c>
      <c r="AS17" s="5">
        <v>0</v>
      </c>
      <c r="AT17" s="5">
        <v>0.52549266450171495</v>
      </c>
      <c r="AU17" s="5">
        <v>0.30127350406040715</v>
      </c>
      <c r="AV17" s="5">
        <v>0.24090694624186806</v>
      </c>
      <c r="AW17" s="5">
        <v>0.24691193791516763</v>
      </c>
      <c r="AX17" s="5">
        <v>0.28722845058327268</v>
      </c>
      <c r="AY17" s="5">
        <v>0.47937682872965681</v>
      </c>
      <c r="AZ17" s="5">
        <v>0.91742090997078707</v>
      </c>
      <c r="BA17" s="5">
        <v>0</v>
      </c>
      <c r="BB17" s="5">
        <v>0</v>
      </c>
      <c r="BC17" s="5">
        <v>0</v>
      </c>
      <c r="BD17" s="5">
        <v>0</v>
      </c>
      <c r="BE17" s="5">
        <v>0.4788954418659031</v>
      </c>
      <c r="BF17" s="5">
        <v>0.30103728291494747</v>
      </c>
      <c r="BG17" s="5">
        <v>0.30967309245878932</v>
      </c>
      <c r="BH17" s="5">
        <v>0.4295995745023905</v>
      </c>
      <c r="BI17" s="5">
        <v>0</v>
      </c>
      <c r="BJ17" s="5">
        <v>0</v>
      </c>
      <c r="BK17" s="5">
        <v>0</v>
      </c>
      <c r="BM17" s="3" t="s">
        <v>167</v>
      </c>
      <c r="BN17" s="3" t="s">
        <v>152</v>
      </c>
      <c r="BO17" s="5">
        <v>0</v>
      </c>
      <c r="BP17" s="5">
        <v>0</v>
      </c>
      <c r="BQ17" s="4">
        <v>0.9145047974209265</v>
      </c>
      <c r="BR17" s="5">
        <v>0.32481568035980746</v>
      </c>
      <c r="BS17" s="5">
        <v>0.19337810144785766</v>
      </c>
      <c r="BT17" s="5">
        <v>9.3599443702409468E-2</v>
      </c>
      <c r="BU17" s="4">
        <v>3.444205396338184E-2</v>
      </c>
      <c r="BV17" s="5">
        <v>9.8093606126423719E-2</v>
      </c>
      <c r="BW17" s="4">
        <v>0</v>
      </c>
      <c r="BX17" s="5">
        <v>0</v>
      </c>
      <c r="BY17" s="4">
        <v>0</v>
      </c>
      <c r="BZ17" s="4">
        <v>0.79405003781120187</v>
      </c>
      <c r="CA17" s="4">
        <v>0.3059672210794141</v>
      </c>
      <c r="CB17" s="4">
        <v>0.13491476004440664</v>
      </c>
      <c r="CC17" s="4">
        <v>7.286709848694771E-2</v>
      </c>
      <c r="CD17" s="5">
        <v>3.2295389666009165E-2</v>
      </c>
      <c r="CE17" s="4">
        <v>3.289451551043255E-2</v>
      </c>
      <c r="CF17" s="5">
        <v>7.5548454043528626E-2</v>
      </c>
      <c r="CG17" s="4">
        <v>0.40882401835992066</v>
      </c>
      <c r="CH17" s="5">
        <v>0</v>
      </c>
      <c r="CI17" s="5">
        <v>0</v>
      </c>
      <c r="CJ17" s="4">
        <v>0.22425827355616762</v>
      </c>
      <c r="CK17" s="5">
        <v>0.13857536975799092</v>
      </c>
      <c r="CL17" s="4">
        <v>9.2557592679249304E-2</v>
      </c>
      <c r="CM17" s="5">
        <v>8.8053389821117753E-2</v>
      </c>
      <c r="CN17" s="5">
        <v>3.8742132817995635E-2</v>
      </c>
      <c r="CO17" s="5">
        <v>3.2147259272809016E-2</v>
      </c>
      <c r="CP17" s="5">
        <v>4.8730819224471505E-2</v>
      </c>
      <c r="CQ17" s="5">
        <v>0.15880978634200293</v>
      </c>
      <c r="CR17" s="5">
        <v>0.710162117972999</v>
      </c>
      <c r="CS17" s="5">
        <v>0</v>
      </c>
      <c r="CT17" s="5">
        <v>0.37983315967898507</v>
      </c>
      <c r="CU17" s="4">
        <v>0.16917513613845911</v>
      </c>
      <c r="CV17" s="4">
        <v>0.10725948639837643</v>
      </c>
      <c r="CW17" s="5">
        <v>7.7667030482215196E-2</v>
      </c>
      <c r="CX17" s="4">
        <v>3.6331037469996406E-2</v>
      </c>
      <c r="CY17" s="4">
        <v>1.2720249061080493E-2</v>
      </c>
      <c r="CZ17" s="4">
        <v>3.1335858775499124E-2</v>
      </c>
      <c r="DA17" s="4">
        <v>0.15450892434879224</v>
      </c>
      <c r="DB17" s="5">
        <v>0.61411076460608505</v>
      </c>
      <c r="DC17" s="5">
        <v>0</v>
      </c>
      <c r="DD17" s="4">
        <v>0</v>
      </c>
      <c r="DE17" s="4">
        <v>0.38134817096517593</v>
      </c>
      <c r="DF17" s="5">
        <v>0.18221618975328652</v>
      </c>
      <c r="DG17" s="5">
        <v>0.14920809429865417</v>
      </c>
      <c r="DH17" s="4">
        <v>6.3314750509532822E-2</v>
      </c>
      <c r="DI17" s="4">
        <v>4.456009805374949E-2</v>
      </c>
      <c r="DJ17" s="4">
        <v>0.11530380926860495</v>
      </c>
      <c r="DK17" s="4">
        <v>0.10494469363561348</v>
      </c>
      <c r="DL17" s="5">
        <v>0</v>
      </c>
      <c r="DM17" s="5">
        <v>0</v>
      </c>
      <c r="DN17" s="5">
        <v>0</v>
      </c>
      <c r="DO17" s="5">
        <v>0</v>
      </c>
      <c r="DP17" s="5">
        <v>0.31013074562380633</v>
      </c>
      <c r="DQ17" s="5">
        <v>0.18118958324537776</v>
      </c>
      <c r="DR17" s="5">
        <v>0.14422360523055511</v>
      </c>
      <c r="DS17" s="5">
        <v>7.5131045594316853E-2</v>
      </c>
      <c r="DT17" s="4">
        <v>0</v>
      </c>
      <c r="DU17" s="5">
        <v>0</v>
      </c>
      <c r="DV17" s="5">
        <v>0</v>
      </c>
      <c r="DX17" s="3" t="s">
        <v>167</v>
      </c>
      <c r="DY17" s="3" t="s">
        <v>153</v>
      </c>
      <c r="DZ17" s="4">
        <v>0</v>
      </c>
      <c r="EA17" s="5">
        <v>0</v>
      </c>
      <c r="EB17" s="5">
        <v>0</v>
      </c>
      <c r="EC17" s="5">
        <v>0</v>
      </c>
      <c r="ED17" s="4">
        <v>0</v>
      </c>
      <c r="EE17" s="5">
        <v>9.0226923110507493E-2</v>
      </c>
      <c r="EF17" s="4">
        <v>0.2008721853629046</v>
      </c>
      <c r="EG17" s="5">
        <v>0.49151266427802781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2.6856567559166877E-2</v>
      </c>
      <c r="EO17" s="4">
        <v>5.6038380816876225E-2</v>
      </c>
      <c r="EP17" s="4">
        <v>5.6644629929846854E-2</v>
      </c>
      <c r="EQ17" s="4">
        <v>6.7829712502739697E-2</v>
      </c>
      <c r="ER17" s="4">
        <v>2.5371330932134174E-4</v>
      </c>
      <c r="ES17" s="4">
        <v>0</v>
      </c>
      <c r="ET17" s="5">
        <v>0</v>
      </c>
      <c r="EU17" s="5">
        <v>0</v>
      </c>
      <c r="EV17" s="5">
        <v>0</v>
      </c>
      <c r="EW17" s="5">
        <v>0</v>
      </c>
      <c r="EX17" s="4">
        <v>5.9808169285571087E-3</v>
      </c>
      <c r="EY17" s="5">
        <v>6.0218030844294224E-2</v>
      </c>
      <c r="EZ17" s="5">
        <v>7.0038619237993316E-2</v>
      </c>
      <c r="FA17" s="5">
        <v>5.7316816708274251E-2</v>
      </c>
      <c r="FB17" s="5">
        <v>3.8099901239726252E-3</v>
      </c>
      <c r="FC17" s="5">
        <v>0</v>
      </c>
      <c r="FD17" s="5">
        <v>0</v>
      </c>
      <c r="FE17" s="5">
        <v>0</v>
      </c>
      <c r="FF17" s="5">
        <v>0</v>
      </c>
      <c r="FG17" s="5">
        <v>0</v>
      </c>
      <c r="FH17" s="4">
        <v>1.4297410873394744E-2</v>
      </c>
      <c r="FI17" s="5">
        <v>5.8160834369183255E-2</v>
      </c>
      <c r="FJ17" s="5">
        <v>9.0448808797765165E-2</v>
      </c>
      <c r="FK17" s="5">
        <v>6.7899178607113919E-2</v>
      </c>
      <c r="FL17" s="5">
        <v>1.0325602695164851E-2</v>
      </c>
      <c r="FM17" s="4">
        <v>0</v>
      </c>
      <c r="FN17" s="5">
        <v>0</v>
      </c>
      <c r="FO17" s="5">
        <v>0</v>
      </c>
      <c r="FP17" s="4">
        <v>0</v>
      </c>
      <c r="FQ17" s="4">
        <v>0</v>
      </c>
      <c r="FR17" s="4">
        <v>0</v>
      </c>
      <c r="FS17" s="4">
        <v>8.77880565712581E-2</v>
      </c>
      <c r="FT17" s="5">
        <v>0.13495094594828103</v>
      </c>
      <c r="FU17" s="5">
        <v>0.21541619346950688</v>
      </c>
      <c r="FV17" s="4">
        <v>0.42993379386634417</v>
      </c>
      <c r="FW17" s="5">
        <v>0</v>
      </c>
      <c r="FX17" s="5">
        <v>0</v>
      </c>
      <c r="FY17" s="5">
        <v>0</v>
      </c>
      <c r="FZ17" s="5">
        <v>0</v>
      </c>
      <c r="GA17" s="5">
        <v>0</v>
      </c>
      <c r="GB17" s="5">
        <v>0</v>
      </c>
      <c r="GC17" s="5">
        <v>3.9588911977038704E-2</v>
      </c>
      <c r="GD17" s="5">
        <v>0.20734893300908802</v>
      </c>
      <c r="GE17" s="5">
        <v>0</v>
      </c>
      <c r="GF17" s="5">
        <v>0</v>
      </c>
      <c r="GG17" s="5">
        <v>0</v>
      </c>
      <c r="GI17" s="3" t="s">
        <v>167</v>
      </c>
      <c r="GJ17" s="3" t="s">
        <v>154</v>
      </c>
      <c r="GK17" s="5">
        <v>0</v>
      </c>
      <c r="GL17" s="5">
        <v>0</v>
      </c>
      <c r="GM17" s="5">
        <v>0</v>
      </c>
      <c r="GN17" s="5">
        <v>0</v>
      </c>
      <c r="GO17" s="5">
        <v>0</v>
      </c>
      <c r="GP17" s="5">
        <v>0</v>
      </c>
      <c r="GQ17" s="5">
        <v>0</v>
      </c>
      <c r="GR17" s="5">
        <v>2.967809740629844E-3</v>
      </c>
      <c r="GS17" s="5">
        <v>0</v>
      </c>
      <c r="GT17" s="5">
        <v>0</v>
      </c>
      <c r="GU17" s="5">
        <v>0</v>
      </c>
      <c r="GV17" s="5">
        <v>0</v>
      </c>
      <c r="GW17" s="5">
        <v>0</v>
      </c>
      <c r="GX17" s="5">
        <v>0</v>
      </c>
      <c r="GY17" s="5">
        <v>0</v>
      </c>
      <c r="GZ17" s="5">
        <v>0</v>
      </c>
      <c r="HA17" s="4">
        <v>1.0879469725080032E-3</v>
      </c>
      <c r="HB17" s="5">
        <v>2.4009538492564986E-2</v>
      </c>
      <c r="HC17" s="5">
        <v>0.15736811026652855</v>
      </c>
      <c r="HD17" s="5">
        <v>0</v>
      </c>
      <c r="HE17" s="5">
        <v>0</v>
      </c>
      <c r="HF17" s="5">
        <v>0</v>
      </c>
      <c r="HG17" s="5">
        <v>0</v>
      </c>
      <c r="HH17" s="5">
        <v>0</v>
      </c>
      <c r="HI17" s="5">
        <v>0</v>
      </c>
      <c r="HJ17" s="5">
        <v>0</v>
      </c>
      <c r="HK17" s="5">
        <v>0</v>
      </c>
      <c r="HL17" s="4">
        <v>1.0831818016029126E-2</v>
      </c>
      <c r="HM17" s="5">
        <v>2.2491761747505515E-2</v>
      </c>
      <c r="HN17" s="5">
        <v>0</v>
      </c>
      <c r="HO17" s="5">
        <v>0</v>
      </c>
      <c r="HP17" s="5">
        <v>0</v>
      </c>
      <c r="HQ17" s="5">
        <v>0</v>
      </c>
      <c r="HR17" s="5">
        <v>0</v>
      </c>
      <c r="HS17" s="5">
        <v>0</v>
      </c>
      <c r="HT17" s="5">
        <v>0</v>
      </c>
      <c r="HU17" s="5">
        <v>0</v>
      </c>
      <c r="HV17" s="4">
        <v>2.5207407929568989E-2</v>
      </c>
      <c r="HW17" s="5">
        <v>8.7418009082057602E-2</v>
      </c>
      <c r="HX17" s="5">
        <v>0.19600175951061979</v>
      </c>
      <c r="HY17" s="5">
        <v>0</v>
      </c>
      <c r="HZ17" s="5">
        <v>0</v>
      </c>
      <c r="IA17" s="5">
        <v>0</v>
      </c>
      <c r="IB17" s="5">
        <v>0</v>
      </c>
      <c r="IC17" s="5">
        <v>0</v>
      </c>
      <c r="ID17" s="5">
        <v>0</v>
      </c>
      <c r="IE17" s="5">
        <v>0</v>
      </c>
      <c r="IF17" s="5">
        <v>8.6035621650062052E-3</v>
      </c>
      <c r="IG17" s="5">
        <v>0.30822991324567822</v>
      </c>
      <c r="IH17" s="5">
        <v>0</v>
      </c>
      <c r="II17" s="5">
        <v>0</v>
      </c>
      <c r="IJ17" s="5">
        <v>0</v>
      </c>
      <c r="IK17" s="5">
        <v>0</v>
      </c>
      <c r="IL17" s="5">
        <v>0</v>
      </c>
      <c r="IM17" s="5">
        <v>0</v>
      </c>
      <c r="IN17" s="5">
        <v>0</v>
      </c>
      <c r="IO17" s="5">
        <v>0</v>
      </c>
      <c r="IP17" s="5">
        <v>0</v>
      </c>
      <c r="IQ17" s="5">
        <v>0</v>
      </c>
      <c r="IR17" s="5">
        <v>0</v>
      </c>
      <c r="JB17" s="3" t="s">
        <v>167</v>
      </c>
      <c r="JC17" s="5">
        <v>0</v>
      </c>
      <c r="JD17" s="5">
        <v>0</v>
      </c>
      <c r="JE17" s="4">
        <v>1.1304710586856697E-3</v>
      </c>
      <c r="JF17" s="5">
        <v>8.2630837663815862E-2</v>
      </c>
      <c r="JG17" s="5">
        <v>0.23998919465781895</v>
      </c>
      <c r="JH17" s="5">
        <v>0.26422202968223996</v>
      </c>
      <c r="JI17" s="5">
        <v>0.15764450331957791</v>
      </c>
      <c r="JJ17" s="5">
        <v>2.1873443991582319E-2</v>
      </c>
      <c r="JK17" s="5">
        <v>0</v>
      </c>
      <c r="JL17" s="5">
        <v>0</v>
      </c>
      <c r="JM17" s="5">
        <v>0</v>
      </c>
      <c r="JN17" s="4">
        <v>7.7450328966443193E-4</v>
      </c>
      <c r="JO17" s="5">
        <v>6.8528973948199817E-2</v>
      </c>
      <c r="JP17" s="5">
        <v>0.27605498274685869</v>
      </c>
      <c r="JQ17" s="5">
        <v>0.39525323124902251</v>
      </c>
      <c r="JR17" s="5">
        <v>0.41124387745656626</v>
      </c>
      <c r="JS17" s="5">
        <v>0.31360722160887988</v>
      </c>
      <c r="JT17" s="5">
        <v>0.13873933984846532</v>
      </c>
      <c r="JU17" s="5">
        <v>4.1832237443293939E-3</v>
      </c>
      <c r="JV17" s="5">
        <v>0</v>
      </c>
      <c r="JW17" s="4">
        <v>0</v>
      </c>
      <c r="JX17" s="5">
        <v>1.7865405743641791E-2</v>
      </c>
      <c r="JY17" s="5">
        <v>0.14517296822843015</v>
      </c>
      <c r="JZ17" s="5">
        <v>0.31283471047566869</v>
      </c>
      <c r="KA17" s="5">
        <v>0.41203253021225805</v>
      </c>
      <c r="KB17" s="5">
        <v>0.39561711384525983</v>
      </c>
      <c r="KC17" s="5">
        <v>0.31171044978890783</v>
      </c>
      <c r="KD17" s="5">
        <v>0.17284216241419117</v>
      </c>
      <c r="KE17" s="5">
        <v>3.2246301955381189E-2</v>
      </c>
      <c r="KF17" s="4">
        <v>2.9801865158453307E-4</v>
      </c>
      <c r="KG17" s="4">
        <v>0</v>
      </c>
      <c r="KH17" s="5">
        <v>8.8293886449650871E-3</v>
      </c>
      <c r="KI17" s="5">
        <v>0.1073396710510848</v>
      </c>
      <c r="KJ17" s="5">
        <v>0.2916290783440193</v>
      </c>
      <c r="KK17" s="5">
        <v>0.40779923142624824</v>
      </c>
      <c r="KL17" s="5">
        <v>0.43390402363518843</v>
      </c>
      <c r="KM17" s="5">
        <v>0.35283718024607963</v>
      </c>
      <c r="KN17" s="5">
        <v>0.18907597552435884</v>
      </c>
      <c r="KO17" s="5">
        <v>2.7378689202040937E-2</v>
      </c>
      <c r="KP17" s="4">
        <v>1.4355417634091312E-4</v>
      </c>
      <c r="KQ17" s="5">
        <v>0</v>
      </c>
      <c r="KR17" s="4">
        <v>0</v>
      </c>
      <c r="KS17" s="5">
        <v>2.8418117980469539E-2</v>
      </c>
      <c r="KT17" s="5">
        <v>0.16383207866949057</v>
      </c>
      <c r="KU17" s="5">
        <v>0.2686937004357049</v>
      </c>
      <c r="KV17" s="5">
        <v>0.26612756667204979</v>
      </c>
      <c r="KW17" s="5">
        <v>0.18459237495372702</v>
      </c>
      <c r="KX17" s="5">
        <v>5.038523535256146E-2</v>
      </c>
      <c r="KY17" s="4">
        <v>2.0039406594342973E-4</v>
      </c>
      <c r="KZ17" s="5">
        <v>0</v>
      </c>
      <c r="LA17" s="5">
        <v>0</v>
      </c>
      <c r="LB17" s="5">
        <v>0</v>
      </c>
      <c r="LC17" s="4">
        <v>0</v>
      </c>
      <c r="LD17" s="5">
        <v>7.1753061278050229E-2</v>
      </c>
      <c r="LE17" s="5">
        <v>0.18919954217550308</v>
      </c>
      <c r="LF17" s="5">
        <v>0.19817966618466049</v>
      </c>
      <c r="LG17" s="5">
        <v>7.6254842498120978E-2</v>
      </c>
      <c r="LH17" s="4">
        <v>0</v>
      </c>
      <c r="LI17" s="5">
        <v>0</v>
      </c>
      <c r="LJ17" s="5">
        <v>0</v>
      </c>
      <c r="LL17" s="3" t="s">
        <v>167</v>
      </c>
      <c r="LM17" s="3" t="s">
        <v>160</v>
      </c>
      <c r="LN17" s="3" t="s">
        <v>161</v>
      </c>
      <c r="LO17" s="5">
        <v>0.37898573298841609</v>
      </c>
    </row>
    <row r="18" spans="2:327" x14ac:dyDescent="0.45">
      <c r="B18" s="6" t="s">
        <v>168</v>
      </c>
      <c r="C18" s="6" t="s">
        <v>151</v>
      </c>
      <c r="D18" s="8">
        <v>0</v>
      </c>
      <c r="E18" s="8">
        <v>0</v>
      </c>
      <c r="F18" s="8">
        <v>0.9804048096915654</v>
      </c>
      <c r="G18" s="8">
        <v>0.54332737077795901</v>
      </c>
      <c r="H18" s="8">
        <v>0.37451432989040739</v>
      </c>
      <c r="I18" s="8">
        <v>0.32994461524133822</v>
      </c>
      <c r="J18" s="8">
        <v>0.38175152745568619</v>
      </c>
      <c r="K18" s="8">
        <v>0.66016129253938194</v>
      </c>
      <c r="L18" s="8">
        <v>0</v>
      </c>
      <c r="M18" s="8">
        <v>0</v>
      </c>
      <c r="N18" s="8">
        <v>0</v>
      </c>
      <c r="O18" s="8">
        <v>0.91996865230490033</v>
      </c>
      <c r="P18" s="8">
        <v>0.503218213671072</v>
      </c>
      <c r="Q18" s="8">
        <v>0.26410697582333637</v>
      </c>
      <c r="R18" s="8">
        <v>0.20849871127461972</v>
      </c>
      <c r="S18" s="8">
        <v>0.20072337290376702</v>
      </c>
      <c r="T18" s="8">
        <v>0.19522981822400653</v>
      </c>
      <c r="U18" s="8">
        <v>0.25846273177805101</v>
      </c>
      <c r="V18" s="8">
        <v>0.6786832249639041</v>
      </c>
      <c r="W18" s="8">
        <v>0</v>
      </c>
      <c r="X18" s="8">
        <v>0</v>
      </c>
      <c r="Y18" s="8">
        <v>0.47173569155527767</v>
      </c>
      <c r="Z18" s="8">
        <v>0.27769339785684094</v>
      </c>
      <c r="AA18" s="8">
        <v>0.2343594448420446</v>
      </c>
      <c r="AB18" s="8">
        <v>0.20034416574847427</v>
      </c>
      <c r="AC18" s="8">
        <v>0.18179026493050685</v>
      </c>
      <c r="AD18" s="8">
        <v>0.1732727036764081</v>
      </c>
      <c r="AE18" s="8">
        <v>0.17912945886064147</v>
      </c>
      <c r="AF18" s="8">
        <v>0.30282800682144728</v>
      </c>
      <c r="AG18" s="8">
        <v>0.84235976676633872</v>
      </c>
      <c r="AH18" s="8">
        <v>0</v>
      </c>
      <c r="AI18" s="8">
        <v>0.61904267130574431</v>
      </c>
      <c r="AJ18" s="8">
        <v>0.29868065810455446</v>
      </c>
      <c r="AK18" s="8">
        <v>0.18066356410217205</v>
      </c>
      <c r="AL18" s="8">
        <v>0.15898961853999619</v>
      </c>
      <c r="AM18" s="8">
        <v>0.15894973786092034</v>
      </c>
      <c r="AN18" s="8">
        <v>0.15880985934280853</v>
      </c>
      <c r="AO18" s="8">
        <v>0.20557582680847847</v>
      </c>
      <c r="AP18" s="8">
        <v>0.38119942426507492</v>
      </c>
      <c r="AQ18" s="8">
        <v>0.89744297717281185</v>
      </c>
      <c r="AR18" s="8">
        <v>0</v>
      </c>
      <c r="AS18" s="8">
        <v>0</v>
      </c>
      <c r="AT18" s="8">
        <v>0.56776861432674275</v>
      </c>
      <c r="AU18" s="8">
        <v>0.30014944389530035</v>
      </c>
      <c r="AV18" s="8">
        <v>0.24290922234058832</v>
      </c>
      <c r="AW18" s="8">
        <v>0.25172700575224766</v>
      </c>
      <c r="AX18" s="8">
        <v>0.27970284452852023</v>
      </c>
      <c r="AY18" s="8">
        <v>0.42698908550748926</v>
      </c>
      <c r="AZ18" s="8">
        <v>0.89678098684761609</v>
      </c>
      <c r="BA18" s="8">
        <v>0</v>
      </c>
      <c r="BB18" s="8">
        <v>0</v>
      </c>
      <c r="BC18" s="8">
        <v>0</v>
      </c>
      <c r="BD18" s="8">
        <v>0</v>
      </c>
      <c r="BE18" s="8">
        <v>0.48823828885143389</v>
      </c>
      <c r="BF18" s="8">
        <v>0.28953653638707411</v>
      </c>
      <c r="BG18" s="8">
        <v>0.25570482128301431</v>
      </c>
      <c r="BH18" s="8">
        <v>0.33737475816364487</v>
      </c>
      <c r="BI18" s="8">
        <v>0.95326657058869735</v>
      </c>
      <c r="BJ18" s="8">
        <v>0</v>
      </c>
      <c r="BK18" s="8">
        <v>0</v>
      </c>
      <c r="BM18" s="6" t="s">
        <v>168</v>
      </c>
      <c r="BN18" s="6" t="s">
        <v>152</v>
      </c>
      <c r="BO18" s="8">
        <v>0</v>
      </c>
      <c r="BP18" s="8">
        <v>0</v>
      </c>
      <c r="BQ18" s="7">
        <v>0.96378777901882706</v>
      </c>
      <c r="BR18" s="8">
        <v>0.36986998041971586</v>
      </c>
      <c r="BS18" s="8">
        <v>0.21970191211490767</v>
      </c>
      <c r="BT18" s="8">
        <v>0.15043010114504538</v>
      </c>
      <c r="BU18" s="7">
        <v>6.8160404271509975E-2</v>
      </c>
      <c r="BV18" s="8">
        <v>0.11155953664458675</v>
      </c>
      <c r="BW18" s="7">
        <v>0</v>
      </c>
      <c r="BX18" s="8">
        <v>0</v>
      </c>
      <c r="BY18" s="7">
        <v>0</v>
      </c>
      <c r="BZ18" s="7">
        <v>0.86339743029944138</v>
      </c>
      <c r="CA18" s="7">
        <v>0.35162312799469125</v>
      </c>
      <c r="CB18" s="7">
        <v>0.15240337847191471</v>
      </c>
      <c r="CC18" s="7">
        <v>9.9013078028839102E-2</v>
      </c>
      <c r="CD18" s="8">
        <v>5.921939575546592E-2</v>
      </c>
      <c r="CE18" s="7">
        <v>2.0602316678581353E-2</v>
      </c>
      <c r="CF18" s="8">
        <v>5.1096501184162521E-2</v>
      </c>
      <c r="CG18" s="7">
        <v>0.25112438456003755</v>
      </c>
      <c r="CH18" s="8">
        <v>0</v>
      </c>
      <c r="CI18" s="8">
        <v>0</v>
      </c>
      <c r="CJ18" s="7">
        <v>0.30352736986014001</v>
      </c>
      <c r="CK18" s="8">
        <v>0.19391766112578449</v>
      </c>
      <c r="CL18" s="7">
        <v>0.13496077270390455</v>
      </c>
      <c r="CM18" s="8">
        <v>0.11078346719306105</v>
      </c>
      <c r="CN18" s="8">
        <v>1.6537095747691244E-2</v>
      </c>
      <c r="CO18" s="8">
        <v>1.7550326047495301E-2</v>
      </c>
      <c r="CP18" s="8">
        <v>2.8509860574996344E-2</v>
      </c>
      <c r="CQ18" s="8">
        <v>0.11381299731153673</v>
      </c>
      <c r="CR18" s="8">
        <v>0.6593207788552885</v>
      </c>
      <c r="CS18" s="8">
        <v>0</v>
      </c>
      <c r="CT18" s="8">
        <v>0.44187602490794908</v>
      </c>
      <c r="CU18" s="7">
        <v>0.1923306105547509</v>
      </c>
      <c r="CV18" s="7">
        <v>0.10484752417162345</v>
      </c>
      <c r="CW18" s="8">
        <v>9.4300488080584388E-2</v>
      </c>
      <c r="CX18" s="7">
        <v>1.83331662815551E-2</v>
      </c>
      <c r="CY18" s="7">
        <v>2.3776055617568449E-2</v>
      </c>
      <c r="CZ18" s="7">
        <v>4.5150632345479162E-2</v>
      </c>
      <c r="DA18" s="7">
        <v>0.14810831288024642</v>
      </c>
      <c r="DB18" s="8">
        <v>0.81138296323932313</v>
      </c>
      <c r="DC18" s="8">
        <v>0</v>
      </c>
      <c r="DD18" s="7">
        <v>0</v>
      </c>
      <c r="DE18" s="7">
        <v>0.42327485933829995</v>
      </c>
      <c r="DF18" s="8">
        <v>0.18079555944875508</v>
      </c>
      <c r="DG18" s="8">
        <v>0.1411256972779793</v>
      </c>
      <c r="DH18" s="7">
        <v>4.6109880584796814E-2</v>
      </c>
      <c r="DI18" s="7">
        <v>5.8045073091400196E-2</v>
      </c>
      <c r="DJ18" s="7">
        <v>0.11601582100661308</v>
      </c>
      <c r="DK18" s="7">
        <v>0.15126530249356415</v>
      </c>
      <c r="DL18" s="8">
        <v>0</v>
      </c>
      <c r="DM18" s="8">
        <v>0</v>
      </c>
      <c r="DN18" s="8">
        <v>0</v>
      </c>
      <c r="DO18" s="8">
        <v>0</v>
      </c>
      <c r="DP18" s="8">
        <v>0.32218191788267925</v>
      </c>
      <c r="DQ18" s="8">
        <v>0.17218116861754321</v>
      </c>
      <c r="DR18" s="8">
        <v>0.11407933042188481</v>
      </c>
      <c r="DS18" s="8">
        <v>7.0521998169700853E-2</v>
      </c>
      <c r="DT18" s="7">
        <v>3.5269800491504188E-2</v>
      </c>
      <c r="DU18" s="8">
        <v>0</v>
      </c>
      <c r="DV18" s="8">
        <v>0</v>
      </c>
      <c r="DX18" s="6" t="s">
        <v>168</v>
      </c>
      <c r="DY18" s="6" t="s">
        <v>153</v>
      </c>
      <c r="DZ18" s="7">
        <v>0</v>
      </c>
      <c r="EA18" s="8">
        <v>0</v>
      </c>
      <c r="EB18" s="8">
        <v>0</v>
      </c>
      <c r="EC18" s="8">
        <v>0</v>
      </c>
      <c r="ED18" s="7">
        <v>0</v>
      </c>
      <c r="EE18" s="8">
        <v>4.2445867566457185E-2</v>
      </c>
      <c r="EF18" s="7">
        <v>0.1711544433942217</v>
      </c>
      <c r="EG18" s="8">
        <v>0.37613313257404751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1.2220088311027888E-2</v>
      </c>
      <c r="EO18" s="7">
        <v>5.2767595837670205E-2</v>
      </c>
      <c r="EP18" s="7">
        <v>8.9109884033500938E-2</v>
      </c>
      <c r="EQ18" s="7">
        <v>8.8651312009106725E-2</v>
      </c>
      <c r="ER18" s="7">
        <v>8.2896422940425429E-2</v>
      </c>
      <c r="ES18" s="7">
        <v>0</v>
      </c>
      <c r="ET18" s="8">
        <v>0</v>
      </c>
      <c r="EU18" s="8">
        <v>0</v>
      </c>
      <c r="EV18" s="8">
        <v>0</v>
      </c>
      <c r="EW18" s="8">
        <v>0</v>
      </c>
      <c r="EX18" s="7">
        <v>0</v>
      </c>
      <c r="EY18" s="8">
        <v>8.1642490328452944E-2</v>
      </c>
      <c r="EZ18" s="8">
        <v>7.6707947960382744E-2</v>
      </c>
      <c r="FA18" s="8">
        <v>8.4819374891118918E-2</v>
      </c>
      <c r="FB18" s="8">
        <v>2.2097084888368902E-2</v>
      </c>
      <c r="FC18" s="8">
        <v>6.6782448101891878E-2</v>
      </c>
      <c r="FD18" s="8">
        <v>0</v>
      </c>
      <c r="FE18" s="8">
        <v>0</v>
      </c>
      <c r="FF18" s="8">
        <v>0</v>
      </c>
      <c r="FG18" s="8">
        <v>0</v>
      </c>
      <c r="FH18" s="7">
        <v>0</v>
      </c>
      <c r="FI18" s="8">
        <v>6.8946696067021904E-2</v>
      </c>
      <c r="FJ18" s="8">
        <v>6.8135808559686609E-2</v>
      </c>
      <c r="FK18" s="8">
        <v>7.4297895679167739E-2</v>
      </c>
      <c r="FL18" s="8">
        <v>1.2189810195695327E-2</v>
      </c>
      <c r="FM18" s="7">
        <v>0</v>
      </c>
      <c r="FN18" s="8">
        <v>0</v>
      </c>
      <c r="FO18" s="8">
        <v>0</v>
      </c>
      <c r="FP18" s="7">
        <v>0</v>
      </c>
      <c r="FQ18" s="7">
        <v>0</v>
      </c>
      <c r="FR18" s="7">
        <v>0</v>
      </c>
      <c r="FS18" s="7">
        <v>0.10246076587062647</v>
      </c>
      <c r="FT18" s="8">
        <v>0.118606475967914</v>
      </c>
      <c r="FU18" s="8">
        <v>0.1690316463270953</v>
      </c>
      <c r="FV18" s="7">
        <v>0.20935920479380057</v>
      </c>
      <c r="FW18" s="8">
        <v>0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2.4612532412977048E-2</v>
      </c>
      <c r="GD18" s="8">
        <v>0.13900804873237302</v>
      </c>
      <c r="GE18" s="8">
        <v>0.8789284680238858</v>
      </c>
      <c r="GF18" s="8">
        <v>0</v>
      </c>
      <c r="GG18" s="8">
        <v>0</v>
      </c>
      <c r="GI18" s="6" t="s">
        <v>168</v>
      </c>
      <c r="GJ18" s="6" t="s">
        <v>154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0</v>
      </c>
      <c r="GT18" s="8">
        <v>0</v>
      </c>
      <c r="GU18" s="8">
        <v>0</v>
      </c>
      <c r="GV18" s="8">
        <v>0</v>
      </c>
      <c r="GW18" s="8">
        <v>0</v>
      </c>
      <c r="GX18" s="8">
        <v>0</v>
      </c>
      <c r="GY18" s="8">
        <v>0</v>
      </c>
      <c r="GZ18" s="8">
        <v>0</v>
      </c>
      <c r="HA18" s="7">
        <v>0</v>
      </c>
      <c r="HB18" s="8">
        <v>1.5789022089377783E-2</v>
      </c>
      <c r="HC18" s="8">
        <v>0.17406443503550928</v>
      </c>
      <c r="HD18" s="8">
        <v>0</v>
      </c>
      <c r="HE18" s="8">
        <v>0</v>
      </c>
      <c r="HF18" s="8">
        <v>0</v>
      </c>
      <c r="HG18" s="8">
        <v>0</v>
      </c>
      <c r="HH18" s="8">
        <v>0</v>
      </c>
      <c r="HI18" s="8">
        <v>0</v>
      </c>
      <c r="HJ18" s="8">
        <v>0</v>
      </c>
      <c r="HK18" s="8">
        <v>0</v>
      </c>
      <c r="HL18" s="7">
        <v>7.2051565283408239E-4</v>
      </c>
      <c r="HM18" s="8">
        <v>5.2047168742128024E-2</v>
      </c>
      <c r="HN18" s="8">
        <v>0</v>
      </c>
      <c r="HO18" s="8">
        <v>0</v>
      </c>
      <c r="HP18" s="8">
        <v>0</v>
      </c>
      <c r="HQ18" s="8">
        <v>0</v>
      </c>
      <c r="HR18" s="8">
        <v>0</v>
      </c>
      <c r="HS18" s="8">
        <v>0</v>
      </c>
      <c r="HT18" s="8">
        <v>0</v>
      </c>
      <c r="HU18" s="8">
        <v>0</v>
      </c>
      <c r="HV18" s="7">
        <v>3.2861763969841591E-3</v>
      </c>
      <c r="HW18" s="8">
        <v>9.2791782503767739E-2</v>
      </c>
      <c r="HX18" s="8">
        <v>0</v>
      </c>
      <c r="HY18" s="8">
        <v>0</v>
      </c>
      <c r="HZ18" s="8">
        <v>0</v>
      </c>
      <c r="IA18" s="8">
        <v>0</v>
      </c>
      <c r="IB18" s="8">
        <v>0</v>
      </c>
      <c r="IC18" s="8">
        <v>0</v>
      </c>
      <c r="ID18" s="8">
        <v>0</v>
      </c>
      <c r="IE18" s="8">
        <v>0</v>
      </c>
      <c r="IF18" s="8">
        <v>5.6646071477861023E-3</v>
      </c>
      <c r="IG18" s="8">
        <v>0.45529917746743354</v>
      </c>
      <c r="IH18" s="8">
        <v>0</v>
      </c>
      <c r="II18" s="8">
        <v>0</v>
      </c>
      <c r="IJ18" s="8">
        <v>0</v>
      </c>
      <c r="IK18" s="8">
        <v>0</v>
      </c>
      <c r="IL18" s="8">
        <v>0</v>
      </c>
      <c r="IM18" s="8">
        <v>0</v>
      </c>
      <c r="IN18" s="8">
        <v>0</v>
      </c>
      <c r="IO18" s="8">
        <v>0</v>
      </c>
      <c r="IP18" s="8">
        <v>0</v>
      </c>
      <c r="IQ18" s="8">
        <v>0</v>
      </c>
      <c r="IR18" s="8">
        <v>0</v>
      </c>
      <c r="JB18" s="6" t="s">
        <v>168</v>
      </c>
      <c r="JC18" s="8">
        <v>0</v>
      </c>
      <c r="JD18" s="8">
        <v>0</v>
      </c>
      <c r="JE18" s="7">
        <v>2.0345377728244532E-5</v>
      </c>
      <c r="JF18" s="8">
        <v>7.1358434434431281E-2</v>
      </c>
      <c r="JG18" s="8">
        <v>0.2005332247016281</v>
      </c>
      <c r="JH18" s="8">
        <v>0.2391727334042128</v>
      </c>
      <c r="JI18" s="8">
        <v>0.15694812121860413</v>
      </c>
      <c r="JJ18" s="8">
        <v>2.9618793582522712E-2</v>
      </c>
      <c r="JK18" s="8">
        <v>0</v>
      </c>
      <c r="JL18" s="8">
        <v>0</v>
      </c>
      <c r="JM18" s="8">
        <v>0</v>
      </c>
      <c r="JN18" s="7">
        <v>2.6611981793911124E-4</v>
      </c>
      <c r="JO18" s="8">
        <v>5.215399813278724E-2</v>
      </c>
      <c r="JP18" s="8">
        <v>0.25454450595024181</v>
      </c>
      <c r="JQ18" s="8">
        <v>0.39011169490277431</v>
      </c>
      <c r="JR18" s="8">
        <v>0.4084341157385098</v>
      </c>
      <c r="JS18" s="8">
        <v>0.31727955655878815</v>
      </c>
      <c r="JT18" s="8">
        <v>0.14123460264991311</v>
      </c>
      <c r="JU18" s="8">
        <v>6.7282680467184433E-3</v>
      </c>
      <c r="JV18" s="8">
        <v>0</v>
      </c>
      <c r="JW18" s="7">
        <v>0</v>
      </c>
      <c r="JX18" s="8">
        <v>1.1081916649012225E-2</v>
      </c>
      <c r="JY18" s="8">
        <v>0.11489112383858002</v>
      </c>
      <c r="JZ18" s="8">
        <v>0.29713766017049381</v>
      </c>
      <c r="KA18" s="8">
        <v>0.42206265473745364</v>
      </c>
      <c r="KB18" s="8">
        <v>0.44209236858200185</v>
      </c>
      <c r="KC18" s="8">
        <v>0.37202358908564931</v>
      </c>
      <c r="KD18" s="8">
        <v>0.20864946184042069</v>
      </c>
      <c r="KE18" s="8">
        <v>3.8063137774531693E-2</v>
      </c>
      <c r="KF18" s="7">
        <v>3.3425086202910166E-4</v>
      </c>
      <c r="KG18" s="7">
        <v>0</v>
      </c>
      <c r="KH18" s="8">
        <v>6.1422158530141137E-3</v>
      </c>
      <c r="KI18" s="8">
        <v>9.856820625189712E-2</v>
      </c>
      <c r="KJ18" s="8">
        <v>0.28931676442042825</v>
      </c>
      <c r="KK18" s="8">
        <v>0.41506819028322839</v>
      </c>
      <c r="KL18" s="8">
        <v>0.43405779830358154</v>
      </c>
      <c r="KM18" s="8">
        <v>0.36040101378588602</v>
      </c>
      <c r="KN18" s="8">
        <v>0.19525523077092088</v>
      </c>
      <c r="KO18" s="8">
        <v>3.2017368995184821E-2</v>
      </c>
      <c r="KP18" s="7">
        <v>1.8715026736403211E-4</v>
      </c>
      <c r="KQ18" s="8">
        <v>0</v>
      </c>
      <c r="KR18" s="7">
        <v>0</v>
      </c>
      <c r="KS18" s="8">
        <v>2.5266982750174492E-2</v>
      </c>
      <c r="KT18" s="8">
        <v>0.17684493381772848</v>
      </c>
      <c r="KU18" s="8">
        <v>0.29017421616905098</v>
      </c>
      <c r="KV18" s="8">
        <v>0.28634133099389492</v>
      </c>
      <c r="KW18" s="8">
        <v>0.20438066230592666</v>
      </c>
      <c r="KX18" s="8">
        <v>6.2669415476138524E-2</v>
      </c>
      <c r="KY18" s="7">
        <v>6.3246078717543838E-4</v>
      </c>
      <c r="KZ18" s="8">
        <v>0</v>
      </c>
      <c r="LA18" s="8">
        <v>0</v>
      </c>
      <c r="LB18" s="8">
        <v>0</v>
      </c>
      <c r="LC18" s="7">
        <v>0</v>
      </c>
      <c r="LD18" s="8">
        <v>7.1347068972716463E-2</v>
      </c>
      <c r="LE18" s="8">
        <v>0.22631058247452404</v>
      </c>
      <c r="LF18" s="8">
        <v>0.25386500164787534</v>
      </c>
      <c r="LG18" s="8">
        <v>0.11705960124822258</v>
      </c>
      <c r="LH18" s="7">
        <v>1.2626396662808218E-3</v>
      </c>
      <c r="LI18" s="8">
        <v>0</v>
      </c>
      <c r="LJ18" s="8">
        <v>0</v>
      </c>
      <c r="LL18" s="6" t="s">
        <v>168</v>
      </c>
      <c r="LM18" s="6" t="s">
        <v>160</v>
      </c>
      <c r="LN18" s="6" t="s">
        <v>161</v>
      </c>
      <c r="LO18" s="8">
        <v>0.39132874368835674</v>
      </c>
    </row>
    <row r="19" spans="2:327" x14ac:dyDescent="0.45">
      <c r="B19" s="3" t="s">
        <v>169</v>
      </c>
      <c r="C19" s="3" t="s">
        <v>151</v>
      </c>
      <c r="D19" s="5">
        <v>0</v>
      </c>
      <c r="E19" s="5">
        <v>0</v>
      </c>
      <c r="F19" s="5">
        <v>0.87057442939324725</v>
      </c>
      <c r="G19" s="5">
        <v>0.3331693346129469</v>
      </c>
      <c r="H19" s="5">
        <v>0.23714473989775317</v>
      </c>
      <c r="I19" s="5">
        <v>0.2441309198237778</v>
      </c>
      <c r="J19" s="5">
        <v>0.34186683261080375</v>
      </c>
      <c r="K19" s="5">
        <v>0.78566394911957693</v>
      </c>
      <c r="L19" s="5">
        <v>0</v>
      </c>
      <c r="M19" s="5">
        <v>0</v>
      </c>
      <c r="N19" s="5">
        <v>0</v>
      </c>
      <c r="O19" s="5">
        <v>0.80715338480924181</v>
      </c>
      <c r="P19" s="5">
        <v>0.38731873216640816</v>
      </c>
      <c r="Q19" s="5">
        <v>0.2173065135765308</v>
      </c>
      <c r="R19" s="5">
        <v>0.15894716945316362</v>
      </c>
      <c r="S19" s="5">
        <v>0.14899380124327116</v>
      </c>
      <c r="T19" s="5">
        <v>0.18660473462863567</v>
      </c>
      <c r="U19" s="5">
        <v>0.3439972904937022</v>
      </c>
      <c r="V19" s="5">
        <v>0.81771949777915542</v>
      </c>
      <c r="W19" s="5">
        <v>0</v>
      </c>
      <c r="X19" s="5">
        <v>0</v>
      </c>
      <c r="Y19" s="5">
        <v>0.33381016824029786</v>
      </c>
      <c r="Z19" s="5">
        <v>0.20454877684683132</v>
      </c>
      <c r="AA19" s="5">
        <v>0.16692310319865078</v>
      </c>
      <c r="AB19" s="5">
        <v>0.15739506121833033</v>
      </c>
      <c r="AC19" s="5">
        <v>0.14861789172238341</v>
      </c>
      <c r="AD19" s="5">
        <v>0.1587034430066788</v>
      </c>
      <c r="AE19" s="5">
        <v>0.20762093658607503</v>
      </c>
      <c r="AF19" s="5">
        <v>0.38457914905918039</v>
      </c>
      <c r="AG19" s="5">
        <v>0</v>
      </c>
      <c r="AH19" s="5">
        <v>0</v>
      </c>
      <c r="AI19" s="5">
        <v>0.44894666500975217</v>
      </c>
      <c r="AJ19" s="5">
        <v>0.21971080166454507</v>
      </c>
      <c r="AK19" s="5">
        <v>0.12696540173769158</v>
      </c>
      <c r="AL19" s="5">
        <v>0.10761345300953595</v>
      </c>
      <c r="AM19" s="5">
        <v>0.10281416318931069</v>
      </c>
      <c r="AN19" s="5">
        <v>0.12426556386845057</v>
      </c>
      <c r="AO19" s="5">
        <v>0.20561451362700206</v>
      </c>
      <c r="AP19" s="5">
        <v>0.44253517406227788</v>
      </c>
      <c r="AQ19" s="5">
        <v>0</v>
      </c>
      <c r="AR19" s="5">
        <v>0</v>
      </c>
      <c r="AS19" s="5">
        <v>0.93442622950819698</v>
      </c>
      <c r="AT19" s="5">
        <v>0.40035689859420381</v>
      </c>
      <c r="AU19" s="5">
        <v>0.22073588287328524</v>
      </c>
      <c r="AV19" s="5">
        <v>0.16817724022097619</v>
      </c>
      <c r="AW19" s="5">
        <v>0.20046295290995869</v>
      </c>
      <c r="AX19" s="5">
        <v>0.2550994985186148</v>
      </c>
      <c r="AY19" s="5">
        <v>0.52176331789787034</v>
      </c>
      <c r="AZ19" s="5">
        <v>0.98360655737704972</v>
      </c>
      <c r="BA19" s="5">
        <v>0</v>
      </c>
      <c r="BB19" s="5">
        <v>0</v>
      </c>
      <c r="BC19" s="5">
        <v>0</v>
      </c>
      <c r="BD19" s="5">
        <v>0.8819895527464231</v>
      </c>
      <c r="BE19" s="5">
        <v>0.35580989855448913</v>
      </c>
      <c r="BF19" s="5">
        <v>0.26299567868603269</v>
      </c>
      <c r="BG19" s="5">
        <v>0.2647767230927936</v>
      </c>
      <c r="BH19" s="5">
        <v>0.40474502235430931</v>
      </c>
      <c r="BI19" s="5">
        <v>0</v>
      </c>
      <c r="BJ19" s="5">
        <v>0</v>
      </c>
      <c r="BK19" s="5">
        <v>0</v>
      </c>
      <c r="BM19" s="3" t="s">
        <v>169</v>
      </c>
      <c r="BN19" s="3" t="s">
        <v>152</v>
      </c>
      <c r="BO19" s="5">
        <v>0</v>
      </c>
      <c r="BP19" s="5">
        <v>0</v>
      </c>
      <c r="BQ19" s="4">
        <v>0.76728593777031973</v>
      </c>
      <c r="BR19" s="5">
        <v>0.21885662569828579</v>
      </c>
      <c r="BS19" s="5">
        <v>0.13564808362497616</v>
      </c>
      <c r="BT19" s="5">
        <v>0.10970509413892826</v>
      </c>
      <c r="BU19" s="4">
        <v>0.10308339755105672</v>
      </c>
      <c r="BV19" s="5">
        <v>0.2892465646904388</v>
      </c>
      <c r="BW19" s="4">
        <v>0</v>
      </c>
      <c r="BX19" s="5">
        <v>0</v>
      </c>
      <c r="BY19" s="4">
        <v>0</v>
      </c>
      <c r="BZ19" s="4">
        <v>0.67423992258887233</v>
      </c>
      <c r="CA19" s="4">
        <v>0.25772205390845415</v>
      </c>
      <c r="CB19" s="4">
        <v>0.11575837274177728</v>
      </c>
      <c r="CC19" s="4">
        <v>5.6978395782521438E-2</v>
      </c>
      <c r="CD19" s="5">
        <v>3.3135579135953774E-2</v>
      </c>
      <c r="CE19" s="4">
        <v>2.5039835892240264E-2</v>
      </c>
      <c r="CF19" s="5">
        <v>0.10531442684536356</v>
      </c>
      <c r="CG19" s="4">
        <v>0.47037873617226655</v>
      </c>
      <c r="CH19" s="5">
        <v>0</v>
      </c>
      <c r="CI19" s="5">
        <v>0</v>
      </c>
      <c r="CJ19" s="4">
        <v>0.19615336478975628</v>
      </c>
      <c r="CK19" s="5">
        <v>0.13774325097810558</v>
      </c>
      <c r="CL19" s="4">
        <v>9.2770736522930414E-2</v>
      </c>
      <c r="CM19" s="5">
        <v>8.611491300869735E-2</v>
      </c>
      <c r="CN19" s="5">
        <v>1.4531073246973988E-2</v>
      </c>
      <c r="CO19" s="5">
        <v>1.5300615788083706E-2</v>
      </c>
      <c r="CP19" s="5">
        <v>4.6299454247969669E-2</v>
      </c>
      <c r="CQ19" s="5">
        <v>0.24034374107955922</v>
      </c>
      <c r="CR19" s="5">
        <v>0</v>
      </c>
      <c r="CS19" s="5">
        <v>0</v>
      </c>
      <c r="CT19" s="5">
        <v>0.30314740197049195</v>
      </c>
      <c r="CU19" s="4">
        <v>0.13284603149593047</v>
      </c>
      <c r="CV19" s="4">
        <v>6.9756979663058119E-2</v>
      </c>
      <c r="CW19" s="5">
        <v>5.2397637666254084E-2</v>
      </c>
      <c r="CX19" s="4">
        <v>3.0549178890820282E-2</v>
      </c>
      <c r="CY19" s="4">
        <v>1.9554128920959958E-2</v>
      </c>
      <c r="CZ19" s="4">
        <v>5.0869422486910156E-2</v>
      </c>
      <c r="DA19" s="4">
        <v>0.29838235040850769</v>
      </c>
      <c r="DB19" s="5">
        <v>0</v>
      </c>
      <c r="DC19" s="5">
        <v>0</v>
      </c>
      <c r="DD19" s="4">
        <v>0.87315237839290483</v>
      </c>
      <c r="DE19" s="4">
        <v>0.27139740844762683</v>
      </c>
      <c r="DF19" s="5">
        <v>0.12391482629156132</v>
      </c>
      <c r="DG19" s="5">
        <v>8.6059042705524641E-2</v>
      </c>
      <c r="DH19" s="4">
        <v>2.9882155613479865E-2</v>
      </c>
      <c r="DI19" s="4">
        <v>3.3560097454817299E-2</v>
      </c>
      <c r="DJ19" s="4">
        <v>9.8937404989954597E-2</v>
      </c>
      <c r="DK19" s="4">
        <v>0</v>
      </c>
      <c r="DL19" s="5">
        <v>0</v>
      </c>
      <c r="DM19" s="5">
        <v>0</v>
      </c>
      <c r="DN19" s="5">
        <v>0</v>
      </c>
      <c r="DO19" s="5">
        <v>0.78135255740851695</v>
      </c>
      <c r="DP19" s="5">
        <v>0.23943227672218695</v>
      </c>
      <c r="DQ19" s="5">
        <v>0.1422942086219213</v>
      </c>
      <c r="DR19" s="5">
        <v>0.11244534001588059</v>
      </c>
      <c r="DS19" s="5">
        <v>9.0278480132020486E-2</v>
      </c>
      <c r="DT19" s="4">
        <v>0</v>
      </c>
      <c r="DU19" s="5">
        <v>0</v>
      </c>
      <c r="DV19" s="5">
        <v>0</v>
      </c>
      <c r="DX19" s="3" t="s">
        <v>169</v>
      </c>
      <c r="DY19" s="3" t="s">
        <v>153</v>
      </c>
      <c r="DZ19" s="4">
        <v>0</v>
      </c>
      <c r="EA19" s="5">
        <v>0</v>
      </c>
      <c r="EB19" s="5">
        <v>0</v>
      </c>
      <c r="EC19" s="5">
        <v>0</v>
      </c>
      <c r="ED19" s="4">
        <v>0</v>
      </c>
      <c r="EE19" s="5">
        <v>3.3785196377217344E-2</v>
      </c>
      <c r="EF19" s="4">
        <v>0.11568622383418961</v>
      </c>
      <c r="EG19" s="5">
        <v>0.36163613405852185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2.5335709216465253E-2</v>
      </c>
      <c r="EO19" s="4">
        <v>4.4674253754299002E-2</v>
      </c>
      <c r="EP19" s="4">
        <v>7.8795463911519495E-2</v>
      </c>
      <c r="EQ19" s="4">
        <v>8.2951805061353939E-2</v>
      </c>
      <c r="ER19" s="4">
        <v>2.6386915974374162E-2</v>
      </c>
      <c r="ES19" s="4">
        <v>0</v>
      </c>
      <c r="ET19" s="5">
        <v>0</v>
      </c>
      <c r="EU19" s="5">
        <v>0</v>
      </c>
      <c r="EV19" s="5">
        <v>0</v>
      </c>
      <c r="EW19" s="5">
        <v>0</v>
      </c>
      <c r="EX19" s="4">
        <v>3.1990869597521236E-3</v>
      </c>
      <c r="EY19" s="5">
        <v>6.8863392032332535E-2</v>
      </c>
      <c r="EZ19" s="5">
        <v>7.4722181301361226E-2</v>
      </c>
      <c r="FA19" s="5">
        <v>8.9137587563392087E-2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4">
        <v>0</v>
      </c>
      <c r="FI19" s="5">
        <v>2.2351410544863046E-2</v>
      </c>
      <c r="FJ19" s="5">
        <v>4.9035209805650397E-2</v>
      </c>
      <c r="FK19" s="5">
        <v>7.8335005415984052E-2</v>
      </c>
      <c r="FL19" s="5">
        <v>0</v>
      </c>
      <c r="FM19" s="4">
        <v>0</v>
      </c>
      <c r="FN19" s="5">
        <v>0</v>
      </c>
      <c r="FO19" s="5">
        <v>0</v>
      </c>
      <c r="FP19" s="4">
        <v>0</v>
      </c>
      <c r="FQ19" s="4">
        <v>0</v>
      </c>
      <c r="FR19" s="4">
        <v>8.3858957236189555E-3</v>
      </c>
      <c r="FS19" s="4">
        <v>7.5188059181319294E-2</v>
      </c>
      <c r="FT19" s="5">
        <v>0.1171038557986832</v>
      </c>
      <c r="FU19" s="5">
        <v>0.20742200389313312</v>
      </c>
      <c r="FV19" s="4">
        <v>0.85421577479547339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4.8073100708524816E-2</v>
      </c>
      <c r="GD19" s="5">
        <v>0.18098662737874452</v>
      </c>
      <c r="GE19" s="5">
        <v>0</v>
      </c>
      <c r="GF19" s="5">
        <v>0</v>
      </c>
      <c r="GG19" s="5">
        <v>0</v>
      </c>
      <c r="GI19" s="3" t="s">
        <v>169</v>
      </c>
      <c r="GJ19" s="3" t="s">
        <v>154</v>
      </c>
      <c r="GK19" s="5">
        <v>0</v>
      </c>
      <c r="GL19" s="5">
        <v>0</v>
      </c>
      <c r="GM19" s="5">
        <v>0</v>
      </c>
      <c r="GN19" s="5">
        <v>0</v>
      </c>
      <c r="GO19" s="5">
        <v>0</v>
      </c>
      <c r="GP19" s="5">
        <v>0</v>
      </c>
      <c r="GQ19" s="5">
        <v>0</v>
      </c>
      <c r="GR19" s="5">
        <v>0</v>
      </c>
      <c r="GS19" s="5">
        <v>0</v>
      </c>
      <c r="GT19" s="5">
        <v>0</v>
      </c>
      <c r="GU19" s="5">
        <v>0</v>
      </c>
      <c r="GV19" s="5">
        <v>0</v>
      </c>
      <c r="GW19" s="5">
        <v>0</v>
      </c>
      <c r="GX19" s="5">
        <v>0</v>
      </c>
      <c r="GY19" s="5">
        <v>0</v>
      </c>
      <c r="GZ19" s="5">
        <v>0</v>
      </c>
      <c r="HA19" s="4">
        <v>0</v>
      </c>
      <c r="HB19" s="5">
        <v>4.0857305430524328E-2</v>
      </c>
      <c r="HC19" s="5">
        <v>0.19018205084351106</v>
      </c>
      <c r="HD19" s="5">
        <v>0</v>
      </c>
      <c r="HE19" s="5">
        <v>0</v>
      </c>
      <c r="HF19" s="5">
        <v>0</v>
      </c>
      <c r="HG19" s="5">
        <v>0</v>
      </c>
      <c r="HH19" s="5">
        <v>0</v>
      </c>
      <c r="HI19" s="5">
        <v>0</v>
      </c>
      <c r="HJ19" s="5">
        <v>0</v>
      </c>
      <c r="HK19" s="5">
        <v>0</v>
      </c>
      <c r="HL19" s="4">
        <v>5.6006067671782707E-3</v>
      </c>
      <c r="HM19" s="5">
        <v>0</v>
      </c>
      <c r="HN19" s="5">
        <v>0</v>
      </c>
      <c r="HO19" s="5">
        <v>0</v>
      </c>
      <c r="HP19" s="5">
        <v>0</v>
      </c>
      <c r="HQ19" s="5">
        <v>0</v>
      </c>
      <c r="HR19" s="5">
        <v>0</v>
      </c>
      <c r="HS19" s="5">
        <v>0</v>
      </c>
      <c r="HT19" s="5">
        <v>0</v>
      </c>
      <c r="HU19" s="5">
        <v>0</v>
      </c>
      <c r="HV19" s="4">
        <v>0</v>
      </c>
      <c r="HW19" s="5">
        <v>0</v>
      </c>
      <c r="HX19" s="5">
        <v>0</v>
      </c>
      <c r="HY19" s="5">
        <v>0</v>
      </c>
      <c r="HZ19" s="5">
        <v>0</v>
      </c>
      <c r="IA19" s="5">
        <v>0</v>
      </c>
      <c r="IB19" s="5">
        <v>0</v>
      </c>
      <c r="IC19" s="5">
        <v>0</v>
      </c>
      <c r="ID19" s="5">
        <v>0</v>
      </c>
      <c r="IE19" s="5">
        <v>0</v>
      </c>
      <c r="IF19" s="5">
        <v>6.3282387007957866E-2</v>
      </c>
      <c r="IG19" s="5">
        <v>0.11326608491965684</v>
      </c>
      <c r="IH19" s="5">
        <v>0</v>
      </c>
      <c r="II19" s="5">
        <v>0</v>
      </c>
      <c r="IJ19" s="5">
        <v>0</v>
      </c>
      <c r="IK19" s="5">
        <v>0</v>
      </c>
      <c r="IL19" s="5">
        <v>0</v>
      </c>
      <c r="IM19" s="5">
        <v>0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JB19" s="3" t="s">
        <v>169</v>
      </c>
      <c r="JC19" s="5">
        <v>0</v>
      </c>
      <c r="JD19" s="5">
        <v>0</v>
      </c>
      <c r="JE19" s="4">
        <v>3.7385530615755553E-3</v>
      </c>
      <c r="JF19" s="5">
        <v>0.12050922604347283</v>
      </c>
      <c r="JG19" s="5">
        <v>0.26628933147406258</v>
      </c>
      <c r="JH19" s="5">
        <v>0.26978717930812263</v>
      </c>
      <c r="JI19" s="5">
        <v>0.14486632252369794</v>
      </c>
      <c r="JJ19" s="5">
        <v>1.1346667625971838E-2</v>
      </c>
      <c r="JK19" s="5">
        <v>0</v>
      </c>
      <c r="JL19" s="5">
        <v>0</v>
      </c>
      <c r="JM19" s="5">
        <v>0</v>
      </c>
      <c r="JN19" s="4">
        <v>1.9669643994842515E-3</v>
      </c>
      <c r="JO19" s="5">
        <v>0.10398153918361613</v>
      </c>
      <c r="JP19" s="5">
        <v>0.32606133170771961</v>
      </c>
      <c r="JQ19" s="5">
        <v>0.47237893087087113</v>
      </c>
      <c r="JR19" s="5">
        <v>0.48129276702272117</v>
      </c>
      <c r="JS19" s="5">
        <v>0.31966041234866438</v>
      </c>
      <c r="JT19" s="5">
        <v>9.8477874763186576E-2</v>
      </c>
      <c r="JU19" s="5">
        <v>1.2792787984622035E-3</v>
      </c>
      <c r="JV19" s="5">
        <v>0</v>
      </c>
      <c r="JW19" s="4">
        <v>0</v>
      </c>
      <c r="JX19" s="5">
        <v>2.2455144376369984E-2</v>
      </c>
      <c r="JY19" s="5">
        <v>0.18633414155045333</v>
      </c>
      <c r="JZ19" s="5">
        <v>0.3910289645612321</v>
      </c>
      <c r="KA19" s="5">
        <v>0.50106994034162644</v>
      </c>
      <c r="KB19" s="5">
        <v>0.49469684490862764</v>
      </c>
      <c r="KC19" s="5">
        <v>0.36684732901471889</v>
      </c>
      <c r="KD19" s="5">
        <v>0.16131446898095514</v>
      </c>
      <c r="KE19" s="5">
        <v>1.7295413328516127E-2</v>
      </c>
      <c r="KF19" s="4">
        <v>0</v>
      </c>
      <c r="KG19" s="4">
        <v>0</v>
      </c>
      <c r="KH19" s="5">
        <v>1.3843866065602957E-2</v>
      </c>
      <c r="KI19" s="5">
        <v>0.16720086473455875</v>
      </c>
      <c r="KJ19" s="5">
        <v>0.41147999034854038</v>
      </c>
      <c r="KK19" s="5">
        <v>0.55478696727384169</v>
      </c>
      <c r="KL19" s="5">
        <v>0.54702454702227654</v>
      </c>
      <c r="KM19" s="5">
        <v>0.40329336423066359</v>
      </c>
      <c r="KN19" s="5">
        <v>0.1690665365970363</v>
      </c>
      <c r="KO19" s="5">
        <v>1.3544223252744536E-2</v>
      </c>
      <c r="KP19" s="4">
        <v>0</v>
      </c>
      <c r="KQ19" s="5">
        <v>0</v>
      </c>
      <c r="KR19" s="4">
        <v>1.584012529324827E-4</v>
      </c>
      <c r="KS19" s="5">
        <v>7.4145906827498595E-2</v>
      </c>
      <c r="KT19" s="5">
        <v>0.28444125678051835</v>
      </c>
      <c r="KU19" s="5">
        <v>0.40363119101620032</v>
      </c>
      <c r="KV19" s="5">
        <v>0.36477317435086759</v>
      </c>
      <c r="KW19" s="5">
        <v>0.21371527683928793</v>
      </c>
      <c r="KX19" s="5">
        <v>3.9086006060617989E-2</v>
      </c>
      <c r="KY19" s="4">
        <v>1.2442668194722266E-5</v>
      </c>
      <c r="KZ19" s="5">
        <v>0</v>
      </c>
      <c r="LA19" s="5">
        <v>0</v>
      </c>
      <c r="LB19" s="5">
        <v>0</v>
      </c>
      <c r="LC19" s="4">
        <v>5.7996870645944058E-3</v>
      </c>
      <c r="LD19" s="5">
        <v>0.12798695156401954</v>
      </c>
      <c r="LE19" s="5">
        <v>0.25602015882318258</v>
      </c>
      <c r="LF19" s="5">
        <v>0.22600003965377116</v>
      </c>
      <c r="LG19" s="5">
        <v>7.9765735205719127E-2</v>
      </c>
      <c r="LH19" s="4">
        <v>0</v>
      </c>
      <c r="LI19" s="5">
        <v>0</v>
      </c>
      <c r="LJ19" s="5">
        <v>0</v>
      </c>
      <c r="LL19" s="3" t="s">
        <v>169</v>
      </c>
      <c r="LM19" s="3" t="s">
        <v>160</v>
      </c>
      <c r="LN19" s="3" t="s">
        <v>161</v>
      </c>
      <c r="LO19" s="5">
        <v>0.46221220819780268</v>
      </c>
    </row>
    <row r="20" spans="2:327" x14ac:dyDescent="0.45">
      <c r="B20" s="6" t="s">
        <v>170</v>
      </c>
      <c r="C20" s="6" t="s">
        <v>151</v>
      </c>
      <c r="D20" s="8">
        <v>0</v>
      </c>
      <c r="E20" s="8">
        <v>0</v>
      </c>
      <c r="F20" s="8">
        <v>0.97457627118644063</v>
      </c>
      <c r="G20" s="8">
        <v>0.51361314464639973</v>
      </c>
      <c r="H20" s="8">
        <v>0.32615715929843631</v>
      </c>
      <c r="I20" s="8">
        <v>0.31000561625742945</v>
      </c>
      <c r="J20" s="8">
        <v>0.38942781055118014</v>
      </c>
      <c r="K20" s="8">
        <v>0.75368417376127173</v>
      </c>
      <c r="L20" s="8">
        <v>0</v>
      </c>
      <c r="M20" s="8">
        <v>0</v>
      </c>
      <c r="N20" s="8">
        <v>0</v>
      </c>
      <c r="O20" s="8">
        <v>0.89195360008636948</v>
      </c>
      <c r="P20" s="8">
        <v>0.46493841851991358</v>
      </c>
      <c r="Q20" s="8">
        <v>0.23663816065266768</v>
      </c>
      <c r="R20" s="8">
        <v>0.16575523844186382</v>
      </c>
      <c r="S20" s="8">
        <v>0.14395079012222076</v>
      </c>
      <c r="T20" s="8">
        <v>0.15570265246323975</v>
      </c>
      <c r="U20" s="8">
        <v>0.25291069876961358</v>
      </c>
      <c r="V20" s="8">
        <v>0.67909711134227324</v>
      </c>
      <c r="W20" s="8">
        <v>0</v>
      </c>
      <c r="X20" s="8">
        <v>0</v>
      </c>
      <c r="Y20" s="8">
        <v>0.38522739284668411</v>
      </c>
      <c r="Z20" s="8">
        <v>0.23609904453906022</v>
      </c>
      <c r="AA20" s="8">
        <v>0.18368826068518496</v>
      </c>
      <c r="AB20" s="8">
        <v>0.17836484803429592</v>
      </c>
      <c r="AC20" s="8">
        <v>0.16880766518975165</v>
      </c>
      <c r="AD20" s="8">
        <v>0.16992359584297931</v>
      </c>
      <c r="AE20" s="8">
        <v>0.19152614791082573</v>
      </c>
      <c r="AF20" s="8">
        <v>0.29016441959934891</v>
      </c>
      <c r="AG20" s="8">
        <v>0.80461937592961186</v>
      </c>
      <c r="AH20" s="8">
        <v>0</v>
      </c>
      <c r="AI20" s="8">
        <v>0.5531251672187314</v>
      </c>
      <c r="AJ20" s="8">
        <v>0.26451886567466115</v>
      </c>
      <c r="AK20" s="8">
        <v>0.17067893896768946</v>
      </c>
      <c r="AL20" s="8">
        <v>0.13790769409175221</v>
      </c>
      <c r="AM20" s="8">
        <v>0.12795061646269482</v>
      </c>
      <c r="AN20" s="8">
        <v>0.15035935675023127</v>
      </c>
      <c r="AO20" s="8">
        <v>0.19569827599960235</v>
      </c>
      <c r="AP20" s="8">
        <v>0.36453018624976424</v>
      </c>
      <c r="AQ20" s="8">
        <v>0.86488328742417309</v>
      </c>
      <c r="AR20" s="8">
        <v>0</v>
      </c>
      <c r="AS20" s="8">
        <v>0</v>
      </c>
      <c r="AT20" s="8">
        <v>0.55102952282653617</v>
      </c>
      <c r="AU20" s="8">
        <v>0.28975713241215789</v>
      </c>
      <c r="AV20" s="8">
        <v>0.23082805047999502</v>
      </c>
      <c r="AW20" s="8">
        <v>0.2293693085877001</v>
      </c>
      <c r="AX20" s="8">
        <v>0.25010793763527184</v>
      </c>
      <c r="AY20" s="8">
        <v>0.44090580746925873</v>
      </c>
      <c r="AZ20" s="8">
        <v>0.8831696125384465</v>
      </c>
      <c r="BA20" s="8">
        <v>0</v>
      </c>
      <c r="BB20" s="8">
        <v>0</v>
      </c>
      <c r="BC20" s="8">
        <v>0</v>
      </c>
      <c r="BD20" s="8">
        <v>0</v>
      </c>
      <c r="BE20" s="8">
        <v>0.5014488875050237</v>
      </c>
      <c r="BF20" s="8">
        <v>0.3286895178061599</v>
      </c>
      <c r="BG20" s="8">
        <v>0.32410975845286721</v>
      </c>
      <c r="BH20" s="8">
        <v>0.42004937341996479</v>
      </c>
      <c r="BI20" s="8">
        <v>0.99180327868852458</v>
      </c>
      <c r="BJ20" s="8">
        <v>0</v>
      </c>
      <c r="BK20" s="8">
        <v>0</v>
      </c>
      <c r="BM20" s="6" t="s">
        <v>170</v>
      </c>
      <c r="BN20" s="6" t="s">
        <v>152</v>
      </c>
      <c r="BO20" s="8">
        <v>0</v>
      </c>
      <c r="BP20" s="8">
        <v>0</v>
      </c>
      <c r="BQ20" s="7">
        <v>0.94979890835966674</v>
      </c>
      <c r="BR20" s="8">
        <v>0.35914155575505935</v>
      </c>
      <c r="BS20" s="8">
        <v>0.20265653441695849</v>
      </c>
      <c r="BT20" s="8">
        <v>0.11312075058647124</v>
      </c>
      <c r="BU20" s="7">
        <v>5.2366455674498415E-2</v>
      </c>
      <c r="BV20" s="8">
        <v>7.779982317572412E-2</v>
      </c>
      <c r="BW20" s="7">
        <v>0</v>
      </c>
      <c r="BX20" s="8">
        <v>0</v>
      </c>
      <c r="BY20" s="7">
        <v>0</v>
      </c>
      <c r="BZ20" s="7">
        <v>0.80422045909426754</v>
      </c>
      <c r="CA20" s="7">
        <v>0.31604212054401293</v>
      </c>
      <c r="CB20" s="7">
        <v>0.13349205944609305</v>
      </c>
      <c r="CC20" s="7">
        <v>7.5095351456000464E-2</v>
      </c>
      <c r="CD20" s="8">
        <v>2.7774922098554596E-2</v>
      </c>
      <c r="CE20" s="7">
        <v>2.4082103995917901E-2</v>
      </c>
      <c r="CF20" s="8">
        <v>6.2271703082166903E-2</v>
      </c>
      <c r="CG20" s="7">
        <v>0.37484173968821211</v>
      </c>
      <c r="CH20" s="8">
        <v>0</v>
      </c>
      <c r="CI20" s="8">
        <v>0</v>
      </c>
      <c r="CJ20" s="7">
        <v>0.24476331184739414</v>
      </c>
      <c r="CK20" s="8">
        <v>0.15882674418231379</v>
      </c>
      <c r="CL20" s="7">
        <v>0.10621099458509137</v>
      </c>
      <c r="CM20" s="8">
        <v>9.0412713586703039E-2</v>
      </c>
      <c r="CN20" s="8">
        <v>1.9992245773027748E-2</v>
      </c>
      <c r="CO20" s="8">
        <v>1.0852798396679339E-2</v>
      </c>
      <c r="CP20" s="8">
        <v>3.5214464704452185E-2</v>
      </c>
      <c r="CQ20" s="8">
        <v>0.12412467932226862</v>
      </c>
      <c r="CR20" s="8">
        <v>0.66228671500760827</v>
      </c>
      <c r="CS20" s="8">
        <v>0</v>
      </c>
      <c r="CT20" s="8">
        <v>0.40606881091915981</v>
      </c>
      <c r="CU20" s="7">
        <v>0.1690354165032272</v>
      </c>
      <c r="CV20" s="7">
        <v>9.9394199023658106E-2</v>
      </c>
      <c r="CW20" s="8">
        <v>6.6025824991487791E-2</v>
      </c>
      <c r="CX20" s="7">
        <v>3.3732154828383987E-2</v>
      </c>
      <c r="CY20" s="7">
        <v>1.1045082361851742E-2</v>
      </c>
      <c r="CZ20" s="7">
        <v>1.8702948776986653E-2</v>
      </c>
      <c r="DA20" s="7">
        <v>0.11992355552493988</v>
      </c>
      <c r="DB20" s="8">
        <v>0.54327873968101115</v>
      </c>
      <c r="DC20" s="8">
        <v>0</v>
      </c>
      <c r="DD20" s="7">
        <v>0</v>
      </c>
      <c r="DE20" s="7">
        <v>0.40730220500048941</v>
      </c>
      <c r="DF20" s="8">
        <v>0.17973051807657528</v>
      </c>
      <c r="DG20" s="8">
        <v>0.14611199557071425</v>
      </c>
      <c r="DH20" s="7">
        <v>2.556471659803293E-2</v>
      </c>
      <c r="DI20" s="7">
        <v>3.2714727792153814E-2</v>
      </c>
      <c r="DJ20" s="7">
        <v>9.9881759125363762E-2</v>
      </c>
      <c r="DK20" s="7">
        <v>0.19025960699334254</v>
      </c>
      <c r="DL20" s="8">
        <v>0</v>
      </c>
      <c r="DM20" s="8">
        <v>0</v>
      </c>
      <c r="DN20" s="8">
        <v>0</v>
      </c>
      <c r="DO20" s="8">
        <v>0</v>
      </c>
      <c r="DP20" s="8">
        <v>0.35302941442137614</v>
      </c>
      <c r="DQ20" s="8">
        <v>0.20928691425475601</v>
      </c>
      <c r="DR20" s="8">
        <v>0.14877414636106909</v>
      </c>
      <c r="DS20" s="8">
        <v>8.9450728206201091E-2</v>
      </c>
      <c r="DT20" s="7">
        <v>0</v>
      </c>
      <c r="DU20" s="8">
        <v>0</v>
      </c>
      <c r="DV20" s="8">
        <v>0</v>
      </c>
      <c r="DX20" s="6" t="s">
        <v>170</v>
      </c>
      <c r="DY20" s="6" t="s">
        <v>153</v>
      </c>
      <c r="DZ20" s="7">
        <v>0</v>
      </c>
      <c r="EA20" s="8">
        <v>0</v>
      </c>
      <c r="EB20" s="8">
        <v>0</v>
      </c>
      <c r="EC20" s="8">
        <v>0</v>
      </c>
      <c r="ED20" s="7">
        <v>0</v>
      </c>
      <c r="EE20" s="8">
        <v>7.0153654408900354E-2</v>
      </c>
      <c r="EF20" s="7">
        <v>0.20424307705035458</v>
      </c>
      <c r="EG20" s="8">
        <v>0.51579127245014478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1.4769533216669264E-2</v>
      </c>
      <c r="EO20" s="7">
        <v>4.7447444866217228E-2</v>
      </c>
      <c r="EP20" s="7">
        <v>5.9281264927045677E-2</v>
      </c>
      <c r="EQ20" s="7">
        <v>7.4047913744170538E-2</v>
      </c>
      <c r="ER20" s="7">
        <v>8.0152291640402717E-2</v>
      </c>
      <c r="ES20" s="7">
        <v>0</v>
      </c>
      <c r="ET20" s="8">
        <v>0</v>
      </c>
      <c r="EU20" s="8">
        <v>0</v>
      </c>
      <c r="EV20" s="8">
        <v>0</v>
      </c>
      <c r="EW20" s="8">
        <v>0</v>
      </c>
      <c r="EX20" s="7">
        <v>1.0005248390834109E-2</v>
      </c>
      <c r="EY20" s="8">
        <v>7.2204454075715699E-2</v>
      </c>
      <c r="EZ20" s="8">
        <v>8.0716510613613568E-2</v>
      </c>
      <c r="FA20" s="8">
        <v>7.3722878783857887E-2</v>
      </c>
      <c r="FB20" s="8">
        <v>1.9860401041416734E-2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7">
        <v>8.5660117978803262E-3</v>
      </c>
      <c r="FI20" s="8">
        <v>4.023254389429988E-2</v>
      </c>
      <c r="FJ20" s="8">
        <v>7.9666769851255537E-2</v>
      </c>
      <c r="FK20" s="8">
        <v>8.8384129679525164E-2</v>
      </c>
      <c r="FL20" s="8">
        <v>5.9362626401343821E-2</v>
      </c>
      <c r="FM20" s="7">
        <v>0.13879118820917702</v>
      </c>
      <c r="FN20" s="8">
        <v>0</v>
      </c>
      <c r="FO20" s="8">
        <v>0</v>
      </c>
      <c r="FP20" s="7">
        <v>0</v>
      </c>
      <c r="FQ20" s="7">
        <v>0</v>
      </c>
      <c r="FR20" s="7">
        <v>0</v>
      </c>
      <c r="FS20" s="7">
        <v>0.11009420258887012</v>
      </c>
      <c r="FT20" s="8">
        <v>0.11967156200547546</v>
      </c>
      <c r="FU20" s="8">
        <v>0.19799611987899493</v>
      </c>
      <c r="FV20" s="7">
        <v>0.1217637932220037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4.7280928056445876E-2</v>
      </c>
      <c r="GD20" s="8">
        <v>0.18667125999650097</v>
      </c>
      <c r="GE20" s="8">
        <v>0.98367374361730719</v>
      </c>
      <c r="GF20" s="8">
        <v>0</v>
      </c>
      <c r="GG20" s="8">
        <v>0</v>
      </c>
      <c r="GI20" s="6" t="s">
        <v>170</v>
      </c>
      <c r="GJ20" s="6" t="s">
        <v>154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1.0753704759671415E-2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7">
        <v>0</v>
      </c>
      <c r="HB20" s="8">
        <v>2.2858395399738839E-2</v>
      </c>
      <c r="HC20" s="8">
        <v>6.6877082220325804E-2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7">
        <v>7.8799743262697904E-3</v>
      </c>
      <c r="HM20" s="8">
        <v>3.7870272573571721E-2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7">
        <v>1.7869371087451274E-2</v>
      </c>
      <c r="HW20" s="8">
        <v>6.4282881060396674E-2</v>
      </c>
      <c r="HX20" s="8">
        <v>8.2846498167699428E-2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1.2783961289277746E-2</v>
      </c>
      <c r="IG20" s="8">
        <v>0.49151616529094533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8">
        <v>0</v>
      </c>
      <c r="IO20" s="8">
        <v>0</v>
      </c>
      <c r="IP20" s="8">
        <v>0</v>
      </c>
      <c r="IQ20" s="8">
        <v>0</v>
      </c>
      <c r="IR20" s="8">
        <v>0</v>
      </c>
      <c r="JB20" s="6" t="s">
        <v>170</v>
      </c>
      <c r="JC20" s="8">
        <v>0</v>
      </c>
      <c r="JD20" s="8">
        <v>0</v>
      </c>
      <c r="JE20" s="7">
        <v>8.9512890850914907E-5</v>
      </c>
      <c r="JF20" s="8">
        <v>6.6343627995916435E-2</v>
      </c>
      <c r="JG20" s="8">
        <v>0.2082173442404785</v>
      </c>
      <c r="JH20" s="8">
        <v>0.24548184749374102</v>
      </c>
      <c r="JI20" s="8">
        <v>0.14967339183312914</v>
      </c>
      <c r="JJ20" s="8">
        <v>2.2641199451409307E-2</v>
      </c>
      <c r="JK20" s="8">
        <v>0</v>
      </c>
      <c r="JL20" s="8">
        <v>0</v>
      </c>
      <c r="JM20" s="8">
        <v>0</v>
      </c>
      <c r="JN20" s="7">
        <v>5.6291996789922176E-4</v>
      </c>
      <c r="JO20" s="8">
        <v>6.1585572697509715E-2</v>
      </c>
      <c r="JP20" s="8">
        <v>0.28053814999222521</v>
      </c>
      <c r="JQ20" s="8">
        <v>0.43704612294170403</v>
      </c>
      <c r="JR20" s="8">
        <v>0.44841608969816704</v>
      </c>
      <c r="JS20" s="8">
        <v>0.33915375046381985</v>
      </c>
      <c r="JT20" s="8">
        <v>0.14602606495293569</v>
      </c>
      <c r="JU20" s="8">
        <v>5.4318129385441151E-3</v>
      </c>
      <c r="JV20" s="8">
        <v>0</v>
      </c>
      <c r="JW20" s="7">
        <v>0</v>
      </c>
      <c r="JX20" s="8">
        <v>1.5005943137885353E-2</v>
      </c>
      <c r="JY20" s="8">
        <v>0.12903559288961813</v>
      </c>
      <c r="JZ20" s="8">
        <v>0.3071931648202238</v>
      </c>
      <c r="KA20" s="8">
        <v>0.42070979249149376</v>
      </c>
      <c r="KB20" s="8">
        <v>0.43236756470106241</v>
      </c>
      <c r="KC20" s="8">
        <v>0.35167260991271937</v>
      </c>
      <c r="KD20" s="8">
        <v>0.19279833250048017</v>
      </c>
      <c r="KE20" s="8">
        <v>3.8530635695241511E-2</v>
      </c>
      <c r="KF20" s="7">
        <v>6.990211313848073E-4</v>
      </c>
      <c r="KG20" s="7">
        <v>0</v>
      </c>
      <c r="KH20" s="8">
        <v>7.3878089861143794E-3</v>
      </c>
      <c r="KI20" s="8">
        <v>9.3872487074609018E-2</v>
      </c>
      <c r="KJ20" s="8">
        <v>0.26685952208791586</v>
      </c>
      <c r="KK20" s="8">
        <v>0.40664303701433069</v>
      </c>
      <c r="KL20" s="8">
        <v>0.44440173985036585</v>
      </c>
      <c r="KM20" s="8">
        <v>0.35992749354413045</v>
      </c>
      <c r="KN20" s="8">
        <v>0.19145420927518192</v>
      </c>
      <c r="KO20" s="8">
        <v>3.1115386661079589E-2</v>
      </c>
      <c r="KP20" s="7">
        <v>3.0393142010049504E-4</v>
      </c>
      <c r="KQ20" s="8">
        <v>0</v>
      </c>
      <c r="KR20" s="7">
        <v>0</v>
      </c>
      <c r="KS20" s="8">
        <v>2.6437206341587069E-2</v>
      </c>
      <c r="KT20" s="8">
        <v>0.16578943855047476</v>
      </c>
      <c r="KU20" s="8">
        <v>0.28178637282439573</v>
      </c>
      <c r="KV20" s="8">
        <v>0.28806239328581557</v>
      </c>
      <c r="KW20" s="8">
        <v>0.20020216306173227</v>
      </c>
      <c r="KX20" s="8">
        <v>5.5423866570535142E-2</v>
      </c>
      <c r="KY20" s="7">
        <v>2.920135775121164E-4</v>
      </c>
      <c r="KZ20" s="8">
        <v>0</v>
      </c>
      <c r="LA20" s="8">
        <v>0</v>
      </c>
      <c r="LB20" s="8">
        <v>0</v>
      </c>
      <c r="LC20" s="7">
        <v>0</v>
      </c>
      <c r="LD20" s="8">
        <v>4.7729117137620944E-2</v>
      </c>
      <c r="LE20" s="8">
        <v>0.14612025265033776</v>
      </c>
      <c r="LF20" s="8">
        <v>0.15964141451096295</v>
      </c>
      <c r="LG20" s="8">
        <v>6.6718089121697702E-2</v>
      </c>
      <c r="LH20" s="7">
        <v>3.8102989239010992E-6</v>
      </c>
      <c r="LI20" s="8">
        <v>0</v>
      </c>
      <c r="LJ20" s="8">
        <v>0</v>
      </c>
      <c r="LL20" s="6" t="s">
        <v>170</v>
      </c>
      <c r="LM20" s="6" t="s">
        <v>160</v>
      </c>
      <c r="LN20" s="6" t="s">
        <v>161</v>
      </c>
      <c r="LO20" s="8">
        <v>0.39869947230973124</v>
      </c>
    </row>
    <row r="21" spans="2:327" x14ac:dyDescent="0.45">
      <c r="B21" s="3" t="s">
        <v>171</v>
      </c>
      <c r="C21" s="3" t="s">
        <v>151</v>
      </c>
      <c r="D21" s="5">
        <v>0</v>
      </c>
      <c r="E21" s="5">
        <v>0</v>
      </c>
      <c r="F21" s="5">
        <v>0.88720728518360303</v>
      </c>
      <c r="G21" s="5">
        <v>0.37837112488695723</v>
      </c>
      <c r="H21" s="5">
        <v>0.29635526405583223</v>
      </c>
      <c r="I21" s="5">
        <v>0.30092604143827212</v>
      </c>
      <c r="J21" s="5">
        <v>0.36975190264821556</v>
      </c>
      <c r="K21" s="5">
        <v>0.76766171140660344</v>
      </c>
      <c r="L21" s="5">
        <v>0</v>
      </c>
      <c r="M21" s="5">
        <v>0</v>
      </c>
      <c r="N21" s="5">
        <v>0</v>
      </c>
      <c r="O21" s="5">
        <v>0.86363252156091896</v>
      </c>
      <c r="P21" s="5">
        <v>0.41244087801688328</v>
      </c>
      <c r="Q21" s="5">
        <v>0.2255157525642385</v>
      </c>
      <c r="R21" s="5">
        <v>0.18450213016189354</v>
      </c>
      <c r="S21" s="5">
        <v>0.18551809078824733</v>
      </c>
      <c r="T21" s="5">
        <v>0.20688175367957218</v>
      </c>
      <c r="U21" s="5">
        <v>0.30573769785620952</v>
      </c>
      <c r="V21" s="5">
        <v>0.79570629416636374</v>
      </c>
      <c r="W21" s="5">
        <v>0</v>
      </c>
      <c r="X21" s="5">
        <v>0</v>
      </c>
      <c r="Y21" s="5">
        <v>0.40890563089664606</v>
      </c>
      <c r="Z21" s="5">
        <v>0.23017506100067181</v>
      </c>
      <c r="AA21" s="5">
        <v>0.18543592073128001</v>
      </c>
      <c r="AB21" s="5">
        <v>0.18288979368667321</v>
      </c>
      <c r="AC21" s="5">
        <v>0.19280559362186392</v>
      </c>
      <c r="AD21" s="5">
        <v>0.20046237224699717</v>
      </c>
      <c r="AE21" s="5">
        <v>0.21271540464815558</v>
      </c>
      <c r="AF21" s="5">
        <v>0.37569741670582607</v>
      </c>
      <c r="AG21" s="5">
        <v>0</v>
      </c>
      <c r="AH21" s="5">
        <v>0</v>
      </c>
      <c r="AI21" s="5">
        <v>0.51791460052775451</v>
      </c>
      <c r="AJ21" s="5">
        <v>0.24281623873972705</v>
      </c>
      <c r="AK21" s="5">
        <v>0.1502051100148642</v>
      </c>
      <c r="AL21" s="5">
        <v>0.1284578437196337</v>
      </c>
      <c r="AM21" s="5">
        <v>0.1368806031514031</v>
      </c>
      <c r="AN21" s="5">
        <v>0.14947642856537449</v>
      </c>
      <c r="AO21" s="5">
        <v>0.21011351692163346</v>
      </c>
      <c r="AP21" s="5">
        <v>0.42709164054973831</v>
      </c>
      <c r="AQ21" s="5">
        <v>0</v>
      </c>
      <c r="AR21" s="5">
        <v>0</v>
      </c>
      <c r="AS21" s="5">
        <v>0.97540983606557397</v>
      </c>
      <c r="AT21" s="5">
        <v>0.44130882608395522</v>
      </c>
      <c r="AU21" s="5">
        <v>0.27316230425635651</v>
      </c>
      <c r="AV21" s="5">
        <v>0.23557706814888116</v>
      </c>
      <c r="AW21" s="5">
        <v>0.24065404017488448</v>
      </c>
      <c r="AX21" s="5">
        <v>0.26820877699124607</v>
      </c>
      <c r="AY21" s="5">
        <v>0.49073806454811458</v>
      </c>
      <c r="AZ21" s="5">
        <v>0.96697369350553986</v>
      </c>
      <c r="BA21" s="5">
        <v>0</v>
      </c>
      <c r="BB21" s="5">
        <v>0</v>
      </c>
      <c r="BC21" s="5">
        <v>0</v>
      </c>
      <c r="BD21" s="5">
        <v>0.91628521822508946</v>
      </c>
      <c r="BE21" s="5">
        <v>0.37186132577306841</v>
      </c>
      <c r="BF21" s="5">
        <v>0.30515400324697778</v>
      </c>
      <c r="BG21" s="5">
        <v>0.29778670091219261</v>
      </c>
      <c r="BH21" s="5">
        <v>0.35965067225266667</v>
      </c>
      <c r="BI21" s="5">
        <v>0</v>
      </c>
      <c r="BJ21" s="5">
        <v>0</v>
      </c>
      <c r="BK21" s="5">
        <v>0</v>
      </c>
      <c r="BM21" s="3" t="s">
        <v>171</v>
      </c>
      <c r="BN21" s="3" t="s">
        <v>152</v>
      </c>
      <c r="BO21" s="5">
        <v>0</v>
      </c>
      <c r="BP21" s="5">
        <v>0</v>
      </c>
      <c r="BQ21" s="4">
        <v>0.79698281550391492</v>
      </c>
      <c r="BR21" s="5">
        <v>0.26023955987477015</v>
      </c>
      <c r="BS21" s="5">
        <v>0.17980114585328044</v>
      </c>
      <c r="BT21" s="5">
        <v>0.14917333631204249</v>
      </c>
      <c r="BU21" s="4">
        <v>7.7575150622796699E-2</v>
      </c>
      <c r="BV21" s="5">
        <v>0.20500941123663469</v>
      </c>
      <c r="BW21" s="4">
        <v>0</v>
      </c>
      <c r="BX21" s="5">
        <v>0</v>
      </c>
      <c r="BY21" s="4">
        <v>0</v>
      </c>
      <c r="BZ21" s="4">
        <v>0.75597836359133597</v>
      </c>
      <c r="CA21" s="4">
        <v>0.27664188485784003</v>
      </c>
      <c r="CB21" s="4">
        <v>0.12162655535166403</v>
      </c>
      <c r="CC21" s="4">
        <v>8.6380946972748174E-2</v>
      </c>
      <c r="CD21" s="5">
        <v>4.3247008295005517E-2</v>
      </c>
      <c r="CE21" s="4">
        <v>2.1480877058894378E-2</v>
      </c>
      <c r="CF21" s="5">
        <v>7.6041597744710504E-2</v>
      </c>
      <c r="CG21" s="4">
        <v>0.28464391032453362</v>
      </c>
      <c r="CH21" s="5">
        <v>0</v>
      </c>
      <c r="CI21" s="5">
        <v>0</v>
      </c>
      <c r="CJ21" s="4">
        <v>0.24534498754220621</v>
      </c>
      <c r="CK21" s="5">
        <v>0.15667209386219763</v>
      </c>
      <c r="CL21" s="4">
        <v>0.10819550909674266</v>
      </c>
      <c r="CM21" s="5">
        <v>9.6446028460948602E-2</v>
      </c>
      <c r="CN21" s="5">
        <v>1.8978349998477344E-2</v>
      </c>
      <c r="CO21" s="5">
        <v>1.8906166804979894E-2</v>
      </c>
      <c r="CP21" s="5">
        <v>3.0448152147619603E-2</v>
      </c>
      <c r="CQ21" s="5">
        <v>0.18436819191040893</v>
      </c>
      <c r="CR21" s="5">
        <v>0</v>
      </c>
      <c r="CS21" s="5">
        <v>0</v>
      </c>
      <c r="CT21" s="5">
        <v>0.35148820510383072</v>
      </c>
      <c r="CU21" s="4">
        <v>0.15764856359770515</v>
      </c>
      <c r="CV21" s="4">
        <v>7.6714635394045938E-2</v>
      </c>
      <c r="CW21" s="5">
        <v>6.4779942989834791E-2</v>
      </c>
      <c r="CX21" s="4">
        <v>3.7870286552682146E-2</v>
      </c>
      <c r="CY21" s="4">
        <v>2.1638080587231961E-2</v>
      </c>
      <c r="CZ21" s="4">
        <v>5.3723820701551857E-2</v>
      </c>
      <c r="DA21" s="4">
        <v>0.25885390527025776</v>
      </c>
      <c r="DB21" s="5">
        <v>0</v>
      </c>
      <c r="DC21" s="5">
        <v>0</v>
      </c>
      <c r="DD21" s="4">
        <v>0.95142434829346956</v>
      </c>
      <c r="DE21" s="4">
        <v>0.30906231407320617</v>
      </c>
      <c r="DF21" s="5">
        <v>0.16358982299759808</v>
      </c>
      <c r="DG21" s="5">
        <v>0.11558625200458184</v>
      </c>
      <c r="DH21" s="4">
        <v>3.8572281469630022E-2</v>
      </c>
      <c r="DI21" s="4">
        <v>4.8497215688570204E-2</v>
      </c>
      <c r="DJ21" s="4">
        <v>0.14943312155000532</v>
      </c>
      <c r="DK21" s="4">
        <v>0.14149387953500411</v>
      </c>
      <c r="DL21" s="5">
        <v>0</v>
      </c>
      <c r="DM21" s="5">
        <v>0</v>
      </c>
      <c r="DN21" s="5">
        <v>0</v>
      </c>
      <c r="DO21" s="5">
        <v>0.84439280365727598</v>
      </c>
      <c r="DP21" s="5">
        <v>0.25592096943583226</v>
      </c>
      <c r="DQ21" s="5">
        <v>0.1774932524453158</v>
      </c>
      <c r="DR21" s="5">
        <v>0.11829164855763905</v>
      </c>
      <c r="DS21" s="5">
        <v>7.9070528405353446E-2</v>
      </c>
      <c r="DT21" s="4">
        <v>0</v>
      </c>
      <c r="DU21" s="5">
        <v>0</v>
      </c>
      <c r="DV21" s="5">
        <v>0</v>
      </c>
      <c r="DX21" s="3" t="s">
        <v>171</v>
      </c>
      <c r="DY21" s="3" t="s">
        <v>153</v>
      </c>
      <c r="DZ21" s="4">
        <v>0</v>
      </c>
      <c r="EA21" s="5">
        <v>0</v>
      </c>
      <c r="EB21" s="5">
        <v>0</v>
      </c>
      <c r="EC21" s="5">
        <v>0</v>
      </c>
      <c r="ED21" s="4">
        <v>0</v>
      </c>
      <c r="EE21" s="5">
        <v>3.4399902585248332E-2</v>
      </c>
      <c r="EF21" s="4">
        <v>0.1659647033219927</v>
      </c>
      <c r="EG21" s="5">
        <v>0.42676010771715289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2.43935303086792E-2</v>
      </c>
      <c r="EO21" s="4">
        <v>7.4437681827027299E-2</v>
      </c>
      <c r="EP21" s="4">
        <v>0.10200901485984482</v>
      </c>
      <c r="EQ21" s="4">
        <v>8.9815449906563927E-2</v>
      </c>
      <c r="ER21" s="4">
        <v>0.1211572090915362</v>
      </c>
      <c r="ES21" s="4">
        <v>0</v>
      </c>
      <c r="ET21" s="5">
        <v>0</v>
      </c>
      <c r="EU21" s="5">
        <v>0</v>
      </c>
      <c r="EV21" s="5">
        <v>0</v>
      </c>
      <c r="EW21" s="5">
        <v>0</v>
      </c>
      <c r="EX21" s="4">
        <v>1.0286958023075251E-2</v>
      </c>
      <c r="EY21" s="5">
        <v>8.7786672607357216E-2</v>
      </c>
      <c r="EZ21" s="5">
        <v>9.073916807177039E-2</v>
      </c>
      <c r="FA21" s="5">
        <v>8.9677161146159604E-2</v>
      </c>
      <c r="FB21" s="5">
        <v>2.8576761685047261E-2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4">
        <v>0</v>
      </c>
      <c r="FI21" s="5">
        <v>3.3840382562969194E-2</v>
      </c>
      <c r="FJ21" s="5">
        <v>6.1428932940132241E-2</v>
      </c>
      <c r="FK21" s="5">
        <v>8.051609262493753E-2</v>
      </c>
      <c r="FL21" s="5">
        <v>1.9148286125555018E-2</v>
      </c>
      <c r="FM21" s="4">
        <v>0</v>
      </c>
      <c r="FN21" s="5">
        <v>0</v>
      </c>
      <c r="FO21" s="5">
        <v>0</v>
      </c>
      <c r="FP21" s="4">
        <v>0</v>
      </c>
      <c r="FQ21" s="4">
        <v>0</v>
      </c>
      <c r="FR21" s="4">
        <v>1.3789279499307475E-2</v>
      </c>
      <c r="FS21" s="4">
        <v>9.8749128459144811E-2</v>
      </c>
      <c r="FT21" s="5">
        <v>0.11855078363980749</v>
      </c>
      <c r="FU21" s="5">
        <v>0.15415797450225288</v>
      </c>
      <c r="FV21" s="4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4.9768434469362362E-2</v>
      </c>
      <c r="GD21" s="5">
        <v>0.15143260386836019</v>
      </c>
      <c r="GE21" s="5">
        <v>0</v>
      </c>
      <c r="GF21" s="5">
        <v>0</v>
      </c>
      <c r="GG21" s="5">
        <v>0</v>
      </c>
      <c r="GI21" s="3" t="s">
        <v>171</v>
      </c>
      <c r="GJ21" s="3" t="s">
        <v>154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4">
        <v>8.7525120965751906E-4</v>
      </c>
      <c r="HB21" s="5">
        <v>4.0326438641954211E-2</v>
      </c>
      <c r="HC21" s="5">
        <v>0.24863147339767258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4">
        <v>2.0399891200125385E-2</v>
      </c>
      <c r="HM21" s="5">
        <v>2.0112509743689715E-2</v>
      </c>
      <c r="HN21" s="5">
        <v>0</v>
      </c>
      <c r="HO21" s="5">
        <v>0</v>
      </c>
      <c r="HP21" s="5">
        <v>0</v>
      </c>
      <c r="HQ21" s="5">
        <v>0</v>
      </c>
      <c r="HR21" s="5">
        <v>0</v>
      </c>
      <c r="HS21" s="5">
        <v>0</v>
      </c>
      <c r="HT21" s="5">
        <v>0</v>
      </c>
      <c r="HU21" s="5">
        <v>0</v>
      </c>
      <c r="HV21" s="4">
        <v>0</v>
      </c>
      <c r="HW21" s="5">
        <v>6.8844012601951806E-3</v>
      </c>
      <c r="HX21" s="5">
        <v>0</v>
      </c>
      <c r="HY21" s="5">
        <v>0</v>
      </c>
      <c r="HZ21" s="5">
        <v>0</v>
      </c>
      <c r="IA21" s="5">
        <v>0</v>
      </c>
      <c r="IB21" s="5">
        <v>0</v>
      </c>
      <c r="IC21" s="5">
        <v>0</v>
      </c>
      <c r="ID21" s="5">
        <v>0</v>
      </c>
      <c r="IE21" s="5">
        <v>0</v>
      </c>
      <c r="IF21" s="5">
        <v>3.9381856989203427E-2</v>
      </c>
      <c r="IG21" s="5">
        <v>0.79377575844576342</v>
      </c>
      <c r="IH21" s="5">
        <v>0</v>
      </c>
      <c r="II21" s="5">
        <v>0</v>
      </c>
      <c r="IJ21" s="5">
        <v>0</v>
      </c>
      <c r="IK21" s="5">
        <v>0</v>
      </c>
      <c r="IL21" s="5">
        <v>0</v>
      </c>
      <c r="IM21" s="5">
        <v>0</v>
      </c>
      <c r="IN21" s="5">
        <v>0</v>
      </c>
      <c r="IO21" s="5">
        <v>0</v>
      </c>
      <c r="IP21" s="5">
        <v>0</v>
      </c>
      <c r="IQ21" s="5">
        <v>0</v>
      </c>
      <c r="IR21" s="5">
        <v>0</v>
      </c>
      <c r="JB21" s="3" t="s">
        <v>171</v>
      </c>
      <c r="JC21" s="5">
        <v>0</v>
      </c>
      <c r="JD21" s="5">
        <v>0</v>
      </c>
      <c r="JE21" s="4">
        <v>4.2716605159282125E-3</v>
      </c>
      <c r="JF21" s="5">
        <v>0.11791433753798421</v>
      </c>
      <c r="JG21" s="5">
        <v>0.24645072531077722</v>
      </c>
      <c r="JH21" s="5">
        <v>0.25128646629891677</v>
      </c>
      <c r="JI21" s="5">
        <v>0.14083343712012836</v>
      </c>
      <c r="JJ21" s="5">
        <v>1.6387694307659465E-2</v>
      </c>
      <c r="JK21" s="5">
        <v>0</v>
      </c>
      <c r="JL21" s="5">
        <v>0</v>
      </c>
      <c r="JM21" s="5">
        <v>0</v>
      </c>
      <c r="JN21" s="4">
        <v>1.2168002866023463E-3</v>
      </c>
      <c r="JO21" s="5">
        <v>9.3354231017829664E-2</v>
      </c>
      <c r="JP21" s="5">
        <v>0.31127218869429263</v>
      </c>
      <c r="JQ21" s="5">
        <v>0.42015566846119062</v>
      </c>
      <c r="JR21" s="5">
        <v>0.39970857738946103</v>
      </c>
      <c r="JS21" s="5">
        <v>0.27866299293834801</v>
      </c>
      <c r="JT21" s="5">
        <v>9.8717899467925668E-2</v>
      </c>
      <c r="JU21" s="5">
        <v>1.6114244713735099E-3</v>
      </c>
      <c r="JV21" s="5">
        <v>0</v>
      </c>
      <c r="JW21" s="4">
        <v>0</v>
      </c>
      <c r="JX21" s="5">
        <v>1.7381183890218015E-2</v>
      </c>
      <c r="JY21" s="5">
        <v>0.16342170825554983</v>
      </c>
      <c r="JZ21" s="5">
        <v>0.36165418495142826</v>
      </c>
      <c r="KA21" s="5">
        <v>0.45498259546144426</v>
      </c>
      <c r="KB21" s="5">
        <v>0.45125129097158312</v>
      </c>
      <c r="KC21" s="5">
        <v>0.3444868803821568</v>
      </c>
      <c r="KD21" s="5">
        <v>0.16360751941572374</v>
      </c>
      <c r="KE21" s="5">
        <v>1.9066124854077472E-2</v>
      </c>
      <c r="KF21" s="4">
        <v>0</v>
      </c>
      <c r="KG21" s="4">
        <v>0</v>
      </c>
      <c r="KH21" s="5">
        <v>1.0326501789174349E-2</v>
      </c>
      <c r="KI21" s="5">
        <v>0.14741057107695277</v>
      </c>
      <c r="KJ21" s="5">
        <v>0.3893901632331499</v>
      </c>
      <c r="KK21" s="5">
        <v>0.52375847073830817</v>
      </c>
      <c r="KL21" s="5">
        <v>0.50516790983902238</v>
      </c>
      <c r="KM21" s="5">
        <v>0.38495094469299695</v>
      </c>
      <c r="KN21" s="5">
        <v>0.17866791408656107</v>
      </c>
      <c r="KO21" s="5">
        <v>1.4588799773972009E-2</v>
      </c>
      <c r="KP21" s="4">
        <v>0</v>
      </c>
      <c r="KQ21" s="5">
        <v>0</v>
      </c>
      <c r="KR21" s="4">
        <v>3.695206259163366E-5</v>
      </c>
      <c r="KS21" s="5">
        <v>5.6802177228673006E-2</v>
      </c>
      <c r="KT21" s="5">
        <v>0.23901269446048568</v>
      </c>
      <c r="KU21" s="5">
        <v>0.35029086592392894</v>
      </c>
      <c r="KV21" s="5">
        <v>0.31175910438216425</v>
      </c>
      <c r="KW21" s="5">
        <v>0.20124937367704859</v>
      </c>
      <c r="KX21" s="5">
        <v>4.6981928048552793E-2</v>
      </c>
      <c r="KY21" s="4">
        <v>6.5517224936071847E-5</v>
      </c>
      <c r="KZ21" s="5">
        <v>0</v>
      </c>
      <c r="LA21" s="5">
        <v>0</v>
      </c>
      <c r="LB21" s="5">
        <v>0</v>
      </c>
      <c r="LC21" s="4">
        <v>3.1006822918503074E-3</v>
      </c>
      <c r="LD21" s="5">
        <v>0.12258595473442963</v>
      </c>
      <c r="LE21" s="5">
        <v>0.25352745905144336</v>
      </c>
      <c r="LF21" s="5">
        <v>0.24742164460720237</v>
      </c>
      <c r="LG21" s="5">
        <v>0.11030356015034057</v>
      </c>
      <c r="LH21" s="4">
        <v>0</v>
      </c>
      <c r="LI21" s="5">
        <v>0</v>
      </c>
      <c r="LJ21" s="5">
        <v>0</v>
      </c>
      <c r="LL21" s="3" t="s">
        <v>171</v>
      </c>
      <c r="LM21" s="3" t="s">
        <v>160</v>
      </c>
      <c r="LN21" s="3" t="s">
        <v>161</v>
      </c>
      <c r="LO21" s="5">
        <v>0.48869349520863758</v>
      </c>
    </row>
    <row r="22" spans="2:327" x14ac:dyDescent="0.45">
      <c r="B22" s="6" t="s">
        <v>172</v>
      </c>
      <c r="C22" s="6" t="s">
        <v>151</v>
      </c>
      <c r="D22" s="8">
        <v>0</v>
      </c>
      <c r="E22" s="8">
        <v>0</v>
      </c>
      <c r="F22" s="8">
        <v>0.91303247892423078</v>
      </c>
      <c r="G22" s="8">
        <v>0.39497542580610534</v>
      </c>
      <c r="H22" s="8">
        <v>0.26886914565214759</v>
      </c>
      <c r="I22" s="8">
        <v>0.27278852261282327</v>
      </c>
      <c r="J22" s="8">
        <v>0.33066926169497762</v>
      </c>
      <c r="K22" s="8">
        <v>0.6673937178622581</v>
      </c>
      <c r="L22" s="8">
        <v>0</v>
      </c>
      <c r="M22" s="8">
        <v>0</v>
      </c>
      <c r="N22" s="8">
        <v>0</v>
      </c>
      <c r="O22" s="8">
        <v>0.8917774395717174</v>
      </c>
      <c r="P22" s="8">
        <v>0.42718960010400908</v>
      </c>
      <c r="Q22" s="8">
        <v>0.21403768145295451</v>
      </c>
      <c r="R22" s="8">
        <v>0.17274006379869863</v>
      </c>
      <c r="S22" s="8">
        <v>0.17352819251255266</v>
      </c>
      <c r="T22" s="8">
        <v>0.19596671004542301</v>
      </c>
      <c r="U22" s="8">
        <v>0.27569542603264835</v>
      </c>
      <c r="V22" s="8">
        <v>0.7286352021156447</v>
      </c>
      <c r="W22" s="8">
        <v>0</v>
      </c>
      <c r="X22" s="8">
        <v>0</v>
      </c>
      <c r="Y22" s="8">
        <v>0.4656515036122475</v>
      </c>
      <c r="Z22" s="8">
        <v>0.23487614733509932</v>
      </c>
      <c r="AA22" s="8">
        <v>0.16062662834934974</v>
      </c>
      <c r="AB22" s="8">
        <v>0.14105564299448947</v>
      </c>
      <c r="AC22" s="8">
        <v>0.13331141930352586</v>
      </c>
      <c r="AD22" s="8">
        <v>0.13465518907464785</v>
      </c>
      <c r="AE22" s="8">
        <v>0.19096036483058176</v>
      </c>
      <c r="AF22" s="8">
        <v>0.32120143270498019</v>
      </c>
      <c r="AG22" s="8">
        <v>0.97267759562841549</v>
      </c>
      <c r="AH22" s="8">
        <v>0</v>
      </c>
      <c r="AI22" s="8">
        <v>0.63059306875715782</v>
      </c>
      <c r="AJ22" s="8">
        <v>0.27167398684929894</v>
      </c>
      <c r="AK22" s="8">
        <v>0.14330940721072374</v>
      </c>
      <c r="AL22" s="8">
        <v>0.12168288429799462</v>
      </c>
      <c r="AM22" s="8">
        <v>0.11003499834869375</v>
      </c>
      <c r="AN22" s="8">
        <v>0.12175703349785884</v>
      </c>
      <c r="AO22" s="8">
        <v>0.17849427328350934</v>
      </c>
      <c r="AP22" s="8">
        <v>0.39996437635076348</v>
      </c>
      <c r="AQ22" s="8">
        <v>0</v>
      </c>
      <c r="AR22" s="8">
        <v>0</v>
      </c>
      <c r="AS22" s="8">
        <v>0</v>
      </c>
      <c r="AT22" s="8">
        <v>0.46740896943430427</v>
      </c>
      <c r="AU22" s="8">
        <v>0.23860145988684728</v>
      </c>
      <c r="AV22" s="8">
        <v>0.19869593989828691</v>
      </c>
      <c r="AW22" s="8">
        <v>0.19577139149117009</v>
      </c>
      <c r="AX22" s="8">
        <v>0.23808340120253868</v>
      </c>
      <c r="AY22" s="8">
        <v>0.43434833412949087</v>
      </c>
      <c r="AZ22" s="8">
        <v>0.91792280815884364</v>
      </c>
      <c r="BA22" s="8">
        <v>0</v>
      </c>
      <c r="BB22" s="8">
        <v>0</v>
      </c>
      <c r="BC22" s="8">
        <v>0</v>
      </c>
      <c r="BD22" s="8">
        <v>0.96303053504561265</v>
      </c>
      <c r="BE22" s="8">
        <v>0.38945121255631904</v>
      </c>
      <c r="BF22" s="8">
        <v>0.23865067277974994</v>
      </c>
      <c r="BG22" s="8">
        <v>0.23189563022972659</v>
      </c>
      <c r="BH22" s="8">
        <v>0.33253796676935388</v>
      </c>
      <c r="BI22" s="8">
        <v>0.94376182856244173</v>
      </c>
      <c r="BJ22" s="8">
        <v>0</v>
      </c>
      <c r="BK22" s="8">
        <v>0</v>
      </c>
      <c r="BM22" s="6" t="s">
        <v>172</v>
      </c>
      <c r="BN22" s="6" t="s">
        <v>152</v>
      </c>
      <c r="BO22" s="8">
        <v>0</v>
      </c>
      <c r="BP22" s="8">
        <v>0</v>
      </c>
      <c r="BQ22" s="7">
        <v>0.83565684511709237</v>
      </c>
      <c r="BR22" s="8">
        <v>0.26439224101277903</v>
      </c>
      <c r="BS22" s="8">
        <v>0.15380402095363652</v>
      </c>
      <c r="BT22" s="8">
        <v>0.12546123333143219</v>
      </c>
      <c r="BU22" s="7">
        <v>4.0955433313421219E-2</v>
      </c>
      <c r="BV22" s="8">
        <v>0.10813358585553247</v>
      </c>
      <c r="BW22" s="7">
        <v>0</v>
      </c>
      <c r="BX22" s="8">
        <v>0</v>
      </c>
      <c r="BY22" s="7">
        <v>0</v>
      </c>
      <c r="BZ22" s="7">
        <v>0.79675197469932135</v>
      </c>
      <c r="CA22" s="7">
        <v>0.2925289467109029</v>
      </c>
      <c r="CB22" s="7">
        <v>0.12128064260112241</v>
      </c>
      <c r="CC22" s="7">
        <v>8.2753432318350792E-2</v>
      </c>
      <c r="CD22" s="8">
        <v>3.1996882566501288E-2</v>
      </c>
      <c r="CE22" s="7">
        <v>1.8716089090059691E-2</v>
      </c>
      <c r="CF22" s="8">
        <v>2.4906637921417459E-2</v>
      </c>
      <c r="CG22" s="7">
        <v>0.27767417062056937</v>
      </c>
      <c r="CH22" s="8">
        <v>0</v>
      </c>
      <c r="CI22" s="8">
        <v>0</v>
      </c>
      <c r="CJ22" s="7">
        <v>0.27468769915770402</v>
      </c>
      <c r="CK22" s="8">
        <v>0.15019002633950665</v>
      </c>
      <c r="CL22" s="7">
        <v>8.6600118823379091E-2</v>
      </c>
      <c r="CM22" s="8">
        <v>7.6631762461994546E-2</v>
      </c>
      <c r="CN22" s="8">
        <v>1.9702685302667163E-2</v>
      </c>
      <c r="CO22" s="8">
        <v>1.1643880782696058E-2</v>
      </c>
      <c r="CP22" s="8">
        <v>3.6544243252990639E-2</v>
      </c>
      <c r="CQ22" s="8">
        <v>0.19392997485901997</v>
      </c>
      <c r="CR22" s="8">
        <v>0.94610170503747504</v>
      </c>
      <c r="CS22" s="8">
        <v>0</v>
      </c>
      <c r="CT22" s="8">
        <v>0.45655746800909225</v>
      </c>
      <c r="CU22" s="7">
        <v>0.1694637766863521</v>
      </c>
      <c r="CV22" s="7">
        <v>7.6553630425695796E-2</v>
      </c>
      <c r="CW22" s="8">
        <v>5.8381789744701415E-2</v>
      </c>
      <c r="CX22" s="7">
        <v>2.3568388444924156E-2</v>
      </c>
      <c r="CY22" s="7">
        <v>1.6628481797893883E-2</v>
      </c>
      <c r="CZ22" s="7">
        <v>3.6544463324220879E-2</v>
      </c>
      <c r="DA22" s="7">
        <v>0.23595916560347879</v>
      </c>
      <c r="DB22" s="8">
        <v>0</v>
      </c>
      <c r="DC22" s="8">
        <v>0</v>
      </c>
      <c r="DD22" s="7">
        <v>0</v>
      </c>
      <c r="DE22" s="7">
        <v>0.32221927074757506</v>
      </c>
      <c r="DF22" s="8">
        <v>0.14709558473706319</v>
      </c>
      <c r="DG22" s="8">
        <v>0.10625621282573887</v>
      </c>
      <c r="DH22" s="7">
        <v>5.0006339620755888E-2</v>
      </c>
      <c r="DI22" s="7">
        <v>4.4773000381235009E-2</v>
      </c>
      <c r="DJ22" s="7">
        <v>7.3977337826825224E-2</v>
      </c>
      <c r="DK22" s="7">
        <v>1.2356038932380735E-2</v>
      </c>
      <c r="DL22" s="8">
        <v>0</v>
      </c>
      <c r="DM22" s="8">
        <v>0</v>
      </c>
      <c r="DN22" s="8">
        <v>0</v>
      </c>
      <c r="DO22" s="8">
        <v>0.93145576340477299</v>
      </c>
      <c r="DP22" s="8">
        <v>0.24460863910895417</v>
      </c>
      <c r="DQ22" s="8">
        <v>0.12983258337956982</v>
      </c>
      <c r="DR22" s="8">
        <v>0.10486062092105589</v>
      </c>
      <c r="DS22" s="8">
        <v>9.228893055509485E-2</v>
      </c>
      <c r="DT22" s="7">
        <v>9.9922559375702741E-2</v>
      </c>
      <c r="DU22" s="8">
        <v>0</v>
      </c>
      <c r="DV22" s="8">
        <v>0</v>
      </c>
      <c r="DX22" s="6" t="s">
        <v>172</v>
      </c>
      <c r="DY22" s="6" t="s">
        <v>153</v>
      </c>
      <c r="DZ22" s="7">
        <v>0</v>
      </c>
      <c r="EA22" s="8">
        <v>0</v>
      </c>
      <c r="EB22" s="8">
        <v>0</v>
      </c>
      <c r="EC22" s="8">
        <v>0</v>
      </c>
      <c r="ED22" s="7">
        <v>0</v>
      </c>
      <c r="EE22" s="8">
        <v>3.9099680968953145E-2</v>
      </c>
      <c r="EF22" s="7">
        <v>0.17939317325514806</v>
      </c>
      <c r="EG22" s="8">
        <v>0.39253962560236111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1.4919622151534832E-2</v>
      </c>
      <c r="EO22" s="7">
        <v>6.5310583094627436E-2</v>
      </c>
      <c r="EP22" s="7">
        <v>9.7618441860185798E-2</v>
      </c>
      <c r="EQ22" s="7">
        <v>0.11203717807470776</v>
      </c>
      <c r="ER22" s="7">
        <v>4.2054161202062137E-2</v>
      </c>
      <c r="ES22" s="7">
        <v>0</v>
      </c>
      <c r="ET22" s="8">
        <v>0</v>
      </c>
      <c r="EU22" s="8">
        <v>0</v>
      </c>
      <c r="EV22" s="8">
        <v>0</v>
      </c>
      <c r="EW22" s="8">
        <v>0</v>
      </c>
      <c r="EX22" s="7">
        <v>0</v>
      </c>
      <c r="EY22" s="8">
        <v>4.8528244590925057E-2</v>
      </c>
      <c r="EZ22" s="8">
        <v>5.860922888869604E-2</v>
      </c>
      <c r="FA22" s="8">
        <v>8.4233435661422912E-2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7">
        <v>0</v>
      </c>
      <c r="FI22" s="8">
        <v>3.0231539563949243E-2</v>
      </c>
      <c r="FJ22" s="8">
        <v>4.5585657080724228E-2</v>
      </c>
      <c r="FK22" s="8">
        <v>7.7519963408574144E-2</v>
      </c>
      <c r="FL22" s="8">
        <v>1.9116842906448401E-2</v>
      </c>
      <c r="FM22" s="7">
        <v>0</v>
      </c>
      <c r="FN22" s="8">
        <v>0</v>
      </c>
      <c r="FO22" s="8">
        <v>0</v>
      </c>
      <c r="FP22" s="7">
        <v>0</v>
      </c>
      <c r="FQ22" s="7">
        <v>0</v>
      </c>
      <c r="FR22" s="7">
        <v>0</v>
      </c>
      <c r="FS22" s="7">
        <v>5.1728511838018472E-2</v>
      </c>
      <c r="FT22" s="8">
        <v>9.7820476264170897E-2</v>
      </c>
      <c r="FU22" s="8">
        <v>0.21219437464411767</v>
      </c>
      <c r="FV22" s="7">
        <v>0.27990186271882589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1.7065454872175246E-2</v>
      </c>
      <c r="GD22" s="8">
        <v>0.11410945502670103</v>
      </c>
      <c r="GE22" s="8">
        <v>0.80272492900080428</v>
      </c>
      <c r="GF22" s="8">
        <v>0</v>
      </c>
      <c r="GG22" s="8">
        <v>0</v>
      </c>
      <c r="GI22" s="6" t="s">
        <v>172</v>
      </c>
      <c r="GJ22" s="6" t="s">
        <v>154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0</v>
      </c>
      <c r="GT22" s="8">
        <v>0</v>
      </c>
      <c r="GU22" s="8">
        <v>0</v>
      </c>
      <c r="GV22" s="8">
        <v>0</v>
      </c>
      <c r="GW22" s="8">
        <v>0</v>
      </c>
      <c r="GX22" s="8">
        <v>0</v>
      </c>
      <c r="GY22" s="8">
        <v>0</v>
      </c>
      <c r="GZ22" s="8">
        <v>0</v>
      </c>
      <c r="HA22" s="7">
        <v>0</v>
      </c>
      <c r="HB22" s="8">
        <v>4.562731412978438E-2</v>
      </c>
      <c r="HC22" s="8">
        <v>0.24554116835700404</v>
      </c>
      <c r="HD22" s="8">
        <v>0</v>
      </c>
      <c r="HE22" s="8">
        <v>0</v>
      </c>
      <c r="HF22" s="8">
        <v>0</v>
      </c>
      <c r="HG22" s="8">
        <v>0</v>
      </c>
      <c r="HH22" s="8">
        <v>0</v>
      </c>
      <c r="HI22" s="8">
        <v>0</v>
      </c>
      <c r="HJ22" s="8">
        <v>0</v>
      </c>
      <c r="HK22" s="8">
        <v>0</v>
      </c>
      <c r="HL22" s="7">
        <v>0</v>
      </c>
      <c r="HM22" s="8">
        <v>0</v>
      </c>
      <c r="HN22" s="8">
        <v>0</v>
      </c>
      <c r="HO22" s="8">
        <v>0</v>
      </c>
      <c r="HP22" s="8">
        <v>0</v>
      </c>
      <c r="HQ22" s="8">
        <v>0</v>
      </c>
      <c r="HR22" s="8">
        <v>0</v>
      </c>
      <c r="HS22" s="8">
        <v>0</v>
      </c>
      <c r="HT22" s="8">
        <v>0</v>
      </c>
      <c r="HU22" s="8">
        <v>0</v>
      </c>
      <c r="HV22" s="7">
        <v>0</v>
      </c>
      <c r="HW22" s="8">
        <v>9.7608847683387807E-3</v>
      </c>
      <c r="HX22" s="8">
        <v>0</v>
      </c>
      <c r="HY22" s="8">
        <v>0</v>
      </c>
      <c r="HZ22" s="8">
        <v>0</v>
      </c>
      <c r="IA22" s="8">
        <v>0</v>
      </c>
      <c r="IB22" s="8">
        <v>0</v>
      </c>
      <c r="IC22" s="8">
        <v>0</v>
      </c>
      <c r="ID22" s="8">
        <v>0</v>
      </c>
      <c r="IE22" s="8">
        <v>0</v>
      </c>
      <c r="IF22" s="8">
        <v>5.3964426798891662E-3</v>
      </c>
      <c r="IG22" s="8">
        <v>0.55242008664531494</v>
      </c>
      <c r="IH22" s="8">
        <v>0</v>
      </c>
      <c r="II22" s="8">
        <v>0</v>
      </c>
      <c r="IJ22" s="8">
        <v>0</v>
      </c>
      <c r="IK22" s="8">
        <v>0</v>
      </c>
      <c r="IL22" s="8">
        <v>0</v>
      </c>
      <c r="IM22" s="8">
        <v>0</v>
      </c>
      <c r="IN22" s="8">
        <v>0</v>
      </c>
      <c r="IO22" s="8">
        <v>0</v>
      </c>
      <c r="IP22" s="8">
        <v>0</v>
      </c>
      <c r="IQ22" s="8">
        <v>0</v>
      </c>
      <c r="IR22" s="8">
        <v>0</v>
      </c>
      <c r="JB22" s="6" t="s">
        <v>172</v>
      </c>
      <c r="JC22" s="8">
        <v>0</v>
      </c>
      <c r="JD22" s="8">
        <v>0</v>
      </c>
      <c r="JE22" s="7">
        <v>2.6326263973746708E-3</v>
      </c>
      <c r="JF22" s="8">
        <v>0.11629818527298331</v>
      </c>
      <c r="JG22" s="8">
        <v>0.27434706058338515</v>
      </c>
      <c r="JH22" s="8">
        <v>0.28658609414559322</v>
      </c>
      <c r="JI22" s="8">
        <v>0.17641266855068166</v>
      </c>
      <c r="JJ22" s="8">
        <v>2.6259753776123843E-2</v>
      </c>
      <c r="JK22" s="8">
        <v>0</v>
      </c>
      <c r="JL22" s="8">
        <v>0</v>
      </c>
      <c r="JM22" s="8">
        <v>0</v>
      </c>
      <c r="JN22" s="7">
        <v>4.6479738650345395E-4</v>
      </c>
      <c r="JO22" s="8">
        <v>7.180555175224998E-2</v>
      </c>
      <c r="JP22" s="8">
        <v>0.30211749845521302</v>
      </c>
      <c r="JQ22" s="8">
        <v>0.4495132343334064</v>
      </c>
      <c r="JR22" s="8">
        <v>0.45678178339868925</v>
      </c>
      <c r="JS22" s="8">
        <v>0.33945447073279578</v>
      </c>
      <c r="JT22" s="8">
        <v>0.13467243591843869</v>
      </c>
      <c r="JU22" s="8">
        <v>2.9583951831097313E-3</v>
      </c>
      <c r="JV22" s="8">
        <v>0</v>
      </c>
      <c r="JW22" s="7">
        <v>0</v>
      </c>
      <c r="JX22" s="8">
        <v>1.2816111422262017E-2</v>
      </c>
      <c r="JY22" s="8">
        <v>0.15035263220441555</v>
      </c>
      <c r="JZ22" s="8">
        <v>0.38041020497177713</v>
      </c>
      <c r="KA22" s="8">
        <v>0.52081872077360392</v>
      </c>
      <c r="KB22" s="8">
        <v>0.53720010320689204</v>
      </c>
      <c r="KC22" s="8">
        <v>0.43504515322734416</v>
      </c>
      <c r="KD22" s="8">
        <v>0.21528297245529601</v>
      </c>
      <c r="KE22" s="8">
        <v>2.6244131625090077E-2</v>
      </c>
      <c r="KF22" s="7">
        <v>0</v>
      </c>
      <c r="KG22" s="7">
        <v>0</v>
      </c>
      <c r="KH22" s="8">
        <v>6.2611236901118075E-3</v>
      </c>
      <c r="KI22" s="8">
        <v>0.12263686010294673</v>
      </c>
      <c r="KJ22" s="8">
        <v>0.36854320681574987</v>
      </c>
      <c r="KK22" s="8">
        <v>0.53380972031008711</v>
      </c>
      <c r="KL22" s="8">
        <v>0.56837798297943576</v>
      </c>
      <c r="KM22" s="8">
        <v>0.45477791192729056</v>
      </c>
      <c r="KN22" s="8">
        <v>0.22384231332196303</v>
      </c>
      <c r="KO22" s="8">
        <v>2.2536557795273963E-2</v>
      </c>
      <c r="KP22" s="7">
        <v>0</v>
      </c>
      <c r="KQ22" s="8">
        <v>0</v>
      </c>
      <c r="KR22" s="7">
        <v>0</v>
      </c>
      <c r="KS22" s="8">
        <v>3.8144780906354876E-2</v>
      </c>
      <c r="KT22" s="8">
        <v>0.21456431870658857</v>
      </c>
      <c r="KU22" s="8">
        <v>0.3554300751089392</v>
      </c>
      <c r="KV22" s="8">
        <v>0.38165579034500585</v>
      </c>
      <c r="KW22" s="8">
        <v>0.25993084335010086</v>
      </c>
      <c r="KX22" s="8">
        <v>6.8330331959241278E-2</v>
      </c>
      <c r="KY22" s="7">
        <v>3.4164063219993941E-4</v>
      </c>
      <c r="KZ22" s="8">
        <v>0</v>
      </c>
      <c r="LA22" s="8">
        <v>0</v>
      </c>
      <c r="LB22" s="8">
        <v>0</v>
      </c>
      <c r="LC22" s="7">
        <v>1.3252214114182442E-3</v>
      </c>
      <c r="LD22" s="8">
        <v>0.10188243592072321</v>
      </c>
      <c r="LE22" s="8">
        <v>0.2574990662943909</v>
      </c>
      <c r="LF22" s="8">
        <v>0.26666630153087362</v>
      </c>
      <c r="LG22" s="8">
        <v>0.12255587221870309</v>
      </c>
      <c r="LH22" s="7">
        <v>1.1245157691835922E-3</v>
      </c>
      <c r="LI22" s="8">
        <v>0</v>
      </c>
      <c r="LJ22" s="8">
        <v>0</v>
      </c>
      <c r="LL22" s="6" t="s">
        <v>172</v>
      </c>
      <c r="LM22" s="6" t="s">
        <v>160</v>
      </c>
      <c r="LN22" s="6" t="s">
        <v>161</v>
      </c>
      <c r="LO22" s="8">
        <v>0.48819174890768291</v>
      </c>
    </row>
    <row r="23" spans="2:327" x14ac:dyDescent="0.45">
      <c r="B23" s="3" t="s">
        <v>173</v>
      </c>
      <c r="C23" s="3" t="s">
        <v>151</v>
      </c>
      <c r="D23" s="5">
        <v>0</v>
      </c>
      <c r="E23" s="5">
        <v>0</v>
      </c>
      <c r="F23" s="5">
        <v>0.93220338983050843</v>
      </c>
      <c r="G23" s="5">
        <v>0.42391328148556967</v>
      </c>
      <c r="H23" s="5">
        <v>0.306123161072544</v>
      </c>
      <c r="I23" s="5">
        <v>0.30192027906972296</v>
      </c>
      <c r="J23" s="5">
        <v>0.35383406569738157</v>
      </c>
      <c r="K23" s="5">
        <v>0.71477914816957755</v>
      </c>
      <c r="L23" s="5">
        <v>0</v>
      </c>
      <c r="M23" s="5">
        <v>0</v>
      </c>
      <c r="N23" s="5">
        <v>0</v>
      </c>
      <c r="O23" s="5">
        <v>0.87179977896097804</v>
      </c>
      <c r="P23" s="5">
        <v>0.41801917634297348</v>
      </c>
      <c r="Q23" s="5">
        <v>0.21552935683473951</v>
      </c>
      <c r="R23" s="5">
        <v>0.18636149496899049</v>
      </c>
      <c r="S23" s="5">
        <v>0.17740975618865709</v>
      </c>
      <c r="T23" s="5">
        <v>0.18420243473495718</v>
      </c>
      <c r="U23" s="5">
        <v>0.27983593930634904</v>
      </c>
      <c r="V23" s="5">
        <v>0.73970561246436817</v>
      </c>
      <c r="W23" s="5">
        <v>0</v>
      </c>
      <c r="X23" s="5">
        <v>0</v>
      </c>
      <c r="Y23" s="5">
        <v>0.41322518432416977</v>
      </c>
      <c r="Z23" s="5">
        <v>0.22678753845749047</v>
      </c>
      <c r="AA23" s="5">
        <v>0.17042956744121102</v>
      </c>
      <c r="AB23" s="5">
        <v>0.16473311657065767</v>
      </c>
      <c r="AC23" s="5">
        <v>0.16205190133466749</v>
      </c>
      <c r="AD23" s="5">
        <v>0.17030007514181519</v>
      </c>
      <c r="AE23" s="5">
        <v>0.19246041394728744</v>
      </c>
      <c r="AF23" s="5">
        <v>0.31870966802679784</v>
      </c>
      <c r="AG23" s="5">
        <v>0.93374278791822196</v>
      </c>
      <c r="AH23" s="5">
        <v>0</v>
      </c>
      <c r="AI23" s="5">
        <v>0.56527065373958052</v>
      </c>
      <c r="AJ23" s="5">
        <v>0.26190424613115587</v>
      </c>
      <c r="AK23" s="5">
        <v>0.16806098348992907</v>
      </c>
      <c r="AL23" s="5">
        <v>0.13395712325496942</v>
      </c>
      <c r="AM23" s="5">
        <v>0.13148507910838925</v>
      </c>
      <c r="AN23" s="5">
        <v>0.13949656944412303</v>
      </c>
      <c r="AO23" s="5">
        <v>0.19383179445714438</v>
      </c>
      <c r="AP23" s="5">
        <v>0.38399307097555158</v>
      </c>
      <c r="AQ23" s="5">
        <v>0.97030935141677355</v>
      </c>
      <c r="AR23" s="5">
        <v>0</v>
      </c>
      <c r="AS23" s="5">
        <v>0</v>
      </c>
      <c r="AT23" s="5">
        <v>0.49250619315877464</v>
      </c>
      <c r="AU23" s="5">
        <v>0.26370298472633563</v>
      </c>
      <c r="AV23" s="5">
        <v>0.20630252804699142</v>
      </c>
      <c r="AW23" s="5">
        <v>0.19658456952864634</v>
      </c>
      <c r="AX23" s="5">
        <v>0.24435450431631561</v>
      </c>
      <c r="AY23" s="5">
        <v>0.4592893821023199</v>
      </c>
      <c r="AZ23" s="5">
        <v>0.91803278688524625</v>
      </c>
      <c r="BA23" s="5">
        <v>0</v>
      </c>
      <c r="BB23" s="5">
        <v>0</v>
      </c>
      <c r="BC23" s="5">
        <v>0</v>
      </c>
      <c r="BD23" s="5">
        <v>0.95884288802501938</v>
      </c>
      <c r="BE23" s="5">
        <v>0.42067850063077167</v>
      </c>
      <c r="BF23" s="5">
        <v>0.27380427623371428</v>
      </c>
      <c r="BG23" s="5">
        <v>0.27321053479376262</v>
      </c>
      <c r="BH23" s="5">
        <v>0.33933971643606664</v>
      </c>
      <c r="BI23" s="5">
        <v>0.97117624428155047</v>
      </c>
      <c r="BJ23" s="5">
        <v>0</v>
      </c>
      <c r="BK23" s="5">
        <v>0</v>
      </c>
      <c r="BM23" s="3" t="s">
        <v>173</v>
      </c>
      <c r="BN23" s="3" t="s">
        <v>152</v>
      </c>
      <c r="BO23" s="5">
        <v>0</v>
      </c>
      <c r="BP23" s="5">
        <v>0</v>
      </c>
      <c r="BQ23" s="4">
        <v>0.86900316001149081</v>
      </c>
      <c r="BR23" s="5">
        <v>0.28093179025506715</v>
      </c>
      <c r="BS23" s="5">
        <v>0.18569184809967446</v>
      </c>
      <c r="BT23" s="5">
        <v>0.13169148712236192</v>
      </c>
      <c r="BU23" s="4">
        <v>4.6658670570417678E-2</v>
      </c>
      <c r="BV23" s="5">
        <v>9.4789942661919036E-2</v>
      </c>
      <c r="BW23" s="4">
        <v>0</v>
      </c>
      <c r="BX23" s="5">
        <v>0</v>
      </c>
      <c r="BY23" s="4">
        <v>0</v>
      </c>
      <c r="BZ23" s="4">
        <v>0.77225267304850176</v>
      </c>
      <c r="CA23" s="4">
        <v>0.28354763084408108</v>
      </c>
      <c r="CB23" s="4">
        <v>0.11675249457618486</v>
      </c>
      <c r="CC23" s="4">
        <v>8.7056571659541143E-2</v>
      </c>
      <c r="CD23" s="5">
        <v>3.5379157126912295E-2</v>
      </c>
      <c r="CE23" s="4">
        <v>2.2841069738905127E-2</v>
      </c>
      <c r="CF23" s="5">
        <v>6.2884029613113596E-2</v>
      </c>
      <c r="CG23" s="4">
        <v>0.36477380679440036</v>
      </c>
      <c r="CH23" s="5">
        <v>0</v>
      </c>
      <c r="CI23" s="5">
        <v>0</v>
      </c>
      <c r="CJ23" s="4">
        <v>0.25306374837559037</v>
      </c>
      <c r="CK23" s="5">
        <v>0.14581777314492983</v>
      </c>
      <c r="CL23" s="4">
        <v>9.943078058715589E-2</v>
      </c>
      <c r="CM23" s="5">
        <v>9.6971375306089916E-2</v>
      </c>
      <c r="CN23" s="5">
        <v>2.6258889435616748E-2</v>
      </c>
      <c r="CO23" s="5">
        <v>3.7622674037137774E-2</v>
      </c>
      <c r="CP23" s="5">
        <v>5.1446954317462733E-2</v>
      </c>
      <c r="CQ23" s="5">
        <v>0.16034945454979838</v>
      </c>
      <c r="CR23" s="5">
        <v>0.60778056565665983</v>
      </c>
      <c r="CS23" s="5">
        <v>0</v>
      </c>
      <c r="CT23" s="5">
        <v>0.40041562778734069</v>
      </c>
      <c r="CU23" s="4">
        <v>0.16543945669773372</v>
      </c>
      <c r="CV23" s="4">
        <v>9.3557784603001196E-2</v>
      </c>
      <c r="CW23" s="5">
        <v>7.8667014382945155E-2</v>
      </c>
      <c r="CX23" s="4">
        <v>2.1895799278290225E-2</v>
      </c>
      <c r="CY23" s="4">
        <v>1.3567700485830851E-2</v>
      </c>
      <c r="CZ23" s="4">
        <v>3.9620492567408051E-2</v>
      </c>
      <c r="DA23" s="4">
        <v>0.13962992161892748</v>
      </c>
      <c r="DB23" s="5">
        <v>0.67619713131727377</v>
      </c>
      <c r="DC23" s="5">
        <v>0</v>
      </c>
      <c r="DD23" s="4">
        <v>0</v>
      </c>
      <c r="DE23" s="4">
        <v>0.35583325627070644</v>
      </c>
      <c r="DF23" s="5">
        <v>0.15613746870075576</v>
      </c>
      <c r="DG23" s="5">
        <v>0.1120689389119837</v>
      </c>
      <c r="DH23" s="4">
        <v>4.852000787482081E-2</v>
      </c>
      <c r="DI23" s="4">
        <v>5.1292505570366242E-2</v>
      </c>
      <c r="DJ23" s="4">
        <v>0.1253679674249169</v>
      </c>
      <c r="DK23" s="4">
        <v>0.26635962380214778</v>
      </c>
      <c r="DL23" s="5">
        <v>0</v>
      </c>
      <c r="DM23" s="5">
        <v>0</v>
      </c>
      <c r="DN23" s="5">
        <v>0</v>
      </c>
      <c r="DO23" s="5">
        <v>0.92571909999737423</v>
      </c>
      <c r="DP23" s="5">
        <v>0.2680598250789899</v>
      </c>
      <c r="DQ23" s="5">
        <v>0.14568032874481335</v>
      </c>
      <c r="DR23" s="5">
        <v>0.11998839638949049</v>
      </c>
      <c r="DS23" s="5">
        <v>9.2847748567791197E-2</v>
      </c>
      <c r="DT23" s="4">
        <v>0.91687475499856141</v>
      </c>
      <c r="DU23" s="5">
        <v>0</v>
      </c>
      <c r="DV23" s="5">
        <v>0</v>
      </c>
      <c r="DX23" s="3" t="s">
        <v>173</v>
      </c>
      <c r="DY23" s="3" t="s">
        <v>153</v>
      </c>
      <c r="DZ23" s="4">
        <v>0</v>
      </c>
      <c r="EA23" s="5">
        <v>0</v>
      </c>
      <c r="EB23" s="5">
        <v>0</v>
      </c>
      <c r="EC23" s="5">
        <v>0</v>
      </c>
      <c r="ED23" s="4">
        <v>0</v>
      </c>
      <c r="EE23" s="5">
        <v>6.0216913174835074E-2</v>
      </c>
      <c r="EF23" s="4">
        <v>0.18498829743579234</v>
      </c>
      <c r="EG23" s="5">
        <v>0.45224839374576914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1.1523398405539505E-2</v>
      </c>
      <c r="EO23" s="4">
        <v>6.6345515755723256E-2</v>
      </c>
      <c r="EP23" s="4">
        <v>8.3146354565613145E-2</v>
      </c>
      <c r="EQ23" s="4">
        <v>9.305472539529773E-2</v>
      </c>
      <c r="ER23" s="4">
        <v>8.7548741719312054E-2</v>
      </c>
      <c r="ES23" s="4">
        <v>0</v>
      </c>
      <c r="ET23" s="5">
        <v>0</v>
      </c>
      <c r="EU23" s="5">
        <v>0</v>
      </c>
      <c r="EV23" s="5">
        <v>0</v>
      </c>
      <c r="EW23" s="5">
        <v>0</v>
      </c>
      <c r="EX23" s="4">
        <v>0</v>
      </c>
      <c r="EY23" s="5">
        <v>6.3073293439558406E-2</v>
      </c>
      <c r="EZ23" s="5">
        <v>5.5717602304990801E-2</v>
      </c>
      <c r="FA23" s="5">
        <v>7.0294024249200518E-2</v>
      </c>
      <c r="FB23" s="5">
        <v>2.6171009676954255E-2</v>
      </c>
      <c r="FC23" s="5">
        <v>0.26473318698823589</v>
      </c>
      <c r="FD23" s="5">
        <v>0</v>
      </c>
      <c r="FE23" s="5">
        <v>0</v>
      </c>
      <c r="FF23" s="5">
        <v>0</v>
      </c>
      <c r="FG23" s="5">
        <v>0</v>
      </c>
      <c r="FH23" s="4">
        <v>0</v>
      </c>
      <c r="FI23" s="5">
        <v>5.567979420357904E-2</v>
      </c>
      <c r="FJ23" s="5">
        <v>6.3556227432366844E-2</v>
      </c>
      <c r="FK23" s="5">
        <v>7.890745057023954E-2</v>
      </c>
      <c r="FL23" s="5">
        <v>3.0050515815307051E-2</v>
      </c>
      <c r="FM23" s="4">
        <v>0</v>
      </c>
      <c r="FN23" s="5">
        <v>0</v>
      </c>
      <c r="FO23" s="5">
        <v>0</v>
      </c>
      <c r="FP23" s="4">
        <v>0</v>
      </c>
      <c r="FQ23" s="4">
        <v>0</v>
      </c>
      <c r="FR23" s="4">
        <v>0</v>
      </c>
      <c r="FS23" s="4">
        <v>5.6196663376209273E-2</v>
      </c>
      <c r="FT23" s="5">
        <v>0.1000330728849808</v>
      </c>
      <c r="FU23" s="5">
        <v>0.19583885038710869</v>
      </c>
      <c r="FV23" s="4">
        <v>0.17658677722829433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3.1118387018296119E-2</v>
      </c>
      <c r="GD23" s="5">
        <v>0.13544893439636399</v>
      </c>
      <c r="GE23" s="5">
        <v>3.0420106226885447E-2</v>
      </c>
      <c r="GF23" s="5">
        <v>0</v>
      </c>
      <c r="GG23" s="5">
        <v>0</v>
      </c>
      <c r="GI23" s="3" t="s">
        <v>173</v>
      </c>
      <c r="GJ23" s="3" t="s">
        <v>154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9.2982043109081682E-3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4">
        <v>0</v>
      </c>
      <c r="HB23" s="5">
        <v>2.1677302357282213E-2</v>
      </c>
      <c r="HC23" s="5">
        <v>0.12624715935149658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4">
        <v>0</v>
      </c>
      <c r="HM23" s="5">
        <v>8.4348032654480657E-3</v>
      </c>
      <c r="HN23" s="5">
        <v>0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v>0</v>
      </c>
      <c r="HU23" s="5">
        <v>0</v>
      </c>
      <c r="HV23" s="4">
        <v>0</v>
      </c>
      <c r="HW23" s="5">
        <v>9.244777738065646E-2</v>
      </c>
      <c r="HX23" s="5">
        <v>0.26802863538399524</v>
      </c>
      <c r="HY23" s="5">
        <v>0</v>
      </c>
      <c r="HZ23" s="5">
        <v>0</v>
      </c>
      <c r="IA23" s="5">
        <v>0</v>
      </c>
      <c r="IB23" s="5">
        <v>0</v>
      </c>
      <c r="IC23" s="5">
        <v>0</v>
      </c>
      <c r="ID23" s="5">
        <v>0</v>
      </c>
      <c r="IE23" s="5">
        <v>0</v>
      </c>
      <c r="IF23" s="5">
        <v>4.1688417107074429E-3</v>
      </c>
      <c r="IG23" s="5">
        <v>0.40659587658665247</v>
      </c>
      <c r="IH23" s="5">
        <v>0</v>
      </c>
      <c r="II23" s="5">
        <v>0</v>
      </c>
      <c r="IJ23" s="5">
        <v>0</v>
      </c>
      <c r="IK23" s="5">
        <v>0</v>
      </c>
      <c r="IL23" s="5">
        <v>0</v>
      </c>
      <c r="IM23" s="5">
        <v>0</v>
      </c>
      <c r="IN23" s="5">
        <v>0</v>
      </c>
      <c r="IO23" s="5">
        <v>0</v>
      </c>
      <c r="IP23" s="5">
        <v>0</v>
      </c>
      <c r="IQ23" s="5">
        <v>0</v>
      </c>
      <c r="IR23" s="5">
        <v>0</v>
      </c>
      <c r="JB23" s="3" t="s">
        <v>173</v>
      </c>
      <c r="JC23" s="5">
        <v>0</v>
      </c>
      <c r="JD23" s="5">
        <v>0</v>
      </c>
      <c r="JE23" s="4">
        <v>1.8493764483438202E-3</v>
      </c>
      <c r="JF23" s="5">
        <v>9.9601363173136365E-2</v>
      </c>
      <c r="JG23" s="5">
        <v>0.2437486822478635</v>
      </c>
      <c r="JH23" s="5">
        <v>0.26454212336969907</v>
      </c>
      <c r="JI23" s="5">
        <v>0.1634257178984013</v>
      </c>
      <c r="JJ23" s="5">
        <v>2.4083420226007738E-2</v>
      </c>
      <c r="JK23" s="5">
        <v>0</v>
      </c>
      <c r="JL23" s="5">
        <v>0</v>
      </c>
      <c r="JM23" s="5">
        <v>0</v>
      </c>
      <c r="JN23" s="4">
        <v>6.7820202073659032E-4</v>
      </c>
      <c r="JO23" s="5">
        <v>7.8291419572870363E-2</v>
      </c>
      <c r="JP23" s="5">
        <v>0.29870146011746246</v>
      </c>
      <c r="JQ23" s="5">
        <v>0.42003489447369796</v>
      </c>
      <c r="JR23" s="5">
        <v>0.42321376061520877</v>
      </c>
      <c r="JS23" s="5">
        <v>0.31950294700181536</v>
      </c>
      <c r="JT23" s="5">
        <v>0.13099061324250755</v>
      </c>
      <c r="JU23" s="5">
        <v>2.8702875975946699E-3</v>
      </c>
      <c r="JV23" s="5">
        <v>0</v>
      </c>
      <c r="JW23" s="4">
        <v>0</v>
      </c>
      <c r="JX23" s="5">
        <v>1.5102637919495341E-2</v>
      </c>
      <c r="JY23" s="5">
        <v>0.15027733851044933</v>
      </c>
      <c r="JZ23" s="5">
        <v>0.35089934431414072</v>
      </c>
      <c r="KA23" s="5">
        <v>0.47051717189617664</v>
      </c>
      <c r="KB23" s="5">
        <v>0.47327115636997241</v>
      </c>
      <c r="KC23" s="5">
        <v>0.37924423474069019</v>
      </c>
      <c r="KD23" s="5">
        <v>0.19463557275675636</v>
      </c>
      <c r="KE23" s="5">
        <v>2.5148236933637602E-2</v>
      </c>
      <c r="KF23" s="4">
        <v>7.4188449351221947E-6</v>
      </c>
      <c r="KG23" s="4">
        <v>0</v>
      </c>
      <c r="KH23" s="5">
        <v>7.886691810931672E-3</v>
      </c>
      <c r="KI23" s="5">
        <v>0.12254391433621242</v>
      </c>
      <c r="KJ23" s="5">
        <v>0.33739239076719119</v>
      </c>
      <c r="KK23" s="5">
        <v>0.47651582083248412</v>
      </c>
      <c r="KL23" s="5">
        <v>0.4811884154532246</v>
      </c>
      <c r="KM23" s="5">
        <v>0.38903711329218643</v>
      </c>
      <c r="KN23" s="5">
        <v>0.19737810196116909</v>
      </c>
      <c r="KO23" s="5">
        <v>2.2631529048755851E-2</v>
      </c>
      <c r="KP23" s="4">
        <v>1.5963890992682545E-6</v>
      </c>
      <c r="KQ23" s="5">
        <v>0</v>
      </c>
      <c r="KR23" s="4">
        <v>0</v>
      </c>
      <c r="KS23" s="5">
        <v>3.408870086947606E-2</v>
      </c>
      <c r="KT23" s="5">
        <v>0.18179398524617754</v>
      </c>
      <c r="KU23" s="5">
        <v>0.30605619752904928</v>
      </c>
      <c r="KV23" s="5">
        <v>0.33244537854722561</v>
      </c>
      <c r="KW23" s="5">
        <v>0.21853731795957221</v>
      </c>
      <c r="KX23" s="5">
        <v>5.5548713714104192E-2</v>
      </c>
      <c r="KY23" s="4">
        <v>2.7364696151518784E-4</v>
      </c>
      <c r="KZ23" s="5">
        <v>0</v>
      </c>
      <c r="LA23" s="5">
        <v>0</v>
      </c>
      <c r="LB23" s="5">
        <v>0</v>
      </c>
      <c r="LC23" s="4">
        <v>9.5976597338817075E-4</v>
      </c>
      <c r="LD23" s="5">
        <v>8.2673684676018364E-2</v>
      </c>
      <c r="LE23" s="5">
        <v>0.22513782002979058</v>
      </c>
      <c r="LF23" s="5">
        <v>0.22479952864071676</v>
      </c>
      <c r="LG23" s="5">
        <v>0.10141632395509916</v>
      </c>
      <c r="LH23" s="4">
        <v>6.4495054020733008E-5</v>
      </c>
      <c r="LI23" s="5">
        <v>0</v>
      </c>
      <c r="LJ23" s="5">
        <v>0</v>
      </c>
      <c r="LL23" s="3" t="s">
        <v>173</v>
      </c>
      <c r="LM23" s="3" t="s">
        <v>160</v>
      </c>
      <c r="LN23" s="3" t="s">
        <v>161</v>
      </c>
      <c r="LO23" s="5">
        <v>0.41403729248035503</v>
      </c>
    </row>
    <row r="24" spans="2:327" x14ac:dyDescent="0.45">
      <c r="B24" s="6" t="s">
        <v>174</v>
      </c>
      <c r="C24" s="6" t="s">
        <v>151</v>
      </c>
      <c r="D24" s="8">
        <v>0</v>
      </c>
      <c r="E24" s="8">
        <v>0</v>
      </c>
      <c r="F24" s="8">
        <v>0</v>
      </c>
      <c r="G24" s="8">
        <v>0.53578716483606714</v>
      </c>
      <c r="H24" s="8">
        <v>0.34526272242049577</v>
      </c>
      <c r="I24" s="8">
        <v>0.33374850058243311</v>
      </c>
      <c r="J24" s="8">
        <v>0.37838931167912976</v>
      </c>
      <c r="K24" s="8">
        <v>0.65808141334538739</v>
      </c>
      <c r="L24" s="8">
        <v>0</v>
      </c>
      <c r="M24" s="8">
        <v>0</v>
      </c>
      <c r="N24" s="8">
        <v>0</v>
      </c>
      <c r="O24" s="8">
        <v>0.90784954851872113</v>
      </c>
      <c r="P24" s="8">
        <v>0.49812377616014453</v>
      </c>
      <c r="Q24" s="8">
        <v>0.23199365137998376</v>
      </c>
      <c r="R24" s="8">
        <v>0.16754114948771975</v>
      </c>
      <c r="S24" s="8">
        <v>0.17034400879346884</v>
      </c>
      <c r="T24" s="8">
        <v>0.17215961280618211</v>
      </c>
      <c r="U24" s="8">
        <v>0.2474284537278349</v>
      </c>
      <c r="V24" s="8">
        <v>0.66206311721657352</v>
      </c>
      <c r="W24" s="8">
        <v>0</v>
      </c>
      <c r="X24" s="8">
        <v>0</v>
      </c>
      <c r="Y24" s="8">
        <v>0.46677323979476282</v>
      </c>
      <c r="Z24" s="8">
        <v>0.27782437558767492</v>
      </c>
      <c r="AA24" s="8">
        <v>0.22210685655165324</v>
      </c>
      <c r="AB24" s="8">
        <v>0.1971616484974735</v>
      </c>
      <c r="AC24" s="8">
        <v>0.172496522020472</v>
      </c>
      <c r="AD24" s="8">
        <v>0.16173860856595376</v>
      </c>
      <c r="AE24" s="8">
        <v>0.17223327427199542</v>
      </c>
      <c r="AF24" s="8">
        <v>0.30653732069398121</v>
      </c>
      <c r="AG24" s="8">
        <v>0.81142692254396331</v>
      </c>
      <c r="AH24" s="8">
        <v>0</v>
      </c>
      <c r="AI24" s="8">
        <v>0.62301189322213613</v>
      </c>
      <c r="AJ24" s="8">
        <v>0.29465657317024224</v>
      </c>
      <c r="AK24" s="8">
        <v>0.17184113267904422</v>
      </c>
      <c r="AL24" s="8">
        <v>0.14534696512059661</v>
      </c>
      <c r="AM24" s="8">
        <v>0.14788649086385774</v>
      </c>
      <c r="AN24" s="8">
        <v>0.15653633494812913</v>
      </c>
      <c r="AO24" s="8">
        <v>0.194036477513478</v>
      </c>
      <c r="AP24" s="8">
        <v>0.36410508104415629</v>
      </c>
      <c r="AQ24" s="8">
        <v>0.86633189044508252</v>
      </c>
      <c r="AR24" s="8">
        <v>0</v>
      </c>
      <c r="AS24" s="8">
        <v>0</v>
      </c>
      <c r="AT24" s="8">
        <v>0.57690837413672158</v>
      </c>
      <c r="AU24" s="8">
        <v>0.27516529910793674</v>
      </c>
      <c r="AV24" s="8">
        <v>0.22676673918832965</v>
      </c>
      <c r="AW24" s="8">
        <v>0.22002087767861433</v>
      </c>
      <c r="AX24" s="8">
        <v>0.22026818016591565</v>
      </c>
      <c r="AY24" s="8">
        <v>0.39264015458835572</v>
      </c>
      <c r="AZ24" s="8">
        <v>0.8708206402726224</v>
      </c>
      <c r="BA24" s="8">
        <v>0</v>
      </c>
      <c r="BB24" s="8">
        <v>0</v>
      </c>
      <c r="BC24" s="8">
        <v>0</v>
      </c>
      <c r="BD24" s="8">
        <v>0</v>
      </c>
      <c r="BE24" s="8">
        <v>0.51000094255675943</v>
      </c>
      <c r="BF24" s="8">
        <v>0.29220253675778091</v>
      </c>
      <c r="BG24" s="8">
        <v>0.24920180329443201</v>
      </c>
      <c r="BH24" s="8">
        <v>0.33951511703230169</v>
      </c>
      <c r="BI24" s="8">
        <v>0.93436384722596666</v>
      </c>
      <c r="BJ24" s="8">
        <v>0</v>
      </c>
      <c r="BK24" s="8">
        <v>0</v>
      </c>
      <c r="BM24" s="6" t="s">
        <v>174</v>
      </c>
      <c r="BN24" s="6" t="s">
        <v>152</v>
      </c>
      <c r="BO24" s="8">
        <v>0</v>
      </c>
      <c r="BP24" s="8">
        <v>0</v>
      </c>
      <c r="BQ24" s="7">
        <v>0</v>
      </c>
      <c r="BR24" s="8">
        <v>0.37717052836154585</v>
      </c>
      <c r="BS24" s="8">
        <v>0.21693522357460623</v>
      </c>
      <c r="BT24" s="8">
        <v>0.15070068059775868</v>
      </c>
      <c r="BU24" s="7">
        <v>3.1583067744664232E-2</v>
      </c>
      <c r="BV24" s="8">
        <v>6.5425897647046774E-2</v>
      </c>
      <c r="BW24" s="7">
        <v>0</v>
      </c>
      <c r="BX24" s="8">
        <v>0</v>
      </c>
      <c r="BY24" s="7">
        <v>0</v>
      </c>
      <c r="BZ24" s="7">
        <v>0.83724264016111971</v>
      </c>
      <c r="CA24" s="7">
        <v>0.34909535748931259</v>
      </c>
      <c r="CB24" s="7">
        <v>0.13041486984351333</v>
      </c>
      <c r="CC24" s="7">
        <v>8.5416192498109431E-2</v>
      </c>
      <c r="CD24" s="8">
        <v>4.9714185387434183E-2</v>
      </c>
      <c r="CE24" s="7">
        <v>1.1877613096085773E-2</v>
      </c>
      <c r="CF24" s="8">
        <v>4.3567059606237329E-2</v>
      </c>
      <c r="CG24" s="7">
        <v>0.28772160134218216</v>
      </c>
      <c r="CH24" s="8">
        <v>0</v>
      </c>
      <c r="CI24" s="8">
        <v>0</v>
      </c>
      <c r="CJ24" s="7">
        <v>0.32015630353325808</v>
      </c>
      <c r="CK24" s="8">
        <v>0.18565326914794023</v>
      </c>
      <c r="CL24" s="7">
        <v>0.13430208946453029</v>
      </c>
      <c r="CM24" s="8">
        <v>0.11313322986609015</v>
      </c>
      <c r="CN24" s="8">
        <v>1.6389965607335064E-2</v>
      </c>
      <c r="CO24" s="8">
        <v>1.5141952418464742E-2</v>
      </c>
      <c r="CP24" s="8">
        <v>3.003435627655195E-2</v>
      </c>
      <c r="CQ24" s="8">
        <v>0.13146055704083212</v>
      </c>
      <c r="CR24" s="8">
        <v>0.62735811142306375</v>
      </c>
      <c r="CS24" s="8">
        <v>0</v>
      </c>
      <c r="CT24" s="8">
        <v>0.45168756947156169</v>
      </c>
      <c r="CU24" s="7">
        <v>0.19099928568302307</v>
      </c>
      <c r="CV24" s="7">
        <v>9.6488040400706646E-2</v>
      </c>
      <c r="CW24" s="8">
        <v>8.5825388200438224E-2</v>
      </c>
      <c r="CX24" s="7">
        <v>3.3998463295963663E-2</v>
      </c>
      <c r="CY24" s="7">
        <v>1.570382095664084E-2</v>
      </c>
      <c r="CZ24" s="7">
        <v>1.7511315506577547E-2</v>
      </c>
      <c r="DA24" s="7">
        <v>0.12321171000890545</v>
      </c>
      <c r="DB24" s="8">
        <v>0.7758124504103493</v>
      </c>
      <c r="DC24" s="8">
        <v>0</v>
      </c>
      <c r="DD24" s="7">
        <v>0</v>
      </c>
      <c r="DE24" s="7">
        <v>0.42844986702953741</v>
      </c>
      <c r="DF24" s="8">
        <v>0.17478181589606487</v>
      </c>
      <c r="DG24" s="8">
        <v>0.13570158371990071</v>
      </c>
      <c r="DH24" s="7">
        <v>4.7570611793280301E-2</v>
      </c>
      <c r="DI24" s="7">
        <v>4.8505038957225313E-2</v>
      </c>
      <c r="DJ24" s="7">
        <v>0.10742411481921881</v>
      </c>
      <c r="DK24" s="7">
        <v>0.2840170843502654</v>
      </c>
      <c r="DL24" s="8">
        <v>0</v>
      </c>
      <c r="DM24" s="8">
        <v>0</v>
      </c>
      <c r="DN24" s="8">
        <v>0</v>
      </c>
      <c r="DO24" s="8">
        <v>0</v>
      </c>
      <c r="DP24" s="8">
        <v>0.3497073245271804</v>
      </c>
      <c r="DQ24" s="8">
        <v>0.18294204201331987</v>
      </c>
      <c r="DR24" s="8">
        <v>0.12114406979651934</v>
      </c>
      <c r="DS24" s="8">
        <v>9.264762626769206E-2</v>
      </c>
      <c r="DT24" s="7">
        <v>3.3233049908226078E-2</v>
      </c>
      <c r="DU24" s="8">
        <v>0</v>
      </c>
      <c r="DV24" s="8">
        <v>0</v>
      </c>
      <c r="DX24" s="6" t="s">
        <v>174</v>
      </c>
      <c r="DY24" s="6" t="s">
        <v>153</v>
      </c>
      <c r="DZ24" s="7">
        <v>0</v>
      </c>
      <c r="EA24" s="8">
        <v>0</v>
      </c>
      <c r="EB24" s="8">
        <v>0</v>
      </c>
      <c r="EC24" s="8">
        <v>0</v>
      </c>
      <c r="ED24" s="7">
        <v>0</v>
      </c>
      <c r="EE24" s="8">
        <v>5.490786993485694E-2</v>
      </c>
      <c r="EF24" s="7">
        <v>0.21842528611656578</v>
      </c>
      <c r="EG24" s="8">
        <v>0.4269556545526273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4.5762925262483895E-3</v>
      </c>
      <c r="EO24" s="7">
        <v>4.0169080044158714E-2</v>
      </c>
      <c r="EP24" s="7">
        <v>8.6171321759504524E-2</v>
      </c>
      <c r="EQ24" s="7">
        <v>9.7950631114718495E-2</v>
      </c>
      <c r="ER24" s="7">
        <v>7.4992124158279799E-2</v>
      </c>
      <c r="ES24" s="7">
        <v>0</v>
      </c>
      <c r="ET24" s="8">
        <v>0</v>
      </c>
      <c r="EU24" s="8">
        <v>0</v>
      </c>
      <c r="EV24" s="8">
        <v>0</v>
      </c>
      <c r="EW24" s="8">
        <v>0</v>
      </c>
      <c r="EX24" s="7">
        <v>0</v>
      </c>
      <c r="EY24" s="8">
        <v>7.8992741487524012E-2</v>
      </c>
      <c r="EZ24" s="8">
        <v>7.393002735605006E-2</v>
      </c>
      <c r="FA24" s="8">
        <v>7.5664366185567503E-2</v>
      </c>
      <c r="FB24" s="8">
        <v>1.4167109860848402E-2</v>
      </c>
      <c r="FC24" s="8">
        <v>4.910572043463915E-2</v>
      </c>
      <c r="FD24" s="8">
        <v>0</v>
      </c>
      <c r="FE24" s="8">
        <v>0</v>
      </c>
      <c r="FF24" s="8">
        <v>0</v>
      </c>
      <c r="FG24" s="8">
        <v>0</v>
      </c>
      <c r="FH24" s="7">
        <v>0</v>
      </c>
      <c r="FI24" s="8">
        <v>4.7705939575115978E-2</v>
      </c>
      <c r="FJ24" s="8">
        <v>7.5126037451286598E-2</v>
      </c>
      <c r="FK24" s="8">
        <v>9.2788358471675089E-2</v>
      </c>
      <c r="FL24" s="8">
        <v>2.2763841537096582E-2</v>
      </c>
      <c r="FM24" s="7">
        <v>0</v>
      </c>
      <c r="FN24" s="8">
        <v>0</v>
      </c>
      <c r="FO24" s="8">
        <v>0</v>
      </c>
      <c r="FP24" s="7">
        <v>0</v>
      </c>
      <c r="FQ24" s="7">
        <v>0</v>
      </c>
      <c r="FR24" s="7">
        <v>0</v>
      </c>
      <c r="FS24" s="7">
        <v>8.4621150964852065E-2</v>
      </c>
      <c r="FT24" s="8">
        <v>8.8648341124099236E-2</v>
      </c>
      <c r="FU24" s="8">
        <v>0.1475875380988691</v>
      </c>
      <c r="FV24" s="7">
        <v>0.15375577974400897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2.6310278520521112E-2</v>
      </c>
      <c r="GD24" s="8">
        <v>0.12879010632515533</v>
      </c>
      <c r="GE24" s="8">
        <v>0.84266362801726624</v>
      </c>
      <c r="GF24" s="8">
        <v>0</v>
      </c>
      <c r="GG24" s="8">
        <v>0</v>
      </c>
      <c r="GI24" s="6" t="s">
        <v>174</v>
      </c>
      <c r="GJ24" s="6" t="s">
        <v>154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7">
        <v>0</v>
      </c>
      <c r="HB24" s="8">
        <v>8.4595451699277183E-3</v>
      </c>
      <c r="HC24" s="8">
        <v>0.11491223758269346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7">
        <v>1.9623576675569217E-3</v>
      </c>
      <c r="HM24" s="8">
        <v>4.8101490838183762E-2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7">
        <v>4.5832023261751405E-3</v>
      </c>
      <c r="HW24" s="8">
        <v>9.8167908635868675E-2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6.7709516878789447E-3</v>
      </c>
      <c r="IG24" s="8">
        <v>0.33903393040691021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8">
        <v>0</v>
      </c>
      <c r="IO24" s="8">
        <v>0</v>
      </c>
      <c r="IP24" s="8">
        <v>0</v>
      </c>
      <c r="IQ24" s="8">
        <v>0</v>
      </c>
      <c r="IR24" s="8">
        <v>0</v>
      </c>
      <c r="JB24" s="6" t="s">
        <v>174</v>
      </c>
      <c r="JC24" s="8">
        <v>0</v>
      </c>
      <c r="JD24" s="8">
        <v>0</v>
      </c>
      <c r="JE24" s="7">
        <v>0</v>
      </c>
      <c r="JF24" s="8">
        <v>6.1263349345494884E-2</v>
      </c>
      <c r="JG24" s="8">
        <v>0.19613267620835159</v>
      </c>
      <c r="JH24" s="8">
        <v>0.23985083080299888</v>
      </c>
      <c r="JI24" s="8">
        <v>0.16176711063162652</v>
      </c>
      <c r="JJ24" s="8">
        <v>3.2011223303180306E-2</v>
      </c>
      <c r="JK24" s="8">
        <v>0</v>
      </c>
      <c r="JL24" s="8">
        <v>0</v>
      </c>
      <c r="JM24" s="8">
        <v>0</v>
      </c>
      <c r="JN24" s="7">
        <v>2.5419573392926109E-4</v>
      </c>
      <c r="JO24" s="8">
        <v>5.0000847351301281E-2</v>
      </c>
      <c r="JP24" s="8">
        <v>0.26135445880513264</v>
      </c>
      <c r="JQ24" s="8">
        <v>0.405059901844735</v>
      </c>
      <c r="JR24" s="8">
        <v>0.42976113940568572</v>
      </c>
      <c r="JS24" s="8">
        <v>0.34318328602091247</v>
      </c>
      <c r="JT24" s="8">
        <v>0.15284782193912036</v>
      </c>
      <c r="JU24" s="8">
        <v>8.4151228217432972E-3</v>
      </c>
      <c r="JV24" s="8">
        <v>0</v>
      </c>
      <c r="JW24" s="7">
        <v>0</v>
      </c>
      <c r="JX24" s="8">
        <v>1.060452164343707E-2</v>
      </c>
      <c r="JY24" s="8">
        <v>0.10619080369857359</v>
      </c>
      <c r="JZ24" s="8">
        <v>0.28135165987593491</v>
      </c>
      <c r="KA24" s="8">
        <v>0.40719156623357622</v>
      </c>
      <c r="KB24" s="8">
        <v>0.43211372545044002</v>
      </c>
      <c r="KC24" s="8">
        <v>0.37300378133867407</v>
      </c>
      <c r="KD24" s="8">
        <v>0.21249202702415154</v>
      </c>
      <c r="KE24" s="8">
        <v>4.2251204929665442E-2</v>
      </c>
      <c r="KF24" s="7">
        <v>6.4445446308796514E-4</v>
      </c>
      <c r="KG24" s="7">
        <v>0</v>
      </c>
      <c r="KH24" s="8">
        <v>5.7726105874319217E-3</v>
      </c>
      <c r="KI24" s="8">
        <v>8.8372033124745231E-2</v>
      </c>
      <c r="KJ24" s="8">
        <v>0.26971204240144703</v>
      </c>
      <c r="KK24" s="8">
        <v>0.40177557396319186</v>
      </c>
      <c r="KL24" s="8">
        <v>0.43246129224155649</v>
      </c>
      <c r="KM24" s="8">
        <v>0.35414193422515555</v>
      </c>
      <c r="KN24" s="8">
        <v>0.19250306556715358</v>
      </c>
      <c r="KO24" s="8">
        <v>3.3820843019550538E-2</v>
      </c>
      <c r="KP24" s="7">
        <v>3.4343836741316825E-4</v>
      </c>
      <c r="KQ24" s="8">
        <v>0</v>
      </c>
      <c r="KR24" s="7">
        <v>0</v>
      </c>
      <c r="KS24" s="8">
        <v>2.1511426567766785E-2</v>
      </c>
      <c r="KT24" s="8">
        <v>0.16280421578360565</v>
      </c>
      <c r="KU24" s="8">
        <v>0.27561501038212122</v>
      </c>
      <c r="KV24" s="8">
        <v>0.29057846000667714</v>
      </c>
      <c r="KW24" s="8">
        <v>0.21138555520068827</v>
      </c>
      <c r="KX24" s="8">
        <v>6.5557696895295822E-2</v>
      </c>
      <c r="KY24" s="7">
        <v>6.8060804809260626E-4</v>
      </c>
      <c r="KZ24" s="8">
        <v>0</v>
      </c>
      <c r="LA24" s="8">
        <v>0</v>
      </c>
      <c r="LB24" s="8">
        <v>0</v>
      </c>
      <c r="LC24" s="7">
        <v>0</v>
      </c>
      <c r="LD24" s="8">
        <v>5.2678407038536705E-2</v>
      </c>
      <c r="LE24" s="8">
        <v>0.18201521130299217</v>
      </c>
      <c r="LF24" s="8">
        <v>0.21177447806123825</v>
      </c>
      <c r="LG24" s="8">
        <v>9.7953235605176117E-2</v>
      </c>
      <c r="LH24" s="7">
        <v>1.6561750056406305E-3</v>
      </c>
      <c r="LI24" s="8">
        <v>0</v>
      </c>
      <c r="LJ24" s="8">
        <v>0</v>
      </c>
      <c r="LL24" s="6" t="s">
        <v>174</v>
      </c>
      <c r="LM24" s="6" t="s">
        <v>160</v>
      </c>
      <c r="LN24" s="6" t="s">
        <v>161</v>
      </c>
      <c r="LO24" s="8">
        <v>0.35708389863312334</v>
      </c>
    </row>
    <row r="25" spans="2:327" x14ac:dyDescent="0.45">
      <c r="B25" s="3" t="s">
        <v>175</v>
      </c>
      <c r="C25" s="3" t="s">
        <v>151</v>
      </c>
      <c r="D25" s="5">
        <v>0</v>
      </c>
      <c r="E25" s="5">
        <v>0</v>
      </c>
      <c r="F25" s="5">
        <v>0.96610169491525388</v>
      </c>
      <c r="G25" s="5">
        <v>0.45961776387693193</v>
      </c>
      <c r="H25" s="5">
        <v>0.27369594671938158</v>
      </c>
      <c r="I25" s="5">
        <v>0.23246652141892538</v>
      </c>
      <c r="J25" s="5">
        <v>0.35056995578206779</v>
      </c>
      <c r="K25" s="5">
        <v>0.7963052109682387</v>
      </c>
      <c r="L25" s="5">
        <v>0</v>
      </c>
      <c r="M25" s="5">
        <v>0</v>
      </c>
      <c r="N25" s="5">
        <v>0</v>
      </c>
      <c r="O25" s="5">
        <v>0.84342411181862531</v>
      </c>
      <c r="P25" s="5">
        <v>0.41276585570374136</v>
      </c>
      <c r="Q25" s="5">
        <v>0.22923660735830995</v>
      </c>
      <c r="R25" s="5">
        <v>0.16398407822152658</v>
      </c>
      <c r="S25" s="5">
        <v>0.15819987134208682</v>
      </c>
      <c r="T25" s="5">
        <v>0.17622848683207273</v>
      </c>
      <c r="U25" s="5">
        <v>0.28284925553800272</v>
      </c>
      <c r="V25" s="5">
        <v>0.72167389406664473</v>
      </c>
      <c r="W25" s="5">
        <v>0</v>
      </c>
      <c r="X25" s="5">
        <v>0</v>
      </c>
      <c r="Y25" s="5">
        <v>0.30743988379735415</v>
      </c>
      <c r="Z25" s="5">
        <v>0.20893930049151385</v>
      </c>
      <c r="AA25" s="5">
        <v>0.15228335419315056</v>
      </c>
      <c r="AB25" s="5">
        <v>0.14060759087321897</v>
      </c>
      <c r="AC25" s="5">
        <v>0.15231004966754105</v>
      </c>
      <c r="AD25" s="5">
        <v>0.15879229973118406</v>
      </c>
      <c r="AE25" s="5">
        <v>0.20299741607481589</v>
      </c>
      <c r="AF25" s="5">
        <v>0.28826810483835552</v>
      </c>
      <c r="AG25" s="5">
        <v>0.81861133502387351</v>
      </c>
      <c r="AH25" s="5">
        <v>0</v>
      </c>
      <c r="AI25" s="5">
        <v>0.45344455905212733</v>
      </c>
      <c r="AJ25" s="5">
        <v>0.25284315454818806</v>
      </c>
      <c r="AK25" s="5">
        <v>0.16536075846678686</v>
      </c>
      <c r="AL25" s="5">
        <v>0.15288113955780436</v>
      </c>
      <c r="AM25" s="5">
        <v>0.16068152193492294</v>
      </c>
      <c r="AN25" s="5">
        <v>0.17134494586441595</v>
      </c>
      <c r="AO25" s="5">
        <v>0.2019336988116136</v>
      </c>
      <c r="AP25" s="5">
        <v>0.36140430329681522</v>
      </c>
      <c r="AQ25" s="5">
        <v>0.88754564176630935</v>
      </c>
      <c r="AR25" s="5">
        <v>0</v>
      </c>
      <c r="AS25" s="5">
        <v>0.98360655737704916</v>
      </c>
      <c r="AT25" s="5">
        <v>0.51756649395398602</v>
      </c>
      <c r="AU25" s="5">
        <v>0.27514947195640022</v>
      </c>
      <c r="AV25" s="5">
        <v>0.22400351437902646</v>
      </c>
      <c r="AW25" s="5">
        <v>0.21771680974602947</v>
      </c>
      <c r="AX25" s="5">
        <v>0.27649571212711632</v>
      </c>
      <c r="AY25" s="5">
        <v>0.50042205078660928</v>
      </c>
      <c r="AZ25" s="5">
        <v>0.92622950819672134</v>
      </c>
      <c r="BA25" s="5">
        <v>0</v>
      </c>
      <c r="BB25" s="5">
        <v>0</v>
      </c>
      <c r="BC25" s="5">
        <v>0</v>
      </c>
      <c r="BD25" s="5">
        <v>0</v>
      </c>
      <c r="BE25" s="5">
        <v>0.49293097459747326</v>
      </c>
      <c r="BF25" s="5">
        <v>0.31405260567580778</v>
      </c>
      <c r="BG25" s="5">
        <v>0.3125731950629983</v>
      </c>
      <c r="BH25" s="5">
        <v>0.50603262027862084</v>
      </c>
      <c r="BI25" s="5">
        <v>0</v>
      </c>
      <c r="BJ25" s="5">
        <v>0</v>
      </c>
      <c r="BK25" s="5">
        <v>0</v>
      </c>
      <c r="BM25" s="3" t="s">
        <v>175</v>
      </c>
      <c r="BN25" s="3" t="s">
        <v>152</v>
      </c>
      <c r="BO25" s="5">
        <v>0</v>
      </c>
      <c r="BP25" s="5">
        <v>0</v>
      </c>
      <c r="BQ25" s="4">
        <v>0.93335248491812695</v>
      </c>
      <c r="BR25" s="5">
        <v>0.31835633179881972</v>
      </c>
      <c r="BS25" s="5">
        <v>0.17486362886861598</v>
      </c>
      <c r="BT25" s="5">
        <v>8.9301102126256207E-2</v>
      </c>
      <c r="BU25" s="4">
        <v>5.5490270611276905E-2</v>
      </c>
      <c r="BV25" s="5">
        <v>0.16375830399581406</v>
      </c>
      <c r="BW25" s="4">
        <v>0</v>
      </c>
      <c r="BX25" s="5">
        <v>0</v>
      </c>
      <c r="BY25" s="4">
        <v>0</v>
      </c>
      <c r="BZ25" s="4">
        <v>0.72150280425728375</v>
      </c>
      <c r="CA25" s="4">
        <v>0.28398260771377676</v>
      </c>
      <c r="CB25" s="4">
        <v>0.12995783304771991</v>
      </c>
      <c r="CC25" s="4">
        <v>6.7180852533574351E-2</v>
      </c>
      <c r="CD25" s="5">
        <v>3.0410719079643961E-2</v>
      </c>
      <c r="CE25" s="4">
        <v>4.4669261818769436E-2</v>
      </c>
      <c r="CF25" s="5">
        <v>8.6889926177509375E-2</v>
      </c>
      <c r="CG25" s="4">
        <v>0.51400537542712588</v>
      </c>
      <c r="CH25" s="5">
        <v>0</v>
      </c>
      <c r="CI25" s="5">
        <v>0</v>
      </c>
      <c r="CJ25" s="4">
        <v>0.18786257362634998</v>
      </c>
      <c r="CK25" s="5">
        <v>0.13613465496718813</v>
      </c>
      <c r="CL25" s="4">
        <v>8.6438035816549949E-2</v>
      </c>
      <c r="CM25" s="5">
        <v>7.0989441982972232E-2</v>
      </c>
      <c r="CN25" s="5">
        <v>4.5176566193394795E-2</v>
      </c>
      <c r="CO25" s="5">
        <v>2.6059699007246643E-2</v>
      </c>
      <c r="CP25" s="5">
        <v>5.8834376014325306E-2</v>
      </c>
      <c r="CQ25" s="5">
        <v>0.13556973298527084</v>
      </c>
      <c r="CR25" s="5">
        <v>0.64291143985837851</v>
      </c>
      <c r="CS25" s="5">
        <v>0</v>
      </c>
      <c r="CT25" s="5">
        <v>0.31244404211894616</v>
      </c>
      <c r="CU25" s="4">
        <v>0.16217837484243963</v>
      </c>
      <c r="CV25" s="4">
        <v>9.1829635282397945E-2</v>
      </c>
      <c r="CW25" s="5">
        <v>8.1921626462961611E-2</v>
      </c>
      <c r="CX25" s="4">
        <v>3.0956617745888929E-2</v>
      </c>
      <c r="CY25" s="4">
        <v>1.5274929570893563E-2</v>
      </c>
      <c r="CZ25" s="4">
        <v>3.0845920042644741E-2</v>
      </c>
      <c r="DA25" s="4">
        <v>0.11734153638984614</v>
      </c>
      <c r="DB25" s="5">
        <v>0.64522181104883036</v>
      </c>
      <c r="DC25" s="5">
        <v>0</v>
      </c>
      <c r="DD25" s="4">
        <v>0.96748185971513023</v>
      </c>
      <c r="DE25" s="4">
        <v>0.3779056663442501</v>
      </c>
      <c r="DF25" s="5">
        <v>0.16684080086252623</v>
      </c>
      <c r="DG25" s="5">
        <v>0.12405987016357982</v>
      </c>
      <c r="DH25" s="4">
        <v>6.6697996896186093E-2</v>
      </c>
      <c r="DI25" s="4">
        <v>2.0059424242681017E-2</v>
      </c>
      <c r="DJ25" s="4">
        <v>9.9024730533385272E-2</v>
      </c>
      <c r="DK25" s="4">
        <v>0.11814331360575572</v>
      </c>
      <c r="DL25" s="5">
        <v>0</v>
      </c>
      <c r="DM25" s="5">
        <v>0</v>
      </c>
      <c r="DN25" s="5">
        <v>0</v>
      </c>
      <c r="DO25" s="5">
        <v>0</v>
      </c>
      <c r="DP25" s="5">
        <v>0.32980672924748117</v>
      </c>
      <c r="DQ25" s="5">
        <v>0.19560825046248775</v>
      </c>
      <c r="DR25" s="5">
        <v>0.16241621742826021</v>
      </c>
      <c r="DS25" s="5">
        <v>9.0064909616737285E-2</v>
      </c>
      <c r="DT25" s="4">
        <v>0</v>
      </c>
      <c r="DU25" s="5">
        <v>0</v>
      </c>
      <c r="DV25" s="5">
        <v>0</v>
      </c>
      <c r="DX25" s="3" t="s">
        <v>175</v>
      </c>
      <c r="DY25" s="3" t="s">
        <v>153</v>
      </c>
      <c r="DZ25" s="4">
        <v>0</v>
      </c>
      <c r="EA25" s="5">
        <v>0</v>
      </c>
      <c r="EB25" s="5">
        <v>0</v>
      </c>
      <c r="EC25" s="5">
        <v>0</v>
      </c>
      <c r="ED25" s="4">
        <v>0</v>
      </c>
      <c r="EE25" s="5">
        <v>5.4560907670561591E-2</v>
      </c>
      <c r="EF25" s="4">
        <v>0.17843691914594342</v>
      </c>
      <c r="EG25" s="5">
        <v>0.49025106710448046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1.9722141021586748E-2</v>
      </c>
      <c r="EO25" s="4">
        <v>4.5743824926078723E-2</v>
      </c>
      <c r="EP25" s="4">
        <v>5.1083858106225712E-2</v>
      </c>
      <c r="EQ25" s="4">
        <v>8.0475275526153425E-2</v>
      </c>
      <c r="ER25" s="4">
        <v>1.4636557626364602E-2</v>
      </c>
      <c r="ES25" s="4">
        <v>0</v>
      </c>
      <c r="ET25" s="5">
        <v>0</v>
      </c>
      <c r="EU25" s="5">
        <v>0</v>
      </c>
      <c r="EV25" s="5">
        <v>0</v>
      </c>
      <c r="EW25" s="5">
        <v>0</v>
      </c>
      <c r="EX25" s="4">
        <v>7.0721114722920638E-3</v>
      </c>
      <c r="EY25" s="5">
        <v>4.2507174531143527E-2</v>
      </c>
      <c r="EZ25" s="5">
        <v>6.6269370244548098E-2</v>
      </c>
      <c r="FA25" s="5">
        <v>6.3040061766732658E-2</v>
      </c>
      <c r="FB25" s="5">
        <v>3.7564214655605034E-2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4">
        <v>5.1524298188617987E-3</v>
      </c>
      <c r="FI25" s="5">
        <v>5.658902559549292E-2</v>
      </c>
      <c r="FJ25" s="5">
        <v>7.9738590080040667E-2</v>
      </c>
      <c r="FK25" s="5">
        <v>8.6811936080068458E-2</v>
      </c>
      <c r="FL25" s="5">
        <v>4.8479158715451984E-2</v>
      </c>
      <c r="FM25" s="4">
        <v>0</v>
      </c>
      <c r="FN25" s="5">
        <v>0</v>
      </c>
      <c r="FO25" s="5">
        <v>0</v>
      </c>
      <c r="FP25" s="4">
        <v>0</v>
      </c>
      <c r="FQ25" s="4">
        <v>0</v>
      </c>
      <c r="FR25" s="4">
        <v>7.4296383808690677E-3</v>
      </c>
      <c r="FS25" s="4">
        <v>6.7648743301965408E-2</v>
      </c>
      <c r="FT25" s="5">
        <v>0.15728311160433139</v>
      </c>
      <c r="FU25" s="5">
        <v>0.1964915830778832</v>
      </c>
      <c r="FV25" s="4">
        <v>0.1993477719596296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2.6561258187925988E-2</v>
      </c>
      <c r="GD25" s="5">
        <v>0.24771174462432119</v>
      </c>
      <c r="GE25" s="5">
        <v>0</v>
      </c>
      <c r="GF25" s="5">
        <v>0</v>
      </c>
      <c r="GG25" s="5">
        <v>0</v>
      </c>
      <c r="GI25" s="3" t="s">
        <v>175</v>
      </c>
      <c r="GJ25" s="3" t="s">
        <v>154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4">
        <v>0</v>
      </c>
      <c r="HB25" s="5">
        <v>1.4248760596423157E-2</v>
      </c>
      <c r="HC25" s="5">
        <v>5.0637323152770877E-2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4">
        <v>6.9399097054552716E-3</v>
      </c>
      <c r="HM25" s="5">
        <v>1.7011114343472331E-2</v>
      </c>
      <c r="HN25" s="5">
        <v>4.8880309932784222E-2</v>
      </c>
      <c r="HO25" s="5">
        <v>0</v>
      </c>
      <c r="HP25" s="5">
        <v>0</v>
      </c>
      <c r="HQ25" s="5">
        <v>0</v>
      </c>
      <c r="HR25" s="5">
        <v>0</v>
      </c>
      <c r="HS25" s="5">
        <v>0</v>
      </c>
      <c r="HT25" s="5">
        <v>0</v>
      </c>
      <c r="HU25" s="5">
        <v>0</v>
      </c>
      <c r="HV25" s="4">
        <v>4.2618584762906652E-3</v>
      </c>
      <c r="HW25" s="5">
        <v>7.9923510661574521E-2</v>
      </c>
      <c r="HX25" s="5">
        <v>0.14779147911289381</v>
      </c>
      <c r="HY25" s="5">
        <v>0</v>
      </c>
      <c r="HZ25" s="5">
        <v>0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>
        <v>5.2147370503072533E-2</v>
      </c>
      <c r="IG25" s="5">
        <v>0.5404100162889548</v>
      </c>
      <c r="IH25" s="5">
        <v>0</v>
      </c>
      <c r="II25" s="5">
        <v>0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>
        <v>0</v>
      </c>
      <c r="IQ25" s="5">
        <v>0</v>
      </c>
      <c r="IR25" s="5">
        <v>0</v>
      </c>
      <c r="JB25" s="3" t="s">
        <v>175</v>
      </c>
      <c r="JC25" s="5">
        <v>0</v>
      </c>
      <c r="JD25" s="5">
        <v>0</v>
      </c>
      <c r="JE25" s="4">
        <v>1.2980419658653655E-3</v>
      </c>
      <c r="JF25" s="5">
        <v>8.2141246025419334E-2</v>
      </c>
      <c r="JG25" s="5">
        <v>0.23877574919833927</v>
      </c>
      <c r="JH25" s="5">
        <v>0.28871207632330759</v>
      </c>
      <c r="JI25" s="5">
        <v>0.15731334902170696</v>
      </c>
      <c r="JJ25" s="5">
        <v>1.8385754788885073E-2</v>
      </c>
      <c r="JK25" s="5">
        <v>0</v>
      </c>
      <c r="JL25" s="5">
        <v>0</v>
      </c>
      <c r="JM25" s="5">
        <v>0</v>
      </c>
      <c r="JN25" s="4">
        <v>1.4119234057265472E-3</v>
      </c>
      <c r="JO25" s="5">
        <v>7.6605246667775212E-2</v>
      </c>
      <c r="JP25" s="5">
        <v>0.28598373326594789</v>
      </c>
      <c r="JQ25" s="5">
        <v>0.43448059289096513</v>
      </c>
      <c r="JR25" s="5">
        <v>0.44949333340776965</v>
      </c>
      <c r="JS25" s="5">
        <v>0.34673051428176133</v>
      </c>
      <c r="JT25" s="5">
        <v>0.1389511624410448</v>
      </c>
      <c r="JU25" s="5">
        <v>4.5597879440510821E-3</v>
      </c>
      <c r="JV25" s="5">
        <v>0</v>
      </c>
      <c r="JW25" s="4">
        <v>0</v>
      </c>
      <c r="JX25" s="5">
        <v>2.2603899482128459E-2</v>
      </c>
      <c r="JY25" s="5">
        <v>0.15947526944405013</v>
      </c>
      <c r="JZ25" s="5">
        <v>0.34596594818816301</v>
      </c>
      <c r="KA25" s="5">
        <v>0.4596213643954053</v>
      </c>
      <c r="KB25" s="5">
        <v>0.45858113014896634</v>
      </c>
      <c r="KC25" s="5">
        <v>0.36420420978453838</v>
      </c>
      <c r="KD25" s="5">
        <v>0.18591136219347357</v>
      </c>
      <c r="KE25" s="5">
        <v>3.3907221943365283E-2</v>
      </c>
      <c r="KF25" s="4">
        <v>6.1164198265110286E-4</v>
      </c>
      <c r="KG25" s="4">
        <v>0</v>
      </c>
      <c r="KH25" s="5">
        <v>1.2427332357361544E-2</v>
      </c>
      <c r="KI25" s="5">
        <v>0.13360161762659492</v>
      </c>
      <c r="KJ25" s="5">
        <v>0.33498686627557955</v>
      </c>
      <c r="KK25" s="5">
        <v>0.45270114464694722</v>
      </c>
      <c r="KL25" s="5">
        <v>0.4699200398687336</v>
      </c>
      <c r="KM25" s="5">
        <v>0.3685314022885382</v>
      </c>
      <c r="KN25" s="5">
        <v>0.18844271210418889</v>
      </c>
      <c r="KO25" s="5">
        <v>2.8579367441283966E-2</v>
      </c>
      <c r="KP25" s="4">
        <v>2.8393948518594034E-4</v>
      </c>
      <c r="KQ25" s="5">
        <v>0</v>
      </c>
      <c r="KR25" s="4">
        <v>2.1949179847432769E-6</v>
      </c>
      <c r="KS25" s="5">
        <v>3.3700535456162348E-2</v>
      </c>
      <c r="KT25" s="5">
        <v>0.19377217780946401</v>
      </c>
      <c r="KU25" s="5">
        <v>0.31517467883539119</v>
      </c>
      <c r="KV25" s="5">
        <v>0.29132154294109314</v>
      </c>
      <c r="KW25" s="5">
        <v>0.19113444349300002</v>
      </c>
      <c r="KX25" s="5">
        <v>4.7738139472059446E-2</v>
      </c>
      <c r="KY25" s="4">
        <v>2.3081171402821981E-4</v>
      </c>
      <c r="KZ25" s="5">
        <v>0</v>
      </c>
      <c r="LA25" s="5">
        <v>0</v>
      </c>
      <c r="LB25" s="5">
        <v>0</v>
      </c>
      <c r="LC25" s="4">
        <v>0</v>
      </c>
      <c r="LD25" s="5">
        <v>6.00898716284156E-2</v>
      </c>
      <c r="LE25" s="5">
        <v>0.1795792139819701</v>
      </c>
      <c r="LF25" s="5">
        <v>0.17832767089568569</v>
      </c>
      <c r="LG25" s="5">
        <v>5.7320120019618045E-2</v>
      </c>
      <c r="LH25" s="4">
        <v>0</v>
      </c>
      <c r="LI25" s="5">
        <v>0</v>
      </c>
      <c r="LJ25" s="5">
        <v>0</v>
      </c>
      <c r="LL25" s="3" t="s">
        <v>175</v>
      </c>
      <c r="LM25" s="3" t="s">
        <v>160</v>
      </c>
      <c r="LN25" s="3" t="s">
        <v>161</v>
      </c>
      <c r="LO25" s="5">
        <v>0.41739488240309053</v>
      </c>
    </row>
    <row r="26" spans="2:327" x14ac:dyDescent="0.45">
      <c r="B26" s="6" t="s">
        <v>176</v>
      </c>
      <c r="C26" s="6" t="s">
        <v>151</v>
      </c>
      <c r="D26" s="8">
        <v>0</v>
      </c>
      <c r="E26" s="8">
        <v>0</v>
      </c>
      <c r="F26" s="8">
        <v>0.8787830325546131</v>
      </c>
      <c r="G26" s="8">
        <v>0.37965810490202156</v>
      </c>
      <c r="H26" s="8">
        <v>0.31753905156870782</v>
      </c>
      <c r="I26" s="8">
        <v>0.31311659850461321</v>
      </c>
      <c r="J26" s="8">
        <v>0.34437254570836034</v>
      </c>
      <c r="K26" s="8">
        <v>0.72951659524331924</v>
      </c>
      <c r="L26" s="8">
        <v>0</v>
      </c>
      <c r="M26" s="8">
        <v>0</v>
      </c>
      <c r="N26" s="8">
        <v>0</v>
      </c>
      <c r="O26" s="8">
        <v>0.86121040078551181</v>
      </c>
      <c r="P26" s="8">
        <v>0.40758989366868609</v>
      </c>
      <c r="Q26" s="8">
        <v>0.22247447350262847</v>
      </c>
      <c r="R26" s="8">
        <v>0.18336776865767415</v>
      </c>
      <c r="S26" s="8">
        <v>0.17260772009549469</v>
      </c>
      <c r="T26" s="8">
        <v>0.19824583395785833</v>
      </c>
      <c r="U26" s="8">
        <v>0.30607220234663646</v>
      </c>
      <c r="V26" s="8">
        <v>0.7839515827737713</v>
      </c>
      <c r="W26" s="8">
        <v>0</v>
      </c>
      <c r="X26" s="8">
        <v>0</v>
      </c>
      <c r="Y26" s="8">
        <v>0.42197354457371894</v>
      </c>
      <c r="Z26" s="8">
        <v>0.22336424858519408</v>
      </c>
      <c r="AA26" s="8">
        <v>0.17246271088884191</v>
      </c>
      <c r="AB26" s="8">
        <v>0.16334848474093289</v>
      </c>
      <c r="AC26" s="8">
        <v>0.15858350354413528</v>
      </c>
      <c r="AD26" s="8">
        <v>0.15513688098277187</v>
      </c>
      <c r="AE26" s="8">
        <v>0.19848257259045218</v>
      </c>
      <c r="AF26" s="8">
        <v>0.36661129061346592</v>
      </c>
      <c r="AG26" s="8">
        <v>0</v>
      </c>
      <c r="AH26" s="8">
        <v>0</v>
      </c>
      <c r="AI26" s="8">
        <v>0.53734874436588742</v>
      </c>
      <c r="AJ26" s="8">
        <v>0.24553582457196715</v>
      </c>
      <c r="AK26" s="8">
        <v>0.13716020517974503</v>
      </c>
      <c r="AL26" s="8">
        <v>0.11852061346573853</v>
      </c>
      <c r="AM26" s="8">
        <v>0.11715545748735839</v>
      </c>
      <c r="AN26" s="8">
        <v>0.12661469095378555</v>
      </c>
      <c r="AO26" s="8">
        <v>0.19615600297062924</v>
      </c>
      <c r="AP26" s="8">
        <v>0.41620969911089772</v>
      </c>
      <c r="AQ26" s="8">
        <v>0</v>
      </c>
      <c r="AR26" s="8">
        <v>0</v>
      </c>
      <c r="AS26" s="8">
        <v>0.98360655737704916</v>
      </c>
      <c r="AT26" s="8">
        <v>0.43056485846452025</v>
      </c>
      <c r="AU26" s="8">
        <v>0.23980672949882126</v>
      </c>
      <c r="AV26" s="8">
        <v>0.21286257491400548</v>
      </c>
      <c r="AW26" s="8">
        <v>0.21472353018191251</v>
      </c>
      <c r="AX26" s="8">
        <v>0.26254603581076763</v>
      </c>
      <c r="AY26" s="8">
        <v>0.46531303769693833</v>
      </c>
      <c r="AZ26" s="8">
        <v>0.94262295081967173</v>
      </c>
      <c r="BA26" s="8">
        <v>0</v>
      </c>
      <c r="BB26" s="8">
        <v>0</v>
      </c>
      <c r="BC26" s="8">
        <v>0</v>
      </c>
      <c r="BD26" s="8">
        <v>0.90628898164106253</v>
      </c>
      <c r="BE26" s="8">
        <v>0.36911873014320368</v>
      </c>
      <c r="BF26" s="8">
        <v>0.29706028622404446</v>
      </c>
      <c r="BG26" s="8">
        <v>0.26931498929421221</v>
      </c>
      <c r="BH26" s="8">
        <v>0.34155447503514358</v>
      </c>
      <c r="BI26" s="8">
        <v>0.98360655737704894</v>
      </c>
      <c r="BJ26" s="8">
        <v>0</v>
      </c>
      <c r="BK26" s="8">
        <v>0</v>
      </c>
      <c r="BM26" s="6" t="s">
        <v>176</v>
      </c>
      <c r="BN26" s="6" t="s">
        <v>152</v>
      </c>
      <c r="BO26" s="8">
        <v>0</v>
      </c>
      <c r="BP26" s="8">
        <v>0</v>
      </c>
      <c r="BQ26" s="7">
        <v>0.78655489164966774</v>
      </c>
      <c r="BR26" s="8">
        <v>0.25967143427303779</v>
      </c>
      <c r="BS26" s="8">
        <v>0.19147143917023587</v>
      </c>
      <c r="BT26" s="8">
        <v>0.1391737359046038</v>
      </c>
      <c r="BU26" s="7">
        <v>3.2944253867973637E-2</v>
      </c>
      <c r="BV26" s="8">
        <v>0.15380446685790664</v>
      </c>
      <c r="BW26" s="7">
        <v>0</v>
      </c>
      <c r="BX26" s="8">
        <v>0</v>
      </c>
      <c r="BY26" s="7">
        <v>0</v>
      </c>
      <c r="BZ26" s="7">
        <v>0.75306918777554843</v>
      </c>
      <c r="CA26" s="7">
        <v>0.27851705606701521</v>
      </c>
      <c r="CB26" s="7">
        <v>0.12619269432084765</v>
      </c>
      <c r="CC26" s="7">
        <v>7.90450169264999E-2</v>
      </c>
      <c r="CD26" s="8">
        <v>3.4422438784978922E-2</v>
      </c>
      <c r="CE26" s="7">
        <v>2.8897412267550826E-2</v>
      </c>
      <c r="CF26" s="8">
        <v>7.244172190046487E-2</v>
      </c>
      <c r="CG26" s="7">
        <v>0.28645382289651966</v>
      </c>
      <c r="CH26" s="8">
        <v>0</v>
      </c>
      <c r="CI26" s="8">
        <v>0</v>
      </c>
      <c r="CJ26" s="7">
        <v>0.25366101762349408</v>
      </c>
      <c r="CK26" s="8">
        <v>0.15115516569266041</v>
      </c>
      <c r="CL26" s="7">
        <v>9.5145319333548375E-2</v>
      </c>
      <c r="CM26" s="8">
        <v>9.4451504829227872E-2</v>
      </c>
      <c r="CN26" s="8">
        <v>2.1275928683490233E-2</v>
      </c>
      <c r="CO26" s="8">
        <v>1.5951996798727712E-2</v>
      </c>
      <c r="CP26" s="8">
        <v>3.896556675516883E-2</v>
      </c>
      <c r="CQ26" s="8">
        <v>0.2132688346171682</v>
      </c>
      <c r="CR26" s="8">
        <v>0</v>
      </c>
      <c r="CS26" s="8">
        <v>0</v>
      </c>
      <c r="CT26" s="8">
        <v>0.36824345723262564</v>
      </c>
      <c r="CU26" s="7">
        <v>0.15462488798740084</v>
      </c>
      <c r="CV26" s="7">
        <v>7.0330194643498767E-2</v>
      </c>
      <c r="CW26" s="8">
        <v>5.5048612352720412E-2</v>
      </c>
      <c r="CX26" s="7">
        <v>3.2254176791247813E-2</v>
      </c>
      <c r="CY26" s="7">
        <v>1.6033557430167381E-2</v>
      </c>
      <c r="CZ26" s="7">
        <v>4.0758128260297823E-2</v>
      </c>
      <c r="DA26" s="7">
        <v>0.26126781275854666</v>
      </c>
      <c r="DB26" s="8">
        <v>0</v>
      </c>
      <c r="DC26" s="8">
        <v>0</v>
      </c>
      <c r="DD26" s="7">
        <v>0.96748185971513034</v>
      </c>
      <c r="DE26" s="7">
        <v>0.30731970560946692</v>
      </c>
      <c r="DF26" s="8">
        <v>0.14271536297989737</v>
      </c>
      <c r="DG26" s="8">
        <v>0.10616118596313531</v>
      </c>
      <c r="DH26" s="7">
        <v>3.8637754090378708E-2</v>
      </c>
      <c r="DI26" s="7">
        <v>4.2010779369415725E-2</v>
      </c>
      <c r="DJ26" s="7">
        <v>0.11481913647833004</v>
      </c>
      <c r="DK26" s="7">
        <v>0</v>
      </c>
      <c r="DL26" s="8">
        <v>0</v>
      </c>
      <c r="DM26" s="8">
        <v>0</v>
      </c>
      <c r="DN26" s="8">
        <v>0</v>
      </c>
      <c r="DO26" s="8">
        <v>0.8245744013291636</v>
      </c>
      <c r="DP26" s="8">
        <v>0.2460657255325954</v>
      </c>
      <c r="DQ26" s="8">
        <v>0.17498025886619314</v>
      </c>
      <c r="DR26" s="8">
        <v>8.4647606632200403E-2</v>
      </c>
      <c r="DS26" s="8">
        <v>8.0043471606427039E-2</v>
      </c>
      <c r="DT26" s="7">
        <v>0.96748185971513034</v>
      </c>
      <c r="DU26" s="8">
        <v>0</v>
      </c>
      <c r="DV26" s="8">
        <v>0</v>
      </c>
      <c r="DX26" s="6" t="s">
        <v>176</v>
      </c>
      <c r="DY26" s="6" t="s">
        <v>153</v>
      </c>
      <c r="DZ26" s="7">
        <v>0</v>
      </c>
      <c r="EA26" s="8">
        <v>0</v>
      </c>
      <c r="EB26" s="8">
        <v>0</v>
      </c>
      <c r="EC26" s="8">
        <v>0</v>
      </c>
      <c r="ED26" s="7">
        <v>0</v>
      </c>
      <c r="EE26" s="8">
        <v>5.6395262115162777E-2</v>
      </c>
      <c r="EF26" s="7">
        <v>0.19924025049128696</v>
      </c>
      <c r="EG26" s="8">
        <v>0.42191813271230616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2.6571317297171378E-2</v>
      </c>
      <c r="EO26" s="7">
        <v>6.884827516987127E-2</v>
      </c>
      <c r="EP26" s="7">
        <v>8.3527474518366257E-2</v>
      </c>
      <c r="EQ26" s="7">
        <v>8.552658854323561E-2</v>
      </c>
      <c r="ER26" s="7">
        <v>7.3877698777593162E-2</v>
      </c>
      <c r="ES26" s="7">
        <v>0</v>
      </c>
      <c r="ET26" s="8">
        <v>0</v>
      </c>
      <c r="EU26" s="8">
        <v>0</v>
      </c>
      <c r="EV26" s="8">
        <v>0</v>
      </c>
      <c r="EW26" s="8">
        <v>0</v>
      </c>
      <c r="EX26" s="7">
        <v>0</v>
      </c>
      <c r="EY26" s="8">
        <v>6.6315708816525501E-2</v>
      </c>
      <c r="EZ26" s="8">
        <v>7.2448547731957247E-2</v>
      </c>
      <c r="FA26" s="8">
        <v>8.7479652882180986E-2</v>
      </c>
      <c r="FB26" s="8">
        <v>1.0141955407098238E-2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7">
        <v>0</v>
      </c>
      <c r="FI26" s="8">
        <v>2.9301367279124368E-2</v>
      </c>
      <c r="FJ26" s="8">
        <v>5.0955152473515584E-2</v>
      </c>
      <c r="FK26" s="8">
        <v>8.5585011857947382E-2</v>
      </c>
      <c r="FL26" s="8">
        <v>8.2424741900614419E-3</v>
      </c>
      <c r="FM26" s="7">
        <v>0</v>
      </c>
      <c r="FN26" s="8">
        <v>0</v>
      </c>
      <c r="FO26" s="8">
        <v>0</v>
      </c>
      <c r="FP26" s="7">
        <v>0</v>
      </c>
      <c r="FQ26" s="7">
        <v>0</v>
      </c>
      <c r="FR26" s="7">
        <v>1.0825306475284877E-2</v>
      </c>
      <c r="FS26" s="7">
        <v>8.6638830798630356E-2</v>
      </c>
      <c r="FT26" s="8">
        <v>0.12203366726736613</v>
      </c>
      <c r="FU26" s="8">
        <v>0.16179413260445386</v>
      </c>
      <c r="FV26" s="7">
        <v>3.5166869353823495E-2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6.0273784415751909E-2</v>
      </c>
      <c r="GD26" s="8">
        <v>0.13658903271656656</v>
      </c>
      <c r="GE26" s="8">
        <v>0</v>
      </c>
      <c r="GF26" s="8">
        <v>0</v>
      </c>
      <c r="GG26" s="8">
        <v>0</v>
      </c>
      <c r="GI26" s="6" t="s">
        <v>176</v>
      </c>
      <c r="GJ26" s="6" t="s">
        <v>154</v>
      </c>
      <c r="GK26" s="8">
        <v>0</v>
      </c>
      <c r="GL26" s="8">
        <v>0</v>
      </c>
      <c r="GM26" s="8">
        <v>0</v>
      </c>
      <c r="GN26" s="8">
        <v>0</v>
      </c>
      <c r="GO26" s="8">
        <v>0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 s="8">
        <v>0</v>
      </c>
      <c r="GV26" s="8">
        <v>0</v>
      </c>
      <c r="GW26" s="8">
        <v>0</v>
      </c>
      <c r="GX26" s="8">
        <v>0</v>
      </c>
      <c r="GY26" s="8">
        <v>0</v>
      </c>
      <c r="GZ26" s="8">
        <v>0</v>
      </c>
      <c r="HA26" s="7">
        <v>6.9576089935116919E-4</v>
      </c>
      <c r="HB26" s="8">
        <v>4.2333877877869595E-2</v>
      </c>
      <c r="HC26" s="8">
        <v>0.28213333560403464</v>
      </c>
      <c r="HD26" s="8">
        <v>0</v>
      </c>
      <c r="HE26" s="8">
        <v>0</v>
      </c>
      <c r="HF26" s="8">
        <v>0</v>
      </c>
      <c r="HG26" s="8">
        <v>0</v>
      </c>
      <c r="HH26" s="8">
        <v>0</v>
      </c>
      <c r="HI26" s="8">
        <v>0</v>
      </c>
      <c r="HJ26" s="8">
        <v>0</v>
      </c>
      <c r="HK26" s="8">
        <v>0</v>
      </c>
      <c r="HL26" s="7">
        <v>0</v>
      </c>
      <c r="HM26" s="8">
        <v>0</v>
      </c>
      <c r="HN26" s="8">
        <v>0</v>
      </c>
      <c r="HO26" s="8">
        <v>0</v>
      </c>
      <c r="HP26" s="8">
        <v>0</v>
      </c>
      <c r="HQ26" s="8">
        <v>0</v>
      </c>
      <c r="HR26" s="8">
        <v>0</v>
      </c>
      <c r="HS26" s="8">
        <v>0</v>
      </c>
      <c r="HT26" s="8">
        <v>0</v>
      </c>
      <c r="HU26" s="8">
        <v>0</v>
      </c>
      <c r="HV26" s="7">
        <v>0</v>
      </c>
      <c r="HW26" s="8">
        <v>0</v>
      </c>
      <c r="HX26" s="8">
        <v>0</v>
      </c>
      <c r="HY26" s="8">
        <v>0</v>
      </c>
      <c r="HZ26" s="8">
        <v>0</v>
      </c>
      <c r="IA26" s="8">
        <v>0</v>
      </c>
      <c r="IB26" s="8">
        <v>0</v>
      </c>
      <c r="IC26" s="8">
        <v>0</v>
      </c>
      <c r="ID26" s="8">
        <v>0</v>
      </c>
      <c r="IE26" s="8">
        <v>0</v>
      </c>
      <c r="IF26" s="8">
        <v>4.2582231178736309E-2</v>
      </c>
      <c r="IG26" s="8">
        <v>0.85422652108269126</v>
      </c>
      <c r="IH26" s="8">
        <v>0</v>
      </c>
      <c r="II26" s="8">
        <v>0</v>
      </c>
      <c r="IJ26" s="8">
        <v>0</v>
      </c>
      <c r="IK26" s="8">
        <v>0</v>
      </c>
      <c r="IL26" s="8">
        <v>0</v>
      </c>
      <c r="IM26" s="8">
        <v>0</v>
      </c>
      <c r="IN26" s="8">
        <v>0</v>
      </c>
      <c r="IO26" s="8">
        <v>0</v>
      </c>
      <c r="IP26" s="8">
        <v>0</v>
      </c>
      <c r="IQ26" s="8">
        <v>0</v>
      </c>
      <c r="IR26" s="8">
        <v>0</v>
      </c>
      <c r="JB26" s="6" t="s">
        <v>176</v>
      </c>
      <c r="JC26" s="8">
        <v>0</v>
      </c>
      <c r="JD26" s="8">
        <v>0</v>
      </c>
      <c r="JE26" s="7">
        <v>4.4355210354867372E-3</v>
      </c>
      <c r="JF26" s="8">
        <v>0.1145186292956708</v>
      </c>
      <c r="JG26" s="8">
        <v>0.25205506607732275</v>
      </c>
      <c r="JH26" s="8">
        <v>0.2550237066215062</v>
      </c>
      <c r="JI26" s="8">
        <v>0.14558823427907586</v>
      </c>
      <c r="JJ26" s="8">
        <v>1.872691776080208E-2</v>
      </c>
      <c r="JK26" s="8">
        <v>0</v>
      </c>
      <c r="JL26" s="8">
        <v>0</v>
      </c>
      <c r="JM26" s="8">
        <v>0</v>
      </c>
      <c r="JN26" s="7">
        <v>9.7769676872312846E-4</v>
      </c>
      <c r="JO26" s="8">
        <v>8.8483457927678935E-2</v>
      </c>
      <c r="JP26" s="8">
        <v>0.30910424579156287</v>
      </c>
      <c r="JQ26" s="8">
        <v>0.42431648302304209</v>
      </c>
      <c r="JR26" s="8">
        <v>0.41901077253392854</v>
      </c>
      <c r="JS26" s="8">
        <v>0.30320849062752775</v>
      </c>
      <c r="JT26" s="8">
        <v>0.10805424946947376</v>
      </c>
      <c r="JU26" s="8">
        <v>1.8092497184476147E-3</v>
      </c>
      <c r="JV26" s="8">
        <v>0</v>
      </c>
      <c r="JW26" s="7">
        <v>0</v>
      </c>
      <c r="JX26" s="8">
        <v>1.5533812191903485E-2</v>
      </c>
      <c r="JY26" s="8">
        <v>0.16396524046631683</v>
      </c>
      <c r="JZ26" s="8">
        <v>0.37550932319346264</v>
      </c>
      <c r="KA26" s="8">
        <v>0.48589636357959176</v>
      </c>
      <c r="KB26" s="8">
        <v>0.4888699126017631</v>
      </c>
      <c r="KC26" s="8">
        <v>0.38024011599357987</v>
      </c>
      <c r="KD26" s="8">
        <v>0.18020859563181207</v>
      </c>
      <c r="KE26" s="8">
        <v>2.0652179156214614E-2</v>
      </c>
      <c r="KF26" s="7">
        <v>0</v>
      </c>
      <c r="KG26" s="7">
        <v>0</v>
      </c>
      <c r="KH26" s="8">
        <v>8.7900344030546664E-3</v>
      </c>
      <c r="KI26" s="8">
        <v>0.14614328514172456</v>
      </c>
      <c r="KJ26" s="8">
        <v>0.3956301538123479</v>
      </c>
      <c r="KK26" s="8">
        <v>0.54076143262547349</v>
      </c>
      <c r="KL26" s="8">
        <v>0.53620181349857199</v>
      </c>
      <c r="KM26" s="8">
        <v>0.42185029369448462</v>
      </c>
      <c r="KN26" s="8">
        <v>0.19518246874776518</v>
      </c>
      <c r="KO26" s="8">
        <v>1.4982147284903873E-2</v>
      </c>
      <c r="KP26" s="7">
        <v>0</v>
      </c>
      <c r="KQ26" s="8">
        <v>0</v>
      </c>
      <c r="KR26" s="7">
        <v>7.5821643222894396E-6</v>
      </c>
      <c r="KS26" s="8">
        <v>5.4875350066408903E-2</v>
      </c>
      <c r="KT26" s="8">
        <v>0.24678902494621877</v>
      </c>
      <c r="KU26" s="8">
        <v>0.36802186728951325</v>
      </c>
      <c r="KV26" s="8">
        <v>0.34861006719808352</v>
      </c>
      <c r="KW26" s="8">
        <v>0.23055720216495398</v>
      </c>
      <c r="KX26" s="8">
        <v>5.6085338501318679E-2</v>
      </c>
      <c r="KY26" s="7">
        <v>1.1401390777970593E-4</v>
      </c>
      <c r="KZ26" s="8">
        <v>0</v>
      </c>
      <c r="LA26" s="8">
        <v>0</v>
      </c>
      <c r="LB26" s="8">
        <v>0</v>
      </c>
      <c r="LC26" s="7">
        <v>2.7006618194539696E-3</v>
      </c>
      <c r="LD26" s="8">
        <v>0.12320106655279681</v>
      </c>
      <c r="LE26" s="8">
        <v>0.2664978180369782</v>
      </c>
      <c r="LF26" s="8">
        <v>0.26396915925710585</v>
      </c>
      <c r="LG26" s="8">
        <v>0.11675304409069309</v>
      </c>
      <c r="LH26" s="7">
        <v>2.3516477920595924E-5</v>
      </c>
      <c r="LI26" s="8">
        <v>0</v>
      </c>
      <c r="LJ26" s="8">
        <v>0</v>
      </c>
      <c r="LL26" s="6" t="s">
        <v>176</v>
      </c>
      <c r="LM26" s="6" t="s">
        <v>160</v>
      </c>
      <c r="LN26" s="6" t="s">
        <v>161</v>
      </c>
      <c r="LO26" s="8">
        <v>0.49272978214186525</v>
      </c>
    </row>
    <row r="27" spans="2:327" x14ac:dyDescent="0.45">
      <c r="B27" s="3" t="s">
        <v>177</v>
      </c>
      <c r="C27" s="3" t="s">
        <v>151</v>
      </c>
      <c r="D27" s="5">
        <v>0</v>
      </c>
      <c r="E27" s="5">
        <v>0</v>
      </c>
      <c r="F27" s="5">
        <v>0.92303736928625058</v>
      </c>
      <c r="G27" s="5">
        <v>0.40707301551361147</v>
      </c>
      <c r="H27" s="5">
        <v>0.26327370185526466</v>
      </c>
      <c r="I27" s="5">
        <v>0.2702957707371349</v>
      </c>
      <c r="J27" s="5">
        <v>0.32768117028445648</v>
      </c>
      <c r="K27" s="5">
        <v>0.77255320904944136</v>
      </c>
      <c r="L27" s="5">
        <v>0</v>
      </c>
      <c r="M27" s="5">
        <v>0</v>
      </c>
      <c r="N27" s="5">
        <v>0</v>
      </c>
      <c r="O27" s="5">
        <v>0.85336990547379399</v>
      </c>
      <c r="P27" s="5">
        <v>0.41843710507396187</v>
      </c>
      <c r="Q27" s="5">
        <v>0.24545250753857076</v>
      </c>
      <c r="R27" s="5">
        <v>0.19215956943472365</v>
      </c>
      <c r="S27" s="5">
        <v>0.17674624755754997</v>
      </c>
      <c r="T27" s="5">
        <v>0.17753325925609612</v>
      </c>
      <c r="U27" s="5">
        <v>0.28605192064276569</v>
      </c>
      <c r="V27" s="5">
        <v>0.75393170503550699</v>
      </c>
      <c r="W27" s="5">
        <v>0</v>
      </c>
      <c r="X27" s="5">
        <v>0</v>
      </c>
      <c r="Y27" s="5">
        <v>0.33594797551850569</v>
      </c>
      <c r="Z27" s="5">
        <v>0.21273868026295886</v>
      </c>
      <c r="AA27" s="5">
        <v>0.157776389460413</v>
      </c>
      <c r="AB27" s="5">
        <v>0.16741336673722887</v>
      </c>
      <c r="AC27" s="5">
        <v>0.15755476171384572</v>
      </c>
      <c r="AD27" s="5">
        <v>0.16255779959850317</v>
      </c>
      <c r="AE27" s="5">
        <v>0.17711005465063318</v>
      </c>
      <c r="AF27" s="5">
        <v>0.29290011520448272</v>
      </c>
      <c r="AG27" s="5">
        <v>0.87900341244969471</v>
      </c>
      <c r="AH27" s="5">
        <v>0</v>
      </c>
      <c r="AI27" s="5">
        <v>0.48813127297428316</v>
      </c>
      <c r="AJ27" s="5">
        <v>0.2468285713557779</v>
      </c>
      <c r="AK27" s="5">
        <v>0.15095419285030465</v>
      </c>
      <c r="AL27" s="5">
        <v>0.13365723365256216</v>
      </c>
      <c r="AM27" s="5">
        <v>0.14376987923495527</v>
      </c>
      <c r="AN27" s="5">
        <v>0.15573019312278411</v>
      </c>
      <c r="AO27" s="5">
        <v>0.2029548508071749</v>
      </c>
      <c r="AP27" s="5">
        <v>0.3839914544872583</v>
      </c>
      <c r="AQ27" s="5">
        <v>0.92733127127495751</v>
      </c>
      <c r="AR27" s="5">
        <v>0</v>
      </c>
      <c r="AS27" s="5">
        <v>0.95901639344262291</v>
      </c>
      <c r="AT27" s="5">
        <v>0.48634590816058809</v>
      </c>
      <c r="AU27" s="5">
        <v>0.29288154849988074</v>
      </c>
      <c r="AV27" s="5">
        <v>0.2395410261382076</v>
      </c>
      <c r="AW27" s="5">
        <v>0.24620351770434301</v>
      </c>
      <c r="AX27" s="5">
        <v>0.28174523924811473</v>
      </c>
      <c r="AY27" s="5">
        <v>0.49992115749986016</v>
      </c>
      <c r="AZ27" s="5">
        <v>0.93599545934575656</v>
      </c>
      <c r="BA27" s="5">
        <v>0</v>
      </c>
      <c r="BB27" s="5">
        <v>0</v>
      </c>
      <c r="BC27" s="5">
        <v>0</v>
      </c>
      <c r="BD27" s="5">
        <v>0.94635766552492673</v>
      </c>
      <c r="BE27" s="5">
        <v>0.42893503177411507</v>
      </c>
      <c r="BF27" s="5">
        <v>0.26374626835161075</v>
      </c>
      <c r="BG27" s="5">
        <v>0.25831309973939681</v>
      </c>
      <c r="BH27" s="5">
        <v>0.43609979193746046</v>
      </c>
      <c r="BI27" s="5">
        <v>0</v>
      </c>
      <c r="BJ27" s="5">
        <v>0</v>
      </c>
      <c r="BK27" s="5">
        <v>0</v>
      </c>
      <c r="BM27" s="3" t="s">
        <v>177</v>
      </c>
      <c r="BN27" s="3" t="s">
        <v>152</v>
      </c>
      <c r="BO27" s="5">
        <v>0</v>
      </c>
      <c r="BP27" s="5">
        <v>0</v>
      </c>
      <c r="BQ27" s="4">
        <v>0.85263621400170586</v>
      </c>
      <c r="BR27" s="5">
        <v>0.26064783146257392</v>
      </c>
      <c r="BS27" s="5">
        <v>0.15700154823596715</v>
      </c>
      <c r="BT27" s="5">
        <v>9.6512515775080424E-2</v>
      </c>
      <c r="BU27" s="4">
        <v>2.900973258950269E-2</v>
      </c>
      <c r="BV27" s="5">
        <v>0.20937937551791422</v>
      </c>
      <c r="BW27" s="4">
        <v>0</v>
      </c>
      <c r="BX27" s="5">
        <v>0</v>
      </c>
      <c r="BY27" s="4">
        <v>0</v>
      </c>
      <c r="BZ27" s="4">
        <v>0.74566219049499471</v>
      </c>
      <c r="CA27" s="4">
        <v>0.28452374546222786</v>
      </c>
      <c r="CB27" s="4">
        <v>0.13929094295888042</v>
      </c>
      <c r="CC27" s="4">
        <v>7.4183103879021536E-2</v>
      </c>
      <c r="CD27" s="5">
        <v>4.0148221830436766E-2</v>
      </c>
      <c r="CE27" s="4">
        <v>2.8771004796167423E-2</v>
      </c>
      <c r="CF27" s="5">
        <v>6.7142707570034224E-2</v>
      </c>
      <c r="CG27" s="4">
        <v>0.39429543351591312</v>
      </c>
      <c r="CH27" s="5">
        <v>0</v>
      </c>
      <c r="CI27" s="5">
        <v>0</v>
      </c>
      <c r="CJ27" s="4">
        <v>0.20971891315824207</v>
      </c>
      <c r="CK27" s="5">
        <v>0.13351147132996477</v>
      </c>
      <c r="CL27" s="4">
        <v>9.4872532496292142E-2</v>
      </c>
      <c r="CM27" s="5">
        <v>0.10201634634769281</v>
      </c>
      <c r="CN27" s="5">
        <v>4.6285013381569713E-2</v>
      </c>
      <c r="CO27" s="5">
        <v>1.6948580856750224E-2</v>
      </c>
      <c r="CP27" s="5">
        <v>5.5976365253325236E-2</v>
      </c>
      <c r="CQ27" s="5">
        <v>0.1736224252883723</v>
      </c>
      <c r="CR27" s="5">
        <v>0.7928091466534396</v>
      </c>
      <c r="CS27" s="5">
        <v>0</v>
      </c>
      <c r="CT27" s="5">
        <v>0.33774394987557221</v>
      </c>
      <c r="CU27" s="4">
        <v>0.16345467607183639</v>
      </c>
      <c r="CV27" s="4">
        <v>7.9086802691450908E-2</v>
      </c>
      <c r="CW27" s="5">
        <v>6.1290635190904504E-2</v>
      </c>
      <c r="CX27" s="4">
        <v>3.8587347710456812E-2</v>
      </c>
      <c r="CY27" s="4">
        <v>2.0329705116657625E-2</v>
      </c>
      <c r="CZ27" s="4">
        <v>3.5059515761548296E-2</v>
      </c>
      <c r="DA27" s="4">
        <v>0.13958987401254982</v>
      </c>
      <c r="DB27" s="5">
        <v>0.84792153887731281</v>
      </c>
      <c r="DC27" s="5">
        <v>0</v>
      </c>
      <c r="DD27" s="4">
        <v>0.91971244289169596</v>
      </c>
      <c r="DE27" s="4">
        <v>0.35778421544812128</v>
      </c>
      <c r="DF27" s="5">
        <v>0.17947291408033456</v>
      </c>
      <c r="DG27" s="5">
        <v>0.13876620459180627</v>
      </c>
      <c r="DH27" s="4">
        <v>5.3872568939492133E-2</v>
      </c>
      <c r="DI27" s="4">
        <v>4.9841839689865372E-2</v>
      </c>
      <c r="DJ27" s="4">
        <v>0.11152262584596864</v>
      </c>
      <c r="DK27" s="4">
        <v>0.45771550841205477</v>
      </c>
      <c r="DL27" s="5">
        <v>0</v>
      </c>
      <c r="DM27" s="5">
        <v>0</v>
      </c>
      <c r="DN27" s="5">
        <v>0</v>
      </c>
      <c r="DO27" s="5">
        <v>0.89981548525320942</v>
      </c>
      <c r="DP27" s="5">
        <v>0.28231432835578912</v>
      </c>
      <c r="DQ27" s="5">
        <v>0.15071725137998265</v>
      </c>
      <c r="DR27" s="5">
        <v>8.7657548824096418E-2</v>
      </c>
      <c r="DS27" s="5">
        <v>8.9401170826878346E-2</v>
      </c>
      <c r="DT27" s="4">
        <v>0</v>
      </c>
      <c r="DU27" s="5">
        <v>0</v>
      </c>
      <c r="DV27" s="5">
        <v>0</v>
      </c>
      <c r="DX27" s="3" t="s">
        <v>177</v>
      </c>
      <c r="DY27" s="3" t="s">
        <v>153</v>
      </c>
      <c r="DZ27" s="4">
        <v>0</v>
      </c>
      <c r="EA27" s="5">
        <v>0</v>
      </c>
      <c r="EB27" s="5">
        <v>0</v>
      </c>
      <c r="EC27" s="5">
        <v>0</v>
      </c>
      <c r="ED27" s="4">
        <v>0</v>
      </c>
      <c r="EE27" s="5">
        <v>6.9373997363812723E-2</v>
      </c>
      <c r="EF27" s="4">
        <v>0.18153914626327475</v>
      </c>
      <c r="EG27" s="5">
        <v>0.41160281218759565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2.4884663445181299E-2</v>
      </c>
      <c r="EO27" s="4">
        <v>5.2627345230052781E-2</v>
      </c>
      <c r="EP27" s="4">
        <v>6.4625216589981244E-2</v>
      </c>
      <c r="EQ27" s="4">
        <v>9.1574875091633021E-2</v>
      </c>
      <c r="ER27" s="4">
        <v>0</v>
      </c>
      <c r="ES27" s="4">
        <v>0</v>
      </c>
      <c r="ET27" s="5">
        <v>0</v>
      </c>
      <c r="EU27" s="5">
        <v>0</v>
      </c>
      <c r="EV27" s="5">
        <v>0</v>
      </c>
      <c r="EW27" s="5">
        <v>0</v>
      </c>
      <c r="EX27" s="4">
        <v>7.3730904673645131E-4</v>
      </c>
      <c r="EY27" s="5">
        <v>4.6242984310086145E-2</v>
      </c>
      <c r="EZ27" s="5">
        <v>7.1997164347908663E-2</v>
      </c>
      <c r="FA27" s="5">
        <v>5.6230536190996633E-2</v>
      </c>
      <c r="FB27" s="5">
        <v>8.7787718494074345E-3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4">
        <v>8.9295358209986273E-3</v>
      </c>
      <c r="FI27" s="5">
        <v>4.2422022831321599E-2</v>
      </c>
      <c r="FJ27" s="5">
        <v>7.1298196328298577E-2</v>
      </c>
      <c r="FK27" s="5">
        <v>7.0951971976154091E-2</v>
      </c>
      <c r="FL27" s="5">
        <v>5.7713454605069013E-2</v>
      </c>
      <c r="FM27" s="4">
        <v>0</v>
      </c>
      <c r="FN27" s="5">
        <v>0</v>
      </c>
      <c r="FO27" s="5">
        <v>0</v>
      </c>
      <c r="FP27" s="4">
        <v>0</v>
      </c>
      <c r="FQ27" s="4">
        <v>0</v>
      </c>
      <c r="FR27" s="4">
        <v>1.1545843062599965E-2</v>
      </c>
      <c r="FS27" s="4">
        <v>8.8457176626394712E-2</v>
      </c>
      <c r="FT27" s="5">
        <v>0.12597310835544015</v>
      </c>
      <c r="FU27" s="5">
        <v>0.20392555974888915</v>
      </c>
      <c r="FV27" s="4">
        <v>0.20575597462778816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5.5173244562078352E-2</v>
      </c>
      <c r="GD27" s="5">
        <v>0.19225591661967192</v>
      </c>
      <c r="GE27" s="5">
        <v>0</v>
      </c>
      <c r="GF27" s="5">
        <v>0</v>
      </c>
      <c r="GG27" s="5">
        <v>0</v>
      </c>
      <c r="GI27" s="3" t="s">
        <v>177</v>
      </c>
      <c r="GJ27" s="3" t="s">
        <v>154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4">
        <v>5.0846437039945257E-4</v>
      </c>
      <c r="HB27" s="5">
        <v>2.9503445197505355E-2</v>
      </c>
      <c r="HC27" s="5">
        <v>0.20563467194489976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4">
        <v>0</v>
      </c>
      <c r="HM27" s="5">
        <v>1.3201326061683134E-3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4">
        <v>1.8770593726068287E-2</v>
      </c>
      <c r="HW27" s="5">
        <v>6.2419576335254905E-2</v>
      </c>
      <c r="HX27" s="5">
        <v>2.3845407867826528E-2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0</v>
      </c>
      <c r="IE27" s="5">
        <v>0</v>
      </c>
      <c r="IF27" s="5">
        <v>4.704967681157906E-2</v>
      </c>
      <c r="IG27" s="5">
        <v>0.21881931880246866</v>
      </c>
      <c r="IH27" s="5">
        <v>0</v>
      </c>
      <c r="II27" s="5">
        <v>0</v>
      </c>
      <c r="IJ27" s="5">
        <v>0</v>
      </c>
      <c r="IK27" s="5">
        <v>0</v>
      </c>
      <c r="IL27" s="5">
        <v>0</v>
      </c>
      <c r="IM27" s="5">
        <v>0</v>
      </c>
      <c r="IN27" s="5">
        <v>0</v>
      </c>
      <c r="IO27" s="5">
        <v>0</v>
      </c>
      <c r="IP27" s="5">
        <v>0</v>
      </c>
      <c r="IQ27" s="5">
        <v>0</v>
      </c>
      <c r="IR27" s="5">
        <v>0</v>
      </c>
      <c r="JB27" s="3" t="s">
        <v>177</v>
      </c>
      <c r="JC27" s="5">
        <v>0</v>
      </c>
      <c r="JD27" s="5">
        <v>0</v>
      </c>
      <c r="JE27" s="4">
        <v>2.296040708516195E-3</v>
      </c>
      <c r="JF27" s="5">
        <v>0.10088896028419328</v>
      </c>
      <c r="JG27" s="5">
        <v>0.25107949324585827</v>
      </c>
      <c r="JH27" s="5">
        <v>0.2600309742505057</v>
      </c>
      <c r="JI27" s="5">
        <v>0.14643563326380071</v>
      </c>
      <c r="JJ27" s="5">
        <v>1.6728252036970467E-2</v>
      </c>
      <c r="JK27" s="5">
        <v>0</v>
      </c>
      <c r="JL27" s="5">
        <v>0</v>
      </c>
      <c r="JM27" s="5">
        <v>0</v>
      </c>
      <c r="JN27" s="4">
        <v>1.1708199658831051E-3</v>
      </c>
      <c r="JO27" s="5">
        <v>7.7631385364733865E-2</v>
      </c>
      <c r="JP27" s="5">
        <v>0.28030799775519943</v>
      </c>
      <c r="JQ27" s="5">
        <v>0.41681868626198848</v>
      </c>
      <c r="JR27" s="5">
        <v>0.41592321377274838</v>
      </c>
      <c r="JS27" s="5">
        <v>0.31952482603969745</v>
      </c>
      <c r="JT27" s="5">
        <v>0.12360508561478555</v>
      </c>
      <c r="JU27" s="5">
        <v>3.1427525940593538E-3</v>
      </c>
      <c r="JV27" s="5">
        <v>0</v>
      </c>
      <c r="JW27" s="4">
        <v>0</v>
      </c>
      <c r="JX27" s="5">
        <v>2.0570595586748473E-2</v>
      </c>
      <c r="JY27" s="5">
        <v>0.16549109203670917</v>
      </c>
      <c r="JZ27" s="5">
        <v>0.34958260094321147</v>
      </c>
      <c r="KA27" s="5">
        <v>0.43145102819797476</v>
      </c>
      <c r="KB27" s="5">
        <v>0.44146576468442056</v>
      </c>
      <c r="KC27" s="5">
        <v>0.34059616435467854</v>
      </c>
      <c r="KD27" s="5">
        <v>0.17409002383073457</v>
      </c>
      <c r="KE27" s="5">
        <v>2.7557302558048356E-2</v>
      </c>
      <c r="KF27" s="4">
        <v>7.626101750086444E-5</v>
      </c>
      <c r="KG27" s="4">
        <v>0</v>
      </c>
      <c r="KH27" s="5">
        <v>1.1278893575087523E-2</v>
      </c>
      <c r="KI27" s="5">
        <v>0.13144732500981776</v>
      </c>
      <c r="KJ27" s="5">
        <v>0.34926235489464091</v>
      </c>
      <c r="KK27" s="5">
        <v>0.46486022545217798</v>
      </c>
      <c r="KL27" s="5">
        <v>0.46266821611202041</v>
      </c>
      <c r="KM27" s="5">
        <v>0.35806898669676912</v>
      </c>
      <c r="KN27" s="5">
        <v>0.17675941988843771</v>
      </c>
      <c r="KO27" s="5">
        <v>2.1873706335732115E-2</v>
      </c>
      <c r="KP27" s="4">
        <v>3.4998736424616159E-5</v>
      </c>
      <c r="KQ27" s="5">
        <v>0</v>
      </c>
      <c r="KR27" s="4">
        <v>9.4843465397784228E-6</v>
      </c>
      <c r="KS27" s="5">
        <v>4.2301513027154548E-2</v>
      </c>
      <c r="KT27" s="5">
        <v>0.19091231030956304</v>
      </c>
      <c r="KU27" s="5">
        <v>0.29075340623723667</v>
      </c>
      <c r="KV27" s="5">
        <v>0.28369789692074177</v>
      </c>
      <c r="KW27" s="5">
        <v>0.18802006064638793</v>
      </c>
      <c r="KX27" s="5">
        <v>4.5551346045339593E-2</v>
      </c>
      <c r="KY27" s="4">
        <v>1.4823634855051719E-4</v>
      </c>
      <c r="KZ27" s="5">
        <v>0</v>
      </c>
      <c r="LA27" s="5">
        <v>0</v>
      </c>
      <c r="LB27" s="5">
        <v>0</v>
      </c>
      <c r="LC27" s="4">
        <v>8.4546664015764945E-4</v>
      </c>
      <c r="LD27" s="5">
        <v>9.8344369522095479E-2</v>
      </c>
      <c r="LE27" s="5">
        <v>0.24594550867768011</v>
      </c>
      <c r="LF27" s="5">
        <v>0.23010435269723653</v>
      </c>
      <c r="LG27" s="5">
        <v>8.4769715928310105E-2</v>
      </c>
      <c r="LH27" s="4">
        <v>0</v>
      </c>
      <c r="LI27" s="5">
        <v>0</v>
      </c>
      <c r="LJ27" s="5">
        <v>0</v>
      </c>
      <c r="LL27" s="3" t="s">
        <v>177</v>
      </c>
      <c r="LM27" s="3" t="s">
        <v>160</v>
      </c>
      <c r="LN27" s="3" t="s">
        <v>161</v>
      </c>
      <c r="LO27" s="5">
        <v>0.39772986859694537</v>
      </c>
    </row>
    <row r="28" spans="2:327" x14ac:dyDescent="0.45">
      <c r="B28" s="6" t="s">
        <v>178</v>
      </c>
      <c r="C28" s="6" t="s">
        <v>151</v>
      </c>
      <c r="D28" s="8">
        <v>0</v>
      </c>
      <c r="E28" s="8">
        <v>0</v>
      </c>
      <c r="F28" s="8">
        <v>0.86709643557052807</v>
      </c>
      <c r="G28" s="8">
        <v>0.35866340913028699</v>
      </c>
      <c r="H28" s="8">
        <v>0.27855401980445216</v>
      </c>
      <c r="I28" s="8">
        <v>0.31159746051326187</v>
      </c>
      <c r="J28" s="8">
        <v>0.36458729645321247</v>
      </c>
      <c r="K28" s="8">
        <v>0.77482210802980078</v>
      </c>
      <c r="L28" s="8">
        <v>0</v>
      </c>
      <c r="M28" s="8">
        <v>0</v>
      </c>
      <c r="N28" s="8">
        <v>0</v>
      </c>
      <c r="O28" s="8">
        <v>0.84708797479490661</v>
      </c>
      <c r="P28" s="8">
        <v>0.39778809123246084</v>
      </c>
      <c r="Q28" s="8">
        <v>0.23058886467233281</v>
      </c>
      <c r="R28" s="8">
        <v>0.17269739952241484</v>
      </c>
      <c r="S28" s="8">
        <v>0.17542667108649582</v>
      </c>
      <c r="T28" s="8">
        <v>0.21167752173054599</v>
      </c>
      <c r="U28" s="8">
        <v>0.34954538683466496</v>
      </c>
      <c r="V28" s="8">
        <v>0.83800291310923114</v>
      </c>
      <c r="W28" s="8">
        <v>0</v>
      </c>
      <c r="X28" s="8">
        <v>0</v>
      </c>
      <c r="Y28" s="8">
        <v>0.38390886902072646</v>
      </c>
      <c r="Z28" s="8">
        <v>0.21092005977846684</v>
      </c>
      <c r="AA28" s="8">
        <v>0.16533899292336091</v>
      </c>
      <c r="AB28" s="8">
        <v>0.1456896368120979</v>
      </c>
      <c r="AC28" s="8">
        <v>0.15491220969575109</v>
      </c>
      <c r="AD28" s="8">
        <v>0.14497261162362055</v>
      </c>
      <c r="AE28" s="8">
        <v>0.21535722715701736</v>
      </c>
      <c r="AF28" s="8">
        <v>0.41550673255483189</v>
      </c>
      <c r="AG28" s="8">
        <v>0</v>
      </c>
      <c r="AH28" s="8">
        <v>0</v>
      </c>
      <c r="AI28" s="8">
        <v>0.48854295600662528</v>
      </c>
      <c r="AJ28" s="8">
        <v>0.22267278489523368</v>
      </c>
      <c r="AK28" s="8">
        <v>0.12517924609246753</v>
      </c>
      <c r="AL28" s="8">
        <v>9.2478377607780826E-2</v>
      </c>
      <c r="AM28" s="8">
        <v>9.3581159287139101E-2</v>
      </c>
      <c r="AN28" s="8">
        <v>0.12325959532653223</v>
      </c>
      <c r="AO28" s="8">
        <v>0.22305591922237061</v>
      </c>
      <c r="AP28" s="8">
        <v>0.46654753919446235</v>
      </c>
      <c r="AQ28" s="8">
        <v>0</v>
      </c>
      <c r="AR28" s="8">
        <v>0</v>
      </c>
      <c r="AS28" s="8">
        <v>0.95081967213114749</v>
      </c>
      <c r="AT28" s="8">
        <v>0.3970757112092656</v>
      </c>
      <c r="AU28" s="8">
        <v>0.20237162979372064</v>
      </c>
      <c r="AV28" s="8">
        <v>0.19416446130392753</v>
      </c>
      <c r="AW28" s="8">
        <v>0.22195946301840899</v>
      </c>
      <c r="AX28" s="8">
        <v>0.25742512711939497</v>
      </c>
      <c r="AY28" s="8">
        <v>0.50040699938798228</v>
      </c>
      <c r="AZ28" s="8">
        <v>0.99180327868852503</v>
      </c>
      <c r="BA28" s="8">
        <v>0</v>
      </c>
      <c r="BB28" s="8">
        <v>0</v>
      </c>
      <c r="BC28" s="8">
        <v>0</v>
      </c>
      <c r="BD28" s="8">
        <v>0.90723002046683177</v>
      </c>
      <c r="BE28" s="8">
        <v>0.3623984604089604</v>
      </c>
      <c r="BF28" s="8">
        <v>0.31800730497259549</v>
      </c>
      <c r="BG28" s="8">
        <v>0.31493705700188884</v>
      </c>
      <c r="BH28" s="8">
        <v>0.38681441195917632</v>
      </c>
      <c r="BI28" s="8">
        <v>0</v>
      </c>
      <c r="BJ28" s="8">
        <v>0</v>
      </c>
      <c r="BK28" s="8">
        <v>0</v>
      </c>
      <c r="BM28" s="6" t="s">
        <v>178</v>
      </c>
      <c r="BN28" s="6" t="s">
        <v>152</v>
      </c>
      <c r="BO28" s="8">
        <v>0</v>
      </c>
      <c r="BP28" s="8">
        <v>0</v>
      </c>
      <c r="BQ28" s="7">
        <v>0.76881749134172783</v>
      </c>
      <c r="BR28" s="8">
        <v>0.24005467368018218</v>
      </c>
      <c r="BS28" s="8">
        <v>0.15918580622137157</v>
      </c>
      <c r="BT28" s="8">
        <v>0.12696871006093313</v>
      </c>
      <c r="BU28" s="7">
        <v>0.11153588801991041</v>
      </c>
      <c r="BV28" s="8">
        <v>8.6310491490099284E-2</v>
      </c>
      <c r="BW28" s="7">
        <v>0</v>
      </c>
      <c r="BX28" s="8">
        <v>0</v>
      </c>
      <c r="BY28" s="7">
        <v>0</v>
      </c>
      <c r="BZ28" s="7">
        <v>0.73344615299168314</v>
      </c>
      <c r="CA28" s="7">
        <v>0.26878878219005464</v>
      </c>
      <c r="CB28" s="7">
        <v>0.12826507589877414</v>
      </c>
      <c r="CC28" s="7">
        <v>5.8526584189954281E-2</v>
      </c>
      <c r="CD28" s="8">
        <v>3.2813757855253138E-2</v>
      </c>
      <c r="CE28" s="7">
        <v>3.6865808458583352E-2</v>
      </c>
      <c r="CF28" s="8">
        <v>9.1018595319088624E-2</v>
      </c>
      <c r="CG28" s="7">
        <v>0.33052956304315306</v>
      </c>
      <c r="CH28" s="8">
        <v>0</v>
      </c>
      <c r="CI28" s="8">
        <v>0</v>
      </c>
      <c r="CJ28" s="7">
        <v>0.22562339685222713</v>
      </c>
      <c r="CK28" s="8">
        <v>0.14137381221166637</v>
      </c>
      <c r="CL28" s="7">
        <v>9.1286826242744604E-2</v>
      </c>
      <c r="CM28" s="8">
        <v>7.5345121852382291E-2</v>
      </c>
      <c r="CN28" s="8">
        <v>2.7261198805635913E-2</v>
      </c>
      <c r="CO28" s="8">
        <v>2.1984023753944544E-2</v>
      </c>
      <c r="CP28" s="8">
        <v>6.1400537441696462E-2</v>
      </c>
      <c r="CQ28" s="8">
        <v>0.2679708678513576</v>
      </c>
      <c r="CR28" s="8">
        <v>0</v>
      </c>
      <c r="CS28" s="8">
        <v>0</v>
      </c>
      <c r="CT28" s="8">
        <v>0.33179819290637963</v>
      </c>
      <c r="CU28" s="7">
        <v>0.13878043567091242</v>
      </c>
      <c r="CV28" s="7">
        <v>6.7682145271152794E-2</v>
      </c>
      <c r="CW28" s="8">
        <v>4.1696254765656034E-2</v>
      </c>
      <c r="CX28" s="7">
        <v>2.5083647562629666E-2</v>
      </c>
      <c r="CY28" s="7">
        <v>2.9245932156940241E-2</v>
      </c>
      <c r="CZ28" s="7">
        <v>7.315211222970798E-2</v>
      </c>
      <c r="DA28" s="7">
        <v>0.31150841384889377</v>
      </c>
      <c r="DB28" s="8">
        <v>0</v>
      </c>
      <c r="DC28" s="8">
        <v>0</v>
      </c>
      <c r="DD28" s="7">
        <v>0.90405804891158303</v>
      </c>
      <c r="DE28" s="7">
        <v>0.26924257685217001</v>
      </c>
      <c r="DF28" s="8">
        <v>0.11952100599313792</v>
      </c>
      <c r="DG28" s="8">
        <v>8.0938391448365982E-2</v>
      </c>
      <c r="DH28" s="7">
        <v>3.974510033464454E-2</v>
      </c>
      <c r="DI28" s="7">
        <v>4.0177393832145858E-2</v>
      </c>
      <c r="DJ28" s="7">
        <v>8.1155019740074774E-2</v>
      </c>
      <c r="DK28" s="7">
        <v>0</v>
      </c>
      <c r="DL28" s="8">
        <v>0</v>
      </c>
      <c r="DM28" s="8">
        <v>0</v>
      </c>
      <c r="DN28" s="8">
        <v>0</v>
      </c>
      <c r="DO28" s="8">
        <v>0.83672382769549103</v>
      </c>
      <c r="DP28" s="8">
        <v>0.23364530941334294</v>
      </c>
      <c r="DQ28" s="8">
        <v>0.16909160865397355</v>
      </c>
      <c r="DR28" s="8">
        <v>0.12385327945271676</v>
      </c>
      <c r="DS28" s="8">
        <v>7.5913056760628345E-2</v>
      </c>
      <c r="DT28" s="7">
        <v>0</v>
      </c>
      <c r="DU28" s="8">
        <v>0</v>
      </c>
      <c r="DV28" s="8">
        <v>0</v>
      </c>
      <c r="DX28" s="6" t="s">
        <v>178</v>
      </c>
      <c r="DY28" s="6" t="s">
        <v>153</v>
      </c>
      <c r="DZ28" s="7">
        <v>0</v>
      </c>
      <c r="EA28" s="8">
        <v>0</v>
      </c>
      <c r="EB28" s="8">
        <v>0</v>
      </c>
      <c r="EC28" s="8">
        <v>0</v>
      </c>
      <c r="ED28" s="7">
        <v>0</v>
      </c>
      <c r="EE28" s="8">
        <v>5.0362141726713425E-2</v>
      </c>
      <c r="EF28" s="7">
        <v>0.12536963290128605</v>
      </c>
      <c r="EG28" s="8">
        <v>0.53937332343792022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3.3418881448096564E-2</v>
      </c>
      <c r="EO28" s="7">
        <v>6.6345390565675344E-2</v>
      </c>
      <c r="EP28" s="7">
        <v>7.6901927455093486E-2</v>
      </c>
      <c r="EQ28" s="7">
        <v>7.9193344927929024E-2</v>
      </c>
      <c r="ER28" s="7">
        <v>0.14619116421148418</v>
      </c>
      <c r="ES28" s="7">
        <v>0</v>
      </c>
      <c r="ET28" s="8">
        <v>0</v>
      </c>
      <c r="EU28" s="8">
        <v>0</v>
      </c>
      <c r="EV28" s="8">
        <v>0</v>
      </c>
      <c r="EW28" s="8">
        <v>0</v>
      </c>
      <c r="EX28" s="7">
        <v>6.2220151764598129E-3</v>
      </c>
      <c r="EY28" s="8">
        <v>5.5299018007014381E-2</v>
      </c>
      <c r="EZ28" s="8">
        <v>5.7875695210021651E-2</v>
      </c>
      <c r="FA28" s="8">
        <v>6.9958576492431271E-2</v>
      </c>
      <c r="FB28" s="8">
        <v>0</v>
      </c>
      <c r="FC28" s="8">
        <v>0</v>
      </c>
      <c r="FD28" s="8">
        <v>0</v>
      </c>
      <c r="FE28" s="8">
        <v>0</v>
      </c>
      <c r="FF28" s="8">
        <v>0</v>
      </c>
      <c r="FG28" s="8">
        <v>0</v>
      </c>
      <c r="FH28" s="7">
        <v>0</v>
      </c>
      <c r="FI28" s="8">
        <v>1.6012511476971435E-2</v>
      </c>
      <c r="FJ28" s="8">
        <v>3.2497209983065448E-2</v>
      </c>
      <c r="FK28" s="8">
        <v>6.4990008649422587E-2</v>
      </c>
      <c r="FL28" s="8">
        <v>0</v>
      </c>
      <c r="FM28" s="7">
        <v>0</v>
      </c>
      <c r="FN28" s="8">
        <v>0</v>
      </c>
      <c r="FO28" s="8">
        <v>0</v>
      </c>
      <c r="FP28" s="7">
        <v>0</v>
      </c>
      <c r="FQ28" s="7">
        <v>0</v>
      </c>
      <c r="FR28" s="7">
        <v>2.1031777968510128E-2</v>
      </c>
      <c r="FS28" s="7">
        <v>7.5917397743358081E-2</v>
      </c>
      <c r="FT28" s="8">
        <v>0.12340847806326022</v>
      </c>
      <c r="FU28" s="8">
        <v>0.12297516621990567</v>
      </c>
      <c r="FV28" s="7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5.2790568380220955E-2</v>
      </c>
      <c r="GD28" s="8">
        <v>0.18699835433383119</v>
      </c>
      <c r="GE28" s="8">
        <v>0</v>
      </c>
      <c r="GF28" s="8">
        <v>0</v>
      </c>
      <c r="GG28" s="8">
        <v>0</v>
      </c>
      <c r="GI28" s="6" t="s">
        <v>178</v>
      </c>
      <c r="GJ28" s="6" t="s">
        <v>154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</v>
      </c>
      <c r="GQ28" s="8">
        <v>0</v>
      </c>
      <c r="GR28" s="8">
        <v>0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0</v>
      </c>
      <c r="HA28" s="7">
        <v>3.5884299354415959E-3</v>
      </c>
      <c r="HB28" s="8">
        <v>6.7069304928338722E-2</v>
      </c>
      <c r="HC28" s="8">
        <v>0.23329616225126978</v>
      </c>
      <c r="HD28" s="8">
        <v>0</v>
      </c>
      <c r="HE28" s="8">
        <v>0</v>
      </c>
      <c r="HF28" s="8">
        <v>0</v>
      </c>
      <c r="HG28" s="8">
        <v>0</v>
      </c>
      <c r="HH28" s="8">
        <v>0</v>
      </c>
      <c r="HI28" s="8">
        <v>0</v>
      </c>
      <c r="HJ28" s="8">
        <v>0</v>
      </c>
      <c r="HK28" s="8">
        <v>0</v>
      </c>
      <c r="HL28" s="7">
        <v>5.9013586341692559E-3</v>
      </c>
      <c r="HM28" s="8">
        <v>0</v>
      </c>
      <c r="HN28" s="8">
        <v>0</v>
      </c>
      <c r="HO28" s="8">
        <v>0</v>
      </c>
      <c r="HP28" s="8">
        <v>0</v>
      </c>
      <c r="HQ28" s="8">
        <v>0</v>
      </c>
      <c r="HR28" s="8">
        <v>0</v>
      </c>
      <c r="HS28" s="8">
        <v>0</v>
      </c>
      <c r="HT28" s="8">
        <v>0</v>
      </c>
      <c r="HU28" s="8">
        <v>0</v>
      </c>
      <c r="HV28" s="7">
        <v>0</v>
      </c>
      <c r="HW28" s="8">
        <v>0</v>
      </c>
      <c r="HX28" s="8">
        <v>0</v>
      </c>
      <c r="HY28" s="8">
        <v>0</v>
      </c>
      <c r="HZ28" s="8">
        <v>0</v>
      </c>
      <c r="IA28" s="8">
        <v>0</v>
      </c>
      <c r="IB28" s="8">
        <v>0</v>
      </c>
      <c r="IC28" s="8">
        <v>0</v>
      </c>
      <c r="ID28" s="8">
        <v>0</v>
      </c>
      <c r="IE28" s="8">
        <v>0</v>
      </c>
      <c r="IF28" s="8">
        <v>0.14371597792970761</v>
      </c>
      <c r="IG28" s="8">
        <v>0.98367374361730708</v>
      </c>
      <c r="IH28" s="8">
        <v>0</v>
      </c>
      <c r="II28" s="8">
        <v>0</v>
      </c>
      <c r="IJ28" s="8">
        <v>0</v>
      </c>
      <c r="IK28" s="8">
        <v>0</v>
      </c>
      <c r="IL28" s="8">
        <v>0</v>
      </c>
      <c r="IM28" s="8">
        <v>0</v>
      </c>
      <c r="IN28" s="8">
        <v>0</v>
      </c>
      <c r="IO28" s="8">
        <v>0</v>
      </c>
      <c r="IP28" s="8">
        <v>0</v>
      </c>
      <c r="IQ28" s="8">
        <v>0</v>
      </c>
      <c r="IR28" s="8">
        <v>0</v>
      </c>
      <c r="JB28" s="6" t="s">
        <v>178</v>
      </c>
      <c r="JC28" s="8">
        <v>0</v>
      </c>
      <c r="JD28" s="8">
        <v>0</v>
      </c>
      <c r="JE28" s="7">
        <v>5.0227654963668628E-3</v>
      </c>
      <c r="JF28" s="8">
        <v>0.12660436266421546</v>
      </c>
      <c r="JG28" s="8">
        <v>0.27242049035000598</v>
      </c>
      <c r="JH28" s="8">
        <v>0.27070079496035637</v>
      </c>
      <c r="JI28" s="8">
        <v>0.14652683163531346</v>
      </c>
      <c r="JJ28" s="8">
        <v>1.4375467452999269E-2</v>
      </c>
      <c r="JK28" s="8">
        <v>0</v>
      </c>
      <c r="JL28" s="8">
        <v>0</v>
      </c>
      <c r="JM28" s="8">
        <v>0</v>
      </c>
      <c r="JN28" s="7">
        <v>1.4464412679891941E-3</v>
      </c>
      <c r="JO28" s="8">
        <v>9.6044265094428372E-2</v>
      </c>
      <c r="JP28" s="8">
        <v>0.32196657994731526</v>
      </c>
      <c r="JQ28" s="8">
        <v>0.47828142002957769</v>
      </c>
      <c r="JR28" s="8">
        <v>0.47432611113200424</v>
      </c>
      <c r="JS28" s="8">
        <v>0.33061500736435906</v>
      </c>
      <c r="JT28" s="8">
        <v>0.10587121616403923</v>
      </c>
      <c r="JU28" s="8">
        <v>1.1944895587311904E-3</v>
      </c>
      <c r="JV28" s="8">
        <v>0</v>
      </c>
      <c r="JW28" s="7">
        <v>0</v>
      </c>
      <c r="JX28" s="8">
        <v>1.9292561784942472E-2</v>
      </c>
      <c r="JY28" s="8">
        <v>0.17430714827000363</v>
      </c>
      <c r="JZ28" s="8">
        <v>0.38941751014380183</v>
      </c>
      <c r="KA28" s="8">
        <v>0.50538346879794949</v>
      </c>
      <c r="KB28" s="8">
        <v>0.49463406681525901</v>
      </c>
      <c r="KC28" s="8">
        <v>0.39062886865290464</v>
      </c>
      <c r="KD28" s="8">
        <v>0.17172977429829905</v>
      </c>
      <c r="KE28" s="8">
        <v>1.647682667388552E-2</v>
      </c>
      <c r="KF28" s="7">
        <v>0</v>
      </c>
      <c r="KG28" s="7">
        <v>0</v>
      </c>
      <c r="KH28" s="8">
        <v>1.1740734679176145E-2</v>
      </c>
      <c r="KI28" s="8">
        <v>0.16347849812178361</v>
      </c>
      <c r="KJ28" s="8">
        <v>0.41506104354536338</v>
      </c>
      <c r="KK28" s="8">
        <v>0.58412638883436885</v>
      </c>
      <c r="KL28" s="8">
        <v>0.5886231833287785</v>
      </c>
      <c r="KM28" s="8">
        <v>0.43985501238174979</v>
      </c>
      <c r="KN28" s="8">
        <v>0.18536925807430019</v>
      </c>
      <c r="KO28" s="8">
        <v>1.2170427768832004E-2</v>
      </c>
      <c r="KP28" s="7">
        <v>0</v>
      </c>
      <c r="KQ28" s="8">
        <v>0</v>
      </c>
      <c r="KR28" s="7">
        <v>1.0032848107674327E-4</v>
      </c>
      <c r="KS28" s="8">
        <v>7.4763737385138321E-2</v>
      </c>
      <c r="KT28" s="8">
        <v>0.28921682822716527</v>
      </c>
      <c r="KU28" s="8">
        <v>0.40078389685845278</v>
      </c>
      <c r="KV28" s="8">
        <v>0.36552907966199466</v>
      </c>
      <c r="KW28" s="8">
        <v>0.2238204696627914</v>
      </c>
      <c r="KX28" s="8">
        <v>4.5142285983766656E-2</v>
      </c>
      <c r="KY28" s="7">
        <v>8.061797297025313E-6</v>
      </c>
      <c r="KZ28" s="8">
        <v>0</v>
      </c>
      <c r="LA28" s="8">
        <v>0</v>
      </c>
      <c r="LB28" s="8">
        <v>0</v>
      </c>
      <c r="LC28" s="7">
        <v>5.0695901841581719E-3</v>
      </c>
      <c r="LD28" s="8">
        <v>0.12747312782067027</v>
      </c>
      <c r="LE28" s="8">
        <v>0.24968107398904738</v>
      </c>
      <c r="LF28" s="8">
        <v>0.23774241741181765</v>
      </c>
      <c r="LG28" s="8">
        <v>9.72116941486659E-2</v>
      </c>
      <c r="LH28" s="7">
        <v>0</v>
      </c>
      <c r="LI28" s="8">
        <v>0</v>
      </c>
      <c r="LJ28" s="8">
        <v>0</v>
      </c>
      <c r="LL28" s="6" t="s">
        <v>178</v>
      </c>
      <c r="LM28" s="6" t="s">
        <v>160</v>
      </c>
      <c r="LN28" s="6" t="s">
        <v>161</v>
      </c>
      <c r="LO28" s="8">
        <v>0.49921500172105526</v>
      </c>
    </row>
    <row r="29" spans="2:327" x14ac:dyDescent="0.45">
      <c r="B29" s="3" t="s">
        <v>179</v>
      </c>
      <c r="C29" s="3" t="s">
        <v>151</v>
      </c>
      <c r="D29" s="5">
        <v>0</v>
      </c>
      <c r="E29" s="5">
        <v>0</v>
      </c>
      <c r="F29" s="5">
        <v>0.9150529399769266</v>
      </c>
      <c r="G29" s="5">
        <v>0.40414475184687954</v>
      </c>
      <c r="H29" s="5">
        <v>0.29654517648708523</v>
      </c>
      <c r="I29" s="5">
        <v>0.282322593752597</v>
      </c>
      <c r="J29" s="5">
        <v>0.33753495548981932</v>
      </c>
      <c r="K29" s="5">
        <v>0.7396808283273576</v>
      </c>
      <c r="L29" s="5">
        <v>0</v>
      </c>
      <c r="M29" s="5">
        <v>0</v>
      </c>
      <c r="N29" s="5">
        <v>0</v>
      </c>
      <c r="O29" s="5">
        <v>0.85487374798265148</v>
      </c>
      <c r="P29" s="5">
        <v>0.40664779509315691</v>
      </c>
      <c r="Q29" s="5">
        <v>0.22062390626488468</v>
      </c>
      <c r="R29" s="5">
        <v>0.179579728896752</v>
      </c>
      <c r="S29" s="5">
        <v>0.17331331779971129</v>
      </c>
      <c r="T29" s="5">
        <v>0.1970691613249354</v>
      </c>
      <c r="U29" s="5">
        <v>0.30182106724617208</v>
      </c>
      <c r="V29" s="5">
        <v>0.76359730222949529</v>
      </c>
      <c r="W29" s="5">
        <v>0</v>
      </c>
      <c r="X29" s="5">
        <v>0</v>
      </c>
      <c r="Y29" s="5">
        <v>0.39151149620134795</v>
      </c>
      <c r="Z29" s="5">
        <v>0.22998503744863147</v>
      </c>
      <c r="AA29" s="5">
        <v>0.19571307161589083</v>
      </c>
      <c r="AB29" s="5">
        <v>0.17763304663493953</v>
      </c>
      <c r="AC29" s="5">
        <v>0.16904458864039421</v>
      </c>
      <c r="AD29" s="5">
        <v>0.18090881759123303</v>
      </c>
      <c r="AE29" s="5">
        <v>0.19563011597016827</v>
      </c>
      <c r="AF29" s="5">
        <v>0.31585603136305962</v>
      </c>
      <c r="AG29" s="5">
        <v>0</v>
      </c>
      <c r="AH29" s="5">
        <v>0</v>
      </c>
      <c r="AI29" s="5">
        <v>0.5169372237049823</v>
      </c>
      <c r="AJ29" s="5">
        <v>0.2517452374514772</v>
      </c>
      <c r="AK29" s="5">
        <v>0.15581014365541893</v>
      </c>
      <c r="AL29" s="5">
        <v>0.15158240920718588</v>
      </c>
      <c r="AM29" s="5">
        <v>0.15135124783517889</v>
      </c>
      <c r="AN29" s="5">
        <v>0.16315868972750161</v>
      </c>
      <c r="AO29" s="5">
        <v>0.20202727553956759</v>
      </c>
      <c r="AP29" s="5">
        <v>0.39977796746755345</v>
      </c>
      <c r="AQ29" s="5">
        <v>0</v>
      </c>
      <c r="AR29" s="5">
        <v>0</v>
      </c>
      <c r="AS29" s="5">
        <v>0.97540983606557374</v>
      </c>
      <c r="AT29" s="5">
        <v>0.49116191623909633</v>
      </c>
      <c r="AU29" s="5">
        <v>0.2918940425320285</v>
      </c>
      <c r="AV29" s="5">
        <v>0.23492724062301645</v>
      </c>
      <c r="AW29" s="5">
        <v>0.2155030435236264</v>
      </c>
      <c r="AX29" s="5">
        <v>0.23815375421496515</v>
      </c>
      <c r="AY29" s="5">
        <v>0.46840398265776284</v>
      </c>
      <c r="AZ29" s="5">
        <v>0.93731611384810465</v>
      </c>
      <c r="BA29" s="5">
        <v>0</v>
      </c>
      <c r="BB29" s="5">
        <v>0</v>
      </c>
      <c r="BC29" s="5">
        <v>0</v>
      </c>
      <c r="BD29" s="5">
        <v>0.93442622950819632</v>
      </c>
      <c r="BE29" s="5">
        <v>0.39819403273744358</v>
      </c>
      <c r="BF29" s="5">
        <v>0.25499246046248281</v>
      </c>
      <c r="BG29" s="5">
        <v>0.27683223408967766</v>
      </c>
      <c r="BH29" s="5">
        <v>0.35292863696388316</v>
      </c>
      <c r="BI29" s="5">
        <v>0</v>
      </c>
      <c r="BJ29" s="5">
        <v>0</v>
      </c>
      <c r="BK29" s="5">
        <v>0</v>
      </c>
      <c r="BM29" s="3" t="s">
        <v>179</v>
      </c>
      <c r="BN29" s="3" t="s">
        <v>152</v>
      </c>
      <c r="BO29" s="5">
        <v>0</v>
      </c>
      <c r="BP29" s="5">
        <v>0</v>
      </c>
      <c r="BQ29" s="4">
        <v>0.83861231413432713</v>
      </c>
      <c r="BR29" s="5">
        <v>0.26595923068100313</v>
      </c>
      <c r="BS29" s="5">
        <v>0.16872595736042659</v>
      </c>
      <c r="BT29" s="5">
        <v>9.0899246518562626E-2</v>
      </c>
      <c r="BU29" s="4">
        <v>3.9159862325996032E-2</v>
      </c>
      <c r="BV29" s="5">
        <v>0.17532995071142682</v>
      </c>
      <c r="BW29" s="4">
        <v>0</v>
      </c>
      <c r="BX29" s="5">
        <v>0</v>
      </c>
      <c r="BY29" s="4">
        <v>0</v>
      </c>
      <c r="BZ29" s="4">
        <v>0.7415319544447867</v>
      </c>
      <c r="CA29" s="4">
        <v>0.26928863571034345</v>
      </c>
      <c r="CB29" s="4">
        <v>0.11439226427880922</v>
      </c>
      <c r="CC29" s="4">
        <v>8.6773037705802733E-2</v>
      </c>
      <c r="CD29" s="5">
        <v>5.0544793754396036E-2</v>
      </c>
      <c r="CE29" s="4">
        <v>2.7812709482046054E-2</v>
      </c>
      <c r="CF29" s="5">
        <v>5.0803479611409297E-2</v>
      </c>
      <c r="CG29" s="4">
        <v>0.40489142360696784</v>
      </c>
      <c r="CH29" s="5">
        <v>0</v>
      </c>
      <c r="CI29" s="5">
        <v>0</v>
      </c>
      <c r="CJ29" s="4">
        <v>0.24174005114727296</v>
      </c>
      <c r="CK29" s="5">
        <v>0.15165439202573533</v>
      </c>
      <c r="CL29" s="4">
        <v>0.11300099620825639</v>
      </c>
      <c r="CM29" s="5">
        <v>8.7890023194622122E-2</v>
      </c>
      <c r="CN29" s="5">
        <v>2.7064148552252372E-2</v>
      </c>
      <c r="CO29" s="5">
        <v>2.3613430475274748E-2</v>
      </c>
      <c r="CP29" s="5">
        <v>4.9775056520837774E-2</v>
      </c>
      <c r="CQ29" s="5">
        <v>0.17029034409595462</v>
      </c>
      <c r="CR29" s="5">
        <v>0</v>
      </c>
      <c r="CS29" s="5">
        <v>0</v>
      </c>
      <c r="CT29" s="5">
        <v>0.36361729785701985</v>
      </c>
      <c r="CU29" s="4">
        <v>0.16279037871015842</v>
      </c>
      <c r="CV29" s="4">
        <v>9.0011505914593587E-2</v>
      </c>
      <c r="CW29" s="5">
        <v>7.8503186096125915E-2</v>
      </c>
      <c r="CX29" s="4">
        <v>2.4117890275802634E-2</v>
      </c>
      <c r="CY29" s="4">
        <v>2.2415635281867772E-2</v>
      </c>
      <c r="CZ29" s="4">
        <v>3.5894217465773717E-2</v>
      </c>
      <c r="DA29" s="4">
        <v>0.15843240257401198</v>
      </c>
      <c r="DB29" s="5">
        <v>0</v>
      </c>
      <c r="DC29" s="5">
        <v>0</v>
      </c>
      <c r="DD29" s="4">
        <v>0.95142434829346945</v>
      </c>
      <c r="DE29" s="4">
        <v>0.35174593284736266</v>
      </c>
      <c r="DF29" s="5">
        <v>0.17598646447982128</v>
      </c>
      <c r="DG29" s="5">
        <v>0.1303995988799154</v>
      </c>
      <c r="DH29" s="4">
        <v>4.4326973492835868E-2</v>
      </c>
      <c r="DI29" s="4">
        <v>3.0050126831845131E-2</v>
      </c>
      <c r="DJ29" s="4">
        <v>8.86542058258252E-2</v>
      </c>
      <c r="DK29" s="4">
        <v>0.3961360426990736</v>
      </c>
      <c r="DL29" s="5">
        <v>0</v>
      </c>
      <c r="DM29" s="5">
        <v>0</v>
      </c>
      <c r="DN29" s="5">
        <v>0</v>
      </c>
      <c r="DO29" s="5">
        <v>0.88159563118376627</v>
      </c>
      <c r="DP29" s="5">
        <v>0.25794299798620457</v>
      </c>
      <c r="DQ29" s="5">
        <v>0.14851743282522872</v>
      </c>
      <c r="DR29" s="5">
        <v>0.11736292080586265</v>
      </c>
      <c r="DS29" s="5">
        <v>6.4870267889062999E-2</v>
      </c>
      <c r="DT29" s="4">
        <v>0</v>
      </c>
      <c r="DU29" s="5">
        <v>0</v>
      </c>
      <c r="DV29" s="5">
        <v>0</v>
      </c>
      <c r="DX29" s="3" t="s">
        <v>179</v>
      </c>
      <c r="DY29" s="3" t="s">
        <v>153</v>
      </c>
      <c r="DZ29" s="4">
        <v>0</v>
      </c>
      <c r="EA29" s="5">
        <v>0</v>
      </c>
      <c r="EB29" s="5">
        <v>0</v>
      </c>
      <c r="EC29" s="5">
        <v>0</v>
      </c>
      <c r="ED29" s="4">
        <v>0</v>
      </c>
      <c r="EE29" s="5">
        <v>8.5053728495770767E-2</v>
      </c>
      <c r="EF29" s="4">
        <v>0.18287583726698611</v>
      </c>
      <c r="EG29" s="5">
        <v>0.39453469548698911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7.3825143452631086E-3</v>
      </c>
      <c r="EO29" s="4">
        <v>4.5187889269548108E-2</v>
      </c>
      <c r="EP29" s="4">
        <v>8.5615792821887693E-2</v>
      </c>
      <c r="EQ29" s="4">
        <v>0.14763096410727153</v>
      </c>
      <c r="ER29" s="4">
        <v>8.8500512480226043E-2</v>
      </c>
      <c r="ES29" s="4">
        <v>0</v>
      </c>
      <c r="ET29" s="5">
        <v>0</v>
      </c>
      <c r="EU29" s="5">
        <v>0</v>
      </c>
      <c r="EV29" s="5">
        <v>0</v>
      </c>
      <c r="EW29" s="5">
        <v>0</v>
      </c>
      <c r="EX29" s="4">
        <v>1.1351921723214045E-2</v>
      </c>
      <c r="EY29" s="5">
        <v>6.6071315300548675E-2</v>
      </c>
      <c r="EZ29" s="5">
        <v>7.0257303054472919E-2</v>
      </c>
      <c r="FA29" s="5">
        <v>7.2621983597300155E-2</v>
      </c>
      <c r="FB29" s="5">
        <v>1.0012191376736054E-2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4">
        <v>4.7807380594937438E-3</v>
      </c>
      <c r="FI29" s="5">
        <v>5.6875089546421266E-2</v>
      </c>
      <c r="FJ29" s="5">
        <v>6.6420672985415735E-2</v>
      </c>
      <c r="FK29" s="5">
        <v>7.5335217047867969E-2</v>
      </c>
      <c r="FL29" s="5">
        <v>2.2341913238124008E-2</v>
      </c>
      <c r="FM29" s="4">
        <v>0</v>
      </c>
      <c r="FN29" s="5">
        <v>0</v>
      </c>
      <c r="FO29" s="5">
        <v>0</v>
      </c>
      <c r="FP29" s="4">
        <v>0</v>
      </c>
      <c r="FQ29" s="4">
        <v>0</v>
      </c>
      <c r="FR29" s="4">
        <v>3.8405710009030395E-3</v>
      </c>
      <c r="FS29" s="4">
        <v>8.0748073045029012E-2</v>
      </c>
      <c r="FT29" s="5">
        <v>0.11722988150788689</v>
      </c>
      <c r="FU29" s="5">
        <v>0.22985239166824331</v>
      </c>
      <c r="FV29" s="4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4.1042501820013025E-2</v>
      </c>
      <c r="GD29" s="5">
        <v>0.17262861405321764</v>
      </c>
      <c r="GE29" s="5">
        <v>0</v>
      </c>
      <c r="GF29" s="5">
        <v>0</v>
      </c>
      <c r="GG29" s="5">
        <v>0</v>
      </c>
      <c r="GI29" s="3" t="s">
        <v>179</v>
      </c>
      <c r="GJ29" s="3" t="s">
        <v>154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3.2076529033269554E-3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4">
        <v>0</v>
      </c>
      <c r="HB29" s="5">
        <v>6.711804342629208E-3</v>
      </c>
      <c r="HC29" s="5">
        <v>0.11985261749146071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4">
        <v>7.9036602198435894E-3</v>
      </c>
      <c r="HM29" s="5">
        <v>1.4717118188401893E-2</v>
      </c>
      <c r="HN29" s="5">
        <v>0</v>
      </c>
      <c r="HO29" s="5">
        <v>0</v>
      </c>
      <c r="HP29" s="5">
        <v>0</v>
      </c>
      <c r="HQ29" s="5">
        <v>0</v>
      </c>
      <c r="HR29" s="5">
        <v>0</v>
      </c>
      <c r="HS29" s="5">
        <v>0</v>
      </c>
      <c r="HT29" s="5">
        <v>0</v>
      </c>
      <c r="HU29" s="5">
        <v>0</v>
      </c>
      <c r="HV29" s="4">
        <v>1.1428154878144576E-2</v>
      </c>
      <c r="HW29" s="5">
        <v>9.2450356407831447E-2</v>
      </c>
      <c r="HX29" s="5">
        <v>0</v>
      </c>
      <c r="HY29" s="5">
        <v>0</v>
      </c>
      <c r="HZ29" s="5">
        <v>0</v>
      </c>
      <c r="IA29" s="5">
        <v>0</v>
      </c>
      <c r="IB29" s="5">
        <v>0</v>
      </c>
      <c r="IC29" s="5">
        <v>0</v>
      </c>
      <c r="ID29" s="5">
        <v>0</v>
      </c>
      <c r="IE29" s="5">
        <v>0</v>
      </c>
      <c r="IF29" s="5">
        <v>6.2195446534832654E-3</v>
      </c>
      <c r="IG29" s="5">
        <v>0.48739963838725453</v>
      </c>
      <c r="IH29" s="5">
        <v>0</v>
      </c>
      <c r="II29" s="5">
        <v>0</v>
      </c>
      <c r="IJ29" s="5">
        <v>0</v>
      </c>
      <c r="IK29" s="5">
        <v>0</v>
      </c>
      <c r="IL29" s="5">
        <v>0</v>
      </c>
      <c r="IM29" s="5">
        <v>0</v>
      </c>
      <c r="IN29" s="5">
        <v>0</v>
      </c>
      <c r="IO29" s="5">
        <v>0</v>
      </c>
      <c r="IP29" s="5">
        <v>0</v>
      </c>
      <c r="IQ29" s="5">
        <v>0</v>
      </c>
      <c r="IR29" s="5">
        <v>0</v>
      </c>
      <c r="JB29" s="3" t="s">
        <v>179</v>
      </c>
      <c r="JC29" s="5">
        <v>0</v>
      </c>
      <c r="JD29" s="5">
        <v>0</v>
      </c>
      <c r="JE29" s="4">
        <v>2.6033396491005533E-3</v>
      </c>
      <c r="JF29" s="5">
        <v>0.10673745873719059</v>
      </c>
      <c r="JG29" s="5">
        <v>0.25752018728471193</v>
      </c>
      <c r="JH29" s="5">
        <v>0.26244798787721291</v>
      </c>
      <c r="JI29" s="5">
        <v>0.15262294671677801</v>
      </c>
      <c r="JJ29" s="5">
        <v>2.0477898881895263E-2</v>
      </c>
      <c r="JK29" s="5">
        <v>0</v>
      </c>
      <c r="JL29" s="5">
        <v>0</v>
      </c>
      <c r="JM29" s="5">
        <v>0</v>
      </c>
      <c r="JN29" s="4">
        <v>1.0918589582659447E-3</v>
      </c>
      <c r="JO29" s="5">
        <v>8.6523241527131853E-2</v>
      </c>
      <c r="JP29" s="5">
        <v>0.30601915621557479</v>
      </c>
      <c r="JQ29" s="5">
        <v>0.41222892880271378</v>
      </c>
      <c r="JR29" s="5">
        <v>0.40911522683084284</v>
      </c>
      <c r="JS29" s="5">
        <v>0.30594549812868094</v>
      </c>
      <c r="JT29" s="5">
        <v>0.11229215111891501</v>
      </c>
      <c r="JU29" s="5">
        <v>2.2842974259684201E-3</v>
      </c>
      <c r="JV29" s="5">
        <v>0</v>
      </c>
      <c r="JW29" s="4">
        <v>0</v>
      </c>
      <c r="JX29" s="5">
        <v>1.734769820260865E-2</v>
      </c>
      <c r="JY29" s="5">
        <v>0.15528774654113764</v>
      </c>
      <c r="JZ29" s="5">
        <v>0.34091680244945544</v>
      </c>
      <c r="KA29" s="5">
        <v>0.44480364690321339</v>
      </c>
      <c r="KB29" s="5">
        <v>0.44349830617183084</v>
      </c>
      <c r="KC29" s="5">
        <v>0.34382660355242922</v>
      </c>
      <c r="KD29" s="5">
        <v>0.1731957234196429</v>
      </c>
      <c r="KE29" s="5">
        <v>2.1949998813629027E-2</v>
      </c>
      <c r="KF29" s="4">
        <v>0</v>
      </c>
      <c r="KG29" s="4">
        <v>0</v>
      </c>
      <c r="KH29" s="5">
        <v>9.7670344129039757E-3</v>
      </c>
      <c r="KI29" s="5">
        <v>0.13332195255408366</v>
      </c>
      <c r="KJ29" s="5">
        <v>0.34705957999079318</v>
      </c>
      <c r="KK29" s="5">
        <v>0.44940185026616647</v>
      </c>
      <c r="KL29" s="5">
        <v>0.44530958464084286</v>
      </c>
      <c r="KM29" s="5">
        <v>0.34508207089376391</v>
      </c>
      <c r="KN29" s="5">
        <v>0.17284124313706006</v>
      </c>
      <c r="KO29" s="5">
        <v>1.8932735631640416E-2</v>
      </c>
      <c r="KP29" s="4">
        <v>0</v>
      </c>
      <c r="KQ29" s="5">
        <v>0</v>
      </c>
      <c r="KR29" s="4">
        <v>9.5846477775810278E-6</v>
      </c>
      <c r="KS29" s="5">
        <v>3.9894846766590567E-2</v>
      </c>
      <c r="KT29" s="5">
        <v>0.18277722615851133</v>
      </c>
      <c r="KU29" s="5">
        <v>0.29598461531788112</v>
      </c>
      <c r="KV29" s="5">
        <v>0.30357068775303092</v>
      </c>
      <c r="KW29" s="5">
        <v>0.19783703686231771</v>
      </c>
      <c r="KX29" s="5">
        <v>4.7783233344444426E-2</v>
      </c>
      <c r="KY29" s="4">
        <v>1.5063004423831287E-4</v>
      </c>
      <c r="KZ29" s="5">
        <v>0</v>
      </c>
      <c r="LA29" s="5">
        <v>0</v>
      </c>
      <c r="LB29" s="5">
        <v>0</v>
      </c>
      <c r="LC29" s="4">
        <v>1.7592264111375442E-3</v>
      </c>
      <c r="LD29" s="5">
        <v>9.9955021974782565E-2</v>
      </c>
      <c r="LE29" s="5">
        <v>0.25203355127952787</v>
      </c>
      <c r="LF29" s="5">
        <v>0.23875963241197062</v>
      </c>
      <c r="LG29" s="5">
        <v>9.8467456657413771E-2</v>
      </c>
      <c r="LH29" s="4">
        <v>0</v>
      </c>
      <c r="LI29" s="5">
        <v>0</v>
      </c>
      <c r="LJ29" s="5">
        <v>0</v>
      </c>
      <c r="LL29" s="3" t="s">
        <v>179</v>
      </c>
      <c r="LM29" s="3" t="s">
        <v>160</v>
      </c>
      <c r="LN29" s="3" t="s">
        <v>161</v>
      </c>
      <c r="LO29" s="5">
        <v>0.36707108146453316</v>
      </c>
    </row>
    <row r="30" spans="2:327" x14ac:dyDescent="0.45">
      <c r="B30" s="6" t="s">
        <v>180</v>
      </c>
      <c r="C30" s="6" t="s">
        <v>151</v>
      </c>
      <c r="D30" s="8">
        <v>0</v>
      </c>
      <c r="E30" s="8">
        <v>0</v>
      </c>
      <c r="F30" s="8">
        <v>0.93220338983050821</v>
      </c>
      <c r="G30" s="8">
        <v>0.43466386749358776</v>
      </c>
      <c r="H30" s="8">
        <v>0.29633721362223953</v>
      </c>
      <c r="I30" s="8">
        <v>0.30337860845709752</v>
      </c>
      <c r="J30" s="8">
        <v>0.36406625241946855</v>
      </c>
      <c r="K30" s="8">
        <v>0.74394246621797522</v>
      </c>
      <c r="L30" s="8">
        <v>0</v>
      </c>
      <c r="M30" s="8">
        <v>0</v>
      </c>
      <c r="N30" s="8">
        <v>0</v>
      </c>
      <c r="O30" s="8">
        <v>0.8766746270781629</v>
      </c>
      <c r="P30" s="8">
        <v>0.4362744460028532</v>
      </c>
      <c r="Q30" s="8">
        <v>0.24762354013373913</v>
      </c>
      <c r="R30" s="8">
        <v>0.19703796475424748</v>
      </c>
      <c r="S30" s="8">
        <v>0.16680788378144057</v>
      </c>
      <c r="T30" s="8">
        <v>0.17624825256862534</v>
      </c>
      <c r="U30" s="8">
        <v>0.28486143257369828</v>
      </c>
      <c r="V30" s="8">
        <v>0.74822894219405478</v>
      </c>
      <c r="W30" s="8">
        <v>0</v>
      </c>
      <c r="X30" s="8">
        <v>0</v>
      </c>
      <c r="Y30" s="8">
        <v>0.37237220627413337</v>
      </c>
      <c r="Z30" s="8">
        <v>0.21178380614843592</v>
      </c>
      <c r="AA30" s="8">
        <v>0.17698920305692747</v>
      </c>
      <c r="AB30" s="8">
        <v>0.17618640344372266</v>
      </c>
      <c r="AC30" s="8">
        <v>0.17824346962487322</v>
      </c>
      <c r="AD30" s="8">
        <v>0.16963284246514809</v>
      </c>
      <c r="AE30" s="8">
        <v>0.19431100919593994</v>
      </c>
      <c r="AF30" s="8">
        <v>0.29631955656423004</v>
      </c>
      <c r="AG30" s="8">
        <v>0.8940995827183732</v>
      </c>
      <c r="AH30" s="8">
        <v>0</v>
      </c>
      <c r="AI30" s="8">
        <v>0.52370641039202048</v>
      </c>
      <c r="AJ30" s="8">
        <v>0.25845980790658468</v>
      </c>
      <c r="AK30" s="8">
        <v>0.16277859025291444</v>
      </c>
      <c r="AL30" s="8">
        <v>0.15509294801543183</v>
      </c>
      <c r="AM30" s="8">
        <v>0.14693831883233982</v>
      </c>
      <c r="AN30" s="8">
        <v>0.16120164002211657</v>
      </c>
      <c r="AO30" s="8">
        <v>0.20918731085693162</v>
      </c>
      <c r="AP30" s="8">
        <v>0.3932289954601268</v>
      </c>
      <c r="AQ30" s="8">
        <v>0.93400722032579775</v>
      </c>
      <c r="AR30" s="8">
        <v>0</v>
      </c>
      <c r="AS30" s="8">
        <v>0.99180327868852436</v>
      </c>
      <c r="AT30" s="8">
        <v>0.48300098550753023</v>
      </c>
      <c r="AU30" s="8">
        <v>0.28551719115484997</v>
      </c>
      <c r="AV30" s="8">
        <v>0.23407172586131461</v>
      </c>
      <c r="AW30" s="8">
        <v>0.22876905450735247</v>
      </c>
      <c r="AX30" s="8">
        <v>0.2728999101969376</v>
      </c>
      <c r="AY30" s="8">
        <v>0.49491941943717294</v>
      </c>
      <c r="AZ30" s="8">
        <v>0.9271506606026636</v>
      </c>
      <c r="BA30" s="8">
        <v>0</v>
      </c>
      <c r="BB30" s="8">
        <v>0</v>
      </c>
      <c r="BC30" s="8">
        <v>0</v>
      </c>
      <c r="BD30" s="8">
        <v>0.96721311475409855</v>
      </c>
      <c r="BE30" s="8">
        <v>0.44975319005838466</v>
      </c>
      <c r="BF30" s="8">
        <v>0.28040305927319797</v>
      </c>
      <c r="BG30" s="8">
        <v>0.27407905650584552</v>
      </c>
      <c r="BH30" s="8">
        <v>0.38403746440000702</v>
      </c>
      <c r="BI30" s="8">
        <v>0</v>
      </c>
      <c r="BJ30" s="8">
        <v>0</v>
      </c>
      <c r="BK30" s="8">
        <v>0</v>
      </c>
      <c r="BM30" s="6" t="s">
        <v>180</v>
      </c>
      <c r="BN30" s="6" t="s">
        <v>152</v>
      </c>
      <c r="BO30" s="8">
        <v>0</v>
      </c>
      <c r="BP30" s="8">
        <v>0</v>
      </c>
      <c r="BQ30" s="7">
        <v>0.86900316001149114</v>
      </c>
      <c r="BR30" s="8">
        <v>0.28549463193862057</v>
      </c>
      <c r="BS30" s="8">
        <v>0.17532788421060291</v>
      </c>
      <c r="BT30" s="8">
        <v>0.11048523635931011</v>
      </c>
      <c r="BU30" s="7">
        <v>4.4816991126019522E-2</v>
      </c>
      <c r="BV30" s="8">
        <v>0.1392458526412183</v>
      </c>
      <c r="BW30" s="7">
        <v>0</v>
      </c>
      <c r="BX30" s="8">
        <v>0</v>
      </c>
      <c r="BY30" s="7">
        <v>0</v>
      </c>
      <c r="BZ30" s="7">
        <v>0.78601887951132254</v>
      </c>
      <c r="CA30" s="7">
        <v>0.29508678288877649</v>
      </c>
      <c r="CB30" s="7">
        <v>0.13095311529857082</v>
      </c>
      <c r="CC30" s="7">
        <v>8.2200356901818372E-2</v>
      </c>
      <c r="CD30" s="8">
        <v>3.777342585134924E-2</v>
      </c>
      <c r="CE30" s="7">
        <v>1.9205019884878421E-2</v>
      </c>
      <c r="CF30" s="8">
        <v>6.3193276918586047E-2</v>
      </c>
      <c r="CG30" s="7">
        <v>0.37383717208546846</v>
      </c>
      <c r="CH30" s="8">
        <v>0</v>
      </c>
      <c r="CI30" s="8">
        <v>0</v>
      </c>
      <c r="CJ30" s="7">
        <v>0.23625110306731137</v>
      </c>
      <c r="CK30" s="8">
        <v>0.14277266658935175</v>
      </c>
      <c r="CL30" s="7">
        <v>0.10322696261689711</v>
      </c>
      <c r="CM30" s="8">
        <v>9.5086969227380247E-2</v>
      </c>
      <c r="CN30" s="8">
        <v>3.6335748835056046E-2</v>
      </c>
      <c r="CO30" s="8">
        <v>1.9766541351576704E-2</v>
      </c>
      <c r="CP30" s="8">
        <v>4.5090313697831792E-2</v>
      </c>
      <c r="CQ30" s="8">
        <v>0.15886732929477712</v>
      </c>
      <c r="CR30" s="8">
        <v>0.81295499820851314</v>
      </c>
      <c r="CS30" s="8">
        <v>0</v>
      </c>
      <c r="CT30" s="8">
        <v>0.37787122262730055</v>
      </c>
      <c r="CU30" s="7">
        <v>0.16480213816904682</v>
      </c>
      <c r="CV30" s="7">
        <v>9.1564825425852023E-2</v>
      </c>
      <c r="CW30" s="8">
        <v>7.4489436730348052E-2</v>
      </c>
      <c r="CX30" s="7">
        <v>3.0614223785498065E-2</v>
      </c>
      <c r="CY30" s="7">
        <v>1.8721103268835471E-2</v>
      </c>
      <c r="CZ30" s="7">
        <v>3.0422446988138355E-2</v>
      </c>
      <c r="DA30" s="7">
        <v>0.17164531063307709</v>
      </c>
      <c r="DB30" s="8">
        <v>0.86758859495290996</v>
      </c>
      <c r="DC30" s="8">
        <v>0</v>
      </c>
      <c r="DD30" s="7">
        <v>0.98367374361730719</v>
      </c>
      <c r="DE30" s="7">
        <v>0.34642120719358932</v>
      </c>
      <c r="DF30" s="8">
        <v>0.17914687059347917</v>
      </c>
      <c r="DG30" s="8">
        <v>0.12987257065595656</v>
      </c>
      <c r="DH30" s="7">
        <v>4.3359259773499456E-2</v>
      </c>
      <c r="DI30" s="7">
        <v>4.7764576019579869E-2</v>
      </c>
      <c r="DJ30" s="7">
        <v>0.10192050057306952</v>
      </c>
      <c r="DK30" s="7">
        <v>0.26193081789503625</v>
      </c>
      <c r="DL30" s="8">
        <v>0</v>
      </c>
      <c r="DM30" s="8">
        <v>0</v>
      </c>
      <c r="DN30" s="8">
        <v>0</v>
      </c>
      <c r="DO30" s="8">
        <v>0.93550120935232473</v>
      </c>
      <c r="DP30" s="8">
        <v>0.29854893665668958</v>
      </c>
      <c r="DQ30" s="8">
        <v>0.17624034826667784</v>
      </c>
      <c r="DR30" s="8">
        <v>0.10422116998274447</v>
      </c>
      <c r="DS30" s="8">
        <v>6.7907406479269489E-2</v>
      </c>
      <c r="DT30" s="7">
        <v>0</v>
      </c>
      <c r="DU30" s="8">
        <v>0</v>
      </c>
      <c r="DV30" s="8">
        <v>0</v>
      </c>
      <c r="DX30" s="6" t="s">
        <v>180</v>
      </c>
      <c r="DY30" s="6" t="s">
        <v>153</v>
      </c>
      <c r="DZ30" s="7">
        <v>0</v>
      </c>
      <c r="EA30" s="8">
        <v>0</v>
      </c>
      <c r="EB30" s="8">
        <v>0</v>
      </c>
      <c r="EC30" s="8">
        <v>0</v>
      </c>
      <c r="ED30" s="7">
        <v>0</v>
      </c>
      <c r="EE30" s="8">
        <v>7.863147233005123E-2</v>
      </c>
      <c r="EF30" s="7">
        <v>0.19827692313416098</v>
      </c>
      <c r="EG30" s="8">
        <v>0.43629211289537856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1.9751605369817869E-2</v>
      </c>
      <c r="EO30" s="7">
        <v>5.4753503576224501E-2</v>
      </c>
      <c r="EP30" s="7">
        <v>7.3068029439621193E-2</v>
      </c>
      <c r="EQ30" s="7">
        <v>8.7030402787652755E-2</v>
      </c>
      <c r="ER30" s="7">
        <v>0</v>
      </c>
      <c r="ES30" s="7">
        <v>0</v>
      </c>
      <c r="ET30" s="8">
        <v>0</v>
      </c>
      <c r="EU30" s="8">
        <v>0</v>
      </c>
      <c r="EV30" s="8">
        <v>0</v>
      </c>
      <c r="EW30" s="8">
        <v>0</v>
      </c>
      <c r="EX30" s="7">
        <v>7.3637156705317394E-3</v>
      </c>
      <c r="EY30" s="8">
        <v>6.1236045636408748E-2</v>
      </c>
      <c r="EZ30" s="8">
        <v>7.1763292864956627E-2</v>
      </c>
      <c r="FA30" s="8">
        <v>6.4625530388176478E-2</v>
      </c>
      <c r="FB30" s="8">
        <v>1.287385324148654E-2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7">
        <v>9.5302558404744431E-3</v>
      </c>
      <c r="FI30" s="8">
        <v>4.880063058673572E-2</v>
      </c>
      <c r="FJ30" s="8">
        <v>7.251431750171107E-2</v>
      </c>
      <c r="FK30" s="8">
        <v>7.9309121299150617E-2</v>
      </c>
      <c r="FL30" s="8">
        <v>2.5508605437579861E-2</v>
      </c>
      <c r="FM30" s="7">
        <v>0</v>
      </c>
      <c r="FN30" s="8">
        <v>0</v>
      </c>
      <c r="FO30" s="8">
        <v>0</v>
      </c>
      <c r="FP30" s="7">
        <v>0</v>
      </c>
      <c r="FQ30" s="7">
        <v>0</v>
      </c>
      <c r="FR30" s="7">
        <v>0</v>
      </c>
      <c r="FS30" s="7">
        <v>9.7299850152504128E-2</v>
      </c>
      <c r="FT30" s="8">
        <v>0.12355727689557743</v>
      </c>
      <c r="FU30" s="8">
        <v>0.23671969714541477</v>
      </c>
      <c r="FV30" s="7">
        <v>0.22449770230242497</v>
      </c>
      <c r="FW30" s="8">
        <v>0</v>
      </c>
      <c r="FX30" s="8">
        <v>0</v>
      </c>
      <c r="FY30" s="8">
        <v>0</v>
      </c>
      <c r="FZ30" s="8">
        <v>0</v>
      </c>
      <c r="GA30" s="8">
        <v>0</v>
      </c>
      <c r="GB30" s="8">
        <v>0</v>
      </c>
      <c r="GC30" s="8">
        <v>6.2669568877849469E-2</v>
      </c>
      <c r="GD30" s="8">
        <v>0.18136556297970552</v>
      </c>
      <c r="GE30" s="8">
        <v>0</v>
      </c>
      <c r="GF30" s="8">
        <v>0</v>
      </c>
      <c r="GG30" s="8">
        <v>0</v>
      </c>
      <c r="GI30" s="6" t="s">
        <v>180</v>
      </c>
      <c r="GJ30" s="6" t="s">
        <v>154</v>
      </c>
      <c r="GK30" s="8">
        <v>0</v>
      </c>
      <c r="GL30" s="8">
        <v>0</v>
      </c>
      <c r="GM30" s="8">
        <v>0</v>
      </c>
      <c r="GN30" s="8">
        <v>0</v>
      </c>
      <c r="GO30" s="8">
        <v>0</v>
      </c>
      <c r="GP30" s="8">
        <v>0</v>
      </c>
      <c r="GQ30" s="8">
        <v>0</v>
      </c>
      <c r="GR30" s="8">
        <v>2.245968769892772E-3</v>
      </c>
      <c r="GS30" s="8">
        <v>0</v>
      </c>
      <c r="GT30" s="8">
        <v>0</v>
      </c>
      <c r="GU30" s="8">
        <v>0</v>
      </c>
      <c r="GV30" s="8">
        <v>0</v>
      </c>
      <c r="GW30" s="8">
        <v>0</v>
      </c>
      <c r="GX30" s="8">
        <v>0</v>
      </c>
      <c r="GY30" s="8">
        <v>0</v>
      </c>
      <c r="GZ30" s="8">
        <v>0</v>
      </c>
      <c r="HA30" s="7">
        <v>3.9511894171389725E-5</v>
      </c>
      <c r="HB30" s="8">
        <v>3.0813166584546098E-2</v>
      </c>
      <c r="HC30" s="8">
        <v>0.21922227882610928</v>
      </c>
      <c r="HD30" s="8">
        <v>0</v>
      </c>
      <c r="HE30" s="8">
        <v>0</v>
      </c>
      <c r="HF30" s="8">
        <v>0</v>
      </c>
      <c r="HG30" s="8">
        <v>0</v>
      </c>
      <c r="HH30" s="8">
        <v>0</v>
      </c>
      <c r="HI30" s="8">
        <v>0</v>
      </c>
      <c r="HJ30" s="8">
        <v>0</v>
      </c>
      <c r="HK30" s="8">
        <v>0</v>
      </c>
      <c r="HL30" s="7">
        <v>8.7472439905284857E-3</v>
      </c>
      <c r="HM30" s="8">
        <v>1.0647376165590274E-2</v>
      </c>
      <c r="HN30" s="8">
        <v>0</v>
      </c>
      <c r="HO30" s="8">
        <v>0</v>
      </c>
      <c r="HP30" s="8">
        <v>0</v>
      </c>
      <c r="HQ30" s="8">
        <v>0</v>
      </c>
      <c r="HR30" s="8">
        <v>0</v>
      </c>
      <c r="HS30" s="8">
        <v>0</v>
      </c>
      <c r="HT30" s="8">
        <v>0</v>
      </c>
      <c r="HU30" s="8">
        <v>0</v>
      </c>
      <c r="HV30" s="7">
        <v>1.7347153957195629E-2</v>
      </c>
      <c r="HW30" s="8">
        <v>7.401630164355244E-2</v>
      </c>
      <c r="HX30" s="8">
        <v>6.9380196153654185E-3</v>
      </c>
      <c r="HY30" s="8">
        <v>0</v>
      </c>
      <c r="HZ30" s="8">
        <v>0</v>
      </c>
      <c r="IA30" s="8">
        <v>0</v>
      </c>
      <c r="IB30" s="8">
        <v>0</v>
      </c>
      <c r="IC30" s="8">
        <v>0</v>
      </c>
      <c r="ID30" s="8">
        <v>0</v>
      </c>
      <c r="IE30" s="8">
        <v>0</v>
      </c>
      <c r="IF30" s="8">
        <v>7.5020061453525671E-3</v>
      </c>
      <c r="IG30" s="8">
        <v>0.37992537577551955</v>
      </c>
      <c r="IH30" s="8">
        <v>0</v>
      </c>
      <c r="II30" s="8">
        <v>0</v>
      </c>
      <c r="IJ30" s="8">
        <v>0</v>
      </c>
      <c r="IK30" s="8">
        <v>0</v>
      </c>
      <c r="IL30" s="8">
        <v>0</v>
      </c>
      <c r="IM30" s="8">
        <v>0</v>
      </c>
      <c r="IN30" s="8">
        <v>0</v>
      </c>
      <c r="IO30" s="8">
        <v>0</v>
      </c>
      <c r="IP30" s="8">
        <v>0</v>
      </c>
      <c r="IQ30" s="8">
        <v>0</v>
      </c>
      <c r="IR30" s="8">
        <v>0</v>
      </c>
      <c r="JB30" s="6" t="s">
        <v>180</v>
      </c>
      <c r="JC30" s="8">
        <v>0</v>
      </c>
      <c r="JD30" s="8">
        <v>0</v>
      </c>
      <c r="JE30" s="7">
        <v>2.4773100212848354E-3</v>
      </c>
      <c r="JF30" s="8">
        <v>9.7179917692287815E-2</v>
      </c>
      <c r="JG30" s="8">
        <v>0.2465197266986513</v>
      </c>
      <c r="JH30" s="8">
        <v>0.2602015050401979</v>
      </c>
      <c r="JI30" s="8">
        <v>0.15509394213116903</v>
      </c>
      <c r="JJ30" s="8">
        <v>2.225212146601975E-2</v>
      </c>
      <c r="JK30" s="8">
        <v>0</v>
      </c>
      <c r="JL30" s="8">
        <v>0</v>
      </c>
      <c r="JM30" s="8">
        <v>0</v>
      </c>
      <c r="JN30" s="7">
        <v>8.3581342145982269E-4</v>
      </c>
      <c r="JO30" s="8">
        <v>7.4574461110218704E-2</v>
      </c>
      <c r="JP30" s="8">
        <v>0.28864964743288807</v>
      </c>
      <c r="JQ30" s="8">
        <v>0.41337134309797613</v>
      </c>
      <c r="JR30" s="8">
        <v>0.42708211537911445</v>
      </c>
      <c r="JS30" s="8">
        <v>0.33090082496751494</v>
      </c>
      <c r="JT30" s="8">
        <v>0.13299634653877171</v>
      </c>
      <c r="JU30" s="8">
        <v>3.0903675617390911E-3</v>
      </c>
      <c r="JV30" s="8">
        <v>0</v>
      </c>
      <c r="JW30" s="7">
        <v>0</v>
      </c>
      <c r="JX30" s="8">
        <v>1.8103729906894357E-2</v>
      </c>
      <c r="JY30" s="8">
        <v>0.15323247812378965</v>
      </c>
      <c r="JZ30" s="8">
        <v>0.32863997644307763</v>
      </c>
      <c r="KA30" s="8">
        <v>0.41834917056058779</v>
      </c>
      <c r="KB30" s="8">
        <v>0.43257191250497945</v>
      </c>
      <c r="KC30" s="8">
        <v>0.3448985187433436</v>
      </c>
      <c r="KD30" s="8">
        <v>0.17979425348061062</v>
      </c>
      <c r="KE30" s="8">
        <v>2.7047200292651955E-2</v>
      </c>
      <c r="KF30" s="7">
        <v>6.08482483921579E-5</v>
      </c>
      <c r="KG30" s="7">
        <v>0</v>
      </c>
      <c r="KH30" s="8">
        <v>9.3988447073784023E-3</v>
      </c>
      <c r="KI30" s="8">
        <v>0.11939546095028862</v>
      </c>
      <c r="KJ30" s="8">
        <v>0.32491148696766448</v>
      </c>
      <c r="KK30" s="8">
        <v>0.44236637243694577</v>
      </c>
      <c r="KL30" s="8">
        <v>0.45864116831463664</v>
      </c>
      <c r="KM30" s="8">
        <v>0.36025815128606614</v>
      </c>
      <c r="KN30" s="8">
        <v>0.18186181082361152</v>
      </c>
      <c r="KO30" s="8">
        <v>2.2681197157241758E-2</v>
      </c>
      <c r="KP30" s="7">
        <v>2.2891769585487183E-5</v>
      </c>
      <c r="KQ30" s="8">
        <v>0</v>
      </c>
      <c r="KR30" s="7">
        <v>0</v>
      </c>
      <c r="KS30" s="8">
        <v>3.2673061258439898E-2</v>
      </c>
      <c r="KT30" s="8">
        <v>0.16869686968363592</v>
      </c>
      <c r="KU30" s="8">
        <v>0.27782352451194731</v>
      </c>
      <c r="KV30" s="8">
        <v>0.27546607427954617</v>
      </c>
      <c r="KW30" s="8">
        <v>0.18260770145183131</v>
      </c>
      <c r="KX30" s="8">
        <v>4.7995631354476168E-2</v>
      </c>
      <c r="KY30" s="7">
        <v>1.6743541351712301E-4</v>
      </c>
      <c r="KZ30" s="8">
        <v>0</v>
      </c>
      <c r="LA30" s="8">
        <v>0</v>
      </c>
      <c r="LB30" s="8">
        <v>0</v>
      </c>
      <c r="LC30" s="7">
        <v>4.3121830002839815E-4</v>
      </c>
      <c r="LD30" s="8">
        <v>8.7396629061014544E-2</v>
      </c>
      <c r="LE30" s="8">
        <v>0.22398111312544922</v>
      </c>
      <c r="LF30" s="8">
        <v>0.21514656398423374</v>
      </c>
      <c r="LG30" s="8">
        <v>8.9650240377155868E-2</v>
      </c>
      <c r="LH30" s="7">
        <v>0</v>
      </c>
      <c r="LI30" s="8">
        <v>0</v>
      </c>
      <c r="LJ30" s="8">
        <v>0</v>
      </c>
      <c r="LL30" s="6" t="s">
        <v>180</v>
      </c>
      <c r="LM30" s="6" t="s">
        <v>160</v>
      </c>
      <c r="LN30" s="6" t="s">
        <v>161</v>
      </c>
      <c r="LO30" s="8">
        <v>0.39715303899531545</v>
      </c>
    </row>
    <row r="31" spans="2:327" x14ac:dyDescent="0.45">
      <c r="B31" s="3" t="s">
        <v>181</v>
      </c>
      <c r="C31" s="3" t="s">
        <v>151</v>
      </c>
      <c r="D31" s="5">
        <v>0</v>
      </c>
      <c r="E31" s="5">
        <v>0</v>
      </c>
      <c r="F31" s="5">
        <v>0.90278738853743201</v>
      </c>
      <c r="G31" s="5">
        <v>0.399825113627156</v>
      </c>
      <c r="H31" s="5">
        <v>0.27823607169934855</v>
      </c>
      <c r="I31" s="5">
        <v>0.2786766570374119</v>
      </c>
      <c r="J31" s="5">
        <v>0.34248670463243192</v>
      </c>
      <c r="K31" s="5">
        <v>0.69329773726146671</v>
      </c>
      <c r="L31" s="5">
        <v>0</v>
      </c>
      <c r="M31" s="5">
        <v>0</v>
      </c>
      <c r="N31" s="5">
        <v>0</v>
      </c>
      <c r="O31" s="5">
        <v>0.87601261238191641</v>
      </c>
      <c r="P31" s="5">
        <v>0.41202599766516895</v>
      </c>
      <c r="Q31" s="5">
        <v>0.22265711366915775</v>
      </c>
      <c r="R31" s="5">
        <v>0.17449469670295037</v>
      </c>
      <c r="S31" s="5">
        <v>0.17148290568899519</v>
      </c>
      <c r="T31" s="5">
        <v>0.18354274594207609</v>
      </c>
      <c r="U31" s="5">
        <v>0.27797578877639584</v>
      </c>
      <c r="V31" s="5">
        <v>0.73918127732138206</v>
      </c>
      <c r="W31" s="5">
        <v>0</v>
      </c>
      <c r="X31" s="5">
        <v>0</v>
      </c>
      <c r="Y31" s="5">
        <v>0.43846126174974703</v>
      </c>
      <c r="Z31" s="5">
        <v>0.21495432250091234</v>
      </c>
      <c r="AA31" s="5">
        <v>0.16160582320488848</v>
      </c>
      <c r="AB31" s="5">
        <v>0.15618198329291025</v>
      </c>
      <c r="AC31" s="5">
        <v>0.14046892799061378</v>
      </c>
      <c r="AD31" s="5">
        <v>0.14032529649325073</v>
      </c>
      <c r="AE31" s="5">
        <v>0.1897057481518305</v>
      </c>
      <c r="AF31" s="5">
        <v>0.32664225219717891</v>
      </c>
      <c r="AG31" s="5">
        <v>0.94669062869606557</v>
      </c>
      <c r="AH31" s="5">
        <v>0</v>
      </c>
      <c r="AI31" s="5">
        <v>0.58909810223581593</v>
      </c>
      <c r="AJ31" s="5">
        <v>0.25492544415967949</v>
      </c>
      <c r="AK31" s="5">
        <v>0.14162870548501558</v>
      </c>
      <c r="AL31" s="5">
        <v>0.11529684583596901</v>
      </c>
      <c r="AM31" s="5">
        <v>0.12001893712516147</v>
      </c>
      <c r="AN31" s="5">
        <v>0.12979606387563511</v>
      </c>
      <c r="AO31" s="5">
        <v>0.18595519074234504</v>
      </c>
      <c r="AP31" s="5">
        <v>0.39096968454777298</v>
      </c>
      <c r="AQ31" s="5">
        <v>0.97849462365591378</v>
      </c>
      <c r="AR31" s="5">
        <v>0</v>
      </c>
      <c r="AS31" s="5">
        <v>0</v>
      </c>
      <c r="AT31" s="5">
        <v>0.47078881588352356</v>
      </c>
      <c r="AU31" s="5">
        <v>0.24518275360239475</v>
      </c>
      <c r="AV31" s="5">
        <v>0.19553197100729577</v>
      </c>
      <c r="AW31" s="5">
        <v>0.18931863014923983</v>
      </c>
      <c r="AX31" s="5">
        <v>0.23889714178476371</v>
      </c>
      <c r="AY31" s="5">
        <v>0.43949864733990779</v>
      </c>
      <c r="AZ31" s="5">
        <v>0.91799892310160858</v>
      </c>
      <c r="BA31" s="5">
        <v>0</v>
      </c>
      <c r="BB31" s="5">
        <v>0</v>
      </c>
      <c r="BC31" s="5">
        <v>0</v>
      </c>
      <c r="BD31" s="5">
        <v>0.94085886663660911</v>
      </c>
      <c r="BE31" s="5">
        <v>0.38176592582764268</v>
      </c>
      <c r="BF31" s="5">
        <v>0.2524186531136175</v>
      </c>
      <c r="BG31" s="5">
        <v>0.23044765730028388</v>
      </c>
      <c r="BH31" s="5">
        <v>0.31886218788452397</v>
      </c>
      <c r="BI31" s="5">
        <v>0.96434149711551431</v>
      </c>
      <c r="BJ31" s="5">
        <v>0</v>
      </c>
      <c r="BK31" s="5">
        <v>0</v>
      </c>
      <c r="BM31" s="3" t="s">
        <v>181</v>
      </c>
      <c r="BN31" s="3" t="s">
        <v>152</v>
      </c>
      <c r="BO31" s="5">
        <v>0</v>
      </c>
      <c r="BP31" s="5">
        <v>0</v>
      </c>
      <c r="BQ31" s="4">
        <v>0.81862924214834965</v>
      </c>
      <c r="BR31" s="5">
        <v>0.26618128254950124</v>
      </c>
      <c r="BS31" s="5">
        <v>0.15865331521775275</v>
      </c>
      <c r="BT31" s="5">
        <v>0.12188115336772246</v>
      </c>
      <c r="BU31" s="4">
        <v>3.7122134039663128E-2</v>
      </c>
      <c r="BV31" s="5">
        <v>9.2067352138585037E-2</v>
      </c>
      <c r="BW31" s="4">
        <v>0</v>
      </c>
      <c r="BX31" s="5">
        <v>0</v>
      </c>
      <c r="BY31" s="4">
        <v>0</v>
      </c>
      <c r="BZ31" s="4">
        <v>0.77548657489546724</v>
      </c>
      <c r="CA31" s="4">
        <v>0.27863421540066186</v>
      </c>
      <c r="CB31" s="4">
        <v>0.12496012640776544</v>
      </c>
      <c r="CC31" s="4">
        <v>8.1540210960639126E-2</v>
      </c>
      <c r="CD31" s="5">
        <v>3.2996557474307804E-2</v>
      </c>
      <c r="CE31" s="4">
        <v>2.0647814643816889E-2</v>
      </c>
      <c r="CF31" s="5">
        <v>4.7998264772880148E-2</v>
      </c>
      <c r="CG31" s="4">
        <v>0.25504012060460857</v>
      </c>
      <c r="CH31" s="5">
        <v>0</v>
      </c>
      <c r="CI31" s="5">
        <v>0</v>
      </c>
      <c r="CJ31" s="4">
        <v>0.25686667161763016</v>
      </c>
      <c r="CK31" s="5">
        <v>0.14124667205736902</v>
      </c>
      <c r="CL31" s="4">
        <v>9.233537062172964E-2</v>
      </c>
      <c r="CM31" s="5">
        <v>9.059085935291715E-2</v>
      </c>
      <c r="CN31" s="5">
        <v>1.4340988962459597E-2</v>
      </c>
      <c r="CO31" s="5">
        <v>1.584430317364514E-2</v>
      </c>
      <c r="CP31" s="5">
        <v>4.4636478465351175E-2</v>
      </c>
      <c r="CQ31" s="5">
        <v>0.19490493085234234</v>
      </c>
      <c r="CR31" s="5">
        <v>0.90221736425210475</v>
      </c>
      <c r="CS31" s="5">
        <v>0</v>
      </c>
      <c r="CT31" s="5">
        <v>0.41823079932085089</v>
      </c>
      <c r="CU31" s="4">
        <v>0.16008768670020473</v>
      </c>
      <c r="CV31" s="4">
        <v>7.7401872074840741E-2</v>
      </c>
      <c r="CW31" s="5">
        <v>5.9951924787187937E-2</v>
      </c>
      <c r="CX31" s="4">
        <v>2.3260789944383208E-2</v>
      </c>
      <c r="CY31" s="4">
        <v>1.9565783141823868E-2</v>
      </c>
      <c r="CZ31" s="4">
        <v>4.5507794388220404E-2</v>
      </c>
      <c r="DA31" s="4">
        <v>0.19424431871844056</v>
      </c>
      <c r="DB31" s="5">
        <v>0.95745172852352878</v>
      </c>
      <c r="DC31" s="5">
        <v>0</v>
      </c>
      <c r="DD31" s="4">
        <v>0</v>
      </c>
      <c r="DE31" s="4">
        <v>0.33202473121625758</v>
      </c>
      <c r="DF31" s="5">
        <v>0.14583247205951769</v>
      </c>
      <c r="DG31" s="5">
        <v>0.1039786082999508</v>
      </c>
      <c r="DH31" s="4">
        <v>3.809961677809965E-2</v>
      </c>
      <c r="DI31" s="4">
        <v>5.3096437623145004E-2</v>
      </c>
      <c r="DJ31" s="4">
        <v>7.7832174082037853E-2</v>
      </c>
      <c r="DK31" s="4">
        <v>0</v>
      </c>
      <c r="DL31" s="5">
        <v>0</v>
      </c>
      <c r="DM31" s="5">
        <v>0</v>
      </c>
      <c r="DN31" s="5">
        <v>0</v>
      </c>
      <c r="DO31" s="5">
        <v>0.88728105164462401</v>
      </c>
      <c r="DP31" s="5">
        <v>0.24852954171679945</v>
      </c>
      <c r="DQ31" s="5">
        <v>0.13791713289971402</v>
      </c>
      <c r="DR31" s="5">
        <v>0.10284873657384873</v>
      </c>
      <c r="DS31" s="5">
        <v>8.5322533429969621E-2</v>
      </c>
      <c r="DT31" s="4">
        <v>0.65594191990117612</v>
      </c>
      <c r="DU31" s="5">
        <v>0</v>
      </c>
      <c r="DV31" s="5">
        <v>0</v>
      </c>
      <c r="DX31" s="3" t="s">
        <v>181</v>
      </c>
      <c r="DY31" s="3" t="s">
        <v>153</v>
      </c>
      <c r="DZ31" s="4">
        <v>0</v>
      </c>
      <c r="EA31" s="5">
        <v>0</v>
      </c>
      <c r="EB31" s="5">
        <v>0</v>
      </c>
      <c r="EC31" s="5">
        <v>0</v>
      </c>
      <c r="ED31" s="4">
        <v>0</v>
      </c>
      <c r="EE31" s="5">
        <v>4.8781833863725463E-2</v>
      </c>
      <c r="EF31" s="4">
        <v>0.1883293498730676</v>
      </c>
      <c r="EG31" s="5">
        <v>0.44703747373162533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1.4400245235227396E-2</v>
      </c>
      <c r="EO31" s="4">
        <v>6.338521284859179E-2</v>
      </c>
      <c r="EP31" s="4">
        <v>8.5585549242152961E-2</v>
      </c>
      <c r="EQ31" s="4">
        <v>8.3705923251525413E-2</v>
      </c>
      <c r="ER31" s="4">
        <v>4.9027109671385224E-2</v>
      </c>
      <c r="ES31" s="4">
        <v>0</v>
      </c>
      <c r="ET31" s="5">
        <v>0</v>
      </c>
      <c r="EU31" s="5">
        <v>0</v>
      </c>
      <c r="EV31" s="5">
        <v>0</v>
      </c>
      <c r="EW31" s="5">
        <v>0</v>
      </c>
      <c r="EX31" s="4">
        <v>0</v>
      </c>
      <c r="EY31" s="5">
        <v>6.2384417854664934E-2</v>
      </c>
      <c r="EZ31" s="5">
        <v>5.7505040336681301E-2</v>
      </c>
      <c r="FA31" s="5">
        <v>7.2951961394640691E-2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4">
        <v>0</v>
      </c>
      <c r="FI31" s="5">
        <v>4.1222367775609427E-2</v>
      </c>
      <c r="FJ31" s="5">
        <v>5.014897122789222E-2</v>
      </c>
      <c r="FK31" s="5">
        <v>7.6124115510196488E-2</v>
      </c>
      <c r="FL31" s="5">
        <v>3.344841076972882E-2</v>
      </c>
      <c r="FM31" s="4">
        <v>0</v>
      </c>
      <c r="FN31" s="5">
        <v>0</v>
      </c>
      <c r="FO31" s="5">
        <v>0</v>
      </c>
      <c r="FP31" s="4">
        <v>0</v>
      </c>
      <c r="FQ31" s="4">
        <v>0</v>
      </c>
      <c r="FR31" s="4">
        <v>0</v>
      </c>
      <c r="FS31" s="4">
        <v>6.1941575261849381E-2</v>
      </c>
      <c r="FT31" s="5">
        <v>8.9118535858429673E-2</v>
      </c>
      <c r="FU31" s="5">
        <v>0.22016086257389769</v>
      </c>
      <c r="FV31" s="4">
        <v>0.30988181318980967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1.9444189270138648E-2</v>
      </c>
      <c r="GD31" s="5">
        <v>0.11765717491989219</v>
      </c>
      <c r="GE31" s="5">
        <v>0.27678182321055095</v>
      </c>
      <c r="GF31" s="5">
        <v>0</v>
      </c>
      <c r="GG31" s="5">
        <v>0</v>
      </c>
      <c r="GI31" s="3" t="s">
        <v>181</v>
      </c>
      <c r="GJ31" s="3" t="s">
        <v>154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4">
        <v>0</v>
      </c>
      <c r="HB31" s="5">
        <v>4.5755844187224497E-2</v>
      </c>
      <c r="HC31" s="5">
        <v>0.27230975093414977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4">
        <v>0</v>
      </c>
      <c r="HM31" s="5">
        <v>2.9088703709609009E-3</v>
      </c>
      <c r="HN31" s="5">
        <v>0</v>
      </c>
      <c r="HO31" s="5">
        <v>0</v>
      </c>
      <c r="HP31" s="5">
        <v>0</v>
      </c>
      <c r="HQ31" s="5">
        <v>0</v>
      </c>
      <c r="HR31" s="5">
        <v>0</v>
      </c>
      <c r="HS31" s="5">
        <v>0</v>
      </c>
      <c r="HT31" s="5">
        <v>0</v>
      </c>
      <c r="HU31" s="5">
        <v>0</v>
      </c>
      <c r="HV31" s="4">
        <v>0</v>
      </c>
      <c r="HW31" s="5">
        <v>3.6779098875846537E-2</v>
      </c>
      <c r="HX31" s="5">
        <v>0</v>
      </c>
      <c r="HY31" s="5">
        <v>0</v>
      </c>
      <c r="HZ31" s="5">
        <v>0</v>
      </c>
      <c r="IA31" s="5">
        <v>0</v>
      </c>
      <c r="IB31" s="5">
        <v>0</v>
      </c>
      <c r="IC31" s="5">
        <v>0</v>
      </c>
      <c r="ID31" s="5">
        <v>0</v>
      </c>
      <c r="IE31" s="5">
        <v>0</v>
      </c>
      <c r="IF31" s="5">
        <v>1.152444160865695E-3</v>
      </c>
      <c r="IG31" s="5">
        <v>0.53875515573364186</v>
      </c>
      <c r="IH31" s="5">
        <v>0</v>
      </c>
      <c r="II31" s="5">
        <v>0</v>
      </c>
      <c r="IJ31" s="5">
        <v>0</v>
      </c>
      <c r="IK31" s="5">
        <v>0</v>
      </c>
      <c r="IL31" s="5">
        <v>0</v>
      </c>
      <c r="IM31" s="5">
        <v>0</v>
      </c>
      <c r="IN31" s="5">
        <v>0</v>
      </c>
      <c r="IO31" s="5">
        <v>0</v>
      </c>
      <c r="IP31" s="5">
        <v>0</v>
      </c>
      <c r="IQ31" s="5">
        <v>0</v>
      </c>
      <c r="IR31" s="5">
        <v>0</v>
      </c>
      <c r="JB31" s="3" t="s">
        <v>181</v>
      </c>
      <c r="JC31" s="5">
        <v>0</v>
      </c>
      <c r="JD31" s="5">
        <v>0</v>
      </c>
      <c r="JE31" s="4">
        <v>2.8537521190990611E-3</v>
      </c>
      <c r="JF31" s="5">
        <v>0.11025208751730896</v>
      </c>
      <c r="JG31" s="5">
        <v>0.26382026011805293</v>
      </c>
      <c r="JH31" s="5">
        <v>0.27450616492265068</v>
      </c>
      <c r="JI31" s="5">
        <v>0.16615219559200714</v>
      </c>
      <c r="JJ31" s="5">
        <v>2.4151463947428127E-2</v>
      </c>
      <c r="JK31" s="5">
        <v>0</v>
      </c>
      <c r="JL31" s="5">
        <v>0</v>
      </c>
      <c r="JM31" s="5">
        <v>0</v>
      </c>
      <c r="JN31" s="4">
        <v>6.2547260191674796E-4</v>
      </c>
      <c r="JO31" s="5">
        <v>7.8711881112215776E-2</v>
      </c>
      <c r="JP31" s="5">
        <v>0.30369008598761105</v>
      </c>
      <c r="JQ31" s="5">
        <v>0.43758726670237896</v>
      </c>
      <c r="JR31" s="5">
        <v>0.43064753481259777</v>
      </c>
      <c r="JS31" s="5">
        <v>0.3214357289915728</v>
      </c>
      <c r="JT31" s="5">
        <v>0.12571650370212614</v>
      </c>
      <c r="JU31" s="5">
        <v>2.6970736656553597E-3</v>
      </c>
      <c r="JV31" s="5">
        <v>0</v>
      </c>
      <c r="JW31" s="4">
        <v>0</v>
      </c>
      <c r="JX31" s="5">
        <v>1.4301165995397569E-2</v>
      </c>
      <c r="JY31" s="5">
        <v>0.15709007155783297</v>
      </c>
      <c r="JZ31" s="5">
        <v>0.36967469845089312</v>
      </c>
      <c r="KA31" s="5">
        <v>0.48123623406985466</v>
      </c>
      <c r="KB31" s="5">
        <v>0.4946645439828683</v>
      </c>
      <c r="KC31" s="5">
        <v>0.39796175469092898</v>
      </c>
      <c r="KD31" s="5">
        <v>0.19696063036854189</v>
      </c>
      <c r="KE31" s="5">
        <v>2.4469515887348733E-2</v>
      </c>
      <c r="KF31" s="4">
        <v>0</v>
      </c>
      <c r="KG31" s="4">
        <v>0</v>
      </c>
      <c r="KH31" s="5">
        <v>7.3588708988947971E-3</v>
      </c>
      <c r="KI31" s="5">
        <v>0.12911823979454864</v>
      </c>
      <c r="KJ31" s="5">
        <v>0.36384091900699206</v>
      </c>
      <c r="KK31" s="5">
        <v>0.51201843940281055</v>
      </c>
      <c r="KL31" s="5">
        <v>0.52204413285938644</v>
      </c>
      <c r="KM31" s="5">
        <v>0.42439802785105457</v>
      </c>
      <c r="KN31" s="5">
        <v>0.207536183216639</v>
      </c>
      <c r="KO31" s="5">
        <v>2.092483549338571E-2</v>
      </c>
      <c r="KP31" s="4">
        <v>0</v>
      </c>
      <c r="KQ31" s="5">
        <v>0</v>
      </c>
      <c r="KR31" s="4">
        <v>0</v>
      </c>
      <c r="KS31" s="5">
        <v>3.9392056655481039E-2</v>
      </c>
      <c r="KT31" s="5">
        <v>0.20738146597844914</v>
      </c>
      <c r="KU31" s="5">
        <v>0.33210355541449393</v>
      </c>
      <c r="KV31" s="5">
        <v>0.34565312088638939</v>
      </c>
      <c r="KW31" s="5">
        <v>0.23626597758710258</v>
      </c>
      <c r="KX31" s="5">
        <v>6.0623793153066867E-2</v>
      </c>
      <c r="KY31" s="4">
        <v>2.8723339810499045E-4</v>
      </c>
      <c r="KZ31" s="5">
        <v>0</v>
      </c>
      <c r="LA31" s="5">
        <v>0</v>
      </c>
      <c r="LB31" s="5">
        <v>0</v>
      </c>
      <c r="LC31" s="4">
        <v>1.2078207331717846E-3</v>
      </c>
      <c r="LD31" s="5">
        <v>0.10042522728484914</v>
      </c>
      <c r="LE31" s="5">
        <v>0.24985912621981812</v>
      </c>
      <c r="LF31" s="5">
        <v>0.25545399842675826</v>
      </c>
      <c r="LG31" s="5">
        <v>0.11652630951263365</v>
      </c>
      <c r="LH31" s="4">
        <v>5.2124340047079315E-4</v>
      </c>
      <c r="LI31" s="5">
        <v>0</v>
      </c>
      <c r="LJ31" s="5">
        <v>0</v>
      </c>
      <c r="LL31" s="3" t="s">
        <v>181</v>
      </c>
      <c r="LM31" s="3" t="s">
        <v>160</v>
      </c>
      <c r="LN31" s="3" t="s">
        <v>161</v>
      </c>
      <c r="LO31" s="5">
        <v>0.41196112306041327</v>
      </c>
    </row>
    <row r="32" spans="2:327" x14ac:dyDescent="0.45">
      <c r="B32" s="6" t="s">
        <v>182</v>
      </c>
      <c r="C32" s="6" t="s">
        <v>151</v>
      </c>
      <c r="D32" s="8">
        <v>0</v>
      </c>
      <c r="E32" s="8">
        <v>0</v>
      </c>
      <c r="F32" s="8">
        <v>0.96610169491525433</v>
      </c>
      <c r="G32" s="8">
        <v>0.50766710043244656</v>
      </c>
      <c r="H32" s="8">
        <v>0.32403021936989335</v>
      </c>
      <c r="I32" s="8">
        <v>0.27188923901302586</v>
      </c>
      <c r="J32" s="8">
        <v>0.39428613458587503</v>
      </c>
      <c r="K32" s="8">
        <v>0.85668883599171874</v>
      </c>
      <c r="L32" s="8">
        <v>0</v>
      </c>
      <c r="M32" s="8">
        <v>0</v>
      </c>
      <c r="N32" s="8">
        <v>0</v>
      </c>
      <c r="O32" s="8">
        <v>0.80656954808289116</v>
      </c>
      <c r="P32" s="8">
        <v>0.39523768369119178</v>
      </c>
      <c r="Q32" s="8">
        <v>0.20854994122932796</v>
      </c>
      <c r="R32" s="8">
        <v>0.15336907936748445</v>
      </c>
      <c r="S32" s="8">
        <v>0.1445945886003229</v>
      </c>
      <c r="T32" s="8">
        <v>0.17350431875423009</v>
      </c>
      <c r="U32" s="8">
        <v>0.31301714395015201</v>
      </c>
      <c r="V32" s="8">
        <v>0.73990539946160538</v>
      </c>
      <c r="W32" s="8">
        <v>0</v>
      </c>
      <c r="X32" s="8">
        <v>0.88164006877887868</v>
      </c>
      <c r="Y32" s="8">
        <v>0.25463184251719456</v>
      </c>
      <c r="Z32" s="8">
        <v>0.19318438172831853</v>
      </c>
      <c r="AA32" s="8">
        <v>0.185834575581348</v>
      </c>
      <c r="AB32" s="8">
        <v>0.1781623017576395</v>
      </c>
      <c r="AC32" s="8">
        <v>0.16409770256576783</v>
      </c>
      <c r="AD32" s="8">
        <v>0.17841781620573449</v>
      </c>
      <c r="AE32" s="8">
        <v>0.20518370694491359</v>
      </c>
      <c r="AF32" s="8">
        <v>0.27979207188311545</v>
      </c>
      <c r="AG32" s="8">
        <v>0.79821949965035199</v>
      </c>
      <c r="AH32" s="8">
        <v>0.97151370333416087</v>
      </c>
      <c r="AI32" s="8">
        <v>0.39418567908645658</v>
      </c>
      <c r="AJ32" s="8">
        <v>0.22891675999600988</v>
      </c>
      <c r="AK32" s="8">
        <v>0.19610777575866134</v>
      </c>
      <c r="AL32" s="8">
        <v>0.16373077586468801</v>
      </c>
      <c r="AM32" s="8">
        <v>0.15989605423571052</v>
      </c>
      <c r="AN32" s="8">
        <v>0.17568452245873739</v>
      </c>
      <c r="AO32" s="8">
        <v>0.20481606558578258</v>
      </c>
      <c r="AP32" s="8">
        <v>0.34553224564810614</v>
      </c>
      <c r="AQ32" s="8">
        <v>0.87639640267371699</v>
      </c>
      <c r="AR32" s="8">
        <v>0</v>
      </c>
      <c r="AS32" s="8">
        <v>0.97540983606557341</v>
      </c>
      <c r="AT32" s="8">
        <v>0.51838997811180632</v>
      </c>
      <c r="AU32" s="8">
        <v>0.31198491895109853</v>
      </c>
      <c r="AV32" s="8">
        <v>0.2723910468756422</v>
      </c>
      <c r="AW32" s="8">
        <v>0.28817819258947247</v>
      </c>
      <c r="AX32" s="8">
        <v>0.34497237894517452</v>
      </c>
      <c r="AY32" s="8">
        <v>0.56521307500435414</v>
      </c>
      <c r="AZ32" s="8">
        <v>0.93442622950819632</v>
      </c>
      <c r="BA32" s="8">
        <v>0</v>
      </c>
      <c r="BB32" s="8">
        <v>0</v>
      </c>
      <c r="BC32" s="8">
        <v>0</v>
      </c>
      <c r="BD32" s="8">
        <v>0</v>
      </c>
      <c r="BE32" s="8">
        <v>0.56990573076347883</v>
      </c>
      <c r="BF32" s="8">
        <v>0.33944435577611493</v>
      </c>
      <c r="BG32" s="8">
        <v>0.32957019053732489</v>
      </c>
      <c r="BH32" s="8">
        <v>0.58467497885114228</v>
      </c>
      <c r="BI32" s="8">
        <v>0</v>
      </c>
      <c r="BJ32" s="8">
        <v>0</v>
      </c>
      <c r="BK32" s="8">
        <v>0</v>
      </c>
      <c r="BM32" s="6" t="s">
        <v>182</v>
      </c>
      <c r="BN32" s="6" t="s">
        <v>152</v>
      </c>
      <c r="BO32" s="8">
        <v>0</v>
      </c>
      <c r="BP32" s="8">
        <v>0</v>
      </c>
      <c r="BQ32" s="7">
        <v>0.93335248491812683</v>
      </c>
      <c r="BR32" s="8">
        <v>0.35521493921533415</v>
      </c>
      <c r="BS32" s="8">
        <v>0.19475297833762528</v>
      </c>
      <c r="BT32" s="8">
        <v>0.11337522949308516</v>
      </c>
      <c r="BU32" s="7">
        <v>4.7639852405528316E-2</v>
      </c>
      <c r="BV32" s="8">
        <v>0.18586295448377788</v>
      </c>
      <c r="BW32" s="7">
        <v>0</v>
      </c>
      <c r="BX32" s="8">
        <v>0</v>
      </c>
      <c r="BY32" s="7">
        <v>0</v>
      </c>
      <c r="BZ32" s="7">
        <v>0.67277697731670227</v>
      </c>
      <c r="CA32" s="7">
        <v>0.26569396091463066</v>
      </c>
      <c r="CB32" s="7">
        <v>0.1154337529971191</v>
      </c>
      <c r="CC32" s="7">
        <v>5.002143622598787E-2</v>
      </c>
      <c r="CD32" s="8">
        <v>2.9981600974724725E-2</v>
      </c>
      <c r="CE32" s="7">
        <v>2.3975881069930146E-2</v>
      </c>
      <c r="CF32" s="8">
        <v>7.09312268677358E-2</v>
      </c>
      <c r="CG32" s="7">
        <v>0.39068917872160513</v>
      </c>
      <c r="CH32" s="8">
        <v>0</v>
      </c>
      <c r="CI32" s="8">
        <v>0.78828466962874011</v>
      </c>
      <c r="CJ32" s="7">
        <v>0.15841902479735537</v>
      </c>
      <c r="CK32" s="8">
        <v>0.12932495060928856</v>
      </c>
      <c r="CL32" s="7">
        <v>9.8265878070091114E-2</v>
      </c>
      <c r="CM32" s="8">
        <v>8.1701473778064679E-2</v>
      </c>
      <c r="CN32" s="8">
        <v>2.9330525788562441E-2</v>
      </c>
      <c r="CO32" s="8">
        <v>1.6375652053327638E-2</v>
      </c>
      <c r="CP32" s="8">
        <v>2.5078523809514301E-2</v>
      </c>
      <c r="CQ32" s="8">
        <v>0.14242580539117122</v>
      </c>
      <c r="CR32" s="8">
        <v>0.61836174635140251</v>
      </c>
      <c r="CS32" s="8">
        <v>0.94650283292794157</v>
      </c>
      <c r="CT32" s="8">
        <v>0.26017709328499156</v>
      </c>
      <c r="CU32" s="7">
        <v>0.14729765560866798</v>
      </c>
      <c r="CV32" s="7">
        <v>9.9491356552284291E-2</v>
      </c>
      <c r="CW32" s="8">
        <v>6.3566834547389955E-2</v>
      </c>
      <c r="CX32" s="7">
        <v>3.8501409966914452E-2</v>
      </c>
      <c r="CY32" s="7">
        <v>3.9155489801250158E-2</v>
      </c>
      <c r="CZ32" s="7">
        <v>5.6447951596372711E-2</v>
      </c>
      <c r="DA32" s="7">
        <v>0.17174124744178781</v>
      </c>
      <c r="DB32" s="8">
        <v>0.68835353301327296</v>
      </c>
      <c r="DC32" s="8">
        <v>0</v>
      </c>
      <c r="DD32" s="7">
        <v>0.95142434829346956</v>
      </c>
      <c r="DE32" s="7">
        <v>0.37790116155825837</v>
      </c>
      <c r="DF32" s="8">
        <v>0.20473194915839232</v>
      </c>
      <c r="DG32" s="8">
        <v>0.16048551942336414</v>
      </c>
      <c r="DH32" s="7">
        <v>7.8219571525145581E-2</v>
      </c>
      <c r="DI32" s="7">
        <v>8.9714621174132578E-2</v>
      </c>
      <c r="DJ32" s="7">
        <v>0.16153134971626545</v>
      </c>
      <c r="DK32" s="7">
        <v>0.58516008925106988</v>
      </c>
      <c r="DL32" s="8">
        <v>0</v>
      </c>
      <c r="DM32" s="8">
        <v>0</v>
      </c>
      <c r="DN32" s="8">
        <v>0</v>
      </c>
      <c r="DO32" s="8">
        <v>0</v>
      </c>
      <c r="DP32" s="8">
        <v>0.38698002736970455</v>
      </c>
      <c r="DQ32" s="8">
        <v>0.22084709748750012</v>
      </c>
      <c r="DR32" s="8">
        <v>0.16020259028459888</v>
      </c>
      <c r="DS32" s="8">
        <v>0.1326101725014962</v>
      </c>
      <c r="DT32" s="7">
        <v>0</v>
      </c>
      <c r="DU32" s="8">
        <v>0</v>
      </c>
      <c r="DV32" s="8">
        <v>0</v>
      </c>
      <c r="DX32" s="6" t="s">
        <v>182</v>
      </c>
      <c r="DY32" s="6" t="s">
        <v>153</v>
      </c>
      <c r="DZ32" s="7">
        <v>0</v>
      </c>
      <c r="EA32" s="8">
        <v>0</v>
      </c>
      <c r="EB32" s="8">
        <v>0</v>
      </c>
      <c r="EC32" s="8">
        <v>0</v>
      </c>
      <c r="ED32" s="7">
        <v>0</v>
      </c>
      <c r="EE32" s="8">
        <v>5.1846802236367513E-2</v>
      </c>
      <c r="EF32" s="7">
        <v>0.21251399515578276</v>
      </c>
      <c r="EG32" s="8">
        <v>0.5625319152688979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2.3556866034406918E-2</v>
      </c>
      <c r="EO32" s="7">
        <v>4.144639651902076E-2</v>
      </c>
      <c r="EP32" s="7">
        <v>6.7756846199640008E-2</v>
      </c>
      <c r="EQ32" s="7">
        <v>0.10440827469650313</v>
      </c>
      <c r="ER32" s="7">
        <v>8.1259970200850254E-2</v>
      </c>
      <c r="ES32" s="7">
        <v>0</v>
      </c>
      <c r="ET32" s="8">
        <v>0</v>
      </c>
      <c r="EU32" s="8">
        <v>0</v>
      </c>
      <c r="EV32" s="8">
        <v>0</v>
      </c>
      <c r="EW32" s="8">
        <v>0</v>
      </c>
      <c r="EX32" s="7">
        <v>4.9448406854906398E-3</v>
      </c>
      <c r="EY32" s="8">
        <v>5.4517314190545424E-2</v>
      </c>
      <c r="EZ32" s="8">
        <v>7.6085165279427297E-2</v>
      </c>
      <c r="FA32" s="8">
        <v>9.4033094987557742E-2</v>
      </c>
      <c r="FB32" s="8">
        <v>2.0909603482976935E-2</v>
      </c>
      <c r="FC32" s="8">
        <v>3.6009197505662387E-2</v>
      </c>
      <c r="FD32" s="8">
        <v>0</v>
      </c>
      <c r="FE32" s="8">
        <v>0</v>
      </c>
      <c r="FF32" s="8">
        <v>0</v>
      </c>
      <c r="FG32" s="8">
        <v>1.7017492004979547E-2</v>
      </c>
      <c r="FH32" s="7">
        <v>2.6714142782048426E-2</v>
      </c>
      <c r="FI32" s="8">
        <v>4.0524997348327825E-2</v>
      </c>
      <c r="FJ32" s="8">
        <v>4.7825073478221403E-2</v>
      </c>
      <c r="FK32" s="8">
        <v>5.4279883052005429E-2</v>
      </c>
      <c r="FL32" s="8">
        <v>4.0175790303317908E-2</v>
      </c>
      <c r="FM32" s="7">
        <v>1.2841754931903232E-2</v>
      </c>
      <c r="FN32" s="8">
        <v>0</v>
      </c>
      <c r="FO32" s="8">
        <v>0</v>
      </c>
      <c r="FP32" s="7">
        <v>0</v>
      </c>
      <c r="FQ32" s="7">
        <v>0</v>
      </c>
      <c r="FR32" s="7">
        <v>6.7887045836425401E-3</v>
      </c>
      <c r="FS32" s="7">
        <v>9.9434925942637212E-2</v>
      </c>
      <c r="FT32" s="8">
        <v>0.12601461286593385</v>
      </c>
      <c r="FU32" s="8">
        <v>0.1947616708750079</v>
      </c>
      <c r="FV32" s="7">
        <v>8.5692618130843057E-2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5.3672870017900394E-2</v>
      </c>
      <c r="GD32" s="8">
        <v>0.28981258888974692</v>
      </c>
      <c r="GE32" s="8">
        <v>0</v>
      </c>
      <c r="GF32" s="8">
        <v>0</v>
      </c>
      <c r="GG32" s="8">
        <v>0</v>
      </c>
      <c r="GI32" s="6" t="s">
        <v>182</v>
      </c>
      <c r="GJ32" s="6" t="s">
        <v>154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0</v>
      </c>
      <c r="GZ32" s="8">
        <v>0</v>
      </c>
      <c r="HA32" s="7">
        <v>1.7800312346699168E-3</v>
      </c>
      <c r="HB32" s="8">
        <v>2.4855690288578858E-2</v>
      </c>
      <c r="HC32" s="8">
        <v>0.12080682218819638</v>
      </c>
      <c r="HD32" s="8">
        <v>0</v>
      </c>
      <c r="HE32" s="8">
        <v>0</v>
      </c>
      <c r="HF32" s="8">
        <v>0</v>
      </c>
      <c r="HG32" s="8">
        <v>0</v>
      </c>
      <c r="HH32" s="8">
        <v>0</v>
      </c>
      <c r="HI32" s="8">
        <v>0</v>
      </c>
      <c r="HJ32" s="8">
        <v>0</v>
      </c>
      <c r="HK32" s="8">
        <v>0</v>
      </c>
      <c r="HL32" s="7">
        <v>1.316280533395134E-2</v>
      </c>
      <c r="HM32" s="8">
        <v>2.4034122389201957E-2</v>
      </c>
      <c r="HN32" s="8">
        <v>0</v>
      </c>
      <c r="HO32" s="8">
        <v>0</v>
      </c>
      <c r="HP32" s="8">
        <v>0</v>
      </c>
      <c r="HQ32" s="8">
        <v>0</v>
      </c>
      <c r="HR32" s="8">
        <v>0</v>
      </c>
      <c r="HS32" s="8">
        <v>0</v>
      </c>
      <c r="HT32" s="8">
        <v>0</v>
      </c>
      <c r="HU32" s="8">
        <v>7.0842828260076519E-3</v>
      </c>
      <c r="HV32" s="7">
        <v>1.6179763192945958E-2</v>
      </c>
      <c r="HW32" s="8">
        <v>2.245113595725988E-2</v>
      </c>
      <c r="HX32" s="8">
        <v>7.4835308865192504E-2</v>
      </c>
      <c r="HY32" s="8">
        <v>0</v>
      </c>
      <c r="HZ32" s="8">
        <v>0</v>
      </c>
      <c r="IA32" s="8">
        <v>0</v>
      </c>
      <c r="IB32" s="8">
        <v>0</v>
      </c>
      <c r="IC32" s="8">
        <v>0</v>
      </c>
      <c r="ID32" s="8">
        <v>0</v>
      </c>
      <c r="IE32" s="8">
        <v>7.8327184869712418E-3</v>
      </c>
      <c r="IF32" s="8">
        <v>5.1708449038244328E-2</v>
      </c>
      <c r="IG32" s="8">
        <v>0.20730465651427468</v>
      </c>
      <c r="IH32" s="8">
        <v>0</v>
      </c>
      <c r="II32" s="8">
        <v>0</v>
      </c>
      <c r="IJ32" s="8">
        <v>0</v>
      </c>
      <c r="IK32" s="8">
        <v>0</v>
      </c>
      <c r="IL32" s="8">
        <v>0</v>
      </c>
      <c r="IM32" s="8">
        <v>0</v>
      </c>
      <c r="IN32" s="8">
        <v>0</v>
      </c>
      <c r="IO32" s="8">
        <v>0</v>
      </c>
      <c r="IP32" s="8">
        <v>0</v>
      </c>
      <c r="IQ32" s="8">
        <v>0</v>
      </c>
      <c r="IR32" s="8">
        <v>0</v>
      </c>
      <c r="JB32" s="6" t="s">
        <v>182</v>
      </c>
      <c r="JC32" s="8">
        <v>0</v>
      </c>
      <c r="JD32" s="8">
        <v>0</v>
      </c>
      <c r="JE32" s="7">
        <v>1.2126939663153655E-3</v>
      </c>
      <c r="JF32" s="8">
        <v>6.5514819888756459E-2</v>
      </c>
      <c r="JG32" s="8">
        <v>0.19565725193834332</v>
      </c>
      <c r="JH32" s="8">
        <v>0.23567685888170273</v>
      </c>
      <c r="JI32" s="8">
        <v>0.12058449046907059</v>
      </c>
      <c r="JJ32" s="8">
        <v>9.1173578221778705E-3</v>
      </c>
      <c r="JK32" s="8">
        <v>0</v>
      </c>
      <c r="JL32" s="8">
        <v>0</v>
      </c>
      <c r="JM32" s="8">
        <v>0</v>
      </c>
      <c r="JN32" s="7">
        <v>1.8617913898382609E-3</v>
      </c>
      <c r="JO32" s="8">
        <v>8.4370963918274394E-2</v>
      </c>
      <c r="JP32" s="8">
        <v>0.31581011354374422</v>
      </c>
      <c r="JQ32" s="8">
        <v>0.49236169007498365</v>
      </c>
      <c r="JR32" s="8">
        <v>0.5203313783537219</v>
      </c>
      <c r="JS32" s="8">
        <v>0.36747765089002454</v>
      </c>
      <c r="JT32" s="8">
        <v>0.13020491745102872</v>
      </c>
      <c r="JU32" s="8">
        <v>3.3044532426486284E-3</v>
      </c>
      <c r="JV32" s="8">
        <v>0</v>
      </c>
      <c r="JW32" s="7">
        <v>2.608618717565943E-4</v>
      </c>
      <c r="JX32" s="8">
        <v>2.8739094592909457E-2</v>
      </c>
      <c r="JY32" s="8">
        <v>0.17224266443352543</v>
      </c>
      <c r="JZ32" s="8">
        <v>0.36845370390997195</v>
      </c>
      <c r="KA32" s="8">
        <v>0.51207530051809846</v>
      </c>
      <c r="KB32" s="8">
        <v>0.52141627494568876</v>
      </c>
      <c r="KC32" s="8">
        <v>0.40445923264802025</v>
      </c>
      <c r="KD32" s="8">
        <v>0.20137361418298302</v>
      </c>
      <c r="KE32" s="8">
        <v>3.4244982271486209E-2</v>
      </c>
      <c r="KF32" s="7">
        <v>9.6981947038712803E-4</v>
      </c>
      <c r="KG32" s="7">
        <v>3.102381477014008E-5</v>
      </c>
      <c r="KH32" s="8">
        <v>1.5603474484369951E-2</v>
      </c>
      <c r="KI32" s="8">
        <v>0.12485046587501597</v>
      </c>
      <c r="KJ32" s="8">
        <v>0.29578854104582142</v>
      </c>
      <c r="KK32" s="8">
        <v>0.42912703023354204</v>
      </c>
      <c r="KL32" s="8">
        <v>0.453696726426571</v>
      </c>
      <c r="KM32" s="8">
        <v>0.36129892356110938</v>
      </c>
      <c r="KN32" s="8">
        <v>0.17953584567628023</v>
      </c>
      <c r="KO32" s="8">
        <v>2.6708786004056486E-2</v>
      </c>
      <c r="KP32" s="7">
        <v>4.0065302792069657E-4</v>
      </c>
      <c r="KQ32" s="8">
        <v>0</v>
      </c>
      <c r="KR32" s="7">
        <v>4.3708063196697193E-5</v>
      </c>
      <c r="KS32" s="8">
        <v>2.9633572030580337E-2</v>
      </c>
      <c r="KT32" s="8">
        <v>0.15121722223753895</v>
      </c>
      <c r="KU32" s="8">
        <v>0.25754333812886809</v>
      </c>
      <c r="KV32" s="8">
        <v>0.26673250612450961</v>
      </c>
      <c r="KW32" s="8">
        <v>0.16117356016825243</v>
      </c>
      <c r="KX32" s="8">
        <v>3.4560903024283419E-2</v>
      </c>
      <c r="KY32" s="7">
        <v>1.3195263345444703E-4</v>
      </c>
      <c r="KZ32" s="8">
        <v>0</v>
      </c>
      <c r="LA32" s="8">
        <v>0</v>
      </c>
      <c r="LB32" s="8">
        <v>0</v>
      </c>
      <c r="LC32" s="7">
        <v>0</v>
      </c>
      <c r="LD32" s="8">
        <v>3.8653222676341574E-2</v>
      </c>
      <c r="LE32" s="8">
        <v>0.13026288792189752</v>
      </c>
      <c r="LF32" s="8">
        <v>0.12557660241001783</v>
      </c>
      <c r="LG32" s="8">
        <v>2.8284469278470795E-2</v>
      </c>
      <c r="LH32" s="7">
        <v>0</v>
      </c>
      <c r="LI32" s="8">
        <v>0</v>
      </c>
      <c r="LJ32" s="8">
        <v>0</v>
      </c>
      <c r="LL32" s="6" t="s">
        <v>182</v>
      </c>
      <c r="LM32" s="6" t="s">
        <v>160</v>
      </c>
      <c r="LN32" s="6" t="s">
        <v>161</v>
      </c>
      <c r="LO32" s="8">
        <v>0.49508544742214944</v>
      </c>
    </row>
    <row r="33" spans="2:327" x14ac:dyDescent="0.45">
      <c r="B33" s="3" t="s">
        <v>183</v>
      </c>
      <c r="C33" s="3" t="s">
        <v>151</v>
      </c>
      <c r="D33" s="5">
        <v>0.27215531541279342</v>
      </c>
      <c r="E33" s="5">
        <v>0.26667599741325448</v>
      </c>
      <c r="F33" s="5">
        <v>0.26700041314716016</v>
      </c>
      <c r="G33" s="5">
        <v>0.27587432687372837</v>
      </c>
      <c r="H33" s="5">
        <v>0.29317715357360574</v>
      </c>
      <c r="I33" s="5">
        <v>0.29658915293449578</v>
      </c>
      <c r="J33" s="5">
        <v>0.28628922797824752</v>
      </c>
      <c r="K33" s="5">
        <v>0.26104274215525342</v>
      </c>
      <c r="L33" s="5">
        <v>0.24966445900234729</v>
      </c>
      <c r="M33" s="5">
        <v>0.25195402448814247</v>
      </c>
      <c r="N33" s="5">
        <v>0.25099269680488834</v>
      </c>
      <c r="O33" s="5">
        <v>0.24211098176092716</v>
      </c>
      <c r="P33" s="5">
        <v>0.2519843205357159</v>
      </c>
      <c r="Q33" s="5">
        <v>0.27338171020489305</v>
      </c>
      <c r="R33" s="5">
        <v>0.27768887359900324</v>
      </c>
      <c r="S33" s="5">
        <v>0.27328234075264907</v>
      </c>
      <c r="T33" s="5">
        <v>0.27426582954922446</v>
      </c>
      <c r="U33" s="5">
        <v>0.26940599104611346</v>
      </c>
      <c r="V33" s="5">
        <v>0.27231919034186175</v>
      </c>
      <c r="W33" s="5">
        <v>0.27382635754698387</v>
      </c>
      <c r="X33" s="5">
        <v>0.31027249157274689</v>
      </c>
      <c r="Y33" s="5">
        <v>0.29281363241002489</v>
      </c>
      <c r="Z33" s="5">
        <v>0.27967587504188807</v>
      </c>
      <c r="AA33" s="5">
        <v>0.28604071054807095</v>
      </c>
      <c r="AB33" s="5">
        <v>0.30922624506574942</v>
      </c>
      <c r="AC33" s="5">
        <v>0.30683681367387211</v>
      </c>
      <c r="AD33" s="5">
        <v>0.2945816397125377</v>
      </c>
      <c r="AE33" s="5">
        <v>0.29704194347631746</v>
      </c>
      <c r="AF33" s="5">
        <v>0.31268880479923011</v>
      </c>
      <c r="AG33" s="5">
        <v>0.3281365568248098</v>
      </c>
      <c r="AH33" s="5">
        <v>0.34183900146840185</v>
      </c>
      <c r="AI33" s="5">
        <v>0.36313028112674173</v>
      </c>
      <c r="AJ33" s="5">
        <v>0.36525122620431888</v>
      </c>
      <c r="AK33" s="5">
        <v>0.38288510443381107</v>
      </c>
      <c r="AL33" s="5">
        <v>0.40223212407595749</v>
      </c>
      <c r="AM33" s="5">
        <v>0.40814139632628943</v>
      </c>
      <c r="AN33" s="5">
        <v>0.40412666103397044</v>
      </c>
      <c r="AO33" s="5">
        <v>0.36863978753905752</v>
      </c>
      <c r="AP33" s="5">
        <v>0.33717321301607078</v>
      </c>
      <c r="AQ33" s="5">
        <v>0.31674711570741615</v>
      </c>
      <c r="AR33" s="5">
        <v>0.23419517850274335</v>
      </c>
      <c r="AS33" s="5">
        <v>0.26420777068356688</v>
      </c>
      <c r="AT33" s="5">
        <v>0.25794490960152722</v>
      </c>
      <c r="AU33" s="5">
        <v>0.23222283292923027</v>
      </c>
      <c r="AV33" s="5">
        <v>0.22219179527953331</v>
      </c>
      <c r="AW33" s="5">
        <v>0.23099039611123251</v>
      </c>
      <c r="AX33" s="5">
        <v>0.24055238916804925</v>
      </c>
      <c r="AY33" s="5">
        <v>0.24126139626644832</v>
      </c>
      <c r="AZ33" s="5">
        <v>0.23107530287787548</v>
      </c>
      <c r="BA33" s="5">
        <v>0.21565792566330166</v>
      </c>
      <c r="BB33" s="5">
        <v>0.15794178143341489</v>
      </c>
      <c r="BC33" s="5">
        <v>0.16164908853913412</v>
      </c>
      <c r="BD33" s="5">
        <v>0.16900761154910335</v>
      </c>
      <c r="BE33" s="5">
        <v>0.17194405431292714</v>
      </c>
      <c r="BF33" s="5">
        <v>0.17519401177887459</v>
      </c>
      <c r="BG33" s="5">
        <v>0.17543861683178727</v>
      </c>
      <c r="BH33" s="5">
        <v>0.1755178243246259</v>
      </c>
      <c r="BI33" s="5">
        <v>0.1670283747595086</v>
      </c>
      <c r="BJ33" s="5">
        <v>0.168627208166374</v>
      </c>
      <c r="BK33" s="5">
        <v>0.16523728772917845</v>
      </c>
      <c r="BM33" s="3" t="s">
        <v>183</v>
      </c>
      <c r="BN33" s="3" t="s">
        <v>152</v>
      </c>
      <c r="BO33" s="5">
        <v>7.7013949647597446E-3</v>
      </c>
      <c r="BP33" s="5">
        <v>1.2933654254656646E-2</v>
      </c>
      <c r="BQ33" s="4">
        <v>1.7080831733286117E-2</v>
      </c>
      <c r="BR33" s="5">
        <v>1.4510654436600705E-2</v>
      </c>
      <c r="BS33" s="5">
        <v>2.0514988282448236E-2</v>
      </c>
      <c r="BT33" s="5">
        <v>1.369176427463808E-2</v>
      </c>
      <c r="BU33" s="4">
        <v>9.5321921908084473E-3</v>
      </c>
      <c r="BV33" s="5">
        <v>3.2113519298286358E-3</v>
      </c>
      <c r="BW33" s="4">
        <v>6.527052294306483E-3</v>
      </c>
      <c r="BX33" s="5">
        <v>9.4887465182989274E-3</v>
      </c>
      <c r="BY33" s="4">
        <v>1.7611445625118063E-3</v>
      </c>
      <c r="BZ33" s="4">
        <v>5.312421647793786E-3</v>
      </c>
      <c r="CA33" s="4">
        <v>6.0986582437381736E-3</v>
      </c>
      <c r="CB33" s="4">
        <v>1.4776606173996521E-2</v>
      </c>
      <c r="CC33" s="4">
        <v>1.6735506927208047E-2</v>
      </c>
      <c r="CD33" s="5">
        <v>3.4614330853819622E-3</v>
      </c>
      <c r="CE33" s="4">
        <v>3.9667223620969893E-3</v>
      </c>
      <c r="CF33" s="5">
        <v>1.1626735909887607E-2</v>
      </c>
      <c r="CG33" s="4">
        <v>1.5636617271386034E-2</v>
      </c>
      <c r="CH33" s="5">
        <v>1.3742055601588889E-2</v>
      </c>
      <c r="CI33" s="5">
        <v>9.5266464573406026E-3</v>
      </c>
      <c r="CJ33" s="4">
        <v>1.4138855811061481E-2</v>
      </c>
      <c r="CK33" s="5">
        <v>2.1705965103594901E-2</v>
      </c>
      <c r="CL33" s="4">
        <v>9.5641679041879417E-3</v>
      </c>
      <c r="CM33" s="5">
        <v>1.1973396724595024E-2</v>
      </c>
      <c r="CN33" s="5">
        <v>2.5536187633142325E-2</v>
      </c>
      <c r="CO33" s="5">
        <v>3.0353955920301507E-2</v>
      </c>
      <c r="CP33" s="5">
        <v>3.2742937266665662E-2</v>
      </c>
      <c r="CQ33" s="5">
        <v>3.2514354542264728E-2</v>
      </c>
      <c r="CR33" s="5">
        <v>3.0629150683051349E-2</v>
      </c>
      <c r="CS33" s="5">
        <v>2.1713029232778427E-2</v>
      </c>
      <c r="CT33" s="5">
        <v>1.1335461100793824E-2</v>
      </c>
      <c r="CU33" s="4">
        <v>3.1183668025863139E-2</v>
      </c>
      <c r="CV33" s="4">
        <v>5.7973187968183411E-2</v>
      </c>
      <c r="CW33" s="5">
        <v>5.133012153561041E-2</v>
      </c>
      <c r="CX33" s="4">
        <v>2.6115065184420944E-2</v>
      </c>
      <c r="CY33" s="4">
        <v>1.1056937255814149E-2</v>
      </c>
      <c r="CZ33" s="4">
        <v>2.6732650465437602E-2</v>
      </c>
      <c r="DA33" s="4">
        <v>3.0189639624747078E-2</v>
      </c>
      <c r="DB33" s="5">
        <v>2.2841516862202836E-2</v>
      </c>
      <c r="DC33" s="5">
        <v>6.5421663030852551E-3</v>
      </c>
      <c r="DD33" s="4">
        <v>6.8348192652274865E-3</v>
      </c>
      <c r="DE33" s="4">
        <v>7.2654871018424504E-3</v>
      </c>
      <c r="DF33" s="5">
        <v>9.7350196099900161E-3</v>
      </c>
      <c r="DG33" s="5">
        <v>1.1177360179119617E-2</v>
      </c>
      <c r="DH33" s="4">
        <v>1.106245329665269E-2</v>
      </c>
      <c r="DI33" s="4">
        <v>1.0922488340443907E-2</v>
      </c>
      <c r="DJ33" s="4">
        <v>1.7231807010511902E-2</v>
      </c>
      <c r="DK33" s="4">
        <v>8.2772028207068575E-3</v>
      </c>
      <c r="DL33" s="5">
        <v>2.1953876862111634E-3</v>
      </c>
      <c r="DM33" s="5">
        <v>8.5647892165148266E-3</v>
      </c>
      <c r="DN33" s="5">
        <v>9.4601392518518027E-3</v>
      </c>
      <c r="DO33" s="5">
        <v>1.667189611274696E-2</v>
      </c>
      <c r="DP33" s="5">
        <v>9.2917427187757546E-3</v>
      </c>
      <c r="DQ33" s="5">
        <v>6.5695336646884352E-3</v>
      </c>
      <c r="DR33" s="5">
        <v>9.4277747514178133E-3</v>
      </c>
      <c r="DS33" s="5">
        <v>6.939226159836707E-3</v>
      </c>
      <c r="DT33" s="4">
        <v>8.1228888010514907E-3</v>
      </c>
      <c r="DU33" s="5">
        <v>1.0143585025485596E-2</v>
      </c>
      <c r="DV33" s="5">
        <v>1.4693673968864165E-2</v>
      </c>
      <c r="DX33" s="3" t="s">
        <v>183</v>
      </c>
      <c r="DY33" s="3" t="s">
        <v>153</v>
      </c>
      <c r="DZ33" s="4">
        <v>8.1308775616112106E-3</v>
      </c>
      <c r="EA33" s="5">
        <v>5.7604649398940453E-3</v>
      </c>
      <c r="EB33" s="5">
        <v>9.1980615476077044E-3</v>
      </c>
      <c r="EC33" s="5">
        <v>1.7042801523246734E-2</v>
      </c>
      <c r="ED33" s="4">
        <v>1.7969154688326071E-2</v>
      </c>
      <c r="EE33" s="5">
        <v>2.2406704506385686E-2</v>
      </c>
      <c r="EF33" s="4">
        <v>2.5838089001921388E-2</v>
      </c>
      <c r="EG33" s="5">
        <v>2.291046124522517E-2</v>
      </c>
      <c r="EH33" s="5">
        <v>1.2647860841443401E-2</v>
      </c>
      <c r="EI33" s="5">
        <v>6.2847599941690813E-3</v>
      </c>
      <c r="EJ33" s="5">
        <v>1.3366839612515542E-2</v>
      </c>
      <c r="EK33" s="5">
        <v>1.0096669084653197E-3</v>
      </c>
      <c r="EL33" s="5">
        <v>5.4202146788108778E-3</v>
      </c>
      <c r="EM33" s="5">
        <v>9.9586804487174756E-3</v>
      </c>
      <c r="EN33" s="5">
        <v>1.2625067779585268E-2</v>
      </c>
      <c r="EO33" s="4">
        <v>2.1790770951011621E-2</v>
      </c>
      <c r="EP33" s="4">
        <v>2.1505921759541843E-2</v>
      </c>
      <c r="EQ33" s="4">
        <v>1.0188044309783702E-2</v>
      </c>
      <c r="ER33" s="4">
        <v>5.0230927366284863E-3</v>
      </c>
      <c r="ES33" s="4">
        <v>1.3494495096745197E-2</v>
      </c>
      <c r="ET33" s="5">
        <v>4.0968427219328286E-2</v>
      </c>
      <c r="EU33" s="5">
        <v>1.7592248321481326E-2</v>
      </c>
      <c r="EV33" s="5">
        <v>1.1088583079702057E-2</v>
      </c>
      <c r="EW33" s="5">
        <v>2.5822054996239872E-2</v>
      </c>
      <c r="EX33" s="4">
        <v>3.5085345581749881E-2</v>
      </c>
      <c r="EY33" s="5">
        <v>1.8181640666757617E-2</v>
      </c>
      <c r="EZ33" s="5">
        <v>2.2440217458997585E-2</v>
      </c>
      <c r="FA33" s="5">
        <v>3.1589071031061199E-2</v>
      </c>
      <c r="FB33" s="5">
        <v>4.1392374618278743E-2</v>
      </c>
      <c r="FC33" s="5">
        <v>4.1084635727383439E-2</v>
      </c>
      <c r="FD33" s="5">
        <v>2.256086630732794E-2</v>
      </c>
      <c r="FE33" s="5">
        <v>2.4758061519707008E-2</v>
      </c>
      <c r="FF33" s="5">
        <v>9.7866486417592154E-3</v>
      </c>
      <c r="FG33" s="5">
        <v>1.4375432344229231E-2</v>
      </c>
      <c r="FH33" s="4">
        <v>4.9146036520876957E-2</v>
      </c>
      <c r="FI33" s="5">
        <v>7.081077149058522E-2</v>
      </c>
      <c r="FJ33" s="5">
        <v>8.9668773437606278E-2</v>
      </c>
      <c r="FK33" s="5">
        <v>4.9409880568948794E-2</v>
      </c>
      <c r="FL33" s="5">
        <v>2.0565018215333589E-2</v>
      </c>
      <c r="FM33" s="4">
        <v>3.4721272445196114E-2</v>
      </c>
      <c r="FN33" s="5">
        <v>4.7784418670786264E-3</v>
      </c>
      <c r="FO33" s="5">
        <v>9.3608559170018819E-3</v>
      </c>
      <c r="FP33" s="4">
        <v>1.1489783471253455E-2</v>
      </c>
      <c r="FQ33" s="4">
        <v>1.1065416303507818E-2</v>
      </c>
      <c r="FR33" s="4">
        <v>1.3945419802289832E-2</v>
      </c>
      <c r="FS33" s="4">
        <v>1.0740358814460275E-2</v>
      </c>
      <c r="FT33" s="5">
        <v>1.6344817121817196E-2</v>
      </c>
      <c r="FU33" s="5">
        <v>8.7082744534972573E-3</v>
      </c>
      <c r="FV33" s="4">
        <v>1.4799810305081571E-2</v>
      </c>
      <c r="FW33" s="5">
        <v>1.7130623923157937E-2</v>
      </c>
      <c r="FX33" s="5">
        <v>1.3371302718568309E-2</v>
      </c>
      <c r="FY33" s="5">
        <v>1.1097864786004955E-2</v>
      </c>
      <c r="FZ33" s="5">
        <v>4.2332430062210014E-3</v>
      </c>
      <c r="GA33" s="5">
        <v>1.2504755987330914E-2</v>
      </c>
      <c r="GB33" s="5">
        <v>1.8584357062511141E-2</v>
      </c>
      <c r="GC33" s="5">
        <v>1.8825569378915347E-2</v>
      </c>
      <c r="GD33" s="5">
        <v>1.3107441453761363E-2</v>
      </c>
      <c r="GE33" s="5">
        <v>9.4028689632919549E-3</v>
      </c>
      <c r="GF33" s="5">
        <v>8.2754913493979978E-3</v>
      </c>
      <c r="GG33" s="5">
        <v>1.3090598021579426E-2</v>
      </c>
      <c r="GI33" s="3" t="s">
        <v>183</v>
      </c>
      <c r="GJ33" s="3" t="s">
        <v>154</v>
      </c>
      <c r="GK33" s="5">
        <v>0.12515293616281742</v>
      </c>
      <c r="GL33" s="5">
        <v>0.12530272217223962</v>
      </c>
      <c r="GM33" s="5">
        <v>0.11563222104041548</v>
      </c>
      <c r="GN33" s="5">
        <v>0.11428350840246311</v>
      </c>
      <c r="GO33" s="5">
        <v>0.1184267779403135</v>
      </c>
      <c r="GP33" s="5">
        <v>0.12546072644882417</v>
      </c>
      <c r="GQ33" s="5">
        <v>0.12336684142129316</v>
      </c>
      <c r="GR33" s="5">
        <v>0.11834023929246723</v>
      </c>
      <c r="GS33" s="5">
        <v>0.11458203830729115</v>
      </c>
      <c r="GT33" s="5">
        <v>0.11560779171034201</v>
      </c>
      <c r="GU33" s="5">
        <v>0.11281315964768604</v>
      </c>
      <c r="GV33" s="5">
        <v>0.12146360076659017</v>
      </c>
      <c r="GW33" s="5">
        <v>0.11728867409237609</v>
      </c>
      <c r="GX33" s="5">
        <v>0.11439041230268453</v>
      </c>
      <c r="GY33" s="5">
        <v>0.11618579924337287</v>
      </c>
      <c r="GZ33" s="5">
        <v>0.12178261592420357</v>
      </c>
      <c r="HA33" s="4">
        <v>0.11277744380590043</v>
      </c>
      <c r="HB33" s="5">
        <v>0.10760562663290596</v>
      </c>
      <c r="HC33" s="5">
        <v>0.10744247476541628</v>
      </c>
      <c r="HD33" s="5">
        <v>0.11039095010719852</v>
      </c>
      <c r="HE33" s="5">
        <v>0.12643399132798047</v>
      </c>
      <c r="HF33" s="5">
        <v>0.12542971612443951</v>
      </c>
      <c r="HG33" s="5">
        <v>0.1249445376899839</v>
      </c>
      <c r="HH33" s="5">
        <v>0.12897121721470764</v>
      </c>
      <c r="HI33" s="5">
        <v>0.13615590641562794</v>
      </c>
      <c r="HJ33" s="5">
        <v>0.13623155938412992</v>
      </c>
      <c r="HK33" s="5">
        <v>0.11855445219463616</v>
      </c>
      <c r="HL33" s="4">
        <v>0.10187968371560721</v>
      </c>
      <c r="HM33" s="5">
        <v>9.0554657263453478E-2</v>
      </c>
      <c r="HN33" s="5">
        <v>0.11053576465074247</v>
      </c>
      <c r="HO33" s="5">
        <v>0.17413455968988117</v>
      </c>
      <c r="HP33" s="5">
        <v>0.18797806489134414</v>
      </c>
      <c r="HQ33" s="5">
        <v>0.18339785833606775</v>
      </c>
      <c r="HR33" s="5">
        <v>0.16236341466417548</v>
      </c>
      <c r="HS33" s="5">
        <v>0.16198970942162139</v>
      </c>
      <c r="HT33" s="5">
        <v>0.1857998279302521</v>
      </c>
      <c r="HU33" s="5">
        <v>0.17311573783808215</v>
      </c>
      <c r="HV33" s="4">
        <v>0.17183433273054205</v>
      </c>
      <c r="HW33" s="5">
        <v>0.17315874013392579</v>
      </c>
      <c r="HX33" s="5">
        <v>0.15066025112304712</v>
      </c>
      <c r="HY33" s="5">
        <v>9.6635784415168305E-2</v>
      </c>
      <c r="HZ33" s="5">
        <v>0.11004718585208929</v>
      </c>
      <c r="IA33" s="5">
        <v>0.10245772070979323</v>
      </c>
      <c r="IB33" s="5">
        <v>9.1797117692405242E-2</v>
      </c>
      <c r="IC33" s="5">
        <v>9.0953588568104635E-2</v>
      </c>
      <c r="ID33" s="5">
        <v>9.1518744544994785E-2</v>
      </c>
      <c r="IE33" s="5">
        <v>9.2819599100380859E-2</v>
      </c>
      <c r="IF33" s="5">
        <v>9.2568903117328447E-2</v>
      </c>
      <c r="IG33" s="5">
        <v>8.6825506596621679E-2</v>
      </c>
      <c r="IH33" s="5">
        <v>7.7348902380215731E-2</v>
      </c>
      <c r="II33" s="5">
        <v>4.6931513994616973E-2</v>
      </c>
      <c r="IJ33" s="5">
        <v>4.6443951799793E-2</v>
      </c>
      <c r="IK33" s="5">
        <v>5.1247124005835913E-2</v>
      </c>
      <c r="IL33" s="5">
        <v>5.5678969603136216E-2</v>
      </c>
      <c r="IM33" s="5">
        <v>5.4936908307796989E-2</v>
      </c>
      <c r="IN33" s="5">
        <v>5.2220636066560459E-2</v>
      </c>
      <c r="IO33" s="5">
        <v>6.2054481023559607E-2</v>
      </c>
      <c r="IP33" s="5">
        <v>6.4131536875923642E-2</v>
      </c>
      <c r="IQ33" s="5">
        <v>6.1845297717887049E-2</v>
      </c>
      <c r="IR33" s="5">
        <v>4.9373264544150149E-2</v>
      </c>
      <c r="JB33" s="3" t="s">
        <v>183</v>
      </c>
      <c r="JC33" s="5">
        <v>0.59476987011608651</v>
      </c>
      <c r="JD33" s="5">
        <v>0.59136723898631993</v>
      </c>
      <c r="JE33" s="4">
        <v>0.59024083216671253</v>
      </c>
      <c r="JF33" s="5">
        <v>0.58900770476780173</v>
      </c>
      <c r="JG33" s="5">
        <v>0.5768081613110051</v>
      </c>
      <c r="JH33" s="5">
        <v>0.57271660356392484</v>
      </c>
      <c r="JI33" s="5">
        <v>0.57871820015219633</v>
      </c>
      <c r="JJ33" s="5">
        <v>0.59191843855610404</v>
      </c>
      <c r="JK33" s="5">
        <v>0.609850181453371</v>
      </c>
      <c r="JL33" s="5">
        <v>0.61333042538914295</v>
      </c>
      <c r="JM33" s="5">
        <v>0.59902230550189539</v>
      </c>
      <c r="JN33" s="4">
        <v>0.61082044374729128</v>
      </c>
      <c r="JO33" s="5">
        <v>0.61689064408512673</v>
      </c>
      <c r="JP33" s="5">
        <v>0.60132273956241955</v>
      </c>
      <c r="JQ33" s="5">
        <v>0.58441108442588963</v>
      </c>
      <c r="JR33" s="5">
        <v>0.57958239180431126</v>
      </c>
      <c r="JS33" s="5">
        <v>0.58812602839696948</v>
      </c>
      <c r="JT33" s="5">
        <v>0.60330387662733298</v>
      </c>
      <c r="JU33" s="5">
        <v>0.61061219556913582</v>
      </c>
      <c r="JV33" s="5">
        <v>0.59570710290290663</v>
      </c>
      <c r="JW33" s="4">
        <v>0.48941982197520534</v>
      </c>
      <c r="JX33" s="5">
        <v>0.51322134266161135</v>
      </c>
      <c r="JY33" s="5">
        <v>0.51383378908084409</v>
      </c>
      <c r="JZ33" s="5">
        <v>0.48709986881196343</v>
      </c>
      <c r="KA33" s="5">
        <v>0.44906646010926865</v>
      </c>
      <c r="KB33" s="5">
        <v>0.44603506181051816</v>
      </c>
      <c r="KC33" s="5">
        <v>0.46274788491302493</v>
      </c>
      <c r="KD33" s="5">
        <v>0.47141000746470074</v>
      </c>
      <c r="KE33" s="5">
        <v>0.47658888070487287</v>
      </c>
      <c r="KF33" s="4">
        <v>0.47676375239374463</v>
      </c>
      <c r="KG33" s="4">
        <v>0.37587288995547458</v>
      </c>
      <c r="KH33" s="5">
        <v>0.34621011273059327</v>
      </c>
      <c r="KI33" s="5">
        <v>0.34225702419814907</v>
      </c>
      <c r="KJ33" s="5">
        <v>0.32519944756767788</v>
      </c>
      <c r="KK33" s="5">
        <v>0.30681877551401299</v>
      </c>
      <c r="KL33" s="5">
        <v>0.30397697790433953</v>
      </c>
      <c r="KM33" s="5">
        <v>0.3055377713065377</v>
      </c>
      <c r="KN33" s="5">
        <v>0.32415838350733034</v>
      </c>
      <c r="KO33" s="5">
        <v>0.33685867333606356</v>
      </c>
      <c r="KP33" s="4">
        <v>0.36675617432534091</v>
      </c>
      <c r="KQ33" s="5">
        <v>0.64899884794881735</v>
      </c>
      <c r="KR33" s="4">
        <v>0.62059331739959989</v>
      </c>
      <c r="KS33" s="5">
        <v>0.62652791409375796</v>
      </c>
      <c r="KT33" s="5">
        <v>0.63594781768234454</v>
      </c>
      <c r="KU33" s="5">
        <v>0.63448596049031314</v>
      </c>
      <c r="KV33" s="5">
        <v>0.64043987041245642</v>
      </c>
      <c r="KW33" s="5">
        <v>0.64271374745880983</v>
      </c>
      <c r="KX33" s="5">
        <v>0.65646859643320332</v>
      </c>
      <c r="KY33" s="4">
        <v>0.66928772018538429</v>
      </c>
      <c r="KZ33" s="5">
        <v>0.68761200047421145</v>
      </c>
      <c r="LA33" s="5">
        <v>0.74702095551335634</v>
      </c>
      <c r="LB33" s="5">
        <v>0.74260375760504216</v>
      </c>
      <c r="LC33" s="4">
        <v>0.73113336765328851</v>
      </c>
      <c r="LD33" s="5">
        <v>0.72404700504172725</v>
      </c>
      <c r="LE33" s="5">
        <v>0.71988811923932361</v>
      </c>
      <c r="LF33" s="5">
        <v>0.71591155226247516</v>
      </c>
      <c r="LG33" s="5">
        <v>0.707580495953824</v>
      </c>
      <c r="LH33" s="4">
        <v>0.70891433730864806</v>
      </c>
      <c r="LI33" s="5">
        <v>0.71318136928073639</v>
      </c>
      <c r="LJ33" s="5">
        <v>0.72603313200042574</v>
      </c>
      <c r="LL33" s="3" t="s">
        <v>184</v>
      </c>
      <c r="LM33" s="3" t="s">
        <v>160</v>
      </c>
      <c r="LN33" s="3" t="s">
        <v>161</v>
      </c>
      <c r="LO33" s="5">
        <v>0.53977239634401242</v>
      </c>
    </row>
    <row r="34" spans="2:327" x14ac:dyDescent="0.45">
      <c r="B34" s="6" t="s">
        <v>185</v>
      </c>
      <c r="C34" s="6" t="s">
        <v>151</v>
      </c>
      <c r="D34" s="8">
        <v>0.2421846230474263</v>
      </c>
      <c r="E34" s="8">
        <v>0.25854165433634574</v>
      </c>
      <c r="F34" s="8">
        <v>0.26831800748384665</v>
      </c>
      <c r="G34" s="8">
        <v>0.26629943013234419</v>
      </c>
      <c r="H34" s="8">
        <v>0.28620835385808824</v>
      </c>
      <c r="I34" s="8">
        <v>0.2835667103675299</v>
      </c>
      <c r="J34" s="8">
        <v>0.28074480422712011</v>
      </c>
      <c r="K34" s="8">
        <v>0.27016462054588092</v>
      </c>
      <c r="L34" s="8">
        <v>0.25865357081678336</v>
      </c>
      <c r="M34" s="8">
        <v>0.24511636378179807</v>
      </c>
      <c r="N34" s="8">
        <v>0.26642595822163961</v>
      </c>
      <c r="O34" s="8">
        <v>0.25469998613194073</v>
      </c>
      <c r="P34" s="8">
        <v>0.24748661147370143</v>
      </c>
      <c r="Q34" s="8">
        <v>0.283803184413287</v>
      </c>
      <c r="R34" s="8">
        <v>0.31402542549877377</v>
      </c>
      <c r="S34" s="8">
        <v>0.29689175484691832</v>
      </c>
      <c r="T34" s="8">
        <v>0.27321147929346501</v>
      </c>
      <c r="U34" s="8">
        <v>0.25000570279515677</v>
      </c>
      <c r="V34" s="8">
        <v>0.23862929551187803</v>
      </c>
      <c r="W34" s="8">
        <v>0.24318981106954082</v>
      </c>
      <c r="X34" s="8">
        <v>0.27844825627827235</v>
      </c>
      <c r="Y34" s="8">
        <v>0.29905514573912134</v>
      </c>
      <c r="Z34" s="8">
        <v>0.31815541895398924</v>
      </c>
      <c r="AA34" s="8">
        <v>0.35337303847037682</v>
      </c>
      <c r="AB34" s="8">
        <v>0.38331841264774402</v>
      </c>
      <c r="AC34" s="8">
        <v>0.35904138638862892</v>
      </c>
      <c r="AD34" s="8">
        <v>0.32639490827022039</v>
      </c>
      <c r="AE34" s="8">
        <v>0.32730461285162399</v>
      </c>
      <c r="AF34" s="8">
        <v>0.30287330545431473</v>
      </c>
      <c r="AG34" s="8">
        <v>0.27169182082815574</v>
      </c>
      <c r="AH34" s="8">
        <v>0.33374015809899982</v>
      </c>
      <c r="AI34" s="8">
        <v>0.36112019903057097</v>
      </c>
      <c r="AJ34" s="8">
        <v>0.35831100872077837</v>
      </c>
      <c r="AK34" s="8">
        <v>0.37417110493948985</v>
      </c>
      <c r="AL34" s="8">
        <v>0.37970112895993569</v>
      </c>
      <c r="AM34" s="8">
        <v>0.36866009248056197</v>
      </c>
      <c r="AN34" s="8">
        <v>0.36827432308801733</v>
      </c>
      <c r="AO34" s="8">
        <v>0.361880028822058</v>
      </c>
      <c r="AP34" s="8">
        <v>0.33468199694524708</v>
      </c>
      <c r="AQ34" s="8">
        <v>0.32625585952634717</v>
      </c>
      <c r="AR34" s="8">
        <v>0.33387874144663859</v>
      </c>
      <c r="AS34" s="8">
        <v>0.36776159203766123</v>
      </c>
      <c r="AT34" s="8">
        <v>0.35502109246034613</v>
      </c>
      <c r="AU34" s="8">
        <v>0.34371189770756994</v>
      </c>
      <c r="AV34" s="8">
        <v>0.34545374302239112</v>
      </c>
      <c r="AW34" s="8">
        <v>0.30937609462542953</v>
      </c>
      <c r="AX34" s="8">
        <v>0.28634189713989666</v>
      </c>
      <c r="AY34" s="8">
        <v>0.25373601508168897</v>
      </c>
      <c r="AZ34" s="8">
        <v>0.25779976254931436</v>
      </c>
      <c r="BA34" s="8">
        <v>0.27250521200071065</v>
      </c>
      <c r="BB34" s="8">
        <v>0.28252153374606453</v>
      </c>
      <c r="BC34" s="8">
        <v>0.24456524475101832</v>
      </c>
      <c r="BD34" s="8">
        <v>0.25059114167735241</v>
      </c>
      <c r="BE34" s="8">
        <v>0.24051952022410028</v>
      </c>
      <c r="BF34" s="8">
        <v>0.2320129256252873</v>
      </c>
      <c r="BG34" s="8">
        <v>0.23594227028343334</v>
      </c>
      <c r="BH34" s="8">
        <v>0.25074699619669361</v>
      </c>
      <c r="BI34" s="8">
        <v>0.25369915754242311</v>
      </c>
      <c r="BJ34" s="8">
        <v>0.24277730814591969</v>
      </c>
      <c r="BK34" s="8">
        <v>0.25996699131282375</v>
      </c>
      <c r="BM34" s="6" t="s">
        <v>185</v>
      </c>
      <c r="BN34" s="6" t="s">
        <v>152</v>
      </c>
      <c r="BO34" s="8">
        <v>1.0285724708225105E-2</v>
      </c>
      <c r="BP34" s="8">
        <v>1.3014979903179326E-2</v>
      </c>
      <c r="BQ34" s="7">
        <v>1.4746195318687778E-2</v>
      </c>
      <c r="BR34" s="8">
        <v>2.1312153057348994E-2</v>
      </c>
      <c r="BS34" s="8">
        <v>2.5497899104395184E-2</v>
      </c>
      <c r="BT34" s="8">
        <v>1.384625818895961E-2</v>
      </c>
      <c r="BU34" s="7">
        <v>5.9116874838888401E-3</v>
      </c>
      <c r="BV34" s="8">
        <v>9.389773718083777E-3</v>
      </c>
      <c r="BW34" s="7">
        <v>1.5269289412764264E-2</v>
      </c>
      <c r="BX34" s="8">
        <v>1.6696494877233653E-2</v>
      </c>
      <c r="BY34" s="7">
        <v>2.6902865254941066E-2</v>
      </c>
      <c r="BZ34" s="7">
        <v>1.7255499367249384E-2</v>
      </c>
      <c r="CA34" s="7">
        <v>1.5167973642865007E-2</v>
      </c>
      <c r="CB34" s="7">
        <v>1.334670559017749E-3</v>
      </c>
      <c r="CC34" s="7">
        <v>7.8489220779261962E-3</v>
      </c>
      <c r="CD34" s="8">
        <v>8.435205790679615E-3</v>
      </c>
      <c r="CE34" s="7">
        <v>1.2574337496406249E-2</v>
      </c>
      <c r="CF34" s="8">
        <v>1.8793431406900138E-2</v>
      </c>
      <c r="CG34" s="7">
        <v>1.244514070294972E-2</v>
      </c>
      <c r="CH34" s="8">
        <v>1.3337528711603742E-2</v>
      </c>
      <c r="CI34" s="8">
        <v>1.7086363349954801E-2</v>
      </c>
      <c r="CJ34" s="7">
        <v>2.5449493449594238E-3</v>
      </c>
      <c r="CK34" s="8">
        <v>1.1565578254142452E-2</v>
      </c>
      <c r="CL34" s="7">
        <v>2.0280015554946351E-2</v>
      </c>
      <c r="CM34" s="8">
        <v>1.135085413642797E-2</v>
      </c>
      <c r="CN34" s="8">
        <v>5.1712471106199077E-3</v>
      </c>
      <c r="CO34" s="8">
        <v>1.4674886188745039E-2</v>
      </c>
      <c r="CP34" s="8">
        <v>2.7688929491638502E-2</v>
      </c>
      <c r="CQ34" s="8">
        <v>3.060339180070093E-2</v>
      </c>
      <c r="CR34" s="8">
        <v>2.4281503548754892E-2</v>
      </c>
      <c r="CS34" s="8">
        <v>4.1505935220364776E-2</v>
      </c>
      <c r="CT34" s="8">
        <v>2.0270396286433959E-2</v>
      </c>
      <c r="CU34" s="7">
        <v>2.2606068425370607E-2</v>
      </c>
      <c r="CV34" s="7">
        <v>3.2731701102550491E-2</v>
      </c>
      <c r="CW34" s="8">
        <v>2.5548535685395727E-2</v>
      </c>
      <c r="CX34" s="7">
        <v>2.5431336144016454E-2</v>
      </c>
      <c r="CY34" s="7">
        <v>4.0620886595120163E-2</v>
      </c>
      <c r="CZ34" s="7">
        <v>3.1006425505159554E-2</v>
      </c>
      <c r="DA34" s="7">
        <v>1.6228317897593023E-2</v>
      </c>
      <c r="DB34" s="8">
        <v>2.9709718914355556E-2</v>
      </c>
      <c r="DC34" s="8">
        <v>1.7616423832297126E-2</v>
      </c>
      <c r="DD34" s="7">
        <v>1.346008280457389E-2</v>
      </c>
      <c r="DE34" s="7">
        <v>1.6176183433924348E-2</v>
      </c>
      <c r="DF34" s="8">
        <v>3.6149477850816007E-2</v>
      </c>
      <c r="DG34" s="8">
        <v>4.4792031267912008E-2</v>
      </c>
      <c r="DH34" s="7">
        <v>2.4410949690714435E-2</v>
      </c>
      <c r="DI34" s="7">
        <v>1.2337037741187572E-2</v>
      </c>
      <c r="DJ34" s="7">
        <v>1.5963894383119469E-2</v>
      </c>
      <c r="DK34" s="7">
        <v>1.4826511633465864E-2</v>
      </c>
      <c r="DL34" s="8">
        <v>1.0575324246887516E-2</v>
      </c>
      <c r="DM34" s="8">
        <v>1.5346888689236981E-2</v>
      </c>
      <c r="DN34" s="8">
        <v>1.4867431575925001E-2</v>
      </c>
      <c r="DO34" s="8">
        <v>2.0071194632262014E-2</v>
      </c>
      <c r="DP34" s="8">
        <v>2.0576006731924244E-2</v>
      </c>
      <c r="DQ34" s="8">
        <v>2.1537754493254735E-2</v>
      </c>
      <c r="DR34" s="8">
        <v>1.4794002634969935E-2</v>
      </c>
      <c r="DS34" s="8">
        <v>1.0599834922480064E-2</v>
      </c>
      <c r="DT34" s="7">
        <v>6.9695631713087578E-3</v>
      </c>
      <c r="DU34" s="8">
        <v>1.6621772371368939E-2</v>
      </c>
      <c r="DV34" s="8">
        <v>2.1425479091074617E-2</v>
      </c>
      <c r="DX34" s="6" t="s">
        <v>185</v>
      </c>
      <c r="DY34" s="6" t="s">
        <v>153</v>
      </c>
      <c r="DZ34" s="7">
        <v>1.8296967875258627E-2</v>
      </c>
      <c r="EA34" s="8">
        <v>1.0566873481783442E-2</v>
      </c>
      <c r="EB34" s="8">
        <v>1.1759878524292134E-2</v>
      </c>
      <c r="EC34" s="8">
        <v>1.4566961487040172E-2</v>
      </c>
      <c r="ED34" s="7">
        <v>1.708512912202843E-2</v>
      </c>
      <c r="EE34" s="8">
        <v>2.846227085740825E-2</v>
      </c>
      <c r="EF34" s="7">
        <v>3.1869742082222728E-2</v>
      </c>
      <c r="EG34" s="8">
        <v>2.1867021687402531E-2</v>
      </c>
      <c r="EH34" s="8">
        <v>1.2366850021236941E-2</v>
      </c>
      <c r="EI34" s="8">
        <v>1.3236735393426837E-2</v>
      </c>
      <c r="EJ34" s="8">
        <v>8.3522794160631863E-3</v>
      </c>
      <c r="EK34" s="8">
        <v>2.5910943701729108E-2</v>
      </c>
      <c r="EL34" s="8">
        <v>2.5736404027099508E-2</v>
      </c>
      <c r="EM34" s="8">
        <v>1.6688738790219964E-2</v>
      </c>
      <c r="EN34" s="8">
        <v>1.1963166694861754E-2</v>
      </c>
      <c r="EO34" s="7">
        <v>5.2192534595491991E-3</v>
      </c>
      <c r="EP34" s="7">
        <v>7.6659690674528479E-3</v>
      </c>
      <c r="EQ34" s="7">
        <v>9.7724010775327007E-3</v>
      </c>
      <c r="ER34" s="7">
        <v>2.0650504243066657E-2</v>
      </c>
      <c r="ES34" s="7">
        <v>1.2885002459619248E-2</v>
      </c>
      <c r="ET34" s="8">
        <v>2.3765145906167576E-2</v>
      </c>
      <c r="EU34" s="8">
        <v>3.3813093488712455E-2</v>
      </c>
      <c r="EV34" s="8">
        <v>2.2984766145562219E-2</v>
      </c>
      <c r="EW34" s="8">
        <v>8.7400340393079552E-3</v>
      </c>
      <c r="EX34" s="7">
        <v>1.9649594136220881E-2</v>
      </c>
      <c r="EY34" s="8">
        <v>2.1125250100058675E-2</v>
      </c>
      <c r="EZ34" s="8">
        <v>1.2122922724114134E-2</v>
      </c>
      <c r="FA34" s="8">
        <v>8.6743074040550906E-3</v>
      </c>
      <c r="FB34" s="8">
        <v>6.4828433754562688E-3</v>
      </c>
      <c r="FC34" s="8">
        <v>1.1727404414744166E-2</v>
      </c>
      <c r="FD34" s="8">
        <v>3.1086164438859237E-2</v>
      </c>
      <c r="FE34" s="8">
        <v>5.7338465304455036E-2</v>
      </c>
      <c r="FF34" s="8">
        <v>4.2423752654792521E-2</v>
      </c>
      <c r="FG34" s="8">
        <v>2.161151449165891E-2</v>
      </c>
      <c r="FH34" s="7">
        <v>3.0024623950706274E-2</v>
      </c>
      <c r="FI34" s="8">
        <v>4.9600429941811137E-2</v>
      </c>
      <c r="FJ34" s="8">
        <v>4.2525584370055242E-2</v>
      </c>
      <c r="FK34" s="8">
        <v>3.685078351860719E-2</v>
      </c>
      <c r="FL34" s="8">
        <v>3.2651727750372173E-2</v>
      </c>
      <c r="FM34" s="7">
        <v>1.8550829315655722E-2</v>
      </c>
      <c r="FN34" s="8">
        <v>1.234969362763403E-2</v>
      </c>
      <c r="FO34" s="8">
        <v>1.7705232559822755E-2</v>
      </c>
      <c r="FP34" s="7">
        <v>2.8186103844707384E-2</v>
      </c>
      <c r="FQ34" s="7">
        <v>1.43795817760083E-2</v>
      </c>
      <c r="FR34" s="7">
        <v>1.7321503455696122E-2</v>
      </c>
      <c r="FS34" s="7">
        <v>3.1213476803499181E-2</v>
      </c>
      <c r="FT34" s="8">
        <v>3.8722012424316873E-2</v>
      </c>
      <c r="FU34" s="8">
        <v>2.6797430152907215E-2</v>
      </c>
      <c r="FV34" s="7">
        <v>2.1785478383205797E-2</v>
      </c>
      <c r="FW34" s="8">
        <v>2.3858535478881459E-2</v>
      </c>
      <c r="FX34" s="8">
        <v>1.6913393874345813E-2</v>
      </c>
      <c r="FY34" s="8">
        <v>1.119445792734346E-2</v>
      </c>
      <c r="FZ34" s="8">
        <v>1.6610293329949864E-2</v>
      </c>
      <c r="GA34" s="8">
        <v>1.0637824084461726E-2</v>
      </c>
      <c r="GB34" s="8">
        <v>1.1645226892282565E-2</v>
      </c>
      <c r="GC34" s="8">
        <v>2.1583868084130549E-2</v>
      </c>
      <c r="GD34" s="8">
        <v>2.4227712207246187E-2</v>
      </c>
      <c r="GE34" s="8">
        <v>2.0594507203697782E-2</v>
      </c>
      <c r="GF34" s="8">
        <v>1.8038495840183345E-2</v>
      </c>
      <c r="GG34" s="8">
        <v>8.9110497175341526E-3</v>
      </c>
      <c r="GI34" s="6" t="s">
        <v>185</v>
      </c>
      <c r="GJ34" s="6" t="s">
        <v>154</v>
      </c>
      <c r="GK34" s="8">
        <v>9.57612983560506E-2</v>
      </c>
      <c r="GL34" s="8">
        <v>0.10586866682111312</v>
      </c>
      <c r="GM34" s="8">
        <v>0.10795383194581071</v>
      </c>
      <c r="GN34" s="8">
        <v>9.940751624597613E-2</v>
      </c>
      <c r="GO34" s="8">
        <v>0.11026209353959748</v>
      </c>
      <c r="GP34" s="8">
        <v>0.11337142975645435</v>
      </c>
      <c r="GQ34" s="8">
        <v>0.11274644691371634</v>
      </c>
      <c r="GR34" s="8">
        <v>0.10621834467725687</v>
      </c>
      <c r="GS34" s="8">
        <v>0.10127449049290493</v>
      </c>
      <c r="GT34" s="8">
        <v>9.2463914779265133E-2</v>
      </c>
      <c r="GU34" s="8">
        <v>0.10563503553633298</v>
      </c>
      <c r="GV34" s="8">
        <v>8.3484450508073835E-2</v>
      </c>
      <c r="GW34" s="8">
        <v>9.0540820607401776E-2</v>
      </c>
      <c r="GX34" s="8">
        <v>0.14116608539060735</v>
      </c>
      <c r="GY34" s="8">
        <v>0.16774274961409755</v>
      </c>
      <c r="GZ34" s="8">
        <v>0.1625958126196374</v>
      </c>
      <c r="HA34" s="7">
        <v>0.13463694648099619</v>
      </c>
      <c r="HB34" s="8">
        <v>0.10830422933366679</v>
      </c>
      <c r="HC34" s="8">
        <v>9.7720623700072909E-2</v>
      </c>
      <c r="HD34" s="8">
        <v>0.10401471338295437</v>
      </c>
      <c r="HE34" s="8">
        <v>0.10285839346667591</v>
      </c>
      <c r="HF34" s="8">
        <v>0.13013784806859269</v>
      </c>
      <c r="HG34" s="8">
        <v>0.14253143269529611</v>
      </c>
      <c r="HH34" s="8">
        <v>0.17596098081526915</v>
      </c>
      <c r="HI34" s="8">
        <v>0.18862271447887885</v>
      </c>
      <c r="HJ34" s="8">
        <v>0.17591086911727832</v>
      </c>
      <c r="HK34" s="8">
        <v>0.14836086137633797</v>
      </c>
      <c r="HL34" s="7">
        <v>0.13734981535635385</v>
      </c>
      <c r="HM34" s="8">
        <v>0.1249053866894254</v>
      </c>
      <c r="HN34" s="8">
        <v>9.826865019384616E-2</v>
      </c>
      <c r="HO34" s="8">
        <v>0.14754743551435401</v>
      </c>
      <c r="HP34" s="8">
        <v>0.15754275298697296</v>
      </c>
      <c r="HQ34" s="8">
        <v>0.15563685086709467</v>
      </c>
      <c r="HR34" s="8">
        <v>0.18218973064617713</v>
      </c>
      <c r="HS34" s="8">
        <v>0.18436273610883183</v>
      </c>
      <c r="HT34" s="8">
        <v>0.14734479720874397</v>
      </c>
      <c r="HU34" s="8">
        <v>0.13017804192302901</v>
      </c>
      <c r="HV34" s="7">
        <v>0.1318813025791912</v>
      </c>
      <c r="HW34" s="8">
        <v>0.13841318569851149</v>
      </c>
      <c r="HX34" s="8">
        <v>0.14072382519642423</v>
      </c>
      <c r="HY34" s="8">
        <v>0.16833077623309503</v>
      </c>
      <c r="HZ34" s="8">
        <v>0.19098637467823543</v>
      </c>
      <c r="IA34" s="8">
        <v>0.16886506578629548</v>
      </c>
      <c r="IB34" s="8">
        <v>0.14055601077381547</v>
      </c>
      <c r="IC34" s="8">
        <v>0.13502951374233829</v>
      </c>
      <c r="ID34" s="8">
        <v>0.12222959558259446</v>
      </c>
      <c r="IE34" s="8">
        <v>0.10605134906731764</v>
      </c>
      <c r="IF34" s="8">
        <v>8.9992283462943329E-2</v>
      </c>
      <c r="IG34" s="8">
        <v>0.10159015114216705</v>
      </c>
      <c r="IH34" s="8">
        <v>0.11264501619263118</v>
      </c>
      <c r="II34" s="8">
        <v>9.8507035838455825E-2</v>
      </c>
      <c r="IJ34" s="8">
        <v>8.61647435036305E-2</v>
      </c>
      <c r="IK34" s="8">
        <v>7.9348206043220321E-2</v>
      </c>
      <c r="IL34" s="8">
        <v>7.4975067173344623E-2</v>
      </c>
      <c r="IM34" s="8">
        <v>6.7141554655021737E-2</v>
      </c>
      <c r="IN34" s="8">
        <v>7.1739471225112414E-2</v>
      </c>
      <c r="IO34" s="8">
        <v>8.6020383168076461E-2</v>
      </c>
      <c r="IP34" s="8">
        <v>8.7184245403647803E-2</v>
      </c>
      <c r="IQ34" s="8">
        <v>7.7171278645890767E-2</v>
      </c>
      <c r="IR34" s="8">
        <v>9.183585475311315E-2</v>
      </c>
      <c r="JB34" s="6" t="s">
        <v>185</v>
      </c>
      <c r="JC34" s="8">
        <v>0.61568294206231644</v>
      </c>
      <c r="JD34" s="8">
        <v>0.59337525343585573</v>
      </c>
      <c r="JE34" s="7">
        <v>0.58178856780543386</v>
      </c>
      <c r="JF34" s="8">
        <v>0.58666110621031242</v>
      </c>
      <c r="JG34" s="8">
        <v>0.56290241109574279</v>
      </c>
      <c r="JH34" s="8">
        <v>0.56496309630288666</v>
      </c>
      <c r="JI34" s="8">
        <v>0.57903881455077078</v>
      </c>
      <c r="JJ34" s="8">
        <v>0.60085087680747196</v>
      </c>
      <c r="JK34" s="8">
        <v>0.62314875007970105</v>
      </c>
      <c r="JL34" s="8">
        <v>0.62497372764010128</v>
      </c>
      <c r="JM34" s="8">
        <v>0.58753101224094995</v>
      </c>
      <c r="JN34" s="7">
        <v>0.5962674559826856</v>
      </c>
      <c r="JO34" s="8">
        <v>0.59319072534410344</v>
      </c>
      <c r="JP34" s="8">
        <v>0.54230328585635723</v>
      </c>
      <c r="JQ34" s="8">
        <v>0.5056225347187614</v>
      </c>
      <c r="JR34" s="8">
        <v>0.51711786047700548</v>
      </c>
      <c r="JS34" s="8">
        <v>0.55311429192174655</v>
      </c>
      <c r="JT34" s="8">
        <v>0.5892877695303349</v>
      </c>
      <c r="JU34" s="8">
        <v>0.61437101193444166</v>
      </c>
      <c r="JV34" s="8">
        <v>0.60081355431488626</v>
      </c>
      <c r="JW34" s="7">
        <v>0.5680063013598079</v>
      </c>
      <c r="JX34" s="8">
        <v>0.52345181832883936</v>
      </c>
      <c r="JY34" s="8">
        <v>0.5151148599984704</v>
      </c>
      <c r="JZ34" s="8">
        <v>0.47398996779878366</v>
      </c>
      <c r="KA34" s="8">
        <v>0.46023783501100224</v>
      </c>
      <c r="KB34" s="8">
        <v>0.4912638370745403</v>
      </c>
      <c r="KC34" s="8">
        <v>0.53504239973520529</v>
      </c>
      <c r="KD34" s="8">
        <v>0.55331955756228723</v>
      </c>
      <c r="KE34" s="8">
        <v>0.57362131474799183</v>
      </c>
      <c r="KF34" s="7">
        <v>0.60120260830500416</v>
      </c>
      <c r="KG34" s="7">
        <v>0.40468122887447655</v>
      </c>
      <c r="KH34" s="8">
        <v>0.36807032639063114</v>
      </c>
      <c r="KI34" s="8">
        <v>0.36973199930657902</v>
      </c>
      <c r="KJ34" s="8">
        <v>0.35543753298923314</v>
      </c>
      <c r="KK34" s="8">
        <v>0.35073735361314201</v>
      </c>
      <c r="KL34" s="8">
        <v>0.39552178913201658</v>
      </c>
      <c r="KM34" s="8">
        <v>0.44231323297360853</v>
      </c>
      <c r="KN34" s="8">
        <v>0.46806096024585947</v>
      </c>
      <c r="KO34" s="8">
        <v>0.47226075144041507</v>
      </c>
      <c r="KP34" s="7">
        <v>0.46291879106873784</v>
      </c>
      <c r="KQ34" s="8">
        <v>0.50713493422238676</v>
      </c>
      <c r="KR34" s="7">
        <v>0.46642623085253798</v>
      </c>
      <c r="KS34" s="8">
        <v>0.48003134447852241</v>
      </c>
      <c r="KT34" s="8">
        <v>0.51055212460504085</v>
      </c>
      <c r="KU34" s="8">
        <v>0.50157662997113872</v>
      </c>
      <c r="KV34" s="8">
        <v>0.51989690212391648</v>
      </c>
      <c r="KW34" s="8">
        <v>0.55126382140480901</v>
      </c>
      <c r="KX34" s="8">
        <v>0.59175433755516393</v>
      </c>
      <c r="KY34" s="7">
        <v>0.59202580821517181</v>
      </c>
      <c r="KZ34" s="8">
        <v>0.57578010352384401</v>
      </c>
      <c r="LA34" s="8">
        <v>0.62024470535908505</v>
      </c>
      <c r="LB34" s="8">
        <v>0.64217388065012748</v>
      </c>
      <c r="LC34" s="7">
        <v>0.64156364736559446</v>
      </c>
      <c r="LD34" s="8">
        <v>0.65823071475949935</v>
      </c>
      <c r="LE34" s="8">
        <v>0.66662725524358513</v>
      </c>
      <c r="LF34" s="8">
        <v>0.6561810756226254</v>
      </c>
      <c r="LG34" s="8">
        <v>0.64135714779898034</v>
      </c>
      <c r="LH34" s="7">
        <v>0.64314287910085233</v>
      </c>
      <c r="LI34" s="8">
        <v>0.65890172187269469</v>
      </c>
      <c r="LJ34" s="8">
        <v>0.63628354792411901</v>
      </c>
      <c r="LL34" s="6" t="s">
        <v>186</v>
      </c>
      <c r="LM34" s="6" t="s">
        <v>160</v>
      </c>
      <c r="LN34" s="6" t="s">
        <v>161</v>
      </c>
      <c r="LO34" s="8">
        <v>0.52735082136341616</v>
      </c>
    </row>
    <row r="35" spans="2:327" x14ac:dyDescent="0.45">
      <c r="B35" s="3" t="s">
        <v>187</v>
      </c>
      <c r="C35" s="3" t="s">
        <v>151</v>
      </c>
      <c r="D35" s="5">
        <v>0.29475682292804556</v>
      </c>
      <c r="E35" s="5">
        <v>0.30123061382002136</v>
      </c>
      <c r="F35" s="5">
        <v>0.29331281518869473</v>
      </c>
      <c r="G35" s="5">
        <v>0.28923162627367843</v>
      </c>
      <c r="H35" s="5">
        <v>0.29622507511160662</v>
      </c>
      <c r="I35" s="5">
        <v>0.30205746830254016</v>
      </c>
      <c r="J35" s="5">
        <v>0.29958649428197959</v>
      </c>
      <c r="K35" s="5">
        <v>0.29789324707015979</v>
      </c>
      <c r="L35" s="5">
        <v>0.30198609899546253</v>
      </c>
      <c r="M35" s="5">
        <v>0.30769967682186333</v>
      </c>
      <c r="N35" s="5">
        <v>0.31773967988007168</v>
      </c>
      <c r="O35" s="5">
        <v>0.31284896454115368</v>
      </c>
      <c r="P35" s="5">
        <v>0.30135108056543847</v>
      </c>
      <c r="Q35" s="5">
        <v>0.29918698042451647</v>
      </c>
      <c r="R35" s="5">
        <v>0.32112214804988926</v>
      </c>
      <c r="S35" s="5">
        <v>0.33234525086307692</v>
      </c>
      <c r="T35" s="5">
        <v>0.3341528902772225</v>
      </c>
      <c r="U35" s="5">
        <v>0.33070832124052518</v>
      </c>
      <c r="V35" s="5">
        <v>0.30969989058870195</v>
      </c>
      <c r="W35" s="5">
        <v>0.29672795802705582</v>
      </c>
      <c r="X35" s="5">
        <v>0.38374958116268293</v>
      </c>
      <c r="Y35" s="5">
        <v>0.36883245651111696</v>
      </c>
      <c r="Z35" s="5">
        <v>0.37880214047587424</v>
      </c>
      <c r="AA35" s="5">
        <v>0.38889748053461687</v>
      </c>
      <c r="AB35" s="5">
        <v>0.39996091049055643</v>
      </c>
      <c r="AC35" s="5">
        <v>0.36841387204195514</v>
      </c>
      <c r="AD35" s="5">
        <v>0.33910063028209708</v>
      </c>
      <c r="AE35" s="5">
        <v>0.32512488886218516</v>
      </c>
      <c r="AF35" s="5">
        <v>0.32536550703380235</v>
      </c>
      <c r="AG35" s="5">
        <v>0.36065792245575096</v>
      </c>
      <c r="AH35" s="5">
        <v>0.3266883702762941</v>
      </c>
      <c r="AI35" s="5">
        <v>0.35879911283863219</v>
      </c>
      <c r="AJ35" s="5">
        <v>0.38416382983059355</v>
      </c>
      <c r="AK35" s="5">
        <v>0.41289326893490302</v>
      </c>
      <c r="AL35" s="5">
        <v>0.41991935746723491</v>
      </c>
      <c r="AM35" s="5">
        <v>0.39912494618077082</v>
      </c>
      <c r="AN35" s="5">
        <v>0.34072485806660985</v>
      </c>
      <c r="AO35" s="5">
        <v>0.30375426809749007</v>
      </c>
      <c r="AP35" s="5">
        <v>0.28948604009347156</v>
      </c>
      <c r="AQ35" s="5">
        <v>0.30660353882783287</v>
      </c>
      <c r="AR35" s="5">
        <v>0.23009439579858401</v>
      </c>
      <c r="AS35" s="5">
        <v>0.26093519844505336</v>
      </c>
      <c r="AT35" s="5">
        <v>0.25783285732333788</v>
      </c>
      <c r="AU35" s="5">
        <v>0.25427693772580862</v>
      </c>
      <c r="AV35" s="5">
        <v>0.25819581273349068</v>
      </c>
      <c r="AW35" s="5">
        <v>0.26008545527907473</v>
      </c>
      <c r="AX35" s="5">
        <v>0.26846401853929486</v>
      </c>
      <c r="AY35" s="5">
        <v>0.2436301036842555</v>
      </c>
      <c r="AZ35" s="5">
        <v>0.22611564189787489</v>
      </c>
      <c r="BA35" s="5">
        <v>0.22331172376270206</v>
      </c>
      <c r="BB35" s="5">
        <v>0.17123859514891615</v>
      </c>
      <c r="BC35" s="5">
        <v>0.16782993751626121</v>
      </c>
      <c r="BD35" s="5">
        <v>0.17745989930907863</v>
      </c>
      <c r="BE35" s="5">
        <v>0.17520220814279713</v>
      </c>
      <c r="BF35" s="5">
        <v>0.17519194137792485</v>
      </c>
      <c r="BG35" s="5">
        <v>0.17543614270641097</v>
      </c>
      <c r="BH35" s="5">
        <v>0.17613461858428531</v>
      </c>
      <c r="BI35" s="5">
        <v>0.17236003677223502</v>
      </c>
      <c r="BJ35" s="5">
        <v>0.17870031194614122</v>
      </c>
      <c r="BK35" s="5">
        <v>0.1675698618464114</v>
      </c>
      <c r="BM35" s="3" t="s">
        <v>187</v>
      </c>
      <c r="BN35" s="3" t="s">
        <v>152</v>
      </c>
      <c r="BO35" s="5">
        <v>1.6248071758239099E-2</v>
      </c>
      <c r="BP35" s="5">
        <v>1.477015186128262E-2</v>
      </c>
      <c r="BQ35" s="4">
        <v>2.0810871333029467E-2</v>
      </c>
      <c r="BR35" s="5">
        <v>1.5133915021044103E-2</v>
      </c>
      <c r="BS35" s="5">
        <v>1.7679375828782793E-2</v>
      </c>
      <c r="BT35" s="5">
        <v>2.7100671583331164E-2</v>
      </c>
      <c r="BU35" s="4">
        <v>2.9130806905179454E-2</v>
      </c>
      <c r="BV35" s="5">
        <v>1.8515629587767101E-2</v>
      </c>
      <c r="BW35" s="4">
        <v>1.2514667528833845E-2</v>
      </c>
      <c r="BX35" s="5">
        <v>1.2095585761852608E-2</v>
      </c>
      <c r="BY35" s="4">
        <v>1.2713590664816716E-2</v>
      </c>
      <c r="BZ35" s="4">
        <v>2.0665449343107161E-3</v>
      </c>
      <c r="CA35" s="4">
        <v>1.2410483110561002E-3</v>
      </c>
      <c r="CB35" s="4">
        <v>3.3259973502355483E-3</v>
      </c>
      <c r="CC35" s="4">
        <v>8.3347099118117433E-3</v>
      </c>
      <c r="CD35" s="5">
        <v>3.9704710369360624E-3</v>
      </c>
      <c r="CE35" s="4">
        <v>1.0797156962843162E-2</v>
      </c>
      <c r="CF35" s="5">
        <v>1.7141895379250847E-2</v>
      </c>
      <c r="CG35" s="4">
        <v>1.0168541340958509E-3</v>
      </c>
      <c r="CH35" s="5">
        <v>5.3212355925565009E-3</v>
      </c>
      <c r="CI35" s="5">
        <v>2.4807775336456978E-2</v>
      </c>
      <c r="CJ35" s="4">
        <v>2.5926308113849852E-2</v>
      </c>
      <c r="CK35" s="5">
        <v>2.4419382286945065E-2</v>
      </c>
      <c r="CL35" s="4">
        <v>2.0060146450255039E-2</v>
      </c>
      <c r="CM35" s="5">
        <v>3.8068893516787015E-2</v>
      </c>
      <c r="CN35" s="5">
        <v>4.602445274038687E-2</v>
      </c>
      <c r="CO35" s="5">
        <v>3.8494362815752969E-2</v>
      </c>
      <c r="CP35" s="5">
        <v>3.2158057636515455E-2</v>
      </c>
      <c r="CQ35" s="5">
        <v>5.1687386003728561E-2</v>
      </c>
      <c r="CR35" s="5">
        <v>3.7167888346661349E-2</v>
      </c>
      <c r="CS35" s="5">
        <v>1.1925682115988703E-2</v>
      </c>
      <c r="CT35" s="5">
        <v>1.9579436081864045E-2</v>
      </c>
      <c r="CU35" s="4">
        <v>4.5113024588466777E-2</v>
      </c>
      <c r="CV35" s="4">
        <v>4.2609867690811314E-2</v>
      </c>
      <c r="CW35" s="5">
        <v>2.795436805500846E-2</v>
      </c>
      <c r="CX35" s="4">
        <v>9.7393414142976111E-4</v>
      </c>
      <c r="CY35" s="4">
        <v>4.4501165766232965E-3</v>
      </c>
      <c r="CZ35" s="4">
        <v>1.6627832414633878E-2</v>
      </c>
      <c r="DA35" s="4">
        <v>2.3491106431348843E-2</v>
      </c>
      <c r="DB35" s="5">
        <v>1.8401030500364565E-2</v>
      </c>
      <c r="DC35" s="5">
        <v>1.7255024151425651E-2</v>
      </c>
      <c r="DD35" s="4">
        <v>2.1711777424855239E-2</v>
      </c>
      <c r="DE35" s="4">
        <v>2.0284675424832983E-2</v>
      </c>
      <c r="DF35" s="5">
        <v>7.8812997375801112E-3</v>
      </c>
      <c r="DG35" s="5">
        <v>6.3772558426770844E-3</v>
      </c>
      <c r="DH35" s="4">
        <v>2.0881042856714733E-2</v>
      </c>
      <c r="DI35" s="4">
        <v>2.5639721319195844E-2</v>
      </c>
      <c r="DJ35" s="4">
        <v>1.0809345072046372E-2</v>
      </c>
      <c r="DK35" s="4">
        <v>8.6113069673150692E-3</v>
      </c>
      <c r="DL35" s="5">
        <v>1.2563867680678987E-2</v>
      </c>
      <c r="DM35" s="5">
        <v>1.4347538832608564E-2</v>
      </c>
      <c r="DN35" s="5">
        <v>1.1158876081488779E-2</v>
      </c>
      <c r="DO35" s="5">
        <v>7.1820515387129181E-3</v>
      </c>
      <c r="DP35" s="5">
        <v>1.1703670560946212E-2</v>
      </c>
      <c r="DQ35" s="5">
        <v>1.5971193415311058E-2</v>
      </c>
      <c r="DR35" s="5">
        <v>1.2222516376616234E-2</v>
      </c>
      <c r="DS35" s="5">
        <v>1.2094181678476966E-2</v>
      </c>
      <c r="DT35" s="4">
        <v>4.7839036056054329E-3</v>
      </c>
      <c r="DU35" s="5">
        <v>9.7400885177183604E-3</v>
      </c>
      <c r="DV35" s="5">
        <v>1.5085043485744657E-2</v>
      </c>
      <c r="DX35" s="3" t="s">
        <v>187</v>
      </c>
      <c r="DY35" s="3" t="s">
        <v>153</v>
      </c>
      <c r="DZ35" s="4">
        <v>1.1804715791295032E-2</v>
      </c>
      <c r="EA35" s="5">
        <v>1.7274136598452488E-2</v>
      </c>
      <c r="EB35" s="5">
        <v>2.3244681701180905E-2</v>
      </c>
      <c r="EC35" s="5">
        <v>2.5062983046033629E-2</v>
      </c>
      <c r="ED35" s="4">
        <v>2.2594609608242198E-2</v>
      </c>
      <c r="EE35" s="5">
        <v>1.7001648899152053E-2</v>
      </c>
      <c r="EF35" s="4">
        <v>1.3734929741431348E-2</v>
      </c>
      <c r="EG35" s="5">
        <v>2.6962853080028604E-2</v>
      </c>
      <c r="EH35" s="5">
        <v>3.9319426385289229E-2</v>
      </c>
      <c r="EI35" s="5">
        <v>2.3014289229262744E-2</v>
      </c>
      <c r="EJ35" s="5">
        <v>7.9671266669949763E-3</v>
      </c>
      <c r="EK35" s="5">
        <v>1.7443588829990583E-2</v>
      </c>
      <c r="EL35" s="5">
        <v>6.4374985359968318E-3</v>
      </c>
      <c r="EM35" s="5">
        <v>4.3532586511721748E-3</v>
      </c>
      <c r="EN35" s="5">
        <v>0</v>
      </c>
      <c r="EO35" s="4">
        <v>6.2532158153986656E-3</v>
      </c>
      <c r="EP35" s="4">
        <v>1.615982722492244E-2</v>
      </c>
      <c r="EQ35" s="4">
        <v>1.7802796080958055E-2</v>
      </c>
      <c r="ER35" s="4">
        <v>2.4161611990287771E-2</v>
      </c>
      <c r="ES35" s="4">
        <v>1.9794076365533275E-2</v>
      </c>
      <c r="ET35" s="5">
        <v>5.8178759353226875E-2</v>
      </c>
      <c r="EU35" s="5">
        <v>2.6382793541858372E-2</v>
      </c>
      <c r="EV35" s="5">
        <v>1.9128618108377723E-2</v>
      </c>
      <c r="EW35" s="5">
        <v>2.0863603208917617E-2</v>
      </c>
      <c r="EX35" s="4">
        <v>2.5107715141281507E-2</v>
      </c>
      <c r="EY35" s="5">
        <v>2.0666176107636963E-2</v>
      </c>
      <c r="EZ35" s="5">
        <v>2.039440558855566E-2</v>
      </c>
      <c r="FA35" s="5">
        <v>3.9510483508625266E-2</v>
      </c>
      <c r="FB35" s="5">
        <v>4.2141969013871149E-2</v>
      </c>
      <c r="FC35" s="5">
        <v>4.7176769006523601E-2</v>
      </c>
      <c r="FD35" s="5">
        <v>3.6308009151331894E-2</v>
      </c>
      <c r="FE35" s="5">
        <v>2.5425244304274102E-2</v>
      </c>
      <c r="FF35" s="5">
        <v>5.8741854379636546E-3</v>
      </c>
      <c r="FG35" s="5">
        <v>3.0551628598124485E-2</v>
      </c>
      <c r="FH35" s="4">
        <v>6.339554750963107E-2</v>
      </c>
      <c r="FI35" s="5">
        <v>8.8234676488499891E-2</v>
      </c>
      <c r="FJ35" s="5">
        <v>4.9460962179582381E-2</v>
      </c>
      <c r="FK35" s="5">
        <v>5.7409786364300977E-3</v>
      </c>
      <c r="FL35" s="5">
        <v>0</v>
      </c>
      <c r="FM35" s="4">
        <v>1.7417359819825996E-2</v>
      </c>
      <c r="FN35" s="5">
        <v>1.078493128749812E-2</v>
      </c>
      <c r="FO35" s="5">
        <v>2.8855470844106352E-2</v>
      </c>
      <c r="FP35" s="4">
        <v>2.3321625657998144E-2</v>
      </c>
      <c r="FQ35" s="4">
        <v>3.3081423703492957E-2</v>
      </c>
      <c r="FR35" s="4">
        <v>2.8471213732941265E-2</v>
      </c>
      <c r="FS35" s="4">
        <v>1.1397419056080918E-2</v>
      </c>
      <c r="FT35" s="5">
        <v>1.0223190091438059E-2</v>
      </c>
      <c r="FU35" s="5">
        <v>2.3049780158549357E-2</v>
      </c>
      <c r="FV35" s="4">
        <v>2.4466201308782815E-2</v>
      </c>
      <c r="FW35" s="5">
        <v>5.1289801954356139E-3</v>
      </c>
      <c r="FX35" s="5">
        <v>9.0282272123869359E-3</v>
      </c>
      <c r="FY35" s="5">
        <v>1.7341604947562372E-2</v>
      </c>
      <c r="FZ35" s="5">
        <v>2.0923035791015471E-2</v>
      </c>
      <c r="GA35" s="5">
        <v>1.3530539756516453E-2</v>
      </c>
      <c r="GB35" s="5">
        <v>8.1618599240159771E-3</v>
      </c>
      <c r="GC35" s="5">
        <v>1.2989093247824848E-2</v>
      </c>
      <c r="GD35" s="5">
        <v>1.2658023225548225E-2</v>
      </c>
      <c r="GE35" s="5">
        <v>1.5455513081316206E-2</v>
      </c>
      <c r="GF35" s="5">
        <v>9.5333597094756414E-3</v>
      </c>
      <c r="GG35" s="5">
        <v>5.9355975794115898E-3</v>
      </c>
      <c r="GI35" s="3" t="s">
        <v>187</v>
      </c>
      <c r="GJ35" s="3" t="s">
        <v>154</v>
      </c>
      <c r="GK35" s="5">
        <v>0.1373730741260725</v>
      </c>
      <c r="GL35" s="5">
        <v>0.14047585202789695</v>
      </c>
      <c r="GM35" s="5">
        <v>0.12238604791048721</v>
      </c>
      <c r="GN35" s="5">
        <v>0.11636424573080406</v>
      </c>
      <c r="GO35" s="5">
        <v>0.1269513558217053</v>
      </c>
      <c r="GP35" s="5">
        <v>0.11587664925505295</v>
      </c>
      <c r="GQ35" s="5">
        <v>0.11598654628587379</v>
      </c>
      <c r="GR35" s="5">
        <v>0.11104438760766486</v>
      </c>
      <c r="GS35" s="5">
        <v>0.10197438022285919</v>
      </c>
      <c r="GT35" s="5">
        <v>0.12527702261428691</v>
      </c>
      <c r="GU35" s="5">
        <v>0.16229922488573256</v>
      </c>
      <c r="GV35" s="5">
        <v>0.1547638078650807</v>
      </c>
      <c r="GW35" s="5">
        <v>0.15996662947441176</v>
      </c>
      <c r="GX35" s="5">
        <v>0.16132765057880086</v>
      </c>
      <c r="GY35" s="5">
        <v>0.17613175535590811</v>
      </c>
      <c r="GZ35" s="5">
        <v>0.17513613825518759</v>
      </c>
      <c r="HA35" s="4">
        <v>0.15927651032463469</v>
      </c>
      <c r="HB35" s="5">
        <v>0.14995807564409966</v>
      </c>
      <c r="HC35" s="5">
        <v>0.14963436593243437</v>
      </c>
      <c r="HD35" s="5">
        <v>0.13676800577515355</v>
      </c>
      <c r="HE35" s="5">
        <v>0.15129853530882917</v>
      </c>
      <c r="HF35" s="5">
        <v>0.1773915652032734</v>
      </c>
      <c r="HG35" s="5">
        <v>0.19387248901477361</v>
      </c>
      <c r="HH35" s="5">
        <v>0.21313183553453882</v>
      </c>
      <c r="HI35" s="5">
        <v>0.18048947351891037</v>
      </c>
      <c r="HJ35" s="5">
        <v>0.16191336840839757</v>
      </c>
      <c r="HK35" s="5">
        <v>0.15029520224541865</v>
      </c>
      <c r="HL35" s="4">
        <v>0.11192507163158553</v>
      </c>
      <c r="HM35" s="5">
        <v>9.517642956407997E-2</v>
      </c>
      <c r="HN35" s="5">
        <v>0.12988389425771929</v>
      </c>
      <c r="HO35" s="5">
        <v>0.15628375749600903</v>
      </c>
      <c r="HP35" s="5">
        <v>0.16843502048047704</v>
      </c>
      <c r="HQ35" s="5">
        <v>0.18786649130358016</v>
      </c>
      <c r="HR35" s="5">
        <v>0.18813426671607797</v>
      </c>
      <c r="HS35" s="5">
        <v>0.1903554897356757</v>
      </c>
      <c r="HT35" s="5">
        <v>0.18643087082539472</v>
      </c>
      <c r="HU35" s="5">
        <v>0.17352919347675652</v>
      </c>
      <c r="HV35" s="4">
        <v>0.17493414558350154</v>
      </c>
      <c r="HW35" s="5">
        <v>0.15609927381834787</v>
      </c>
      <c r="HX35" s="5">
        <v>0.15483991075260725</v>
      </c>
      <c r="HY35" s="5">
        <v>8.808992991498181E-2</v>
      </c>
      <c r="HZ35" s="5">
        <v>8.3015930440125285E-2</v>
      </c>
      <c r="IA35" s="5">
        <v>9.8711059007592042E-2</v>
      </c>
      <c r="IB35" s="5">
        <v>0.10123553421208496</v>
      </c>
      <c r="IC35" s="5">
        <v>0.10982685627954464</v>
      </c>
      <c r="ID35" s="5">
        <v>0.10983802759016058</v>
      </c>
      <c r="IE35" s="5">
        <v>0.10639347876115596</v>
      </c>
      <c r="IF35" s="5">
        <v>9.6449972170652556E-2</v>
      </c>
      <c r="IG35" s="5">
        <v>8.2819577466950539E-2</v>
      </c>
      <c r="IH35" s="5">
        <v>9.4957153219943344E-2</v>
      </c>
      <c r="II35" s="5">
        <v>4.9426068115143988E-2</v>
      </c>
      <c r="IJ35" s="5">
        <v>4.6595473783146109E-2</v>
      </c>
      <c r="IK35" s="5">
        <v>4.7923161893071629E-2</v>
      </c>
      <c r="IL35" s="5">
        <v>4.9202938280460705E-2</v>
      </c>
      <c r="IM35" s="5">
        <v>4.9874957456715781E-2</v>
      </c>
      <c r="IN35" s="5">
        <v>5.1581777115313927E-2</v>
      </c>
      <c r="IO35" s="5">
        <v>4.7518059576543044E-2</v>
      </c>
      <c r="IP35" s="5">
        <v>5.5169177332000385E-2</v>
      </c>
      <c r="IQ35" s="5">
        <v>5.8457576632534321E-2</v>
      </c>
      <c r="IR35" s="5">
        <v>5.2188846354121542E-2</v>
      </c>
      <c r="JB35" s="3" t="s">
        <v>187</v>
      </c>
      <c r="JC35" s="5">
        <v>0.53991343746418374</v>
      </c>
      <c r="JD35" s="5">
        <v>0.53003101291424271</v>
      </c>
      <c r="JE35" s="4">
        <v>0.53894306308934525</v>
      </c>
      <c r="JF35" s="5">
        <v>0.53559636659877818</v>
      </c>
      <c r="JG35" s="5">
        <v>0.5246755622914735</v>
      </c>
      <c r="JH35" s="5">
        <v>0.53429866659434089</v>
      </c>
      <c r="JI35" s="5">
        <v>0.52669530791065289</v>
      </c>
      <c r="JJ35" s="5">
        <v>0.53526674090186654</v>
      </c>
      <c r="JK35" s="5">
        <v>0.55597202818776348</v>
      </c>
      <c r="JL35" s="5">
        <v>0.55259372234448267</v>
      </c>
      <c r="JM35" s="5">
        <v>0.49992682626966783</v>
      </c>
      <c r="JN35" s="4">
        <v>0.51082739444665559</v>
      </c>
      <c r="JO35" s="5">
        <v>0.52108760980351132</v>
      </c>
      <c r="JP35" s="5">
        <v>0.51830035975333599</v>
      </c>
      <c r="JQ35" s="5">
        <v>0.4997420089109596</v>
      </c>
      <c r="JR35" s="5">
        <v>0.4879685530640831</v>
      </c>
      <c r="JS35" s="5">
        <v>0.49301948527944384</v>
      </c>
      <c r="JT35" s="5">
        <v>0.50002133744525079</v>
      </c>
      <c r="JU35" s="5">
        <v>0.50499530482161537</v>
      </c>
      <c r="JV35" s="5">
        <v>0.5203051597198155</v>
      </c>
      <c r="JW35" s="4">
        <v>0.39436451247562737</v>
      </c>
      <c r="JX35" s="5">
        <v>0.38270813477847465</v>
      </c>
      <c r="JY35" s="5">
        <v>0.37492034198192237</v>
      </c>
      <c r="JZ35" s="5">
        <v>0.35525641654491086</v>
      </c>
      <c r="KA35" s="5">
        <v>0.35733484564800261</v>
      </c>
      <c r="KB35" s="5">
        <v>0.38798958927632587</v>
      </c>
      <c r="KC35" s="5">
        <v>0.41518393926175967</v>
      </c>
      <c r="KD35" s="5">
        <v>0.44088107903814561</v>
      </c>
      <c r="KE35" s="5">
        <v>0.43617773814200855</v>
      </c>
      <c r="KF35" s="4">
        <v>0.41770074291499404</v>
      </c>
      <c r="KG35" s="4">
        <v>0.30935781267583318</v>
      </c>
      <c r="KH35" s="5">
        <v>0.29251283381130955</v>
      </c>
      <c r="KI35" s="5">
        <v>0.29151395523357065</v>
      </c>
      <c r="KJ35" s="5">
        <v>0.28532741005859952</v>
      </c>
      <c r="KK35" s="5">
        <v>0.27549290099284751</v>
      </c>
      <c r="KL35" s="5">
        <v>0.29896775959446309</v>
      </c>
      <c r="KM35" s="5">
        <v>0.34344029806555409</v>
      </c>
      <c r="KN35" s="5">
        <v>0.36554325345996785</v>
      </c>
      <c r="KO35" s="5">
        <v>0.37031653942781551</v>
      </c>
      <c r="KP35" s="4">
        <v>0.35384553548759068</v>
      </c>
      <c r="KQ35" s="5">
        <v>0.57465128472012261</v>
      </c>
      <c r="KR35" s="4">
        <v>0.54611114129712157</v>
      </c>
      <c r="KS35" s="5">
        <v>0.5463310922183241</v>
      </c>
      <c r="KT35" s="5">
        <v>0.54572673609422795</v>
      </c>
      <c r="KU35" s="5">
        <v>0.54849649875583861</v>
      </c>
      <c r="KV35" s="5">
        <v>0.55485007201166159</v>
      </c>
      <c r="KW35" s="5">
        <v>0.56508055376995225</v>
      </c>
      <c r="KX35" s="5">
        <v>0.58705434898915165</v>
      </c>
      <c r="KY35" s="4">
        <v>0.60221612087905141</v>
      </c>
      <c r="KZ35" s="5">
        <v>0.59543138066343282</v>
      </c>
      <c r="LA35" s="5">
        <v>0.73114216604416582</v>
      </c>
      <c r="LB35" s="5">
        <v>0.7224121633067474</v>
      </c>
      <c r="LC35" s="4">
        <v>0.7108642484797959</v>
      </c>
      <c r="LD35" s="5">
        <v>0.71942328546272716</v>
      </c>
      <c r="LE35" s="5">
        <v>0.72551400529668508</v>
      </c>
      <c r="LF35" s="5">
        <v>0.72267241785873593</v>
      </c>
      <c r="LG35" s="5">
        <v>0.72421067763104907</v>
      </c>
      <c r="LH35" s="4">
        <v>0.71844438680324663</v>
      </c>
      <c r="LI35" s="5">
        <v>0.70946254873987891</v>
      </c>
      <c r="LJ35" s="5">
        <v>0.72200582410077851</v>
      </c>
      <c r="LL35" s="3" t="s">
        <v>188</v>
      </c>
      <c r="LM35" s="3" t="s">
        <v>160</v>
      </c>
      <c r="LN35" s="3" t="s">
        <v>161</v>
      </c>
      <c r="LO35" s="5">
        <v>0.60931314370275802</v>
      </c>
    </row>
    <row r="36" spans="2:327" x14ac:dyDescent="0.45">
      <c r="B36" s="6" t="s">
        <v>189</v>
      </c>
      <c r="C36" s="6" t="s">
        <v>151</v>
      </c>
      <c r="D36" s="8">
        <v>0.26380910055985624</v>
      </c>
      <c r="E36" s="8">
        <v>0.25473873509841061</v>
      </c>
      <c r="F36" s="8">
        <v>0.25081899126916035</v>
      </c>
      <c r="G36" s="8">
        <v>0.23964753826356466</v>
      </c>
      <c r="H36" s="8">
        <v>0.23391577117473789</v>
      </c>
      <c r="I36" s="8">
        <v>0.2357593398802596</v>
      </c>
      <c r="J36" s="8">
        <v>0.24571600586547837</v>
      </c>
      <c r="K36" s="8">
        <v>0.24678572656896669</v>
      </c>
      <c r="L36" s="8">
        <v>0.24934035032777882</v>
      </c>
      <c r="M36" s="8">
        <v>0.26420825419892902</v>
      </c>
      <c r="N36" s="8">
        <v>0.30524803293936897</v>
      </c>
      <c r="O36" s="8">
        <v>0.30405221326764686</v>
      </c>
      <c r="P36" s="8">
        <v>0.30328414830687872</v>
      </c>
      <c r="Q36" s="8">
        <v>0.30454450728872112</v>
      </c>
      <c r="R36" s="8">
        <v>0.30880154997883918</v>
      </c>
      <c r="S36" s="8">
        <v>0.32000431049648892</v>
      </c>
      <c r="T36" s="8">
        <v>0.32548009373808096</v>
      </c>
      <c r="U36" s="8">
        <v>0.32505221622812813</v>
      </c>
      <c r="V36" s="8">
        <v>0.3067304105400287</v>
      </c>
      <c r="W36" s="8">
        <v>0.29788446176879801</v>
      </c>
      <c r="X36" s="8">
        <v>0.33268211097379347</v>
      </c>
      <c r="Y36" s="8">
        <v>0.33165812720818588</v>
      </c>
      <c r="Z36" s="8">
        <v>0.32454814991511971</v>
      </c>
      <c r="AA36" s="8">
        <v>0.31682651778992799</v>
      </c>
      <c r="AB36" s="8">
        <v>0.31207013547826068</v>
      </c>
      <c r="AC36" s="8">
        <v>0.30930867335820245</v>
      </c>
      <c r="AD36" s="8">
        <v>0.31607801950729858</v>
      </c>
      <c r="AE36" s="8">
        <v>0.30841561432220022</v>
      </c>
      <c r="AF36" s="8">
        <v>0.30232778914807151</v>
      </c>
      <c r="AG36" s="8">
        <v>0.30906282939492652</v>
      </c>
      <c r="AH36" s="8">
        <v>0.27992244856429366</v>
      </c>
      <c r="AI36" s="8">
        <v>0.28690401060566578</v>
      </c>
      <c r="AJ36" s="8">
        <v>0.2930132705261434</v>
      </c>
      <c r="AK36" s="8">
        <v>0.29938814227194377</v>
      </c>
      <c r="AL36" s="8">
        <v>0.32393635802850163</v>
      </c>
      <c r="AM36" s="8">
        <v>0.34957515538174039</v>
      </c>
      <c r="AN36" s="8">
        <v>0.35095771704514611</v>
      </c>
      <c r="AO36" s="8">
        <v>0.33451069340691125</v>
      </c>
      <c r="AP36" s="8">
        <v>0.30417376281527853</v>
      </c>
      <c r="AQ36" s="8">
        <v>0.28634068740311946</v>
      </c>
      <c r="AR36" s="8">
        <v>0.22600572263802263</v>
      </c>
      <c r="AS36" s="8">
        <v>0.22801232366677227</v>
      </c>
      <c r="AT36" s="8">
        <v>0.25416700312545365</v>
      </c>
      <c r="AU36" s="8">
        <v>0.25592416689105313</v>
      </c>
      <c r="AV36" s="8">
        <v>0.2406252966119474</v>
      </c>
      <c r="AW36" s="8">
        <v>0.23061983696160379</v>
      </c>
      <c r="AX36" s="8">
        <v>0.23230518168168163</v>
      </c>
      <c r="AY36" s="8">
        <v>0.22490199237351782</v>
      </c>
      <c r="AZ36" s="8">
        <v>0.21902060299140017</v>
      </c>
      <c r="BA36" s="8">
        <v>0.22965789095462805</v>
      </c>
      <c r="BB36" s="8">
        <v>0.13037529725545119</v>
      </c>
      <c r="BC36" s="8">
        <v>0.13426415504416789</v>
      </c>
      <c r="BD36" s="8">
        <v>0.13082087833664516</v>
      </c>
      <c r="BE36" s="8">
        <v>0.1353640624583107</v>
      </c>
      <c r="BF36" s="8">
        <v>0.1311163307651706</v>
      </c>
      <c r="BG36" s="8">
        <v>0.13429964810714809</v>
      </c>
      <c r="BH36" s="8">
        <v>0.1409841577009639</v>
      </c>
      <c r="BI36" s="8">
        <v>0.14163054331496869</v>
      </c>
      <c r="BJ36" s="8">
        <v>0.13001323265428669</v>
      </c>
      <c r="BK36" s="8">
        <v>0.13648124895600247</v>
      </c>
      <c r="BM36" s="6" t="s">
        <v>189</v>
      </c>
      <c r="BN36" s="6" t="s">
        <v>152</v>
      </c>
      <c r="BO36" s="8">
        <v>3.2475236250544E-2</v>
      </c>
      <c r="BP36" s="8">
        <v>1.2399346910477055E-2</v>
      </c>
      <c r="BQ36" s="7">
        <v>5.9887104257350153E-3</v>
      </c>
      <c r="BR36" s="8">
        <v>4.9701042681721055E-3</v>
      </c>
      <c r="BS36" s="8">
        <v>9.2715790532628389E-3</v>
      </c>
      <c r="BT36" s="8">
        <v>1.7539785277515405E-2</v>
      </c>
      <c r="BU36" s="7">
        <v>2.0883044381714906E-2</v>
      </c>
      <c r="BV36" s="8">
        <v>2.8526160827131802E-2</v>
      </c>
      <c r="BW36" s="7">
        <v>3.100874262119075E-2</v>
      </c>
      <c r="BX36" s="8">
        <v>2.6062181145130509E-2</v>
      </c>
      <c r="BY36" s="7">
        <v>1.0973609997443668E-2</v>
      </c>
      <c r="BZ36" s="7">
        <v>4.4262631366153698E-3</v>
      </c>
      <c r="CA36" s="7">
        <v>4.7202415991949931E-3</v>
      </c>
      <c r="CB36" s="7">
        <v>7.466831830833672E-3</v>
      </c>
      <c r="CC36" s="7">
        <v>1.6043525411614571E-3</v>
      </c>
      <c r="CD36" s="8">
        <v>1.8670687128991721E-3</v>
      </c>
      <c r="CE36" s="7">
        <v>1.1548514886829182E-2</v>
      </c>
      <c r="CF36" s="8">
        <v>1.4359502613295222E-2</v>
      </c>
      <c r="CG36" s="7">
        <v>9.176774622160393E-3</v>
      </c>
      <c r="CH36" s="8">
        <v>9.2480464564127021E-3</v>
      </c>
      <c r="CI36" s="8">
        <v>1.2476534222531348E-2</v>
      </c>
      <c r="CJ36" s="7">
        <v>1.4302753610780121E-2</v>
      </c>
      <c r="CK36" s="8">
        <v>1.2397668125428968E-2</v>
      </c>
      <c r="CL36" s="7">
        <v>2.0362343588900718E-2</v>
      </c>
      <c r="CM36" s="8">
        <v>3.3521856064811166E-2</v>
      </c>
      <c r="CN36" s="8">
        <v>2.4804657272213784E-2</v>
      </c>
      <c r="CO36" s="8">
        <v>4.2664060592377845E-2</v>
      </c>
      <c r="CP36" s="8">
        <v>4.6587993836808943E-2</v>
      </c>
      <c r="CQ36" s="8">
        <v>2.1820901667468848E-2</v>
      </c>
      <c r="CR36" s="8">
        <v>1.6567230223947585E-2</v>
      </c>
      <c r="CS36" s="8">
        <v>2.8694237076477187E-2</v>
      </c>
      <c r="CT36" s="8">
        <v>1.2887128311003306E-2</v>
      </c>
      <c r="CU36" s="7">
        <v>1.9420046981648495E-2</v>
      </c>
      <c r="CV36" s="7">
        <v>1.7547243593065167E-2</v>
      </c>
      <c r="CW36" s="8">
        <v>2.7174291892023465E-2</v>
      </c>
      <c r="CX36" s="7">
        <v>2.9530454260993114E-2</v>
      </c>
      <c r="CY36" s="7">
        <v>2.2717656604293479E-2</v>
      </c>
      <c r="CZ36" s="7">
        <v>1.2295222032265933E-2</v>
      </c>
      <c r="DA36" s="7">
        <v>9.0306166388020512E-3</v>
      </c>
      <c r="DB36" s="8">
        <v>9.9909719211313617E-3</v>
      </c>
      <c r="DC36" s="8">
        <v>1.3174272378287768E-2</v>
      </c>
      <c r="DD36" s="7">
        <v>7.9251299220036535E-3</v>
      </c>
      <c r="DE36" s="7">
        <v>5.4972744601146008E-3</v>
      </c>
      <c r="DF36" s="8">
        <v>1.0113658118536791E-2</v>
      </c>
      <c r="DG36" s="8">
        <v>5.0465601330620244E-3</v>
      </c>
      <c r="DH36" s="7">
        <v>5.462322599789975E-3</v>
      </c>
      <c r="DI36" s="7">
        <v>1.089452675448929E-2</v>
      </c>
      <c r="DJ36" s="7">
        <v>1.0180659210546904E-2</v>
      </c>
      <c r="DK36" s="7">
        <v>8.635547312078681E-3</v>
      </c>
      <c r="DL36" s="8">
        <v>2.1071001212891113E-2</v>
      </c>
      <c r="DM36" s="8">
        <v>8.9272542138111675E-3</v>
      </c>
      <c r="DN36" s="8">
        <v>9.0237772655016712E-3</v>
      </c>
      <c r="DO36" s="8">
        <v>9.9321623907369563E-3</v>
      </c>
      <c r="DP36" s="8">
        <v>1.0662145173404053E-2</v>
      </c>
      <c r="DQ36" s="8">
        <v>7.7508898330374797E-3</v>
      </c>
      <c r="DR36" s="8">
        <v>4.4138123046663959E-3</v>
      </c>
      <c r="DS36" s="8">
        <v>4.5611248706429438E-3</v>
      </c>
      <c r="DT36" s="7">
        <v>7.3865601396190276E-3</v>
      </c>
      <c r="DU36" s="8">
        <v>9.1160897181723002E-3</v>
      </c>
      <c r="DV36" s="8">
        <v>1.7016533824034282E-2</v>
      </c>
      <c r="DX36" s="6" t="s">
        <v>189</v>
      </c>
      <c r="DY36" s="6" t="s">
        <v>153</v>
      </c>
      <c r="DZ36" s="7">
        <v>2.6913221663476285E-2</v>
      </c>
      <c r="EA36" s="8">
        <v>3.7995475251427935E-2</v>
      </c>
      <c r="EB36" s="8">
        <v>3.4187075998998014E-2</v>
      </c>
      <c r="EC36" s="8">
        <v>2.4807644877050009E-2</v>
      </c>
      <c r="ED36" s="7">
        <v>1.0612580383100765E-2</v>
      </c>
      <c r="EE36" s="8">
        <v>9.2062248253289795E-3</v>
      </c>
      <c r="EF36" s="7">
        <v>1.2165056491088117E-2</v>
      </c>
      <c r="EG36" s="8">
        <v>2.1497257147223239E-2</v>
      </c>
      <c r="EH36" s="8">
        <v>2.8165754628756496E-2</v>
      </c>
      <c r="EI36" s="8">
        <v>2.5600797318708322E-2</v>
      </c>
      <c r="EJ36" s="8">
        <v>7.882823327115188E-3</v>
      </c>
      <c r="EK36" s="8">
        <v>1.7217094649760289E-2</v>
      </c>
      <c r="EL36" s="8">
        <v>1.0792208315803105E-2</v>
      </c>
      <c r="EM36" s="8">
        <v>9.7472778722128284E-3</v>
      </c>
      <c r="EN36" s="8">
        <v>1.3536002788690099E-2</v>
      </c>
      <c r="EO36" s="7">
        <v>9.9124687986344232E-3</v>
      </c>
      <c r="EP36" s="7">
        <v>3.6785000987559877E-3</v>
      </c>
      <c r="EQ36" s="7">
        <v>4.4342923266624812E-3</v>
      </c>
      <c r="ER36" s="7">
        <v>1.5275210087321453E-2</v>
      </c>
      <c r="ES36" s="7">
        <v>1.6973539503946023E-2</v>
      </c>
      <c r="ET36" s="8">
        <v>3.8880315935446177E-2</v>
      </c>
      <c r="EU36" s="8">
        <v>1.9909718615492993E-2</v>
      </c>
      <c r="EV36" s="8">
        <v>1.0374606909453602E-2</v>
      </c>
      <c r="EW36" s="8">
        <v>1.8439573406259128E-2</v>
      </c>
      <c r="EX36" s="7">
        <v>7.295682425049437E-3</v>
      </c>
      <c r="EY36" s="8">
        <v>3.2799464996949357E-2</v>
      </c>
      <c r="EZ36" s="8">
        <v>3.7946798859960745E-2</v>
      </c>
      <c r="FA36" s="8">
        <v>3.2605355612126428E-2</v>
      </c>
      <c r="FB36" s="8">
        <v>5.2081604550925559E-2</v>
      </c>
      <c r="FC36" s="8">
        <v>4.8457166528029658E-2</v>
      </c>
      <c r="FD36" s="8">
        <v>1.7661762160333765E-2</v>
      </c>
      <c r="FE36" s="8">
        <v>6.2547431847985585E-2</v>
      </c>
      <c r="FF36" s="8">
        <v>5.4814119176596718E-2</v>
      </c>
      <c r="FG36" s="8">
        <v>2.4745526916321085E-2</v>
      </c>
      <c r="FH36" s="7">
        <v>2.2834488950942099E-2</v>
      </c>
      <c r="FI36" s="8">
        <v>3.4867332104129629E-2</v>
      </c>
      <c r="FJ36" s="8">
        <v>3.2709644758613987E-2</v>
      </c>
      <c r="FK36" s="8">
        <v>4.9228782584208118E-2</v>
      </c>
      <c r="FL36" s="8">
        <v>3.3781901977766114E-2</v>
      </c>
      <c r="FM36" s="7">
        <v>1.388197879280376E-2</v>
      </c>
      <c r="FN36" s="8">
        <v>2.236446376276224E-2</v>
      </c>
      <c r="FO36" s="8">
        <v>2.0842268032279801E-2</v>
      </c>
      <c r="FP36" s="7">
        <v>1.3007008103483434E-2</v>
      </c>
      <c r="FQ36" s="7">
        <v>6.6685621892476265E-3</v>
      </c>
      <c r="FR36" s="7">
        <v>1.2592108803497334E-2</v>
      </c>
      <c r="FS36" s="7">
        <v>1.5795771478529844E-2</v>
      </c>
      <c r="FT36" s="8">
        <v>1.4851392353368367E-2</v>
      </c>
      <c r="FU36" s="8">
        <v>9.9546809074830649E-3</v>
      </c>
      <c r="FV36" s="7">
        <v>1.349738252917188E-2</v>
      </c>
      <c r="FW36" s="8">
        <v>7.8515498911827797E-3</v>
      </c>
      <c r="FX36" s="8">
        <v>1.1134590373596299E-2</v>
      </c>
      <c r="FY36" s="8">
        <v>8.8294249196326519E-3</v>
      </c>
      <c r="FZ36" s="8">
        <v>7.9516802317483315E-3</v>
      </c>
      <c r="GA36" s="8">
        <v>1.0137562249585961E-2</v>
      </c>
      <c r="GB36" s="8">
        <v>1.2225881782235418E-2</v>
      </c>
      <c r="GC36" s="8">
        <v>1.4282725325496404E-2</v>
      </c>
      <c r="GD36" s="8">
        <v>1.0799964899936107E-2</v>
      </c>
      <c r="GE36" s="8">
        <v>4.3244818242377516E-3</v>
      </c>
      <c r="GF36" s="8">
        <v>2.4581008723925631E-3</v>
      </c>
      <c r="GG36" s="8">
        <v>6.891245516239191E-3</v>
      </c>
      <c r="GI36" s="6" t="s">
        <v>189</v>
      </c>
      <c r="GJ36" s="6" t="s">
        <v>154</v>
      </c>
      <c r="GK36" s="8">
        <v>7.4703179510504883E-2</v>
      </c>
      <c r="GL36" s="8">
        <v>9.280906458437739E-2</v>
      </c>
      <c r="GM36" s="8">
        <v>9.85431862945267E-2</v>
      </c>
      <c r="GN36" s="8">
        <v>9.2802104821484294E-2</v>
      </c>
      <c r="GO36" s="8">
        <v>9.5831756055155218E-2</v>
      </c>
      <c r="GP36" s="8">
        <v>8.7736252041157065E-2</v>
      </c>
      <c r="GQ36" s="8">
        <v>8.5059561041571377E-2</v>
      </c>
      <c r="GR36" s="8">
        <v>7.7009146662195882E-2</v>
      </c>
      <c r="GS36" s="8">
        <v>7.5340147803218252E-2</v>
      </c>
      <c r="GT36" s="8">
        <v>8.3017856565918619E-2</v>
      </c>
      <c r="GU36" s="8">
        <v>0.13864739090380918</v>
      </c>
      <c r="GV36" s="8">
        <v>0.13430022252007387</v>
      </c>
      <c r="GW36" s="8">
        <v>0.13724588684775607</v>
      </c>
      <c r="GX36" s="8">
        <v>0.14298480690083662</v>
      </c>
      <c r="GY36" s="8">
        <v>0.15446273989643536</v>
      </c>
      <c r="GZ36" s="8">
        <v>0.15776497609595166</v>
      </c>
      <c r="HA36" s="7">
        <v>0.16071608883882907</v>
      </c>
      <c r="HB36" s="8">
        <v>0.15313886596523363</v>
      </c>
      <c r="HC36" s="8">
        <v>0.13723463927014026</v>
      </c>
      <c r="HD36" s="8">
        <v>0.12748345737427957</v>
      </c>
      <c r="HE36" s="8">
        <v>0.13517986642200613</v>
      </c>
      <c r="HF36" s="8">
        <v>0.16046761897806941</v>
      </c>
      <c r="HG36" s="8">
        <v>0.15818223559762407</v>
      </c>
      <c r="HH36" s="8">
        <v>0.14312996624894581</v>
      </c>
      <c r="HI36" s="8">
        <v>0.14299810993991927</v>
      </c>
      <c r="HJ36" s="8">
        <v>0.11899605630831017</v>
      </c>
      <c r="HK36" s="8">
        <v>0.10084196536683779</v>
      </c>
      <c r="HL36" s="7">
        <v>9.5471375380308962E-2</v>
      </c>
      <c r="HM36" s="8">
        <v>9.9628964627322028E-2</v>
      </c>
      <c r="HN36" s="8">
        <v>0.11187950403921909</v>
      </c>
      <c r="HO36" s="8">
        <v>0.12831600216633651</v>
      </c>
      <c r="HP36" s="8">
        <v>9.6164909692595793E-2</v>
      </c>
      <c r="HQ36" s="8">
        <v>0.11245461199787013</v>
      </c>
      <c r="HR36" s="8">
        <v>0.16074587644571051</v>
      </c>
      <c r="HS36" s="8">
        <v>0.16861868321041695</v>
      </c>
      <c r="HT36" s="8">
        <v>0.17640700524516253</v>
      </c>
      <c r="HU36" s="8">
        <v>0.18193350003216335</v>
      </c>
      <c r="HV36" s="7">
        <v>0.15896891348211126</v>
      </c>
      <c r="HW36" s="8">
        <v>0.15403894622801528</v>
      </c>
      <c r="HX36" s="8">
        <v>0.15903217663363259</v>
      </c>
      <c r="HY36" s="8">
        <v>7.926008037430482E-2</v>
      </c>
      <c r="HZ36" s="8">
        <v>9.4795729986897087E-2</v>
      </c>
      <c r="IA36" s="8">
        <v>0.11439503295742982</v>
      </c>
      <c r="IB36" s="8">
        <v>0.11874414360937732</v>
      </c>
      <c r="IC36" s="8">
        <v>0.11212895119164631</v>
      </c>
      <c r="ID36" s="8">
        <v>9.8840313933647311E-2</v>
      </c>
      <c r="IE36" s="8">
        <v>9.7039066597709001E-2</v>
      </c>
      <c r="IF36" s="8">
        <v>9.7800188215939443E-2</v>
      </c>
      <c r="IG36" s="8">
        <v>8.5683123247219481E-2</v>
      </c>
      <c r="IH36" s="8">
        <v>8.2147100496915107E-2</v>
      </c>
      <c r="II36" s="8">
        <v>3.3379270512523269E-2</v>
      </c>
      <c r="IJ36" s="8">
        <v>3.0186844559983318E-2</v>
      </c>
      <c r="IK36" s="8">
        <v>2.9983097283124878E-2</v>
      </c>
      <c r="IL36" s="8">
        <v>3.3488994166668173E-2</v>
      </c>
      <c r="IM36" s="8">
        <v>3.7842417353188711E-2</v>
      </c>
      <c r="IN36" s="8">
        <v>4.057086827826608E-2</v>
      </c>
      <c r="IO36" s="8">
        <v>4.5068224404510485E-2</v>
      </c>
      <c r="IP36" s="8">
        <v>4.6134517136858406E-2</v>
      </c>
      <c r="IQ36" s="8">
        <v>3.8792373616405917E-2</v>
      </c>
      <c r="IR36" s="8">
        <v>3.4897682393940282E-2</v>
      </c>
      <c r="JB36" s="6" t="s">
        <v>189</v>
      </c>
      <c r="JC36" s="8">
        <v>0.60351784296240329</v>
      </c>
      <c r="JD36" s="8">
        <v>0.5956814269316314</v>
      </c>
      <c r="JE36" s="7">
        <v>0.60171713244544478</v>
      </c>
      <c r="JF36" s="8">
        <v>0.61378421556590379</v>
      </c>
      <c r="JG36" s="8">
        <v>0.61673376884226139</v>
      </c>
      <c r="JH36" s="8">
        <v>0.61326208657919434</v>
      </c>
      <c r="JI36" s="8">
        <v>0.59578019545862826</v>
      </c>
      <c r="JJ36" s="8">
        <v>0.58699714252713364</v>
      </c>
      <c r="JK36" s="8">
        <v>0.58509341814337712</v>
      </c>
      <c r="JL36" s="8">
        <v>0.5862689658381689</v>
      </c>
      <c r="JM36" s="8">
        <v>0.55515862830740703</v>
      </c>
      <c r="JN36" s="7">
        <v>0.56160886201166327</v>
      </c>
      <c r="JO36" s="8">
        <v>0.566839036097326</v>
      </c>
      <c r="JP36" s="8">
        <v>0.5589335896582055</v>
      </c>
      <c r="JQ36" s="8">
        <v>0.5435471369809638</v>
      </c>
      <c r="JR36" s="8">
        <v>0.52846045697428046</v>
      </c>
      <c r="JS36" s="8">
        <v>0.514933611892473</v>
      </c>
      <c r="JT36" s="8">
        <v>0.51740977314117809</v>
      </c>
      <c r="JU36" s="8">
        <v>0.53848562660271559</v>
      </c>
      <c r="JV36" s="8">
        <v>0.55642719413810848</v>
      </c>
      <c r="JW36" s="7">
        <v>0.47032533691335171</v>
      </c>
      <c r="JX36" s="8">
        <v>0.46547538183070375</v>
      </c>
      <c r="JY36" s="8">
        <v>0.45811613572887355</v>
      </c>
      <c r="JZ36" s="8">
        <v>0.44444818007094494</v>
      </c>
      <c r="KA36" s="8">
        <v>0.42740509830967505</v>
      </c>
      <c r="KB36" s="8">
        <v>0.43892845875175535</v>
      </c>
      <c r="KC36" s="8">
        <v>0.45460335300722837</v>
      </c>
      <c r="KD36" s="8">
        <v>0.47540702002401725</v>
      </c>
      <c r="KE36" s="8">
        <v>0.4855206838885926</v>
      </c>
      <c r="KF36" s="7">
        <v>0.47647413400328648</v>
      </c>
      <c r="KG36" s="7">
        <v>0.37152253644255007</v>
      </c>
      <c r="KH36" s="8">
        <v>0.37279864201771445</v>
      </c>
      <c r="KI36" s="8">
        <v>0.38627494406446433</v>
      </c>
      <c r="KJ36" s="8">
        <v>0.38178001557586316</v>
      </c>
      <c r="KK36" s="8">
        <v>0.36300423101828883</v>
      </c>
      <c r="KL36" s="8">
        <v>0.34650089275051138</v>
      </c>
      <c r="KM36" s="8">
        <v>0.35281495371758348</v>
      </c>
      <c r="KN36" s="8">
        <v>0.36868089483708344</v>
      </c>
      <c r="KO36" s="8">
        <v>0.38402722031075631</v>
      </c>
      <c r="KP36" s="7">
        <v>0.39226075080831063</v>
      </c>
      <c r="KQ36" s="8">
        <v>0.62448470857961846</v>
      </c>
      <c r="KR36" s="7">
        <v>0.59535598339874785</v>
      </c>
      <c r="KS36" s="8">
        <v>0.58512454468228259</v>
      </c>
      <c r="KT36" s="8">
        <v>0.58163814052626994</v>
      </c>
      <c r="KU36" s="8">
        <v>0.58749332259038978</v>
      </c>
      <c r="KV36" s="8">
        <v>0.59935956172389704</v>
      </c>
      <c r="KW36" s="8">
        <v>0.60361172241518157</v>
      </c>
      <c r="KX36" s="8">
        <v>0.61965191411226528</v>
      </c>
      <c r="KY36" s="7">
        <v>0.63841756202256728</v>
      </c>
      <c r="KZ36" s="8">
        <v>0.63964504740154549</v>
      </c>
      <c r="LA36" s="8">
        <v>0.78108643679076406</v>
      </c>
      <c r="LB36" s="8">
        <v>0.78542239091512789</v>
      </c>
      <c r="LC36" s="7">
        <v>0.78749198595877912</v>
      </c>
      <c r="LD36" s="8">
        <v>0.77891857272980902</v>
      </c>
      <c r="LE36" s="8">
        <v>0.77579933266286738</v>
      </c>
      <c r="LF36" s="8">
        <v>0.77021084121398176</v>
      </c>
      <c r="LG36" s="8">
        <v>0.75947748433040063</v>
      </c>
      <c r="LH36" s="7">
        <v>0.76491430978996755</v>
      </c>
      <c r="LI36" s="8">
        <v>0.77633546074229953</v>
      </c>
      <c r="LJ36" s="8">
        <v>0.76824871036571696</v>
      </c>
      <c r="LL36" s="6" t="s">
        <v>190</v>
      </c>
      <c r="LM36" s="6" t="s">
        <v>160</v>
      </c>
      <c r="LN36" s="6" t="s">
        <v>161</v>
      </c>
      <c r="LO36" s="8">
        <v>0.70524535226531837</v>
      </c>
    </row>
    <row r="37" spans="2:327" x14ac:dyDescent="0.45">
      <c r="B37" s="3" t="s">
        <v>191</v>
      </c>
      <c r="C37" s="3" t="s">
        <v>151</v>
      </c>
      <c r="D37" s="5">
        <v>0.26390256589959082</v>
      </c>
      <c r="E37" s="5">
        <v>0.26093829438450311</v>
      </c>
      <c r="F37" s="5">
        <v>0.25217899836858837</v>
      </c>
      <c r="G37" s="5">
        <v>0.24329669606586768</v>
      </c>
      <c r="H37" s="5">
        <v>0.24501352320030201</v>
      </c>
      <c r="I37" s="5">
        <v>0.24515755458004773</v>
      </c>
      <c r="J37" s="5">
        <v>0.25606379174419625</v>
      </c>
      <c r="K37" s="5">
        <v>0.25527829649991046</v>
      </c>
      <c r="L37" s="5">
        <v>0.25675642011402261</v>
      </c>
      <c r="M37" s="5">
        <v>0.25395164426001088</v>
      </c>
      <c r="N37" s="5">
        <v>0.33310673206023927</v>
      </c>
      <c r="O37" s="5">
        <v>0.33817481393029447</v>
      </c>
      <c r="P37" s="5">
        <v>0.338632032948808</v>
      </c>
      <c r="Q37" s="5">
        <v>0.34909653122116907</v>
      </c>
      <c r="R37" s="5">
        <v>0.34513204158169425</v>
      </c>
      <c r="S37" s="5">
        <v>0.33499039016975257</v>
      </c>
      <c r="T37" s="5">
        <v>0.31742291164216002</v>
      </c>
      <c r="U37" s="5">
        <v>0.30227063865822473</v>
      </c>
      <c r="V37" s="5">
        <v>0.2999468801672554</v>
      </c>
      <c r="W37" s="5">
        <v>0.30262313664482982</v>
      </c>
      <c r="X37" s="5">
        <v>0.31303721647138083</v>
      </c>
      <c r="Y37" s="5">
        <v>0.30973705084387082</v>
      </c>
      <c r="Z37" s="5">
        <v>0.31948916594247528</v>
      </c>
      <c r="AA37" s="5">
        <v>0.33755600000039826</v>
      </c>
      <c r="AB37" s="5">
        <v>0.35372262620933248</v>
      </c>
      <c r="AC37" s="5">
        <v>0.35587437668299304</v>
      </c>
      <c r="AD37" s="5">
        <v>0.33323883171910984</v>
      </c>
      <c r="AE37" s="5">
        <v>0.30941848013724432</v>
      </c>
      <c r="AF37" s="5">
        <v>0.30725810052150004</v>
      </c>
      <c r="AG37" s="5">
        <v>0.31234107497473401</v>
      </c>
      <c r="AH37" s="5">
        <v>0.29475806809667732</v>
      </c>
      <c r="AI37" s="5">
        <v>0.30232063180425467</v>
      </c>
      <c r="AJ37" s="5">
        <v>0.30359392781404265</v>
      </c>
      <c r="AK37" s="5">
        <v>0.31479589288799409</v>
      </c>
      <c r="AL37" s="5">
        <v>0.32252970145796694</v>
      </c>
      <c r="AM37" s="5">
        <v>0.3035489437334522</v>
      </c>
      <c r="AN37" s="5">
        <v>0.30056754200231772</v>
      </c>
      <c r="AO37" s="5">
        <v>0.31019192676850882</v>
      </c>
      <c r="AP37" s="5">
        <v>0.32236930910274808</v>
      </c>
      <c r="AQ37" s="5">
        <v>0.31951700689442053</v>
      </c>
      <c r="AR37" s="5">
        <v>0.28096888332015152</v>
      </c>
      <c r="AS37" s="5">
        <v>0.27809247088466627</v>
      </c>
      <c r="AT37" s="5">
        <v>0.27763805366639072</v>
      </c>
      <c r="AU37" s="5">
        <v>0.27282750798026129</v>
      </c>
      <c r="AV37" s="5">
        <v>0.27235451764130686</v>
      </c>
      <c r="AW37" s="5">
        <v>0.28065330960859525</v>
      </c>
      <c r="AX37" s="5">
        <v>0.27903622329201355</v>
      </c>
      <c r="AY37" s="5">
        <v>0.25820627638556731</v>
      </c>
      <c r="AZ37" s="5">
        <v>0.24072655267290685</v>
      </c>
      <c r="BA37" s="5">
        <v>0.25585369278985709</v>
      </c>
      <c r="BB37" s="5">
        <v>0.11620435853926243</v>
      </c>
      <c r="BC37" s="5">
        <v>0.11831825115896073</v>
      </c>
      <c r="BD37" s="5">
        <v>0.12437355185872147</v>
      </c>
      <c r="BE37" s="5">
        <v>0.13737013975038359</v>
      </c>
      <c r="BF37" s="5">
        <v>0.15726028897056682</v>
      </c>
      <c r="BG37" s="5">
        <v>0.15738422916456593</v>
      </c>
      <c r="BH37" s="5">
        <v>0.15522002927786238</v>
      </c>
      <c r="BI37" s="5">
        <v>0.14410315088957923</v>
      </c>
      <c r="BJ37" s="5">
        <v>0.12482677330226444</v>
      </c>
      <c r="BK37" s="5">
        <v>0.12173816565966723</v>
      </c>
      <c r="BM37" s="3" t="s">
        <v>191</v>
      </c>
      <c r="BN37" s="3" t="s">
        <v>152</v>
      </c>
      <c r="BO37" s="5">
        <v>1.7263514524151265E-2</v>
      </c>
      <c r="BP37" s="5">
        <v>5.8669007000942807E-3</v>
      </c>
      <c r="BQ37" s="4">
        <v>1.5135707889276118E-2</v>
      </c>
      <c r="BR37" s="5">
        <v>1.9126903991491286E-2</v>
      </c>
      <c r="BS37" s="5">
        <v>1.5900341020346848E-2</v>
      </c>
      <c r="BT37" s="5">
        <v>1.1791300520120699E-2</v>
      </c>
      <c r="BU37" s="4">
        <v>2.2159644205165932E-2</v>
      </c>
      <c r="BV37" s="5">
        <v>1.989766646027959E-2</v>
      </c>
      <c r="BW37" s="4">
        <v>1.4980820389185827E-2</v>
      </c>
      <c r="BX37" s="5">
        <v>1.5270636777184945E-2</v>
      </c>
      <c r="BY37" s="4">
        <v>1.8054598395832271E-2</v>
      </c>
      <c r="BZ37" s="4">
        <v>1.8571671311410919E-2</v>
      </c>
      <c r="CA37" s="4">
        <v>1.7625967625823965E-2</v>
      </c>
      <c r="CB37" s="4">
        <v>9.7662070900504088E-3</v>
      </c>
      <c r="CC37" s="4">
        <v>5.9541777479154758E-3</v>
      </c>
      <c r="CD37" s="5">
        <v>2.1423563462286011E-2</v>
      </c>
      <c r="CE37" s="4">
        <v>2.4597768266639827E-2</v>
      </c>
      <c r="CF37" s="5">
        <v>1.9803072147731863E-2</v>
      </c>
      <c r="CG37" s="4">
        <v>1.5868393308561317E-2</v>
      </c>
      <c r="CH37" s="5">
        <v>1.7238673265591538E-2</v>
      </c>
      <c r="CI37" s="5">
        <v>1.4547720372513836E-2</v>
      </c>
      <c r="CJ37" s="4">
        <v>1.1714974354986082E-2</v>
      </c>
      <c r="CK37" s="5">
        <v>9.7011960280299955E-3</v>
      </c>
      <c r="CL37" s="4">
        <v>1.4761073939457392E-2</v>
      </c>
      <c r="CM37" s="5">
        <v>2.9872463243413257E-2</v>
      </c>
      <c r="CN37" s="5">
        <v>3.8012636172318162E-2</v>
      </c>
      <c r="CO37" s="5">
        <v>2.6015431119533201E-2</v>
      </c>
      <c r="CP37" s="5">
        <v>2.9994590883344118E-2</v>
      </c>
      <c r="CQ37" s="5">
        <v>1.6546773691004272E-2</v>
      </c>
      <c r="CR37" s="5">
        <v>2.3685974662538099E-2</v>
      </c>
      <c r="CS37" s="5">
        <v>8.3098827035451572E-3</v>
      </c>
      <c r="CT37" s="5">
        <v>1.4437875200245564E-2</v>
      </c>
      <c r="CU37" s="4">
        <v>2.1250110320357313E-2</v>
      </c>
      <c r="CV37" s="4">
        <v>9.599597764624327E-3</v>
      </c>
      <c r="CW37" s="5">
        <v>9.6074572189948221E-3</v>
      </c>
      <c r="CX37" s="4">
        <v>2.122888939684341E-2</v>
      </c>
      <c r="CY37" s="4">
        <v>2.3631814528084227E-2</v>
      </c>
      <c r="CZ37" s="4">
        <v>1.7466737873764127E-2</v>
      </c>
      <c r="DA37" s="4">
        <v>2.073507630361043E-2</v>
      </c>
      <c r="DB37" s="5">
        <v>4.1274052389100773E-3</v>
      </c>
      <c r="DC37" s="5">
        <v>1.5819945221711831E-2</v>
      </c>
      <c r="DD37" s="4">
        <v>2.5889037431317706E-3</v>
      </c>
      <c r="DE37" s="4">
        <v>6.9361939041729373E-3</v>
      </c>
      <c r="DF37" s="5">
        <v>9.6499977811710796E-3</v>
      </c>
      <c r="DG37" s="5">
        <v>1.9548258001941758E-2</v>
      </c>
      <c r="DH37" s="4">
        <v>2.4898076079036807E-2</v>
      </c>
      <c r="DI37" s="4">
        <v>2.2526912430226559E-2</v>
      </c>
      <c r="DJ37" s="4">
        <v>1.4455527431487281E-2</v>
      </c>
      <c r="DK37" s="4">
        <v>9.1888332633669554E-3</v>
      </c>
      <c r="DL37" s="5">
        <v>1.7587401419625684E-2</v>
      </c>
      <c r="DM37" s="5">
        <v>7.7955412174403891E-3</v>
      </c>
      <c r="DN37" s="5">
        <v>5.0990522197824836E-3</v>
      </c>
      <c r="DO37" s="5">
        <v>6.5843199999278948E-3</v>
      </c>
      <c r="DP37" s="5">
        <v>7.6041988748684584E-3</v>
      </c>
      <c r="DQ37" s="5">
        <v>1.2573917103892945E-2</v>
      </c>
      <c r="DR37" s="5">
        <v>6.1031178536067694E-3</v>
      </c>
      <c r="DS37" s="5">
        <v>3.7001866661762442E-3</v>
      </c>
      <c r="DT37" s="4">
        <v>6.3302657701526949E-3</v>
      </c>
      <c r="DU37" s="5">
        <v>8.740899539828104E-3</v>
      </c>
      <c r="DV37" s="5">
        <v>8.9389100002100277E-3</v>
      </c>
      <c r="DX37" s="3" t="s">
        <v>191</v>
      </c>
      <c r="DY37" s="3" t="s">
        <v>153</v>
      </c>
      <c r="DZ37" s="4">
        <v>1.3247164339921265E-2</v>
      </c>
      <c r="EA37" s="5">
        <v>2.2577184840994302E-2</v>
      </c>
      <c r="EB37" s="5">
        <v>1.699346406688523E-2</v>
      </c>
      <c r="EC37" s="5">
        <v>1.2931679364537579E-2</v>
      </c>
      <c r="ED37" s="4">
        <v>1.7324571270940788E-2</v>
      </c>
      <c r="EE37" s="5">
        <v>3.1263317826822713E-2</v>
      </c>
      <c r="EF37" s="4">
        <v>2.8602656066849311E-2</v>
      </c>
      <c r="EG37" s="5">
        <v>2.1107412173798999E-2</v>
      </c>
      <c r="EH37" s="5">
        <v>1.8851480481856982E-2</v>
      </c>
      <c r="EI37" s="5">
        <v>1.4794758809635976E-2</v>
      </c>
      <c r="EJ37" s="5">
        <v>1.6667076467216331E-2</v>
      </c>
      <c r="EK37" s="5">
        <v>2.4304969394831656E-2</v>
      </c>
      <c r="EL37" s="5">
        <v>4.0958901929390355E-2</v>
      </c>
      <c r="EM37" s="5">
        <v>3.2820508818132831E-2</v>
      </c>
      <c r="EN37" s="5">
        <v>2.1252424470290306E-2</v>
      </c>
      <c r="EO37" s="4">
        <v>1.766211485225325E-2</v>
      </c>
      <c r="EP37" s="4">
        <v>9.0216074642048439E-3</v>
      </c>
      <c r="EQ37" s="4">
        <v>2.3471032425787772E-2</v>
      </c>
      <c r="ER37" s="4">
        <v>3.1737853467277186E-2</v>
      </c>
      <c r="ES37" s="4">
        <v>2.7247173103314249E-2</v>
      </c>
      <c r="ET37" s="5">
        <v>3.298799685329043E-2</v>
      </c>
      <c r="EU37" s="5">
        <v>1.2710985644137293E-2</v>
      </c>
      <c r="EV37" s="5">
        <v>9.3834190065841348E-3</v>
      </c>
      <c r="EW37" s="5">
        <v>1.5728253632595047E-2</v>
      </c>
      <c r="EX37" s="4">
        <v>1.4878326099749392E-2</v>
      </c>
      <c r="EY37" s="5">
        <v>2.3008244127497836E-2</v>
      </c>
      <c r="EZ37" s="5">
        <v>4.5733924062122726E-2</v>
      </c>
      <c r="FA37" s="5">
        <v>3.7047207434304043E-2</v>
      </c>
      <c r="FB37" s="5">
        <v>4.4574360265041267E-2</v>
      </c>
      <c r="FC37" s="5">
        <v>3.6788753132616731E-2</v>
      </c>
      <c r="FD37" s="5">
        <v>7.8629678421290213E-3</v>
      </c>
      <c r="FE37" s="5">
        <v>1.8574088194636969E-2</v>
      </c>
      <c r="FF37" s="5">
        <v>2.0245504896314177E-2</v>
      </c>
      <c r="FG37" s="5">
        <v>2.882979357106517E-2</v>
      </c>
      <c r="FH37" s="4">
        <v>3.09549812574971E-2</v>
      </c>
      <c r="FI37" s="5">
        <v>2.0184313403711313E-2</v>
      </c>
      <c r="FJ37" s="5">
        <v>1.3674530265217059E-2</v>
      </c>
      <c r="FK37" s="5">
        <v>3.478775653328052E-2</v>
      </c>
      <c r="FL37" s="5">
        <v>3.4846167507822892E-2</v>
      </c>
      <c r="FM37" s="4">
        <v>2.6197480577768727E-2</v>
      </c>
      <c r="FN37" s="5">
        <v>2.243237664549565E-2</v>
      </c>
      <c r="FO37" s="5">
        <v>2.4720166759103844E-2</v>
      </c>
      <c r="FP37" s="4">
        <v>1.4432221963139489E-2</v>
      </c>
      <c r="FQ37" s="4">
        <v>8.7787102965814368E-3</v>
      </c>
      <c r="FR37" s="4">
        <v>8.8169012312387818E-3</v>
      </c>
      <c r="FS37" s="4">
        <v>1.1725293738654444E-2</v>
      </c>
      <c r="FT37" s="5">
        <v>1.9340921057833586E-2</v>
      </c>
      <c r="FU37" s="5">
        <v>2.5701755812806849E-2</v>
      </c>
      <c r="FV37" s="4">
        <v>2.7779492620176614E-2</v>
      </c>
      <c r="FW37" s="5">
        <v>9.3563235351838223E-3</v>
      </c>
      <c r="FX37" s="5">
        <v>4.282581523872531E-3</v>
      </c>
      <c r="FY37" s="5">
        <v>1.0394713290363906E-2</v>
      </c>
      <c r="FZ37" s="5">
        <v>1.1826280984470843E-2</v>
      </c>
      <c r="GA37" s="5">
        <v>9.3522147398614475E-3</v>
      </c>
      <c r="GB37" s="5">
        <v>8.5959150621764333E-3</v>
      </c>
      <c r="GC37" s="5">
        <v>1.1331385423419174E-2</v>
      </c>
      <c r="GD37" s="5">
        <v>1.2217720803362793E-2</v>
      </c>
      <c r="GE37" s="5">
        <v>6.3365290256164738E-3</v>
      </c>
      <c r="GF37" s="5">
        <v>3.6313086581274104E-3</v>
      </c>
      <c r="GG37" s="5">
        <v>4.9244315782005117E-3</v>
      </c>
      <c r="GI37" s="3" t="s">
        <v>191</v>
      </c>
      <c r="GJ37" s="3" t="s">
        <v>154</v>
      </c>
      <c r="GK37" s="5">
        <v>0.10226656563104605</v>
      </c>
      <c r="GL37" s="5">
        <v>9.8511106114984787E-2</v>
      </c>
      <c r="GM37" s="5">
        <v>8.5311509413335887E-2</v>
      </c>
      <c r="GN37" s="5">
        <v>8.6916110909903366E-2</v>
      </c>
      <c r="GO37" s="5">
        <v>8.8447166894751128E-2</v>
      </c>
      <c r="GP37" s="5">
        <v>8.279691035787265E-2</v>
      </c>
      <c r="GQ37" s="5">
        <v>8.5128465541194964E-2</v>
      </c>
      <c r="GR37" s="5">
        <v>8.8754346323194094E-2</v>
      </c>
      <c r="GS37" s="5">
        <v>9.2461172958225868E-2</v>
      </c>
      <c r="GT37" s="5">
        <v>9.8215540413207916E-2</v>
      </c>
      <c r="GU37" s="5">
        <v>0.14282876702202579</v>
      </c>
      <c r="GV37" s="5">
        <v>0.13711809022281127</v>
      </c>
      <c r="GW37" s="5">
        <v>0.13346188879154269</v>
      </c>
      <c r="GX37" s="5">
        <v>0.16149294039956341</v>
      </c>
      <c r="GY37" s="5">
        <v>0.17507011950100218</v>
      </c>
      <c r="GZ37" s="5">
        <v>0.15246102591203844</v>
      </c>
      <c r="HA37" s="4">
        <v>0.1440045899486779</v>
      </c>
      <c r="HB37" s="5">
        <v>0.11934994653165006</v>
      </c>
      <c r="HC37" s="5">
        <v>0.11602186530642213</v>
      </c>
      <c r="HD37" s="5">
        <v>0.1211468561394595</v>
      </c>
      <c r="HE37" s="5">
        <v>0.14613733743495305</v>
      </c>
      <c r="HF37" s="5">
        <v>0.16828992796415546</v>
      </c>
      <c r="HG37" s="5">
        <v>0.1880977409633342</v>
      </c>
      <c r="HH37" s="5">
        <v>0.17577451851203316</v>
      </c>
      <c r="HI37" s="5">
        <v>0.17441343875890752</v>
      </c>
      <c r="HJ37" s="5">
        <v>0.14994207033904705</v>
      </c>
      <c r="HK37" s="5">
        <v>0.1211996248315747</v>
      </c>
      <c r="HL37" s="4">
        <v>0.11399543052224816</v>
      </c>
      <c r="HM37" s="5">
        <v>0.12521008343337597</v>
      </c>
      <c r="HN37" s="5">
        <v>0.13157192965118059</v>
      </c>
      <c r="HO37" s="5">
        <v>0.16854116784617484</v>
      </c>
      <c r="HP37" s="5">
        <v>0.14990891491301656</v>
      </c>
      <c r="HQ37" s="5">
        <v>0.14833667742031179</v>
      </c>
      <c r="HR37" s="5">
        <v>0.15166375357616424</v>
      </c>
      <c r="HS37" s="5">
        <v>0.14287245039431512</v>
      </c>
      <c r="HT37" s="5">
        <v>0.13819280721868019</v>
      </c>
      <c r="HU37" s="5">
        <v>0.13898410871487074</v>
      </c>
      <c r="HV37" s="4">
        <v>0.13634036780355513</v>
      </c>
      <c r="HW37" s="5">
        <v>0.1409476524976335</v>
      </c>
      <c r="HX37" s="5">
        <v>0.16235623512250325</v>
      </c>
      <c r="HY37" s="5">
        <v>0.11175088384887114</v>
      </c>
      <c r="HZ37" s="5">
        <v>0.13454057387531568</v>
      </c>
      <c r="IA37" s="5">
        <v>0.13224090893337601</v>
      </c>
      <c r="IB37" s="5">
        <v>0.12725222079912168</v>
      </c>
      <c r="IC37" s="5">
        <v>0.11699929210091588</v>
      </c>
      <c r="ID37" s="5">
        <v>0.11417079390137543</v>
      </c>
      <c r="IE37" s="5">
        <v>0.10904942552577601</v>
      </c>
      <c r="IF37" s="5">
        <v>0.10365827316559544</v>
      </c>
      <c r="IG37" s="5">
        <v>9.6448540016680351E-2</v>
      </c>
      <c r="IH37" s="5">
        <v>0.10065530539897337</v>
      </c>
      <c r="II37" s="5">
        <v>2.6862955075438382E-2</v>
      </c>
      <c r="IJ37" s="5">
        <v>3.1654030416736097E-2</v>
      </c>
      <c r="IK37" s="5">
        <v>3.0335201408823967E-2</v>
      </c>
      <c r="IL37" s="5">
        <v>3.7616025264720757E-2</v>
      </c>
      <c r="IM37" s="5">
        <v>4.4665180238929111E-2</v>
      </c>
      <c r="IN37" s="5">
        <v>5.045425182906934E-2</v>
      </c>
      <c r="IO37" s="5">
        <v>5.2372762028076079E-2</v>
      </c>
      <c r="IP37" s="5">
        <v>5.0887932835164004E-2</v>
      </c>
      <c r="IQ37" s="5">
        <v>4.1395442963990448E-2</v>
      </c>
      <c r="IR37" s="5">
        <v>3.2542283132112139E-2</v>
      </c>
      <c r="JB37" s="3" t="s">
        <v>191</v>
      </c>
      <c r="JC37" s="5">
        <v>0.59562247822681791</v>
      </c>
      <c r="JD37" s="5">
        <v>0.59866276671253382</v>
      </c>
      <c r="JE37" s="4">
        <v>0.6196850527592741</v>
      </c>
      <c r="JF37" s="5">
        <v>0.61804686635600925</v>
      </c>
      <c r="JG37" s="5">
        <v>0.59968467792110935</v>
      </c>
      <c r="JH37" s="5">
        <v>0.59544304928208625</v>
      </c>
      <c r="JI37" s="5">
        <v>0.58742470810440317</v>
      </c>
      <c r="JJ37" s="5">
        <v>0.59401933689989561</v>
      </c>
      <c r="JK37" s="5">
        <v>0.60314989489240478</v>
      </c>
      <c r="JL37" s="5">
        <v>0.6023642092606929</v>
      </c>
      <c r="JM37" s="5">
        <v>0.52196698522363116</v>
      </c>
      <c r="JN37" s="4">
        <v>0.49981398172490493</v>
      </c>
      <c r="JO37" s="5">
        <v>0.48986582963949771</v>
      </c>
      <c r="JP37" s="5">
        <v>0.48683066904892536</v>
      </c>
      <c r="JQ37" s="5">
        <v>0.49226258947707874</v>
      </c>
      <c r="JR37" s="5">
        <v>0.50643695769818287</v>
      </c>
      <c r="JS37" s="5">
        <v>0.52712830982631953</v>
      </c>
      <c r="JT37" s="5">
        <v>0.54383276813846049</v>
      </c>
      <c r="JU37" s="5">
        <v>0.55144254559807704</v>
      </c>
      <c r="JV37" s="5">
        <v>0.55550603875279969</v>
      </c>
      <c r="JW37" s="4">
        <v>0.45052337616993859</v>
      </c>
      <c r="JX37" s="5">
        <v>0.42970471038513652</v>
      </c>
      <c r="JY37" s="5">
        <v>0.41969024413398603</v>
      </c>
      <c r="JZ37" s="5">
        <v>0.41784212896790152</v>
      </c>
      <c r="KA37" s="5">
        <v>0.41670599884496373</v>
      </c>
      <c r="KB37" s="5">
        <v>0.42527610698950535</v>
      </c>
      <c r="KC37" s="5">
        <v>0.44336037796607641</v>
      </c>
      <c r="KD37" s="5">
        <v>0.46035173238245608</v>
      </c>
      <c r="KE37" s="5">
        <v>0.46103765212619108</v>
      </c>
      <c r="KF37" s="4">
        <v>0.44993424524496267</v>
      </c>
      <c r="KG37" s="4">
        <v>0.41617933382444494</v>
      </c>
      <c r="KH37" s="5">
        <v>0.42516772962181615</v>
      </c>
      <c r="KI37" s="5">
        <v>0.43262116058061284</v>
      </c>
      <c r="KJ37" s="5">
        <v>0.43079608311937667</v>
      </c>
      <c r="KK37" s="5">
        <v>0.42898637639180276</v>
      </c>
      <c r="KL37" s="5">
        <v>0.42881866398101415</v>
      </c>
      <c r="KM37" s="5">
        <v>0.42632512130900185</v>
      </c>
      <c r="KN37" s="5">
        <v>0.42274468538234006</v>
      </c>
      <c r="KO37" s="5">
        <v>0.42113172294820139</v>
      </c>
      <c r="KP37" s="4">
        <v>0.41237606314773323</v>
      </c>
      <c r="KQ37" s="5">
        <v>0.55612234750451817</v>
      </c>
      <c r="KR37" s="4">
        <v>0.54225907175893984</v>
      </c>
      <c r="KS37" s="5">
        <v>0.55633832418891438</v>
      </c>
      <c r="KT37" s="5">
        <v>0.55654942155500298</v>
      </c>
      <c r="KU37" s="5">
        <v>0.5564872473382928</v>
      </c>
      <c r="KV37" s="5">
        <v>0.55539205264383618</v>
      </c>
      <c r="KW37" s="5">
        <v>0.55607329127170901</v>
      </c>
      <c r="KX37" s="5">
        <v>0.56891087262151008</v>
      </c>
      <c r="KY37" s="4">
        <v>0.58740164808990525</v>
      </c>
      <c r="KZ37" s="5">
        <v>0.59100275833571525</v>
      </c>
      <c r="LA37" s="5">
        <v>0.81898628209426994</v>
      </c>
      <c r="LB37" s="5">
        <v>0.80073038750595116</v>
      </c>
      <c r="LC37" s="4">
        <v>0.7929144284398727</v>
      </c>
      <c r="LD37" s="5">
        <v>0.77411045655651911</v>
      </c>
      <c r="LE37" s="5">
        <v>0.74433455243157343</v>
      </c>
      <c r="LF37" s="5">
        <v>0.74072457699930272</v>
      </c>
      <c r="LG37" s="5">
        <v>0.74638882862991429</v>
      </c>
      <c r="LH37" s="4">
        <v>0.76049595369722556</v>
      </c>
      <c r="LI37" s="5">
        <v>0.78495549429944023</v>
      </c>
      <c r="LJ37" s="5">
        <v>0.80052140189622323</v>
      </c>
      <c r="LL37" s="3" t="s">
        <v>192</v>
      </c>
      <c r="LM37" s="3" t="s">
        <v>160</v>
      </c>
      <c r="LN37" s="3" t="s">
        <v>161</v>
      </c>
      <c r="LO37" s="5">
        <v>0.7048055460478484</v>
      </c>
    </row>
    <row r="38" spans="2:327" x14ac:dyDescent="0.45">
      <c r="B38" s="6" t="s">
        <v>193</v>
      </c>
      <c r="C38" s="6" t="s">
        <v>151</v>
      </c>
      <c r="D38" s="8">
        <v>0.22816890493491274</v>
      </c>
      <c r="E38" s="8">
        <v>0.23174259080339091</v>
      </c>
      <c r="F38" s="8">
        <v>0.21476412817018736</v>
      </c>
      <c r="G38" s="8">
        <v>0.19363446580548432</v>
      </c>
      <c r="H38" s="8">
        <v>0.20001665982239936</v>
      </c>
      <c r="I38" s="8">
        <v>0.22296601890931331</v>
      </c>
      <c r="J38" s="8">
        <v>0.23707336468622864</v>
      </c>
      <c r="K38" s="8">
        <v>0.23447344018706234</v>
      </c>
      <c r="L38" s="8">
        <v>0.21756984682771485</v>
      </c>
      <c r="M38" s="8">
        <v>0.22749118709558247</v>
      </c>
      <c r="N38" s="8">
        <v>0.31709137548153932</v>
      </c>
      <c r="O38" s="8">
        <v>0.32381918956038253</v>
      </c>
      <c r="P38" s="8">
        <v>0.32026413255104624</v>
      </c>
      <c r="Q38" s="8">
        <v>0.32114243438149026</v>
      </c>
      <c r="R38" s="8">
        <v>0.31115393862396062</v>
      </c>
      <c r="S38" s="8">
        <v>0.29221316376907241</v>
      </c>
      <c r="T38" s="8">
        <v>0.286322904021303</v>
      </c>
      <c r="U38" s="8">
        <v>0.2760567761736108</v>
      </c>
      <c r="V38" s="8">
        <v>0.27173496685036969</v>
      </c>
      <c r="W38" s="8">
        <v>0.28380199305433101</v>
      </c>
      <c r="X38" s="8">
        <v>0.32389387159805427</v>
      </c>
      <c r="Y38" s="8">
        <v>0.32123406780865932</v>
      </c>
      <c r="Z38" s="8">
        <v>0.3207044171243576</v>
      </c>
      <c r="AA38" s="8">
        <v>0.32378270631320344</v>
      </c>
      <c r="AB38" s="8">
        <v>0.32447304484289319</v>
      </c>
      <c r="AC38" s="8">
        <v>0.32398033974695106</v>
      </c>
      <c r="AD38" s="8">
        <v>0.33352333843540621</v>
      </c>
      <c r="AE38" s="8">
        <v>0.33419676121614067</v>
      </c>
      <c r="AF38" s="8">
        <v>0.33311813802235724</v>
      </c>
      <c r="AG38" s="8">
        <v>0.33538038301330353</v>
      </c>
      <c r="AH38" s="8">
        <v>0.28588124072542381</v>
      </c>
      <c r="AI38" s="8">
        <v>0.29420913345018163</v>
      </c>
      <c r="AJ38" s="8">
        <v>0.29864943113222869</v>
      </c>
      <c r="AK38" s="8">
        <v>0.30017321669075875</v>
      </c>
      <c r="AL38" s="8">
        <v>0.29138219562284778</v>
      </c>
      <c r="AM38" s="8">
        <v>0.28090910861357343</v>
      </c>
      <c r="AN38" s="8">
        <v>0.27727135975924155</v>
      </c>
      <c r="AO38" s="8">
        <v>0.28868157763007696</v>
      </c>
      <c r="AP38" s="8">
        <v>0.29469820695818738</v>
      </c>
      <c r="AQ38" s="8">
        <v>0.29680987721233432</v>
      </c>
      <c r="AR38" s="8">
        <v>0.29044060021573909</v>
      </c>
      <c r="AS38" s="8">
        <v>0.28043575400528797</v>
      </c>
      <c r="AT38" s="8">
        <v>0.27315822110157439</v>
      </c>
      <c r="AU38" s="8">
        <v>0.28114825505907265</v>
      </c>
      <c r="AV38" s="8">
        <v>0.28988244809906305</v>
      </c>
      <c r="AW38" s="8">
        <v>0.28951900604523584</v>
      </c>
      <c r="AX38" s="8">
        <v>0.27939748135477344</v>
      </c>
      <c r="AY38" s="8">
        <v>0.27931019485714709</v>
      </c>
      <c r="AZ38" s="8">
        <v>0.2835814503782394</v>
      </c>
      <c r="BA38" s="8">
        <v>0.29053292935519037</v>
      </c>
      <c r="BB38" s="8">
        <v>0.13543320493622157</v>
      </c>
      <c r="BC38" s="8">
        <v>0.12158821325125234</v>
      </c>
      <c r="BD38" s="8">
        <v>0.13245160582002755</v>
      </c>
      <c r="BE38" s="8">
        <v>0.14169516573708249</v>
      </c>
      <c r="BF38" s="8">
        <v>0.15932908999455389</v>
      </c>
      <c r="BG38" s="8">
        <v>0.1628998718924437</v>
      </c>
      <c r="BH38" s="8">
        <v>0.18539210228074884</v>
      </c>
      <c r="BI38" s="8">
        <v>0.1626291178960558</v>
      </c>
      <c r="BJ38" s="8">
        <v>0.16036856205157998</v>
      </c>
      <c r="BK38" s="8">
        <v>0.15504335673406888</v>
      </c>
      <c r="BM38" s="6" t="s">
        <v>193</v>
      </c>
      <c r="BN38" s="6" t="s">
        <v>152</v>
      </c>
      <c r="BO38" s="8">
        <v>1.1199413488692246E-2</v>
      </c>
      <c r="BP38" s="8">
        <v>2.2298824765706497E-2</v>
      </c>
      <c r="BQ38" s="7">
        <v>1.5368836606963109E-2</v>
      </c>
      <c r="BR38" s="8">
        <v>1.7125660827971498E-2</v>
      </c>
      <c r="BS38" s="8">
        <v>2.4785208679221387E-2</v>
      </c>
      <c r="BT38" s="8">
        <v>1.3374354127444517E-2</v>
      </c>
      <c r="BU38" s="7">
        <v>9.6376254763324339E-3</v>
      </c>
      <c r="BV38" s="8">
        <v>1.1648565775344811E-2</v>
      </c>
      <c r="BW38" s="7">
        <v>1.1450888841835608E-2</v>
      </c>
      <c r="BX38" s="8">
        <v>1.5090079581315202E-2</v>
      </c>
      <c r="BY38" s="7">
        <v>6.7502801582490788E-3</v>
      </c>
      <c r="BZ38" s="7">
        <v>1.4342256609588173E-2</v>
      </c>
      <c r="CA38" s="7">
        <v>1.2468768891479732E-2</v>
      </c>
      <c r="CB38" s="7">
        <v>1.0400383628508831E-2</v>
      </c>
      <c r="CC38" s="7">
        <v>1.0859428153303121E-2</v>
      </c>
      <c r="CD38" s="8">
        <v>1.7402215152498662E-2</v>
      </c>
      <c r="CE38" s="7">
        <v>2.8597304071504726E-2</v>
      </c>
      <c r="CF38" s="8">
        <v>2.7691920670643723E-2</v>
      </c>
      <c r="CG38" s="7">
        <v>2.0166353185150122E-2</v>
      </c>
      <c r="CH38" s="8">
        <v>1.660359162808769E-2</v>
      </c>
      <c r="CI38" s="8">
        <v>1.0981058718084972E-2</v>
      </c>
      <c r="CJ38" s="7">
        <v>1.1710248884290432E-2</v>
      </c>
      <c r="CK38" s="8">
        <v>3.6587906632230614E-3</v>
      </c>
      <c r="CL38" s="7">
        <v>1.7189172728532199E-2</v>
      </c>
      <c r="CM38" s="8">
        <v>2.5291371151103772E-2</v>
      </c>
      <c r="CN38" s="8">
        <v>2.1827681906421457E-2</v>
      </c>
      <c r="CO38" s="8">
        <v>3.2942477541999297E-2</v>
      </c>
      <c r="CP38" s="8">
        <v>2.9380963137179559E-2</v>
      </c>
      <c r="CQ38" s="8">
        <v>7.7769242963212602E-3</v>
      </c>
      <c r="CR38" s="8">
        <v>2.1429295220508626E-2</v>
      </c>
      <c r="CS38" s="8">
        <v>1.5671736977627179E-2</v>
      </c>
      <c r="CT38" s="8">
        <v>1.0089051436959498E-2</v>
      </c>
      <c r="CU38" s="7">
        <v>1.5607505574639071E-2</v>
      </c>
      <c r="CV38" s="7">
        <v>1.2291409702270027E-2</v>
      </c>
      <c r="CW38" s="8">
        <v>0</v>
      </c>
      <c r="CX38" s="7">
        <v>5.6336868878079484E-4</v>
      </c>
      <c r="CY38" s="7">
        <v>7.7499972151513115E-3</v>
      </c>
      <c r="CZ38" s="7">
        <v>1.934475741737831E-2</v>
      </c>
      <c r="DA38" s="7">
        <v>1.5765179368971254E-2</v>
      </c>
      <c r="DB38" s="8">
        <v>1.5201741891952633E-2</v>
      </c>
      <c r="DC38" s="8">
        <v>9.6834506125687888E-3</v>
      </c>
      <c r="DD38" s="7">
        <v>4.6548753910204939E-3</v>
      </c>
      <c r="DE38" s="7">
        <v>1.2992195712430794E-4</v>
      </c>
      <c r="DF38" s="8">
        <v>4.6090803051917458E-3</v>
      </c>
      <c r="DG38" s="8">
        <v>2.0068361205923122E-2</v>
      </c>
      <c r="DH38" s="7">
        <v>2.374165577053838E-2</v>
      </c>
      <c r="DI38" s="7">
        <v>1.9381383999999113E-2</v>
      </c>
      <c r="DJ38" s="7">
        <v>2.6373434182199847E-2</v>
      </c>
      <c r="DK38" s="7">
        <v>2.1394801608191353E-2</v>
      </c>
      <c r="DL38" s="8">
        <v>1.4579032648026567E-2</v>
      </c>
      <c r="DM38" s="8">
        <v>6.4431003924082624E-3</v>
      </c>
      <c r="DN38" s="8">
        <v>4.2737510395730082E-3</v>
      </c>
      <c r="DO38" s="8">
        <v>8.4646013862768911E-3</v>
      </c>
      <c r="DP38" s="8">
        <v>9.9686396994009933E-3</v>
      </c>
      <c r="DQ38" s="8">
        <v>1.3058374057919883E-2</v>
      </c>
      <c r="DR38" s="8">
        <v>1.4520882497163698E-2</v>
      </c>
      <c r="DS38" s="8">
        <v>1.2206526444451386E-2</v>
      </c>
      <c r="DT38" s="7">
        <v>1.061266000571646E-2</v>
      </c>
      <c r="DU38" s="8">
        <v>9.3196333989950548E-3</v>
      </c>
      <c r="DV38" s="8">
        <v>1.3231936908583489E-2</v>
      </c>
      <c r="DX38" s="6" t="s">
        <v>193</v>
      </c>
      <c r="DY38" s="6" t="s">
        <v>153</v>
      </c>
      <c r="DZ38" s="7">
        <v>1.1387981038687049E-2</v>
      </c>
      <c r="EA38" s="8">
        <v>6.6581417560339813E-3</v>
      </c>
      <c r="EB38" s="8">
        <v>1.8664043971121536E-2</v>
      </c>
      <c r="EC38" s="8">
        <v>1.445861289888445E-2</v>
      </c>
      <c r="ED38" s="7">
        <v>1.5551473537168469E-2</v>
      </c>
      <c r="EE38" s="8">
        <v>2.8500395103019317E-2</v>
      </c>
      <c r="EF38" s="7">
        <v>2.6701482416082306E-2</v>
      </c>
      <c r="EG38" s="8">
        <v>1.8281166040110264E-2</v>
      </c>
      <c r="EH38" s="8">
        <v>1.3742235305306754E-2</v>
      </c>
      <c r="EI38" s="8">
        <v>1.2423567157545628E-2</v>
      </c>
      <c r="EJ38" s="8">
        <v>2.6767691861244915E-2</v>
      </c>
      <c r="EK38" s="8">
        <v>8.8401508291736097E-3</v>
      </c>
      <c r="EL38" s="8">
        <v>6.388404803016709E-3</v>
      </c>
      <c r="EM38" s="8">
        <v>1.9957435801004314E-2</v>
      </c>
      <c r="EN38" s="8">
        <v>2.0639259300615272E-2</v>
      </c>
      <c r="EO38" s="7">
        <v>1.2418583356094887E-2</v>
      </c>
      <c r="EP38" s="7">
        <v>7.095784699845448E-3</v>
      </c>
      <c r="EQ38" s="7">
        <v>2.06822317538474E-2</v>
      </c>
      <c r="ER38" s="7">
        <v>2.6398371555014712E-2</v>
      </c>
      <c r="ES38" s="7">
        <v>3.6359314010636606E-2</v>
      </c>
      <c r="ET38" s="8">
        <v>2.4282942261126067E-2</v>
      </c>
      <c r="EU38" s="8">
        <v>1.2414703058419897E-2</v>
      </c>
      <c r="EV38" s="8">
        <v>1.0470027593467797E-2</v>
      </c>
      <c r="EW38" s="8">
        <v>1.1811148016672109E-2</v>
      </c>
      <c r="EX38" s="7">
        <v>3.865158841762726E-3</v>
      </c>
      <c r="EY38" s="8">
        <v>2.0422675730430741E-2</v>
      </c>
      <c r="EZ38" s="8">
        <v>3.2122325412573143E-2</v>
      </c>
      <c r="FA38" s="8">
        <v>3.5751467162682737E-2</v>
      </c>
      <c r="FB38" s="8">
        <v>4.6384905457754484E-2</v>
      </c>
      <c r="FC38" s="8">
        <v>2.9349850485229683E-2</v>
      </c>
      <c r="FD38" s="8">
        <v>1.6808634879883124E-2</v>
      </c>
      <c r="FE38" s="8">
        <v>2.5795725054597322E-2</v>
      </c>
      <c r="FF38" s="8">
        <v>1.8849388059699483E-2</v>
      </c>
      <c r="FG38" s="8">
        <v>2.1499915967335841E-2</v>
      </c>
      <c r="FH38" s="7">
        <v>2.4980174378986527E-2</v>
      </c>
      <c r="FI38" s="8">
        <v>2.0312419337816998E-2</v>
      </c>
      <c r="FJ38" s="8">
        <v>7.7563741340642874E-3</v>
      </c>
      <c r="FK38" s="8">
        <v>0</v>
      </c>
      <c r="FL38" s="8">
        <v>8.5798542626537126E-3</v>
      </c>
      <c r="FM38" s="7">
        <v>2.1942125631567687E-2</v>
      </c>
      <c r="FN38" s="8">
        <v>1.9056030539423716E-2</v>
      </c>
      <c r="FO38" s="8">
        <v>9.9987625099380653E-3</v>
      </c>
      <c r="FP38" s="7">
        <v>7.8235314270438429E-3</v>
      </c>
      <c r="FQ38" s="7">
        <v>7.9122789712493796E-3</v>
      </c>
      <c r="FR38" s="7">
        <v>0</v>
      </c>
      <c r="FS38" s="7">
        <v>5.5013533254446682E-3</v>
      </c>
      <c r="FT38" s="8">
        <v>2.2367823378798585E-2</v>
      </c>
      <c r="FU38" s="8">
        <v>2.5432524519518905E-2</v>
      </c>
      <c r="FV38" s="7">
        <v>3.4603130775496545E-2</v>
      </c>
      <c r="FW38" s="8">
        <v>3.0493719767768483E-2</v>
      </c>
      <c r="FX38" s="8">
        <v>9.5474667010137584E-3</v>
      </c>
      <c r="FY38" s="8">
        <v>6.5361720677883121E-3</v>
      </c>
      <c r="FZ38" s="8">
        <v>4.7918195555611024E-3</v>
      </c>
      <c r="GA38" s="8">
        <v>7.5737831739249323E-3</v>
      </c>
      <c r="GB38" s="8">
        <v>8.8314800816428306E-3</v>
      </c>
      <c r="GC38" s="8">
        <v>1.0461255780371388E-2</v>
      </c>
      <c r="GD38" s="8">
        <v>1.980778543729244E-2</v>
      </c>
      <c r="GE38" s="8">
        <v>1.1212939442928359E-2</v>
      </c>
      <c r="GF38" s="8">
        <v>9.2512548608306034E-3</v>
      </c>
      <c r="GG38" s="8">
        <v>5.4186252209027239E-3</v>
      </c>
      <c r="GI38" s="6" t="s">
        <v>193</v>
      </c>
      <c r="GJ38" s="6" t="s">
        <v>154</v>
      </c>
      <c r="GK38" s="8">
        <v>8.3750965824181595E-2</v>
      </c>
      <c r="GL38" s="8">
        <v>8.0251759360403505E-2</v>
      </c>
      <c r="GM38" s="8">
        <v>6.5849394032495331E-2</v>
      </c>
      <c r="GN38" s="8">
        <v>5.3614336773694302E-2</v>
      </c>
      <c r="GO38" s="8">
        <v>5.7028331329368055E-2</v>
      </c>
      <c r="GP38" s="8">
        <v>6.926189930369725E-2</v>
      </c>
      <c r="GQ38" s="8">
        <v>8.2821502220346066E-2</v>
      </c>
      <c r="GR38" s="8">
        <v>8.7597437221322016E-2</v>
      </c>
      <c r="GS38" s="8">
        <v>8.0987948845365698E-2</v>
      </c>
      <c r="GT38" s="8">
        <v>7.9681918586063674E-2</v>
      </c>
      <c r="GU38" s="8">
        <v>0.1303830336306302</v>
      </c>
      <c r="GV38" s="8">
        <v>0.1474303306300937</v>
      </c>
      <c r="GW38" s="8">
        <v>0.15888105729486876</v>
      </c>
      <c r="GX38" s="8">
        <v>0.15551614419493082</v>
      </c>
      <c r="GY38" s="8">
        <v>0.14271362314846717</v>
      </c>
      <c r="GZ38" s="8">
        <v>0.13126115071886721</v>
      </c>
      <c r="HA38" s="7">
        <v>0.11677617074379554</v>
      </c>
      <c r="HB38" s="8">
        <v>9.8364673902002056E-2</v>
      </c>
      <c r="HC38" s="8">
        <v>8.5729385407742276E-2</v>
      </c>
      <c r="HD38" s="8">
        <v>9.0600843938427753E-2</v>
      </c>
      <c r="HE38" s="8">
        <v>0.15535193757802693</v>
      </c>
      <c r="HF38" s="8">
        <v>0.16525963134014332</v>
      </c>
      <c r="HG38" s="8">
        <v>0.17280850150249222</v>
      </c>
      <c r="HH38" s="8">
        <v>0.15715729786385357</v>
      </c>
      <c r="HI38" s="8">
        <v>0.1510890631837532</v>
      </c>
      <c r="HJ38" s="8">
        <v>0.14106035075586684</v>
      </c>
      <c r="HK38" s="8">
        <v>0.13213320381398455</v>
      </c>
      <c r="HL38" s="7">
        <v>0.13317592496702158</v>
      </c>
      <c r="HM38" s="8">
        <v>0.13989328475971827</v>
      </c>
      <c r="HN38" s="8">
        <v>0.14039475101653554</v>
      </c>
      <c r="HO38" s="8">
        <v>0.1261171383469942</v>
      </c>
      <c r="HP38" s="8">
        <v>0.12623837099775717</v>
      </c>
      <c r="HQ38" s="8">
        <v>0.13876989556992805</v>
      </c>
      <c r="HR38" s="8">
        <v>0.14701792671207026</v>
      </c>
      <c r="HS38" s="8">
        <v>0.14856839557586674</v>
      </c>
      <c r="HT38" s="8">
        <v>0.14157920411702354</v>
      </c>
      <c r="HU38" s="8">
        <v>0.14062759276162567</v>
      </c>
      <c r="HV38" s="7">
        <v>0.14014745822241656</v>
      </c>
      <c r="HW38" s="8">
        <v>0.13055882073366573</v>
      </c>
      <c r="HX38" s="8">
        <v>0.12217861622294594</v>
      </c>
      <c r="HY38" s="8">
        <v>0.12692915285372836</v>
      </c>
      <c r="HZ38" s="8">
        <v>0.15219496162633231</v>
      </c>
      <c r="IA38" s="8">
        <v>0.15722831168577645</v>
      </c>
      <c r="IB38" s="8">
        <v>0.14795670868244476</v>
      </c>
      <c r="IC38" s="8">
        <v>0.14599188117143916</v>
      </c>
      <c r="ID38" s="8">
        <v>0.12821165863055234</v>
      </c>
      <c r="IE38" s="8">
        <v>0.10485578201696466</v>
      </c>
      <c r="IF38" s="8">
        <v>8.9274167143326214E-2</v>
      </c>
      <c r="IG38" s="8">
        <v>9.0946572965165604E-2</v>
      </c>
      <c r="IH38" s="8">
        <v>0.10448764803956573</v>
      </c>
      <c r="II38" s="8">
        <v>3.0538281206955429E-2</v>
      </c>
      <c r="IJ38" s="8">
        <v>3.272781517862524E-2</v>
      </c>
      <c r="IK38" s="8">
        <v>3.5170953993528362E-2</v>
      </c>
      <c r="IL38" s="8">
        <v>3.3283814035256779E-2</v>
      </c>
      <c r="IM38" s="8">
        <v>3.9105658135347235E-2</v>
      </c>
      <c r="IN38" s="8">
        <v>4.5353853574886534E-2</v>
      </c>
      <c r="IO38" s="8">
        <v>4.8706132103685365E-2</v>
      </c>
      <c r="IP38" s="8">
        <v>4.6649175109156595E-2</v>
      </c>
      <c r="IQ38" s="8">
        <v>3.8549016745928588E-2</v>
      </c>
      <c r="IR38" s="8">
        <v>3.4010409086991295E-2</v>
      </c>
      <c r="JB38" s="6" t="s">
        <v>193</v>
      </c>
      <c r="JC38" s="8">
        <v>0.6502357784522329</v>
      </c>
      <c r="JD38" s="8">
        <v>0.652572711178106</v>
      </c>
      <c r="JE38" s="7">
        <v>0.67775054323035666</v>
      </c>
      <c r="JF38" s="8">
        <v>0.70254939049209331</v>
      </c>
      <c r="JG38" s="8">
        <v>0.69227322003197667</v>
      </c>
      <c r="JH38" s="8">
        <v>0.66189859147891394</v>
      </c>
      <c r="JI38" s="8">
        <v>0.64908734341209562</v>
      </c>
      <c r="JJ38" s="8">
        <v>0.65464239881701802</v>
      </c>
      <c r="JK38" s="8">
        <v>0.67692638506585134</v>
      </c>
      <c r="JL38" s="8">
        <v>0.66908196029429146</v>
      </c>
      <c r="JM38" s="8">
        <v>0.55916366411543039</v>
      </c>
      <c r="JN38" s="7">
        <v>0.54429406771696887</v>
      </c>
      <c r="JO38" s="8">
        <v>0.53228721338520768</v>
      </c>
      <c r="JP38" s="8">
        <v>0.52453631464752881</v>
      </c>
      <c r="JQ38" s="8">
        <v>0.52878481832128821</v>
      </c>
      <c r="JR38" s="8">
        <v>0.55247732966861351</v>
      </c>
      <c r="JS38" s="8">
        <v>0.58160714576365968</v>
      </c>
      <c r="JT38" s="8">
        <v>0.60370294467334629</v>
      </c>
      <c r="JU38" s="8">
        <v>0.61477577845424225</v>
      </c>
      <c r="JV38" s="8">
        <v>0.59619409073599727</v>
      </c>
      <c r="JW38" s="7">
        <v>0.49477029083498464</v>
      </c>
      <c r="JX38" s="8">
        <v>0.48317765321997996</v>
      </c>
      <c r="JY38" s="8">
        <v>0.47791977257173851</v>
      </c>
      <c r="JZ38" s="8">
        <v>0.48328325278384726</v>
      </c>
      <c r="KA38" s="8">
        <v>0.48964181566760728</v>
      </c>
      <c r="KB38" s="8">
        <v>0.49068825818856998</v>
      </c>
      <c r="KC38" s="8">
        <v>0.49098313030341284</v>
      </c>
      <c r="KD38" s="8">
        <v>0.49280991254858747</v>
      </c>
      <c r="KE38" s="8">
        <v>0.49653925278641603</v>
      </c>
      <c r="KF38" s="7">
        <v>0.50043869914336625</v>
      </c>
      <c r="KG38" s="7">
        <v>0.54788502492652835</v>
      </c>
      <c r="KH38" s="8">
        <v>0.5339846380982195</v>
      </c>
      <c r="KI38" s="8">
        <v>0.51727411496543307</v>
      </c>
      <c r="KJ38" s="8">
        <v>0.50554110495690507</v>
      </c>
      <c r="KK38" s="8">
        <v>0.51585809502665447</v>
      </c>
      <c r="KL38" s="8">
        <v>0.53080327306673925</v>
      </c>
      <c r="KM38" s="8">
        <v>0.54355245512003569</v>
      </c>
      <c r="KN38" s="8">
        <v>0.54694799622084023</v>
      </c>
      <c r="KO38" s="8">
        <v>0.54913327566878667</v>
      </c>
      <c r="KP38" s="7">
        <v>0.54632181233395072</v>
      </c>
      <c r="KQ38" s="8">
        <v>0.57546851228064866</v>
      </c>
      <c r="KR38" s="7">
        <v>0.55844290410004715</v>
      </c>
      <c r="KS38" s="8">
        <v>0.56096909436752762</v>
      </c>
      <c r="KT38" s="8">
        <v>0.55936805995568772</v>
      </c>
      <c r="KU38" s="8">
        <v>0.55433162925568147</v>
      </c>
      <c r="KV38" s="8">
        <v>0.56218009129270996</v>
      </c>
      <c r="KW38" s="8">
        <v>0.57606636910182174</v>
      </c>
      <c r="KX38" s="8">
        <v>0.58869549739206595</v>
      </c>
      <c r="KY38" s="7">
        <v>0.59192623167658365</v>
      </c>
      <c r="KZ38" s="8">
        <v>0.58118069962421415</v>
      </c>
      <c r="LA38" s="8">
        <v>0.81646097201942436</v>
      </c>
      <c r="LB38" s="8">
        <v>0.82150186703267736</v>
      </c>
      <c r="LC38" s="7">
        <v>0.80749678954510962</v>
      </c>
      <c r="LD38" s="8">
        <v>0.79726227546561435</v>
      </c>
      <c r="LE38" s="8">
        <v>0.7757061236268431</v>
      </c>
      <c r="LF38" s="8">
        <v>0.75694051806735929</v>
      </c>
      <c r="LG38" s="8">
        <v>0.73480524329772745</v>
      </c>
      <c r="LH38" s="7">
        <v>0.76532111280773218</v>
      </c>
      <c r="LI38" s="8">
        <v>0.78501295423037409</v>
      </c>
      <c r="LJ38" s="8">
        <v>0.79652002039350389</v>
      </c>
      <c r="LL38" s="6" t="s">
        <v>194</v>
      </c>
      <c r="LM38" s="6" t="s">
        <v>160</v>
      </c>
      <c r="LN38" s="6" t="s">
        <v>161</v>
      </c>
      <c r="LO38" s="8">
        <v>0.68040266415041739</v>
      </c>
    </row>
    <row r="39" spans="2:327" x14ac:dyDescent="0.45">
      <c r="B39" s="3" t="s">
        <v>195</v>
      </c>
      <c r="C39" s="3" t="s">
        <v>151</v>
      </c>
      <c r="D39" s="5">
        <v>0.19974753036136014</v>
      </c>
      <c r="E39" s="5">
        <v>0.20884283795508052</v>
      </c>
      <c r="F39" s="5">
        <v>0.19501491720487368</v>
      </c>
      <c r="G39" s="5">
        <v>0.18462705459573417</v>
      </c>
      <c r="H39" s="5">
        <v>0.19075360434215613</v>
      </c>
      <c r="I39" s="5">
        <v>0.19842367220127169</v>
      </c>
      <c r="J39" s="5">
        <v>0.1960572529977094</v>
      </c>
      <c r="K39" s="5">
        <v>0.18792824014769763</v>
      </c>
      <c r="L39" s="5">
        <v>0.18577048098458612</v>
      </c>
      <c r="M39" s="5">
        <v>0.1908172624521435</v>
      </c>
      <c r="N39" s="5">
        <v>0.28867963895573057</v>
      </c>
      <c r="O39" s="5">
        <v>0.31182800232226732</v>
      </c>
      <c r="P39" s="5">
        <v>0.31042179118897351</v>
      </c>
      <c r="Q39" s="5">
        <v>0.29834092954848301</v>
      </c>
      <c r="R39" s="5">
        <v>0.29678407824195097</v>
      </c>
      <c r="S39" s="5">
        <v>0.29332069718315784</v>
      </c>
      <c r="T39" s="5">
        <v>0.28658554871772984</v>
      </c>
      <c r="U39" s="5">
        <v>0.27652021128546184</v>
      </c>
      <c r="V39" s="5">
        <v>0.26258838248341809</v>
      </c>
      <c r="W39" s="5">
        <v>0.26850536958741067</v>
      </c>
      <c r="X39" s="5">
        <v>0.2933165473271489</v>
      </c>
      <c r="Y39" s="5">
        <v>0.29088708937552205</v>
      </c>
      <c r="Z39" s="5">
        <v>0.30354920744604724</v>
      </c>
      <c r="AA39" s="5">
        <v>0.30679701286285072</v>
      </c>
      <c r="AB39" s="5">
        <v>0.30689769186450616</v>
      </c>
      <c r="AC39" s="5">
        <v>0.31148524800485006</v>
      </c>
      <c r="AD39" s="5">
        <v>0.31119325254174779</v>
      </c>
      <c r="AE39" s="5">
        <v>0.30821480463776413</v>
      </c>
      <c r="AF39" s="5">
        <v>0.3052943485010694</v>
      </c>
      <c r="AG39" s="5">
        <v>0.3095003359869371</v>
      </c>
      <c r="AH39" s="5">
        <v>0.28262736451199855</v>
      </c>
      <c r="AI39" s="5">
        <v>0.26995071308211038</v>
      </c>
      <c r="AJ39" s="5">
        <v>0.27377030517622258</v>
      </c>
      <c r="AK39" s="5">
        <v>0.27570383909434237</v>
      </c>
      <c r="AL39" s="5">
        <v>0.27288705420595744</v>
      </c>
      <c r="AM39" s="5">
        <v>0.27959853303416565</v>
      </c>
      <c r="AN39" s="5">
        <v>0.28516524692919454</v>
      </c>
      <c r="AO39" s="5">
        <v>0.29049825947991531</v>
      </c>
      <c r="AP39" s="5">
        <v>0.28979274319089787</v>
      </c>
      <c r="AQ39" s="5">
        <v>0.28498675643393934</v>
      </c>
      <c r="AR39" s="5">
        <v>0.25027333271548818</v>
      </c>
      <c r="AS39" s="5">
        <v>0.24735346578652184</v>
      </c>
      <c r="AT39" s="5">
        <v>0.25521736280342988</v>
      </c>
      <c r="AU39" s="5">
        <v>0.24816096180376188</v>
      </c>
      <c r="AV39" s="5">
        <v>0.23898687496805576</v>
      </c>
      <c r="AW39" s="5">
        <v>0.23967883206683777</v>
      </c>
      <c r="AX39" s="5">
        <v>0.24500588408534973</v>
      </c>
      <c r="AY39" s="5">
        <v>0.25499623902299418</v>
      </c>
      <c r="AZ39" s="5">
        <v>0.25750440361766641</v>
      </c>
      <c r="BA39" s="5">
        <v>0.25452358384051488</v>
      </c>
      <c r="BB39" s="5">
        <v>0.11443105431807124</v>
      </c>
      <c r="BC39" s="5">
        <v>0.11792141423346224</v>
      </c>
      <c r="BD39" s="5">
        <v>0.13234672682378182</v>
      </c>
      <c r="BE39" s="5">
        <v>0.1480751469189798</v>
      </c>
      <c r="BF39" s="5">
        <v>0.16407471801393336</v>
      </c>
      <c r="BG39" s="5">
        <v>0.17319420882280584</v>
      </c>
      <c r="BH39" s="5">
        <v>0.16079134973248688</v>
      </c>
      <c r="BI39" s="5">
        <v>0.16556491402656817</v>
      </c>
      <c r="BJ39" s="5">
        <v>0.16447449616903345</v>
      </c>
      <c r="BK39" s="5">
        <v>0.13036263989742261</v>
      </c>
      <c r="BM39" s="3" t="s">
        <v>195</v>
      </c>
      <c r="BN39" s="3" t="s">
        <v>152</v>
      </c>
      <c r="BO39" s="5">
        <v>1.4718084242744676E-2</v>
      </c>
      <c r="BP39" s="5">
        <v>1.8231595675316129E-2</v>
      </c>
      <c r="BQ39" s="4">
        <v>1.7637675612518687E-2</v>
      </c>
      <c r="BR39" s="5">
        <v>1.2444616536787932E-2</v>
      </c>
      <c r="BS39" s="5">
        <v>5.1126181399129339E-3</v>
      </c>
      <c r="BT39" s="5">
        <v>8.4989132945629108E-3</v>
      </c>
      <c r="BU39" s="4">
        <v>1.0180036998702506E-2</v>
      </c>
      <c r="BV39" s="5">
        <v>9.8864830551750795E-3</v>
      </c>
      <c r="BW39" s="4">
        <v>1.0133584756215768E-2</v>
      </c>
      <c r="BX39" s="5">
        <v>1.5128895425844354E-2</v>
      </c>
      <c r="BY39" s="4">
        <v>7.6843318052912026E-3</v>
      </c>
      <c r="BZ39" s="4">
        <v>9.1628362161461415E-3</v>
      </c>
      <c r="CA39" s="4">
        <v>9.7453753795483534E-3</v>
      </c>
      <c r="CB39" s="4">
        <v>1.0448542715850195E-2</v>
      </c>
      <c r="CC39" s="4">
        <v>9.7336834810252855E-3</v>
      </c>
      <c r="CD39" s="5">
        <v>1.7041245391081119E-2</v>
      </c>
      <c r="CE39" s="4">
        <v>2.5223441592526478E-2</v>
      </c>
      <c r="CF39" s="5">
        <v>1.7594516262671347E-2</v>
      </c>
      <c r="CG39" s="4">
        <v>9.1344915349006808E-3</v>
      </c>
      <c r="CH39" s="5">
        <v>7.9899924394413353E-3</v>
      </c>
      <c r="CI39" s="5">
        <v>1.0344235012222839E-2</v>
      </c>
      <c r="CJ39" s="4">
        <v>1.5114731039010091E-2</v>
      </c>
      <c r="CK39" s="5">
        <v>1.4242364567849766E-2</v>
      </c>
      <c r="CL39" s="4">
        <v>1.3660620401171733E-2</v>
      </c>
      <c r="CM39" s="5">
        <v>1.3097057042975225E-2</v>
      </c>
      <c r="CN39" s="5">
        <v>2.1984206012791288E-2</v>
      </c>
      <c r="CO39" s="5">
        <v>1.2893468294194854E-2</v>
      </c>
      <c r="CP39" s="5">
        <v>1.9071077512848787E-2</v>
      </c>
      <c r="CQ39" s="5">
        <v>2.3878021107834942E-2</v>
      </c>
      <c r="CR39" s="5">
        <v>1.0892089344502696E-2</v>
      </c>
      <c r="CS39" s="5">
        <v>1.0044946875817666E-2</v>
      </c>
      <c r="CT39" s="5">
        <v>5.4034907830718447E-3</v>
      </c>
      <c r="CU39" s="4">
        <v>2.4085208667356194E-3</v>
      </c>
      <c r="CV39" s="4">
        <v>5.3501006522117091E-3</v>
      </c>
      <c r="CW39" s="5">
        <v>5.3953741784042025E-3</v>
      </c>
      <c r="CX39" s="4">
        <v>6.9298429501712189E-3</v>
      </c>
      <c r="CY39" s="4">
        <v>5.9472223963076085E-3</v>
      </c>
      <c r="CZ39" s="4">
        <v>3.1232620304049528E-3</v>
      </c>
      <c r="DA39" s="4">
        <v>1.3860693555706459E-2</v>
      </c>
      <c r="DB39" s="5">
        <v>1.8435772135967671E-2</v>
      </c>
      <c r="DC39" s="5">
        <v>1.4211330384895711E-3</v>
      </c>
      <c r="DD39" s="4">
        <v>1.095496523296869E-2</v>
      </c>
      <c r="DE39" s="4">
        <v>1.6256931478281535E-2</v>
      </c>
      <c r="DF39" s="5">
        <v>2.4008327550145789E-2</v>
      </c>
      <c r="DG39" s="5">
        <v>1.3894880699698494E-2</v>
      </c>
      <c r="DH39" s="4">
        <v>1.6105296912557489E-2</v>
      </c>
      <c r="DI39" s="4">
        <v>2.3416867408010921E-2</v>
      </c>
      <c r="DJ39" s="4">
        <v>2.3026616478017892E-2</v>
      </c>
      <c r="DK39" s="4">
        <v>2.8285401803243848E-2</v>
      </c>
      <c r="DL39" s="5">
        <v>9.5205564774858177E-3</v>
      </c>
      <c r="DM39" s="5">
        <v>5.6558784920997763E-3</v>
      </c>
      <c r="DN39" s="5">
        <v>5.713980051330403E-3</v>
      </c>
      <c r="DO39" s="5">
        <v>7.0124276276942211E-3</v>
      </c>
      <c r="DP39" s="5">
        <v>7.2376587550486435E-3</v>
      </c>
      <c r="DQ39" s="5">
        <v>9.6257763546329349E-3</v>
      </c>
      <c r="DR39" s="5">
        <v>1.3935900245721639E-2</v>
      </c>
      <c r="DS39" s="5">
        <v>1.223831298608709E-2</v>
      </c>
      <c r="DT39" s="4">
        <v>5.4593892684500073E-3</v>
      </c>
      <c r="DU39" s="5">
        <v>7.6119566181747566E-3</v>
      </c>
      <c r="DV39" s="5">
        <v>6.1519048716055513E-3</v>
      </c>
      <c r="DX39" s="3" t="s">
        <v>195</v>
      </c>
      <c r="DY39" s="3" t="s">
        <v>153</v>
      </c>
      <c r="DZ39" s="4">
        <v>1.6178588517252134E-2</v>
      </c>
      <c r="EA39" s="5">
        <v>1.0677244819136459E-2</v>
      </c>
      <c r="EB39" s="5">
        <v>1.3602420829244805E-2</v>
      </c>
      <c r="EC39" s="5">
        <v>1.7637413228311062E-2</v>
      </c>
      <c r="ED39" s="4">
        <v>2.4624467033846111E-2</v>
      </c>
      <c r="EE39" s="5">
        <v>1.9285178611115481E-2</v>
      </c>
      <c r="EF39" s="4">
        <v>1.611337277359863E-2</v>
      </c>
      <c r="EG39" s="5">
        <v>1.4691681618827794E-2</v>
      </c>
      <c r="EH39" s="5">
        <v>8.8792971521404369E-3</v>
      </c>
      <c r="EI39" s="5">
        <v>6.6808912307403144E-3</v>
      </c>
      <c r="EJ39" s="5">
        <v>1.2139894230193538E-2</v>
      </c>
      <c r="EK39" s="5">
        <v>1.4773725494561966E-2</v>
      </c>
      <c r="EL39" s="5">
        <v>7.3679765159834713E-3</v>
      </c>
      <c r="EM39" s="5">
        <v>3.8713521210962504E-3</v>
      </c>
      <c r="EN39" s="5">
        <v>1.071887881310935E-2</v>
      </c>
      <c r="EO39" s="4">
        <v>9.4003102397740863E-3</v>
      </c>
      <c r="EP39" s="4">
        <v>1.2034196640989812E-2</v>
      </c>
      <c r="EQ39" s="4">
        <v>1.9248929939969427E-2</v>
      </c>
      <c r="ER39" s="4">
        <v>2.8674527477406984E-2</v>
      </c>
      <c r="ES39" s="4">
        <v>2.6066130707336186E-2</v>
      </c>
      <c r="ET39" s="5">
        <v>2.1002343138419397E-2</v>
      </c>
      <c r="EU39" s="5">
        <v>9.2821336520145688E-3</v>
      </c>
      <c r="EV39" s="5">
        <v>1.877314206038461E-2</v>
      </c>
      <c r="EW39" s="5">
        <v>1.6238332779032368E-2</v>
      </c>
      <c r="EX39" s="4">
        <v>2.4203314290900047E-2</v>
      </c>
      <c r="EY39" s="5">
        <v>2.0478331785582029E-2</v>
      </c>
      <c r="EZ39" s="5">
        <v>2.2101338332371042E-2</v>
      </c>
      <c r="FA39" s="5">
        <v>2.5161290198010181E-2</v>
      </c>
      <c r="FB39" s="5">
        <v>2.5857294141434575E-2</v>
      </c>
      <c r="FC39" s="5">
        <v>3.8310655034109554E-2</v>
      </c>
      <c r="FD39" s="5">
        <v>2.1153896417887109E-2</v>
      </c>
      <c r="FE39" s="5">
        <v>2.1358598006925418E-2</v>
      </c>
      <c r="FF39" s="5">
        <v>2.4786869732586092E-2</v>
      </c>
      <c r="FG39" s="5">
        <v>1.2535153755778683E-2</v>
      </c>
      <c r="FH39" s="4">
        <v>5.4185713533000833E-3</v>
      </c>
      <c r="FI39" s="5">
        <v>6.6223435754063911E-3</v>
      </c>
      <c r="FJ39" s="5">
        <v>1.2155583826863657E-2</v>
      </c>
      <c r="FK39" s="5">
        <v>1.1851525856794295E-2</v>
      </c>
      <c r="FL39" s="5">
        <v>6.5630056785486038E-3</v>
      </c>
      <c r="FM39" s="4">
        <v>1.1939401257397644E-2</v>
      </c>
      <c r="FN39" s="5">
        <v>1.3563436178398119E-2</v>
      </c>
      <c r="FO39" s="5">
        <v>0</v>
      </c>
      <c r="FP39" s="4">
        <v>4.5469208319414388E-3</v>
      </c>
      <c r="FQ39" s="4">
        <v>1.3409499923328632E-2</v>
      </c>
      <c r="FR39" s="4">
        <v>2.9309865265253959E-2</v>
      </c>
      <c r="FS39" s="4">
        <v>2.6317719363773164E-2</v>
      </c>
      <c r="FT39" s="5">
        <v>1.764224165495764E-2</v>
      </c>
      <c r="FU39" s="5">
        <v>1.9165871655936691E-2</v>
      </c>
      <c r="FV39" s="4">
        <v>2.3285324700841048E-2</v>
      </c>
      <c r="FW39" s="5">
        <v>3.4239355819845586E-2</v>
      </c>
      <c r="FX39" s="5">
        <v>5.2372600262881805E-3</v>
      </c>
      <c r="FY39" s="5">
        <v>7.415675958023408E-3</v>
      </c>
      <c r="FZ39" s="5">
        <v>8.7268555377769431E-3</v>
      </c>
      <c r="GA39" s="5">
        <v>8.3950733267891282E-3</v>
      </c>
      <c r="GB39" s="5">
        <v>5.5084378001420539E-3</v>
      </c>
      <c r="GC39" s="5">
        <v>6.5108795427628189E-3</v>
      </c>
      <c r="GD39" s="5">
        <v>7.3119737019177984E-3</v>
      </c>
      <c r="GE39" s="5">
        <v>1.2459345287506324E-2</v>
      </c>
      <c r="GF39" s="5">
        <v>1.2410442376516329E-2</v>
      </c>
      <c r="GG39" s="5">
        <v>6.5205591405858594E-3</v>
      </c>
      <c r="GI39" s="3" t="s">
        <v>195</v>
      </c>
      <c r="GJ39" s="3" t="s">
        <v>154</v>
      </c>
      <c r="GK39" s="5">
        <v>6.1953985310300941E-2</v>
      </c>
      <c r="GL39" s="5">
        <v>6.3534327980101182E-2</v>
      </c>
      <c r="GM39" s="5">
        <v>6.101744426976094E-2</v>
      </c>
      <c r="GN39" s="5">
        <v>5.8978114422612263E-2</v>
      </c>
      <c r="GO39" s="5">
        <v>6.1886140892403317E-2</v>
      </c>
      <c r="GP39" s="5">
        <v>7.1555080651637293E-2</v>
      </c>
      <c r="GQ39" s="5">
        <v>7.5962926977620193E-2</v>
      </c>
      <c r="GR39" s="5">
        <v>6.5687421275564983E-2</v>
      </c>
      <c r="GS39" s="5">
        <v>6.2921384291906371E-2</v>
      </c>
      <c r="GT39" s="5">
        <v>6.2732495842200156E-2</v>
      </c>
      <c r="GU39" s="5">
        <v>0.14055954168609305</v>
      </c>
      <c r="GV39" s="5">
        <v>0.15095219425710041</v>
      </c>
      <c r="GW39" s="5">
        <v>0.15698553320935957</v>
      </c>
      <c r="GX39" s="5">
        <v>0.15473129092060822</v>
      </c>
      <c r="GY39" s="5">
        <v>0.14650441888313206</v>
      </c>
      <c r="GZ39" s="5">
        <v>0.12665235796952065</v>
      </c>
      <c r="HA39" s="4">
        <v>0.10841752590405716</v>
      </c>
      <c r="HB39" s="5">
        <v>0.10039631267979983</v>
      </c>
      <c r="HC39" s="5">
        <v>9.6019882524247993E-2</v>
      </c>
      <c r="HD39" s="5">
        <v>0.10151424396194184</v>
      </c>
      <c r="HE39" s="5">
        <v>0.1419584910534448</v>
      </c>
      <c r="HF39" s="5">
        <v>0.14561668585769535</v>
      </c>
      <c r="HG39" s="5">
        <v>0.14568358288738137</v>
      </c>
      <c r="HH39" s="5">
        <v>0.14873158386660454</v>
      </c>
      <c r="HI39" s="5">
        <v>0.14325528151128103</v>
      </c>
      <c r="HJ39" s="5">
        <v>0.1387552376493727</v>
      </c>
      <c r="HK39" s="5">
        <v>0.14328412916310659</v>
      </c>
      <c r="HL39" s="4">
        <v>0.13338558930499891</v>
      </c>
      <c r="HM39" s="5">
        <v>0.12940984347919854</v>
      </c>
      <c r="HN39" s="5">
        <v>0.13321600669280734</v>
      </c>
      <c r="HO39" s="5">
        <v>0.12999328912731431</v>
      </c>
      <c r="HP39" s="5">
        <v>0.13045877970764749</v>
      </c>
      <c r="HQ39" s="5">
        <v>0.12907679892519969</v>
      </c>
      <c r="HR39" s="5">
        <v>0.14910917580609809</v>
      </c>
      <c r="HS39" s="5">
        <v>0.1516469605857364</v>
      </c>
      <c r="HT39" s="5">
        <v>0.1471689476989505</v>
      </c>
      <c r="HU39" s="5">
        <v>0.14559220764979383</v>
      </c>
      <c r="HV39" s="4">
        <v>0.14915527333067574</v>
      </c>
      <c r="HW39" s="5">
        <v>0.1327021125765887</v>
      </c>
      <c r="HX39" s="5">
        <v>0.13108274855313551</v>
      </c>
      <c r="HY39" s="5">
        <v>0.12499227311564307</v>
      </c>
      <c r="HZ39" s="5">
        <v>0.12841827788423074</v>
      </c>
      <c r="IA39" s="5">
        <v>0.12103177663902409</v>
      </c>
      <c r="IB39" s="5">
        <v>0.10430659604111338</v>
      </c>
      <c r="IC39" s="5">
        <v>8.6323152702072192E-2</v>
      </c>
      <c r="ID39" s="5">
        <v>8.7472544068205135E-2</v>
      </c>
      <c r="IE39" s="5">
        <v>8.8051344288836361E-2</v>
      </c>
      <c r="IF39" s="5">
        <v>9.1925257079529032E-2</v>
      </c>
      <c r="IG39" s="5">
        <v>8.3143657339980789E-2</v>
      </c>
      <c r="IH39" s="5">
        <v>9.2932376680638529E-2</v>
      </c>
      <c r="II39" s="5">
        <v>2.6278108349097815E-2</v>
      </c>
      <c r="IJ39" s="5">
        <v>3.1972153270696246E-2</v>
      </c>
      <c r="IK39" s="5">
        <v>3.7217222209471303E-2</v>
      </c>
      <c r="IL39" s="5">
        <v>5.3181130028553743E-2</v>
      </c>
      <c r="IM39" s="5">
        <v>5.9531507856541467E-2</v>
      </c>
      <c r="IN39" s="5">
        <v>5.3661715340100273E-2</v>
      </c>
      <c r="IO39" s="5">
        <v>4.6364833590093718E-2</v>
      </c>
      <c r="IP39" s="5">
        <v>4.145043651824238E-2</v>
      </c>
      <c r="IQ39" s="5">
        <v>4.084826889695755E-2</v>
      </c>
      <c r="IR39" s="5">
        <v>3.3600417371271549E-2</v>
      </c>
      <c r="JB39" s="3" t="s">
        <v>195</v>
      </c>
      <c r="JC39" s="5">
        <v>0.67049431986299701</v>
      </c>
      <c r="JD39" s="5">
        <v>0.6722350319932201</v>
      </c>
      <c r="JE39" s="4">
        <v>0.68148428966572716</v>
      </c>
      <c r="JF39" s="5">
        <v>0.69099183300207401</v>
      </c>
      <c r="JG39" s="5">
        <v>0.68233492126013817</v>
      </c>
      <c r="JH39" s="5">
        <v>0.66466462292103956</v>
      </c>
      <c r="JI39" s="5">
        <v>0.66058769215250657</v>
      </c>
      <c r="JJ39" s="5">
        <v>0.68027847067814073</v>
      </c>
      <c r="JK39" s="5">
        <v>0.69175335993881837</v>
      </c>
      <c r="JL39" s="5">
        <v>0.68038607468696177</v>
      </c>
      <c r="JM39" s="5">
        <v>0.55201589977626331</v>
      </c>
      <c r="JN39" s="4">
        <v>0.53205039554865574</v>
      </c>
      <c r="JO39" s="5">
        <v>0.53079756177439974</v>
      </c>
      <c r="JP39" s="5">
        <v>0.5361043226361859</v>
      </c>
      <c r="JQ39" s="5">
        <v>0.5479204812683246</v>
      </c>
      <c r="JR39" s="5">
        <v>0.56915320111454282</v>
      </c>
      <c r="JS39" s="5">
        <v>0.59081056052558534</v>
      </c>
      <c r="JT39" s="5">
        <v>0.60402197642158661</v>
      </c>
      <c r="JU39" s="5">
        <v>0.61286215424302248</v>
      </c>
      <c r="JV39" s="5">
        <v>0.60418531028328193</v>
      </c>
      <c r="JW39" s="4">
        <v>0.50467603040174602</v>
      </c>
      <c r="JX39" s="5">
        <v>0.50123510853422315</v>
      </c>
      <c r="JY39" s="5">
        <v>0.49402604233486819</v>
      </c>
      <c r="JZ39" s="5">
        <v>0.49176516272886089</v>
      </c>
      <c r="KA39" s="5">
        <v>0.49397121725611848</v>
      </c>
      <c r="KB39" s="5">
        <v>0.49279768723595641</v>
      </c>
      <c r="KC39" s="5">
        <v>0.49633277303535106</v>
      </c>
      <c r="KD39" s="5">
        <v>0.50265074658741404</v>
      </c>
      <c r="KE39" s="5">
        <v>0.50950025492475925</v>
      </c>
      <c r="KF39" s="4">
        <v>0.50044017133869934</v>
      </c>
      <c r="KG39" s="4">
        <v>0.5362792167647783</v>
      </c>
      <c r="KH39" s="5">
        <v>0.53468704083511998</v>
      </c>
      <c r="KI39" s="5">
        <v>0.53391596656170959</v>
      </c>
      <c r="KJ39" s="5">
        <v>0.52740437330861989</v>
      </c>
      <c r="KK39" s="5">
        <v>0.53719897972602959</v>
      </c>
      <c r="KL39" s="5">
        <v>0.53807221155891316</v>
      </c>
      <c r="KM39" s="5">
        <v>0.53259496539724738</v>
      </c>
      <c r="KN39" s="5">
        <v>0.52753729074529476</v>
      </c>
      <c r="KO39" s="5">
        <v>0.53215135017653115</v>
      </c>
      <c r="KP39" s="4">
        <v>0.52681430365601534</v>
      </c>
      <c r="KQ39" s="5">
        <v>0.55377841154146257</v>
      </c>
      <c r="KR39" s="4">
        <v>0.5487848227070381</v>
      </c>
      <c r="KS39" s="5">
        <v>0.55034573845154433</v>
      </c>
      <c r="KT39" s="5">
        <v>0.55509885992997976</v>
      </c>
      <c r="KU39" s="5">
        <v>0.57149045028515355</v>
      </c>
      <c r="KV39" s="5">
        <v>0.57426454213834865</v>
      </c>
      <c r="KW39" s="5">
        <v>0.57479124391598169</v>
      </c>
      <c r="KX39" s="5">
        <v>0.57449402112639847</v>
      </c>
      <c r="KY39" s="4">
        <v>0.57138300518132534</v>
      </c>
      <c r="KZ39" s="5">
        <v>0.57302744747851853</v>
      </c>
      <c r="LA39" s="5">
        <v>0.83230184485180525</v>
      </c>
      <c r="LB39" s="5">
        <v>0.81285821367406574</v>
      </c>
      <c r="LC39" s="4">
        <v>0.79032072015445076</v>
      </c>
      <c r="LD39" s="5">
        <v>0.75321373546526627</v>
      </c>
      <c r="LE39" s="5">
        <v>0.73801098720404346</v>
      </c>
      <c r="LF39" s="5">
        <v>0.74518224325565563</v>
      </c>
      <c r="LG39" s="5">
        <v>0.76908142111352507</v>
      </c>
      <c r="LH39" s="4">
        <v>0.77565416284877353</v>
      </c>
      <c r="LI39" s="5">
        <v>0.77820213593682264</v>
      </c>
      <c r="LJ39" s="5">
        <v>0.81610313402209145</v>
      </c>
      <c r="LL39" s="3" t="s">
        <v>196</v>
      </c>
      <c r="LM39" s="3" t="s">
        <v>160</v>
      </c>
      <c r="LN39" s="3" t="s">
        <v>161</v>
      </c>
      <c r="LO39" s="5">
        <v>0.5242721309448416</v>
      </c>
    </row>
    <row r="40" spans="2:327" x14ac:dyDescent="0.45">
      <c r="B40" s="6" t="s">
        <v>197</v>
      </c>
      <c r="C40" s="6" t="s">
        <v>151</v>
      </c>
      <c r="D40" s="8">
        <v>0.19527811897078642</v>
      </c>
      <c r="E40" s="8">
        <v>0.20026340458222514</v>
      </c>
      <c r="F40" s="8">
        <v>0.2053652301626098</v>
      </c>
      <c r="G40" s="8">
        <v>0.21208428436037396</v>
      </c>
      <c r="H40" s="8">
        <v>0.21393490728188319</v>
      </c>
      <c r="I40" s="8">
        <v>0.2289508241825613</v>
      </c>
      <c r="J40" s="8">
        <v>0.23590190397703623</v>
      </c>
      <c r="K40" s="8">
        <v>0.22577294639644488</v>
      </c>
      <c r="L40" s="8">
        <v>0.1983590859581105</v>
      </c>
      <c r="M40" s="8">
        <v>0.19974995775683746</v>
      </c>
      <c r="N40" s="8">
        <v>0.2313861462809125</v>
      </c>
      <c r="O40" s="8">
        <v>0.24248321302856971</v>
      </c>
      <c r="P40" s="8">
        <v>0.23280595430461015</v>
      </c>
      <c r="Q40" s="8">
        <v>0.22869598450354506</v>
      </c>
      <c r="R40" s="8">
        <v>0.24362325222814332</v>
      </c>
      <c r="S40" s="8">
        <v>0.25320266453960688</v>
      </c>
      <c r="T40" s="8">
        <v>0.26263948681384808</v>
      </c>
      <c r="U40" s="8">
        <v>0.2619279325943617</v>
      </c>
      <c r="V40" s="8">
        <v>0.24647949296357016</v>
      </c>
      <c r="W40" s="8">
        <v>0.22203908563051611</v>
      </c>
      <c r="X40" s="8">
        <v>0.33471925761468968</v>
      </c>
      <c r="Y40" s="8">
        <v>0.3433775870535975</v>
      </c>
      <c r="Z40" s="8">
        <v>0.32879765122176541</v>
      </c>
      <c r="AA40" s="8">
        <v>0.32022499862690018</v>
      </c>
      <c r="AB40" s="8">
        <v>0.32927443927182687</v>
      </c>
      <c r="AC40" s="8">
        <v>0.3181881207942488</v>
      </c>
      <c r="AD40" s="8">
        <v>0.29636791966207954</v>
      </c>
      <c r="AE40" s="8">
        <v>0.28774371398879334</v>
      </c>
      <c r="AF40" s="8">
        <v>0.2881934493732064</v>
      </c>
      <c r="AG40" s="8">
        <v>0.29942197940443116</v>
      </c>
      <c r="AH40" s="8">
        <v>0.34603160400131028</v>
      </c>
      <c r="AI40" s="8">
        <v>0.36475843333241981</v>
      </c>
      <c r="AJ40" s="8">
        <v>0.36713687837854403</v>
      </c>
      <c r="AK40" s="8">
        <v>0.37805121607582137</v>
      </c>
      <c r="AL40" s="8">
        <v>0.36988417077752889</v>
      </c>
      <c r="AM40" s="8">
        <v>0.34652972350399336</v>
      </c>
      <c r="AN40" s="8">
        <v>0.32954565014568432</v>
      </c>
      <c r="AO40" s="8">
        <v>0.30697761404894952</v>
      </c>
      <c r="AP40" s="8">
        <v>0.30223800498255277</v>
      </c>
      <c r="AQ40" s="8">
        <v>0.30730806154831808</v>
      </c>
      <c r="AR40" s="8">
        <v>0.21103077651854865</v>
      </c>
      <c r="AS40" s="8">
        <v>0.24120483874930804</v>
      </c>
      <c r="AT40" s="8">
        <v>0.24401926394207721</v>
      </c>
      <c r="AU40" s="8">
        <v>0.2353951880841379</v>
      </c>
      <c r="AV40" s="8">
        <v>0.24059891083685853</v>
      </c>
      <c r="AW40" s="8">
        <v>0.2358722858632222</v>
      </c>
      <c r="AX40" s="8">
        <v>0.22209098612841249</v>
      </c>
      <c r="AY40" s="8">
        <v>0.20381762670142922</v>
      </c>
      <c r="AZ40" s="8">
        <v>0.19079227554627115</v>
      </c>
      <c r="BA40" s="8">
        <v>0.18374996463033275</v>
      </c>
      <c r="BB40" s="8">
        <v>0.17428069467062718</v>
      </c>
      <c r="BC40" s="8">
        <v>0.16159304397699384</v>
      </c>
      <c r="BD40" s="8">
        <v>0.15959736330403021</v>
      </c>
      <c r="BE40" s="8">
        <v>0.16685664678174439</v>
      </c>
      <c r="BF40" s="8">
        <v>0.17545973243320573</v>
      </c>
      <c r="BG40" s="8">
        <v>0.18970982045311938</v>
      </c>
      <c r="BH40" s="8">
        <v>0.19026982739219384</v>
      </c>
      <c r="BI40" s="8">
        <v>0.18558070200727508</v>
      </c>
      <c r="BJ40" s="8">
        <v>0.18220752202901816</v>
      </c>
      <c r="BK40" s="8">
        <v>0.18338818979928692</v>
      </c>
      <c r="BM40" s="6" t="s">
        <v>197</v>
      </c>
      <c r="BN40" s="6" t="s">
        <v>152</v>
      </c>
      <c r="BO40" s="8">
        <v>1.5025560060169361E-2</v>
      </c>
      <c r="BP40" s="8">
        <v>1.2486633228798758E-2</v>
      </c>
      <c r="BQ40" s="7">
        <v>1.9328999479231002E-2</v>
      </c>
      <c r="BR40" s="8">
        <v>2.4333835000940315E-2</v>
      </c>
      <c r="BS40" s="8">
        <v>1.8748830137823864E-2</v>
      </c>
      <c r="BT40" s="8">
        <v>9.1382534777331454E-3</v>
      </c>
      <c r="BU40" s="7">
        <v>1.2356349816064904E-2</v>
      </c>
      <c r="BV40" s="8">
        <v>1.114106648058211E-2</v>
      </c>
      <c r="BW40" s="7">
        <v>3.7268149096534278E-3</v>
      </c>
      <c r="BX40" s="8">
        <v>8.2433219179409295E-3</v>
      </c>
      <c r="BY40" s="7">
        <v>8.9025666735206704E-3</v>
      </c>
      <c r="BZ40" s="7">
        <v>1.5408102646332507E-2</v>
      </c>
      <c r="CA40" s="7">
        <v>1.6663839964088059E-2</v>
      </c>
      <c r="CB40" s="7">
        <v>1.1938216984958602E-2</v>
      </c>
      <c r="CC40" s="7">
        <v>1.0122294984704317E-2</v>
      </c>
      <c r="CD40" s="8">
        <v>1.2757276222663655E-2</v>
      </c>
      <c r="CE40" s="7">
        <v>3.5257891416847443E-3</v>
      </c>
      <c r="CF40" s="8">
        <v>8.1047385151245058E-3</v>
      </c>
      <c r="CG40" s="7">
        <v>5.5727301247945242E-3</v>
      </c>
      <c r="CH40" s="8">
        <v>5.6146602187417786E-3</v>
      </c>
      <c r="CI40" s="8">
        <v>1.9301770783847937E-2</v>
      </c>
      <c r="CJ40" s="7">
        <v>2.3202901627999387E-2</v>
      </c>
      <c r="CK40" s="8">
        <v>1.3427006396915662E-2</v>
      </c>
      <c r="CL40" s="7">
        <v>1.8699808758313508E-2</v>
      </c>
      <c r="CM40" s="8">
        <v>2.5205037401970651E-2</v>
      </c>
      <c r="CN40" s="8">
        <v>2.4116465743403238E-2</v>
      </c>
      <c r="CO40" s="8">
        <v>2.8715784672371333E-2</v>
      </c>
      <c r="CP40" s="8">
        <v>1.1564500758782676E-2</v>
      </c>
      <c r="CQ40" s="8">
        <v>1.0424480845817524E-2</v>
      </c>
      <c r="CR40" s="8">
        <v>1.8731593174654788E-2</v>
      </c>
      <c r="CS40" s="8">
        <v>2.6087744463349521E-2</v>
      </c>
      <c r="CT40" s="8">
        <v>2.4464526063985418E-2</v>
      </c>
      <c r="CU40" s="7">
        <v>1.8599401867920997E-2</v>
      </c>
      <c r="CV40" s="7">
        <v>2.0613519861813673E-2</v>
      </c>
      <c r="CW40" s="8">
        <v>1.4908710444596922E-2</v>
      </c>
      <c r="CX40" s="7">
        <v>1.1190677638119661E-2</v>
      </c>
      <c r="CY40" s="7">
        <v>3.3020996538186791E-2</v>
      </c>
      <c r="CZ40" s="7">
        <v>2.5250074865905064E-2</v>
      </c>
      <c r="DA40" s="7">
        <v>2.5769401719102622E-2</v>
      </c>
      <c r="DB40" s="8">
        <v>3.070773363612915E-2</v>
      </c>
      <c r="DC40" s="8">
        <v>1.3170048155501152E-2</v>
      </c>
      <c r="DD40" s="7">
        <v>1.8750841513878479E-2</v>
      </c>
      <c r="DE40" s="7">
        <v>3.085941563856659E-2</v>
      </c>
      <c r="DF40" s="8">
        <v>2.9173178557298646E-2</v>
      </c>
      <c r="DG40" s="8">
        <v>1.0173927603955227E-2</v>
      </c>
      <c r="DH40" s="7">
        <v>9.1031377576585859E-3</v>
      </c>
      <c r="DI40" s="7">
        <v>1.8627301764038413E-3</v>
      </c>
      <c r="DJ40" s="7">
        <v>3.2242133441978522E-3</v>
      </c>
      <c r="DK40" s="7">
        <v>6.1485896372409973E-3</v>
      </c>
      <c r="DL40" s="8">
        <v>1.0802783163806338E-2</v>
      </c>
      <c r="DM40" s="8">
        <v>5.4130145716500874E-3</v>
      </c>
      <c r="DN40" s="8">
        <v>6.3467603913237728E-3</v>
      </c>
      <c r="DO40" s="8">
        <v>7.9090419747720464E-3</v>
      </c>
      <c r="DP40" s="8">
        <v>1.356298984655354E-2</v>
      </c>
      <c r="DQ40" s="8">
        <v>1.5289732207401482E-2</v>
      </c>
      <c r="DR40" s="8">
        <v>1.8411933606745871E-2</v>
      </c>
      <c r="DS40" s="8">
        <v>1.3387461833235513E-2</v>
      </c>
      <c r="DT40" s="7">
        <v>1.532505980637764E-2</v>
      </c>
      <c r="DU40" s="8">
        <v>1.2228404106147058E-2</v>
      </c>
      <c r="DV40" s="8">
        <v>1.0935640958782272E-2</v>
      </c>
      <c r="DX40" s="6" t="s">
        <v>197</v>
      </c>
      <c r="DY40" s="6" t="s">
        <v>153</v>
      </c>
      <c r="DZ40" s="7">
        <v>9.7107550003510401E-3</v>
      </c>
      <c r="EA40" s="8">
        <v>2.2079637441617121E-2</v>
      </c>
      <c r="EB40" s="8">
        <v>1.6501203397332142E-2</v>
      </c>
      <c r="EC40" s="8">
        <v>1.3379974029141168E-2</v>
      </c>
      <c r="ED40" s="7">
        <v>2.2072303022259411E-2</v>
      </c>
      <c r="EE40" s="8">
        <v>3.5140215050575227E-2</v>
      </c>
      <c r="EF40" s="7">
        <v>2.4924705511174563E-2</v>
      </c>
      <c r="EG40" s="8">
        <v>1.7280252692463065E-2</v>
      </c>
      <c r="EH40" s="8">
        <v>1.1529249304961424E-2</v>
      </c>
      <c r="EI40" s="8">
        <v>1.2747478055683567E-2</v>
      </c>
      <c r="EJ40" s="8">
        <v>6.4530655890792325E-3</v>
      </c>
      <c r="EK40" s="8">
        <v>1.4440794791775329E-2</v>
      </c>
      <c r="EL40" s="8">
        <v>1.2434771910960634E-2</v>
      </c>
      <c r="EM40" s="8">
        <v>1.3376510810065884E-2</v>
      </c>
      <c r="EN40" s="8">
        <v>1.5360158899361922E-2</v>
      </c>
      <c r="EO40" s="7">
        <v>1.1565832737025614E-2</v>
      </c>
      <c r="EP40" s="7">
        <v>2.0592238528190449E-2</v>
      </c>
      <c r="EQ40" s="7">
        <v>1.4809053986247647E-2</v>
      </c>
      <c r="ER40" s="7">
        <v>1.1255711182726662E-2</v>
      </c>
      <c r="ES40" s="7">
        <v>8.5455007750927653E-3</v>
      </c>
      <c r="ET40" s="8">
        <v>2.435617188218708E-2</v>
      </c>
      <c r="EU40" s="8">
        <v>2.2717334329855801E-2</v>
      </c>
      <c r="EV40" s="8">
        <v>3.0129089360401488E-2</v>
      </c>
      <c r="EW40" s="8">
        <v>3.0590363739862066E-2</v>
      </c>
      <c r="EX40" s="7">
        <v>2.5837970481028434E-2</v>
      </c>
      <c r="EY40" s="8">
        <v>2.41859773554692E-2</v>
      </c>
      <c r="EZ40" s="8">
        <v>2.4696587274626272E-2</v>
      </c>
      <c r="FA40" s="8">
        <v>3.6112765414075029E-2</v>
      </c>
      <c r="FB40" s="8">
        <v>3.8872170121150296E-2</v>
      </c>
      <c r="FC40" s="8">
        <v>2.5625644010236516E-2</v>
      </c>
      <c r="FD40" s="8">
        <v>3.820051716989388E-2</v>
      </c>
      <c r="FE40" s="8">
        <v>4.5271563194109903E-2</v>
      </c>
      <c r="FF40" s="8">
        <v>4.4852066304580995E-2</v>
      </c>
      <c r="FG40" s="8">
        <v>3.9488168296076119E-2</v>
      </c>
      <c r="FH40" s="7">
        <v>4.8368172902434878E-2</v>
      </c>
      <c r="FI40" s="8">
        <v>2.6360693814037019E-2</v>
      </c>
      <c r="FJ40" s="8">
        <v>1.0068504698820178E-2</v>
      </c>
      <c r="FK40" s="8">
        <v>2.5109585261238347E-2</v>
      </c>
      <c r="FL40" s="8">
        <v>4.4989003363821986E-2</v>
      </c>
      <c r="FM40" s="7">
        <v>3.7666628780811562E-2</v>
      </c>
      <c r="FN40" s="8">
        <v>1.8660386089296422E-2</v>
      </c>
      <c r="FO40" s="8">
        <v>2.3058956284543915E-2</v>
      </c>
      <c r="FP40" s="7">
        <v>1.9025584198296398E-2</v>
      </c>
      <c r="FQ40" s="7">
        <v>2.1577933812518681E-2</v>
      </c>
      <c r="FR40" s="7">
        <v>4.2735429441138298E-2</v>
      </c>
      <c r="FS40" s="7">
        <v>3.7270690090393271E-2</v>
      </c>
      <c r="FT40" s="8">
        <v>2.2384419537554587E-2</v>
      </c>
      <c r="FU40" s="8">
        <v>4.2306109604631995E-3</v>
      </c>
      <c r="FV40" s="7">
        <v>3.5252356211608548E-3</v>
      </c>
      <c r="FW40" s="8">
        <v>2.6379067510491497E-3</v>
      </c>
      <c r="FX40" s="8">
        <v>1.4959147125995186E-2</v>
      </c>
      <c r="FY40" s="8">
        <v>5.2137690061422985E-3</v>
      </c>
      <c r="FZ40" s="8">
        <v>1.1269279088022013E-2</v>
      </c>
      <c r="GA40" s="8">
        <v>1.2230325560014082E-2</v>
      </c>
      <c r="GB40" s="8">
        <v>1.1879862829245792E-2</v>
      </c>
      <c r="GC40" s="8">
        <v>9.7301428698011814E-3</v>
      </c>
      <c r="GD40" s="8">
        <v>1.9193728111941106E-2</v>
      </c>
      <c r="GE40" s="8">
        <v>1.9879348578311813E-2</v>
      </c>
      <c r="GF40" s="8">
        <v>1.5486040461107662E-2</v>
      </c>
      <c r="GG40" s="8">
        <v>1.1649332851219002E-2</v>
      </c>
      <c r="GI40" s="6" t="s">
        <v>197</v>
      </c>
      <c r="GJ40" s="6" t="s">
        <v>154</v>
      </c>
      <c r="GK40" s="8">
        <v>7.1575192679672564E-2</v>
      </c>
      <c r="GL40" s="8">
        <v>6.8274295127146112E-2</v>
      </c>
      <c r="GM40" s="8">
        <v>6.2337758376823454E-2</v>
      </c>
      <c r="GN40" s="8">
        <v>6.5167924926946535E-2</v>
      </c>
      <c r="GO40" s="8">
        <v>7.0250099704282407E-2</v>
      </c>
      <c r="GP40" s="8">
        <v>7.4374873038633604E-2</v>
      </c>
      <c r="GQ40" s="8">
        <v>8.4536956433921506E-2</v>
      </c>
      <c r="GR40" s="8">
        <v>8.5585744273122225E-2</v>
      </c>
      <c r="GS40" s="8">
        <v>8.5740822435085143E-2</v>
      </c>
      <c r="GT40" s="8">
        <v>7.8397146281711905E-2</v>
      </c>
      <c r="GU40" s="8">
        <v>0.10125965273092459</v>
      </c>
      <c r="GV40" s="8">
        <v>8.4691868621272828E-2</v>
      </c>
      <c r="GW40" s="8">
        <v>8.0943636118338769E-2</v>
      </c>
      <c r="GX40" s="8">
        <v>8.6002246646990174E-2</v>
      </c>
      <c r="GY40" s="8">
        <v>9.8270259962377565E-2</v>
      </c>
      <c r="GZ40" s="8">
        <v>0.10942577267783464</v>
      </c>
      <c r="HA40" s="7">
        <v>0.1134227491336075</v>
      </c>
      <c r="HB40" s="8">
        <v>0.11262452294340249</v>
      </c>
      <c r="HC40" s="8">
        <v>0.10561942899059243</v>
      </c>
      <c r="HD40" s="8">
        <v>9.9010239101881226E-2</v>
      </c>
      <c r="HE40" s="8">
        <v>0.15472380739124708</v>
      </c>
      <c r="HF40" s="8">
        <v>0.16032244436919929</v>
      </c>
      <c r="HG40" s="8">
        <v>0.15086815224960468</v>
      </c>
      <c r="HH40" s="8">
        <v>0.14108391524019825</v>
      </c>
      <c r="HI40" s="8">
        <v>0.14199833506469678</v>
      </c>
      <c r="HJ40" s="8">
        <v>0.13576612522925163</v>
      </c>
      <c r="HK40" s="8">
        <v>0.11981137896305936</v>
      </c>
      <c r="HL40" s="7">
        <v>0.11187598620234697</v>
      </c>
      <c r="HM40" s="8">
        <v>0.10802065855393264</v>
      </c>
      <c r="HN40" s="8">
        <v>0.12951815045041901</v>
      </c>
      <c r="HO40" s="8">
        <v>0.14696654655190805</v>
      </c>
      <c r="HP40" s="8">
        <v>0.15947462514360122</v>
      </c>
      <c r="HQ40" s="8">
        <v>0.17328225951169357</v>
      </c>
      <c r="HR40" s="8">
        <v>0.19626099126872712</v>
      </c>
      <c r="HS40" s="8">
        <v>0.18505503965916478</v>
      </c>
      <c r="HT40" s="8">
        <v>0.19054691054817005</v>
      </c>
      <c r="HU40" s="8">
        <v>0.16677309082750974</v>
      </c>
      <c r="HV40" s="7">
        <v>0.15541473812647119</v>
      </c>
      <c r="HW40" s="8">
        <v>0.13518643268045277</v>
      </c>
      <c r="HX40" s="8">
        <v>0.13376287991395408</v>
      </c>
      <c r="HY40" s="8">
        <v>8.3277442321201225E-2</v>
      </c>
      <c r="HZ40" s="8">
        <v>8.0611764485647441E-2</v>
      </c>
      <c r="IA40" s="8">
        <v>7.4054254896215491E-2</v>
      </c>
      <c r="IB40" s="8">
        <v>7.1408909394804432E-2</v>
      </c>
      <c r="IC40" s="8">
        <v>7.4778712985939161E-2</v>
      </c>
      <c r="ID40" s="8">
        <v>7.6948256302860896E-2</v>
      </c>
      <c r="IE40" s="8">
        <v>9.5413132615640731E-2</v>
      </c>
      <c r="IF40" s="8">
        <v>0.10360979030498556</v>
      </c>
      <c r="IG40" s="8">
        <v>9.1313468952136018E-2</v>
      </c>
      <c r="IH40" s="8">
        <v>8.9932626313572975E-2</v>
      </c>
      <c r="II40" s="8">
        <v>5.7353662239816985E-2</v>
      </c>
      <c r="IJ40" s="8">
        <v>6.3648627821513246E-2</v>
      </c>
      <c r="IK40" s="8">
        <v>5.9698117620824324E-2</v>
      </c>
      <c r="IL40" s="8">
        <v>5.4264729970529509E-2</v>
      </c>
      <c r="IM40" s="8">
        <v>5.7343893093548856E-2</v>
      </c>
      <c r="IN40" s="8">
        <v>6.1040781592021781E-2</v>
      </c>
      <c r="IO40" s="8">
        <v>5.9516215164199339E-2</v>
      </c>
      <c r="IP40" s="8">
        <v>5.4076311615378771E-2</v>
      </c>
      <c r="IQ40" s="8">
        <v>4.8548923075977822E-2</v>
      </c>
      <c r="IR40" s="8">
        <v>5.7356348937196273E-2</v>
      </c>
      <c r="JB40" s="6" t="s">
        <v>197</v>
      </c>
      <c r="JC40" s="8">
        <v>0.65743004903919311</v>
      </c>
      <c r="JD40" s="8">
        <v>0.6464493265844159</v>
      </c>
      <c r="JE40" s="7">
        <v>0.64826564134837938</v>
      </c>
      <c r="JF40" s="8">
        <v>0.64518677565449267</v>
      </c>
      <c r="JG40" s="8">
        <v>0.63534701308184205</v>
      </c>
      <c r="JH40" s="8">
        <v>0.62381492460656029</v>
      </c>
      <c r="JI40" s="8">
        <v>0.62353144451753528</v>
      </c>
      <c r="JJ40" s="8">
        <v>0.62858968051890773</v>
      </c>
      <c r="JK40" s="8">
        <v>0.65002332383585237</v>
      </c>
      <c r="JL40" s="8">
        <v>0.65199981285161657</v>
      </c>
      <c r="JM40" s="8">
        <v>0.60516328943015785</v>
      </c>
      <c r="JN40" s="7">
        <v>0.6014488747318163</v>
      </c>
      <c r="JO40" s="8">
        <v>0.61100887993734754</v>
      </c>
      <c r="JP40" s="8">
        <v>0.60862358692346985</v>
      </c>
      <c r="JQ40" s="8">
        <v>0.59288188274494336</v>
      </c>
      <c r="JR40" s="8">
        <v>0.57788071703502986</v>
      </c>
      <c r="JS40" s="8">
        <v>0.56828605225596585</v>
      </c>
      <c r="JT40" s="8">
        <v>0.57017474923862754</v>
      </c>
      <c r="JU40" s="8">
        <v>0.59657296094755186</v>
      </c>
      <c r="JV40" s="8">
        <v>0.62164308522707368</v>
      </c>
      <c r="JW40" s="7">
        <v>0.45895168827169597</v>
      </c>
      <c r="JX40" s="8">
        <v>0.45404555444999217</v>
      </c>
      <c r="JY40" s="8">
        <v>0.46903654886793233</v>
      </c>
      <c r="JZ40" s="8">
        <v>0.46925332740645431</v>
      </c>
      <c r="KA40" s="8">
        <v>0.4635425437706186</v>
      </c>
      <c r="KB40" s="8">
        <v>0.47907584977964496</v>
      </c>
      <c r="KC40" s="8">
        <v>0.49251005943291248</v>
      </c>
      <c r="KD40" s="8">
        <v>0.49253148467293761</v>
      </c>
      <c r="KE40" s="8">
        <v>0.49064491298493079</v>
      </c>
      <c r="KF40" s="7">
        <v>0.47814032071745077</v>
      </c>
      <c r="KG40" s="7">
        <v>0.35399580961941385</v>
      </c>
      <c r="KH40" s="8">
        <v>0.33843263722860711</v>
      </c>
      <c r="KI40" s="8">
        <v>0.34361096199932917</v>
      </c>
      <c r="KJ40" s="8">
        <v>0.32310074716590992</v>
      </c>
      <c r="KK40" s="8">
        <v>0.3151854184560694</v>
      </c>
      <c r="KL40" s="8">
        <v>0.32582829233975968</v>
      </c>
      <c r="KM40" s="8">
        <v>0.33818851654015863</v>
      </c>
      <c r="KN40" s="8">
        <v>0.34635711082247123</v>
      </c>
      <c r="KO40" s="8">
        <v>0.35522654619616995</v>
      </c>
      <c r="KP40" s="7">
        <v>0.35403160618237089</v>
      </c>
      <c r="KQ40" s="8">
        <v>0.58543550469993322</v>
      </c>
      <c r="KR40" s="7">
        <v>0.58145248394307869</v>
      </c>
      <c r="KS40" s="8">
        <v>0.59076335252537759</v>
      </c>
      <c r="KT40" s="8">
        <v>0.60431533918932068</v>
      </c>
      <c r="KU40" s="8">
        <v>0.60158443065879519</v>
      </c>
      <c r="KV40" s="8">
        <v>0.59100511522239008</v>
      </c>
      <c r="KW40" s="8">
        <v>0.59425028720758233</v>
      </c>
      <c r="KX40" s="8">
        <v>0.60081217146771115</v>
      </c>
      <c r="KY40" s="7">
        <v>0.6126558601424259</v>
      </c>
      <c r="KZ40" s="8">
        <v>0.61659428158254115</v>
      </c>
      <c r="LA40" s="8">
        <v>0.72526257118001991</v>
      </c>
      <c r="LB40" s="8">
        <v>0.72176620391294433</v>
      </c>
      <c r="LC40" s="7">
        <v>0.71233523384074748</v>
      </c>
      <c r="LD40" s="8">
        <v>0.69714194654131179</v>
      </c>
      <c r="LE40" s="8">
        <v>0.69123365164494022</v>
      </c>
      <c r="LF40" s="8">
        <v>0.69309780334306481</v>
      </c>
      <c r="LG40" s="8">
        <v>0.68917425268643473</v>
      </c>
      <c r="LH40" s="7">
        <v>0.70015672152166319</v>
      </c>
      <c r="LI40" s="8">
        <v>0.72037818723691671</v>
      </c>
      <c r="LJ40" s="8">
        <v>0.72303168719972999</v>
      </c>
      <c r="LL40" s="6" t="s">
        <v>198</v>
      </c>
      <c r="LM40" s="6" t="s">
        <v>160</v>
      </c>
      <c r="LN40" s="6" t="s">
        <v>161</v>
      </c>
      <c r="LO40" s="8">
        <v>0.5731636936631419</v>
      </c>
    </row>
    <row r="41" spans="2:327" x14ac:dyDescent="0.45">
      <c r="B41" s="3" t="s">
        <v>199</v>
      </c>
      <c r="C41" s="3" t="s">
        <v>151</v>
      </c>
      <c r="D41" s="5">
        <v>0.21542261193381718</v>
      </c>
      <c r="E41" s="5">
        <v>0.22100282726123721</v>
      </c>
      <c r="F41" s="5">
        <v>0.22052930137720539</v>
      </c>
      <c r="G41" s="5">
        <v>0.22050394309669755</v>
      </c>
      <c r="H41" s="5">
        <v>0.22881119046611442</v>
      </c>
      <c r="I41" s="5">
        <v>0.24483005388927573</v>
      </c>
      <c r="J41" s="5">
        <v>0.25931106564002776</v>
      </c>
      <c r="K41" s="5">
        <v>0.24967516674333648</v>
      </c>
      <c r="L41" s="5">
        <v>0.22387926103656838</v>
      </c>
      <c r="M41" s="5">
        <v>0.22204428490922426</v>
      </c>
      <c r="N41" s="5">
        <v>0.23718622993770461</v>
      </c>
      <c r="O41" s="5">
        <v>0.2505107209020046</v>
      </c>
      <c r="P41" s="5">
        <v>0.24301152292808098</v>
      </c>
      <c r="Q41" s="5">
        <v>0.23932516865564429</v>
      </c>
      <c r="R41" s="5">
        <v>0.2520182658772806</v>
      </c>
      <c r="S41" s="5">
        <v>0.27658430512817322</v>
      </c>
      <c r="T41" s="5">
        <v>0.29916041621316308</v>
      </c>
      <c r="U41" s="5">
        <v>0.29389773321581392</v>
      </c>
      <c r="V41" s="5">
        <v>0.27504155454707391</v>
      </c>
      <c r="W41" s="5">
        <v>0.23797169344343228</v>
      </c>
      <c r="X41" s="5">
        <v>0.35417790289803647</v>
      </c>
      <c r="Y41" s="5">
        <v>0.36786535090806538</v>
      </c>
      <c r="Z41" s="5">
        <v>0.37763658045251897</v>
      </c>
      <c r="AA41" s="5">
        <v>0.37230709244686683</v>
      </c>
      <c r="AB41" s="5">
        <v>0.37439204887085392</v>
      </c>
      <c r="AC41" s="5">
        <v>0.35289982188176666</v>
      </c>
      <c r="AD41" s="5">
        <v>0.34269127775847669</v>
      </c>
      <c r="AE41" s="5">
        <v>0.33347195345756442</v>
      </c>
      <c r="AF41" s="5">
        <v>0.33350914774199492</v>
      </c>
      <c r="AG41" s="5">
        <v>0.33752607858114991</v>
      </c>
      <c r="AH41" s="5">
        <v>0.33334326463123887</v>
      </c>
      <c r="AI41" s="5">
        <v>0.36313454141846613</v>
      </c>
      <c r="AJ41" s="5">
        <v>0.38548843706601904</v>
      </c>
      <c r="AK41" s="5">
        <v>0.39820219742892565</v>
      </c>
      <c r="AL41" s="5">
        <v>0.38034489105486985</v>
      </c>
      <c r="AM41" s="5">
        <v>0.37200755980932387</v>
      </c>
      <c r="AN41" s="5">
        <v>0.35370853714351502</v>
      </c>
      <c r="AO41" s="5">
        <v>0.33219570416525041</v>
      </c>
      <c r="AP41" s="5">
        <v>0.32486973334732078</v>
      </c>
      <c r="AQ41" s="5">
        <v>0.31424123139749432</v>
      </c>
      <c r="AR41" s="5">
        <v>0.21155017131185053</v>
      </c>
      <c r="AS41" s="5">
        <v>0.24357984247876951</v>
      </c>
      <c r="AT41" s="5">
        <v>0.25888475646640585</v>
      </c>
      <c r="AU41" s="5">
        <v>0.25456010676911667</v>
      </c>
      <c r="AV41" s="5">
        <v>0.24850723242025402</v>
      </c>
      <c r="AW41" s="5">
        <v>0.24845819685284778</v>
      </c>
      <c r="AX41" s="5">
        <v>0.23571117767287031</v>
      </c>
      <c r="AY41" s="5">
        <v>0.21237593496489859</v>
      </c>
      <c r="AZ41" s="5">
        <v>0.20532661654503151</v>
      </c>
      <c r="BA41" s="5">
        <v>0.18915453661294288</v>
      </c>
      <c r="BB41" s="5">
        <v>0.20096819768237567</v>
      </c>
      <c r="BC41" s="5">
        <v>0.18841670566162555</v>
      </c>
      <c r="BD41" s="5">
        <v>0.18194148462835533</v>
      </c>
      <c r="BE41" s="5">
        <v>0.18837230052210224</v>
      </c>
      <c r="BF41" s="5">
        <v>0.21392520874196713</v>
      </c>
      <c r="BG41" s="5">
        <v>0.22363979632760125</v>
      </c>
      <c r="BH41" s="5">
        <v>0.23143504238842091</v>
      </c>
      <c r="BI41" s="5">
        <v>0.22688769750426616</v>
      </c>
      <c r="BJ41" s="5">
        <v>0.20604203192072432</v>
      </c>
      <c r="BK41" s="5">
        <v>0.20876171525600434</v>
      </c>
      <c r="BM41" s="3" t="s">
        <v>199</v>
      </c>
      <c r="BN41" s="3" t="s">
        <v>152</v>
      </c>
      <c r="BO41" s="5">
        <v>1.4558673127253461E-2</v>
      </c>
      <c r="BP41" s="5">
        <v>2.0815535718042271E-3</v>
      </c>
      <c r="BQ41" s="4">
        <v>9.7472254129677537E-3</v>
      </c>
      <c r="BR41" s="5">
        <v>1.5797256517289172E-2</v>
      </c>
      <c r="BS41" s="5">
        <v>1.6967193976410038E-2</v>
      </c>
      <c r="BT41" s="5">
        <v>8.6208978183574328E-3</v>
      </c>
      <c r="BU41" s="4">
        <v>1.9678599159661272E-2</v>
      </c>
      <c r="BV41" s="5">
        <v>2.180959216880048E-2</v>
      </c>
      <c r="BW41" s="4">
        <v>9.4196061169540147E-3</v>
      </c>
      <c r="BX41" s="5">
        <v>8.4321683808404393E-3</v>
      </c>
      <c r="BY41" s="4">
        <v>1.4014156219502772E-2</v>
      </c>
      <c r="BZ41" s="4">
        <v>1.0599072276778195E-2</v>
      </c>
      <c r="CA41" s="4">
        <v>1.6411454206156254E-2</v>
      </c>
      <c r="CB41" s="4">
        <v>1.2577821708054016E-2</v>
      </c>
      <c r="CC41" s="4">
        <v>1.0995160113737065E-2</v>
      </c>
      <c r="CD41" s="5">
        <v>2.0565933092153103E-2</v>
      </c>
      <c r="CE41" s="4">
        <v>2.233076270410652E-2</v>
      </c>
      <c r="CF41" s="5">
        <v>9.9568310251118598E-3</v>
      </c>
      <c r="CG41" s="4">
        <v>4.5407020527146718E-3</v>
      </c>
      <c r="CH41" s="5">
        <v>5.4071558523167886E-3</v>
      </c>
      <c r="CI41" s="5">
        <v>1.6367991387719865E-2</v>
      </c>
      <c r="CJ41" s="4">
        <v>8.3086255934400905E-3</v>
      </c>
      <c r="CK41" s="5">
        <v>1.8709936377335794E-2</v>
      </c>
      <c r="CL41" s="4">
        <v>2.4036123359531598E-2</v>
      </c>
      <c r="CM41" s="5">
        <v>2.3934268553747241E-2</v>
      </c>
      <c r="CN41" s="5">
        <v>3.2442319323685999E-2</v>
      </c>
      <c r="CO41" s="5">
        <v>3.0604233272846327E-2</v>
      </c>
      <c r="CP41" s="5">
        <v>2.2327477434225147E-2</v>
      </c>
      <c r="CQ41" s="5">
        <v>2.0887263834604729E-2</v>
      </c>
      <c r="CR41" s="5">
        <v>3.2347848380698603E-2</v>
      </c>
      <c r="CS41" s="5">
        <v>3.1111786979636267E-2</v>
      </c>
      <c r="CT41" s="5">
        <v>3.6950940154728683E-2</v>
      </c>
      <c r="CU41" s="4">
        <v>3.5216733894896719E-2</v>
      </c>
      <c r="CV41" s="4">
        <v>3.8687126128480652E-2</v>
      </c>
      <c r="CW41" s="5">
        <v>3.7782842162382119E-2</v>
      </c>
      <c r="CX41" s="4">
        <v>2.8262817361006963E-2</v>
      </c>
      <c r="CY41" s="4">
        <v>5.9957992750011832E-2</v>
      </c>
      <c r="CZ41" s="4">
        <v>2.6981711020532591E-2</v>
      </c>
      <c r="DA41" s="4">
        <v>4.372943374778504E-2</v>
      </c>
      <c r="DB41" s="5">
        <v>4.407392774581597E-2</v>
      </c>
      <c r="DC41" s="5">
        <v>1.3245138753993397E-2</v>
      </c>
      <c r="DD41" s="4">
        <v>1.1156649774493406E-2</v>
      </c>
      <c r="DE41" s="4">
        <v>2.617099160969958E-2</v>
      </c>
      <c r="DF41" s="5">
        <v>3.9590995452432019E-2</v>
      </c>
      <c r="DG41" s="5">
        <v>1.2077643706921545E-2</v>
      </c>
      <c r="DH41" s="4">
        <v>1.0366924987789107E-2</v>
      </c>
      <c r="DI41" s="4">
        <v>8.3371141370305463E-3</v>
      </c>
      <c r="DJ41" s="4">
        <v>8.6623809090924115E-3</v>
      </c>
      <c r="DK41" s="4">
        <v>9.7770784517002551E-3</v>
      </c>
      <c r="DL41" s="5">
        <v>1.1636307120825123E-2</v>
      </c>
      <c r="DM41" s="5">
        <v>3.7128460904068215E-3</v>
      </c>
      <c r="DN41" s="5">
        <v>4.6769949837539094E-3</v>
      </c>
      <c r="DO41" s="5">
        <v>1.0756340187952749E-2</v>
      </c>
      <c r="DP41" s="5">
        <v>1.5694378139701707E-2</v>
      </c>
      <c r="DQ41" s="5">
        <v>1.5335817496293341E-2</v>
      </c>
      <c r="DR41" s="5">
        <v>1.8349471678620374E-2</v>
      </c>
      <c r="DS41" s="5">
        <v>1.505674532332109E-2</v>
      </c>
      <c r="DT41" s="4">
        <v>1.9511147535924256E-2</v>
      </c>
      <c r="DU41" s="5">
        <v>1.4050199776364338E-2</v>
      </c>
      <c r="DV41" s="5">
        <v>1.192825192591023E-2</v>
      </c>
      <c r="DX41" s="3" t="s">
        <v>199</v>
      </c>
      <c r="DY41" s="3" t="s">
        <v>153</v>
      </c>
      <c r="DZ41" s="4">
        <v>8.5604862215600003E-3</v>
      </c>
      <c r="EA41" s="5">
        <v>2.517691027822434E-2</v>
      </c>
      <c r="EB41" s="5">
        <v>1.9865025354750394E-2</v>
      </c>
      <c r="EC41" s="5">
        <v>7.7728133452637134E-3</v>
      </c>
      <c r="ED41" s="4">
        <v>9.6485585817525851E-3</v>
      </c>
      <c r="EE41" s="5">
        <v>2.7949397037633657E-2</v>
      </c>
      <c r="EF41" s="4">
        <v>2.1200353112490019E-2</v>
      </c>
      <c r="EG41" s="5">
        <v>1.119095011163981E-2</v>
      </c>
      <c r="EH41" s="5">
        <v>1.6355840585129122E-2</v>
      </c>
      <c r="EI41" s="5">
        <v>2.2029747840498114E-2</v>
      </c>
      <c r="EJ41" s="5">
        <v>7.859685671344591E-3</v>
      </c>
      <c r="EK41" s="5">
        <v>1.7873103463528398E-2</v>
      </c>
      <c r="EL41" s="5">
        <v>1.2461235333977224E-2</v>
      </c>
      <c r="EM41" s="5">
        <v>8.8228307953060608E-3</v>
      </c>
      <c r="EN41" s="5">
        <v>1.7434303875998276E-2</v>
      </c>
      <c r="EO41" s="4">
        <v>1.6805388940337028E-2</v>
      </c>
      <c r="EP41" s="4">
        <v>1.5901848976593282E-2</v>
      </c>
      <c r="EQ41" s="4">
        <v>2.7198432547183852E-2</v>
      </c>
      <c r="ER41" s="4">
        <v>2.7327731325021341E-2</v>
      </c>
      <c r="ES41" s="4">
        <v>9.6756294184461456E-3</v>
      </c>
      <c r="ET41" s="5">
        <v>4.2617885559963209E-2</v>
      </c>
      <c r="EU41" s="5">
        <v>2.3055462129585279E-2</v>
      </c>
      <c r="EV41" s="5">
        <v>1.3111156970738868E-2</v>
      </c>
      <c r="EW41" s="5">
        <v>1.622277398949978E-2</v>
      </c>
      <c r="EX41" s="4">
        <v>2.813331742354561E-2</v>
      </c>
      <c r="EY41" s="5">
        <v>3.0781009499844091E-2</v>
      </c>
      <c r="EZ41" s="5">
        <v>3.5824338759685929E-2</v>
      </c>
      <c r="FA41" s="5">
        <v>3.3494371519418357E-2</v>
      </c>
      <c r="FB41" s="5">
        <v>3.1239945467720357E-2</v>
      </c>
      <c r="FC41" s="5">
        <v>2.6322547530966394E-2</v>
      </c>
      <c r="FD41" s="5">
        <v>3.9981454347388805E-2</v>
      </c>
      <c r="FE41" s="5">
        <v>3.8304146420740946E-2</v>
      </c>
      <c r="FF41" s="5">
        <v>5.1935095804894228E-2</v>
      </c>
      <c r="FG41" s="5">
        <v>5.187071624357243E-2</v>
      </c>
      <c r="FH41" s="4">
        <v>4.8611928994503617E-2</v>
      </c>
      <c r="FI41" s="5">
        <v>4.7933109546118388E-2</v>
      </c>
      <c r="FJ41" s="5">
        <v>1.7086329331740504E-2</v>
      </c>
      <c r="FK41" s="5">
        <v>3.5961210479294473E-2</v>
      </c>
      <c r="FL41" s="5">
        <v>4.720464237878251E-2</v>
      </c>
      <c r="FM41" s="4">
        <v>3.8865371694287776E-2</v>
      </c>
      <c r="FN41" s="5">
        <v>2.2236907124337301E-2</v>
      </c>
      <c r="FO41" s="5">
        <v>2.0653529763565458E-2</v>
      </c>
      <c r="FP41" s="4">
        <v>1.4501519295055066E-2</v>
      </c>
      <c r="FQ41" s="4">
        <v>1.0368236289775491E-2</v>
      </c>
      <c r="FR41" s="4">
        <v>3.4578628844376645E-2</v>
      </c>
      <c r="FS41" s="4">
        <v>3.9824044075994325E-2</v>
      </c>
      <c r="FT41" s="5">
        <v>3.1474115456792635E-2</v>
      </c>
      <c r="FU41" s="5">
        <v>3.3269471938487658E-3</v>
      </c>
      <c r="FV41" s="4">
        <v>5.6715447201132778E-3</v>
      </c>
      <c r="FW41" s="5">
        <v>6.8911326058221306E-3</v>
      </c>
      <c r="FX41" s="5">
        <v>1.5198017727034918E-2</v>
      </c>
      <c r="FY41" s="5">
        <v>7.7286915462063547E-3</v>
      </c>
      <c r="FZ41" s="5">
        <v>3.5949140347989422E-3</v>
      </c>
      <c r="GA41" s="5">
        <v>3.9949655318781653E-3</v>
      </c>
      <c r="GB41" s="5">
        <v>1.4020407006747247E-2</v>
      </c>
      <c r="GC41" s="5">
        <v>1.6038436409089449E-2</v>
      </c>
      <c r="GD41" s="5">
        <v>2.3277900781652136E-2</v>
      </c>
      <c r="GE41" s="5">
        <v>1.5920921285852277E-2</v>
      </c>
      <c r="GF41" s="5">
        <v>1.4830828483682133E-2</v>
      </c>
      <c r="GG41" s="5">
        <v>1.3359270797266707E-2</v>
      </c>
      <c r="GI41" s="3" t="s">
        <v>199</v>
      </c>
      <c r="GJ41" s="3" t="s">
        <v>154</v>
      </c>
      <c r="GK41" s="5">
        <v>7.9654055017607514E-2</v>
      </c>
      <c r="GL41" s="5">
        <v>8.2452812068850814E-2</v>
      </c>
      <c r="GM41" s="5">
        <v>7.2273847315838524E-2</v>
      </c>
      <c r="GN41" s="5">
        <v>7.9847897705098675E-2</v>
      </c>
      <c r="GO41" s="5">
        <v>8.5992199384712642E-2</v>
      </c>
      <c r="GP41" s="5">
        <v>8.8623467581637833E-2</v>
      </c>
      <c r="GQ41" s="5">
        <v>9.2997561941414966E-2</v>
      </c>
      <c r="GR41" s="5">
        <v>9.7257529794338882E-2</v>
      </c>
      <c r="GS41" s="5">
        <v>8.6905768358636323E-2</v>
      </c>
      <c r="GT41" s="5">
        <v>7.6670975010140155E-2</v>
      </c>
      <c r="GU41" s="5">
        <v>9.5297708706714099E-2</v>
      </c>
      <c r="GV41" s="5">
        <v>8.979280744945109E-2</v>
      </c>
      <c r="GW41" s="5">
        <v>8.6049100199131173E-2</v>
      </c>
      <c r="GX41" s="5">
        <v>9.5948342787680427E-2</v>
      </c>
      <c r="GY41" s="5">
        <v>0.10316171834205778</v>
      </c>
      <c r="GZ41" s="5">
        <v>0.11337252325602691</v>
      </c>
      <c r="HA41" s="4">
        <v>0.11914519751858532</v>
      </c>
      <c r="HB41" s="5">
        <v>0.11853833359031182</v>
      </c>
      <c r="HC41" s="5">
        <v>0.11057588847358918</v>
      </c>
      <c r="HD41" s="5">
        <v>0.1001859444299749</v>
      </c>
      <c r="HE41" s="5">
        <v>0.16017333123439584</v>
      </c>
      <c r="HF41" s="5">
        <v>0.18745444024337557</v>
      </c>
      <c r="HG41" s="5">
        <v>0.18468724065635023</v>
      </c>
      <c r="HH41" s="5">
        <v>0.18141337181507386</v>
      </c>
      <c r="HI41" s="5">
        <v>0.16073641001210529</v>
      </c>
      <c r="HJ41" s="5">
        <v>0.13599013813104796</v>
      </c>
      <c r="HK41" s="5">
        <v>0.13033682096651497</v>
      </c>
      <c r="HL41" s="4">
        <v>0.13659701936654309</v>
      </c>
      <c r="HM41" s="5">
        <v>0.13629604076995677</v>
      </c>
      <c r="HN41" s="5">
        <v>0.13639847095580426</v>
      </c>
      <c r="HO41" s="5">
        <v>0.13337254608215773</v>
      </c>
      <c r="HP41" s="5">
        <v>0.16168113797119607</v>
      </c>
      <c r="HQ41" s="5">
        <v>0.16199970720871917</v>
      </c>
      <c r="HR41" s="5">
        <v>0.18707178111394276</v>
      </c>
      <c r="HS41" s="5">
        <v>0.17304683451905725</v>
      </c>
      <c r="HT41" s="5">
        <v>0.15401368202546978</v>
      </c>
      <c r="HU41" s="5">
        <v>0.14135663133831952</v>
      </c>
      <c r="HV41" s="4">
        <v>0.14586270484876901</v>
      </c>
      <c r="HW41" s="5">
        <v>0.12090217918732787</v>
      </c>
      <c r="HX41" s="5">
        <v>0.10732321297679077</v>
      </c>
      <c r="HY41" s="5">
        <v>8.2284968628573665E-2</v>
      </c>
      <c r="HZ41" s="5">
        <v>9.7507770086277173E-2</v>
      </c>
      <c r="IA41" s="5">
        <v>8.5517915340232203E-2</v>
      </c>
      <c r="IB41" s="5">
        <v>7.7235951355470595E-2</v>
      </c>
      <c r="IC41" s="5">
        <v>8.1593323231825596E-2</v>
      </c>
      <c r="ID41" s="5">
        <v>7.60885442426779E-2</v>
      </c>
      <c r="IE41" s="5">
        <v>8.6779083655540906E-2</v>
      </c>
      <c r="IF41" s="5">
        <v>9.888992016719686E-2</v>
      </c>
      <c r="IG41" s="5">
        <v>8.7225243170259648E-2</v>
      </c>
      <c r="IH41" s="5">
        <v>7.5537195676017729E-2</v>
      </c>
      <c r="II41" s="5">
        <v>6.7882982017968774E-2</v>
      </c>
      <c r="IJ41" s="5">
        <v>7.1889246142999796E-2</v>
      </c>
      <c r="IK41" s="5">
        <v>6.9216812327808297E-2</v>
      </c>
      <c r="IL41" s="5">
        <v>6.9845783419323113E-2</v>
      </c>
      <c r="IM41" s="5">
        <v>7.2150364253977917E-2</v>
      </c>
      <c r="IN41" s="5">
        <v>7.3563191126852598E-2</v>
      </c>
      <c r="IO41" s="5">
        <v>6.5097240651850116E-2</v>
      </c>
      <c r="IP41" s="5">
        <v>7.13136451509844E-2</v>
      </c>
      <c r="IQ41" s="5">
        <v>5.8736410381249514E-2</v>
      </c>
      <c r="IR41" s="5">
        <v>6.3395166529844532E-2</v>
      </c>
      <c r="JB41" s="3" t="s">
        <v>199</v>
      </c>
      <c r="JC41" s="5">
        <v>0.65076560265282524</v>
      </c>
      <c r="JD41" s="5">
        <v>0.63428453556872111</v>
      </c>
      <c r="JE41" s="4">
        <v>0.65257970007186417</v>
      </c>
      <c r="JF41" s="5">
        <v>0.65159989535025464</v>
      </c>
      <c r="JG41" s="5">
        <v>0.63318330315562388</v>
      </c>
      <c r="JH41" s="5">
        <v>0.61484063827677771</v>
      </c>
      <c r="JI41" s="5">
        <v>0.60860556781046959</v>
      </c>
      <c r="JJ41" s="5">
        <v>0.61404214306755778</v>
      </c>
      <c r="JK41" s="5">
        <v>0.64233452513447076</v>
      </c>
      <c r="JL41" s="5">
        <v>0.64100364183640091</v>
      </c>
      <c r="JM41" s="5">
        <v>0.62093469843395011</v>
      </c>
      <c r="JN41" s="4">
        <v>0.6149068110523529</v>
      </c>
      <c r="JO41" s="5">
        <v>0.62447402409024033</v>
      </c>
      <c r="JP41" s="5">
        <v>0.61588645066942849</v>
      </c>
      <c r="JQ41" s="5">
        <v>0.58865411841220472</v>
      </c>
      <c r="JR41" s="5">
        <v>0.56241909784351596</v>
      </c>
      <c r="JS41" s="5">
        <v>0.55186395463146698</v>
      </c>
      <c r="JT41" s="5">
        <v>0.55043341891971886</v>
      </c>
      <c r="JU41" s="5">
        <v>0.57314210137940003</v>
      </c>
      <c r="JV41" s="5">
        <v>0.61806932645168999</v>
      </c>
      <c r="JW41" s="4">
        <v>0.45567451365004558</v>
      </c>
      <c r="JX41" s="5">
        <v>0.4455303339232129</v>
      </c>
      <c r="JY41" s="5">
        <v>0.4546910722541489</v>
      </c>
      <c r="JZ41" s="5">
        <v>0.45438693208657388</v>
      </c>
      <c r="KA41" s="5">
        <v>0.45654727705517029</v>
      </c>
      <c r="KB41" s="5">
        <v>0.47517283540016653</v>
      </c>
      <c r="KC41" s="5">
        <v>0.47124305581028864</v>
      </c>
      <c r="KD41" s="5">
        <v>0.4736668099966892</v>
      </c>
      <c r="KE41" s="5">
        <v>0.47738359903791755</v>
      </c>
      <c r="KF41" s="4">
        <v>0.4718708750992463</v>
      </c>
      <c r="KG41" s="4">
        <v>0.35451108058533332</v>
      </c>
      <c r="KH41" s="5">
        <v>0.33626774659426273</v>
      </c>
      <c r="KI41" s="5">
        <v>0.33624296809089166</v>
      </c>
      <c r="KJ41" s="5">
        <v>0.3156410122448019</v>
      </c>
      <c r="KK41" s="5">
        <v>0.30943692553331531</v>
      </c>
      <c r="KL41" s="5">
        <v>0.32686719547449339</v>
      </c>
      <c r="KM41" s="5">
        <v>0.34587621189182061</v>
      </c>
      <c r="KN41" s="5">
        <v>0.35910623222878851</v>
      </c>
      <c r="KO41" s="5">
        <v>0.3622459705142746</v>
      </c>
      <c r="KP41" s="4">
        <v>0.36105260177197335</v>
      </c>
      <c r="KQ41" s="5">
        <v>0.60331365924083746</v>
      </c>
      <c r="KR41" s="4">
        <v>0.58645264270240172</v>
      </c>
      <c r="KS41" s="5">
        <v>0.59666370458726237</v>
      </c>
      <c r="KT41" s="5">
        <v>0.60109371437088377</v>
      </c>
      <c r="KU41" s="5">
        <v>0.6079379266947269</v>
      </c>
      <c r="KV41" s="5">
        <v>0.60656716553763956</v>
      </c>
      <c r="KW41" s="5">
        <v>0.61324819234666794</v>
      </c>
      <c r="KX41" s="5">
        <v>0.62444083683311957</v>
      </c>
      <c r="KY41" s="4">
        <v>0.63394133112540707</v>
      </c>
      <c r="KZ41" s="5">
        <v>0.65158181871941501</v>
      </c>
      <c r="LA41" s="5">
        <v>0.71396713631215869</v>
      </c>
      <c r="LB41" s="5">
        <v>0.70887313321590484</v>
      </c>
      <c r="LC41" s="4">
        <v>0.71076733344312248</v>
      </c>
      <c r="LD41" s="5">
        <v>0.69475941959895404</v>
      </c>
      <c r="LE41" s="5">
        <v>0.66520093765200605</v>
      </c>
      <c r="LF41" s="5">
        <v>0.66611260450787935</v>
      </c>
      <c r="LG41" s="5">
        <v>0.66575364905272016</v>
      </c>
      <c r="LH41" s="4">
        <v>0.66923772909920609</v>
      </c>
      <c r="LI41" s="5">
        <v>0.70535222398475406</v>
      </c>
      <c r="LJ41" s="5">
        <v>0.7128999712707742</v>
      </c>
      <c r="LL41" s="3" t="s">
        <v>200</v>
      </c>
      <c r="LM41" s="3" t="s">
        <v>160</v>
      </c>
      <c r="LN41" s="3" t="s">
        <v>161</v>
      </c>
      <c r="LO41" s="5">
        <v>0.57148216069957736</v>
      </c>
    </row>
    <row r="42" spans="2:327" x14ac:dyDescent="0.45">
      <c r="B42" s="6" t="s">
        <v>201</v>
      </c>
      <c r="C42" s="6" t="s">
        <v>151</v>
      </c>
      <c r="D42" s="8">
        <v>0.37553733712285187</v>
      </c>
      <c r="E42" s="8">
        <v>0.36260098850184341</v>
      </c>
      <c r="F42" s="8">
        <v>0.36153621506194089</v>
      </c>
      <c r="G42" s="8">
        <v>0.3661706354844998</v>
      </c>
      <c r="H42" s="8">
        <v>0.37943465159231826</v>
      </c>
      <c r="I42" s="8">
        <v>0.3895512344253953</v>
      </c>
      <c r="J42" s="8">
        <v>0.37780634408488445</v>
      </c>
      <c r="K42" s="8">
        <v>0.35523968415580892</v>
      </c>
      <c r="L42" s="8">
        <v>0.36196741951182193</v>
      </c>
      <c r="M42" s="8">
        <v>0.38293616580243867</v>
      </c>
      <c r="N42" s="8">
        <v>0.36747955798725263</v>
      </c>
      <c r="O42" s="8">
        <v>0.36064495238731337</v>
      </c>
      <c r="P42" s="8">
        <v>0.3653083638802907</v>
      </c>
      <c r="Q42" s="8">
        <v>0.34511668907627879</v>
      </c>
      <c r="R42" s="8">
        <v>0.34798582124806965</v>
      </c>
      <c r="S42" s="8">
        <v>0.35627531096059933</v>
      </c>
      <c r="T42" s="8">
        <v>0.35501372641834805</v>
      </c>
      <c r="U42" s="8">
        <v>0.34250479088603064</v>
      </c>
      <c r="V42" s="8">
        <v>0.33519024973199379</v>
      </c>
      <c r="W42" s="8">
        <v>0.34074282975662518</v>
      </c>
      <c r="X42" s="8">
        <v>0.37445783622811651</v>
      </c>
      <c r="Y42" s="8">
        <v>0.39105954235709661</v>
      </c>
      <c r="Z42" s="8">
        <v>0.43517219436391064</v>
      </c>
      <c r="AA42" s="8">
        <v>0.44312773107304126</v>
      </c>
      <c r="AB42" s="8">
        <v>0.42473605158221189</v>
      </c>
      <c r="AC42" s="8">
        <v>0.40201911826486181</v>
      </c>
      <c r="AD42" s="8">
        <v>0.37976864278054706</v>
      </c>
      <c r="AE42" s="8">
        <v>0.37207067039392788</v>
      </c>
      <c r="AF42" s="8">
        <v>0.35756098080503068</v>
      </c>
      <c r="AG42" s="8">
        <v>0.36248117015690945</v>
      </c>
      <c r="AH42" s="8">
        <v>0.36678083866058653</v>
      </c>
      <c r="AI42" s="8">
        <v>0.36407769890797798</v>
      </c>
      <c r="AJ42" s="8">
        <v>0.39976236101588003</v>
      </c>
      <c r="AK42" s="8">
        <v>0.42083793390254054</v>
      </c>
      <c r="AL42" s="8">
        <v>0.42808671558763811</v>
      </c>
      <c r="AM42" s="8">
        <v>0.43296108728864174</v>
      </c>
      <c r="AN42" s="8">
        <v>0.41402957227095782</v>
      </c>
      <c r="AO42" s="8">
        <v>0.37578360749820411</v>
      </c>
      <c r="AP42" s="8">
        <v>0.32601281034083429</v>
      </c>
      <c r="AQ42" s="8">
        <v>0.33273056006662372</v>
      </c>
      <c r="AR42" s="8">
        <v>0.28396620120653637</v>
      </c>
      <c r="AS42" s="8">
        <v>0.2972736695503343</v>
      </c>
      <c r="AT42" s="8">
        <v>0.30416336132427807</v>
      </c>
      <c r="AU42" s="8">
        <v>0.30834332727081964</v>
      </c>
      <c r="AV42" s="8">
        <v>0.30245329917139863</v>
      </c>
      <c r="AW42" s="8">
        <v>0.30378912879027992</v>
      </c>
      <c r="AX42" s="8">
        <v>0.2980431864164394</v>
      </c>
      <c r="AY42" s="8">
        <v>0.28909588928253793</v>
      </c>
      <c r="AZ42" s="8">
        <v>0.28157760704803447</v>
      </c>
      <c r="BA42" s="8">
        <v>0.28165705413701259</v>
      </c>
      <c r="BB42" s="8">
        <v>0.22432025407455861</v>
      </c>
      <c r="BC42" s="8">
        <v>0.22412497616228852</v>
      </c>
      <c r="BD42" s="8">
        <v>0.23192940850942428</v>
      </c>
      <c r="BE42" s="8">
        <v>0.24407105595627085</v>
      </c>
      <c r="BF42" s="8">
        <v>0.25340041629988458</v>
      </c>
      <c r="BG42" s="8">
        <v>0.25038729053956843</v>
      </c>
      <c r="BH42" s="8">
        <v>0.23890390306835002</v>
      </c>
      <c r="BI42" s="8">
        <v>0.23568895891509442</v>
      </c>
      <c r="BJ42" s="8">
        <v>0.22747728652768837</v>
      </c>
      <c r="BK42" s="8">
        <v>0.21866194959050828</v>
      </c>
      <c r="BM42" s="6" t="s">
        <v>201</v>
      </c>
      <c r="BN42" s="6" t="s">
        <v>152</v>
      </c>
      <c r="BO42" s="8">
        <v>2.591709551677893E-2</v>
      </c>
      <c r="BP42" s="8">
        <v>9.159718533663869E-3</v>
      </c>
      <c r="BQ42" s="7">
        <v>2.0877254723705795E-2</v>
      </c>
      <c r="BR42" s="8">
        <v>2.0774180830976603E-2</v>
      </c>
      <c r="BS42" s="8">
        <v>3.8940711067312693E-2</v>
      </c>
      <c r="BT42" s="8">
        <v>1.9146512764527428E-2</v>
      </c>
      <c r="BU42" s="7">
        <v>2.4656509615917279E-2</v>
      </c>
      <c r="BV42" s="8">
        <v>3.0386926845286748E-2</v>
      </c>
      <c r="BW42" s="7">
        <v>1.3427384070522555E-2</v>
      </c>
      <c r="BX42" s="8">
        <v>1.5522972118449914E-2</v>
      </c>
      <c r="BY42" s="7">
        <v>2.1757598392891458E-2</v>
      </c>
      <c r="BZ42" s="7">
        <v>8.7247493425662609E-4</v>
      </c>
      <c r="CA42" s="7">
        <v>6.816377287048524E-3</v>
      </c>
      <c r="CB42" s="7">
        <v>8.6244199651733747E-3</v>
      </c>
      <c r="CC42" s="7">
        <v>1.8881731508353004E-2</v>
      </c>
      <c r="CD42" s="8">
        <v>2.5372930906950534E-2</v>
      </c>
      <c r="CE42" s="7">
        <v>2.1713436691614629E-2</v>
      </c>
      <c r="CF42" s="8">
        <v>1.6776028087341147E-2</v>
      </c>
      <c r="CG42" s="7">
        <v>1.881232378921632E-2</v>
      </c>
      <c r="CH42" s="8">
        <v>1.0053177717227777E-2</v>
      </c>
      <c r="CI42" s="8">
        <v>3.7465593591226802E-2</v>
      </c>
      <c r="CJ42" s="7">
        <v>1.491518411824227E-2</v>
      </c>
      <c r="CK42" s="8">
        <v>2.8449968045973141E-2</v>
      </c>
      <c r="CL42" s="7">
        <v>4.886343161211764E-2</v>
      </c>
      <c r="CM42" s="8">
        <v>7.2096081580822662E-3</v>
      </c>
      <c r="CN42" s="8">
        <v>2.6310263159560587E-2</v>
      </c>
      <c r="CO42" s="8">
        <v>2.9992971316050047E-2</v>
      </c>
      <c r="CP42" s="8">
        <v>3.5955874187689585E-2</v>
      </c>
      <c r="CQ42" s="8">
        <v>2.9687533179865694E-2</v>
      </c>
      <c r="CR42" s="8">
        <v>2.2216405168990733E-2</v>
      </c>
      <c r="CS42" s="8">
        <v>5.6826712757456752E-2</v>
      </c>
      <c r="CT42" s="8">
        <v>3.4024370108590697E-2</v>
      </c>
      <c r="CU42" s="7">
        <v>1.7189884470206217E-2</v>
      </c>
      <c r="CV42" s="7">
        <v>4.5605337381851289E-2</v>
      </c>
      <c r="CW42" s="8">
        <v>3.3874098782710006E-2</v>
      </c>
      <c r="CX42" s="7">
        <v>1.1187756753177097E-2</v>
      </c>
      <c r="CY42" s="7">
        <v>1.9624371100181452E-2</v>
      </c>
      <c r="CZ42" s="7">
        <v>1.5008759847626063E-2</v>
      </c>
      <c r="DA42" s="7">
        <v>0</v>
      </c>
      <c r="DB42" s="8">
        <v>2.0100587300871366E-2</v>
      </c>
      <c r="DC42" s="8">
        <v>2.5799623957305829E-2</v>
      </c>
      <c r="DD42" s="7">
        <v>2.5416439185318943E-2</v>
      </c>
      <c r="DE42" s="7">
        <v>2.0906320454574117E-2</v>
      </c>
      <c r="DF42" s="8">
        <v>3.1499734991681592E-2</v>
      </c>
      <c r="DG42" s="8">
        <v>2.1977056299171835E-2</v>
      </c>
      <c r="DH42" s="7">
        <v>3.0581486178795022E-2</v>
      </c>
      <c r="DI42" s="7">
        <v>3.1882485911807625E-2</v>
      </c>
      <c r="DJ42" s="7">
        <v>2.563054991323532E-2</v>
      </c>
      <c r="DK42" s="7">
        <v>1.6989320572736891E-2</v>
      </c>
      <c r="DL42" s="8">
        <v>1.9207897238515185E-2</v>
      </c>
      <c r="DM42" s="8">
        <v>2.0467932505345798E-2</v>
      </c>
      <c r="DN42" s="8">
        <v>6.6886248861883716E-3</v>
      </c>
      <c r="DO42" s="8">
        <v>7.2927433064909975E-3</v>
      </c>
      <c r="DP42" s="8">
        <v>1.8090547925227195E-2</v>
      </c>
      <c r="DQ42" s="8">
        <v>2.5336315118886722E-2</v>
      </c>
      <c r="DR42" s="8">
        <v>1.4969402325402011E-2</v>
      </c>
      <c r="DS42" s="8">
        <v>1.5243376164264345E-2</v>
      </c>
      <c r="DT42" s="7">
        <v>1.4901945863925766E-2</v>
      </c>
      <c r="DU42" s="8">
        <v>1.0457734515069315E-2</v>
      </c>
      <c r="DV42" s="8">
        <v>2.2306461814299215E-2</v>
      </c>
      <c r="DX42" s="6" t="s">
        <v>201</v>
      </c>
      <c r="DY42" s="6" t="s">
        <v>153</v>
      </c>
      <c r="DZ42" s="7">
        <v>2.2358505540197776E-2</v>
      </c>
      <c r="EA42" s="8">
        <v>3.2699431467670369E-2</v>
      </c>
      <c r="EB42" s="8">
        <v>3.4693148091296561E-2</v>
      </c>
      <c r="EC42" s="8">
        <v>2.8279113495318191E-2</v>
      </c>
      <c r="ED42" s="7">
        <v>1.3466496018516958E-2</v>
      </c>
      <c r="EE42" s="8">
        <v>4.7359594492825244E-2</v>
      </c>
      <c r="EF42" s="7">
        <v>6.3479824860764561E-2</v>
      </c>
      <c r="EG42" s="8">
        <v>4.4364402094483259E-2</v>
      </c>
      <c r="EH42" s="8">
        <v>3.1792557684355946E-2</v>
      </c>
      <c r="EI42" s="8">
        <v>3.0518317586614534E-2</v>
      </c>
      <c r="EJ42" s="8">
        <v>2.4806391043299104E-2</v>
      </c>
      <c r="EK42" s="8">
        <v>3.3483577985595349E-2</v>
      </c>
      <c r="EL42" s="8">
        <v>3.4855558686353087E-2</v>
      </c>
      <c r="EM42" s="8">
        <v>2.0118872246060387E-2</v>
      </c>
      <c r="EN42" s="8">
        <v>0</v>
      </c>
      <c r="EO42" s="7">
        <v>3.2883159264091599E-3</v>
      </c>
      <c r="EP42" s="7">
        <v>8.5893212916222598E-3</v>
      </c>
      <c r="EQ42" s="7">
        <v>1.6600814829118331E-2</v>
      </c>
      <c r="ER42" s="7">
        <v>3.0278155244579937E-2</v>
      </c>
      <c r="ES42" s="7">
        <v>3.6578553569138535E-2</v>
      </c>
      <c r="ET42" s="8">
        <v>4.0341713704837079E-2</v>
      </c>
      <c r="EU42" s="8">
        <v>5.7552187717446718E-2</v>
      </c>
      <c r="EV42" s="8">
        <v>2.6870474752456294E-2</v>
      </c>
      <c r="EW42" s="8">
        <v>2.7856922683391013E-2</v>
      </c>
      <c r="EX42" s="7">
        <v>7.8535503332279363E-2</v>
      </c>
      <c r="EY42" s="8">
        <v>6.5126026692790481E-2</v>
      </c>
      <c r="EZ42" s="8">
        <v>2.0996482985616335E-2</v>
      </c>
      <c r="FA42" s="8">
        <v>2.552379379356251E-2</v>
      </c>
      <c r="FB42" s="8">
        <v>3.8397628859292307E-2</v>
      </c>
      <c r="FC42" s="8">
        <v>6.2712694270618041E-2</v>
      </c>
      <c r="FD42" s="8">
        <v>1.4958687760852607E-2</v>
      </c>
      <c r="FE42" s="8">
        <v>4.8807190917089495E-2</v>
      </c>
      <c r="FF42" s="8">
        <v>9.0169554763270751E-2</v>
      </c>
      <c r="FG42" s="8">
        <v>5.2448990054940033E-2</v>
      </c>
      <c r="FH42" s="7">
        <v>5.7008269522465731E-2</v>
      </c>
      <c r="FI42" s="8">
        <v>4.8073422367870842E-2</v>
      </c>
      <c r="FJ42" s="8">
        <v>2.8036091427875845E-2</v>
      </c>
      <c r="FK42" s="8">
        <v>8.3120172632414127E-3</v>
      </c>
      <c r="FL42" s="8">
        <v>1.9543298908681485E-2</v>
      </c>
      <c r="FM42" s="7">
        <v>2.07311944978525E-2</v>
      </c>
      <c r="FN42" s="8">
        <v>2.5744063722564967E-2</v>
      </c>
      <c r="FO42" s="8">
        <v>3.0736357878635302E-2</v>
      </c>
      <c r="FP42" s="7">
        <v>3.4689481916100211E-2</v>
      </c>
      <c r="FQ42" s="7">
        <v>3.1102546115799733E-2</v>
      </c>
      <c r="FR42" s="7">
        <v>1.7114324097961993E-2</v>
      </c>
      <c r="FS42" s="7">
        <v>1.862181480483174E-2</v>
      </c>
      <c r="FT42" s="8">
        <v>2.7886872205309603E-2</v>
      </c>
      <c r="FU42" s="8">
        <v>3.276601746475323E-2</v>
      </c>
      <c r="FV42" s="7">
        <v>2.2486727247900157E-2</v>
      </c>
      <c r="FW42" s="8">
        <v>1.414742717757388E-2</v>
      </c>
      <c r="FX42" s="8">
        <v>1.9315965320240852E-2</v>
      </c>
      <c r="FY42" s="8">
        <v>2.9321803611057479E-2</v>
      </c>
      <c r="FZ42" s="8">
        <v>3.08805421366097E-2</v>
      </c>
      <c r="GA42" s="8">
        <v>8.9368985101804851E-3</v>
      </c>
      <c r="GB42" s="8">
        <v>4.0711270007493458E-3</v>
      </c>
      <c r="GC42" s="8">
        <v>2.0825511205530275E-2</v>
      </c>
      <c r="GD42" s="8">
        <v>2.2506896869834515E-2</v>
      </c>
      <c r="GE42" s="8">
        <v>1.8320609458350727E-2</v>
      </c>
      <c r="GF42" s="8">
        <v>1.9909862655152384E-2</v>
      </c>
      <c r="GG42" s="8">
        <v>1.6202244711086555E-2</v>
      </c>
      <c r="GI42" s="6" t="s">
        <v>201</v>
      </c>
      <c r="GJ42" s="6" t="s">
        <v>154</v>
      </c>
      <c r="GK42" s="8">
        <v>0.18501510891724737</v>
      </c>
      <c r="GL42" s="8">
        <v>0.19045316927705472</v>
      </c>
      <c r="GM42" s="8">
        <v>0.16900984199092961</v>
      </c>
      <c r="GN42" s="8">
        <v>0.17045930844435381</v>
      </c>
      <c r="GO42" s="8">
        <v>0.1818919235993911</v>
      </c>
      <c r="GP42" s="8">
        <v>0.16714177131071203</v>
      </c>
      <c r="GQ42" s="8">
        <v>0.14072660107836513</v>
      </c>
      <c r="GR42" s="8">
        <v>0.14619856194030834</v>
      </c>
      <c r="GS42" s="8">
        <v>0.18010383023976706</v>
      </c>
      <c r="GT42" s="8">
        <v>0.19318033200431931</v>
      </c>
      <c r="GU42" s="8">
        <v>0.1937476269572849</v>
      </c>
      <c r="GV42" s="8">
        <v>0.19880838668241885</v>
      </c>
      <c r="GW42" s="8">
        <v>0.18952999892347458</v>
      </c>
      <c r="GX42" s="8">
        <v>0.18593411621487263</v>
      </c>
      <c r="GY42" s="8">
        <v>0.20332009920079017</v>
      </c>
      <c r="GZ42" s="8">
        <v>0.19453794270593985</v>
      </c>
      <c r="HA42" s="7">
        <v>0.18502237420214596</v>
      </c>
      <c r="HB42" s="8">
        <v>0.17777412446557705</v>
      </c>
      <c r="HC42" s="8">
        <v>0.16741641338775864</v>
      </c>
      <c r="HD42" s="8">
        <v>0.17037984942874204</v>
      </c>
      <c r="HE42" s="8">
        <v>0.16021648881198794</v>
      </c>
      <c r="HF42" s="8">
        <v>0.18143960451958832</v>
      </c>
      <c r="HG42" s="8">
        <v>0.23516301887850813</v>
      </c>
      <c r="HH42" s="8">
        <v>0.21967582868738955</v>
      </c>
      <c r="HI42" s="8">
        <v>0.1992973838925057</v>
      </c>
      <c r="HJ42" s="8">
        <v>0.17322978872856856</v>
      </c>
      <c r="HK42" s="8">
        <v>0.18489229752441602</v>
      </c>
      <c r="HL42" s="7">
        <v>0.17362385022947627</v>
      </c>
      <c r="HM42" s="8">
        <v>0.17380912409361574</v>
      </c>
      <c r="HN42" s="8">
        <v>0.15320162890953609</v>
      </c>
      <c r="HO42" s="8">
        <v>0.15871274681637484</v>
      </c>
      <c r="HP42" s="8">
        <v>0.14582799924943918</v>
      </c>
      <c r="HQ42" s="8">
        <v>0.16484136743727676</v>
      </c>
      <c r="HR42" s="8">
        <v>0.19371070474929555</v>
      </c>
      <c r="HS42" s="8">
        <v>0.20480086266008524</v>
      </c>
      <c r="HT42" s="8">
        <v>0.22741436596861378</v>
      </c>
      <c r="HU42" s="8">
        <v>0.23349655220180995</v>
      </c>
      <c r="HV42" s="7">
        <v>0.23859228918006686</v>
      </c>
      <c r="HW42" s="8">
        <v>0.20968270533927069</v>
      </c>
      <c r="HX42" s="8">
        <v>0.18359330063034029</v>
      </c>
      <c r="HY42" s="8">
        <v>0.11324982710791352</v>
      </c>
      <c r="HZ42" s="8">
        <v>0.12763612758283052</v>
      </c>
      <c r="IA42" s="8">
        <v>0.13253246609342292</v>
      </c>
      <c r="IB42" s="8">
        <v>0.12652364661482288</v>
      </c>
      <c r="IC42" s="8">
        <v>0.14158444323410271</v>
      </c>
      <c r="ID42" s="8">
        <v>0.12732162720806611</v>
      </c>
      <c r="IE42" s="8">
        <v>0.1223869902093544</v>
      </c>
      <c r="IF42" s="8">
        <v>0.11927576670058264</v>
      </c>
      <c r="IG42" s="8">
        <v>0.12308179152352633</v>
      </c>
      <c r="IH42" s="8">
        <v>0.12449470264087145</v>
      </c>
      <c r="II42" s="8">
        <v>7.1171359912407153E-2</v>
      </c>
      <c r="IJ42" s="8">
        <v>8.0196772611176512E-2</v>
      </c>
      <c r="IK42" s="8">
        <v>8.1554661793901154E-2</v>
      </c>
      <c r="IL42" s="8">
        <v>9.4492002965950436E-2</v>
      </c>
      <c r="IM42" s="8">
        <v>9.266049987971621E-2</v>
      </c>
      <c r="IN42" s="8">
        <v>8.8454382169106116E-2</v>
      </c>
      <c r="IO42" s="8">
        <v>8.2173720776675951E-2</v>
      </c>
      <c r="IP42" s="8">
        <v>8.9472229962613864E-2</v>
      </c>
      <c r="IQ42" s="8">
        <v>8.175759738199917E-2</v>
      </c>
      <c r="IR42" s="8">
        <v>6.7695344993539963E-2</v>
      </c>
      <c r="JB42" s="6" t="s">
        <v>201</v>
      </c>
      <c r="JC42" s="8">
        <v>0.40822397136303074</v>
      </c>
      <c r="JD42" s="8">
        <v>0.40067310441853637</v>
      </c>
      <c r="JE42" s="7">
        <v>0.40717696304969742</v>
      </c>
      <c r="JF42" s="8">
        <v>0.40572702216963141</v>
      </c>
      <c r="JG42" s="8">
        <v>0.39926776569336653</v>
      </c>
      <c r="JH42" s="8">
        <v>0.39312348870749947</v>
      </c>
      <c r="JI42" s="8">
        <v>0.38585514254015635</v>
      </c>
      <c r="JJ42" s="8">
        <v>0.41126916776963712</v>
      </c>
      <c r="JK42" s="8">
        <v>0.4271915217356409</v>
      </c>
      <c r="JL42" s="8">
        <v>0.41742528812160012</v>
      </c>
      <c r="JM42" s="8">
        <v>0.39821652507058297</v>
      </c>
      <c r="JN42" s="7">
        <v>0.40869258107525891</v>
      </c>
      <c r="JO42" s="8">
        <v>0.42197044338786699</v>
      </c>
      <c r="JP42" s="8">
        <v>0.45171549007082817</v>
      </c>
      <c r="JQ42" s="8">
        <v>0.44234875404012586</v>
      </c>
      <c r="JR42" s="8">
        <v>0.44286958492536588</v>
      </c>
      <c r="JS42" s="8">
        <v>0.44810523964907423</v>
      </c>
      <c r="JT42" s="8">
        <v>0.43557396284533573</v>
      </c>
      <c r="JU42" s="8">
        <v>0.42085905902881604</v>
      </c>
      <c r="JV42" s="8">
        <v>0.40775450397425334</v>
      </c>
      <c r="JW42" s="7">
        <v>0.27963182196616515</v>
      </c>
      <c r="JX42" s="8">
        <v>0.26015804436622708</v>
      </c>
      <c r="JY42" s="8">
        <v>0.27748355186128315</v>
      </c>
      <c r="JZ42" s="8">
        <v>0.288598785295197</v>
      </c>
      <c r="KA42" s="8">
        <v>0.30994940590739373</v>
      </c>
      <c r="KB42" s="8">
        <v>0.33389741385386129</v>
      </c>
      <c r="KC42" s="8">
        <v>0.35303401827170955</v>
      </c>
      <c r="KD42" s="8">
        <v>0.33301191584428497</v>
      </c>
      <c r="KE42" s="8">
        <v>0.30897830147677879</v>
      </c>
      <c r="KF42" s="7">
        <v>0.29463902700315814</v>
      </c>
      <c r="KG42" s="7">
        <v>0.20519637747427388</v>
      </c>
      <c r="KH42" s="8">
        <v>0.20192431059530785</v>
      </c>
      <c r="KI42" s="8">
        <v>0.21933620022008976</v>
      </c>
      <c r="KJ42" s="8">
        <v>0.24239897043744643</v>
      </c>
      <c r="KK42" s="8">
        <v>0.25518225550824297</v>
      </c>
      <c r="KL42" s="8">
        <v>0.27116937606760694</v>
      </c>
      <c r="KM42" s="8">
        <v>0.27317553223861801</v>
      </c>
      <c r="KN42" s="8">
        <v>0.25306445591512228</v>
      </c>
      <c r="KO42" s="8">
        <v>0.24062417086303955</v>
      </c>
      <c r="KP42" s="7">
        <v>0.22686331936093149</v>
      </c>
      <c r="KQ42" s="8">
        <v>0.40530235438806111</v>
      </c>
      <c r="KR42" s="7">
        <v>0.37626513297150493</v>
      </c>
      <c r="KS42" s="8">
        <v>0.37735313122145464</v>
      </c>
      <c r="KT42" s="8">
        <v>0.40396734714874477</v>
      </c>
      <c r="KU42" s="8">
        <v>0.41867988745941492</v>
      </c>
      <c r="KV42" s="8">
        <v>0.44139382011852546</v>
      </c>
      <c r="KW42" s="8">
        <v>0.44463235840247178</v>
      </c>
      <c r="KX42" s="8">
        <v>0.42912056854330616</v>
      </c>
      <c r="KY42" s="7">
        <v>0.42019903737685232</v>
      </c>
      <c r="KZ42" s="8">
        <v>0.41576469934270643</v>
      </c>
      <c r="LA42" s="8">
        <v>0.63308504086109951</v>
      </c>
      <c r="LB42" s="8">
        <v>0.60137035603802957</v>
      </c>
      <c r="LC42" s="7">
        <v>0.59057770295786194</v>
      </c>
      <c r="LD42" s="8">
        <v>0.59335192410870774</v>
      </c>
      <c r="LE42" s="8">
        <v>0.59362735091632257</v>
      </c>
      <c r="LF42" s="8">
        <v>0.59974555286853648</v>
      </c>
      <c r="LG42" s="8">
        <v>0.59581138697819269</v>
      </c>
      <c r="LH42" s="7">
        <v>0.59406524520943738</v>
      </c>
      <c r="LI42" s="8">
        <v>0.60360979707911611</v>
      </c>
      <c r="LJ42" s="8">
        <v>0.62914074744387971</v>
      </c>
      <c r="LL42" s="6" t="s">
        <v>202</v>
      </c>
      <c r="LM42" s="6" t="s">
        <v>160</v>
      </c>
      <c r="LN42" s="6" t="s">
        <v>161</v>
      </c>
      <c r="LO42" s="8">
        <v>0.61442218853480457</v>
      </c>
    </row>
    <row r="43" spans="2:327" x14ac:dyDescent="0.45">
      <c r="B43" s="3" t="s">
        <v>203</v>
      </c>
      <c r="C43" s="3" t="s">
        <v>151</v>
      </c>
      <c r="D43" s="5">
        <v>0.23216408811147776</v>
      </c>
      <c r="E43" s="5">
        <v>0.22910912541883999</v>
      </c>
      <c r="F43" s="5">
        <v>0.22907367767956843</v>
      </c>
      <c r="G43" s="5">
        <v>0.23198524315888061</v>
      </c>
      <c r="H43" s="5">
        <v>0.2444683290737496</v>
      </c>
      <c r="I43" s="5">
        <v>0.25349607067646812</v>
      </c>
      <c r="J43" s="5">
        <v>0.24968873885559817</v>
      </c>
      <c r="K43" s="5">
        <v>0.24487926504079854</v>
      </c>
      <c r="L43" s="5">
        <v>0.23021523886061299</v>
      </c>
      <c r="M43" s="5">
        <v>0.22564101129997524</v>
      </c>
      <c r="N43" s="5">
        <v>0.24627305596689322</v>
      </c>
      <c r="O43" s="5">
        <v>0.23547263144115807</v>
      </c>
      <c r="P43" s="5">
        <v>0.22003854546966803</v>
      </c>
      <c r="Q43" s="5">
        <v>0.22382238490791792</v>
      </c>
      <c r="R43" s="5">
        <v>0.24239409840215584</v>
      </c>
      <c r="S43" s="5">
        <v>0.24634854453402646</v>
      </c>
      <c r="T43" s="5">
        <v>0.2412954433922401</v>
      </c>
      <c r="U43" s="5">
        <v>0.24314592950834876</v>
      </c>
      <c r="V43" s="5">
        <v>0.24511889104792731</v>
      </c>
      <c r="W43" s="5">
        <v>0.24097064951744063</v>
      </c>
      <c r="X43" s="5">
        <v>0.32202321192051059</v>
      </c>
      <c r="Y43" s="5">
        <v>0.33275070244311994</v>
      </c>
      <c r="Z43" s="5">
        <v>0.34974967814340674</v>
      </c>
      <c r="AA43" s="5">
        <v>0.37423450334535757</v>
      </c>
      <c r="AB43" s="5">
        <v>0.37189600926731936</v>
      </c>
      <c r="AC43" s="5">
        <v>0.33854885606987278</v>
      </c>
      <c r="AD43" s="5">
        <v>0.31494112325812568</v>
      </c>
      <c r="AE43" s="5">
        <v>0.31146881640295404</v>
      </c>
      <c r="AF43" s="5">
        <v>0.29557120256960245</v>
      </c>
      <c r="AG43" s="5">
        <v>0.29472966786575866</v>
      </c>
      <c r="AH43" s="5">
        <v>0.31499014138666065</v>
      </c>
      <c r="AI43" s="5">
        <v>0.33978138156477461</v>
      </c>
      <c r="AJ43" s="5">
        <v>0.34706511884720348</v>
      </c>
      <c r="AK43" s="5">
        <v>0.34939058562513198</v>
      </c>
      <c r="AL43" s="5">
        <v>0.34383452422833088</v>
      </c>
      <c r="AM43" s="5">
        <v>0.32436919974799711</v>
      </c>
      <c r="AN43" s="5">
        <v>0.30145499268328058</v>
      </c>
      <c r="AO43" s="5">
        <v>0.27944923738415367</v>
      </c>
      <c r="AP43" s="5">
        <v>0.26914540590660424</v>
      </c>
      <c r="AQ43" s="5">
        <v>0.27191074479285204</v>
      </c>
      <c r="AR43" s="5">
        <v>0.23867556966225875</v>
      </c>
      <c r="AS43" s="5">
        <v>0.25356163626216516</v>
      </c>
      <c r="AT43" s="5">
        <v>0.25299919782428282</v>
      </c>
      <c r="AU43" s="5">
        <v>0.24386009776599202</v>
      </c>
      <c r="AV43" s="5">
        <v>0.24260785744233035</v>
      </c>
      <c r="AW43" s="5">
        <v>0.24053612627905488</v>
      </c>
      <c r="AX43" s="5">
        <v>0.23467209385634419</v>
      </c>
      <c r="AY43" s="5">
        <v>0.21924568201358671</v>
      </c>
      <c r="AZ43" s="5">
        <v>0.21656577618910683</v>
      </c>
      <c r="BA43" s="5">
        <v>0.22065741517978626</v>
      </c>
      <c r="BB43" s="5">
        <v>0.22930179354849686</v>
      </c>
      <c r="BC43" s="5">
        <v>0.22634003803889549</v>
      </c>
      <c r="BD43" s="5">
        <v>0.23297781129073405</v>
      </c>
      <c r="BE43" s="5">
        <v>0.23190139883008257</v>
      </c>
      <c r="BF43" s="5">
        <v>0.23966237679685654</v>
      </c>
      <c r="BG43" s="5">
        <v>0.25656628467864356</v>
      </c>
      <c r="BH43" s="5">
        <v>0.26036444814187826</v>
      </c>
      <c r="BI43" s="5">
        <v>0.24436240348046967</v>
      </c>
      <c r="BJ43" s="5">
        <v>0.23474737296616946</v>
      </c>
      <c r="BK43" s="5">
        <v>0.22961211410905938</v>
      </c>
      <c r="BM43" s="3" t="s">
        <v>203</v>
      </c>
      <c r="BN43" s="3" t="s">
        <v>152</v>
      </c>
      <c r="BO43" s="5">
        <v>9.5390560801737381E-3</v>
      </c>
      <c r="BP43" s="5">
        <v>3.2548787161363539E-3</v>
      </c>
      <c r="BQ43" s="4">
        <v>7.4451782099581466E-3</v>
      </c>
      <c r="BR43" s="5">
        <v>1.1790763505356055E-2</v>
      </c>
      <c r="BS43" s="5">
        <v>9.3717855863785036E-3</v>
      </c>
      <c r="BT43" s="5">
        <v>9.3020925382940496E-3</v>
      </c>
      <c r="BU43" s="4">
        <v>7.5450014787432421E-3</v>
      </c>
      <c r="BV43" s="5">
        <v>7.7874280514683989E-3</v>
      </c>
      <c r="BW43" s="4">
        <v>1.202465818946819E-2</v>
      </c>
      <c r="BX43" s="5">
        <v>9.9754271758462007E-3</v>
      </c>
      <c r="BY43" s="4">
        <v>1.2306307605088725E-2</v>
      </c>
      <c r="BZ43" s="4">
        <v>1.0986696486175871E-2</v>
      </c>
      <c r="CA43" s="4">
        <v>2.5914793701710807E-3</v>
      </c>
      <c r="CB43" s="4">
        <v>8.3549570847269976E-3</v>
      </c>
      <c r="CC43" s="4">
        <v>1.2876090789500744E-2</v>
      </c>
      <c r="CD43" s="5">
        <v>1.880081921246973E-3</v>
      </c>
      <c r="CE43" s="4">
        <v>3.3384342973568092E-3</v>
      </c>
      <c r="CF43" s="5">
        <v>6.0586153746471916E-3</v>
      </c>
      <c r="CG43" s="4">
        <v>9.8684366333579767E-3</v>
      </c>
      <c r="CH43" s="5">
        <v>1.2458629471465841E-2</v>
      </c>
      <c r="CI43" s="5">
        <v>2.4972083295609074E-2</v>
      </c>
      <c r="CJ43" s="4">
        <v>4.3745909487176932E-3</v>
      </c>
      <c r="CK43" s="5">
        <v>9.1213977792598024E-3</v>
      </c>
      <c r="CL43" s="4">
        <v>2.0460334457227725E-2</v>
      </c>
      <c r="CM43" s="5">
        <v>1.438575799558434E-2</v>
      </c>
      <c r="CN43" s="5">
        <v>1.1600377355812427E-2</v>
      </c>
      <c r="CO43" s="5">
        <v>2.4098941514117348E-2</v>
      </c>
      <c r="CP43" s="5">
        <v>2.1323890372834133E-2</v>
      </c>
      <c r="CQ43" s="5">
        <v>1.8422376399970165E-2</v>
      </c>
      <c r="CR43" s="5">
        <v>2.2809002871382759E-2</v>
      </c>
      <c r="CS43" s="5">
        <v>1.9369539413127572E-2</v>
      </c>
      <c r="CT43" s="5">
        <v>1.4648121002007131E-2</v>
      </c>
      <c r="CU43" s="4">
        <v>2.4224675489387382E-2</v>
      </c>
      <c r="CV43" s="4">
        <v>4.8718279518590986E-2</v>
      </c>
      <c r="CW43" s="5">
        <v>5.2579585270140859E-2</v>
      </c>
      <c r="CX43" s="4">
        <v>3.7395733780342652E-2</v>
      </c>
      <c r="CY43" s="4">
        <v>4.368421067069319E-2</v>
      </c>
      <c r="CZ43" s="4">
        <v>1.5649240446364125E-2</v>
      </c>
      <c r="DA43" s="4">
        <v>3.2048507387189848E-3</v>
      </c>
      <c r="DB43" s="5">
        <v>4.0946875867246451E-3</v>
      </c>
      <c r="DC43" s="5">
        <v>1.6322755031065835E-2</v>
      </c>
      <c r="DD43" s="4">
        <v>3.0413879366633298E-2</v>
      </c>
      <c r="DE43" s="4">
        <v>4.1635625288040733E-2</v>
      </c>
      <c r="DF43" s="5">
        <v>2.7936728045650189E-2</v>
      </c>
      <c r="DG43" s="5">
        <v>1.3064199729414893E-2</v>
      </c>
      <c r="DH43" s="4">
        <v>9.0707887093021428E-3</v>
      </c>
      <c r="DI43" s="4">
        <v>2.319001543685383E-3</v>
      </c>
      <c r="DJ43" s="4">
        <v>3.8744584225476864E-3</v>
      </c>
      <c r="DK43" s="4">
        <v>9.4526274975082532E-3</v>
      </c>
      <c r="DL43" s="5">
        <v>1.0275422100613444E-2</v>
      </c>
      <c r="DM43" s="5">
        <v>1.2059920344338537E-2</v>
      </c>
      <c r="DN43" s="5">
        <v>6.5698482753809191E-3</v>
      </c>
      <c r="DO43" s="5">
        <v>1.3570267446243905E-2</v>
      </c>
      <c r="DP43" s="5">
        <v>1.8841406857425923E-2</v>
      </c>
      <c r="DQ43" s="5">
        <v>1.7824993055418049E-2</v>
      </c>
      <c r="DR43" s="5">
        <v>2.617028846967696E-2</v>
      </c>
      <c r="DS43" s="5">
        <v>2.7572371977562123E-2</v>
      </c>
      <c r="DT43" s="4">
        <v>1.3113396505170625E-2</v>
      </c>
      <c r="DU43" s="5">
        <v>1.5988530330791572E-2</v>
      </c>
      <c r="DV43" s="5">
        <v>1.5142106454880478E-2</v>
      </c>
      <c r="DX43" s="3" t="s">
        <v>203</v>
      </c>
      <c r="DY43" s="3" t="s">
        <v>153</v>
      </c>
      <c r="DZ43" s="4">
        <v>1.5985056776143359E-2</v>
      </c>
      <c r="EA43" s="5">
        <v>1.524837588478031E-2</v>
      </c>
      <c r="EB43" s="5">
        <v>1.7126879098410108E-2</v>
      </c>
      <c r="EC43" s="5">
        <v>1.2427718625898618E-2</v>
      </c>
      <c r="ED43" s="4">
        <v>7.8294215184567511E-3</v>
      </c>
      <c r="EE43" s="5">
        <v>1.1957036486569022E-2</v>
      </c>
      <c r="EF43" s="4">
        <v>1.3672409347695277E-2</v>
      </c>
      <c r="EG43" s="5">
        <v>1.123790890847003E-2</v>
      </c>
      <c r="EH43" s="5">
        <v>1.0041576733677811E-2</v>
      </c>
      <c r="EI43" s="5">
        <v>1.1672896422083551E-2</v>
      </c>
      <c r="EJ43" s="5">
        <v>1.5890170616090091E-2</v>
      </c>
      <c r="EK43" s="5">
        <v>1.1284110439906885E-2</v>
      </c>
      <c r="EL43" s="5">
        <v>1.6807412024186254E-2</v>
      </c>
      <c r="EM43" s="5">
        <v>1.4534570063290826E-2</v>
      </c>
      <c r="EN43" s="5">
        <v>6.517765761680356E-3</v>
      </c>
      <c r="EO43" s="4">
        <v>1.228587845981409E-2</v>
      </c>
      <c r="EP43" s="4">
        <v>1.2572608043497217E-2</v>
      </c>
      <c r="EQ43" s="4">
        <v>7.8424247905091414E-3</v>
      </c>
      <c r="ER43" s="4">
        <v>6.8818022861911847E-3</v>
      </c>
      <c r="ES43" s="4">
        <v>1.5850907511818738E-2</v>
      </c>
      <c r="ET43" s="5">
        <v>4.1247594131509017E-2</v>
      </c>
      <c r="EU43" s="5">
        <v>5.2635784184967067E-2</v>
      </c>
      <c r="EV43" s="5">
        <v>2.8933950639673009E-2</v>
      </c>
      <c r="EW43" s="5">
        <v>9.6493215546295235E-3</v>
      </c>
      <c r="EX43" s="4">
        <v>2.7176513489375085E-2</v>
      </c>
      <c r="EY43" s="5">
        <v>2.4448401451487582E-2</v>
      </c>
      <c r="EZ43" s="5">
        <v>1.5486383732735075E-2</v>
      </c>
      <c r="FA43" s="5">
        <v>1.2720899392775879E-2</v>
      </c>
      <c r="FB43" s="5">
        <v>1.1935795084546879E-2</v>
      </c>
      <c r="FC43" s="5">
        <v>2.3913884043313072E-2</v>
      </c>
      <c r="FD43" s="5">
        <v>8.5150941341128102E-3</v>
      </c>
      <c r="FE43" s="5">
        <v>2.807980822124927E-2</v>
      </c>
      <c r="FF43" s="5">
        <v>3.219678362986779E-2</v>
      </c>
      <c r="FG43" s="5">
        <v>3.5770786894728561E-2</v>
      </c>
      <c r="FH43" s="4">
        <v>2.3844847948065764E-2</v>
      </c>
      <c r="FI43" s="5">
        <v>5.0948725079611186E-2</v>
      </c>
      <c r="FJ43" s="5">
        <v>2.891044427095844E-2</v>
      </c>
      <c r="FK43" s="5">
        <v>4.9266266107156627E-2</v>
      </c>
      <c r="FL43" s="5">
        <v>5.3239968309020426E-2</v>
      </c>
      <c r="FM43" s="4">
        <v>2.1515664682773664E-2</v>
      </c>
      <c r="FN43" s="5">
        <v>1.4731183683128606E-2</v>
      </c>
      <c r="FO43" s="5">
        <v>2.2186480048385599E-2</v>
      </c>
      <c r="FP43" s="4">
        <v>1.5946418705459778E-2</v>
      </c>
      <c r="FQ43" s="4">
        <v>2.9502478743222663E-2</v>
      </c>
      <c r="FR43" s="4">
        <v>3.7711941569478893E-2</v>
      </c>
      <c r="FS43" s="4">
        <v>3.5456209370019059E-2</v>
      </c>
      <c r="FT43" s="5">
        <v>2.6758365849969264E-2</v>
      </c>
      <c r="FU43" s="5">
        <v>1.434577518651144E-2</v>
      </c>
      <c r="FV43" s="4">
        <v>4.5843660770482171E-3</v>
      </c>
      <c r="FW43" s="5">
        <v>8.1408081567522182E-3</v>
      </c>
      <c r="FX43" s="5">
        <v>1.7999269133860549E-2</v>
      </c>
      <c r="FY43" s="5">
        <v>1.8631812553999219E-2</v>
      </c>
      <c r="FZ43" s="5">
        <v>1.7816596962723485E-2</v>
      </c>
      <c r="GA43" s="5">
        <v>1.1859024192241368E-2</v>
      </c>
      <c r="GB43" s="5">
        <v>1.0890779459734174E-2</v>
      </c>
      <c r="GC43" s="5">
        <v>1.6605110047824452E-2</v>
      </c>
      <c r="GD43" s="5">
        <v>1.827783181642733E-2</v>
      </c>
      <c r="GE43" s="5">
        <v>3.2541286186347856E-2</v>
      </c>
      <c r="GF43" s="5">
        <v>2.5976830353805495E-2</v>
      </c>
      <c r="GG43" s="5">
        <v>1.3579481792099923E-2</v>
      </c>
      <c r="GI43" s="3" t="s">
        <v>203</v>
      </c>
      <c r="GJ43" s="3" t="s">
        <v>154</v>
      </c>
      <c r="GK43" s="5">
        <v>9.0179697004784273E-2</v>
      </c>
      <c r="GL43" s="5">
        <v>9.6946027100733453E-2</v>
      </c>
      <c r="GM43" s="5">
        <v>8.5629751345905558E-2</v>
      </c>
      <c r="GN43" s="5">
        <v>9.2152854621587649E-2</v>
      </c>
      <c r="GO43" s="5">
        <v>0.10577855484548276</v>
      </c>
      <c r="GP43" s="5">
        <v>0.10970194393443167</v>
      </c>
      <c r="GQ43" s="5">
        <v>0.112219113601752</v>
      </c>
      <c r="GR43" s="5">
        <v>0.10536326243961215</v>
      </c>
      <c r="GS43" s="5">
        <v>9.317789233245477E-2</v>
      </c>
      <c r="GT43" s="5">
        <v>9.1114919491098789E-2</v>
      </c>
      <c r="GU43" s="5">
        <v>9.267338655043654E-2</v>
      </c>
      <c r="GV43" s="5">
        <v>9.65210626500147E-2</v>
      </c>
      <c r="GW43" s="5">
        <v>8.8130933885491675E-2</v>
      </c>
      <c r="GX43" s="5">
        <v>8.6468691312403964E-2</v>
      </c>
      <c r="GY43" s="5">
        <v>0.10727295830542463</v>
      </c>
      <c r="GZ43" s="5">
        <v>0.12237111806481453</v>
      </c>
      <c r="HA43" s="4">
        <v>0.11662382502218857</v>
      </c>
      <c r="HB43" s="5">
        <v>0.11537234410824736</v>
      </c>
      <c r="HC43" s="5">
        <v>0.11170851093939248</v>
      </c>
      <c r="HD43" s="5">
        <v>9.9027457950675093E-2</v>
      </c>
      <c r="HE43" s="5">
        <v>0.12116336223137222</v>
      </c>
      <c r="HF43" s="5">
        <v>0.13915402500535295</v>
      </c>
      <c r="HG43" s="5">
        <v>0.17627191360001079</v>
      </c>
      <c r="HH43" s="5">
        <v>0.20565492962114304</v>
      </c>
      <c r="HI43" s="5">
        <v>0.19779610105507439</v>
      </c>
      <c r="HJ43" s="5">
        <v>0.17271719566036084</v>
      </c>
      <c r="HK43" s="5">
        <v>0.14737668414061403</v>
      </c>
      <c r="HL43" s="4">
        <v>0.14003151432537336</v>
      </c>
      <c r="HM43" s="5">
        <v>0.13189278071855878</v>
      </c>
      <c r="HN43" s="5">
        <v>0.11368246836941108</v>
      </c>
      <c r="HO43" s="5">
        <v>0.17008431138596253</v>
      </c>
      <c r="HP43" s="5">
        <v>0.17696900774526747</v>
      </c>
      <c r="HQ43" s="5">
        <v>0.1761689061757459</v>
      </c>
      <c r="HR43" s="5">
        <v>0.16799650467456032</v>
      </c>
      <c r="HS43" s="5">
        <v>0.16627979913653135</v>
      </c>
      <c r="HT43" s="5">
        <v>0.12281039556342058</v>
      </c>
      <c r="HU43" s="5">
        <v>0.11429175336869106</v>
      </c>
      <c r="HV43" s="4">
        <v>0.11303255004866419</v>
      </c>
      <c r="HW43" s="5">
        <v>0.11828027147052368</v>
      </c>
      <c r="HX43" s="5">
        <v>0.14585921146168643</v>
      </c>
      <c r="HY43" s="5">
        <v>0.11276039981677749</v>
      </c>
      <c r="HZ43" s="5">
        <v>9.1177701113005605E-2</v>
      </c>
      <c r="IA43" s="5">
        <v>8.404906959764312E-2</v>
      </c>
      <c r="IB43" s="5">
        <v>7.4042918117221246E-2</v>
      </c>
      <c r="IC43" s="5">
        <v>8.0838416699431148E-2</v>
      </c>
      <c r="ID43" s="5">
        <v>9.0286781976844421E-2</v>
      </c>
      <c r="IE43" s="5">
        <v>0.10209457429641598</v>
      </c>
      <c r="IF43" s="5">
        <v>0.10637281390847249</v>
      </c>
      <c r="IG43" s="5">
        <v>0.11017331812295722</v>
      </c>
      <c r="IH43" s="5">
        <v>0.11163425739692985</v>
      </c>
      <c r="II43" s="5">
        <v>8.05657027159562E-2</v>
      </c>
      <c r="IJ43" s="5">
        <v>9.3014230937941506E-2</v>
      </c>
      <c r="IK43" s="5">
        <v>9.2986981001129676E-2</v>
      </c>
      <c r="IL43" s="5">
        <v>0.10049942822397473</v>
      </c>
      <c r="IM43" s="5">
        <v>9.8214304784949649E-2</v>
      </c>
      <c r="IN43" s="5">
        <v>8.7306940735389318E-2</v>
      </c>
      <c r="IO43" s="5">
        <v>8.3951526891524242E-2</v>
      </c>
      <c r="IP43" s="5">
        <v>7.4249211877818674E-2</v>
      </c>
      <c r="IQ43" s="5">
        <v>7.1313009323273627E-2</v>
      </c>
      <c r="IR43" s="5">
        <v>7.8764234530699959E-2</v>
      </c>
      <c r="JB43" s="3" t="s">
        <v>203</v>
      </c>
      <c r="JC43" s="5">
        <v>0.61396248094083894</v>
      </c>
      <c r="JD43" s="5">
        <v>0.60633356485919743</v>
      </c>
      <c r="JE43" s="4">
        <v>0.61488107779950152</v>
      </c>
      <c r="JF43" s="5">
        <v>0.60767881700080872</v>
      </c>
      <c r="JG43" s="5">
        <v>0.59930129957567857</v>
      </c>
      <c r="JH43" s="5">
        <v>0.59226195314391594</v>
      </c>
      <c r="JI43" s="5">
        <v>0.58930100297108456</v>
      </c>
      <c r="JJ43" s="5">
        <v>0.59981002697105956</v>
      </c>
      <c r="JK43" s="5">
        <v>0.61147931709235781</v>
      </c>
      <c r="JL43" s="5">
        <v>0.61853514605478599</v>
      </c>
      <c r="JM43" s="5">
        <v>0.59730894629250286</v>
      </c>
      <c r="JN43" s="4">
        <v>0.61734808730320179</v>
      </c>
      <c r="JO43" s="5">
        <v>0.63842426533845298</v>
      </c>
      <c r="JP43" s="5">
        <v>0.63269750811244463</v>
      </c>
      <c r="JQ43" s="5">
        <v>0.58957274918554159</v>
      </c>
      <c r="JR43" s="5">
        <v>0.56134716225935921</v>
      </c>
      <c r="JS43" s="5">
        <v>0.55222818699510778</v>
      </c>
      <c r="JT43" s="5">
        <v>0.54980246904176955</v>
      </c>
      <c r="JU43" s="5">
        <v>0.56474792694856191</v>
      </c>
      <c r="JV43" s="5">
        <v>0.58080310108080335</v>
      </c>
      <c r="JW43" s="4">
        <v>0.47619672170586563</v>
      </c>
      <c r="JX43" s="5">
        <v>0.46024673578694286</v>
      </c>
      <c r="JY43" s="5">
        <v>0.45897535669267636</v>
      </c>
      <c r="JZ43" s="5">
        <v>0.43642668053546035</v>
      </c>
      <c r="KA43" s="5">
        <v>0.43128872020021652</v>
      </c>
      <c r="KB43" s="5">
        <v>0.45817807507155556</v>
      </c>
      <c r="KC43" s="5">
        <v>0.48286147783709027</v>
      </c>
      <c r="KD43" s="5">
        <v>0.49273673073338525</v>
      </c>
      <c r="KE43" s="5">
        <v>0.49540439789150487</v>
      </c>
      <c r="KF43" s="4">
        <v>0.50837031625893314</v>
      </c>
      <c r="KG43" s="4">
        <v>0.33815429798977703</v>
      </c>
      <c r="KH43" s="5">
        <v>0.31700066933793614</v>
      </c>
      <c r="KI43" s="5">
        <v>0.32081433998952541</v>
      </c>
      <c r="KJ43" s="5">
        <v>0.30687724887358764</v>
      </c>
      <c r="KK43" s="5">
        <v>0.31754841120500665</v>
      </c>
      <c r="KL43" s="5">
        <v>0.3584949685480433</v>
      </c>
      <c r="KM43" s="5">
        <v>0.39316651455812801</v>
      </c>
      <c r="KN43" s="5">
        <v>0.41582355227815559</v>
      </c>
      <c r="KO43" s="5">
        <v>0.40715166068800218</v>
      </c>
      <c r="KP43" s="4">
        <v>0.38398815301578937</v>
      </c>
      <c r="KQ43" s="5">
        <v>0.53276966786808555</v>
      </c>
      <c r="KR43" s="4">
        <v>0.54335879138009746</v>
      </c>
      <c r="KS43" s="5">
        <v>0.55858563924422611</v>
      </c>
      <c r="KT43" s="5">
        <v>0.57378858003501076</v>
      </c>
      <c r="KU43" s="5">
        <v>0.58034930361304204</v>
      </c>
      <c r="KV43" s="5">
        <v>0.58022350432285519</v>
      </c>
      <c r="KW43" s="5">
        <v>0.57804801887808543</v>
      </c>
      <c r="KX43" s="5">
        <v>0.57295347569459887</v>
      </c>
      <c r="KY43" s="4">
        <v>0.57643097991707537</v>
      </c>
      <c r="KZ43" s="5">
        <v>0.56497897755205195</v>
      </c>
      <c r="LA43" s="5">
        <v>0.64919004565500327</v>
      </c>
      <c r="LB43" s="5">
        <v>0.63474200562221428</v>
      </c>
      <c r="LC43" s="4">
        <v>0.63119463062469772</v>
      </c>
      <c r="LD43" s="5">
        <v>0.62552343270753474</v>
      </c>
      <c r="LE43" s="5">
        <v>0.61918520423891033</v>
      </c>
      <c r="LF43" s="5">
        <v>0.61159032662613833</v>
      </c>
      <c r="LG43" s="5">
        <v>0.61519586871513887</v>
      </c>
      <c r="LH43" s="4">
        <v>0.63193036556847926</v>
      </c>
      <c r="LI43" s="5">
        <v>0.6436359637488076</v>
      </c>
      <c r="LJ43" s="5">
        <v>0.66060531868165639</v>
      </c>
      <c r="LL43" s="3" t="s">
        <v>204</v>
      </c>
      <c r="LM43" s="3" t="s">
        <v>160</v>
      </c>
      <c r="LN43" s="3" t="s">
        <v>161</v>
      </c>
      <c r="LO43" s="5">
        <v>0.48984660244859768</v>
      </c>
    </row>
    <row r="44" spans="2:327" x14ac:dyDescent="0.45">
      <c r="B44" s="6" t="s">
        <v>205</v>
      </c>
      <c r="C44" s="6" t="s">
        <v>151</v>
      </c>
      <c r="D44" s="8">
        <v>0.27453302937584367</v>
      </c>
      <c r="E44" s="8">
        <v>0.26849144151815391</v>
      </c>
      <c r="F44" s="8">
        <v>0.26957069221149266</v>
      </c>
      <c r="G44" s="8">
        <v>0.27514190040894748</v>
      </c>
      <c r="H44" s="8">
        <v>0.28652706673012585</v>
      </c>
      <c r="I44" s="8">
        <v>0.29952588441308847</v>
      </c>
      <c r="J44" s="8">
        <v>0.29692520431425634</v>
      </c>
      <c r="K44" s="8">
        <v>0.27166372424336693</v>
      </c>
      <c r="L44" s="8">
        <v>0.25182025527841628</v>
      </c>
      <c r="M44" s="8">
        <v>0.27183477764621772</v>
      </c>
      <c r="N44" s="8">
        <v>0.28153227843633738</v>
      </c>
      <c r="O44" s="8">
        <v>0.26296666746951286</v>
      </c>
      <c r="P44" s="8">
        <v>0.25910130540253429</v>
      </c>
      <c r="Q44" s="8">
        <v>0.26852468771653143</v>
      </c>
      <c r="R44" s="8">
        <v>0.28202578893968072</v>
      </c>
      <c r="S44" s="8">
        <v>0.2825110026683359</v>
      </c>
      <c r="T44" s="8">
        <v>0.26987039205808572</v>
      </c>
      <c r="U44" s="8">
        <v>0.26513809683375705</v>
      </c>
      <c r="V44" s="8">
        <v>0.27022122315652919</v>
      </c>
      <c r="W44" s="8">
        <v>0.2829434232256508</v>
      </c>
      <c r="X44" s="8">
        <v>0.302399384747634</v>
      </c>
      <c r="Y44" s="8">
        <v>0.28296617943481706</v>
      </c>
      <c r="Z44" s="8">
        <v>0.27989330987697014</v>
      </c>
      <c r="AA44" s="8">
        <v>0.28641514670195545</v>
      </c>
      <c r="AB44" s="8">
        <v>0.28100182093142428</v>
      </c>
      <c r="AC44" s="8">
        <v>0.25490679247105913</v>
      </c>
      <c r="AD44" s="8">
        <v>0.23860969160116188</v>
      </c>
      <c r="AE44" s="8">
        <v>0.23428271870632875</v>
      </c>
      <c r="AF44" s="8">
        <v>0.23867502970721993</v>
      </c>
      <c r="AG44" s="8">
        <v>0.27183093686443094</v>
      </c>
      <c r="AH44" s="8">
        <v>0.33019704264556571</v>
      </c>
      <c r="AI44" s="8">
        <v>0.34473983942864095</v>
      </c>
      <c r="AJ44" s="8">
        <v>0.34046200026263868</v>
      </c>
      <c r="AK44" s="8">
        <v>0.35398016918837111</v>
      </c>
      <c r="AL44" s="8">
        <v>0.37690887309807047</v>
      </c>
      <c r="AM44" s="8">
        <v>0.36949132384864158</v>
      </c>
      <c r="AN44" s="8">
        <v>0.37187536385521258</v>
      </c>
      <c r="AO44" s="8">
        <v>0.34525003007161614</v>
      </c>
      <c r="AP44" s="8">
        <v>0.33229358523136732</v>
      </c>
      <c r="AQ44" s="8">
        <v>0.31348951628629873</v>
      </c>
      <c r="AR44" s="8">
        <v>0.24300854305604433</v>
      </c>
      <c r="AS44" s="8">
        <v>0.27051786428455077</v>
      </c>
      <c r="AT44" s="8">
        <v>0.25947270168032849</v>
      </c>
      <c r="AU44" s="8">
        <v>0.25500708274668599</v>
      </c>
      <c r="AV44" s="8">
        <v>0.25255643808026784</v>
      </c>
      <c r="AW44" s="8">
        <v>0.24410815791504439</v>
      </c>
      <c r="AX44" s="8">
        <v>0.25730148249624624</v>
      </c>
      <c r="AY44" s="8">
        <v>0.26953332426040738</v>
      </c>
      <c r="AZ44" s="8">
        <v>0.26673744434379026</v>
      </c>
      <c r="BA44" s="8">
        <v>0.24915831352182108</v>
      </c>
      <c r="BB44" s="8">
        <v>0.19632042433880831</v>
      </c>
      <c r="BC44" s="8">
        <v>0.18968875469914512</v>
      </c>
      <c r="BD44" s="8">
        <v>0.19571911246353574</v>
      </c>
      <c r="BE44" s="8">
        <v>0.19914391395680497</v>
      </c>
      <c r="BF44" s="8">
        <v>0.19725698869304228</v>
      </c>
      <c r="BG44" s="8">
        <v>0.19249982478665395</v>
      </c>
      <c r="BH44" s="8">
        <v>0.19060680758271328</v>
      </c>
      <c r="BI44" s="8">
        <v>0.20199331620380864</v>
      </c>
      <c r="BJ44" s="8">
        <v>0.18903355050861337</v>
      </c>
      <c r="BK44" s="8">
        <v>0.19173508470139361</v>
      </c>
      <c r="BM44" s="6" t="s">
        <v>205</v>
      </c>
      <c r="BN44" s="6" t="s">
        <v>152</v>
      </c>
      <c r="BO44" s="8">
        <v>5.5787098439953192E-3</v>
      </c>
      <c r="BP44" s="8">
        <v>7.4117092945782349E-3</v>
      </c>
      <c r="BQ44" s="7">
        <v>9.7901418989536689E-3</v>
      </c>
      <c r="BR44" s="8">
        <v>5.7784562001169182E-3</v>
      </c>
      <c r="BS44" s="8">
        <v>9.1271493549852957E-3</v>
      </c>
      <c r="BT44" s="8">
        <v>9.3717912094713595E-3</v>
      </c>
      <c r="BU44" s="7">
        <v>2.0587227718978803E-2</v>
      </c>
      <c r="BV44" s="8">
        <v>1.4983887466140574E-2</v>
      </c>
      <c r="BW44" s="7">
        <v>3.2469451924446572E-3</v>
      </c>
      <c r="BX44" s="8">
        <v>7.1822037816663747E-3</v>
      </c>
      <c r="BY44" s="7">
        <v>2.7224841816800042E-3</v>
      </c>
      <c r="BZ44" s="7">
        <v>1.2932587822315465E-3</v>
      </c>
      <c r="CA44" s="7">
        <v>7.5917157104242452E-3</v>
      </c>
      <c r="CB44" s="7">
        <v>1.8361915184065519E-2</v>
      </c>
      <c r="CC44" s="7">
        <v>2.0491088253144843E-2</v>
      </c>
      <c r="CD44" s="8">
        <v>1.0763165723123927E-2</v>
      </c>
      <c r="CE44" s="7">
        <v>4.9944680487865219E-3</v>
      </c>
      <c r="CF44" s="8">
        <v>8.2003623854304264E-3</v>
      </c>
      <c r="CG44" s="7">
        <v>1.509222655041822E-2</v>
      </c>
      <c r="CH44" s="8">
        <v>8.0991706441422718E-3</v>
      </c>
      <c r="CI44" s="8">
        <v>1.3371551441647965E-2</v>
      </c>
      <c r="CJ44" s="7">
        <v>1.0170200942799917E-2</v>
      </c>
      <c r="CK44" s="8">
        <v>4.2051689715504933E-3</v>
      </c>
      <c r="CL44" s="7">
        <v>6.0291020277771883E-3</v>
      </c>
      <c r="CM44" s="8">
        <v>6.1963578828465515E-3</v>
      </c>
      <c r="CN44" s="8">
        <v>1.1117494143597206E-2</v>
      </c>
      <c r="CO44" s="8">
        <v>1.6950726043522501E-2</v>
      </c>
      <c r="CP44" s="8">
        <v>1.9910203419686665E-2</v>
      </c>
      <c r="CQ44" s="8">
        <v>2.7698111309234733E-2</v>
      </c>
      <c r="CR44" s="8">
        <v>1.9883529533990748E-2</v>
      </c>
      <c r="CS44" s="8">
        <v>3.415356107513734E-2</v>
      </c>
      <c r="CT44" s="8">
        <v>8.7587410134462532E-3</v>
      </c>
      <c r="CU44" s="7">
        <v>1.325656282781224E-2</v>
      </c>
      <c r="CV44" s="7">
        <v>3.7500144258036147E-2</v>
      </c>
      <c r="CW44" s="8">
        <v>3.8383711646923717E-2</v>
      </c>
      <c r="CX44" s="7">
        <v>2.8868348396797642E-2</v>
      </c>
      <c r="CY44" s="7">
        <v>3.5631651450864193E-2</v>
      </c>
      <c r="CZ44" s="7">
        <v>1.3681393975301968E-2</v>
      </c>
      <c r="DA44" s="7">
        <v>1.4990479609573523E-2</v>
      </c>
      <c r="DB44" s="8">
        <v>2.887517939492916E-2</v>
      </c>
      <c r="DC44" s="8">
        <v>1.415184659465517E-3</v>
      </c>
      <c r="DD44" s="7">
        <v>1.0046520778181637E-2</v>
      </c>
      <c r="DE44" s="7">
        <v>1.0001725238573695E-2</v>
      </c>
      <c r="DF44" s="8">
        <v>1.4682062804303106E-2</v>
      </c>
      <c r="DG44" s="8">
        <v>1.5752194565657199E-2</v>
      </c>
      <c r="DH44" s="7">
        <v>6.8883391926513084E-3</v>
      </c>
      <c r="DI44" s="7">
        <v>7.3307951087861539E-3</v>
      </c>
      <c r="DJ44" s="7">
        <v>1.4346225659334244E-2</v>
      </c>
      <c r="DK44" s="7">
        <v>9.1189980261166294E-3</v>
      </c>
      <c r="DL44" s="8">
        <v>3.3626520638239334E-3</v>
      </c>
      <c r="DM44" s="8">
        <v>1.2029082190026486E-2</v>
      </c>
      <c r="DN44" s="8">
        <v>1.1733019305791639E-2</v>
      </c>
      <c r="DO44" s="8">
        <v>1.4927530678174237E-2</v>
      </c>
      <c r="DP44" s="8">
        <v>1.3916414543680092E-2</v>
      </c>
      <c r="DQ44" s="8">
        <v>1.0185148665446552E-2</v>
      </c>
      <c r="DR44" s="8">
        <v>1.5892805877561717E-2</v>
      </c>
      <c r="DS44" s="8">
        <v>1.1707124073823042E-2</v>
      </c>
      <c r="DT44" s="7">
        <v>1.3722323773584283E-2</v>
      </c>
      <c r="DU44" s="8">
        <v>1.3128981594480192E-2</v>
      </c>
      <c r="DV44" s="8">
        <v>1.6062715982696478E-2</v>
      </c>
      <c r="DX44" s="6" t="s">
        <v>205</v>
      </c>
      <c r="DY44" s="6" t="s">
        <v>153</v>
      </c>
      <c r="DZ44" s="7">
        <v>6.7258908740584966E-3</v>
      </c>
      <c r="EA44" s="8">
        <v>1.0739801728435397E-2</v>
      </c>
      <c r="EB44" s="8">
        <v>4.5142824331063707E-3</v>
      </c>
      <c r="EC44" s="8">
        <v>1.5144642986650884E-2</v>
      </c>
      <c r="ED44" s="7">
        <v>1.4968199576246252E-2</v>
      </c>
      <c r="EE44" s="8">
        <v>1.569547354257992E-2</v>
      </c>
      <c r="EF44" s="7">
        <v>7.6159031410815963E-3</v>
      </c>
      <c r="EG44" s="8">
        <v>1.3488428271691052E-2</v>
      </c>
      <c r="EH44" s="8">
        <v>2.3185211656327611E-2</v>
      </c>
      <c r="EI44" s="8">
        <v>2.1028737006349597E-2</v>
      </c>
      <c r="EJ44" s="8">
        <v>1.4127333470825565E-2</v>
      </c>
      <c r="EK44" s="8">
        <v>1.8866793675979864E-3</v>
      </c>
      <c r="EL44" s="8">
        <v>3.5210431977409245E-3</v>
      </c>
      <c r="EM44" s="8">
        <v>4.8433388446033308E-3</v>
      </c>
      <c r="EN44" s="8">
        <v>7.6619343674524604E-3</v>
      </c>
      <c r="EO44" s="7">
        <v>1.8804748238987957E-2</v>
      </c>
      <c r="EP44" s="7">
        <v>1.888270854626534E-2</v>
      </c>
      <c r="EQ44" s="7">
        <v>1.8970179538746326E-2</v>
      </c>
      <c r="ER44" s="7">
        <v>7.9218288053898665E-3</v>
      </c>
      <c r="ES44" s="7">
        <v>1.0927194108987541E-2</v>
      </c>
      <c r="ET44" s="8">
        <v>2.641543277875336E-2</v>
      </c>
      <c r="EU44" s="8">
        <v>1.7091403113603437E-2</v>
      </c>
      <c r="EV44" s="8">
        <v>2.5181235768162665E-2</v>
      </c>
      <c r="EW44" s="8">
        <v>1.8051624459263334E-2</v>
      </c>
      <c r="EX44" s="7">
        <v>3.8248587523276455E-3</v>
      </c>
      <c r="EY44" s="8">
        <v>6.836367899255417E-3</v>
      </c>
      <c r="EZ44" s="8">
        <v>1.2212241800732437E-2</v>
      </c>
      <c r="FA44" s="8">
        <v>1.3945215756242779E-2</v>
      </c>
      <c r="FB44" s="8">
        <v>1.3859450268564097E-2</v>
      </c>
      <c r="FC44" s="8">
        <v>2.7904379884191241E-2</v>
      </c>
      <c r="FD44" s="8">
        <v>2.5241023314965628E-2</v>
      </c>
      <c r="FE44" s="8">
        <v>3.09254940865379E-2</v>
      </c>
      <c r="FF44" s="8">
        <v>1.949950566328781E-2</v>
      </c>
      <c r="FG44" s="8">
        <v>8.8245194072841919E-3</v>
      </c>
      <c r="FH44" s="7">
        <v>1.4727849087970476E-2</v>
      </c>
      <c r="FI44" s="8">
        <v>3.9978317140095768E-2</v>
      </c>
      <c r="FJ44" s="8">
        <v>5.0131387230799608E-2</v>
      </c>
      <c r="FK44" s="8">
        <v>5.6711646683064172E-2</v>
      </c>
      <c r="FL44" s="8">
        <v>3.6062561067234301E-2</v>
      </c>
      <c r="FM44" s="7">
        <v>2.5769475826051838E-2</v>
      </c>
      <c r="FN44" s="8">
        <v>8.4606566354885511E-3</v>
      </c>
      <c r="FO44" s="8">
        <v>0</v>
      </c>
      <c r="FP44" s="7">
        <v>5.6151977455277139E-3</v>
      </c>
      <c r="FQ44" s="7">
        <v>1.1319835869672232E-2</v>
      </c>
      <c r="FR44" s="7">
        <v>1.3963449400139129E-2</v>
      </c>
      <c r="FS44" s="7">
        <v>1.1569118592228391E-2</v>
      </c>
      <c r="FT44" s="8">
        <v>1.7673659915067301E-2</v>
      </c>
      <c r="FU44" s="8">
        <v>1.2081455236774112E-2</v>
      </c>
      <c r="FV44" s="7">
        <v>1.1593137980301982E-2</v>
      </c>
      <c r="FW44" s="8">
        <v>1.9119130982214357E-2</v>
      </c>
      <c r="FX44" s="8">
        <v>1.4733978956062524E-2</v>
      </c>
      <c r="FY44" s="8">
        <v>1.0470577761834927E-2</v>
      </c>
      <c r="FZ44" s="8">
        <v>8.7668379564706453E-3</v>
      </c>
      <c r="GA44" s="8">
        <v>1.0263748045653229E-2</v>
      </c>
      <c r="GB44" s="8">
        <v>1.5940206122215805E-2</v>
      </c>
      <c r="GC44" s="8">
        <v>1.6159856388280044E-2</v>
      </c>
      <c r="GD44" s="8">
        <v>1.9340321615276899E-2</v>
      </c>
      <c r="GE44" s="8">
        <v>1.7278900836904691E-2</v>
      </c>
      <c r="GF44" s="8">
        <v>1.5246950653391307E-2</v>
      </c>
      <c r="GG44" s="8">
        <v>1.1480133487180287E-2</v>
      </c>
      <c r="GI44" s="6" t="s">
        <v>205</v>
      </c>
      <c r="GJ44" s="6" t="s">
        <v>154</v>
      </c>
      <c r="GK44" s="8">
        <v>0.13063740450333952</v>
      </c>
      <c r="GL44" s="8">
        <v>0.1202601596705155</v>
      </c>
      <c r="GM44" s="8">
        <v>0.13077341141719034</v>
      </c>
      <c r="GN44" s="8">
        <v>0.13724860737751463</v>
      </c>
      <c r="GO44" s="8">
        <v>0.13573732018413048</v>
      </c>
      <c r="GP44" s="8">
        <v>0.13900027829898554</v>
      </c>
      <c r="GQ44" s="8">
        <v>0.13313403338912358</v>
      </c>
      <c r="GR44" s="8">
        <v>0.11523398021040314</v>
      </c>
      <c r="GS44" s="8">
        <v>0.10900826708901604</v>
      </c>
      <c r="GT44" s="8">
        <v>0.11890248005239459</v>
      </c>
      <c r="GU44" s="8">
        <v>0.13340318416581506</v>
      </c>
      <c r="GV44" s="8">
        <v>0.13914279074758298</v>
      </c>
      <c r="GW44" s="8">
        <v>0.12553469665861397</v>
      </c>
      <c r="GX44" s="8">
        <v>0.11934048083855656</v>
      </c>
      <c r="GY44" s="8">
        <v>0.12129364597679948</v>
      </c>
      <c r="GZ44" s="8">
        <v>0.11776140210904164</v>
      </c>
      <c r="HA44" s="7">
        <v>0.11395921647388461</v>
      </c>
      <c r="HB44" s="8">
        <v>0.10887594314341478</v>
      </c>
      <c r="HC44" s="8">
        <v>0.11401371760097823</v>
      </c>
      <c r="HD44" s="8">
        <v>0.12444064258168014</v>
      </c>
      <c r="HE44" s="8">
        <v>0.13064491537262038</v>
      </c>
      <c r="HF44" s="8">
        <v>0.12796692364238557</v>
      </c>
      <c r="HG44" s="8">
        <v>0.12581072887704722</v>
      </c>
      <c r="HH44" s="8">
        <v>0.1351527511990501</v>
      </c>
      <c r="HI44" s="8">
        <v>0.15434732543542193</v>
      </c>
      <c r="HJ44" s="8">
        <v>0.13260252451625723</v>
      </c>
      <c r="HK44" s="8">
        <v>0.11265499138179859</v>
      </c>
      <c r="HL44" s="7">
        <v>0.10516208849623755</v>
      </c>
      <c r="HM44" s="8">
        <v>9.3865602456757263E-2</v>
      </c>
      <c r="HN44" s="8">
        <v>0.10729575936731769</v>
      </c>
      <c r="HO44" s="8">
        <v>0.1388472253530755</v>
      </c>
      <c r="HP44" s="8">
        <v>0.16605230851131192</v>
      </c>
      <c r="HQ44" s="8">
        <v>0.16562021259283971</v>
      </c>
      <c r="HR44" s="8">
        <v>0.17252674912127014</v>
      </c>
      <c r="HS44" s="8">
        <v>0.18477777603220147</v>
      </c>
      <c r="HT44" s="8">
        <v>0.16354475327420848</v>
      </c>
      <c r="HU44" s="8">
        <v>0.16874061864931</v>
      </c>
      <c r="HV44" s="7">
        <v>0.16671094517325713</v>
      </c>
      <c r="HW44" s="8">
        <v>0.16548501114417108</v>
      </c>
      <c r="HX44" s="8">
        <v>0.14243740903751353</v>
      </c>
      <c r="HY44" s="8">
        <v>0.1063295363893122</v>
      </c>
      <c r="HZ44" s="8">
        <v>0.12049145810145992</v>
      </c>
      <c r="IA44" s="8">
        <v>0.10565765835597353</v>
      </c>
      <c r="IB44" s="8">
        <v>9.7538617149133033E-2</v>
      </c>
      <c r="IC44" s="8">
        <v>9.0674617930435297E-2</v>
      </c>
      <c r="ID44" s="8">
        <v>9.5338626975577656E-2</v>
      </c>
      <c r="IE44" s="8">
        <v>8.9320711983248022E-2</v>
      </c>
      <c r="IF44" s="8">
        <v>9.2847249970471238E-2</v>
      </c>
      <c r="IG44" s="8">
        <v>0.10137410826183881</v>
      </c>
      <c r="IH44" s="8">
        <v>9.8818992103036754E-2</v>
      </c>
      <c r="II44" s="8">
        <v>6.117605260005881E-2</v>
      </c>
      <c r="IJ44" s="8">
        <v>5.7208686492167926E-2</v>
      </c>
      <c r="IK44" s="8">
        <v>6.1814138613961803E-2</v>
      </c>
      <c r="IL44" s="8">
        <v>6.6140854919861575E-2</v>
      </c>
      <c r="IM44" s="8">
        <v>6.0529155626395464E-2</v>
      </c>
      <c r="IN44" s="8">
        <v>5.9651331911947804E-2</v>
      </c>
      <c r="IO44" s="8">
        <v>6.0128126958282735E-2</v>
      </c>
      <c r="IP44" s="8">
        <v>6.6795805016744189E-2</v>
      </c>
      <c r="IQ44" s="8">
        <v>6.2016807683771553E-2</v>
      </c>
      <c r="IR44" s="8">
        <v>5.871740334844059E-2</v>
      </c>
      <c r="JB44" s="6" t="s">
        <v>205</v>
      </c>
      <c r="JC44" s="8">
        <v>0.58222894076344234</v>
      </c>
      <c r="JD44" s="8">
        <v>0.59234178017600769</v>
      </c>
      <c r="JE44" s="7">
        <v>0.58685730778090084</v>
      </c>
      <c r="JF44" s="8">
        <v>0.572079195643734</v>
      </c>
      <c r="JG44" s="8">
        <v>0.56039530539354099</v>
      </c>
      <c r="JH44" s="8">
        <v>0.55781828167333947</v>
      </c>
      <c r="JI44" s="8">
        <v>0.56971943139501269</v>
      </c>
      <c r="JJ44" s="8">
        <v>0.59562307439542839</v>
      </c>
      <c r="JK44" s="8">
        <v>0.60275095231292219</v>
      </c>
      <c r="JL44" s="8">
        <v>0.58619256954565013</v>
      </c>
      <c r="JM44" s="8">
        <v>0.57392324376702764</v>
      </c>
      <c r="JN44" s="7">
        <v>0.57679401648819795</v>
      </c>
      <c r="JO44" s="8">
        <v>0.58613788947275469</v>
      </c>
      <c r="JP44" s="8">
        <v>0.58433945990978697</v>
      </c>
      <c r="JQ44" s="8">
        <v>0.57417276483200319</v>
      </c>
      <c r="JR44" s="8">
        <v>0.57823661676733629</v>
      </c>
      <c r="JS44" s="8">
        <v>0.58949550504820458</v>
      </c>
      <c r="JT44" s="8">
        <v>0.59964429530465313</v>
      </c>
      <c r="JU44" s="8">
        <v>0.60331291706803325</v>
      </c>
      <c r="JV44" s="8">
        <v>0.5932002403844141</v>
      </c>
      <c r="JW44" s="7">
        <v>0.51340558953308735</v>
      </c>
      <c r="JX44" s="8">
        <v>0.53299357104168466</v>
      </c>
      <c r="JY44" s="8">
        <v>0.53445965064200152</v>
      </c>
      <c r="JZ44" s="8">
        <v>0.51227914391471652</v>
      </c>
      <c r="KA44" s="8">
        <v>0.49895731187861458</v>
      </c>
      <c r="KB44" s="8">
        <v>0.51573876740065649</v>
      </c>
      <c r="KC44" s="8">
        <v>0.52692358289612706</v>
      </c>
      <c r="KD44" s="8">
        <v>0.52766269260158227</v>
      </c>
      <c r="KE44" s="8">
        <v>0.52946008255753585</v>
      </c>
      <c r="KF44" s="7">
        <v>0.51610676732828853</v>
      </c>
      <c r="KG44" s="7">
        <v>0.38935497051396351</v>
      </c>
      <c r="KH44" s="8">
        <v>0.35792956192180292</v>
      </c>
      <c r="KI44" s="8">
        <v>0.35025366418138787</v>
      </c>
      <c r="KJ44" s="8">
        <v>0.33275094236329006</v>
      </c>
      <c r="KK44" s="8">
        <v>0.31486751562733911</v>
      </c>
      <c r="KL44" s="8">
        <v>0.31697636690410746</v>
      </c>
      <c r="KM44" s="8">
        <v>0.31678293056891099</v>
      </c>
      <c r="KN44" s="8">
        <v>0.31465992725366093</v>
      </c>
      <c r="KO44" s="8">
        <v>0.32979225021086633</v>
      </c>
      <c r="KP44" s="7">
        <v>0.36274400545513352</v>
      </c>
      <c r="KQ44" s="8">
        <v>0.63784297418145808</v>
      </c>
      <c r="KR44" s="7">
        <v>0.60724896571272124</v>
      </c>
      <c r="KS44" s="8">
        <v>0.61908134945567206</v>
      </c>
      <c r="KT44" s="8">
        <v>0.62195938364975634</v>
      </c>
      <c r="KU44" s="8">
        <v>0.62535641468951264</v>
      </c>
      <c r="KV44" s="8">
        <v>0.63423907360391485</v>
      </c>
      <c r="KW44" s="8">
        <v>0.63492650272493023</v>
      </c>
      <c r="KX44" s="8">
        <v>0.63614183269787561</v>
      </c>
      <c r="KY44" s="7">
        <v>0.64055774865390847</v>
      </c>
      <c r="KZ44" s="8">
        <v>0.64405195850986607</v>
      </c>
      <c r="LA44" s="8">
        <v>0.69357575998098386</v>
      </c>
      <c r="LB44" s="8">
        <v>0.70831221889962026</v>
      </c>
      <c r="LC44" s="7">
        <v>0.70130526148773276</v>
      </c>
      <c r="LD44" s="8">
        <v>0.6914285216775371</v>
      </c>
      <c r="LE44" s="8">
        <v>0.69511177340348329</v>
      </c>
      <c r="LF44" s="8">
        <v>0.68535383248683335</v>
      </c>
      <c r="LG44" s="8">
        <v>0.68114226331654626</v>
      </c>
      <c r="LH44" s="7">
        <v>0.68128809041142913</v>
      </c>
      <c r="LI44" s="8">
        <v>0.69096624156509567</v>
      </c>
      <c r="LJ44" s="8">
        <v>0.68943967020413544</v>
      </c>
      <c r="LL44" s="6" t="s">
        <v>206</v>
      </c>
      <c r="LM44" s="6" t="s">
        <v>160</v>
      </c>
      <c r="LN44" s="6" t="s">
        <v>161</v>
      </c>
      <c r="LO44" s="8">
        <v>0.55833221951179401</v>
      </c>
    </row>
    <row r="45" spans="2:327" x14ac:dyDescent="0.45">
      <c r="B45" s="3" t="s">
        <v>207</v>
      </c>
      <c r="C45" s="3" t="s">
        <v>151</v>
      </c>
      <c r="D45" s="5">
        <v>0.22583632631840561</v>
      </c>
      <c r="E45" s="5">
        <v>0.23751527030903882</v>
      </c>
      <c r="F45" s="5">
        <v>0.23928981248473472</v>
      </c>
      <c r="G45" s="5">
        <v>0.24715929928289532</v>
      </c>
      <c r="H45" s="5">
        <v>0.25167335365829863</v>
      </c>
      <c r="I45" s="5">
        <v>0.26083447807398646</v>
      </c>
      <c r="J45" s="5">
        <v>0.26399673942547019</v>
      </c>
      <c r="K45" s="5">
        <v>0.24679958521909262</v>
      </c>
      <c r="L45" s="5">
        <v>0.22993158838218683</v>
      </c>
      <c r="M45" s="5">
        <v>0.22739435810175443</v>
      </c>
      <c r="N45" s="5">
        <v>0.30001076300096158</v>
      </c>
      <c r="O45" s="5">
        <v>0.32195168465351853</v>
      </c>
      <c r="P45" s="5">
        <v>0.33037595490659094</v>
      </c>
      <c r="Q45" s="5">
        <v>0.33282304879568253</v>
      </c>
      <c r="R45" s="5">
        <v>0.32971857595655552</v>
      </c>
      <c r="S45" s="5">
        <v>0.31994579295775638</v>
      </c>
      <c r="T45" s="5">
        <v>0.31167666657794535</v>
      </c>
      <c r="U45" s="5">
        <v>0.30989818786037227</v>
      </c>
      <c r="V45" s="5">
        <v>0.29062745104819782</v>
      </c>
      <c r="W45" s="5">
        <v>0.27068298904701549</v>
      </c>
      <c r="X45" s="5">
        <v>0.3320441878161714</v>
      </c>
      <c r="Y45" s="5">
        <v>0.3199182946220322</v>
      </c>
      <c r="Z45" s="5">
        <v>0.30332051105659419</v>
      </c>
      <c r="AA45" s="5">
        <v>0.29851902507025863</v>
      </c>
      <c r="AB45" s="5">
        <v>0.29248107363061865</v>
      </c>
      <c r="AC45" s="5">
        <v>0.29842916210157089</v>
      </c>
      <c r="AD45" s="5">
        <v>0.31102265214504921</v>
      </c>
      <c r="AE45" s="5">
        <v>0.31449182411064752</v>
      </c>
      <c r="AF45" s="5">
        <v>0.31990158269729724</v>
      </c>
      <c r="AG45" s="5">
        <v>0.32497227200924178</v>
      </c>
      <c r="AH45" s="5">
        <v>0.36594197231211617</v>
      </c>
      <c r="AI45" s="5">
        <v>0.36380068586399639</v>
      </c>
      <c r="AJ45" s="5">
        <v>0.36054789461089903</v>
      </c>
      <c r="AK45" s="5">
        <v>0.36235685271931867</v>
      </c>
      <c r="AL45" s="5">
        <v>0.36424026325342068</v>
      </c>
      <c r="AM45" s="5">
        <v>0.35770531114207593</v>
      </c>
      <c r="AN45" s="5">
        <v>0.3496617065466861</v>
      </c>
      <c r="AO45" s="5">
        <v>0.35189996328635231</v>
      </c>
      <c r="AP45" s="5">
        <v>0.35020926153140908</v>
      </c>
      <c r="AQ45" s="5">
        <v>0.36776036286339248</v>
      </c>
      <c r="AR45" s="5">
        <v>0.29969765970466</v>
      </c>
      <c r="AS45" s="5">
        <v>0.28436355319148104</v>
      </c>
      <c r="AT45" s="5">
        <v>0.27041854154293882</v>
      </c>
      <c r="AU45" s="5">
        <v>0.2680534344822082</v>
      </c>
      <c r="AV45" s="5">
        <v>0.2720873397108774</v>
      </c>
      <c r="AW45" s="5">
        <v>0.27960999780226559</v>
      </c>
      <c r="AX45" s="5">
        <v>0.29142948648900185</v>
      </c>
      <c r="AY45" s="5">
        <v>0.28954152645460146</v>
      </c>
      <c r="AZ45" s="5">
        <v>0.2767091707682568</v>
      </c>
      <c r="BA45" s="5">
        <v>0.28878596766817038</v>
      </c>
      <c r="BB45" s="5">
        <v>0.19425319782104883</v>
      </c>
      <c r="BC45" s="5">
        <v>0.19960385924294394</v>
      </c>
      <c r="BD45" s="5">
        <v>0.19834462548119322</v>
      </c>
      <c r="BE45" s="5">
        <v>0.20891568591037837</v>
      </c>
      <c r="BF45" s="5">
        <v>0.21551127382306315</v>
      </c>
      <c r="BG45" s="5">
        <v>0.20290044915730054</v>
      </c>
      <c r="BH45" s="5">
        <v>0.19871236360932681</v>
      </c>
      <c r="BI45" s="5">
        <v>0.19405123674108873</v>
      </c>
      <c r="BJ45" s="5">
        <v>0.19518019764558941</v>
      </c>
      <c r="BK45" s="5">
        <v>0.19046533918296299</v>
      </c>
      <c r="BM45" s="3" t="s">
        <v>207</v>
      </c>
      <c r="BN45" s="3" t="s">
        <v>152</v>
      </c>
      <c r="BO45" s="5">
        <v>1.3241517205838884E-2</v>
      </c>
      <c r="BP45" s="5">
        <v>1.2544609788632543E-2</v>
      </c>
      <c r="BQ45" s="4">
        <v>1.7666463401603397E-2</v>
      </c>
      <c r="BR45" s="5">
        <v>1.9624632933014838E-2</v>
      </c>
      <c r="BS45" s="5">
        <v>1.1541086409677799E-2</v>
      </c>
      <c r="BT45" s="5">
        <v>6.689044811581806E-3</v>
      </c>
      <c r="BU45" s="4">
        <v>1.1577415731607749E-2</v>
      </c>
      <c r="BV45" s="5">
        <v>1.1818542859611465E-2</v>
      </c>
      <c r="BW45" s="4">
        <v>1.1774788332879043E-2</v>
      </c>
      <c r="BX45" s="5">
        <v>1.1851366619491462E-2</v>
      </c>
      <c r="BY45" s="4">
        <v>8.7657754368479519E-3</v>
      </c>
      <c r="BZ45" s="4">
        <v>4.1880523687589507E-3</v>
      </c>
      <c r="CA45" s="4">
        <v>8.4564490796102641E-3</v>
      </c>
      <c r="CB45" s="4">
        <v>4.872364621900078E-3</v>
      </c>
      <c r="CC45" s="4">
        <v>2.4078549216923805E-3</v>
      </c>
      <c r="CD45" s="5">
        <v>7.9166331724179039E-3</v>
      </c>
      <c r="CE45" s="4">
        <v>1.6790130664083341E-2</v>
      </c>
      <c r="CF45" s="5">
        <v>1.0207705938460687E-2</v>
      </c>
      <c r="CG45" s="4">
        <v>8.8234299769584142E-3</v>
      </c>
      <c r="CH45" s="5">
        <v>1.5673076470065966E-2</v>
      </c>
      <c r="CI45" s="5">
        <v>2.5523249990860468E-2</v>
      </c>
      <c r="CJ45" s="4">
        <v>1.8946171993165995E-2</v>
      </c>
      <c r="CK45" s="5">
        <v>3.3666500824861993E-2</v>
      </c>
      <c r="CL45" s="4">
        <v>3.3754428841688819E-2</v>
      </c>
      <c r="CM45" s="5">
        <v>2.3852553057555431E-2</v>
      </c>
      <c r="CN45" s="5">
        <v>1.0513444241137381E-2</v>
      </c>
      <c r="CO45" s="5">
        <v>2.1121902803511779E-2</v>
      </c>
      <c r="CP45" s="5">
        <v>2.6128629725644337E-2</v>
      </c>
      <c r="CQ45" s="5">
        <v>6.207429427993085E-3</v>
      </c>
      <c r="CR45" s="5">
        <v>3.6860570143751989E-3</v>
      </c>
      <c r="CS45" s="5">
        <v>2.6052417328333393E-2</v>
      </c>
      <c r="CT45" s="5">
        <v>2.1293714578802844E-2</v>
      </c>
      <c r="CU45" s="4">
        <v>5.9774477532962428E-4</v>
      </c>
      <c r="CV45" s="4">
        <v>6.3113424974908761E-4</v>
      </c>
      <c r="CW45" s="5">
        <v>8.5777148211488297E-3</v>
      </c>
      <c r="CX45" s="4">
        <v>1.0589886655295921E-2</v>
      </c>
      <c r="CY45" s="4">
        <v>7.6653540422818743E-3</v>
      </c>
      <c r="CZ45" s="4">
        <v>1.0135424317394285E-2</v>
      </c>
      <c r="DA45" s="4">
        <v>2.139826885819129E-2</v>
      </c>
      <c r="DB45" s="5">
        <v>3.4867291561335279E-2</v>
      </c>
      <c r="DC45" s="5">
        <v>7.3286063042774666E-3</v>
      </c>
      <c r="DD45" s="4">
        <v>2.2084865070408151E-3</v>
      </c>
      <c r="DE45" s="4">
        <v>1.4145574319135651E-2</v>
      </c>
      <c r="DF45" s="5">
        <v>2.9245041422804437E-2</v>
      </c>
      <c r="DG45" s="5">
        <v>3.1523875233409E-2</v>
      </c>
      <c r="DH45" s="4">
        <v>1.3245668794211053E-2</v>
      </c>
      <c r="DI45" s="4">
        <v>1.0423059196463715E-2</v>
      </c>
      <c r="DJ45" s="4">
        <v>2.1614360195335657E-2</v>
      </c>
      <c r="DK45" s="4">
        <v>1.4672007344022778E-2</v>
      </c>
      <c r="DL45" s="5">
        <v>1.0953730009707532E-2</v>
      </c>
      <c r="DM45" s="5">
        <v>7.068545782389044E-3</v>
      </c>
      <c r="DN45" s="5">
        <v>7.6560971894046401E-3</v>
      </c>
      <c r="DO45" s="5">
        <v>9.5249447274359418E-3</v>
      </c>
      <c r="DP45" s="5">
        <v>1.0299581226966224E-2</v>
      </c>
      <c r="DQ45" s="5">
        <v>7.8058410340660521E-3</v>
      </c>
      <c r="DR45" s="5">
        <v>9.7188967711395232E-3</v>
      </c>
      <c r="DS45" s="5">
        <v>7.8690976617130873E-3</v>
      </c>
      <c r="DT45" s="4">
        <v>9.9334520157348515E-3</v>
      </c>
      <c r="DU45" s="5">
        <v>7.6112770201425236E-3</v>
      </c>
      <c r="DV45" s="5">
        <v>1.0858242303450512E-2</v>
      </c>
      <c r="DX45" s="3" t="s">
        <v>207</v>
      </c>
      <c r="DY45" s="3" t="s">
        <v>153</v>
      </c>
      <c r="DZ45" s="4">
        <v>1.708010778700296E-2</v>
      </c>
      <c r="EA45" s="5">
        <v>2.0715952913736613E-2</v>
      </c>
      <c r="EB45" s="5">
        <v>1.8812356423818847E-2</v>
      </c>
      <c r="EC45" s="5">
        <v>1.8511507925767858E-2</v>
      </c>
      <c r="ED45" s="4">
        <v>1.5219975786123692E-2</v>
      </c>
      <c r="EE45" s="5">
        <v>2.6028626322657459E-2</v>
      </c>
      <c r="EF45" s="4">
        <v>2.2316184984127196E-2</v>
      </c>
      <c r="EG45" s="5">
        <v>1.6130687162280472E-2</v>
      </c>
      <c r="EH45" s="5">
        <v>1.3162056406788259E-2</v>
      </c>
      <c r="EI45" s="5">
        <v>2.1026228439298404E-2</v>
      </c>
      <c r="EJ45" s="5">
        <v>2.5033221092747335E-2</v>
      </c>
      <c r="EK45" s="5">
        <v>1.9411073196646488E-2</v>
      </c>
      <c r="EL45" s="5">
        <v>3.9316966195520496E-3</v>
      </c>
      <c r="EM45" s="5">
        <v>7.6029914469593896E-3</v>
      </c>
      <c r="EN45" s="5">
        <v>6.1203746829390096E-3</v>
      </c>
      <c r="EO45" s="4">
        <v>1.8500614457580245E-3</v>
      </c>
      <c r="EP45" s="4">
        <v>2.4203052778670839E-4</v>
      </c>
      <c r="EQ45" s="4">
        <v>1.7822433320967234E-2</v>
      </c>
      <c r="ER45" s="4">
        <v>2.5971763713648899E-2</v>
      </c>
      <c r="ES45" s="4">
        <v>2.5758424608740883E-2</v>
      </c>
      <c r="ET45" s="5">
        <v>1.7477935338979581E-2</v>
      </c>
      <c r="EU45" s="5">
        <v>4.2152863049553603E-2</v>
      </c>
      <c r="EV45" s="5">
        <v>4.6249138792980281E-2</v>
      </c>
      <c r="EW45" s="5">
        <v>2.6991361679154696E-2</v>
      </c>
      <c r="EX45" s="4">
        <v>4.4941119910201624E-2</v>
      </c>
      <c r="EY45" s="5">
        <v>3.7612158452486444E-2</v>
      </c>
      <c r="EZ45" s="5">
        <v>2.2984203515653518E-2</v>
      </c>
      <c r="FA45" s="5">
        <v>2.4449640904558929E-2</v>
      </c>
      <c r="FB45" s="5">
        <v>4.6048994256997183E-2</v>
      </c>
      <c r="FC45" s="5">
        <v>4.3390954877740695E-2</v>
      </c>
      <c r="FD45" s="5">
        <v>3.7750038140988464E-2</v>
      </c>
      <c r="FE45" s="5">
        <v>5.4812893300255953E-2</v>
      </c>
      <c r="FF45" s="5">
        <v>5.5974035516227018E-2</v>
      </c>
      <c r="FG45" s="5">
        <v>4.0419341608516117E-2</v>
      </c>
      <c r="FH45" s="4">
        <v>1.015596950279731E-2</v>
      </c>
      <c r="FI45" s="5">
        <v>2.5892058293029759E-3</v>
      </c>
      <c r="FJ45" s="5">
        <v>1.4412959495066656E-2</v>
      </c>
      <c r="FK45" s="5">
        <v>1.4751281193547421E-2</v>
      </c>
      <c r="FL45" s="5">
        <v>5.1794106589374686E-3</v>
      </c>
      <c r="FM45" s="4">
        <v>2.0896720134389452E-2</v>
      </c>
      <c r="FN45" s="5">
        <v>2.4484031435926337E-2</v>
      </c>
      <c r="FO45" s="5">
        <v>1.9217393110339556E-2</v>
      </c>
      <c r="FP45" s="4">
        <v>1.1470376215008775E-3</v>
      </c>
      <c r="FQ45" s="4">
        <v>5.0781276161243642E-3</v>
      </c>
      <c r="FR45" s="4">
        <v>1.5586995137548767E-2</v>
      </c>
      <c r="FS45" s="4">
        <v>3.3357000997144642E-2</v>
      </c>
      <c r="FT45" s="5">
        <v>4.5263526317569976E-2</v>
      </c>
      <c r="FU45" s="5">
        <v>1.6518203613792269E-2</v>
      </c>
      <c r="FV45" s="4">
        <v>1.797146866990074E-2</v>
      </c>
      <c r="FW45" s="5">
        <v>3.1221644386089466E-2</v>
      </c>
      <c r="FX45" s="5">
        <v>1.7672226697755498E-2</v>
      </c>
      <c r="FY45" s="5">
        <v>1.2946143166466787E-2</v>
      </c>
      <c r="FZ45" s="5">
        <v>6.4233516356464798E-3</v>
      </c>
      <c r="GA45" s="5">
        <v>8.701310871396889E-3</v>
      </c>
      <c r="GB45" s="5">
        <v>1.6285410116936693E-2</v>
      </c>
      <c r="GC45" s="5">
        <v>1.2852080231055749E-2</v>
      </c>
      <c r="GD45" s="5">
        <v>8.073284801581454E-3</v>
      </c>
      <c r="GE45" s="5">
        <v>4.8441086420497412E-3</v>
      </c>
      <c r="GF45" s="5">
        <v>7.4379434630856538E-3</v>
      </c>
      <c r="GG45" s="5">
        <v>1.2956064345768022E-2</v>
      </c>
      <c r="GI45" s="3" t="s">
        <v>207</v>
      </c>
      <c r="GJ45" s="3" t="s">
        <v>154</v>
      </c>
      <c r="GK45" s="5">
        <v>9.8138110975070636E-2</v>
      </c>
      <c r="GL45" s="5">
        <v>9.323621596350605E-2</v>
      </c>
      <c r="GM45" s="5">
        <v>9.1034055121566412E-2</v>
      </c>
      <c r="GN45" s="5">
        <v>9.6048490807844514E-2</v>
      </c>
      <c r="GO45" s="5">
        <v>0.10545703544581857</v>
      </c>
      <c r="GP45" s="5">
        <v>9.8499739306058057E-2</v>
      </c>
      <c r="GQ45" s="5">
        <v>9.7565488981592993E-2</v>
      </c>
      <c r="GR45" s="5">
        <v>0.10242133615359368</v>
      </c>
      <c r="GS45" s="5">
        <v>9.8209293673644338E-2</v>
      </c>
      <c r="GT45" s="5">
        <v>9.567825840587689E-2</v>
      </c>
      <c r="GU45" s="5">
        <v>0.15053024557238634</v>
      </c>
      <c r="GV45" s="5">
        <v>0.17375441192119148</v>
      </c>
      <c r="GW45" s="5">
        <v>0.1860209742928729</v>
      </c>
      <c r="GX45" s="5">
        <v>0.18625325320020084</v>
      </c>
      <c r="GY45" s="5">
        <v>0.18070922371675502</v>
      </c>
      <c r="GZ45" s="5">
        <v>0.17318530311682759</v>
      </c>
      <c r="HA45" s="4">
        <v>0.16437557453547452</v>
      </c>
      <c r="HB45" s="5">
        <v>0.14981905953992158</v>
      </c>
      <c r="HC45" s="5">
        <v>0.12986419838593832</v>
      </c>
      <c r="HD45" s="5">
        <v>0.11399974807493513</v>
      </c>
      <c r="HE45" s="5">
        <v>0.15967511189134578</v>
      </c>
      <c r="HF45" s="5">
        <v>0.14385485383589669</v>
      </c>
      <c r="HG45" s="5">
        <v>0.11178579217985775</v>
      </c>
      <c r="HH45" s="5">
        <v>0.12777867403064666</v>
      </c>
      <c r="HI45" s="5">
        <v>0.1224375806836531</v>
      </c>
      <c r="HJ45" s="5">
        <v>0.13721642135412279</v>
      </c>
      <c r="HK45" s="5">
        <v>0.13828368763195772</v>
      </c>
      <c r="HL45" s="4">
        <v>0.14186439144942589</v>
      </c>
      <c r="HM45" s="5">
        <v>0.14611499977804157</v>
      </c>
      <c r="HN45" s="5">
        <v>0.15224153446973354</v>
      </c>
      <c r="HO45" s="5">
        <v>0.17256619904832887</v>
      </c>
      <c r="HP45" s="5">
        <v>0.16098262343936443</v>
      </c>
      <c r="HQ45" s="5">
        <v>0.18639598208083918</v>
      </c>
      <c r="HR45" s="5">
        <v>0.19867075632139006</v>
      </c>
      <c r="HS45" s="5">
        <v>0.21072848007441367</v>
      </c>
      <c r="HT45" s="5">
        <v>0.2090195459438273</v>
      </c>
      <c r="HU45" s="5">
        <v>0.19645007124102973</v>
      </c>
      <c r="HV45" s="4">
        <v>0.20640287175757824</v>
      </c>
      <c r="HW45" s="5">
        <v>0.20793705178069138</v>
      </c>
      <c r="HX45" s="5">
        <v>0.1901336260984603</v>
      </c>
      <c r="HY45" s="5">
        <v>0.15025338823544898</v>
      </c>
      <c r="HZ45" s="5">
        <v>0.14601467530274462</v>
      </c>
      <c r="IA45" s="5">
        <v>0.13823481282050981</v>
      </c>
      <c r="IB45" s="5">
        <v>0.11323453978547771</v>
      </c>
      <c r="IC45" s="5">
        <v>0.10640235840691947</v>
      </c>
      <c r="ID45" s="5">
        <v>0.11569322532847422</v>
      </c>
      <c r="IE45" s="5">
        <v>0.11105094220513466</v>
      </c>
      <c r="IF45" s="5">
        <v>0.12135895536796508</v>
      </c>
      <c r="IG45" s="5">
        <v>0.12631430825554849</v>
      </c>
      <c r="IH45" s="5">
        <v>0.13228304856649598</v>
      </c>
      <c r="II45" s="5">
        <v>6.1465983627920884E-2</v>
      </c>
      <c r="IJ45" s="5">
        <v>6.7066633915887255E-2</v>
      </c>
      <c r="IK45" s="5">
        <v>7.4882352143759989E-2</v>
      </c>
      <c r="IL45" s="5">
        <v>7.8113937287463756E-2</v>
      </c>
      <c r="IM45" s="5">
        <v>8.0459408552973732E-2</v>
      </c>
      <c r="IN45" s="5">
        <v>6.992737455319617E-2</v>
      </c>
      <c r="IO45" s="5">
        <v>6.8741644981484912E-2</v>
      </c>
      <c r="IP45" s="5">
        <v>6.8982158190682236E-2</v>
      </c>
      <c r="IQ45" s="5">
        <v>6.3538546209830321E-2</v>
      </c>
      <c r="IR45" s="5">
        <v>5.2666821893549973E-2</v>
      </c>
      <c r="JB45" s="3" t="s">
        <v>207</v>
      </c>
      <c r="JC45" s="5">
        <v>0.55846866690911834</v>
      </c>
      <c r="JD45" s="5">
        <v>0.54409771645545058</v>
      </c>
      <c r="JE45" s="4">
        <v>0.54030877852127002</v>
      </c>
      <c r="JF45" s="5">
        <v>0.53452647519722418</v>
      </c>
      <c r="JG45" s="5">
        <v>0.53978685372022606</v>
      </c>
      <c r="JH45" s="5">
        <v>0.54743672915764408</v>
      </c>
      <c r="JI45" s="5">
        <v>0.54869815145895173</v>
      </c>
      <c r="JJ45" s="5">
        <v>0.55173409568522136</v>
      </c>
      <c r="JK45" s="5">
        <v>0.5596094780663019</v>
      </c>
      <c r="JL45" s="5">
        <v>0.55495155754329828</v>
      </c>
      <c r="JM45" s="5">
        <v>0.45942358817758977</v>
      </c>
      <c r="JN45" s="4">
        <v>0.44173567978081513</v>
      </c>
      <c r="JO45" s="5">
        <v>0.44311645710646858</v>
      </c>
      <c r="JP45" s="5">
        <v>0.45146938071320997</v>
      </c>
      <c r="JQ45" s="5">
        <v>0.4604551495983209</v>
      </c>
      <c r="JR45" s="5">
        <v>0.46811511867470185</v>
      </c>
      <c r="JS45" s="5">
        <v>0.47163770001808719</v>
      </c>
      <c r="JT45" s="5">
        <v>0.4781790296163152</v>
      </c>
      <c r="JU45" s="5">
        <v>0.49471463583074771</v>
      </c>
      <c r="JV45" s="5">
        <v>0.50288247319274182</v>
      </c>
      <c r="JW45" s="4">
        <v>0.36226584017726565</v>
      </c>
      <c r="JX45" s="5">
        <v>0.35694029748696438</v>
      </c>
      <c r="JY45" s="5">
        <v>0.37381032243575357</v>
      </c>
      <c r="JZ45" s="5">
        <v>0.38682594495172262</v>
      </c>
      <c r="KA45" s="5">
        <v>0.39933364361100943</v>
      </c>
      <c r="KB45" s="5">
        <v>0.41220221928330231</v>
      </c>
      <c r="KC45" s="5">
        <v>0.42493577790676729</v>
      </c>
      <c r="KD45" s="5">
        <v>0.42759148214724763</v>
      </c>
      <c r="KE45" s="5">
        <v>0.40200305337800213</v>
      </c>
      <c r="KF45" s="4">
        <v>0.36700745351997027</v>
      </c>
      <c r="KG45" s="4">
        <v>0.33307222758908034</v>
      </c>
      <c r="KH45" s="5">
        <v>0.3278347468924081</v>
      </c>
      <c r="KI45" s="5">
        <v>0.33580620729307309</v>
      </c>
      <c r="KJ45" s="5">
        <v>0.34071988894993138</v>
      </c>
      <c r="KK45" s="5">
        <v>0.35384093607672445</v>
      </c>
      <c r="KL45" s="5">
        <v>0.36149230905646723</v>
      </c>
      <c r="KM45" s="5">
        <v>0.35664556061714958</v>
      </c>
      <c r="KN45" s="5">
        <v>0.33778879675499668</v>
      </c>
      <c r="KO45" s="5">
        <v>0.31416599045602361</v>
      </c>
      <c r="KP45" s="4">
        <v>0.31868953088289509</v>
      </c>
      <c r="KQ45" s="5">
        <v>0.4513377055167011</v>
      </c>
      <c r="KR45" s="4">
        <v>0.46638585886822514</v>
      </c>
      <c r="KS45" s="5">
        <v>0.48578407864676892</v>
      </c>
      <c r="KT45" s="5">
        <v>0.50777483273120427</v>
      </c>
      <c r="KU45" s="5">
        <v>0.51603534461249556</v>
      </c>
      <c r="KV45" s="5">
        <v>0.50475745058698351</v>
      </c>
      <c r="KW45" s="5">
        <v>0.49841051479183596</v>
      </c>
      <c r="KX45" s="5">
        <v>0.49271506776608176</v>
      </c>
      <c r="KY45" s="4">
        <v>0.48325830578898088</v>
      </c>
      <c r="KZ45" s="5">
        <v>0.46623656034073763</v>
      </c>
      <c r="LA45" s="5">
        <v>0.68906199211979402</v>
      </c>
      <c r="LB45" s="5">
        <v>0.67820489896522929</v>
      </c>
      <c r="LC45" s="4">
        <v>0.66885042592601851</v>
      </c>
      <c r="LD45" s="5">
        <v>0.65406785111993571</v>
      </c>
      <c r="LE45" s="5">
        <v>0.64592330413199794</v>
      </c>
      <c r="LF45" s="5">
        <v>0.6750442468025839</v>
      </c>
      <c r="LG45" s="5">
        <v>0.68436000363324379</v>
      </c>
      <c r="LH45" s="4">
        <v>0.68801327400526779</v>
      </c>
      <c r="LI45" s="5">
        <v>0.69634639080501015</v>
      </c>
      <c r="LJ45" s="5">
        <v>0.70097717024964801</v>
      </c>
      <c r="LL45" s="3" t="s">
        <v>208</v>
      </c>
      <c r="LM45" s="3" t="s">
        <v>160</v>
      </c>
      <c r="LN45" s="3" t="s">
        <v>161</v>
      </c>
      <c r="LO45" s="5">
        <v>0.50549994658098696</v>
      </c>
    </row>
    <row r="46" spans="2:327" x14ac:dyDescent="0.45">
      <c r="B46" s="6" t="s">
        <v>209</v>
      </c>
      <c r="C46" s="6" t="s">
        <v>151</v>
      </c>
      <c r="D46" s="8">
        <v>0.18850205263507797</v>
      </c>
      <c r="E46" s="8">
        <v>0.17576564668680031</v>
      </c>
      <c r="F46" s="8">
        <v>0.17184429400014636</v>
      </c>
      <c r="G46" s="8">
        <v>0.17291071230461341</v>
      </c>
      <c r="H46" s="8">
        <v>0.18206753693505706</v>
      </c>
      <c r="I46" s="8">
        <v>0.19010829837770468</v>
      </c>
      <c r="J46" s="8">
        <v>0.19026614372127326</v>
      </c>
      <c r="K46" s="8">
        <v>0.19109256494079871</v>
      </c>
      <c r="L46" s="8">
        <v>0.19399953928562649</v>
      </c>
      <c r="M46" s="8">
        <v>0.19560425050547564</v>
      </c>
      <c r="N46" s="8">
        <v>0.16753215029093652</v>
      </c>
      <c r="O46" s="8">
        <v>0.18214015223377039</v>
      </c>
      <c r="P46" s="8">
        <v>0.18152004308606398</v>
      </c>
      <c r="Q46" s="8">
        <v>0.18964720852986156</v>
      </c>
      <c r="R46" s="8">
        <v>0.19828086865340253</v>
      </c>
      <c r="S46" s="8">
        <v>0.19902026962667424</v>
      </c>
      <c r="T46" s="8">
        <v>0.19542205068822277</v>
      </c>
      <c r="U46" s="8">
        <v>0.18444526503694464</v>
      </c>
      <c r="V46" s="8">
        <v>0.1687871972773089</v>
      </c>
      <c r="W46" s="8">
        <v>0.17404032616680032</v>
      </c>
      <c r="X46" s="8">
        <v>0.25901849463921423</v>
      </c>
      <c r="Y46" s="8">
        <v>0.2696578859977527</v>
      </c>
      <c r="Z46" s="8">
        <v>0.27227553227212337</v>
      </c>
      <c r="AA46" s="8">
        <v>0.29177160976870564</v>
      </c>
      <c r="AB46" s="8">
        <v>0.28927535734745768</v>
      </c>
      <c r="AC46" s="8">
        <v>0.27304023119812049</v>
      </c>
      <c r="AD46" s="8">
        <v>0.25877966983075701</v>
      </c>
      <c r="AE46" s="8">
        <v>0.23531862158273778</v>
      </c>
      <c r="AF46" s="8">
        <v>0.23575512702959822</v>
      </c>
      <c r="AG46" s="8">
        <v>0.24550704491529238</v>
      </c>
      <c r="AH46" s="8">
        <v>0.29954804848328398</v>
      </c>
      <c r="AI46" s="8">
        <v>0.30782049510889969</v>
      </c>
      <c r="AJ46" s="8">
        <v>0.30830516219806492</v>
      </c>
      <c r="AK46" s="8">
        <v>0.30674166159208893</v>
      </c>
      <c r="AL46" s="8">
        <v>0.31694298866886539</v>
      </c>
      <c r="AM46" s="8">
        <v>0.31515933944473135</v>
      </c>
      <c r="AN46" s="8">
        <v>0.31012333308454881</v>
      </c>
      <c r="AO46" s="8">
        <v>0.3027516974293078</v>
      </c>
      <c r="AP46" s="8">
        <v>0.29250648289669484</v>
      </c>
      <c r="AQ46" s="8">
        <v>0.29427856322672047</v>
      </c>
      <c r="AR46" s="8">
        <v>0.26998628815057701</v>
      </c>
      <c r="AS46" s="8">
        <v>0.2710216734574169</v>
      </c>
      <c r="AT46" s="8">
        <v>0.28417923282704732</v>
      </c>
      <c r="AU46" s="8">
        <v>0.28680920436208268</v>
      </c>
      <c r="AV46" s="8">
        <v>0.28125050452604416</v>
      </c>
      <c r="AW46" s="8">
        <v>0.28130464373232422</v>
      </c>
      <c r="AX46" s="8">
        <v>0.2750328707381306</v>
      </c>
      <c r="AY46" s="8">
        <v>0.27938579288424803</v>
      </c>
      <c r="AZ46" s="8">
        <v>0.29446879890442407</v>
      </c>
      <c r="BA46" s="8">
        <v>0.2934414705415333</v>
      </c>
      <c r="BB46" s="8">
        <v>0.27313334589492216</v>
      </c>
      <c r="BC46" s="8">
        <v>0.27614946805257329</v>
      </c>
      <c r="BD46" s="8">
        <v>0.27834766683406026</v>
      </c>
      <c r="BE46" s="8">
        <v>0.27259239246329142</v>
      </c>
      <c r="BF46" s="8">
        <v>0.25801858350475865</v>
      </c>
      <c r="BG46" s="8">
        <v>0.24894743650080178</v>
      </c>
      <c r="BH46" s="8">
        <v>0.23657713377649317</v>
      </c>
      <c r="BI46" s="8">
        <v>0.22987700314885326</v>
      </c>
      <c r="BJ46" s="8">
        <v>0.22918578536917428</v>
      </c>
      <c r="BK46" s="8">
        <v>0.24926539687750651</v>
      </c>
      <c r="BM46" s="6" t="s">
        <v>209</v>
      </c>
      <c r="BN46" s="6" t="s">
        <v>152</v>
      </c>
      <c r="BO46" s="8">
        <v>9.6506060989641936E-3</v>
      </c>
      <c r="BP46" s="8">
        <v>3.6643470778167974E-3</v>
      </c>
      <c r="BQ46" s="7">
        <v>4.7284388956019214E-3</v>
      </c>
      <c r="BR46" s="8">
        <v>1.3157230611634757E-2</v>
      </c>
      <c r="BS46" s="8">
        <v>2.0058227942334063E-2</v>
      </c>
      <c r="BT46" s="8">
        <v>2.284907018578199E-2</v>
      </c>
      <c r="BU46" s="7">
        <v>1.1251365442561983E-2</v>
      </c>
      <c r="BV46" s="8">
        <v>7.6780575068764187E-3</v>
      </c>
      <c r="BW46" s="7">
        <v>6.8708380718532618E-4</v>
      </c>
      <c r="BX46" s="8">
        <v>5.9096947887648721E-3</v>
      </c>
      <c r="BY46" s="7">
        <v>1.2309703598038757E-2</v>
      </c>
      <c r="BZ46" s="7">
        <v>7.5332409819173834E-3</v>
      </c>
      <c r="CA46" s="7">
        <v>1.8102989341409151E-3</v>
      </c>
      <c r="CB46" s="7">
        <v>5.9072374335132054E-3</v>
      </c>
      <c r="CC46" s="7">
        <v>7.5312431319116508E-3</v>
      </c>
      <c r="CD46" s="8">
        <v>5.595881757050801E-3</v>
      </c>
      <c r="CE46" s="7">
        <v>3.0846054009970327E-3</v>
      </c>
      <c r="CF46" s="8">
        <v>6.4356711688012287E-3</v>
      </c>
      <c r="CG46" s="7">
        <v>5.1680083202576459E-3</v>
      </c>
      <c r="CH46" s="8">
        <v>1.0400032798491804E-2</v>
      </c>
      <c r="CI46" s="8">
        <v>1.484459681597244E-2</v>
      </c>
      <c r="CJ46" s="7">
        <v>1.0545482244745757E-2</v>
      </c>
      <c r="CK46" s="8">
        <v>1.3074461397241909E-2</v>
      </c>
      <c r="CL46" s="7">
        <v>7.3840918630576069E-3</v>
      </c>
      <c r="CM46" s="8">
        <v>1.031253395952101E-2</v>
      </c>
      <c r="CN46" s="8">
        <v>1.1043321627706756E-2</v>
      </c>
      <c r="CO46" s="8">
        <v>1.0318044019895006E-2</v>
      </c>
      <c r="CP46" s="8">
        <v>9.0253013621308595E-3</v>
      </c>
      <c r="CQ46" s="8">
        <v>3.4934727580874748E-3</v>
      </c>
      <c r="CR46" s="8">
        <v>5.5585709739231579E-3</v>
      </c>
      <c r="CS46" s="8">
        <v>2.3024582202819978E-2</v>
      </c>
      <c r="CT46" s="8">
        <v>2.3605617599392517E-2</v>
      </c>
      <c r="CU46" s="7">
        <v>2.1905636995371559E-2</v>
      </c>
      <c r="CV46" s="7">
        <v>9.3184700237203407E-4</v>
      </c>
      <c r="CW46" s="8">
        <v>1.4759772137075107E-2</v>
      </c>
      <c r="CX46" s="7">
        <v>2.8732398627173656E-2</v>
      </c>
      <c r="CY46" s="7">
        <v>2.687898882380663E-2</v>
      </c>
      <c r="CZ46" s="7">
        <v>2.0599734418846046E-2</v>
      </c>
      <c r="DA46" s="7">
        <v>1.8276136255343883E-2</v>
      </c>
      <c r="DB46" s="8">
        <v>1.7444247375202334E-2</v>
      </c>
      <c r="DC46" s="8">
        <v>1.8301762728676792E-2</v>
      </c>
      <c r="DD46" s="7">
        <v>1.6064129676569158E-2</v>
      </c>
      <c r="DE46" s="7">
        <v>3.6742315169518688E-2</v>
      </c>
      <c r="DF46" s="8">
        <v>3.1400040910426419E-2</v>
      </c>
      <c r="DG46" s="8">
        <v>1.3350251610313842E-2</v>
      </c>
      <c r="DH46" s="7">
        <v>5.760916103175885E-3</v>
      </c>
      <c r="DI46" s="7">
        <v>1.1181040874452286E-2</v>
      </c>
      <c r="DJ46" s="7">
        <v>2.0097921589426179E-2</v>
      </c>
      <c r="DK46" s="7">
        <v>1.7288727751638755E-2</v>
      </c>
      <c r="DL46" s="8">
        <v>1.670546876532374E-2</v>
      </c>
      <c r="DM46" s="8">
        <v>6.7803754066194976E-3</v>
      </c>
      <c r="DN46" s="8">
        <v>1.7616696926945535E-2</v>
      </c>
      <c r="DO46" s="8">
        <v>2.4113565433775498E-2</v>
      </c>
      <c r="DP46" s="8">
        <v>2.2545258339497116E-2</v>
      </c>
      <c r="DQ46" s="8">
        <v>1.3599436282883534E-2</v>
      </c>
      <c r="DR46" s="8">
        <v>2.0088773416633808E-2</v>
      </c>
      <c r="DS46" s="8">
        <v>1.6028021046379282E-2</v>
      </c>
      <c r="DT46" s="7">
        <v>1.3952797561037115E-2</v>
      </c>
      <c r="DU46" s="8">
        <v>1.2064012694265354E-2</v>
      </c>
      <c r="DV46" s="8">
        <v>1.0320203822962684E-2</v>
      </c>
      <c r="DX46" s="6" t="s">
        <v>209</v>
      </c>
      <c r="DY46" s="6" t="s">
        <v>153</v>
      </c>
      <c r="DZ46" s="7">
        <v>3.5227074073619058E-3</v>
      </c>
      <c r="EA46" s="8">
        <v>1.1264083449101734E-2</v>
      </c>
      <c r="EB46" s="8">
        <v>1.3283051417943189E-2</v>
      </c>
      <c r="EC46" s="8">
        <v>6.7132021777439391E-3</v>
      </c>
      <c r="ED46" s="7">
        <v>6.7331987344981569E-3</v>
      </c>
      <c r="EE46" s="8">
        <v>7.1926816670588286E-3</v>
      </c>
      <c r="EF46" s="7">
        <v>2.619915926551002E-2</v>
      </c>
      <c r="EG46" s="8">
        <v>3.1110905242071347E-2</v>
      </c>
      <c r="EH46" s="8">
        <v>2.2569177403371148E-2</v>
      </c>
      <c r="EI46" s="8">
        <v>1.0758399340183413E-2</v>
      </c>
      <c r="EJ46" s="8">
        <v>1.0293887783282404E-2</v>
      </c>
      <c r="EK46" s="8">
        <v>2.0080196794101772E-2</v>
      </c>
      <c r="EL46" s="8">
        <v>1.7554461805871644E-2</v>
      </c>
      <c r="EM46" s="8">
        <v>1.2957258900726109E-2</v>
      </c>
      <c r="EN46" s="8">
        <v>2.4289339149720771E-3</v>
      </c>
      <c r="EO46" s="7">
        <v>3.616683764426303E-3</v>
      </c>
      <c r="EP46" s="7">
        <v>9.0098068850016453E-3</v>
      </c>
      <c r="EQ46" s="7">
        <v>5.5320886231417085E-3</v>
      </c>
      <c r="ER46" s="7">
        <v>8.870098314458728E-3</v>
      </c>
      <c r="ES46" s="7">
        <v>7.082944906194156E-3</v>
      </c>
      <c r="ET46" s="8">
        <v>1.332734409557638E-2</v>
      </c>
      <c r="EU46" s="8">
        <v>2.2090830455690474E-2</v>
      </c>
      <c r="EV46" s="8">
        <v>2.2354196828498072E-2</v>
      </c>
      <c r="EW46" s="8">
        <v>2.1454361785523464E-2</v>
      </c>
      <c r="EX46" s="7">
        <v>1.9308393154495666E-2</v>
      </c>
      <c r="EY46" s="8">
        <v>1.6004875990418874E-2</v>
      </c>
      <c r="EZ46" s="8">
        <v>9.1271922928981928E-3</v>
      </c>
      <c r="FA46" s="8">
        <v>1.446669820198441E-2</v>
      </c>
      <c r="FB46" s="8">
        <v>1.5974962529329742E-2</v>
      </c>
      <c r="FC46" s="8">
        <v>1.3994256673765273E-2</v>
      </c>
      <c r="FD46" s="8">
        <v>2.5608968163525165E-2</v>
      </c>
      <c r="FE46" s="8">
        <v>4.1711070697558132E-2</v>
      </c>
      <c r="FF46" s="8">
        <v>4.9748049617906472E-2</v>
      </c>
      <c r="FG46" s="8">
        <v>6.5400800578739884E-2</v>
      </c>
      <c r="FH46" s="7">
        <v>3.7938565974439786E-2</v>
      </c>
      <c r="FI46" s="8">
        <v>5.9764767383475095E-3</v>
      </c>
      <c r="FJ46" s="8">
        <v>1.5291336786219951E-2</v>
      </c>
      <c r="FK46" s="8">
        <v>2.5468101852318178E-2</v>
      </c>
      <c r="FL46" s="8">
        <v>3.7070014580867484E-2</v>
      </c>
      <c r="FM46" s="7">
        <v>4.5899075405198615E-2</v>
      </c>
      <c r="FN46" s="8">
        <v>1.4854806534759648E-2</v>
      </c>
      <c r="FO46" s="8">
        <v>2.4593080658624311E-2</v>
      </c>
      <c r="FP46" s="7">
        <v>1.7521483927032681E-2</v>
      </c>
      <c r="FQ46" s="7">
        <v>2.0534966763189312E-2</v>
      </c>
      <c r="FR46" s="7">
        <v>3.9901447602141434E-2</v>
      </c>
      <c r="FS46" s="7">
        <v>3.8217097618752381E-2</v>
      </c>
      <c r="FT46" s="8">
        <v>1.803411462678205E-2</v>
      </c>
      <c r="FU46" s="8">
        <v>3.6445120698880727E-3</v>
      </c>
      <c r="FV46" s="7">
        <v>1.6688556449225324E-2</v>
      </c>
      <c r="FW46" s="8">
        <v>2.0010027022221301E-2</v>
      </c>
      <c r="FX46" s="8">
        <v>2.3141034624560148E-2</v>
      </c>
      <c r="FY46" s="8">
        <v>8.221531158132709E-3</v>
      </c>
      <c r="FZ46" s="8">
        <v>8.3875035818051068E-3</v>
      </c>
      <c r="GA46" s="8">
        <v>1.0714911216910228E-2</v>
      </c>
      <c r="GB46" s="8">
        <v>1.8559286856895441E-2</v>
      </c>
      <c r="GC46" s="8">
        <v>1.1654797677387304E-2</v>
      </c>
      <c r="GD46" s="8">
        <v>1.6334968654575125E-2</v>
      </c>
      <c r="GE46" s="8">
        <v>1.3672597215518291E-2</v>
      </c>
      <c r="GF46" s="8">
        <v>1.2311197744705005E-2</v>
      </c>
      <c r="GG46" s="8">
        <v>2.0273882965506251E-2</v>
      </c>
      <c r="GI46" s="6" t="s">
        <v>209</v>
      </c>
      <c r="GJ46" s="6" t="s">
        <v>154</v>
      </c>
      <c r="GK46" s="8">
        <v>8.279226477910856E-2</v>
      </c>
      <c r="GL46" s="8">
        <v>7.2654514814905244E-2</v>
      </c>
      <c r="GM46" s="8">
        <v>6.6595969753016682E-2</v>
      </c>
      <c r="GN46" s="8">
        <v>5.8787197616628727E-2</v>
      </c>
      <c r="GO46" s="8">
        <v>5.3831427267088332E-2</v>
      </c>
      <c r="GP46" s="8">
        <v>5.623753423340809E-2</v>
      </c>
      <c r="GQ46" s="8">
        <v>5.3500389311534426E-2</v>
      </c>
      <c r="GR46" s="8">
        <v>5.6043778555713339E-2</v>
      </c>
      <c r="GS46" s="8">
        <v>7.2284120611532138E-2</v>
      </c>
      <c r="GT46" s="8">
        <v>7.8077424295871389E-2</v>
      </c>
      <c r="GU46" s="8">
        <v>5.8661908433470945E-2</v>
      </c>
      <c r="GV46" s="8">
        <v>6.2896992442666499E-2</v>
      </c>
      <c r="GW46" s="8">
        <v>6.9396511983751658E-2</v>
      </c>
      <c r="GX46" s="8">
        <v>7.649562645841218E-2</v>
      </c>
      <c r="GY46" s="8">
        <v>8.4861456602979252E-2</v>
      </c>
      <c r="GZ46" s="8">
        <v>8.8184740615795162E-2</v>
      </c>
      <c r="HA46" s="7">
        <v>8.5339231263749399E-2</v>
      </c>
      <c r="HB46" s="8">
        <v>8.0062320420562341E-2</v>
      </c>
      <c r="HC46" s="8">
        <v>7.0955829951019872E-2</v>
      </c>
      <c r="HD46" s="8">
        <v>6.479741682580234E-2</v>
      </c>
      <c r="HE46" s="8">
        <v>0.101159219963109</v>
      </c>
      <c r="HF46" s="8">
        <v>0.1029594903795607</v>
      </c>
      <c r="HG46" s="8">
        <v>0.10566353768988021</v>
      </c>
      <c r="HH46" s="8">
        <v>0.12550597857338239</v>
      </c>
      <c r="HI46" s="8">
        <v>0.13159569651614739</v>
      </c>
      <c r="HJ46" s="8">
        <v>0.12817185681432261</v>
      </c>
      <c r="HK46" s="8">
        <v>0.12094791131698844</v>
      </c>
      <c r="HL46" s="7">
        <v>0.10724566780053051</v>
      </c>
      <c r="HM46" s="8">
        <v>0.10901133734663475</v>
      </c>
      <c r="HN46" s="8">
        <v>0.11194507178569017</v>
      </c>
      <c r="HO46" s="8">
        <v>0.12291933004287255</v>
      </c>
      <c r="HP46" s="8">
        <v>0.12309905297241529</v>
      </c>
      <c r="HQ46" s="8">
        <v>0.12851569690775505</v>
      </c>
      <c r="HR46" s="8">
        <v>0.14303714584375243</v>
      </c>
      <c r="HS46" s="8">
        <v>0.16501906070306951</v>
      </c>
      <c r="HT46" s="8">
        <v>0.17421167019445985</v>
      </c>
      <c r="HU46" s="8">
        <v>0.1551371611993177</v>
      </c>
      <c r="HV46" s="7">
        <v>0.1410185806150222</v>
      </c>
      <c r="HW46" s="8">
        <v>0.12507320255323451</v>
      </c>
      <c r="HX46" s="8">
        <v>0.12085106136254829</v>
      </c>
      <c r="HY46" s="8">
        <v>0.12224856481313442</v>
      </c>
      <c r="HZ46" s="8">
        <v>0.11082339659212548</v>
      </c>
      <c r="IA46" s="8">
        <v>0.10847496193634713</v>
      </c>
      <c r="IB46" s="8">
        <v>0.1132981420706574</v>
      </c>
      <c r="IC46" s="8">
        <v>0.1029495919131503</v>
      </c>
      <c r="ID46" s="8">
        <v>0.10515796043204194</v>
      </c>
      <c r="IE46" s="8">
        <v>0.12016440030973743</v>
      </c>
      <c r="IF46" s="8">
        <v>0.12946125083698551</v>
      </c>
      <c r="IG46" s="8">
        <v>0.13532153075095685</v>
      </c>
      <c r="IH46" s="8">
        <v>0.12500710027531192</v>
      </c>
      <c r="II46" s="8">
        <v>0.10727551364087748</v>
      </c>
      <c r="IJ46" s="8">
        <v>0.11102879533805571</v>
      </c>
      <c r="IK46" s="8">
        <v>0.11787448818226749</v>
      </c>
      <c r="IL46" s="8">
        <v>0.1149647742089786</v>
      </c>
      <c r="IM46" s="8">
        <v>0.10244063889486206</v>
      </c>
      <c r="IN46" s="8">
        <v>8.6185529999866145E-2</v>
      </c>
      <c r="IO46" s="8">
        <v>7.2358189772241219E-2</v>
      </c>
      <c r="IP46" s="8">
        <v>6.8091001652663213E-2</v>
      </c>
      <c r="IQ46" s="8">
        <v>6.8299623926720121E-2</v>
      </c>
      <c r="IR46" s="8">
        <v>8.2771428791627882E-2</v>
      </c>
      <c r="JB46" s="6" t="s">
        <v>209</v>
      </c>
      <c r="JC46" s="8">
        <v>0.68480300496751512</v>
      </c>
      <c r="JD46" s="8">
        <v>0.69478410161653226</v>
      </c>
      <c r="JE46" s="7">
        <v>0.70111516370176186</v>
      </c>
      <c r="JF46" s="8">
        <v>0.70667985627655094</v>
      </c>
      <c r="JG46" s="8">
        <v>0.70529522973710945</v>
      </c>
      <c r="JH46" s="8">
        <v>0.69872920378851633</v>
      </c>
      <c r="JI46" s="8">
        <v>0.69478625041642228</v>
      </c>
      <c r="JJ46" s="8">
        <v>0.69071492953031666</v>
      </c>
      <c r="JK46" s="8">
        <v>0.68708113793002701</v>
      </c>
      <c r="JL46" s="8">
        <v>0.6772057384481176</v>
      </c>
      <c r="JM46" s="8">
        <v>0.70490373493441283</v>
      </c>
      <c r="JN46" s="7">
        <v>0.69849238045259054</v>
      </c>
      <c r="JO46" s="8">
        <v>0.69881494101667474</v>
      </c>
      <c r="JP46" s="8">
        <v>0.68559536757234552</v>
      </c>
      <c r="JQ46" s="8">
        <v>0.67772827150979553</v>
      </c>
      <c r="JR46" s="8">
        <v>0.66382647734074041</v>
      </c>
      <c r="JS46" s="8">
        <v>0.66125493635404586</v>
      </c>
      <c r="JT46" s="8">
        <v>0.67038691843996256</v>
      </c>
      <c r="JU46" s="8">
        <v>0.69065638124677631</v>
      </c>
      <c r="JV46" s="8">
        <v>0.69214770860520047</v>
      </c>
      <c r="JW46" s="7">
        <v>0.59197090471401625</v>
      </c>
      <c r="JX46" s="8">
        <v>0.57832449453293566</v>
      </c>
      <c r="JY46" s="8">
        <v>0.56441124301334644</v>
      </c>
      <c r="JZ46" s="8">
        <v>0.54209356204276127</v>
      </c>
      <c r="KA46" s="8">
        <v>0.53760792807179647</v>
      </c>
      <c r="KB46" s="8">
        <v>0.557244233644833</v>
      </c>
      <c r="KC46" s="8">
        <v>0.57851971990348994</v>
      </c>
      <c r="KD46" s="8">
        <v>0.59952970005010797</v>
      </c>
      <c r="KE46" s="8">
        <v>0.60146263780484288</v>
      </c>
      <c r="KF46" s="7">
        <v>0.58495439571950669</v>
      </c>
      <c r="KG46" s="7">
        <v>0.40635304682621742</v>
      </c>
      <c r="KH46" s="8">
        <v>0.39919427470139862</v>
      </c>
      <c r="KI46" s="8">
        <v>0.39123068845135361</v>
      </c>
      <c r="KJ46" s="8">
        <v>0.36189566805855972</v>
      </c>
      <c r="KK46" s="8">
        <v>0.35238369682841741</v>
      </c>
      <c r="KL46" s="8">
        <v>0.36948877026912674</v>
      </c>
      <c r="KM46" s="8">
        <v>0.39749532071713939</v>
      </c>
      <c r="KN46" s="8">
        <v>0.40451138804989151</v>
      </c>
      <c r="KO46" s="8">
        <v>0.39414565086510511</v>
      </c>
      <c r="KP46" s="7">
        <v>0.38921879584768465</v>
      </c>
      <c r="KQ46" s="8">
        <v>0.54037077359554253</v>
      </c>
      <c r="KR46" s="7">
        <v>0.5493770797740144</v>
      </c>
      <c r="KS46" s="8">
        <v>0.54957674114053878</v>
      </c>
      <c r="KT46" s="8">
        <v>0.55468312397323605</v>
      </c>
      <c r="KU46" s="8">
        <v>0.55870958560762773</v>
      </c>
      <c r="KV46" s="8">
        <v>0.56279363569248053</v>
      </c>
      <c r="KW46" s="8">
        <v>0.5627207919809426</v>
      </c>
      <c r="KX46" s="8">
        <v>0.5392219078518411</v>
      </c>
      <c r="KY46" s="7">
        <v>0.51462217663176391</v>
      </c>
      <c r="KZ46" s="8">
        <v>0.51989244403440904</v>
      </c>
      <c r="LA46" s="8">
        <v>0.61518677682293565</v>
      </c>
      <c r="LB46" s="8">
        <v>0.61060099682263258</v>
      </c>
      <c r="LC46" s="7">
        <v>0.60086912805777271</v>
      </c>
      <c r="LD46" s="8">
        <v>0.59401111736776724</v>
      </c>
      <c r="LE46" s="8">
        <v>0.60955432624888251</v>
      </c>
      <c r="LF46" s="8">
        <v>0.63803102940479672</v>
      </c>
      <c r="LG46" s="8">
        <v>0.66785568286842301</v>
      </c>
      <c r="LH46" s="7">
        <v>0.68450129627310374</v>
      </c>
      <c r="LI46" s="8">
        <v>0.68700714772179616</v>
      </c>
      <c r="LJ46" s="8">
        <v>0.65441356058156896</v>
      </c>
      <c r="LL46" s="6" t="s">
        <v>210</v>
      </c>
      <c r="LM46" s="6" t="s">
        <v>160</v>
      </c>
      <c r="LN46" s="6" t="s">
        <v>161</v>
      </c>
      <c r="LO46" s="8">
        <v>0.62248127507166873</v>
      </c>
    </row>
    <row r="47" spans="2:327" x14ac:dyDescent="0.45">
      <c r="B47" s="3" t="s">
        <v>211</v>
      </c>
      <c r="C47" s="3" t="s">
        <v>151</v>
      </c>
      <c r="D47" s="5">
        <v>0.21164335230760944</v>
      </c>
      <c r="E47" s="5">
        <v>0.21518100842566232</v>
      </c>
      <c r="F47" s="5">
        <v>0.21572063921417278</v>
      </c>
      <c r="G47" s="5">
        <v>0.22140435974782993</v>
      </c>
      <c r="H47" s="5">
        <v>0.22824559224488153</v>
      </c>
      <c r="I47" s="5">
        <v>0.22909180720618613</v>
      </c>
      <c r="J47" s="5">
        <v>0.22324304336800882</v>
      </c>
      <c r="K47" s="5">
        <v>0.2278394287313098</v>
      </c>
      <c r="L47" s="5">
        <v>0.2259933030592858</v>
      </c>
      <c r="M47" s="5">
        <v>0.22209894245204226</v>
      </c>
      <c r="N47" s="5">
        <v>0.22151265458446037</v>
      </c>
      <c r="O47" s="5">
        <v>0.20035768657569561</v>
      </c>
      <c r="P47" s="5">
        <v>0.19519350286844084</v>
      </c>
      <c r="Q47" s="5">
        <v>0.19833533831715378</v>
      </c>
      <c r="R47" s="5">
        <v>0.21343870309001661</v>
      </c>
      <c r="S47" s="5">
        <v>0.22719944868761305</v>
      </c>
      <c r="T47" s="5">
        <v>0.22283094742630916</v>
      </c>
      <c r="U47" s="5">
        <v>0.2184438352861337</v>
      </c>
      <c r="V47" s="5">
        <v>0.22956807812689017</v>
      </c>
      <c r="W47" s="5">
        <v>0.24008877043462973</v>
      </c>
      <c r="X47" s="5">
        <v>0.2762869148876011</v>
      </c>
      <c r="Y47" s="5">
        <v>0.2797295831427849</v>
      </c>
      <c r="Z47" s="5">
        <v>0.28551216449016137</v>
      </c>
      <c r="AA47" s="5">
        <v>0.30228489200274811</v>
      </c>
      <c r="AB47" s="5">
        <v>0.31009743204260537</v>
      </c>
      <c r="AC47" s="5">
        <v>0.29177051576965018</v>
      </c>
      <c r="AD47" s="5">
        <v>0.27669809152557906</v>
      </c>
      <c r="AE47" s="5">
        <v>0.26693646179572483</v>
      </c>
      <c r="AF47" s="5">
        <v>0.26032729156116996</v>
      </c>
      <c r="AG47" s="5">
        <v>0.266783055090627</v>
      </c>
      <c r="AH47" s="5">
        <v>0.3077943029438473</v>
      </c>
      <c r="AI47" s="5">
        <v>0.32489595294609563</v>
      </c>
      <c r="AJ47" s="5">
        <v>0.32952807478214047</v>
      </c>
      <c r="AK47" s="5">
        <v>0.33872320171013387</v>
      </c>
      <c r="AL47" s="5">
        <v>0.33735095041306917</v>
      </c>
      <c r="AM47" s="5">
        <v>0.31473826161587715</v>
      </c>
      <c r="AN47" s="5">
        <v>0.28807546881866153</v>
      </c>
      <c r="AO47" s="5">
        <v>0.27748336336513812</v>
      </c>
      <c r="AP47" s="5">
        <v>0.271821067596483</v>
      </c>
      <c r="AQ47" s="5">
        <v>0.28604016353694428</v>
      </c>
      <c r="AR47" s="5">
        <v>0.25403669922328093</v>
      </c>
      <c r="AS47" s="5">
        <v>0.26173613844457416</v>
      </c>
      <c r="AT47" s="5">
        <v>0.2667159443124128</v>
      </c>
      <c r="AU47" s="5">
        <v>0.27453725207003249</v>
      </c>
      <c r="AV47" s="5">
        <v>0.27646366513284493</v>
      </c>
      <c r="AW47" s="5">
        <v>0.26037928726102266</v>
      </c>
      <c r="AX47" s="5">
        <v>0.24329648681189889</v>
      </c>
      <c r="AY47" s="5">
        <v>0.24256023597433973</v>
      </c>
      <c r="AZ47" s="5">
        <v>0.24747190259624474</v>
      </c>
      <c r="BA47" s="5">
        <v>0.25141132951197309</v>
      </c>
      <c r="BB47" s="5">
        <v>0.25732773527063174</v>
      </c>
      <c r="BC47" s="5">
        <v>0.25025724884438411</v>
      </c>
      <c r="BD47" s="5">
        <v>0.24299197158912841</v>
      </c>
      <c r="BE47" s="5">
        <v>0.25064608780522685</v>
      </c>
      <c r="BF47" s="5">
        <v>0.24948023458228968</v>
      </c>
      <c r="BG47" s="5">
        <v>0.26302672536944777</v>
      </c>
      <c r="BH47" s="5">
        <v>0.26858568969704211</v>
      </c>
      <c r="BI47" s="5">
        <v>0.25852965706108583</v>
      </c>
      <c r="BJ47" s="5">
        <v>0.25551007255354252</v>
      </c>
      <c r="BK47" s="5">
        <v>0.2583339307229584</v>
      </c>
      <c r="BM47" s="3" t="s">
        <v>211</v>
      </c>
      <c r="BN47" s="3" t="s">
        <v>152</v>
      </c>
      <c r="BO47" s="5">
        <v>1.2216342106161205E-2</v>
      </c>
      <c r="BP47" s="5">
        <v>8.2521040901114735E-3</v>
      </c>
      <c r="BQ47" s="4">
        <v>1.8921336115401238E-2</v>
      </c>
      <c r="BR47" s="5">
        <v>2.1537777874801819E-2</v>
      </c>
      <c r="BS47" s="5">
        <v>2.0299200707786708E-2</v>
      </c>
      <c r="BT47" s="5">
        <v>1.8928866993116723E-2</v>
      </c>
      <c r="BU47" s="4">
        <v>1.4534440104716337E-2</v>
      </c>
      <c r="BV47" s="5">
        <v>1.1577863019673217E-2</v>
      </c>
      <c r="BW47" s="4">
        <v>5.7954950051151595E-3</v>
      </c>
      <c r="BX47" s="5">
        <v>5.7301473478039051E-3</v>
      </c>
      <c r="BY47" s="4">
        <v>1.3611640547374532E-2</v>
      </c>
      <c r="BZ47" s="4">
        <v>7.2486649910337465E-3</v>
      </c>
      <c r="CA47" s="4">
        <v>1.0435181584051293E-2</v>
      </c>
      <c r="CB47" s="4">
        <v>1.3428463299488562E-2</v>
      </c>
      <c r="CC47" s="4">
        <v>5.3104069634694719E-3</v>
      </c>
      <c r="CD47" s="5">
        <v>6.8133402873194401E-3</v>
      </c>
      <c r="CE47" s="4">
        <v>0</v>
      </c>
      <c r="CF47" s="5">
        <v>0</v>
      </c>
      <c r="CG47" s="4">
        <v>2.3564426926590749E-3</v>
      </c>
      <c r="CH47" s="5">
        <v>1.6690604430243512E-2</v>
      </c>
      <c r="CI47" s="5">
        <v>1.5793366721539626E-2</v>
      </c>
      <c r="CJ47" s="4">
        <v>0</v>
      </c>
      <c r="CK47" s="5">
        <v>0</v>
      </c>
      <c r="CL47" s="4">
        <v>4.0115285000903479E-3</v>
      </c>
      <c r="CM47" s="5">
        <v>1.3982664914292564E-2</v>
      </c>
      <c r="CN47" s="5">
        <v>1.7615056620717232E-2</v>
      </c>
      <c r="CO47" s="5">
        <v>8.3816252336142635E-3</v>
      </c>
      <c r="CP47" s="5">
        <v>6.4754321282531335E-3</v>
      </c>
      <c r="CQ47" s="5">
        <v>8.4646116542896801E-3</v>
      </c>
      <c r="CR47" s="5">
        <v>5.8193585376678176E-3</v>
      </c>
      <c r="CS47" s="5">
        <v>3.0830791968438031E-2</v>
      </c>
      <c r="CT47" s="5">
        <v>3.0892599650788371E-2</v>
      </c>
      <c r="CU47" s="4">
        <v>3.1736232549449087E-2</v>
      </c>
      <c r="CV47" s="4">
        <v>2.73232791617616E-2</v>
      </c>
      <c r="CW47" s="5">
        <v>2.6677918316238648E-2</v>
      </c>
      <c r="CX47" s="4">
        <v>2.4379405251388535E-2</v>
      </c>
      <c r="CY47" s="4">
        <v>1.9153510746213787E-2</v>
      </c>
      <c r="CZ47" s="4">
        <v>1.3417104404070082E-2</v>
      </c>
      <c r="DA47" s="4">
        <v>1.237905920256272E-2</v>
      </c>
      <c r="DB47" s="5">
        <v>2.0654749233102426E-2</v>
      </c>
      <c r="DC47" s="5">
        <v>1.4476346640008323E-2</v>
      </c>
      <c r="DD47" s="4">
        <v>2.8740779233082048E-2</v>
      </c>
      <c r="DE47" s="4">
        <v>2.2531259958719865E-2</v>
      </c>
      <c r="DF47" s="5">
        <v>2.6089397221468569E-2</v>
      </c>
      <c r="DG47" s="5">
        <v>1.8837165123636816E-2</v>
      </c>
      <c r="DH47" s="4">
        <v>0</v>
      </c>
      <c r="DI47" s="4">
        <v>6.2308839184398754E-4</v>
      </c>
      <c r="DJ47" s="4">
        <v>4.3881811195531795E-3</v>
      </c>
      <c r="DK47" s="4">
        <v>1.2293489609181307E-2</v>
      </c>
      <c r="DL47" s="5">
        <v>1.5039221802093484E-2</v>
      </c>
      <c r="DM47" s="5">
        <v>1.0455355584553398E-2</v>
      </c>
      <c r="DN47" s="5">
        <v>1.0946275089822885E-2</v>
      </c>
      <c r="DO47" s="5">
        <v>1.4652602373212271E-2</v>
      </c>
      <c r="DP47" s="5">
        <v>1.7432036205276752E-2</v>
      </c>
      <c r="DQ47" s="5">
        <v>1.6383673746880257E-2</v>
      </c>
      <c r="DR47" s="5">
        <v>2.7241864406587671E-2</v>
      </c>
      <c r="DS47" s="5">
        <v>2.0078596042145139E-2</v>
      </c>
      <c r="DT47" s="4">
        <v>1.2716348891167396E-2</v>
      </c>
      <c r="DU47" s="5">
        <v>8.6148424335581644E-3</v>
      </c>
      <c r="DV47" s="5">
        <v>9.8505683138619456E-3</v>
      </c>
      <c r="DX47" s="3" t="s">
        <v>211</v>
      </c>
      <c r="DY47" s="3" t="s">
        <v>153</v>
      </c>
      <c r="DZ47" s="4">
        <v>7.0069297319546838E-3</v>
      </c>
      <c r="EA47" s="5">
        <v>1.4222112038612216E-2</v>
      </c>
      <c r="EB47" s="5">
        <v>8.7939845583382137E-3</v>
      </c>
      <c r="EC47" s="5">
        <v>1.2061252391732686E-2</v>
      </c>
      <c r="ED47" s="4">
        <v>2.0818801252322459E-2</v>
      </c>
      <c r="EE47" s="5">
        <v>2.8759309191828075E-2</v>
      </c>
      <c r="EF47" s="4">
        <v>2.3118195912589248E-2</v>
      </c>
      <c r="EG47" s="5">
        <v>2.4022910460625629E-2</v>
      </c>
      <c r="EH47" s="5">
        <v>1.176753388871981E-2</v>
      </c>
      <c r="EI47" s="5">
        <v>1.3465761830324255E-2</v>
      </c>
      <c r="EJ47" s="5">
        <v>1.2235743802212555E-2</v>
      </c>
      <c r="EK47" s="5">
        <v>2.2235325378339197E-2</v>
      </c>
      <c r="EL47" s="5">
        <v>1.1630859862878698E-2</v>
      </c>
      <c r="EM47" s="5">
        <v>7.0612940795881018E-3</v>
      </c>
      <c r="EN47" s="5">
        <v>1.8223790783045896E-2</v>
      </c>
      <c r="EO47" s="4">
        <v>2.0098682061958948E-2</v>
      </c>
      <c r="EP47" s="4">
        <v>1.5921038025409076E-2</v>
      </c>
      <c r="EQ47" s="4">
        <v>1.1693468177452601E-2</v>
      </c>
      <c r="ER47" s="4">
        <v>5.1677333514989479E-3</v>
      </c>
      <c r="ES47" s="4">
        <v>0</v>
      </c>
      <c r="ET47" s="5">
        <v>1.3396690917893264E-2</v>
      </c>
      <c r="EU47" s="5">
        <v>2.8835377046214652E-2</v>
      </c>
      <c r="EV47" s="5">
        <v>2.6253575504843016E-2</v>
      </c>
      <c r="EW47" s="5">
        <v>5.243332733073606E-3</v>
      </c>
      <c r="EX47" s="4">
        <v>0</v>
      </c>
      <c r="EY47" s="5">
        <v>2.5153388418030576E-3</v>
      </c>
      <c r="EZ47" s="5">
        <v>1.5812800772913155E-2</v>
      </c>
      <c r="FA47" s="5">
        <v>2.04963903889194E-2</v>
      </c>
      <c r="FB47" s="5">
        <v>1.7671715122093975E-2</v>
      </c>
      <c r="FC47" s="5">
        <v>1.8029277616371811E-2</v>
      </c>
      <c r="FD47" s="5">
        <v>2.0095138947119617E-2</v>
      </c>
      <c r="FE47" s="5">
        <v>4.5971268221207402E-2</v>
      </c>
      <c r="FF47" s="5">
        <v>5.6855815409703789E-2</v>
      </c>
      <c r="FG47" s="5">
        <v>6.7562275731818708E-2</v>
      </c>
      <c r="FH47" s="4">
        <v>7.431854828836644E-2</v>
      </c>
      <c r="FI47" s="5">
        <v>2.6427845217573454E-2</v>
      </c>
      <c r="FJ47" s="5">
        <v>2.4658132494865922E-2</v>
      </c>
      <c r="FK47" s="5">
        <v>2.1883763640134675E-2</v>
      </c>
      <c r="FL47" s="5">
        <v>2.0194212494523543E-2</v>
      </c>
      <c r="FM47" s="4">
        <v>1.47286653278363E-2</v>
      </c>
      <c r="FN47" s="5">
        <v>1.1457702995796844E-2</v>
      </c>
      <c r="FO47" s="5">
        <v>8.3944173013504736E-3</v>
      </c>
      <c r="FP47" s="4">
        <v>2.1248618159077994E-2</v>
      </c>
      <c r="FQ47" s="4">
        <v>2.7526402049178878E-2</v>
      </c>
      <c r="FR47" s="4">
        <v>3.0879657790223544E-2</v>
      </c>
      <c r="FS47" s="4">
        <v>3.6127693451708749E-2</v>
      </c>
      <c r="FT47" s="5">
        <v>2.5033881414467492E-2</v>
      </c>
      <c r="FU47" s="5">
        <v>9.500638771890663E-3</v>
      </c>
      <c r="FV47" s="4">
        <v>0</v>
      </c>
      <c r="FW47" s="5">
        <v>6.7816758766077881E-3</v>
      </c>
      <c r="FX47" s="5">
        <v>1.6111573158160093E-2</v>
      </c>
      <c r="FY47" s="5">
        <v>1.6076768974188475E-2</v>
      </c>
      <c r="FZ47" s="5">
        <v>1.7492303099754185E-2</v>
      </c>
      <c r="GA47" s="5">
        <v>1.2953529934147136E-2</v>
      </c>
      <c r="GB47" s="5">
        <v>1.2853878673489912E-2</v>
      </c>
      <c r="GC47" s="5">
        <v>9.1755290473642531E-3</v>
      </c>
      <c r="GD47" s="5">
        <v>2.053832142324117E-2</v>
      </c>
      <c r="GE47" s="5">
        <v>2.5723973716653293E-2</v>
      </c>
      <c r="GF47" s="5">
        <v>1.9587125433357808E-2</v>
      </c>
      <c r="GG47" s="5">
        <v>8.9767411666473642E-3</v>
      </c>
      <c r="GI47" s="3" t="s">
        <v>211</v>
      </c>
      <c r="GJ47" s="3" t="s">
        <v>154</v>
      </c>
      <c r="GK47" s="5">
        <v>9.5343284848528637E-2</v>
      </c>
      <c r="GL47" s="5">
        <v>9.1546086053268888E-2</v>
      </c>
      <c r="GM47" s="5">
        <v>8.4043880745102217E-2</v>
      </c>
      <c r="GN47" s="5">
        <v>7.9482613599453439E-2</v>
      </c>
      <c r="GO47" s="5">
        <v>7.3792775414061776E-2</v>
      </c>
      <c r="GP47" s="5">
        <v>7.0363141279805252E-2</v>
      </c>
      <c r="GQ47" s="5">
        <v>7.4788530572592771E-2</v>
      </c>
      <c r="GR47" s="5">
        <v>7.9670938404853467E-2</v>
      </c>
      <c r="GS47" s="5">
        <v>0.10091232015315511</v>
      </c>
      <c r="GT47" s="5">
        <v>9.6731237038316958E-2</v>
      </c>
      <c r="GU47" s="5">
        <v>8.3275989841420706E-2</v>
      </c>
      <c r="GV47" s="5">
        <v>6.7424039667214747E-2</v>
      </c>
      <c r="GW47" s="5">
        <v>7.1424749914206248E-2</v>
      </c>
      <c r="GX47" s="5">
        <v>7.3255219643071592E-2</v>
      </c>
      <c r="GY47" s="5">
        <v>8.4873425039158262E-2</v>
      </c>
      <c r="GZ47" s="5">
        <v>8.8827084011095153E-2</v>
      </c>
      <c r="HA47" s="4">
        <v>0.10010987152499087</v>
      </c>
      <c r="HB47" s="5">
        <v>0.10488234734738734</v>
      </c>
      <c r="HC47" s="5">
        <v>0.10758808750169381</v>
      </c>
      <c r="HD47" s="5">
        <v>0.10419964701555147</v>
      </c>
      <c r="HE47" s="5">
        <v>0.12584704951635758</v>
      </c>
      <c r="HF47" s="5">
        <v>0.14018519261913284</v>
      </c>
      <c r="HG47" s="5">
        <v>0.14159988133633844</v>
      </c>
      <c r="HH47" s="5">
        <v>0.1650615235066013</v>
      </c>
      <c r="HI47" s="5">
        <v>0.16024234893778677</v>
      </c>
      <c r="HJ47" s="5">
        <v>0.14759230989151864</v>
      </c>
      <c r="HK47" s="5">
        <v>0.12802947086335253</v>
      </c>
      <c r="HL47" s="4">
        <v>0.11701534364261752</v>
      </c>
      <c r="HM47" s="5">
        <v>0.11286304039222471</v>
      </c>
      <c r="HN47" s="5">
        <v>0.11507368235309097</v>
      </c>
      <c r="HO47" s="5">
        <v>0.14240374561841826</v>
      </c>
      <c r="HP47" s="5">
        <v>0.11908002451499126</v>
      </c>
      <c r="HQ47" s="5">
        <v>0.11484849063225992</v>
      </c>
      <c r="HR47" s="5">
        <v>0.11822310546239184</v>
      </c>
      <c r="HS47" s="5">
        <v>0.12585690194759391</v>
      </c>
      <c r="HT47" s="5">
        <v>0.16319123440864619</v>
      </c>
      <c r="HU47" s="5">
        <v>0.1473609422762612</v>
      </c>
      <c r="HV47" s="4">
        <v>0.14310034479654002</v>
      </c>
      <c r="HW47" s="5">
        <v>0.1355146870269113</v>
      </c>
      <c r="HX47" s="5">
        <v>0.14971283483582179</v>
      </c>
      <c r="HY47" s="5">
        <v>0.11806485238882436</v>
      </c>
      <c r="HZ47" s="5">
        <v>0.10840684074799586</v>
      </c>
      <c r="IA47" s="5">
        <v>0.10139415735060744</v>
      </c>
      <c r="IB47" s="5">
        <v>9.3431686534144576E-2</v>
      </c>
      <c r="IC47" s="5">
        <v>9.9195450876994773E-2</v>
      </c>
      <c r="ID47" s="5">
        <v>0.10296100228693833</v>
      </c>
      <c r="IE47" s="5">
        <v>0.10560361381958445</v>
      </c>
      <c r="IF47" s="5">
        <v>0.11672183586011188</v>
      </c>
      <c r="IG47" s="5">
        <v>0.12365125489249754</v>
      </c>
      <c r="IH47" s="5">
        <v>0.11711746991209522</v>
      </c>
      <c r="II47" s="5">
        <v>0.10090669310228435</v>
      </c>
      <c r="IJ47" s="5">
        <v>0.10356542002947</v>
      </c>
      <c r="IK47" s="5">
        <v>9.9778679981847113E-2</v>
      </c>
      <c r="IL47" s="5">
        <v>0.10570687923440542</v>
      </c>
      <c r="IM47" s="5">
        <v>9.9088845945892179E-2</v>
      </c>
      <c r="IN47" s="5">
        <v>9.2729098851884004E-2</v>
      </c>
      <c r="IO47" s="5">
        <v>8.6592986459351012E-2</v>
      </c>
      <c r="IP47" s="5">
        <v>8.2205253623525751E-2</v>
      </c>
      <c r="IQ47" s="5">
        <v>9.2471368657875655E-2</v>
      </c>
      <c r="IR47" s="5">
        <v>0.1046149105803556</v>
      </c>
      <c r="JB47" s="3" t="s">
        <v>211</v>
      </c>
      <c r="JC47" s="5">
        <v>0.63295159039834203</v>
      </c>
      <c r="JD47" s="5">
        <v>0.62635420549304266</v>
      </c>
      <c r="JE47" s="4">
        <v>0.63041691083263762</v>
      </c>
      <c r="JF47" s="5">
        <v>0.62818450311315732</v>
      </c>
      <c r="JG47" s="5">
        <v>0.63257586178831904</v>
      </c>
      <c r="JH47" s="5">
        <v>0.63094057968736428</v>
      </c>
      <c r="JI47" s="5">
        <v>0.63945236475622957</v>
      </c>
      <c r="JJ47" s="5">
        <v>0.64047685377308028</v>
      </c>
      <c r="JK47" s="5">
        <v>0.63226926748830159</v>
      </c>
      <c r="JL47" s="5">
        <v>0.63232609776360926</v>
      </c>
      <c r="JM47" s="5">
        <v>0.63338906757849889</v>
      </c>
      <c r="JN47" s="4">
        <v>0.66385196713501904</v>
      </c>
      <c r="JO47" s="5">
        <v>0.67544227695478676</v>
      </c>
      <c r="JP47" s="5">
        <v>0.66822453571599449</v>
      </c>
      <c r="JQ47" s="5">
        <v>0.63397845416094456</v>
      </c>
      <c r="JR47" s="5">
        <v>0.60612238879223512</v>
      </c>
      <c r="JS47" s="5">
        <v>0.59777564766046032</v>
      </c>
      <c r="JT47" s="5">
        <v>0.60155372457548439</v>
      </c>
      <c r="JU47" s="5">
        <v>0.60893081681309424</v>
      </c>
      <c r="JV47" s="5">
        <v>0.60256830146625484</v>
      </c>
      <c r="JW47" s="4">
        <v>0.55896140263748073</v>
      </c>
      <c r="JX47" s="5">
        <v>0.53407102138159723</v>
      </c>
      <c r="JY47" s="5">
        <v>0.52630930499386652</v>
      </c>
      <c r="JZ47" s="5">
        <v>0.50695208506915357</v>
      </c>
      <c r="KA47" s="5">
        <v>0.49864946281594047</v>
      </c>
      <c r="KB47" s="5">
        <v>0.51929315852619951</v>
      </c>
      <c r="KC47" s="5">
        <v>0.5468441905085103</v>
      </c>
      <c r="KD47" s="5">
        <v>0.56290816587415882</v>
      </c>
      <c r="KE47" s="5">
        <v>0.57208360433806471</v>
      </c>
      <c r="KF47" s="4">
        <v>0.56921134254671268</v>
      </c>
      <c r="KG47" s="4">
        <v>0.37341313225036177</v>
      </c>
      <c r="KH47" s="5">
        <v>0.34129211343043808</v>
      </c>
      <c r="KI47" s="5">
        <v>0.33876376720938273</v>
      </c>
      <c r="KJ47" s="5">
        <v>0.33082519004482258</v>
      </c>
      <c r="KK47" s="5">
        <v>0.33122571491698444</v>
      </c>
      <c r="KL47" s="5">
        <v>0.36626004001466683</v>
      </c>
      <c r="KM47" s="5">
        <v>0.39723220161064998</v>
      </c>
      <c r="KN47" s="5">
        <v>0.4118796542891035</v>
      </c>
      <c r="KO47" s="5">
        <v>0.40991474012470241</v>
      </c>
      <c r="KP47" s="4">
        <v>0.39440361564585014</v>
      </c>
      <c r="KQ47" s="5">
        <v>0.5385468746481995</v>
      </c>
      <c r="KR47" s="4">
        <v>0.5488968083452187</v>
      </c>
      <c r="KS47" s="5">
        <v>0.55624240915793155</v>
      </c>
      <c r="KT47" s="5">
        <v>0.56674221079935339</v>
      </c>
      <c r="KU47" s="5">
        <v>0.56974707279064107</v>
      </c>
      <c r="KV47" s="5">
        <v>0.58286125886408546</v>
      </c>
      <c r="KW47" s="5">
        <v>0.59445092037711511</v>
      </c>
      <c r="KX47" s="5">
        <v>0.59222520637621312</v>
      </c>
      <c r="KY47" s="4">
        <v>0.57608256627941734</v>
      </c>
      <c r="KZ47" s="5">
        <v>0.55551005757469329</v>
      </c>
      <c r="LA47" s="5">
        <v>0.61874223660724359</v>
      </c>
      <c r="LB47" s="5">
        <v>0.61313823108237198</v>
      </c>
      <c r="LC47" s="4">
        <v>0.6155728713382157</v>
      </c>
      <c r="LD47" s="5">
        <v>0.60596069756754212</v>
      </c>
      <c r="LE47" s="5">
        <v>0.6086813152535463</v>
      </c>
      <c r="LF47" s="5">
        <v>0.61102754056353215</v>
      </c>
      <c r="LG47" s="5">
        <v>0.61732164689093516</v>
      </c>
      <c r="LH47" s="4">
        <v>0.6393692032720143</v>
      </c>
      <c r="LI47" s="5">
        <v>0.63374725037949697</v>
      </c>
      <c r="LJ47" s="5">
        <v>0.63186724224438862</v>
      </c>
      <c r="LL47" s="3" t="s">
        <v>212</v>
      </c>
      <c r="LM47" s="3" t="s">
        <v>160</v>
      </c>
      <c r="LN47" s="3" t="s">
        <v>161</v>
      </c>
      <c r="LO47" s="5">
        <v>0.58718304407144672</v>
      </c>
    </row>
    <row r="48" spans="2:327" x14ac:dyDescent="0.45">
      <c r="B48" s="6" t="s">
        <v>213</v>
      </c>
      <c r="C48" s="6" t="s">
        <v>151</v>
      </c>
      <c r="D48" s="8">
        <v>0.20793649173160941</v>
      </c>
      <c r="E48" s="8">
        <v>0.19078163061841633</v>
      </c>
      <c r="F48" s="8">
        <v>0.18040032755640428</v>
      </c>
      <c r="G48" s="8">
        <v>0.17784370030118643</v>
      </c>
      <c r="H48" s="8">
        <v>0.18099052990538789</v>
      </c>
      <c r="I48" s="8">
        <v>0.1851386746516708</v>
      </c>
      <c r="J48" s="8">
        <v>0.19458985366565265</v>
      </c>
      <c r="K48" s="8">
        <v>0.21142263026123639</v>
      </c>
      <c r="L48" s="8">
        <v>0.22397156129220758</v>
      </c>
      <c r="M48" s="8">
        <v>0.2215094185636603</v>
      </c>
      <c r="N48" s="8">
        <v>0.1877424051438418</v>
      </c>
      <c r="O48" s="8">
        <v>0.20674117769562267</v>
      </c>
      <c r="P48" s="8">
        <v>0.22075379441371878</v>
      </c>
      <c r="Q48" s="8">
        <v>0.23304050487933173</v>
      </c>
      <c r="R48" s="8">
        <v>0.23485892680674966</v>
      </c>
      <c r="S48" s="8">
        <v>0.22140474736431623</v>
      </c>
      <c r="T48" s="8">
        <v>0.21038212602257689</v>
      </c>
      <c r="U48" s="8">
        <v>0.1922126614193469</v>
      </c>
      <c r="V48" s="8">
        <v>0.18272190388927687</v>
      </c>
      <c r="W48" s="8">
        <v>0.18731351587130246</v>
      </c>
      <c r="X48" s="8">
        <v>0.24513363977337713</v>
      </c>
      <c r="Y48" s="8">
        <v>0.2564301515692568</v>
      </c>
      <c r="Z48" s="8">
        <v>0.25983372579340053</v>
      </c>
      <c r="AA48" s="8">
        <v>0.280856384060716</v>
      </c>
      <c r="AB48" s="8">
        <v>0.29058220136778573</v>
      </c>
      <c r="AC48" s="8">
        <v>0.26773808429942525</v>
      </c>
      <c r="AD48" s="8">
        <v>0.24530085002939123</v>
      </c>
      <c r="AE48" s="8">
        <v>0.22968998735025684</v>
      </c>
      <c r="AF48" s="8">
        <v>0.23581012578130844</v>
      </c>
      <c r="AG48" s="8">
        <v>0.25548736152934254</v>
      </c>
      <c r="AH48" s="8">
        <v>0.33836707491643625</v>
      </c>
      <c r="AI48" s="8">
        <v>0.34375375272390557</v>
      </c>
      <c r="AJ48" s="8">
        <v>0.35429834657207682</v>
      </c>
      <c r="AK48" s="8">
        <v>0.37103866776200656</v>
      </c>
      <c r="AL48" s="8">
        <v>0.37404418455733496</v>
      </c>
      <c r="AM48" s="8">
        <v>0.34981398854845086</v>
      </c>
      <c r="AN48" s="8">
        <v>0.31993417704911103</v>
      </c>
      <c r="AO48" s="8">
        <v>0.29505342622569153</v>
      </c>
      <c r="AP48" s="8">
        <v>0.28670987840465989</v>
      </c>
      <c r="AQ48" s="8">
        <v>0.30862625776468844</v>
      </c>
      <c r="AR48" s="8">
        <v>0.31038080607979363</v>
      </c>
      <c r="AS48" s="8">
        <v>0.31954221481546474</v>
      </c>
      <c r="AT48" s="8">
        <v>0.32136210074091393</v>
      </c>
      <c r="AU48" s="8">
        <v>0.3237141942260825</v>
      </c>
      <c r="AV48" s="8">
        <v>0.31044340719264624</v>
      </c>
      <c r="AW48" s="8">
        <v>0.30149751716224371</v>
      </c>
      <c r="AX48" s="8">
        <v>0.2938312241175613</v>
      </c>
      <c r="AY48" s="8">
        <v>0.28821323996847631</v>
      </c>
      <c r="AZ48" s="8">
        <v>0.28491100848512624</v>
      </c>
      <c r="BA48" s="8">
        <v>0.29803637063156152</v>
      </c>
      <c r="BB48" s="8">
        <v>0.24753933652437612</v>
      </c>
      <c r="BC48" s="8">
        <v>0.25376272024998836</v>
      </c>
      <c r="BD48" s="8">
        <v>0.25345599211562025</v>
      </c>
      <c r="BE48" s="8">
        <v>0.26707529138962816</v>
      </c>
      <c r="BF48" s="8">
        <v>0.28549023355127195</v>
      </c>
      <c r="BG48" s="8">
        <v>0.28958900628636375</v>
      </c>
      <c r="BH48" s="8">
        <v>0.2647042017357093</v>
      </c>
      <c r="BI48" s="8">
        <v>0.23588080318384178</v>
      </c>
      <c r="BJ48" s="8">
        <v>0.22114061119633471</v>
      </c>
      <c r="BK48" s="8">
        <v>0.21270122050004289</v>
      </c>
      <c r="BM48" s="6" t="s">
        <v>213</v>
      </c>
      <c r="BN48" s="6" t="s">
        <v>152</v>
      </c>
      <c r="BO48" s="8">
        <v>1.2713014602024175E-2</v>
      </c>
      <c r="BP48" s="8">
        <v>4.076095340616444E-3</v>
      </c>
      <c r="BQ48" s="7">
        <v>4.9201235283006552E-4</v>
      </c>
      <c r="BR48" s="8">
        <v>6.6092268126342378E-3</v>
      </c>
      <c r="BS48" s="8">
        <v>1.8248595818400656E-2</v>
      </c>
      <c r="BT48" s="8">
        <v>1.9750089926271263E-2</v>
      </c>
      <c r="BU48" s="7">
        <v>5.1230612735121729E-3</v>
      </c>
      <c r="BV48" s="8">
        <v>3.7558046108481036E-3</v>
      </c>
      <c r="BW48" s="7">
        <v>1.242764545820387E-2</v>
      </c>
      <c r="BX48" s="8">
        <v>1.1195563474669627E-2</v>
      </c>
      <c r="BY48" s="7">
        <v>1.3370680892912832E-2</v>
      </c>
      <c r="BZ48" s="7">
        <v>1.4398992653268352E-2</v>
      </c>
      <c r="CA48" s="7">
        <v>9.1941251696161953E-3</v>
      </c>
      <c r="CB48" s="7">
        <v>5.8331168228627659E-3</v>
      </c>
      <c r="CC48" s="7">
        <v>9.5913264173199935E-3</v>
      </c>
      <c r="CD48" s="8">
        <v>5.2421071341866897E-3</v>
      </c>
      <c r="CE48" s="7">
        <v>2.3801813814860028E-3</v>
      </c>
      <c r="CF48" s="8">
        <v>6.3609339230820319E-3</v>
      </c>
      <c r="CG48" s="7">
        <v>5.7342972629932905E-3</v>
      </c>
      <c r="CH48" s="8">
        <v>1.1983843132831868E-2</v>
      </c>
      <c r="CI48" s="8">
        <v>6.7775141719258573E-3</v>
      </c>
      <c r="CJ48" s="7">
        <v>1.5128840160291337E-2</v>
      </c>
      <c r="CK48" s="8">
        <v>1.6655406639737608E-2</v>
      </c>
      <c r="CL48" s="7">
        <v>1.614027563992251E-2</v>
      </c>
      <c r="CM48" s="8">
        <v>1.838882791607108E-3</v>
      </c>
      <c r="CN48" s="8">
        <v>7.0162775514098705E-3</v>
      </c>
      <c r="CO48" s="8">
        <v>1.6494745294827574E-2</v>
      </c>
      <c r="CP48" s="8">
        <v>1.9206663338664338E-2</v>
      </c>
      <c r="CQ48" s="8">
        <v>6.5064860791989995E-3</v>
      </c>
      <c r="CR48" s="8">
        <v>1.4097279860649811E-2</v>
      </c>
      <c r="CS48" s="8">
        <v>2.4426520250355549E-2</v>
      </c>
      <c r="CT48" s="8">
        <v>8.3121728372264943E-3</v>
      </c>
      <c r="CU48" s="7">
        <v>1.9681300980481226E-2</v>
      </c>
      <c r="CV48" s="7">
        <v>2.3886794377806164E-2</v>
      </c>
      <c r="CW48" s="8">
        <v>1.108227843780742E-2</v>
      </c>
      <c r="CX48" s="7">
        <v>8.5963109599183143E-3</v>
      </c>
      <c r="CY48" s="7">
        <v>2.0004733666476569E-2</v>
      </c>
      <c r="CZ48" s="7">
        <v>2.3624055804407795E-2</v>
      </c>
      <c r="DA48" s="7">
        <v>2.2268103073901591E-2</v>
      </c>
      <c r="DB48" s="8">
        <v>1.0535309741942216E-2</v>
      </c>
      <c r="DC48" s="8">
        <v>2.2805576035813593E-2</v>
      </c>
      <c r="DD48" s="7">
        <v>9.7627019694503502E-3</v>
      </c>
      <c r="DE48" s="7">
        <v>1.2591935343373307E-2</v>
      </c>
      <c r="DF48" s="8">
        <v>2.5529944423404768E-2</v>
      </c>
      <c r="DG48" s="8">
        <v>2.7390265364097936E-2</v>
      </c>
      <c r="DH48" s="7">
        <v>1.4737719746925679E-2</v>
      </c>
      <c r="DI48" s="7">
        <v>1.2509291875489631E-2</v>
      </c>
      <c r="DJ48" s="7">
        <v>2.2818598628181631E-3</v>
      </c>
      <c r="DK48" s="7">
        <v>5.7693599266367352E-3</v>
      </c>
      <c r="DL48" s="8">
        <v>1.5676898931767724E-2</v>
      </c>
      <c r="DM48" s="8">
        <v>1.5768923795881455E-2</v>
      </c>
      <c r="DN48" s="8">
        <v>8.1093934001468665E-3</v>
      </c>
      <c r="DO48" s="8">
        <v>1.8390936863572741E-2</v>
      </c>
      <c r="DP48" s="8">
        <v>1.987778771111149E-2</v>
      </c>
      <c r="DQ48" s="8">
        <v>1.2718491121649855E-2</v>
      </c>
      <c r="DR48" s="8">
        <v>1.542619062919923E-2</v>
      </c>
      <c r="DS48" s="8">
        <v>1.6783256950084674E-2</v>
      </c>
      <c r="DT48" s="7">
        <v>1.5270860964054037E-2</v>
      </c>
      <c r="DU48" s="8">
        <v>6.4091236516012609E-3</v>
      </c>
      <c r="DV48" s="8">
        <v>6.8630901582659365E-3</v>
      </c>
      <c r="DX48" s="6" t="s">
        <v>213</v>
      </c>
      <c r="DY48" s="6" t="s">
        <v>153</v>
      </c>
      <c r="DZ48" s="7">
        <v>1.2407728494050016E-2</v>
      </c>
      <c r="EA48" s="8">
        <v>1.1349707293813332E-2</v>
      </c>
      <c r="EB48" s="8">
        <v>1.5563239292935906E-2</v>
      </c>
      <c r="EC48" s="8">
        <v>9.3916340552593278E-3</v>
      </c>
      <c r="ED48" s="7">
        <v>1.3515160775218638E-3</v>
      </c>
      <c r="EE48" s="8">
        <v>7.604862525189035E-3</v>
      </c>
      <c r="EF48" s="7">
        <v>2.4910222064299544E-2</v>
      </c>
      <c r="EG48" s="8">
        <v>2.7594958557886917E-2</v>
      </c>
      <c r="EH48" s="8">
        <v>1.4061179083089551E-2</v>
      </c>
      <c r="EI48" s="8">
        <v>1.1323338818127422E-2</v>
      </c>
      <c r="EJ48" s="8">
        <v>1.1443837918886309E-2</v>
      </c>
      <c r="EK48" s="8">
        <v>1.4105545969599934E-2</v>
      </c>
      <c r="EL48" s="8">
        <v>1.9768891371473158E-2</v>
      </c>
      <c r="EM48" s="8">
        <v>2.2933996818983612E-2</v>
      </c>
      <c r="EN48" s="8">
        <v>1.586035210883539E-2</v>
      </c>
      <c r="EO48" s="7">
        <v>8.9095104808929147E-3</v>
      </c>
      <c r="EP48" s="7">
        <v>6.7129168980328176E-3</v>
      </c>
      <c r="EQ48" s="7">
        <v>5.0533780771006096E-3</v>
      </c>
      <c r="ER48" s="7">
        <v>1.345772801835698E-4</v>
      </c>
      <c r="ES48" s="7">
        <v>2.151800680557476E-3</v>
      </c>
      <c r="ET48" s="8">
        <v>1.4572187546618418E-2</v>
      </c>
      <c r="EU48" s="8">
        <v>3.6787697473925217E-3</v>
      </c>
      <c r="EV48" s="8">
        <v>9.9521547464223332E-3</v>
      </c>
      <c r="EW48" s="8">
        <v>2.0269329893991959E-2</v>
      </c>
      <c r="EX48" s="7">
        <v>3.1652332058639418E-2</v>
      </c>
      <c r="EY48" s="8">
        <v>1.8233752382281559E-2</v>
      </c>
      <c r="EZ48" s="8">
        <v>8.3630739561858774E-3</v>
      </c>
      <c r="FA48" s="8">
        <v>6.9050576806337829E-3</v>
      </c>
      <c r="FB48" s="8">
        <v>2.4488143755931252E-2</v>
      </c>
      <c r="FC48" s="8">
        <v>2.269690494550022E-2</v>
      </c>
      <c r="FD48" s="8">
        <v>2.0920458472036392E-2</v>
      </c>
      <c r="FE48" s="8">
        <v>4.175544537155769E-2</v>
      </c>
      <c r="FF48" s="8">
        <v>4.9939575872732435E-2</v>
      </c>
      <c r="FG48" s="8">
        <v>3.9243287171098998E-2</v>
      </c>
      <c r="FH48" s="7">
        <v>2.9596339553066883E-2</v>
      </c>
      <c r="FI48" s="8">
        <v>3.6488117471277115E-2</v>
      </c>
      <c r="FJ48" s="8">
        <v>1.0812232843275531E-2</v>
      </c>
      <c r="FK48" s="8">
        <v>1.0209923824786872E-2</v>
      </c>
      <c r="FL48" s="8">
        <v>3.3294144660984633E-2</v>
      </c>
      <c r="FM48" s="7">
        <v>5.5453627082314091E-2</v>
      </c>
      <c r="FN48" s="8">
        <v>1.5618892010321831E-2</v>
      </c>
      <c r="FO48" s="8">
        <v>4.7307590728216498E-2</v>
      </c>
      <c r="FP48" s="7">
        <v>3.9746187597372966E-2</v>
      </c>
      <c r="FQ48" s="7">
        <v>2.2350568163587489E-2</v>
      </c>
      <c r="FR48" s="7">
        <v>1.6475045252625723E-2</v>
      </c>
      <c r="FS48" s="7">
        <v>3.3922951717590438E-2</v>
      </c>
      <c r="FT48" s="8">
        <v>3.4540620810017235E-2</v>
      </c>
      <c r="FU48" s="8">
        <v>2.7049793300312663E-2</v>
      </c>
      <c r="FV48" s="7">
        <v>1.4238466173795318E-2</v>
      </c>
      <c r="FW48" s="8">
        <v>4.8648245999288976E-3</v>
      </c>
      <c r="FX48" s="8">
        <v>1.0124350032358795E-2</v>
      </c>
      <c r="FY48" s="8">
        <v>2.4848833452733587E-2</v>
      </c>
      <c r="FZ48" s="8">
        <v>1.7711641974937391E-2</v>
      </c>
      <c r="GA48" s="8">
        <v>9.3642257112088213E-3</v>
      </c>
      <c r="GB48" s="8">
        <v>2.0557242140774094E-2</v>
      </c>
      <c r="GC48" s="8">
        <v>1.7967476143036263E-2</v>
      </c>
      <c r="GD48" s="8">
        <v>1.2918155100776048E-2</v>
      </c>
      <c r="GE48" s="8">
        <v>1.0065390430491226E-2</v>
      </c>
      <c r="GF48" s="8">
        <v>1.7679632388997852E-2</v>
      </c>
      <c r="GG48" s="8">
        <v>1.1778557100332713E-2</v>
      </c>
      <c r="GI48" s="6" t="s">
        <v>213</v>
      </c>
      <c r="GJ48" s="6" t="s">
        <v>154</v>
      </c>
      <c r="GK48" s="8">
        <v>7.6309531602205133E-2</v>
      </c>
      <c r="GL48" s="8">
        <v>7.8282071553021748E-2</v>
      </c>
      <c r="GM48" s="8">
        <v>7.1642306464472602E-2</v>
      </c>
      <c r="GN48" s="8">
        <v>7.035127422881729E-2</v>
      </c>
      <c r="GO48" s="8">
        <v>6.8182201933209452E-2</v>
      </c>
      <c r="GP48" s="8">
        <v>6.5288110327464483E-2</v>
      </c>
      <c r="GQ48" s="8">
        <v>7.0564464768528776E-2</v>
      </c>
      <c r="GR48" s="8">
        <v>7.5713058102641007E-2</v>
      </c>
      <c r="GS48" s="8">
        <v>7.9965996786006632E-2</v>
      </c>
      <c r="GT48" s="8">
        <v>9.0978850037604267E-2</v>
      </c>
      <c r="GU48" s="8">
        <v>6.9343191136943039E-2</v>
      </c>
      <c r="GV48" s="8">
        <v>7.0562211255262727E-2</v>
      </c>
      <c r="GW48" s="8">
        <v>7.8472586248630877E-2</v>
      </c>
      <c r="GX48" s="8">
        <v>8.5161541621116749E-2</v>
      </c>
      <c r="GY48" s="8">
        <v>9.136429508247404E-2</v>
      </c>
      <c r="GZ48" s="8">
        <v>9.4408954491795052E-2</v>
      </c>
      <c r="HA48" s="7">
        <v>8.8186453124256367E-2</v>
      </c>
      <c r="HB48" s="8">
        <v>7.9481026626077825E-2</v>
      </c>
      <c r="HC48" s="8">
        <v>7.7365765583324517E-2</v>
      </c>
      <c r="HD48" s="8">
        <v>7.5821220172822126E-2</v>
      </c>
      <c r="HE48" s="8">
        <v>0.10955386400723643</v>
      </c>
      <c r="HF48" s="8">
        <v>0.11101015473554546</v>
      </c>
      <c r="HG48" s="8">
        <v>0.11080745332879129</v>
      </c>
      <c r="HH48" s="8">
        <v>0.11564954860658251</v>
      </c>
      <c r="HI48" s="8">
        <v>0.12636596586961246</v>
      </c>
      <c r="HJ48" s="8">
        <v>0.1167877739256853</v>
      </c>
      <c r="HK48" s="8">
        <v>0.1017421894666535</v>
      </c>
      <c r="HL48" s="7">
        <v>9.35587618120447E-2</v>
      </c>
      <c r="HM48" s="8">
        <v>9.5671808999540697E-2</v>
      </c>
      <c r="HN48" s="8">
        <v>0.1067675589343719</v>
      </c>
      <c r="HO48" s="8">
        <v>0.16307552394429292</v>
      </c>
      <c r="HP48" s="8">
        <v>0.15496054824630193</v>
      </c>
      <c r="HQ48" s="8">
        <v>0.15390074372824519</v>
      </c>
      <c r="HR48" s="8">
        <v>0.18128617107492637</v>
      </c>
      <c r="HS48" s="8">
        <v>0.1941308048168533</v>
      </c>
      <c r="HT48" s="8">
        <v>0.16243921941374367</v>
      </c>
      <c r="HU48" s="8">
        <v>0.15201608295845592</v>
      </c>
      <c r="HV48" s="7">
        <v>0.13484197536142492</v>
      </c>
      <c r="HW48" s="8">
        <v>0.11820291780292196</v>
      </c>
      <c r="HX48" s="8">
        <v>0.12490600832639775</v>
      </c>
      <c r="HY48" s="8">
        <v>0.1406183372169951</v>
      </c>
      <c r="HZ48" s="8">
        <v>0.1257403297765714</v>
      </c>
      <c r="IA48" s="8">
        <v>0.13064908111055559</v>
      </c>
      <c r="IB48" s="8">
        <v>0.13685627840271802</v>
      </c>
      <c r="IC48" s="8">
        <v>0.13018613949885102</v>
      </c>
      <c r="ID48" s="8">
        <v>0.12791191013392877</v>
      </c>
      <c r="IE48" s="8">
        <v>0.12090227629381256</v>
      </c>
      <c r="IF48" s="8">
        <v>0.13097829189632057</v>
      </c>
      <c r="IG48" s="8">
        <v>0.13413975910919287</v>
      </c>
      <c r="IH48" s="8">
        <v>0.15284499449610703</v>
      </c>
      <c r="II48" s="8">
        <v>9.0658102644245231E-2</v>
      </c>
      <c r="IJ48" s="8">
        <v>9.4343180198279267E-2</v>
      </c>
      <c r="IK48" s="8">
        <v>9.1283171610119146E-2</v>
      </c>
      <c r="IL48" s="8">
        <v>0.10623924962290666</v>
      </c>
      <c r="IM48" s="8">
        <v>0.11309749737431087</v>
      </c>
      <c r="IN48" s="8">
        <v>0.11271867672255056</v>
      </c>
      <c r="IO48" s="8">
        <v>0.10073154377259547</v>
      </c>
      <c r="IP48" s="8">
        <v>8.9058016403777696E-2</v>
      </c>
      <c r="IQ48" s="8">
        <v>8.6598287409702088E-2</v>
      </c>
      <c r="IR48" s="8">
        <v>8.3215525530548923E-2</v>
      </c>
      <c r="JB48" s="6" t="s">
        <v>213</v>
      </c>
      <c r="JC48" s="8">
        <v>0.66335330122400571</v>
      </c>
      <c r="JD48" s="8">
        <v>0.67567440506768939</v>
      </c>
      <c r="JE48" s="7">
        <v>0.68669309084068542</v>
      </c>
      <c r="JF48" s="8">
        <v>0.68528850489749382</v>
      </c>
      <c r="JG48" s="8">
        <v>0.68134178962919678</v>
      </c>
      <c r="JH48" s="8">
        <v>0.6808315708250533</v>
      </c>
      <c r="JI48" s="8">
        <v>0.67126267953201846</v>
      </c>
      <c r="JJ48" s="8">
        <v>0.65973806447919991</v>
      </c>
      <c r="JK48" s="8">
        <v>0.65388991990746037</v>
      </c>
      <c r="JL48" s="8">
        <v>0.64352230165320068</v>
      </c>
      <c r="JM48" s="8">
        <v>0.6732896741981369</v>
      </c>
      <c r="JN48" s="7">
        <v>0.66181102905893352</v>
      </c>
      <c r="JO48" s="8">
        <v>0.65019543389991741</v>
      </c>
      <c r="JP48" s="8">
        <v>0.64084181993473555</v>
      </c>
      <c r="JQ48" s="8">
        <v>0.63851265476183416</v>
      </c>
      <c r="JR48" s="8">
        <v>0.64568975013731933</v>
      </c>
      <c r="JS48" s="8">
        <v>0.66391963775217488</v>
      </c>
      <c r="JT48" s="8">
        <v>0.68153264229575294</v>
      </c>
      <c r="JU48" s="8">
        <v>0.69252182722176403</v>
      </c>
      <c r="JV48" s="8">
        <v>0.67971664475054405</v>
      </c>
      <c r="JW48" s="7">
        <v>0.58372571748312907</v>
      </c>
      <c r="JX48" s="8">
        <v>0.5696161659257728</v>
      </c>
      <c r="JY48" s="8">
        <v>0.55367858000598402</v>
      </c>
      <c r="JZ48" s="8">
        <v>0.53894551074161645</v>
      </c>
      <c r="KA48" s="8">
        <v>0.53420503540290487</v>
      </c>
      <c r="KB48" s="8">
        <v>0.5687222070646889</v>
      </c>
      <c r="KC48" s="8">
        <v>0.59777089824584118</v>
      </c>
      <c r="KD48" s="8">
        <v>0.60763636650224506</v>
      </c>
      <c r="KE48" s="8">
        <v>0.59818332818119369</v>
      </c>
      <c r="KF48" s="7">
        <v>0.56484218109525675</v>
      </c>
      <c r="KG48" s="7">
        <v>0.403924457674179</v>
      </c>
      <c r="KH48" s="8">
        <v>0.39300496222375458</v>
      </c>
      <c r="KI48" s="8">
        <v>0.38455637241592427</v>
      </c>
      <c r="KJ48" s="8">
        <v>0.37754046209832265</v>
      </c>
      <c r="KK48" s="8">
        <v>0.37100312376496863</v>
      </c>
      <c r="KL48" s="8">
        <v>0.38640157783328138</v>
      </c>
      <c r="KM48" s="8">
        <v>0.41741887862055838</v>
      </c>
      <c r="KN48" s="8">
        <v>0.43899029303610887</v>
      </c>
      <c r="KO48" s="8">
        <v>0.4261525798797115</v>
      </c>
      <c r="KP48" s="7">
        <v>0.40364211297852187</v>
      </c>
      <c r="KQ48" s="8">
        <v>0.51671447003713056</v>
      </c>
      <c r="KR48" s="7">
        <v>0.51094574717935382</v>
      </c>
      <c r="KS48" s="8">
        <v>0.51595282231254092</v>
      </c>
      <c r="KT48" s="8">
        <v>0.5211574666363562</v>
      </c>
      <c r="KU48" s="8">
        <v>0.53577264120837309</v>
      </c>
      <c r="KV48" s="8">
        <v>0.53644125527251219</v>
      </c>
      <c r="KW48" s="8">
        <v>0.54824908394398841</v>
      </c>
      <c r="KX48" s="8">
        <v>0.55369309651852916</v>
      </c>
      <c r="KY48" s="7">
        <v>0.54928505364378899</v>
      </c>
      <c r="KZ48" s="8">
        <v>0.52311629934063786</v>
      </c>
      <c r="LA48" s="8">
        <v>0.64212994569871029</v>
      </c>
      <c r="LB48" s="8">
        <v>0.63348336365394819</v>
      </c>
      <c r="LC48" s="7">
        <v>0.62703338359832583</v>
      </c>
      <c r="LD48" s="8">
        <v>0.60677514166051305</v>
      </c>
      <c r="LE48" s="8">
        <v>0.5867660202245969</v>
      </c>
      <c r="LF48" s="8">
        <v>0.58791764064624052</v>
      </c>
      <c r="LG48" s="8">
        <v>0.62291664456889562</v>
      </c>
      <c r="LH48" s="7">
        <v>0.65739936763190665</v>
      </c>
      <c r="LI48" s="8">
        <v>0.66674256122856423</v>
      </c>
      <c r="LJ48" s="8">
        <v>0.67179068493349303</v>
      </c>
      <c r="LL48" s="6" t="s">
        <v>214</v>
      </c>
      <c r="LM48" s="6" t="s">
        <v>160</v>
      </c>
      <c r="LN48" s="6" t="s">
        <v>161</v>
      </c>
      <c r="LO48" s="8">
        <v>0.50817322248892816</v>
      </c>
    </row>
    <row r="49" spans="2:327" x14ac:dyDescent="0.45">
      <c r="B49" s="3" t="s">
        <v>215</v>
      </c>
      <c r="C49" s="3" t="s">
        <v>151</v>
      </c>
      <c r="D49" s="5">
        <v>0.23433804747118803</v>
      </c>
      <c r="E49" s="5">
        <v>0.24111152047649773</v>
      </c>
      <c r="F49" s="5">
        <v>0.23644781876000845</v>
      </c>
      <c r="G49" s="5">
        <v>0.23053105468685359</v>
      </c>
      <c r="H49" s="5">
        <v>0.21713101423814862</v>
      </c>
      <c r="I49" s="5">
        <v>0.22971751302003976</v>
      </c>
      <c r="J49" s="5">
        <v>0.24339144801831838</v>
      </c>
      <c r="K49" s="5">
        <v>0.25990217195026133</v>
      </c>
      <c r="L49" s="5">
        <v>0.26035116343734577</v>
      </c>
      <c r="M49" s="5">
        <v>0.24698546684631492</v>
      </c>
      <c r="N49" s="5">
        <v>0.22741208985060568</v>
      </c>
      <c r="O49" s="5">
        <v>0.23945213874939408</v>
      </c>
      <c r="P49" s="5">
        <v>0.24713172945491649</v>
      </c>
      <c r="Q49" s="5">
        <v>0.26319520325033124</v>
      </c>
      <c r="R49" s="5">
        <v>0.26840253583219875</v>
      </c>
      <c r="S49" s="5">
        <v>0.25666481198260993</v>
      </c>
      <c r="T49" s="5">
        <v>0.24926051311718006</v>
      </c>
      <c r="U49" s="5">
        <v>0.24564819909820659</v>
      </c>
      <c r="V49" s="5">
        <v>0.2388223015261379</v>
      </c>
      <c r="W49" s="5">
        <v>0.24294490414674066</v>
      </c>
      <c r="X49" s="5">
        <v>0.24104311214527502</v>
      </c>
      <c r="Y49" s="5">
        <v>0.26721865491882513</v>
      </c>
      <c r="Z49" s="5">
        <v>0.28800737501997237</v>
      </c>
      <c r="AA49" s="5">
        <v>0.30414873230663231</v>
      </c>
      <c r="AB49" s="5">
        <v>0.31366327300977587</v>
      </c>
      <c r="AC49" s="5">
        <v>0.29687336370226836</v>
      </c>
      <c r="AD49" s="5">
        <v>0.27035799704317187</v>
      </c>
      <c r="AE49" s="5">
        <v>0.2508190116626175</v>
      </c>
      <c r="AF49" s="5">
        <v>0.22936684025548706</v>
      </c>
      <c r="AG49" s="5">
        <v>0.22765938508693384</v>
      </c>
      <c r="AH49" s="5">
        <v>0.38570605862512852</v>
      </c>
      <c r="AI49" s="5">
        <v>0.39248894998411177</v>
      </c>
      <c r="AJ49" s="5">
        <v>0.38534745436329837</v>
      </c>
      <c r="AK49" s="5">
        <v>0.38777468831730688</v>
      </c>
      <c r="AL49" s="5">
        <v>0.39937509256769405</v>
      </c>
      <c r="AM49" s="5">
        <v>0.38857615856302608</v>
      </c>
      <c r="AN49" s="5">
        <v>0.34860646140581447</v>
      </c>
      <c r="AO49" s="5">
        <v>0.30901984110537406</v>
      </c>
      <c r="AP49" s="5">
        <v>0.28519396809404141</v>
      </c>
      <c r="AQ49" s="5">
        <v>0.32582147888889273</v>
      </c>
      <c r="AR49" s="5">
        <v>0.29379492644206889</v>
      </c>
      <c r="AS49" s="5">
        <v>0.31928613961271002</v>
      </c>
      <c r="AT49" s="5">
        <v>0.31221134384329435</v>
      </c>
      <c r="AU49" s="5">
        <v>0.30746612344314622</v>
      </c>
      <c r="AV49" s="5">
        <v>0.31040290564181117</v>
      </c>
      <c r="AW49" s="5">
        <v>0.27988974632300045</v>
      </c>
      <c r="AX49" s="5">
        <v>0.26889790428368687</v>
      </c>
      <c r="AY49" s="5">
        <v>0.27957186488150421</v>
      </c>
      <c r="AZ49" s="5">
        <v>0.28620089532796561</v>
      </c>
      <c r="BA49" s="5">
        <v>0.29597806734078719</v>
      </c>
      <c r="BB49" s="5">
        <v>0.25430424642860594</v>
      </c>
      <c r="BC49" s="5">
        <v>0.25304686345912469</v>
      </c>
      <c r="BD49" s="5">
        <v>0.2361180379240965</v>
      </c>
      <c r="BE49" s="5">
        <v>0.23952872677611603</v>
      </c>
      <c r="BF49" s="5">
        <v>0.25531615880584796</v>
      </c>
      <c r="BG49" s="5">
        <v>0.26577088943349725</v>
      </c>
      <c r="BH49" s="5">
        <v>0.26043598396561385</v>
      </c>
      <c r="BI49" s="5">
        <v>0.25744218548534475</v>
      </c>
      <c r="BJ49" s="5">
        <v>0.2637725971449868</v>
      </c>
      <c r="BK49" s="5">
        <v>0.25313004352193463</v>
      </c>
      <c r="BM49" s="3" t="s">
        <v>215</v>
      </c>
      <c r="BN49" s="3" t="s">
        <v>152</v>
      </c>
      <c r="BO49" s="5">
        <v>1.3093427865411135E-2</v>
      </c>
      <c r="BP49" s="5">
        <v>8.1847425863603648E-3</v>
      </c>
      <c r="BQ49" s="4">
        <v>6.8094300165376324E-3</v>
      </c>
      <c r="BR49" s="5">
        <v>1.5695090920921841E-2</v>
      </c>
      <c r="BS49" s="5">
        <v>2.7643061472684125E-2</v>
      </c>
      <c r="BT49" s="5">
        <v>2.2017129255316542E-2</v>
      </c>
      <c r="BU49" s="4">
        <v>2.3097781074785349E-2</v>
      </c>
      <c r="BV49" s="5">
        <v>1.483784428723728E-2</v>
      </c>
      <c r="BW49" s="4">
        <v>7.9739561092760109E-3</v>
      </c>
      <c r="BX49" s="5">
        <v>5.7385055400964117E-3</v>
      </c>
      <c r="BY49" s="4">
        <v>1.4360455518285927E-2</v>
      </c>
      <c r="BZ49" s="4">
        <v>1.8207933213161383E-2</v>
      </c>
      <c r="CA49" s="4">
        <v>2.2156093889464989E-2</v>
      </c>
      <c r="CB49" s="4">
        <v>9.8091790151499953E-3</v>
      </c>
      <c r="CC49" s="4">
        <v>5.5519606258316251E-3</v>
      </c>
      <c r="CD49" s="5">
        <v>1.0795192095954052E-2</v>
      </c>
      <c r="CE49" s="4">
        <v>1.0405693258849692E-2</v>
      </c>
      <c r="CF49" s="5">
        <v>6.929473911913623E-3</v>
      </c>
      <c r="CG49" s="4">
        <v>7.2302881073040724E-3</v>
      </c>
      <c r="CH49" s="5">
        <v>3.4234120709125591E-3</v>
      </c>
      <c r="CI49" s="5">
        <v>1.2353071276562605E-2</v>
      </c>
      <c r="CJ49" s="4">
        <v>2.5789794972592515E-2</v>
      </c>
      <c r="CK49" s="5">
        <v>1.1458648656029063E-2</v>
      </c>
      <c r="CL49" s="4">
        <v>6.6109931136267668E-3</v>
      </c>
      <c r="CM49" s="5">
        <v>1.4546780899618051E-2</v>
      </c>
      <c r="CN49" s="5">
        <v>2.3274866690622655E-2</v>
      </c>
      <c r="CO49" s="5">
        <v>1.0409247372192117E-2</v>
      </c>
      <c r="CP49" s="5">
        <v>1.718485526076503E-2</v>
      </c>
      <c r="CQ49" s="5">
        <v>1.9165484164575676E-2</v>
      </c>
      <c r="CR49" s="5">
        <v>1.9415366603371422E-2</v>
      </c>
      <c r="CS49" s="5">
        <v>2.4823947551934566E-2</v>
      </c>
      <c r="CT49" s="5">
        <v>1.8821962475123952E-2</v>
      </c>
      <c r="CU49" s="4">
        <v>1.9697709946357063E-2</v>
      </c>
      <c r="CV49" s="4">
        <v>2.7566570106761303E-2</v>
      </c>
      <c r="CW49" s="5">
        <v>2.6212690272882869E-2</v>
      </c>
      <c r="CX49" s="4">
        <v>1.9084432764602945E-2</v>
      </c>
      <c r="CY49" s="4">
        <v>6.1090697981226669E-3</v>
      </c>
      <c r="CZ49" s="4">
        <v>6.9647706495736036E-3</v>
      </c>
      <c r="DA49" s="4">
        <v>2.635742276170255E-2</v>
      </c>
      <c r="DB49" s="5">
        <v>3.4727856644336738E-2</v>
      </c>
      <c r="DC49" s="5">
        <v>1.6797856621752469E-2</v>
      </c>
      <c r="DD49" s="4">
        <v>1.2887623623003488E-2</v>
      </c>
      <c r="DE49" s="4">
        <v>1.5099680640170188E-2</v>
      </c>
      <c r="DF49" s="5">
        <v>2.1179844655649132E-2</v>
      </c>
      <c r="DG49" s="5">
        <v>3.0646970270931773E-2</v>
      </c>
      <c r="DH49" s="4">
        <v>2.3246241789957309E-2</v>
      </c>
      <c r="DI49" s="4">
        <v>2.3911948865996246E-2</v>
      </c>
      <c r="DJ49" s="4">
        <v>1.4655430202003217E-2</v>
      </c>
      <c r="DK49" s="4">
        <v>9.3789233611900648E-3</v>
      </c>
      <c r="DL49" s="5">
        <v>3.5134840887589354E-3</v>
      </c>
      <c r="DM49" s="5">
        <v>1.6864497421960657E-2</v>
      </c>
      <c r="DN49" s="5">
        <v>9.7454983537718851E-3</v>
      </c>
      <c r="DO49" s="5">
        <v>1.3786555231835109E-2</v>
      </c>
      <c r="DP49" s="5">
        <v>2.4230093487594893E-2</v>
      </c>
      <c r="DQ49" s="5">
        <v>2.0814286137754105E-2</v>
      </c>
      <c r="DR49" s="5">
        <v>8.1162692694709097E-3</v>
      </c>
      <c r="DS49" s="5">
        <v>1.5872335592472017E-2</v>
      </c>
      <c r="DT49" s="4">
        <v>1.9656393485745764E-2</v>
      </c>
      <c r="DU49" s="5">
        <v>1.215469201630256E-2</v>
      </c>
      <c r="DV49" s="5">
        <v>9.9378777154839129E-3</v>
      </c>
      <c r="DX49" s="3" t="s">
        <v>215</v>
      </c>
      <c r="DY49" s="3" t="s">
        <v>153</v>
      </c>
      <c r="DZ49" s="4">
        <v>8.2115090436985973E-3</v>
      </c>
      <c r="EA49" s="5">
        <v>1.072179556621866E-2</v>
      </c>
      <c r="EB49" s="5">
        <v>1.0665057147464695E-2</v>
      </c>
      <c r="EC49" s="5">
        <v>8.5818400787570238E-3</v>
      </c>
      <c r="ED49" s="4">
        <v>1.3088610887881384E-3</v>
      </c>
      <c r="EE49" s="5">
        <v>1.7406911755279586E-2</v>
      </c>
      <c r="EF49" s="4">
        <v>2.7143799996186289E-2</v>
      </c>
      <c r="EG49" s="5">
        <v>3.5329814412427558E-2</v>
      </c>
      <c r="EH49" s="5">
        <v>2.7143238609002984E-2</v>
      </c>
      <c r="EI49" s="5">
        <v>2.2044478076467446E-2</v>
      </c>
      <c r="EJ49" s="5">
        <v>2.5038190497865538E-3</v>
      </c>
      <c r="EK49" s="5">
        <v>1.0002906107554279E-2</v>
      </c>
      <c r="EL49" s="5">
        <v>1.43239629022258E-2</v>
      </c>
      <c r="EM49" s="5">
        <v>2.3380351520856345E-2</v>
      </c>
      <c r="EN49" s="5">
        <v>2.7676017500210679E-2</v>
      </c>
      <c r="EO49" s="4">
        <v>1.5211808145968881E-2</v>
      </c>
      <c r="EP49" s="4">
        <v>1.0572923172967741E-2</v>
      </c>
      <c r="EQ49" s="4">
        <v>1.648897574159483E-2</v>
      </c>
      <c r="ER49" s="4">
        <v>1.097282071778566E-2</v>
      </c>
      <c r="ES49" s="4">
        <v>6.3271433215251697E-3</v>
      </c>
      <c r="ET49" s="5">
        <v>2.0742185289497513E-2</v>
      </c>
      <c r="EU49" s="5">
        <v>1.3798466585246031E-2</v>
      </c>
      <c r="EV49" s="5">
        <v>3.2983069092099332E-2</v>
      </c>
      <c r="EW49" s="5">
        <v>3.2165492247592943E-2</v>
      </c>
      <c r="EX49" s="4">
        <v>1.4738163317861649E-2</v>
      </c>
      <c r="EY49" s="5">
        <v>8.0249992666062368E-3</v>
      </c>
      <c r="EZ49" s="5">
        <v>2.0506590849778739E-2</v>
      </c>
      <c r="FA49" s="5">
        <v>1.4837604287232195E-2</v>
      </c>
      <c r="FB49" s="5">
        <v>1.5708050872709677E-2</v>
      </c>
      <c r="FC49" s="5">
        <v>2.5856379011118719E-2</v>
      </c>
      <c r="FD49" s="5">
        <v>2.7757225288700921E-2</v>
      </c>
      <c r="FE49" s="5">
        <v>5.5159328096619151E-2</v>
      </c>
      <c r="FF49" s="5">
        <v>6.3006196424645319E-2</v>
      </c>
      <c r="FG49" s="5">
        <v>3.8919649612180543E-2</v>
      </c>
      <c r="FH49" s="4">
        <v>3.7205139118542639E-2</v>
      </c>
      <c r="FI49" s="5">
        <v>3.533844391972718E-2</v>
      </c>
      <c r="FJ49" s="5">
        <v>4.315469438444583E-2</v>
      </c>
      <c r="FK49" s="5">
        <v>1.9874724477589978E-2</v>
      </c>
      <c r="FL49" s="5">
        <v>8.6677175914673162E-3</v>
      </c>
      <c r="FM49" s="4">
        <v>9.3809551717340539E-3</v>
      </c>
      <c r="FN49" s="5">
        <v>8.3881216605704995E-3</v>
      </c>
      <c r="FO49" s="5">
        <v>1.9898808144615494E-2</v>
      </c>
      <c r="FP49" s="4">
        <v>2.5268490434050845E-2</v>
      </c>
      <c r="FQ49" s="4">
        <v>1.8769620721121309E-2</v>
      </c>
      <c r="FR49" s="4">
        <v>1.6507000132088768E-2</v>
      </c>
      <c r="FS49" s="4">
        <v>1.8823750841611246E-2</v>
      </c>
      <c r="FT49" s="5">
        <v>1.8780943022862734E-2</v>
      </c>
      <c r="FU49" s="5">
        <v>3.2552693530058893E-2</v>
      </c>
      <c r="FV49" s="4">
        <v>3.1561076878150275E-2</v>
      </c>
      <c r="FW49" s="5">
        <v>9.0740762189042302E-3</v>
      </c>
      <c r="FX49" s="5">
        <v>1.228194946494438E-2</v>
      </c>
      <c r="FY49" s="5">
        <v>1.865043803488909E-2</v>
      </c>
      <c r="FZ49" s="5">
        <v>1.6938323448165683E-2</v>
      </c>
      <c r="GA49" s="5">
        <v>1.8935405438345126E-2</v>
      </c>
      <c r="GB49" s="5">
        <v>1.4831952234604793E-2</v>
      </c>
      <c r="GC49" s="5">
        <v>3.0365635966169507E-2</v>
      </c>
      <c r="GD49" s="5">
        <v>2.169427388877268E-2</v>
      </c>
      <c r="GE49" s="5">
        <v>7.8103481111089059E-3</v>
      </c>
      <c r="GF49" s="5">
        <v>1.4199576251848173E-2</v>
      </c>
      <c r="GG49" s="5">
        <v>1.5874092283198346E-2</v>
      </c>
      <c r="GI49" s="3" t="s">
        <v>215</v>
      </c>
      <c r="GJ49" s="3" t="s">
        <v>154</v>
      </c>
      <c r="GK49" s="5">
        <v>0.10389282289844844</v>
      </c>
      <c r="GL49" s="5">
        <v>0.1020310461130646</v>
      </c>
      <c r="GM49" s="5">
        <v>9.920446660681044E-2</v>
      </c>
      <c r="GN49" s="5">
        <v>8.6498132399993891E-2</v>
      </c>
      <c r="GO49" s="5">
        <v>8.4249607672594345E-2</v>
      </c>
      <c r="GP49" s="5">
        <v>7.9083821119769568E-2</v>
      </c>
      <c r="GQ49" s="5">
        <v>7.3167501204262825E-2</v>
      </c>
      <c r="GR49" s="5">
        <v>7.6787474845529807E-2</v>
      </c>
      <c r="GS49" s="5">
        <v>9.526824041632978E-2</v>
      </c>
      <c r="GT49" s="5">
        <v>0.10233293997711777</v>
      </c>
      <c r="GU49" s="5">
        <v>0.10210667603233298</v>
      </c>
      <c r="GV49" s="5">
        <v>9.6356683430332352E-2</v>
      </c>
      <c r="GW49" s="5">
        <v>9.6652923642446029E-2</v>
      </c>
      <c r="GX49" s="5">
        <v>0.10661047865837617</v>
      </c>
      <c r="GY49" s="5">
        <v>0.10278563132385662</v>
      </c>
      <c r="GZ49" s="5">
        <v>0.10739035683929458</v>
      </c>
      <c r="HA49" s="4">
        <v>0.10338847959766241</v>
      </c>
      <c r="HB49" s="5">
        <v>9.5854623065981193E-2</v>
      </c>
      <c r="HC49" s="5">
        <v>9.9988352789269402E-2</v>
      </c>
      <c r="HD49" s="5">
        <v>0.12060221900702994</v>
      </c>
      <c r="HE49" s="5">
        <v>9.9845123666333704E-2</v>
      </c>
      <c r="HF49" s="5">
        <v>0.11406800450443615</v>
      </c>
      <c r="HG49" s="5">
        <v>0.1258058743411368</v>
      </c>
      <c r="HH49" s="5">
        <v>0.13986467909635683</v>
      </c>
      <c r="HI49" s="5">
        <v>0.15777258707537747</v>
      </c>
      <c r="HJ49" s="5">
        <v>0.14746580243035154</v>
      </c>
      <c r="HK49" s="5">
        <v>0.12234744706913443</v>
      </c>
      <c r="HL49" s="4">
        <v>0.10075537249248152</v>
      </c>
      <c r="HM49" s="5">
        <v>8.4830835783098787E-2</v>
      </c>
      <c r="HN49" s="5">
        <v>7.5711391692703023E-2</v>
      </c>
      <c r="HO49" s="5">
        <v>0.19261152856257963</v>
      </c>
      <c r="HP49" s="5">
        <v>0.16848156808511761</v>
      </c>
      <c r="HQ49" s="5">
        <v>0.1638866424630098</v>
      </c>
      <c r="HR49" s="5">
        <v>0.18346951297079719</v>
      </c>
      <c r="HS49" s="5">
        <v>0.19188259141453987</v>
      </c>
      <c r="HT49" s="5">
        <v>0.18318697685169499</v>
      </c>
      <c r="HU49" s="5">
        <v>0.16292937286117601</v>
      </c>
      <c r="HV49" s="4">
        <v>0.16495133330137113</v>
      </c>
      <c r="HW49" s="5">
        <v>0.15140005135891457</v>
      </c>
      <c r="HX49" s="5">
        <v>0.17488541125609547</v>
      </c>
      <c r="HY49" s="5">
        <v>0.14576871628921931</v>
      </c>
      <c r="HZ49" s="5">
        <v>0.15343224885918591</v>
      </c>
      <c r="IA49" s="5">
        <v>0.13945916494906563</v>
      </c>
      <c r="IB49" s="5">
        <v>0.12896234004065082</v>
      </c>
      <c r="IC49" s="5">
        <v>0.13149067157991642</v>
      </c>
      <c r="ID49" s="5">
        <v>0.11925234666010204</v>
      </c>
      <c r="IE49" s="5">
        <v>0.10427291585621089</v>
      </c>
      <c r="IF49" s="5">
        <v>0.10168468403788991</v>
      </c>
      <c r="IG49" s="5">
        <v>0.11705016991768377</v>
      </c>
      <c r="IH49" s="5">
        <v>0.14792713493669876</v>
      </c>
      <c r="II49" s="5">
        <v>9.4217668069321678E-2</v>
      </c>
      <c r="IJ49" s="5">
        <v>9.5767682270492718E-2</v>
      </c>
      <c r="IK49" s="5">
        <v>8.9076846814578059E-2</v>
      </c>
      <c r="IL49" s="5">
        <v>8.4825171883581449E-2</v>
      </c>
      <c r="IM49" s="5">
        <v>0.1026861928170217</v>
      </c>
      <c r="IN49" s="5">
        <v>0.10269202567159628</v>
      </c>
      <c r="IO49" s="5">
        <v>0.10324283056175795</v>
      </c>
      <c r="IP49" s="5">
        <v>0.10764313622203264</v>
      </c>
      <c r="IQ49" s="5">
        <v>0.10610552337392308</v>
      </c>
      <c r="IR49" s="5">
        <v>0.10459819662397966</v>
      </c>
      <c r="JB49" s="3" t="s">
        <v>215</v>
      </c>
      <c r="JC49" s="5">
        <v>0.61336520428346974</v>
      </c>
      <c r="JD49" s="5">
        <v>0.61373368122152105</v>
      </c>
      <c r="JE49" s="4">
        <v>0.61696212319892962</v>
      </c>
      <c r="JF49" s="5">
        <v>0.61191955733539005</v>
      </c>
      <c r="JG49" s="5">
        <v>0.60804413552780268</v>
      </c>
      <c r="JH49" s="5">
        <v>0.6073938443064576</v>
      </c>
      <c r="JI49" s="5">
        <v>0.60865059685906409</v>
      </c>
      <c r="JJ49" s="5">
        <v>0.6117958779501419</v>
      </c>
      <c r="JK49" s="5">
        <v>0.60610576905877644</v>
      </c>
      <c r="JL49" s="5">
        <v>0.59935279969482047</v>
      </c>
      <c r="JM49" s="5">
        <v>0.61828024008786064</v>
      </c>
      <c r="JN49" s="4">
        <v>0.60838361968023991</v>
      </c>
      <c r="JO49" s="5">
        <v>0.6024826553930509</v>
      </c>
      <c r="JP49" s="5">
        <v>0.58876376491399607</v>
      </c>
      <c r="JQ49" s="5">
        <v>0.5853664729623278</v>
      </c>
      <c r="JR49" s="5">
        <v>0.59596680294127957</v>
      </c>
      <c r="JS49" s="5">
        <v>0.61106136004972367</v>
      </c>
      <c r="JT49" s="5">
        <v>0.62308384568486885</v>
      </c>
      <c r="JU49" s="5">
        <v>0.62127805125317592</v>
      </c>
      <c r="JV49" s="5">
        <v>0.59338610811845383</v>
      </c>
      <c r="JW49" s="4">
        <v>0.56163905905003497</v>
      </c>
      <c r="JX49" s="5">
        <v>0.53401752362222954</v>
      </c>
      <c r="JY49" s="5">
        <v>0.51048718915346269</v>
      </c>
      <c r="JZ49" s="5">
        <v>0.48992650327132709</v>
      </c>
      <c r="KA49" s="5">
        <v>0.48736630418242305</v>
      </c>
      <c r="KB49" s="5">
        <v>0.5096489836872039</v>
      </c>
      <c r="KC49" s="5">
        <v>0.54943520202017138</v>
      </c>
      <c r="KD49" s="5">
        <v>0.57968464340693582</v>
      </c>
      <c r="KE49" s="5">
        <v>0.59598554734294751</v>
      </c>
      <c r="KF49" s="4">
        <v>0.58041368459768949</v>
      </c>
      <c r="KG49" s="4">
        <v>0.34637515417841058</v>
      </c>
      <c r="KH49" s="5">
        <v>0.3547700784034879</v>
      </c>
      <c r="KI49" s="5">
        <v>0.35679065406096183</v>
      </c>
      <c r="KJ49" s="5">
        <v>0.34629532812287434</v>
      </c>
      <c r="KK49" s="5">
        <v>0.33830815475713638</v>
      </c>
      <c r="KL49" s="5">
        <v>0.35648052412270054</v>
      </c>
      <c r="KM49" s="5">
        <v>0.37968860319731607</v>
      </c>
      <c r="KN49" s="5">
        <v>0.3887253846790158</v>
      </c>
      <c r="KO49" s="5">
        <v>0.37691525569987178</v>
      </c>
      <c r="KP49" s="4">
        <v>0.345187981856866</v>
      </c>
      <c r="KQ49" s="5">
        <v>0.52919554633916333</v>
      </c>
      <c r="KR49" s="4">
        <v>0.51222037216940364</v>
      </c>
      <c r="KS49" s="5">
        <v>0.51629991262147357</v>
      </c>
      <c r="KT49" s="5">
        <v>0.51721211829024416</v>
      </c>
      <c r="KU49" s="5">
        <v>0.5134134188526871</v>
      </c>
      <c r="KV49" s="5">
        <v>0.54022856644162165</v>
      </c>
      <c r="KW49" s="5">
        <v>0.57097650351629636</v>
      </c>
      <c r="KX49" s="5">
        <v>0.57601819685347511</v>
      </c>
      <c r="KY49" s="4">
        <v>0.55991429135098059</v>
      </c>
      <c r="KZ49" s="5">
        <v>0.54347863492655046</v>
      </c>
      <c r="LA49" s="5">
        <v>0.61948394520640437</v>
      </c>
      <c r="LB49" s="5">
        <v>0.61621055985267059</v>
      </c>
      <c r="LC49" s="4">
        <v>0.62963638852629134</v>
      </c>
      <c r="LD49" s="5">
        <v>0.61597539543317525</v>
      </c>
      <c r="LE49" s="5">
        <v>0.59839567740569277</v>
      </c>
      <c r="LF49" s="5">
        <v>0.5928943490344375</v>
      </c>
      <c r="LG49" s="5">
        <v>0.59707962338195686</v>
      </c>
      <c r="LH49" s="4">
        <v>0.61463873493637533</v>
      </c>
      <c r="LI49" s="5">
        <v>0.61976577907237196</v>
      </c>
      <c r="LJ49" s="5">
        <v>0.61475569645847461</v>
      </c>
      <c r="LL49" s="3" t="s">
        <v>216</v>
      </c>
      <c r="LM49" s="3" t="s">
        <v>160</v>
      </c>
      <c r="LN49" s="3" t="s">
        <v>161</v>
      </c>
      <c r="LO49" s="5">
        <v>0.62499938802627275</v>
      </c>
    </row>
    <row r="50" spans="2:327" x14ac:dyDescent="0.45">
      <c r="B50" s="6" t="s">
        <v>217</v>
      </c>
      <c r="C50" s="6" t="s">
        <v>151</v>
      </c>
      <c r="D50" s="8">
        <v>0.24328272785784819</v>
      </c>
      <c r="E50" s="8">
        <v>0.24036791195196139</v>
      </c>
      <c r="F50" s="8">
        <v>0.24222445507604107</v>
      </c>
      <c r="G50" s="8">
        <v>0.25694688648531788</v>
      </c>
      <c r="H50" s="8">
        <v>0.26503879848349304</v>
      </c>
      <c r="I50" s="8">
        <v>0.27394715894467148</v>
      </c>
      <c r="J50" s="8">
        <v>0.2899438357278587</v>
      </c>
      <c r="K50" s="8">
        <v>0.28337347452406342</v>
      </c>
      <c r="L50" s="8">
        <v>0.26199485945330864</v>
      </c>
      <c r="M50" s="8">
        <v>0.25270683100035263</v>
      </c>
      <c r="N50" s="8">
        <v>0.25831393204228381</v>
      </c>
      <c r="O50" s="8">
        <v>0.26798054768909996</v>
      </c>
      <c r="P50" s="8">
        <v>0.25177112765023357</v>
      </c>
      <c r="Q50" s="8">
        <v>0.25279147721022677</v>
      </c>
      <c r="R50" s="8">
        <v>0.25387811082531758</v>
      </c>
      <c r="S50" s="8">
        <v>0.26238539326897287</v>
      </c>
      <c r="T50" s="8">
        <v>0.27237869679889243</v>
      </c>
      <c r="U50" s="8">
        <v>0.27815397337191966</v>
      </c>
      <c r="V50" s="8">
        <v>0.26886472275202539</v>
      </c>
      <c r="W50" s="8">
        <v>0.2578409536900394</v>
      </c>
      <c r="X50" s="8">
        <v>0.35069852993353601</v>
      </c>
      <c r="Y50" s="8">
        <v>0.36158426069116639</v>
      </c>
      <c r="Z50" s="8">
        <v>0.36203611322894996</v>
      </c>
      <c r="AA50" s="8">
        <v>0.38249883191208522</v>
      </c>
      <c r="AB50" s="8">
        <v>0.39171334061877261</v>
      </c>
      <c r="AC50" s="8">
        <v>0.37231773562474374</v>
      </c>
      <c r="AD50" s="8">
        <v>0.36586541542442724</v>
      </c>
      <c r="AE50" s="8">
        <v>0.33549824319982979</v>
      </c>
      <c r="AF50" s="8">
        <v>0.32573335865191555</v>
      </c>
      <c r="AG50" s="8">
        <v>0.32034361044737636</v>
      </c>
      <c r="AH50" s="8">
        <v>0.36678284391442717</v>
      </c>
      <c r="AI50" s="8">
        <v>0.3960215292323232</v>
      </c>
      <c r="AJ50" s="8">
        <v>0.41251859818278069</v>
      </c>
      <c r="AK50" s="8">
        <v>0.41402248898933053</v>
      </c>
      <c r="AL50" s="8">
        <v>0.38057745204339699</v>
      </c>
      <c r="AM50" s="8">
        <v>0.35486904468568853</v>
      </c>
      <c r="AN50" s="8">
        <v>0.34396419818788088</v>
      </c>
      <c r="AO50" s="8">
        <v>0.35381388705726546</v>
      </c>
      <c r="AP50" s="8">
        <v>0.35566954053399485</v>
      </c>
      <c r="AQ50" s="8">
        <v>0.35358928452162808</v>
      </c>
      <c r="AR50" s="8">
        <v>0.20520937344282972</v>
      </c>
      <c r="AS50" s="8">
        <v>0.23314730500302575</v>
      </c>
      <c r="AT50" s="8">
        <v>0.25247378647669461</v>
      </c>
      <c r="AU50" s="8">
        <v>0.25874766189793263</v>
      </c>
      <c r="AV50" s="8">
        <v>0.2565059199190583</v>
      </c>
      <c r="AW50" s="8">
        <v>0.25308653270884401</v>
      </c>
      <c r="AX50" s="8">
        <v>0.24618916010997574</v>
      </c>
      <c r="AY50" s="8">
        <v>0.22524534911249974</v>
      </c>
      <c r="AZ50" s="8">
        <v>0.2084442932173394</v>
      </c>
      <c r="BA50" s="8">
        <v>0.19534915630136618</v>
      </c>
      <c r="BB50" s="8">
        <v>0.20508815111820072</v>
      </c>
      <c r="BC50" s="8">
        <v>0.20383458895086262</v>
      </c>
      <c r="BD50" s="8">
        <v>0.20401848661203406</v>
      </c>
      <c r="BE50" s="8">
        <v>0.21074596139704313</v>
      </c>
      <c r="BF50" s="8">
        <v>0.22950127686929578</v>
      </c>
      <c r="BG50" s="8">
        <v>0.24406805803869086</v>
      </c>
      <c r="BH50" s="8">
        <v>0.24583524632946904</v>
      </c>
      <c r="BI50" s="8">
        <v>0.23876649157065394</v>
      </c>
      <c r="BJ50" s="8">
        <v>0.21550309451159913</v>
      </c>
      <c r="BK50" s="8">
        <v>0.20641728859392366</v>
      </c>
      <c r="BM50" s="6" t="s">
        <v>217</v>
      </c>
      <c r="BN50" s="6" t="s">
        <v>152</v>
      </c>
      <c r="BO50" s="8">
        <v>1.5332250293744078E-2</v>
      </c>
      <c r="BP50" s="8">
        <v>1.4619149964819847E-2</v>
      </c>
      <c r="BQ50" s="7">
        <v>2.0343408769560117E-2</v>
      </c>
      <c r="BR50" s="8">
        <v>2.3987415432130326E-2</v>
      </c>
      <c r="BS50" s="8">
        <v>9.7968133556762035E-3</v>
      </c>
      <c r="BT50" s="8">
        <v>6.2575965866401651E-3</v>
      </c>
      <c r="BU50" s="7">
        <v>8.3726609093558724E-3</v>
      </c>
      <c r="BV50" s="8">
        <v>1.1123551220011131E-2</v>
      </c>
      <c r="BW50" s="7">
        <v>1.1263396584486733E-2</v>
      </c>
      <c r="BX50" s="8">
        <v>1.8909017946644104E-3</v>
      </c>
      <c r="BY50" s="7">
        <v>8.0289888158253837E-3</v>
      </c>
      <c r="BZ50" s="7">
        <v>1.5393645921269872E-2</v>
      </c>
      <c r="CA50" s="7">
        <v>2.1388110230123103E-2</v>
      </c>
      <c r="CB50" s="7">
        <v>7.7308239029886565E-3</v>
      </c>
      <c r="CC50" s="7">
        <v>7.4124666804931977E-3</v>
      </c>
      <c r="CD50" s="8">
        <v>1.1908284462598211E-2</v>
      </c>
      <c r="CE50" s="7">
        <v>1.5751326746708025E-2</v>
      </c>
      <c r="CF50" s="8">
        <v>8.5832970525997806E-3</v>
      </c>
      <c r="CG50" s="7">
        <v>1.895813548459248E-3</v>
      </c>
      <c r="CH50" s="8">
        <v>6.2078696590459519E-3</v>
      </c>
      <c r="CI50" s="8">
        <v>2.1456803606827352E-2</v>
      </c>
      <c r="CJ50" s="7">
        <v>1.9654893835854659E-2</v>
      </c>
      <c r="CK50" s="8">
        <v>1.7245783953884125E-2</v>
      </c>
      <c r="CL50" s="7">
        <v>1.2954970203236044E-2</v>
      </c>
      <c r="CM50" s="8">
        <v>8.3650219992187965E-3</v>
      </c>
      <c r="CN50" s="8">
        <v>1.1152750938199715E-2</v>
      </c>
      <c r="CO50" s="8">
        <v>2.2239910731273689E-2</v>
      </c>
      <c r="CP50" s="8">
        <v>2.7797075954045451E-2</v>
      </c>
      <c r="CQ50" s="8">
        <v>2.6551248820475434E-2</v>
      </c>
      <c r="CR50" s="8">
        <v>2.1207115096240556E-2</v>
      </c>
      <c r="CS50" s="8">
        <v>1.2900666287260075E-2</v>
      </c>
      <c r="CT50" s="8">
        <v>1.8384312147273325E-2</v>
      </c>
      <c r="CU50" s="7">
        <v>8.7028622299810694E-3</v>
      </c>
      <c r="CV50" s="7">
        <v>3.3761459087492222E-2</v>
      </c>
      <c r="CW50" s="8">
        <v>5.1457830299339535E-2</v>
      </c>
      <c r="CX50" s="7">
        <v>3.2824108901333755E-2</v>
      </c>
      <c r="CY50" s="7">
        <v>4.5831342331149917E-2</v>
      </c>
      <c r="CZ50" s="7">
        <v>7.0584780596467542E-2</v>
      </c>
      <c r="DA50" s="7">
        <v>7.4229164839038408E-2</v>
      </c>
      <c r="DB50" s="8">
        <v>3.4049685518926051E-2</v>
      </c>
      <c r="DC50" s="8">
        <v>1.1290445967890556E-2</v>
      </c>
      <c r="DD50" s="7">
        <v>2.2717426386705226E-2</v>
      </c>
      <c r="DE50" s="7">
        <v>3.4026593729023877E-2</v>
      </c>
      <c r="DF50" s="8">
        <v>3.7669965199130059E-2</v>
      </c>
      <c r="DG50" s="8">
        <v>1.6692661037494175E-2</v>
      </c>
      <c r="DH50" s="7">
        <v>1.6771526748922346E-2</v>
      </c>
      <c r="DI50" s="7">
        <v>1.4202895706052307E-2</v>
      </c>
      <c r="DJ50" s="7">
        <v>9.8553782155779042E-3</v>
      </c>
      <c r="DK50" s="7">
        <v>8.2299160056858792E-3</v>
      </c>
      <c r="DL50" s="8">
        <v>1.0934557248213744E-2</v>
      </c>
      <c r="DM50" s="8">
        <v>7.6066666011258693E-3</v>
      </c>
      <c r="DN50" s="8">
        <v>5.2385286124990499E-3</v>
      </c>
      <c r="DO50" s="8">
        <v>5.7792892429431109E-3</v>
      </c>
      <c r="DP50" s="8">
        <v>1.0119477326402154E-2</v>
      </c>
      <c r="DQ50" s="8">
        <v>1.3202494235545627E-2</v>
      </c>
      <c r="DR50" s="8">
        <v>2.3002674860527067E-2</v>
      </c>
      <c r="DS50" s="8">
        <v>2.2020538632920354E-2</v>
      </c>
      <c r="DT50" s="7">
        <v>1.6659970864428754E-2</v>
      </c>
      <c r="DU50" s="8">
        <v>1.3826056675309496E-2</v>
      </c>
      <c r="DV50" s="8">
        <v>1.1397694049520386E-2</v>
      </c>
      <c r="DX50" s="6" t="s">
        <v>217</v>
      </c>
      <c r="DY50" s="6" t="s">
        <v>153</v>
      </c>
      <c r="DZ50" s="7">
        <v>7.0841960672318313E-3</v>
      </c>
      <c r="EA50" s="8">
        <v>1.4779567475985717E-2</v>
      </c>
      <c r="EB50" s="8">
        <v>2.1014982746047257E-2</v>
      </c>
      <c r="EC50" s="8">
        <v>2.1778373938120658E-2</v>
      </c>
      <c r="ED50" s="7">
        <v>2.6794966685086085E-2</v>
      </c>
      <c r="EE50" s="8">
        <v>3.0531598495929693E-2</v>
      </c>
      <c r="EF50" s="7">
        <v>2.2110897135167219E-2</v>
      </c>
      <c r="EG50" s="8">
        <v>5.3172216194051327E-3</v>
      </c>
      <c r="EH50" s="8">
        <v>7.9146515107254376E-3</v>
      </c>
      <c r="EI50" s="8">
        <v>1.8954830836138806E-2</v>
      </c>
      <c r="EJ50" s="8">
        <v>6.2021845166035103E-3</v>
      </c>
      <c r="EK50" s="8">
        <v>7.444772687556298E-3</v>
      </c>
      <c r="EL50" s="8">
        <v>4.2926076594543318E-3</v>
      </c>
      <c r="EM50" s="8">
        <v>2.3437085903099144E-2</v>
      </c>
      <c r="EN50" s="8">
        <v>2.6637726053456188E-2</v>
      </c>
      <c r="EO50" s="7">
        <v>1.9733881884947235E-2</v>
      </c>
      <c r="EP50" s="7">
        <v>1.1167499842446672E-2</v>
      </c>
      <c r="EQ50" s="7">
        <v>1.9736645191624321E-2</v>
      </c>
      <c r="ER50" s="7">
        <v>2.2589991559894565E-2</v>
      </c>
      <c r="ES50" s="7">
        <v>1.2149532374284188E-2</v>
      </c>
      <c r="ET50" s="8">
        <v>3.0522803161370141E-2</v>
      </c>
      <c r="EU50" s="8">
        <v>2.8726427423916224E-2</v>
      </c>
      <c r="EV50" s="8">
        <v>2.3017891028959982E-2</v>
      </c>
      <c r="EW50" s="8">
        <v>2.4773620678784143E-2</v>
      </c>
      <c r="EX50" s="7">
        <v>2.8974329396031621E-2</v>
      </c>
      <c r="EY50" s="8">
        <v>2.5047222921650906E-2</v>
      </c>
      <c r="EZ50" s="8">
        <v>1.2288895376010486E-2</v>
      </c>
      <c r="FA50" s="8">
        <v>1.2516998752017046E-2</v>
      </c>
      <c r="FB50" s="8">
        <v>2.1529620814023723E-2</v>
      </c>
      <c r="FC50" s="8">
        <v>2.8940520316134578E-2</v>
      </c>
      <c r="FD50" s="8">
        <v>5.3929266710398764E-2</v>
      </c>
      <c r="FE50" s="8">
        <v>2.2445236088412854E-2</v>
      </c>
      <c r="FF50" s="8">
        <v>2.6733530939333443E-2</v>
      </c>
      <c r="FG50" s="8">
        <v>2.4366401963578206E-2</v>
      </c>
      <c r="FH50" s="7">
        <v>3.0691449854568526E-3</v>
      </c>
      <c r="FI50" s="8">
        <v>3.1016668141803028E-2</v>
      </c>
      <c r="FJ50" s="8">
        <v>3.2836853267505836E-2</v>
      </c>
      <c r="FK50" s="8">
        <v>2.4408590565106678E-2</v>
      </c>
      <c r="FL50" s="8">
        <v>3.1094318418469959E-2</v>
      </c>
      <c r="FM50" s="7">
        <v>7.2644411622627275E-2</v>
      </c>
      <c r="FN50" s="8">
        <v>1.4562498118025064E-2</v>
      </c>
      <c r="FO50" s="8">
        <v>1.7986988839978502E-2</v>
      </c>
      <c r="FP50" s="7">
        <v>1.6296296194087841E-2</v>
      </c>
      <c r="FQ50" s="7">
        <v>2.042255061681042E-2</v>
      </c>
      <c r="FR50" s="7">
        <v>3.5803998878315584E-2</v>
      </c>
      <c r="FS50" s="7">
        <v>3.9487744583414523E-2</v>
      </c>
      <c r="FT50" s="8">
        <v>2.638518618075348E-2</v>
      </c>
      <c r="FU50" s="8">
        <v>1.4442204760404245E-2</v>
      </c>
      <c r="FV50" s="7">
        <v>1.1513265241006375E-2</v>
      </c>
      <c r="FW50" s="8">
        <v>8.8699400637170522E-3</v>
      </c>
      <c r="FX50" s="8">
        <v>1.2336735336625196E-2</v>
      </c>
      <c r="FY50" s="8">
        <v>1.6102127954853645E-2</v>
      </c>
      <c r="FZ50" s="8">
        <v>1.0587395824718794E-2</v>
      </c>
      <c r="GA50" s="8">
        <v>1.0156656500989803E-2</v>
      </c>
      <c r="GB50" s="8">
        <v>1.7047176763341276E-2</v>
      </c>
      <c r="GC50" s="8">
        <v>1.2004029076579215E-2</v>
      </c>
      <c r="GD50" s="8">
        <v>1.2929669292041658E-2</v>
      </c>
      <c r="GE50" s="8">
        <v>1.7099084614967314E-2</v>
      </c>
      <c r="GF50" s="8">
        <v>2.0391664515696562E-2</v>
      </c>
      <c r="GG50" s="8">
        <v>1.3198776114290444E-2</v>
      </c>
      <c r="GI50" s="6" t="s">
        <v>217</v>
      </c>
      <c r="GJ50" s="6" t="s">
        <v>154</v>
      </c>
      <c r="GK50" s="8">
        <v>0.10791436699193671</v>
      </c>
      <c r="GL50" s="8">
        <v>0.10011474632771596</v>
      </c>
      <c r="GM50" s="8">
        <v>8.3972001039699706E-2</v>
      </c>
      <c r="GN50" s="8">
        <v>8.9042408840378132E-2</v>
      </c>
      <c r="GO50" s="8">
        <v>0.1007053569646808</v>
      </c>
      <c r="GP50" s="8">
        <v>0.11026715261272356</v>
      </c>
      <c r="GQ50" s="8">
        <v>0.1209087585085027</v>
      </c>
      <c r="GR50" s="8">
        <v>0.13164356496009813</v>
      </c>
      <c r="GS50" s="8">
        <v>0.11646701914165096</v>
      </c>
      <c r="GT50" s="8">
        <v>0.11620458025612479</v>
      </c>
      <c r="GU50" s="8">
        <v>0.11734790542939112</v>
      </c>
      <c r="GV50" s="8">
        <v>0.10253523849323104</v>
      </c>
      <c r="GW50" s="8">
        <v>9.3982659079740599E-2</v>
      </c>
      <c r="GX50" s="8">
        <v>9.7694848558845498E-2</v>
      </c>
      <c r="GY50" s="8">
        <v>9.4079939391952416E-2</v>
      </c>
      <c r="GZ50" s="8">
        <v>9.9939520708430707E-2</v>
      </c>
      <c r="HA50" s="7">
        <v>0.11167149962958922</v>
      </c>
      <c r="HB50" s="8">
        <v>0.1194435042530374</v>
      </c>
      <c r="HC50" s="8">
        <v>0.11630412504967787</v>
      </c>
      <c r="HD50" s="8">
        <v>0.11198219632369004</v>
      </c>
      <c r="HE50" s="8">
        <v>0.15221590685306396</v>
      </c>
      <c r="HF50" s="8">
        <v>0.15911198341653623</v>
      </c>
      <c r="HG50" s="8">
        <v>0.16880686110670165</v>
      </c>
      <c r="HH50" s="8">
        <v>0.18457710944436317</v>
      </c>
      <c r="HI50" s="8">
        <v>0.20684223193785031</v>
      </c>
      <c r="HJ50" s="8">
        <v>0.18317125502049927</v>
      </c>
      <c r="HK50" s="8">
        <v>0.17276404489384803</v>
      </c>
      <c r="HL50" s="7">
        <v>0.15078930049274064</v>
      </c>
      <c r="HM50" s="8">
        <v>0.12887499285256898</v>
      </c>
      <c r="HN50" s="8">
        <v>0.12836192515830572</v>
      </c>
      <c r="HO50" s="8">
        <v>0.16102146878159274</v>
      </c>
      <c r="HP50" s="8">
        <v>0.22118806070670685</v>
      </c>
      <c r="HQ50" s="8">
        <v>0.23099856549216741</v>
      </c>
      <c r="HR50" s="8">
        <v>0.21587448691098629</v>
      </c>
      <c r="HS50" s="8">
        <v>0.20272495419652384</v>
      </c>
      <c r="HT50" s="8">
        <v>0.15782932806569167</v>
      </c>
      <c r="HU50" s="8">
        <v>0.1286421434235501</v>
      </c>
      <c r="HV50" s="7">
        <v>0.12858639059482802</v>
      </c>
      <c r="HW50" s="8">
        <v>0.11508863126841337</v>
      </c>
      <c r="HX50" s="8">
        <v>0.10469671309285271</v>
      </c>
      <c r="HY50" s="8">
        <v>8.5572447609399721E-2</v>
      </c>
      <c r="HZ50" s="8">
        <v>8.1302009703609984E-2</v>
      </c>
      <c r="IA50" s="8">
        <v>7.9014355736648612E-2</v>
      </c>
      <c r="IB50" s="8">
        <v>7.5244451025157477E-2</v>
      </c>
      <c r="IC50" s="8">
        <v>7.3925790991407753E-2</v>
      </c>
      <c r="ID50" s="8">
        <v>6.9963731266057552E-2</v>
      </c>
      <c r="IE50" s="8">
        <v>8.2834593211539867E-2</v>
      </c>
      <c r="IF50" s="8">
        <v>8.4891293663668904E-2</v>
      </c>
      <c r="IG50" s="8">
        <v>7.0932514707270342E-2</v>
      </c>
      <c r="IH50" s="8">
        <v>7.1197067156316435E-2</v>
      </c>
      <c r="II50" s="8">
        <v>6.6498684452132681E-2</v>
      </c>
      <c r="IJ50" s="8">
        <v>7.1721473429393195E-2</v>
      </c>
      <c r="IK50" s="8">
        <v>7.6645444380371436E-2</v>
      </c>
      <c r="IL50" s="8">
        <v>8.4286685639639536E-2</v>
      </c>
      <c r="IM50" s="8">
        <v>8.7307619450084473E-2</v>
      </c>
      <c r="IN50" s="8">
        <v>7.8454160095929995E-2</v>
      </c>
      <c r="IO50" s="8">
        <v>7.7226373754753719E-2</v>
      </c>
      <c r="IP50" s="8">
        <v>7.3248142235785726E-2</v>
      </c>
      <c r="IQ50" s="8">
        <v>6.4783720268978676E-2</v>
      </c>
      <c r="IR50" s="8">
        <v>5.7153340086262355E-2</v>
      </c>
      <c r="JB50" s="6" t="s">
        <v>217</v>
      </c>
      <c r="JC50" s="8">
        <v>0.60016190151949911</v>
      </c>
      <c r="JD50" s="8">
        <v>0.59423103119681475</v>
      </c>
      <c r="JE50" s="7">
        <v>0.6065442042628777</v>
      </c>
      <c r="JF50" s="8">
        <v>0.59380413083871253</v>
      </c>
      <c r="JG50" s="8">
        <v>0.58552586662822093</v>
      </c>
      <c r="JH50" s="8">
        <v>0.57150948271462532</v>
      </c>
      <c r="JI50" s="8">
        <v>0.56833307968116376</v>
      </c>
      <c r="JJ50" s="8">
        <v>0.57680285937747167</v>
      </c>
      <c r="JK50" s="8">
        <v>0.59916411599542918</v>
      </c>
      <c r="JL50" s="8">
        <v>0.59388965732752319</v>
      </c>
      <c r="JM50" s="8">
        <v>0.58505949638258303</v>
      </c>
      <c r="JN50" s="7">
        <v>0.59694141741288398</v>
      </c>
      <c r="JO50" s="8">
        <v>0.6188407839078216</v>
      </c>
      <c r="JP50" s="8">
        <v>0.61312551127375081</v>
      </c>
      <c r="JQ50" s="8">
        <v>0.59720068828072703</v>
      </c>
      <c r="JR50" s="8">
        <v>0.58333293065355873</v>
      </c>
      <c r="JS50" s="8">
        <v>0.57358451128193244</v>
      </c>
      <c r="JT50" s="8">
        <v>0.55659884777025426</v>
      </c>
      <c r="JU50" s="8">
        <v>0.57263258860362631</v>
      </c>
      <c r="JV50" s="8">
        <v>0.5925379605797465</v>
      </c>
      <c r="JW50" s="7">
        <v>0.48470360760558451</v>
      </c>
      <c r="JX50" s="8">
        <v>0.45951492130284205</v>
      </c>
      <c r="JY50" s="8">
        <v>0.46914395007554544</v>
      </c>
      <c r="JZ50" s="8">
        <v>0.45723780875608871</v>
      </c>
      <c r="KA50" s="8">
        <v>0.44959037717003392</v>
      </c>
      <c r="KB50" s="8">
        <v>0.47466673120635244</v>
      </c>
      <c r="KC50" s="8">
        <v>0.48329455357098455</v>
      </c>
      <c r="KD50" s="8">
        <v>0.49054050526226206</v>
      </c>
      <c r="KE50" s="8">
        <v>0.51404641467759438</v>
      </c>
      <c r="KF50" s="7">
        <v>0.51448294099956926</v>
      </c>
      <c r="KG50" s="7">
        <v>0.35994992654602803</v>
      </c>
      <c r="KH50" s="8">
        <v>0.33323548108726619</v>
      </c>
      <c r="KI50" s="8">
        <v>0.33154412171946174</v>
      </c>
      <c r="KJ50" s="8">
        <v>0.32418365499868074</v>
      </c>
      <c r="KK50" s="8">
        <v>0.3276625321751766</v>
      </c>
      <c r="KL50" s="8">
        <v>0.34166735527490372</v>
      </c>
      <c r="KM50" s="8">
        <v>0.34958633533411704</v>
      </c>
      <c r="KN50" s="8">
        <v>0.36253159059514911</v>
      </c>
      <c r="KO50" s="8">
        <v>0.3806549217093193</v>
      </c>
      <c r="KP50" s="7">
        <v>0.38638477735344634</v>
      </c>
      <c r="KQ50" s="8">
        <v>0.60341771211508521</v>
      </c>
      <c r="KR50" s="7">
        <v>0.58005658381530012</v>
      </c>
      <c r="KS50" s="8">
        <v>0.58115003424267853</v>
      </c>
      <c r="KT50" s="8">
        <v>0.59024275059230846</v>
      </c>
      <c r="KU50" s="8">
        <v>0.61330318890407365</v>
      </c>
      <c r="KV50" s="8">
        <v>0.61215803360419874</v>
      </c>
      <c r="KW50" s="8">
        <v>0.62052446158556929</v>
      </c>
      <c r="KX50" s="8">
        <v>0.6388592215860408</v>
      </c>
      <c r="KY50" s="7">
        <v>0.66044063458656399</v>
      </c>
      <c r="KZ50" s="8">
        <v>0.66158101425206228</v>
      </c>
      <c r="LA50" s="8">
        <v>0.71034484220909577</v>
      </c>
      <c r="LB50" s="8">
        <v>0.69414551756752907</v>
      </c>
      <c r="LC50" s="7">
        <v>0.68376866734470543</v>
      </c>
      <c r="LD50" s="8">
        <v>0.66429039355833719</v>
      </c>
      <c r="LE50" s="8">
        <v>0.63738292842219813</v>
      </c>
      <c r="LF50" s="8">
        <v>0.64277634527425009</v>
      </c>
      <c r="LG50" s="8">
        <v>0.64191505076840538</v>
      </c>
      <c r="LH50" s="7">
        <v>0.65602322138064495</v>
      </c>
      <c r="LI50" s="8">
        <v>0.67989911800668701</v>
      </c>
      <c r="LJ50" s="8">
        <v>0.70770925700329468</v>
      </c>
      <c r="LL50" s="6" t="s">
        <v>218</v>
      </c>
      <c r="LM50" s="6" t="s">
        <v>160</v>
      </c>
      <c r="LN50" s="6" t="s">
        <v>161</v>
      </c>
      <c r="LO50" s="8">
        <v>0.62527964520936097</v>
      </c>
    </row>
    <row r="51" spans="2:327" x14ac:dyDescent="0.45">
      <c r="B51" s="3" t="s">
        <v>219</v>
      </c>
      <c r="C51" s="3" t="s">
        <v>151</v>
      </c>
      <c r="D51" s="5">
        <v>0.1667103615609776</v>
      </c>
      <c r="E51" s="5">
        <v>0.18411096487280215</v>
      </c>
      <c r="F51" s="5">
        <v>0.17745406431320823</v>
      </c>
      <c r="G51" s="5">
        <v>0.16727444005961042</v>
      </c>
      <c r="H51" s="5">
        <v>0.15900646882074904</v>
      </c>
      <c r="I51" s="5">
        <v>0.15317408140333719</v>
      </c>
      <c r="J51" s="5">
        <v>0.14123981093273982</v>
      </c>
      <c r="K51" s="5">
        <v>0.14488873358218804</v>
      </c>
      <c r="L51" s="5">
        <v>0.14775911742482142</v>
      </c>
      <c r="M51" s="5">
        <v>0.15989114433257995</v>
      </c>
      <c r="N51" s="5">
        <v>0.21290775139880574</v>
      </c>
      <c r="O51" s="5">
        <v>0.21189490734232527</v>
      </c>
      <c r="P51" s="5">
        <v>0.20423275982698769</v>
      </c>
      <c r="Q51" s="5">
        <v>0.19813426928949696</v>
      </c>
      <c r="R51" s="5">
        <v>0.19750364120075939</v>
      </c>
      <c r="S51" s="5">
        <v>0.20391435012958881</v>
      </c>
      <c r="T51" s="5">
        <v>0.21306763124142131</v>
      </c>
      <c r="U51" s="5">
        <v>0.21794625100073903</v>
      </c>
      <c r="V51" s="5">
        <v>0.21497134742138732</v>
      </c>
      <c r="W51" s="5">
        <v>0.20541782789140425</v>
      </c>
      <c r="X51" s="5">
        <v>0.28903670256979636</v>
      </c>
      <c r="Y51" s="5">
        <v>0.28533322281944667</v>
      </c>
      <c r="Z51" s="5">
        <v>0.28289660295043934</v>
      </c>
      <c r="AA51" s="5">
        <v>0.26846323188804816</v>
      </c>
      <c r="AB51" s="5">
        <v>0.24680769421906754</v>
      </c>
      <c r="AC51" s="5">
        <v>0.2410823423359163</v>
      </c>
      <c r="AD51" s="5">
        <v>0.24165400860419206</v>
      </c>
      <c r="AE51" s="5">
        <v>0.23762906276716322</v>
      </c>
      <c r="AF51" s="5">
        <v>0.25225662536878829</v>
      </c>
      <c r="AG51" s="5">
        <v>0.27840332578073163</v>
      </c>
      <c r="AH51" s="5">
        <v>0.23053502961449612</v>
      </c>
      <c r="AI51" s="5">
        <v>0.23502333331869729</v>
      </c>
      <c r="AJ51" s="5">
        <v>0.24968920961557217</v>
      </c>
      <c r="AK51" s="5">
        <v>0.24555407692997261</v>
      </c>
      <c r="AL51" s="5">
        <v>0.24362729507471409</v>
      </c>
      <c r="AM51" s="5">
        <v>0.25021261914463749</v>
      </c>
      <c r="AN51" s="5">
        <v>0.2611913470662498</v>
      </c>
      <c r="AO51" s="5">
        <v>0.2494781735979931</v>
      </c>
      <c r="AP51" s="5">
        <v>0.24306880936793984</v>
      </c>
      <c r="AQ51" s="5">
        <v>0.23700927401429012</v>
      </c>
      <c r="AR51" s="5">
        <v>0.23927459616110847</v>
      </c>
      <c r="AS51" s="5">
        <v>0.25164195090638281</v>
      </c>
      <c r="AT51" s="5">
        <v>0.25228881898126121</v>
      </c>
      <c r="AU51" s="5">
        <v>0.26405843680022784</v>
      </c>
      <c r="AV51" s="5">
        <v>0.26416645632696423</v>
      </c>
      <c r="AW51" s="5">
        <v>0.25780436681818908</v>
      </c>
      <c r="AX51" s="5">
        <v>0.25540064217594549</v>
      </c>
      <c r="AY51" s="5">
        <v>0.2743079552909361</v>
      </c>
      <c r="AZ51" s="5">
        <v>0.26886644465531839</v>
      </c>
      <c r="BA51" s="5">
        <v>0.26078247736336108</v>
      </c>
      <c r="BB51" s="5">
        <v>0.19620184120162881</v>
      </c>
      <c r="BC51" s="5">
        <v>0.21141013022012747</v>
      </c>
      <c r="BD51" s="5">
        <v>0.1958606979256203</v>
      </c>
      <c r="BE51" s="5">
        <v>0.17888499705243219</v>
      </c>
      <c r="BF51" s="5">
        <v>0.16854679842405446</v>
      </c>
      <c r="BG51" s="5">
        <v>0.15120237780217549</v>
      </c>
      <c r="BH51" s="5">
        <v>0.13075542658228734</v>
      </c>
      <c r="BI51" s="5">
        <v>0.1432890816389179</v>
      </c>
      <c r="BJ51" s="5">
        <v>0.16321133012992178</v>
      </c>
      <c r="BK51" s="5">
        <v>0.17681617972838104</v>
      </c>
      <c r="BM51" s="3" t="s">
        <v>219</v>
      </c>
      <c r="BN51" s="3" t="s">
        <v>152</v>
      </c>
      <c r="BO51" s="5">
        <v>1.1924941187992736E-2</v>
      </c>
      <c r="BP51" s="5">
        <v>1.392412149208703E-2</v>
      </c>
      <c r="BQ51" s="4">
        <v>1.2124362360112223E-2</v>
      </c>
      <c r="BR51" s="5">
        <v>9.8041413610692775E-3</v>
      </c>
      <c r="BS51" s="5">
        <v>1.2955147549099006E-2</v>
      </c>
      <c r="BT51" s="5">
        <v>1.175853774327267E-2</v>
      </c>
      <c r="BU51" s="4">
        <v>7.6289810067292092E-3</v>
      </c>
      <c r="BV51" s="5">
        <v>4.9082725838529148E-3</v>
      </c>
      <c r="BW51" s="4">
        <v>8.3554705837943777E-3</v>
      </c>
      <c r="BX51" s="5">
        <v>9.0619595552203624E-3</v>
      </c>
      <c r="BY51" s="4">
        <v>1.0198764009721485E-2</v>
      </c>
      <c r="BZ51" s="4">
        <v>4.7328067011485914E-3</v>
      </c>
      <c r="CA51" s="4">
        <v>6.205583788369739E-3</v>
      </c>
      <c r="CB51" s="4">
        <v>7.5815637492160429E-3</v>
      </c>
      <c r="CC51" s="4">
        <v>8.0891215187032638E-3</v>
      </c>
      <c r="CD51" s="5">
        <v>9.2545931119350309E-3</v>
      </c>
      <c r="CE51" s="4">
        <v>9.0938835961785393E-3</v>
      </c>
      <c r="CF51" s="5">
        <v>2.8913974785497835E-3</v>
      </c>
      <c r="CG51" s="4">
        <v>7.306466546959273E-4</v>
      </c>
      <c r="CH51" s="5">
        <v>7.3527434676126102E-3</v>
      </c>
      <c r="CI51" s="5">
        <v>1.5805237073422733E-2</v>
      </c>
      <c r="CJ51" s="4">
        <v>1.3839042356583751E-2</v>
      </c>
      <c r="CK51" s="5">
        <v>2.047572813035425E-2</v>
      </c>
      <c r="CL51" s="4">
        <v>1.0412215110068795E-2</v>
      </c>
      <c r="CM51" s="5">
        <v>4.5111688038255906E-3</v>
      </c>
      <c r="CN51" s="5">
        <v>1.1153379810846105E-2</v>
      </c>
      <c r="CO51" s="5">
        <v>1.3194926544274838E-2</v>
      </c>
      <c r="CP51" s="5">
        <v>5.4297087710633322E-3</v>
      </c>
      <c r="CQ51" s="5">
        <v>8.4063006111519973E-3</v>
      </c>
      <c r="CR51" s="5">
        <v>2.4158554072323132E-2</v>
      </c>
      <c r="CS51" s="5">
        <v>1.2977054363625326E-2</v>
      </c>
      <c r="CT51" s="5">
        <v>6.7810634889755817E-3</v>
      </c>
      <c r="CU51" s="4">
        <v>7.5568749897161345E-3</v>
      </c>
      <c r="CV51" s="4">
        <v>9.5902967907849808E-3</v>
      </c>
      <c r="CW51" s="5">
        <v>1.5943890392407491E-2</v>
      </c>
      <c r="CX51" s="4">
        <v>1.6457649551790736E-2</v>
      </c>
      <c r="CY51" s="4">
        <v>1.9951776166974217E-2</v>
      </c>
      <c r="CZ51" s="4">
        <v>1.0762896046728056E-2</v>
      </c>
      <c r="DA51" s="4">
        <v>3.918040406941525E-3</v>
      </c>
      <c r="DB51" s="5">
        <v>1.3415093130678266E-2</v>
      </c>
      <c r="DC51" s="5">
        <v>1.455492222176143E-2</v>
      </c>
      <c r="DD51" s="4">
        <v>2.1307496818573732E-2</v>
      </c>
      <c r="DE51" s="4">
        <v>1.5757411625351672E-2</v>
      </c>
      <c r="DF51" s="5">
        <v>1.9206174198136295E-2</v>
      </c>
      <c r="DG51" s="5">
        <v>3.2099006989968371E-2</v>
      </c>
      <c r="DH51" s="4">
        <v>1.8507037665763958E-2</v>
      </c>
      <c r="DI51" s="4">
        <v>3.7559213270208476E-3</v>
      </c>
      <c r="DJ51" s="4">
        <v>1.3826676310088078E-2</v>
      </c>
      <c r="DK51" s="4">
        <v>1.3650600274943508E-2</v>
      </c>
      <c r="DL51" s="5">
        <v>1.739872217451921E-2</v>
      </c>
      <c r="DM51" s="5">
        <v>9.5182451656448328E-3</v>
      </c>
      <c r="DN51" s="5">
        <v>1.0770311548054445E-2</v>
      </c>
      <c r="DO51" s="5">
        <v>7.5304771482884881E-3</v>
      </c>
      <c r="DP51" s="5">
        <v>8.7369526782853646E-3</v>
      </c>
      <c r="DQ51" s="5">
        <v>7.6674818845421776E-3</v>
      </c>
      <c r="DR51" s="5">
        <v>8.0416247313809495E-3</v>
      </c>
      <c r="DS51" s="5">
        <v>8.3769787440648967E-3</v>
      </c>
      <c r="DT51" s="4">
        <v>4.7499972716624058E-3</v>
      </c>
      <c r="DU51" s="5">
        <v>1.0310324234342623E-2</v>
      </c>
      <c r="DV51" s="5">
        <v>1.1279000890222426E-2</v>
      </c>
      <c r="DX51" s="3" t="s">
        <v>219</v>
      </c>
      <c r="DY51" s="3" t="s">
        <v>153</v>
      </c>
      <c r="DZ51" s="4">
        <v>8.99908610286374E-3</v>
      </c>
      <c r="EA51" s="5">
        <v>1.4542449287323209E-2</v>
      </c>
      <c r="EB51" s="5">
        <v>1.4335257323987072E-2</v>
      </c>
      <c r="EC51" s="5">
        <v>1.0627366371031366E-2</v>
      </c>
      <c r="ED51" s="4">
        <v>9.6247776002710232E-3</v>
      </c>
      <c r="EE51" s="5">
        <v>7.1209717566652108E-3</v>
      </c>
      <c r="EF51" s="4">
        <v>1.2361333502655319E-2</v>
      </c>
      <c r="EG51" s="5">
        <v>1.5991952506409637E-2</v>
      </c>
      <c r="EH51" s="5">
        <v>1.2940058077462954E-2</v>
      </c>
      <c r="EI51" s="5">
        <v>6.3620403009538315E-3</v>
      </c>
      <c r="EJ51" s="5">
        <v>7.4537883274641836E-3</v>
      </c>
      <c r="EK51" s="5">
        <v>1.7662597476261185E-2</v>
      </c>
      <c r="EL51" s="5">
        <v>1.2231491068814063E-2</v>
      </c>
      <c r="EM51" s="5">
        <v>7.6772225226915429E-3</v>
      </c>
      <c r="EN51" s="5">
        <v>7.3053770332670957E-3</v>
      </c>
      <c r="EO51" s="4">
        <v>8.0765187264814423E-3</v>
      </c>
      <c r="EP51" s="4">
        <v>1.1402227439969588E-2</v>
      </c>
      <c r="EQ51" s="4">
        <v>1.2160782605635172E-2</v>
      </c>
      <c r="ER51" s="4">
        <v>1.1764358058975353E-2</v>
      </c>
      <c r="ES51" s="4">
        <v>3.1517544881154423E-3</v>
      </c>
      <c r="ET51" s="5">
        <v>2.5974574417110388E-2</v>
      </c>
      <c r="EU51" s="5">
        <v>2.6415055733766929E-2</v>
      </c>
      <c r="EV51" s="5">
        <v>1.5197325712874148E-2</v>
      </c>
      <c r="EW51" s="5">
        <v>2.5297797565476392E-2</v>
      </c>
      <c r="EX51" s="4">
        <v>2.5694163315504944E-2</v>
      </c>
      <c r="EY51" s="5">
        <v>1.9356781673555607E-2</v>
      </c>
      <c r="EZ51" s="5">
        <v>7.2814313952088462E-3</v>
      </c>
      <c r="FA51" s="5">
        <v>1.4094868486886132E-2</v>
      </c>
      <c r="FB51" s="5">
        <v>1.4650378490309713E-2</v>
      </c>
      <c r="FC51" s="5">
        <v>3.0264032922606818E-3</v>
      </c>
      <c r="FD51" s="5">
        <v>1.1860079073879093E-2</v>
      </c>
      <c r="FE51" s="5">
        <v>1.5124614919516288E-2</v>
      </c>
      <c r="FF51" s="5">
        <v>1.5775489211453469E-2</v>
      </c>
      <c r="FG51" s="5">
        <v>1.4247171210323756E-2</v>
      </c>
      <c r="FH51" s="4">
        <v>7.7296820629233886E-3</v>
      </c>
      <c r="FI51" s="5">
        <v>1.4618528475793376E-2</v>
      </c>
      <c r="FJ51" s="5">
        <v>1.3466183913713637E-2</v>
      </c>
      <c r="FK51" s="5">
        <v>2.0009424809843811E-2</v>
      </c>
      <c r="FL51" s="5">
        <v>2.7598305090502061E-2</v>
      </c>
      <c r="FM51" s="4">
        <v>1.6127626923452199E-2</v>
      </c>
      <c r="FN51" s="5">
        <v>2.042138585221235E-2</v>
      </c>
      <c r="FO51" s="5">
        <v>1.8834813636154343E-2</v>
      </c>
      <c r="FP51" s="4">
        <v>2.0031281993129091E-2</v>
      </c>
      <c r="FQ51" s="4">
        <v>2.7963357009457488E-2</v>
      </c>
      <c r="FR51" s="4">
        <v>1.7788409248267644E-2</v>
      </c>
      <c r="FS51" s="4">
        <v>2.2511234229986795E-2</v>
      </c>
      <c r="FT51" s="5">
        <v>3.6230543030574325E-2</v>
      </c>
      <c r="FU51" s="5">
        <v>2.6695597332228125E-2</v>
      </c>
      <c r="FV51" s="4">
        <v>1.1723818860011318E-2</v>
      </c>
      <c r="FW51" s="5">
        <v>1.6600100920360041E-2</v>
      </c>
      <c r="FX51" s="5">
        <v>1.4050568436335464E-2</v>
      </c>
      <c r="FY51" s="5">
        <v>1.097102434423883E-2</v>
      </c>
      <c r="FZ51" s="5">
        <v>1.3257004978634289E-2</v>
      </c>
      <c r="GA51" s="5">
        <v>9.8237133751964325E-3</v>
      </c>
      <c r="GB51" s="5">
        <v>7.2134763968636365E-3</v>
      </c>
      <c r="GC51" s="5">
        <v>6.4316910632695075E-3</v>
      </c>
      <c r="GD51" s="5">
        <v>4.2496548134856151E-3</v>
      </c>
      <c r="GE51" s="5">
        <v>8.1716296601907022E-3</v>
      </c>
      <c r="GF51" s="5">
        <v>1.1155634154829336E-2</v>
      </c>
      <c r="GG51" s="5">
        <v>1.0969334339978142E-2</v>
      </c>
      <c r="GI51" s="3" t="s">
        <v>219</v>
      </c>
      <c r="GJ51" s="3" t="s">
        <v>154</v>
      </c>
      <c r="GK51" s="5">
        <v>4.9035337681635538E-2</v>
      </c>
      <c r="GL51" s="5">
        <v>4.8557059705126686E-2</v>
      </c>
      <c r="GM51" s="5">
        <v>4.4752247797238014E-2</v>
      </c>
      <c r="GN51" s="5">
        <v>4.1147626498641496E-2</v>
      </c>
      <c r="GO51" s="5">
        <v>3.8998648620482759E-2</v>
      </c>
      <c r="GP51" s="5">
        <v>3.8768174128430567E-2</v>
      </c>
      <c r="GQ51" s="5">
        <v>3.7873108954987217E-2</v>
      </c>
      <c r="GR51" s="5">
        <v>4.1785273235327949E-2</v>
      </c>
      <c r="GS51" s="5">
        <v>4.113980923684344E-2</v>
      </c>
      <c r="GT51" s="5">
        <v>5.3463948829908521E-2</v>
      </c>
      <c r="GU51" s="5">
        <v>7.8881331238980681E-2</v>
      </c>
      <c r="GV51" s="5">
        <v>7.728464751317532E-2</v>
      </c>
      <c r="GW51" s="5">
        <v>7.368812993785466E-2</v>
      </c>
      <c r="GX51" s="5">
        <v>7.4449243609505056E-2</v>
      </c>
      <c r="GY51" s="5">
        <v>6.9265185349341299E-2</v>
      </c>
      <c r="GZ51" s="5">
        <v>6.4360860119731911E-2</v>
      </c>
      <c r="HA51" s="4">
        <v>6.7842615329287245E-2</v>
      </c>
      <c r="HB51" s="5">
        <v>8.3045731388613112E-2</v>
      </c>
      <c r="HC51" s="5">
        <v>8.7153132057330829E-2</v>
      </c>
      <c r="HD51" s="5">
        <v>8.1085066256506189E-2</v>
      </c>
      <c r="HE51" s="5">
        <v>0.11029072872360618</v>
      </c>
      <c r="HF51" s="5">
        <v>0.11498640480176926</v>
      </c>
      <c r="HG51" s="5">
        <v>0.11092277020246645</v>
      </c>
      <c r="HH51" s="5">
        <v>0.10795255398322798</v>
      </c>
      <c r="HI51" s="5">
        <v>0.10400650922828014</v>
      </c>
      <c r="HJ51" s="5">
        <v>0.10041953317951996</v>
      </c>
      <c r="HK51" s="5">
        <v>0.10920374707307391</v>
      </c>
      <c r="HL51" s="4">
        <v>0.11707024428556211</v>
      </c>
      <c r="HM51" s="5">
        <v>0.11813721537382856</v>
      </c>
      <c r="HN51" s="5">
        <v>0.12616750825063183</v>
      </c>
      <c r="HO51" s="5">
        <v>0.10134474025791061</v>
      </c>
      <c r="HP51" s="5">
        <v>0.11107240058636017</v>
      </c>
      <c r="HQ51" s="5">
        <v>0.11298447555955331</v>
      </c>
      <c r="HR51" s="5">
        <v>0.11610535753540953</v>
      </c>
      <c r="HS51" s="5">
        <v>0.11360150327522241</v>
      </c>
      <c r="HT51" s="5">
        <v>0.1018701235938608</v>
      </c>
      <c r="HU51" s="5">
        <v>0.10402023537749652</v>
      </c>
      <c r="HV51" s="4">
        <v>0.10169698782607083</v>
      </c>
      <c r="HW51" s="5">
        <v>9.6295539081385481E-2</v>
      </c>
      <c r="HX51" s="5">
        <v>0.10065737534273826</v>
      </c>
      <c r="HY51" s="5">
        <v>8.8160503285114392E-2</v>
      </c>
      <c r="HZ51" s="5">
        <v>9.9704744237101114E-2</v>
      </c>
      <c r="IA51" s="5">
        <v>0.10273158186677717</v>
      </c>
      <c r="IB51" s="5">
        <v>9.9053137282068202E-2</v>
      </c>
      <c r="IC51" s="5">
        <v>9.831468625867594E-2</v>
      </c>
      <c r="ID51" s="5">
        <v>0.10017902207322833</v>
      </c>
      <c r="IE51" s="5">
        <v>0.10064700905268936</v>
      </c>
      <c r="IF51" s="5">
        <v>0.10517040082436939</v>
      </c>
      <c r="IG51" s="5">
        <v>0.11734329929575481</v>
      </c>
      <c r="IH51" s="5">
        <v>9.6655531485528023E-2</v>
      </c>
      <c r="II51" s="5">
        <v>5.3349945884017334E-2</v>
      </c>
      <c r="IJ51" s="5">
        <v>7.1470451767647936E-2</v>
      </c>
      <c r="IK51" s="5">
        <v>5.9708376425140874E-2</v>
      </c>
      <c r="IL51" s="5">
        <v>4.8780976481974797E-2</v>
      </c>
      <c r="IM51" s="5">
        <v>4.5231611049727963E-2</v>
      </c>
      <c r="IN51" s="5">
        <v>4.4324524815822636E-2</v>
      </c>
      <c r="IO51" s="5">
        <v>3.5739991035221845E-2</v>
      </c>
      <c r="IP51" s="5">
        <v>4.078747992674478E-2</v>
      </c>
      <c r="IQ51" s="5">
        <v>3.8193834523817131E-2</v>
      </c>
      <c r="IR51" s="5">
        <v>4.8109937707330498E-2</v>
      </c>
      <c r="JB51" s="3" t="s">
        <v>219</v>
      </c>
      <c r="JC51" s="5">
        <v>0.74573747232135823</v>
      </c>
      <c r="JD51" s="5">
        <v>0.73425182060615335</v>
      </c>
      <c r="JE51" s="4">
        <v>0.74843643694540685</v>
      </c>
      <c r="JF51" s="5">
        <v>0.768435848696846</v>
      </c>
      <c r="JG51" s="5">
        <v>0.77639053158721638</v>
      </c>
      <c r="JH51" s="5">
        <v>0.78386406641645912</v>
      </c>
      <c r="JI51" s="5">
        <v>0.78761968427848483</v>
      </c>
      <c r="JJ51" s="5">
        <v>0.7771148332368123</v>
      </c>
      <c r="JK51" s="5">
        <v>0.77310436608751254</v>
      </c>
      <c r="JL51" s="5">
        <v>0.74818168066636703</v>
      </c>
      <c r="JM51" s="5">
        <v>0.68677103883236912</v>
      </c>
      <c r="JN51" s="4">
        <v>0.68874935842741791</v>
      </c>
      <c r="JO51" s="5">
        <v>0.70379602114173323</v>
      </c>
      <c r="JP51" s="5">
        <v>0.70780779557844054</v>
      </c>
      <c r="JQ51" s="5">
        <v>0.71813989312105042</v>
      </c>
      <c r="JR51" s="5">
        <v>0.72278666513019285</v>
      </c>
      <c r="JS51" s="5">
        <v>0.70783536982117234</v>
      </c>
      <c r="JT51" s="5">
        <v>0.6832738399958399</v>
      </c>
      <c r="JU51" s="5">
        <v>0.67696441683773712</v>
      </c>
      <c r="JV51" s="5">
        <v>0.68890255748059614</v>
      </c>
      <c r="JW51" s="4">
        <v>0.55081439709024715</v>
      </c>
      <c r="JX51" s="5">
        <v>0.54390146557152963</v>
      </c>
      <c r="JY51" s="5">
        <v>0.55174156173078814</v>
      </c>
      <c r="JZ51" s="5">
        <v>0.55318526350011976</v>
      </c>
      <c r="KA51" s="5">
        <v>0.57736414359774735</v>
      </c>
      <c r="KB51" s="5">
        <v>0.59566453312015633</v>
      </c>
      <c r="KC51" s="5">
        <v>0.59908895524161954</v>
      </c>
      <c r="KD51" s="5">
        <v>0.59252689510645995</v>
      </c>
      <c r="KE51" s="5">
        <v>0.57635187491842332</v>
      </c>
      <c r="KF51" s="4">
        <v>0.55633726310608478</v>
      </c>
      <c r="KG51" s="4">
        <v>0.60629054535539817</v>
      </c>
      <c r="KH51" s="5">
        <v>0.58694622845613675</v>
      </c>
      <c r="KI51" s="5">
        <v>0.58139775091890356</v>
      </c>
      <c r="KJ51" s="5">
        <v>0.57848569930208593</v>
      </c>
      <c r="KK51" s="5">
        <v>0.58022151289904722</v>
      </c>
      <c r="KL51" s="5">
        <v>0.59229497524556063</v>
      </c>
      <c r="KM51" s="5">
        <v>0.59757146273722295</v>
      </c>
      <c r="KN51" s="5">
        <v>0.60280147280171481</v>
      </c>
      <c r="KO51" s="5">
        <v>0.60005634125063012</v>
      </c>
      <c r="KP51" s="4">
        <v>0.59732575663128662</v>
      </c>
      <c r="KQ51" s="5">
        <v>0.5968024150233493</v>
      </c>
      <c r="KR51" s="4">
        <v>0.55629230606562574</v>
      </c>
      <c r="KS51" s="5">
        <v>0.55799873197036987</v>
      </c>
      <c r="KT51" s="5">
        <v>0.55985319943805967</v>
      </c>
      <c r="KU51" s="5">
        <v>0.57089669028112033</v>
      </c>
      <c r="KV51" s="5">
        <v>0.58275173400234292</v>
      </c>
      <c r="KW51" s="5">
        <v>0.58042921665334457</v>
      </c>
      <c r="KX51" s="5">
        <v>0.57551869518200971</v>
      </c>
      <c r="KY51" s="4">
        <v>0.58128169285594422</v>
      </c>
      <c r="KZ51" s="5">
        <v>0.59717416290589109</v>
      </c>
      <c r="LA51" s="5">
        <v>0.73802268976804264</v>
      </c>
      <c r="LB51" s="5">
        <v>0.71093508203089384</v>
      </c>
      <c r="LC51" s="4">
        <v>0.73412091342208696</v>
      </c>
      <c r="LD51" s="5">
        <v>0.7583734043241569</v>
      </c>
      <c r="LE51" s="5">
        <v>0.76604243210398393</v>
      </c>
      <c r="LF51" s="5">
        <v>0.78532042650679745</v>
      </c>
      <c r="LG51" s="5">
        <v>0.81035853214545894</v>
      </c>
      <c r="LH51" s="4">
        <v>0.79117002388569824</v>
      </c>
      <c r="LI51" s="5">
        <v>0.77259800321334571</v>
      </c>
      <c r="LJ51" s="5">
        <v>0.75342389339622773</v>
      </c>
      <c r="LL51" s="3" t="s">
        <v>220</v>
      </c>
      <c r="LM51" s="3" t="s">
        <v>160</v>
      </c>
      <c r="LN51" s="3" t="s">
        <v>161</v>
      </c>
      <c r="LO51" s="5">
        <v>0.54456343596708279</v>
      </c>
    </row>
    <row r="52" spans="2:327" x14ac:dyDescent="0.45">
      <c r="B52" s="6" t="s">
        <v>221</v>
      </c>
      <c r="C52" s="6" t="s">
        <v>151</v>
      </c>
      <c r="D52" s="8">
        <v>0.17419436048432524</v>
      </c>
      <c r="E52" s="8">
        <v>0.17689057983126399</v>
      </c>
      <c r="F52" s="8">
        <v>0.18606161310865235</v>
      </c>
      <c r="G52" s="8">
        <v>0.18966804305510054</v>
      </c>
      <c r="H52" s="8">
        <v>0.19297444099005515</v>
      </c>
      <c r="I52" s="8">
        <v>0.18953410108178889</v>
      </c>
      <c r="J52" s="8">
        <v>0.18547168534581823</v>
      </c>
      <c r="K52" s="8">
        <v>0.17709218203775265</v>
      </c>
      <c r="L52" s="8">
        <v>0.17410594106372818</v>
      </c>
      <c r="M52" s="8">
        <v>0.17859488816079841</v>
      </c>
      <c r="N52" s="8">
        <v>0.24546060876310646</v>
      </c>
      <c r="O52" s="8">
        <v>0.24657563276786873</v>
      </c>
      <c r="P52" s="8">
        <v>0.24874233747920768</v>
      </c>
      <c r="Q52" s="8">
        <v>0.24804558804802265</v>
      </c>
      <c r="R52" s="8">
        <v>0.24882795870538543</v>
      </c>
      <c r="S52" s="8">
        <v>0.24007184359016764</v>
      </c>
      <c r="T52" s="8">
        <v>0.24015203796141976</v>
      </c>
      <c r="U52" s="8">
        <v>0.2396899800892284</v>
      </c>
      <c r="V52" s="8">
        <v>0.22447675334538184</v>
      </c>
      <c r="W52" s="8">
        <v>0.22309142398419793</v>
      </c>
      <c r="X52" s="8">
        <v>0.29931073573839656</v>
      </c>
      <c r="Y52" s="8">
        <v>0.2793266799599895</v>
      </c>
      <c r="Z52" s="8">
        <v>0.27046402903453826</v>
      </c>
      <c r="AA52" s="8">
        <v>0.28456796150420161</v>
      </c>
      <c r="AB52" s="8">
        <v>0.30267804687109678</v>
      </c>
      <c r="AC52" s="8">
        <v>0.31794614986036135</v>
      </c>
      <c r="AD52" s="8">
        <v>0.30948056233123611</v>
      </c>
      <c r="AE52" s="8">
        <v>0.30082787350147977</v>
      </c>
      <c r="AF52" s="8">
        <v>0.31568986518196585</v>
      </c>
      <c r="AG52" s="8">
        <v>0.33250903988219943</v>
      </c>
      <c r="AH52" s="8">
        <v>0.32969706599141341</v>
      </c>
      <c r="AI52" s="8">
        <v>0.31830658265661049</v>
      </c>
      <c r="AJ52" s="8">
        <v>0.32233683336102137</v>
      </c>
      <c r="AK52" s="8">
        <v>0.33146975024527786</v>
      </c>
      <c r="AL52" s="8">
        <v>0.33084013086572917</v>
      </c>
      <c r="AM52" s="8">
        <v>0.32813820399042321</v>
      </c>
      <c r="AN52" s="8">
        <v>0.3274380626855703</v>
      </c>
      <c r="AO52" s="8">
        <v>0.32213534020711837</v>
      </c>
      <c r="AP52" s="8">
        <v>0.32651395435479907</v>
      </c>
      <c r="AQ52" s="8">
        <v>0.33941832828798946</v>
      </c>
      <c r="AR52" s="8">
        <v>0.26557979522048453</v>
      </c>
      <c r="AS52" s="8">
        <v>0.25955867550075962</v>
      </c>
      <c r="AT52" s="8">
        <v>0.25359970536352355</v>
      </c>
      <c r="AU52" s="8">
        <v>0.25483890601011677</v>
      </c>
      <c r="AV52" s="8">
        <v>0.25800678357212037</v>
      </c>
      <c r="AW52" s="8">
        <v>0.26673416461214777</v>
      </c>
      <c r="AX52" s="8">
        <v>0.26323039001364373</v>
      </c>
      <c r="AY52" s="8">
        <v>0.24920010946742838</v>
      </c>
      <c r="AZ52" s="8">
        <v>0.24338588914491224</v>
      </c>
      <c r="BA52" s="8">
        <v>0.25238038570029253</v>
      </c>
      <c r="BB52" s="8">
        <v>0.16247606575540752</v>
      </c>
      <c r="BC52" s="8">
        <v>0.17557065969339103</v>
      </c>
      <c r="BD52" s="8">
        <v>0.18755506225608196</v>
      </c>
      <c r="BE52" s="8">
        <v>0.1819456917409315</v>
      </c>
      <c r="BF52" s="8">
        <v>0.17381083270238395</v>
      </c>
      <c r="BG52" s="8">
        <v>0.16720489391392659</v>
      </c>
      <c r="BH52" s="8">
        <v>0.16194827454500466</v>
      </c>
      <c r="BI52" s="8">
        <v>0.16157286547390637</v>
      </c>
      <c r="BJ52" s="8">
        <v>0.15655404990719049</v>
      </c>
      <c r="BK52" s="8">
        <v>0.1699564261676785</v>
      </c>
      <c r="BM52" s="6" t="s">
        <v>221</v>
      </c>
      <c r="BN52" s="6" t="s">
        <v>152</v>
      </c>
      <c r="BO52" s="8">
        <v>1.2890731233205941E-2</v>
      </c>
      <c r="BP52" s="8">
        <v>1.2622982480511762E-2</v>
      </c>
      <c r="BQ52" s="7">
        <v>1.4536625616914451E-2</v>
      </c>
      <c r="BR52" s="8">
        <v>1.4676877945583243E-2</v>
      </c>
      <c r="BS52" s="8">
        <v>1.2278983664249021E-2</v>
      </c>
      <c r="BT52" s="8">
        <v>6.5016551409311516E-3</v>
      </c>
      <c r="BU52" s="7">
        <v>6.9801817746127631E-3</v>
      </c>
      <c r="BV52" s="8">
        <v>5.583800021926163E-3</v>
      </c>
      <c r="BW52" s="7">
        <v>8.6546411740252467E-3</v>
      </c>
      <c r="BX52" s="8">
        <v>1.1269713583555697E-2</v>
      </c>
      <c r="BY52" s="7">
        <v>8.130861223788503E-3</v>
      </c>
      <c r="BZ52" s="7">
        <v>4.4586928552922886E-3</v>
      </c>
      <c r="CA52" s="7">
        <v>1.4900995172982386E-2</v>
      </c>
      <c r="CB52" s="7">
        <v>1.3094661229293113E-2</v>
      </c>
      <c r="CC52" s="7">
        <v>5.1665116529449424E-3</v>
      </c>
      <c r="CD52" s="8">
        <v>6.2628374176744361E-3</v>
      </c>
      <c r="CE52" s="7">
        <v>5.3945955310655009E-3</v>
      </c>
      <c r="CF52" s="8">
        <v>9.0321978904568858E-3</v>
      </c>
      <c r="CG52" s="7">
        <v>1.2621592466520538E-2</v>
      </c>
      <c r="CH52" s="8">
        <v>1.1215475045734934E-2</v>
      </c>
      <c r="CI52" s="8">
        <v>1.2030479506185054E-2</v>
      </c>
      <c r="CJ52" s="7">
        <v>1.4858305366757514E-2</v>
      </c>
      <c r="CK52" s="8">
        <v>2.2067998440867674E-2</v>
      </c>
      <c r="CL52" s="7">
        <v>2.0037734575066513E-2</v>
      </c>
      <c r="CM52" s="8">
        <v>2.8403007206379748E-2</v>
      </c>
      <c r="CN52" s="8">
        <v>2.0100756292655127E-2</v>
      </c>
      <c r="CO52" s="8">
        <v>2.0232404406148936E-2</v>
      </c>
      <c r="CP52" s="8">
        <v>2.6887201563334618E-2</v>
      </c>
      <c r="CQ52" s="8">
        <v>1.8716489321819314E-2</v>
      </c>
      <c r="CR52" s="8">
        <v>1.9258390279410852E-2</v>
      </c>
      <c r="CS52" s="8">
        <v>1.6965882665251175E-2</v>
      </c>
      <c r="CT52" s="8">
        <v>5.0349328173406368E-3</v>
      </c>
      <c r="CU52" s="7">
        <v>5.2009104376851186E-3</v>
      </c>
      <c r="CV52" s="7">
        <v>7.5746853071116879E-3</v>
      </c>
      <c r="CW52" s="8">
        <v>1.3996666088813104E-2</v>
      </c>
      <c r="CX52" s="7">
        <v>1.2562938540041865E-2</v>
      </c>
      <c r="CY52" s="7">
        <v>7.4195394409927642E-3</v>
      </c>
      <c r="CZ52" s="7">
        <v>1.927983456072923E-2</v>
      </c>
      <c r="DA52" s="7">
        <v>2.7733505077717255E-2</v>
      </c>
      <c r="DB52" s="8">
        <v>3.9683497080245114E-2</v>
      </c>
      <c r="DC52" s="8">
        <v>1.3967985163328684E-2</v>
      </c>
      <c r="DD52" s="7">
        <v>1.9613615441875266E-2</v>
      </c>
      <c r="DE52" s="7">
        <v>1.3296538381662193E-2</v>
      </c>
      <c r="DF52" s="8">
        <v>9.7534082191417359E-3</v>
      </c>
      <c r="DG52" s="8">
        <v>8.635039327003876E-3</v>
      </c>
      <c r="DH52" s="7">
        <v>4.2828646767835692E-3</v>
      </c>
      <c r="DI52" s="7">
        <v>1.3693420425218927E-2</v>
      </c>
      <c r="DJ52" s="7">
        <v>1.3079779388239086E-2</v>
      </c>
      <c r="DK52" s="7">
        <v>8.0954697300505783E-3</v>
      </c>
      <c r="DL52" s="8">
        <v>9.4189739114423927E-3</v>
      </c>
      <c r="DM52" s="8">
        <v>6.5937072637191072E-3</v>
      </c>
      <c r="DN52" s="8">
        <v>7.7919393866685838E-3</v>
      </c>
      <c r="DO52" s="8">
        <v>7.4555934108089979E-3</v>
      </c>
      <c r="DP52" s="8">
        <v>8.2802112687539939E-3</v>
      </c>
      <c r="DQ52" s="8">
        <v>7.4884536486771952E-3</v>
      </c>
      <c r="DR52" s="8">
        <v>1.114254952110991E-2</v>
      </c>
      <c r="DS52" s="8">
        <v>9.2420862630439964E-3</v>
      </c>
      <c r="DT52" s="7">
        <v>9.4512163567504956E-3</v>
      </c>
      <c r="DU52" s="8">
        <v>8.4670192829247211E-3</v>
      </c>
      <c r="DV52" s="8">
        <v>4.8815034861673127E-3</v>
      </c>
      <c r="DX52" s="6" t="s">
        <v>221</v>
      </c>
      <c r="DY52" s="6" t="s">
        <v>153</v>
      </c>
      <c r="DZ52" s="7">
        <v>1.2534356201370318E-2</v>
      </c>
      <c r="EA52" s="8">
        <v>1.097940953350173E-2</v>
      </c>
      <c r="EB52" s="8">
        <v>1.5319862410014057E-2</v>
      </c>
      <c r="EC52" s="8">
        <v>1.3346096925360902E-2</v>
      </c>
      <c r="ED52" s="7">
        <v>1.452529916150587E-2</v>
      </c>
      <c r="EE52" s="8">
        <v>1.4613794434968392E-2</v>
      </c>
      <c r="EF52" s="7">
        <v>1.1200347165914639E-2</v>
      </c>
      <c r="EG52" s="8">
        <v>8.2888098560973313E-3</v>
      </c>
      <c r="EH52" s="8">
        <v>8.0203494081613081E-3</v>
      </c>
      <c r="EI52" s="8">
        <v>6.6315519601838685E-3</v>
      </c>
      <c r="EJ52" s="8">
        <v>1.6341408448873485E-2</v>
      </c>
      <c r="EK52" s="8">
        <v>1.2788782652978002E-2</v>
      </c>
      <c r="EL52" s="8">
        <v>5.5976282013187068E-3</v>
      </c>
      <c r="EM52" s="8">
        <v>5.9568143942492361E-3</v>
      </c>
      <c r="EN52" s="8">
        <v>1.7240738441688917E-2</v>
      </c>
      <c r="EO52" s="7">
        <v>1.5469373391734896E-2</v>
      </c>
      <c r="EP52" s="7">
        <v>6.1074683374815648E-3</v>
      </c>
      <c r="EQ52" s="7">
        <v>5.9549219217018001E-3</v>
      </c>
      <c r="ER52" s="7">
        <v>7.4024610400970497E-3</v>
      </c>
      <c r="ES52" s="7">
        <v>1.3180862913937138E-2</v>
      </c>
      <c r="ET52" s="8">
        <v>3.1124890631882784E-2</v>
      </c>
      <c r="EU52" s="8">
        <v>2.1125785035502085E-2</v>
      </c>
      <c r="EV52" s="8">
        <v>2.3792933299931623E-2</v>
      </c>
      <c r="EW52" s="8">
        <v>1.9881704620685451E-2</v>
      </c>
      <c r="EX52" s="7">
        <v>1.8124891947744762E-2</v>
      </c>
      <c r="EY52" s="8">
        <v>2.3317862965875385E-2</v>
      </c>
      <c r="EZ52" s="8">
        <v>2.469534204335689E-2</v>
      </c>
      <c r="FA52" s="8">
        <v>2.3377505835328372E-2</v>
      </c>
      <c r="FB52" s="8">
        <v>3.2652213107693541E-2</v>
      </c>
      <c r="FC52" s="8">
        <v>3.6173169176053947E-2</v>
      </c>
      <c r="FD52" s="8">
        <v>4.398569429351043E-2</v>
      </c>
      <c r="FE52" s="8">
        <v>3.4667711313802987E-2</v>
      </c>
      <c r="FF52" s="8">
        <v>2.902594827241893E-2</v>
      </c>
      <c r="FG52" s="8">
        <v>1.7920830366648155E-2</v>
      </c>
      <c r="FH52" s="7">
        <v>2.7314322187111268E-4</v>
      </c>
      <c r="FI52" s="8">
        <v>3.9102810957548318E-3</v>
      </c>
      <c r="FJ52" s="8">
        <v>1.8416944242315731E-2</v>
      </c>
      <c r="FK52" s="8">
        <v>1.4848118837152079E-2</v>
      </c>
      <c r="FL52" s="8">
        <v>1.7980714876944155E-2</v>
      </c>
      <c r="FM52" s="7">
        <v>2.769856551132048E-2</v>
      </c>
      <c r="FN52" s="8">
        <v>1.1480548720488008E-2</v>
      </c>
      <c r="FO52" s="8">
        <v>1.3963738849273752E-2</v>
      </c>
      <c r="FP52" s="7">
        <v>2.2137569763008146E-2</v>
      </c>
      <c r="FQ52" s="7">
        <v>2.9247039000472271E-2</v>
      </c>
      <c r="FR52" s="7">
        <v>1.9986240900785053E-2</v>
      </c>
      <c r="FS52" s="7">
        <v>1.7668935556444033E-2</v>
      </c>
      <c r="FT52" s="8">
        <v>1.0014612251271806E-2</v>
      </c>
      <c r="FU52" s="8">
        <v>1.0036679133589832E-2</v>
      </c>
      <c r="FV52" s="7">
        <v>1.2667695673916434E-2</v>
      </c>
      <c r="FW52" s="8">
        <v>1.5406426497114652E-2</v>
      </c>
      <c r="FX52" s="8">
        <v>4.887594283946816E-3</v>
      </c>
      <c r="FY52" s="8">
        <v>8.1310841924700367E-3</v>
      </c>
      <c r="FZ52" s="8">
        <v>1.0256626947191785E-2</v>
      </c>
      <c r="GA52" s="8">
        <v>1.1696847813351778E-2</v>
      </c>
      <c r="GB52" s="8">
        <v>7.8760505650045665E-3</v>
      </c>
      <c r="GC52" s="8">
        <v>7.2489914724639566E-3</v>
      </c>
      <c r="GD52" s="8">
        <v>7.7848514585437435E-3</v>
      </c>
      <c r="GE52" s="8">
        <v>8.6500051379094084E-3</v>
      </c>
      <c r="GF52" s="8">
        <v>9.8648017954317286E-3</v>
      </c>
      <c r="GG52" s="8">
        <v>1.2362136180106034E-2</v>
      </c>
      <c r="GI52" s="6" t="s">
        <v>221</v>
      </c>
      <c r="GJ52" s="6" t="s">
        <v>154</v>
      </c>
      <c r="GK52" s="8">
        <v>4.907494328213978E-2</v>
      </c>
      <c r="GL52" s="8">
        <v>5.345576239631402E-2</v>
      </c>
      <c r="GM52" s="8">
        <v>5.3516929869690914E-2</v>
      </c>
      <c r="GN52" s="8">
        <v>5.0192252458548893E-2</v>
      </c>
      <c r="GO52" s="8">
        <v>4.8433011780258557E-2</v>
      </c>
      <c r="GP52" s="8">
        <v>5.3264108540618325E-2</v>
      </c>
      <c r="GQ52" s="8">
        <v>5.6512954419319958E-2</v>
      </c>
      <c r="GR52" s="8">
        <v>5.6691836070643542E-2</v>
      </c>
      <c r="GS52" s="8">
        <v>5.2378992246304851E-2</v>
      </c>
      <c r="GT52" s="8">
        <v>5.8126992156325774E-2</v>
      </c>
      <c r="GU52" s="8">
        <v>9.1250886546487345E-2</v>
      </c>
      <c r="GV52" s="8">
        <v>9.9129580681443688E-2</v>
      </c>
      <c r="GW52" s="8">
        <v>0.10090017153790763</v>
      </c>
      <c r="GX52" s="8">
        <v>0.10335884513260593</v>
      </c>
      <c r="GY52" s="8">
        <v>9.7767327094611903E-2</v>
      </c>
      <c r="GZ52" s="8">
        <v>9.9490069308554308E-2</v>
      </c>
      <c r="HA52" s="7">
        <v>0.10849932279164967</v>
      </c>
      <c r="HB52" s="8">
        <v>0.10217125989677449</v>
      </c>
      <c r="HC52" s="8">
        <v>8.5869595461574216E-2</v>
      </c>
      <c r="HD52" s="8">
        <v>8.3779427486942767E-2</v>
      </c>
      <c r="HE52" s="8">
        <v>0.13316587638104754</v>
      </c>
      <c r="HF52" s="8">
        <v>0.13326182209732657</v>
      </c>
      <c r="HG52" s="8">
        <v>0.11667607895203549</v>
      </c>
      <c r="HH52" s="8">
        <v>0.12345386671063015</v>
      </c>
      <c r="HI52" s="8">
        <v>0.12468001222776458</v>
      </c>
      <c r="HJ52" s="8">
        <v>0.12469068912887285</v>
      </c>
      <c r="HK52" s="8">
        <v>0.11677674848125796</v>
      </c>
      <c r="HL52" s="7">
        <v>0.11976041978688216</v>
      </c>
      <c r="HM52" s="8">
        <v>0.12123554225567192</v>
      </c>
      <c r="HN52" s="8">
        <v>0.12510854206526306</v>
      </c>
      <c r="HO52" s="8">
        <v>0.12687725028219421</v>
      </c>
      <c r="HP52" s="8">
        <v>0.14578586731517476</v>
      </c>
      <c r="HQ52" s="8">
        <v>0.15423525133917756</v>
      </c>
      <c r="HR52" s="8">
        <v>0.17117400492549958</v>
      </c>
      <c r="HS52" s="8">
        <v>0.18596068478807923</v>
      </c>
      <c r="HT52" s="8">
        <v>0.18413425299578229</v>
      </c>
      <c r="HU52" s="8">
        <v>0.16851575766328059</v>
      </c>
      <c r="HV52" s="7">
        <v>0.15577639863460951</v>
      </c>
      <c r="HW52" s="8">
        <v>0.1555372466700525</v>
      </c>
      <c r="HX52" s="8">
        <v>0.14041690169711582</v>
      </c>
      <c r="HY52" s="8">
        <v>0.1142130856616048</v>
      </c>
      <c r="HZ52" s="8">
        <v>9.7103141625972819E-2</v>
      </c>
      <c r="IA52" s="8">
        <v>8.5368504650090729E-2</v>
      </c>
      <c r="IB52" s="8">
        <v>8.4175195306230424E-2</v>
      </c>
      <c r="IC52" s="8">
        <v>9.898673842899143E-2</v>
      </c>
      <c r="ID52" s="8">
        <v>0.10793897765577452</v>
      </c>
      <c r="IE52" s="8">
        <v>0.10753847182985679</v>
      </c>
      <c r="IF52" s="8">
        <v>0.10861129155334492</v>
      </c>
      <c r="IG52" s="8">
        <v>0.11123393479658884</v>
      </c>
      <c r="IH52" s="8">
        <v>0.11436584754063521</v>
      </c>
      <c r="II52" s="8">
        <v>4.7938473039999763E-2</v>
      </c>
      <c r="IJ52" s="8">
        <v>5.0990044111153605E-2</v>
      </c>
      <c r="IK52" s="8">
        <v>5.7512287548857392E-2</v>
      </c>
      <c r="IL52" s="8">
        <v>5.6370181569313137E-2</v>
      </c>
      <c r="IM52" s="8">
        <v>5.1173679481444037E-2</v>
      </c>
      <c r="IN52" s="8">
        <v>4.1596009105408768E-2</v>
      </c>
      <c r="IO52" s="8">
        <v>3.4684192091368748E-2</v>
      </c>
      <c r="IP52" s="8">
        <v>3.556835347752222E-2</v>
      </c>
      <c r="IQ52" s="8">
        <v>3.8714936284030992E-2</v>
      </c>
      <c r="IR52" s="8">
        <v>4.5162990188888162E-2</v>
      </c>
      <c r="JB52" s="6" t="s">
        <v>221</v>
      </c>
      <c r="JC52" s="8">
        <v>0.73331513377616742</v>
      </c>
      <c r="JD52" s="8">
        <v>0.72360792530597573</v>
      </c>
      <c r="JE52" s="7">
        <v>0.70756363451651105</v>
      </c>
      <c r="JF52" s="8">
        <v>0.72127111440253677</v>
      </c>
      <c r="JG52" s="8">
        <v>0.72186132054950136</v>
      </c>
      <c r="JH52" s="8">
        <v>0.72059277745177475</v>
      </c>
      <c r="JI52" s="8">
        <v>0.72470253676296981</v>
      </c>
      <c r="JJ52" s="8">
        <v>0.73574962437231273</v>
      </c>
      <c r="JK52" s="8">
        <v>0.74428566298187759</v>
      </c>
      <c r="JL52" s="8">
        <v>0.72695751019352983</v>
      </c>
      <c r="JM52" s="8">
        <v>0.61802408700066414</v>
      </c>
      <c r="JN52" s="7">
        <v>0.61293505018425209</v>
      </c>
      <c r="JO52" s="8">
        <v>0.6191676123165939</v>
      </c>
      <c r="JP52" s="8">
        <v>0.61954258513988403</v>
      </c>
      <c r="JQ52" s="8">
        <v>0.62452978059731012</v>
      </c>
      <c r="JR52" s="8">
        <v>0.62594264025815494</v>
      </c>
      <c r="JS52" s="8">
        <v>0.62871107884759037</v>
      </c>
      <c r="JT52" s="8">
        <v>0.6355283302357061</v>
      </c>
      <c r="JU52" s="8">
        <v>0.65106636915273364</v>
      </c>
      <c r="JV52" s="8">
        <v>0.64698550496533613</v>
      </c>
      <c r="JW52" s="7">
        <v>0.50669066774698024</v>
      </c>
      <c r="JX52" s="8">
        <v>0.52003764411072595</v>
      </c>
      <c r="JY52" s="8">
        <v>0.53599447165874026</v>
      </c>
      <c r="JZ52" s="8">
        <v>0.53150345263040844</v>
      </c>
      <c r="KA52" s="8">
        <v>0.5236745895149898</v>
      </c>
      <c r="KB52" s="8">
        <v>0.52225623040641578</v>
      </c>
      <c r="KC52" s="8">
        <v>0.53402221707583453</v>
      </c>
      <c r="KD52" s="8">
        <v>0.53071373979499659</v>
      </c>
      <c r="KE52" s="8">
        <v>0.51734109403898287</v>
      </c>
      <c r="KF52" s="7">
        <v>0.50277353233367728</v>
      </c>
      <c r="KG52" s="7">
        <v>0.4645682013370443</v>
      </c>
      <c r="KH52" s="8">
        <v>0.46174849046133437</v>
      </c>
      <c r="KI52" s="8">
        <v>0.45364209747094975</v>
      </c>
      <c r="KJ52" s="8">
        <v>0.4381469507799175</v>
      </c>
      <c r="KK52" s="8">
        <v>0.43779014366953956</v>
      </c>
      <c r="KL52" s="8">
        <v>0.44056000341960838</v>
      </c>
      <c r="KM52" s="8">
        <v>0.44424653477099224</v>
      </c>
      <c r="KN52" s="8">
        <v>0.44717569956369774</v>
      </c>
      <c r="KO52" s="8">
        <v>0.44514157040179181</v>
      </c>
      <c r="KP52" s="7">
        <v>0.44529633670149393</v>
      </c>
      <c r="KQ52" s="8">
        <v>0.59787756721520124</v>
      </c>
      <c r="KR52" s="7">
        <v>0.62643430897351216</v>
      </c>
      <c r="KS52" s="8">
        <v>0.64026112750035058</v>
      </c>
      <c r="KT52" s="8">
        <v>0.63942514903311598</v>
      </c>
      <c r="KU52" s="8">
        <v>0.63079294102208994</v>
      </c>
      <c r="KV52" s="8">
        <v>0.62205692176113547</v>
      </c>
      <c r="KW52" s="8">
        <v>0.61845107130713683</v>
      </c>
      <c r="KX52" s="8">
        <v>0.61573488576033153</v>
      </c>
      <c r="KY52" s="7">
        <v>0.61421478620833525</v>
      </c>
      <c r="KZ52" s="8">
        <v>0.59981462191374657</v>
      </c>
      <c r="LA52" s="8">
        <v>0.77443987985813845</v>
      </c>
      <c r="LB52" s="8">
        <v>0.76015555883520325</v>
      </c>
      <c r="LC52" s="7">
        <v>0.73518295199450545</v>
      </c>
      <c r="LD52" s="8">
        <v>0.73533691638613574</v>
      </c>
      <c r="LE52" s="8">
        <v>0.75234496272955875</v>
      </c>
      <c r="LF52" s="8">
        <v>0.77226789672936524</v>
      </c>
      <c r="LG52" s="8">
        <v>0.78946166884344127</v>
      </c>
      <c r="LH52" s="7">
        <v>0.78835775413565168</v>
      </c>
      <c r="LI52" s="8">
        <v>0.78929561251542124</v>
      </c>
      <c r="LJ52" s="8">
        <v>0.77371238439870471</v>
      </c>
      <c r="LL52" s="6" t="s">
        <v>222</v>
      </c>
      <c r="LM52" s="6" t="s">
        <v>160</v>
      </c>
      <c r="LN52" s="6" t="s">
        <v>161</v>
      </c>
      <c r="LO52" s="8">
        <v>0.5622558639310149</v>
      </c>
    </row>
    <row r="53" spans="2:327" x14ac:dyDescent="0.45">
      <c r="B53" s="3" t="s">
        <v>223</v>
      </c>
      <c r="C53" s="3" t="s">
        <v>151</v>
      </c>
      <c r="D53" s="5">
        <v>0.15627905098706943</v>
      </c>
      <c r="E53" s="5">
        <v>0.17672727956901535</v>
      </c>
      <c r="F53" s="5">
        <v>0.19078522465692618</v>
      </c>
      <c r="G53" s="5">
        <v>0.19262617816358599</v>
      </c>
      <c r="H53" s="5">
        <v>0.16867771353007269</v>
      </c>
      <c r="I53" s="5">
        <v>0.1598546097591253</v>
      </c>
      <c r="J53" s="5">
        <v>0.17054841494263998</v>
      </c>
      <c r="K53" s="5">
        <v>0.18556425794952014</v>
      </c>
      <c r="L53" s="5">
        <v>0.18502600150065104</v>
      </c>
      <c r="M53" s="5">
        <v>0.17100471651786558</v>
      </c>
      <c r="N53" s="5">
        <v>0.27413712055718448</v>
      </c>
      <c r="O53" s="5">
        <v>0.26800367317437851</v>
      </c>
      <c r="P53" s="5">
        <v>0.25886491628818453</v>
      </c>
      <c r="Q53" s="5">
        <v>0.23996521405063334</v>
      </c>
      <c r="R53" s="5">
        <v>0.23252048682963972</v>
      </c>
      <c r="S53" s="5">
        <v>0.23371220507646998</v>
      </c>
      <c r="T53" s="5">
        <v>0.23754694397888859</v>
      </c>
      <c r="U53" s="5">
        <v>0.25109296810014903</v>
      </c>
      <c r="V53" s="5">
        <v>0.25426186391270039</v>
      </c>
      <c r="W53" s="5">
        <v>0.24869287462855691</v>
      </c>
      <c r="X53" s="5">
        <v>0.30428223933140258</v>
      </c>
      <c r="Y53" s="5">
        <v>0.3278160746745778</v>
      </c>
      <c r="Z53" s="5">
        <v>0.32005294974525955</v>
      </c>
      <c r="AA53" s="5">
        <v>0.31271902348591774</v>
      </c>
      <c r="AB53" s="5">
        <v>0.29718553436833567</v>
      </c>
      <c r="AC53" s="5">
        <v>0.27405523622363498</v>
      </c>
      <c r="AD53" s="5">
        <v>0.26444572658357335</v>
      </c>
      <c r="AE53" s="5">
        <v>0.2555760592211766</v>
      </c>
      <c r="AF53" s="5">
        <v>0.2620475967427971</v>
      </c>
      <c r="AG53" s="5">
        <v>0.28308908483235506</v>
      </c>
      <c r="AH53" s="5">
        <v>0.27565931520127396</v>
      </c>
      <c r="AI53" s="5">
        <v>0.24759799478065386</v>
      </c>
      <c r="AJ53" s="5">
        <v>0.26042536878162437</v>
      </c>
      <c r="AK53" s="5">
        <v>0.28262153839119747</v>
      </c>
      <c r="AL53" s="5">
        <v>0.29880827766747298</v>
      </c>
      <c r="AM53" s="5">
        <v>0.29846562130146403</v>
      </c>
      <c r="AN53" s="5">
        <v>0.29731122544353578</v>
      </c>
      <c r="AO53" s="5">
        <v>0.30029190508625037</v>
      </c>
      <c r="AP53" s="5">
        <v>0.30292931635666309</v>
      </c>
      <c r="AQ53" s="5">
        <v>0.30488803641789769</v>
      </c>
      <c r="AR53" s="5">
        <v>0.27713605652658496</v>
      </c>
      <c r="AS53" s="5">
        <v>0.28782715287394056</v>
      </c>
      <c r="AT53" s="5">
        <v>0.27294934966659351</v>
      </c>
      <c r="AU53" s="5">
        <v>0.26182830987980449</v>
      </c>
      <c r="AV53" s="5">
        <v>0.24972752257536221</v>
      </c>
      <c r="AW53" s="5">
        <v>0.26977907035056437</v>
      </c>
      <c r="AX53" s="5">
        <v>0.28898261585027785</v>
      </c>
      <c r="AY53" s="5">
        <v>0.2805667731708118</v>
      </c>
      <c r="AZ53" s="5">
        <v>0.27816435157083075</v>
      </c>
      <c r="BA53" s="5">
        <v>0.26782185469349051</v>
      </c>
      <c r="BB53" s="5">
        <v>0.13651504434677697</v>
      </c>
      <c r="BC53" s="5">
        <v>0.15982858973813485</v>
      </c>
      <c r="BD53" s="5">
        <v>0.1710520484540326</v>
      </c>
      <c r="BE53" s="5">
        <v>0.18551906554465628</v>
      </c>
      <c r="BF53" s="5">
        <v>0.18367124168882373</v>
      </c>
      <c r="BG53" s="5">
        <v>0.17512108323271616</v>
      </c>
      <c r="BH53" s="5">
        <v>0.18669615510854251</v>
      </c>
      <c r="BI53" s="5">
        <v>0.19121124347530022</v>
      </c>
      <c r="BJ53" s="5">
        <v>0.15688787075818772</v>
      </c>
      <c r="BK53" s="5">
        <v>0.12587667133226207</v>
      </c>
      <c r="BM53" s="3" t="s">
        <v>223</v>
      </c>
      <c r="BN53" s="3" t="s">
        <v>152</v>
      </c>
      <c r="BO53" s="5">
        <v>1.2174117118034814E-2</v>
      </c>
      <c r="BP53" s="5">
        <v>1.297187269725858E-2</v>
      </c>
      <c r="BQ53" s="4">
        <v>1.5848060803665076E-2</v>
      </c>
      <c r="BR53" s="5">
        <v>1.4403164561911572E-2</v>
      </c>
      <c r="BS53" s="5">
        <v>1.2482325827499715E-2</v>
      </c>
      <c r="BT53" s="5">
        <v>1.5723939882006998E-2</v>
      </c>
      <c r="BU53" s="4">
        <v>1.5818770859856727E-2</v>
      </c>
      <c r="BV53" s="5">
        <v>1.666127554329128E-2</v>
      </c>
      <c r="BW53" s="4">
        <v>1.0221812894939807E-2</v>
      </c>
      <c r="BX53" s="5">
        <v>9.0308299134493619E-3</v>
      </c>
      <c r="BY53" s="4">
        <v>1.7282095479419172E-2</v>
      </c>
      <c r="BZ53" s="4">
        <v>1.189879768488367E-2</v>
      </c>
      <c r="CA53" s="4">
        <v>2.5598683439083622E-3</v>
      </c>
      <c r="CB53" s="4">
        <v>6.9921751193963494E-3</v>
      </c>
      <c r="CC53" s="4">
        <v>1.4941019576956111E-2</v>
      </c>
      <c r="CD53" s="5">
        <v>1.5892308831021305E-2</v>
      </c>
      <c r="CE53" s="4">
        <v>1.0980691581323051E-2</v>
      </c>
      <c r="CF53" s="5">
        <v>1.0489694895018E-2</v>
      </c>
      <c r="CG53" s="4">
        <v>1.5054842312330003E-2</v>
      </c>
      <c r="CH53" s="5">
        <v>7.916779279662188E-3</v>
      </c>
      <c r="CI53" s="5">
        <v>1.0711540500768273E-2</v>
      </c>
      <c r="CJ53" s="4">
        <v>1.1140689749914808E-2</v>
      </c>
      <c r="CK53" s="5">
        <v>7.6135206454185592E-3</v>
      </c>
      <c r="CL53" s="4">
        <v>2.1135388330976144E-2</v>
      </c>
      <c r="CM53" s="5">
        <v>2.8396691781755478E-2</v>
      </c>
      <c r="CN53" s="5">
        <v>5.7217269391996893E-3</v>
      </c>
      <c r="CO53" s="5">
        <v>5.50919210529386E-3</v>
      </c>
      <c r="CP53" s="5">
        <v>1.0885862094126626E-2</v>
      </c>
      <c r="CQ53" s="5">
        <v>1.3998328735198826E-2</v>
      </c>
      <c r="CR53" s="5">
        <v>1.5833490230830995E-2</v>
      </c>
      <c r="CS53" s="5">
        <v>1.7002034060096885E-2</v>
      </c>
      <c r="CT53" s="5">
        <v>0</v>
      </c>
      <c r="CU53" s="4">
        <v>4.517970297705837E-3</v>
      </c>
      <c r="CV53" s="4">
        <v>2.377036522717544E-2</v>
      </c>
      <c r="CW53" s="5">
        <v>3.1684527278886682E-2</v>
      </c>
      <c r="CX53" s="4">
        <v>1.3972348949911279E-2</v>
      </c>
      <c r="CY53" s="4">
        <v>2.6582308530038307E-2</v>
      </c>
      <c r="CZ53" s="4">
        <v>1.7812730893263729E-2</v>
      </c>
      <c r="DA53" s="4">
        <v>6.4866842749952984E-4</v>
      </c>
      <c r="DB53" s="5">
        <v>1.4617233496203523E-2</v>
      </c>
      <c r="DC53" s="5">
        <v>1.2575180237974402E-2</v>
      </c>
      <c r="DD53" s="4">
        <v>1.9434993318458327E-2</v>
      </c>
      <c r="DE53" s="4">
        <v>4.9954898731595296E-3</v>
      </c>
      <c r="DF53" s="5">
        <v>1.2330859479895317E-2</v>
      </c>
      <c r="DG53" s="5">
        <v>2.3775330014157377E-2</v>
      </c>
      <c r="DH53" s="4">
        <v>3.2831371753150727E-2</v>
      </c>
      <c r="DI53" s="4">
        <v>3.5148163349519743E-2</v>
      </c>
      <c r="DJ53" s="4">
        <v>1.1783987560153641E-2</v>
      </c>
      <c r="DK53" s="4">
        <v>0</v>
      </c>
      <c r="DL53" s="5">
        <v>1.3241498766457512E-3</v>
      </c>
      <c r="DM53" s="5">
        <v>9.813490375023385E-3</v>
      </c>
      <c r="DN53" s="5">
        <v>8.3209302468833339E-3</v>
      </c>
      <c r="DO53" s="5">
        <v>8.6842815837163186E-3</v>
      </c>
      <c r="DP53" s="5">
        <v>1.4199095597610236E-2</v>
      </c>
      <c r="DQ53" s="5">
        <v>1.7479033041484675E-2</v>
      </c>
      <c r="DR53" s="5">
        <v>1.4753297663688969E-2</v>
      </c>
      <c r="DS53" s="5">
        <v>1.5787595715636652E-2</v>
      </c>
      <c r="DT53" s="4">
        <v>1.1480893197209366E-2</v>
      </c>
      <c r="DU53" s="5">
        <v>2.2557411943222665E-3</v>
      </c>
      <c r="DV53" s="5">
        <v>5.1141728266120958E-3</v>
      </c>
      <c r="DX53" s="3" t="s">
        <v>223</v>
      </c>
      <c r="DY53" s="3" t="s">
        <v>153</v>
      </c>
      <c r="DZ53" s="4">
        <v>7.7248696274900136E-3</v>
      </c>
      <c r="EA53" s="5">
        <v>1.0693029372831316E-2</v>
      </c>
      <c r="EB53" s="5">
        <v>1.1988221677312273E-2</v>
      </c>
      <c r="EC53" s="5">
        <v>1.3659528358568904E-2</v>
      </c>
      <c r="ED53" s="4">
        <v>1.3350124243058007E-2</v>
      </c>
      <c r="EE53" s="5">
        <v>1.1179196184544379E-2</v>
      </c>
      <c r="EF53" s="4">
        <v>1.4849245080585492E-2</v>
      </c>
      <c r="EG53" s="5">
        <v>1.5113630485514293E-2</v>
      </c>
      <c r="EH53" s="5">
        <v>1.6462949042481054E-2</v>
      </c>
      <c r="EI53" s="5">
        <v>1.322375113893739E-2</v>
      </c>
      <c r="EJ53" s="5">
        <v>1.543812310515477E-2</v>
      </c>
      <c r="EK53" s="5">
        <v>1.7045226131442302E-2</v>
      </c>
      <c r="EL53" s="5">
        <v>2.2491507132730876E-2</v>
      </c>
      <c r="EM53" s="5">
        <v>9.2728064218201203E-3</v>
      </c>
      <c r="EN53" s="5">
        <v>2.1708565197822412E-3</v>
      </c>
      <c r="EO53" s="4">
        <v>5.8228133803490375E-3</v>
      </c>
      <c r="EP53" s="4">
        <v>1.6193777758548605E-2</v>
      </c>
      <c r="EQ53" s="4">
        <v>2.3703733710356698E-2</v>
      </c>
      <c r="ER53" s="4">
        <v>1.5268258978455764E-2</v>
      </c>
      <c r="ES53" s="4">
        <v>1.2604986034054029E-2</v>
      </c>
      <c r="ET53" s="5">
        <v>1.6575764806268749E-2</v>
      </c>
      <c r="EU53" s="5">
        <v>1.5923439755919581E-2</v>
      </c>
      <c r="EV53" s="5">
        <v>1.6892698291962216E-2</v>
      </c>
      <c r="EW53" s="5">
        <v>1.1361366117153117E-2</v>
      </c>
      <c r="EX53" s="4">
        <v>1.39676914113444E-2</v>
      </c>
      <c r="EY53" s="5">
        <v>3.0169549805962998E-2</v>
      </c>
      <c r="EZ53" s="5">
        <v>2.3623107898905642E-2</v>
      </c>
      <c r="FA53" s="5">
        <v>1.5564244572408029E-2</v>
      </c>
      <c r="FB53" s="5">
        <v>1.1313533665369774E-2</v>
      </c>
      <c r="FC53" s="5">
        <v>1.8833276034806355E-2</v>
      </c>
      <c r="FD53" s="5">
        <v>1.4378503598099682E-2</v>
      </c>
      <c r="FE53" s="5">
        <v>2.1262965206821034E-2</v>
      </c>
      <c r="FF53" s="5">
        <v>1.1749038268971146E-2</v>
      </c>
      <c r="FG53" s="5">
        <v>0</v>
      </c>
      <c r="FH53" s="4">
        <v>6.8805395144064009E-3</v>
      </c>
      <c r="FI53" s="5">
        <v>2.8934004579370762E-2</v>
      </c>
      <c r="FJ53" s="5">
        <v>2.7439330109402253E-2</v>
      </c>
      <c r="FK53" s="5">
        <v>3.0835752870344024E-2</v>
      </c>
      <c r="FL53" s="5">
        <v>3.7411404711877712E-2</v>
      </c>
      <c r="FM53" s="4">
        <v>1.824549250532782E-2</v>
      </c>
      <c r="FN53" s="5">
        <v>1.5191990899419158E-3</v>
      </c>
      <c r="FO53" s="5">
        <v>9.9596688129369101E-3</v>
      </c>
      <c r="FP53" s="4">
        <v>2.7275171119928464E-2</v>
      </c>
      <c r="FQ53" s="4">
        <v>1.9006442173098353E-2</v>
      </c>
      <c r="FR53" s="4">
        <v>8.4607747986314135E-3</v>
      </c>
      <c r="FS53" s="4">
        <v>1.0038798771656223E-2</v>
      </c>
      <c r="FT53" s="5">
        <v>2.6675672228336104E-2</v>
      </c>
      <c r="FU53" s="5">
        <v>5.2764589691414517E-2</v>
      </c>
      <c r="FV53" s="4">
        <v>4.4133615019540287E-2</v>
      </c>
      <c r="FW53" s="5">
        <v>1.9110796854788337E-2</v>
      </c>
      <c r="FX53" s="5">
        <v>5.5337094079246554E-3</v>
      </c>
      <c r="FY53" s="5">
        <v>1.5920654009383688E-2</v>
      </c>
      <c r="FZ53" s="5">
        <v>1.4933603709147423E-2</v>
      </c>
      <c r="GA53" s="5">
        <v>5.9426374720026242E-3</v>
      </c>
      <c r="GB53" s="5">
        <v>7.8567432317019088E-3</v>
      </c>
      <c r="GC53" s="5">
        <v>8.9910893206668081E-3</v>
      </c>
      <c r="GD53" s="5">
        <v>1.1943186195462408E-2</v>
      </c>
      <c r="GE53" s="5">
        <v>1.4659114075467461E-2</v>
      </c>
      <c r="GF53" s="5">
        <v>1.2538441448165663E-2</v>
      </c>
      <c r="GG53" s="5">
        <v>8.9524801800664605E-3</v>
      </c>
      <c r="GI53" s="3" t="s">
        <v>223</v>
      </c>
      <c r="GJ53" s="3" t="s">
        <v>154</v>
      </c>
      <c r="GK53" s="5">
        <v>4.8728431241566887E-2</v>
      </c>
      <c r="GL53" s="5">
        <v>5.1529878808453437E-2</v>
      </c>
      <c r="GM53" s="5">
        <v>5.767555012726322E-2</v>
      </c>
      <c r="GN53" s="5">
        <v>5.7496559196762359E-2</v>
      </c>
      <c r="GO53" s="5">
        <v>4.9625022348555432E-2</v>
      </c>
      <c r="GP53" s="5">
        <v>4.4779196640741634E-2</v>
      </c>
      <c r="GQ53" s="5">
        <v>4.3916144046427449E-2</v>
      </c>
      <c r="GR53" s="5">
        <v>4.6754513599965554E-2</v>
      </c>
      <c r="GS53" s="5">
        <v>5.2851968961308421E-2</v>
      </c>
      <c r="GT53" s="5">
        <v>4.9399245701864228E-2</v>
      </c>
      <c r="GU53" s="5">
        <v>0.11348096272252522</v>
      </c>
      <c r="GV53" s="5">
        <v>0.11067468820806164</v>
      </c>
      <c r="GW53" s="5">
        <v>0.10814466793384087</v>
      </c>
      <c r="GX53" s="5">
        <v>0.1118865444809172</v>
      </c>
      <c r="GY53" s="5">
        <v>0.10011352223105013</v>
      </c>
      <c r="GZ53" s="5">
        <v>0.10044685511775728</v>
      </c>
      <c r="HA53" s="4">
        <v>9.9065963346407285E-2</v>
      </c>
      <c r="HB53" s="5">
        <v>0.10085111859596206</v>
      </c>
      <c r="HC53" s="5">
        <v>0.10476698872343972</v>
      </c>
      <c r="HD53" s="5">
        <v>0.11734244551003079</v>
      </c>
      <c r="HE53" s="5">
        <v>0.14320259940263183</v>
      </c>
      <c r="HF53" s="5">
        <v>0.15487508517571266</v>
      </c>
      <c r="HG53" s="5">
        <v>0.14311642233612212</v>
      </c>
      <c r="HH53" s="5">
        <v>0.12950896918077548</v>
      </c>
      <c r="HI53" s="5">
        <v>0.12406429267019603</v>
      </c>
      <c r="HJ53" s="5">
        <v>0.11910742387526732</v>
      </c>
      <c r="HK53" s="5">
        <v>0.1202564146504365</v>
      </c>
      <c r="HL53" s="4">
        <v>0.11754338030792062</v>
      </c>
      <c r="HM53" s="5">
        <v>0.12710253643392613</v>
      </c>
      <c r="HN53" s="5">
        <v>0.12734388069495209</v>
      </c>
      <c r="HO53" s="5">
        <v>0.12836237479122711</v>
      </c>
      <c r="HP53" s="5">
        <v>0.12794168092011199</v>
      </c>
      <c r="HQ53" s="5">
        <v>0.12794088746940091</v>
      </c>
      <c r="HR53" s="5">
        <v>0.12764553450876776</v>
      </c>
      <c r="HS53" s="5">
        <v>0.12090310374416686</v>
      </c>
      <c r="HT53" s="5">
        <v>0.11511620451333804</v>
      </c>
      <c r="HU53" s="5">
        <v>0.11230835717568813</v>
      </c>
      <c r="HV53" s="4">
        <v>0.13404978944241741</v>
      </c>
      <c r="HW53" s="5">
        <v>0.14254470157475752</v>
      </c>
      <c r="HX53" s="5">
        <v>0.13745089976512503</v>
      </c>
      <c r="HY53" s="5">
        <v>0.13906968885336271</v>
      </c>
      <c r="HZ53" s="5">
        <v>0.13608412612737028</v>
      </c>
      <c r="IA53" s="5">
        <v>0.1191783490154973</v>
      </c>
      <c r="IB53" s="5">
        <v>0.10525466707984341</v>
      </c>
      <c r="IC53" s="5">
        <v>9.4562748849186098E-2</v>
      </c>
      <c r="ID53" s="5">
        <v>9.6428980966263025E-2</v>
      </c>
      <c r="IE53" s="5">
        <v>9.9228273415311014E-2</v>
      </c>
      <c r="IF53" s="5">
        <v>0.10360473026694696</v>
      </c>
      <c r="IG53" s="5">
        <v>0.12611115789298022</v>
      </c>
      <c r="IH53" s="5">
        <v>0.13671241538252413</v>
      </c>
      <c r="II53" s="5">
        <v>3.335659478272273E-2</v>
      </c>
      <c r="IJ53" s="5">
        <v>3.8633942437823303E-2</v>
      </c>
      <c r="IK53" s="5">
        <v>5.3108272632947068E-2</v>
      </c>
      <c r="IL53" s="5">
        <v>6.0762718086516156E-2</v>
      </c>
      <c r="IM53" s="5">
        <v>5.4692229351199738E-2</v>
      </c>
      <c r="IN53" s="5">
        <v>4.2844287984264512E-2</v>
      </c>
      <c r="IO53" s="5">
        <v>3.8059029102573298E-2</v>
      </c>
      <c r="IP53" s="5">
        <v>4.4769105948251592E-2</v>
      </c>
      <c r="IQ53" s="5">
        <v>4.3748368080993735E-2</v>
      </c>
      <c r="IR53" s="5">
        <v>3.1717547728416014E-2</v>
      </c>
      <c r="JB53" s="3" t="s">
        <v>223</v>
      </c>
      <c r="JC53" s="5">
        <v>0.75027920457428932</v>
      </c>
      <c r="JD53" s="5">
        <v>0.72689937794817916</v>
      </c>
      <c r="JE53" s="4">
        <v>0.70983775242221836</v>
      </c>
      <c r="JF53" s="5">
        <v>0.71036959977082403</v>
      </c>
      <c r="JG53" s="5">
        <v>0.73384694767031022</v>
      </c>
      <c r="JH53" s="5">
        <v>0.74713470604851917</v>
      </c>
      <c r="JI53" s="5">
        <v>0.73903917083844073</v>
      </c>
      <c r="JJ53" s="5">
        <v>0.73014012593371025</v>
      </c>
      <c r="JK53" s="5">
        <v>0.73030477765704604</v>
      </c>
      <c r="JL53" s="5">
        <v>0.7451149812557144</v>
      </c>
      <c r="JM53" s="5">
        <v>0.58867273581047175</v>
      </c>
      <c r="JN53" s="4">
        <v>0.60395801961249829</v>
      </c>
      <c r="JO53" s="5">
        <v>0.60828548805413118</v>
      </c>
      <c r="JP53" s="5">
        <v>0.61777734988167188</v>
      </c>
      <c r="JQ53" s="5">
        <v>0.63718647374513748</v>
      </c>
      <c r="JR53" s="5">
        <v>0.63513707809312492</v>
      </c>
      <c r="JS53" s="5">
        <v>0.62429544198182818</v>
      </c>
      <c r="JT53" s="5">
        <v>0.6184412708846595</v>
      </c>
      <c r="JU53" s="5">
        <v>0.61463693101405625</v>
      </c>
      <c r="JV53" s="5">
        <v>0.60064821564903959</v>
      </c>
      <c r="JW53" s="4">
        <v>0.54157463210843249</v>
      </c>
      <c r="JX53" s="5">
        <v>0.51887199275142537</v>
      </c>
      <c r="JY53" s="5">
        <v>0.52317206681596518</v>
      </c>
      <c r="JZ53" s="5">
        <v>0.5248961491022297</v>
      </c>
      <c r="KA53" s="5">
        <v>0.52575952203915688</v>
      </c>
      <c r="KB53" s="5">
        <v>0.53898904873050146</v>
      </c>
      <c r="KC53" s="5">
        <v>0.55711560146208794</v>
      </c>
      <c r="KD53" s="5">
        <v>0.56849363429664412</v>
      </c>
      <c r="KE53" s="5">
        <v>0.56735993092052761</v>
      </c>
      <c r="KF53" s="4">
        <v>0.55411922214746168</v>
      </c>
      <c r="KG53" s="4">
        <v>0.55110901435598247</v>
      </c>
      <c r="KH53" s="5">
        <v>0.55506367144499569</v>
      </c>
      <c r="KI53" s="5">
        <v>0.55580923216231815</v>
      </c>
      <c r="KJ53" s="5">
        <v>0.55563645541683881</v>
      </c>
      <c r="KK53" s="5">
        <v>0.55303923668460186</v>
      </c>
      <c r="KL53" s="5">
        <v>0.54559299664212102</v>
      </c>
      <c r="KM53" s="5">
        <v>0.53269261356338871</v>
      </c>
      <c r="KN53" s="5">
        <v>0.52058536338425598</v>
      </c>
      <c r="KO53" s="5">
        <v>0.52013081613919809</v>
      </c>
      <c r="KP53" s="4">
        <v>0.53115401685268693</v>
      </c>
      <c r="KQ53" s="5">
        <v>0.54839885219715956</v>
      </c>
      <c r="KR53" s="4">
        <v>0.54300759355418715</v>
      </c>
      <c r="KS53" s="5">
        <v>0.55892922117831045</v>
      </c>
      <c r="KT53" s="5">
        <v>0.57815927622144048</v>
      </c>
      <c r="KU53" s="5">
        <v>0.59492519332372662</v>
      </c>
      <c r="KV53" s="5">
        <v>0.58132015869048803</v>
      </c>
      <c r="KW53" s="5">
        <v>0.55805503742943641</v>
      </c>
      <c r="KX53" s="5">
        <v>0.54841772612522444</v>
      </c>
      <c r="KY53" s="4">
        <v>0.54493824929644807</v>
      </c>
      <c r="KZ53" s="5">
        <v>0.54773427067710634</v>
      </c>
      <c r="LA53" s="5">
        <v>0.80516395225909654</v>
      </c>
      <c r="LB53" s="5">
        <v>0.77044180432527387</v>
      </c>
      <c r="LC53" s="4">
        <v>0.73520945221353518</v>
      </c>
      <c r="LD53" s="5">
        <v>0.72209266941526828</v>
      </c>
      <c r="LE53" s="5">
        <v>0.73310500353071451</v>
      </c>
      <c r="LF53" s="5">
        <v>0.76009026350327569</v>
      </c>
      <c r="LG53" s="5">
        <v>0.76082336529392358</v>
      </c>
      <c r="LH53" s="4">
        <v>0.75352622260538404</v>
      </c>
      <c r="LI53" s="5">
        <v>0.7831045167740236</v>
      </c>
      <c r="LJ53" s="5">
        <v>0.81593565837542692</v>
      </c>
      <c r="LL53" s="3" t="s">
        <v>224</v>
      </c>
      <c r="LM53" s="3" t="s">
        <v>160</v>
      </c>
      <c r="LN53" s="3" t="s">
        <v>161</v>
      </c>
      <c r="LO53" s="5">
        <v>0.47970760928398631</v>
      </c>
    </row>
    <row r="54" spans="2:327" x14ac:dyDescent="0.45">
      <c r="B54" s="6" t="s">
        <v>225</v>
      </c>
      <c r="C54" s="6" t="s">
        <v>151</v>
      </c>
      <c r="D54" s="8">
        <v>0.16006018016421125</v>
      </c>
      <c r="E54" s="8">
        <v>0.17339834253040698</v>
      </c>
      <c r="F54" s="8">
        <v>0.18315134687908027</v>
      </c>
      <c r="G54" s="8">
        <v>0.17342406477963548</v>
      </c>
      <c r="H54" s="8">
        <v>0.16284517645171118</v>
      </c>
      <c r="I54" s="8">
        <v>0.15517615673615476</v>
      </c>
      <c r="J54" s="8">
        <v>0.14939961122754464</v>
      </c>
      <c r="K54" s="8">
        <v>0.14706170907010699</v>
      </c>
      <c r="L54" s="8">
        <v>0.14900588526999481</v>
      </c>
      <c r="M54" s="8">
        <v>0.15261276085607448</v>
      </c>
      <c r="N54" s="8">
        <v>0.26590570095696769</v>
      </c>
      <c r="O54" s="8">
        <v>0.26890437240120285</v>
      </c>
      <c r="P54" s="8">
        <v>0.26907600829511424</v>
      </c>
      <c r="Q54" s="8">
        <v>0.2598913346264507</v>
      </c>
      <c r="R54" s="8">
        <v>0.24793052471822102</v>
      </c>
      <c r="S54" s="8">
        <v>0.2400306092858713</v>
      </c>
      <c r="T54" s="8">
        <v>0.24964339095980073</v>
      </c>
      <c r="U54" s="8">
        <v>0.25323528666801498</v>
      </c>
      <c r="V54" s="8">
        <v>0.24514771597484022</v>
      </c>
      <c r="W54" s="8">
        <v>0.23294931471014235</v>
      </c>
      <c r="X54" s="8">
        <v>0.27571525236571248</v>
      </c>
      <c r="Y54" s="8">
        <v>0.27119204871700536</v>
      </c>
      <c r="Z54" s="8">
        <v>0.27686286443305447</v>
      </c>
      <c r="AA54" s="8">
        <v>0.28277062044316714</v>
      </c>
      <c r="AB54" s="8">
        <v>0.30119187270963138</v>
      </c>
      <c r="AC54" s="8">
        <v>0.30431011893785864</v>
      </c>
      <c r="AD54" s="8">
        <v>0.29224170486923889</v>
      </c>
      <c r="AE54" s="8">
        <v>0.29340555875815511</v>
      </c>
      <c r="AF54" s="8">
        <v>0.30904154136001494</v>
      </c>
      <c r="AG54" s="8">
        <v>0.31067775220932453</v>
      </c>
      <c r="AH54" s="8">
        <v>0.28733030207797189</v>
      </c>
      <c r="AI54" s="8">
        <v>0.28506669387463218</v>
      </c>
      <c r="AJ54" s="8">
        <v>0.29869694405129227</v>
      </c>
      <c r="AK54" s="8">
        <v>0.30067688568050949</v>
      </c>
      <c r="AL54" s="8">
        <v>0.29693189753602295</v>
      </c>
      <c r="AM54" s="8">
        <v>0.28971820776220031</v>
      </c>
      <c r="AN54" s="8">
        <v>0.28421736903991773</v>
      </c>
      <c r="AO54" s="8">
        <v>0.27420013416443989</v>
      </c>
      <c r="AP54" s="8">
        <v>0.28481854884694574</v>
      </c>
      <c r="AQ54" s="8">
        <v>0.28536897352332596</v>
      </c>
      <c r="AR54" s="8">
        <v>0.26849835467894523</v>
      </c>
      <c r="AS54" s="8">
        <v>0.24725198288508685</v>
      </c>
      <c r="AT54" s="8">
        <v>0.23570765866319385</v>
      </c>
      <c r="AU54" s="8">
        <v>0.24154964536646556</v>
      </c>
      <c r="AV54" s="8">
        <v>0.26465211020303209</v>
      </c>
      <c r="AW54" s="8">
        <v>0.27470439901978744</v>
      </c>
      <c r="AX54" s="8">
        <v>0.26636402423599159</v>
      </c>
      <c r="AY54" s="8">
        <v>0.26306127136627311</v>
      </c>
      <c r="AZ54" s="8">
        <v>0.2547436020241064</v>
      </c>
      <c r="BA54" s="8">
        <v>0.26242987396036538</v>
      </c>
      <c r="BB54" s="8">
        <v>0.14737108148587075</v>
      </c>
      <c r="BC54" s="8">
        <v>0.15979696422976888</v>
      </c>
      <c r="BD54" s="8">
        <v>0.16866711160394188</v>
      </c>
      <c r="BE54" s="8">
        <v>0.19360574914965628</v>
      </c>
      <c r="BF54" s="8">
        <v>0.18812462619469689</v>
      </c>
      <c r="BG54" s="8">
        <v>0.17337047136235928</v>
      </c>
      <c r="BH54" s="8">
        <v>0.15961967864359133</v>
      </c>
      <c r="BI54" s="8">
        <v>0.16094800942348905</v>
      </c>
      <c r="BJ54" s="8">
        <v>0.13979177090046804</v>
      </c>
      <c r="BK54" s="8">
        <v>0.12907807383193692</v>
      </c>
      <c r="BM54" s="6" t="s">
        <v>225</v>
      </c>
      <c r="BN54" s="6" t="s">
        <v>152</v>
      </c>
      <c r="BO54" s="8">
        <v>1.0127737112873708E-2</v>
      </c>
      <c r="BP54" s="8">
        <v>1.6974408231973728E-2</v>
      </c>
      <c r="BQ54" s="7">
        <v>1.7237464251049581E-2</v>
      </c>
      <c r="BR54" s="8">
        <v>1.4521334752114872E-2</v>
      </c>
      <c r="BS54" s="8">
        <v>8.7604861293682952E-3</v>
      </c>
      <c r="BT54" s="8">
        <v>3.9023855649667669E-3</v>
      </c>
      <c r="BU54" s="7">
        <v>9.7383584603799611E-4</v>
      </c>
      <c r="BV54" s="8">
        <v>6.8429810192493362E-3</v>
      </c>
      <c r="BW54" s="7">
        <v>1.2851456907775061E-2</v>
      </c>
      <c r="BX54" s="8">
        <v>9.4866511095503328E-3</v>
      </c>
      <c r="BY54" s="7">
        <v>7.7147189063048807E-3</v>
      </c>
      <c r="BZ54" s="7">
        <v>6.6269388957314037E-3</v>
      </c>
      <c r="CA54" s="7">
        <v>2.8380074278515437E-3</v>
      </c>
      <c r="CB54" s="7">
        <v>5.5072837486717431E-4</v>
      </c>
      <c r="CC54" s="7">
        <v>1.351056471511291E-3</v>
      </c>
      <c r="CD54" s="8">
        <v>8.2405470046265378E-3</v>
      </c>
      <c r="CE54" s="7">
        <v>2.0927457436646497E-2</v>
      </c>
      <c r="CF54" s="8">
        <v>1.9886594207226285E-2</v>
      </c>
      <c r="CG54" s="7">
        <v>7.2385401027299061E-3</v>
      </c>
      <c r="CH54" s="8">
        <v>5.1502917988313895E-3</v>
      </c>
      <c r="CI54" s="8">
        <v>1.5399715535780144E-2</v>
      </c>
      <c r="CJ54" s="7">
        <v>2.1852537172336151E-2</v>
      </c>
      <c r="CK54" s="8">
        <v>1.6621260421827024E-2</v>
      </c>
      <c r="CL54" s="7">
        <v>1.7313161428402793E-2</v>
      </c>
      <c r="CM54" s="8">
        <v>1.3676160052177637E-2</v>
      </c>
      <c r="CN54" s="8">
        <v>1.5980330373917471E-2</v>
      </c>
      <c r="CO54" s="8">
        <v>1.9027171648506765E-2</v>
      </c>
      <c r="CP54" s="8">
        <v>9.4051789728744981E-3</v>
      </c>
      <c r="CQ54" s="8">
        <v>1.1627175432580239E-2</v>
      </c>
      <c r="CR54" s="8">
        <v>1.8252887521319622E-2</v>
      </c>
      <c r="CS54" s="8">
        <v>9.5611522567677354E-3</v>
      </c>
      <c r="CT54" s="8">
        <v>5.5262587168601945E-3</v>
      </c>
      <c r="CU54" s="7">
        <v>4.8112899929932844E-4</v>
      </c>
      <c r="CV54" s="7">
        <v>4.7800813471587942E-3</v>
      </c>
      <c r="CW54" s="8">
        <v>1.2089648372593798E-2</v>
      </c>
      <c r="CX54" s="7">
        <v>1.8694786366591064E-2</v>
      </c>
      <c r="CY54" s="7">
        <v>1.5543067555435145E-2</v>
      </c>
      <c r="CZ54" s="7">
        <v>1.3420064264043883E-2</v>
      </c>
      <c r="DA54" s="7">
        <v>1.094803850217827E-2</v>
      </c>
      <c r="DB54" s="8">
        <v>1.7030471119899582E-2</v>
      </c>
      <c r="DC54" s="8">
        <v>1.2094509117751345E-2</v>
      </c>
      <c r="DD54" s="7">
        <v>1.9214317396317848E-2</v>
      </c>
      <c r="DE54" s="7">
        <v>1.4073294766049581E-2</v>
      </c>
      <c r="DF54" s="8">
        <v>1.3069156319982138E-2</v>
      </c>
      <c r="DG54" s="8">
        <v>1.7693748503580842E-2</v>
      </c>
      <c r="DH54" s="7">
        <v>1.4519732244997459E-2</v>
      </c>
      <c r="DI54" s="7">
        <v>1.6215169285892155E-2</v>
      </c>
      <c r="DJ54" s="7">
        <v>1.4215916124179745E-2</v>
      </c>
      <c r="DK54" s="7">
        <v>1.3225288830814275E-2</v>
      </c>
      <c r="DL54" s="8">
        <v>2.2867534806405554E-3</v>
      </c>
      <c r="DM54" s="8">
        <v>7.3423878484679623E-3</v>
      </c>
      <c r="DN54" s="8">
        <v>7.3625906906040041E-3</v>
      </c>
      <c r="DO54" s="8">
        <v>1.239384072109638E-2</v>
      </c>
      <c r="DP54" s="8">
        <v>1.6002129905250947E-2</v>
      </c>
      <c r="DQ54" s="8">
        <v>1.6665962132730024E-2</v>
      </c>
      <c r="DR54" s="8">
        <v>8.3376214570314647E-3</v>
      </c>
      <c r="DS54" s="8">
        <v>7.0440981724433169E-3</v>
      </c>
      <c r="DT54" s="7">
        <v>6.9873313799393476E-3</v>
      </c>
      <c r="DU54" s="8">
        <v>6.5411834103078033E-3</v>
      </c>
      <c r="DV54" s="8">
        <v>7.6926544042194732E-3</v>
      </c>
      <c r="DX54" s="6" t="s">
        <v>225</v>
      </c>
      <c r="DY54" s="6" t="s">
        <v>153</v>
      </c>
      <c r="DZ54" s="7">
        <v>1.1783817370606678E-2</v>
      </c>
      <c r="EA54" s="8">
        <v>7.623834408869933E-3</v>
      </c>
      <c r="EB54" s="8">
        <v>1.297912098847814E-2</v>
      </c>
      <c r="EC54" s="8">
        <v>1.5080579492503819E-2</v>
      </c>
      <c r="ED54" s="7">
        <v>1.3864688660185059E-2</v>
      </c>
      <c r="EE54" s="8">
        <v>1.5356435818062278E-2</v>
      </c>
      <c r="EF54" s="7">
        <v>1.2297583627844747E-2</v>
      </c>
      <c r="EG54" s="8">
        <v>8.6487508468346269E-3</v>
      </c>
      <c r="EH54" s="8">
        <v>1.773102619439061E-3</v>
      </c>
      <c r="EI54" s="8">
        <v>9.2608916160152269E-3</v>
      </c>
      <c r="EJ54" s="8">
        <v>1.0146898999325157E-2</v>
      </c>
      <c r="EK54" s="8">
        <v>6.4156691669691335E-3</v>
      </c>
      <c r="EL54" s="8">
        <v>1.2427428773933234E-2</v>
      </c>
      <c r="EM54" s="8">
        <v>1.37800575415153E-2</v>
      </c>
      <c r="EN54" s="8">
        <v>5.7177112395098411E-3</v>
      </c>
      <c r="EO54" s="7">
        <v>0</v>
      </c>
      <c r="EP54" s="7">
        <v>0</v>
      </c>
      <c r="EQ54" s="7">
        <v>8.1318228119190792E-3</v>
      </c>
      <c r="ER54" s="7">
        <v>1.7624812832534534E-2</v>
      </c>
      <c r="ES54" s="7">
        <v>2.42327074793292E-2</v>
      </c>
      <c r="ET54" s="8">
        <v>2.3360173356389801E-2</v>
      </c>
      <c r="EU54" s="8">
        <v>1.4066720895568856E-2</v>
      </c>
      <c r="EV54" s="8">
        <v>2.7590611630925167E-2</v>
      </c>
      <c r="EW54" s="8">
        <v>2.7131203432320609E-2</v>
      </c>
      <c r="EX54" s="7">
        <v>2.3035882563898019E-2</v>
      </c>
      <c r="EY54" s="8">
        <v>1.7618702311749675E-2</v>
      </c>
      <c r="EZ54" s="8">
        <v>1.373055489017018E-2</v>
      </c>
      <c r="FA54" s="8">
        <v>1.9106322712405178E-2</v>
      </c>
      <c r="FB54" s="8">
        <v>2.7093274754056026E-2</v>
      </c>
      <c r="FC54" s="8">
        <v>1.8341449161732772E-2</v>
      </c>
      <c r="FD54" s="8">
        <v>1.1017281114748154E-2</v>
      </c>
      <c r="FE54" s="8">
        <v>1.4694363817205956E-2</v>
      </c>
      <c r="FF54" s="8">
        <v>2.4689033445825445E-2</v>
      </c>
      <c r="FG54" s="8">
        <v>7.1779262915880456E-3</v>
      </c>
      <c r="FH54" s="7">
        <v>4.1177599569145931E-3</v>
      </c>
      <c r="FI54" s="8">
        <v>3.7412315504544756E-3</v>
      </c>
      <c r="FJ54" s="8">
        <v>1.3382142120649971E-2</v>
      </c>
      <c r="FK54" s="8">
        <v>1.8399037302599754E-2</v>
      </c>
      <c r="FL54" s="8">
        <v>3.1293136231119102E-2</v>
      </c>
      <c r="FM54" s="7">
        <v>2.5616657166058418E-2</v>
      </c>
      <c r="FN54" s="8">
        <v>5.8534000483132266E-3</v>
      </c>
      <c r="FO54" s="8">
        <v>8.5984049428413142E-3</v>
      </c>
      <c r="FP54" s="7">
        <v>2.225223507163835E-2</v>
      </c>
      <c r="FQ54" s="7">
        <v>2.8043436163923612E-2</v>
      </c>
      <c r="FR54" s="7">
        <v>2.1273727309764137E-2</v>
      </c>
      <c r="FS54" s="7">
        <v>2.0388337086723378E-2</v>
      </c>
      <c r="FT54" s="8">
        <v>2.1520291564404756E-2</v>
      </c>
      <c r="FU54" s="8">
        <v>2.7393934659429877E-2</v>
      </c>
      <c r="FV54" s="7">
        <v>2.5108682672651306E-2</v>
      </c>
      <c r="FW54" s="8">
        <v>1.9605062400794692E-2</v>
      </c>
      <c r="FX54" s="8">
        <v>1.0918662153005698E-2</v>
      </c>
      <c r="FY54" s="8">
        <v>9.4619403905144561E-3</v>
      </c>
      <c r="FZ54" s="8">
        <v>6.2379451603020294E-3</v>
      </c>
      <c r="GA54" s="8">
        <v>1.2600636775595113E-2</v>
      </c>
      <c r="GB54" s="8">
        <v>1.1865722855282744E-2</v>
      </c>
      <c r="GC54" s="8">
        <v>1.5230662114867942E-2</v>
      </c>
      <c r="GD54" s="8">
        <v>1.2082737074999439E-2</v>
      </c>
      <c r="GE54" s="8">
        <v>9.6869374503426968E-3</v>
      </c>
      <c r="GF54" s="8">
        <v>5.8123598749510305E-3</v>
      </c>
      <c r="GG54" s="8">
        <v>5.7799947727801655E-3</v>
      </c>
      <c r="GI54" s="6" t="s">
        <v>225</v>
      </c>
      <c r="GJ54" s="6" t="s">
        <v>154</v>
      </c>
      <c r="GK54" s="8">
        <v>5.1419933217156592E-2</v>
      </c>
      <c r="GL54" s="8">
        <v>4.8475460821150215E-2</v>
      </c>
      <c r="GM54" s="8">
        <v>4.5494293520435956E-2</v>
      </c>
      <c r="GN54" s="8">
        <v>4.6127522880310821E-2</v>
      </c>
      <c r="GO54" s="8">
        <v>5.0477364443551637E-2</v>
      </c>
      <c r="GP54" s="8">
        <v>4.9898375053870694E-2</v>
      </c>
      <c r="GQ54" s="8">
        <v>5.2720326507973515E-2</v>
      </c>
      <c r="GR54" s="8">
        <v>5.1528656086329803E-2</v>
      </c>
      <c r="GS54" s="8">
        <v>5.1087064553337259E-2</v>
      </c>
      <c r="GT54" s="8">
        <v>5.5018148311759683E-2</v>
      </c>
      <c r="GU54" s="8">
        <v>0.11946352499868983</v>
      </c>
      <c r="GV54" s="8">
        <v>0.12708336182802443</v>
      </c>
      <c r="GW54" s="8">
        <v>0.12209274673354738</v>
      </c>
      <c r="GX54" s="8">
        <v>0.11937726876798251</v>
      </c>
      <c r="GY54" s="8">
        <v>0.11741939317312899</v>
      </c>
      <c r="GZ54" s="8">
        <v>0.10896859746700724</v>
      </c>
      <c r="HA54" s="7">
        <v>0.10384488698746218</v>
      </c>
      <c r="HB54" s="8">
        <v>0.10042567829535096</v>
      </c>
      <c r="HC54" s="8">
        <v>9.3406406664028926E-2</v>
      </c>
      <c r="HD54" s="8">
        <v>9.2460918810064879E-2</v>
      </c>
      <c r="HE54" s="8">
        <v>0.10959012544088638</v>
      </c>
      <c r="HF54" s="8">
        <v>0.12335514834795758</v>
      </c>
      <c r="HG54" s="8">
        <v>0.11420101327342681</v>
      </c>
      <c r="HH54" s="8">
        <v>0.11931985117352591</v>
      </c>
      <c r="HI54" s="8">
        <v>0.12666124908982834</v>
      </c>
      <c r="HJ54" s="8">
        <v>0.12771891999679477</v>
      </c>
      <c r="HK54" s="8">
        <v>0.1308509177707379</v>
      </c>
      <c r="HL54" s="7">
        <v>0.13921522582648588</v>
      </c>
      <c r="HM54" s="8">
        <v>0.13444771208430209</v>
      </c>
      <c r="HN54" s="8">
        <v>0.13401379777017883</v>
      </c>
      <c r="HO54" s="8">
        <v>0.14952455412764223</v>
      </c>
      <c r="HP54" s="8">
        <v>0.15456501767787145</v>
      </c>
      <c r="HQ54" s="8">
        <v>0.15824416741206829</v>
      </c>
      <c r="HR54" s="8">
        <v>0.17187878828383363</v>
      </c>
      <c r="HS54" s="8">
        <v>0.16178970790514136</v>
      </c>
      <c r="HT54" s="8">
        <v>0.15157925896824187</v>
      </c>
      <c r="HU54" s="8">
        <v>0.13993050405327701</v>
      </c>
      <c r="HV54" s="7">
        <v>0.13175224558075668</v>
      </c>
      <c r="HW54" s="8">
        <v>0.12652550308985844</v>
      </c>
      <c r="HX54" s="8">
        <v>0.13427228805579045</v>
      </c>
      <c r="HY54" s="8">
        <v>0.13018211297132509</v>
      </c>
      <c r="HZ54" s="8">
        <v>9.5799781702240211E-2</v>
      </c>
      <c r="IA54" s="8">
        <v>8.4593800606783995E-2</v>
      </c>
      <c r="IB54" s="8">
        <v>8.6771728628675493E-2</v>
      </c>
      <c r="IC54" s="8">
        <v>9.5021903956744438E-2</v>
      </c>
      <c r="ID54" s="8">
        <v>0.10658193459903588</v>
      </c>
      <c r="IE54" s="8">
        <v>0.10038808377389553</v>
      </c>
      <c r="IF54" s="8">
        <v>9.4675189941078985E-2</v>
      </c>
      <c r="IG54" s="8">
        <v>0.10221451536471554</v>
      </c>
      <c r="IH54" s="8">
        <v>0.12649308817716967</v>
      </c>
      <c r="II54" s="8">
        <v>3.4158237446871777E-2</v>
      </c>
      <c r="IJ54" s="8">
        <v>4.2861295786740292E-2</v>
      </c>
      <c r="IK54" s="8">
        <v>5.1079243181459351E-2</v>
      </c>
      <c r="IL54" s="8">
        <v>5.5636729579698521E-2</v>
      </c>
      <c r="IM54" s="8">
        <v>4.9585531397151057E-2</v>
      </c>
      <c r="IN54" s="8">
        <v>4.2285265047191954E-2</v>
      </c>
      <c r="IO54" s="8">
        <v>4.029150306082506E-2</v>
      </c>
      <c r="IP54" s="8">
        <v>4.331829373818475E-2</v>
      </c>
      <c r="IQ54" s="8">
        <v>3.5743158325626155E-2</v>
      </c>
      <c r="IR54" s="8">
        <v>3.0098059326491483E-2</v>
      </c>
      <c r="JB54" s="6" t="s">
        <v>225</v>
      </c>
      <c r="JC54" s="8">
        <v>0.72644944073949225</v>
      </c>
      <c r="JD54" s="8">
        <v>0.7203697924495841</v>
      </c>
      <c r="JE54" s="7">
        <v>0.71523619234273084</v>
      </c>
      <c r="JF54" s="8">
        <v>0.72415048349504418</v>
      </c>
      <c r="JG54" s="8">
        <v>0.73298902880363526</v>
      </c>
      <c r="JH54" s="8">
        <v>0.74135582941139011</v>
      </c>
      <c r="JI54" s="8">
        <v>0.74319884147113946</v>
      </c>
      <c r="JJ54" s="8">
        <v>0.75118751321813215</v>
      </c>
      <c r="JK54" s="8">
        <v>0.7518197314829036</v>
      </c>
      <c r="JL54" s="8">
        <v>0.73292268681757822</v>
      </c>
      <c r="JM54" s="8">
        <v>0.58779280173291293</v>
      </c>
      <c r="JN54" s="7">
        <v>0.58579032083820737</v>
      </c>
      <c r="JO54" s="8">
        <v>0.59514934636139094</v>
      </c>
      <c r="JP54" s="8">
        <v>0.60519190637395459</v>
      </c>
      <c r="JQ54" s="8">
        <v>0.61630860763724027</v>
      </c>
      <c r="JR54" s="8">
        <v>0.62735321643087483</v>
      </c>
      <c r="JS54" s="8">
        <v>0.6238853564220217</v>
      </c>
      <c r="JT54" s="8">
        <v>0.6256581603043746</v>
      </c>
      <c r="JU54" s="8">
        <v>0.63074733167300667</v>
      </c>
      <c r="JV54" s="8">
        <v>0.62359969453127262</v>
      </c>
      <c r="JW54" s="7">
        <v>0.53825430231978233</v>
      </c>
      <c r="JX54" s="8">
        <v>0.53467369490392036</v>
      </c>
      <c r="JY54" s="8">
        <v>0.53685838080016701</v>
      </c>
      <c r="JZ54" s="8">
        <v>0.53020091042009843</v>
      </c>
      <c r="KA54" s="8">
        <v>0.52604169096565456</v>
      </c>
      <c r="KB54" s="8">
        <v>0.53498458821612394</v>
      </c>
      <c r="KC54" s="8">
        <v>0.53875194782593561</v>
      </c>
      <c r="KD54" s="8">
        <v>0.53070328928058996</v>
      </c>
      <c r="KE54" s="8">
        <v>0.51789715431042105</v>
      </c>
      <c r="KF54" s="7">
        <v>0.50994855147581175</v>
      </c>
      <c r="KG54" s="7">
        <v>0.51788523613430271</v>
      </c>
      <c r="KH54" s="8">
        <v>0.51304772656032527</v>
      </c>
      <c r="KI54" s="8">
        <v>0.49976578337412964</v>
      </c>
      <c r="KJ54" s="8">
        <v>0.49019245298662778</v>
      </c>
      <c r="KK54" s="8">
        <v>0.49831553603177375</v>
      </c>
      <c r="KL54" s="8">
        <v>0.5054344297348039</v>
      </c>
      <c r="KM54" s="8">
        <v>0.50669906527214903</v>
      </c>
      <c r="KN54" s="8">
        <v>0.50493988225674458</v>
      </c>
      <c r="KO54" s="8">
        <v>0.50023359396715195</v>
      </c>
      <c r="KP54" s="7">
        <v>0.50412282719951629</v>
      </c>
      <c r="KQ54" s="8">
        <v>0.56062143479387938</v>
      </c>
      <c r="KR54" s="7">
        <v>0.59642889141702937</v>
      </c>
      <c r="KS54" s="8">
        <v>0.60600949554788719</v>
      </c>
      <c r="KT54" s="8">
        <v>0.60134811559210388</v>
      </c>
      <c r="KU54" s="8">
        <v>0.59371496394100642</v>
      </c>
      <c r="KV54" s="8">
        <v>0.58859412204353934</v>
      </c>
      <c r="KW54" s="8">
        <v>0.59746958212952161</v>
      </c>
      <c r="KX54" s="8">
        <v>0.59402032442985164</v>
      </c>
      <c r="KY54" s="7">
        <v>0.58142583684463467</v>
      </c>
      <c r="KZ54" s="8">
        <v>0.55739081617341435</v>
      </c>
      <c r="LA54" s="8">
        <v>0.78984475690118139</v>
      </c>
      <c r="LB54" s="8">
        <v>0.7667165950128052</v>
      </c>
      <c r="LC54" s="7">
        <v>0.74315358730398617</v>
      </c>
      <c r="LD54" s="8">
        <v>0.71977875422943993</v>
      </c>
      <c r="LE54" s="8">
        <v>0.73629908592921889</v>
      </c>
      <c r="LF54" s="8">
        <v>0.76369458592185224</v>
      </c>
      <c r="LG54" s="8">
        <v>0.77950782006186503</v>
      </c>
      <c r="LH54" s="7">
        <v>0.77745120459635952</v>
      </c>
      <c r="LI54" s="8">
        <v>0.8051873669012507</v>
      </c>
      <c r="LJ54" s="8">
        <v>0.8151230022651792</v>
      </c>
      <c r="LL54" s="6" t="s">
        <v>226</v>
      </c>
      <c r="LM54" s="6" t="s">
        <v>160</v>
      </c>
      <c r="LN54" s="6" t="s">
        <v>161</v>
      </c>
      <c r="LO54" s="8">
        <v>0.81533816428163597</v>
      </c>
    </row>
    <row r="55" spans="2:327" x14ac:dyDescent="0.45">
      <c r="B55" s="3" t="s">
        <v>227</v>
      </c>
      <c r="C55" s="3" t="s">
        <v>151</v>
      </c>
      <c r="D55" s="5">
        <v>0.2887972886515478</v>
      </c>
      <c r="E55" s="5">
        <v>0.27966198764246386</v>
      </c>
      <c r="F55" s="5">
        <v>0.27132620143931363</v>
      </c>
      <c r="G55" s="5">
        <v>0.25947046452274225</v>
      </c>
      <c r="H55" s="5">
        <v>0.26870378173809384</v>
      </c>
      <c r="I55" s="5">
        <v>0.2697593844525028</v>
      </c>
      <c r="J55" s="5">
        <v>0.28469491144716785</v>
      </c>
      <c r="K55" s="5">
        <v>0.27392621744208012</v>
      </c>
      <c r="L55" s="5">
        <v>0.27418386060922961</v>
      </c>
      <c r="M55" s="5">
        <v>0.27999999257912123</v>
      </c>
      <c r="N55" s="5">
        <v>0.35435901498596878</v>
      </c>
      <c r="O55" s="5">
        <v>0.35627767482291217</v>
      </c>
      <c r="P55" s="5">
        <v>0.3513529175286238</v>
      </c>
      <c r="Q55" s="5">
        <v>0.34805957926210052</v>
      </c>
      <c r="R55" s="5">
        <v>0.36153962810274515</v>
      </c>
      <c r="S55" s="5">
        <v>0.35869921603030452</v>
      </c>
      <c r="T55" s="5">
        <v>0.33972399184302543</v>
      </c>
      <c r="U55" s="5">
        <v>0.32192207049294308</v>
      </c>
      <c r="V55" s="5">
        <v>0.31074816205942024</v>
      </c>
      <c r="W55" s="5">
        <v>0.31967462013661047</v>
      </c>
      <c r="X55" s="5">
        <v>0.33464326483949858</v>
      </c>
      <c r="Y55" s="5">
        <v>0.32515097824707284</v>
      </c>
      <c r="Z55" s="5">
        <v>0.33320967549255293</v>
      </c>
      <c r="AA55" s="5">
        <v>0.35523251330293576</v>
      </c>
      <c r="AB55" s="5">
        <v>0.38711257246069419</v>
      </c>
      <c r="AC55" s="5">
        <v>0.38322238966207711</v>
      </c>
      <c r="AD55" s="5">
        <v>0.34814334150485082</v>
      </c>
      <c r="AE55" s="5">
        <v>0.32614619814898216</v>
      </c>
      <c r="AF55" s="5">
        <v>0.32119896779560875</v>
      </c>
      <c r="AG55" s="5">
        <v>0.32792594702633493</v>
      </c>
      <c r="AH55" s="5">
        <v>0.32051757213233262</v>
      </c>
      <c r="AI55" s="5">
        <v>0.32327029175283767</v>
      </c>
      <c r="AJ55" s="5">
        <v>0.34100452290593997</v>
      </c>
      <c r="AK55" s="5">
        <v>0.35200135413448652</v>
      </c>
      <c r="AL55" s="5">
        <v>0.36932199188120296</v>
      </c>
      <c r="AM55" s="5">
        <v>0.36897658429690061</v>
      </c>
      <c r="AN55" s="5">
        <v>0.35712066072245247</v>
      </c>
      <c r="AO55" s="5">
        <v>0.34781110454189401</v>
      </c>
      <c r="AP55" s="5">
        <v>0.34509816630972423</v>
      </c>
      <c r="AQ55" s="5">
        <v>0.3498215394447548</v>
      </c>
      <c r="AR55" s="5">
        <v>0.2884234822208529</v>
      </c>
      <c r="AS55" s="5">
        <v>0.29985775891262018</v>
      </c>
      <c r="AT55" s="5">
        <v>0.30532959573207169</v>
      </c>
      <c r="AU55" s="5">
        <v>0.29721603914902905</v>
      </c>
      <c r="AV55" s="5">
        <v>0.2928125021112869</v>
      </c>
      <c r="AW55" s="5">
        <v>0.29238343185209409</v>
      </c>
      <c r="AX55" s="5">
        <v>0.28855786975713671</v>
      </c>
      <c r="AY55" s="5">
        <v>0.2718033354857709</v>
      </c>
      <c r="AZ55" s="5">
        <v>0.23897573812355463</v>
      </c>
      <c r="BA55" s="5">
        <v>0.2566044825424082</v>
      </c>
      <c r="BB55" s="5">
        <v>0.12159043627656986</v>
      </c>
      <c r="BC55" s="5">
        <v>0.1260199272931076</v>
      </c>
      <c r="BD55" s="5">
        <v>0.13250579881803104</v>
      </c>
      <c r="BE55" s="5">
        <v>0.14894156326537925</v>
      </c>
      <c r="BF55" s="5">
        <v>0.16077570759327384</v>
      </c>
      <c r="BG55" s="5">
        <v>0.15911121433386755</v>
      </c>
      <c r="BH55" s="5">
        <v>0.16156207360505101</v>
      </c>
      <c r="BI55" s="5">
        <v>0.15389845195226712</v>
      </c>
      <c r="BJ55" s="5">
        <v>0.13160087130442702</v>
      </c>
      <c r="BK55" s="5">
        <v>0.12570225281089772</v>
      </c>
      <c r="BM55" s="3" t="s">
        <v>227</v>
      </c>
      <c r="BN55" s="3" t="s">
        <v>152</v>
      </c>
      <c r="BO55" s="5">
        <v>2.1068420830551587E-2</v>
      </c>
      <c r="BP55" s="5">
        <v>6.8315591553735205E-3</v>
      </c>
      <c r="BQ55" s="4">
        <v>1.441793556425894E-2</v>
      </c>
      <c r="BR55" s="5">
        <v>1.0528577924077917E-2</v>
      </c>
      <c r="BS55" s="5">
        <v>9.0328533712307688E-3</v>
      </c>
      <c r="BT55" s="5">
        <v>2.1100095193219672E-2</v>
      </c>
      <c r="BU55" s="4">
        <v>2.0525249540198361E-2</v>
      </c>
      <c r="BV55" s="5">
        <v>2.0401161753145415E-2</v>
      </c>
      <c r="BW55" s="4">
        <v>2.0767760361492499E-2</v>
      </c>
      <c r="BX55" s="5">
        <v>2.0704170887623122E-2</v>
      </c>
      <c r="BY55" s="4">
        <v>1.5124185001421002E-2</v>
      </c>
      <c r="BZ55" s="4">
        <v>2.2138837024617414E-3</v>
      </c>
      <c r="CA55" s="4">
        <v>1.0106810510068374E-2</v>
      </c>
      <c r="CB55" s="4">
        <v>1.1076100150810264E-2</v>
      </c>
      <c r="CC55" s="4">
        <v>1.3621069997026265E-2</v>
      </c>
      <c r="CD55" s="5">
        <v>2.2158875037748531E-2</v>
      </c>
      <c r="CE55" s="4">
        <v>1.8837331601918434E-2</v>
      </c>
      <c r="CF55" s="5">
        <v>5.7107120890988556E-3</v>
      </c>
      <c r="CG55" s="4">
        <v>9.5142392995391772E-3</v>
      </c>
      <c r="CH55" s="5">
        <v>2.0417718507906496E-2</v>
      </c>
      <c r="CI55" s="5">
        <v>1.365695310321511E-2</v>
      </c>
      <c r="CJ55" s="4">
        <v>1.1289497557110057E-2</v>
      </c>
      <c r="CK55" s="5">
        <v>2.1694132661994266E-2</v>
      </c>
      <c r="CL55" s="4">
        <v>1.7423022758087076E-2</v>
      </c>
      <c r="CM55" s="5">
        <v>2.5045279784635551E-2</v>
      </c>
      <c r="CN55" s="5">
        <v>6.7229055413121158E-2</v>
      </c>
      <c r="CO55" s="5">
        <v>5.551894835689531E-2</v>
      </c>
      <c r="CP55" s="5">
        <v>3.6881186423087735E-2</v>
      </c>
      <c r="CQ55" s="5">
        <v>2.6751747167092686E-2</v>
      </c>
      <c r="CR55" s="5">
        <v>1.3753234760436769E-2</v>
      </c>
      <c r="CS55" s="5">
        <v>6.4158626570888977E-3</v>
      </c>
      <c r="CT55" s="5">
        <v>3.6390514719121927E-2</v>
      </c>
      <c r="CU55" s="4">
        <v>5.1899117282335983E-2</v>
      </c>
      <c r="CV55" s="4">
        <v>9.4437565390547568E-3</v>
      </c>
      <c r="CW55" s="5">
        <v>1.9337081522707925E-2</v>
      </c>
      <c r="CX55" s="4">
        <v>4.2327458876606688E-2</v>
      </c>
      <c r="CY55" s="4">
        <v>2.4158381039673694E-2</v>
      </c>
      <c r="CZ55" s="4">
        <v>1.7896230376202742E-2</v>
      </c>
      <c r="DA55" s="4">
        <v>2.7816739992281216E-2</v>
      </c>
      <c r="DB55" s="5">
        <v>2.7356049023751824E-2</v>
      </c>
      <c r="DC55" s="5">
        <v>1.4965841018005733E-2</v>
      </c>
      <c r="DD55" s="4">
        <v>7.1103764459558112E-3</v>
      </c>
      <c r="DE55" s="4">
        <v>8.5349701063026466E-3</v>
      </c>
      <c r="DF55" s="5">
        <v>1.4161714759931851E-2</v>
      </c>
      <c r="DG55" s="5">
        <v>1.2948499967030312E-2</v>
      </c>
      <c r="DH55" s="4">
        <v>1.2925279533088073E-2</v>
      </c>
      <c r="DI55" s="4">
        <v>1.6939927671677655E-2</v>
      </c>
      <c r="DJ55" s="4">
        <v>1.1123607615526656E-2</v>
      </c>
      <c r="DK55" s="4">
        <v>1.1766716502556753E-2</v>
      </c>
      <c r="DL55" s="5">
        <v>1.4756978525318749E-2</v>
      </c>
      <c r="DM55" s="5">
        <v>8.398109421521166E-3</v>
      </c>
      <c r="DN55" s="5">
        <v>1.0981891682076762E-2</v>
      </c>
      <c r="DO55" s="5">
        <v>1.3433271209371433E-2</v>
      </c>
      <c r="DP55" s="5">
        <v>2.1183515072724413E-2</v>
      </c>
      <c r="DQ55" s="5">
        <v>1.329097679043492E-2</v>
      </c>
      <c r="DR55" s="5">
        <v>1.0902598205231907E-2</v>
      </c>
      <c r="DS55" s="5">
        <v>1.0909288883748871E-2</v>
      </c>
      <c r="DT55" s="4">
        <v>8.7983137012584128E-3</v>
      </c>
      <c r="DU55" s="5">
        <v>7.939980195025299E-3</v>
      </c>
      <c r="DV55" s="5">
        <v>1.1683296819642768E-2</v>
      </c>
      <c r="DX55" s="3" t="s">
        <v>227</v>
      </c>
      <c r="DY55" s="3" t="s">
        <v>153</v>
      </c>
      <c r="DZ55" s="4">
        <v>1.9799206955245813E-2</v>
      </c>
      <c r="EA55" s="5">
        <v>3.4095888024981813E-2</v>
      </c>
      <c r="EB55" s="5">
        <v>2.9502351306583966E-2</v>
      </c>
      <c r="EC55" s="5">
        <v>1.3382788769941926E-2</v>
      </c>
      <c r="ED55" s="4">
        <v>1.5441975173704605E-2</v>
      </c>
      <c r="EE55" s="5">
        <v>1.0295053012897524E-2</v>
      </c>
      <c r="EF55" s="4">
        <v>8.5713896285648673E-3</v>
      </c>
      <c r="EG55" s="5">
        <v>1.4923871507420916E-2</v>
      </c>
      <c r="EH55" s="5">
        <v>2.4296691743710824E-2</v>
      </c>
      <c r="EI55" s="5">
        <v>1.5528617609382624E-2</v>
      </c>
      <c r="EJ55" s="5">
        <v>2.2126611437739089E-2</v>
      </c>
      <c r="EK55" s="5">
        <v>2.9724082955958395E-2</v>
      </c>
      <c r="EL55" s="5">
        <v>2.2556980980998051E-2</v>
      </c>
      <c r="EM55" s="5">
        <v>1.1147586130152732E-2</v>
      </c>
      <c r="EN55" s="5">
        <v>1.2274510823599769E-2</v>
      </c>
      <c r="EO55" s="4">
        <v>1.6726912104921401E-2</v>
      </c>
      <c r="EP55" s="4">
        <v>2.4931018005930866E-2</v>
      </c>
      <c r="EQ55" s="4">
        <v>3.0890522463931938E-2</v>
      </c>
      <c r="ER55" s="4">
        <v>2.5331030035425264E-2</v>
      </c>
      <c r="ES55" s="4">
        <v>1.5188248312883712E-2</v>
      </c>
      <c r="ET55" s="5">
        <v>2.8958767845827182E-2</v>
      </c>
      <c r="EU55" s="5">
        <v>1.6299654983968726E-2</v>
      </c>
      <c r="EV55" s="5">
        <v>2.3146614112763736E-3</v>
      </c>
      <c r="EW55" s="5">
        <v>2.2297606170897565E-2</v>
      </c>
      <c r="EX55" s="4">
        <v>2.8495327735045848E-2</v>
      </c>
      <c r="EY55" s="5">
        <v>1.1637678063360718E-2</v>
      </c>
      <c r="EZ55" s="5">
        <v>3.7609525002062397E-2</v>
      </c>
      <c r="FA55" s="5">
        <v>6.3805603300533378E-2</v>
      </c>
      <c r="FB55" s="5">
        <v>7.8296440377646756E-2</v>
      </c>
      <c r="FC55" s="5">
        <v>4.5379115678222302E-2</v>
      </c>
      <c r="FD55" s="5">
        <v>3.5122163553703449E-2</v>
      </c>
      <c r="FE55" s="5">
        <v>1.7750936515202306E-2</v>
      </c>
      <c r="FF55" s="5">
        <v>7.5099180895764088E-3</v>
      </c>
      <c r="FG55" s="5">
        <v>5.2586897717432864E-2</v>
      </c>
      <c r="FH55" s="4">
        <v>6.1748272626694807E-2</v>
      </c>
      <c r="FI55" s="5">
        <v>2.3660565618456125E-2</v>
      </c>
      <c r="FJ55" s="5">
        <v>2.7887321763901168E-2</v>
      </c>
      <c r="FK55" s="5">
        <v>4.5491716488510713E-2</v>
      </c>
      <c r="FL55" s="5">
        <v>3.7936655022604869E-2</v>
      </c>
      <c r="FM55" s="4">
        <v>3.5375392507533757E-2</v>
      </c>
      <c r="FN55" s="5">
        <v>2.2104632568785337E-2</v>
      </c>
      <c r="FO55" s="5">
        <v>2.7251363453284123E-2</v>
      </c>
      <c r="FP55" s="4">
        <v>1.7052171333887995E-2</v>
      </c>
      <c r="FQ55" s="4">
        <v>1.1381276170023037E-2</v>
      </c>
      <c r="FR55" s="4">
        <v>9.7780548609903463E-3</v>
      </c>
      <c r="FS55" s="4">
        <v>2.1997981840866251E-2</v>
      </c>
      <c r="FT55" s="5">
        <v>2.0330359124384145E-2</v>
      </c>
      <c r="FU55" s="5">
        <v>1.6494679856029374E-2</v>
      </c>
      <c r="FV55" s="4">
        <v>9.9434486433519573E-3</v>
      </c>
      <c r="FW55" s="5">
        <v>1.4443875132510994E-2</v>
      </c>
      <c r="FX55" s="5">
        <v>6.8889218593864874E-3</v>
      </c>
      <c r="FY55" s="5">
        <v>7.6354719886131432E-3</v>
      </c>
      <c r="FZ55" s="5">
        <v>1.0060044201974698E-2</v>
      </c>
      <c r="GA55" s="5">
        <v>1.2002296344046365E-2</v>
      </c>
      <c r="GB55" s="5">
        <v>2.0643440216505507E-2</v>
      </c>
      <c r="GC55" s="5">
        <v>2.5108648076623621E-2</v>
      </c>
      <c r="GD55" s="5">
        <v>1.6948593517022409E-2</v>
      </c>
      <c r="GE55" s="5">
        <v>1.3682299375520185E-2</v>
      </c>
      <c r="GF55" s="5">
        <v>8.1304859837968927E-3</v>
      </c>
      <c r="GG55" s="5">
        <v>7.4231674054894654E-3</v>
      </c>
      <c r="GI55" s="3" t="s">
        <v>227</v>
      </c>
      <c r="GJ55" s="3" t="s">
        <v>154</v>
      </c>
      <c r="GK55" s="5">
        <v>0.10152832491343775</v>
      </c>
      <c r="GL55" s="5">
        <v>9.5208353733093956E-2</v>
      </c>
      <c r="GM55" s="5">
        <v>8.9573412909109529E-2</v>
      </c>
      <c r="GN55" s="5">
        <v>0.10826542082236928</v>
      </c>
      <c r="GO55" s="5">
        <v>0.10897916188772516</v>
      </c>
      <c r="GP55" s="5">
        <v>0.10060376899298287</v>
      </c>
      <c r="GQ55" s="5">
        <v>0.11456720319755177</v>
      </c>
      <c r="GR55" s="5">
        <v>0.10682343826380875</v>
      </c>
      <c r="GS55" s="5">
        <v>9.6115030000906931E-2</v>
      </c>
      <c r="GT55" s="5">
        <v>0.10263070521840084</v>
      </c>
      <c r="GU55" s="5">
        <v>0.1464218866350957</v>
      </c>
      <c r="GV55" s="5">
        <v>0.15031346234526513</v>
      </c>
      <c r="GW55" s="5">
        <v>0.1541418384860217</v>
      </c>
      <c r="GX55" s="5">
        <v>0.1766092626061648</v>
      </c>
      <c r="GY55" s="5">
        <v>0.17168420007053814</v>
      </c>
      <c r="GZ55" s="5">
        <v>0.1621900633391514</v>
      </c>
      <c r="HA55" s="4">
        <v>0.15464163557827598</v>
      </c>
      <c r="HB55" s="5">
        <v>0.15640212554671526</v>
      </c>
      <c r="HC55" s="5">
        <v>0.14517265597137718</v>
      </c>
      <c r="HD55" s="5">
        <v>0.13839412994186415</v>
      </c>
      <c r="HE55" s="5">
        <v>0.15841198771775974</v>
      </c>
      <c r="HF55" s="5">
        <v>0.16468795383981094</v>
      </c>
      <c r="HG55" s="5">
        <v>0.17694230779305292</v>
      </c>
      <c r="HH55" s="5">
        <v>0.17808084955552578</v>
      </c>
      <c r="HI55" s="5">
        <v>0.17627904030545957</v>
      </c>
      <c r="HJ55" s="5">
        <v>0.1465298762695014</v>
      </c>
      <c r="HK55" s="5">
        <v>0.10804740164556506</v>
      </c>
      <c r="HL55" s="4">
        <v>8.1718037311869385E-2</v>
      </c>
      <c r="HM55" s="5">
        <v>8.7493363822677098E-2</v>
      </c>
      <c r="HN55" s="5">
        <v>0.14299982827938126</v>
      </c>
      <c r="HO55" s="5">
        <v>0.17320493081650343</v>
      </c>
      <c r="HP55" s="5">
        <v>0.15769227603526925</v>
      </c>
      <c r="HQ55" s="5">
        <v>0.1559725952360462</v>
      </c>
      <c r="HR55" s="5">
        <v>0.16255922687192725</v>
      </c>
      <c r="HS55" s="5">
        <v>0.15359449957662288</v>
      </c>
      <c r="HT55" s="5">
        <v>0.17883555647945876</v>
      </c>
      <c r="HU55" s="5">
        <v>0.1699206393682115</v>
      </c>
      <c r="HV55" s="4">
        <v>0.14398088665930686</v>
      </c>
      <c r="HW55" s="5">
        <v>0.14009888291245548</v>
      </c>
      <c r="HX55" s="5">
        <v>0.15933482352424647</v>
      </c>
      <c r="HY55" s="5">
        <v>0.12138854667030199</v>
      </c>
      <c r="HZ55" s="5">
        <v>0.14041140523325207</v>
      </c>
      <c r="IA55" s="5">
        <v>0.14718866400457714</v>
      </c>
      <c r="IB55" s="5">
        <v>0.13915783440546559</v>
      </c>
      <c r="IC55" s="5">
        <v>0.13424449465781182</v>
      </c>
      <c r="ID55" s="5">
        <v>0.11603353933336823</v>
      </c>
      <c r="IE55" s="5">
        <v>0.11265412116822775</v>
      </c>
      <c r="IF55" s="5">
        <v>0.11137197799730807</v>
      </c>
      <c r="IG55" s="5">
        <v>0.10065571849355769</v>
      </c>
      <c r="IH55" s="5">
        <v>0.10081844692675294</v>
      </c>
      <c r="II55" s="5">
        <v>3.2311988122590396E-2</v>
      </c>
      <c r="IJ55" s="5">
        <v>2.9725927428244078E-2</v>
      </c>
      <c r="IK55" s="5">
        <v>3.200902255129625E-2</v>
      </c>
      <c r="IL55" s="5">
        <v>3.5394679229132218E-2</v>
      </c>
      <c r="IM55" s="5">
        <v>3.9620785290184216E-2</v>
      </c>
      <c r="IN55" s="5">
        <v>3.7428121688138485E-2</v>
      </c>
      <c r="IO55" s="5">
        <v>4.7578835222791487E-2</v>
      </c>
      <c r="IP55" s="5">
        <v>4.749828550891088E-2</v>
      </c>
      <c r="IQ55" s="5">
        <v>4.3472915071369245E-2</v>
      </c>
      <c r="IR55" s="5">
        <v>3.4755479448148351E-2</v>
      </c>
      <c r="JB55" s="3" t="s">
        <v>227</v>
      </c>
      <c r="JC55" s="5">
        <v>0.57079255251240835</v>
      </c>
      <c r="JD55" s="5">
        <v>0.5710699932517872</v>
      </c>
      <c r="JE55" s="4">
        <v>0.58650271913560392</v>
      </c>
      <c r="JF55" s="5">
        <v>0.58503220291464397</v>
      </c>
      <c r="JG55" s="5">
        <v>0.56622560009208756</v>
      </c>
      <c r="JH55" s="5">
        <v>0.56656418884245974</v>
      </c>
      <c r="JI55" s="5">
        <v>0.54506980219809276</v>
      </c>
      <c r="JJ55" s="5">
        <v>0.54379552779664042</v>
      </c>
      <c r="JK55" s="5">
        <v>0.56244824816289329</v>
      </c>
      <c r="JL55" s="5">
        <v>0.56892105147622474</v>
      </c>
      <c r="JM55" s="5">
        <v>0.49321842237125352</v>
      </c>
      <c r="JN55" s="4">
        <v>0.47721491974248276</v>
      </c>
      <c r="JO55" s="5">
        <v>0.4752460703208306</v>
      </c>
      <c r="JP55" s="5">
        <v>0.47515674732472146</v>
      </c>
      <c r="JQ55" s="5">
        <v>0.47193413161328018</v>
      </c>
      <c r="JR55" s="5">
        <v>0.4679825613827413</v>
      </c>
      <c r="JS55" s="5">
        <v>0.47086209189751049</v>
      </c>
      <c r="JT55" s="5">
        <v>0.48101531654307744</v>
      </c>
      <c r="JU55" s="5">
        <v>0.49960519140243786</v>
      </c>
      <c r="JV55" s="5">
        <v>0.51297500544235153</v>
      </c>
      <c r="JW55" s="4">
        <v>0.41735599113524763</v>
      </c>
      <c r="JX55" s="5">
        <v>0.39618669077904695</v>
      </c>
      <c r="JY55" s="5">
        <v>0.37935526278743875</v>
      </c>
      <c r="JZ55" s="5">
        <v>0.35837396152586337</v>
      </c>
      <c r="KA55" s="5">
        <v>0.34166012018905345</v>
      </c>
      <c r="KB55" s="5">
        <v>0.36755012077694516</v>
      </c>
      <c r="KC55" s="5">
        <v>0.40377686063015</v>
      </c>
      <c r="KD55" s="5">
        <v>0.43503543437402287</v>
      </c>
      <c r="KE55" s="5">
        <v>0.4382089904692959</v>
      </c>
      <c r="KF55" s="4">
        <v>0.42180824859338711</v>
      </c>
      <c r="KG55" s="4">
        <v>0.33200067609717715</v>
      </c>
      <c r="KH55" s="5">
        <v>0.34185783032341444</v>
      </c>
      <c r="KI55" s="5">
        <v>0.34206408272541489</v>
      </c>
      <c r="KJ55" s="5">
        <v>0.33147549321023961</v>
      </c>
      <c r="KK55" s="5">
        <v>0.3235842325778473</v>
      </c>
      <c r="KL55" s="5">
        <v>0.33052831062339433</v>
      </c>
      <c r="KM55" s="5">
        <v>0.36108021925042405</v>
      </c>
      <c r="KN55" s="5">
        <v>0.3779414583588751</v>
      </c>
      <c r="KO55" s="5">
        <v>0.3759789626113742</v>
      </c>
      <c r="KP55" s="4">
        <v>0.35110202857831913</v>
      </c>
      <c r="KQ55" s="5">
        <v>0.5250784587963393</v>
      </c>
      <c r="KR55" s="4">
        <v>0.50518800659416763</v>
      </c>
      <c r="KS55" s="5">
        <v>0.50951638489855544</v>
      </c>
      <c r="KT55" s="5">
        <v>0.51213349661041019</v>
      </c>
      <c r="KU55" s="5">
        <v>0.52038226223559991</v>
      </c>
      <c r="KV55" s="5">
        <v>0.53191869919115564</v>
      </c>
      <c r="KW55" s="5">
        <v>0.53651204074867453</v>
      </c>
      <c r="KX55" s="5">
        <v>0.55375341782164278</v>
      </c>
      <c r="KY55" s="4">
        <v>0.57918007224625245</v>
      </c>
      <c r="KZ55" s="5">
        <v>0.56947178600230486</v>
      </c>
      <c r="LA55" s="5">
        <v>0.78189415399342466</v>
      </c>
      <c r="LB55" s="5">
        <v>0.77724385614017477</v>
      </c>
      <c r="LC55" s="4">
        <v>0.75922120394853188</v>
      </c>
      <c r="LD55" s="5">
        <v>0.73412816051187002</v>
      </c>
      <c r="LE55" s="5">
        <v>0.71299095621822539</v>
      </c>
      <c r="LF55" s="5">
        <v>0.71585132950039232</v>
      </c>
      <c r="LG55" s="5">
        <v>0.71200774068985206</v>
      </c>
      <c r="LH55" s="4">
        <v>0.72531392493447544</v>
      </c>
      <c r="LI55" s="5">
        <v>0.75527370442137254</v>
      </c>
      <c r="LJ55" s="5">
        <v>0.76763992022364358</v>
      </c>
      <c r="LL55" s="3" t="s">
        <v>183</v>
      </c>
      <c r="LM55" s="3" t="s">
        <v>160</v>
      </c>
      <c r="LN55" s="3" t="s">
        <v>161</v>
      </c>
      <c r="LO55" s="5">
        <v>0.74105452993606225</v>
      </c>
    </row>
    <row r="56" spans="2:327" x14ac:dyDescent="0.45">
      <c r="B56" s="6" t="s">
        <v>228</v>
      </c>
      <c r="C56" s="6" t="s">
        <v>151</v>
      </c>
      <c r="D56" s="8">
        <v>0.25442203648434525</v>
      </c>
      <c r="E56" s="8">
        <v>0.24389879028952249</v>
      </c>
      <c r="F56" s="8">
        <v>0.25104475062889825</v>
      </c>
      <c r="G56" s="8">
        <v>0.26136606154531383</v>
      </c>
      <c r="H56" s="8">
        <v>0.26053830437253661</v>
      </c>
      <c r="I56" s="8">
        <v>0.25993061110297777</v>
      </c>
      <c r="J56" s="8">
        <v>0.2658890432823835</v>
      </c>
      <c r="K56" s="8">
        <v>0.26377606023908284</v>
      </c>
      <c r="L56" s="8">
        <v>0.25902124222876355</v>
      </c>
      <c r="M56" s="8">
        <v>0.2597095609953925</v>
      </c>
      <c r="N56" s="8">
        <v>0.24197381361210224</v>
      </c>
      <c r="O56" s="8">
        <v>0.25299276258005821</v>
      </c>
      <c r="P56" s="8">
        <v>0.25601805575355185</v>
      </c>
      <c r="Q56" s="8">
        <v>0.27032165869646496</v>
      </c>
      <c r="R56" s="8">
        <v>0.28426359272116697</v>
      </c>
      <c r="S56" s="8">
        <v>0.27754252516590444</v>
      </c>
      <c r="T56" s="8">
        <v>0.27415302514227463</v>
      </c>
      <c r="U56" s="8">
        <v>0.26120928527432147</v>
      </c>
      <c r="V56" s="8">
        <v>0.2427874953431931</v>
      </c>
      <c r="W56" s="8">
        <v>0.24580328536559215</v>
      </c>
      <c r="X56" s="8">
        <v>0.25920753559237902</v>
      </c>
      <c r="Y56" s="8">
        <v>0.28185918089841155</v>
      </c>
      <c r="Z56" s="8">
        <v>0.29026570781794592</v>
      </c>
      <c r="AA56" s="8">
        <v>0.32179052206265285</v>
      </c>
      <c r="AB56" s="8">
        <v>0.33553204004470993</v>
      </c>
      <c r="AC56" s="8">
        <v>0.32628280295584389</v>
      </c>
      <c r="AD56" s="8">
        <v>0.31178152416150717</v>
      </c>
      <c r="AE56" s="8">
        <v>0.29717527726338788</v>
      </c>
      <c r="AF56" s="8">
        <v>0.2730704374604711</v>
      </c>
      <c r="AG56" s="8">
        <v>0.25048740278195225</v>
      </c>
      <c r="AH56" s="8">
        <v>0.34248131421133798</v>
      </c>
      <c r="AI56" s="8">
        <v>0.34595891522453132</v>
      </c>
      <c r="AJ56" s="8">
        <v>0.35508131076693988</v>
      </c>
      <c r="AK56" s="8">
        <v>0.36310486547942061</v>
      </c>
      <c r="AL56" s="8">
        <v>0.37520851285644341</v>
      </c>
      <c r="AM56" s="8">
        <v>0.37824212031611454</v>
      </c>
      <c r="AN56" s="8">
        <v>0.37099628971888343</v>
      </c>
      <c r="AO56" s="8">
        <v>0.3505076731492765</v>
      </c>
      <c r="AP56" s="8">
        <v>0.32710997837811739</v>
      </c>
      <c r="AQ56" s="8">
        <v>0.32396899448183536</v>
      </c>
      <c r="AR56" s="8">
        <v>0.32127681012318637</v>
      </c>
      <c r="AS56" s="8">
        <v>0.34748091539413195</v>
      </c>
      <c r="AT56" s="8">
        <v>0.32406825020038643</v>
      </c>
      <c r="AU56" s="8">
        <v>0.31154728053987285</v>
      </c>
      <c r="AV56" s="8">
        <v>0.31171625766883865</v>
      </c>
      <c r="AW56" s="8">
        <v>0.2951941555815345</v>
      </c>
      <c r="AX56" s="8">
        <v>0.27427748903001548</v>
      </c>
      <c r="AY56" s="8">
        <v>0.26422586776643209</v>
      </c>
      <c r="AZ56" s="8">
        <v>0.2776191481138906</v>
      </c>
      <c r="BA56" s="8">
        <v>0.28726119686493046</v>
      </c>
      <c r="BB56" s="8">
        <v>0.25466079815176212</v>
      </c>
      <c r="BC56" s="8">
        <v>0.24138867916406256</v>
      </c>
      <c r="BD56" s="8">
        <v>0.23533796821973715</v>
      </c>
      <c r="BE56" s="8">
        <v>0.22920697004583088</v>
      </c>
      <c r="BF56" s="8">
        <v>0.2326247628605615</v>
      </c>
      <c r="BG56" s="8">
        <v>0.24374816900575519</v>
      </c>
      <c r="BH56" s="8">
        <v>0.2393955276096871</v>
      </c>
      <c r="BI56" s="8">
        <v>0.22645469541064728</v>
      </c>
      <c r="BJ56" s="8">
        <v>0.23294510798477511</v>
      </c>
      <c r="BK56" s="8">
        <v>0.26405201332331818</v>
      </c>
      <c r="BM56" s="6" t="s">
        <v>228</v>
      </c>
      <c r="BN56" s="6" t="s">
        <v>152</v>
      </c>
      <c r="BO56" s="8">
        <v>1.385988599812754E-2</v>
      </c>
      <c r="BP56" s="8">
        <v>1.029448168062334E-2</v>
      </c>
      <c r="BQ56" s="7">
        <v>1.1668163599706445E-2</v>
      </c>
      <c r="BR56" s="8">
        <v>2.4911292400340325E-2</v>
      </c>
      <c r="BS56" s="8">
        <v>3.2141615110380259E-2</v>
      </c>
      <c r="BT56" s="8">
        <v>1.1475277335562157E-2</v>
      </c>
      <c r="BU56" s="7">
        <v>1.4376459742640667E-2</v>
      </c>
      <c r="BV56" s="8">
        <v>2.6288824913927571E-2</v>
      </c>
      <c r="BW56" s="7">
        <v>1.7571646671668384E-2</v>
      </c>
      <c r="BX56" s="8">
        <v>8.0373485321384719E-3</v>
      </c>
      <c r="BY56" s="7">
        <v>1.1566652276115431E-2</v>
      </c>
      <c r="BZ56" s="7">
        <v>1.2213368914709215E-2</v>
      </c>
      <c r="CA56" s="7">
        <v>1.1548869123080424E-2</v>
      </c>
      <c r="CB56" s="7">
        <v>1.6138508073774444E-2</v>
      </c>
      <c r="CC56" s="7">
        <v>1.4099550624792023E-2</v>
      </c>
      <c r="CD56" s="8">
        <v>6.7394154649160053E-3</v>
      </c>
      <c r="CE56" s="7">
        <v>5.8232246193800196E-3</v>
      </c>
      <c r="CF56" s="8">
        <v>1.215023237927044E-2</v>
      </c>
      <c r="CG56" s="7">
        <v>8.8285716272815777E-3</v>
      </c>
      <c r="CH56" s="8">
        <v>1.0276951959374527E-2</v>
      </c>
      <c r="CI56" s="8">
        <v>1.4622215501573022E-2</v>
      </c>
      <c r="CJ56" s="7">
        <v>4.0071291107786621E-4</v>
      </c>
      <c r="CK56" s="8">
        <v>4.1418552352516297E-3</v>
      </c>
      <c r="CL56" s="7">
        <v>1.059928326666526E-2</v>
      </c>
      <c r="CM56" s="8">
        <v>1.2025958073282265E-2</v>
      </c>
      <c r="CN56" s="8">
        <v>7.0158592995441848E-3</v>
      </c>
      <c r="CO56" s="8">
        <v>1.5827383197665273E-2</v>
      </c>
      <c r="CP56" s="8">
        <v>1.6004624947199151E-2</v>
      </c>
      <c r="CQ56" s="8">
        <v>1.0923173602101375E-2</v>
      </c>
      <c r="CR56" s="8">
        <v>1.3663204497394953E-2</v>
      </c>
      <c r="CS56" s="8">
        <v>1.8955705551771482E-2</v>
      </c>
      <c r="CT56" s="8">
        <v>1.3791372611503405E-2</v>
      </c>
      <c r="CU56" s="7">
        <v>2.0737524445811745E-2</v>
      </c>
      <c r="CV56" s="7">
        <v>2.690608749472528E-2</v>
      </c>
      <c r="CW56" s="8">
        <v>1.9326278064406583E-2</v>
      </c>
      <c r="CX56" s="7">
        <v>1.9298815670931415E-2</v>
      </c>
      <c r="CY56" s="7">
        <v>1.3564249568673819E-2</v>
      </c>
      <c r="CZ56" s="7">
        <v>2.0855146066468518E-3</v>
      </c>
      <c r="DA56" s="7">
        <v>8.204353954918947E-3</v>
      </c>
      <c r="DB56" s="8">
        <v>3.5883073777097436E-2</v>
      </c>
      <c r="DC56" s="8">
        <v>4.399834226209029E-3</v>
      </c>
      <c r="DD56" s="7">
        <v>1.0333002947676207E-2</v>
      </c>
      <c r="DE56" s="7">
        <v>2.8935886301894496E-2</v>
      </c>
      <c r="DF56" s="8">
        <v>3.1792027488429603E-2</v>
      </c>
      <c r="DG56" s="8">
        <v>1.8846885253859819E-2</v>
      </c>
      <c r="DH56" s="7">
        <v>1.0183834390174331E-2</v>
      </c>
      <c r="DI56" s="7">
        <v>1.8720848410991725E-2</v>
      </c>
      <c r="DJ56" s="7">
        <v>2.6873188008667042E-2</v>
      </c>
      <c r="DK56" s="7">
        <v>1.2128851778211516E-2</v>
      </c>
      <c r="DL56" s="8">
        <v>0</v>
      </c>
      <c r="DM56" s="8">
        <v>9.6719610975768786E-3</v>
      </c>
      <c r="DN56" s="8">
        <v>2.220393275735464E-2</v>
      </c>
      <c r="DO56" s="8">
        <v>1.7449961149283537E-2</v>
      </c>
      <c r="DP56" s="8">
        <v>1.5574270198307502E-2</v>
      </c>
      <c r="DQ56" s="8">
        <v>2.1346912189163247E-2</v>
      </c>
      <c r="DR56" s="8">
        <v>1.2175184818106101E-2</v>
      </c>
      <c r="DS56" s="8">
        <v>7.6700773718228043E-3</v>
      </c>
      <c r="DT56" s="7">
        <v>6.0355208624046797E-3</v>
      </c>
      <c r="DU56" s="8">
        <v>1.1453362577795966E-2</v>
      </c>
      <c r="DV56" s="8">
        <v>1.2565264587728551E-2</v>
      </c>
      <c r="DX56" s="6" t="s">
        <v>228</v>
      </c>
      <c r="DY56" s="6" t="s">
        <v>153</v>
      </c>
      <c r="DZ56" s="7">
        <v>1.281913203801624E-2</v>
      </c>
      <c r="EA56" s="8">
        <v>1.6049322479458519E-2</v>
      </c>
      <c r="EB56" s="8">
        <v>1.8210641345229785E-2</v>
      </c>
      <c r="EC56" s="8">
        <v>8.4798509075344284E-3</v>
      </c>
      <c r="ED56" s="7">
        <v>7.7830886371088566E-3</v>
      </c>
      <c r="EE56" s="8">
        <v>2.056748559881522E-2</v>
      </c>
      <c r="EF56" s="7">
        <v>2.2948248337424922E-2</v>
      </c>
      <c r="EG56" s="8">
        <v>1.5812766627747988E-2</v>
      </c>
      <c r="EH56" s="8">
        <v>2.0001847447517179E-2</v>
      </c>
      <c r="EI56" s="8">
        <v>3.0296352539139537E-2</v>
      </c>
      <c r="EJ56" s="8">
        <v>1.3441187211788956E-2</v>
      </c>
      <c r="EK56" s="8">
        <v>1.2677471578821568E-2</v>
      </c>
      <c r="EL56" s="8">
        <v>1.1544852252314405E-2</v>
      </c>
      <c r="EM56" s="8">
        <v>1.4919322039013727E-2</v>
      </c>
      <c r="EN56" s="8">
        <v>2.4054513882559921E-2</v>
      </c>
      <c r="EO56" s="7">
        <v>2.6520469821263763E-2</v>
      </c>
      <c r="EP56" s="7">
        <v>2.4807604170761433E-2</v>
      </c>
      <c r="EQ56" s="7">
        <v>1.2468438575289341E-2</v>
      </c>
      <c r="ER56" s="7">
        <v>9.0586903641768426E-3</v>
      </c>
      <c r="ES56" s="7">
        <v>1.4364908399724491E-2</v>
      </c>
      <c r="ET56" s="8">
        <v>1.4942579528032815E-2</v>
      </c>
      <c r="EU56" s="8">
        <v>3.3726990136148258E-2</v>
      </c>
      <c r="EV56" s="8">
        <v>1.7191233726262415E-2</v>
      </c>
      <c r="EW56" s="8">
        <v>0</v>
      </c>
      <c r="EX56" s="7">
        <v>1.8596287208847613E-3</v>
      </c>
      <c r="EY56" s="8">
        <v>5.213935304130406E-3</v>
      </c>
      <c r="EZ56" s="8">
        <v>7.1038151453351062E-3</v>
      </c>
      <c r="FA56" s="8">
        <v>1.4909161719630224E-2</v>
      </c>
      <c r="FB56" s="8">
        <v>1.5419972924846599E-2</v>
      </c>
      <c r="FC56" s="8">
        <v>1.2391648001784508E-2</v>
      </c>
      <c r="FD56" s="8">
        <v>5.7128904861821532E-2</v>
      </c>
      <c r="FE56" s="8">
        <v>2.6353527125037388E-2</v>
      </c>
      <c r="FF56" s="8">
        <v>1.7176524385776734E-3</v>
      </c>
      <c r="FG56" s="8">
        <v>7.5582236540786907E-3</v>
      </c>
      <c r="FH56" s="7">
        <v>3.6674002084471156E-2</v>
      </c>
      <c r="FI56" s="8">
        <v>4.7224933951945464E-2</v>
      </c>
      <c r="FJ56" s="8">
        <v>3.2084798440326676E-2</v>
      </c>
      <c r="FK56" s="8">
        <v>3.9568653744403035E-2</v>
      </c>
      <c r="FL56" s="8">
        <v>2.2606514034484965E-2</v>
      </c>
      <c r="FM56" s="7">
        <v>7.770398243944752E-3</v>
      </c>
      <c r="FN56" s="8">
        <v>4.0453557760819041E-3</v>
      </c>
      <c r="FO56" s="8">
        <v>1.7322257556712632E-3</v>
      </c>
      <c r="FP56" s="7">
        <v>9.6198392992228763E-4</v>
      </c>
      <c r="FQ56" s="7">
        <v>8.6473731366291939E-3</v>
      </c>
      <c r="FR56" s="7">
        <v>3.111657818840545E-2</v>
      </c>
      <c r="FS56" s="7">
        <v>4.0831118997140273E-2</v>
      </c>
      <c r="FT56" s="8">
        <v>1.9157457618425272E-2</v>
      </c>
      <c r="FU56" s="8">
        <v>1.1655617585077431E-2</v>
      </c>
      <c r="FV56" s="7">
        <v>2.3290686954752299E-2</v>
      </c>
      <c r="FW56" s="8">
        <v>3.3119346757451193E-2</v>
      </c>
      <c r="FX56" s="8">
        <v>1.2034304628121772E-2</v>
      </c>
      <c r="FY56" s="8">
        <v>5.3880165397224957E-3</v>
      </c>
      <c r="FZ56" s="8">
        <v>1.1883382277297199E-2</v>
      </c>
      <c r="GA56" s="8">
        <v>1.7740492888975223E-2</v>
      </c>
      <c r="GB56" s="8">
        <v>1.8687148511733444E-2</v>
      </c>
      <c r="GC56" s="8">
        <v>2.4466957813525175E-2</v>
      </c>
      <c r="GD56" s="8">
        <v>2.910155455403355E-2</v>
      </c>
      <c r="GE56" s="8">
        <v>2.4832607228663098E-2</v>
      </c>
      <c r="GF56" s="8">
        <v>1.0349226080259824E-2</v>
      </c>
      <c r="GG56" s="8">
        <v>8.3405789948874775E-3</v>
      </c>
      <c r="GI56" s="6" t="s">
        <v>228</v>
      </c>
      <c r="GJ56" s="6" t="s">
        <v>154</v>
      </c>
      <c r="GK56" s="8">
        <v>0.1018699598310368</v>
      </c>
      <c r="GL56" s="8">
        <v>0.1030844201711706</v>
      </c>
      <c r="GM56" s="8">
        <v>9.6252160059167841E-2</v>
      </c>
      <c r="GN56" s="8">
        <v>9.7107823329904697E-2</v>
      </c>
      <c r="GO56" s="8">
        <v>9.9157944924029587E-2</v>
      </c>
      <c r="GP56" s="8">
        <v>0.10452905116272113</v>
      </c>
      <c r="GQ56" s="8">
        <v>9.7184741882275494E-2</v>
      </c>
      <c r="GR56" s="8">
        <v>9.4358672680401864E-2</v>
      </c>
      <c r="GS56" s="8">
        <v>9.2410972600850419E-2</v>
      </c>
      <c r="GT56" s="8">
        <v>8.6568338475805987E-2</v>
      </c>
      <c r="GU56" s="8">
        <v>9.9733318917690786E-2</v>
      </c>
      <c r="GV56" s="8">
        <v>0.1018430729350472</v>
      </c>
      <c r="GW56" s="8">
        <v>0.1089553393360591</v>
      </c>
      <c r="GX56" s="8">
        <v>0.11893638722926626</v>
      </c>
      <c r="GY56" s="8">
        <v>0.12591031854080245</v>
      </c>
      <c r="GZ56" s="8">
        <v>0.1280159414724312</v>
      </c>
      <c r="HA56" s="7">
        <v>0.12027153189808686</v>
      </c>
      <c r="HB56" s="8">
        <v>0.1196122834385431</v>
      </c>
      <c r="HC56" s="8">
        <v>0.10968813109414262</v>
      </c>
      <c r="HD56" s="8">
        <v>9.9074319136585889E-2</v>
      </c>
      <c r="HE56" s="8">
        <v>0.10206108121463256</v>
      </c>
      <c r="HF56" s="8">
        <v>0.12036210644045663</v>
      </c>
      <c r="HG56" s="8">
        <v>0.13813670454011531</v>
      </c>
      <c r="HH56" s="8">
        <v>0.17393786981917481</v>
      </c>
      <c r="HI56" s="8">
        <v>0.18035937411775713</v>
      </c>
      <c r="HJ56" s="8">
        <v>0.17931714399560822</v>
      </c>
      <c r="HK56" s="8">
        <v>0.15788932535041209</v>
      </c>
      <c r="HL56" s="7">
        <v>0.13820441489704835</v>
      </c>
      <c r="HM56" s="8">
        <v>0.12893497417563618</v>
      </c>
      <c r="HN56" s="8">
        <v>0.1075266438755836</v>
      </c>
      <c r="HO56" s="8">
        <v>0.14698172890492511</v>
      </c>
      <c r="HP56" s="8">
        <v>0.1712795956507579</v>
      </c>
      <c r="HQ56" s="8">
        <v>0.18997867255214709</v>
      </c>
      <c r="HR56" s="8">
        <v>0.18504021837622048</v>
      </c>
      <c r="HS56" s="8">
        <v>0.1788491814372086</v>
      </c>
      <c r="HT56" s="8">
        <v>0.17024803986035056</v>
      </c>
      <c r="HU56" s="8">
        <v>0.18931111308078202</v>
      </c>
      <c r="HV56" s="7">
        <v>0.17444611704988106</v>
      </c>
      <c r="HW56" s="8">
        <v>0.16332802906778029</v>
      </c>
      <c r="HX56" s="8">
        <v>0.15314434120495499</v>
      </c>
      <c r="HY56" s="8">
        <v>0.18093634771735623</v>
      </c>
      <c r="HZ56" s="8">
        <v>0.18204867655945409</v>
      </c>
      <c r="IA56" s="8">
        <v>0.15108915981136833</v>
      </c>
      <c r="IB56" s="8">
        <v>0.13724843603767098</v>
      </c>
      <c r="IC56" s="8">
        <v>0.12790064216234912</v>
      </c>
      <c r="ID56" s="8">
        <v>0.11314377786263388</v>
      </c>
      <c r="IE56" s="8">
        <v>0.10860527282786957</v>
      </c>
      <c r="IF56" s="8">
        <v>9.8424249234158614E-2</v>
      </c>
      <c r="IG56" s="8">
        <v>0.10949503405879278</v>
      </c>
      <c r="IH56" s="8">
        <v>0.12385624125669467</v>
      </c>
      <c r="II56" s="8">
        <v>0.10433889338838494</v>
      </c>
      <c r="IJ56" s="8">
        <v>8.8045823469186005E-2</v>
      </c>
      <c r="IK56" s="8">
        <v>8.2080187199880805E-2</v>
      </c>
      <c r="IL56" s="8">
        <v>6.9172110721120172E-2</v>
      </c>
      <c r="IM56" s="8">
        <v>7.7510805088611023E-2</v>
      </c>
      <c r="IN56" s="8">
        <v>9.0238239484198804E-2</v>
      </c>
      <c r="IO56" s="8">
        <v>8.7025372267669598E-2</v>
      </c>
      <c r="IP56" s="8">
        <v>9.1982802459319737E-2</v>
      </c>
      <c r="IQ56" s="8">
        <v>0.10274450203495918</v>
      </c>
      <c r="IR56" s="8">
        <v>0.11651717356644335</v>
      </c>
      <c r="JB56" s="6" t="s">
        <v>228</v>
      </c>
      <c r="JC56" s="8">
        <v>0.60162287248874668</v>
      </c>
      <c r="JD56" s="8">
        <v>0.59991105328507977</v>
      </c>
      <c r="JE56" s="7">
        <v>0.60390439552418751</v>
      </c>
      <c r="JF56" s="8">
        <v>0.5873629567575066</v>
      </c>
      <c r="JG56" s="8">
        <v>0.56746327050191603</v>
      </c>
      <c r="JH56" s="8">
        <v>0.56369533283825835</v>
      </c>
      <c r="JI56" s="8">
        <v>0.57183296809421791</v>
      </c>
      <c r="JJ56" s="8">
        <v>0.58637986098376282</v>
      </c>
      <c r="JK56" s="8">
        <v>0.60291255467409877</v>
      </c>
      <c r="JL56" s="8">
        <v>0.60670399250901674</v>
      </c>
      <c r="JM56" s="8">
        <v>0.6012553779489217</v>
      </c>
      <c r="JN56" s="7">
        <v>0.59587191918862126</v>
      </c>
      <c r="JO56" s="8">
        <v>0.58761772569890391</v>
      </c>
      <c r="JP56" s="8">
        <v>0.56199105983771414</v>
      </c>
      <c r="JQ56" s="8">
        <v>0.54447947949833042</v>
      </c>
      <c r="JR56" s="8">
        <v>0.54734336410135798</v>
      </c>
      <c r="JS56" s="8">
        <v>0.56266774888534699</v>
      </c>
      <c r="JT56" s="8">
        <v>0.58634503352630163</v>
      </c>
      <c r="JU56" s="8">
        <v>0.60411319612704761</v>
      </c>
      <c r="JV56" s="8">
        <v>0.59571931117035792</v>
      </c>
      <c r="JW56" s="7">
        <v>0.56970216322402922</v>
      </c>
      <c r="JX56" s="8">
        <v>0.53709146743047009</v>
      </c>
      <c r="JY56" s="8">
        <v>0.52338385667488341</v>
      </c>
      <c r="JZ56" s="8">
        <v>0.48191809040657374</v>
      </c>
      <c r="KA56" s="8">
        <v>0.46988441307267798</v>
      </c>
      <c r="KB56" s="8">
        <v>0.48916937980750802</v>
      </c>
      <c r="KC56" s="8">
        <v>0.51732788298392818</v>
      </c>
      <c r="KD56" s="8">
        <v>0.54333102076192896</v>
      </c>
      <c r="KE56" s="8">
        <v>0.56766304249255062</v>
      </c>
      <c r="KF56" s="7">
        <v>0.58205410795465551</v>
      </c>
      <c r="KG56" s="7">
        <v>0.36192862305695228</v>
      </c>
      <c r="KH56" s="8">
        <v>0.35401630822552865</v>
      </c>
      <c r="KI56" s="8">
        <v>0.36436830691088345</v>
      </c>
      <c r="KJ56" s="8">
        <v>0.35355932462046163</v>
      </c>
      <c r="KK56" s="8">
        <v>0.34503006807597159</v>
      </c>
      <c r="KL56" s="8">
        <v>0.35309188204455638</v>
      </c>
      <c r="KM56" s="8">
        <v>0.36582232428441935</v>
      </c>
      <c r="KN56" s="8">
        <v>0.39097796311380334</v>
      </c>
      <c r="KO56" s="8">
        <v>0.41300607336888173</v>
      </c>
      <c r="KP56" s="7">
        <v>0.405950887886048</v>
      </c>
      <c r="KQ56" s="8">
        <v>0.5095768437190803</v>
      </c>
      <c r="KR56" s="7">
        <v>0.49346769727292622</v>
      </c>
      <c r="KS56" s="8">
        <v>0.51303794199772512</v>
      </c>
      <c r="KT56" s="8">
        <v>0.51391911282904013</v>
      </c>
      <c r="KU56" s="8">
        <v>0.51589342472973398</v>
      </c>
      <c r="KV56" s="8">
        <v>0.53916062488436878</v>
      </c>
      <c r="KW56" s="8">
        <v>0.57067841365757344</v>
      </c>
      <c r="KX56" s="8">
        <v>0.59424507533779813</v>
      </c>
      <c r="KY56" s="7">
        <v>0.57991425157780763</v>
      </c>
      <c r="KZ56" s="8">
        <v>0.56799037442371436</v>
      </c>
      <c r="LA56" s="8">
        <v>0.62418083292649529</v>
      </c>
      <c r="LB56" s="8">
        <v>0.63558571858382473</v>
      </c>
      <c r="LC56" s="7">
        <v>0.64561827967392516</v>
      </c>
      <c r="LD56" s="8">
        <v>0.65807145729910888</v>
      </c>
      <c r="LE56" s="8">
        <v>0.64015109985335805</v>
      </c>
      <c r="LF56" s="8">
        <v>0.62332190898153494</v>
      </c>
      <c r="LG56" s="8">
        <v>0.62298542844266902</v>
      </c>
      <c r="LH56" s="7">
        <v>0.62694319220719097</v>
      </c>
      <c r="LI56" s="8">
        <v>0.63185450654289155</v>
      </c>
      <c r="LJ56" s="8">
        <v>0.60290215167557859</v>
      </c>
      <c r="LL56" s="6" t="s">
        <v>185</v>
      </c>
      <c r="LM56" s="6" t="s">
        <v>160</v>
      </c>
      <c r="LN56" s="6" t="s">
        <v>161</v>
      </c>
      <c r="LO56" s="8">
        <v>0.66436730113193454</v>
      </c>
    </row>
    <row r="57" spans="2:327" x14ac:dyDescent="0.45">
      <c r="B57" s="3" t="s">
        <v>229</v>
      </c>
      <c r="C57" s="3" t="s">
        <v>151</v>
      </c>
      <c r="D57" s="5">
        <v>0.26461041570169297</v>
      </c>
      <c r="E57" s="5">
        <v>0.25986268288487596</v>
      </c>
      <c r="F57" s="5">
        <v>0.26372413569450776</v>
      </c>
      <c r="G57" s="5">
        <v>0.25635497425528203</v>
      </c>
      <c r="H57" s="5">
        <v>0.25589070763337862</v>
      </c>
      <c r="I57" s="5">
        <v>0.25961161763593499</v>
      </c>
      <c r="J57" s="5">
        <v>0.25996423040591371</v>
      </c>
      <c r="K57" s="5">
        <v>0.25171268860034729</v>
      </c>
      <c r="L57" s="5">
        <v>0.2418047606335145</v>
      </c>
      <c r="M57" s="5">
        <v>0.24757242884899461</v>
      </c>
      <c r="N57" s="5">
        <v>0.27090893662884474</v>
      </c>
      <c r="O57" s="5">
        <v>0.25435988964779427</v>
      </c>
      <c r="P57" s="5">
        <v>0.24777854417577905</v>
      </c>
      <c r="Q57" s="5">
        <v>0.25087767154176399</v>
      </c>
      <c r="R57" s="5">
        <v>0.26900484453174633</v>
      </c>
      <c r="S57" s="5">
        <v>0.28256796533278555</v>
      </c>
      <c r="T57" s="5">
        <v>0.29627528743478782</v>
      </c>
      <c r="U57" s="5">
        <v>0.30472466085681249</v>
      </c>
      <c r="V57" s="5">
        <v>0.29386503199096048</v>
      </c>
      <c r="W57" s="5">
        <v>0.2730733258687178</v>
      </c>
      <c r="X57" s="5">
        <v>0.31728965365491968</v>
      </c>
      <c r="Y57" s="5">
        <v>0.33054750540995026</v>
      </c>
      <c r="Z57" s="5">
        <v>0.32894261677454456</v>
      </c>
      <c r="AA57" s="5">
        <v>0.33331511519911722</v>
      </c>
      <c r="AB57" s="5">
        <v>0.33065502876940273</v>
      </c>
      <c r="AC57" s="5">
        <v>0.31254778307164577</v>
      </c>
      <c r="AD57" s="5">
        <v>0.29810082502557522</v>
      </c>
      <c r="AE57" s="5">
        <v>0.29839956284913882</v>
      </c>
      <c r="AF57" s="5">
        <v>0.29854499032823945</v>
      </c>
      <c r="AG57" s="5">
        <v>0.30439067762649613</v>
      </c>
      <c r="AH57" s="5">
        <v>0.29421134182786418</v>
      </c>
      <c r="AI57" s="5">
        <v>0.30366553569513899</v>
      </c>
      <c r="AJ57" s="5">
        <v>0.30179679857737546</v>
      </c>
      <c r="AK57" s="5">
        <v>0.3223823170459964</v>
      </c>
      <c r="AL57" s="5">
        <v>0.34873161688576987</v>
      </c>
      <c r="AM57" s="5">
        <v>0.37197656855198546</v>
      </c>
      <c r="AN57" s="5">
        <v>0.38829120780452292</v>
      </c>
      <c r="AO57" s="5">
        <v>0.37107894498249611</v>
      </c>
      <c r="AP57" s="5">
        <v>0.33218823083727395</v>
      </c>
      <c r="AQ57" s="5">
        <v>0.29663401683728013</v>
      </c>
      <c r="AR57" s="5">
        <v>0.21931963351534156</v>
      </c>
      <c r="AS57" s="5">
        <v>0.22923645891848621</v>
      </c>
      <c r="AT57" s="5">
        <v>0.24553494278772436</v>
      </c>
      <c r="AU57" s="5">
        <v>0.24773836393608051</v>
      </c>
      <c r="AV57" s="5">
        <v>0.23050326464192691</v>
      </c>
      <c r="AW57" s="5">
        <v>0.21633190117080731</v>
      </c>
      <c r="AX57" s="5">
        <v>0.21130264454356851</v>
      </c>
      <c r="AY57" s="5">
        <v>0.2068878773436425</v>
      </c>
      <c r="AZ57" s="5">
        <v>0.19498038289471359</v>
      </c>
      <c r="BA57" s="5">
        <v>0.19698654669016694</v>
      </c>
      <c r="BB57" s="5">
        <v>0.12895845966155617</v>
      </c>
      <c r="BC57" s="5">
        <v>0.15774253176803249</v>
      </c>
      <c r="BD57" s="5">
        <v>0.16340477774006984</v>
      </c>
      <c r="BE57" s="5">
        <v>0.16727085226446053</v>
      </c>
      <c r="BF57" s="5">
        <v>0.15708227240502173</v>
      </c>
      <c r="BG57" s="5">
        <v>0.15319436288761293</v>
      </c>
      <c r="BH57" s="5">
        <v>0.15128696350349657</v>
      </c>
      <c r="BI57" s="5">
        <v>0.14936669629427418</v>
      </c>
      <c r="BJ57" s="5">
        <v>0.14793287138166389</v>
      </c>
      <c r="BK57" s="5">
        <v>0.13239259704544551</v>
      </c>
      <c r="BM57" s="3" t="s">
        <v>229</v>
      </c>
      <c r="BN57" s="3" t="s">
        <v>152</v>
      </c>
      <c r="BO57" s="5">
        <v>2.4714098959503161E-2</v>
      </c>
      <c r="BP57" s="5">
        <v>1.5602291445851091E-2</v>
      </c>
      <c r="BQ57" s="4">
        <v>1.8863991148399147E-2</v>
      </c>
      <c r="BR57" s="5">
        <v>1.5020955492860229E-2</v>
      </c>
      <c r="BS57" s="5">
        <v>5.1860761195631783E-3</v>
      </c>
      <c r="BT57" s="5">
        <v>7.9962497669717348E-3</v>
      </c>
      <c r="BU57" s="4">
        <v>1.0808118835730495E-2</v>
      </c>
      <c r="BV57" s="5">
        <v>1.3087721525683783E-2</v>
      </c>
      <c r="BW57" s="4">
        <v>1.9954343696245418E-2</v>
      </c>
      <c r="BX57" s="5">
        <v>1.6531056264653871E-2</v>
      </c>
      <c r="BY57" s="4">
        <v>6.2907931008319576E-3</v>
      </c>
      <c r="BZ57" s="4">
        <v>6.9955756858519329E-3</v>
      </c>
      <c r="CA57" s="4">
        <v>9.2201574866871486E-3</v>
      </c>
      <c r="CB57" s="4">
        <v>3.2489172857692113E-3</v>
      </c>
      <c r="CC57" s="4">
        <v>5.9179041773710674E-3</v>
      </c>
      <c r="CD57" s="5">
        <v>7.7559588168323295E-3</v>
      </c>
      <c r="CE57" s="4">
        <v>7.7688350822870782E-3</v>
      </c>
      <c r="CF57" s="5">
        <v>1.324654777656855E-2</v>
      </c>
      <c r="CG57" s="4">
        <v>1.2995857611222154E-2</v>
      </c>
      <c r="CH57" s="5">
        <v>3.7284902838171765E-3</v>
      </c>
      <c r="CI57" s="5">
        <v>2.3035402921434741E-2</v>
      </c>
      <c r="CJ57" s="4">
        <v>8.2469387266551671E-3</v>
      </c>
      <c r="CK57" s="5">
        <v>1.4585324053880027E-2</v>
      </c>
      <c r="CL57" s="4">
        <v>1.191208254165876E-2</v>
      </c>
      <c r="CM57" s="5">
        <v>1.5270866372620982E-2</v>
      </c>
      <c r="CN57" s="5">
        <v>1.6325924238549453E-2</v>
      </c>
      <c r="CO57" s="5">
        <v>1.6475039815973827E-2</v>
      </c>
      <c r="CP57" s="5">
        <v>3.9638061924347753E-2</v>
      </c>
      <c r="CQ57" s="5">
        <v>4.5137604980052433E-2</v>
      </c>
      <c r="CR57" s="5">
        <v>2.5349864994256413E-2</v>
      </c>
      <c r="CS57" s="5">
        <v>1.7568190756807146E-2</v>
      </c>
      <c r="CT57" s="5">
        <v>4.470855487691304E-2</v>
      </c>
      <c r="CU57" s="4">
        <v>3.8399680361590388E-2</v>
      </c>
      <c r="CV57" s="4">
        <v>5.4779927094779884E-2</v>
      </c>
      <c r="CW57" s="5">
        <v>2.6842677519944527E-2</v>
      </c>
      <c r="CX57" s="4">
        <v>1.7477990700857739E-2</v>
      </c>
      <c r="CY57" s="4">
        <v>1.648873497333191E-2</v>
      </c>
      <c r="CZ57" s="4">
        <v>2.6899072031071813E-3</v>
      </c>
      <c r="DA57" s="4">
        <v>7.6890131909085704E-4</v>
      </c>
      <c r="DB57" s="5">
        <v>6.7277231228310922E-3</v>
      </c>
      <c r="DC57" s="5">
        <v>7.4368029027401103E-3</v>
      </c>
      <c r="DD57" s="4">
        <v>1.2697572084404177E-2</v>
      </c>
      <c r="DE57" s="4">
        <v>2.3835325123076758E-2</v>
      </c>
      <c r="DF57" s="5">
        <v>1.5640587180902218E-2</v>
      </c>
      <c r="DG57" s="5">
        <v>0</v>
      </c>
      <c r="DH57" s="4">
        <v>9.4586122865457692E-4</v>
      </c>
      <c r="DI57" s="4">
        <v>6.9359198257118934E-3</v>
      </c>
      <c r="DJ57" s="4">
        <v>1.5544412483349141E-2</v>
      </c>
      <c r="DK57" s="4">
        <v>1.2867648608195033E-2</v>
      </c>
      <c r="DL57" s="5">
        <v>8.3992836871774074E-3</v>
      </c>
      <c r="DM57" s="5">
        <v>9.8366233391674451E-3</v>
      </c>
      <c r="DN57" s="5">
        <v>1.0995548974225498E-2</v>
      </c>
      <c r="DO57" s="5">
        <v>7.3344326145081892E-3</v>
      </c>
      <c r="DP57" s="5">
        <v>5.5579650946470539E-3</v>
      </c>
      <c r="DQ57" s="5">
        <v>5.0265896035135834E-3</v>
      </c>
      <c r="DR57" s="5">
        <v>5.3553625351647647E-3</v>
      </c>
      <c r="DS57" s="5">
        <v>5.9372560907542922E-3</v>
      </c>
      <c r="DT57" s="4">
        <v>7.779910901304591E-3</v>
      </c>
      <c r="DU57" s="5">
        <v>7.2894698717092584E-3</v>
      </c>
      <c r="DV57" s="5">
        <v>1.234874029944338E-2</v>
      </c>
      <c r="DX57" s="3" t="s">
        <v>229</v>
      </c>
      <c r="DY57" s="3" t="s">
        <v>153</v>
      </c>
      <c r="DZ57" s="4">
        <v>1.933058189860011E-2</v>
      </c>
      <c r="EA57" s="5">
        <v>2.0491188313688957E-2</v>
      </c>
      <c r="EB57" s="5">
        <v>1.469618955514812E-2</v>
      </c>
      <c r="EC57" s="5">
        <v>1.9352946452576909E-2</v>
      </c>
      <c r="ED57" s="4">
        <v>2.6274782233315117E-2</v>
      </c>
      <c r="EE57" s="5">
        <v>2.3825433025061279E-2</v>
      </c>
      <c r="EF57" s="4">
        <v>1.133830733985681E-2</v>
      </c>
      <c r="EG57" s="5">
        <v>4.3944156247816731E-3</v>
      </c>
      <c r="EH57" s="5">
        <v>7.8327872882728109E-3</v>
      </c>
      <c r="EI57" s="5">
        <v>2.072038412057664E-2</v>
      </c>
      <c r="EJ57" s="5">
        <v>7.1833395777273256E-3</v>
      </c>
      <c r="EK57" s="5">
        <v>6.1658012297737949E-3</v>
      </c>
      <c r="EL57" s="5">
        <v>5.6944984847607212E-3</v>
      </c>
      <c r="EM57" s="5">
        <v>1.2451603635007762E-2</v>
      </c>
      <c r="EN57" s="5">
        <v>1.1265768833182508E-2</v>
      </c>
      <c r="EO57" s="4">
        <v>9.8990724386239619E-3</v>
      </c>
      <c r="EP57" s="4">
        <v>1.1468936157942649E-2</v>
      </c>
      <c r="EQ57" s="4">
        <v>1.499282987308188E-2</v>
      </c>
      <c r="ER57" s="4">
        <v>1.2568543115023199E-2</v>
      </c>
      <c r="ES57" s="4">
        <v>1.3460388346138941E-2</v>
      </c>
      <c r="ET57" s="5">
        <v>4.5389456769678996E-2</v>
      </c>
      <c r="EU57" s="5">
        <v>3.879379643321134E-2</v>
      </c>
      <c r="EV57" s="5">
        <v>2.0777546874138075E-2</v>
      </c>
      <c r="EW57" s="5">
        <v>1.6794441345798498E-2</v>
      </c>
      <c r="EX57" s="4">
        <v>3.3218265904109964E-2</v>
      </c>
      <c r="EY57" s="5">
        <v>2.3172624996923605E-2</v>
      </c>
      <c r="EZ57" s="5">
        <v>2.2410592275893489E-2</v>
      </c>
      <c r="FA57" s="5">
        <v>1.7400793147779578E-2</v>
      </c>
      <c r="FB57" s="5">
        <v>2.3938211559204638E-2</v>
      </c>
      <c r="FC57" s="5">
        <v>5.1737896508898089E-2</v>
      </c>
      <c r="FD57" s="5">
        <v>3.7975060204902327E-3</v>
      </c>
      <c r="FE57" s="5">
        <v>2.7670746069470585E-2</v>
      </c>
      <c r="FF57" s="5">
        <v>4.7127553834886357E-2</v>
      </c>
      <c r="FG57" s="5">
        <v>4.7045830149608267E-2</v>
      </c>
      <c r="FH57" s="4">
        <v>7.2168182706376233E-2</v>
      </c>
      <c r="FI57" s="5">
        <v>7.5650826909384641E-2</v>
      </c>
      <c r="FJ57" s="5">
        <v>6.6487590149938866E-2</v>
      </c>
      <c r="FK57" s="5">
        <v>4.3275168423247731E-2</v>
      </c>
      <c r="FL57" s="5">
        <v>1.9772656383196044E-2</v>
      </c>
      <c r="FM57" s="4">
        <v>6.1568904124779987E-3</v>
      </c>
      <c r="FN57" s="5">
        <v>1.314048885035775E-2</v>
      </c>
      <c r="FO57" s="5">
        <v>1.2940839605696919E-2</v>
      </c>
      <c r="FP57" s="4">
        <v>1.2066166082774565E-2</v>
      </c>
      <c r="FQ57" s="4">
        <v>1.291594930967075E-2</v>
      </c>
      <c r="FR57" s="4">
        <v>2.5409522629277013E-2</v>
      </c>
      <c r="FS57" s="4">
        <v>1.9028181948944532E-2</v>
      </c>
      <c r="FT57" s="5">
        <v>5.5025317123427097E-3</v>
      </c>
      <c r="FU57" s="5">
        <v>0</v>
      </c>
      <c r="FV57" s="4">
        <v>8.1170122958850541E-3</v>
      </c>
      <c r="FW57" s="5">
        <v>1.8972334555309948E-2</v>
      </c>
      <c r="FX57" s="5">
        <v>9.162701441980569E-3</v>
      </c>
      <c r="FY57" s="5">
        <v>1.1113968908487436E-2</v>
      </c>
      <c r="FZ57" s="5">
        <v>1.2619172014995714E-2</v>
      </c>
      <c r="GA57" s="5">
        <v>1.8414202355005384E-2</v>
      </c>
      <c r="GB57" s="5">
        <v>1.109285577592504E-2</v>
      </c>
      <c r="GC57" s="5">
        <v>1.0137178755767431E-2</v>
      </c>
      <c r="GD57" s="5">
        <v>6.2293953236688716E-3</v>
      </c>
      <c r="GE57" s="5">
        <v>6.6954865488243059E-3</v>
      </c>
      <c r="GF57" s="5">
        <v>7.2493140501069401E-3</v>
      </c>
      <c r="GG57" s="5">
        <v>5.9447008102678197E-3</v>
      </c>
      <c r="GI57" s="3" t="s">
        <v>229</v>
      </c>
      <c r="GJ57" s="3" t="s">
        <v>154</v>
      </c>
      <c r="GK57" s="5">
        <v>0.10082381459591992</v>
      </c>
      <c r="GL57" s="5">
        <v>0.10893899559547607</v>
      </c>
      <c r="GM57" s="5">
        <v>0.10588498326082219</v>
      </c>
      <c r="GN57" s="5">
        <v>0.10433580469311028</v>
      </c>
      <c r="GO57" s="5">
        <v>0.10684298245722916</v>
      </c>
      <c r="GP57" s="5">
        <v>0.11033193646060066</v>
      </c>
      <c r="GQ57" s="5">
        <v>0.11410550497880639</v>
      </c>
      <c r="GR57" s="5">
        <v>0.11560387195932324</v>
      </c>
      <c r="GS57" s="5">
        <v>9.8800099711319922E-2</v>
      </c>
      <c r="GT57" s="5">
        <v>0.1021534714172419</v>
      </c>
      <c r="GU57" s="5">
        <v>0.12836454228292468</v>
      </c>
      <c r="GV57" s="5">
        <v>0.11469464755960229</v>
      </c>
      <c r="GW57" s="5">
        <v>0.10690712606354895</v>
      </c>
      <c r="GX57" s="5">
        <v>0.10820965693476137</v>
      </c>
      <c r="GY57" s="5">
        <v>0.12023425005517872</v>
      </c>
      <c r="GZ57" s="5">
        <v>0.12907218875410836</v>
      </c>
      <c r="HA57" s="4">
        <v>0.13610664998386282</v>
      </c>
      <c r="HB57" s="5">
        <v>0.13001665133340343</v>
      </c>
      <c r="HC57" s="5">
        <v>0.12910356007048882</v>
      </c>
      <c r="HD57" s="5">
        <v>0.12906426240384006</v>
      </c>
      <c r="HE57" s="5">
        <v>0.11111257676459219</v>
      </c>
      <c r="HF57" s="5">
        <v>0.14195690430728866</v>
      </c>
      <c r="HG57" s="5">
        <v>0.15464424953599876</v>
      </c>
      <c r="HH57" s="5">
        <v>0.16663786649572218</v>
      </c>
      <c r="HI57" s="5">
        <v>0.14834585611335094</v>
      </c>
      <c r="HJ57" s="5">
        <v>0.14062419117776961</v>
      </c>
      <c r="HK57" s="5">
        <v>0.12024077787400334</v>
      </c>
      <c r="HL57" s="4">
        <v>0.11266163452991178</v>
      </c>
      <c r="HM57" s="5">
        <v>0.10085406769246757</v>
      </c>
      <c r="HN57" s="5">
        <v>9.0968626387911783E-2</v>
      </c>
      <c r="HO57" s="5">
        <v>0.14882485714311086</v>
      </c>
      <c r="HP57" s="5">
        <v>0.10477323396864084</v>
      </c>
      <c r="HQ57" s="5">
        <v>9.3607250888176619E-2</v>
      </c>
      <c r="HR57" s="5">
        <v>8.9958023917085114E-2</v>
      </c>
      <c r="HS57" s="5">
        <v>0.12129575302576635</v>
      </c>
      <c r="HT57" s="5">
        <v>0.15359241965477499</v>
      </c>
      <c r="HU57" s="5">
        <v>0.17628006666030341</v>
      </c>
      <c r="HV57" s="4">
        <v>0.19919097230279889</v>
      </c>
      <c r="HW57" s="5">
        <v>0.19566284086381194</v>
      </c>
      <c r="HX57" s="5">
        <v>0.16867955736595541</v>
      </c>
      <c r="HY57" s="5">
        <v>8.1543364154536252E-2</v>
      </c>
      <c r="HZ57" s="5">
        <v>7.6038173812578075E-2</v>
      </c>
      <c r="IA57" s="5">
        <v>8.4984575265461534E-2</v>
      </c>
      <c r="IB57" s="5">
        <v>9.5299336144067756E-2</v>
      </c>
      <c r="IC57" s="5">
        <v>9.2227379876476598E-2</v>
      </c>
      <c r="ID57" s="5">
        <v>9.0329434105969303E-2</v>
      </c>
      <c r="IE57" s="5">
        <v>9.0999916914572557E-2</v>
      </c>
      <c r="IF57" s="5">
        <v>8.5450693744767062E-2</v>
      </c>
      <c r="IG57" s="5">
        <v>7.2392879116858988E-2</v>
      </c>
      <c r="IH57" s="5">
        <v>6.5399098095985028E-2</v>
      </c>
      <c r="II57" s="5">
        <v>3.1478257918905468E-2</v>
      </c>
      <c r="IJ57" s="5">
        <v>3.7236603285161485E-2</v>
      </c>
      <c r="IK57" s="5">
        <v>4.1542092216092986E-2</v>
      </c>
      <c r="IL57" s="5">
        <v>4.4999838779033713E-2</v>
      </c>
      <c r="IM57" s="5">
        <v>4.9616710321666091E-2</v>
      </c>
      <c r="IN57" s="5">
        <v>5.2694998110714847E-2</v>
      </c>
      <c r="IO57" s="5">
        <v>5.3944797091128448E-2</v>
      </c>
      <c r="IP57" s="5">
        <v>5.0405903438570834E-2</v>
      </c>
      <c r="IQ57" s="5">
        <v>4.6145066512354282E-2</v>
      </c>
      <c r="IR57" s="5">
        <v>3.4869658283453828E-2</v>
      </c>
      <c r="JB57" s="3" t="s">
        <v>229</v>
      </c>
      <c r="JC57" s="5">
        <v>0.59871256303365183</v>
      </c>
      <c r="JD57" s="5">
        <v>0.59257177961418517</v>
      </c>
      <c r="JE57" s="4">
        <v>0.59750537833913109</v>
      </c>
      <c r="JF57" s="5">
        <v>0.60631844484519981</v>
      </c>
      <c r="JG57" s="5">
        <v>0.60406492370703291</v>
      </c>
      <c r="JH57" s="5">
        <v>0.60047775132495917</v>
      </c>
      <c r="JI57" s="5">
        <v>0.5987125273888676</v>
      </c>
      <c r="JJ57" s="5">
        <v>0.59710791232471683</v>
      </c>
      <c r="JK57" s="5">
        <v>0.59947259670664543</v>
      </c>
      <c r="JL57" s="5">
        <v>0.5883747434952834</v>
      </c>
      <c r="JM57" s="5">
        <v>0.58921135079219211</v>
      </c>
      <c r="JN57" s="4">
        <v>0.61238638114885635</v>
      </c>
      <c r="JO57" s="5">
        <v>0.62668221395620582</v>
      </c>
      <c r="JP57" s="5">
        <v>0.62663731794851396</v>
      </c>
      <c r="JQ57" s="5">
        <v>0.60507296743061267</v>
      </c>
      <c r="JR57" s="5">
        <v>0.5890445424328945</v>
      </c>
      <c r="JS57" s="5">
        <v>0.57402925333897525</v>
      </c>
      <c r="JT57" s="5">
        <v>0.57004695493833557</v>
      </c>
      <c r="JU57" s="5">
        <v>0.57721951241134228</v>
      </c>
      <c r="JV57" s="5">
        <v>0.58857449645805815</v>
      </c>
      <c r="JW57" s="4">
        <v>0.48506984866995151</v>
      </c>
      <c r="JX57" s="5">
        <v>0.4845671546013024</v>
      </c>
      <c r="JY57" s="5">
        <v>0.48653747370733763</v>
      </c>
      <c r="JZ57" s="5">
        <v>0.47170201325553041</v>
      </c>
      <c r="KA57" s="5">
        <v>0.46557218647712778</v>
      </c>
      <c r="KB57" s="5">
        <v>0.46532340762921992</v>
      </c>
      <c r="KC57" s="5">
        <v>0.47298322051897579</v>
      </c>
      <c r="KD57" s="5">
        <v>0.48018534651925832</v>
      </c>
      <c r="KE57" s="5">
        <v>0.49612571221485274</v>
      </c>
      <c r="KF57" s="4">
        <v>0.50054325054356363</v>
      </c>
      <c r="KG57" s="4">
        <v>0.39306555596964787</v>
      </c>
      <c r="KH57" s="5">
        <v>0.36526929706670686</v>
      </c>
      <c r="KI57" s="5">
        <v>0.37085600140787783</v>
      </c>
      <c r="KJ57" s="5">
        <v>0.3671360675880429</v>
      </c>
      <c r="KK57" s="5">
        <v>0.35513972513194347</v>
      </c>
      <c r="KL57" s="5">
        <v>0.34882625889209401</v>
      </c>
      <c r="KM57" s="5">
        <v>0.34627492408780708</v>
      </c>
      <c r="KN57" s="5">
        <v>0.35671683525830383</v>
      </c>
      <c r="KO57" s="5">
        <v>0.38256893327264996</v>
      </c>
      <c r="KP57" s="4">
        <v>0.40636201745473349</v>
      </c>
      <c r="KQ57" s="5">
        <v>0.65879290902436138</v>
      </c>
      <c r="KR57" s="4">
        <v>0.64674328547344384</v>
      </c>
      <c r="KS57" s="5">
        <v>0.62763504636106227</v>
      </c>
      <c r="KT57" s="5">
        <v>0.62232815719723966</v>
      </c>
      <c r="KU57" s="5">
        <v>0.63304100119738094</v>
      </c>
      <c r="KV57" s="5">
        <v>0.64019058269617868</v>
      </c>
      <c r="KW57" s="5">
        <v>0.64538385187847125</v>
      </c>
      <c r="KX57" s="5">
        <v>0.66276681434796059</v>
      </c>
      <c r="KY57" s="4">
        <v>0.68781076034671329</v>
      </c>
      <c r="KZ57" s="5">
        <v>0.68927369782698766</v>
      </c>
      <c r="LA57" s="5">
        <v>0.79500224523843566</v>
      </c>
      <c r="LB57" s="5">
        <v>0.77136577991553035</v>
      </c>
      <c r="LC57" s="4">
        <v>0.76141731967846227</v>
      </c>
      <c r="LD57" s="5">
        <v>0.75403747766509899</v>
      </c>
      <c r="LE57" s="5">
        <v>0.76565961146611561</v>
      </c>
      <c r="LF57" s="5">
        <v>0.76524477735873908</v>
      </c>
      <c r="LG57" s="5">
        <v>0.76471014203472798</v>
      </c>
      <c r="LH57" s="4">
        <v>0.76074000450788815</v>
      </c>
      <c r="LI57" s="5">
        <v>0.7630864382855207</v>
      </c>
      <c r="LJ57" s="5">
        <v>0.78741319247596564</v>
      </c>
      <c r="LL57" s="3" t="s">
        <v>187</v>
      </c>
      <c r="LM57" s="3" t="s">
        <v>160</v>
      </c>
      <c r="LN57" s="3" t="s">
        <v>161</v>
      </c>
      <c r="LO57" s="5">
        <v>0.72570090787153085</v>
      </c>
    </row>
    <row r="58" spans="2:327" x14ac:dyDescent="0.45">
      <c r="B58" s="6" t="s">
        <v>230</v>
      </c>
      <c r="C58" s="6" t="s">
        <v>151</v>
      </c>
      <c r="D58" s="8">
        <v>0.25999343582915396</v>
      </c>
      <c r="E58" s="8">
        <v>0.26039658151648931</v>
      </c>
      <c r="F58" s="8">
        <v>0.25919534846462239</v>
      </c>
      <c r="G58" s="8">
        <v>0.25699323694484216</v>
      </c>
      <c r="H58" s="8">
        <v>0.26884352466201422</v>
      </c>
      <c r="I58" s="8">
        <v>0.27886289904740852</v>
      </c>
      <c r="J58" s="8">
        <v>0.26510862560366322</v>
      </c>
      <c r="K58" s="8">
        <v>0.24438628931461168</v>
      </c>
      <c r="L58" s="8">
        <v>0.2348777651414293</v>
      </c>
      <c r="M58" s="8">
        <v>0.2379671468791634</v>
      </c>
      <c r="N58" s="8">
        <v>0.25417810435301752</v>
      </c>
      <c r="O58" s="8">
        <v>0.24769384802551667</v>
      </c>
      <c r="P58" s="8">
        <v>0.2437713910682901</v>
      </c>
      <c r="Q58" s="8">
        <v>0.25381866218181209</v>
      </c>
      <c r="R58" s="8">
        <v>0.26636891485690362</v>
      </c>
      <c r="S58" s="8">
        <v>0.28567299392327028</v>
      </c>
      <c r="T58" s="8">
        <v>0.30065729594760404</v>
      </c>
      <c r="U58" s="8">
        <v>0.29118898865369419</v>
      </c>
      <c r="V58" s="8">
        <v>0.27201796370077241</v>
      </c>
      <c r="W58" s="8">
        <v>0.24393345322435811</v>
      </c>
      <c r="X58" s="8">
        <v>0.33533032677863728</v>
      </c>
      <c r="Y58" s="8">
        <v>0.30945707349569401</v>
      </c>
      <c r="Z58" s="8">
        <v>0.31440555615276011</v>
      </c>
      <c r="AA58" s="8">
        <v>0.33023286294870458</v>
      </c>
      <c r="AB58" s="8">
        <v>0.33581164308787931</v>
      </c>
      <c r="AC58" s="8">
        <v>0.33776730597225341</v>
      </c>
      <c r="AD58" s="8">
        <v>0.33779005932037509</v>
      </c>
      <c r="AE58" s="8">
        <v>0.32609693466134937</v>
      </c>
      <c r="AF58" s="8">
        <v>0.31792472583904624</v>
      </c>
      <c r="AG58" s="8">
        <v>0.32399278943292592</v>
      </c>
      <c r="AH58" s="8">
        <v>0.31743682111523042</v>
      </c>
      <c r="AI58" s="8">
        <v>0.32435936986641317</v>
      </c>
      <c r="AJ58" s="8">
        <v>0.33670161543644361</v>
      </c>
      <c r="AK58" s="8">
        <v>0.37558986211569301</v>
      </c>
      <c r="AL58" s="8">
        <v>0.41210845803462093</v>
      </c>
      <c r="AM58" s="8">
        <v>0.43186160947902619</v>
      </c>
      <c r="AN58" s="8">
        <v>0.39285921743419727</v>
      </c>
      <c r="AO58" s="8">
        <v>0.34636258076653986</v>
      </c>
      <c r="AP58" s="8">
        <v>0.3137104850693575</v>
      </c>
      <c r="AQ58" s="8">
        <v>0.30032817990953409</v>
      </c>
      <c r="AR58" s="8">
        <v>0.2037704839208028</v>
      </c>
      <c r="AS58" s="8">
        <v>0.22496175917199113</v>
      </c>
      <c r="AT58" s="8">
        <v>0.23505750107546056</v>
      </c>
      <c r="AU58" s="8">
        <v>0.2275614809514683</v>
      </c>
      <c r="AV58" s="8">
        <v>0.22641078059266906</v>
      </c>
      <c r="AW58" s="8">
        <v>0.23489586345716398</v>
      </c>
      <c r="AX58" s="8">
        <v>0.23478106572683666</v>
      </c>
      <c r="AY58" s="8">
        <v>0.21077473034109084</v>
      </c>
      <c r="AZ58" s="8">
        <v>0.19853033830671396</v>
      </c>
      <c r="BA58" s="8">
        <v>0.19553263584590275</v>
      </c>
      <c r="BB58" s="8">
        <v>0.13531621811022851</v>
      </c>
      <c r="BC58" s="8">
        <v>0.14674694938092814</v>
      </c>
      <c r="BD58" s="8">
        <v>0.16048984984354958</v>
      </c>
      <c r="BE58" s="8">
        <v>0.15562587784760135</v>
      </c>
      <c r="BF58" s="8">
        <v>0.14819209854876891</v>
      </c>
      <c r="BG58" s="8">
        <v>0.15018356971083971</v>
      </c>
      <c r="BH58" s="8">
        <v>0.13714203627461452</v>
      </c>
      <c r="BI58" s="8">
        <v>0.13650866210874205</v>
      </c>
      <c r="BJ58" s="8">
        <v>0.13305740817850467</v>
      </c>
      <c r="BK58" s="8">
        <v>0.13105632242568763</v>
      </c>
      <c r="BM58" s="6" t="s">
        <v>230</v>
      </c>
      <c r="BN58" s="6" t="s">
        <v>152</v>
      </c>
      <c r="BO58" s="8">
        <v>1.4002666355249625E-2</v>
      </c>
      <c r="BP58" s="8">
        <v>1.8702939793103147E-2</v>
      </c>
      <c r="BQ58" s="7">
        <v>1.8365875063941498E-2</v>
      </c>
      <c r="BR58" s="8">
        <v>2.0146466152061122E-2</v>
      </c>
      <c r="BS58" s="8">
        <v>1.0950204367660634E-2</v>
      </c>
      <c r="BT58" s="8">
        <v>4.8642708379419584E-3</v>
      </c>
      <c r="BU58" s="7">
        <v>5.3160318493602988E-3</v>
      </c>
      <c r="BV58" s="8">
        <v>3.7285163178403255E-3</v>
      </c>
      <c r="BW58" s="7">
        <v>1.3049613100280667E-2</v>
      </c>
      <c r="BX58" s="8">
        <v>1.4541011117457361E-2</v>
      </c>
      <c r="BY58" s="7">
        <v>6.2686790951022213E-3</v>
      </c>
      <c r="BZ58" s="7">
        <v>5.0773191018299293E-3</v>
      </c>
      <c r="CA58" s="7">
        <v>5.3051203596861767E-3</v>
      </c>
      <c r="CB58" s="7">
        <v>1.3425223373055351E-2</v>
      </c>
      <c r="CC58" s="7">
        <v>8.199353399685836E-3</v>
      </c>
      <c r="CD58" s="8">
        <v>2.6568499111366624E-3</v>
      </c>
      <c r="CE58" s="7">
        <v>8.0770902655589449E-3</v>
      </c>
      <c r="CF58" s="8">
        <v>1.3405010057141028E-2</v>
      </c>
      <c r="CG58" s="7">
        <v>6.3519836040687415E-3</v>
      </c>
      <c r="CH58" s="8">
        <v>3.5215880345630035E-3</v>
      </c>
      <c r="CI58" s="8">
        <v>1.5887758723049778E-2</v>
      </c>
      <c r="CJ58" s="7">
        <v>2.9171647410189894E-2</v>
      </c>
      <c r="CK58" s="8">
        <v>4.6507841262768697E-2</v>
      </c>
      <c r="CL58" s="7">
        <v>3.742840405277921E-2</v>
      </c>
      <c r="CM58" s="8">
        <v>3.9452709164316473E-2</v>
      </c>
      <c r="CN58" s="8">
        <v>4.0288947830130997E-2</v>
      </c>
      <c r="CO58" s="8">
        <v>4.7708980661177326E-2</v>
      </c>
      <c r="CP58" s="8">
        <v>5.5308585250449058E-2</v>
      </c>
      <c r="CQ58" s="8">
        <v>2.7151658913648929E-2</v>
      </c>
      <c r="CR58" s="8">
        <v>1.7882988869302285E-2</v>
      </c>
      <c r="CS58" s="8">
        <v>3.4884667736964324E-2</v>
      </c>
      <c r="CT58" s="8">
        <v>2.3029988354274195E-2</v>
      </c>
      <c r="CU58" s="7">
        <v>4.208296085580962E-2</v>
      </c>
      <c r="CV58" s="7">
        <v>3.8669686804266773E-2</v>
      </c>
      <c r="CW58" s="8">
        <v>2.0682269468119616E-2</v>
      </c>
      <c r="CX58" s="7">
        <v>2.3556263125118531E-2</v>
      </c>
      <c r="CY58" s="7">
        <v>3.5139805458947265E-2</v>
      </c>
      <c r="CZ58" s="7">
        <v>1.6732807693649376E-2</v>
      </c>
      <c r="DA58" s="7">
        <v>1.9044988802039798E-2</v>
      </c>
      <c r="DB58" s="8">
        <v>2.4511127426499638E-2</v>
      </c>
      <c r="DC58" s="8">
        <v>5.6949673102630266E-3</v>
      </c>
      <c r="DD58" s="7">
        <v>1.2635843733145127E-2</v>
      </c>
      <c r="DE58" s="7">
        <v>1.6268047551997948E-2</v>
      </c>
      <c r="DF58" s="8">
        <v>8.789910504371428E-3</v>
      </c>
      <c r="DG58" s="8">
        <v>5.9099932401845993E-3</v>
      </c>
      <c r="DH58" s="7">
        <v>1.3660491536088441E-2</v>
      </c>
      <c r="DI58" s="7">
        <v>1.427146440633437E-2</v>
      </c>
      <c r="DJ58" s="7">
        <v>1.1102069757125309E-2</v>
      </c>
      <c r="DK58" s="7">
        <v>6.0637512751426535E-3</v>
      </c>
      <c r="DL58" s="8">
        <v>3.5679035276706015E-3</v>
      </c>
      <c r="DM58" s="8">
        <v>8.2712063897658668E-3</v>
      </c>
      <c r="DN58" s="8">
        <v>9.5818000913040196E-3</v>
      </c>
      <c r="DO58" s="8">
        <v>8.956269302556644E-3</v>
      </c>
      <c r="DP58" s="8">
        <v>9.7921205513929119E-3</v>
      </c>
      <c r="DQ58" s="8">
        <v>9.0162639776368916E-3</v>
      </c>
      <c r="DR58" s="8">
        <v>8.617157754419149E-3</v>
      </c>
      <c r="DS58" s="8">
        <v>5.6684605321634073E-3</v>
      </c>
      <c r="DT58" s="7">
        <v>7.9529366181708E-3</v>
      </c>
      <c r="DU58" s="8">
        <v>1.1807149096865545E-2</v>
      </c>
      <c r="DV58" s="8">
        <v>1.5983729708847438E-2</v>
      </c>
      <c r="DX58" s="6" t="s">
        <v>230</v>
      </c>
      <c r="DY58" s="6" t="s">
        <v>153</v>
      </c>
      <c r="DZ58" s="7">
        <v>1.4573478934925105E-2</v>
      </c>
      <c r="EA58" s="8">
        <v>1.1459294171293273E-2</v>
      </c>
      <c r="EB58" s="8">
        <v>2.161768750052712E-2</v>
      </c>
      <c r="EC58" s="8">
        <v>2.2070988550583766E-2</v>
      </c>
      <c r="ED58" s="7">
        <v>2.5314031970515936E-2</v>
      </c>
      <c r="EE58" s="8">
        <v>2.749416206002964E-2</v>
      </c>
      <c r="EF58" s="7">
        <v>1.9417372531957092E-2</v>
      </c>
      <c r="EG58" s="8">
        <v>1.0353011138071846E-2</v>
      </c>
      <c r="EH58" s="8">
        <v>6.4706523702896439E-3</v>
      </c>
      <c r="EI58" s="8">
        <v>9.0161261754536856E-3</v>
      </c>
      <c r="EJ58" s="8">
        <v>4.6418401090419174E-3</v>
      </c>
      <c r="EK58" s="8">
        <v>6.7497804055774964E-3</v>
      </c>
      <c r="EL58" s="8">
        <v>8.7884193356241643E-3</v>
      </c>
      <c r="EM58" s="8">
        <v>5.8125937883717789E-3</v>
      </c>
      <c r="EN58" s="8">
        <v>1.114534849866418E-2</v>
      </c>
      <c r="EO58" s="7">
        <v>1.6650538608295785E-2</v>
      </c>
      <c r="EP58" s="7">
        <v>1.6561462691531845E-2</v>
      </c>
      <c r="EQ58" s="7">
        <v>7.2428660622309545E-3</v>
      </c>
      <c r="ER58" s="7">
        <v>1.0674775036117475E-2</v>
      </c>
      <c r="ES58" s="7">
        <v>1.6081635128237126E-2</v>
      </c>
      <c r="ET58" s="8">
        <v>2.3701041780269119E-2</v>
      </c>
      <c r="EU58" s="8">
        <v>1.1450044983187489E-2</v>
      </c>
      <c r="EV58" s="8">
        <v>1.1832002941135622E-2</v>
      </c>
      <c r="EW58" s="8">
        <v>2.28344419028211E-2</v>
      </c>
      <c r="EX58" s="7">
        <v>2.4262866610121444E-2</v>
      </c>
      <c r="EY58" s="8">
        <v>3.5054161602781332E-2</v>
      </c>
      <c r="EZ58" s="8">
        <v>4.5799458031646048E-2</v>
      </c>
      <c r="FA58" s="8">
        <v>5.3052198495096702E-2</v>
      </c>
      <c r="FB58" s="8">
        <v>7.3303888662923214E-2</v>
      </c>
      <c r="FC58" s="8">
        <v>7.0868409424780954E-2</v>
      </c>
      <c r="FD58" s="8">
        <v>2.0869925688023358E-2</v>
      </c>
      <c r="FE58" s="8">
        <v>5.0197854732574342E-2</v>
      </c>
      <c r="FF58" s="8">
        <v>5.7577800591624408E-2</v>
      </c>
      <c r="FG58" s="8">
        <v>4.5113601943933837E-2</v>
      </c>
      <c r="FH58" s="7">
        <v>6.6950862846491807E-2</v>
      </c>
      <c r="FI58" s="8">
        <v>9.1658690063449427E-2</v>
      </c>
      <c r="FJ58" s="8">
        <v>4.8738156354123104E-2</v>
      </c>
      <c r="FK58" s="8">
        <v>2.3319719525604521E-2</v>
      </c>
      <c r="FL58" s="8">
        <v>2.5557153856314629E-2</v>
      </c>
      <c r="FM58" s="7">
        <v>1.134346324452154E-2</v>
      </c>
      <c r="FN58" s="8">
        <v>5.0998639244503952E-3</v>
      </c>
      <c r="FO58" s="8">
        <v>7.9259266783474006E-3</v>
      </c>
      <c r="FP58" s="7">
        <v>7.6976164485006732E-3</v>
      </c>
      <c r="FQ58" s="7">
        <v>1.3293985112904085E-2</v>
      </c>
      <c r="FR58" s="7">
        <v>1.8812073740019516E-2</v>
      </c>
      <c r="FS58" s="7">
        <v>1.2547959541056208E-2</v>
      </c>
      <c r="FT58" s="8">
        <v>1.1756754693599875E-2</v>
      </c>
      <c r="FU58" s="8">
        <v>1.0692815126848845E-2</v>
      </c>
      <c r="FV58" s="7">
        <v>1.3560073212099566E-2</v>
      </c>
      <c r="FW58" s="8">
        <v>1.2766119613990531E-2</v>
      </c>
      <c r="FX58" s="8">
        <v>1.7281327859230654E-2</v>
      </c>
      <c r="FY58" s="8">
        <v>1.2165713064336791E-2</v>
      </c>
      <c r="FZ58" s="8">
        <v>9.9354299953101268E-3</v>
      </c>
      <c r="GA58" s="8">
        <v>5.7568607746296989E-3</v>
      </c>
      <c r="GB58" s="8">
        <v>9.0981344635910084E-3</v>
      </c>
      <c r="GC58" s="8">
        <v>1.1467714681302242E-2</v>
      </c>
      <c r="GD58" s="8">
        <v>1.3826715900848677E-2</v>
      </c>
      <c r="GE58" s="8">
        <v>1.1375271958628743E-2</v>
      </c>
      <c r="GF58" s="8">
        <v>6.1634004123967282E-3</v>
      </c>
      <c r="GG58" s="8">
        <v>7.5777050719175957E-3</v>
      </c>
      <c r="GI58" s="6" t="s">
        <v>230</v>
      </c>
      <c r="GJ58" s="6" t="s">
        <v>154</v>
      </c>
      <c r="GK58" s="8">
        <v>0.10602727775334618</v>
      </c>
      <c r="GL58" s="8">
        <v>0.10674342128882484</v>
      </c>
      <c r="GM58" s="8">
        <v>9.7673893456309113E-2</v>
      </c>
      <c r="GN58" s="8">
        <v>9.8977033844391105E-2</v>
      </c>
      <c r="GO58" s="8">
        <v>0.10521735401242151</v>
      </c>
      <c r="GP58" s="8">
        <v>0.11225043728637307</v>
      </c>
      <c r="GQ58" s="8">
        <v>0.11956510093511027</v>
      </c>
      <c r="GR58" s="8">
        <v>0.12302697058522725</v>
      </c>
      <c r="GS58" s="8">
        <v>0.10509043321409868</v>
      </c>
      <c r="GT58" s="8">
        <v>0.10621386144336882</v>
      </c>
      <c r="GU58" s="8">
        <v>0.1218494576460792</v>
      </c>
      <c r="GV58" s="8">
        <v>0.11853083694789486</v>
      </c>
      <c r="GW58" s="8">
        <v>0.10774532170044089</v>
      </c>
      <c r="GX58" s="8">
        <v>0.10805611426126624</v>
      </c>
      <c r="GY58" s="8">
        <v>0.12388171022399778</v>
      </c>
      <c r="GZ58" s="8">
        <v>0.13439405734709839</v>
      </c>
      <c r="HA58" s="7">
        <v>0.13665117969358062</v>
      </c>
      <c r="HB58" s="8">
        <v>0.13782531119355557</v>
      </c>
      <c r="HC58" s="8">
        <v>0.13087566193067987</v>
      </c>
      <c r="HD58" s="8">
        <v>0.10824295500381198</v>
      </c>
      <c r="HE58" s="8">
        <v>0.15118179222598019</v>
      </c>
      <c r="HF58" s="8">
        <v>0.13373315199345179</v>
      </c>
      <c r="HG58" s="8">
        <v>0.13204373330577676</v>
      </c>
      <c r="HH58" s="8">
        <v>0.1395835579109424</v>
      </c>
      <c r="HI58" s="8">
        <v>0.12550508283708653</v>
      </c>
      <c r="HJ58" s="8">
        <v>0.1023146577068782</v>
      </c>
      <c r="HK58" s="8">
        <v>8.5979611232469541E-2</v>
      </c>
      <c r="HL58" s="7">
        <v>8.0662926537011723E-2</v>
      </c>
      <c r="HM58" s="8">
        <v>8.7720277921339532E-2</v>
      </c>
      <c r="HN58" s="8">
        <v>0.10238229058846701</v>
      </c>
      <c r="HO58" s="8">
        <v>0.12579991098064208</v>
      </c>
      <c r="HP58" s="8">
        <v>0.11684063992613906</v>
      </c>
      <c r="HQ58" s="8">
        <v>0.10665657215114008</v>
      </c>
      <c r="HR58" s="8">
        <v>0.15534187103780336</v>
      </c>
      <c r="HS58" s="8">
        <v>0.18262853668000717</v>
      </c>
      <c r="HT58" s="8">
        <v>0.18464922171993778</v>
      </c>
      <c r="HU58" s="8">
        <v>0.18123831228814705</v>
      </c>
      <c r="HV58" s="7">
        <v>0.17981638363685956</v>
      </c>
      <c r="HW58" s="8">
        <v>0.15304372273693498</v>
      </c>
      <c r="HX58" s="8">
        <v>0.14140197186970851</v>
      </c>
      <c r="HY58" s="8">
        <v>8.2447192398716104E-2</v>
      </c>
      <c r="HZ58" s="8">
        <v>8.4740177681444442E-2</v>
      </c>
      <c r="IA58" s="8">
        <v>9.3782683136716741E-2</v>
      </c>
      <c r="IB58" s="8">
        <v>9.1044686463837204E-2</v>
      </c>
      <c r="IC58" s="8">
        <v>8.7936102978742894E-2</v>
      </c>
      <c r="ID58" s="8">
        <v>8.7406380425175498E-2</v>
      </c>
      <c r="IE58" s="8">
        <v>8.4082329134283082E-2</v>
      </c>
      <c r="IF58" s="8">
        <v>7.6731556877371931E-2</v>
      </c>
      <c r="IG58" s="8">
        <v>6.8951531663518334E-2</v>
      </c>
      <c r="IH58" s="8">
        <v>6.871890760231919E-2</v>
      </c>
      <c r="II58" s="8">
        <v>3.2816721330847703E-2</v>
      </c>
      <c r="IJ58" s="8">
        <v>4.5165605145818334E-2</v>
      </c>
      <c r="IK58" s="8">
        <v>5.4031557066681495E-2</v>
      </c>
      <c r="IL58" s="8">
        <v>5.6663293176938412E-2</v>
      </c>
      <c r="IM58" s="8">
        <v>4.7143510138386968E-2</v>
      </c>
      <c r="IN58" s="8">
        <v>4.7975212507220324E-2</v>
      </c>
      <c r="IO58" s="8">
        <v>4.8307340462577737E-2</v>
      </c>
      <c r="IP58" s="8">
        <v>4.6936833377884409E-2</v>
      </c>
      <c r="IQ58" s="8">
        <v>4.314705189359995E-2</v>
      </c>
      <c r="IR58" s="8">
        <v>3.491653454965684E-2</v>
      </c>
      <c r="JB58" s="6" t="s">
        <v>230</v>
      </c>
      <c r="JC58" s="8">
        <v>0.59950224240964745</v>
      </c>
      <c r="JD58" s="8">
        <v>0.59035193963556487</v>
      </c>
      <c r="JE58" s="7">
        <v>0.5923075447472087</v>
      </c>
      <c r="JF58" s="8">
        <v>0.58961272605965154</v>
      </c>
      <c r="JG58" s="8">
        <v>0.58651998212774281</v>
      </c>
      <c r="JH58" s="8">
        <v>0.58120647506510359</v>
      </c>
      <c r="JI58" s="8">
        <v>0.57749945904000954</v>
      </c>
      <c r="JJ58" s="8">
        <v>0.59268726396978844</v>
      </c>
      <c r="JK58" s="8">
        <v>0.61383908183481528</v>
      </c>
      <c r="JL58" s="8">
        <v>0.61403494791051594</v>
      </c>
      <c r="JM58" s="8">
        <v>0.57750721639454783</v>
      </c>
      <c r="JN58" s="7">
        <v>0.59238402196656903</v>
      </c>
      <c r="JO58" s="8">
        <v>0.60671764439063403</v>
      </c>
      <c r="JP58" s="8">
        <v>0.60337474852823414</v>
      </c>
      <c r="JQ58" s="8">
        <v>0.58050126232962929</v>
      </c>
      <c r="JR58" s="8">
        <v>0.55865455446014445</v>
      </c>
      <c r="JS58" s="8">
        <v>0.54423739010471472</v>
      </c>
      <c r="JT58" s="8">
        <v>0.55004842111031049</v>
      </c>
      <c r="JU58" s="8">
        <v>0.56821246562299088</v>
      </c>
      <c r="JV58" s="8">
        <v>0.58875555519463818</v>
      </c>
      <c r="JW58" s="7">
        <v>0.44380936133103432</v>
      </c>
      <c r="JX58" s="8">
        <v>0.45798783434786922</v>
      </c>
      <c r="JY58" s="8">
        <v>0.45158168055136572</v>
      </c>
      <c r="JZ58" s="8">
        <v>0.42869816540370076</v>
      </c>
      <c r="KA58" s="8">
        <v>0.41333823712816453</v>
      </c>
      <c r="KB58" s="8">
        <v>0.41130533043591372</v>
      </c>
      <c r="KC58" s="8">
        <v>0.4320964707546382</v>
      </c>
      <c r="KD58" s="8">
        <v>0.44408444188963575</v>
      </c>
      <c r="KE58" s="8">
        <v>0.45125072845591463</v>
      </c>
      <c r="KF58" s="7">
        <v>0.44663793110883726</v>
      </c>
      <c r="KG58" s="7">
        <v>0.34834552102499433</v>
      </c>
      <c r="KH58" s="8">
        <v>0.32750733267064419</v>
      </c>
      <c r="KI58" s="8">
        <v>0.32907706223548</v>
      </c>
      <c r="KJ58" s="8">
        <v>0.31694123784062489</v>
      </c>
      <c r="KK58" s="8">
        <v>0.28945617414714703</v>
      </c>
      <c r="KL58" s="8">
        <v>0.28405102812885946</v>
      </c>
      <c r="KM58" s="8">
        <v>0.30481028535426852</v>
      </c>
      <c r="KN58" s="8">
        <v>0.3359325676439574</v>
      </c>
      <c r="KO58" s="8">
        <v>0.35663925777172384</v>
      </c>
      <c r="KP58" s="7">
        <v>0.37255045548103533</v>
      </c>
      <c r="KQ58" s="8">
        <v>0.65019311553488945</v>
      </c>
      <c r="KR58" s="7">
        <v>0.62362643995920819</v>
      </c>
      <c r="KS58" s="8">
        <v>0.60982657816251662</v>
      </c>
      <c r="KT58" s="8">
        <v>0.61389258555532145</v>
      </c>
      <c r="KU58" s="8">
        <v>0.61995602927414173</v>
      </c>
      <c r="KV58" s="8">
        <v>0.62485893102474221</v>
      </c>
      <c r="KW58" s="8">
        <v>0.63253742162336268</v>
      </c>
      <c r="KX58" s="8">
        <v>0.66228969051131381</v>
      </c>
      <c r="KY58" s="7">
        <v>0.67971495420647432</v>
      </c>
      <c r="KZ58" s="8">
        <v>0.68241667311298615</v>
      </c>
      <c r="LA58" s="8">
        <v>0.77151722205907203</v>
      </c>
      <c r="LB58" s="8">
        <v>0.74887613237969863</v>
      </c>
      <c r="LC58" s="7">
        <v>0.72685087179056174</v>
      </c>
      <c r="LD58" s="8">
        <v>0.73878225479842019</v>
      </c>
      <c r="LE58" s="8">
        <v>0.75474545658631209</v>
      </c>
      <c r="LF58" s="8">
        <v>0.74226864309111973</v>
      </c>
      <c r="LG58" s="8">
        <v>0.74094534315281091</v>
      </c>
      <c r="LH58" s="7">
        <v>0.74436749232932109</v>
      </c>
      <c r="LI58" s="8">
        <v>0.75160872754550234</v>
      </c>
      <c r="LJ58" s="8">
        <v>0.77096396344172635</v>
      </c>
      <c r="LL58" s="6" t="s">
        <v>189</v>
      </c>
      <c r="LM58" s="6" t="s">
        <v>160</v>
      </c>
      <c r="LN58" s="6" t="s">
        <v>161</v>
      </c>
      <c r="LO58" s="8">
        <v>0.77920414223234236</v>
      </c>
    </row>
    <row r="59" spans="2:327" x14ac:dyDescent="0.45">
      <c r="B59" s="3" t="s">
        <v>231</v>
      </c>
      <c r="C59" s="3" t="s">
        <v>151</v>
      </c>
      <c r="D59" s="5">
        <v>0.27480251750675816</v>
      </c>
      <c r="E59" s="5">
        <v>0.27292259649341777</v>
      </c>
      <c r="F59" s="5">
        <v>0.28162212250796276</v>
      </c>
      <c r="G59" s="5">
        <v>0.29218508501728874</v>
      </c>
      <c r="H59" s="5">
        <v>0.31257279984042563</v>
      </c>
      <c r="I59" s="5">
        <v>0.31271844038786073</v>
      </c>
      <c r="J59" s="5">
        <v>0.3066055166373059</v>
      </c>
      <c r="K59" s="5">
        <v>0.28947459735453573</v>
      </c>
      <c r="L59" s="5">
        <v>0.28557601028385521</v>
      </c>
      <c r="M59" s="5">
        <v>0.28521603068058649</v>
      </c>
      <c r="N59" s="5">
        <v>0.2903866838226587</v>
      </c>
      <c r="O59" s="5">
        <v>0.27783126043041001</v>
      </c>
      <c r="P59" s="5">
        <v>0.28970363436153845</v>
      </c>
      <c r="Q59" s="5">
        <v>0.31739472768280391</v>
      </c>
      <c r="R59" s="5">
        <v>0.32193096047954339</v>
      </c>
      <c r="S59" s="5">
        <v>0.31248187040212916</v>
      </c>
      <c r="T59" s="5">
        <v>0.29019392665387223</v>
      </c>
      <c r="U59" s="5">
        <v>0.26858415734064561</v>
      </c>
      <c r="V59" s="5">
        <v>0.26100249455660529</v>
      </c>
      <c r="W59" s="5">
        <v>0.27456041010908083</v>
      </c>
      <c r="X59" s="5">
        <v>0.29070938236051846</v>
      </c>
      <c r="Y59" s="5">
        <v>0.29841754820174959</v>
      </c>
      <c r="Z59" s="5">
        <v>0.30304231945582411</v>
      </c>
      <c r="AA59" s="5">
        <v>0.3391839193727661</v>
      </c>
      <c r="AB59" s="5">
        <v>0.36357082615503522</v>
      </c>
      <c r="AC59" s="5">
        <v>0.3600830346561113</v>
      </c>
      <c r="AD59" s="5">
        <v>0.34010837036669295</v>
      </c>
      <c r="AE59" s="5">
        <v>0.3324308902909261</v>
      </c>
      <c r="AF59" s="5">
        <v>0.30641354900145901</v>
      </c>
      <c r="AG59" s="5">
        <v>0.29348029777403167</v>
      </c>
      <c r="AH59" s="5">
        <v>0.32093806853606821</v>
      </c>
      <c r="AI59" s="5">
        <v>0.34696069951360015</v>
      </c>
      <c r="AJ59" s="5">
        <v>0.38419771711468415</v>
      </c>
      <c r="AK59" s="5">
        <v>0.39034994725671723</v>
      </c>
      <c r="AL59" s="5">
        <v>0.36873855384497978</v>
      </c>
      <c r="AM59" s="5">
        <v>0.34726895615942205</v>
      </c>
      <c r="AN59" s="5">
        <v>0.32170159028418616</v>
      </c>
      <c r="AO59" s="5">
        <v>0.31148688586880252</v>
      </c>
      <c r="AP59" s="5">
        <v>0.30223600575302756</v>
      </c>
      <c r="AQ59" s="5">
        <v>0.31285362060475264</v>
      </c>
      <c r="AR59" s="5">
        <v>0.34005166815365712</v>
      </c>
      <c r="AS59" s="5">
        <v>0.35991433658975397</v>
      </c>
      <c r="AT59" s="5">
        <v>0.37691270875739613</v>
      </c>
      <c r="AU59" s="5">
        <v>0.37844521235876671</v>
      </c>
      <c r="AV59" s="5">
        <v>0.36812304821112002</v>
      </c>
      <c r="AW59" s="5">
        <v>0.34345690703722509</v>
      </c>
      <c r="AX59" s="5">
        <v>0.31801915538231207</v>
      </c>
      <c r="AY59" s="5">
        <v>0.28848181632966491</v>
      </c>
      <c r="AZ59" s="5">
        <v>0.28566646870049384</v>
      </c>
      <c r="BA59" s="5">
        <v>0.29779309673399507</v>
      </c>
      <c r="BB59" s="5">
        <v>0.28455975750845802</v>
      </c>
      <c r="BC59" s="5">
        <v>0.26239176808958681</v>
      </c>
      <c r="BD59" s="5">
        <v>0.26554504672970491</v>
      </c>
      <c r="BE59" s="5">
        <v>0.26356769147022924</v>
      </c>
      <c r="BF59" s="5">
        <v>0.25465515770929237</v>
      </c>
      <c r="BG59" s="5">
        <v>0.24946676102239854</v>
      </c>
      <c r="BH59" s="5">
        <v>0.25083603763696061</v>
      </c>
      <c r="BI59" s="5">
        <v>0.24892780523756639</v>
      </c>
      <c r="BJ59" s="5">
        <v>0.24604094841474092</v>
      </c>
      <c r="BK59" s="5">
        <v>0.26759583137259474</v>
      </c>
      <c r="BM59" s="3" t="s">
        <v>231</v>
      </c>
      <c r="BN59" s="3" t="s">
        <v>152</v>
      </c>
      <c r="BO59" s="5">
        <v>1.4069107049653033E-2</v>
      </c>
      <c r="BP59" s="5">
        <v>1.3625765981491044E-2</v>
      </c>
      <c r="BQ59" s="4">
        <v>1.8607679546182364E-3</v>
      </c>
      <c r="BR59" s="5">
        <v>1.0660704548852986E-2</v>
      </c>
      <c r="BS59" s="5">
        <v>1.6955878154604566E-2</v>
      </c>
      <c r="BT59" s="5">
        <v>7.4297191539677548E-3</v>
      </c>
      <c r="BU59" s="4">
        <v>1.3292522686846117E-2</v>
      </c>
      <c r="BV59" s="5">
        <v>1.310123076868642E-2</v>
      </c>
      <c r="BW59" s="4">
        <v>1.8728714927555921E-2</v>
      </c>
      <c r="BX59" s="5">
        <v>2.2088274608611319E-2</v>
      </c>
      <c r="BY59" s="4">
        <v>2.3571890668206863E-2</v>
      </c>
      <c r="BZ59" s="4">
        <v>1.9359691547066467E-2</v>
      </c>
      <c r="CA59" s="4">
        <v>2.5378680587158822E-2</v>
      </c>
      <c r="CB59" s="4">
        <v>1.5024612762927153E-2</v>
      </c>
      <c r="CC59" s="4">
        <v>3.4701213772948937E-3</v>
      </c>
      <c r="CD59" s="5">
        <v>8.6190866213207273E-3</v>
      </c>
      <c r="CE59" s="4">
        <v>1.0433447557852648E-2</v>
      </c>
      <c r="CF59" s="5">
        <v>9.6957739525033778E-3</v>
      </c>
      <c r="CG59" s="4">
        <v>1.7028772900737333E-2</v>
      </c>
      <c r="CH59" s="5">
        <v>2.3305628566264277E-2</v>
      </c>
      <c r="CI59" s="5">
        <v>1.5491925760470425E-2</v>
      </c>
      <c r="CJ59" s="4">
        <v>9.2167619329185622E-3</v>
      </c>
      <c r="CK59" s="5">
        <v>9.9707736926124245E-3</v>
      </c>
      <c r="CL59" s="4">
        <v>2.6971280446316054E-2</v>
      </c>
      <c r="CM59" s="5">
        <v>2.5711566822025599E-2</v>
      </c>
      <c r="CN59" s="5">
        <v>1.2304708077349758E-2</v>
      </c>
      <c r="CO59" s="5">
        <v>1.5440639797567693E-2</v>
      </c>
      <c r="CP59" s="5">
        <v>7.1571333497519882E-3</v>
      </c>
      <c r="CQ59" s="5">
        <v>1.3000589506845487E-2</v>
      </c>
      <c r="CR59" s="5">
        <v>1.5410054291142889E-2</v>
      </c>
      <c r="CS59" s="5">
        <v>4.3275543544548122E-2</v>
      </c>
      <c r="CT59" s="5">
        <v>1.615469113197204E-2</v>
      </c>
      <c r="CU59" s="4">
        <v>3.9341340234577651E-2</v>
      </c>
      <c r="CV59" s="4">
        <v>3.8171644429593803E-2</v>
      </c>
      <c r="CW59" s="5">
        <v>3.9384667084032307E-2</v>
      </c>
      <c r="CX59" s="4">
        <v>2.6689215582763531E-2</v>
      </c>
      <c r="CY59" s="4">
        <v>1.6203572444509567E-2</v>
      </c>
      <c r="CZ59" s="4">
        <v>1.0633612560985703E-2</v>
      </c>
      <c r="DA59" s="4">
        <v>2.2253751048803821E-2</v>
      </c>
      <c r="DB59" s="5">
        <v>3.8056119741429043E-2</v>
      </c>
      <c r="DC59" s="5">
        <v>9.1760661404753831E-3</v>
      </c>
      <c r="DD59" s="4">
        <v>1.564547103759063E-2</v>
      </c>
      <c r="DE59" s="4">
        <v>1.1750844322609906E-2</v>
      </c>
      <c r="DF59" s="5">
        <v>1.7024443367616562E-2</v>
      </c>
      <c r="DG59" s="5">
        <v>4.1145592342559378E-2</v>
      </c>
      <c r="DH59" s="4">
        <v>4.7726377060952667E-2</v>
      </c>
      <c r="DI59" s="4">
        <v>2.9047066315948666E-2</v>
      </c>
      <c r="DJ59" s="4">
        <v>7.1250832067257675E-3</v>
      </c>
      <c r="DK59" s="4">
        <v>9.0836831719775645E-3</v>
      </c>
      <c r="DL59" s="5">
        <v>1.568955340441866E-2</v>
      </c>
      <c r="DM59" s="5">
        <v>1.5745326163559191E-2</v>
      </c>
      <c r="DN59" s="5">
        <v>1.2541093122646223E-2</v>
      </c>
      <c r="DO59" s="5">
        <v>3.394708013362463E-2</v>
      </c>
      <c r="DP59" s="5">
        <v>3.4827601812333811E-2</v>
      </c>
      <c r="DQ59" s="5">
        <v>2.2649356463860685E-2</v>
      </c>
      <c r="DR59" s="5">
        <v>2.5663132838830333E-2</v>
      </c>
      <c r="DS59" s="5">
        <v>3.4041457714308894E-2</v>
      </c>
      <c r="DT59" s="4">
        <v>1.2986643967275568E-2</v>
      </c>
      <c r="DU59" s="5">
        <v>7.2313983041905842E-3</v>
      </c>
      <c r="DV59" s="5">
        <v>2.5500188649648967E-2</v>
      </c>
      <c r="DX59" s="3" t="s">
        <v>231</v>
      </c>
      <c r="DY59" s="3" t="s">
        <v>153</v>
      </c>
      <c r="DZ59" s="4">
        <v>2.6743781602661096E-2</v>
      </c>
      <c r="EA59" s="5">
        <v>1.2485396548572667E-2</v>
      </c>
      <c r="EB59" s="5">
        <v>2.4527441520993277E-2</v>
      </c>
      <c r="EC59" s="5">
        <v>2.2925324449190484E-2</v>
      </c>
      <c r="ED59" s="4">
        <v>1.0082450654027195E-2</v>
      </c>
      <c r="EE59" s="5">
        <v>1.8572466481221954E-2</v>
      </c>
      <c r="EF59" s="4">
        <v>1.8927535296958092E-2</v>
      </c>
      <c r="EG59" s="5">
        <v>1.4636670505569577E-2</v>
      </c>
      <c r="EH59" s="5">
        <v>7.1064936845895259E-3</v>
      </c>
      <c r="EI59" s="5">
        <v>1.2416993577047961E-2</v>
      </c>
      <c r="EJ59" s="5">
        <v>2.3552261307018298E-2</v>
      </c>
      <c r="EK59" s="5">
        <v>2.4818489355719744E-2</v>
      </c>
      <c r="EL59" s="5">
        <v>2.7625772070239325E-2</v>
      </c>
      <c r="EM59" s="5">
        <v>3.5000937494798795E-2</v>
      </c>
      <c r="EN59" s="5">
        <v>2.7924624426215121E-2</v>
      </c>
      <c r="EO59" s="4">
        <v>1.584694035772289E-2</v>
      </c>
      <c r="EP59" s="4">
        <v>7.1072820028249646E-3</v>
      </c>
      <c r="EQ59" s="4">
        <v>9.7075682898259824E-3</v>
      </c>
      <c r="ER59" s="4">
        <v>1.6888908885369452E-2</v>
      </c>
      <c r="ES59" s="4">
        <v>1.7927235960383998E-2</v>
      </c>
      <c r="ET59" s="5">
        <v>2.194710558528944E-2</v>
      </c>
      <c r="EU59" s="5">
        <v>2.8868066720733051E-2</v>
      </c>
      <c r="EV59" s="5">
        <v>2.5729342042642312E-2</v>
      </c>
      <c r="EW59" s="5">
        <v>3.3011143787166496E-3</v>
      </c>
      <c r="EX59" s="4">
        <v>8.1077492219188939E-3</v>
      </c>
      <c r="EY59" s="5">
        <v>2.7190551774523865E-2</v>
      </c>
      <c r="EZ59" s="5">
        <v>2.8473343373653367E-2</v>
      </c>
      <c r="FA59" s="5">
        <v>1.9479687109687806E-2</v>
      </c>
      <c r="FB59" s="5">
        <v>1.5840317114012941E-2</v>
      </c>
      <c r="FC59" s="5">
        <v>1.4409079855849974E-2</v>
      </c>
      <c r="FD59" s="5">
        <v>3.4935398782129222E-2</v>
      </c>
      <c r="FE59" s="5">
        <v>7.203934706568238E-2</v>
      </c>
      <c r="FF59" s="5">
        <v>5.1540375993685696E-2</v>
      </c>
      <c r="FG59" s="5">
        <v>4.0986827081371829E-2</v>
      </c>
      <c r="FH59" s="4">
        <v>2.3944610119296043E-2</v>
      </c>
      <c r="FI59" s="5">
        <v>4.5894366099488333E-2</v>
      </c>
      <c r="FJ59" s="5">
        <v>5.6641337405036261E-2</v>
      </c>
      <c r="FK59" s="5">
        <v>3.9515428315922051E-2</v>
      </c>
      <c r="FL59" s="5">
        <v>2.5797225148187618E-2</v>
      </c>
      <c r="FM59" s="4">
        <v>1.1314391362333387E-2</v>
      </c>
      <c r="FN59" s="5">
        <v>2.69532522778499E-2</v>
      </c>
      <c r="FO59" s="5">
        <v>7.2851093265758676E-3</v>
      </c>
      <c r="FP59" s="4">
        <v>1.5557303802366987E-2</v>
      </c>
      <c r="FQ59" s="4">
        <v>3.1332056648538921E-2</v>
      </c>
      <c r="FR59" s="4">
        <v>1.7428492627509569E-2</v>
      </c>
      <c r="FS59" s="4">
        <v>1.3403190941885464E-2</v>
      </c>
      <c r="FT59" s="5">
        <v>3.7255703540474708E-2</v>
      </c>
      <c r="FU59" s="5">
        <v>5.898157551555238E-2</v>
      </c>
      <c r="FV59" s="4">
        <v>4.8987238365540545E-2</v>
      </c>
      <c r="FW59" s="5">
        <v>1.6168909234346392E-2</v>
      </c>
      <c r="FX59" s="5">
        <v>1.5212656485379042E-2</v>
      </c>
      <c r="FY59" s="5">
        <v>1.9622689544600141E-2</v>
      </c>
      <c r="FZ59" s="5">
        <v>9.5183844946610911E-3</v>
      </c>
      <c r="GA59" s="5">
        <v>1.1829850706812556E-2</v>
      </c>
      <c r="GB59" s="5">
        <v>2.2468564386164395E-2</v>
      </c>
      <c r="GC59" s="5">
        <v>2.3346136524637066E-2</v>
      </c>
      <c r="GD59" s="5">
        <v>2.5028571863116796E-2</v>
      </c>
      <c r="GE59" s="5">
        <v>3.7272302987331377E-2</v>
      </c>
      <c r="GF59" s="5">
        <v>4.2158150256696149E-2</v>
      </c>
      <c r="GG59" s="5">
        <v>1.9172095787736401E-2</v>
      </c>
      <c r="GI59" s="3" t="s">
        <v>231</v>
      </c>
      <c r="GJ59" s="3" t="s">
        <v>154</v>
      </c>
      <c r="GK59" s="5">
        <v>0.10756218398424956</v>
      </c>
      <c r="GL59" s="5">
        <v>0.13084814746201875</v>
      </c>
      <c r="GM59" s="5">
        <v>0.13148518794021372</v>
      </c>
      <c r="GN59" s="5">
        <v>0.13292431227554488</v>
      </c>
      <c r="GO59" s="5">
        <v>0.14780102737857043</v>
      </c>
      <c r="GP59" s="5">
        <v>0.15815221229739398</v>
      </c>
      <c r="GQ59" s="5">
        <v>0.15016911693602147</v>
      </c>
      <c r="GR59" s="5">
        <v>0.1370066834288978</v>
      </c>
      <c r="GS59" s="5">
        <v>0.13002084393458219</v>
      </c>
      <c r="GT59" s="5">
        <v>0.12146618007188482</v>
      </c>
      <c r="GU59" s="5">
        <v>0.12611918598883221</v>
      </c>
      <c r="GV59" s="5">
        <v>0.10877853035586144</v>
      </c>
      <c r="GW59" s="5">
        <v>0.11231841865198329</v>
      </c>
      <c r="GX59" s="5">
        <v>0.13728170125703251</v>
      </c>
      <c r="GY59" s="5">
        <v>0.1633982015200571</v>
      </c>
      <c r="GZ59" s="5">
        <v>0.16325016541762205</v>
      </c>
      <c r="HA59" s="4">
        <v>0.15425740293693263</v>
      </c>
      <c r="HB59" s="5">
        <v>0.13952019317104208</v>
      </c>
      <c r="HC59" s="5">
        <v>0.12135383784708552</v>
      </c>
      <c r="HD59" s="5">
        <v>0.11863178083762663</v>
      </c>
      <c r="HE59" s="5">
        <v>0.128599524729341</v>
      </c>
      <c r="HF59" s="5">
        <v>0.13292782424096722</v>
      </c>
      <c r="HG59" s="5">
        <v>0.14219717270712645</v>
      </c>
      <c r="HH59" s="5">
        <v>0.17425722371787389</v>
      </c>
      <c r="HI59" s="5">
        <v>0.17677694602952662</v>
      </c>
      <c r="HJ59" s="5">
        <v>0.17300853906475003</v>
      </c>
      <c r="HK59" s="5">
        <v>0.15982281703895798</v>
      </c>
      <c r="HL59" s="4">
        <v>0.16964957091182309</v>
      </c>
      <c r="HM59" s="5">
        <v>0.14829921217220826</v>
      </c>
      <c r="HN59" s="5">
        <v>0.12969963945575594</v>
      </c>
      <c r="HO59" s="5">
        <v>0.13872794467826227</v>
      </c>
      <c r="HP59" s="5">
        <v>0.1462194039798404</v>
      </c>
      <c r="HQ59" s="5">
        <v>0.15599068394938742</v>
      </c>
      <c r="HR59" s="5">
        <v>0.16639666470952966</v>
      </c>
      <c r="HS59" s="5">
        <v>0.16326277643158421</v>
      </c>
      <c r="HT59" s="5">
        <v>0.13567276762159075</v>
      </c>
      <c r="HU59" s="5">
        <v>0.12316607437110398</v>
      </c>
      <c r="HV59" s="4">
        <v>0.14099508297925933</v>
      </c>
      <c r="HW59" s="5">
        <v>0.14590519122269879</v>
      </c>
      <c r="HX59" s="5">
        <v>0.15266770328848703</v>
      </c>
      <c r="HY59" s="5">
        <v>0.17191480323409333</v>
      </c>
      <c r="HZ59" s="5">
        <v>0.20255683870836994</v>
      </c>
      <c r="IA59" s="5">
        <v>0.21299677352258573</v>
      </c>
      <c r="IB59" s="5">
        <v>0.18805501535082958</v>
      </c>
      <c r="IC59" s="5">
        <v>0.16314118154625043</v>
      </c>
      <c r="ID59" s="5">
        <v>0.14509116334807962</v>
      </c>
      <c r="IE59" s="5">
        <v>0.13211612307512216</v>
      </c>
      <c r="IF59" s="5">
        <v>0.10930542594172478</v>
      </c>
      <c r="IG59" s="5">
        <v>0.10938365322475418</v>
      </c>
      <c r="IH59" s="5">
        <v>0.14762669074288584</v>
      </c>
      <c r="II59" s="5">
        <v>0.11385297164705073</v>
      </c>
      <c r="IJ59" s="5">
        <v>0.10275561962341953</v>
      </c>
      <c r="IK59" s="5">
        <v>0.10061841129725434</v>
      </c>
      <c r="IL59" s="5">
        <v>9.9756013565646243E-2</v>
      </c>
      <c r="IM59" s="5">
        <v>8.7442774915015634E-2</v>
      </c>
      <c r="IN59" s="5">
        <v>6.845490751558321E-2</v>
      </c>
      <c r="IO59" s="5">
        <v>6.803341624973458E-2</v>
      </c>
      <c r="IP59" s="5">
        <v>8.134104096933864E-2</v>
      </c>
      <c r="IQ59" s="5">
        <v>8.0919572018449487E-2</v>
      </c>
      <c r="IR59" s="5">
        <v>9.0779814491088379E-2</v>
      </c>
      <c r="JB59" s="3" t="s">
        <v>231</v>
      </c>
      <c r="JC59" s="5">
        <v>0.52821084757909753</v>
      </c>
      <c r="JD59" s="5">
        <v>0.51842531291411786</v>
      </c>
      <c r="JE59" s="4">
        <v>0.51663128931527036</v>
      </c>
      <c r="JF59" s="5">
        <v>0.50599370986641734</v>
      </c>
      <c r="JG59" s="5">
        <v>0.48570899401140766</v>
      </c>
      <c r="JH59" s="5">
        <v>0.48402594914487429</v>
      </c>
      <c r="JI59" s="5">
        <v>0.50395496969537856</v>
      </c>
      <c r="JJ59" s="5">
        <v>0.52424337332750526</v>
      </c>
      <c r="JK59" s="5">
        <v>0.53751365469151613</v>
      </c>
      <c r="JL59" s="5">
        <v>0.52639746217430283</v>
      </c>
      <c r="JM59" s="5">
        <v>0.489966390016428</v>
      </c>
      <c r="JN59" s="4">
        <v>0.50605107517074044</v>
      </c>
      <c r="JO59" s="5">
        <v>0.49631715173807239</v>
      </c>
      <c r="JP59" s="5">
        <v>0.4749413963488941</v>
      </c>
      <c r="JQ59" s="5">
        <v>0.46220564452108009</v>
      </c>
      <c r="JR59" s="5">
        <v>0.47789588339864614</v>
      </c>
      <c r="JS59" s="5">
        <v>0.50297558460369929</v>
      </c>
      <c r="JT59" s="5">
        <v>0.51871424818848755</v>
      </c>
      <c r="JU59" s="5">
        <v>0.52767865045713325</v>
      </c>
      <c r="JV59" s="5">
        <v>0.51330241550057631</v>
      </c>
      <c r="JW59" s="4">
        <v>0.47769568854756739</v>
      </c>
      <c r="JX59" s="5">
        <v>0.46238315608315822</v>
      </c>
      <c r="JY59" s="5">
        <v>0.45743394818772165</v>
      </c>
      <c r="JZ59" s="5">
        <v>0.44611315543955354</v>
      </c>
      <c r="KA59" s="5">
        <v>0.44873251034123035</v>
      </c>
      <c r="KB59" s="5">
        <v>0.46069005523376305</v>
      </c>
      <c r="KC59" s="5">
        <v>0.47499804266201734</v>
      </c>
      <c r="KD59" s="5">
        <v>0.48051429058302597</v>
      </c>
      <c r="KE59" s="5">
        <v>0.50167511397845088</v>
      </c>
      <c r="KF59" s="4">
        <v>0.5041425905096375</v>
      </c>
      <c r="KG59" s="4">
        <v>0.3234671329586109</v>
      </c>
      <c r="KH59" s="5">
        <v>0.30151532181407886</v>
      </c>
      <c r="KI59" s="5">
        <v>0.29549543338033585</v>
      </c>
      <c r="KJ59" s="5">
        <v>0.29872539930858871</v>
      </c>
      <c r="KK59" s="5">
        <v>0.32941113141327211</v>
      </c>
      <c r="KL59" s="5">
        <v>0.36832523031985631</v>
      </c>
      <c r="KM59" s="5">
        <v>0.39158579810700439</v>
      </c>
      <c r="KN59" s="5">
        <v>0.3810371472450193</v>
      </c>
      <c r="KO59" s="5">
        <v>0.37669595759372199</v>
      </c>
      <c r="KP59" s="4">
        <v>0.37372061838821752</v>
      </c>
      <c r="KQ59" s="5">
        <v>0.44589652188306589</v>
      </c>
      <c r="KR59" s="4">
        <v>0.43072025110085033</v>
      </c>
      <c r="KS59" s="5">
        <v>0.42654638593590893</v>
      </c>
      <c r="KT59" s="5">
        <v>0.4209733665171253</v>
      </c>
      <c r="KU59" s="5">
        <v>0.428185241949741</v>
      </c>
      <c r="KV59" s="5">
        <v>0.44173031728971313</v>
      </c>
      <c r="KW59" s="5">
        <v>0.44647908997366115</v>
      </c>
      <c r="KX59" s="5">
        <v>0.47950820746235373</v>
      </c>
      <c r="KY59" s="4">
        <v>0.50683863993769751</v>
      </c>
      <c r="KZ59" s="5">
        <v>0.49276782780708611</v>
      </c>
      <c r="LA59" s="5">
        <v>0.56730877185268891</v>
      </c>
      <c r="LB59" s="5">
        <v>0.56445366716461776</v>
      </c>
      <c r="LC59" s="4">
        <v>0.56824790673101022</v>
      </c>
      <c r="LD59" s="5">
        <v>0.56670239842827619</v>
      </c>
      <c r="LE59" s="5">
        <v>0.58372277725617527</v>
      </c>
      <c r="LF59" s="5">
        <v>0.62058426642896802</v>
      </c>
      <c r="LG59" s="5">
        <v>0.61631795531655531</v>
      </c>
      <c r="LH59" s="4">
        <v>0.60453606159067685</v>
      </c>
      <c r="LI59" s="5">
        <v>0.60275929827814256</v>
      </c>
      <c r="LJ59" s="5">
        <v>0.59390433375720653</v>
      </c>
      <c r="LL59" s="3" t="s">
        <v>191</v>
      </c>
      <c r="LM59" s="3" t="s">
        <v>160</v>
      </c>
      <c r="LN59" s="3" t="s">
        <v>161</v>
      </c>
      <c r="LO59" s="5">
        <v>0.79738824263730967</v>
      </c>
    </row>
    <row r="60" spans="2:327" x14ac:dyDescent="0.45">
      <c r="B60" s="6" t="s">
        <v>232</v>
      </c>
      <c r="C60" s="6" t="s">
        <v>151</v>
      </c>
      <c r="D60" s="8">
        <v>0.30461504626336927</v>
      </c>
      <c r="E60" s="8">
        <v>0.30251733574759548</v>
      </c>
      <c r="F60" s="8">
        <v>0.2890165144478542</v>
      </c>
      <c r="G60" s="8">
        <v>0.28831633462461176</v>
      </c>
      <c r="H60" s="8">
        <v>0.2905940641196989</v>
      </c>
      <c r="I60" s="8">
        <v>0.3049671987790365</v>
      </c>
      <c r="J60" s="8">
        <v>0.32017360959470736</v>
      </c>
      <c r="K60" s="8">
        <v>0.31145053538199791</v>
      </c>
      <c r="L60" s="8">
        <v>0.30521704285679779</v>
      </c>
      <c r="M60" s="8">
        <v>0.30408301678667177</v>
      </c>
      <c r="N60" s="8">
        <v>0.29541455476325679</v>
      </c>
      <c r="O60" s="8">
        <v>0.3047789387754567</v>
      </c>
      <c r="P60" s="8">
        <v>0.31409243489330918</v>
      </c>
      <c r="Q60" s="8">
        <v>0.31274267418399948</v>
      </c>
      <c r="R60" s="8">
        <v>0.31549583997763808</v>
      </c>
      <c r="S60" s="8">
        <v>0.32495500192149995</v>
      </c>
      <c r="T60" s="8">
        <v>0.32554396816003023</v>
      </c>
      <c r="U60" s="8">
        <v>0.33355070621728011</v>
      </c>
      <c r="V60" s="8">
        <v>0.30582300820732206</v>
      </c>
      <c r="W60" s="8">
        <v>0.29123114351200247</v>
      </c>
      <c r="X60" s="8">
        <v>0.39340724224503548</v>
      </c>
      <c r="Y60" s="8">
        <v>0.39943585294360862</v>
      </c>
      <c r="Z60" s="8">
        <v>0.41055665458843427</v>
      </c>
      <c r="AA60" s="8">
        <v>0.42079529054413595</v>
      </c>
      <c r="AB60" s="8">
        <v>0.40536770563610297</v>
      </c>
      <c r="AC60" s="8">
        <v>0.38399474475735601</v>
      </c>
      <c r="AD60" s="8">
        <v>0.38412324439760315</v>
      </c>
      <c r="AE60" s="8">
        <v>0.37505893301663229</v>
      </c>
      <c r="AF60" s="8">
        <v>0.36855841413552176</v>
      </c>
      <c r="AG60" s="8">
        <v>0.38816768104428601</v>
      </c>
      <c r="AH60" s="8">
        <v>0.43250922108411766</v>
      </c>
      <c r="AI60" s="8">
        <v>0.45455266872094924</v>
      </c>
      <c r="AJ60" s="8">
        <v>0.45953441948162443</v>
      </c>
      <c r="AK60" s="8">
        <v>0.45807081253974052</v>
      </c>
      <c r="AL60" s="8">
        <v>0.43495711506792351</v>
      </c>
      <c r="AM60" s="8">
        <v>0.41238297476903285</v>
      </c>
      <c r="AN60" s="8">
        <v>0.42414599479871851</v>
      </c>
      <c r="AO60" s="8">
        <v>0.41838520693307457</v>
      </c>
      <c r="AP60" s="8">
        <v>0.41527387838735358</v>
      </c>
      <c r="AQ60" s="8">
        <v>0.40286696980932724</v>
      </c>
      <c r="AR60" s="8">
        <v>0.24463019545559303</v>
      </c>
      <c r="AS60" s="8">
        <v>0.25961271222128157</v>
      </c>
      <c r="AT60" s="8">
        <v>0.26522551686900692</v>
      </c>
      <c r="AU60" s="8">
        <v>0.2728707919120259</v>
      </c>
      <c r="AV60" s="8">
        <v>0.27485335001469952</v>
      </c>
      <c r="AW60" s="8">
        <v>0.27084794572939019</v>
      </c>
      <c r="AX60" s="8">
        <v>0.26995893525361703</v>
      </c>
      <c r="AY60" s="8">
        <v>0.24815595793968209</v>
      </c>
      <c r="AZ60" s="8">
        <v>0.24021917804395249</v>
      </c>
      <c r="BA60" s="8">
        <v>0.22335644602163079</v>
      </c>
      <c r="BB60" s="8">
        <v>0.23161700320160383</v>
      </c>
      <c r="BC60" s="8">
        <v>0.23704772585681211</v>
      </c>
      <c r="BD60" s="8">
        <v>0.23521946282143616</v>
      </c>
      <c r="BE60" s="8">
        <v>0.24381601731725003</v>
      </c>
      <c r="BF60" s="8">
        <v>0.26098484565105767</v>
      </c>
      <c r="BG60" s="8">
        <v>0.26303314488601853</v>
      </c>
      <c r="BH60" s="8">
        <v>0.25978123395431002</v>
      </c>
      <c r="BI60" s="8">
        <v>0.26058436234322935</v>
      </c>
      <c r="BJ60" s="8">
        <v>0.24383889309315934</v>
      </c>
      <c r="BK60" s="8">
        <v>0.23698848663069688</v>
      </c>
      <c r="BM60" s="6" t="s">
        <v>232</v>
      </c>
      <c r="BN60" s="6" t="s">
        <v>152</v>
      </c>
      <c r="BO60" s="8">
        <v>2.5204318477118778E-2</v>
      </c>
      <c r="BP60" s="8">
        <v>1.5186699640446772E-2</v>
      </c>
      <c r="BQ60" s="7">
        <v>1.0248502558587192E-2</v>
      </c>
      <c r="BR60" s="8">
        <v>1.2906663553409902E-2</v>
      </c>
      <c r="BS60" s="8">
        <v>5.8090686874636152E-3</v>
      </c>
      <c r="BT60" s="8">
        <v>5.0152404629958923E-3</v>
      </c>
      <c r="BU60" s="7">
        <v>1.0277892324799124E-2</v>
      </c>
      <c r="BV60" s="8">
        <v>1.1640556888121061E-2</v>
      </c>
      <c r="BW60" s="7">
        <v>7.1060053672458885E-4</v>
      </c>
      <c r="BX60" s="8">
        <v>4.335969780048762E-3</v>
      </c>
      <c r="BY60" s="7">
        <v>1.9602913218142237E-2</v>
      </c>
      <c r="BZ60" s="7">
        <v>1.734252328606643E-2</v>
      </c>
      <c r="CA60" s="7">
        <v>1.1528027473795647E-2</v>
      </c>
      <c r="CB60" s="7">
        <v>1.6153522337100674E-2</v>
      </c>
      <c r="CC60" s="7">
        <v>2.21398503939212E-2</v>
      </c>
      <c r="CD60" s="8">
        <v>2.0366268540564062E-2</v>
      </c>
      <c r="CE60" s="7">
        <v>1.7530834250532291E-2</v>
      </c>
      <c r="CF60" s="8">
        <v>2.1347881270713027E-2</v>
      </c>
      <c r="CG60" s="7">
        <v>1.093849438028394E-2</v>
      </c>
      <c r="CH60" s="8">
        <v>8.7539384651590408E-3</v>
      </c>
      <c r="CI60" s="8">
        <v>3.2504903768326529E-2</v>
      </c>
      <c r="CJ60" s="7">
        <v>2.5112430068667521E-2</v>
      </c>
      <c r="CK60" s="8">
        <v>1.9577287775288155E-2</v>
      </c>
      <c r="CL60" s="7">
        <v>1.4137470308996394E-2</v>
      </c>
      <c r="CM60" s="8">
        <v>9.0527716579346402E-3</v>
      </c>
      <c r="CN60" s="8">
        <v>1.5936919216909897E-2</v>
      </c>
      <c r="CO60" s="8">
        <v>1.6552290758393883E-2</v>
      </c>
      <c r="CP60" s="8">
        <v>2.0324394605338407E-2</v>
      </c>
      <c r="CQ60" s="8">
        <v>9.7999042470931184E-3</v>
      </c>
      <c r="CR60" s="8">
        <v>4.9743611374978E-2</v>
      </c>
      <c r="CS60" s="8">
        <v>1.904389508665465E-2</v>
      </c>
      <c r="CT60" s="8">
        <v>3.6314522446703829E-2</v>
      </c>
      <c r="CU60" s="7">
        <v>2.2843902651282352E-3</v>
      </c>
      <c r="CV60" s="7">
        <v>2.1065075895621722E-2</v>
      </c>
      <c r="CW60" s="8">
        <v>3.3201930813684596E-2</v>
      </c>
      <c r="CX60" s="7">
        <v>3.2962085225999318E-3</v>
      </c>
      <c r="CY60" s="7">
        <v>2.1892509838164979E-2</v>
      </c>
      <c r="CZ60" s="7">
        <v>4.0307509343272825E-2</v>
      </c>
      <c r="DA60" s="7">
        <v>4.2946479284674412E-2</v>
      </c>
      <c r="DB60" s="8">
        <v>5.3519191974990332E-2</v>
      </c>
      <c r="DC60" s="8">
        <v>1.4896289941384351E-2</v>
      </c>
      <c r="DD60" s="7">
        <v>1.3584477288267118E-2</v>
      </c>
      <c r="DE60" s="7">
        <v>2.2294437621856556E-2</v>
      </c>
      <c r="DF60" s="8">
        <v>3.5087161944259398E-2</v>
      </c>
      <c r="DG60" s="8">
        <v>3.1405521187608081E-2</v>
      </c>
      <c r="DH60" s="7">
        <v>1.3049147545451742E-2</v>
      </c>
      <c r="DI60" s="7">
        <v>1.5236223525483508E-2</v>
      </c>
      <c r="DJ60" s="7">
        <v>1.363801640965152E-2</v>
      </c>
      <c r="DK60" s="7">
        <v>9.5334864128045378E-3</v>
      </c>
      <c r="DL60" s="8">
        <v>6.7190776460025496E-3</v>
      </c>
      <c r="DM60" s="8">
        <v>9.7126773129465101E-3</v>
      </c>
      <c r="DN60" s="8">
        <v>5.9339678423610326E-3</v>
      </c>
      <c r="DO60" s="8">
        <v>3.6650875168700759E-3</v>
      </c>
      <c r="DP60" s="8">
        <v>1.1243351675573192E-2</v>
      </c>
      <c r="DQ60" s="8">
        <v>2.191233115381714E-2</v>
      </c>
      <c r="DR60" s="8">
        <v>2.7168959913857257E-2</v>
      </c>
      <c r="DS60" s="8">
        <v>2.1850848227998734E-2</v>
      </c>
      <c r="DT60" s="7">
        <v>1.5203746418899825E-2</v>
      </c>
      <c r="DU60" s="8">
        <v>2.0345427886358181E-2</v>
      </c>
      <c r="DV60" s="8">
        <v>1.4162141351435082E-2</v>
      </c>
      <c r="DX60" s="6" t="s">
        <v>232</v>
      </c>
      <c r="DY60" s="6" t="s">
        <v>153</v>
      </c>
      <c r="DZ60" s="7">
        <v>4.6760831649735341E-3</v>
      </c>
      <c r="EA60" s="8">
        <v>2.6010777324778779E-2</v>
      </c>
      <c r="EB60" s="8">
        <v>3.3027851635913145E-2</v>
      </c>
      <c r="EC60" s="8">
        <v>2.5904221950403469E-2</v>
      </c>
      <c r="ED60" s="7">
        <v>1.5255333074717853E-2</v>
      </c>
      <c r="EE60" s="8">
        <v>1.4723869860487571E-2</v>
      </c>
      <c r="EF60" s="7">
        <v>1.7424207982808016E-2</v>
      </c>
      <c r="EG60" s="8">
        <v>4.8890810380848105E-3</v>
      </c>
      <c r="EH60" s="8">
        <v>1.7329641291208876E-2</v>
      </c>
      <c r="EI60" s="8">
        <v>1.7071397525299743E-2</v>
      </c>
      <c r="EJ60" s="8">
        <v>1.4741678056157538E-2</v>
      </c>
      <c r="EK60" s="8">
        <v>2.423082451489485E-2</v>
      </c>
      <c r="EL60" s="8">
        <v>4.0885480464704686E-2</v>
      </c>
      <c r="EM60" s="8">
        <v>2.0975632860782984E-2</v>
      </c>
      <c r="EN60" s="8">
        <v>2.2678136332284517E-2</v>
      </c>
      <c r="EO60" s="7">
        <v>1.3458719884723287E-2</v>
      </c>
      <c r="EP60" s="7">
        <v>2.2804177004348912E-2</v>
      </c>
      <c r="EQ60" s="7">
        <v>2.1015489788471162E-2</v>
      </c>
      <c r="ER60" s="7">
        <v>3.5572513745536175E-2</v>
      </c>
      <c r="ES60" s="7">
        <v>3.6709753813253365E-2</v>
      </c>
      <c r="ET60" s="8">
        <v>4.7539320456617344E-2</v>
      </c>
      <c r="EU60" s="8">
        <v>5.4273126662637353E-2</v>
      </c>
      <c r="EV60" s="8">
        <v>2.1349458826018304E-2</v>
      </c>
      <c r="EW60" s="8">
        <v>3.4176937827004365E-2</v>
      </c>
      <c r="EX60" s="7">
        <v>3.4074051950574211E-2</v>
      </c>
      <c r="EY60" s="8">
        <v>2.5522269238574424E-2</v>
      </c>
      <c r="EZ60" s="8">
        <v>1.7630391817571207E-2</v>
      </c>
      <c r="FA60" s="8">
        <v>1.2887424514087911E-2</v>
      </c>
      <c r="FB60" s="8">
        <v>2.3863039351742114E-2</v>
      </c>
      <c r="FC60" s="8">
        <v>1.2712315009433367E-2</v>
      </c>
      <c r="FD60" s="8">
        <v>0.1004292242307275</v>
      </c>
      <c r="FE60" s="8">
        <v>2.6398583103807053E-2</v>
      </c>
      <c r="FF60" s="8">
        <v>9.0792948329722387E-2</v>
      </c>
      <c r="FG60" s="8">
        <v>6.004498939373297E-2</v>
      </c>
      <c r="FH60" s="7">
        <v>1.4112828718540331E-2</v>
      </c>
      <c r="FI60" s="8">
        <v>3.8083391050572693E-2</v>
      </c>
      <c r="FJ60" s="8">
        <v>3.7547968642734297E-2</v>
      </c>
      <c r="FK60" s="8">
        <v>2.5937573046121813E-2</v>
      </c>
      <c r="FL60" s="8">
        <v>1.0352736453198813E-2</v>
      </c>
      <c r="FM60" s="7">
        <v>3.6232759165813366E-2</v>
      </c>
      <c r="FN60" s="8">
        <v>6.1229004667849784E-3</v>
      </c>
      <c r="FO60" s="8">
        <v>2.1993631326314534E-2</v>
      </c>
      <c r="FP60" s="7">
        <v>2.7080440134806094E-2</v>
      </c>
      <c r="FQ60" s="7">
        <v>2.6838719044507877E-2</v>
      </c>
      <c r="FR60" s="7">
        <v>2.2997937321699517E-2</v>
      </c>
      <c r="FS60" s="7">
        <v>4.3389353217912936E-2</v>
      </c>
      <c r="FT60" s="8">
        <v>4.2310745187331106E-2</v>
      </c>
      <c r="FU60" s="8">
        <v>2.3405232062176023E-2</v>
      </c>
      <c r="FV60" s="7">
        <v>1.5879592365192853E-2</v>
      </c>
      <c r="FW60" s="8">
        <v>1.612615622706471E-2</v>
      </c>
      <c r="FX60" s="8">
        <v>1.493861083843393E-2</v>
      </c>
      <c r="FY60" s="8">
        <v>1.773083598258425E-2</v>
      </c>
      <c r="FZ60" s="8">
        <v>1.5566395003290098E-2</v>
      </c>
      <c r="GA60" s="8">
        <v>1.4825213114802692E-2</v>
      </c>
      <c r="GB60" s="8">
        <v>1.4816906420716812E-2</v>
      </c>
      <c r="GC60" s="8">
        <v>1.0979167722554245E-2</v>
      </c>
      <c r="GD60" s="8">
        <v>1.6884608706189328E-2</v>
      </c>
      <c r="GE60" s="8">
        <v>1.9073107843885183E-2</v>
      </c>
      <c r="GF60" s="8">
        <v>1.8955223246299897E-2</v>
      </c>
      <c r="GG60" s="8">
        <v>1.4860830010691115E-2</v>
      </c>
      <c r="GI60" s="6" t="s">
        <v>232</v>
      </c>
      <c r="GJ60" s="6" t="s">
        <v>154</v>
      </c>
      <c r="GK60" s="8">
        <v>0.14643548610973256</v>
      </c>
      <c r="GL60" s="8">
        <v>0.1303162404676553</v>
      </c>
      <c r="GM60" s="8">
        <v>0.11486828319335174</v>
      </c>
      <c r="GN60" s="8">
        <v>0.12485529107526409</v>
      </c>
      <c r="GO60" s="8">
        <v>0.14505646121830792</v>
      </c>
      <c r="GP60" s="8">
        <v>0.15611679124488681</v>
      </c>
      <c r="GQ60" s="8">
        <v>0.16007647530710759</v>
      </c>
      <c r="GR60" s="8">
        <v>0.16914209079272555</v>
      </c>
      <c r="GS60" s="8">
        <v>0.15435537026139945</v>
      </c>
      <c r="GT60" s="8">
        <v>0.14492837966932465</v>
      </c>
      <c r="GU60" s="8">
        <v>0.15411019695706321</v>
      </c>
      <c r="GV60" s="8">
        <v>0.15097871863696316</v>
      </c>
      <c r="GW60" s="8">
        <v>0.13807399499728834</v>
      </c>
      <c r="GX60" s="8">
        <v>0.14354867001701024</v>
      </c>
      <c r="GY60" s="8">
        <v>0.13298057271837313</v>
      </c>
      <c r="GZ60" s="8">
        <v>0.14231109776144746</v>
      </c>
      <c r="HA60" s="7">
        <v>0.1436085587661611</v>
      </c>
      <c r="HB60" s="8">
        <v>0.14455632263318391</v>
      </c>
      <c r="HC60" s="8">
        <v>0.12590009476614172</v>
      </c>
      <c r="HD60" s="8">
        <v>0.12571887830243003</v>
      </c>
      <c r="HE60" s="8">
        <v>0.16806948973583016</v>
      </c>
      <c r="HF60" s="8">
        <v>0.16174379563568567</v>
      </c>
      <c r="HG60" s="8">
        <v>0.20771854443295454</v>
      </c>
      <c r="HH60" s="8">
        <v>0.20963039183283916</v>
      </c>
      <c r="HI60" s="8">
        <v>0.20489598540933171</v>
      </c>
      <c r="HJ60" s="8">
        <v>0.18971153267956364</v>
      </c>
      <c r="HK60" s="8">
        <v>0.19283527423149999</v>
      </c>
      <c r="HL60" s="7">
        <v>0.18709530412207243</v>
      </c>
      <c r="HM60" s="8">
        <v>0.18283518498273754</v>
      </c>
      <c r="HN60" s="8">
        <v>0.16899963125574916</v>
      </c>
      <c r="HO60" s="8">
        <v>0.17778439880990066</v>
      </c>
      <c r="HP60" s="8">
        <v>0.26892012435037205</v>
      </c>
      <c r="HQ60" s="8">
        <v>0.23471932466837053</v>
      </c>
      <c r="HR60" s="8">
        <v>0.23798372389829694</v>
      </c>
      <c r="HS60" s="8">
        <v>0.25570442809003308</v>
      </c>
      <c r="HT60" s="8">
        <v>0.23621269829030928</v>
      </c>
      <c r="HU60" s="8">
        <v>0.21937726671719618</v>
      </c>
      <c r="HV60" s="7">
        <v>0.21590293793500301</v>
      </c>
      <c r="HW60" s="8">
        <v>0.21671496877088925</v>
      </c>
      <c r="HX60" s="8">
        <v>0.17707568022405482</v>
      </c>
      <c r="HY60" s="8">
        <v>0.11585718873094925</v>
      </c>
      <c r="HZ60" s="8">
        <v>0.11516510773402104</v>
      </c>
      <c r="IA60" s="8">
        <v>8.7565444714667956E-2</v>
      </c>
      <c r="IB60" s="8">
        <v>7.5375016997623778E-2</v>
      </c>
      <c r="IC60" s="8">
        <v>8.5448819738103754E-2</v>
      </c>
      <c r="ID60" s="8">
        <v>8.8180195892428412E-2</v>
      </c>
      <c r="IE60" s="8">
        <v>8.6690603397531402E-2</v>
      </c>
      <c r="IF60" s="8">
        <v>9.4970296806283161E-2</v>
      </c>
      <c r="IG60" s="8">
        <v>9.5371022759553864E-2</v>
      </c>
      <c r="IH60" s="8">
        <v>9.6612802647769058E-2</v>
      </c>
      <c r="II60" s="8">
        <v>7.9485071602558272E-2</v>
      </c>
      <c r="IJ60" s="8">
        <v>9.3913593785536806E-2</v>
      </c>
      <c r="IK60" s="8">
        <v>9.5076470546374595E-2</v>
      </c>
      <c r="IL60" s="8">
        <v>0.10146087965304368</v>
      </c>
      <c r="IM60" s="8">
        <v>9.1895671166524806E-2</v>
      </c>
      <c r="IN60" s="8">
        <v>9.5425226678878622E-2</v>
      </c>
      <c r="IO60" s="8">
        <v>8.6295388681330049E-2</v>
      </c>
      <c r="IP60" s="8">
        <v>7.9474102694870666E-2</v>
      </c>
      <c r="IQ60" s="8">
        <v>7.2029847025043392E-2</v>
      </c>
      <c r="IR60" s="8">
        <v>7.4361021002838021E-2</v>
      </c>
      <c r="JB60" s="6" t="s">
        <v>232</v>
      </c>
      <c r="JC60" s="8">
        <v>0.49967495105466098</v>
      </c>
      <c r="JD60" s="8">
        <v>0.49986310463331607</v>
      </c>
      <c r="JE60" s="7">
        <v>0.51157442181986768</v>
      </c>
      <c r="JF60" s="8">
        <v>0.51246453350867638</v>
      </c>
      <c r="JG60" s="8">
        <v>0.50539482306586425</v>
      </c>
      <c r="JH60" s="8">
        <v>0.48446448469708153</v>
      </c>
      <c r="JI60" s="8">
        <v>0.48183516729465226</v>
      </c>
      <c r="JJ60" s="8">
        <v>0.49218234047293663</v>
      </c>
      <c r="JK60" s="8">
        <v>0.51304692019692666</v>
      </c>
      <c r="JL60" s="8">
        <v>0.50550690617696459</v>
      </c>
      <c r="JM60" s="8">
        <v>0.46405416474234862</v>
      </c>
      <c r="JN60" s="7">
        <v>0.47894433183503932</v>
      </c>
      <c r="JO60" s="8">
        <v>0.48865120076253765</v>
      </c>
      <c r="JP60" s="8">
        <v>0.50059505513884495</v>
      </c>
      <c r="JQ60" s="8">
        <v>0.48693129393562185</v>
      </c>
      <c r="JR60" s="8">
        <v>0.48384025783018497</v>
      </c>
      <c r="JS60" s="8">
        <v>0.48011687816288628</v>
      </c>
      <c r="JT60" s="8">
        <v>0.46692737868651135</v>
      </c>
      <c r="JU60" s="8">
        <v>0.46900653810293763</v>
      </c>
      <c r="JV60" s="8">
        <v>0.46377085786964234</v>
      </c>
      <c r="JW60" s="7">
        <v>0.381347548654761</v>
      </c>
      <c r="JX60" s="8">
        <v>0.38129166730671937</v>
      </c>
      <c r="JY60" s="8">
        <v>0.38654362106768292</v>
      </c>
      <c r="JZ60" s="8">
        <v>0.38544800501797716</v>
      </c>
      <c r="KA60" s="8">
        <v>0.40317385681507895</v>
      </c>
      <c r="KB60" s="8">
        <v>0.4296957335957769</v>
      </c>
      <c r="KC60" s="8">
        <v>0.44055596305072675</v>
      </c>
      <c r="KD60" s="8">
        <v>0.42405411403160542</v>
      </c>
      <c r="KE60" s="8">
        <v>0.41451234093840522</v>
      </c>
      <c r="KF60" s="7">
        <v>0.39952631307513925</v>
      </c>
      <c r="KG60" s="7">
        <v>0.26330361593544721</v>
      </c>
      <c r="KH60" s="8">
        <v>0.27119290362104714</v>
      </c>
      <c r="KI60" s="8">
        <v>0.27636595289391885</v>
      </c>
      <c r="KJ60" s="8">
        <v>0.28293513694042038</v>
      </c>
      <c r="KK60" s="8">
        <v>0.29066693109381314</v>
      </c>
      <c r="KL60" s="8">
        <v>0.29159708400519807</v>
      </c>
      <c r="KM60" s="8">
        <v>0.28599772710097776</v>
      </c>
      <c r="KN60" s="8">
        <v>0.28291360780243729</v>
      </c>
      <c r="KO60" s="8">
        <v>0.27517388479393579</v>
      </c>
      <c r="KP60" s="7">
        <v>0.28275150774104363</v>
      </c>
      <c r="KQ60" s="8">
        <v>0.52936359679967648</v>
      </c>
      <c r="KR60" s="7">
        <v>0.49344070225030368</v>
      </c>
      <c r="KS60" s="8">
        <v>0.5240181445441835</v>
      </c>
      <c r="KT60" s="8">
        <v>0.54677040769230023</v>
      </c>
      <c r="KU60" s="8">
        <v>0.56220253279096766</v>
      </c>
      <c r="KV60" s="8">
        <v>0.55785356584142465</v>
      </c>
      <c r="KW60" s="8">
        <v>0.56080185956050654</v>
      </c>
      <c r="KX60" s="8">
        <v>0.57441400418622934</v>
      </c>
      <c r="KY60" s="7">
        <v>0.57774726677014199</v>
      </c>
      <c r="KZ60" s="8">
        <v>0.5815859548607587</v>
      </c>
      <c r="LA60" s="8">
        <v>0.67002598069089114</v>
      </c>
      <c r="LB60" s="8">
        <v>0.6396259813890105</v>
      </c>
      <c r="LC60" s="7">
        <v>0.64065712651802742</v>
      </c>
      <c r="LD60" s="8">
        <v>0.61877035275464265</v>
      </c>
      <c r="LE60" s="8">
        <v>0.61505159288816547</v>
      </c>
      <c r="LF60" s="8">
        <v>0.6090449172703809</v>
      </c>
      <c r="LG60" s="8">
        <v>0.61548413459944429</v>
      </c>
      <c r="LH60" s="7">
        <v>0.6251363881470513</v>
      </c>
      <c r="LI60" s="8">
        <v>0.64432643684863922</v>
      </c>
      <c r="LJ60" s="8">
        <v>0.66436702491400024</v>
      </c>
      <c r="LL60" s="6" t="s">
        <v>193</v>
      </c>
      <c r="LM60" s="6" t="s">
        <v>160</v>
      </c>
      <c r="LN60" s="6" t="s">
        <v>161</v>
      </c>
      <c r="LO60" s="8">
        <v>0.81464176485763706</v>
      </c>
    </row>
    <row r="61" spans="2:327" x14ac:dyDescent="0.45">
      <c r="B61" s="3" t="s">
        <v>233</v>
      </c>
      <c r="C61" s="3" t="s">
        <v>151</v>
      </c>
      <c r="D61" s="5">
        <v>0.24221916298713975</v>
      </c>
      <c r="E61" s="5">
        <v>0.23940608065649033</v>
      </c>
      <c r="F61" s="5">
        <v>0.23906056004775214</v>
      </c>
      <c r="G61" s="5">
        <v>0.24389549854721757</v>
      </c>
      <c r="H61" s="5">
        <v>0.26665239252348855</v>
      </c>
      <c r="I61" s="5">
        <v>0.27626890684457683</v>
      </c>
      <c r="J61" s="5">
        <v>0.2620788801501524</v>
      </c>
      <c r="K61" s="5">
        <v>0.24757234085828125</v>
      </c>
      <c r="L61" s="5">
        <v>0.23764216474721628</v>
      </c>
      <c r="M61" s="5">
        <v>0.22803258481646446</v>
      </c>
      <c r="N61" s="5">
        <v>0.26525382790498858</v>
      </c>
      <c r="O61" s="5">
        <v>0.25938343577088002</v>
      </c>
      <c r="P61" s="5">
        <v>0.23951882269935132</v>
      </c>
      <c r="Q61" s="5">
        <v>0.24821027559734177</v>
      </c>
      <c r="R61" s="5">
        <v>0.27620602159008567</v>
      </c>
      <c r="S61" s="5">
        <v>0.28156660047666926</v>
      </c>
      <c r="T61" s="5">
        <v>0.26933298853355353</v>
      </c>
      <c r="U61" s="5">
        <v>0.2661795095076574</v>
      </c>
      <c r="V61" s="5">
        <v>0.27057506083891786</v>
      </c>
      <c r="W61" s="5">
        <v>0.26130827194830397</v>
      </c>
      <c r="X61" s="5">
        <v>0.35539594698771604</v>
      </c>
      <c r="Y61" s="5">
        <v>0.3568713669470816</v>
      </c>
      <c r="Z61" s="5">
        <v>0.36915030563326556</v>
      </c>
      <c r="AA61" s="5">
        <v>0.40133083825294885</v>
      </c>
      <c r="AB61" s="5">
        <v>0.41378107383409263</v>
      </c>
      <c r="AC61" s="5">
        <v>0.38568570398715929</v>
      </c>
      <c r="AD61" s="5">
        <v>0.34735562954469185</v>
      </c>
      <c r="AE61" s="5">
        <v>0.3353007062086017</v>
      </c>
      <c r="AF61" s="5">
        <v>0.32623869508090358</v>
      </c>
      <c r="AG61" s="5">
        <v>0.3236650137403545</v>
      </c>
      <c r="AH61" s="5">
        <v>0.34014930811835015</v>
      </c>
      <c r="AI61" s="5">
        <v>0.35587132190620679</v>
      </c>
      <c r="AJ61" s="5">
        <v>0.36555180430709638</v>
      </c>
      <c r="AK61" s="5">
        <v>0.37221431155411694</v>
      </c>
      <c r="AL61" s="5">
        <v>0.36632477312356443</v>
      </c>
      <c r="AM61" s="5">
        <v>0.34112534058971611</v>
      </c>
      <c r="AN61" s="5">
        <v>0.31081993965220289</v>
      </c>
      <c r="AO61" s="5">
        <v>0.30015953087696967</v>
      </c>
      <c r="AP61" s="5">
        <v>0.29987877752298142</v>
      </c>
      <c r="AQ61" s="5">
        <v>0.30878656936391613</v>
      </c>
      <c r="AR61" s="5">
        <v>0.24975263911256498</v>
      </c>
      <c r="AS61" s="5">
        <v>0.26630019957524875</v>
      </c>
      <c r="AT61" s="5">
        <v>0.27457261234900748</v>
      </c>
      <c r="AU61" s="5">
        <v>0.26285402287263765</v>
      </c>
      <c r="AV61" s="5">
        <v>0.2538423628931249</v>
      </c>
      <c r="AW61" s="5">
        <v>0.25877424583693193</v>
      </c>
      <c r="AX61" s="5">
        <v>0.2556822826369996</v>
      </c>
      <c r="AY61" s="5">
        <v>0.23940053682294068</v>
      </c>
      <c r="AZ61" s="5">
        <v>0.23732818899721203</v>
      </c>
      <c r="BA61" s="5">
        <v>0.24748165773968916</v>
      </c>
      <c r="BB61" s="5">
        <v>0.24086621811614095</v>
      </c>
      <c r="BC61" s="5">
        <v>0.24103733364577007</v>
      </c>
      <c r="BD61" s="5">
        <v>0.24206263115617088</v>
      </c>
      <c r="BE61" s="5">
        <v>0.2484066762305614</v>
      </c>
      <c r="BF61" s="5">
        <v>0.2436765738652642</v>
      </c>
      <c r="BG61" s="5">
        <v>0.2639522989121626</v>
      </c>
      <c r="BH61" s="5">
        <v>0.26997509474173881</v>
      </c>
      <c r="BI61" s="5">
        <v>0.25936367957594836</v>
      </c>
      <c r="BJ61" s="5">
        <v>0.25045875896853592</v>
      </c>
      <c r="BK61" s="5">
        <v>0.24381816045990132</v>
      </c>
      <c r="BM61" s="3" t="s">
        <v>233</v>
      </c>
      <c r="BN61" s="3" t="s">
        <v>152</v>
      </c>
      <c r="BO61" s="5">
        <v>1.2123380215938735E-2</v>
      </c>
      <c r="BP61" s="5">
        <v>1.2783474774454726E-2</v>
      </c>
      <c r="BQ61" s="4">
        <v>9.4358550698412213E-3</v>
      </c>
      <c r="BR61" s="5">
        <v>1.1444483463222506E-2</v>
      </c>
      <c r="BS61" s="5">
        <v>1.6692337188111563E-2</v>
      </c>
      <c r="BT61" s="5">
        <v>1.5716233071890347E-2</v>
      </c>
      <c r="BU61" s="4">
        <v>6.2241877149948228E-3</v>
      </c>
      <c r="BV61" s="5">
        <v>8.8817021310252826E-3</v>
      </c>
      <c r="BW61" s="4">
        <v>9.7758339499958886E-3</v>
      </c>
      <c r="BX61" s="5">
        <v>9.9395214509197458E-3</v>
      </c>
      <c r="BY61" s="4">
        <v>1.5777180818614355E-2</v>
      </c>
      <c r="BZ61" s="4">
        <v>1.5332701063661939E-2</v>
      </c>
      <c r="CA61" s="4">
        <v>1.0604088820351102E-2</v>
      </c>
      <c r="CB61" s="4">
        <v>1.2018616634929008E-2</v>
      </c>
      <c r="CC61" s="4">
        <v>2.3846889088859902E-2</v>
      </c>
      <c r="CD61" s="5">
        <v>1.4549332920131355E-3</v>
      </c>
      <c r="CE61" s="4">
        <v>5.2299057912521254E-3</v>
      </c>
      <c r="CF61" s="5">
        <v>1.1340984456117162E-2</v>
      </c>
      <c r="CG61" s="4">
        <v>1.2732479724223204E-2</v>
      </c>
      <c r="CH61" s="5">
        <v>1.2733513694802497E-2</v>
      </c>
      <c r="CI61" s="5">
        <v>2.0686936745503422E-2</v>
      </c>
      <c r="CJ61" s="4">
        <v>4.079586404117725E-3</v>
      </c>
      <c r="CK61" s="5">
        <v>1.1767849634504978E-2</v>
      </c>
      <c r="CL61" s="4">
        <v>1.8734004251441224E-2</v>
      </c>
      <c r="CM61" s="5">
        <v>1.9787151929895625E-2</v>
      </c>
      <c r="CN61" s="5">
        <v>1.6047838861356235E-2</v>
      </c>
      <c r="CO61" s="5">
        <v>2.6463363792870936E-2</v>
      </c>
      <c r="CP61" s="5">
        <v>3.4563656525711958E-2</v>
      </c>
      <c r="CQ61" s="5">
        <v>2.5385442884036807E-2</v>
      </c>
      <c r="CR61" s="5">
        <v>2.4249480245349776E-2</v>
      </c>
      <c r="CS61" s="5">
        <v>2.3223989285929975E-2</v>
      </c>
      <c r="CT61" s="5">
        <v>1.2944694223465157E-2</v>
      </c>
      <c r="CU61" s="4">
        <v>2.1895788148711976E-2</v>
      </c>
      <c r="CV61" s="4">
        <v>3.3106292763717002E-2</v>
      </c>
      <c r="CW61" s="5">
        <v>6.0110728741346327E-2</v>
      </c>
      <c r="CX61" s="4">
        <v>4.566834651216372E-2</v>
      </c>
      <c r="CY61" s="4">
        <v>4.7336646009164936E-2</v>
      </c>
      <c r="CZ61" s="4">
        <v>3.7152515685093479E-2</v>
      </c>
      <c r="DA61" s="4">
        <v>2.4577603730413903E-2</v>
      </c>
      <c r="DB61" s="5">
        <v>9.5297028226392095E-3</v>
      </c>
      <c r="DC61" s="5">
        <v>1.8576218546515512E-2</v>
      </c>
      <c r="DD61" s="4">
        <v>3.049706788343428E-2</v>
      </c>
      <c r="DE61" s="4">
        <v>3.620757589647787E-2</v>
      </c>
      <c r="DF61" s="5">
        <v>3.1404982139047986E-2</v>
      </c>
      <c r="DG61" s="5">
        <v>1.2799050827914174E-2</v>
      </c>
      <c r="DH61" s="4">
        <v>1.0970652760445551E-2</v>
      </c>
      <c r="DI61" s="4">
        <v>4.8710411882332575E-3</v>
      </c>
      <c r="DJ61" s="4">
        <v>6.6175670292559843E-3</v>
      </c>
      <c r="DK61" s="4">
        <v>1.2402612756488338E-2</v>
      </c>
      <c r="DL61" s="5">
        <v>1.1831641913563153E-2</v>
      </c>
      <c r="DM61" s="5">
        <v>1.5450469531041514E-2</v>
      </c>
      <c r="DN61" s="5">
        <v>3.1688615842762531E-3</v>
      </c>
      <c r="DO61" s="5">
        <v>1.2614934711539837E-2</v>
      </c>
      <c r="DP61" s="5">
        <v>2.1479388773059736E-2</v>
      </c>
      <c r="DQ61" s="5">
        <v>1.6629565142251616E-2</v>
      </c>
      <c r="DR61" s="5">
        <v>2.0990300592885824E-2</v>
      </c>
      <c r="DS61" s="5">
        <v>2.9993132009333581E-2</v>
      </c>
      <c r="DT61" s="4">
        <v>2.7596069526308248E-2</v>
      </c>
      <c r="DU61" s="5">
        <v>2.1632897491646201E-2</v>
      </c>
      <c r="DV61" s="5">
        <v>1.616421811678909E-2</v>
      </c>
      <c r="DX61" s="3" t="s">
        <v>233</v>
      </c>
      <c r="DY61" s="3" t="s">
        <v>153</v>
      </c>
      <c r="DZ61" s="4">
        <v>1.8295961867734245E-2</v>
      </c>
      <c r="EA61" s="5">
        <v>2.1741334824774094E-2</v>
      </c>
      <c r="EB61" s="5">
        <v>1.8878714117846477E-2</v>
      </c>
      <c r="EC61" s="5">
        <v>6.7281962322486141E-3</v>
      </c>
      <c r="ED61" s="4">
        <v>5.6662439898678783E-3</v>
      </c>
      <c r="EE61" s="5">
        <v>9.7742451936667519E-3</v>
      </c>
      <c r="EF61" s="4">
        <v>2.3002258331815833E-2</v>
      </c>
      <c r="EG61" s="5">
        <v>1.459962698709927E-2</v>
      </c>
      <c r="EH61" s="5">
        <v>1.4285715028492248E-2</v>
      </c>
      <c r="EI61" s="5">
        <v>1.0756540292939458E-2</v>
      </c>
      <c r="EJ61" s="5">
        <v>1.5300350461984911E-2</v>
      </c>
      <c r="EK61" s="5">
        <v>1.8495723739473103E-2</v>
      </c>
      <c r="EL61" s="5">
        <v>1.3819645542754831E-2</v>
      </c>
      <c r="EM61" s="5">
        <v>1.4586688611270484E-2</v>
      </c>
      <c r="EN61" s="5">
        <v>1.4345006261089045E-2</v>
      </c>
      <c r="EO61" s="4">
        <v>2.5550796799599367E-2</v>
      </c>
      <c r="EP61" s="4">
        <v>1.6903130554797342E-2</v>
      </c>
      <c r="EQ61" s="4">
        <v>9.2076738307415758E-3</v>
      </c>
      <c r="ER61" s="4">
        <v>6.9180370324211718E-3</v>
      </c>
      <c r="ES61" s="4">
        <v>1.2729754269543493E-2</v>
      </c>
      <c r="ET61" s="5">
        <v>4.2387626283252183E-2</v>
      </c>
      <c r="EU61" s="5">
        <v>4.3573778228072048E-2</v>
      </c>
      <c r="EV61" s="5">
        <v>1.8755846792066152E-2</v>
      </c>
      <c r="EW61" s="5">
        <v>1.5418240620967827E-2</v>
      </c>
      <c r="EX61" s="4">
        <v>1.9828196271052572E-2</v>
      </c>
      <c r="EY61" s="5">
        <v>2.442707151939914E-2</v>
      </c>
      <c r="EZ61" s="5">
        <v>2.0738459734273816E-2</v>
      </c>
      <c r="FA61" s="5">
        <v>1.1617575652055628E-2</v>
      </c>
      <c r="FB61" s="5">
        <v>1.455696323789642E-2</v>
      </c>
      <c r="FC61" s="5">
        <v>3.8605021753360072E-2</v>
      </c>
      <c r="FD61" s="5">
        <v>1.7439040563135718E-2</v>
      </c>
      <c r="FE61" s="5">
        <v>2.5023276215921497E-2</v>
      </c>
      <c r="FF61" s="5">
        <v>2.2072684942870267E-2</v>
      </c>
      <c r="FG61" s="5">
        <v>1.8614061886436477E-2</v>
      </c>
      <c r="FH61" s="4">
        <v>1.9298268824175995E-2</v>
      </c>
      <c r="FI61" s="5">
        <v>2.764391682561558E-2</v>
      </c>
      <c r="FJ61" s="5">
        <v>1.346190453033713E-2</v>
      </c>
      <c r="FK61" s="5">
        <v>2.1825963636749074E-2</v>
      </c>
      <c r="FL61" s="5">
        <v>4.1011025173603249E-2</v>
      </c>
      <c r="FM61" s="4">
        <v>4.3576069816591893E-2</v>
      </c>
      <c r="FN61" s="5">
        <v>1.3994623312905251E-2</v>
      </c>
      <c r="FO61" s="5">
        <v>1.9309595798607623E-2</v>
      </c>
      <c r="FP61" s="4">
        <v>1.9187827873168358E-2</v>
      </c>
      <c r="FQ61" s="4">
        <v>2.3202557386442071E-2</v>
      </c>
      <c r="FR61" s="4">
        <v>3.3461724297252624E-2</v>
      </c>
      <c r="FS61" s="4">
        <v>3.0677234033167779E-2</v>
      </c>
      <c r="FT61" s="5">
        <v>2.6103589242013496E-2</v>
      </c>
      <c r="FU61" s="5">
        <v>1.5390911403358361E-2</v>
      </c>
      <c r="FV61" s="4">
        <v>8.2047890338027701E-3</v>
      </c>
      <c r="FW61" s="5">
        <v>8.3870482233560171E-3</v>
      </c>
      <c r="FX61" s="5">
        <v>1.8334309773095029E-2</v>
      </c>
      <c r="FY61" s="5">
        <v>2.2166813012570542E-2</v>
      </c>
      <c r="FZ61" s="5">
        <v>2.0891039444952925E-2</v>
      </c>
      <c r="GA61" s="5">
        <v>5.6271034736070803E-3</v>
      </c>
      <c r="GB61" s="5">
        <v>8.2529665145760593E-3</v>
      </c>
      <c r="GC61" s="5">
        <v>2.0376700399813201E-2</v>
      </c>
      <c r="GD61" s="5">
        <v>2.3372030051828155E-2</v>
      </c>
      <c r="GE61" s="5">
        <v>1.9567099959995976E-2</v>
      </c>
      <c r="GF61" s="5">
        <v>2.3804011325596001E-2</v>
      </c>
      <c r="GG61" s="5">
        <v>2.1104222101553823E-2</v>
      </c>
      <c r="GI61" s="3" t="s">
        <v>233</v>
      </c>
      <c r="GJ61" s="3" t="s">
        <v>154</v>
      </c>
      <c r="GK61" s="5">
        <v>8.5989145791459068E-2</v>
      </c>
      <c r="GL61" s="5">
        <v>8.7459660826970709E-2</v>
      </c>
      <c r="GM61" s="5">
        <v>8.7993010391609228E-2</v>
      </c>
      <c r="GN61" s="5">
        <v>0.10097662223380456</v>
      </c>
      <c r="GO61" s="5">
        <v>0.11172319128341898</v>
      </c>
      <c r="GP61" s="5">
        <v>0.11570756552113343</v>
      </c>
      <c r="GQ61" s="5">
        <v>0.11386924232555908</v>
      </c>
      <c r="GR61" s="5">
        <v>0.11075777193374506</v>
      </c>
      <c r="GS61" s="5">
        <v>9.7862833501285107E-2</v>
      </c>
      <c r="GT61" s="5">
        <v>9.4400652602939936E-2</v>
      </c>
      <c r="GU61" s="5">
        <v>0.10604737704843446</v>
      </c>
      <c r="GV61" s="5">
        <v>9.9486209672800627E-2</v>
      </c>
      <c r="GW61" s="5">
        <v>9.2219478070199104E-2</v>
      </c>
      <c r="GX61" s="5">
        <v>9.1127855314214232E-2</v>
      </c>
      <c r="GY61" s="5">
        <v>0.10495384653121033</v>
      </c>
      <c r="GZ61" s="5">
        <v>0.13095977648857221</v>
      </c>
      <c r="HA61" s="4">
        <v>0.13025569305080778</v>
      </c>
      <c r="HB61" s="5">
        <v>0.13166014518265212</v>
      </c>
      <c r="HC61" s="5">
        <v>0.12655031857946833</v>
      </c>
      <c r="HD61" s="5">
        <v>0.11224195909447002</v>
      </c>
      <c r="HE61" s="5">
        <v>0.14342535518166932</v>
      </c>
      <c r="HF61" s="5">
        <v>0.16246396717142414</v>
      </c>
      <c r="HG61" s="5">
        <v>0.18867280513262272</v>
      </c>
      <c r="HH61" s="5">
        <v>0.21175485469703687</v>
      </c>
      <c r="HI61" s="5">
        <v>0.2178425109649203</v>
      </c>
      <c r="HJ61" s="5">
        <v>0.18964932185967628</v>
      </c>
      <c r="HK61" s="5">
        <v>0.15976034074234141</v>
      </c>
      <c r="HL61" s="4">
        <v>0.14405083533533211</v>
      </c>
      <c r="HM61" s="5">
        <v>0.13675771492265615</v>
      </c>
      <c r="HN61" s="5">
        <v>0.11325271583370615</v>
      </c>
      <c r="HO61" s="5">
        <v>0.16687584812774353</v>
      </c>
      <c r="HP61" s="5">
        <v>0.19847784878772945</v>
      </c>
      <c r="HQ61" s="5">
        <v>0.20267360787140176</v>
      </c>
      <c r="HR61" s="5">
        <v>0.19386126263691458</v>
      </c>
      <c r="HS61" s="5">
        <v>0.16926311648339601</v>
      </c>
      <c r="HT61" s="5">
        <v>0.13919997638449777</v>
      </c>
      <c r="HU61" s="5">
        <v>0.10996360464659735</v>
      </c>
      <c r="HV61" s="4">
        <v>9.7865166863556285E-2</v>
      </c>
      <c r="HW61" s="5">
        <v>0.10806157014375287</v>
      </c>
      <c r="HX61" s="5">
        <v>0.1333766542554162</v>
      </c>
      <c r="HY61" s="5">
        <v>0.11313286182595855</v>
      </c>
      <c r="HZ61" s="5">
        <v>0.1002898575272325</v>
      </c>
      <c r="IA61" s="5">
        <v>9.4856431683116027E-2</v>
      </c>
      <c r="IB61" s="5">
        <v>8.1538566582480959E-2</v>
      </c>
      <c r="IC61" s="5">
        <v>8.3902715294347882E-2</v>
      </c>
      <c r="ID61" s="5">
        <v>9.3140598197508057E-2</v>
      </c>
      <c r="IE61" s="5">
        <v>0.10239130621603236</v>
      </c>
      <c r="IF61" s="5">
        <v>0.1039698164944224</v>
      </c>
      <c r="IG61" s="5">
        <v>0.10910336113187698</v>
      </c>
      <c r="IH61" s="5">
        <v>0.11611808608285965</v>
      </c>
      <c r="II61" s="5">
        <v>7.202705207380479E-2</v>
      </c>
      <c r="IJ61" s="5">
        <v>9.0761143668878816E-2</v>
      </c>
      <c r="IK61" s="5">
        <v>8.9006642986828546E-2</v>
      </c>
      <c r="IL61" s="5">
        <v>0.10613614593226697</v>
      </c>
      <c r="IM61" s="5">
        <v>0.10814811085466496</v>
      </c>
      <c r="IN61" s="5">
        <v>8.9257106343190576E-2</v>
      </c>
      <c r="IO61" s="5">
        <v>7.8804231761347751E-2</v>
      </c>
      <c r="IP61" s="5">
        <v>7.9097339371869232E-2</v>
      </c>
      <c r="IQ61" s="5">
        <v>7.3352785422080652E-2</v>
      </c>
      <c r="IR61" s="5">
        <v>7.1226770715213106E-2</v>
      </c>
      <c r="JB61" s="3" t="s">
        <v>233</v>
      </c>
      <c r="JC61" s="5">
        <v>0.62453057003766921</v>
      </c>
      <c r="JD61" s="5">
        <v>0.62079099045766839</v>
      </c>
      <c r="JE61" s="4">
        <v>0.62957279715935821</v>
      </c>
      <c r="JF61" s="5">
        <v>0.62030246148617429</v>
      </c>
      <c r="JG61" s="5">
        <v>0.59911057281609004</v>
      </c>
      <c r="JH61" s="5">
        <v>0.58277336933749935</v>
      </c>
      <c r="JI61" s="5">
        <v>0.57474748409790344</v>
      </c>
      <c r="JJ61" s="5">
        <v>0.60094119998667739</v>
      </c>
      <c r="JK61" s="5">
        <v>0.61837707247706086</v>
      </c>
      <c r="JL61" s="5">
        <v>0.62495245400602639</v>
      </c>
      <c r="JM61" s="5">
        <v>0.56450567316969813</v>
      </c>
      <c r="JN61" s="4">
        <v>0.59089088225158604</v>
      </c>
      <c r="JO61" s="5">
        <v>0.62043770039809276</v>
      </c>
      <c r="JP61" s="5">
        <v>0.61915125415350314</v>
      </c>
      <c r="JQ61" s="5">
        <v>0.56659086059399999</v>
      </c>
      <c r="JR61" s="5">
        <v>0.53551060650772686</v>
      </c>
      <c r="JS61" s="5">
        <v>0.53230967079651281</v>
      </c>
      <c r="JT61" s="5">
        <v>0.53600090106263454</v>
      </c>
      <c r="JU61" s="5">
        <v>0.5436461985839206</v>
      </c>
      <c r="JV61" s="5">
        <v>0.54699840193416438</v>
      </c>
      <c r="JW61" s="4">
        <v>0.49006190456051074</v>
      </c>
      <c r="JX61" s="5">
        <v>0.47089513453256315</v>
      </c>
      <c r="JY61" s="5">
        <v>0.46462635555671539</v>
      </c>
      <c r="JZ61" s="5">
        <v>0.44210681040059391</v>
      </c>
      <c r="KA61" s="5">
        <v>0.43487618468729189</v>
      </c>
      <c r="KB61" s="5">
        <v>0.46225571838491064</v>
      </c>
      <c r="KC61" s="5">
        <v>0.49269719132130885</v>
      </c>
      <c r="KD61" s="5">
        <v>0.51317459235319374</v>
      </c>
      <c r="KE61" s="5">
        <v>0.51828119108452064</v>
      </c>
      <c r="KF61" s="4">
        <v>0.53307100646113192</v>
      </c>
      <c r="KG61" s="4">
        <v>0.36569702887230854</v>
      </c>
      <c r="KH61" s="5">
        <v>0.32820006248685318</v>
      </c>
      <c r="KI61" s="5">
        <v>0.32916251157481508</v>
      </c>
      <c r="KJ61" s="5">
        <v>0.31334162800895027</v>
      </c>
      <c r="KK61" s="5">
        <v>0.32698372785717911</v>
      </c>
      <c r="KL61" s="5">
        <v>0.37766133402288954</v>
      </c>
      <c r="KM61" s="5">
        <v>0.43101500769641482</v>
      </c>
      <c r="KN61" s="5">
        <v>0.46365341015087996</v>
      </c>
      <c r="KO61" s="5">
        <v>0.44172357704990778</v>
      </c>
      <c r="KP61" s="4">
        <v>0.41040338967163831</v>
      </c>
      <c r="KQ61" s="5">
        <v>0.55258939245692118</v>
      </c>
      <c r="KR61" s="4">
        <v>0.55334735859563722</v>
      </c>
      <c r="KS61" s="5">
        <v>0.56861558504675369</v>
      </c>
      <c r="KT61" s="5">
        <v>0.5923387747060489</v>
      </c>
      <c r="KU61" s="5">
        <v>0.59702946398093104</v>
      </c>
      <c r="KV61" s="5">
        <v>0.59204937778928768</v>
      </c>
      <c r="KW61" s="5">
        <v>0.59176139089646229</v>
      </c>
      <c r="KX61" s="5">
        <v>0.59694403124066886</v>
      </c>
      <c r="KY61" s="4">
        <v>0.59719286469348065</v>
      </c>
      <c r="KZ61" s="5">
        <v>0.58126390811227302</v>
      </c>
      <c r="LA61" s="5">
        <v>0.6641885629187787</v>
      </c>
      <c r="LB61" s="5">
        <v>0.64283140126279914</v>
      </c>
      <c r="LC61" s="4">
        <v>0.63925188104831276</v>
      </c>
      <c r="LD61" s="5">
        <v>0.6246056525502941</v>
      </c>
      <c r="LE61" s="5">
        <v>0.62314491352361412</v>
      </c>
      <c r="LF61" s="5">
        <v>0.61453864516639489</v>
      </c>
      <c r="LG61" s="5">
        <v>0.61474945945307768</v>
      </c>
      <c r="LH61" s="4">
        <v>0.62936857811817426</v>
      </c>
      <c r="LI61" s="5">
        <v>0.64233213141876244</v>
      </c>
      <c r="LJ61" s="5">
        <v>0.66275203517796577</v>
      </c>
      <c r="LL61" s="3" t="s">
        <v>195</v>
      </c>
      <c r="LM61" s="3" t="s">
        <v>160</v>
      </c>
      <c r="LN61" s="3" t="s">
        <v>161</v>
      </c>
      <c r="LO61" s="5">
        <v>0.76939897006935798</v>
      </c>
    </row>
    <row r="62" spans="2:327" x14ac:dyDescent="0.45">
      <c r="B62" s="6" t="s">
        <v>234</v>
      </c>
      <c r="C62" s="6" t="s">
        <v>151</v>
      </c>
      <c r="D62" s="8">
        <v>0.27918485872657506</v>
      </c>
      <c r="E62" s="8">
        <v>0.28695700803618052</v>
      </c>
      <c r="F62" s="8">
        <v>0.29947295553874387</v>
      </c>
      <c r="G62" s="8">
        <v>0.29970299341626133</v>
      </c>
      <c r="H62" s="8">
        <v>0.30718341527813386</v>
      </c>
      <c r="I62" s="8">
        <v>0.30607695203895463</v>
      </c>
      <c r="J62" s="8">
        <v>0.29418052940967104</v>
      </c>
      <c r="K62" s="8">
        <v>0.27686241947975471</v>
      </c>
      <c r="L62" s="8">
        <v>0.28391692696599297</v>
      </c>
      <c r="M62" s="8">
        <v>0.28161604848184757</v>
      </c>
      <c r="N62" s="8">
        <v>0.30068841845698857</v>
      </c>
      <c r="O62" s="8">
        <v>0.31418455490975555</v>
      </c>
      <c r="P62" s="8">
        <v>0.32002150945414798</v>
      </c>
      <c r="Q62" s="8">
        <v>0.33247565887991776</v>
      </c>
      <c r="R62" s="8">
        <v>0.33780673274748568</v>
      </c>
      <c r="S62" s="8">
        <v>0.32868086247898359</v>
      </c>
      <c r="T62" s="8">
        <v>0.31833915324768308</v>
      </c>
      <c r="U62" s="8">
        <v>0.3050974183408573</v>
      </c>
      <c r="V62" s="8">
        <v>0.28850118209090492</v>
      </c>
      <c r="W62" s="8">
        <v>0.29490120845020484</v>
      </c>
      <c r="X62" s="8">
        <v>0.29635787147288728</v>
      </c>
      <c r="Y62" s="8">
        <v>0.30428119291666411</v>
      </c>
      <c r="Z62" s="8">
        <v>0.29931183022053132</v>
      </c>
      <c r="AA62" s="8">
        <v>0.29647033097937081</v>
      </c>
      <c r="AB62" s="8">
        <v>0.28268210293556456</v>
      </c>
      <c r="AC62" s="8">
        <v>0.27933564522730286</v>
      </c>
      <c r="AD62" s="8">
        <v>0.28108669749686305</v>
      </c>
      <c r="AE62" s="8">
        <v>0.29146262274403484</v>
      </c>
      <c r="AF62" s="8">
        <v>0.29259796121367526</v>
      </c>
      <c r="AG62" s="8">
        <v>0.28207813738423976</v>
      </c>
      <c r="AH62" s="8">
        <v>0.32585785714980731</v>
      </c>
      <c r="AI62" s="8">
        <v>0.32979821508806889</v>
      </c>
      <c r="AJ62" s="8">
        <v>0.32388523504486266</v>
      </c>
      <c r="AK62" s="8">
        <v>0.30346304153321318</v>
      </c>
      <c r="AL62" s="8">
        <v>0.29906635102697238</v>
      </c>
      <c r="AM62" s="8">
        <v>0.29104747015363502</v>
      </c>
      <c r="AN62" s="8">
        <v>0.29471919154143161</v>
      </c>
      <c r="AO62" s="8">
        <v>0.29875916087325183</v>
      </c>
      <c r="AP62" s="8">
        <v>0.3067953662221593</v>
      </c>
      <c r="AQ62" s="8">
        <v>0.31087825051761719</v>
      </c>
      <c r="AR62" s="8">
        <v>0.28438513178396807</v>
      </c>
      <c r="AS62" s="8">
        <v>0.27102117317645485</v>
      </c>
      <c r="AT62" s="8">
        <v>0.25772641905378041</v>
      </c>
      <c r="AU62" s="8">
        <v>0.26959141197023234</v>
      </c>
      <c r="AV62" s="8">
        <v>0.29749456085439435</v>
      </c>
      <c r="AW62" s="8">
        <v>0.29222790280413197</v>
      </c>
      <c r="AX62" s="8">
        <v>0.28391250024572046</v>
      </c>
      <c r="AY62" s="8">
        <v>0.27167767256580166</v>
      </c>
      <c r="AZ62" s="8">
        <v>0.26280882666226663</v>
      </c>
      <c r="BA62" s="8">
        <v>0.27534091832799173</v>
      </c>
      <c r="BB62" s="8">
        <v>0.1373196932723644</v>
      </c>
      <c r="BC62" s="8">
        <v>0.11970562254720769</v>
      </c>
      <c r="BD62" s="8">
        <v>0.13096334582352773</v>
      </c>
      <c r="BE62" s="8">
        <v>0.14900496328004587</v>
      </c>
      <c r="BF62" s="8">
        <v>0.14618239205580794</v>
      </c>
      <c r="BG62" s="8">
        <v>0.14078539254598782</v>
      </c>
      <c r="BH62" s="8">
        <v>0.16586261931104421</v>
      </c>
      <c r="BI62" s="8">
        <v>0.18697422048099663</v>
      </c>
      <c r="BJ62" s="8">
        <v>0.18150215359528418</v>
      </c>
      <c r="BK62" s="8">
        <v>0.15996169323448095</v>
      </c>
      <c r="BM62" s="6" t="s">
        <v>234</v>
      </c>
      <c r="BN62" s="6" t="s">
        <v>152</v>
      </c>
      <c r="BO62" s="8">
        <v>3.1195952152337697E-2</v>
      </c>
      <c r="BP62" s="8">
        <v>1.3913961990617275E-2</v>
      </c>
      <c r="BQ62" s="7">
        <v>1.9397880440793026E-2</v>
      </c>
      <c r="BR62" s="8">
        <v>2.4339715806912771E-2</v>
      </c>
      <c r="BS62" s="8">
        <v>1.6829421270954367E-2</v>
      </c>
      <c r="BT62" s="8">
        <v>1.2500099320780892E-2</v>
      </c>
      <c r="BU62" s="7">
        <v>2.5304837550907403E-2</v>
      </c>
      <c r="BV62" s="8">
        <v>2.5541724816025593E-2</v>
      </c>
      <c r="BW62" s="7">
        <v>1.0075335915835369E-2</v>
      </c>
      <c r="BX62" s="8">
        <v>2.2556212025292805E-2</v>
      </c>
      <c r="BY62" s="7">
        <v>1.5244017154971812E-2</v>
      </c>
      <c r="BZ62" s="7">
        <v>2.0280147235526531E-2</v>
      </c>
      <c r="CA62" s="7">
        <v>1.1815108549138314E-2</v>
      </c>
      <c r="CB62" s="7">
        <v>4.960941100668052E-3</v>
      </c>
      <c r="CC62" s="7">
        <v>5.1099446550796389E-3</v>
      </c>
      <c r="CD62" s="8">
        <v>8.0489339003560739E-3</v>
      </c>
      <c r="CE62" s="7">
        <v>6.5577714868013115E-3</v>
      </c>
      <c r="CF62" s="8">
        <v>2.1039100403071691E-3</v>
      </c>
      <c r="CG62" s="7">
        <v>7.4069293790784731E-3</v>
      </c>
      <c r="CH62" s="8">
        <v>3.6010237205552229E-2</v>
      </c>
      <c r="CI62" s="8">
        <v>2.6662526054658391E-2</v>
      </c>
      <c r="CJ62" s="7">
        <v>1.5991507398798843E-2</v>
      </c>
      <c r="CK62" s="8">
        <v>2.64118295968544E-2</v>
      </c>
      <c r="CL62" s="7">
        <v>1.9674748204711663E-2</v>
      </c>
      <c r="CM62" s="8">
        <v>3.0386520693588499E-2</v>
      </c>
      <c r="CN62" s="8">
        <v>2.3240666699057926E-2</v>
      </c>
      <c r="CO62" s="8">
        <v>2.1026160093293739E-2</v>
      </c>
      <c r="CP62" s="8">
        <v>3.3405352702313554E-2</v>
      </c>
      <c r="CQ62" s="8">
        <v>4.1665411032792671E-2</v>
      </c>
      <c r="CR62" s="8">
        <v>2.9415995199280936E-2</v>
      </c>
      <c r="CS62" s="8">
        <v>3.0079806613251447E-2</v>
      </c>
      <c r="CT62" s="8">
        <v>1.7017379352418892E-2</v>
      </c>
      <c r="CU62" s="7">
        <v>2.2513013321072296E-2</v>
      </c>
      <c r="CV62" s="7">
        <v>2.3944602147539518E-2</v>
      </c>
      <c r="CW62" s="8">
        <v>1.34001284484299E-2</v>
      </c>
      <c r="CX62" s="7">
        <v>2.0423140608414592E-2</v>
      </c>
      <c r="CY62" s="7">
        <v>2.4723564454037686E-2</v>
      </c>
      <c r="CZ62" s="7">
        <v>9.0549966541273461E-4</v>
      </c>
      <c r="DA62" s="7">
        <v>5.4677355942472222E-3</v>
      </c>
      <c r="DB62" s="8">
        <v>1.6977377620359776E-2</v>
      </c>
      <c r="DC62" s="8">
        <v>9.6687346521472338E-3</v>
      </c>
      <c r="DD62" s="7">
        <v>9.1885258429625204E-3</v>
      </c>
      <c r="DE62" s="7">
        <v>8.1436204421607948E-3</v>
      </c>
      <c r="DF62" s="8">
        <v>7.557679174715658E-3</v>
      </c>
      <c r="DG62" s="8">
        <v>1.1713882780791595E-2</v>
      </c>
      <c r="DH62" s="7">
        <v>1.0447297740114945E-2</v>
      </c>
      <c r="DI62" s="7">
        <v>7.1671863179137195E-3</v>
      </c>
      <c r="DJ62" s="7">
        <v>1.883239869631299E-2</v>
      </c>
      <c r="DK62" s="7">
        <v>2.2854550692152916E-2</v>
      </c>
      <c r="DL62" s="8">
        <v>1.9993554031815367E-2</v>
      </c>
      <c r="DM62" s="8">
        <v>8.6895002667560627E-3</v>
      </c>
      <c r="DN62" s="8">
        <v>1.0105255396276375E-2</v>
      </c>
      <c r="DO62" s="8">
        <v>1.4482562960299815E-2</v>
      </c>
      <c r="DP62" s="8">
        <v>1.1067764028736009E-2</v>
      </c>
      <c r="DQ62" s="8">
        <v>1.1406617961567713E-2</v>
      </c>
      <c r="DR62" s="8">
        <v>1.3926157022274637E-2</v>
      </c>
      <c r="DS62" s="8">
        <v>2.2335834616553963E-2</v>
      </c>
      <c r="DT62" s="7">
        <v>1.3954345059373435E-2</v>
      </c>
      <c r="DU62" s="8">
        <v>6.1177023750898472E-3</v>
      </c>
      <c r="DV62" s="8">
        <v>1.0812371112477216E-2</v>
      </c>
      <c r="DX62" s="6" t="s">
        <v>234</v>
      </c>
      <c r="DY62" s="6" t="s">
        <v>153</v>
      </c>
      <c r="DZ62" s="7">
        <v>2.206555297831396E-2</v>
      </c>
      <c r="EA62" s="8">
        <v>3.8208231743037301E-2</v>
      </c>
      <c r="EB62" s="8">
        <v>2.895606070954487E-2</v>
      </c>
      <c r="EC62" s="8">
        <v>3.2649749596488774E-2</v>
      </c>
      <c r="ED62" s="7">
        <v>2.7715994790524633E-2</v>
      </c>
      <c r="EE62" s="8">
        <v>3.8658946404257502E-2</v>
      </c>
      <c r="EF62" s="7">
        <v>2.0093595573611799E-2</v>
      </c>
      <c r="EG62" s="8">
        <v>2.5679643986846894E-2</v>
      </c>
      <c r="EH62" s="8">
        <v>4.0454990388761033E-2</v>
      </c>
      <c r="EI62" s="8">
        <v>4.0467678719251145E-2</v>
      </c>
      <c r="EJ62" s="8">
        <v>2.5546589739522341E-2</v>
      </c>
      <c r="EK62" s="8">
        <v>2.0082835113287012E-2</v>
      </c>
      <c r="EL62" s="8">
        <v>2.384346038226854E-2</v>
      </c>
      <c r="EM62" s="8">
        <v>3.6665859354613452E-2</v>
      </c>
      <c r="EN62" s="8">
        <v>1.7812057134423711E-2</v>
      </c>
      <c r="EO62" s="7">
        <v>8.5617455618234323E-3</v>
      </c>
      <c r="EP62" s="7">
        <v>1.08237125730844E-2</v>
      </c>
      <c r="EQ62" s="7">
        <v>1.5423036237636793E-2</v>
      </c>
      <c r="ER62" s="7">
        <v>1.0353108229909076E-2</v>
      </c>
      <c r="ES62" s="7">
        <v>5.4228490336595001E-3</v>
      </c>
      <c r="ET62" s="8">
        <v>3.8924801168652594E-2</v>
      </c>
      <c r="EU62" s="8">
        <v>3.9060170535355404E-2</v>
      </c>
      <c r="EV62" s="8">
        <v>1.8269652482182184E-2</v>
      </c>
      <c r="EW62" s="8">
        <v>1.7402718460476495E-2</v>
      </c>
      <c r="EX62" s="7">
        <v>2.211537208403528E-2</v>
      </c>
      <c r="EY62" s="8">
        <v>3.8191174017405259E-2</v>
      </c>
      <c r="EZ62" s="8">
        <v>3.6660859070119317E-2</v>
      </c>
      <c r="FA62" s="8">
        <v>3.5272056483696884E-2</v>
      </c>
      <c r="FB62" s="8">
        <v>2.4452623710546597E-2</v>
      </c>
      <c r="FC62" s="8">
        <v>4.6449935855940823E-2</v>
      </c>
      <c r="FD62" s="8">
        <v>2.1683286512926662E-2</v>
      </c>
      <c r="FE62" s="8">
        <v>4.3830171892642836E-2</v>
      </c>
      <c r="FF62" s="8">
        <v>2.9580423152660157E-2</v>
      </c>
      <c r="FG62" s="8">
        <v>2.5924162327314228E-2</v>
      </c>
      <c r="FH62" s="7">
        <v>2.5729776211084614E-2</v>
      </c>
      <c r="FI62" s="8">
        <v>2.6670952027619311E-2</v>
      </c>
      <c r="FJ62" s="8">
        <v>2.173933370930339E-2</v>
      </c>
      <c r="FK62" s="8">
        <v>3.3937666338042474E-2</v>
      </c>
      <c r="FL62" s="8">
        <v>3.1990932832899312E-2</v>
      </c>
      <c r="FM62" s="7">
        <v>7.8098659823994882E-3</v>
      </c>
      <c r="FN62" s="8">
        <v>3.0199191049514521E-2</v>
      </c>
      <c r="FO62" s="8">
        <v>1.7529346345366563E-2</v>
      </c>
      <c r="FP62" s="7">
        <v>1.786676472489732E-2</v>
      </c>
      <c r="FQ62" s="7">
        <v>8.0710212429543349E-3</v>
      </c>
      <c r="FR62" s="7">
        <v>8.2095687806127849E-3</v>
      </c>
      <c r="FS62" s="7">
        <v>1.1787264134950286E-2</v>
      </c>
      <c r="FT62" s="8">
        <v>1.8421721637159095E-2</v>
      </c>
      <c r="FU62" s="8">
        <v>1.5053948330055864E-2</v>
      </c>
      <c r="FV62" s="7">
        <v>1.2376783340011235E-2</v>
      </c>
      <c r="FW62" s="8">
        <v>2.2389926062141918E-2</v>
      </c>
      <c r="FX62" s="8">
        <v>7.9188501339366186E-3</v>
      </c>
      <c r="FY62" s="8">
        <v>5.1445166823747427E-3</v>
      </c>
      <c r="FZ62" s="8">
        <v>6.1141537400301975E-3</v>
      </c>
      <c r="GA62" s="8">
        <v>1.4099397970186868E-2</v>
      </c>
      <c r="GB62" s="8">
        <v>1.6264076339025726E-2</v>
      </c>
      <c r="GC62" s="8">
        <v>1.6390294542633702E-2</v>
      </c>
      <c r="GD62" s="8">
        <v>9.7347272862484228E-3</v>
      </c>
      <c r="GE62" s="8">
        <v>1.9319438695956419E-2</v>
      </c>
      <c r="GF62" s="8">
        <v>1.7945335336963162E-2</v>
      </c>
      <c r="GG62" s="8">
        <v>1.0102949046921134E-2</v>
      </c>
      <c r="GI62" s="6" t="s">
        <v>234</v>
      </c>
      <c r="GJ62" s="6" t="s">
        <v>154</v>
      </c>
      <c r="GK62" s="8">
        <v>9.2465120709735407E-2</v>
      </c>
      <c r="GL62" s="8">
        <v>0.10899254559167848</v>
      </c>
      <c r="GM62" s="8">
        <v>0.1245065571782507</v>
      </c>
      <c r="GN62" s="8">
        <v>0.11533466372997661</v>
      </c>
      <c r="GO62" s="8">
        <v>0.12232748460410703</v>
      </c>
      <c r="GP62" s="8">
        <v>0.10625060192948334</v>
      </c>
      <c r="GQ62" s="8">
        <v>0.11370667400442656</v>
      </c>
      <c r="GR62" s="8">
        <v>0.10519138260263844</v>
      </c>
      <c r="GS62" s="8">
        <v>0.10063197295261843</v>
      </c>
      <c r="GT62" s="8">
        <v>8.3199345826559051E-2</v>
      </c>
      <c r="GU62" s="8">
        <v>0.1246829113546911</v>
      </c>
      <c r="GV62" s="8">
        <v>0.13385821398055561</v>
      </c>
      <c r="GW62" s="8">
        <v>0.14315478264846704</v>
      </c>
      <c r="GX62" s="8">
        <v>0.14848141959931282</v>
      </c>
      <c r="GY62" s="8">
        <v>0.17486355687312302</v>
      </c>
      <c r="GZ62" s="8">
        <v>0.17432978504579591</v>
      </c>
      <c r="HA62" s="7">
        <v>0.17034861597651849</v>
      </c>
      <c r="HB62" s="8">
        <v>0.16386954998348216</v>
      </c>
      <c r="HC62" s="8">
        <v>0.14346324358444604</v>
      </c>
      <c r="HD62" s="8">
        <v>0.12302813006209036</v>
      </c>
      <c r="HE62" s="8">
        <v>0.11832893442540836</v>
      </c>
      <c r="HF62" s="8">
        <v>0.12876042963074233</v>
      </c>
      <c r="HG62" s="8">
        <v>0.13620147685137379</v>
      </c>
      <c r="HH62" s="8">
        <v>0.13205721613957733</v>
      </c>
      <c r="HI62" s="8">
        <v>0.11696410000210658</v>
      </c>
      <c r="HJ62" s="8">
        <v>9.9471989749706127E-2</v>
      </c>
      <c r="HK62" s="8">
        <v>0.10721768043803086</v>
      </c>
      <c r="HL62" s="7">
        <v>9.8119545543564585E-2</v>
      </c>
      <c r="HM62" s="8">
        <v>0.10692643653171048</v>
      </c>
      <c r="HN62" s="8">
        <v>0.10549809857975444</v>
      </c>
      <c r="HO62" s="8">
        <v>0.1453914123379341</v>
      </c>
      <c r="HP62" s="8">
        <v>0.13375845834347461</v>
      </c>
      <c r="HQ62" s="8">
        <v>0.13687379972866778</v>
      </c>
      <c r="HR62" s="8">
        <v>0.12126020963384852</v>
      </c>
      <c r="HS62" s="8">
        <v>0.1220513542286108</v>
      </c>
      <c r="HT62" s="8">
        <v>0.11783766077807764</v>
      </c>
      <c r="HU62" s="8">
        <v>0.12836592639291364</v>
      </c>
      <c r="HV62" s="7">
        <v>0.14616256454022683</v>
      </c>
      <c r="HW62" s="8">
        <v>0.1466685125664616</v>
      </c>
      <c r="HX62" s="8">
        <v>0.16400307251769347</v>
      </c>
      <c r="HY62" s="8">
        <v>0.11079834118715597</v>
      </c>
      <c r="HZ62" s="8">
        <v>0.11891035047276242</v>
      </c>
      <c r="IA62" s="8">
        <v>0.11819042015338693</v>
      </c>
      <c r="IB62" s="8">
        <v>0.13056981395747669</v>
      </c>
      <c r="IC62" s="8">
        <v>0.13467535767450506</v>
      </c>
      <c r="ID62" s="8">
        <v>0.12260512034157797</v>
      </c>
      <c r="IE62" s="8">
        <v>9.9528640914689617E-2</v>
      </c>
      <c r="IF62" s="8">
        <v>9.4061342505258855E-2</v>
      </c>
      <c r="IG62" s="8">
        <v>9.1158934565472652E-2</v>
      </c>
      <c r="IH62" s="8">
        <v>0.10089943934739815</v>
      </c>
      <c r="II62" s="8">
        <v>3.8479445638434855E-2</v>
      </c>
      <c r="IJ62" s="8">
        <v>3.2373553883477825E-2</v>
      </c>
      <c r="IK62" s="8">
        <v>3.7308118994155183E-2</v>
      </c>
      <c r="IL62" s="8">
        <v>4.1285479648715734E-2</v>
      </c>
      <c r="IM62" s="8">
        <v>3.5364904965200374E-2</v>
      </c>
      <c r="IN62" s="8">
        <v>2.9929710850808793E-2</v>
      </c>
      <c r="IO62" s="8">
        <v>3.7945836590761534E-2</v>
      </c>
      <c r="IP62" s="8">
        <v>4.6013837034570057E-2</v>
      </c>
      <c r="IQ62" s="8">
        <v>4.599299055183273E-2</v>
      </c>
      <c r="IR62" s="8">
        <v>4.4332072241433741E-2</v>
      </c>
      <c r="JB62" s="6" t="s">
        <v>234</v>
      </c>
      <c r="JC62" s="8">
        <v>0.58176699401984522</v>
      </c>
      <c r="JD62" s="8">
        <v>0.55054999438940777</v>
      </c>
      <c r="JE62" s="7">
        <v>0.53434800412704542</v>
      </c>
      <c r="JF62" s="8">
        <v>0.53364862337451757</v>
      </c>
      <c r="JG62" s="8">
        <v>0.53739516604523463</v>
      </c>
      <c r="JH62" s="8">
        <v>0.54508059324588631</v>
      </c>
      <c r="JI62" s="8">
        <v>0.54538272453452086</v>
      </c>
      <c r="JJ62" s="8">
        <v>0.54943308817746106</v>
      </c>
      <c r="JK62" s="8">
        <v>0.55366518330096182</v>
      </c>
      <c r="JL62" s="8">
        <v>0.56505472885913177</v>
      </c>
      <c r="JM62" s="8">
        <v>0.53395327042055651</v>
      </c>
      <c r="JN62" s="7">
        <v>0.52500730432761855</v>
      </c>
      <c r="JO62" s="8">
        <v>0.51883514121070051</v>
      </c>
      <c r="JP62" s="8">
        <v>0.5048258935844625</v>
      </c>
      <c r="JQ62" s="8">
        <v>0.49005508712247592</v>
      </c>
      <c r="JR62" s="8">
        <v>0.48749804184281098</v>
      </c>
      <c r="JS62" s="8">
        <v>0.48846935264514568</v>
      </c>
      <c r="JT62" s="8">
        <v>0.49452322007936073</v>
      </c>
      <c r="JU62" s="8">
        <v>0.52207182981308131</v>
      </c>
      <c r="JV62" s="8">
        <v>0.53398786561904554</v>
      </c>
      <c r="JW62" s="7">
        <v>0.45415238677949199</v>
      </c>
      <c r="JX62" s="8">
        <v>0.46037740576873359</v>
      </c>
      <c r="JY62" s="8">
        <v>0.46145960772075983</v>
      </c>
      <c r="JZ62" s="8">
        <v>0.4556872935527308</v>
      </c>
      <c r="KA62" s="8">
        <v>0.454227733716423</v>
      </c>
      <c r="KB62" s="8">
        <v>0.46514885641951659</v>
      </c>
      <c r="KC62" s="8">
        <v>0.46440699358020932</v>
      </c>
      <c r="KD62" s="8">
        <v>0.46545917295332601</v>
      </c>
      <c r="KE62" s="8">
        <v>0.46948177500463512</v>
      </c>
      <c r="KF62" s="7">
        <v>0.45745967089045192</v>
      </c>
      <c r="KG62" s="7">
        <v>0.45872632503358429</v>
      </c>
      <c r="KH62" s="8">
        <v>0.47238121275375644</v>
      </c>
      <c r="KI62" s="8">
        <v>0.49031744765952567</v>
      </c>
      <c r="KJ62" s="8">
        <v>0.50533788922362877</v>
      </c>
      <c r="KK62" s="8">
        <v>0.51148565773968369</v>
      </c>
      <c r="KL62" s="8">
        <v>0.51244805914407987</v>
      </c>
      <c r="KM62" s="8">
        <v>0.49679921427154322</v>
      </c>
      <c r="KN62" s="8">
        <v>0.47765216329491411</v>
      </c>
      <c r="KO62" s="8">
        <v>0.46105601657702594</v>
      </c>
      <c r="KP62" s="7">
        <v>0.45619284860184894</v>
      </c>
      <c r="KQ62" s="8">
        <v>0.56493444524483993</v>
      </c>
      <c r="KR62" s="7">
        <v>0.54861356334667755</v>
      </c>
      <c r="KS62" s="8">
        <v>0.54061264517344021</v>
      </c>
      <c r="KT62" s="8">
        <v>0.54793351409887092</v>
      </c>
      <c r="KU62" s="8">
        <v>0.54347426031016355</v>
      </c>
      <c r="KV62" s="8">
        <v>0.56302230091374672</v>
      </c>
      <c r="KW62" s="8">
        <v>0.57217208355702054</v>
      </c>
      <c r="KX62" s="8">
        <v>0.57264997405145768</v>
      </c>
      <c r="KY62" s="7">
        <v>0.58608687074744048</v>
      </c>
      <c r="KZ62" s="8">
        <v>0.57822390947486757</v>
      </c>
      <c r="LA62" s="8">
        <v>0.7929540742166229</v>
      </c>
      <c r="LB62" s="8">
        <v>0.81509148505947726</v>
      </c>
      <c r="LC62" s="7">
        <v>0.79308285754822172</v>
      </c>
      <c r="LD62" s="8">
        <v>0.76177844953207485</v>
      </c>
      <c r="LE62" s="8">
        <v>0.76250626631973095</v>
      </c>
      <c r="LF62" s="8">
        <v>0.77869063532416516</v>
      </c>
      <c r="LG62" s="8">
        <v>0.75813602910520739</v>
      </c>
      <c r="LH62" s="7">
        <v>0.73948923276306111</v>
      </c>
      <c r="LI62" s="8">
        <v>0.75138280766846766</v>
      </c>
      <c r="LJ62" s="8">
        <v>0.76278500448313291</v>
      </c>
      <c r="LL62" s="6" t="s">
        <v>197</v>
      </c>
      <c r="LM62" s="6" t="s">
        <v>160</v>
      </c>
      <c r="LN62" s="6" t="s">
        <v>161</v>
      </c>
      <c r="LO62" s="8">
        <v>0.71334213757613896</v>
      </c>
    </row>
    <row r="63" spans="2:327" x14ac:dyDescent="0.45">
      <c r="B63" s="3" t="s">
        <v>235</v>
      </c>
      <c r="C63" s="3" t="s">
        <v>151</v>
      </c>
      <c r="D63" s="5">
        <v>0.28394992840678074</v>
      </c>
      <c r="E63" s="5">
        <v>0.28382058376837038</v>
      </c>
      <c r="F63" s="5">
        <v>0.25868232215095732</v>
      </c>
      <c r="G63" s="5">
        <v>0.24711669592121022</v>
      </c>
      <c r="H63" s="5">
        <v>0.24210023764724556</v>
      </c>
      <c r="I63" s="5">
        <v>0.24885411858015102</v>
      </c>
      <c r="J63" s="5">
        <v>0.25470651008029482</v>
      </c>
      <c r="K63" s="5">
        <v>0.26159663047192011</v>
      </c>
      <c r="L63" s="5">
        <v>0.24882775542135016</v>
      </c>
      <c r="M63" s="5">
        <v>0.25287047070504515</v>
      </c>
      <c r="N63" s="5">
        <v>0.30396763360065998</v>
      </c>
      <c r="O63" s="5">
        <v>0.33780051344219653</v>
      </c>
      <c r="P63" s="5">
        <v>0.34141897679051647</v>
      </c>
      <c r="Q63" s="5">
        <v>0.34430046816999382</v>
      </c>
      <c r="R63" s="5">
        <v>0.34965995348338708</v>
      </c>
      <c r="S63" s="5">
        <v>0.33245031224472282</v>
      </c>
      <c r="T63" s="5">
        <v>0.30539449547961667</v>
      </c>
      <c r="U63" s="5">
        <v>0.28588845000874069</v>
      </c>
      <c r="V63" s="5">
        <v>0.27916742879629086</v>
      </c>
      <c r="W63" s="5">
        <v>0.28333180272565867</v>
      </c>
      <c r="X63" s="5">
        <v>0.32333327817966012</v>
      </c>
      <c r="Y63" s="5">
        <v>0.2892216359921177</v>
      </c>
      <c r="Z63" s="5">
        <v>0.30676323431304242</v>
      </c>
      <c r="AA63" s="5">
        <v>0.31372077942111842</v>
      </c>
      <c r="AB63" s="5">
        <v>0.32648441972612235</v>
      </c>
      <c r="AC63" s="5">
        <v>0.32778390256694456</v>
      </c>
      <c r="AD63" s="5">
        <v>0.33250510302007957</v>
      </c>
      <c r="AE63" s="5">
        <v>0.31400968169749616</v>
      </c>
      <c r="AF63" s="5">
        <v>0.31026695989090947</v>
      </c>
      <c r="AG63" s="5">
        <v>0.33585523219810381</v>
      </c>
      <c r="AH63" s="5">
        <v>0.3315830214348135</v>
      </c>
      <c r="AI63" s="5">
        <v>0.33291645034916512</v>
      </c>
      <c r="AJ63" s="5">
        <v>0.31596233330996293</v>
      </c>
      <c r="AK63" s="5">
        <v>0.30637128016908155</v>
      </c>
      <c r="AL63" s="5">
        <v>0.30380798093698885</v>
      </c>
      <c r="AM63" s="5">
        <v>0.30651449250163659</v>
      </c>
      <c r="AN63" s="5">
        <v>0.31372559645309156</v>
      </c>
      <c r="AO63" s="5">
        <v>0.32415420356118496</v>
      </c>
      <c r="AP63" s="5">
        <v>0.3297691097709497</v>
      </c>
      <c r="AQ63" s="5">
        <v>0.3365195641072235</v>
      </c>
      <c r="AR63" s="5">
        <v>0.28148294432879334</v>
      </c>
      <c r="AS63" s="5">
        <v>0.28010626214500967</v>
      </c>
      <c r="AT63" s="5">
        <v>0.27122888608279211</v>
      </c>
      <c r="AU63" s="5">
        <v>0.27857937163465274</v>
      </c>
      <c r="AV63" s="5">
        <v>0.30046226307662899</v>
      </c>
      <c r="AW63" s="5">
        <v>0.30129439003280228</v>
      </c>
      <c r="AX63" s="5">
        <v>0.28959978795433994</v>
      </c>
      <c r="AY63" s="5">
        <v>0.2758885504996022</v>
      </c>
      <c r="AZ63" s="5">
        <v>0.26449357693211623</v>
      </c>
      <c r="BA63" s="5">
        <v>0.27976410779458821</v>
      </c>
      <c r="BB63" s="5">
        <v>0.1271560864440531</v>
      </c>
      <c r="BC63" s="5">
        <v>0.13250914417569856</v>
      </c>
      <c r="BD63" s="5">
        <v>0.12335224349920643</v>
      </c>
      <c r="BE63" s="5">
        <v>0.13441555495675725</v>
      </c>
      <c r="BF63" s="5">
        <v>0.14691276172710285</v>
      </c>
      <c r="BG63" s="5">
        <v>0.15666405919103379</v>
      </c>
      <c r="BH63" s="5">
        <v>0.16271635360318781</v>
      </c>
      <c r="BI63" s="5">
        <v>0.16156248853113375</v>
      </c>
      <c r="BJ63" s="5">
        <v>0.1313929958262913</v>
      </c>
      <c r="BK63" s="5">
        <v>0.12952942160621544</v>
      </c>
      <c r="BM63" s="3" t="s">
        <v>235</v>
      </c>
      <c r="BN63" s="3" t="s">
        <v>152</v>
      </c>
      <c r="BO63" s="5">
        <v>2.5787700032249759E-2</v>
      </c>
      <c r="BP63" s="5">
        <v>6.2735236478806619E-3</v>
      </c>
      <c r="BQ63" s="4">
        <v>9.8308497105307081E-3</v>
      </c>
      <c r="BR63" s="5">
        <v>1.2296437712368751E-2</v>
      </c>
      <c r="BS63" s="5">
        <v>2.2587924701632504E-2</v>
      </c>
      <c r="BT63" s="5">
        <v>1.5253242863249677E-2</v>
      </c>
      <c r="BU63" s="4">
        <v>2.1136375703708164E-2</v>
      </c>
      <c r="BV63" s="5">
        <v>2.6413741087065359E-2</v>
      </c>
      <c r="BW63" s="4">
        <v>1.6219478222454547E-2</v>
      </c>
      <c r="BX63" s="5">
        <v>2.2878756743165113E-2</v>
      </c>
      <c r="BY63" s="4">
        <v>1.2173658297391384E-2</v>
      </c>
      <c r="BZ63" s="4">
        <v>1.9778877875952637E-2</v>
      </c>
      <c r="CA63" s="4">
        <v>1.6260412822043713E-2</v>
      </c>
      <c r="CB63" s="4">
        <v>1.0830252746642784E-4</v>
      </c>
      <c r="CC63" s="4">
        <v>5.5888113601523001E-4</v>
      </c>
      <c r="CD63" s="5">
        <v>3.705478000918902E-3</v>
      </c>
      <c r="CE63" s="4">
        <v>6.0287940337467628E-3</v>
      </c>
      <c r="CF63" s="5">
        <v>8.301056144187146E-3</v>
      </c>
      <c r="CG63" s="4">
        <v>1.989455378463079E-2</v>
      </c>
      <c r="CH63" s="5">
        <v>1.8971358516732713E-2</v>
      </c>
      <c r="CI63" s="5">
        <v>2.5898744129377774E-2</v>
      </c>
      <c r="CJ63" s="4">
        <v>1.3621218919804475E-2</v>
      </c>
      <c r="CK63" s="5">
        <v>1.8154051568561098E-2</v>
      </c>
      <c r="CL63" s="4">
        <v>1.6460833739892478E-2</v>
      </c>
      <c r="CM63" s="5">
        <v>2.7288928832042883E-2</v>
      </c>
      <c r="CN63" s="5">
        <v>2.3109441453937726E-2</v>
      </c>
      <c r="CO63" s="5">
        <v>2.7087181307956482E-2</v>
      </c>
      <c r="CP63" s="5">
        <v>2.4066055592420862E-2</v>
      </c>
      <c r="CQ63" s="5">
        <v>3.3935856476825267E-2</v>
      </c>
      <c r="CR63" s="5">
        <v>4.2925822110520602E-2</v>
      </c>
      <c r="CS63" s="5">
        <v>2.3048619970113867E-2</v>
      </c>
      <c r="CT63" s="5">
        <v>2.3234547668366898E-2</v>
      </c>
      <c r="CU63" s="4">
        <v>1.1571593074936739E-2</v>
      </c>
      <c r="CV63" s="4">
        <v>1.4363593154881327E-2</v>
      </c>
      <c r="CW63" s="5">
        <v>1.3869672754778996E-2</v>
      </c>
      <c r="CX63" s="4">
        <v>3.8227282813479181E-2</v>
      </c>
      <c r="CY63" s="4">
        <v>3.2990187592148397E-2</v>
      </c>
      <c r="CZ63" s="4">
        <v>1.050281061619778E-2</v>
      </c>
      <c r="DA63" s="4">
        <v>2.0819736196087315E-2</v>
      </c>
      <c r="DB63" s="5">
        <v>2.2922505542767639E-2</v>
      </c>
      <c r="DC63" s="5">
        <v>1.5462439905681689E-2</v>
      </c>
      <c r="DD63" s="4">
        <v>7.5954946096262244E-4</v>
      </c>
      <c r="DE63" s="4">
        <v>1.7101994700079049E-3</v>
      </c>
      <c r="DF63" s="5">
        <v>9.0916591013096518E-3</v>
      </c>
      <c r="DG63" s="5">
        <v>1.262754539458443E-2</v>
      </c>
      <c r="DH63" s="4">
        <v>1.2486213549571905E-2</v>
      </c>
      <c r="DI63" s="4">
        <v>1.7951812252514104E-2</v>
      </c>
      <c r="DJ63" s="4">
        <v>2.2378217174049156E-2</v>
      </c>
      <c r="DK63" s="4">
        <v>2.0776296308565874E-2</v>
      </c>
      <c r="DL63" s="5">
        <v>1.704799926177706E-2</v>
      </c>
      <c r="DM63" s="5">
        <v>8.3923742843304405E-3</v>
      </c>
      <c r="DN63" s="5">
        <v>9.788238321709242E-3</v>
      </c>
      <c r="DO63" s="5">
        <v>5.2306901916905407E-3</v>
      </c>
      <c r="DP63" s="5">
        <v>8.2069997957402285E-3</v>
      </c>
      <c r="DQ63" s="5">
        <v>1.4472212299138473E-2</v>
      </c>
      <c r="DR63" s="5">
        <v>1.400257752712219E-2</v>
      </c>
      <c r="DS63" s="5">
        <v>9.4011542769525617E-3</v>
      </c>
      <c r="DT63" s="4">
        <v>6.2390723657891412E-3</v>
      </c>
      <c r="DU63" s="5">
        <v>8.8615747204629104E-3</v>
      </c>
      <c r="DV63" s="5">
        <v>9.8222090978442346E-3</v>
      </c>
      <c r="DX63" s="3" t="s">
        <v>235</v>
      </c>
      <c r="DY63" s="3" t="s">
        <v>153</v>
      </c>
      <c r="DZ63" s="4">
        <v>3.0763806370035542E-2</v>
      </c>
      <c r="EA63" s="5">
        <v>3.9946005563207737E-2</v>
      </c>
      <c r="EB63" s="5">
        <v>1.9381506343561606E-2</v>
      </c>
      <c r="EC63" s="5">
        <v>6.6680733318210698E-3</v>
      </c>
      <c r="ED63" s="4">
        <v>3.4370331279172113E-4</v>
      </c>
      <c r="EE63" s="5">
        <v>1.2263515011937261E-2</v>
      </c>
      <c r="EF63" s="4">
        <v>1.789383968757834E-2</v>
      </c>
      <c r="EG63" s="5">
        <v>2.0249769267439082E-2</v>
      </c>
      <c r="EH63" s="5">
        <v>2.4382879498425332E-2</v>
      </c>
      <c r="EI63" s="5">
        <v>1.9998045963739653E-2</v>
      </c>
      <c r="EJ63" s="5">
        <v>2.2089608376743199E-2</v>
      </c>
      <c r="EK63" s="5">
        <v>1.8687897871282565E-2</v>
      </c>
      <c r="EL63" s="5">
        <v>2.1560270742414712E-2</v>
      </c>
      <c r="EM63" s="5">
        <v>3.9606784236187589E-2</v>
      </c>
      <c r="EN63" s="5">
        <v>3.2994382924669045E-2</v>
      </c>
      <c r="EO63" s="4">
        <v>9.2804419674212268E-3</v>
      </c>
      <c r="EP63" s="4">
        <v>0</v>
      </c>
      <c r="EQ63" s="4">
        <v>5.9045584291294558E-3</v>
      </c>
      <c r="ER63" s="4">
        <v>6.7473638269517217E-3</v>
      </c>
      <c r="ES63" s="4">
        <v>1.5786721976487384E-2</v>
      </c>
      <c r="ET63" s="5">
        <v>4.619107749799984E-2</v>
      </c>
      <c r="EU63" s="5">
        <v>2.9420289161584491E-2</v>
      </c>
      <c r="EV63" s="5">
        <v>1.4851211191005492E-2</v>
      </c>
      <c r="EW63" s="5">
        <v>2.9899563196195515E-2</v>
      </c>
      <c r="EX63" s="4">
        <v>1.763307732332136E-2</v>
      </c>
      <c r="EY63" s="5">
        <v>2.8670014329643195E-2</v>
      </c>
      <c r="EZ63" s="5">
        <v>4.0459100783411341E-2</v>
      </c>
      <c r="FA63" s="5">
        <v>3.3025608109588177E-2</v>
      </c>
      <c r="FB63" s="5">
        <v>2.4085876556079074E-2</v>
      </c>
      <c r="FC63" s="5">
        <v>3.0501285449390271E-2</v>
      </c>
      <c r="FD63" s="5">
        <v>1.3753071398308588E-2</v>
      </c>
      <c r="FE63" s="5">
        <v>2.1207505673485234E-2</v>
      </c>
      <c r="FF63" s="5">
        <v>3.8499873989966814E-2</v>
      </c>
      <c r="FG63" s="5">
        <v>2.6470997476371938E-2</v>
      </c>
      <c r="FH63" s="4">
        <v>2.1264769168368405E-2</v>
      </c>
      <c r="FI63" s="5">
        <v>1.4147159381715469E-2</v>
      </c>
      <c r="FJ63" s="5">
        <v>2.6926567750404515E-2</v>
      </c>
      <c r="FK63" s="5">
        <v>4.8095179291027843E-2</v>
      </c>
      <c r="FL63" s="5">
        <v>4.2703057566634721E-2</v>
      </c>
      <c r="FM63" s="4">
        <v>2.0837995319871697E-2</v>
      </c>
      <c r="FN63" s="5">
        <v>2.1738101578991063E-2</v>
      </c>
      <c r="FO63" s="5">
        <v>3.3805139741390287E-2</v>
      </c>
      <c r="FP63" s="4">
        <v>2.0902034314363389E-2</v>
      </c>
      <c r="FQ63" s="4">
        <v>7.485179828708651E-3</v>
      </c>
      <c r="FR63" s="4">
        <v>3.7275263356529205E-3</v>
      </c>
      <c r="FS63" s="4">
        <v>1.1731052118064147E-2</v>
      </c>
      <c r="FT63" s="5">
        <v>1.1104659621357616E-2</v>
      </c>
      <c r="FU63" s="5">
        <v>1.3877908089127316E-2</v>
      </c>
      <c r="FV63" s="4">
        <v>1.4643482352655862E-2</v>
      </c>
      <c r="FW63" s="5">
        <v>2.4406337359155324E-2</v>
      </c>
      <c r="FX63" s="5">
        <v>4.8495918664397284E-3</v>
      </c>
      <c r="FY63" s="5">
        <v>7.290979805758757E-3</v>
      </c>
      <c r="FZ63" s="5">
        <v>1.1198845789559963E-2</v>
      </c>
      <c r="GA63" s="5">
        <v>8.6276556649696797E-3</v>
      </c>
      <c r="GB63" s="5">
        <v>7.5320219734478439E-3</v>
      </c>
      <c r="GC63" s="5">
        <v>8.5318072773076601E-3</v>
      </c>
      <c r="GD63" s="5">
        <v>1.3878296950028745E-2</v>
      </c>
      <c r="GE63" s="5">
        <v>1.5475536593807558E-2</v>
      </c>
      <c r="GF63" s="5">
        <v>1.0410530884329484E-2</v>
      </c>
      <c r="GG63" s="5">
        <v>5.5487949359346025E-3</v>
      </c>
      <c r="GI63" s="3" t="s">
        <v>235</v>
      </c>
      <c r="GJ63" s="3" t="s">
        <v>154</v>
      </c>
      <c r="GK63" s="5">
        <v>8.1355717991266549E-2</v>
      </c>
      <c r="GL63" s="5">
        <v>9.9959446701992721E-2</v>
      </c>
      <c r="GM63" s="5">
        <v>0.10078446605500736</v>
      </c>
      <c r="GN63" s="5">
        <v>9.917164734287448E-2</v>
      </c>
      <c r="GO63" s="5">
        <v>9.5068312054506582E-2</v>
      </c>
      <c r="GP63" s="5">
        <v>9.1515440171606732E-2</v>
      </c>
      <c r="GQ63" s="5">
        <v>8.6152945676337259E-2</v>
      </c>
      <c r="GR63" s="5">
        <v>8.349932537320022E-2</v>
      </c>
      <c r="GS63" s="5">
        <v>7.4645360840273803E-2</v>
      </c>
      <c r="GT63" s="5">
        <v>6.6833290103081824E-2</v>
      </c>
      <c r="GU63" s="5">
        <v>0.1251426614116872</v>
      </c>
      <c r="GV63" s="5">
        <v>0.13528349246365173</v>
      </c>
      <c r="GW63" s="5">
        <v>0.14390236140808466</v>
      </c>
      <c r="GX63" s="5">
        <v>0.14395995058715566</v>
      </c>
      <c r="GY63" s="5">
        <v>0.15682345421294366</v>
      </c>
      <c r="GZ63" s="5">
        <v>0.17374108405888244</v>
      </c>
      <c r="HA63" s="4">
        <v>0.16487033434516446</v>
      </c>
      <c r="HB63" s="5">
        <v>0.13866265028684102</v>
      </c>
      <c r="HC63" s="5">
        <v>0.12191968240334788</v>
      </c>
      <c r="HD63" s="5">
        <v>0.11640808165282526</v>
      </c>
      <c r="HE63" s="5">
        <v>0.11328293879901473</v>
      </c>
      <c r="HF63" s="5">
        <v>0.13049856989814623</v>
      </c>
      <c r="HG63" s="5">
        <v>0.14790533754966972</v>
      </c>
      <c r="HH63" s="5">
        <v>0.13982275976400474</v>
      </c>
      <c r="HI63" s="5">
        <v>0.14066030439069552</v>
      </c>
      <c r="HJ63" s="5">
        <v>0.13430597944992861</v>
      </c>
      <c r="HK63" s="5">
        <v>0.1301044228132657</v>
      </c>
      <c r="HL63" s="4">
        <v>0.12635298444708565</v>
      </c>
      <c r="HM63" s="5">
        <v>0.11699520480441228</v>
      </c>
      <c r="HN63" s="5">
        <v>0.11708997519513881</v>
      </c>
      <c r="HO63" s="5">
        <v>0.16216784260975228</v>
      </c>
      <c r="HP63" s="5">
        <v>0.1552845645189235</v>
      </c>
      <c r="HQ63" s="5">
        <v>0.14110586423786334</v>
      </c>
      <c r="HR63" s="5">
        <v>0.14872320302249423</v>
      </c>
      <c r="HS63" s="5">
        <v>0.14473400474336259</v>
      </c>
      <c r="HT63" s="5">
        <v>0.13245126540390656</v>
      </c>
      <c r="HU63" s="5">
        <v>0.1438448071859558</v>
      </c>
      <c r="HV63" s="4">
        <v>0.15525295665804351</v>
      </c>
      <c r="HW63" s="5">
        <v>0.15107857047066556</v>
      </c>
      <c r="HX63" s="5">
        <v>0.16520835874789577</v>
      </c>
      <c r="HY63" s="5">
        <v>9.7927892767614766E-2</v>
      </c>
      <c r="HZ63" s="5">
        <v>0.11390014740057518</v>
      </c>
      <c r="IA63" s="5">
        <v>0.11711145921683538</v>
      </c>
      <c r="IB63" s="5">
        <v>0.13120337710160104</v>
      </c>
      <c r="IC63" s="5">
        <v>0.13850208426393862</v>
      </c>
      <c r="ID63" s="5">
        <v>0.12998065924820756</v>
      </c>
      <c r="IE63" s="5">
        <v>0.11668724956246632</v>
      </c>
      <c r="IF63" s="5">
        <v>0.10602527448110835</v>
      </c>
      <c r="IG63" s="5">
        <v>9.9020489454438088E-2</v>
      </c>
      <c r="IH63" s="5">
        <v>8.8097447545154112E-2</v>
      </c>
      <c r="II63" s="5">
        <v>2.9410737519644639E-2</v>
      </c>
      <c r="IJ63" s="5">
        <v>3.5471548852205374E-2</v>
      </c>
      <c r="IK63" s="5">
        <v>3.3253655941928938E-2</v>
      </c>
      <c r="IL63" s="5">
        <v>3.3618495919041619E-2</v>
      </c>
      <c r="IM63" s="5">
        <v>3.5421552329009239E-2</v>
      </c>
      <c r="IN63" s="5">
        <v>3.7159480793413247E-2</v>
      </c>
      <c r="IO63" s="5">
        <v>3.9734899147000242E-2</v>
      </c>
      <c r="IP63" s="5">
        <v>4.2151266062232219E-2</v>
      </c>
      <c r="IQ63" s="5">
        <v>3.5087228438340258E-2</v>
      </c>
      <c r="IR63" s="5">
        <v>3.4407856055846536E-2</v>
      </c>
      <c r="JB63" s="3" t="s">
        <v>235</v>
      </c>
      <c r="JC63" s="5">
        <v>0.61618578553509251</v>
      </c>
      <c r="JD63" s="5">
        <v>0.6043816638894195</v>
      </c>
      <c r="JE63" s="4">
        <v>0.62583953657295222</v>
      </c>
      <c r="JF63" s="5">
        <v>0.63813217074328155</v>
      </c>
      <c r="JG63" s="5">
        <v>0.63731617022906795</v>
      </c>
      <c r="JH63" s="5">
        <v>0.6282184431986152</v>
      </c>
      <c r="JI63" s="5">
        <v>0.62533454554890389</v>
      </c>
      <c r="JJ63" s="5">
        <v>0.61725055775165905</v>
      </c>
      <c r="JK63" s="5">
        <v>0.62783470292861676</v>
      </c>
      <c r="JL63" s="5">
        <v>0.64734977047950837</v>
      </c>
      <c r="JM63" s="5">
        <v>0.56871078943251552</v>
      </c>
      <c r="JN63" s="4">
        <v>0.54443613359883547</v>
      </c>
      <c r="JO63" s="5">
        <v>0.53689281412637124</v>
      </c>
      <c r="JP63" s="5">
        <v>0.52807001716699364</v>
      </c>
      <c r="JQ63" s="5">
        <v>0.51520958905234726</v>
      </c>
      <c r="JR63" s="5">
        <v>0.51869092893126245</v>
      </c>
      <c r="JS63" s="5">
        <v>0.54075733962356898</v>
      </c>
      <c r="JT63" s="5">
        <v>0.56876009417365647</v>
      </c>
      <c r="JU63" s="5">
        <v>0.58198190631136482</v>
      </c>
      <c r="JV63" s="5">
        <v>0.58785008744269862</v>
      </c>
      <c r="JW63" s="4">
        <v>0.48946603376223757</v>
      </c>
      <c r="JX63" s="5">
        <v>0.5010634325305483</v>
      </c>
      <c r="JY63" s="5">
        <v>0.48534486812732253</v>
      </c>
      <c r="JZ63" s="5">
        <v>0.47634412349863203</v>
      </c>
      <c r="KA63" s="5">
        <v>0.46902753994311264</v>
      </c>
      <c r="KB63" s="5">
        <v>0.46983656050441452</v>
      </c>
      <c r="KC63" s="5">
        <v>0.46418186844960274</v>
      </c>
      <c r="KD63" s="5">
        <v>0.47200829425385982</v>
      </c>
      <c r="KE63" s="5">
        <v>0.48593369766674577</v>
      </c>
      <c r="KF63" s="4">
        <v>0.48700588261288724</v>
      </c>
      <c r="KG63" s="4">
        <v>0.45824185735325645</v>
      </c>
      <c r="KH63" s="5">
        <v>0.45572073828580417</v>
      </c>
      <c r="KI63" s="5">
        <v>0.46972036457843547</v>
      </c>
      <c r="KJ63" s="5">
        <v>0.46873967088183005</v>
      </c>
      <c r="KK63" s="5">
        <v>0.46613013676212989</v>
      </c>
      <c r="KL63" s="5">
        <v>0.45794409496915006</v>
      </c>
      <c r="KM63" s="5">
        <v>0.44159932260210294</v>
      </c>
      <c r="KN63" s="5">
        <v>0.42825035732828581</v>
      </c>
      <c r="KO63" s="5">
        <v>0.43434982919742593</v>
      </c>
      <c r="KP63" s="4">
        <v>0.45078100879038002</v>
      </c>
      <c r="KQ63" s="5">
        <v>0.61227631926810866</v>
      </c>
      <c r="KR63" s="4">
        <v>0.58521944080171817</v>
      </c>
      <c r="KS63" s="5">
        <v>0.59063586131701873</v>
      </c>
      <c r="KT63" s="5">
        <v>0.58235089935262685</v>
      </c>
      <c r="KU63" s="5">
        <v>0.56464954487066821</v>
      </c>
      <c r="KV63" s="5">
        <v>0.56189602575290065</v>
      </c>
      <c r="KW63" s="5">
        <v>0.5795426171722553</v>
      </c>
      <c r="KX63" s="5">
        <v>0.59407057605015645</v>
      </c>
      <c r="KY63" s="4">
        <v>0.61247495248660289</v>
      </c>
      <c r="KZ63" s="5">
        <v>0.61744556817769491</v>
      </c>
      <c r="LA63" s="5">
        <v>0.82912279617272699</v>
      </c>
      <c r="LB63" s="5">
        <v>0.8108492888591351</v>
      </c>
      <c r="LC63" s="4">
        <v>0.81581847466461155</v>
      </c>
      <c r="LD63" s="5">
        <v>0.80716556746835111</v>
      </c>
      <c r="LE63" s="5">
        <v>0.79170450067368903</v>
      </c>
      <c r="LF63" s="5">
        <v>0.78061337322864555</v>
      </c>
      <c r="LG63" s="5">
        <v>0.77314565614344644</v>
      </c>
      <c r="LH63" s="4">
        <v>0.77325008121186101</v>
      </c>
      <c r="LI63" s="5">
        <v>0.80348707671285546</v>
      </c>
      <c r="LJ63" s="5">
        <v>0.81327299663835906</v>
      </c>
      <c r="LL63" s="3" t="s">
        <v>199</v>
      </c>
      <c r="LM63" s="3" t="s">
        <v>160</v>
      </c>
      <c r="LN63" s="3" t="s">
        <v>161</v>
      </c>
      <c r="LO63" s="5">
        <v>0.70917402337595603</v>
      </c>
    </row>
    <row r="64" spans="2:327" x14ac:dyDescent="0.45">
      <c r="B64" s="6" t="s">
        <v>236</v>
      </c>
      <c r="C64" s="6" t="s">
        <v>151</v>
      </c>
      <c r="D64" s="8">
        <v>0.28613803393387011</v>
      </c>
      <c r="E64" s="8">
        <v>0.2890868820037974</v>
      </c>
      <c r="F64" s="8">
        <v>0.30412305160607744</v>
      </c>
      <c r="G64" s="8">
        <v>0.30144503519347876</v>
      </c>
      <c r="H64" s="8">
        <v>0.29396690969304112</v>
      </c>
      <c r="I64" s="8">
        <v>0.29390965194403057</v>
      </c>
      <c r="J64" s="8">
        <v>0.29213021795400285</v>
      </c>
      <c r="K64" s="8">
        <v>0.28924229031524812</v>
      </c>
      <c r="L64" s="8">
        <v>0.30187099996786143</v>
      </c>
      <c r="M64" s="8">
        <v>0.30199241268479088</v>
      </c>
      <c r="N64" s="8">
        <v>0.29536815468945599</v>
      </c>
      <c r="O64" s="8">
        <v>0.28880054536483096</v>
      </c>
      <c r="P64" s="8">
        <v>0.28515001420012537</v>
      </c>
      <c r="Q64" s="8">
        <v>0.30181231452501767</v>
      </c>
      <c r="R64" s="8">
        <v>0.32433052201839685</v>
      </c>
      <c r="S64" s="8">
        <v>0.33085884731218718</v>
      </c>
      <c r="T64" s="8">
        <v>0.33066281985398943</v>
      </c>
      <c r="U64" s="8">
        <v>0.32393993006273947</v>
      </c>
      <c r="V64" s="8">
        <v>0.3012386792030961</v>
      </c>
      <c r="W64" s="8">
        <v>0.28932788019517797</v>
      </c>
      <c r="X64" s="8">
        <v>0.3101814031203971</v>
      </c>
      <c r="Y64" s="8">
        <v>0.31492447668949991</v>
      </c>
      <c r="Z64" s="8">
        <v>0.31090734173076701</v>
      </c>
      <c r="AA64" s="8">
        <v>0.30574156816846615</v>
      </c>
      <c r="AB64" s="8">
        <v>0.31120984017544912</v>
      </c>
      <c r="AC64" s="8">
        <v>0.30529435322289061</v>
      </c>
      <c r="AD64" s="8">
        <v>0.28875232355482805</v>
      </c>
      <c r="AE64" s="8">
        <v>0.2887374654030041</v>
      </c>
      <c r="AF64" s="8">
        <v>0.29547291794043573</v>
      </c>
      <c r="AG64" s="8">
        <v>0.30076987829557444</v>
      </c>
      <c r="AH64" s="8">
        <v>0.30398309795131934</v>
      </c>
      <c r="AI64" s="8">
        <v>0.28815826363073799</v>
      </c>
      <c r="AJ64" s="8">
        <v>0.27924921180466983</v>
      </c>
      <c r="AK64" s="8">
        <v>0.27864745287453951</v>
      </c>
      <c r="AL64" s="8">
        <v>0.28428253386167945</v>
      </c>
      <c r="AM64" s="8">
        <v>0.29121904911082658</v>
      </c>
      <c r="AN64" s="8">
        <v>0.31012444721771681</v>
      </c>
      <c r="AO64" s="8">
        <v>0.32829722632495123</v>
      </c>
      <c r="AP64" s="8">
        <v>0.33399271243463896</v>
      </c>
      <c r="AQ64" s="8">
        <v>0.33339755368213841</v>
      </c>
      <c r="AR64" s="8">
        <v>0.25291539446498645</v>
      </c>
      <c r="AS64" s="8">
        <v>0.25121373021405397</v>
      </c>
      <c r="AT64" s="8">
        <v>0.25971075990678633</v>
      </c>
      <c r="AU64" s="8">
        <v>0.26505182877238342</v>
      </c>
      <c r="AV64" s="8">
        <v>0.26831963627758304</v>
      </c>
      <c r="AW64" s="8">
        <v>0.27040380750411175</v>
      </c>
      <c r="AX64" s="8">
        <v>0.27012586615004491</v>
      </c>
      <c r="AY64" s="8">
        <v>0.26891873441956704</v>
      </c>
      <c r="AZ64" s="8">
        <v>0.26072593794854987</v>
      </c>
      <c r="BA64" s="8">
        <v>0.25498904650693643</v>
      </c>
      <c r="BB64" s="8">
        <v>0.14194018004817793</v>
      </c>
      <c r="BC64" s="8">
        <v>0.13650858443577318</v>
      </c>
      <c r="BD64" s="8">
        <v>0.15324459646980296</v>
      </c>
      <c r="BE64" s="8">
        <v>0.16107663215712603</v>
      </c>
      <c r="BF64" s="8">
        <v>0.16147399751933339</v>
      </c>
      <c r="BG64" s="8">
        <v>0.15918474953948569</v>
      </c>
      <c r="BH64" s="8">
        <v>0.16043616740744635</v>
      </c>
      <c r="BI64" s="8">
        <v>0.17247456915603321</v>
      </c>
      <c r="BJ64" s="8">
        <v>0.15840956827314867</v>
      </c>
      <c r="BK64" s="8">
        <v>0.1495299448136895</v>
      </c>
      <c r="BM64" s="6" t="s">
        <v>236</v>
      </c>
      <c r="BN64" s="6" t="s">
        <v>152</v>
      </c>
      <c r="BO64" s="8">
        <v>2.2741727046707783E-2</v>
      </c>
      <c r="BP64" s="8">
        <v>1.9541951414728965E-2</v>
      </c>
      <c r="BQ64" s="7">
        <v>1.9075592102731988E-2</v>
      </c>
      <c r="BR64" s="8">
        <v>1.7704770022388974E-2</v>
      </c>
      <c r="BS64" s="8">
        <v>1.2152003262817932E-2</v>
      </c>
      <c r="BT64" s="8">
        <v>2.2181200516407502E-2</v>
      </c>
      <c r="BU64" s="7">
        <v>1.7429575665644206E-2</v>
      </c>
      <c r="BV64" s="8">
        <v>1.6525599597051879E-2</v>
      </c>
      <c r="BW64" s="7">
        <v>2.7757564437716879E-2</v>
      </c>
      <c r="BX64" s="8">
        <v>2.3346220044176941E-2</v>
      </c>
      <c r="BY64" s="7">
        <v>1.5965386378512643E-2</v>
      </c>
      <c r="BZ64" s="7">
        <v>8.5792603801457847E-3</v>
      </c>
      <c r="CA64" s="7">
        <v>1.0338082404586621E-2</v>
      </c>
      <c r="CB64" s="7">
        <v>7.7294892234988904E-3</v>
      </c>
      <c r="CC64" s="7">
        <v>5.3852962529199909E-3</v>
      </c>
      <c r="CD64" s="8">
        <v>6.4533020908778818E-3</v>
      </c>
      <c r="CE64" s="7">
        <v>5.0694586477270751E-4</v>
      </c>
      <c r="CF64" s="8">
        <v>2.431270451160851E-3</v>
      </c>
      <c r="CG64" s="7">
        <v>4.8870506294643378E-3</v>
      </c>
      <c r="CH64" s="8">
        <v>1.6357900290430778E-2</v>
      </c>
      <c r="CI64" s="8">
        <v>2.2730447689221878E-2</v>
      </c>
      <c r="CJ64" s="7">
        <v>1.8617935162149702E-2</v>
      </c>
      <c r="CK64" s="8">
        <v>2.6706828361773498E-2</v>
      </c>
      <c r="CL64" s="7">
        <v>1.6341540564672186E-2</v>
      </c>
      <c r="CM64" s="8">
        <v>1.1100880139516746E-2</v>
      </c>
      <c r="CN64" s="8">
        <v>1.8556441520182987E-2</v>
      </c>
      <c r="CO64" s="8">
        <v>2.0706027760401025E-2</v>
      </c>
      <c r="CP64" s="8">
        <v>2.7287588128631558E-2</v>
      </c>
      <c r="CQ64" s="8">
        <v>3.8132565237594958E-2</v>
      </c>
      <c r="CR64" s="8">
        <v>3.3219134994890785E-2</v>
      </c>
      <c r="CS64" s="8">
        <v>3.2411838547953348E-2</v>
      </c>
      <c r="CT64" s="8">
        <v>3.8723106561080876E-2</v>
      </c>
      <c r="CU64" s="7">
        <v>3.2385720344423746E-2</v>
      </c>
      <c r="CV64" s="7">
        <v>3.1051561751018766E-2</v>
      </c>
      <c r="CW64" s="8">
        <v>2.618285780306568E-2</v>
      </c>
      <c r="CX64" s="7">
        <v>2.5168479778392115E-2</v>
      </c>
      <c r="CY64" s="7">
        <v>1.4864316667497275E-2</v>
      </c>
      <c r="CZ64" s="7">
        <v>1.630949729605773E-2</v>
      </c>
      <c r="DA64" s="7">
        <v>6.7457320840916728E-3</v>
      </c>
      <c r="DB64" s="8">
        <v>1.4404480382834522E-2</v>
      </c>
      <c r="DC64" s="8">
        <v>1.2733727026849703E-2</v>
      </c>
      <c r="DD64" s="7">
        <v>1.1082010414337245E-2</v>
      </c>
      <c r="DE64" s="7">
        <v>1.5155597455258372E-2</v>
      </c>
      <c r="DF64" s="8">
        <v>1.3330658836985034E-2</v>
      </c>
      <c r="DG64" s="8">
        <v>1.5848457418721627E-2</v>
      </c>
      <c r="DH64" s="7">
        <v>6.1834656068320056E-3</v>
      </c>
      <c r="DI64" s="7">
        <v>8.439329402936846E-3</v>
      </c>
      <c r="DJ64" s="7">
        <v>1.9794125290309317E-2</v>
      </c>
      <c r="DK64" s="7">
        <v>1.7672951400681473E-2</v>
      </c>
      <c r="DL64" s="8">
        <v>1.0489323622826379E-2</v>
      </c>
      <c r="DM64" s="8">
        <v>1.0708702465522687E-2</v>
      </c>
      <c r="DN64" s="8">
        <v>1.0603026559246843E-2</v>
      </c>
      <c r="DO64" s="8">
        <v>1.0794817833320976E-2</v>
      </c>
      <c r="DP64" s="8">
        <v>1.1768607823722566E-2</v>
      </c>
      <c r="DQ64" s="8">
        <v>1.2460377084185067E-2</v>
      </c>
      <c r="DR64" s="8">
        <v>7.7140968194697873E-3</v>
      </c>
      <c r="DS64" s="8">
        <v>6.1701610581330977E-3</v>
      </c>
      <c r="DT64" s="7">
        <v>8.7013213205137854E-3</v>
      </c>
      <c r="DU64" s="8">
        <v>4.8972476693271471E-3</v>
      </c>
      <c r="DV64" s="8">
        <v>9.9846071402039088E-3</v>
      </c>
      <c r="DX64" s="6" t="s">
        <v>236</v>
      </c>
      <c r="DY64" s="6" t="s">
        <v>153</v>
      </c>
      <c r="DZ64" s="7">
        <v>2.274218619408434E-2</v>
      </c>
      <c r="EA64" s="8">
        <v>1.6932463206734069E-2</v>
      </c>
      <c r="EB64" s="8">
        <v>2.428291636953232E-2</v>
      </c>
      <c r="EC64" s="8">
        <v>2.8773089256463109E-2</v>
      </c>
      <c r="ED64" s="7">
        <v>2.8976154617156649E-2</v>
      </c>
      <c r="EE64" s="8">
        <v>2.0149875788683273E-2</v>
      </c>
      <c r="EF64" s="7">
        <v>1.9979605636611612E-2</v>
      </c>
      <c r="EG64" s="8">
        <v>2.0358575038586478E-2</v>
      </c>
      <c r="EH64" s="8">
        <v>1.8606321436930178E-2</v>
      </c>
      <c r="EI64" s="8">
        <v>2.7818692682789154E-2</v>
      </c>
      <c r="EJ64" s="8">
        <v>1.0974440124559014E-2</v>
      </c>
      <c r="EK64" s="8">
        <v>1.8797296069792021E-2</v>
      </c>
      <c r="EL64" s="8">
        <v>1.4801576221466172E-2</v>
      </c>
      <c r="EM64" s="8">
        <v>1.2993642084909685E-2</v>
      </c>
      <c r="EN64" s="8">
        <v>7.9058450623020488E-3</v>
      </c>
      <c r="EO64" s="7">
        <v>8.6105355593196972E-3</v>
      </c>
      <c r="EP64" s="7">
        <v>1.2043010335500749E-2</v>
      </c>
      <c r="EQ64" s="7">
        <v>1.772978574897064E-2</v>
      </c>
      <c r="ER64" s="7">
        <v>4.1050322218300307E-3</v>
      </c>
      <c r="ES64" s="7">
        <v>0</v>
      </c>
      <c r="ET64" s="8">
        <v>4.4913868183433472E-2</v>
      </c>
      <c r="EU64" s="8">
        <v>4.3667719650515933E-2</v>
      </c>
      <c r="EV64" s="8">
        <v>2.5337421797271092E-2</v>
      </c>
      <c r="EW64" s="8">
        <v>3.6786416605607081E-2</v>
      </c>
      <c r="EX64" s="7">
        <v>2.9712994183121337E-2</v>
      </c>
      <c r="EY64" s="8">
        <v>2.7726539685602736E-2</v>
      </c>
      <c r="EZ64" s="8">
        <v>1.8019477630880527E-2</v>
      </c>
      <c r="FA64" s="8">
        <v>1.7671607514682872E-2</v>
      </c>
      <c r="FB64" s="8">
        <v>2.2119640277413772E-2</v>
      </c>
      <c r="FC64" s="8">
        <v>3.6756211230822858E-2</v>
      </c>
      <c r="FD64" s="8">
        <v>1.8547134537843041E-2</v>
      </c>
      <c r="FE64" s="8">
        <v>3.9376916439902231E-2</v>
      </c>
      <c r="FF64" s="8">
        <v>3.6330470935859983E-2</v>
      </c>
      <c r="FG64" s="8">
        <v>3.9464311438702535E-2</v>
      </c>
      <c r="FH64" s="7">
        <v>5.0780683332041075E-2</v>
      </c>
      <c r="FI64" s="8">
        <v>3.5584944518220037E-2</v>
      </c>
      <c r="FJ64" s="8">
        <v>4.7300222996870214E-2</v>
      </c>
      <c r="FK64" s="8">
        <v>2.8398218291829553E-2</v>
      </c>
      <c r="FL64" s="8">
        <v>3.2714900788752908E-2</v>
      </c>
      <c r="FM64" s="7">
        <v>2.0361439218094284E-2</v>
      </c>
      <c r="FN64" s="8">
        <v>1.5433767866243573E-2</v>
      </c>
      <c r="FO64" s="8">
        <v>1.8223150817260808E-2</v>
      </c>
      <c r="FP64" s="7">
        <v>1.7546126818323814E-2</v>
      </c>
      <c r="FQ64" s="7">
        <v>1.3091205912917068E-2</v>
      </c>
      <c r="FR64" s="7">
        <v>1.5027778741249461E-2</v>
      </c>
      <c r="FS64" s="7">
        <v>2.3021384217298237E-2</v>
      </c>
      <c r="FT64" s="8">
        <v>2.4978620214260259E-2</v>
      </c>
      <c r="FU64" s="8">
        <v>1.3745387339513675E-2</v>
      </c>
      <c r="FV64" s="7">
        <v>1.0034590155905141E-2</v>
      </c>
      <c r="FW64" s="8">
        <v>2.0367785672072772E-2</v>
      </c>
      <c r="FX64" s="8">
        <v>4.8357005719648584E-3</v>
      </c>
      <c r="FY64" s="8">
        <v>8.8987243023823243E-3</v>
      </c>
      <c r="FZ64" s="8">
        <v>1.3532149099619296E-2</v>
      </c>
      <c r="GA64" s="8">
        <v>1.5234357775094508E-2</v>
      </c>
      <c r="GB64" s="8">
        <v>1.436751975227433E-2</v>
      </c>
      <c r="GC64" s="8">
        <v>1.4685579043397564E-2</v>
      </c>
      <c r="GD64" s="8">
        <v>1.6625189169467758E-2</v>
      </c>
      <c r="GE64" s="8">
        <v>1.1064098079001591E-2</v>
      </c>
      <c r="GF64" s="8">
        <v>7.4670592240972293E-3</v>
      </c>
      <c r="GG64" s="8">
        <v>6.8129708524014921E-3</v>
      </c>
      <c r="GI64" s="6" t="s">
        <v>236</v>
      </c>
      <c r="GJ64" s="6" t="s">
        <v>154</v>
      </c>
      <c r="GK64" s="8">
        <v>9.6718818960751865E-2</v>
      </c>
      <c r="GL64" s="8">
        <v>0.11052662094906698</v>
      </c>
      <c r="GM64" s="8">
        <v>0.11071111659366153</v>
      </c>
      <c r="GN64" s="8">
        <v>0.10830173503845249</v>
      </c>
      <c r="GO64" s="8">
        <v>0.11091677249055312</v>
      </c>
      <c r="GP64" s="8">
        <v>0.11452759922377681</v>
      </c>
      <c r="GQ64" s="8">
        <v>0.10580749777308857</v>
      </c>
      <c r="GR64" s="8">
        <v>0.10292321203632246</v>
      </c>
      <c r="GS64" s="8">
        <v>9.9781460750523632E-2</v>
      </c>
      <c r="GT64" s="8">
        <v>0.10071770824557072</v>
      </c>
      <c r="GU64" s="8">
        <v>0.1306281161368516</v>
      </c>
      <c r="GV64" s="8">
        <v>0.12027724866507207</v>
      </c>
      <c r="GW64" s="8">
        <v>0.11670706555215711</v>
      </c>
      <c r="GX64" s="8">
        <v>0.13235792866341795</v>
      </c>
      <c r="GY64" s="8">
        <v>0.15250942417461516</v>
      </c>
      <c r="GZ64" s="8">
        <v>0.15939994979578226</v>
      </c>
      <c r="HA64" s="7">
        <v>0.16732310526835908</v>
      </c>
      <c r="HB64" s="8">
        <v>0.15867402832160268</v>
      </c>
      <c r="HC64" s="8">
        <v>0.14931183258869321</v>
      </c>
      <c r="HD64" s="8">
        <v>0.14240202463208407</v>
      </c>
      <c r="HE64" s="8">
        <v>0.10954220885411504</v>
      </c>
      <c r="HF64" s="8">
        <v>0.11273062862251754</v>
      </c>
      <c r="HG64" s="8">
        <v>0.12770329428500857</v>
      </c>
      <c r="HH64" s="8">
        <v>0.12031822867055293</v>
      </c>
      <c r="HI64" s="8">
        <v>0.13022397135816863</v>
      </c>
      <c r="HJ64" s="8">
        <v>0.12257249501987821</v>
      </c>
      <c r="HK64" s="8">
        <v>0.12374499146316349</v>
      </c>
      <c r="HL64" s="7">
        <v>0.12038141661843371</v>
      </c>
      <c r="HM64" s="8">
        <v>0.10739337745418311</v>
      </c>
      <c r="HN64" s="8">
        <v>9.8335917546137699E-2</v>
      </c>
      <c r="HO64" s="8">
        <v>0.1355681177166837</v>
      </c>
      <c r="HP64" s="8">
        <v>9.7537087639987363E-2</v>
      </c>
      <c r="HQ64" s="8">
        <v>9.9753546652049552E-2</v>
      </c>
      <c r="HR64" s="8">
        <v>9.8607612069357878E-2</v>
      </c>
      <c r="HS64" s="8">
        <v>9.4538068431690922E-2</v>
      </c>
      <c r="HT64" s="8">
        <v>0.12487434478199219</v>
      </c>
      <c r="HU64" s="8">
        <v>0.14016961368387654</v>
      </c>
      <c r="HV64" s="7">
        <v>0.17316035847114677</v>
      </c>
      <c r="HW64" s="8">
        <v>0.18498416033089024</v>
      </c>
      <c r="HX64" s="8">
        <v>0.18689809609214278</v>
      </c>
      <c r="HY64" s="8">
        <v>9.7393720687777546E-2</v>
      </c>
      <c r="HZ64" s="8">
        <v>0.10284728925787603</v>
      </c>
      <c r="IA64" s="8">
        <v>0.10263703552429919</v>
      </c>
      <c r="IB64" s="8">
        <v>0.11014907270315598</v>
      </c>
      <c r="IC64" s="8">
        <v>0.10838593421125978</v>
      </c>
      <c r="ID64" s="8">
        <v>0.10846488366156067</v>
      </c>
      <c r="IE64" s="8">
        <v>0.1034509697691738</v>
      </c>
      <c r="IF64" s="8">
        <v>0.10125245467636446</v>
      </c>
      <c r="IG64" s="8">
        <v>0.10224918448148422</v>
      </c>
      <c r="IH64" s="8">
        <v>9.3929903344875484E-2</v>
      </c>
      <c r="II64" s="8">
        <v>3.7285454473830991E-2</v>
      </c>
      <c r="IJ64" s="8">
        <v>3.0424321697224487E-2</v>
      </c>
      <c r="IK64" s="8">
        <v>3.0205856911789501E-2</v>
      </c>
      <c r="IL64" s="8">
        <v>3.1563385949951651E-2</v>
      </c>
      <c r="IM64" s="8">
        <v>3.4823387536093507E-2</v>
      </c>
      <c r="IN64" s="8">
        <v>3.7290786245944008E-2</v>
      </c>
      <c r="IO64" s="8">
        <v>4.3086780307803302E-2</v>
      </c>
      <c r="IP64" s="8">
        <v>4.7886863195619023E-2</v>
      </c>
      <c r="IQ64" s="8">
        <v>4.5612198124258263E-2</v>
      </c>
      <c r="IR64" s="8">
        <v>4.6338712065049185E-2</v>
      </c>
      <c r="JB64" s="6" t="s">
        <v>236</v>
      </c>
      <c r="JC64" s="8">
        <v>0.59281040479440184</v>
      </c>
      <c r="JD64" s="8">
        <v>0.58454763438429858</v>
      </c>
      <c r="JE64" s="7">
        <v>0.5808960945360383</v>
      </c>
      <c r="JF64" s="8">
        <v>0.57846582860323303</v>
      </c>
      <c r="JG64" s="8">
        <v>0.57430584239309124</v>
      </c>
      <c r="JH64" s="8">
        <v>0.56768230423733734</v>
      </c>
      <c r="JI64" s="8">
        <v>0.57480824822859389</v>
      </c>
      <c r="JJ64" s="8">
        <v>0.57720026116364331</v>
      </c>
      <c r="JK64" s="8">
        <v>0.56608050626601281</v>
      </c>
      <c r="JL64" s="8">
        <v>0.57230624975012445</v>
      </c>
      <c r="JM64" s="8">
        <v>0.56764806094630005</v>
      </c>
      <c r="JN64" s="7">
        <v>0.57896461630620799</v>
      </c>
      <c r="JO64" s="8">
        <v>0.58457725350508327</v>
      </c>
      <c r="JP64" s="8">
        <v>0.56385810386236868</v>
      </c>
      <c r="JQ64" s="8">
        <v>0.54347019798282736</v>
      </c>
      <c r="JR64" s="8">
        <v>0.5342714717409548</v>
      </c>
      <c r="JS64" s="8">
        <v>0.52534516565536682</v>
      </c>
      <c r="JT64" s="8">
        <v>0.5270047460902465</v>
      </c>
      <c r="JU64" s="8">
        <v>0.55086042409156388</v>
      </c>
      <c r="JV64" s="8">
        <v>0.56050862122887024</v>
      </c>
      <c r="JW64" s="7">
        <v>0.47438215574409615</v>
      </c>
      <c r="JX64" s="8">
        <v>0.49497413576992927</v>
      </c>
      <c r="JY64" s="8">
        <v>0.49192031248790558</v>
      </c>
      <c r="JZ64" s="8">
        <v>0.47478849559495073</v>
      </c>
      <c r="KA64" s="8">
        <v>0.46037840599336977</v>
      </c>
      <c r="KB64" s="8">
        <v>0.46666580137780644</v>
      </c>
      <c r="KC64" s="8">
        <v>0.46949225779377063</v>
      </c>
      <c r="KD64" s="8">
        <v>0.48504340959157932</v>
      </c>
      <c r="KE64" s="8">
        <v>0.48918869951629546</v>
      </c>
      <c r="KF64" s="7">
        <v>0.47836505980319216</v>
      </c>
      <c r="KG64" s="7">
        <v>0.41694766721122134</v>
      </c>
      <c r="KH64" s="8">
        <v>0.42964026209772771</v>
      </c>
      <c r="KI64" s="8">
        <v>0.45006957080197013</v>
      </c>
      <c r="KJ64" s="8">
        <v>0.46616022494073545</v>
      </c>
      <c r="KK64" s="8">
        <v>0.46717376653925408</v>
      </c>
      <c r="KL64" s="8">
        <v>0.44435129208626345</v>
      </c>
      <c r="KM64" s="8">
        <v>0.41498973375185927</v>
      </c>
      <c r="KN64" s="8">
        <v>0.38798460655951555</v>
      </c>
      <c r="KO64" s="8">
        <v>0.38140739341028124</v>
      </c>
      <c r="KP64" s="7">
        <v>0.39417506056845919</v>
      </c>
      <c r="KQ64" s="8">
        <v>0.62767295576519566</v>
      </c>
      <c r="KR64" s="7">
        <v>0.59810199369901862</v>
      </c>
      <c r="KS64" s="8">
        <v>0.58722014921490695</v>
      </c>
      <c r="KT64" s="8">
        <v>0.59326209705963362</v>
      </c>
      <c r="KU64" s="8">
        <v>0.58974884395884919</v>
      </c>
      <c r="KV64" s="8">
        <v>0.59410790339849262</v>
      </c>
      <c r="KW64" s="8">
        <v>0.60047045150118972</v>
      </c>
      <c r="KX64" s="8">
        <v>0.61057273937292045</v>
      </c>
      <c r="KY64" s="7">
        <v>0.62392506477898479</v>
      </c>
      <c r="KZ64" s="8">
        <v>0.63533567199241914</v>
      </c>
      <c r="LA64" s="8">
        <v>0.7967034143167766</v>
      </c>
      <c r="LB64" s="8">
        <v>0.80673248421107702</v>
      </c>
      <c r="LC64" s="7">
        <v>0.78841307839023356</v>
      </c>
      <c r="LD64" s="8">
        <v>0.7802769797308019</v>
      </c>
      <c r="LE64" s="8">
        <v>0.7736636415879028</v>
      </c>
      <c r="LF64" s="8">
        <v>0.77553420864010258</v>
      </c>
      <c r="LG64" s="8">
        <v>0.76428907907101995</v>
      </c>
      <c r="LH64" s="7">
        <v>0.75298810321836551</v>
      </c>
      <c r="LI64" s="8">
        <v>0.77667973048511629</v>
      </c>
      <c r="LJ64" s="8">
        <v>0.77024767401170657</v>
      </c>
      <c r="LL64" s="6" t="s">
        <v>201</v>
      </c>
      <c r="LM64" s="6" t="s">
        <v>160</v>
      </c>
      <c r="LN64" s="6" t="s">
        <v>161</v>
      </c>
      <c r="LO64" s="8">
        <v>0.62473728993266331</v>
      </c>
    </row>
    <row r="65" spans="2:327" x14ac:dyDescent="0.45">
      <c r="B65" s="3" t="s">
        <v>237</v>
      </c>
      <c r="C65" s="3" t="s">
        <v>151</v>
      </c>
      <c r="D65" s="5">
        <v>0.29047162425108269</v>
      </c>
      <c r="E65" s="5">
        <v>0.29657599045601235</v>
      </c>
      <c r="F65" s="5">
        <v>0.30085367287819559</v>
      </c>
      <c r="G65" s="5">
        <v>0.29712564563808713</v>
      </c>
      <c r="H65" s="5">
        <v>0.29694095299169432</v>
      </c>
      <c r="I65" s="5">
        <v>0.28789688680852554</v>
      </c>
      <c r="J65" s="5">
        <v>0.28807536447737492</v>
      </c>
      <c r="K65" s="5">
        <v>0.28331381078705009</v>
      </c>
      <c r="L65" s="5">
        <v>0.28150128681521414</v>
      </c>
      <c r="M65" s="5">
        <v>0.2962413814293659</v>
      </c>
      <c r="N65" s="5">
        <v>0.32040977446449243</v>
      </c>
      <c r="O65" s="5">
        <v>0.32687015314289475</v>
      </c>
      <c r="P65" s="5">
        <v>0.33717545938916454</v>
      </c>
      <c r="Q65" s="5">
        <v>0.34863072468705864</v>
      </c>
      <c r="R65" s="5">
        <v>0.34626252831665394</v>
      </c>
      <c r="S65" s="5">
        <v>0.34716050926898334</v>
      </c>
      <c r="T65" s="5">
        <v>0.34496098700074584</v>
      </c>
      <c r="U65" s="5">
        <v>0.33006571251990668</v>
      </c>
      <c r="V65" s="5">
        <v>0.31344221542138728</v>
      </c>
      <c r="W65" s="5">
        <v>0.31454302849425253</v>
      </c>
      <c r="X65" s="5">
        <v>0.34359259208641069</v>
      </c>
      <c r="Y65" s="5">
        <v>0.32738943449895036</v>
      </c>
      <c r="Z65" s="5">
        <v>0.33708942538854875</v>
      </c>
      <c r="AA65" s="5">
        <v>0.34988244584369249</v>
      </c>
      <c r="AB65" s="5">
        <v>0.35289292083533902</v>
      </c>
      <c r="AC65" s="5">
        <v>0.3371871014365625</v>
      </c>
      <c r="AD65" s="5">
        <v>0.32574226959364821</v>
      </c>
      <c r="AE65" s="5">
        <v>0.31570309457145873</v>
      </c>
      <c r="AF65" s="5">
        <v>0.3143829099714015</v>
      </c>
      <c r="AG65" s="5">
        <v>0.33675435439099322</v>
      </c>
      <c r="AH65" s="5">
        <v>0.34521893800276832</v>
      </c>
      <c r="AI65" s="5">
        <v>0.34332075879801288</v>
      </c>
      <c r="AJ65" s="5">
        <v>0.33311167245294288</v>
      </c>
      <c r="AK65" s="5">
        <v>0.32518569820910614</v>
      </c>
      <c r="AL65" s="5">
        <v>0.32307219373067775</v>
      </c>
      <c r="AM65" s="5">
        <v>0.32831077470325876</v>
      </c>
      <c r="AN65" s="5">
        <v>0.32639914600142822</v>
      </c>
      <c r="AO65" s="5">
        <v>0.32264268011126807</v>
      </c>
      <c r="AP65" s="5">
        <v>0.31542692257858718</v>
      </c>
      <c r="AQ65" s="5">
        <v>0.32411457508257335</v>
      </c>
      <c r="AR65" s="5">
        <v>0.3151515355087226</v>
      </c>
      <c r="AS65" s="5">
        <v>0.3112846230410648</v>
      </c>
      <c r="AT65" s="5">
        <v>0.2989503232242065</v>
      </c>
      <c r="AU65" s="5">
        <v>0.29330673775049804</v>
      </c>
      <c r="AV65" s="5">
        <v>0.28527738595573826</v>
      </c>
      <c r="AW65" s="5">
        <v>0.28121844382710331</v>
      </c>
      <c r="AX65" s="5">
        <v>0.27094511978164787</v>
      </c>
      <c r="AY65" s="5">
        <v>0.27179466230141963</v>
      </c>
      <c r="AZ65" s="5">
        <v>0.26487728473666744</v>
      </c>
      <c r="BA65" s="5">
        <v>0.28358393001041393</v>
      </c>
      <c r="BB65" s="5">
        <v>0.15190218198723757</v>
      </c>
      <c r="BC65" s="5">
        <v>0.13806204035535982</v>
      </c>
      <c r="BD65" s="5">
        <v>0.15919445170817823</v>
      </c>
      <c r="BE65" s="5">
        <v>0.16153350271494174</v>
      </c>
      <c r="BF65" s="5">
        <v>0.1666586762917836</v>
      </c>
      <c r="BG65" s="5">
        <v>0.16127721727309319</v>
      </c>
      <c r="BH65" s="5">
        <v>0.18264066611872692</v>
      </c>
      <c r="BI65" s="5">
        <v>0.20288809734298746</v>
      </c>
      <c r="BJ65" s="5">
        <v>0.20304115849959706</v>
      </c>
      <c r="BK65" s="5">
        <v>0.17182370431841962</v>
      </c>
      <c r="BM65" s="3" t="s">
        <v>237</v>
      </c>
      <c r="BN65" s="3" t="s">
        <v>152</v>
      </c>
      <c r="BO65" s="5">
        <v>2.0264834851252123E-2</v>
      </c>
      <c r="BP65" s="5">
        <v>1.5560237552695561E-2</v>
      </c>
      <c r="BQ65" s="4">
        <v>1.908235109186299E-2</v>
      </c>
      <c r="BR65" s="5">
        <v>2.0168243384928362E-2</v>
      </c>
      <c r="BS65" s="5">
        <v>1.2166664978940272E-2</v>
      </c>
      <c r="BT65" s="5">
        <v>1.0473355107895882E-2</v>
      </c>
      <c r="BU65" s="4">
        <v>2.8431302205571569E-2</v>
      </c>
      <c r="BV65" s="5">
        <v>3.8607383633042905E-2</v>
      </c>
      <c r="BW65" s="4">
        <v>3.4279704114925431E-2</v>
      </c>
      <c r="BX65" s="5">
        <v>3.3299623858831014E-2</v>
      </c>
      <c r="BY65" s="4">
        <v>1.8292185203645069E-2</v>
      </c>
      <c r="BZ65" s="4">
        <v>1.5076317022048032E-2</v>
      </c>
      <c r="CA65" s="4">
        <v>1.0095717314725132E-2</v>
      </c>
      <c r="CB65" s="4">
        <v>1.1648036935249545E-2</v>
      </c>
      <c r="CC65" s="4">
        <v>1.3008303038838475E-2</v>
      </c>
      <c r="CD65" s="5">
        <v>2.1709843657669547E-2</v>
      </c>
      <c r="CE65" s="4">
        <v>2.1002204311242799E-2</v>
      </c>
      <c r="CF65" s="5">
        <v>2.2645759106459159E-2</v>
      </c>
      <c r="CG65" s="4">
        <v>2.6354380453720284E-2</v>
      </c>
      <c r="CH65" s="5">
        <v>3.2174329156749212E-2</v>
      </c>
      <c r="CI65" s="5">
        <v>3.5257941682217984E-2</v>
      </c>
      <c r="CJ65" s="4">
        <v>1.3133384803600531E-2</v>
      </c>
      <c r="CK65" s="5">
        <v>2.2322311368246688E-2</v>
      </c>
      <c r="CL65" s="4">
        <v>3.257356972865498E-2</v>
      </c>
      <c r="CM65" s="5">
        <v>3.3534137622845232E-2</v>
      </c>
      <c r="CN65" s="5">
        <v>1.8697913072288862E-2</v>
      </c>
      <c r="CO65" s="5">
        <v>1.322706292644083E-2</v>
      </c>
      <c r="CP65" s="5">
        <v>1.9332273989294411E-2</v>
      </c>
      <c r="CQ65" s="5">
        <v>3.263953130304021E-2</v>
      </c>
      <c r="CR65" s="5">
        <v>4.2250523359906325E-2</v>
      </c>
      <c r="CS65" s="5">
        <v>1.3801517084022412E-2</v>
      </c>
      <c r="CT65" s="5">
        <v>5.1115980849005408E-3</v>
      </c>
      <c r="CU65" s="4">
        <v>8.1506354218047056E-3</v>
      </c>
      <c r="CV65" s="4">
        <v>1.8938635059188365E-2</v>
      </c>
      <c r="CW65" s="5">
        <v>3.2204493393181689E-2</v>
      </c>
      <c r="CX65" s="4">
        <v>2.73385063239611E-2</v>
      </c>
      <c r="CY65" s="4">
        <v>2.2070370400532176E-2</v>
      </c>
      <c r="CZ65" s="4">
        <v>1.0990143668476716E-2</v>
      </c>
      <c r="DA65" s="4">
        <v>1.1304397023973135E-2</v>
      </c>
      <c r="DB65" s="5">
        <v>5.9029653273498803E-3</v>
      </c>
      <c r="DC65" s="5">
        <v>2.6944388928310869E-2</v>
      </c>
      <c r="DD65" s="4">
        <v>1.4543930282702077E-2</v>
      </c>
      <c r="DE65" s="4">
        <v>7.4675911884605284E-3</v>
      </c>
      <c r="DF65" s="5">
        <v>1.4858988338698319E-2</v>
      </c>
      <c r="DG65" s="5">
        <v>1.4089053578305238E-2</v>
      </c>
      <c r="DH65" s="4">
        <v>1.9839351476080635E-2</v>
      </c>
      <c r="DI65" s="4">
        <v>2.2291447287271587E-2</v>
      </c>
      <c r="DJ65" s="4">
        <v>2.3521975208062242E-2</v>
      </c>
      <c r="DK65" s="4">
        <v>8.9946924584260943E-3</v>
      </c>
      <c r="DL65" s="5">
        <v>2.2262989717869747E-2</v>
      </c>
      <c r="DM65" s="5">
        <v>1.3078812095946231E-2</v>
      </c>
      <c r="DN65" s="5">
        <v>1.4136883314785888E-2</v>
      </c>
      <c r="DO65" s="5">
        <v>1.2216742295659177E-2</v>
      </c>
      <c r="DP65" s="5">
        <v>8.2056827173493958E-3</v>
      </c>
      <c r="DQ65" s="5">
        <v>1.3292753436664835E-2</v>
      </c>
      <c r="DR65" s="5">
        <v>1.7369888792689907E-2</v>
      </c>
      <c r="DS65" s="5">
        <v>1.5823797881642915E-2</v>
      </c>
      <c r="DT65" s="4">
        <v>1.5188261652131935E-2</v>
      </c>
      <c r="DU65" s="5">
        <v>2.0964715013335539E-2</v>
      </c>
      <c r="DV65" s="5">
        <v>1.3625286931523662E-2</v>
      </c>
      <c r="DX65" s="3" t="s">
        <v>237</v>
      </c>
      <c r="DY65" s="3" t="s">
        <v>153</v>
      </c>
      <c r="DZ65" s="4">
        <v>2.8431483946248479E-2</v>
      </c>
      <c r="EA65" s="5">
        <v>2.9901320004040291E-2</v>
      </c>
      <c r="EB65" s="5">
        <v>3.8535931796444205E-2</v>
      </c>
      <c r="EC65" s="5">
        <v>3.1275714028565688E-2</v>
      </c>
      <c r="ED65" s="4">
        <v>2.8798694410919135E-2</v>
      </c>
      <c r="EE65" s="5">
        <v>2.3572505780916124E-2</v>
      </c>
      <c r="EF65" s="4">
        <v>1.6802368570624601E-2</v>
      </c>
      <c r="EG65" s="5">
        <v>1.8101362072837097E-2</v>
      </c>
      <c r="EH65" s="5">
        <v>4.0543631737744897E-2</v>
      </c>
      <c r="EI65" s="5">
        <v>4.8194752852117245E-2</v>
      </c>
      <c r="EJ65" s="5">
        <v>2.9608716289683885E-2</v>
      </c>
      <c r="EK65" s="5">
        <v>2.4085478319235229E-2</v>
      </c>
      <c r="EL65" s="5">
        <v>3.1819297090127381E-2</v>
      </c>
      <c r="EM65" s="5">
        <v>2.4984369543205983E-2</v>
      </c>
      <c r="EN65" s="5">
        <v>1.7585043719552849E-2</v>
      </c>
      <c r="EO65" s="4">
        <v>1.419362380281701E-2</v>
      </c>
      <c r="EP65" s="4">
        <v>2.0817477952874131E-2</v>
      </c>
      <c r="EQ65" s="4">
        <v>2.2123843185734533E-2</v>
      </c>
      <c r="ER65" s="4">
        <v>2.4705552022427527E-2</v>
      </c>
      <c r="ES65" s="4">
        <v>2.4219809974498067E-2</v>
      </c>
      <c r="ET65" s="5">
        <v>6.819740141754653E-2</v>
      </c>
      <c r="EU65" s="5">
        <v>7.4049009479217762E-2</v>
      </c>
      <c r="EV65" s="5">
        <v>2.7176999703267861E-2</v>
      </c>
      <c r="EW65" s="5">
        <v>2.0442992480576381E-2</v>
      </c>
      <c r="EX65" s="4">
        <v>2.9895858698079345E-2</v>
      </c>
      <c r="EY65" s="5">
        <v>3.9874035889900114E-2</v>
      </c>
      <c r="EZ65" s="5">
        <v>4.1876668153401637E-2</v>
      </c>
      <c r="FA65" s="5">
        <v>3.1262511974069269E-2</v>
      </c>
      <c r="FB65" s="5">
        <v>1.7749223441216107E-2</v>
      </c>
      <c r="FC65" s="5">
        <v>3.1868663210702974E-2</v>
      </c>
      <c r="FD65" s="5">
        <v>9.4920322981604539E-3</v>
      </c>
      <c r="FE65" s="5">
        <v>1.9209689144667232E-2</v>
      </c>
      <c r="FF65" s="5">
        <v>2.0355405325734335E-2</v>
      </c>
      <c r="FG65" s="5">
        <v>1.166798932789275E-2</v>
      </c>
      <c r="FH65" s="4">
        <v>5.4908090862047284E-3</v>
      </c>
      <c r="FI65" s="5">
        <v>2.7848858899002366E-2</v>
      </c>
      <c r="FJ65" s="5">
        <v>4.1001382292317368E-2</v>
      </c>
      <c r="FK65" s="5">
        <v>4.7179915201938781E-2</v>
      </c>
      <c r="FL65" s="5">
        <v>3.2152315123448391E-2</v>
      </c>
      <c r="FM65" s="4">
        <v>1.8913975482992836E-2</v>
      </c>
      <c r="FN65" s="5">
        <v>2.6425307112226251E-2</v>
      </c>
      <c r="FO65" s="5">
        <v>3.2582649696310001E-2</v>
      </c>
      <c r="FP65" s="4">
        <v>2.2391607561127045E-2</v>
      </c>
      <c r="FQ65" s="4">
        <v>1.2149698078024176E-2</v>
      </c>
      <c r="FR65" s="4">
        <v>1.161502682352172E-2</v>
      </c>
      <c r="FS65" s="4">
        <v>1.456155325106967E-2</v>
      </c>
      <c r="FT65" s="5">
        <v>2.3158927667800856E-2</v>
      </c>
      <c r="FU65" s="5">
        <v>2.5663014498053579E-2</v>
      </c>
      <c r="FV65" s="4">
        <v>4.3421977058716157E-2</v>
      </c>
      <c r="FW65" s="5">
        <v>3.1808823160947255E-2</v>
      </c>
      <c r="FX65" s="5">
        <v>8.5145738190694608E-3</v>
      </c>
      <c r="FY65" s="5">
        <v>5.6587079380846922E-3</v>
      </c>
      <c r="FZ65" s="5">
        <v>1.6068516655653207E-2</v>
      </c>
      <c r="GA65" s="5">
        <v>1.9743310543527924E-2</v>
      </c>
      <c r="GB65" s="5">
        <v>1.5650132677991008E-2</v>
      </c>
      <c r="GC65" s="5">
        <v>9.0277263853420515E-3</v>
      </c>
      <c r="GD65" s="5">
        <v>1.1775462985229862E-2</v>
      </c>
      <c r="GE65" s="5">
        <v>2.0437063418946532E-2</v>
      </c>
      <c r="GF65" s="5">
        <v>1.117450272514294E-2</v>
      </c>
      <c r="GG65" s="5">
        <v>1.0787173104452036E-2</v>
      </c>
      <c r="GI65" s="3" t="s">
        <v>237</v>
      </c>
      <c r="GJ65" s="3" t="s">
        <v>154</v>
      </c>
      <c r="GK65" s="5">
        <v>9.8475592711358195E-2</v>
      </c>
      <c r="GL65" s="5">
        <v>0.10863214039882536</v>
      </c>
      <c r="GM65" s="5">
        <v>0.10541524782490887</v>
      </c>
      <c r="GN65" s="5">
        <v>0.11240807363264929</v>
      </c>
      <c r="GO65" s="5">
        <v>0.12564703356278259</v>
      </c>
      <c r="GP65" s="5">
        <v>0.11692654275245153</v>
      </c>
      <c r="GQ65" s="5">
        <v>9.651490889371156E-2</v>
      </c>
      <c r="GR65" s="5">
        <v>9.1069914246602227E-2</v>
      </c>
      <c r="GS65" s="5">
        <v>7.5761762988977244E-2</v>
      </c>
      <c r="GT65" s="5">
        <v>8.1950964395351003E-2</v>
      </c>
      <c r="GU65" s="5">
        <v>0.11343111378554149</v>
      </c>
      <c r="GV65" s="5">
        <v>0.13631176637331938</v>
      </c>
      <c r="GW65" s="5">
        <v>0.14990970403370493</v>
      </c>
      <c r="GX65" s="5">
        <v>0.16565038666168186</v>
      </c>
      <c r="GY65" s="5">
        <v>0.17444139723930738</v>
      </c>
      <c r="GZ65" s="5">
        <v>0.1726647789647332</v>
      </c>
      <c r="HA65" s="4">
        <v>0.16536356890625514</v>
      </c>
      <c r="HB65" s="5">
        <v>0.1411164863256156</v>
      </c>
      <c r="HC65" s="5">
        <v>0.11617402628085519</v>
      </c>
      <c r="HD65" s="5">
        <v>0.10776141734746718</v>
      </c>
      <c r="HE65" s="5">
        <v>0.10555025450921057</v>
      </c>
      <c r="HF65" s="5">
        <v>0.11976906487285857</v>
      </c>
      <c r="HG65" s="5">
        <v>0.15562558520429967</v>
      </c>
      <c r="HH65" s="5">
        <v>0.15694786795733132</v>
      </c>
      <c r="HI65" s="5">
        <v>0.15622813520507189</v>
      </c>
      <c r="HJ65" s="5">
        <v>0.15581557207005289</v>
      </c>
      <c r="HK65" s="5">
        <v>0.14770092393244252</v>
      </c>
      <c r="HL65" s="4">
        <v>0.14670069471571112</v>
      </c>
      <c r="HM65" s="5">
        <v>0.14231810747590334</v>
      </c>
      <c r="HN65" s="5">
        <v>0.1289069320399879</v>
      </c>
      <c r="HO65" s="5">
        <v>0.18027106567818413</v>
      </c>
      <c r="HP65" s="5">
        <v>0.17936189755659479</v>
      </c>
      <c r="HQ65" s="5">
        <v>0.1607656942563373</v>
      </c>
      <c r="HR65" s="5">
        <v>0.15026190681072166</v>
      </c>
      <c r="HS65" s="5">
        <v>0.13521402337578203</v>
      </c>
      <c r="HT65" s="5">
        <v>0.12287458197980186</v>
      </c>
      <c r="HU65" s="5">
        <v>0.11526099609218927</v>
      </c>
      <c r="HV65" s="4">
        <v>0.11866512671856921</v>
      </c>
      <c r="HW65" s="5">
        <v>0.14602376327530395</v>
      </c>
      <c r="HX65" s="5">
        <v>0.16730857097126145</v>
      </c>
      <c r="HY65" s="5">
        <v>0.11569513916066709</v>
      </c>
      <c r="HZ65" s="5">
        <v>0.12456291367712978</v>
      </c>
      <c r="IA65" s="5">
        <v>0.13264464802817216</v>
      </c>
      <c r="IB65" s="5">
        <v>0.12916173595762465</v>
      </c>
      <c r="IC65" s="5">
        <v>0.12195459614767595</v>
      </c>
      <c r="ID65" s="5">
        <v>0.10616144559698602</v>
      </c>
      <c r="IE65" s="5">
        <v>9.3266014754033261E-2</v>
      </c>
      <c r="IF65" s="5">
        <v>9.7688730025029771E-2</v>
      </c>
      <c r="IG65" s="5">
        <v>9.8044391686489499E-2</v>
      </c>
      <c r="IH65" s="5">
        <v>9.8692760846803895E-2</v>
      </c>
      <c r="II65" s="5">
        <v>3.6493052728900119E-2</v>
      </c>
      <c r="IJ65" s="5">
        <v>3.3229862784996719E-2</v>
      </c>
      <c r="IK65" s="5">
        <v>3.5507964480291566E-2</v>
      </c>
      <c r="IL65" s="5">
        <v>3.8851989963266581E-2</v>
      </c>
      <c r="IM65" s="5">
        <v>4.3128096595254774E-2</v>
      </c>
      <c r="IN65" s="5">
        <v>4.6884526047244253E-2</v>
      </c>
      <c r="IO65" s="5">
        <v>5.1501178908292297E-2</v>
      </c>
      <c r="IP65" s="5">
        <v>4.7241216641726494E-2</v>
      </c>
      <c r="IQ65" s="5">
        <v>4.7593366537076125E-2</v>
      </c>
      <c r="IR65" s="5">
        <v>4.4617406912125249E-2</v>
      </c>
      <c r="JB65" s="3" t="s">
        <v>237</v>
      </c>
      <c r="JC65" s="5">
        <v>0.57372593273358219</v>
      </c>
      <c r="JD65" s="5">
        <v>0.55523019367923954</v>
      </c>
      <c r="JE65" s="4">
        <v>0.54810677495037785</v>
      </c>
      <c r="JF65" s="5">
        <v>0.55133169861220743</v>
      </c>
      <c r="JG65" s="5">
        <v>0.55334402601934385</v>
      </c>
      <c r="JH65" s="5">
        <v>0.56198893848432474</v>
      </c>
      <c r="JI65" s="5">
        <v>0.57070442208101646</v>
      </c>
      <c r="JJ65" s="5">
        <v>0.56388380880654643</v>
      </c>
      <c r="JK65" s="5">
        <v>0.55688759981378777</v>
      </c>
      <c r="JL65" s="5">
        <v>0.5431635476193879</v>
      </c>
      <c r="JM65" s="5">
        <v>0.5445699521211157</v>
      </c>
      <c r="JN65" s="4">
        <v>0.51723874370948664</v>
      </c>
      <c r="JO65" s="5">
        <v>0.50152406274731831</v>
      </c>
      <c r="JP65" s="5">
        <v>0.48799895238424079</v>
      </c>
      <c r="JQ65" s="5">
        <v>0.47827067384194494</v>
      </c>
      <c r="JR65" s="5">
        <v>0.47294741351323949</v>
      </c>
      <c r="JS65" s="5">
        <v>0.47999195717237447</v>
      </c>
      <c r="JT65" s="5">
        <v>0.49935727216915898</v>
      </c>
      <c r="JU65" s="5">
        <v>0.53157068709877286</v>
      </c>
      <c r="JV65" s="5">
        <v>0.55130741549574125</v>
      </c>
      <c r="JW65" s="4">
        <v>0.43118241071101721</v>
      </c>
      <c r="JX65" s="5">
        <v>0.43236668990710603</v>
      </c>
      <c r="JY65" s="5">
        <v>0.43983146939416984</v>
      </c>
      <c r="JZ65" s="5">
        <v>0.43397572829616277</v>
      </c>
      <c r="KA65" s="5">
        <v>0.42410543063102529</v>
      </c>
      <c r="KB65" s="5">
        <v>0.42599015163528703</v>
      </c>
      <c r="KC65" s="5">
        <v>0.43225748212040993</v>
      </c>
      <c r="KD65" s="5">
        <v>0.44488408553764602</v>
      </c>
      <c r="KE65" s="5">
        <v>0.45322855880445195</v>
      </c>
      <c r="KF65" s="4">
        <v>0.44314421404217208</v>
      </c>
      <c r="KG65" s="4">
        <v>0.4892712160848206</v>
      </c>
      <c r="KH65" s="5">
        <v>0.4951082314256201</v>
      </c>
      <c r="KI65" s="5">
        <v>0.51426732251187601</v>
      </c>
      <c r="KJ65" s="5">
        <v>0.52092004052389584</v>
      </c>
      <c r="KK65" s="5">
        <v>0.52907160423626087</v>
      </c>
      <c r="KL65" s="5">
        <v>0.53623362537087405</v>
      </c>
      <c r="KM65" s="5">
        <v>0.53220637666955617</v>
      </c>
      <c r="KN65" s="5">
        <v>0.52424772347601867</v>
      </c>
      <c r="KO65" s="5">
        <v>0.51336359839688628</v>
      </c>
      <c r="KP65" s="4">
        <v>0.50757130710537401</v>
      </c>
      <c r="KQ65" s="5">
        <v>0.51977125067084662</v>
      </c>
      <c r="KR65" s="4">
        <v>0.5164168655749598</v>
      </c>
      <c r="KS65" s="5">
        <v>0.52426410898114206</v>
      </c>
      <c r="KT65" s="5">
        <v>0.53676302543032783</v>
      </c>
      <c r="KU65" s="5">
        <v>0.55231848298045216</v>
      </c>
      <c r="KV65" s="5">
        <v>0.55939002130398274</v>
      </c>
      <c r="KW65" s="5">
        <v>0.56039808012885539</v>
      </c>
      <c r="KX65" s="5">
        <v>0.54785062656170558</v>
      </c>
      <c r="KY65" s="4">
        <v>0.54313362581939828</v>
      </c>
      <c r="KZ65" s="5">
        <v>0.53698491063108877</v>
      </c>
      <c r="LA65" s="5">
        <v>0.78101953204658603</v>
      </c>
      <c r="LB65" s="5">
        <v>0.80005738171315977</v>
      </c>
      <c r="LC65" s="4">
        <v>0.77588190282699165</v>
      </c>
      <c r="LD65" s="5">
        <v>0.756196070935097</v>
      </c>
      <c r="LE65" s="5">
        <v>0.74813552659317317</v>
      </c>
      <c r="LF65" s="5">
        <v>0.75556156470043612</v>
      </c>
      <c r="LG65" s="5">
        <v>0.73589378362808078</v>
      </c>
      <c r="LH65" s="4">
        <v>0.72668481400658524</v>
      </c>
      <c r="LI65" s="5">
        <v>0.73536811559601101</v>
      </c>
      <c r="LJ65" s="5">
        <v>0.75939420641770716</v>
      </c>
      <c r="LL65" s="3" t="s">
        <v>203</v>
      </c>
      <c r="LM65" s="3" t="s">
        <v>160</v>
      </c>
      <c r="LN65" s="3" t="s">
        <v>161</v>
      </c>
      <c r="LO65" s="5">
        <v>0.64678401734878588</v>
      </c>
    </row>
    <row r="66" spans="2:327" x14ac:dyDescent="0.45">
      <c r="B66" s="6" t="s">
        <v>238</v>
      </c>
      <c r="C66" s="6" t="s">
        <v>151</v>
      </c>
      <c r="D66" s="8">
        <v>0.24479522343249341</v>
      </c>
      <c r="E66" s="8">
        <v>0.26525894155827306</v>
      </c>
      <c r="F66" s="8">
        <v>0.24055034340248402</v>
      </c>
      <c r="G66" s="8">
        <v>0.22090274367123161</v>
      </c>
      <c r="H66" s="8">
        <v>0.22057903718365382</v>
      </c>
      <c r="I66" s="8">
        <v>0.22515855293577314</v>
      </c>
      <c r="J66" s="8">
        <v>0.22860925527657786</v>
      </c>
      <c r="K66" s="8">
        <v>0.24524555461342371</v>
      </c>
      <c r="L66" s="8">
        <v>0.24230186404069226</v>
      </c>
      <c r="M66" s="8">
        <v>0.2286997181215279</v>
      </c>
      <c r="N66" s="8">
        <v>0.30582334245505871</v>
      </c>
      <c r="O66" s="8">
        <v>0.31129777828469513</v>
      </c>
      <c r="P66" s="8">
        <v>0.30544253078095435</v>
      </c>
      <c r="Q66" s="8">
        <v>0.30555774727318608</v>
      </c>
      <c r="R66" s="8">
        <v>0.30356302327339774</v>
      </c>
      <c r="S66" s="8">
        <v>0.29837349289933329</v>
      </c>
      <c r="T66" s="8">
        <v>0.28445043471966419</v>
      </c>
      <c r="U66" s="8">
        <v>0.27980022974615582</v>
      </c>
      <c r="V66" s="8">
        <v>0.27060396101586492</v>
      </c>
      <c r="W66" s="8">
        <v>0.27519123927132821</v>
      </c>
      <c r="X66" s="8">
        <v>0.33044103926706508</v>
      </c>
      <c r="Y66" s="8">
        <v>0.31799320775275686</v>
      </c>
      <c r="Z66" s="8">
        <v>0.31459573337479096</v>
      </c>
      <c r="AA66" s="8">
        <v>0.32044783873575983</v>
      </c>
      <c r="AB66" s="8">
        <v>0.32368100746391026</v>
      </c>
      <c r="AC66" s="8">
        <v>0.32358646573695604</v>
      </c>
      <c r="AD66" s="8">
        <v>0.32908387648199594</v>
      </c>
      <c r="AE66" s="8">
        <v>0.33954172789231768</v>
      </c>
      <c r="AF66" s="8">
        <v>0.34638662258863934</v>
      </c>
      <c r="AG66" s="8">
        <v>0.3403511981496683</v>
      </c>
      <c r="AH66" s="8">
        <v>0.30865168523144554</v>
      </c>
      <c r="AI66" s="8">
        <v>0.32639236494269391</v>
      </c>
      <c r="AJ66" s="8">
        <v>0.32759989052526017</v>
      </c>
      <c r="AK66" s="8">
        <v>0.33507284901702061</v>
      </c>
      <c r="AL66" s="8">
        <v>0.32655614972456648</v>
      </c>
      <c r="AM66" s="8">
        <v>0.30711024225738842</v>
      </c>
      <c r="AN66" s="8">
        <v>0.3031231822730116</v>
      </c>
      <c r="AO66" s="8">
        <v>0.30464011309167299</v>
      </c>
      <c r="AP66" s="8">
        <v>0.30376338251390267</v>
      </c>
      <c r="AQ66" s="8">
        <v>0.30354508161856564</v>
      </c>
      <c r="AR66" s="8">
        <v>0.31172976932171936</v>
      </c>
      <c r="AS66" s="8">
        <v>0.28779470405663132</v>
      </c>
      <c r="AT66" s="8">
        <v>0.26370943405172298</v>
      </c>
      <c r="AU66" s="8">
        <v>0.26698697536058991</v>
      </c>
      <c r="AV66" s="8">
        <v>0.28413634846631114</v>
      </c>
      <c r="AW66" s="8">
        <v>0.2896151017530505</v>
      </c>
      <c r="AX66" s="8">
        <v>0.29315146443292794</v>
      </c>
      <c r="AY66" s="8">
        <v>0.28220167032937066</v>
      </c>
      <c r="AZ66" s="8">
        <v>0.27513853054485815</v>
      </c>
      <c r="BA66" s="8">
        <v>0.29441846516073972</v>
      </c>
      <c r="BB66" s="8">
        <v>0.14560968028311974</v>
      </c>
      <c r="BC66" s="8">
        <v>0.14419874354368983</v>
      </c>
      <c r="BD66" s="8">
        <v>0.13606374293259718</v>
      </c>
      <c r="BE66" s="8">
        <v>0.1444107375147114</v>
      </c>
      <c r="BF66" s="8">
        <v>0.15224139495855929</v>
      </c>
      <c r="BG66" s="8">
        <v>0.15441110196603455</v>
      </c>
      <c r="BH66" s="8">
        <v>0.18733864226859795</v>
      </c>
      <c r="BI66" s="8">
        <v>0.20401537725141203</v>
      </c>
      <c r="BJ66" s="8">
        <v>0.1723590481681091</v>
      </c>
      <c r="BK66" s="8">
        <v>0.13740701922111409</v>
      </c>
      <c r="BM66" s="6" t="s">
        <v>238</v>
      </c>
      <c r="BN66" s="6" t="s">
        <v>152</v>
      </c>
      <c r="BO66" s="8">
        <v>1.8780469400884289E-2</v>
      </c>
      <c r="BP66" s="8">
        <v>8.4749532486786232E-3</v>
      </c>
      <c r="BQ66" s="7">
        <v>1.0978807660647991E-3</v>
      </c>
      <c r="BR66" s="8">
        <v>6.7578550383105961E-3</v>
      </c>
      <c r="BS66" s="8">
        <v>2.0999629563511261E-2</v>
      </c>
      <c r="BT66" s="8">
        <v>2.4457533238455283E-2</v>
      </c>
      <c r="BU66" s="7">
        <v>7.9218337583145532E-3</v>
      </c>
      <c r="BV66" s="8">
        <v>1.5184420383101468E-2</v>
      </c>
      <c r="BW66" s="7">
        <v>1.4354728875779869E-2</v>
      </c>
      <c r="BX66" s="8">
        <v>1.2434408130851449E-2</v>
      </c>
      <c r="BY66" s="7">
        <v>1.5201875490238995E-2</v>
      </c>
      <c r="BZ66" s="7">
        <v>8.7294299040680543E-4</v>
      </c>
      <c r="CA66" s="7">
        <v>3.4080524467127687E-3</v>
      </c>
      <c r="CB66" s="7">
        <v>1.8687998133959677E-2</v>
      </c>
      <c r="CC66" s="7">
        <v>2.0924301384597749E-2</v>
      </c>
      <c r="CD66" s="8">
        <v>1.231294914340568E-2</v>
      </c>
      <c r="CE66" s="7">
        <v>1.5455953617792569E-2</v>
      </c>
      <c r="CF66" s="8">
        <v>2.1977917192149712E-2</v>
      </c>
      <c r="CG66" s="7">
        <v>3.4630296619508977E-2</v>
      </c>
      <c r="CH66" s="8">
        <v>1.9224674998304395E-2</v>
      </c>
      <c r="CI66" s="8">
        <v>1.4810982252516458E-2</v>
      </c>
      <c r="CJ66" s="7">
        <v>1.9225101183516793E-2</v>
      </c>
      <c r="CK66" s="8">
        <v>2.1103716595360037E-2</v>
      </c>
      <c r="CL66" s="7">
        <v>1.8845867126057139E-2</v>
      </c>
      <c r="CM66" s="8">
        <v>1.9119697018502104E-2</v>
      </c>
      <c r="CN66" s="8">
        <v>1.9231038593655034E-2</v>
      </c>
      <c r="CO66" s="8">
        <v>2.1966052200960377E-2</v>
      </c>
      <c r="CP66" s="8">
        <v>2.3266576924892472E-2</v>
      </c>
      <c r="CQ66" s="8">
        <v>2.0209878745430513E-2</v>
      </c>
      <c r="CR66" s="8">
        <v>1.1601782855184904E-2</v>
      </c>
      <c r="CS66" s="8">
        <v>1.0362338403869733E-2</v>
      </c>
      <c r="CT66" s="8">
        <v>8.4027203816259589E-3</v>
      </c>
      <c r="CU66" s="7">
        <v>1.7604784442866887E-2</v>
      </c>
      <c r="CV66" s="7">
        <v>2.1746839334268606E-2</v>
      </c>
      <c r="CW66" s="8">
        <v>1.9055249039310079E-2</v>
      </c>
      <c r="CX66" s="7">
        <v>0</v>
      </c>
      <c r="CY66" s="7">
        <v>5.8904042121470058E-3</v>
      </c>
      <c r="CZ66" s="7">
        <v>1.3347294170567696E-2</v>
      </c>
      <c r="DA66" s="7">
        <v>8.9300505741767185E-3</v>
      </c>
      <c r="DB66" s="8">
        <v>1.6316419875262451E-2</v>
      </c>
      <c r="DC66" s="8">
        <v>1.465250865695537E-2</v>
      </c>
      <c r="DD66" s="7">
        <v>6.617121826448906E-3</v>
      </c>
      <c r="DE66" s="7">
        <v>5.7030071872663417E-3</v>
      </c>
      <c r="DF66" s="8">
        <v>4.9409752578738987E-3</v>
      </c>
      <c r="DG66" s="8">
        <v>1.6998459613917771E-2</v>
      </c>
      <c r="DH66" s="7">
        <v>3.445048667796434E-2</v>
      </c>
      <c r="DI66" s="7">
        <v>2.1506608700938162E-2</v>
      </c>
      <c r="DJ66" s="7">
        <v>3.3024099422171225E-3</v>
      </c>
      <c r="DK66" s="7">
        <v>1.3522595080879348E-2</v>
      </c>
      <c r="DL66" s="8">
        <v>2.7361166573245166E-2</v>
      </c>
      <c r="DM66" s="8">
        <v>1.2362476223678472E-2</v>
      </c>
      <c r="DN66" s="8">
        <v>6.9169319824324144E-3</v>
      </c>
      <c r="DO66" s="8">
        <v>4.420987914516495E-3</v>
      </c>
      <c r="DP66" s="8">
        <v>6.0326819022102273E-3</v>
      </c>
      <c r="DQ66" s="8">
        <v>1.1518348961607862E-2</v>
      </c>
      <c r="DR66" s="8">
        <v>1.5521311298212694E-2</v>
      </c>
      <c r="DS66" s="8">
        <v>1.4610994039023053E-2</v>
      </c>
      <c r="DT66" s="7">
        <v>1.5090772527516789E-2</v>
      </c>
      <c r="DU66" s="8">
        <v>6.9358752144483438E-3</v>
      </c>
      <c r="DV66" s="8">
        <v>5.2120670671408102E-3</v>
      </c>
      <c r="DX66" s="6" t="s">
        <v>238</v>
      </c>
      <c r="DY66" s="6" t="s">
        <v>153</v>
      </c>
      <c r="DZ66" s="7">
        <v>1.8177708746647325E-2</v>
      </c>
      <c r="EA66" s="8">
        <v>3.9048636421795485E-2</v>
      </c>
      <c r="EB66" s="8">
        <v>3.3969933658068857E-2</v>
      </c>
      <c r="EC66" s="8">
        <v>1.7696816925743163E-2</v>
      </c>
      <c r="ED66" s="7">
        <v>0</v>
      </c>
      <c r="EE66" s="8">
        <v>2.9936398448037389E-3</v>
      </c>
      <c r="EF66" s="7">
        <v>2.5930964672220096E-2</v>
      </c>
      <c r="EG66" s="8">
        <v>2.8399703680890377E-2</v>
      </c>
      <c r="EH66" s="8">
        <v>2.2987725164943004E-2</v>
      </c>
      <c r="EI66" s="8">
        <v>1.6712557406092551E-2</v>
      </c>
      <c r="EJ66" s="8">
        <v>2.9989852872119974E-2</v>
      </c>
      <c r="EK66" s="8">
        <v>2.9778802171690384E-2</v>
      </c>
      <c r="EL66" s="8">
        <v>2.1692372395228952E-2</v>
      </c>
      <c r="EM66" s="8">
        <v>8.0380313863114648E-3</v>
      </c>
      <c r="EN66" s="8">
        <v>8.5151437731898604E-3</v>
      </c>
      <c r="EO66" s="7">
        <v>2.0392640758061752E-2</v>
      </c>
      <c r="EP66" s="7">
        <v>2.1544708440302325E-2</v>
      </c>
      <c r="EQ66" s="7">
        <v>2.0412246141090416E-2</v>
      </c>
      <c r="ER66" s="7">
        <v>1.84069324926323E-2</v>
      </c>
      <c r="ES66" s="7">
        <v>2.7899017797031311E-2</v>
      </c>
      <c r="ET66" s="8">
        <v>3.7073101840091764E-2</v>
      </c>
      <c r="EU66" s="8">
        <v>3.1154814487111097E-2</v>
      </c>
      <c r="EV66" s="8">
        <v>1.2935377303941877E-2</v>
      </c>
      <c r="EW66" s="8">
        <v>2.1270545285404608E-2</v>
      </c>
      <c r="EX66" s="7">
        <v>3.1566636105635627E-2</v>
      </c>
      <c r="EY66" s="8">
        <v>2.6595530082042414E-2</v>
      </c>
      <c r="EZ66" s="8">
        <v>3.0513263283272356E-2</v>
      </c>
      <c r="FA66" s="8">
        <v>3.6678126568242667E-2</v>
      </c>
      <c r="FB66" s="8">
        <v>3.0823361511605946E-2</v>
      </c>
      <c r="FC66" s="8">
        <v>2.5691751419105291E-2</v>
      </c>
      <c r="FD66" s="8">
        <v>1.8846775716205775E-2</v>
      </c>
      <c r="FE66" s="8">
        <v>2.4335244830387057E-2</v>
      </c>
      <c r="FF66" s="8">
        <v>1.0583288675472124E-2</v>
      </c>
      <c r="FG66" s="8">
        <v>1.0668063553635442E-2</v>
      </c>
      <c r="FH66" s="7">
        <v>1.9635924684561417E-2</v>
      </c>
      <c r="FI66" s="8">
        <v>3.2970881012782678E-2</v>
      </c>
      <c r="FJ66" s="8">
        <v>2.7999946874941374E-2</v>
      </c>
      <c r="FK66" s="8">
        <v>4.9393367097653072E-3</v>
      </c>
      <c r="FL66" s="8">
        <v>3.1381058977969383E-3</v>
      </c>
      <c r="FM66" s="7">
        <v>4.8505062724541435E-3</v>
      </c>
      <c r="FN66" s="8">
        <v>3.1271001410806264E-2</v>
      </c>
      <c r="FO66" s="8">
        <v>2.6960320776042497E-2</v>
      </c>
      <c r="FP66" s="7">
        <v>1.6342959394545751E-2</v>
      </c>
      <c r="FQ66" s="7">
        <v>8.1120533441474026E-3</v>
      </c>
      <c r="FR66" s="7">
        <v>8.4640173144935899E-3</v>
      </c>
      <c r="FS66" s="7">
        <v>8.5677679171825862E-4</v>
      </c>
      <c r="FT66" s="8">
        <v>2.1504889866616299E-2</v>
      </c>
      <c r="FU66" s="8">
        <v>4.1227019290267661E-2</v>
      </c>
      <c r="FV66" s="7">
        <v>3.4633836426320966E-2</v>
      </c>
      <c r="FW66" s="8">
        <v>1.4305574675832636E-2</v>
      </c>
      <c r="FX66" s="8">
        <v>5.6695600115468422E-3</v>
      </c>
      <c r="FY66" s="8">
        <v>1.2339252472266991E-2</v>
      </c>
      <c r="FZ66" s="8">
        <v>1.4045640031271851E-2</v>
      </c>
      <c r="GA66" s="8">
        <v>9.4530390829216278E-3</v>
      </c>
      <c r="GB66" s="8">
        <v>7.9429404322731382E-3</v>
      </c>
      <c r="GC66" s="8">
        <v>5.0207675315416074E-3</v>
      </c>
      <c r="GD66" s="8">
        <v>1.4717097636704819E-2</v>
      </c>
      <c r="GE66" s="8">
        <v>1.7284934109166865E-2</v>
      </c>
      <c r="GF66" s="8">
        <v>1.7159183628093128E-2</v>
      </c>
      <c r="GG66" s="8">
        <v>1.2050782916240128E-2</v>
      </c>
      <c r="GI66" s="6" t="s">
        <v>238</v>
      </c>
      <c r="GJ66" s="6" t="s">
        <v>154</v>
      </c>
      <c r="GK66" s="8">
        <v>7.9643083232146514E-2</v>
      </c>
      <c r="GL66" s="8">
        <v>9.0991355429816428E-2</v>
      </c>
      <c r="GM66" s="8">
        <v>9.3801280213511945E-2</v>
      </c>
      <c r="GN66" s="8">
        <v>8.5963713529269112E-2</v>
      </c>
      <c r="GO66" s="8">
        <v>7.8758637741929344E-2</v>
      </c>
      <c r="GP66" s="8">
        <v>7.3608898375163601E-2</v>
      </c>
      <c r="GQ66" s="8">
        <v>7.5928077262288091E-2</v>
      </c>
      <c r="GR66" s="8">
        <v>7.3848810342483792E-2</v>
      </c>
      <c r="GS66" s="8">
        <v>7.6249996065345563E-2</v>
      </c>
      <c r="GT66" s="8">
        <v>7.4383074916460956E-2</v>
      </c>
      <c r="GU66" s="8">
        <v>0.11335556815777945</v>
      </c>
      <c r="GV66" s="8">
        <v>0.14270533084065809</v>
      </c>
      <c r="GW66" s="8">
        <v>0.1441669818529113</v>
      </c>
      <c r="GX66" s="8">
        <v>0.13388228221079337</v>
      </c>
      <c r="GY66" s="8">
        <v>0.13073343117525588</v>
      </c>
      <c r="GZ66" s="8">
        <v>0.12702500922863011</v>
      </c>
      <c r="HA66" s="7">
        <v>0.1151741721439139</v>
      </c>
      <c r="HB66" s="8">
        <v>9.7968236556919192E-2</v>
      </c>
      <c r="HC66" s="8">
        <v>8.8455703558911372E-2</v>
      </c>
      <c r="HD66" s="8">
        <v>9.2664277022373218E-2</v>
      </c>
      <c r="HE66" s="8">
        <v>0.1374523609277363</v>
      </c>
      <c r="HF66" s="8">
        <v>0.12648292911553599</v>
      </c>
      <c r="HG66" s="8">
        <v>0.14324340900613644</v>
      </c>
      <c r="HH66" s="8">
        <v>0.14410944059611924</v>
      </c>
      <c r="HI66" s="8">
        <v>0.1312509120447681</v>
      </c>
      <c r="HJ66" s="8">
        <v>0.13624792736919061</v>
      </c>
      <c r="HK66" s="8">
        <v>0.13082663342526718</v>
      </c>
      <c r="HL66" s="7">
        <v>0.13105938060665895</v>
      </c>
      <c r="HM66" s="8">
        <v>0.14216298273257774</v>
      </c>
      <c r="HN66" s="8">
        <v>0.15581013383946204</v>
      </c>
      <c r="HO66" s="8">
        <v>0.14563321837602936</v>
      </c>
      <c r="HP66" s="8">
        <v>0.14624300562360962</v>
      </c>
      <c r="HQ66" s="8">
        <v>0.15164407760677212</v>
      </c>
      <c r="HR66" s="8">
        <v>0.15805350858422132</v>
      </c>
      <c r="HS66" s="8">
        <v>0.15078486560310894</v>
      </c>
      <c r="HT66" s="8">
        <v>0.14900882588453257</v>
      </c>
      <c r="HU66" s="8">
        <v>0.14523322415014886</v>
      </c>
      <c r="HV66" s="7">
        <v>0.15985417602787622</v>
      </c>
      <c r="HW66" s="8">
        <v>0.15982095268294338</v>
      </c>
      <c r="HX66" s="8">
        <v>0.14787231572685142</v>
      </c>
      <c r="HY66" s="8">
        <v>0.12888885017433935</v>
      </c>
      <c r="HZ66" s="8">
        <v>0.13263443112618484</v>
      </c>
      <c r="IA66" s="8">
        <v>0.13514460162677924</v>
      </c>
      <c r="IB66" s="8">
        <v>0.13591630369099733</v>
      </c>
      <c r="IC66" s="8">
        <v>0.12002706976121223</v>
      </c>
      <c r="ID66" s="8">
        <v>0.12104262874588691</v>
      </c>
      <c r="IE66" s="8">
        <v>0.11794924790061692</v>
      </c>
      <c r="IF66" s="8">
        <v>0.10916842982640243</v>
      </c>
      <c r="IG66" s="8">
        <v>9.9463543804490073E-2</v>
      </c>
      <c r="IH66" s="8">
        <v>0.11612435620377251</v>
      </c>
      <c r="II66" s="8">
        <v>3.589189328239243E-2</v>
      </c>
      <c r="IJ66" s="8">
        <v>3.3775850891285854E-2</v>
      </c>
      <c r="IK66" s="8">
        <v>3.8973982339039884E-2</v>
      </c>
      <c r="IL66" s="8">
        <v>4.2194443808666542E-2</v>
      </c>
      <c r="IM66" s="8">
        <v>3.8683380045591825E-2</v>
      </c>
      <c r="IN66" s="8">
        <v>3.9618893239607621E-2</v>
      </c>
      <c r="IO66" s="8">
        <v>4.4809715964954422E-2</v>
      </c>
      <c r="IP66" s="8">
        <v>4.7844218807984902E-2</v>
      </c>
      <c r="IQ66" s="8">
        <v>4.3677626706593774E-2</v>
      </c>
      <c r="IR66" s="8">
        <v>3.8388432572532785E-2</v>
      </c>
      <c r="JB66" s="6" t="s">
        <v>238</v>
      </c>
      <c r="JC66" s="8">
        <v>0.62222154209694303</v>
      </c>
      <c r="JD66" s="8">
        <v>0.59671439890392941</v>
      </c>
      <c r="JE66" s="7">
        <v>0.6069929881725481</v>
      </c>
      <c r="JF66" s="8">
        <v>0.62903789735492299</v>
      </c>
      <c r="JG66" s="8">
        <v>0.64830681254741351</v>
      </c>
      <c r="JH66" s="8">
        <v>0.64686662981176102</v>
      </c>
      <c r="JI66" s="8">
        <v>0.64010287675047595</v>
      </c>
      <c r="JJ66" s="8">
        <v>0.63280428490457341</v>
      </c>
      <c r="JK66" s="8">
        <v>0.6386290880227814</v>
      </c>
      <c r="JL66" s="8">
        <v>0.65372603530050744</v>
      </c>
      <c r="JM66" s="8">
        <v>0.55418723811034731</v>
      </c>
      <c r="JN66" s="7">
        <v>0.53384709357338544</v>
      </c>
      <c r="JO66" s="8">
        <v>0.53552192878012095</v>
      </c>
      <c r="JP66" s="8">
        <v>0.53933983704597266</v>
      </c>
      <c r="JQ66" s="8">
        <v>0.53492925807697811</v>
      </c>
      <c r="JR66" s="8">
        <v>0.53451120779516348</v>
      </c>
      <c r="JS66" s="8">
        <v>0.54417149093438921</v>
      </c>
      <c r="JT66" s="8">
        <v>0.56692002837137068</v>
      </c>
      <c r="JU66" s="8">
        <v>0.58796185972955128</v>
      </c>
      <c r="JV66" s="8">
        <v>0.58386030866746075</v>
      </c>
      <c r="JW66" s="7">
        <v>0.46104852636497279</v>
      </c>
      <c r="JX66" s="8">
        <v>0.4686905440896596</v>
      </c>
      <c r="JY66" s="8">
        <v>0.47247606412457882</v>
      </c>
      <c r="JZ66" s="8">
        <v>0.47054603839297526</v>
      </c>
      <c r="KA66" s="8">
        <v>0.47664415592904624</v>
      </c>
      <c r="KB66" s="8">
        <v>0.48199789262581227</v>
      </c>
      <c r="KC66" s="8">
        <v>0.48487584203868966</v>
      </c>
      <c r="KD66" s="8">
        <v>0.48218549964045754</v>
      </c>
      <c r="KE66" s="8">
        <v>0.47671916288237298</v>
      </c>
      <c r="KF66" s="7">
        <v>0.46381262970399117</v>
      </c>
      <c r="KG66" s="7">
        <v>0.51677535954994902</v>
      </c>
      <c r="KH66" s="8">
        <v>0.50451879388703214</v>
      </c>
      <c r="KI66" s="8">
        <v>0.50147248259293731</v>
      </c>
      <c r="KJ66" s="8">
        <v>0.49020380214570597</v>
      </c>
      <c r="KK66" s="8">
        <v>0.49448057616506119</v>
      </c>
      <c r="KL66" s="8">
        <v>0.50854025819964044</v>
      </c>
      <c r="KM66" s="8">
        <v>0.51471714136663926</v>
      </c>
      <c r="KN66" s="8">
        <v>0.51684417801735105</v>
      </c>
      <c r="KO66" s="8">
        <v>0.51487554442031069</v>
      </c>
      <c r="KP66" s="7">
        <v>0.52025794314913021</v>
      </c>
      <c r="KQ66" s="8">
        <v>0.52463568529104154</v>
      </c>
      <c r="KR66" s="7">
        <v>0.53073119583028461</v>
      </c>
      <c r="KS66" s="8">
        <v>0.54041271069825703</v>
      </c>
      <c r="KT66" s="8">
        <v>0.55308365819151373</v>
      </c>
      <c r="KU66" s="8">
        <v>0.55082612017488397</v>
      </c>
      <c r="KV66" s="8">
        <v>0.54036523331602404</v>
      </c>
      <c r="KW66" s="8">
        <v>0.53470579498325865</v>
      </c>
      <c r="KX66" s="8">
        <v>0.54006556780592663</v>
      </c>
      <c r="KY66" s="7">
        <v>0.55432025590488732</v>
      </c>
      <c r="KZ66" s="8">
        <v>0.54283905757196815</v>
      </c>
      <c r="LA66" s="8">
        <v>0.79394446049096834</v>
      </c>
      <c r="LB66" s="8">
        <v>0.79353799616803389</v>
      </c>
      <c r="LC66" s="7">
        <v>0.78375921024921846</v>
      </c>
      <c r="LD66" s="8">
        <v>0.77718132102111082</v>
      </c>
      <c r="LE66" s="8">
        <v>0.77672754411057576</v>
      </c>
      <c r="LF66" s="8">
        <v>0.77097800969547703</v>
      </c>
      <c r="LG66" s="8">
        <v>0.73877405770618954</v>
      </c>
      <c r="LH66" s="7">
        <v>0.72925614155691776</v>
      </c>
      <c r="LI66" s="8">
        <v>0.75833149097726649</v>
      </c>
      <c r="LJ66" s="8">
        <v>0.79033440661866605</v>
      </c>
      <c r="LL66" s="6" t="s">
        <v>205</v>
      </c>
      <c r="LM66" s="6" t="s">
        <v>160</v>
      </c>
      <c r="LN66" s="6" t="s">
        <v>161</v>
      </c>
      <c r="LO66" s="8">
        <v>0.68560690144986425</v>
      </c>
    </row>
    <row r="67" spans="2:327" x14ac:dyDescent="0.45">
      <c r="B67" s="3" t="s">
        <v>184</v>
      </c>
      <c r="C67" s="3" t="s">
        <v>151</v>
      </c>
      <c r="D67" s="5">
        <v>0.28290779834882973</v>
      </c>
      <c r="E67" s="5">
        <v>0.2663039871324932</v>
      </c>
      <c r="F67" s="5">
        <v>0.27275877444061702</v>
      </c>
      <c r="G67" s="5">
        <v>0.2969871744284463</v>
      </c>
      <c r="H67" s="5">
        <v>0.3141338272169677</v>
      </c>
      <c r="I67" s="5">
        <v>0.31692497465986114</v>
      </c>
      <c r="J67" s="5">
        <v>0.30857620471555947</v>
      </c>
      <c r="K67" s="5">
        <v>0.2964913809704503</v>
      </c>
      <c r="L67" s="5">
        <v>0.28313788888800306</v>
      </c>
      <c r="M67" s="5">
        <v>0.27876384894559886</v>
      </c>
      <c r="N67" s="5">
        <v>0.2920804109684752</v>
      </c>
      <c r="O67" s="5">
        <v>0.28939332245776372</v>
      </c>
      <c r="P67" s="5">
        <v>0.3189198683745551</v>
      </c>
      <c r="Q67" s="5">
        <v>0.32099973301668866</v>
      </c>
      <c r="R67" s="5">
        <v>0.32424315098112599</v>
      </c>
      <c r="S67" s="5">
        <v>0.32386498427992949</v>
      </c>
      <c r="T67" s="5">
        <v>0.30660133499591552</v>
      </c>
      <c r="U67" s="5">
        <v>0.28922743041267035</v>
      </c>
      <c r="V67" s="5">
        <v>0.27064987078831859</v>
      </c>
      <c r="W67" s="5">
        <v>0.27574653336103683</v>
      </c>
      <c r="X67" s="5">
        <v>0.32942905090563684</v>
      </c>
      <c r="Y67" s="5">
        <v>0.31636079592780481</v>
      </c>
      <c r="Z67" s="5">
        <v>0.35833001314313134</v>
      </c>
      <c r="AA67" s="5">
        <v>0.36570242202672765</v>
      </c>
      <c r="AB67" s="5">
        <v>0.35517801338497917</v>
      </c>
      <c r="AC67" s="5">
        <v>0.35209054556315755</v>
      </c>
      <c r="AD67" s="5">
        <v>0.33563581030936435</v>
      </c>
      <c r="AE67" s="5">
        <v>0.32357227148106488</v>
      </c>
      <c r="AF67" s="5">
        <v>0.29839455774208318</v>
      </c>
      <c r="AG67" s="5">
        <v>0.29527913082173884</v>
      </c>
      <c r="AH67" s="5">
        <v>0.32352943133528961</v>
      </c>
      <c r="AI67" s="5">
        <v>0.33396428863334748</v>
      </c>
      <c r="AJ67" s="5">
        <v>0.40193967672556496</v>
      </c>
      <c r="AK67" s="5">
        <v>0.39948246553365735</v>
      </c>
      <c r="AL67" s="5">
        <v>0.40386890712859813</v>
      </c>
      <c r="AM67" s="5">
        <v>0.39221593945735689</v>
      </c>
      <c r="AN67" s="5">
        <v>0.37356436658690911</v>
      </c>
      <c r="AO67" s="5">
        <v>0.3521540929237752</v>
      </c>
      <c r="AP67" s="5">
        <v>0.31965919010015426</v>
      </c>
      <c r="AQ67" s="5">
        <v>0.28597644715182219</v>
      </c>
      <c r="AR67" s="5">
        <v>0.29470805665580441</v>
      </c>
      <c r="AS67" s="5">
        <v>0.29620019263993602</v>
      </c>
      <c r="AT67" s="5">
        <v>0.29835124880919578</v>
      </c>
      <c r="AU67" s="5">
        <v>0.32471963912167834</v>
      </c>
      <c r="AV67" s="5">
        <v>0.33739960412775494</v>
      </c>
      <c r="AW67" s="5">
        <v>0.34417134852917008</v>
      </c>
      <c r="AX67" s="5">
        <v>0.35114416591074127</v>
      </c>
      <c r="AY67" s="5">
        <v>0.33358979418113027</v>
      </c>
      <c r="AZ67" s="5">
        <v>0.29227438527521926</v>
      </c>
      <c r="BA67" s="5">
        <v>0.27896719719124957</v>
      </c>
      <c r="BB67" s="5">
        <v>0.23091090930484801</v>
      </c>
      <c r="BC67" s="5">
        <v>0.23712677214419878</v>
      </c>
      <c r="BD67" s="5">
        <v>0.24332592136580408</v>
      </c>
      <c r="BE67" s="5">
        <v>0.27311869320699977</v>
      </c>
      <c r="BF67" s="5">
        <v>0.30359786507659864</v>
      </c>
      <c r="BG67" s="5">
        <v>0.29758199729337514</v>
      </c>
      <c r="BH67" s="5">
        <v>0.290748517069916</v>
      </c>
      <c r="BI67" s="5">
        <v>0.27634343043730664</v>
      </c>
      <c r="BJ67" s="5">
        <v>0.26951620323433356</v>
      </c>
      <c r="BK67" s="5">
        <v>0.2607171739805243</v>
      </c>
      <c r="BM67" s="3" t="s">
        <v>184</v>
      </c>
      <c r="BN67" s="3" t="s">
        <v>152</v>
      </c>
      <c r="BO67" s="5">
        <v>6.1041044894095094E-3</v>
      </c>
      <c r="BP67" s="5">
        <v>1.3741795721567879E-2</v>
      </c>
      <c r="BQ67" s="4">
        <v>3.6288063300537139E-2</v>
      </c>
      <c r="BR67" s="5">
        <v>2.5513477796007922E-2</v>
      </c>
      <c r="BS67" s="5">
        <v>2.2150321174420704E-2</v>
      </c>
      <c r="BT67" s="5">
        <v>2.899249443772281E-2</v>
      </c>
      <c r="BU67" s="4">
        <v>1.042729447129662E-2</v>
      </c>
      <c r="BV67" s="5">
        <v>2.1650274715626716E-3</v>
      </c>
      <c r="BW67" s="4">
        <v>5.8785770745964673E-3</v>
      </c>
      <c r="BX67" s="5">
        <v>6.3120028693476465E-3</v>
      </c>
      <c r="BY67" s="4">
        <v>1.211200741370326E-3</v>
      </c>
      <c r="BZ67" s="4">
        <v>8.1149354355115385E-3</v>
      </c>
      <c r="CA67" s="4">
        <v>2.4086997145126476E-2</v>
      </c>
      <c r="CB67" s="4">
        <v>2.332545506673946E-2</v>
      </c>
      <c r="CC67" s="4">
        <v>1.8037515629480073E-2</v>
      </c>
      <c r="CD67" s="5">
        <v>2.9471204513848524E-2</v>
      </c>
      <c r="CE67" s="4">
        <v>2.5032017254191841E-2</v>
      </c>
      <c r="CF67" s="5">
        <v>5.7090867833049655E-3</v>
      </c>
      <c r="CG67" s="4">
        <v>1.7817216854960839E-2</v>
      </c>
      <c r="CH67" s="5">
        <v>3.2074245862350483E-3</v>
      </c>
      <c r="CI67" s="5">
        <v>1.2316393100839056E-2</v>
      </c>
      <c r="CJ67" s="4">
        <v>1.3395060725512975E-2</v>
      </c>
      <c r="CK67" s="5">
        <v>9.8878551435622238E-3</v>
      </c>
      <c r="CL67" s="4">
        <v>2.4837616189883092E-2</v>
      </c>
      <c r="CM67" s="5">
        <v>3.9478798741473912E-2</v>
      </c>
      <c r="CN67" s="5">
        <v>1.4388799720869084E-2</v>
      </c>
      <c r="CO67" s="5">
        <v>1.4945596525686708E-2</v>
      </c>
      <c r="CP67" s="5">
        <v>1.1913120892531553E-2</v>
      </c>
      <c r="CQ67" s="5">
        <v>1.3279181198314437E-2</v>
      </c>
      <c r="CR67" s="5">
        <v>1.4512130499029146E-2</v>
      </c>
      <c r="CS67" s="5">
        <v>2.1473305268469051E-2</v>
      </c>
      <c r="CT67" s="5">
        <v>5.0157148767857936E-2</v>
      </c>
      <c r="CU67" s="4">
        <v>2.3586836790166574E-2</v>
      </c>
      <c r="CV67" s="4">
        <v>5.9595941825249403E-2</v>
      </c>
      <c r="CW67" s="5">
        <v>6.0337732941538762E-2</v>
      </c>
      <c r="CX67" s="4">
        <v>2.6902964927765911E-2</v>
      </c>
      <c r="CY67" s="4">
        <v>2.5452926970523971E-2</v>
      </c>
      <c r="CZ67" s="4">
        <v>3.4654192001239474E-2</v>
      </c>
      <c r="DA67" s="4">
        <v>2.4346980242451504E-2</v>
      </c>
      <c r="DB67" s="5">
        <v>1.6006236144913453E-2</v>
      </c>
      <c r="DC67" s="5">
        <v>9.8198157135871277E-3</v>
      </c>
      <c r="DD67" s="4">
        <v>1.019155143899169E-2</v>
      </c>
      <c r="DE67" s="4">
        <v>2.7332652724815859E-2</v>
      </c>
      <c r="DF67" s="5">
        <v>4.6746801493848578E-2</v>
      </c>
      <c r="DG67" s="5">
        <v>4.612688311875187E-2</v>
      </c>
      <c r="DH67" s="4">
        <v>3.7758862458694753E-2</v>
      </c>
      <c r="DI67" s="4">
        <v>3.8199126930986795E-2</v>
      </c>
      <c r="DJ67" s="4">
        <v>1.5592962683219974E-2</v>
      </c>
      <c r="DK67" s="4">
        <v>8.8918481860868776E-3</v>
      </c>
      <c r="DL67" s="5">
        <v>4.5464060506990043E-3</v>
      </c>
      <c r="DM67" s="5">
        <v>1.7198330739601381E-2</v>
      </c>
      <c r="DN67" s="5">
        <v>1.4870010034846734E-2</v>
      </c>
      <c r="DO67" s="5">
        <v>1.2755009622837482E-2</v>
      </c>
      <c r="DP67" s="5">
        <v>2.2331647415828781E-2</v>
      </c>
      <c r="DQ67" s="5">
        <v>2.6189073164790896E-2</v>
      </c>
      <c r="DR67" s="5">
        <v>2.2715106428238534E-2</v>
      </c>
      <c r="DS67" s="5">
        <v>1.5092426010326241E-2</v>
      </c>
      <c r="DT67" s="4">
        <v>7.8590434035037474E-3</v>
      </c>
      <c r="DU67" s="5">
        <v>2.0837743987001386E-2</v>
      </c>
      <c r="DV67" s="5">
        <v>2.2750482752828826E-2</v>
      </c>
      <c r="DX67" s="3" t="s">
        <v>184</v>
      </c>
      <c r="DY67" s="3" t="s">
        <v>153</v>
      </c>
      <c r="DZ67" s="4">
        <v>8.9349867897126067E-3</v>
      </c>
      <c r="EA67" s="5">
        <v>1.0082800977154359E-2</v>
      </c>
      <c r="EB67" s="5">
        <v>3.5547827138789328E-3</v>
      </c>
      <c r="EC67" s="5">
        <v>1.7537108915335702E-2</v>
      </c>
      <c r="ED67" s="4">
        <v>2.4623309475368321E-2</v>
      </c>
      <c r="EE67" s="5">
        <v>2.7199013685430887E-2</v>
      </c>
      <c r="EF67" s="4">
        <v>3.9515430424940434E-2</v>
      </c>
      <c r="EG67" s="5">
        <v>3.210973382533653E-2</v>
      </c>
      <c r="EH67" s="5">
        <v>2.1928880659413539E-2</v>
      </c>
      <c r="EI67" s="5">
        <v>6.7940169117732176E-3</v>
      </c>
      <c r="EJ67" s="5">
        <v>9.2146383857101433E-3</v>
      </c>
      <c r="EK67" s="5">
        <v>0</v>
      </c>
      <c r="EL67" s="5">
        <v>2.3648262824407427E-3</v>
      </c>
      <c r="EM67" s="5">
        <v>2.0142823974782429E-2</v>
      </c>
      <c r="EN67" s="5">
        <v>3.5087967372031577E-2</v>
      </c>
      <c r="EO67" s="4">
        <v>2.8813878778364863E-2</v>
      </c>
      <c r="EP67" s="4">
        <v>1.9455989177477671E-2</v>
      </c>
      <c r="EQ67" s="4">
        <v>3.1368309529596239E-2</v>
      </c>
      <c r="ER67" s="4">
        <v>1.8187347561173229E-2</v>
      </c>
      <c r="ES67" s="4">
        <v>1.5973704352527859E-2</v>
      </c>
      <c r="ET67" s="5">
        <v>2.0965233211791917E-2</v>
      </c>
      <c r="EU67" s="5">
        <v>2.0937437339975114E-2</v>
      </c>
      <c r="EV67" s="5">
        <v>1.2981115941270044E-2</v>
      </c>
      <c r="EW67" s="5">
        <v>9.1854877866480705E-3</v>
      </c>
      <c r="EX67" s="4">
        <v>0</v>
      </c>
      <c r="EY67" s="5">
        <v>2.5292045757513634E-2</v>
      </c>
      <c r="EZ67" s="5">
        <v>2.9456360933069213E-2</v>
      </c>
      <c r="FA67" s="5">
        <v>2.7172929191997732E-2</v>
      </c>
      <c r="FB67" s="5">
        <v>2.1650249795362324E-2</v>
      </c>
      <c r="FC67" s="5">
        <v>1.8928422684180348E-2</v>
      </c>
      <c r="FD67" s="5">
        <v>2.3257925184114101E-2</v>
      </c>
      <c r="FE67" s="5">
        <v>9.0754138648900737E-3</v>
      </c>
      <c r="FF67" s="5">
        <v>4.8641311847738865E-2</v>
      </c>
      <c r="FG67" s="5">
        <v>6.0800622541339791E-2</v>
      </c>
      <c r="FH67" s="4">
        <v>7.1669742512180085E-2</v>
      </c>
      <c r="FI67" s="5">
        <v>7.9783958127094171E-2</v>
      </c>
      <c r="FJ67" s="5">
        <v>9.7776838232574076E-2</v>
      </c>
      <c r="FK67" s="5">
        <v>5.3311569300445345E-2</v>
      </c>
      <c r="FL67" s="5">
        <v>2.3600854475382255E-2</v>
      </c>
      <c r="FM67" s="4">
        <v>1.3002198818922894E-2</v>
      </c>
      <c r="FN67" s="5">
        <v>1.2124358976440432E-2</v>
      </c>
      <c r="FO67" s="5">
        <v>2.6702782089281143E-2</v>
      </c>
      <c r="FP67" s="4">
        <v>3.2073243819701738E-2</v>
      </c>
      <c r="FQ67" s="4">
        <v>1.7679350897798388E-2</v>
      </c>
      <c r="FR67" s="4">
        <v>2.1661465519384995E-2</v>
      </c>
      <c r="FS67" s="4">
        <v>3.2872246359530614E-2</v>
      </c>
      <c r="FT67" s="5">
        <v>4.4473992114847934E-2</v>
      </c>
      <c r="FU67" s="5">
        <v>4.6393833749079204E-2</v>
      </c>
      <c r="FV67" s="4">
        <v>3.7516951818503633E-2</v>
      </c>
      <c r="FW67" s="5">
        <v>2.0011505091724648E-2</v>
      </c>
      <c r="FX67" s="5">
        <v>1.7923904219220244E-2</v>
      </c>
      <c r="FY67" s="5">
        <v>2.6384892888192242E-2</v>
      </c>
      <c r="FZ67" s="5">
        <v>3.5483616596357979E-2</v>
      </c>
      <c r="GA67" s="5">
        <v>3.8825482868514387E-2</v>
      </c>
      <c r="GB67" s="5">
        <v>2.3633960693413544E-2</v>
      </c>
      <c r="GC67" s="5">
        <v>3.7045121343869586E-2</v>
      </c>
      <c r="GD67" s="5">
        <v>3.3962472678979366E-2</v>
      </c>
      <c r="GE67" s="5">
        <v>3.1300278818962426E-2</v>
      </c>
      <c r="GF67" s="5">
        <v>1.6225547846475057E-2</v>
      </c>
      <c r="GG67" s="5">
        <v>1.1985598303606201E-2</v>
      </c>
      <c r="GI67" s="3" t="s">
        <v>184</v>
      </c>
      <c r="GJ67" s="3" t="s">
        <v>154</v>
      </c>
      <c r="GK67" s="5">
        <v>0.16725106978961857</v>
      </c>
      <c r="GL67" s="5">
        <v>0.1458887292887335</v>
      </c>
      <c r="GM67" s="5">
        <v>0.13971629008697456</v>
      </c>
      <c r="GN67" s="5">
        <v>0.14590037957954391</v>
      </c>
      <c r="GO67" s="5">
        <v>0.13672009300408933</v>
      </c>
      <c r="GP67" s="5">
        <v>0.13965280862530274</v>
      </c>
      <c r="GQ67" s="5">
        <v>0.1512166422320339</v>
      </c>
      <c r="GR67" s="5">
        <v>0.16076659844255867</v>
      </c>
      <c r="GS67" s="5">
        <v>0.1503312962311292</v>
      </c>
      <c r="GT67" s="5">
        <v>0.16890264118062281</v>
      </c>
      <c r="GU67" s="5">
        <v>0.17593556742314762</v>
      </c>
      <c r="GV67" s="5">
        <v>0.17756224996247888</v>
      </c>
      <c r="GW67" s="5">
        <v>0.17364343796567994</v>
      </c>
      <c r="GX67" s="5">
        <v>0.15371948533807894</v>
      </c>
      <c r="GY67" s="5">
        <v>0.13338829672250382</v>
      </c>
      <c r="GZ67" s="5">
        <v>0.13465472108967</v>
      </c>
      <c r="HA67" s="4">
        <v>0.14293376792642723</v>
      </c>
      <c r="HB67" s="5">
        <v>0.14116482830919944</v>
      </c>
      <c r="HC67" s="5">
        <v>0.13267802008648491</v>
      </c>
      <c r="HD67" s="5">
        <v>0.15723189288049705</v>
      </c>
      <c r="HE67" s="5">
        <v>0.17849447883336733</v>
      </c>
      <c r="HF67" s="5">
        <v>0.17011442398496418</v>
      </c>
      <c r="HG67" s="5">
        <v>0.20146455641561434</v>
      </c>
      <c r="HH67" s="5">
        <v>0.19997388342612424</v>
      </c>
      <c r="HI67" s="5">
        <v>0.18719046890589461</v>
      </c>
      <c r="HJ67" s="5">
        <v>0.17864762384856372</v>
      </c>
      <c r="HK67" s="5">
        <v>0.15716886904222538</v>
      </c>
      <c r="HL67" s="4">
        <v>0.16739185367158313</v>
      </c>
      <c r="HM67" s="5">
        <v>0.15664609301816113</v>
      </c>
      <c r="HN67" s="5">
        <v>0.15174326259805054</v>
      </c>
      <c r="HO67" s="5">
        <v>0.16264106704010781</v>
      </c>
      <c r="HP67" s="5">
        <v>0.16946718966545651</v>
      </c>
      <c r="HQ67" s="5">
        <v>0.20567138154369657</v>
      </c>
      <c r="HR67" s="5">
        <v>0.1487309362538532</v>
      </c>
      <c r="HS67" s="5">
        <v>0.13493318450812058</v>
      </c>
      <c r="HT67" s="5">
        <v>0.1507950559231778</v>
      </c>
      <c r="HU67" s="5">
        <v>0.12581765269224496</v>
      </c>
      <c r="HV67" s="4">
        <v>0.15021621829388643</v>
      </c>
      <c r="HW67" s="5">
        <v>0.17408899072853518</v>
      </c>
      <c r="HX67" s="5">
        <v>0.16242366328652752</v>
      </c>
      <c r="HY67" s="5">
        <v>0.15689355198292387</v>
      </c>
      <c r="HZ67" s="5">
        <v>0.14994906973560554</v>
      </c>
      <c r="IA67" s="5">
        <v>0.13411599099926189</v>
      </c>
      <c r="IB67" s="5">
        <v>0.13592280106127283</v>
      </c>
      <c r="IC67" s="5">
        <v>0.13779621630455441</v>
      </c>
      <c r="ID67" s="5">
        <v>0.13314236010988043</v>
      </c>
      <c r="IE67" s="5">
        <v>0.12319719068147603</v>
      </c>
      <c r="IF67" s="5">
        <v>0.12676047860343137</v>
      </c>
      <c r="IG67" s="5">
        <v>0.11446077981052651</v>
      </c>
      <c r="IH67" s="5">
        <v>0.13701908235347515</v>
      </c>
      <c r="II67" s="5">
        <v>8.9375635406683515E-2</v>
      </c>
      <c r="IJ67" s="5">
        <v>8.8296502593952358E-2</v>
      </c>
      <c r="IK67" s="5">
        <v>9.0028225010156879E-2</v>
      </c>
      <c r="IL67" s="5">
        <v>9.8614613993166483E-2</v>
      </c>
      <c r="IM67" s="5">
        <v>0.13047079667715036</v>
      </c>
      <c r="IN67" s="5">
        <v>0.12070873050453473</v>
      </c>
      <c r="IO67" s="5">
        <v>0.13088119670864781</v>
      </c>
      <c r="IP67" s="5">
        <v>0.12725451475359831</v>
      </c>
      <c r="IQ67" s="5">
        <v>0.12552361313683999</v>
      </c>
      <c r="IR67" s="5">
        <v>0.11668579721085125</v>
      </c>
      <c r="JB67" s="3" t="s">
        <v>184</v>
      </c>
      <c r="JC67" s="5">
        <v>0.44571559685661793</v>
      </c>
      <c r="JD67" s="5">
        <v>0.42192419081827232</v>
      </c>
      <c r="JE67" s="4">
        <v>0.42143437469572259</v>
      </c>
      <c r="JF67" s="5">
        <v>0.39461236609014444</v>
      </c>
      <c r="JG67" s="5">
        <v>0.41161205486165409</v>
      </c>
      <c r="JH67" s="5">
        <v>0.42829394901416024</v>
      </c>
      <c r="JI67" s="5">
        <v>0.43301545425057603</v>
      </c>
      <c r="JJ67" s="5">
        <v>0.44445761259447475</v>
      </c>
      <c r="JK67" s="5">
        <v>0.46781548262760769</v>
      </c>
      <c r="JL67" s="5">
        <v>0.4655853342954277</v>
      </c>
      <c r="JM67" s="5">
        <v>0.43038104914765585</v>
      </c>
      <c r="JN67" s="4">
        <v>0.43373118053129972</v>
      </c>
      <c r="JO67" s="5">
        <v>0.42599140160510141</v>
      </c>
      <c r="JP67" s="5">
        <v>0.45460947909882043</v>
      </c>
      <c r="JQ67" s="5">
        <v>0.47506836558303744</v>
      </c>
      <c r="JR67" s="5">
        <v>0.48210726077495442</v>
      </c>
      <c r="JS67" s="5">
        <v>0.47749894805106069</v>
      </c>
      <c r="JT67" s="5">
        <v>0.46364586104497568</v>
      </c>
      <c r="JU67" s="5">
        <v>0.46311085772617039</v>
      </c>
      <c r="JV67" s="5">
        <v>0.44170089714156185</v>
      </c>
      <c r="JW67" s="4">
        <v>0.37135232448018962</v>
      </c>
      <c r="JX67" s="5">
        <v>0.34796238430337767</v>
      </c>
      <c r="JY67" s="5">
        <v>0.36989667076978799</v>
      </c>
      <c r="JZ67" s="5">
        <v>0.35095610484121409</v>
      </c>
      <c r="KA67" s="5">
        <v>0.36011217007102386</v>
      </c>
      <c r="KB67" s="5">
        <v>0.38699740592554666</v>
      </c>
      <c r="KC67" s="5">
        <v>0.4070200013377655</v>
      </c>
      <c r="KD67" s="5">
        <v>0.40189924871550586</v>
      </c>
      <c r="KE67" s="5">
        <v>0.38890156742878595</v>
      </c>
      <c r="KF67" s="4">
        <v>0.39842194908000533</v>
      </c>
      <c r="KG67" s="4">
        <v>0.26092755310576132</v>
      </c>
      <c r="KH67" s="5">
        <v>0.22363503536261936</v>
      </c>
      <c r="KI67" s="5">
        <v>0.21082529317044715</v>
      </c>
      <c r="KJ67" s="5">
        <v>0.21518178158126425</v>
      </c>
      <c r="KK67" s="5">
        <v>0.23277617443333681</v>
      </c>
      <c r="KL67" s="5">
        <v>0.26040525794180402</v>
      </c>
      <c r="KM67" s="5">
        <v>0.26494709745488365</v>
      </c>
      <c r="KN67" s="5">
        <v>0.24795658138129523</v>
      </c>
      <c r="KO67" s="5">
        <v>0.25812986192312232</v>
      </c>
      <c r="KP67" s="4">
        <v>0.2725213173321312</v>
      </c>
      <c r="KQ67" s="5">
        <v>0.43658446779308624</v>
      </c>
      <c r="KR67" s="4">
        <v>0.41584585031179055</v>
      </c>
      <c r="KS67" s="5">
        <v>0.41059172369056485</v>
      </c>
      <c r="KT67" s="5">
        <v>0.40141032779550179</v>
      </c>
      <c r="KU67" s="5">
        <v>0.42059287964755293</v>
      </c>
      <c r="KV67" s="5">
        <v>0.44344279361082023</v>
      </c>
      <c r="KW67" s="5">
        <v>0.43813229329713477</v>
      </c>
      <c r="KX67" s="5">
        <v>0.44858859586250621</v>
      </c>
      <c r="KY67" s="4">
        <v>0.48519167942615649</v>
      </c>
      <c r="KZ67" s="5">
        <v>0.4756565919821043</v>
      </c>
      <c r="LA67" s="5">
        <v>0.56618767752432897</v>
      </c>
      <c r="LB67" s="5">
        <v>0.56403407013701989</v>
      </c>
      <c r="LC67" s="4">
        <v>0.55781585688254243</v>
      </c>
      <c r="LD67" s="5">
        <v>0.53324188120352867</v>
      </c>
      <c r="LE67" s="5">
        <v>0.51634585247689979</v>
      </c>
      <c r="LF67" s="5">
        <v>0.50310103086922764</v>
      </c>
      <c r="LG67" s="5">
        <v>0.49270925531969789</v>
      </c>
      <c r="LH67" s="4">
        <v>0.50609156764645791</v>
      </c>
      <c r="LI67" s="5">
        <v>0.51391936798902849</v>
      </c>
      <c r="LJ67" s="5">
        <v>0.53405040902936574</v>
      </c>
      <c r="LL67" s="3" t="s">
        <v>207</v>
      </c>
      <c r="LM67" s="3" t="s">
        <v>160</v>
      </c>
      <c r="LN67" s="3" t="s">
        <v>161</v>
      </c>
      <c r="LO67" s="5">
        <v>0.69142964681278696</v>
      </c>
    </row>
    <row r="68" spans="2:327" x14ac:dyDescent="0.45">
      <c r="B68" s="6" t="s">
        <v>186</v>
      </c>
      <c r="C68" s="6" t="s">
        <v>151</v>
      </c>
      <c r="D68" s="8">
        <v>0.24991197108840768</v>
      </c>
      <c r="E68" s="8">
        <v>0.25996415060730155</v>
      </c>
      <c r="F68" s="8">
        <v>0.26717075765332965</v>
      </c>
      <c r="G68" s="8">
        <v>0.280803819850453</v>
      </c>
      <c r="H68" s="8">
        <v>0.30356851082027236</v>
      </c>
      <c r="I68" s="8">
        <v>0.29983695214665002</v>
      </c>
      <c r="J68" s="8">
        <v>0.30142867428497272</v>
      </c>
      <c r="K68" s="8">
        <v>0.28327443039241262</v>
      </c>
      <c r="L68" s="8">
        <v>0.27328999570615714</v>
      </c>
      <c r="M68" s="8">
        <v>0.26065484310505888</v>
      </c>
      <c r="N68" s="8">
        <v>0.28120156493975562</v>
      </c>
      <c r="O68" s="8">
        <v>0.27349584408298344</v>
      </c>
      <c r="P68" s="8">
        <v>0.28856008126067278</v>
      </c>
      <c r="Q68" s="8">
        <v>0.32687761601542975</v>
      </c>
      <c r="R68" s="8">
        <v>0.34508391108369207</v>
      </c>
      <c r="S68" s="8">
        <v>0.32187256433457384</v>
      </c>
      <c r="T68" s="8">
        <v>0.30009615002960682</v>
      </c>
      <c r="U68" s="8">
        <v>0.28069271686008473</v>
      </c>
      <c r="V68" s="8">
        <v>0.25686337748075844</v>
      </c>
      <c r="W68" s="8">
        <v>0.2650743978775415</v>
      </c>
      <c r="X68" s="8">
        <v>0.28022265588847867</v>
      </c>
      <c r="Y68" s="8">
        <v>0.3034921267249005</v>
      </c>
      <c r="Z68" s="8">
        <v>0.32828300091047602</v>
      </c>
      <c r="AA68" s="8">
        <v>0.33597925999599965</v>
      </c>
      <c r="AB68" s="8">
        <v>0.3508357415149424</v>
      </c>
      <c r="AC68" s="8">
        <v>0.33953593011544686</v>
      </c>
      <c r="AD68" s="8">
        <v>0.32693848204938675</v>
      </c>
      <c r="AE68" s="8">
        <v>0.32496784776499366</v>
      </c>
      <c r="AF68" s="8">
        <v>0.32541589551045325</v>
      </c>
      <c r="AG68" s="8">
        <v>0.30127033518459656</v>
      </c>
      <c r="AH68" s="8">
        <v>0.29485804667601934</v>
      </c>
      <c r="AI68" s="8">
        <v>0.32794295881323032</v>
      </c>
      <c r="AJ68" s="8">
        <v>0.37948117797140579</v>
      </c>
      <c r="AK68" s="8">
        <v>0.37952372097348697</v>
      </c>
      <c r="AL68" s="8">
        <v>0.36066762579434719</v>
      </c>
      <c r="AM68" s="8">
        <v>0.34467349987335644</v>
      </c>
      <c r="AN68" s="8">
        <v>0.31527122405575275</v>
      </c>
      <c r="AO68" s="8">
        <v>0.29329951952029953</v>
      </c>
      <c r="AP68" s="8">
        <v>0.26596576393571192</v>
      </c>
      <c r="AQ68" s="8">
        <v>0.26941512682471996</v>
      </c>
      <c r="AR68" s="8">
        <v>0.32309509107108048</v>
      </c>
      <c r="AS68" s="8">
        <v>0.35864305965396226</v>
      </c>
      <c r="AT68" s="8">
        <v>0.35723193731177844</v>
      </c>
      <c r="AU68" s="8">
        <v>0.36339770326544102</v>
      </c>
      <c r="AV68" s="8">
        <v>0.34868033138314297</v>
      </c>
      <c r="AW68" s="8">
        <v>0.33285654176554774</v>
      </c>
      <c r="AX68" s="8">
        <v>0.32016454554337831</v>
      </c>
      <c r="AY68" s="8">
        <v>0.29563203069688704</v>
      </c>
      <c r="AZ68" s="8">
        <v>0.27892007576351574</v>
      </c>
      <c r="BA68" s="8">
        <v>0.27672045651986898</v>
      </c>
      <c r="BB68" s="8">
        <v>0.25060259447081473</v>
      </c>
      <c r="BC68" s="8">
        <v>0.24230326726018475</v>
      </c>
      <c r="BD68" s="8">
        <v>0.2587471999877648</v>
      </c>
      <c r="BE68" s="8">
        <v>0.27032920971176511</v>
      </c>
      <c r="BF68" s="8">
        <v>0.293920169258368</v>
      </c>
      <c r="BG68" s="8">
        <v>0.29906071812642671</v>
      </c>
      <c r="BH68" s="8">
        <v>0.29057684118098465</v>
      </c>
      <c r="BI68" s="8">
        <v>0.25938439820022752</v>
      </c>
      <c r="BJ68" s="8">
        <v>0.25128663604961815</v>
      </c>
      <c r="BK68" s="8">
        <v>0.25583775259400138</v>
      </c>
      <c r="BM68" s="6" t="s">
        <v>186</v>
      </c>
      <c r="BN68" s="6" t="s">
        <v>152</v>
      </c>
      <c r="BO68" s="8">
        <v>7.124454763138977E-3</v>
      </c>
      <c r="BP68" s="8">
        <v>1.5878678809196155E-2</v>
      </c>
      <c r="BQ68" s="7">
        <v>2.0992734255478939E-2</v>
      </c>
      <c r="BR68" s="8">
        <v>2.9930592130943297E-2</v>
      </c>
      <c r="BS68" s="8">
        <v>2.6304610449415251E-2</v>
      </c>
      <c r="BT68" s="8">
        <v>1.3682359077564123E-2</v>
      </c>
      <c r="BU68" s="7">
        <v>9.0386870797413751E-3</v>
      </c>
      <c r="BV68" s="8">
        <v>1.939828034909442E-2</v>
      </c>
      <c r="BW68" s="7">
        <v>2.5750729808183735E-2</v>
      </c>
      <c r="BX68" s="8">
        <v>2.3698267743632269E-2</v>
      </c>
      <c r="BY68" s="7">
        <v>1.3716809306654521E-2</v>
      </c>
      <c r="BZ68" s="7">
        <v>7.5730008594407086E-3</v>
      </c>
      <c r="CA68" s="7">
        <v>1.9037126604067839E-2</v>
      </c>
      <c r="CB68" s="7">
        <v>2.1123105183169406E-2</v>
      </c>
      <c r="CC68" s="7">
        <v>2.8135254655964274E-2</v>
      </c>
      <c r="CD68" s="8">
        <v>1.5236762903218737E-2</v>
      </c>
      <c r="CE68" s="7">
        <v>3.0594342231006345E-3</v>
      </c>
      <c r="CF68" s="8">
        <v>7.7105678936343243E-3</v>
      </c>
      <c r="CG68" s="7">
        <v>1.2475157453981771E-2</v>
      </c>
      <c r="CH68" s="8">
        <v>1.8104827920979651E-2</v>
      </c>
      <c r="CI68" s="8">
        <v>1.9625527897211413E-2</v>
      </c>
      <c r="CJ68" s="7">
        <v>3.4576205212161859E-3</v>
      </c>
      <c r="CK68" s="8">
        <v>2.3347403267591615E-2</v>
      </c>
      <c r="CL68" s="7">
        <v>2.5828673786382542E-2</v>
      </c>
      <c r="CM68" s="8">
        <v>1.1412735256942461E-2</v>
      </c>
      <c r="CN68" s="8">
        <v>9.470012099008043E-3</v>
      </c>
      <c r="CO68" s="8">
        <v>6.5640880516054248E-3</v>
      </c>
      <c r="CP68" s="8">
        <v>7.2982226917026093E-3</v>
      </c>
      <c r="CQ68" s="8">
        <v>1.6012559168011344E-2</v>
      </c>
      <c r="CR68" s="8">
        <v>1.6581869621160917E-2</v>
      </c>
      <c r="CS68" s="8">
        <v>4.128065098499438E-2</v>
      </c>
      <c r="CT68" s="8">
        <v>1.4167056802923144E-2</v>
      </c>
      <c r="CU68" s="7">
        <v>4.1387471606740063E-2</v>
      </c>
      <c r="CV68" s="7">
        <v>4.4714972182210669E-2</v>
      </c>
      <c r="CW68" s="8">
        <v>4.5054019071522823E-2</v>
      </c>
      <c r="CX68" s="7">
        <v>2.8791951125742708E-2</v>
      </c>
      <c r="CY68" s="7">
        <v>2.5705831594322635E-2</v>
      </c>
      <c r="CZ68" s="7">
        <v>3.4871990415019795E-2</v>
      </c>
      <c r="DA68" s="7">
        <v>1.4560747220125432E-2</v>
      </c>
      <c r="DB68" s="8">
        <v>2.6525236408310195E-2</v>
      </c>
      <c r="DC68" s="8">
        <v>9.859487947873051E-3</v>
      </c>
      <c r="DD68" s="7">
        <v>1.997314433210489E-2</v>
      </c>
      <c r="DE68" s="7">
        <v>1.1137503054991425E-2</v>
      </c>
      <c r="DF68" s="8">
        <v>2.8779320829951178E-2</v>
      </c>
      <c r="DG68" s="8">
        <v>4.9131807333870382E-2</v>
      </c>
      <c r="DH68" s="7">
        <v>3.7573948713390634E-2</v>
      </c>
      <c r="DI68" s="7">
        <v>4.6389654921605425E-3</v>
      </c>
      <c r="DJ68" s="7">
        <v>2.013260455928648E-2</v>
      </c>
      <c r="DK68" s="7">
        <v>2.5733829422541904E-2</v>
      </c>
      <c r="DL68" s="8">
        <v>1.2943564151115597E-2</v>
      </c>
      <c r="DM68" s="8">
        <v>1.9901242919094814E-2</v>
      </c>
      <c r="DN68" s="8">
        <v>1.6541494024353887E-2</v>
      </c>
      <c r="DO68" s="8">
        <v>3.2182987245259045E-2</v>
      </c>
      <c r="DP68" s="8">
        <v>3.4034759330116723E-2</v>
      </c>
      <c r="DQ68" s="8">
        <v>2.6661950807501538E-2</v>
      </c>
      <c r="DR68" s="8">
        <v>4.0585452031595547E-2</v>
      </c>
      <c r="DS68" s="8">
        <v>3.1372382332201382E-2</v>
      </c>
      <c r="DT68" s="7">
        <v>5.317400473651048E-3</v>
      </c>
      <c r="DU68" s="8">
        <v>1.0153864924953626E-2</v>
      </c>
      <c r="DV68" s="8">
        <v>3.2496292909443406E-2</v>
      </c>
      <c r="DX68" s="6" t="s">
        <v>186</v>
      </c>
      <c r="DY68" s="6" t="s">
        <v>153</v>
      </c>
      <c r="DZ68" s="7">
        <v>3.4981595170824026E-2</v>
      </c>
      <c r="EA68" s="8">
        <v>6.2296061516240852E-3</v>
      </c>
      <c r="EB68" s="8">
        <v>1.4878196250357851E-2</v>
      </c>
      <c r="EC68" s="8">
        <v>2.1077630938090373E-2</v>
      </c>
      <c r="ED68" s="7">
        <v>3.5885684332238259E-2</v>
      </c>
      <c r="EE68" s="8">
        <v>3.5988337181347446E-2</v>
      </c>
      <c r="EF68" s="7">
        <v>4.182543125877887E-2</v>
      </c>
      <c r="EG68" s="8">
        <v>1.0323261710139458E-2</v>
      </c>
      <c r="EH68" s="8">
        <v>1.4903145618460057E-2</v>
      </c>
      <c r="EI68" s="8">
        <v>2.0642194697635702E-2</v>
      </c>
      <c r="EJ68" s="8">
        <v>1.6706385668467175E-2</v>
      </c>
      <c r="EK68" s="8">
        <v>2.0399495045656794E-2</v>
      </c>
      <c r="EL68" s="8">
        <v>2.1598374484333233E-2</v>
      </c>
      <c r="EM68" s="8">
        <v>1.284851334756287E-2</v>
      </c>
      <c r="EN68" s="8">
        <v>1.8285635759656166E-2</v>
      </c>
      <c r="EO68" s="7">
        <v>2.2064433340690623E-2</v>
      </c>
      <c r="EP68" s="7">
        <v>2.9356654753803148E-2</v>
      </c>
      <c r="EQ68" s="7">
        <v>2.7082873683150575E-2</v>
      </c>
      <c r="ER68" s="7">
        <v>1.1749030373882897E-2</v>
      </c>
      <c r="ES68" s="7">
        <v>1.1102438427270659E-2</v>
      </c>
      <c r="ET68" s="8">
        <v>1.3317321401118994E-2</v>
      </c>
      <c r="EU68" s="8">
        <v>3.3459483172774904E-2</v>
      </c>
      <c r="EV68" s="8">
        <v>1.5180208317084807E-2</v>
      </c>
      <c r="EW68" s="8">
        <v>1.2816560301612137E-2</v>
      </c>
      <c r="EX68" s="7">
        <v>1.8529458542387561E-2</v>
      </c>
      <c r="EY68" s="8">
        <v>2.097416358467917E-2</v>
      </c>
      <c r="EZ68" s="8">
        <v>1.8479924781910934E-2</v>
      </c>
      <c r="FA68" s="8">
        <v>1.295679209375542E-2</v>
      </c>
      <c r="FB68" s="8">
        <v>1.4063794544616865E-2</v>
      </c>
      <c r="FC68" s="8">
        <v>7.1427681522419594E-3</v>
      </c>
      <c r="FD68" s="8">
        <v>3.6236455235625784E-2</v>
      </c>
      <c r="FE68" s="8">
        <v>7.0378058645404723E-2</v>
      </c>
      <c r="FF68" s="8">
        <v>3.4789501914576582E-2</v>
      </c>
      <c r="FG68" s="8">
        <v>2.184952527613122E-2</v>
      </c>
      <c r="FH68" s="7">
        <v>2.1060265612061289E-2</v>
      </c>
      <c r="FI68" s="8">
        <v>5.4486870244960732E-2</v>
      </c>
      <c r="FJ68" s="8">
        <v>5.7750981977404803E-2</v>
      </c>
      <c r="FK68" s="8">
        <v>6.4883274535810082E-2</v>
      </c>
      <c r="FL68" s="8">
        <v>2.8063352375265992E-2</v>
      </c>
      <c r="FM68" s="7">
        <v>2.6390052398891636E-2</v>
      </c>
      <c r="FN68" s="8">
        <v>2.4504028520523809E-2</v>
      </c>
      <c r="FO68" s="8">
        <v>3.9133195381080826E-3</v>
      </c>
      <c r="FP68" s="7">
        <v>1.9856004961626705E-2</v>
      </c>
      <c r="FQ68" s="7">
        <v>2.4577138370632839E-2</v>
      </c>
      <c r="FR68" s="7">
        <v>2.3565733399899855E-2</v>
      </c>
      <c r="FS68" s="7">
        <v>2.3088622904144485E-2</v>
      </c>
      <c r="FT68" s="8">
        <v>4.9891815244235443E-2</v>
      </c>
      <c r="FU68" s="8">
        <v>4.0632724036507681E-2</v>
      </c>
      <c r="FV68" s="7">
        <v>2.0038105809492487E-2</v>
      </c>
      <c r="FW68" s="8">
        <v>2.8503052351643975E-2</v>
      </c>
      <c r="FX68" s="8">
        <v>2.0040005634273977E-2</v>
      </c>
      <c r="FY68" s="8">
        <v>2.5052430147427775E-2</v>
      </c>
      <c r="FZ68" s="8">
        <v>9.2913750753345868E-3</v>
      </c>
      <c r="GA68" s="8">
        <v>1.6094857609521694E-2</v>
      </c>
      <c r="GB68" s="8">
        <v>4.2299134845428646E-2</v>
      </c>
      <c r="GC68" s="8">
        <v>3.4227507582940839E-2</v>
      </c>
      <c r="GD68" s="8">
        <v>4.8575733459621677E-2</v>
      </c>
      <c r="GE68" s="8">
        <v>5.8988248884646328E-2</v>
      </c>
      <c r="GF68" s="8">
        <v>4.7181766661729727E-2</v>
      </c>
      <c r="GG68" s="8">
        <v>7.404346188661883E-3</v>
      </c>
      <c r="GI68" s="6" t="s">
        <v>186</v>
      </c>
      <c r="GJ68" s="6" t="s">
        <v>154</v>
      </c>
      <c r="GK68" s="8">
        <v>0.10415894045083614</v>
      </c>
      <c r="GL68" s="8">
        <v>0.1298069138331355</v>
      </c>
      <c r="GM68" s="8">
        <v>0.12044561634441592</v>
      </c>
      <c r="GN68" s="8">
        <v>0.10956464016409954</v>
      </c>
      <c r="GO68" s="8">
        <v>0.12274539438432043</v>
      </c>
      <c r="GP68" s="8">
        <v>0.13723729714399574</v>
      </c>
      <c r="GQ68" s="8">
        <v>0.12803264704382056</v>
      </c>
      <c r="GR68" s="8">
        <v>0.12775490127013639</v>
      </c>
      <c r="GS68" s="8">
        <v>0.11059043239796247</v>
      </c>
      <c r="GT68" s="8">
        <v>0.10468438474447997</v>
      </c>
      <c r="GU68" s="8">
        <v>0.13973127009723607</v>
      </c>
      <c r="GV68" s="8">
        <v>0.13407994708140616</v>
      </c>
      <c r="GW68" s="8">
        <v>0.13591324418724413</v>
      </c>
      <c r="GX68" s="8">
        <v>0.16141829470831451</v>
      </c>
      <c r="GY68" s="8">
        <v>0.16785792549422551</v>
      </c>
      <c r="GZ68" s="8">
        <v>0.1624168007178419</v>
      </c>
      <c r="HA68" s="7">
        <v>0.15030193527438598</v>
      </c>
      <c r="HB68" s="8">
        <v>0.1433922010936258</v>
      </c>
      <c r="HC68" s="8">
        <v>0.13433305056980574</v>
      </c>
      <c r="HD68" s="8">
        <v>0.13212814820818547</v>
      </c>
      <c r="HE68" s="8">
        <v>0.12500754001950168</v>
      </c>
      <c r="HF68" s="8">
        <v>0.14157526635942408</v>
      </c>
      <c r="HG68" s="8">
        <v>0.16069454829585891</v>
      </c>
      <c r="HH68" s="8">
        <v>0.17283219635063868</v>
      </c>
      <c r="HI68" s="8">
        <v>0.18834083730408188</v>
      </c>
      <c r="HJ68" s="8">
        <v>0.17680046878256547</v>
      </c>
      <c r="HK68" s="8">
        <v>0.17706284974627756</v>
      </c>
      <c r="HL68" s="7">
        <v>0.1808390531755589</v>
      </c>
      <c r="HM68" s="8">
        <v>0.17001573160788441</v>
      </c>
      <c r="HN68" s="8">
        <v>0.14966071277743404</v>
      </c>
      <c r="HO68" s="8">
        <v>0.11428376381555685</v>
      </c>
      <c r="HP68" s="8">
        <v>0.12010772068938327</v>
      </c>
      <c r="HQ68" s="8">
        <v>0.16029157514149464</v>
      </c>
      <c r="HR68" s="8">
        <v>0.17191496256555269</v>
      </c>
      <c r="HS68" s="8">
        <v>0.16287183762087065</v>
      </c>
      <c r="HT68" s="8">
        <v>0.12962798444138224</v>
      </c>
      <c r="HU68" s="8">
        <v>0.10790406716805424</v>
      </c>
      <c r="HV68" s="7">
        <v>9.196818002834857E-2</v>
      </c>
      <c r="HW68" s="8">
        <v>0.1327458109628705</v>
      </c>
      <c r="HX68" s="8">
        <v>0.11753440933969264</v>
      </c>
      <c r="HY68" s="8">
        <v>0.1669438976875719</v>
      </c>
      <c r="HZ68" s="8">
        <v>0.19445784869737961</v>
      </c>
      <c r="IA68" s="8">
        <v>0.18789575809546238</v>
      </c>
      <c r="IB68" s="8">
        <v>0.16678649765012096</v>
      </c>
      <c r="IC68" s="8">
        <v>0.15071044517478277</v>
      </c>
      <c r="ID68" s="8">
        <v>0.15211037147857784</v>
      </c>
      <c r="IE68" s="8">
        <v>0.13532867687336539</v>
      </c>
      <c r="IF68" s="8">
        <v>0.11724204759233317</v>
      </c>
      <c r="IG68" s="8">
        <v>0.12280727364895189</v>
      </c>
      <c r="IH68" s="8">
        <v>0.12834324586694504</v>
      </c>
      <c r="II68" s="8">
        <v>9.5679648115479993E-2</v>
      </c>
      <c r="IJ68" s="8">
        <v>8.8200412619944601E-2</v>
      </c>
      <c r="IK68" s="8">
        <v>0.10625050468544957</v>
      </c>
      <c r="IL68" s="8">
        <v>0.10217243987450587</v>
      </c>
      <c r="IM68" s="8">
        <v>0.10276910598245056</v>
      </c>
      <c r="IN68" s="8">
        <v>9.6193236518578334E-2</v>
      </c>
      <c r="IO68" s="8">
        <v>8.9371790324295639E-2</v>
      </c>
      <c r="IP68" s="8">
        <v>8.5470674367188609E-2</v>
      </c>
      <c r="IQ68" s="8">
        <v>8.3060502671619116E-2</v>
      </c>
      <c r="IR68" s="8">
        <v>0.10676206780390866</v>
      </c>
      <c r="JB68" s="6" t="s">
        <v>186</v>
      </c>
      <c r="JC68" s="8">
        <v>0.49606564613933146</v>
      </c>
      <c r="JD68" s="8">
        <v>0.46377615209639356</v>
      </c>
      <c r="JE68" s="7">
        <v>0.45646207646569631</v>
      </c>
      <c r="JF68" s="8">
        <v>0.43989565340218784</v>
      </c>
      <c r="JG68" s="8">
        <v>0.43837990361964496</v>
      </c>
      <c r="JH68" s="8">
        <v>0.4580538077714883</v>
      </c>
      <c r="JI68" s="8">
        <v>0.46261647685109114</v>
      </c>
      <c r="JJ68" s="8">
        <v>0.4788939535838847</v>
      </c>
      <c r="JK68" s="8">
        <v>0.50199885183203241</v>
      </c>
      <c r="JL68" s="8">
        <v>0.49797445616409802</v>
      </c>
      <c r="JM68" s="8">
        <v>0.46789239056165793</v>
      </c>
      <c r="JN68" s="7">
        <v>0.46074336174686981</v>
      </c>
      <c r="JO68" s="8">
        <v>0.46208780135962929</v>
      </c>
      <c r="JP68" s="8">
        <v>0.45442417876091129</v>
      </c>
      <c r="JQ68" s="8">
        <v>0.44419012533804125</v>
      </c>
      <c r="JR68" s="8">
        <v>0.46581089826861283</v>
      </c>
      <c r="JS68" s="8">
        <v>0.47535297247014835</v>
      </c>
      <c r="JT68" s="8">
        <v>0.46260413826874369</v>
      </c>
      <c r="JU68" s="8">
        <v>0.48443757027956735</v>
      </c>
      <c r="JV68" s="8">
        <v>0.48902354093861378</v>
      </c>
      <c r="JW68" s="7">
        <v>0.43697898870744084</v>
      </c>
      <c r="JX68" s="8">
        <v>0.40571571117997063</v>
      </c>
      <c r="JY68" s="8">
        <v>0.40923503860977434</v>
      </c>
      <c r="JZ68" s="8">
        <v>0.38528684254473083</v>
      </c>
      <c r="KA68" s="8">
        <v>0.38392893150425295</v>
      </c>
      <c r="KB68" s="8">
        <v>0.40229096255645386</v>
      </c>
      <c r="KC68" s="8">
        <v>0.41929921184601104</v>
      </c>
      <c r="KD68" s="8">
        <v>0.40988691276604861</v>
      </c>
      <c r="KE68" s="8">
        <v>0.41898820031270773</v>
      </c>
      <c r="KF68" s="7">
        <v>0.42681477474938101</v>
      </c>
      <c r="KG68" s="7">
        <v>0.2811553894001933</v>
      </c>
      <c r="KH68" s="8">
        <v>0.26339626203422933</v>
      </c>
      <c r="KI68" s="8">
        <v>0.24862225222315257</v>
      </c>
      <c r="KJ68" s="8">
        <v>0.23495298812184398</v>
      </c>
      <c r="KK68" s="8">
        <v>0.2545940163594223</v>
      </c>
      <c r="KL68" s="8">
        <v>0.28852829738888069</v>
      </c>
      <c r="KM68" s="8">
        <v>0.30680382026987896</v>
      </c>
      <c r="KN68" s="8">
        <v>0.29725770724895756</v>
      </c>
      <c r="KO68" s="8">
        <v>0.30256109975384932</v>
      </c>
      <c r="KP68" s="7">
        <v>0.30788759060786608</v>
      </c>
      <c r="KQ68" s="8">
        <v>0.43575828422802254</v>
      </c>
      <c r="KR68" s="7">
        <v>0.40998779630265775</v>
      </c>
      <c r="KS68" s="8">
        <v>0.40211863657716213</v>
      </c>
      <c r="KT68" s="8">
        <v>0.4048180226577221</v>
      </c>
      <c r="KU68" s="8">
        <v>0.41235954600903779</v>
      </c>
      <c r="KV68" s="8">
        <v>0.42265140328219086</v>
      </c>
      <c r="KW68" s="8">
        <v>0.43343470529570993</v>
      </c>
      <c r="KX68" s="8">
        <v>0.4527709266243653</v>
      </c>
      <c r="KY68" s="7">
        <v>0.47246306693228757</v>
      </c>
      <c r="KZ68" s="8">
        <v>0.47147832402753737</v>
      </c>
      <c r="LA68" s="8">
        <v>0.53069437554057819</v>
      </c>
      <c r="LB68" s="8">
        <v>0.54213642549890617</v>
      </c>
      <c r="LC68" s="7">
        <v>0.54366692787774051</v>
      </c>
      <c r="LD68" s="8">
        <v>0.52293521570078583</v>
      </c>
      <c r="LE68" s="8">
        <v>0.50838567508100285</v>
      </c>
      <c r="LF68" s="8">
        <v>0.52427564228297652</v>
      </c>
      <c r="LG68" s="8">
        <v>0.5186167330716176</v>
      </c>
      <c r="LH68" s="7">
        <v>0.52548866815856332</v>
      </c>
      <c r="LI68" s="8">
        <v>0.52634403804819119</v>
      </c>
      <c r="LJ68" s="8">
        <v>0.52143061698621995</v>
      </c>
      <c r="LL68" s="6" t="s">
        <v>209</v>
      </c>
      <c r="LM68" s="6" t="s">
        <v>160</v>
      </c>
      <c r="LN68" s="6" t="s">
        <v>161</v>
      </c>
      <c r="LO68" s="8">
        <v>0.70096336391596947</v>
      </c>
    </row>
    <row r="69" spans="2:327" x14ac:dyDescent="0.45">
      <c r="B69" s="3" t="s">
        <v>188</v>
      </c>
      <c r="C69" s="3" t="s">
        <v>151</v>
      </c>
      <c r="D69" s="5">
        <v>0.34965609960537952</v>
      </c>
      <c r="E69" s="5">
        <v>0.35402353455430968</v>
      </c>
      <c r="F69" s="5">
        <v>0.35385883035616988</v>
      </c>
      <c r="G69" s="5">
        <v>0.34531223239175396</v>
      </c>
      <c r="H69" s="5">
        <v>0.33884279206061596</v>
      </c>
      <c r="I69" s="5">
        <v>0.32089071442773132</v>
      </c>
      <c r="J69" s="5">
        <v>0.32752707874967874</v>
      </c>
      <c r="K69" s="5">
        <v>0.33860095357025272</v>
      </c>
      <c r="L69" s="5">
        <v>0.35776439958574235</v>
      </c>
      <c r="M69" s="5">
        <v>0.36049367382118247</v>
      </c>
      <c r="N69" s="5">
        <v>0.38730884580792058</v>
      </c>
      <c r="O69" s="5">
        <v>0.38359587140839346</v>
      </c>
      <c r="P69" s="5">
        <v>0.37713757958558985</v>
      </c>
      <c r="Q69" s="5">
        <v>0.34950319394559853</v>
      </c>
      <c r="R69" s="5">
        <v>0.33645340446500005</v>
      </c>
      <c r="S69" s="5">
        <v>0.32605171260795246</v>
      </c>
      <c r="T69" s="5">
        <v>0.33646233890713823</v>
      </c>
      <c r="U69" s="5">
        <v>0.36748046338915386</v>
      </c>
      <c r="V69" s="5">
        <v>0.36427419831928404</v>
      </c>
      <c r="W69" s="5">
        <v>0.37684202537109768</v>
      </c>
      <c r="X69" s="5">
        <v>0.42558734520633745</v>
      </c>
      <c r="Y69" s="5">
        <v>0.42317720339515136</v>
      </c>
      <c r="Z69" s="5">
        <v>0.43700642374504972</v>
      </c>
      <c r="AA69" s="5">
        <v>0.40333758834017008</v>
      </c>
      <c r="AB69" s="5">
        <v>0.39408083616973627</v>
      </c>
      <c r="AC69" s="5">
        <v>0.37381010318430485</v>
      </c>
      <c r="AD69" s="5">
        <v>0.36115936579069868</v>
      </c>
      <c r="AE69" s="5">
        <v>0.35935343591740448</v>
      </c>
      <c r="AF69" s="5">
        <v>0.38991058328023848</v>
      </c>
      <c r="AG69" s="5">
        <v>0.42868212972102449</v>
      </c>
      <c r="AH69" s="5">
        <v>0.37682441083313734</v>
      </c>
      <c r="AI69" s="5">
        <v>0.39805231828821763</v>
      </c>
      <c r="AJ69" s="5">
        <v>0.43704091021854652</v>
      </c>
      <c r="AK69" s="5">
        <v>0.44334140817198747</v>
      </c>
      <c r="AL69" s="5">
        <v>0.42292001863461559</v>
      </c>
      <c r="AM69" s="5">
        <v>0.40707363113489814</v>
      </c>
      <c r="AN69" s="5">
        <v>0.37541473299509465</v>
      </c>
      <c r="AO69" s="5">
        <v>0.35726683705212414</v>
      </c>
      <c r="AP69" s="5">
        <v>0.34317580336347647</v>
      </c>
      <c r="AQ69" s="5">
        <v>0.35010656869176632</v>
      </c>
      <c r="AR69" s="5">
        <v>0.32562116144144349</v>
      </c>
      <c r="AS69" s="5">
        <v>0.34019014323244529</v>
      </c>
      <c r="AT69" s="5">
        <v>0.33293549098749009</v>
      </c>
      <c r="AU69" s="5">
        <v>0.32578706610447306</v>
      </c>
      <c r="AV69" s="5">
        <v>0.31151475485669688</v>
      </c>
      <c r="AW69" s="5">
        <v>0.3024467631214246</v>
      </c>
      <c r="AX69" s="5">
        <v>0.32481986898243359</v>
      </c>
      <c r="AY69" s="5">
        <v>0.32395377502537909</v>
      </c>
      <c r="AZ69" s="5">
        <v>0.31442569466415837</v>
      </c>
      <c r="BA69" s="5">
        <v>0.32378403427570729</v>
      </c>
      <c r="BB69" s="5">
        <v>0.2141634347295244</v>
      </c>
      <c r="BC69" s="5">
        <v>0.2080631081979995</v>
      </c>
      <c r="BD69" s="5">
        <v>0.2146738795587686</v>
      </c>
      <c r="BE69" s="5">
        <v>0.22783885845331756</v>
      </c>
      <c r="BF69" s="5">
        <v>0.2406405876662118</v>
      </c>
      <c r="BG69" s="5">
        <v>0.2499952513711024</v>
      </c>
      <c r="BH69" s="5">
        <v>0.24413952983410628</v>
      </c>
      <c r="BI69" s="5">
        <v>0.23364919545684296</v>
      </c>
      <c r="BJ69" s="5">
        <v>0.23018911408006074</v>
      </c>
      <c r="BK69" s="5">
        <v>0.22277582180971511</v>
      </c>
      <c r="BM69" s="3" t="s">
        <v>188</v>
      </c>
      <c r="BN69" s="3" t="s">
        <v>152</v>
      </c>
      <c r="BO69" s="5">
        <v>2.1408179525243192E-2</v>
      </c>
      <c r="BP69" s="5">
        <v>1.8409730514170091E-2</v>
      </c>
      <c r="BQ69" s="4">
        <v>1.4066974361842005E-2</v>
      </c>
      <c r="BR69" s="5">
        <v>2.2478892537417756E-2</v>
      </c>
      <c r="BS69" s="5">
        <v>1.507499210027634E-2</v>
      </c>
      <c r="BT69" s="5">
        <v>2.3642758441668132E-2</v>
      </c>
      <c r="BU69" s="4">
        <v>2.4906983975245846E-2</v>
      </c>
      <c r="BV69" s="5">
        <v>1.6203075757429488E-2</v>
      </c>
      <c r="BW69" s="4">
        <v>2.6917834926840644E-2</v>
      </c>
      <c r="BX69" s="5">
        <v>2.0609891197909267E-2</v>
      </c>
      <c r="BY69" s="4">
        <v>2.3983085783614612E-2</v>
      </c>
      <c r="BZ69" s="4">
        <v>3.0543662259332944E-3</v>
      </c>
      <c r="CA69" s="4">
        <v>0</v>
      </c>
      <c r="CB69" s="4">
        <v>4.9216595278873329E-3</v>
      </c>
      <c r="CC69" s="4">
        <v>2.6725886359046509E-2</v>
      </c>
      <c r="CD69" s="5">
        <v>2.4487544679505178E-2</v>
      </c>
      <c r="CE69" s="4">
        <v>1.6522948263789628E-2</v>
      </c>
      <c r="CF69" s="5">
        <v>2.6066137446728938E-2</v>
      </c>
      <c r="CG69" s="4">
        <v>1.9829582747627517E-2</v>
      </c>
      <c r="CH69" s="5">
        <v>1.3748552784167053E-2</v>
      </c>
      <c r="CI69" s="5">
        <v>2.4329456649476864E-2</v>
      </c>
      <c r="CJ69" s="4">
        <v>2.3720329674738385E-2</v>
      </c>
      <c r="CK69" s="5">
        <v>3.0350519613916604E-2</v>
      </c>
      <c r="CL69" s="4">
        <v>3.5172629681584307E-2</v>
      </c>
      <c r="CM69" s="5">
        <v>3.6367521029514037E-2</v>
      </c>
      <c r="CN69" s="5">
        <v>6.9590213179901633E-2</v>
      </c>
      <c r="CO69" s="5">
        <v>3.4588192832003699E-2</v>
      </c>
      <c r="CP69" s="5">
        <v>2.5082598525169243E-2</v>
      </c>
      <c r="CQ69" s="5">
        <v>3.5170094658514867E-2</v>
      </c>
      <c r="CR69" s="5">
        <v>4.9764373022157783E-2</v>
      </c>
      <c r="CS69" s="5">
        <v>4.0220291599131472E-2</v>
      </c>
      <c r="CT69" s="5">
        <v>2.00375549942691E-2</v>
      </c>
      <c r="CU69" s="4">
        <v>2.7380068645593537E-2</v>
      </c>
      <c r="CV69" s="4">
        <v>6.4795002210476876E-2</v>
      </c>
      <c r="CW69" s="5">
        <v>6.4430887951561308E-2</v>
      </c>
      <c r="CX69" s="4">
        <v>3.5821642467351263E-3</v>
      </c>
      <c r="CY69" s="4">
        <v>2.3016085997545894E-3</v>
      </c>
      <c r="CZ69" s="4">
        <v>6.4751046757643115E-3</v>
      </c>
      <c r="DA69" s="4">
        <v>5.1354113363021705E-3</v>
      </c>
      <c r="DB69" s="5">
        <v>3.2358915483287676E-2</v>
      </c>
      <c r="DC69" s="5">
        <v>2.732739012907762E-2</v>
      </c>
      <c r="DD69" s="4">
        <v>2.6407116300170605E-2</v>
      </c>
      <c r="DE69" s="4">
        <v>2.8121127598048787E-2</v>
      </c>
      <c r="DF69" s="5">
        <v>2.0569587619529907E-2</v>
      </c>
      <c r="DG69" s="5">
        <v>1.1421157920407848E-2</v>
      </c>
      <c r="DH69" s="4">
        <v>2.8240449374616033E-2</v>
      </c>
      <c r="DI69" s="4">
        <v>4.4673186677625973E-2</v>
      </c>
      <c r="DJ69" s="4">
        <v>1.9380046112239209E-2</v>
      </c>
      <c r="DK69" s="4">
        <v>1.6053342721399761E-2</v>
      </c>
      <c r="DL69" s="5">
        <v>2.6653082577273425E-2</v>
      </c>
      <c r="DM69" s="5">
        <v>2.0268029614771546E-2</v>
      </c>
      <c r="DN69" s="5">
        <v>1.3644192976168514E-2</v>
      </c>
      <c r="DO69" s="5">
        <v>6.7059948494827279E-3</v>
      </c>
      <c r="DP69" s="5">
        <v>1.710427324462719E-2</v>
      </c>
      <c r="DQ69" s="5">
        <v>3.9047699404797104E-2</v>
      </c>
      <c r="DR69" s="5">
        <v>3.3979896617872478E-2</v>
      </c>
      <c r="DS69" s="5">
        <v>2.0564730878059656E-2</v>
      </c>
      <c r="DT69" s="4">
        <v>9.6331298854395279E-3</v>
      </c>
      <c r="DU69" s="5">
        <v>7.1267251319621291E-3</v>
      </c>
      <c r="DV69" s="5">
        <v>1.8731559068724576E-2</v>
      </c>
      <c r="DX69" s="3" t="s">
        <v>188</v>
      </c>
      <c r="DY69" s="3" t="s">
        <v>153</v>
      </c>
      <c r="DZ69" s="4">
        <v>2.342298342489324E-2</v>
      </c>
      <c r="EA69" s="5">
        <v>3.6852008368183302E-2</v>
      </c>
      <c r="EB69" s="5">
        <v>4.2955753653699309E-2</v>
      </c>
      <c r="EC69" s="5">
        <v>3.3756473930221347E-2</v>
      </c>
      <c r="ED69" s="4">
        <v>1.5632454406875839E-2</v>
      </c>
      <c r="EE69" s="5">
        <v>9.3067427488647894E-3</v>
      </c>
      <c r="EF69" s="4">
        <v>1.6638347522971979E-2</v>
      </c>
      <c r="EG69" s="5">
        <v>2.3398364466591964E-2</v>
      </c>
      <c r="EH69" s="5">
        <v>2.5904345128597277E-2</v>
      </c>
      <c r="EI69" s="5">
        <v>2.7691284698972644E-2</v>
      </c>
      <c r="EJ69" s="5">
        <v>2.3943652131526664E-2</v>
      </c>
      <c r="EK69" s="5">
        <v>2.2258723369087265E-2</v>
      </c>
      <c r="EL69" s="5">
        <v>2.3850009440986489E-2</v>
      </c>
      <c r="EM69" s="5">
        <v>1.1371644582141684E-2</v>
      </c>
      <c r="EN69" s="5">
        <v>0</v>
      </c>
      <c r="EO69" s="4">
        <v>0</v>
      </c>
      <c r="EP69" s="4">
        <v>1.6356020366034684E-2</v>
      </c>
      <c r="EQ69" s="4">
        <v>3.1448648655873067E-2</v>
      </c>
      <c r="ER69" s="4">
        <v>4.6822731053269159E-2</v>
      </c>
      <c r="ES69" s="4">
        <v>6.2734624858793608E-2</v>
      </c>
      <c r="ET69" s="5">
        <v>6.0420037130288796E-2</v>
      </c>
      <c r="EU69" s="5">
        <v>6.1625076802334269E-2</v>
      </c>
      <c r="EV69" s="5">
        <v>1.0088075953153602E-3</v>
      </c>
      <c r="EW69" s="5">
        <v>1.4874894458446883E-2</v>
      </c>
      <c r="EX69" s="4">
        <v>4.3732343970345332E-2</v>
      </c>
      <c r="EY69" s="5">
        <v>4.2908729747466082E-2</v>
      </c>
      <c r="EZ69" s="5">
        <v>6.7467631967192826E-2</v>
      </c>
      <c r="FA69" s="5">
        <v>8.1596622305452282E-2</v>
      </c>
      <c r="FB69" s="5">
        <v>9.1967065139236887E-2</v>
      </c>
      <c r="FC69" s="5">
        <v>3.6265969213951296E-2</v>
      </c>
      <c r="FD69" s="5">
        <v>5.1172004313707477E-2</v>
      </c>
      <c r="FE69" s="5">
        <v>9.0160961793639249E-2</v>
      </c>
      <c r="FF69" s="5">
        <v>4.9169202845812159E-2</v>
      </c>
      <c r="FG69" s="5">
        <v>0</v>
      </c>
      <c r="FH69" s="4">
        <v>2.6236296425661457E-2</v>
      </c>
      <c r="FI69" s="5">
        <v>0.10042306619157429</v>
      </c>
      <c r="FJ69" s="5">
        <v>9.0613173969052982E-2</v>
      </c>
      <c r="FK69" s="5">
        <v>1.7326826417764538E-2</v>
      </c>
      <c r="FL69" s="5">
        <v>0</v>
      </c>
      <c r="FM69" s="4">
        <v>2.2637708151272539E-3</v>
      </c>
      <c r="FN69" s="5">
        <v>3.2868379154918803E-2</v>
      </c>
      <c r="FO69" s="5">
        <v>3.2214553370346441E-2</v>
      </c>
      <c r="FP69" s="4">
        <v>5.2151308741881647E-2</v>
      </c>
      <c r="FQ69" s="4">
        <v>5.0928590057046509E-2</v>
      </c>
      <c r="FR69" s="4">
        <v>3.4917231502388166E-2</v>
      </c>
      <c r="FS69" s="4">
        <v>1.497423283417444E-2</v>
      </c>
      <c r="FT69" s="5">
        <v>1.1255976878432834E-2</v>
      </c>
      <c r="FU69" s="5">
        <v>3.7363068568223884E-2</v>
      </c>
      <c r="FV69" s="4">
        <v>3.7407956581090529E-2</v>
      </c>
      <c r="FW69" s="5">
        <v>7.9730812768406822E-3</v>
      </c>
      <c r="FX69" s="5">
        <v>1.5264521474270421E-2</v>
      </c>
      <c r="FY69" s="5">
        <v>2.5982147503733725E-2</v>
      </c>
      <c r="FZ69" s="5">
        <v>2.4133337844016965E-2</v>
      </c>
      <c r="GA69" s="5">
        <v>2.3344832208495672E-2</v>
      </c>
      <c r="GB69" s="5">
        <v>1.1229776193005829E-2</v>
      </c>
      <c r="GC69" s="5">
        <v>1.3364782840478632E-2</v>
      </c>
      <c r="GD69" s="5">
        <v>2.023146552852818E-2</v>
      </c>
      <c r="GE69" s="5">
        <v>2.9685196369848784E-2</v>
      </c>
      <c r="GF69" s="5">
        <v>3.0731397110900366E-2</v>
      </c>
      <c r="GG69" s="5">
        <v>1.3139110682739878E-2</v>
      </c>
      <c r="GI69" s="3" t="s">
        <v>188</v>
      </c>
      <c r="GJ69" s="3" t="s">
        <v>154</v>
      </c>
      <c r="GK69" s="5">
        <v>0.16998235543397208</v>
      </c>
      <c r="GL69" s="5">
        <v>0.16891090657661625</v>
      </c>
      <c r="GM69" s="5">
        <v>0.1630205786118876</v>
      </c>
      <c r="GN69" s="5">
        <v>0.15784497115647944</v>
      </c>
      <c r="GO69" s="5">
        <v>0.17801584751859567</v>
      </c>
      <c r="GP69" s="5">
        <v>0.16178499228238366</v>
      </c>
      <c r="GQ69" s="5">
        <v>0.16761424260774258</v>
      </c>
      <c r="GR69" s="5">
        <v>0.17744990375089184</v>
      </c>
      <c r="GS69" s="5">
        <v>0.16758126151749786</v>
      </c>
      <c r="GT69" s="5">
        <v>0.17063693918334075</v>
      </c>
      <c r="GU69" s="5">
        <v>0.1908828280796499</v>
      </c>
      <c r="GV69" s="5">
        <v>0.21300880339666942</v>
      </c>
      <c r="GW69" s="5">
        <v>0.21419334143891455</v>
      </c>
      <c r="GX69" s="5">
        <v>0.20848720070353646</v>
      </c>
      <c r="GY69" s="5">
        <v>0.18666547685252399</v>
      </c>
      <c r="GZ69" s="5">
        <v>0.18541006443759442</v>
      </c>
      <c r="HA69" s="4">
        <v>0.16956886420110615</v>
      </c>
      <c r="HB69" s="5">
        <v>0.1669721297191635</v>
      </c>
      <c r="HC69" s="5">
        <v>0.16029482552678792</v>
      </c>
      <c r="HD69" s="5">
        <v>0.15058288299641287</v>
      </c>
      <c r="HE69" s="5">
        <v>0.19758005960862052</v>
      </c>
      <c r="HF69" s="5">
        <v>0.18765274788026187</v>
      </c>
      <c r="HG69" s="5">
        <v>0.25413617424512341</v>
      </c>
      <c r="HH69" s="5">
        <v>0.21265828669051376</v>
      </c>
      <c r="HI69" s="5">
        <v>0.18212580899333758</v>
      </c>
      <c r="HJ69" s="5">
        <v>0.14756627085278293</v>
      </c>
      <c r="HK69" s="5">
        <v>0.14219777439667763</v>
      </c>
      <c r="HL69" s="4">
        <v>0.1360936354406827</v>
      </c>
      <c r="HM69" s="5">
        <v>0.13358908713782555</v>
      </c>
      <c r="HN69" s="5">
        <v>0.20486019677412359</v>
      </c>
      <c r="HO69" s="5">
        <v>0.15780421038311682</v>
      </c>
      <c r="HP69" s="5">
        <v>0.15517072219269459</v>
      </c>
      <c r="HQ69" s="5">
        <v>0.22192343995537336</v>
      </c>
      <c r="HR69" s="5">
        <v>0.24624449706881796</v>
      </c>
      <c r="HS69" s="5">
        <v>0.20536469772577415</v>
      </c>
      <c r="HT69" s="5">
        <v>0.19055263175497011</v>
      </c>
      <c r="HU69" s="5">
        <v>0.16936955111062868</v>
      </c>
      <c r="HV69" s="4">
        <v>0.23374849048050414</v>
      </c>
      <c r="HW69" s="5">
        <v>0.23938818303033807</v>
      </c>
      <c r="HX69" s="5">
        <v>0.19869128640828018</v>
      </c>
      <c r="HY69" s="5">
        <v>0.13816101830827007</v>
      </c>
      <c r="HZ69" s="5">
        <v>0.14534458589320398</v>
      </c>
      <c r="IA69" s="5">
        <v>0.12873863524319198</v>
      </c>
      <c r="IB69" s="5">
        <v>0.13209255527355554</v>
      </c>
      <c r="IC69" s="5">
        <v>0.14245808763596537</v>
      </c>
      <c r="ID69" s="5">
        <v>0.12675487361279533</v>
      </c>
      <c r="IE69" s="5">
        <v>0.13986462954530815</v>
      </c>
      <c r="IF69" s="5">
        <v>0.13040400308537736</v>
      </c>
      <c r="IG69" s="5">
        <v>0.12686287355025486</v>
      </c>
      <c r="IH69" s="5">
        <v>0.15166176391630976</v>
      </c>
      <c r="II69" s="5">
        <v>7.2412604803676311E-2</v>
      </c>
      <c r="IJ69" s="5">
        <v>7.3484994831783362E-2</v>
      </c>
      <c r="IK69" s="5">
        <v>8.360252894832744E-2</v>
      </c>
      <c r="IL69" s="5">
        <v>7.5229390683145894E-2</v>
      </c>
      <c r="IM69" s="5">
        <v>7.8473050353505699E-2</v>
      </c>
      <c r="IN69" s="5">
        <v>7.9981030538407494E-2</v>
      </c>
      <c r="IO69" s="5">
        <v>8.156540920793455E-2</v>
      </c>
      <c r="IP69" s="5">
        <v>8.6613841084506399E-2</v>
      </c>
      <c r="IQ69" s="5">
        <v>8.5035440708592522E-2</v>
      </c>
      <c r="IR69" s="5">
        <v>8.2488925279526004E-2</v>
      </c>
      <c r="JB69" s="3" t="s">
        <v>188</v>
      </c>
      <c r="JC69" s="5">
        <v>0.41388851273093019</v>
      </c>
      <c r="JD69" s="5">
        <v>0.41521629341739225</v>
      </c>
      <c r="JE69" s="4">
        <v>0.41711730145073855</v>
      </c>
      <c r="JF69" s="5">
        <v>0.40363017398207285</v>
      </c>
      <c r="JG69" s="5">
        <v>0.39661670953063244</v>
      </c>
      <c r="JH69" s="5">
        <v>0.40845562544787839</v>
      </c>
      <c r="JI69" s="5">
        <v>0.39518611759976607</v>
      </c>
      <c r="JJ69" s="5">
        <v>0.3940370633842758</v>
      </c>
      <c r="JK69" s="5">
        <v>0.41058936605533564</v>
      </c>
      <c r="JL69" s="5">
        <v>0.4150895643631341</v>
      </c>
      <c r="JM69" s="5">
        <v>0.35371814581287464</v>
      </c>
      <c r="JN69" s="4">
        <v>0.34977952870611995</v>
      </c>
      <c r="JO69" s="5">
        <v>0.35909982548161873</v>
      </c>
      <c r="JP69" s="5">
        <v>0.39007262757391536</v>
      </c>
      <c r="JQ69" s="5">
        <v>0.41200999771010621</v>
      </c>
      <c r="JR69" s="5">
        <v>0.39987504759669878</v>
      </c>
      <c r="JS69" s="5">
        <v>0.39346088317704198</v>
      </c>
      <c r="JT69" s="5">
        <v>0.36412201312106734</v>
      </c>
      <c r="JU69" s="5">
        <v>0.35214056686971079</v>
      </c>
      <c r="JV69" s="5">
        <v>0.36361471122175243</v>
      </c>
      <c r="JW69" s="4">
        <v>0.27144667180034715</v>
      </c>
      <c r="JX69" s="5">
        <v>0.25463126255312962</v>
      </c>
      <c r="JY69" s="5">
        <v>0.26805622424647313</v>
      </c>
      <c r="JZ69" s="5">
        <v>0.27234049312527803</v>
      </c>
      <c r="KA69" s="5">
        <v>0.28008109395964448</v>
      </c>
      <c r="KB69" s="5">
        <v>0.29993362824171171</v>
      </c>
      <c r="KC69" s="5">
        <v>0.31453199830568596</v>
      </c>
      <c r="KD69" s="5">
        <v>0.29871560029175653</v>
      </c>
      <c r="KE69" s="5">
        <v>0.27180455787181917</v>
      </c>
      <c r="KF69" s="4">
        <v>0.26077807948867349</v>
      </c>
      <c r="KG69" s="4">
        <v>0.16282019995741051</v>
      </c>
      <c r="KH69" s="5">
        <v>0.15467019874638363</v>
      </c>
      <c r="KI69" s="5">
        <v>0.17139743556036421</v>
      </c>
      <c r="KJ69" s="5">
        <v>0.20829407926723412</v>
      </c>
      <c r="KK69" s="5">
        <v>0.22903017862569744</v>
      </c>
      <c r="KL69" s="5">
        <v>0.24769789253624031</v>
      </c>
      <c r="KM69" s="5">
        <v>0.25110685540909761</v>
      </c>
      <c r="KN69" s="5">
        <v>0.21957706598325882</v>
      </c>
      <c r="KO69" s="5">
        <v>0.19308450863114957</v>
      </c>
      <c r="KP69" s="4">
        <v>0.17500417665171053</v>
      </c>
      <c r="KQ69" s="5">
        <v>0.37690028933778791</v>
      </c>
      <c r="KR69" s="4">
        <v>0.3622645723096245</v>
      </c>
      <c r="KS69" s="5">
        <v>0.35567739696209727</v>
      </c>
      <c r="KT69" s="5">
        <v>0.38262229278927629</v>
      </c>
      <c r="KU69" s="5">
        <v>0.42152192001922056</v>
      </c>
      <c r="KV69" s="5">
        <v>0.42554254843642308</v>
      </c>
      <c r="KW69" s="5">
        <v>0.41729362653268198</v>
      </c>
      <c r="KX69" s="5">
        <v>0.39975136029371444</v>
      </c>
      <c r="KY69" s="4">
        <v>0.39105726879156127</v>
      </c>
      <c r="KZ69" s="5">
        <v>0.38744057551758654</v>
      </c>
      <c r="LA69" s="5">
        <v>0.62019029527055414</v>
      </c>
      <c r="LB69" s="5">
        <v>0.60220021649389688</v>
      </c>
      <c r="LC69" s="4">
        <v>0.58488098205283212</v>
      </c>
      <c r="LD69" s="5">
        <v>0.57345369066885721</v>
      </c>
      <c r="LE69" s="5">
        <v>0.57025661384123638</v>
      </c>
      <c r="LF69" s="5">
        <v>0.58487350876979416</v>
      </c>
      <c r="LG69" s="5">
        <v>0.58617757067665588</v>
      </c>
      <c r="LH69" s="4">
        <v>0.57816478081054934</v>
      </c>
      <c r="LI69" s="5">
        <v>0.58908910272401727</v>
      </c>
      <c r="LJ69" s="5">
        <v>0.59719392352170209</v>
      </c>
      <c r="LL69" s="3" t="s">
        <v>211</v>
      </c>
      <c r="LM69" s="3" t="s">
        <v>160</v>
      </c>
      <c r="LN69" s="3" t="s">
        <v>161</v>
      </c>
      <c r="LO69" s="5">
        <v>0.65548672601884872</v>
      </c>
    </row>
    <row r="70" spans="2:327" x14ac:dyDescent="0.45">
      <c r="B70" s="6" t="s">
        <v>190</v>
      </c>
      <c r="C70" s="6" t="s">
        <v>151</v>
      </c>
      <c r="D70" s="8">
        <v>0.27191127568671686</v>
      </c>
      <c r="E70" s="8">
        <v>0.27353299898787398</v>
      </c>
      <c r="F70" s="8">
        <v>0.2622241872351091</v>
      </c>
      <c r="G70" s="8">
        <v>0.25653873926311638</v>
      </c>
      <c r="H70" s="8">
        <v>0.25650304580727651</v>
      </c>
      <c r="I70" s="8">
        <v>0.26598333166478488</v>
      </c>
      <c r="J70" s="8">
        <v>0.28002193347198517</v>
      </c>
      <c r="K70" s="8">
        <v>0.27548872378821909</v>
      </c>
      <c r="L70" s="8">
        <v>0.27028025182394783</v>
      </c>
      <c r="M70" s="8">
        <v>0.27036386847099714</v>
      </c>
      <c r="N70" s="8">
        <v>0.34282629100123563</v>
      </c>
      <c r="O70" s="8">
        <v>0.35055665950054654</v>
      </c>
      <c r="P70" s="8">
        <v>0.36481157119680008</v>
      </c>
      <c r="Q70" s="8">
        <v>0.3612157299214559</v>
      </c>
      <c r="R70" s="8">
        <v>0.3386993743737961</v>
      </c>
      <c r="S70" s="8">
        <v>0.32174181029509719</v>
      </c>
      <c r="T70" s="8">
        <v>0.30847038223323098</v>
      </c>
      <c r="U70" s="8">
        <v>0.29972823629094819</v>
      </c>
      <c r="V70" s="8">
        <v>0.29710042738802456</v>
      </c>
      <c r="W70" s="8">
        <v>0.3061000644188005</v>
      </c>
      <c r="X70" s="8">
        <v>0.3313094597563141</v>
      </c>
      <c r="Y70" s="8">
        <v>0.31880642161819123</v>
      </c>
      <c r="Z70" s="8">
        <v>0.33178955432210866</v>
      </c>
      <c r="AA70" s="8">
        <v>0.33586761034561252</v>
      </c>
      <c r="AB70" s="8">
        <v>0.34709268645729185</v>
      </c>
      <c r="AC70" s="8">
        <v>0.34414925262572349</v>
      </c>
      <c r="AD70" s="8">
        <v>0.32008102453832443</v>
      </c>
      <c r="AE70" s="8">
        <v>0.30438060663632194</v>
      </c>
      <c r="AF70" s="8">
        <v>0.30480027859903769</v>
      </c>
      <c r="AG70" s="8">
        <v>0.32291663420002364</v>
      </c>
      <c r="AH70" s="8">
        <v>0.30541855449629968</v>
      </c>
      <c r="AI70" s="8">
        <v>0.31306841284480647</v>
      </c>
      <c r="AJ70" s="8">
        <v>0.33548713708067796</v>
      </c>
      <c r="AK70" s="8">
        <v>0.3460605743952328</v>
      </c>
      <c r="AL70" s="8">
        <v>0.33864366660294415</v>
      </c>
      <c r="AM70" s="8">
        <v>0.32407580557924598</v>
      </c>
      <c r="AN70" s="8">
        <v>0.30847944753038969</v>
      </c>
      <c r="AO70" s="8">
        <v>0.30945763173608432</v>
      </c>
      <c r="AP70" s="8">
        <v>0.31029282313926027</v>
      </c>
      <c r="AQ70" s="8">
        <v>0.30356769376611431</v>
      </c>
      <c r="AR70" s="8">
        <v>0.29978429453939259</v>
      </c>
      <c r="AS70" s="8">
        <v>0.30725166541148491</v>
      </c>
      <c r="AT70" s="8">
        <v>0.29686306465446211</v>
      </c>
      <c r="AU70" s="8">
        <v>0.27918327897536516</v>
      </c>
      <c r="AV70" s="8">
        <v>0.26732488185345465</v>
      </c>
      <c r="AW70" s="8">
        <v>0.26602641346723804</v>
      </c>
      <c r="AX70" s="8">
        <v>0.2737175598185852</v>
      </c>
      <c r="AY70" s="8">
        <v>0.26707261085715178</v>
      </c>
      <c r="AZ70" s="8">
        <v>0.26984751915746019</v>
      </c>
      <c r="BA70" s="8">
        <v>0.27497395802891439</v>
      </c>
      <c r="BB70" s="8">
        <v>0.14004713027239329</v>
      </c>
      <c r="BC70" s="8">
        <v>0.1546479139573976</v>
      </c>
      <c r="BD70" s="8">
        <v>0.16123944212227662</v>
      </c>
      <c r="BE70" s="8">
        <v>0.18237883566709445</v>
      </c>
      <c r="BF70" s="8">
        <v>0.19612539643361662</v>
      </c>
      <c r="BG70" s="8">
        <v>0.19363879198023415</v>
      </c>
      <c r="BH70" s="8">
        <v>0.19280876993222965</v>
      </c>
      <c r="BI70" s="8">
        <v>0.17896933658654129</v>
      </c>
      <c r="BJ70" s="8">
        <v>0.15772022910529626</v>
      </c>
      <c r="BK70" s="8">
        <v>0.13756103677280906</v>
      </c>
      <c r="BM70" s="6" t="s">
        <v>190</v>
      </c>
      <c r="BN70" s="6" t="s">
        <v>152</v>
      </c>
      <c r="BO70" s="8">
        <v>1.9091155801043615E-2</v>
      </c>
      <c r="BP70" s="8">
        <v>1.1798548186290555E-2</v>
      </c>
      <c r="BQ70" s="7">
        <v>1.0659082874091615E-2</v>
      </c>
      <c r="BR70" s="8">
        <v>1.9181411847460177E-2</v>
      </c>
      <c r="BS70" s="8">
        <v>2.439835526322533E-2</v>
      </c>
      <c r="BT70" s="8">
        <v>1.2872406740336574E-2</v>
      </c>
      <c r="BU70" s="7">
        <v>1.9015528814686763E-2</v>
      </c>
      <c r="BV70" s="8">
        <v>2.4609787536885096E-2</v>
      </c>
      <c r="BW70" s="7">
        <v>2.1559259198544647E-2</v>
      </c>
      <c r="BX70" s="8">
        <v>1.3018241217399428E-2</v>
      </c>
      <c r="BY70" s="7">
        <v>1.4473899664152442E-2</v>
      </c>
      <c r="BZ70" s="7">
        <v>9.6998382659175143E-3</v>
      </c>
      <c r="CA70" s="7">
        <v>1.4452108503298245E-2</v>
      </c>
      <c r="CB70" s="7">
        <v>2.1316182918964005E-2</v>
      </c>
      <c r="CC70" s="7">
        <v>1.0082346808703532E-2</v>
      </c>
      <c r="CD70" s="8">
        <v>1.6269181510172519E-2</v>
      </c>
      <c r="CE70" s="7">
        <v>1.8128905119310555E-2</v>
      </c>
      <c r="CF70" s="8">
        <v>1.758424943290102E-2</v>
      </c>
      <c r="CG70" s="7">
        <v>2.2198255240639397E-2</v>
      </c>
      <c r="CH70" s="8">
        <v>6.342683267252105E-3</v>
      </c>
      <c r="CI70" s="8">
        <v>1.0386599394120058E-2</v>
      </c>
      <c r="CJ70" s="7">
        <v>1.4131210703431677E-2</v>
      </c>
      <c r="CK70" s="8">
        <v>1.419229896765239E-2</v>
      </c>
      <c r="CL70" s="7">
        <v>1.129397207070084E-2</v>
      </c>
      <c r="CM70" s="8">
        <v>2.6006137829042923E-2</v>
      </c>
      <c r="CN70" s="8">
        <v>2.5141346645541334E-2</v>
      </c>
      <c r="CO70" s="8">
        <v>1.8063956977156036E-2</v>
      </c>
      <c r="CP70" s="8">
        <v>1.1506824406663273E-2</v>
      </c>
      <c r="CQ70" s="8">
        <v>1.070324656510516E-2</v>
      </c>
      <c r="CR70" s="8">
        <v>1.4011696625410479E-2</v>
      </c>
      <c r="CS70" s="8">
        <v>9.5719911461747166E-3</v>
      </c>
      <c r="CT70" s="8">
        <v>2.1371397741485658E-2</v>
      </c>
      <c r="CU70" s="7">
        <v>3.1579241683147234E-2</v>
      </c>
      <c r="CV70" s="7">
        <v>1.3807029513269627E-2</v>
      </c>
      <c r="CW70" s="8">
        <v>2.0491179528964896E-3</v>
      </c>
      <c r="CX70" s="7">
        <v>9.0060247599333988E-3</v>
      </c>
      <c r="CY70" s="7">
        <v>4.5844473196175193E-3</v>
      </c>
      <c r="CZ70" s="7">
        <v>4.151591442670328E-3</v>
      </c>
      <c r="DA70" s="7">
        <v>1.4601219457087972E-2</v>
      </c>
      <c r="DB70" s="8">
        <v>7.2437696646139174E-3</v>
      </c>
      <c r="DC70" s="8">
        <v>1.2261065755271493E-2</v>
      </c>
      <c r="DD70" s="7">
        <v>3.272729631315606E-4</v>
      </c>
      <c r="DE70" s="7">
        <v>7.2752030491951888E-3</v>
      </c>
      <c r="DF70" s="8">
        <v>2.2102850422960108E-2</v>
      </c>
      <c r="DG70" s="8">
        <v>2.5922440537235334E-2</v>
      </c>
      <c r="DH70" s="7">
        <v>2.425232695066263E-2</v>
      </c>
      <c r="DI70" s="7">
        <v>1.2271708292865153E-2</v>
      </c>
      <c r="DJ70" s="7">
        <v>5.8391659427453916E-3</v>
      </c>
      <c r="DK70" s="7">
        <v>1.7863964581679128E-2</v>
      </c>
      <c r="DL70" s="8">
        <v>3.1033419132581258E-2</v>
      </c>
      <c r="DM70" s="8">
        <v>1.1209812511964774E-2</v>
      </c>
      <c r="DN70" s="8">
        <v>1.4826501514314664E-2</v>
      </c>
      <c r="DO70" s="8">
        <v>1.1846737951370907E-2</v>
      </c>
      <c r="DP70" s="8">
        <v>9.5664977734600844E-3</v>
      </c>
      <c r="DQ70" s="8">
        <v>9.8706447185532373E-3</v>
      </c>
      <c r="DR70" s="8">
        <v>1.055209184907206E-2</v>
      </c>
      <c r="DS70" s="8">
        <v>8.2131087850421686E-3</v>
      </c>
      <c r="DT70" s="7">
        <v>8.8963911419116994E-3</v>
      </c>
      <c r="DU70" s="8">
        <v>6.3631480754845543E-3</v>
      </c>
      <c r="DV70" s="8">
        <v>5.1953269899366831E-3</v>
      </c>
      <c r="DX70" s="6" t="s">
        <v>190</v>
      </c>
      <c r="DY70" s="6" t="s">
        <v>153</v>
      </c>
      <c r="DZ70" s="7">
        <v>1.0809343471871371E-2</v>
      </c>
      <c r="EA70" s="8">
        <v>2.5556132877121794E-2</v>
      </c>
      <c r="EB70" s="8">
        <v>1.9240466062769364E-2</v>
      </c>
      <c r="EC70" s="8">
        <v>1.6808281091375697E-2</v>
      </c>
      <c r="ED70" s="7">
        <v>1.6559563483643361E-2</v>
      </c>
      <c r="EE70" s="8">
        <v>3.2887534347673761E-2</v>
      </c>
      <c r="EF70" s="7">
        <v>3.1062383011830702E-2</v>
      </c>
      <c r="EG70" s="8">
        <v>1.7251318779174653E-2</v>
      </c>
      <c r="EH70" s="8">
        <v>2.1133412882142981E-2</v>
      </c>
      <c r="EI70" s="8">
        <v>2.0541553245767695E-2</v>
      </c>
      <c r="EJ70" s="8">
        <v>1.760472936696893E-2</v>
      </c>
      <c r="EK70" s="8">
        <v>2.1855101935930803E-2</v>
      </c>
      <c r="EL70" s="8">
        <v>2.4134567141934682E-2</v>
      </c>
      <c r="EM70" s="8">
        <v>1.5262304779354139E-2</v>
      </c>
      <c r="EN70" s="8">
        <v>1.5758283841655389E-2</v>
      </c>
      <c r="EO70" s="7">
        <v>1.691382584978459E-2</v>
      </c>
      <c r="EP70" s="7">
        <v>1.3309948194578475E-2</v>
      </c>
      <c r="EQ70" s="7">
        <v>1.3505085520403895E-2</v>
      </c>
      <c r="ER70" s="7">
        <v>2.2356652070559098E-2</v>
      </c>
      <c r="ES70" s="7">
        <v>4.090710175380697E-2</v>
      </c>
      <c r="ET70" s="8">
        <v>2.7135763528160932E-2</v>
      </c>
      <c r="EU70" s="8">
        <v>2.1642324519111855E-2</v>
      </c>
      <c r="EV70" s="8">
        <v>2.1185004798138722E-2</v>
      </c>
      <c r="EW70" s="8">
        <v>2.1249183680952296E-2</v>
      </c>
      <c r="EX70" s="7">
        <v>2.9431783137283857E-2</v>
      </c>
      <c r="EY70" s="8">
        <v>1.5809978876462127E-2</v>
      </c>
      <c r="EZ70" s="8">
        <v>2.1951464183616404E-2</v>
      </c>
      <c r="FA70" s="8">
        <v>3.5887733771371215E-2</v>
      </c>
      <c r="FB70" s="8">
        <v>2.5933006737645505E-2</v>
      </c>
      <c r="FC70" s="8">
        <v>1.5936166961200499E-2</v>
      </c>
      <c r="FD70" s="8">
        <v>6.5259022243282306E-3</v>
      </c>
      <c r="FE70" s="8">
        <v>7.8251647688983208E-3</v>
      </c>
      <c r="FF70" s="8">
        <v>1.4950124488520731E-2</v>
      </c>
      <c r="FG70" s="8">
        <v>3.3431839730474401E-2</v>
      </c>
      <c r="FH70" s="7">
        <v>4.8470910259135039E-2</v>
      </c>
      <c r="FI70" s="8">
        <v>2.5016688844373799E-2</v>
      </c>
      <c r="FJ70" s="8">
        <v>1.3906299909640838E-3</v>
      </c>
      <c r="FK70" s="8">
        <v>6.2172007971804596E-3</v>
      </c>
      <c r="FL70" s="8">
        <v>1.2977666227421069E-2</v>
      </c>
      <c r="FM70" s="7">
        <v>1.9148653985210845E-2</v>
      </c>
      <c r="FN70" s="8">
        <v>3.6396203478871333E-2</v>
      </c>
      <c r="FO70" s="8">
        <v>2.3787016589599648E-2</v>
      </c>
      <c r="FP70" s="7">
        <v>2.0138214636150804E-2</v>
      </c>
      <c r="FQ70" s="7">
        <v>1.4640004782277285E-3</v>
      </c>
      <c r="FR70" s="7">
        <v>1.0889348462720676E-2</v>
      </c>
      <c r="FS70" s="7">
        <v>2.4912775013108943E-2</v>
      </c>
      <c r="FT70" s="8">
        <v>4.2683011963705039E-2</v>
      </c>
      <c r="FU70" s="8">
        <v>3.0977034478555626E-2</v>
      </c>
      <c r="FV70" s="7">
        <v>2.1092266493256011E-2</v>
      </c>
      <c r="FW70" s="8">
        <v>6.9340211492034771E-3</v>
      </c>
      <c r="FX70" s="8">
        <v>6.6490521577191528E-3</v>
      </c>
      <c r="FY70" s="8">
        <v>1.2059926730517151E-2</v>
      </c>
      <c r="FZ70" s="8">
        <v>1.3872654560866865E-2</v>
      </c>
      <c r="GA70" s="8">
        <v>2.4961109990495826E-2</v>
      </c>
      <c r="GB70" s="8">
        <v>2.2443151359516016E-2</v>
      </c>
      <c r="GC70" s="8">
        <v>1.5741162021512545E-2</v>
      </c>
      <c r="GD70" s="8">
        <v>5.9772834224281254E-3</v>
      </c>
      <c r="GE70" s="8">
        <v>9.6189595309106365E-3</v>
      </c>
      <c r="GF70" s="8">
        <v>8.3411951917546617E-3</v>
      </c>
      <c r="GG70" s="8">
        <v>8.3561588533672577E-3</v>
      </c>
      <c r="GI70" s="6" t="s">
        <v>190</v>
      </c>
      <c r="GJ70" s="6" t="s">
        <v>154</v>
      </c>
      <c r="GK70" s="8">
        <v>0.1241355545426384</v>
      </c>
      <c r="GL70" s="8">
        <v>0.1208281811126779</v>
      </c>
      <c r="GM70" s="8">
        <v>0.11289885428188645</v>
      </c>
      <c r="GN70" s="8">
        <v>0.11029100728592701</v>
      </c>
      <c r="GO70" s="8">
        <v>0.11582585744934937</v>
      </c>
      <c r="GP70" s="8">
        <v>0.11587972053757767</v>
      </c>
      <c r="GQ70" s="8">
        <v>0.11643360271788135</v>
      </c>
      <c r="GR70" s="8">
        <v>0.11225383287861913</v>
      </c>
      <c r="GS70" s="8">
        <v>0.11214798039268976</v>
      </c>
      <c r="GT70" s="8">
        <v>0.12383454335582605</v>
      </c>
      <c r="GU70" s="8">
        <v>0.17465702306155578</v>
      </c>
      <c r="GV70" s="8">
        <v>0.18678307303755354</v>
      </c>
      <c r="GW70" s="8">
        <v>0.18620130297793652</v>
      </c>
      <c r="GX70" s="8">
        <v>0.17862583569726168</v>
      </c>
      <c r="GY70" s="8">
        <v>0.16832776694912979</v>
      </c>
      <c r="GZ70" s="8">
        <v>0.14903744528927909</v>
      </c>
      <c r="HA70" s="7">
        <v>0.13714141409011474</v>
      </c>
      <c r="HB70" s="8">
        <v>0.13597799791156154</v>
      </c>
      <c r="HC70" s="8">
        <v>0.12894070709290745</v>
      </c>
      <c r="HD70" s="8">
        <v>0.13562781488177975</v>
      </c>
      <c r="HE70" s="8">
        <v>0.17391908316465993</v>
      </c>
      <c r="HF70" s="8">
        <v>0.17144479555212819</v>
      </c>
      <c r="HG70" s="8">
        <v>0.18412482279064774</v>
      </c>
      <c r="HH70" s="8">
        <v>0.19042112215489185</v>
      </c>
      <c r="HI70" s="8">
        <v>0.16900348864853174</v>
      </c>
      <c r="HJ70" s="8">
        <v>0.17559861289618978</v>
      </c>
      <c r="HK70" s="8">
        <v>0.16353180769013373</v>
      </c>
      <c r="HL70" s="7">
        <v>0.15016811318303314</v>
      </c>
      <c r="HM70" s="8">
        <v>0.15617196076393677</v>
      </c>
      <c r="HN70" s="8">
        <v>0.1787475732482818</v>
      </c>
      <c r="HO70" s="8">
        <v>0.19068250210197632</v>
      </c>
      <c r="HP70" s="8">
        <v>0.16867175406722273</v>
      </c>
      <c r="HQ70" s="8">
        <v>0.16145179973449197</v>
      </c>
      <c r="HR70" s="8">
        <v>0.1672942372397456</v>
      </c>
      <c r="HS70" s="8">
        <v>0.16621296958893469</v>
      </c>
      <c r="HT70" s="8">
        <v>0.17679341805076113</v>
      </c>
      <c r="HU70" s="8">
        <v>0.20065374138174119</v>
      </c>
      <c r="HV70" s="7">
        <v>0.19701926186691956</v>
      </c>
      <c r="HW70" s="8">
        <v>0.18916170073721303</v>
      </c>
      <c r="HX70" s="8">
        <v>0.19202516301597752</v>
      </c>
      <c r="HY70" s="8">
        <v>0.12610269048019643</v>
      </c>
      <c r="HZ70" s="8">
        <v>0.15733569487886831</v>
      </c>
      <c r="IA70" s="8">
        <v>0.14346315382025557</v>
      </c>
      <c r="IB70" s="8">
        <v>0.12806005697938955</v>
      </c>
      <c r="IC70" s="8">
        <v>0.1088197766626606</v>
      </c>
      <c r="ID70" s="8">
        <v>0.10209947795587679</v>
      </c>
      <c r="IE70" s="8">
        <v>0.10870525672453689</v>
      </c>
      <c r="IF70" s="8">
        <v>0.11718994135506158</v>
      </c>
      <c r="IG70" s="8">
        <v>0.1071556294343611</v>
      </c>
      <c r="IH70" s="8">
        <v>0.11288213177604475</v>
      </c>
      <c r="II70" s="8">
        <v>3.9981694576677759E-2</v>
      </c>
      <c r="IJ70" s="8">
        <v>4.6793919934770702E-2</v>
      </c>
      <c r="IK70" s="8">
        <v>5.1847988703021312E-2</v>
      </c>
      <c r="IL70" s="8">
        <v>5.2706458878245308E-2</v>
      </c>
      <c r="IM70" s="8">
        <v>5.9706659163319513E-2</v>
      </c>
      <c r="IN70" s="8">
        <v>6.3224325268411596E-2</v>
      </c>
      <c r="IO70" s="8">
        <v>6.9521555519990008E-2</v>
      </c>
      <c r="IP70" s="8">
        <v>6.7766078608163929E-2</v>
      </c>
      <c r="IQ70" s="8">
        <v>6.1282840633009684E-2</v>
      </c>
      <c r="IR70" s="8">
        <v>4.4091931323981294E-2</v>
      </c>
      <c r="JB70" s="6" t="s">
        <v>190</v>
      </c>
      <c r="JC70" s="8">
        <v>0.5196736644551273</v>
      </c>
      <c r="JD70" s="8">
        <v>0.51301395692679985</v>
      </c>
      <c r="JE70" s="7">
        <v>0.52769391182625125</v>
      </c>
      <c r="JF70" s="8">
        <v>0.52256336589889374</v>
      </c>
      <c r="JG70" s="8">
        <v>0.50838086202546473</v>
      </c>
      <c r="JH70" s="8">
        <v>0.5044150490514655</v>
      </c>
      <c r="JI70" s="8">
        <v>0.49960939286911166</v>
      </c>
      <c r="JJ70" s="8">
        <v>0.5128791077639262</v>
      </c>
      <c r="JK70" s="8">
        <v>0.52165611633345799</v>
      </c>
      <c r="JL70" s="8">
        <v>0.52149019138097608</v>
      </c>
      <c r="JM70" s="8">
        <v>0.44356166835289562</v>
      </c>
      <c r="JN70" s="7">
        <v>0.41884141902678684</v>
      </c>
      <c r="JO70" s="8">
        <v>0.42077137302807377</v>
      </c>
      <c r="JP70" s="8">
        <v>0.45080698230517496</v>
      </c>
      <c r="JQ70" s="8">
        <v>0.47556810895760815</v>
      </c>
      <c r="JR70" s="8">
        <v>0.49557685811524643</v>
      </c>
      <c r="JS70" s="8">
        <v>0.50477830449181693</v>
      </c>
      <c r="JT70" s="8">
        <v>0.49944104181905424</v>
      </c>
      <c r="JU70" s="8">
        <v>0.50248881966862402</v>
      </c>
      <c r="JV70" s="8">
        <v>0.49497423861471312</v>
      </c>
      <c r="JW70" s="7">
        <v>0.35078278335587215</v>
      </c>
      <c r="JX70" s="8">
        <v>0.34262081201884809</v>
      </c>
      <c r="JY70" s="8">
        <v>0.35218738213786377</v>
      </c>
      <c r="JZ70" s="8">
        <v>0.36208803890046115</v>
      </c>
      <c r="KA70" s="8">
        <v>0.37540545883948634</v>
      </c>
      <c r="KB70" s="8">
        <v>0.38926919676607108</v>
      </c>
      <c r="KC70" s="8">
        <v>0.39787873637844434</v>
      </c>
      <c r="KD70" s="8">
        <v>0.39184819018777606</v>
      </c>
      <c r="KE70" s="8">
        <v>0.37928300057181985</v>
      </c>
      <c r="KF70" s="7">
        <v>0.35464661642988454</v>
      </c>
      <c r="KG70" s="7">
        <v>0.35221717951595988</v>
      </c>
      <c r="KH70" s="8">
        <v>0.35889855466665554</v>
      </c>
      <c r="KI70" s="8">
        <v>0.37673764922217606</v>
      </c>
      <c r="KJ70" s="8">
        <v>0.39491509093140131</v>
      </c>
      <c r="KK70" s="8">
        <v>0.4074071049243923</v>
      </c>
      <c r="KL70" s="8">
        <v>0.41040594692333809</v>
      </c>
      <c r="KM70" s="8">
        <v>0.39766666004399365</v>
      </c>
      <c r="KN70" s="8">
        <v>0.37537887260731589</v>
      </c>
      <c r="KO70" s="8">
        <v>0.35055098495938386</v>
      </c>
      <c r="KP70" s="7">
        <v>0.34059755818308701</v>
      </c>
      <c r="KQ70" s="8">
        <v>0.45016778908705446</v>
      </c>
      <c r="KR70" s="7">
        <v>0.4428377506327445</v>
      </c>
      <c r="KS70" s="8">
        <v>0.45705807575021812</v>
      </c>
      <c r="KT70" s="8">
        <v>0.48292574155582457</v>
      </c>
      <c r="KU70" s="8">
        <v>0.50784707441565036</v>
      </c>
      <c r="KV70" s="8">
        <v>0.49925069851421505</v>
      </c>
      <c r="KW70" s="8">
        <v>0.48620476550753045</v>
      </c>
      <c r="KX70" s="8">
        <v>0.48229962988421521</v>
      </c>
      <c r="KY70" s="7">
        <v>0.4898768831328062</v>
      </c>
      <c r="KZ70" s="8">
        <v>0.48593676080777665</v>
      </c>
      <c r="LA70" s="8">
        <v>0.74627186109474386</v>
      </c>
      <c r="LB70" s="8">
        <v>0.71576616740511967</v>
      </c>
      <c r="LC70" s="7">
        <v>0.69606482413052917</v>
      </c>
      <c r="LD70" s="8">
        <v>0.67290226362131222</v>
      </c>
      <c r="LE70" s="8">
        <v>0.65961859953901281</v>
      </c>
      <c r="LF70" s="8">
        <v>0.67729743012709542</v>
      </c>
      <c r="LG70" s="8">
        <v>0.68873501596108344</v>
      </c>
      <c r="LH70" s="7">
        <v>0.69300501083886656</v>
      </c>
      <c r="LI70" s="8">
        <v>0.71639517717652834</v>
      </c>
      <c r="LJ70" s="8">
        <v>0.73363387632306554</v>
      </c>
      <c r="LL70" s="6" t="s">
        <v>213</v>
      </c>
      <c r="LM70" s="6" t="s">
        <v>160</v>
      </c>
      <c r="LN70" s="6" t="s">
        <v>161</v>
      </c>
      <c r="LO70" s="8">
        <v>0.68084690013661286</v>
      </c>
    </row>
    <row r="71" spans="2:327" x14ac:dyDescent="0.45">
      <c r="B71" s="3" t="s">
        <v>192</v>
      </c>
      <c r="C71" s="3" t="s">
        <v>151</v>
      </c>
      <c r="D71" s="5">
        <v>0.19741797712746656</v>
      </c>
      <c r="E71" s="5">
        <v>0.20180947688123924</v>
      </c>
      <c r="F71" s="5">
        <v>0.20461669412219591</v>
      </c>
      <c r="G71" s="5">
        <v>0.21071405256582279</v>
      </c>
      <c r="H71" s="5">
        <v>0.22117707412483192</v>
      </c>
      <c r="I71" s="5">
        <v>0.23451926840816051</v>
      </c>
      <c r="J71" s="5">
        <v>0.24056455409630265</v>
      </c>
      <c r="K71" s="5">
        <v>0.22720559071811058</v>
      </c>
      <c r="L71" s="5">
        <v>0.20070456683778032</v>
      </c>
      <c r="M71" s="5">
        <v>0.20522546313208814</v>
      </c>
      <c r="N71" s="5">
        <v>0.23634448898882096</v>
      </c>
      <c r="O71" s="5">
        <v>0.24919927420323956</v>
      </c>
      <c r="P71" s="5">
        <v>0.24400786084542572</v>
      </c>
      <c r="Q71" s="5">
        <v>0.24092318754523862</v>
      </c>
      <c r="R71" s="5">
        <v>0.24930236019235472</v>
      </c>
      <c r="S71" s="5">
        <v>0.25717239976260758</v>
      </c>
      <c r="T71" s="5">
        <v>0.26835785027337478</v>
      </c>
      <c r="U71" s="5">
        <v>0.26891208094323465</v>
      </c>
      <c r="V71" s="5">
        <v>0.25131975632620324</v>
      </c>
      <c r="W71" s="5">
        <v>0.22563607052051643</v>
      </c>
      <c r="X71" s="5">
        <v>0.34955305637210982</v>
      </c>
      <c r="Y71" s="5">
        <v>0.34832482282982202</v>
      </c>
      <c r="Z71" s="5">
        <v>0.34267179281598753</v>
      </c>
      <c r="AA71" s="5">
        <v>0.32835497245112844</v>
      </c>
      <c r="AB71" s="5">
        <v>0.32837979735763095</v>
      </c>
      <c r="AC71" s="5">
        <v>0.31421060885086544</v>
      </c>
      <c r="AD71" s="5">
        <v>0.29806279049281093</v>
      </c>
      <c r="AE71" s="5">
        <v>0.29458767494435478</v>
      </c>
      <c r="AF71" s="5">
        <v>0.30190840981401995</v>
      </c>
      <c r="AG71" s="5">
        <v>0.31750180046597265</v>
      </c>
      <c r="AH71" s="5">
        <v>0.34205900716775661</v>
      </c>
      <c r="AI71" s="5">
        <v>0.35950442332687388</v>
      </c>
      <c r="AJ71" s="5">
        <v>0.37034356988986794</v>
      </c>
      <c r="AK71" s="5">
        <v>0.38587536422106922</v>
      </c>
      <c r="AL71" s="5">
        <v>0.37417364769894257</v>
      </c>
      <c r="AM71" s="5">
        <v>0.35423435358189137</v>
      </c>
      <c r="AN71" s="5">
        <v>0.33343445811557454</v>
      </c>
      <c r="AO71" s="5">
        <v>0.33130697253358854</v>
      </c>
      <c r="AP71" s="5">
        <v>0.3265105186962064</v>
      </c>
      <c r="AQ71" s="5">
        <v>0.31066482397586587</v>
      </c>
      <c r="AR71" s="5">
        <v>0.22267716965882164</v>
      </c>
      <c r="AS71" s="5">
        <v>0.24563200796315166</v>
      </c>
      <c r="AT71" s="5">
        <v>0.24830123904346255</v>
      </c>
      <c r="AU71" s="5">
        <v>0.24553567290380734</v>
      </c>
      <c r="AV71" s="5">
        <v>0.24970840796664345</v>
      </c>
      <c r="AW71" s="5">
        <v>0.24546303703770567</v>
      </c>
      <c r="AX71" s="5">
        <v>0.23772623218392305</v>
      </c>
      <c r="AY71" s="5">
        <v>0.21861043152947598</v>
      </c>
      <c r="AZ71" s="5">
        <v>0.20283573783894407</v>
      </c>
      <c r="BA71" s="5">
        <v>0.19756949772627927</v>
      </c>
      <c r="BB71" s="5">
        <v>0.1838735991875409</v>
      </c>
      <c r="BC71" s="5">
        <v>0.1693769201903034</v>
      </c>
      <c r="BD71" s="5">
        <v>0.16620208276931839</v>
      </c>
      <c r="BE71" s="5">
        <v>0.17294553569771062</v>
      </c>
      <c r="BF71" s="5">
        <v>0.1920378435427092</v>
      </c>
      <c r="BG71" s="5">
        <v>0.20100963144303405</v>
      </c>
      <c r="BH71" s="5">
        <v>0.2054943770531035</v>
      </c>
      <c r="BI71" s="5">
        <v>0.19886352482473965</v>
      </c>
      <c r="BJ71" s="5">
        <v>0.18919478768462078</v>
      </c>
      <c r="BK71" s="5">
        <v>0.18921522617432374</v>
      </c>
      <c r="BM71" s="3" t="s">
        <v>192</v>
      </c>
      <c r="BN71" s="3" t="s">
        <v>152</v>
      </c>
      <c r="BO71" s="5">
        <v>1.4155992468398748E-2</v>
      </c>
      <c r="BP71" s="5">
        <v>5.2957073372991428E-3</v>
      </c>
      <c r="BQ71" s="4">
        <v>1.4150393243947559E-2</v>
      </c>
      <c r="BR71" s="5">
        <v>1.9903893735120488E-2</v>
      </c>
      <c r="BS71" s="5">
        <v>1.5069705029599869E-2</v>
      </c>
      <c r="BT71" s="5">
        <v>1.0889772730426591E-2</v>
      </c>
      <c r="BU71" s="4">
        <v>1.4298929145035565E-2</v>
      </c>
      <c r="BV71" s="5">
        <v>1.0833013527411485E-2</v>
      </c>
      <c r="BW71" s="4">
        <v>5.3968824019590758E-3</v>
      </c>
      <c r="BX71" s="5">
        <v>1.108549754997331E-2</v>
      </c>
      <c r="BY71" s="4">
        <v>8.5167348000845175E-3</v>
      </c>
      <c r="BZ71" s="4">
        <v>1.1240125538490428E-2</v>
      </c>
      <c r="CA71" s="4">
        <v>1.986892725525766E-2</v>
      </c>
      <c r="CB71" s="4">
        <v>1.8568838467712668E-2</v>
      </c>
      <c r="CC71" s="4">
        <v>8.9172315787673113E-3</v>
      </c>
      <c r="CD71" s="5">
        <v>8.8168102237116911E-3</v>
      </c>
      <c r="CE71" s="4">
        <v>5.3051446890854921E-3</v>
      </c>
      <c r="CF71" s="5">
        <v>4.5077174793097773E-3</v>
      </c>
      <c r="CG71" s="4">
        <v>1.8684314554811238E-3</v>
      </c>
      <c r="CH71" s="5">
        <v>3.9382041134026448E-3</v>
      </c>
      <c r="CI71" s="5">
        <v>1.7219973775398634E-2</v>
      </c>
      <c r="CJ71" s="4">
        <v>1.916407849067445E-2</v>
      </c>
      <c r="CK71" s="5">
        <v>1.5281236983735435E-2</v>
      </c>
      <c r="CL71" s="4">
        <v>1.2472648258897967E-2</v>
      </c>
      <c r="CM71" s="5">
        <v>3.1226491381365105E-2</v>
      </c>
      <c r="CN71" s="5">
        <v>3.3177690157348651E-2</v>
      </c>
      <c r="CO71" s="5">
        <v>3.0150823730959359E-2</v>
      </c>
      <c r="CP71" s="5">
        <v>1.2684889173143756E-2</v>
      </c>
      <c r="CQ71" s="5">
        <v>1.292778973866403E-2</v>
      </c>
      <c r="CR71" s="5">
        <v>2.9405484977572317E-2</v>
      </c>
      <c r="CS71" s="5">
        <v>2.4529007034341375E-2</v>
      </c>
      <c r="CT71" s="5">
        <v>3.0428000053551191E-2</v>
      </c>
      <c r="CU71" s="4">
        <v>2.1326991385630135E-2</v>
      </c>
      <c r="CV71" s="4">
        <v>1.4030399047925531E-2</v>
      </c>
      <c r="CW71" s="5">
        <v>1.1750691590360695E-2</v>
      </c>
      <c r="CX71" s="4">
        <v>1.1628788721101417E-2</v>
      </c>
      <c r="CY71" s="4">
        <v>2.711194643096838E-2</v>
      </c>
      <c r="CZ71" s="4">
        <v>4.2008262431669628E-2</v>
      </c>
      <c r="DA71" s="4">
        <v>2.1363220157086211E-2</v>
      </c>
      <c r="DB71" s="5">
        <v>3.1214030226310696E-2</v>
      </c>
      <c r="DC71" s="5">
        <v>1.8522686508641032E-2</v>
      </c>
      <c r="DD71" s="4">
        <v>1.4181451512800203E-2</v>
      </c>
      <c r="DE71" s="4">
        <v>3.172526727251393E-2</v>
      </c>
      <c r="DF71" s="5">
        <v>2.9428182375394726E-2</v>
      </c>
      <c r="DG71" s="5">
        <v>1.0303098333111573E-2</v>
      </c>
      <c r="DH71" s="4">
        <v>9.3020774917645949E-3</v>
      </c>
      <c r="DI71" s="4">
        <v>2.3441940742803158E-3</v>
      </c>
      <c r="DJ71" s="4">
        <v>3.5322941641431961E-3</v>
      </c>
      <c r="DK71" s="4">
        <v>6.6899583336873019E-3</v>
      </c>
      <c r="DL71" s="5">
        <v>1.340926735866022E-2</v>
      </c>
      <c r="DM71" s="5">
        <v>7.3287563277071172E-3</v>
      </c>
      <c r="DN71" s="5">
        <v>1.0265594204629835E-2</v>
      </c>
      <c r="DO71" s="5">
        <v>1.3380632658135817E-2</v>
      </c>
      <c r="DP71" s="5">
        <v>1.441358654092559E-2</v>
      </c>
      <c r="DQ71" s="5">
        <v>1.2401484524803144E-2</v>
      </c>
      <c r="DR71" s="5">
        <v>1.2776261793238756E-2</v>
      </c>
      <c r="DS71" s="5">
        <v>1.0410020744463976E-2</v>
      </c>
      <c r="DT71" s="4">
        <v>1.104054679348729E-2</v>
      </c>
      <c r="DU71" s="5">
        <v>1.3447295327621111E-2</v>
      </c>
      <c r="DV71" s="5">
        <v>1.2729125376624463E-2</v>
      </c>
      <c r="DX71" s="3" t="s">
        <v>192</v>
      </c>
      <c r="DY71" s="3" t="s">
        <v>153</v>
      </c>
      <c r="DZ71" s="4">
        <v>1.2302985963840029E-2</v>
      </c>
      <c r="EA71" s="5">
        <v>2.2120352761476322E-2</v>
      </c>
      <c r="EB71" s="5">
        <v>1.1065629456282249E-2</v>
      </c>
      <c r="EC71" s="5">
        <v>5.4222797871621518E-3</v>
      </c>
      <c r="ED71" s="4">
        <v>1.9251188764624269E-2</v>
      </c>
      <c r="EE71" s="5">
        <v>3.4263470550336475E-2</v>
      </c>
      <c r="EF71" s="4">
        <v>2.0218209978445367E-2</v>
      </c>
      <c r="EG71" s="5">
        <v>1.3562989033545025E-2</v>
      </c>
      <c r="EH71" s="5">
        <v>1.380486774258274E-2</v>
      </c>
      <c r="EI71" s="5">
        <v>1.2879142172081895E-2</v>
      </c>
      <c r="EJ71" s="5">
        <v>3.461409058799437E-3</v>
      </c>
      <c r="EK71" s="5">
        <v>9.5993229442073048E-3</v>
      </c>
      <c r="EL71" s="5">
        <v>6.2658059863151053E-3</v>
      </c>
      <c r="EM71" s="5">
        <v>6.2149528500410074E-3</v>
      </c>
      <c r="EN71" s="5">
        <v>1.9293480083684485E-2</v>
      </c>
      <c r="EO71" s="4">
        <v>2.4580906234819181E-2</v>
      </c>
      <c r="EP71" s="4">
        <v>2.2070401347809385E-2</v>
      </c>
      <c r="EQ71" s="4">
        <v>1.2455568762173616E-2</v>
      </c>
      <c r="ER71" s="4">
        <v>8.5787623835609714E-3</v>
      </c>
      <c r="ES71" s="4">
        <v>4.5800133229576198E-3</v>
      </c>
      <c r="ET71" s="5">
        <v>3.4273613277790632E-2</v>
      </c>
      <c r="EU71" s="5">
        <v>1.7895224853020218E-2</v>
      </c>
      <c r="EV71" s="5">
        <v>1.6250010855737154E-2</v>
      </c>
      <c r="EW71" s="5">
        <v>2.8110399387479505E-2</v>
      </c>
      <c r="EX71" s="4">
        <v>2.5342055105782104E-2</v>
      </c>
      <c r="EY71" s="5">
        <v>2.6998949390898482E-2</v>
      </c>
      <c r="EZ71" s="5">
        <v>3.1727449053893686E-2</v>
      </c>
      <c r="FA71" s="5">
        <v>3.9586483675094986E-2</v>
      </c>
      <c r="FB71" s="5">
        <v>4.0795741414944617E-2</v>
      </c>
      <c r="FC71" s="5">
        <v>2.4645560182882394E-2</v>
      </c>
      <c r="FD71" s="5">
        <v>4.1910221221032898E-2</v>
      </c>
      <c r="FE71" s="5">
        <v>4.3536718464832223E-2</v>
      </c>
      <c r="FF71" s="5">
        <v>4.3747040309291746E-2</v>
      </c>
      <c r="FG71" s="5">
        <v>4.8189536882971576E-2</v>
      </c>
      <c r="FH71" s="4">
        <v>4.8208541560706808E-2</v>
      </c>
      <c r="FI71" s="5">
        <v>2.2596417795591781E-2</v>
      </c>
      <c r="FJ71" s="5">
        <v>0</v>
      </c>
      <c r="FK71" s="5">
        <v>8.7073288883571503E-3</v>
      </c>
      <c r="FL71" s="5">
        <v>4.5929755558034469E-2</v>
      </c>
      <c r="FM71" s="4">
        <v>4.5373231172041818E-2</v>
      </c>
      <c r="FN71" s="5">
        <v>1.9267495837337015E-2</v>
      </c>
      <c r="FO71" s="5">
        <v>3.0846330207080764E-2</v>
      </c>
      <c r="FP71" s="4">
        <v>2.1580310506983804E-2</v>
      </c>
      <c r="FQ71" s="4">
        <v>1.9786992855656854E-2</v>
      </c>
      <c r="FR71" s="4">
        <v>4.2614555044729302E-2</v>
      </c>
      <c r="FS71" s="4">
        <v>4.3453668804074648E-2</v>
      </c>
      <c r="FT71" s="5">
        <v>2.3126410444458061E-2</v>
      </c>
      <c r="FU71" s="5">
        <v>3.7055258623888369E-3</v>
      </c>
      <c r="FV71" s="4">
        <v>4.0188731477648716E-3</v>
      </c>
      <c r="FW71" s="5">
        <v>3.3406198953191786E-3</v>
      </c>
      <c r="FX71" s="5">
        <v>1.4038452213467707E-2</v>
      </c>
      <c r="FY71" s="5">
        <v>1.1143815048018178E-2</v>
      </c>
      <c r="FZ71" s="5">
        <v>8.0125391536648889E-3</v>
      </c>
      <c r="GA71" s="5">
        <v>1.0429453803718272E-2</v>
      </c>
      <c r="GB71" s="5">
        <v>1.4130861235463333E-2</v>
      </c>
      <c r="GC71" s="5">
        <v>1.184831610144421E-2</v>
      </c>
      <c r="GD71" s="5">
        <v>1.3315850216314904E-2</v>
      </c>
      <c r="GE71" s="5">
        <v>1.3863697356104694E-2</v>
      </c>
      <c r="GF71" s="5">
        <v>1.0724411360134765E-2</v>
      </c>
      <c r="GG71" s="5">
        <v>1.0378822951151055E-2</v>
      </c>
      <c r="GI71" s="3" t="s">
        <v>192</v>
      </c>
      <c r="GJ71" s="3" t="s">
        <v>154</v>
      </c>
      <c r="GK71" s="5">
        <v>7.1049909983315757E-2</v>
      </c>
      <c r="GL71" s="5">
        <v>7.3458226243914959E-2</v>
      </c>
      <c r="GM71" s="5">
        <v>7.4198262794481065E-2</v>
      </c>
      <c r="GN71" s="5">
        <v>7.4892175213263842E-2</v>
      </c>
      <c r="GO71" s="5">
        <v>7.8857209285412053E-2</v>
      </c>
      <c r="GP71" s="5">
        <v>7.3717116650627329E-2</v>
      </c>
      <c r="GQ71" s="5">
        <v>8.7893404591835381E-2</v>
      </c>
      <c r="GR71" s="5">
        <v>8.8852192144609432E-2</v>
      </c>
      <c r="GS71" s="5">
        <v>8.3020747241263779E-2</v>
      </c>
      <c r="GT71" s="5">
        <v>7.7915701516163602E-2</v>
      </c>
      <c r="GU71" s="5">
        <v>0.10439837542459339</v>
      </c>
      <c r="GV71" s="5">
        <v>9.1884002105385373E-2</v>
      </c>
      <c r="GW71" s="5">
        <v>8.8904450098905644E-2</v>
      </c>
      <c r="GX71" s="5">
        <v>9.3736754394596972E-2</v>
      </c>
      <c r="GY71" s="5">
        <v>9.3406483891104744E-2</v>
      </c>
      <c r="GZ71" s="5">
        <v>9.7778300079238295E-2</v>
      </c>
      <c r="HA71" s="4">
        <v>0.11171516862718223</v>
      </c>
      <c r="HB71" s="5">
        <v>0.12395600367864544</v>
      </c>
      <c r="HC71" s="5">
        <v>0.12051422956197898</v>
      </c>
      <c r="HD71" s="5">
        <v>0.10650510530264533</v>
      </c>
      <c r="HE71" s="5">
        <v>0.15471344507946036</v>
      </c>
      <c r="HF71" s="5">
        <v>0.17287154816462177</v>
      </c>
      <c r="HG71" s="5">
        <v>0.17277327104657592</v>
      </c>
      <c r="HH71" s="5">
        <v>0.15339298460463571</v>
      </c>
      <c r="HI71" s="5">
        <v>0.13626118621091063</v>
      </c>
      <c r="HJ71" s="5">
        <v>0.12342577175137563</v>
      </c>
      <c r="HK71" s="5">
        <v>0.11756927790688723</v>
      </c>
      <c r="HL71" s="4">
        <v>0.12228386559398198</v>
      </c>
      <c r="HM71" s="5">
        <v>0.12234383879294837</v>
      </c>
      <c r="HN71" s="5">
        <v>0.1378106674882818</v>
      </c>
      <c r="HO71" s="5">
        <v>0.1402911510297262</v>
      </c>
      <c r="HP71" s="5">
        <v>0.1479056274032467</v>
      </c>
      <c r="HQ71" s="5">
        <v>0.16588319582631167</v>
      </c>
      <c r="HR71" s="5">
        <v>0.19314307959794266</v>
      </c>
      <c r="HS71" s="5">
        <v>0.18682195462319312</v>
      </c>
      <c r="HT71" s="5">
        <v>0.20051165484174266</v>
      </c>
      <c r="HU71" s="5">
        <v>0.18644750793351619</v>
      </c>
      <c r="HV71" s="4">
        <v>0.16515974105019526</v>
      </c>
      <c r="HW71" s="5">
        <v>0.14809834430279648</v>
      </c>
      <c r="HX71" s="5">
        <v>0.12734081667915298</v>
      </c>
      <c r="HY71" s="5">
        <v>8.647932085428095E-2</v>
      </c>
      <c r="HZ71" s="5">
        <v>8.262825608838327E-2</v>
      </c>
      <c r="IA71" s="5">
        <v>7.609637747580858E-2</v>
      </c>
      <c r="IB71" s="5">
        <v>7.639392217381856E-2</v>
      </c>
      <c r="IC71" s="5">
        <v>7.7952190042836531E-2</v>
      </c>
      <c r="ID71" s="5">
        <v>7.6306076993812338E-2</v>
      </c>
      <c r="IE71" s="5">
        <v>0.10142330767260888</v>
      </c>
      <c r="IF71" s="5">
        <v>0.11139820636040373</v>
      </c>
      <c r="IG71" s="5">
        <v>9.8652161111247874E-2</v>
      </c>
      <c r="IH71" s="5">
        <v>9.3501921633396032E-2</v>
      </c>
      <c r="II71" s="5">
        <v>6.1841786956196333E-2</v>
      </c>
      <c r="IJ71" s="5">
        <v>5.9672136567398421E-2</v>
      </c>
      <c r="IK71" s="5">
        <v>5.9284769584930348E-2</v>
      </c>
      <c r="IL71" s="5">
        <v>5.6162516585625127E-2</v>
      </c>
      <c r="IM71" s="5">
        <v>6.3339217241233162E-2</v>
      </c>
      <c r="IN71" s="5">
        <v>6.8351896242259069E-2</v>
      </c>
      <c r="IO71" s="5">
        <v>7.3497792823068578E-2</v>
      </c>
      <c r="IP71" s="5">
        <v>6.8272708119686318E-2</v>
      </c>
      <c r="IQ71" s="5">
        <v>6.0942805818786222E-2</v>
      </c>
      <c r="IR71" s="5">
        <v>6.1881929071321611E-2</v>
      </c>
      <c r="JB71" s="3" t="s">
        <v>192</v>
      </c>
      <c r="JC71" s="5">
        <v>0.64818981691178568</v>
      </c>
      <c r="JD71" s="5">
        <v>0.63421641767010051</v>
      </c>
      <c r="JE71" s="4">
        <v>0.63760215126448483</v>
      </c>
      <c r="JF71" s="5">
        <v>0.64223066571953735</v>
      </c>
      <c r="JG71" s="5">
        <v>0.63049777352313341</v>
      </c>
      <c r="JH71" s="5">
        <v>0.6263804846291452</v>
      </c>
      <c r="JI71" s="5">
        <v>0.62071378579116576</v>
      </c>
      <c r="JJ71" s="5">
        <v>0.6226169028343711</v>
      </c>
      <c r="JK71" s="5">
        <v>0.63681969104978753</v>
      </c>
      <c r="JL71" s="5">
        <v>0.6426063617314608</v>
      </c>
      <c r="JM71" s="5">
        <v>0.60530039756503506</v>
      </c>
      <c r="JN71" s="4">
        <v>0.5955571119278924</v>
      </c>
      <c r="JO71" s="5">
        <v>0.5990254901694464</v>
      </c>
      <c r="JP71" s="5">
        <v>0.60577744052041849</v>
      </c>
      <c r="JQ71" s="5">
        <v>0.59846874207219336</v>
      </c>
      <c r="JR71" s="5">
        <v>0.58410516999588613</v>
      </c>
      <c r="JS71" s="5">
        <v>0.57415355825635916</v>
      </c>
      <c r="JT71" s="5">
        <v>0.57025161983005934</v>
      </c>
      <c r="JU71" s="5">
        <v>0.58903303797516915</v>
      </c>
      <c r="JV71" s="5">
        <v>0.61779444518399296</v>
      </c>
      <c r="JW71" s="4">
        <v>0.43763756138888454</v>
      </c>
      <c r="JX71" s="5">
        <v>0.44009145971670843</v>
      </c>
      <c r="JY71" s="5">
        <v>0.45523531856535082</v>
      </c>
      <c r="JZ71" s="5">
        <v>0.46042037548439907</v>
      </c>
      <c r="KA71" s="5">
        <v>0.45891341838591293</v>
      </c>
      <c r="KB71" s="5">
        <v>0.46964959930787775</v>
      </c>
      <c r="KC71" s="5">
        <v>0.4701898313974523</v>
      </c>
      <c r="KD71" s="5">
        <v>0.46146591093997086</v>
      </c>
      <c r="KE71" s="5">
        <v>0.45364987971382581</v>
      </c>
      <c r="KF71" s="4">
        <v>0.44381686869981307</v>
      </c>
      <c r="KG71" s="4">
        <v>0.3368978291543433</v>
      </c>
      <c r="KH71" s="5">
        <v>0.32844070919230534</v>
      </c>
      <c r="KI71" s="5">
        <v>0.33423977362705465</v>
      </c>
      <c r="KJ71" s="5">
        <v>0.31822690812830384</v>
      </c>
      <c r="KK71" s="5">
        <v>0.30944349163090501</v>
      </c>
      <c r="KL71" s="5">
        <v>0.31741484086581212</v>
      </c>
      <c r="KM71" s="5">
        <v>0.32607100340888695</v>
      </c>
      <c r="KN71" s="5">
        <v>0.32500822714631628</v>
      </c>
      <c r="KO71" s="5">
        <v>0.31977988604956092</v>
      </c>
      <c r="KP71" s="4">
        <v>0.32235256533873469</v>
      </c>
      <c r="KQ71" s="5">
        <v>0.56286402891029252</v>
      </c>
      <c r="KR71" s="4">
        <v>0.56132085575107249</v>
      </c>
      <c r="KS71" s="5">
        <v>0.5725451203818368</v>
      </c>
      <c r="KT71" s="5">
        <v>0.58982708568873388</v>
      </c>
      <c r="KU71" s="5">
        <v>0.58964528557833451</v>
      </c>
      <c r="KV71" s="5">
        <v>0.58392305604697636</v>
      </c>
      <c r="KW71" s="5">
        <v>0.57912697365249388</v>
      </c>
      <c r="KX71" s="5">
        <v>0.57240160838183096</v>
      </c>
      <c r="KY71" s="4">
        <v>0.58262272538323367</v>
      </c>
      <c r="KZ71" s="5">
        <v>0.59186623305328889</v>
      </c>
      <c r="LA71" s="5">
        <v>0.7039387676364065</v>
      </c>
      <c r="LB71" s="5">
        <v>0.69915841763905573</v>
      </c>
      <c r="LC71" s="4">
        <v>0.70389101569001844</v>
      </c>
      <c r="LD71" s="5">
        <v>0.69076406260676271</v>
      </c>
      <c r="LE71" s="5">
        <v>0.67336264376805155</v>
      </c>
      <c r="LF71" s="5">
        <v>0.67599116773439882</v>
      </c>
      <c r="LG71" s="5">
        <v>0.67184368957894725</v>
      </c>
      <c r="LH71" s="4">
        <v>0.68159216959009883</v>
      </c>
      <c r="LI71" s="5">
        <v>0.70352127904468598</v>
      </c>
      <c r="LJ71" s="5">
        <v>0.70865848098774442</v>
      </c>
      <c r="LL71" s="3" t="s">
        <v>215</v>
      </c>
      <c r="LM71" s="3" t="s">
        <v>160</v>
      </c>
      <c r="LN71" s="3" t="s">
        <v>161</v>
      </c>
      <c r="LO71" s="5">
        <v>0.61691266097763198</v>
      </c>
    </row>
    <row r="72" spans="2:327" x14ac:dyDescent="0.45">
      <c r="B72" s="6" t="s">
        <v>194</v>
      </c>
      <c r="C72" s="6" t="s">
        <v>151</v>
      </c>
      <c r="D72" s="8">
        <v>0.24449005345600408</v>
      </c>
      <c r="E72" s="8">
        <v>0.24380846706019552</v>
      </c>
      <c r="F72" s="8">
        <v>0.23796723099962935</v>
      </c>
      <c r="G72" s="8">
        <v>0.24298687685266895</v>
      </c>
      <c r="H72" s="8">
        <v>0.2575324384206169</v>
      </c>
      <c r="I72" s="8">
        <v>0.27613899686865978</v>
      </c>
      <c r="J72" s="8">
        <v>0.28458970576387754</v>
      </c>
      <c r="K72" s="8">
        <v>0.27074883791362186</v>
      </c>
      <c r="L72" s="8">
        <v>0.24531051014725758</v>
      </c>
      <c r="M72" s="8">
        <v>0.24217141508893389</v>
      </c>
      <c r="N72" s="8">
        <v>0.25242125677069099</v>
      </c>
      <c r="O72" s="8">
        <v>0.2627917354656919</v>
      </c>
      <c r="P72" s="8">
        <v>0.2702134948254723</v>
      </c>
      <c r="Q72" s="8">
        <v>0.26489115742654606</v>
      </c>
      <c r="R72" s="8">
        <v>0.27359179747795775</v>
      </c>
      <c r="S72" s="8">
        <v>0.28679691748539726</v>
      </c>
      <c r="T72" s="8">
        <v>0.30032306567438505</v>
      </c>
      <c r="U72" s="8">
        <v>0.3049357921868352</v>
      </c>
      <c r="V72" s="8">
        <v>0.28652873284625091</v>
      </c>
      <c r="W72" s="8">
        <v>0.25033154927450396</v>
      </c>
      <c r="X72" s="8">
        <v>0.35466491156752694</v>
      </c>
      <c r="Y72" s="8">
        <v>0.36346438197284059</v>
      </c>
      <c r="Z72" s="8">
        <v>0.36797211141604669</v>
      </c>
      <c r="AA72" s="8">
        <v>0.37316935468184897</v>
      </c>
      <c r="AB72" s="8">
        <v>0.35430245219996703</v>
      </c>
      <c r="AC72" s="8">
        <v>0.33338807467469667</v>
      </c>
      <c r="AD72" s="8">
        <v>0.33115721299742085</v>
      </c>
      <c r="AE72" s="8">
        <v>0.32872895330279106</v>
      </c>
      <c r="AF72" s="8">
        <v>0.34598677863211563</v>
      </c>
      <c r="AG72" s="8">
        <v>0.33933366881809524</v>
      </c>
      <c r="AH72" s="8">
        <v>0.35479986526742335</v>
      </c>
      <c r="AI72" s="8">
        <v>0.39805595614072853</v>
      </c>
      <c r="AJ72" s="8">
        <v>0.41293712175281366</v>
      </c>
      <c r="AK72" s="8">
        <v>0.42141107070369455</v>
      </c>
      <c r="AL72" s="8">
        <v>0.39793926996155893</v>
      </c>
      <c r="AM72" s="8">
        <v>0.37678167429153425</v>
      </c>
      <c r="AN72" s="8">
        <v>0.36083806583711697</v>
      </c>
      <c r="AO72" s="8">
        <v>0.36047924403675213</v>
      </c>
      <c r="AP72" s="8">
        <v>0.36324349716441839</v>
      </c>
      <c r="AQ72" s="8">
        <v>0.33574753409081293</v>
      </c>
      <c r="AR72" s="8">
        <v>0.21122441479785575</v>
      </c>
      <c r="AS72" s="8">
        <v>0.22521351177521359</v>
      </c>
      <c r="AT72" s="8">
        <v>0.24187630097613774</v>
      </c>
      <c r="AU72" s="8">
        <v>0.24617595632213377</v>
      </c>
      <c r="AV72" s="8">
        <v>0.24050814455183661</v>
      </c>
      <c r="AW72" s="8">
        <v>0.23440827718853643</v>
      </c>
      <c r="AX72" s="8">
        <v>0.22584255605515405</v>
      </c>
      <c r="AY72" s="8">
        <v>0.2064783708099</v>
      </c>
      <c r="AZ72" s="8">
        <v>0.1994035521905918</v>
      </c>
      <c r="BA72" s="8">
        <v>0.19026801161348475</v>
      </c>
      <c r="BB72" s="8">
        <v>0.20186347656727777</v>
      </c>
      <c r="BC72" s="8">
        <v>0.19304680087469686</v>
      </c>
      <c r="BD72" s="8">
        <v>0.18659327149271845</v>
      </c>
      <c r="BE72" s="8">
        <v>0.20318616781366586</v>
      </c>
      <c r="BF72" s="8">
        <v>0.22736090321861932</v>
      </c>
      <c r="BG72" s="8">
        <v>0.23288474392414257</v>
      </c>
      <c r="BH72" s="8">
        <v>0.23521482861767107</v>
      </c>
      <c r="BI72" s="8">
        <v>0.22818218990636138</v>
      </c>
      <c r="BJ72" s="8">
        <v>0.20686934896838569</v>
      </c>
      <c r="BK72" s="8">
        <v>0.2068414490567656</v>
      </c>
      <c r="BM72" s="6" t="s">
        <v>194</v>
      </c>
      <c r="BN72" s="6" t="s">
        <v>152</v>
      </c>
      <c r="BO72" s="8">
        <v>1.9890083053247416E-2</v>
      </c>
      <c r="BP72" s="8">
        <v>6.4932363271268606E-3</v>
      </c>
      <c r="BQ72" s="7">
        <v>8.6483834447854731E-3</v>
      </c>
      <c r="BR72" s="8">
        <v>1.2125019668572674E-2</v>
      </c>
      <c r="BS72" s="8">
        <v>1.1111985857880298E-2</v>
      </c>
      <c r="BT72" s="8">
        <v>1.4695945554505757E-2</v>
      </c>
      <c r="BU72" s="7">
        <v>1.3109745250233068E-2</v>
      </c>
      <c r="BV72" s="8">
        <v>1.9448256461650826E-2</v>
      </c>
      <c r="BW72" s="7">
        <v>1.1541332266571962E-2</v>
      </c>
      <c r="BX72" s="8">
        <v>4.6042945955282657E-3</v>
      </c>
      <c r="BY72" s="7">
        <v>1.5508306970071011E-2</v>
      </c>
      <c r="BZ72" s="7">
        <v>1.0425853533726484E-2</v>
      </c>
      <c r="CA72" s="7">
        <v>1.459663091864408E-2</v>
      </c>
      <c r="CB72" s="7">
        <v>1.8981174772565373E-2</v>
      </c>
      <c r="CC72" s="7">
        <v>1.1769708631588516E-2</v>
      </c>
      <c r="CD72" s="8">
        <v>1.3204429866793743E-2</v>
      </c>
      <c r="CE72" s="7">
        <v>1.0632880713645987E-2</v>
      </c>
      <c r="CF72" s="8">
        <v>8.2169917794488456E-3</v>
      </c>
      <c r="CG72" s="7">
        <v>2.7390625867766459E-3</v>
      </c>
      <c r="CH72" s="8">
        <v>2.8682941304301974E-3</v>
      </c>
      <c r="CI72" s="8">
        <v>1.8351133761748996E-2</v>
      </c>
      <c r="CJ72" s="7">
        <v>1.335765281359034E-2</v>
      </c>
      <c r="CK72" s="8">
        <v>1.6996082206604382E-2</v>
      </c>
      <c r="CL72" s="7">
        <v>7.9336716950915154E-3</v>
      </c>
      <c r="CM72" s="8">
        <v>1.0171370561935155E-2</v>
      </c>
      <c r="CN72" s="8">
        <v>4.8298993760027432E-3</v>
      </c>
      <c r="CO72" s="8">
        <v>9.128627284899278E-3</v>
      </c>
      <c r="CP72" s="8">
        <v>1.1463342804715995E-2</v>
      </c>
      <c r="CQ72" s="8">
        <v>2.0219534971116768E-2</v>
      </c>
      <c r="CR72" s="8">
        <v>3.3506333857340802E-2</v>
      </c>
      <c r="CS72" s="8">
        <v>2.1180995432683102E-2</v>
      </c>
      <c r="CT72" s="8">
        <v>1.9048429893966535E-2</v>
      </c>
      <c r="CU72" s="7">
        <v>3.3351759432339263E-2</v>
      </c>
      <c r="CV72" s="7">
        <v>1.7322294086774874E-2</v>
      </c>
      <c r="CW72" s="8">
        <v>1.715474243024296E-2</v>
      </c>
      <c r="CX72" s="7">
        <v>1.1248015823872791E-2</v>
      </c>
      <c r="CY72" s="7">
        <v>3.1956237252771441E-2</v>
      </c>
      <c r="CZ72" s="7">
        <v>3.1678470152133972E-2</v>
      </c>
      <c r="DA72" s="7">
        <v>3.8848017370529578E-2</v>
      </c>
      <c r="DB72" s="8">
        <v>3.9780919429670672E-2</v>
      </c>
      <c r="DC72" s="8">
        <v>1.2227690107859327E-2</v>
      </c>
      <c r="DD72" s="7">
        <v>1.3052166744107786E-2</v>
      </c>
      <c r="DE72" s="7">
        <v>1.3366662438160098E-2</v>
      </c>
      <c r="DF72" s="8">
        <v>2.1741801172075678E-2</v>
      </c>
      <c r="DG72" s="8">
        <v>3.0736174649685054E-2</v>
      </c>
      <c r="DH72" s="7">
        <v>8.3470771899418848E-3</v>
      </c>
      <c r="DI72" s="7">
        <v>7.7672609844761165E-4</v>
      </c>
      <c r="DJ72" s="7">
        <v>6.539667348239327E-3</v>
      </c>
      <c r="DK72" s="7">
        <v>1.6120567339622759E-2</v>
      </c>
      <c r="DL72" s="8">
        <v>9.4286725206806365E-3</v>
      </c>
      <c r="DM72" s="8">
        <v>7.9535286422742994E-3</v>
      </c>
      <c r="DN72" s="8">
        <v>4.8114001987723054E-3</v>
      </c>
      <c r="DO72" s="8">
        <v>3.8697679128270046E-3</v>
      </c>
      <c r="DP72" s="8">
        <v>1.1807924433951386E-2</v>
      </c>
      <c r="DQ72" s="8">
        <v>2.4437434500603747E-2</v>
      </c>
      <c r="DR72" s="8">
        <v>2.1246108293859096E-2</v>
      </c>
      <c r="DS72" s="8">
        <v>1.4935776868422708E-2</v>
      </c>
      <c r="DT72" s="7">
        <v>1.0911493643340335E-2</v>
      </c>
      <c r="DU72" s="8">
        <v>2.0536219991012947E-2</v>
      </c>
      <c r="DV72" s="8">
        <v>1.1929194751947177E-2</v>
      </c>
      <c r="DX72" s="6" t="s">
        <v>194</v>
      </c>
      <c r="DY72" s="6" t="s">
        <v>153</v>
      </c>
      <c r="DZ72" s="7">
        <v>9.8257262135205518E-3</v>
      </c>
      <c r="EA72" s="8">
        <v>2.8902075672298324E-2</v>
      </c>
      <c r="EB72" s="8">
        <v>2.4460937871802362E-2</v>
      </c>
      <c r="EC72" s="8">
        <v>1.1107090608697219E-2</v>
      </c>
      <c r="ED72" s="7">
        <v>7.3453998612230667E-3</v>
      </c>
      <c r="EE72" s="8">
        <v>1.4300557331508965E-2</v>
      </c>
      <c r="EF72" s="7">
        <v>1.9861081103829756E-2</v>
      </c>
      <c r="EG72" s="8">
        <v>7.0042487277546736E-3</v>
      </c>
      <c r="EH72" s="8">
        <v>1.3974369943986603E-2</v>
      </c>
      <c r="EI72" s="8">
        <v>2.6803049111654587E-2</v>
      </c>
      <c r="EJ72" s="8">
        <v>1.5567484427223366E-3</v>
      </c>
      <c r="EK72" s="8">
        <v>1.7890242981431308E-2</v>
      </c>
      <c r="EL72" s="8">
        <v>1.9595638037876614E-2</v>
      </c>
      <c r="EM72" s="8">
        <v>1.1001199204416149E-2</v>
      </c>
      <c r="EN72" s="8">
        <v>2.1482391491316397E-2</v>
      </c>
      <c r="EO72" s="7">
        <v>2.4245546974088653E-2</v>
      </c>
      <c r="EP72" s="7">
        <v>1.4840668851334443E-2</v>
      </c>
      <c r="EQ72" s="7">
        <v>1.8165924205784979E-2</v>
      </c>
      <c r="ER72" s="7">
        <v>2.0036681961431921E-2</v>
      </c>
      <c r="ES72" s="7">
        <v>1.1784487589325831E-2</v>
      </c>
      <c r="ET72" s="8">
        <v>4.7145000002046598E-2</v>
      </c>
      <c r="EU72" s="8">
        <v>2.6366117507370848E-2</v>
      </c>
      <c r="EV72" s="8">
        <v>1.3175158741335843E-2</v>
      </c>
      <c r="EW72" s="8">
        <v>2.597392347518063E-2</v>
      </c>
      <c r="EX72" s="7">
        <v>2.2953390932470542E-2</v>
      </c>
      <c r="EY72" s="8">
        <v>2.7895315935816473E-2</v>
      </c>
      <c r="EZ72" s="8">
        <v>1.9783310512158987E-2</v>
      </c>
      <c r="FA72" s="8">
        <v>1.9103527635987744E-2</v>
      </c>
      <c r="FB72" s="8">
        <v>8.4166056278975644E-3</v>
      </c>
      <c r="FC72" s="8">
        <v>2.2343305650094354E-2</v>
      </c>
      <c r="FD72" s="8">
        <v>6.5625611048705151E-2</v>
      </c>
      <c r="FE72" s="8">
        <v>6.6578725158837032E-2</v>
      </c>
      <c r="FF72" s="8">
        <v>4.8465132222839706E-2</v>
      </c>
      <c r="FG72" s="8">
        <v>5.0685151575433691E-2</v>
      </c>
      <c r="FH72" s="7">
        <v>4.2284408914162172E-2</v>
      </c>
      <c r="FI72" s="8">
        <v>4.331256143129477E-2</v>
      </c>
      <c r="FJ72" s="8">
        <v>2.7675871378129695E-2</v>
      </c>
      <c r="FK72" s="8">
        <v>1.5952123442431892E-2</v>
      </c>
      <c r="FL72" s="8">
        <v>3.2149719742205304E-2</v>
      </c>
      <c r="FM72" s="7">
        <v>3.7036629238057624E-2</v>
      </c>
      <c r="FN72" s="8">
        <v>1.8895316828465559E-2</v>
      </c>
      <c r="FO72" s="8">
        <v>2.042486155562602E-2</v>
      </c>
      <c r="FP72" s="7">
        <v>2.293075573898418E-2</v>
      </c>
      <c r="FQ72" s="7">
        <v>2.1016996256431275E-2</v>
      </c>
      <c r="FR72" s="7">
        <v>1.6890624551551291E-2</v>
      </c>
      <c r="FS72" s="7">
        <v>3.6342267439294008E-2</v>
      </c>
      <c r="FT72" s="8">
        <v>3.8436425752976289E-2</v>
      </c>
      <c r="FU72" s="8">
        <v>1.5760825826207109E-2</v>
      </c>
      <c r="FV72" s="7">
        <v>4.0331770324759388E-4</v>
      </c>
      <c r="FW72" s="8">
        <v>5.3829817639229356E-3</v>
      </c>
      <c r="FX72" s="8">
        <v>1.3882939491136486E-2</v>
      </c>
      <c r="FY72" s="8">
        <v>1.2191630431482655E-2</v>
      </c>
      <c r="FZ72" s="8">
        <v>1.011649330622603E-2</v>
      </c>
      <c r="GA72" s="8">
        <v>8.0730638736898445E-3</v>
      </c>
      <c r="GB72" s="8">
        <v>5.6177228925174622E-3</v>
      </c>
      <c r="GC72" s="8">
        <v>1.7264380073050242E-2</v>
      </c>
      <c r="GD72" s="8">
        <v>2.1211223679341924E-2</v>
      </c>
      <c r="GE72" s="8">
        <v>2.1401423881308935E-2</v>
      </c>
      <c r="GF72" s="8">
        <v>1.5236303750464432E-2</v>
      </c>
      <c r="GG72" s="8">
        <v>1.0884317286046937E-2</v>
      </c>
      <c r="GI72" s="6" t="s">
        <v>194</v>
      </c>
      <c r="GJ72" s="6" t="s">
        <v>154</v>
      </c>
      <c r="GK72" s="8">
        <v>0.10795487686982212</v>
      </c>
      <c r="GL72" s="8">
        <v>9.8455674194163401E-2</v>
      </c>
      <c r="GM72" s="8">
        <v>8.9175356413665349E-2</v>
      </c>
      <c r="GN72" s="8">
        <v>0.10402478066269408</v>
      </c>
      <c r="GO72" s="8">
        <v>0.122116289854993</v>
      </c>
      <c r="GP72" s="8">
        <v>0.12394820092985777</v>
      </c>
      <c r="GQ72" s="8">
        <v>0.12649190254878254</v>
      </c>
      <c r="GR72" s="8">
        <v>0.12207836727969809</v>
      </c>
      <c r="GS72" s="8">
        <v>0.10525365671783005</v>
      </c>
      <c r="GT72" s="8">
        <v>9.9325793099206375E-2</v>
      </c>
      <c r="GU72" s="8">
        <v>0.1274970106332825</v>
      </c>
      <c r="GV72" s="8">
        <v>0.12041275560874751</v>
      </c>
      <c r="GW72" s="8">
        <v>0.11230373732313755</v>
      </c>
      <c r="GX72" s="8">
        <v>0.10507757603007417</v>
      </c>
      <c r="GY72" s="8">
        <v>0.10725515774155903</v>
      </c>
      <c r="GZ72" s="8">
        <v>0.11440240100630988</v>
      </c>
      <c r="HA72" s="7">
        <v>0.13627582387860412</v>
      </c>
      <c r="HB72" s="8">
        <v>0.14325608735578418</v>
      </c>
      <c r="HC72" s="8">
        <v>0.13408192544623801</v>
      </c>
      <c r="HD72" s="8">
        <v>0.12078927166589622</v>
      </c>
      <c r="HE72" s="8">
        <v>0.1472491889084831</v>
      </c>
      <c r="HF72" s="8">
        <v>0.17534573637562514</v>
      </c>
      <c r="HG72" s="8">
        <v>0.18615518282597565</v>
      </c>
      <c r="HH72" s="8">
        <v>0.1810364058449235</v>
      </c>
      <c r="HI72" s="8">
        <v>0.1761887476496955</v>
      </c>
      <c r="HJ72" s="8">
        <v>0.15921803149725097</v>
      </c>
      <c r="HK72" s="8">
        <v>0.16004471404729156</v>
      </c>
      <c r="HL72" s="7">
        <v>0.15599937256212373</v>
      </c>
      <c r="HM72" s="8">
        <v>0.16159651250863497</v>
      </c>
      <c r="HN72" s="8">
        <v>0.14114104574006214</v>
      </c>
      <c r="HO72" s="8">
        <v>0.15424606780239733</v>
      </c>
      <c r="HP72" s="8">
        <v>0.18577964928015891</v>
      </c>
      <c r="HQ72" s="8">
        <v>0.20214504438093453</v>
      </c>
      <c r="HR72" s="8">
        <v>0.22454214946566001</v>
      </c>
      <c r="HS72" s="8">
        <v>0.21790302906440551</v>
      </c>
      <c r="HT72" s="8">
        <v>0.19597358192289061</v>
      </c>
      <c r="HU72" s="8">
        <v>0.17187189511802001</v>
      </c>
      <c r="HV72" s="7">
        <v>0.18696600215664488</v>
      </c>
      <c r="HW72" s="8">
        <v>0.16462507055719475</v>
      </c>
      <c r="HX72" s="8">
        <v>0.13454361099104178</v>
      </c>
      <c r="HY72" s="8">
        <v>8.4950146501970428E-2</v>
      </c>
      <c r="HZ72" s="8">
        <v>8.4310362790744983E-2</v>
      </c>
      <c r="IA72" s="8">
        <v>8.2277001575104078E-2</v>
      </c>
      <c r="IB72" s="8">
        <v>8.1879381861180295E-2</v>
      </c>
      <c r="IC72" s="8">
        <v>7.575903418963556E-2</v>
      </c>
      <c r="ID72" s="8">
        <v>8.6771853892094117E-2</v>
      </c>
      <c r="IE72" s="8">
        <v>8.9596195027721773E-2</v>
      </c>
      <c r="IF72" s="8">
        <v>8.9514546382630233E-2</v>
      </c>
      <c r="IG72" s="8">
        <v>8.4969660749641449E-2</v>
      </c>
      <c r="IH72" s="8">
        <v>8.3292539355166006E-2</v>
      </c>
      <c r="II72" s="8">
        <v>6.811475323168166E-2</v>
      </c>
      <c r="IJ72" s="8">
        <v>7.8539580175055412E-2</v>
      </c>
      <c r="IK72" s="8">
        <v>8.0043074705667225E-2</v>
      </c>
      <c r="IL72" s="8">
        <v>8.7451688234360489E-2</v>
      </c>
      <c r="IM72" s="8">
        <v>8.42753004519569E-2</v>
      </c>
      <c r="IN72" s="8">
        <v>7.7776569283254951E-2</v>
      </c>
      <c r="IO72" s="8">
        <v>7.1513920042721141E-2</v>
      </c>
      <c r="IP72" s="8">
        <v>7.0956592428166002E-2</v>
      </c>
      <c r="IQ72" s="8">
        <v>5.819524678564221E-2</v>
      </c>
      <c r="IR72" s="8">
        <v>6.9308841070027563E-2</v>
      </c>
      <c r="JB72" s="6" t="s">
        <v>194</v>
      </c>
      <c r="JC72" s="8">
        <v>0.5509897344146284</v>
      </c>
      <c r="JD72" s="8">
        <v>0.54632377458510306</v>
      </c>
      <c r="JE72" s="7">
        <v>0.55808064560981485</v>
      </c>
      <c r="JF72" s="8">
        <v>0.55312385703818778</v>
      </c>
      <c r="JG72" s="8">
        <v>0.54962352271910953</v>
      </c>
      <c r="JH72" s="8">
        <v>0.53449964114552173</v>
      </c>
      <c r="JI72" s="8">
        <v>0.5290016993599812</v>
      </c>
      <c r="JJ72" s="8">
        <v>0.53892564226000117</v>
      </c>
      <c r="JK72" s="8">
        <v>0.56337858006826602</v>
      </c>
      <c r="JL72" s="8">
        <v>0.5488362792666901</v>
      </c>
      <c r="JM72" s="8">
        <v>0.53260518312993588</v>
      </c>
      <c r="JN72" s="7">
        <v>0.5390533046817797</v>
      </c>
      <c r="JO72" s="8">
        <v>0.54574253718500587</v>
      </c>
      <c r="JP72" s="8">
        <v>0.55488627884462716</v>
      </c>
      <c r="JQ72" s="8">
        <v>0.53621995941718392</v>
      </c>
      <c r="JR72" s="8">
        <v>0.52342215377319579</v>
      </c>
      <c r="JS72" s="8">
        <v>0.51584698002421514</v>
      </c>
      <c r="JT72" s="8">
        <v>0.50116252339090517</v>
      </c>
      <c r="JU72" s="8">
        <v>0.51372688678732925</v>
      </c>
      <c r="JV72" s="8">
        <v>0.5363750559911713</v>
      </c>
      <c r="JW72" s="7">
        <v>0.40870209834956162</v>
      </c>
      <c r="JX72" s="8">
        <v>0.3989748364760079</v>
      </c>
      <c r="JY72" s="8">
        <v>0.40718746865471339</v>
      </c>
      <c r="JZ72" s="8">
        <v>0.41926468510356124</v>
      </c>
      <c r="KA72" s="8">
        <v>0.43596301396074605</v>
      </c>
      <c r="KB72" s="8">
        <v>0.45217085370914806</v>
      </c>
      <c r="KC72" s="8">
        <v>0.45195034642486387</v>
      </c>
      <c r="KD72" s="8">
        <v>0.43753083945548593</v>
      </c>
      <c r="KE72" s="8">
        <v>0.4312627297630765</v>
      </c>
      <c r="KF72" s="7">
        <v>0.42002729668871946</v>
      </c>
      <c r="KG72" s="7">
        <v>0.28252291287462122</v>
      </c>
      <c r="KH72" s="8">
        <v>0.28771660915494968</v>
      </c>
      <c r="KI72" s="8">
        <v>0.2927004402859808</v>
      </c>
      <c r="KJ72" s="8">
        <v>0.29265131529974897</v>
      </c>
      <c r="KK72" s="8">
        <v>0.29901222546282291</v>
      </c>
      <c r="KL72" s="8">
        <v>0.31146263726313028</v>
      </c>
      <c r="KM72" s="8">
        <v>0.31092780816725252</v>
      </c>
      <c r="KN72" s="8">
        <v>0.30174260638163336</v>
      </c>
      <c r="KO72" s="8">
        <v>0.29151687682625677</v>
      </c>
      <c r="KP72" s="7">
        <v>0.29444930724121093</v>
      </c>
      <c r="KQ72" s="8">
        <v>0.54712398236817228</v>
      </c>
      <c r="KR72" s="7">
        <v>0.5229193622238314</v>
      </c>
      <c r="KS72" s="8">
        <v>0.53570080973398559</v>
      </c>
      <c r="KT72" s="8">
        <v>0.55103362296990421</v>
      </c>
      <c r="KU72" s="8">
        <v>0.56832927324383009</v>
      </c>
      <c r="KV72" s="8">
        <v>0.56365337216092892</v>
      </c>
      <c r="KW72" s="8">
        <v>0.5710725401574126</v>
      </c>
      <c r="KX72" s="8">
        <v>0.5802537925054726</v>
      </c>
      <c r="KY72" s="7">
        <v>0.58092276738585569</v>
      </c>
      <c r="KZ72" s="8">
        <v>0.58647902123238205</v>
      </c>
      <c r="LA72" s="8">
        <v>0.68656238552274673</v>
      </c>
      <c r="LB72" s="8">
        <v>0.6664002805090421</v>
      </c>
      <c r="LC72" s="7">
        <v>0.66604686232265209</v>
      </c>
      <c r="LD72" s="8">
        <v>0.64978288165897957</v>
      </c>
      <c r="LE72" s="8">
        <v>0.63467099299005902</v>
      </c>
      <c r="LF72" s="8">
        <v>0.63208130578161581</v>
      </c>
      <c r="LG72" s="8">
        <v>0.63205988465121177</v>
      </c>
      <c r="LH72" s="7">
        <v>0.63871742684989341</v>
      </c>
      <c r="LI72" s="8">
        <v>0.66286846143247513</v>
      </c>
      <c r="LJ72" s="8">
        <v>0.67997559189637236</v>
      </c>
      <c r="LL72" s="6" t="s">
        <v>217</v>
      </c>
      <c r="LM72" s="6" t="s">
        <v>160</v>
      </c>
      <c r="LN72" s="6" t="s">
        <v>161</v>
      </c>
      <c r="LO72" s="8">
        <v>0.70768405630107001</v>
      </c>
    </row>
    <row r="73" spans="2:327" x14ac:dyDescent="0.45">
      <c r="B73" s="3" t="s">
        <v>196</v>
      </c>
      <c r="C73" s="3" t="s">
        <v>151</v>
      </c>
      <c r="D73" s="5">
        <v>0.37425598924179182</v>
      </c>
      <c r="E73" s="5">
        <v>0.36437558774172701</v>
      </c>
      <c r="F73" s="5">
        <v>0.3519345519954532</v>
      </c>
      <c r="G73" s="5">
        <v>0.35364075557600189</v>
      </c>
      <c r="H73" s="5">
        <v>0.35995074719553999</v>
      </c>
      <c r="I73" s="5">
        <v>0.36413521305986696</v>
      </c>
      <c r="J73" s="5">
        <v>0.37246899657250204</v>
      </c>
      <c r="K73" s="5">
        <v>0.36072355348629043</v>
      </c>
      <c r="L73" s="5">
        <v>0.36094314215116091</v>
      </c>
      <c r="M73" s="5">
        <v>0.37470673207326133</v>
      </c>
      <c r="N73" s="5">
        <v>0.36452760641066018</v>
      </c>
      <c r="O73" s="5">
        <v>0.37383400521390869</v>
      </c>
      <c r="P73" s="5">
        <v>0.37196611364206822</v>
      </c>
      <c r="Q73" s="5">
        <v>0.35068905952036056</v>
      </c>
      <c r="R73" s="5">
        <v>0.33964368204276729</v>
      </c>
      <c r="S73" s="5">
        <v>0.32850568563532928</v>
      </c>
      <c r="T73" s="5">
        <v>0.32362943389167587</v>
      </c>
      <c r="U73" s="5">
        <v>0.33019819487474134</v>
      </c>
      <c r="V73" s="5">
        <v>0.33303196813887065</v>
      </c>
      <c r="W73" s="5">
        <v>0.33761641730424963</v>
      </c>
      <c r="X73" s="5">
        <v>0.38056659493880585</v>
      </c>
      <c r="Y73" s="5">
        <v>0.39817269751332568</v>
      </c>
      <c r="Z73" s="5">
        <v>0.41015084277318081</v>
      </c>
      <c r="AA73" s="5">
        <v>0.38303459609211837</v>
      </c>
      <c r="AB73" s="5">
        <v>0.35988322686148627</v>
      </c>
      <c r="AC73" s="5">
        <v>0.33720605323289665</v>
      </c>
      <c r="AD73" s="5">
        <v>0.32685705442661195</v>
      </c>
      <c r="AE73" s="5">
        <v>0.32984620322062946</v>
      </c>
      <c r="AF73" s="5">
        <v>0.34084979620991906</v>
      </c>
      <c r="AG73" s="5">
        <v>0.3534711676298436</v>
      </c>
      <c r="AH73" s="5">
        <v>0.36789110032792166</v>
      </c>
      <c r="AI73" s="5">
        <v>0.39083385272578264</v>
      </c>
      <c r="AJ73" s="5">
        <v>0.41661620551642625</v>
      </c>
      <c r="AK73" s="5">
        <v>0.41056633776563128</v>
      </c>
      <c r="AL73" s="5">
        <v>0.39836120716540185</v>
      </c>
      <c r="AM73" s="5">
        <v>0.3894374259971829</v>
      </c>
      <c r="AN73" s="5">
        <v>0.37004682486867163</v>
      </c>
      <c r="AO73" s="5">
        <v>0.36561111220900133</v>
      </c>
      <c r="AP73" s="5">
        <v>0.33611844644591649</v>
      </c>
      <c r="AQ73" s="5">
        <v>0.34786625244259062</v>
      </c>
      <c r="AR73" s="5">
        <v>0.30501534888200071</v>
      </c>
      <c r="AS73" s="5">
        <v>0.31463324433349049</v>
      </c>
      <c r="AT73" s="5">
        <v>0.30716673933793714</v>
      </c>
      <c r="AU73" s="5">
        <v>0.28304202151563063</v>
      </c>
      <c r="AV73" s="5">
        <v>0.27674439168617637</v>
      </c>
      <c r="AW73" s="5">
        <v>0.27672696133029651</v>
      </c>
      <c r="AX73" s="5">
        <v>0.27909178590708744</v>
      </c>
      <c r="AY73" s="5">
        <v>0.27968510757914938</v>
      </c>
      <c r="AZ73" s="5">
        <v>0.27383119357951752</v>
      </c>
      <c r="BA73" s="5">
        <v>0.28221531643919162</v>
      </c>
      <c r="BB73" s="5">
        <v>0.25339301217087756</v>
      </c>
      <c r="BC73" s="5">
        <v>0.25788160131310495</v>
      </c>
      <c r="BD73" s="5">
        <v>0.26050383666581794</v>
      </c>
      <c r="BE73" s="5">
        <v>0.26899528033387043</v>
      </c>
      <c r="BF73" s="5">
        <v>0.27248493168614241</v>
      </c>
      <c r="BG73" s="5">
        <v>0.27059894501260801</v>
      </c>
      <c r="BH73" s="5">
        <v>0.25818713806590615</v>
      </c>
      <c r="BI73" s="5">
        <v>0.2532751224630807</v>
      </c>
      <c r="BJ73" s="5">
        <v>0.25526956188129241</v>
      </c>
      <c r="BK73" s="5">
        <v>0.24966398802901033</v>
      </c>
      <c r="BM73" s="3" t="s">
        <v>196</v>
      </c>
      <c r="BN73" s="3" t="s">
        <v>152</v>
      </c>
      <c r="BO73" s="5">
        <v>2.2245458792148329E-2</v>
      </c>
      <c r="BP73" s="5">
        <v>1.8994455739490396E-2</v>
      </c>
      <c r="BQ73" s="4">
        <v>1.6782505407738627E-2</v>
      </c>
      <c r="BR73" s="5">
        <v>1.9515489441895989E-3</v>
      </c>
      <c r="BS73" s="5">
        <v>1.5730426489800709E-2</v>
      </c>
      <c r="BT73" s="5">
        <v>1.8656181690634464E-2</v>
      </c>
      <c r="BU73" s="4">
        <v>2.0620947960634673E-2</v>
      </c>
      <c r="BV73" s="5">
        <v>1.348280933441056E-2</v>
      </c>
      <c r="BW73" s="4">
        <v>1.664062101175293E-2</v>
      </c>
      <c r="BX73" s="5">
        <v>1.3913500910225494E-2</v>
      </c>
      <c r="BY73" s="4">
        <v>1.1097616780753819E-2</v>
      </c>
      <c r="BZ73" s="4">
        <v>6.0324214793682504E-3</v>
      </c>
      <c r="CA73" s="4">
        <v>1.1757994407947232E-2</v>
      </c>
      <c r="CB73" s="4">
        <v>1.0934541646798503E-2</v>
      </c>
      <c r="CC73" s="4">
        <v>1.6638145780280136E-2</v>
      </c>
      <c r="CD73" s="5">
        <v>1.6992435406027788E-2</v>
      </c>
      <c r="CE73" s="4">
        <v>1.3897903779403182E-2</v>
      </c>
      <c r="CF73" s="5">
        <v>1.0297937372646905E-2</v>
      </c>
      <c r="CG73" s="4">
        <v>1.4522169116161493E-2</v>
      </c>
      <c r="CH73" s="5">
        <v>8.8764375330618091E-3</v>
      </c>
      <c r="CI73" s="5">
        <v>2.4450614694044304E-2</v>
      </c>
      <c r="CJ73" s="4">
        <v>1.1268012447366691E-2</v>
      </c>
      <c r="CK73" s="5">
        <v>2.846104414609657E-2</v>
      </c>
      <c r="CL73" s="4">
        <v>3.8840745559945107E-2</v>
      </c>
      <c r="CM73" s="5">
        <v>3.300173624642902E-2</v>
      </c>
      <c r="CN73" s="5">
        <v>1.5766697668418636E-2</v>
      </c>
      <c r="CO73" s="5">
        <v>1.7298507530820486E-2</v>
      </c>
      <c r="CP73" s="5">
        <v>1.3334504595934077E-2</v>
      </c>
      <c r="CQ73" s="5">
        <v>6.7682784754127378E-3</v>
      </c>
      <c r="CR73" s="5">
        <v>2.7207963880331323E-2</v>
      </c>
      <c r="CS73" s="5">
        <v>4.2957656374822704E-2</v>
      </c>
      <c r="CT73" s="5">
        <v>3.2172701881204413E-2</v>
      </c>
      <c r="CU73" s="4">
        <v>3.7286024475058605E-2</v>
      </c>
      <c r="CV73" s="4">
        <v>3.6720005694540744E-2</v>
      </c>
      <c r="CW73" s="5">
        <v>4.3635703763185082E-3</v>
      </c>
      <c r="CX73" s="4">
        <v>6.1331187149620972E-3</v>
      </c>
      <c r="CY73" s="4">
        <v>7.5367229808439686E-3</v>
      </c>
      <c r="CZ73" s="4">
        <v>5.6048261433839421E-3</v>
      </c>
      <c r="DA73" s="4">
        <v>0</v>
      </c>
      <c r="DB73" s="5">
        <v>1.3955479625423846E-2</v>
      </c>
      <c r="DC73" s="5">
        <v>2.411826427281406E-2</v>
      </c>
      <c r="DD73" s="4">
        <v>7.5258602056104866E-3</v>
      </c>
      <c r="DE73" s="4">
        <v>1.0199928579079613E-2</v>
      </c>
      <c r="DF73" s="5">
        <v>1.224822576865882E-2</v>
      </c>
      <c r="DG73" s="5">
        <v>2.9180513013935119E-2</v>
      </c>
      <c r="DH73" s="4">
        <v>3.924109279530167E-2</v>
      </c>
      <c r="DI73" s="4">
        <v>2.39156638223272E-2</v>
      </c>
      <c r="DJ73" s="4">
        <v>0</v>
      </c>
      <c r="DK73" s="4">
        <v>1.1341634020182395E-2</v>
      </c>
      <c r="DL73" s="5">
        <v>2.6769943498695402E-2</v>
      </c>
      <c r="DM73" s="5">
        <v>2.5306334709690768E-2</v>
      </c>
      <c r="DN73" s="5">
        <v>4.3514567871540824E-3</v>
      </c>
      <c r="DO73" s="5">
        <v>6.1740824319998422E-3</v>
      </c>
      <c r="DP73" s="5">
        <v>1.8023182119949428E-2</v>
      </c>
      <c r="DQ73" s="5">
        <v>2.581894985093908E-2</v>
      </c>
      <c r="DR73" s="5">
        <v>2.08226680823375E-2</v>
      </c>
      <c r="DS73" s="5">
        <v>2.1097807008413724E-2</v>
      </c>
      <c r="DT73" s="4">
        <v>1.058343889520854E-2</v>
      </c>
      <c r="DU73" s="5">
        <v>1.3436096530171032E-2</v>
      </c>
      <c r="DV73" s="5">
        <v>2.7993157804770196E-2</v>
      </c>
      <c r="DX73" s="3" t="s">
        <v>196</v>
      </c>
      <c r="DY73" s="3" t="s">
        <v>153</v>
      </c>
      <c r="DZ73" s="4">
        <v>2.3481225034286068E-2</v>
      </c>
      <c r="EA73" s="5">
        <v>3.3935364425568937E-2</v>
      </c>
      <c r="EB73" s="5">
        <v>3.8782433432254439E-2</v>
      </c>
      <c r="EC73" s="5">
        <v>2.8114949172506485E-2</v>
      </c>
      <c r="ED73" s="4">
        <v>2.8251580034729416E-2</v>
      </c>
      <c r="EE73" s="5">
        <v>1.2386063229732706E-2</v>
      </c>
      <c r="EF73" s="4">
        <v>1.4562935159669914E-2</v>
      </c>
      <c r="EG73" s="5">
        <v>2.8422970161516334E-2</v>
      </c>
      <c r="EH73" s="5">
        <v>2.514453780690969E-2</v>
      </c>
      <c r="EI73" s="5">
        <v>2.1216622194423284E-2</v>
      </c>
      <c r="EJ73" s="5">
        <v>1.7892018743071919E-2</v>
      </c>
      <c r="EK73" s="5">
        <v>1.6508538413264599E-2</v>
      </c>
      <c r="EL73" s="5">
        <v>1.238237900042578E-2</v>
      </c>
      <c r="EM73" s="5">
        <v>1.3979769616680531E-2</v>
      </c>
      <c r="EN73" s="5">
        <v>1.4215281815822144E-2</v>
      </c>
      <c r="EO73" s="4">
        <v>1.5184786829818029E-2</v>
      </c>
      <c r="EP73" s="4">
        <v>1.1415107333646935E-2</v>
      </c>
      <c r="EQ73" s="4">
        <v>3.027312718499927E-2</v>
      </c>
      <c r="ER73" s="4">
        <v>4.4325991500522875E-2</v>
      </c>
      <c r="ES73" s="4">
        <v>3.1947876861599972E-2</v>
      </c>
      <c r="ET73" s="5">
        <v>5.9064867665931796E-2</v>
      </c>
      <c r="EU73" s="5">
        <v>5.9728356629541374E-2</v>
      </c>
      <c r="EV73" s="5">
        <v>2.5247123766635862E-2</v>
      </c>
      <c r="EW73" s="5">
        <v>2.0795334920061612E-2</v>
      </c>
      <c r="EX73" s="4">
        <v>4.3285927557787519E-2</v>
      </c>
      <c r="EY73" s="5">
        <v>7.2489622110542939E-2</v>
      </c>
      <c r="EZ73" s="5">
        <v>5.5171164844162984E-2</v>
      </c>
      <c r="FA73" s="5">
        <v>2.8408165520828685E-2</v>
      </c>
      <c r="FB73" s="5">
        <v>2.5331468256222345E-2</v>
      </c>
      <c r="FC73" s="5">
        <v>3.8618236351443215E-2</v>
      </c>
      <c r="FD73" s="5">
        <v>1.613986532495627E-2</v>
      </c>
      <c r="FE73" s="5">
        <v>6.6806891693001066E-2</v>
      </c>
      <c r="FF73" s="5">
        <v>7.8728357122617193E-2</v>
      </c>
      <c r="FG73" s="5">
        <v>7.9219034514356523E-2</v>
      </c>
      <c r="FH73" s="4">
        <v>7.8529317932473183E-2</v>
      </c>
      <c r="FI73" s="5">
        <v>5.1755560027350399E-2</v>
      </c>
      <c r="FJ73" s="5">
        <v>2.6319520021242451E-2</v>
      </c>
      <c r="FK73" s="5">
        <v>1.3329318303244729E-3</v>
      </c>
      <c r="FL73" s="5">
        <v>3.771683865415688E-3</v>
      </c>
      <c r="FM73" s="4">
        <v>6.7322942674325335E-5</v>
      </c>
      <c r="FN73" s="5">
        <v>2.9663195327850795E-2</v>
      </c>
      <c r="FO73" s="5">
        <v>3.856814069490215E-2</v>
      </c>
      <c r="FP73" s="4">
        <v>3.5499867632248681E-2</v>
      </c>
      <c r="FQ73" s="4">
        <v>1.2947991938197177E-2</v>
      </c>
      <c r="FR73" s="4">
        <v>6.6037821910943013E-4</v>
      </c>
      <c r="FS73" s="4">
        <v>6.2289359286715213E-3</v>
      </c>
      <c r="FT73" s="5">
        <v>3.1149151218739651E-2</v>
      </c>
      <c r="FU73" s="5">
        <v>5.2477468377227887E-2</v>
      </c>
      <c r="FV73" s="4">
        <v>1.3685350173951083E-2</v>
      </c>
      <c r="FW73" s="5">
        <v>2.2553713654974218E-3</v>
      </c>
      <c r="FX73" s="5">
        <v>2.444970313278912E-2</v>
      </c>
      <c r="FY73" s="5">
        <v>3.8296199395583583E-2</v>
      </c>
      <c r="FZ73" s="5">
        <v>1.9986610991935459E-2</v>
      </c>
      <c r="GA73" s="5">
        <v>7.6509175154271334E-3</v>
      </c>
      <c r="GB73" s="5">
        <v>4.3275963910786516E-3</v>
      </c>
      <c r="GC73" s="5">
        <v>1.5303511838668292E-2</v>
      </c>
      <c r="GD73" s="5">
        <v>1.4256078382600273E-2</v>
      </c>
      <c r="GE73" s="5">
        <v>2.4994648197682153E-2</v>
      </c>
      <c r="GF73" s="5">
        <v>3.0173400850954022E-2</v>
      </c>
      <c r="GG73" s="5">
        <v>2.018171182593748E-2</v>
      </c>
      <c r="GI73" s="3" t="s">
        <v>196</v>
      </c>
      <c r="GJ73" s="3" t="s">
        <v>154</v>
      </c>
      <c r="GK73" s="5">
        <v>0.19606460797088041</v>
      </c>
      <c r="GL73" s="5">
        <v>0.18347046413872065</v>
      </c>
      <c r="GM73" s="5">
        <v>0.17291851527135652</v>
      </c>
      <c r="GN73" s="5">
        <v>0.19414967699693672</v>
      </c>
      <c r="GO73" s="5">
        <v>0.17684066150348704</v>
      </c>
      <c r="GP73" s="5">
        <v>0.19344718083406229</v>
      </c>
      <c r="GQ73" s="5">
        <v>0.20328402815954053</v>
      </c>
      <c r="GR73" s="5">
        <v>0.1911950984849704</v>
      </c>
      <c r="GS73" s="5">
        <v>0.19820466637585202</v>
      </c>
      <c r="GT73" s="5">
        <v>0.21758341983432314</v>
      </c>
      <c r="GU73" s="5">
        <v>0.21510537672648294</v>
      </c>
      <c r="GV73" s="5">
        <v>0.22837625764004224</v>
      </c>
      <c r="GW73" s="5">
        <v>0.21839030507503843</v>
      </c>
      <c r="GX73" s="5">
        <v>0.19410102078579175</v>
      </c>
      <c r="GY73" s="5">
        <v>0.17981526186434646</v>
      </c>
      <c r="GZ73" s="5">
        <v>0.17034451800377631</v>
      </c>
      <c r="HA73" s="4">
        <v>0.17579895672538182</v>
      </c>
      <c r="HB73" s="5">
        <v>0.17020219122086097</v>
      </c>
      <c r="HC73" s="5">
        <v>0.15630126474150605</v>
      </c>
      <c r="HD73" s="5">
        <v>0.18471573323396429</v>
      </c>
      <c r="HE73" s="5">
        <v>0.16276912679683925</v>
      </c>
      <c r="HF73" s="5">
        <v>0.18525529504566965</v>
      </c>
      <c r="HG73" s="5">
        <v>0.21011230831529223</v>
      </c>
      <c r="HH73" s="5">
        <v>0.1877144471894126</v>
      </c>
      <c r="HI73" s="5">
        <v>0.16035750708450519</v>
      </c>
      <c r="HJ73" s="5">
        <v>0.13852588374037927</v>
      </c>
      <c r="HK73" s="5">
        <v>0.13984574524101973</v>
      </c>
      <c r="HL73" s="4">
        <v>0.17281815670075229</v>
      </c>
      <c r="HM73" s="5">
        <v>0.19104139707051185</v>
      </c>
      <c r="HN73" s="5">
        <v>0.16049732921938611</v>
      </c>
      <c r="HO73" s="5">
        <v>0.18993258136715332</v>
      </c>
      <c r="HP73" s="5">
        <v>0.16351460030151854</v>
      </c>
      <c r="HQ73" s="5">
        <v>0.16024739392175003</v>
      </c>
      <c r="HR73" s="5">
        <v>0.16172542187110475</v>
      </c>
      <c r="HS73" s="5">
        <v>0.1834015643529788</v>
      </c>
      <c r="HT73" s="5">
        <v>0.19767548795042644</v>
      </c>
      <c r="HU73" s="5">
        <v>0.2175624896645609</v>
      </c>
      <c r="HV73" s="4">
        <v>0.25605749944505785</v>
      </c>
      <c r="HW73" s="5">
        <v>0.24527390828736553</v>
      </c>
      <c r="HX73" s="5">
        <v>0.23086916299783333</v>
      </c>
      <c r="HY73" s="5">
        <v>0.1348145489747597</v>
      </c>
      <c r="HZ73" s="5">
        <v>0.15304940239937978</v>
      </c>
      <c r="IA73" s="5">
        <v>0.14639606624957785</v>
      </c>
      <c r="IB73" s="5">
        <v>0.14463318696672267</v>
      </c>
      <c r="IC73" s="5">
        <v>0.12481001426123242</v>
      </c>
      <c r="ID73" s="5">
        <v>0.11713591133974997</v>
      </c>
      <c r="IE73" s="5">
        <v>0.11579762464712524</v>
      </c>
      <c r="IF73" s="5">
        <v>0.12351894554181189</v>
      </c>
      <c r="IG73" s="5">
        <v>0.14249181322263885</v>
      </c>
      <c r="IH73" s="5">
        <v>0.14238288349113776</v>
      </c>
      <c r="II73" s="5">
        <v>8.3725011161121271E-2</v>
      </c>
      <c r="IJ73" s="5">
        <v>0.10301530902332419</v>
      </c>
      <c r="IK73" s="5">
        <v>0.12090473199259841</v>
      </c>
      <c r="IL73" s="5">
        <v>0.12252190735620197</v>
      </c>
      <c r="IM73" s="5">
        <v>0.1109694151023515</v>
      </c>
      <c r="IN73" s="5">
        <v>0.10120842536635953</v>
      </c>
      <c r="IO73" s="5">
        <v>0.10305739578123245</v>
      </c>
      <c r="IP73" s="5">
        <v>0.10501624565984186</v>
      </c>
      <c r="IQ73" s="5">
        <v>8.7470155002773275E-2</v>
      </c>
      <c r="IR73" s="5">
        <v>7.3078759413394562E-2</v>
      </c>
      <c r="JB73" s="3" t="s">
        <v>196</v>
      </c>
      <c r="JC73" s="5">
        <v>0.34447251958811309</v>
      </c>
      <c r="JD73" s="5">
        <v>0.33725746162086978</v>
      </c>
      <c r="JE73" s="4">
        <v>0.33709639854174817</v>
      </c>
      <c r="JF73" s="5">
        <v>0.33291915450788928</v>
      </c>
      <c r="JG73" s="5">
        <v>0.33869801800119181</v>
      </c>
      <c r="JH73" s="5">
        <v>0.3423278940822444</v>
      </c>
      <c r="JI73" s="5">
        <v>0.33402239461643596</v>
      </c>
      <c r="JJ73" s="5">
        <v>0.34170642855182087</v>
      </c>
      <c r="JK73" s="5">
        <v>0.35618743133141928</v>
      </c>
      <c r="JL73" s="5">
        <v>0.34787888782536791</v>
      </c>
      <c r="JM73" s="5">
        <v>0.33657417472368961</v>
      </c>
      <c r="JN73" s="4">
        <v>0.33561355707745705</v>
      </c>
      <c r="JO73" s="5">
        <v>0.34942745222623112</v>
      </c>
      <c r="JP73" s="5">
        <v>0.40030479200544156</v>
      </c>
      <c r="JQ73" s="5">
        <v>0.40938804054832645</v>
      </c>
      <c r="JR73" s="5">
        <v>0.41076767259036034</v>
      </c>
      <c r="JS73" s="5">
        <v>0.40804394586068754</v>
      </c>
      <c r="JT73" s="5">
        <v>0.37933449500981586</v>
      </c>
      <c r="JU73" s="5">
        <v>0.36591965642498986</v>
      </c>
      <c r="JV73" s="5">
        <v>0.3529246673883239</v>
      </c>
      <c r="JW73" s="4">
        <v>0.22108057419465391</v>
      </c>
      <c r="JX73" s="5">
        <v>0.21112023913400119</v>
      </c>
      <c r="JY73" s="5">
        <v>0.22713073403301634</v>
      </c>
      <c r="JZ73" s="5">
        <v>0.25760655807358857</v>
      </c>
      <c r="KA73" s="5">
        <v>0.29049517852586487</v>
      </c>
      <c r="KB73" s="5">
        <v>0.31100472663709583</v>
      </c>
      <c r="KC73" s="5">
        <v>0.31377275185052866</v>
      </c>
      <c r="KD73" s="5">
        <v>0.28652074923096443</v>
      </c>
      <c r="KE73" s="5">
        <v>0.25920651270505912</v>
      </c>
      <c r="KF73" s="4">
        <v>0.234089709855443</v>
      </c>
      <c r="KG73" s="4">
        <v>0.15783627816595075</v>
      </c>
      <c r="KH73" s="5">
        <v>0.15773141361802104</v>
      </c>
      <c r="KI73" s="5">
        <v>0.18660386262543699</v>
      </c>
      <c r="KJ73" s="5">
        <v>0.21584198345529954</v>
      </c>
      <c r="KK73" s="5">
        <v>0.24095922387118143</v>
      </c>
      <c r="KL73" s="5">
        <v>0.26148891034427796</v>
      </c>
      <c r="KM73" s="5">
        <v>0.25290900424312041</v>
      </c>
      <c r="KN73" s="5">
        <v>0.2238869140035484</v>
      </c>
      <c r="KO73" s="5">
        <v>0.18882102158296735</v>
      </c>
      <c r="KP73" s="4">
        <v>0.1691057676252227</v>
      </c>
      <c r="KQ73" s="5">
        <v>0.31008388508608947</v>
      </c>
      <c r="KR73" s="4">
        <v>0.29936457148465467</v>
      </c>
      <c r="KS73" s="5">
        <v>0.31400251926701384</v>
      </c>
      <c r="KT73" s="5">
        <v>0.35290411899801061</v>
      </c>
      <c r="KU73" s="5">
        <v>0.38694879745411209</v>
      </c>
      <c r="KV73" s="5">
        <v>0.40048639793891772</v>
      </c>
      <c r="KW73" s="5">
        <v>0.38970596036216631</v>
      </c>
      <c r="KX73" s="5">
        <v>0.35407126014489748</v>
      </c>
      <c r="KY73" s="4">
        <v>0.33945025183794808</v>
      </c>
      <c r="KZ73" s="5">
        <v>0.32802010208423377</v>
      </c>
      <c r="LA73" s="5">
        <v>0.53131110221584876</v>
      </c>
      <c r="LB73" s="5">
        <v>0.50459414601036856</v>
      </c>
      <c r="LC73" s="4">
        <v>0.49840888936867028</v>
      </c>
      <c r="LD73" s="5">
        <v>0.49331728236915035</v>
      </c>
      <c r="LE73" s="5">
        <v>0.50262880861939518</v>
      </c>
      <c r="LF73" s="5">
        <v>0.51691152949837971</v>
      </c>
      <c r="LG73" s="5">
        <v>0.50985845525764273</v>
      </c>
      <c r="LH73" s="4">
        <v>0.49729739630265002</v>
      </c>
      <c r="LI73" s="5">
        <v>0.50384476963572555</v>
      </c>
      <c r="LJ73" s="5">
        <v>0.51978907153385501</v>
      </c>
      <c r="LL73" s="3" t="s">
        <v>219</v>
      </c>
      <c r="LM73" s="3" t="s">
        <v>160</v>
      </c>
      <c r="LN73" s="3" t="s">
        <v>161</v>
      </c>
      <c r="LO73" s="5">
        <v>0.76524255214850789</v>
      </c>
    </row>
    <row r="74" spans="2:327" x14ac:dyDescent="0.45">
      <c r="B74" s="6" t="s">
        <v>198</v>
      </c>
      <c r="C74" s="6" t="s">
        <v>151</v>
      </c>
      <c r="D74" s="8">
        <v>0.27967545140307248</v>
      </c>
      <c r="E74" s="8">
        <v>0.2807239945748104</v>
      </c>
      <c r="F74" s="8">
        <v>0.27666973406083517</v>
      </c>
      <c r="G74" s="8">
        <v>0.28119665195995752</v>
      </c>
      <c r="H74" s="8">
        <v>0.29875077905866787</v>
      </c>
      <c r="I74" s="8">
        <v>0.30996358281570868</v>
      </c>
      <c r="J74" s="8">
        <v>0.31609068734865503</v>
      </c>
      <c r="K74" s="8">
        <v>0.30023175479667075</v>
      </c>
      <c r="L74" s="8">
        <v>0.28273529578586909</v>
      </c>
      <c r="M74" s="8">
        <v>0.28356069251918464</v>
      </c>
      <c r="N74" s="8">
        <v>0.29583247789183037</v>
      </c>
      <c r="O74" s="8">
        <v>0.28110774443030712</v>
      </c>
      <c r="P74" s="8">
        <v>0.29036048807687409</v>
      </c>
      <c r="Q74" s="8">
        <v>0.28912563688387355</v>
      </c>
      <c r="R74" s="8">
        <v>0.28514931265413535</v>
      </c>
      <c r="S74" s="8">
        <v>0.28982737700825034</v>
      </c>
      <c r="T74" s="8">
        <v>0.29468688233948842</v>
      </c>
      <c r="U74" s="8">
        <v>0.30455745564162523</v>
      </c>
      <c r="V74" s="8">
        <v>0.30707816028720297</v>
      </c>
      <c r="W74" s="8">
        <v>0.29413645283811213</v>
      </c>
      <c r="X74" s="8">
        <v>0.38523628366908935</v>
      </c>
      <c r="Y74" s="8">
        <v>0.37960495776701864</v>
      </c>
      <c r="Z74" s="8">
        <v>0.39418800920618413</v>
      </c>
      <c r="AA74" s="8">
        <v>0.37951900407443556</v>
      </c>
      <c r="AB74" s="8">
        <v>0.36644970519530273</v>
      </c>
      <c r="AC74" s="8">
        <v>0.36033010171613405</v>
      </c>
      <c r="AD74" s="8">
        <v>0.35551422602237726</v>
      </c>
      <c r="AE74" s="8">
        <v>0.36850383654341268</v>
      </c>
      <c r="AF74" s="8">
        <v>0.36625130362830538</v>
      </c>
      <c r="AG74" s="8">
        <v>0.37028754256970164</v>
      </c>
      <c r="AH74" s="8">
        <v>0.3660495609883555</v>
      </c>
      <c r="AI74" s="8">
        <v>0.37317365152463194</v>
      </c>
      <c r="AJ74" s="8">
        <v>0.40225659701024868</v>
      </c>
      <c r="AK74" s="8">
        <v>0.42741406656241815</v>
      </c>
      <c r="AL74" s="8">
        <v>0.39607606857685673</v>
      </c>
      <c r="AM74" s="8">
        <v>0.37289751919252379</v>
      </c>
      <c r="AN74" s="8">
        <v>0.3590985106353658</v>
      </c>
      <c r="AO74" s="8">
        <v>0.36732396922044708</v>
      </c>
      <c r="AP74" s="8">
        <v>0.3547127839459418</v>
      </c>
      <c r="AQ74" s="8">
        <v>0.32824794444086469</v>
      </c>
      <c r="AR74" s="8">
        <v>0.28043051532103075</v>
      </c>
      <c r="AS74" s="8">
        <v>0.29248033603191653</v>
      </c>
      <c r="AT74" s="8">
        <v>0.29391648940083398</v>
      </c>
      <c r="AU74" s="8">
        <v>0.29872831819563006</v>
      </c>
      <c r="AV74" s="8">
        <v>0.28759399277752501</v>
      </c>
      <c r="AW74" s="8">
        <v>0.29460222357975968</v>
      </c>
      <c r="AX74" s="8">
        <v>0.29557760479616019</v>
      </c>
      <c r="AY74" s="8">
        <v>0.27581933464519681</v>
      </c>
      <c r="AZ74" s="8">
        <v>0.25900460536014497</v>
      </c>
      <c r="BA74" s="8">
        <v>0.26347460356072078</v>
      </c>
      <c r="BB74" s="8">
        <v>0.25267684513617927</v>
      </c>
      <c r="BC74" s="8">
        <v>0.24167525058804634</v>
      </c>
      <c r="BD74" s="8">
        <v>0.24065646797448084</v>
      </c>
      <c r="BE74" s="8">
        <v>0.24514266785409677</v>
      </c>
      <c r="BF74" s="8">
        <v>0.26940953750156188</v>
      </c>
      <c r="BG74" s="8">
        <v>0.27529156155162993</v>
      </c>
      <c r="BH74" s="8">
        <v>0.28394806442435455</v>
      </c>
      <c r="BI74" s="8">
        <v>0.26639870491292716</v>
      </c>
      <c r="BJ74" s="8">
        <v>0.25918648846766967</v>
      </c>
      <c r="BK74" s="8">
        <v>0.25784858879303602</v>
      </c>
      <c r="BM74" s="6" t="s">
        <v>198</v>
      </c>
      <c r="BN74" s="6" t="s">
        <v>152</v>
      </c>
      <c r="BO74" s="8">
        <v>1.8539818011028587E-2</v>
      </c>
      <c r="BP74" s="8">
        <v>2.3877863221567559E-3</v>
      </c>
      <c r="BQ74" s="7">
        <v>1.0624466435906726E-3</v>
      </c>
      <c r="BR74" s="8">
        <v>1.4608354414625109E-2</v>
      </c>
      <c r="BS74" s="8">
        <v>2.6159981465745896E-2</v>
      </c>
      <c r="BT74" s="8">
        <v>1.3050643170079226E-2</v>
      </c>
      <c r="BU74" s="7">
        <v>2.2118185363261204E-2</v>
      </c>
      <c r="BV74" s="8">
        <v>2.312871701115881E-2</v>
      </c>
      <c r="BW74" s="7">
        <v>7.6921040255187719E-3</v>
      </c>
      <c r="BX74" s="8">
        <v>2.4199342237306506E-2</v>
      </c>
      <c r="BY74" s="7">
        <v>1.5757659881829745E-2</v>
      </c>
      <c r="BZ74" s="7">
        <v>2.6452463811616318E-2</v>
      </c>
      <c r="CA74" s="7">
        <v>2.9947401197049046E-2</v>
      </c>
      <c r="CB74" s="7">
        <v>2.0607074657526179E-2</v>
      </c>
      <c r="CC74" s="7">
        <v>1.8937130268031538E-2</v>
      </c>
      <c r="CD74" s="8">
        <v>1.1018471232035521E-2</v>
      </c>
      <c r="CE74" s="7">
        <v>3.0629911437564865E-3</v>
      </c>
      <c r="CF74" s="8">
        <v>0</v>
      </c>
      <c r="CG74" s="7">
        <v>1.1411536727865357E-3</v>
      </c>
      <c r="CH74" s="8">
        <v>7.779025907449999E-3</v>
      </c>
      <c r="CI74" s="8">
        <v>1.6031424378306881E-2</v>
      </c>
      <c r="CJ74" s="7">
        <v>8.5149478840213823E-3</v>
      </c>
      <c r="CK74" s="8">
        <v>8.3694426972681663E-3</v>
      </c>
      <c r="CL74" s="7">
        <v>3.1455556025727374E-2</v>
      </c>
      <c r="CM74" s="8">
        <v>4.7257468052031681E-2</v>
      </c>
      <c r="CN74" s="8">
        <v>4.9546695101674178E-2</v>
      </c>
      <c r="CO74" s="8">
        <v>1.6596701565600662E-2</v>
      </c>
      <c r="CP74" s="8">
        <v>2.0809053835950594E-2</v>
      </c>
      <c r="CQ74" s="8">
        <v>3.7093607008096337E-2</v>
      </c>
      <c r="CR74" s="8">
        <v>2.0740152061258097E-2</v>
      </c>
      <c r="CS74" s="8">
        <v>2.8436009722317794E-2</v>
      </c>
      <c r="CT74" s="8">
        <v>2.7873021429867129E-2</v>
      </c>
      <c r="CU74" s="7">
        <v>1.006069503921974E-2</v>
      </c>
      <c r="CV74" s="7">
        <v>2.4819973281277812E-2</v>
      </c>
      <c r="CW74" s="8">
        <v>2.3504052794092551E-3</v>
      </c>
      <c r="CX74" s="7">
        <v>1.586318956445629E-2</v>
      </c>
      <c r="CY74" s="7">
        <v>1.9310251462942019E-2</v>
      </c>
      <c r="CZ74" s="7">
        <v>3.5808715050402985E-2</v>
      </c>
      <c r="DA74" s="7">
        <v>1.3501821976719766E-2</v>
      </c>
      <c r="DB74" s="8">
        <v>3.4901604081246165E-2</v>
      </c>
      <c r="DC74" s="8">
        <v>2.7098230896503924E-2</v>
      </c>
      <c r="DD74" s="7">
        <v>2.8431326328257216E-2</v>
      </c>
      <c r="DE74" s="7">
        <v>4.5752338360136348E-2</v>
      </c>
      <c r="DF74" s="8">
        <v>5.5925018103433297E-2</v>
      </c>
      <c r="DG74" s="8">
        <v>4.0012728109776477E-2</v>
      </c>
      <c r="DH74" s="7">
        <v>2.6450188753002313E-2</v>
      </c>
      <c r="DI74" s="7">
        <v>6.9538580634183732E-3</v>
      </c>
      <c r="DJ74" s="7">
        <v>0</v>
      </c>
      <c r="DK74" s="7">
        <v>6.2767252374054307E-3</v>
      </c>
      <c r="DL74" s="8">
        <v>2.1201332069672122E-2</v>
      </c>
      <c r="DM74" s="8">
        <v>1.456818386351188E-2</v>
      </c>
      <c r="DN74" s="8">
        <v>2.1394368621463499E-2</v>
      </c>
      <c r="DO74" s="8">
        <v>3.0850950292448887E-2</v>
      </c>
      <c r="DP74" s="8">
        <v>3.1072930239890315E-2</v>
      </c>
      <c r="DQ74" s="8">
        <v>7.8429030343088388E-3</v>
      </c>
      <c r="DR74" s="8">
        <v>2.2992433665358317E-2</v>
      </c>
      <c r="DS74" s="8">
        <v>9.0460185657723711E-3</v>
      </c>
      <c r="DT74" s="7">
        <v>1.226620451882799E-2</v>
      </c>
      <c r="DU74" s="8">
        <v>1.5105157029287429E-2</v>
      </c>
      <c r="DV74" s="8">
        <v>2.1763268130773148E-2</v>
      </c>
      <c r="DX74" s="6" t="s">
        <v>198</v>
      </c>
      <c r="DY74" s="6" t="s">
        <v>153</v>
      </c>
      <c r="DZ74" s="7">
        <v>1.4895137160582692E-2</v>
      </c>
      <c r="EA74" s="8">
        <v>2.239863783298893E-2</v>
      </c>
      <c r="EB74" s="8">
        <v>2.116583181424013E-2</v>
      </c>
      <c r="EC74" s="8">
        <v>3.770999656725187E-3</v>
      </c>
      <c r="ED74" s="7">
        <v>0</v>
      </c>
      <c r="EE74" s="8">
        <v>1.7686758567306064E-2</v>
      </c>
      <c r="EF74" s="7">
        <v>2.0030604817101335E-2</v>
      </c>
      <c r="EG74" s="8">
        <v>2.1723597564188353E-2</v>
      </c>
      <c r="EH74" s="8">
        <v>3.8729171556965106E-2</v>
      </c>
      <c r="EI74" s="8">
        <v>2.8675128015312194E-2</v>
      </c>
      <c r="EJ74" s="8">
        <v>9.466672617531478E-3</v>
      </c>
      <c r="EK74" s="8">
        <v>6.3865385850031577E-3</v>
      </c>
      <c r="EL74" s="8">
        <v>1.0327400124771482E-2</v>
      </c>
      <c r="EM74" s="8">
        <v>2.7251942444091331E-2</v>
      </c>
      <c r="EN74" s="8">
        <v>2.8006251646798354E-2</v>
      </c>
      <c r="EO74" s="7">
        <v>1.8326624107008856E-2</v>
      </c>
      <c r="EP74" s="7">
        <v>2.6975926943440146E-2</v>
      </c>
      <c r="EQ74" s="7">
        <v>2.2922742310885993E-2</v>
      </c>
      <c r="ER74" s="7">
        <v>6.4518694242198232E-3</v>
      </c>
      <c r="ES74" s="7">
        <v>0</v>
      </c>
      <c r="ET74" s="8">
        <v>3.9443889473245827E-2</v>
      </c>
      <c r="EU74" s="8">
        <v>3.7514850445697627E-2</v>
      </c>
      <c r="EV74" s="8">
        <v>4.3557058233113156E-2</v>
      </c>
      <c r="EW74" s="8">
        <v>3.048209767815091E-2</v>
      </c>
      <c r="EX74" s="7">
        <v>1.7626344541732702E-2</v>
      </c>
      <c r="EY74" s="8">
        <v>3.6840577700002396E-2</v>
      </c>
      <c r="EZ74" s="8">
        <v>5.2430420631316046E-2</v>
      </c>
      <c r="FA74" s="8">
        <v>4.4613295629711711E-2</v>
      </c>
      <c r="FB74" s="8">
        <v>3.0117258777498514E-2</v>
      </c>
      <c r="FC74" s="8">
        <v>5.5847737889394226E-2</v>
      </c>
      <c r="FD74" s="8">
        <v>4.1444306858122115E-2</v>
      </c>
      <c r="FE74" s="8">
        <v>6.9713026401379385E-2</v>
      </c>
      <c r="FF74" s="8">
        <v>6.3600476138744214E-2</v>
      </c>
      <c r="FG74" s="8">
        <v>3.0500368823774271E-2</v>
      </c>
      <c r="FH74" s="7">
        <v>4.972523319955343E-2</v>
      </c>
      <c r="FI74" s="8">
        <v>3.2773553280948393E-2</v>
      </c>
      <c r="FJ74" s="8">
        <v>2.7599899316082831E-2</v>
      </c>
      <c r="FK74" s="8">
        <v>7.7451119205501654E-3</v>
      </c>
      <c r="FL74" s="8">
        <v>4.4370114147193808E-2</v>
      </c>
      <c r="FM74" s="7">
        <v>5.6587342772950716E-2</v>
      </c>
      <c r="FN74" s="8">
        <v>3.4844156824133117E-2</v>
      </c>
      <c r="FO74" s="8">
        <v>3.8710781712926294E-2</v>
      </c>
      <c r="FP74" s="7">
        <v>3.5977073371057079E-2</v>
      </c>
      <c r="FQ74" s="7">
        <v>2.5935387845034092E-2</v>
      </c>
      <c r="FR74" s="7">
        <v>5.7935895587498322E-2</v>
      </c>
      <c r="FS74" s="7">
        <v>7.5150940339504382E-2</v>
      </c>
      <c r="FT74" s="8">
        <v>5.3605550000006962E-2</v>
      </c>
      <c r="FU74" s="8">
        <v>1.3237392811993058E-2</v>
      </c>
      <c r="FV74" s="7">
        <v>0</v>
      </c>
      <c r="FW74" s="8">
        <v>1.643634082508282E-3</v>
      </c>
      <c r="FX74" s="8">
        <v>2.5330596567078624E-2</v>
      </c>
      <c r="FY74" s="8">
        <v>2.3057755400374521E-2</v>
      </c>
      <c r="FZ74" s="8">
        <v>1.5988293884909729E-2</v>
      </c>
      <c r="GA74" s="8">
        <v>1.2603687135204862E-2</v>
      </c>
      <c r="GB74" s="8">
        <v>3.5030930854630646E-2</v>
      </c>
      <c r="GC74" s="8">
        <v>2.7614921202111987E-2</v>
      </c>
      <c r="GD74" s="8">
        <v>3.0375553325758291E-2</v>
      </c>
      <c r="GE74" s="8">
        <v>2.2649628798638931E-2</v>
      </c>
      <c r="GF74" s="8">
        <v>1.3463050685131882E-2</v>
      </c>
      <c r="GG74" s="8">
        <v>1.0949220393052243E-2</v>
      </c>
      <c r="GI74" s="6" t="s">
        <v>198</v>
      </c>
      <c r="GJ74" s="6" t="s">
        <v>154</v>
      </c>
      <c r="GK74" s="8">
        <v>0.13678955917655247</v>
      </c>
      <c r="GL74" s="8">
        <v>0.15114365529350549</v>
      </c>
      <c r="GM74" s="8">
        <v>0.15042792341342756</v>
      </c>
      <c r="GN74" s="8">
        <v>0.1601815850259532</v>
      </c>
      <c r="GO74" s="8">
        <v>0.16190362423927021</v>
      </c>
      <c r="GP74" s="8">
        <v>0.15105017486294595</v>
      </c>
      <c r="GQ74" s="8">
        <v>0.14475173730997573</v>
      </c>
      <c r="GR74" s="8">
        <v>0.14244967201886849</v>
      </c>
      <c r="GS74" s="8">
        <v>0.13778143820708016</v>
      </c>
      <c r="GT74" s="8">
        <v>0.11964148341338379</v>
      </c>
      <c r="GU74" s="8">
        <v>0.14798379286080579</v>
      </c>
      <c r="GV74" s="8">
        <v>0.13258013064209193</v>
      </c>
      <c r="GW74" s="8">
        <v>0.13292864176509447</v>
      </c>
      <c r="GX74" s="8">
        <v>0.11199731100253274</v>
      </c>
      <c r="GY74" s="8">
        <v>0.11296494314752009</v>
      </c>
      <c r="GZ74" s="8">
        <v>0.13762002869552606</v>
      </c>
      <c r="HA74" s="7">
        <v>0.14072301839912865</v>
      </c>
      <c r="HB74" s="8">
        <v>0.15428267717753322</v>
      </c>
      <c r="HC74" s="8">
        <v>0.17791156726914176</v>
      </c>
      <c r="HD74" s="8">
        <v>0.16252434967634596</v>
      </c>
      <c r="HE74" s="8">
        <v>0.19033780077881837</v>
      </c>
      <c r="HF74" s="8">
        <v>0.19526982255344433</v>
      </c>
      <c r="HG74" s="8">
        <v>0.19538227492172192</v>
      </c>
      <c r="HH74" s="8">
        <v>0.17970006606017452</v>
      </c>
      <c r="HI74" s="8">
        <v>0.17074678553202141</v>
      </c>
      <c r="HJ74" s="8">
        <v>0.13654404667109055</v>
      </c>
      <c r="HK74" s="8">
        <v>0.14147904614108861</v>
      </c>
      <c r="HL74" s="7">
        <v>0.15561968890646113</v>
      </c>
      <c r="HM74" s="8">
        <v>0.16684726770101738</v>
      </c>
      <c r="HN74" s="8">
        <v>0.15974129776661999</v>
      </c>
      <c r="HO74" s="8">
        <v>0.17949850007721432</v>
      </c>
      <c r="HP74" s="8">
        <v>0.16342018133296934</v>
      </c>
      <c r="HQ74" s="8">
        <v>0.2008745904106784</v>
      </c>
      <c r="HR74" s="8">
        <v>0.24481824220242204</v>
      </c>
      <c r="HS74" s="8">
        <v>0.22457598103731827</v>
      </c>
      <c r="HT74" s="8">
        <v>0.20012608478835534</v>
      </c>
      <c r="HU74" s="8">
        <v>0.18694833840425579</v>
      </c>
      <c r="HV74" s="7">
        <v>0.2029982002196595</v>
      </c>
      <c r="HW74" s="8">
        <v>0.18816622659316423</v>
      </c>
      <c r="HX74" s="8">
        <v>0.13062952815355125</v>
      </c>
      <c r="HY74" s="8">
        <v>0.1178540263536578</v>
      </c>
      <c r="HZ74" s="8">
        <v>0.11036035919803378</v>
      </c>
      <c r="IA74" s="8">
        <v>9.9784450101683062E-2</v>
      </c>
      <c r="IB74" s="8">
        <v>9.2784467525401565E-2</v>
      </c>
      <c r="IC74" s="8">
        <v>7.5110382372530426E-2</v>
      </c>
      <c r="ID74" s="8">
        <v>7.631818780297317E-2</v>
      </c>
      <c r="IE74" s="8">
        <v>0.11974764016256297</v>
      </c>
      <c r="IF74" s="8">
        <v>0.15792484124106343</v>
      </c>
      <c r="IG74" s="8">
        <v>0.15675253409647591</v>
      </c>
      <c r="IH74" s="8">
        <v>0.14040874381046498</v>
      </c>
      <c r="II74" s="8">
        <v>9.9699652114609558E-2</v>
      </c>
      <c r="IJ74" s="8">
        <v>9.2045528149035966E-2</v>
      </c>
      <c r="IK74" s="8">
        <v>8.8628758753255849E-2</v>
      </c>
      <c r="IL74" s="8">
        <v>0.10224435850238221</v>
      </c>
      <c r="IM74" s="8">
        <v>0.11450057916042801</v>
      </c>
      <c r="IN74" s="8">
        <v>0.10508497241810977</v>
      </c>
      <c r="IO74" s="8">
        <v>0.12348540844386995</v>
      </c>
      <c r="IP74" s="8">
        <v>0.11409853901560045</v>
      </c>
      <c r="IQ74" s="8">
        <v>0.10896017616751363</v>
      </c>
      <c r="IR74" s="8">
        <v>9.992213365501125E-2</v>
      </c>
      <c r="JB74" s="6" t="s">
        <v>198</v>
      </c>
      <c r="JC74" s="8">
        <v>0.45550556087085486</v>
      </c>
      <c r="JD74" s="8">
        <v>0.43813347725769652</v>
      </c>
      <c r="JE74" s="7">
        <v>0.43385982074172308</v>
      </c>
      <c r="JF74" s="8">
        <v>0.44234909507689713</v>
      </c>
      <c r="JG74" s="8">
        <v>0.44555884226741999</v>
      </c>
      <c r="JH74" s="8">
        <v>0.45979485884029087</v>
      </c>
      <c r="JI74" s="8">
        <v>0.45117304848031797</v>
      </c>
      <c r="JJ74" s="8">
        <v>0.44651724305310925</v>
      </c>
      <c r="JK74" s="8">
        <v>0.44699368974034764</v>
      </c>
      <c r="JL74" s="8">
        <v>0.46106105328763775</v>
      </c>
      <c r="JM74" s="8">
        <v>0.44886507538446296</v>
      </c>
      <c r="JN74" s="7">
        <v>0.43967625980624664</v>
      </c>
      <c r="JO74" s="8">
        <v>0.43466333158316844</v>
      </c>
      <c r="JP74" s="8">
        <v>0.49037115579845447</v>
      </c>
      <c r="JQ74" s="8">
        <v>0.50122932601167247</v>
      </c>
      <c r="JR74" s="8">
        <v>0.49817935100466959</v>
      </c>
      <c r="JS74" s="8">
        <v>0.49024283657703221</v>
      </c>
      <c r="JT74" s="8">
        <v>0.45414621293389229</v>
      </c>
      <c r="JU74" s="8">
        <v>0.43679656848023801</v>
      </c>
      <c r="JV74" s="8">
        <v>0.45405698323128268</v>
      </c>
      <c r="JW74" s="7">
        <v>0.30933356875816415</v>
      </c>
      <c r="JX74" s="8">
        <v>0.32496176855645031</v>
      </c>
      <c r="JY74" s="8">
        <v>0.33992014730871639</v>
      </c>
      <c r="JZ74" s="8">
        <v>0.34370619903383437</v>
      </c>
      <c r="KA74" s="8">
        <v>0.34832268445908526</v>
      </c>
      <c r="KB74" s="8">
        <v>0.35198518750069341</v>
      </c>
      <c r="KC74" s="8">
        <v>0.35370766335617904</v>
      </c>
      <c r="KD74" s="8">
        <v>0.33763395541641755</v>
      </c>
      <c r="KE74" s="8">
        <v>0.30963405308076947</v>
      </c>
      <c r="KF74" s="7">
        <v>0.30042419101265699</v>
      </c>
      <c r="KG74" s="7">
        <v>0.20567099457508506</v>
      </c>
      <c r="KH74" s="8">
        <v>0.20844060561700747</v>
      </c>
      <c r="KI74" s="8">
        <v>0.21975054947280886</v>
      </c>
      <c r="KJ74" s="8">
        <v>0.22663199197782416</v>
      </c>
      <c r="KK74" s="8">
        <v>0.22614836531282448</v>
      </c>
      <c r="KL74" s="8">
        <v>0.24136980896526844</v>
      </c>
      <c r="KM74" s="8">
        <v>0.23290029161537579</v>
      </c>
      <c r="KN74" s="8">
        <v>0.20868158698011954</v>
      </c>
      <c r="KO74" s="8">
        <v>0.19035848779992484</v>
      </c>
      <c r="KP74" s="7">
        <v>0.19535812145010692</v>
      </c>
      <c r="KQ74" s="8">
        <v>0.35766617225606828</v>
      </c>
      <c r="KR74" s="7">
        <v>0.36952675806813506</v>
      </c>
      <c r="KS74" s="8">
        <v>0.38407933944029754</v>
      </c>
      <c r="KT74" s="8">
        <v>0.42223574091523508</v>
      </c>
      <c r="KU74" s="8">
        <v>0.44738751380379777</v>
      </c>
      <c r="KV74" s="8">
        <v>0.44070091017556973</v>
      </c>
      <c r="KW74" s="8">
        <v>0.4136910235410558</v>
      </c>
      <c r="KX74" s="8">
        <v>0.36895135310230337</v>
      </c>
      <c r="KY74" s="7">
        <v>0.3710786228745766</v>
      </c>
      <c r="KZ74" s="8">
        <v>0.37279614802638095</v>
      </c>
      <c r="LA74" s="8">
        <v>0.5409290640856983</v>
      </c>
      <c r="LB74" s="8">
        <v>0.53513904296684722</v>
      </c>
      <c r="LC74" s="7">
        <v>0.54153041443935213</v>
      </c>
      <c r="LD74" s="8">
        <v>0.52844940591669065</v>
      </c>
      <c r="LE74" s="8">
        <v>0.50334179796430345</v>
      </c>
      <c r="LF74" s="8">
        <v>0.52092534923175782</v>
      </c>
      <c r="LG74" s="8">
        <v>0.52532104066139207</v>
      </c>
      <c r="LH74" s="7">
        <v>0.53682196345345001</v>
      </c>
      <c r="LI74" s="8">
        <v>0.55651452689788661</v>
      </c>
      <c r="LJ74" s="8">
        <v>0.57743214721514147</v>
      </c>
      <c r="LL74" s="6" t="s">
        <v>221</v>
      </c>
      <c r="LM74" s="6" t="s">
        <v>160</v>
      </c>
      <c r="LN74" s="6" t="s">
        <v>161</v>
      </c>
      <c r="LO74" s="8">
        <v>0.7838782406302951</v>
      </c>
    </row>
    <row r="75" spans="2:327" x14ac:dyDescent="0.45">
      <c r="B75" s="3" t="s">
        <v>200</v>
      </c>
      <c r="C75" s="3" t="s">
        <v>151</v>
      </c>
      <c r="D75" s="5">
        <v>0.29407450399130469</v>
      </c>
      <c r="E75" s="5">
        <v>0.28512909235587824</v>
      </c>
      <c r="F75" s="5">
        <v>0.28220526547176583</v>
      </c>
      <c r="G75" s="5">
        <v>0.30257678088468537</v>
      </c>
      <c r="H75" s="5">
        <v>0.32042993019609933</v>
      </c>
      <c r="I75" s="5">
        <v>0.32811637144526307</v>
      </c>
      <c r="J75" s="5">
        <v>0.32932516709304488</v>
      </c>
      <c r="K75" s="5">
        <v>0.31554391742195226</v>
      </c>
      <c r="L75" s="5">
        <v>0.29713846403791994</v>
      </c>
      <c r="M75" s="5">
        <v>0.29788783342960745</v>
      </c>
      <c r="N75" s="5">
        <v>0.30590286180099319</v>
      </c>
      <c r="O75" s="5">
        <v>0.30252709268515859</v>
      </c>
      <c r="P75" s="5">
        <v>0.32255187174804356</v>
      </c>
      <c r="Q75" s="5">
        <v>0.33057165836740576</v>
      </c>
      <c r="R75" s="5">
        <v>0.33650303479942884</v>
      </c>
      <c r="S75" s="5">
        <v>0.33494138029505122</v>
      </c>
      <c r="T75" s="5">
        <v>0.3117923662694258</v>
      </c>
      <c r="U75" s="5">
        <v>0.30760105685467876</v>
      </c>
      <c r="V75" s="5">
        <v>0.3113503674956859</v>
      </c>
      <c r="W75" s="5">
        <v>0.31944841720634753</v>
      </c>
      <c r="X75" s="5">
        <v>0.32252152733667749</v>
      </c>
      <c r="Y75" s="5">
        <v>0.30334836713450636</v>
      </c>
      <c r="Z75" s="5">
        <v>0.33609932511471841</v>
      </c>
      <c r="AA75" s="5">
        <v>0.31840854396574575</v>
      </c>
      <c r="AB75" s="5">
        <v>0.32768240466476267</v>
      </c>
      <c r="AC75" s="5">
        <v>0.32056123672488457</v>
      </c>
      <c r="AD75" s="5">
        <v>0.31799320101996897</v>
      </c>
      <c r="AE75" s="5">
        <v>0.33134431513755852</v>
      </c>
      <c r="AF75" s="5">
        <v>0.33711702701270463</v>
      </c>
      <c r="AG75" s="5">
        <v>0.33336565524491046</v>
      </c>
      <c r="AH75" s="5">
        <v>0.31143472770985658</v>
      </c>
      <c r="AI75" s="5">
        <v>0.32841366096383029</v>
      </c>
      <c r="AJ75" s="5">
        <v>0.38796528268492519</v>
      </c>
      <c r="AK75" s="5">
        <v>0.37013315580029527</v>
      </c>
      <c r="AL75" s="5">
        <v>0.38211661220376447</v>
      </c>
      <c r="AM75" s="5">
        <v>0.3762371665162057</v>
      </c>
      <c r="AN75" s="5">
        <v>0.35795229602008483</v>
      </c>
      <c r="AO75" s="5">
        <v>0.34333714981292518</v>
      </c>
      <c r="AP75" s="5">
        <v>0.30668973976561614</v>
      </c>
      <c r="AQ75" s="5">
        <v>0.28441789625166086</v>
      </c>
      <c r="AR75" s="5">
        <v>0.29553554472532428</v>
      </c>
      <c r="AS75" s="5">
        <v>0.30320248703260644</v>
      </c>
      <c r="AT75" s="5">
        <v>0.3254287668368826</v>
      </c>
      <c r="AU75" s="5">
        <v>0.34584643376083274</v>
      </c>
      <c r="AV75" s="5">
        <v>0.34296747750983347</v>
      </c>
      <c r="AW75" s="5">
        <v>0.32454408824742625</v>
      </c>
      <c r="AX75" s="5">
        <v>0.32749544937764763</v>
      </c>
      <c r="AY75" s="5">
        <v>0.32510025194171344</v>
      </c>
      <c r="AZ75" s="5">
        <v>0.31765668484368303</v>
      </c>
      <c r="BA75" s="5">
        <v>0.29965972752270686</v>
      </c>
      <c r="BB75" s="5">
        <v>0.24820894056899687</v>
      </c>
      <c r="BC75" s="5">
        <v>0.23376370019089504</v>
      </c>
      <c r="BD75" s="5">
        <v>0.24608465524189965</v>
      </c>
      <c r="BE75" s="5">
        <v>0.27253793142238342</v>
      </c>
      <c r="BF75" s="5">
        <v>0.28980098768633727</v>
      </c>
      <c r="BG75" s="5">
        <v>0.29605506468832349</v>
      </c>
      <c r="BH75" s="5">
        <v>0.27596442700044349</v>
      </c>
      <c r="BI75" s="5">
        <v>0.24951689880935979</v>
      </c>
      <c r="BJ75" s="5">
        <v>0.23129111541725228</v>
      </c>
      <c r="BK75" s="5">
        <v>0.26175700083092185</v>
      </c>
      <c r="BM75" s="3" t="s">
        <v>200</v>
      </c>
      <c r="BN75" s="3" t="s">
        <v>152</v>
      </c>
      <c r="BO75" s="5">
        <v>1.0040832757336868E-2</v>
      </c>
      <c r="BP75" s="5">
        <v>3.1386949162652382E-3</v>
      </c>
      <c r="BQ75" s="4">
        <v>1.5099288725383263E-2</v>
      </c>
      <c r="BR75" s="5">
        <v>4.0396563709776394E-2</v>
      </c>
      <c r="BS75" s="5">
        <v>4.0977124519400707E-2</v>
      </c>
      <c r="BT75" s="5">
        <v>2.0718717258339552E-2</v>
      </c>
      <c r="BU75" s="4">
        <v>2.1284800748798162E-2</v>
      </c>
      <c r="BV75" s="5">
        <v>1.6183234827976154E-2</v>
      </c>
      <c r="BW75" s="4">
        <v>9.886941249618723E-3</v>
      </c>
      <c r="BX75" s="5">
        <v>3.7947256594921186E-3</v>
      </c>
      <c r="BY75" s="4">
        <v>3.5464931665798532E-3</v>
      </c>
      <c r="BZ75" s="4">
        <v>7.9200994506878324E-3</v>
      </c>
      <c r="CA75" s="4">
        <v>1.1950645569731026E-2</v>
      </c>
      <c r="CB75" s="4">
        <v>1.8587006040299777E-2</v>
      </c>
      <c r="CC75" s="4">
        <v>1.2718808176934051E-2</v>
      </c>
      <c r="CD75" s="5">
        <v>1.7078179309778473E-2</v>
      </c>
      <c r="CE75" s="4">
        <v>2.306314383230627E-2</v>
      </c>
      <c r="CF75" s="5">
        <v>7.3330925300812162E-3</v>
      </c>
      <c r="CG75" s="4">
        <v>2.2764333086205866E-3</v>
      </c>
      <c r="CH75" s="5">
        <v>9.51337601322934E-3</v>
      </c>
      <c r="CI75" s="5">
        <v>1.2485296025783755E-2</v>
      </c>
      <c r="CJ75" s="4">
        <v>2.2350847620627647E-2</v>
      </c>
      <c r="CK75" s="5">
        <v>3.9116308911145226E-3</v>
      </c>
      <c r="CL75" s="4">
        <v>5.6246836668158032E-3</v>
      </c>
      <c r="CM75" s="5">
        <v>1.4169510324267727E-2</v>
      </c>
      <c r="CN75" s="5">
        <v>2.1306958691346585E-2</v>
      </c>
      <c r="CO75" s="5">
        <v>2.2029502812455849E-2</v>
      </c>
      <c r="CP75" s="5">
        <v>2.8271186902328493E-2</v>
      </c>
      <c r="CQ75" s="5">
        <v>2.3031610493195329E-2</v>
      </c>
      <c r="CR75" s="5">
        <v>1.7014637376291945E-2</v>
      </c>
      <c r="CS75" s="5">
        <v>3.4069479868237891E-2</v>
      </c>
      <c r="CT75" s="5">
        <v>2.8433859870883114E-2</v>
      </c>
      <c r="CU75" s="4">
        <v>1.7373286267855559E-2</v>
      </c>
      <c r="CV75" s="4">
        <v>4.3078072731069554E-2</v>
      </c>
      <c r="CW75" s="5">
        <v>8.1070529886665271E-2</v>
      </c>
      <c r="CX75" s="4">
        <v>9.5420672806712917E-2</v>
      </c>
      <c r="CY75" s="4">
        <v>3.2006476457086763E-2</v>
      </c>
      <c r="CZ75" s="4">
        <v>4.1141878390089795E-3</v>
      </c>
      <c r="DA75" s="4">
        <v>2.256429870329912E-2</v>
      </c>
      <c r="DB75" s="5">
        <v>4.7435563684551173E-2</v>
      </c>
      <c r="DC75" s="5">
        <v>7.1039783242563088E-3</v>
      </c>
      <c r="DD75" s="4">
        <v>7.6633056571919697E-3</v>
      </c>
      <c r="DE75" s="4">
        <v>1.540993820871841E-2</v>
      </c>
      <c r="DF75" s="5">
        <v>2.2521618914971717E-2</v>
      </c>
      <c r="DG75" s="5">
        <v>3.096161254653829E-2</v>
      </c>
      <c r="DH75" s="4">
        <v>3.7055493654973119E-2</v>
      </c>
      <c r="DI75" s="4">
        <v>3.6619239207343959E-2</v>
      </c>
      <c r="DJ75" s="4">
        <v>2.2280807669993512E-2</v>
      </c>
      <c r="DK75" s="4">
        <v>3.3460485640301393E-2</v>
      </c>
      <c r="DL75" s="5">
        <v>9.655002000058319E-3</v>
      </c>
      <c r="DM75" s="5">
        <v>2.0730153858783285E-2</v>
      </c>
      <c r="DN75" s="5">
        <v>1.9028081975303392E-2</v>
      </c>
      <c r="DO75" s="5">
        <v>2.1085412535975966E-2</v>
      </c>
      <c r="DP75" s="5">
        <v>2.1948415331828876E-2</v>
      </c>
      <c r="DQ75" s="5">
        <v>2.4600148283101975E-2</v>
      </c>
      <c r="DR75" s="5">
        <v>2.8273161972286631E-2</v>
      </c>
      <c r="DS75" s="5">
        <v>2.7163381794835378E-2</v>
      </c>
      <c r="DT75" s="4">
        <v>1.401675530023791E-2</v>
      </c>
      <c r="DU75" s="5">
        <v>1.4630087934015101E-2</v>
      </c>
      <c r="DV75" s="5">
        <v>3.1655249227108141E-2</v>
      </c>
      <c r="DX75" s="3" t="s">
        <v>200</v>
      </c>
      <c r="DY75" s="3" t="s">
        <v>153</v>
      </c>
      <c r="DZ75" s="4">
        <v>1.4909476706333661E-2</v>
      </c>
      <c r="EA75" s="5">
        <v>1.4117510847355531E-2</v>
      </c>
      <c r="EB75" s="5">
        <v>1.3859505897270379E-2</v>
      </c>
      <c r="EC75" s="5">
        <v>0</v>
      </c>
      <c r="ED75" s="4">
        <v>1.6233907120481401E-2</v>
      </c>
      <c r="EE75" s="5">
        <v>4.9907358136351943E-2</v>
      </c>
      <c r="EF75" s="4">
        <v>4.6116927111243849E-2</v>
      </c>
      <c r="EG75" s="5">
        <v>4.2637087220501566E-2</v>
      </c>
      <c r="EH75" s="5">
        <v>2.5408601414053752E-2</v>
      </c>
      <c r="EI75" s="5">
        <v>2.5971517596432944E-2</v>
      </c>
      <c r="EJ75" s="5">
        <v>1.0267610664435862E-2</v>
      </c>
      <c r="EK75" s="5">
        <v>7.3031200023187326E-3</v>
      </c>
      <c r="EL75" s="5">
        <v>3.6965732330627946E-3</v>
      </c>
      <c r="EM75" s="5">
        <v>1.0238035617480393E-2</v>
      </c>
      <c r="EN75" s="5">
        <v>2.0623285426358707E-2</v>
      </c>
      <c r="EO75" s="4">
        <v>1.981013952154935E-2</v>
      </c>
      <c r="EP75" s="4">
        <v>1.2798820008116092E-2</v>
      </c>
      <c r="EQ75" s="4">
        <v>2.2762812190142808E-2</v>
      </c>
      <c r="ER75" s="4">
        <v>2.737830807369121E-2</v>
      </c>
      <c r="ES75" s="4">
        <v>1.3963822527887476E-2</v>
      </c>
      <c r="ET75" s="5">
        <v>2.0983010177612713E-2</v>
      </c>
      <c r="EU75" s="5">
        <v>2.6668537075462281E-2</v>
      </c>
      <c r="EV75" s="5">
        <v>2.5579751465241444E-2</v>
      </c>
      <c r="EW75" s="5">
        <v>5.3145805018457856E-3</v>
      </c>
      <c r="EX75" s="4">
        <v>0</v>
      </c>
      <c r="EY75" s="5">
        <v>3.8348616178715215E-3</v>
      </c>
      <c r="EZ75" s="5">
        <v>1.0285871934466614E-2</v>
      </c>
      <c r="FA75" s="5">
        <v>1.7370743075617298E-2</v>
      </c>
      <c r="FB75" s="5">
        <v>2.1415533336708936E-2</v>
      </c>
      <c r="FC75" s="5">
        <v>2.1699024219216625E-2</v>
      </c>
      <c r="FD75" s="5">
        <v>3.230975427122524E-2</v>
      </c>
      <c r="FE75" s="5">
        <v>2.9558458721674615E-2</v>
      </c>
      <c r="FF75" s="5">
        <v>7.1014417403832478E-2</v>
      </c>
      <c r="FG75" s="5">
        <v>7.4856154960098703E-2</v>
      </c>
      <c r="FH75" s="4">
        <v>2.9108210485257309E-2</v>
      </c>
      <c r="FI75" s="5">
        <v>2.870427974401335E-2</v>
      </c>
      <c r="FJ75" s="5">
        <v>0.10102582054438551</v>
      </c>
      <c r="FK75" s="5">
        <v>0.11632290098294952</v>
      </c>
      <c r="FL75" s="5">
        <v>7.7834947897919934E-2</v>
      </c>
      <c r="FM75" s="4">
        <v>1.0155310770212126E-2</v>
      </c>
      <c r="FN75" s="5">
        <v>1.3945162604052564E-2</v>
      </c>
      <c r="FO75" s="5">
        <v>1.3511888971192555E-2</v>
      </c>
      <c r="FP75" s="4">
        <v>2.0855410541099632E-2</v>
      </c>
      <c r="FQ75" s="4">
        <v>1.0737584700160209E-2</v>
      </c>
      <c r="FR75" s="4">
        <v>2.4913428949371098E-3</v>
      </c>
      <c r="FS75" s="4">
        <v>1.3731971997068203E-2</v>
      </c>
      <c r="FT75" s="5">
        <v>3.1212303842401187E-2</v>
      </c>
      <c r="FU75" s="5">
        <v>5.3156059266445899E-2</v>
      </c>
      <c r="FV75" s="4">
        <v>3.3351694030409156E-2</v>
      </c>
      <c r="FW75" s="5">
        <v>3.3621711411234059E-2</v>
      </c>
      <c r="FX75" s="5">
        <v>1.9860867728654637E-2</v>
      </c>
      <c r="FY75" s="5">
        <v>2.4525192210271704E-2</v>
      </c>
      <c r="FZ75" s="5">
        <v>2.0834211710798155E-2</v>
      </c>
      <c r="GA75" s="5">
        <v>2.6999142287341148E-2</v>
      </c>
      <c r="GB75" s="5">
        <v>2.1513060021264983E-2</v>
      </c>
      <c r="GC75" s="5">
        <v>2.3199153870732129E-2</v>
      </c>
      <c r="GD75" s="5">
        <v>3.714179777433587E-2</v>
      </c>
      <c r="GE75" s="5">
        <v>3.8197211155609478E-2</v>
      </c>
      <c r="GF75" s="5">
        <v>3.112022667094079E-2</v>
      </c>
      <c r="GG75" s="5">
        <v>1.0776070427107803E-2</v>
      </c>
      <c r="GI75" s="3" t="s">
        <v>200</v>
      </c>
      <c r="GJ75" s="3" t="s">
        <v>154</v>
      </c>
      <c r="GK75" s="5">
        <v>0.16223706216247344</v>
      </c>
      <c r="GL75" s="5">
        <v>0.15290952813648359</v>
      </c>
      <c r="GM75" s="5">
        <v>0.1410189665639934</v>
      </c>
      <c r="GN75" s="5">
        <v>0.13954121356015814</v>
      </c>
      <c r="GO75" s="5">
        <v>0.13964629771009554</v>
      </c>
      <c r="GP75" s="5">
        <v>0.13571972129181031</v>
      </c>
      <c r="GQ75" s="5">
        <v>0.13357270379085628</v>
      </c>
      <c r="GR75" s="5">
        <v>0.13143296836909082</v>
      </c>
      <c r="GS75" s="5">
        <v>0.14948037216710905</v>
      </c>
      <c r="GT75" s="5">
        <v>0.15677618522567044</v>
      </c>
      <c r="GU75" s="5">
        <v>0.17692015657132076</v>
      </c>
      <c r="GV75" s="5">
        <v>0.17391353568027407</v>
      </c>
      <c r="GW75" s="5">
        <v>0.18559371056168958</v>
      </c>
      <c r="GX75" s="5">
        <v>0.17106518232824286</v>
      </c>
      <c r="GY75" s="5">
        <v>0.16882909149332923</v>
      </c>
      <c r="GZ75" s="5">
        <v>0.15239208092574899</v>
      </c>
      <c r="HA75" s="4">
        <v>0.14955816951425074</v>
      </c>
      <c r="HB75" s="5">
        <v>0.16317244300340084</v>
      </c>
      <c r="HC75" s="5">
        <v>0.16237302367912929</v>
      </c>
      <c r="HD75" s="5">
        <v>0.17428187442748827</v>
      </c>
      <c r="HE75" s="5">
        <v>0.17329527118207388</v>
      </c>
      <c r="HF75" s="5">
        <v>0.14104133751170253</v>
      </c>
      <c r="HG75" s="5">
        <v>0.18133637292917112</v>
      </c>
      <c r="HH75" s="5">
        <v>0.19647193238009464</v>
      </c>
      <c r="HI75" s="5">
        <v>0.20100528505209705</v>
      </c>
      <c r="HJ75" s="5">
        <v>0.17832088370490592</v>
      </c>
      <c r="HK75" s="5">
        <v>0.16268006895967468</v>
      </c>
      <c r="HL75" s="4">
        <v>0.15314980292070707</v>
      </c>
      <c r="HM75" s="5">
        <v>0.15744645813057206</v>
      </c>
      <c r="HN75" s="5">
        <v>0.16532036903195954</v>
      </c>
      <c r="HO75" s="5">
        <v>0.13842208665632386</v>
      </c>
      <c r="HP75" s="5">
        <v>0.16144556091307305</v>
      </c>
      <c r="HQ75" s="5">
        <v>0.1759786410949353</v>
      </c>
      <c r="HR75" s="5">
        <v>0.12373482491574503</v>
      </c>
      <c r="HS75" s="5">
        <v>0.15241940095310086</v>
      </c>
      <c r="HT75" s="5">
        <v>0.13743408184881842</v>
      </c>
      <c r="HU75" s="5">
        <v>0.11936278412640371</v>
      </c>
      <c r="HV75" s="4">
        <v>0.11943739445293125</v>
      </c>
      <c r="HW75" s="5">
        <v>0.10446038841054162</v>
      </c>
      <c r="HX75" s="5">
        <v>0.12754666918717136</v>
      </c>
      <c r="HY75" s="5">
        <v>0.14927119129670477</v>
      </c>
      <c r="HZ75" s="5">
        <v>0.15669016468212521</v>
      </c>
      <c r="IA75" s="5">
        <v>0.15903610397266446</v>
      </c>
      <c r="IB75" s="5">
        <v>0.1743904506403893</v>
      </c>
      <c r="IC75" s="5">
        <v>0.16360285357190349</v>
      </c>
      <c r="ID75" s="5">
        <v>0.13379779165453218</v>
      </c>
      <c r="IE75" s="5">
        <v>0.12068577082922251</v>
      </c>
      <c r="IF75" s="5">
        <v>0.10965016190310599</v>
      </c>
      <c r="IG75" s="5">
        <v>0.11842451411778729</v>
      </c>
      <c r="IH75" s="5">
        <v>0.13062533590287487</v>
      </c>
      <c r="II75" s="5">
        <v>9.6288670335107962E-2</v>
      </c>
      <c r="IJ75" s="5">
        <v>7.5264707938403549E-2</v>
      </c>
      <c r="IK75" s="5">
        <v>8.742526890409423E-2</v>
      </c>
      <c r="IL75" s="5">
        <v>9.9669505245609746E-2</v>
      </c>
      <c r="IM75" s="5">
        <v>0.11525530758621352</v>
      </c>
      <c r="IN75" s="5">
        <v>0.11217811287822052</v>
      </c>
      <c r="IO75" s="5">
        <v>9.7675739404349718E-2</v>
      </c>
      <c r="IP75" s="5">
        <v>9.7653213847253589E-2</v>
      </c>
      <c r="IQ75" s="5">
        <v>9.3697953365611361E-2</v>
      </c>
      <c r="IR75" s="5">
        <v>0.11104360143035329</v>
      </c>
      <c r="JB75" s="3" t="s">
        <v>200</v>
      </c>
      <c r="JC75" s="5">
        <v>0.45888606617320188</v>
      </c>
      <c r="JD75" s="5">
        <v>0.45444605775270713</v>
      </c>
      <c r="JE75" s="4">
        <v>0.44418232069623376</v>
      </c>
      <c r="JF75" s="5">
        <v>0.4237254241320243</v>
      </c>
      <c r="JG75" s="5">
        <v>0.42668200403110806</v>
      </c>
      <c r="JH75" s="5">
        <v>0.43352568453699364</v>
      </c>
      <c r="JI75" s="5">
        <v>0.43350471047832712</v>
      </c>
      <c r="JJ75" s="5">
        <v>0.4524790064747129</v>
      </c>
      <c r="JK75" s="5">
        <v>0.47204700886606443</v>
      </c>
      <c r="JL75" s="5">
        <v>0.46214666925568815</v>
      </c>
      <c r="JM75" s="5">
        <v>0.44576987604045665</v>
      </c>
      <c r="JN75" s="4">
        <v>0.43622246070064852</v>
      </c>
      <c r="JO75" s="5">
        <v>0.43872983916606911</v>
      </c>
      <c r="JP75" s="5">
        <v>0.46454653961546655</v>
      </c>
      <c r="JQ75" s="5">
        <v>0.45960748309013078</v>
      </c>
      <c r="JR75" s="5">
        <v>0.47426740244560772</v>
      </c>
      <c r="JS75" s="5">
        <v>0.47268469548995751</v>
      </c>
      <c r="JT75" s="5">
        <v>0.45518621622405137</v>
      </c>
      <c r="JU75" s="5">
        <v>0.44828608014326016</v>
      </c>
      <c r="JV75" s="5">
        <v>0.45122581269440371</v>
      </c>
      <c r="JW75" s="4">
        <v>0.38383528096241581</v>
      </c>
      <c r="JX75" s="5">
        <v>0.38050729080962237</v>
      </c>
      <c r="JY75" s="5">
        <v>0.38036547985678582</v>
      </c>
      <c r="JZ75" s="5">
        <v>0.37786186019425111</v>
      </c>
      <c r="KA75" s="5">
        <v>0.38820860192359591</v>
      </c>
      <c r="KB75" s="5">
        <v>0.40797391871847261</v>
      </c>
      <c r="KC75" s="5">
        <v>0.40731060424798238</v>
      </c>
      <c r="KD75" s="5">
        <v>0.37912683976640238</v>
      </c>
      <c r="KE75" s="5">
        <v>0.37428635562244117</v>
      </c>
      <c r="KF75" s="4">
        <v>0.38259880413133468</v>
      </c>
      <c r="KG75" s="4">
        <v>0.25459791112988817</v>
      </c>
      <c r="KH75" s="5">
        <v>0.2279890457795174</v>
      </c>
      <c r="KI75" s="5">
        <v>0.19758389452481678</v>
      </c>
      <c r="KJ75" s="5">
        <v>0.19026605156321336</v>
      </c>
      <c r="KK75" s="5">
        <v>0.20944089559092663</v>
      </c>
      <c r="KL75" s="5">
        <v>0.23673549094684462</v>
      </c>
      <c r="KM75" s="5">
        <v>0.2360965592922469</v>
      </c>
      <c r="KN75" s="5">
        <v>0.23428329169237896</v>
      </c>
      <c r="KO75" s="5">
        <v>0.2549341501928043</v>
      </c>
      <c r="KP75" s="4">
        <v>0.27367852850520541</v>
      </c>
      <c r="KQ75" s="5">
        <v>0.47358421142484219</v>
      </c>
      <c r="KR75" s="4">
        <v>0.46199760432924691</v>
      </c>
      <c r="KS75" s="5">
        <v>0.43988374841297467</v>
      </c>
      <c r="KT75" s="5">
        <v>0.42142512045140801</v>
      </c>
      <c r="KU75" s="5">
        <v>0.44601474813660424</v>
      </c>
      <c r="KV75" s="5">
        <v>0.4638117125628064</v>
      </c>
      <c r="KW75" s="5">
        <v>0.46253178483475593</v>
      </c>
      <c r="KX75" s="5">
        <v>0.46111560341519842</v>
      </c>
      <c r="KY75" s="4">
        <v>0.47786046827557699</v>
      </c>
      <c r="KZ75" s="5">
        <v>0.48934128106022423</v>
      </c>
      <c r="LA75" s="5">
        <v>0.55080390490931008</v>
      </c>
      <c r="LB75" s="5">
        <v>0.58178561098959058</v>
      </c>
      <c r="LC75" s="4">
        <v>0.57304309608010151</v>
      </c>
      <c r="LD75" s="5">
        <v>0.5426936364122299</v>
      </c>
      <c r="LE75" s="5">
        <v>0.52894167451241225</v>
      </c>
      <c r="LF75" s="5">
        <v>0.53506960702970507</v>
      </c>
      <c r="LG75" s="5">
        <v>0.53000348623082583</v>
      </c>
      <c r="LH75" s="4">
        <v>0.54160807067737482</v>
      </c>
      <c r="LI75" s="5">
        <v>0.55762014752072298</v>
      </c>
      <c r="LJ75" s="5">
        <v>0.54014361244040754</v>
      </c>
      <c r="LL75" s="3" t="s">
        <v>223</v>
      </c>
      <c r="LM75" s="3" t="s">
        <v>160</v>
      </c>
      <c r="LN75" s="3" t="s">
        <v>161</v>
      </c>
      <c r="LO75" s="5">
        <v>0.81334622082438501</v>
      </c>
    </row>
    <row r="76" spans="2:327" x14ac:dyDescent="0.45">
      <c r="B76" s="6" t="s">
        <v>202</v>
      </c>
      <c r="C76" s="6" t="s">
        <v>151</v>
      </c>
      <c r="D76" s="8">
        <v>0.25163332845204039</v>
      </c>
      <c r="E76" s="8">
        <v>0.25380973193872408</v>
      </c>
      <c r="F76" s="8">
        <v>0.25509320580449857</v>
      </c>
      <c r="G76" s="8">
        <v>0.26152626219267766</v>
      </c>
      <c r="H76" s="8">
        <v>0.26607128135679209</v>
      </c>
      <c r="I76" s="8">
        <v>0.27394981494275789</v>
      </c>
      <c r="J76" s="8">
        <v>0.27966935772470825</v>
      </c>
      <c r="K76" s="8">
        <v>0.26831172942119286</v>
      </c>
      <c r="L76" s="8">
        <v>0.25427235892042938</v>
      </c>
      <c r="M76" s="8">
        <v>0.25727686685509032</v>
      </c>
      <c r="N76" s="8">
        <v>0.32612778296737016</v>
      </c>
      <c r="O76" s="8">
        <v>0.34706682313685838</v>
      </c>
      <c r="P76" s="8">
        <v>0.35116560526025142</v>
      </c>
      <c r="Q76" s="8">
        <v>0.34696597964633419</v>
      </c>
      <c r="R76" s="8">
        <v>0.33201732671228346</v>
      </c>
      <c r="S76" s="8">
        <v>0.31628305837994203</v>
      </c>
      <c r="T76" s="8">
        <v>0.31103403999593082</v>
      </c>
      <c r="U76" s="8">
        <v>0.31793167653245208</v>
      </c>
      <c r="V76" s="8">
        <v>0.30637821929466524</v>
      </c>
      <c r="W76" s="8">
        <v>0.28889679250665229</v>
      </c>
      <c r="X76" s="8">
        <v>0.34745289300181137</v>
      </c>
      <c r="Y76" s="8">
        <v>0.33223906152440991</v>
      </c>
      <c r="Z76" s="8">
        <v>0.31647369617980042</v>
      </c>
      <c r="AA76" s="8">
        <v>0.30536240333210718</v>
      </c>
      <c r="AB76" s="8">
        <v>0.30027771947372434</v>
      </c>
      <c r="AC76" s="8">
        <v>0.30360697109122009</v>
      </c>
      <c r="AD76" s="8">
        <v>0.31656929897966779</v>
      </c>
      <c r="AE76" s="8">
        <v>0.32496221166203199</v>
      </c>
      <c r="AF76" s="8">
        <v>0.33341502621342078</v>
      </c>
      <c r="AG76" s="8">
        <v>0.33675382969138579</v>
      </c>
      <c r="AH76" s="8">
        <v>0.381252021097712</v>
      </c>
      <c r="AI76" s="8">
        <v>0.38201360281253333</v>
      </c>
      <c r="AJ76" s="8">
        <v>0.38201128601694573</v>
      </c>
      <c r="AK76" s="8">
        <v>0.37280055713374816</v>
      </c>
      <c r="AL76" s="8">
        <v>0.37079532780604757</v>
      </c>
      <c r="AM76" s="8">
        <v>0.35981319354632241</v>
      </c>
      <c r="AN76" s="8">
        <v>0.35017949010689886</v>
      </c>
      <c r="AO76" s="8">
        <v>0.35787271832260686</v>
      </c>
      <c r="AP76" s="8">
        <v>0.35733231197680904</v>
      </c>
      <c r="AQ76" s="8">
        <v>0.38106280952712679</v>
      </c>
      <c r="AR76" s="8">
        <v>0.31402847328274303</v>
      </c>
      <c r="AS76" s="8">
        <v>0.29719075032245307</v>
      </c>
      <c r="AT76" s="8">
        <v>0.28431960337877976</v>
      </c>
      <c r="AU76" s="8">
        <v>0.28037044446010029</v>
      </c>
      <c r="AV76" s="8">
        <v>0.28016954584483789</v>
      </c>
      <c r="AW76" s="8">
        <v>0.28531403073023981</v>
      </c>
      <c r="AX76" s="8">
        <v>0.29539681753959141</v>
      </c>
      <c r="AY76" s="8">
        <v>0.29088461328788229</v>
      </c>
      <c r="AZ76" s="8">
        <v>0.28638097192784262</v>
      </c>
      <c r="BA76" s="8">
        <v>0.30419153176169828</v>
      </c>
      <c r="BB76" s="8">
        <v>0.2183936086283412</v>
      </c>
      <c r="BC76" s="8">
        <v>0.21768105099865107</v>
      </c>
      <c r="BD76" s="8">
        <v>0.21583270891757753</v>
      </c>
      <c r="BE76" s="8">
        <v>0.2255224053450188</v>
      </c>
      <c r="BF76" s="8">
        <v>0.23254053059641439</v>
      </c>
      <c r="BG76" s="8">
        <v>0.22708811843445093</v>
      </c>
      <c r="BH76" s="8">
        <v>0.21980201908558042</v>
      </c>
      <c r="BI76" s="8">
        <v>0.21729914361592148</v>
      </c>
      <c r="BJ76" s="8">
        <v>0.21781252599383419</v>
      </c>
      <c r="BK76" s="8">
        <v>0.21490781562898983</v>
      </c>
      <c r="BM76" s="6" t="s">
        <v>202</v>
      </c>
      <c r="BN76" s="6" t="s">
        <v>152</v>
      </c>
      <c r="BO76" s="8">
        <v>1.7529938213764827E-2</v>
      </c>
      <c r="BP76" s="8">
        <v>1.2984297970396045E-3</v>
      </c>
      <c r="BQ76" s="7">
        <v>1.110690330452988E-2</v>
      </c>
      <c r="BR76" s="8">
        <v>2.0233722916549759E-2</v>
      </c>
      <c r="BS76" s="8">
        <v>1.3096153810288634E-2</v>
      </c>
      <c r="BT76" s="8">
        <v>1.5057796609700028E-2</v>
      </c>
      <c r="BU76" s="7">
        <v>1.302882198113354E-2</v>
      </c>
      <c r="BV76" s="8">
        <v>1.7706198692383934E-2</v>
      </c>
      <c r="BW76" s="7">
        <v>1.2521514384161086E-2</v>
      </c>
      <c r="BX76" s="8">
        <v>9.4372199602593462E-3</v>
      </c>
      <c r="BY76" s="7">
        <v>9.3183955940861068E-3</v>
      </c>
      <c r="BZ76" s="7">
        <v>6.7778530316407633E-3</v>
      </c>
      <c r="CA76" s="7">
        <v>3.0291733761361214E-3</v>
      </c>
      <c r="CB76" s="7">
        <v>3.0268076645189128E-3</v>
      </c>
      <c r="CC76" s="7">
        <v>1.9903990161775431E-3</v>
      </c>
      <c r="CD76" s="8">
        <v>5.2620466292574225E-3</v>
      </c>
      <c r="CE76" s="7">
        <v>8.8950437764235939E-3</v>
      </c>
      <c r="CF76" s="8">
        <v>1.5018553577827236E-2</v>
      </c>
      <c r="CG76" s="7">
        <v>4.5052321273004511E-3</v>
      </c>
      <c r="CH76" s="8">
        <v>2.273543125981866E-2</v>
      </c>
      <c r="CI76" s="8">
        <v>1.7585340292891161E-2</v>
      </c>
      <c r="CJ76" s="7">
        <v>2.3410292998677865E-2</v>
      </c>
      <c r="CK76" s="8">
        <v>3.5953290043824755E-2</v>
      </c>
      <c r="CL76" s="7">
        <v>3.9269243298084532E-2</v>
      </c>
      <c r="CM76" s="8">
        <v>2.5510576084200282E-2</v>
      </c>
      <c r="CN76" s="8">
        <v>1.6050559949837052E-2</v>
      </c>
      <c r="CO76" s="8">
        <v>2.1420695363395793E-2</v>
      </c>
      <c r="CP76" s="8">
        <v>1.3684193733601059E-2</v>
      </c>
      <c r="CQ76" s="8">
        <v>5.8352035303437045E-3</v>
      </c>
      <c r="CR76" s="8">
        <v>5.333803895672189E-3</v>
      </c>
      <c r="CS76" s="8">
        <v>2.1605547137767883E-2</v>
      </c>
      <c r="CT76" s="8">
        <v>1.8396506268592277E-2</v>
      </c>
      <c r="CU76" s="7">
        <v>0</v>
      </c>
      <c r="CV76" s="7">
        <v>0</v>
      </c>
      <c r="CW76" s="8">
        <v>5.832614846663386E-3</v>
      </c>
      <c r="CX76" s="7">
        <v>7.9693448993473429E-3</v>
      </c>
      <c r="CY76" s="7">
        <v>6.6785022275310827E-3</v>
      </c>
      <c r="CZ76" s="7">
        <v>7.9076862098319319E-3</v>
      </c>
      <c r="DA76" s="7">
        <v>2.1825968648248501E-2</v>
      </c>
      <c r="DB76" s="8">
        <v>3.8709735308994048E-2</v>
      </c>
      <c r="DC76" s="8">
        <v>1.2073245664313685E-2</v>
      </c>
      <c r="DD76" s="7">
        <v>3.0930002363322249E-3</v>
      </c>
      <c r="DE76" s="7">
        <v>1.3499907573882822E-2</v>
      </c>
      <c r="DF76" s="8">
        <v>3.2175241470981414E-2</v>
      </c>
      <c r="DG76" s="8">
        <v>3.1740685745673632E-2</v>
      </c>
      <c r="DH76" s="7">
        <v>1.861734866477106E-2</v>
      </c>
      <c r="DI76" s="7">
        <v>3.6068463369369917E-3</v>
      </c>
      <c r="DJ76" s="7">
        <v>1.1080983054017354E-2</v>
      </c>
      <c r="DK76" s="7">
        <v>2.0059814355041599E-2</v>
      </c>
      <c r="DL76" s="8">
        <v>8.0234793805686495E-3</v>
      </c>
      <c r="DM76" s="8">
        <v>1.0223635245874352E-2</v>
      </c>
      <c r="DN76" s="8">
        <v>5.8186087749614451E-3</v>
      </c>
      <c r="DO76" s="8">
        <v>8.479466371886589E-3</v>
      </c>
      <c r="DP76" s="8">
        <v>1.5437356183452176E-2</v>
      </c>
      <c r="DQ76" s="8">
        <v>1.8758011297625686E-2</v>
      </c>
      <c r="DR76" s="8">
        <v>5.0749058947530627E-3</v>
      </c>
      <c r="DS76" s="8">
        <v>6.5858796569743501E-3</v>
      </c>
      <c r="DT76" s="7">
        <v>4.9793114840475461E-3</v>
      </c>
      <c r="DU76" s="8">
        <v>1.0220886709628625E-2</v>
      </c>
      <c r="DV76" s="8">
        <v>1.6572275223455328E-2</v>
      </c>
      <c r="DX76" s="6" t="s">
        <v>202</v>
      </c>
      <c r="DY76" s="6" t="s">
        <v>153</v>
      </c>
      <c r="DZ76" s="7">
        <v>1.9002672296454845E-2</v>
      </c>
      <c r="EA76" s="8">
        <v>3.1883762762136239E-2</v>
      </c>
      <c r="EB76" s="8">
        <v>2.199194629727887E-2</v>
      </c>
      <c r="EC76" s="8">
        <v>5.2634149540990317E-3</v>
      </c>
      <c r="ED76" s="7">
        <v>1.2369663337352663E-2</v>
      </c>
      <c r="EE76" s="8">
        <v>2.2133606141057537E-2</v>
      </c>
      <c r="EF76" s="7">
        <v>3.4624816022593846E-2</v>
      </c>
      <c r="EG76" s="8">
        <v>1.9802438805717016E-2</v>
      </c>
      <c r="EH76" s="8">
        <v>2.0366987353597786E-2</v>
      </c>
      <c r="EI76" s="8">
        <v>2.4868435718184749E-2</v>
      </c>
      <c r="EJ76" s="8">
        <v>2.425249507342541E-2</v>
      </c>
      <c r="EK76" s="8">
        <v>2.2730048420837062E-2</v>
      </c>
      <c r="EL76" s="8">
        <v>9.5074583717060859E-3</v>
      </c>
      <c r="EM76" s="8">
        <v>1.5227005392397415E-2</v>
      </c>
      <c r="EN76" s="8">
        <v>8.6188615123881287E-3</v>
      </c>
      <c r="EO76" s="7">
        <v>3.7380325728495124E-4</v>
      </c>
      <c r="EP76" s="7">
        <v>3.9299285424972338E-3</v>
      </c>
      <c r="EQ76" s="7">
        <v>9.7502138969737771E-3</v>
      </c>
      <c r="ER76" s="7">
        <v>2.4828915289596659E-2</v>
      </c>
      <c r="ES76" s="7">
        <v>1.3723823543432233E-2</v>
      </c>
      <c r="ET76" s="8">
        <v>3.6239418551240646E-2</v>
      </c>
      <c r="EU76" s="8">
        <v>2.6316800339689406E-2</v>
      </c>
      <c r="EV76" s="8">
        <v>4.5298957105055548E-2</v>
      </c>
      <c r="EW76" s="8">
        <v>4.4792875599687317E-2</v>
      </c>
      <c r="EX76" s="7">
        <v>4.6277058246621754E-2</v>
      </c>
      <c r="EY76" s="8">
        <v>4.9398877496438717E-2</v>
      </c>
      <c r="EZ76" s="8">
        <v>2.4108658012724458E-2</v>
      </c>
      <c r="FA76" s="8">
        <v>2.8844467123883163E-2</v>
      </c>
      <c r="FB76" s="8">
        <v>4.3996503517804236E-2</v>
      </c>
      <c r="FC76" s="8">
        <v>4.6234130554087517E-2</v>
      </c>
      <c r="FD76" s="8">
        <v>4.2726664724640137E-2</v>
      </c>
      <c r="FE76" s="8">
        <v>5.4433287715206537E-2</v>
      </c>
      <c r="FF76" s="8">
        <v>5.5005999611892807E-2</v>
      </c>
      <c r="FG76" s="8">
        <v>3.8293685809692092E-2</v>
      </c>
      <c r="FH76" s="7">
        <v>8.4462431521226417E-3</v>
      </c>
      <c r="FI76" s="8">
        <v>0</v>
      </c>
      <c r="FJ76" s="8">
        <v>6.6426668842833611E-3</v>
      </c>
      <c r="FK76" s="8">
        <v>1.3417038646061721E-2</v>
      </c>
      <c r="FL76" s="8">
        <v>4.7931586079834982E-3</v>
      </c>
      <c r="FM76" s="7">
        <v>2.397500823548724E-2</v>
      </c>
      <c r="FN76" s="8">
        <v>2.5151133273485574E-2</v>
      </c>
      <c r="FO76" s="8">
        <v>2.8686509358751285E-2</v>
      </c>
      <c r="FP76" s="7">
        <v>9.6718079288238574E-3</v>
      </c>
      <c r="FQ76" s="7">
        <v>2.2806084895750362E-4</v>
      </c>
      <c r="FR76" s="7">
        <v>1.5577527634071671E-2</v>
      </c>
      <c r="FS76" s="7">
        <v>3.2068897835244865E-2</v>
      </c>
      <c r="FT76" s="8">
        <v>5.1989876556937591E-2</v>
      </c>
      <c r="FU76" s="8">
        <v>2.2831371298149522E-2</v>
      </c>
      <c r="FV76" s="7">
        <v>5.1640093228216806E-3</v>
      </c>
      <c r="FW76" s="8">
        <v>3.1503622155941505E-2</v>
      </c>
      <c r="FX76" s="8">
        <v>2.0443808016107425E-2</v>
      </c>
      <c r="FY76" s="8">
        <v>1.2815421265910227E-2</v>
      </c>
      <c r="FZ76" s="8">
        <v>1.0408223931856801E-2</v>
      </c>
      <c r="GA76" s="8">
        <v>6.7907904487735857E-3</v>
      </c>
      <c r="GB76" s="8">
        <v>7.9443171959533952E-3</v>
      </c>
      <c r="GC76" s="8">
        <v>1.8608936626041427E-2</v>
      </c>
      <c r="GD76" s="8">
        <v>1.4801779140835775E-2</v>
      </c>
      <c r="GE76" s="8">
        <v>1.204633956082659E-2</v>
      </c>
      <c r="GF76" s="8">
        <v>4.8497433117308322E-3</v>
      </c>
      <c r="GG76" s="8">
        <v>9.623492450395725E-3</v>
      </c>
      <c r="GI76" s="6" t="s">
        <v>202</v>
      </c>
      <c r="GJ76" s="6" t="s">
        <v>154</v>
      </c>
      <c r="GK76" s="8">
        <v>0.1172163244657794</v>
      </c>
      <c r="GL76" s="8">
        <v>0.11317973972425199</v>
      </c>
      <c r="GM76" s="8">
        <v>0.1081405309122872</v>
      </c>
      <c r="GN76" s="8">
        <v>0.12619701560568231</v>
      </c>
      <c r="GO76" s="8">
        <v>0.1258984218883073</v>
      </c>
      <c r="GP76" s="8">
        <v>0.11759182269578269</v>
      </c>
      <c r="GQ76" s="8">
        <v>0.11114527952188141</v>
      </c>
      <c r="GR76" s="8">
        <v>0.11838714550751685</v>
      </c>
      <c r="GS76" s="8">
        <v>0.1154484431376316</v>
      </c>
      <c r="GT76" s="8">
        <v>0.11943978508822899</v>
      </c>
      <c r="GU76" s="8">
        <v>0.17008041761484857</v>
      </c>
      <c r="GV76" s="8">
        <v>0.18866378955233681</v>
      </c>
      <c r="GW76" s="8">
        <v>0.20383843229885948</v>
      </c>
      <c r="GX76" s="8">
        <v>0.19177056921987762</v>
      </c>
      <c r="GY76" s="8">
        <v>0.18398802314174839</v>
      </c>
      <c r="GZ76" s="8">
        <v>0.17873768683843833</v>
      </c>
      <c r="HA76" s="7">
        <v>0.17215969151064564</v>
      </c>
      <c r="HB76" s="8">
        <v>0.16473869590271895</v>
      </c>
      <c r="HC76" s="8">
        <v>0.15004911848550551</v>
      </c>
      <c r="HD76" s="8">
        <v>0.14356907631643293</v>
      </c>
      <c r="HE76" s="8">
        <v>0.16106503304835676</v>
      </c>
      <c r="HF76" s="8">
        <v>0.16673737368997918</v>
      </c>
      <c r="HG76" s="8">
        <v>0.12651720810086053</v>
      </c>
      <c r="HH76" s="8">
        <v>0.11311630064537327</v>
      </c>
      <c r="HI76" s="8">
        <v>0.12631773766808962</v>
      </c>
      <c r="HJ76" s="8">
        <v>0.12725902687374119</v>
      </c>
      <c r="HK76" s="8">
        <v>0.14831825448916547</v>
      </c>
      <c r="HL76" s="7">
        <v>0.15462582490224336</v>
      </c>
      <c r="HM76" s="8">
        <v>0.15782103989439913</v>
      </c>
      <c r="HN76" s="8">
        <v>0.16392877018505816</v>
      </c>
      <c r="HO76" s="8">
        <v>0.1819750204517584</v>
      </c>
      <c r="HP76" s="8">
        <v>0.17527078530736681</v>
      </c>
      <c r="HQ76" s="8">
        <v>0.2071285762644543</v>
      </c>
      <c r="HR76" s="8">
        <v>0.21549412102603618</v>
      </c>
      <c r="HS76" s="8">
        <v>0.22147678429348897</v>
      </c>
      <c r="HT76" s="8">
        <v>0.22023457614347777</v>
      </c>
      <c r="HU76" s="8">
        <v>0.21451876647401599</v>
      </c>
      <c r="HV76" s="7">
        <v>0.21523395590634586</v>
      </c>
      <c r="HW76" s="8">
        <v>0.2136600256062893</v>
      </c>
      <c r="HX76" s="8">
        <v>0.19063949684367454</v>
      </c>
      <c r="HY76" s="8">
        <v>0.1502143320906939</v>
      </c>
      <c r="HZ76" s="8">
        <v>0.14666222386635933</v>
      </c>
      <c r="IA76" s="8">
        <v>0.14226680525998897</v>
      </c>
      <c r="IB76" s="8">
        <v>0.12185414313214904</v>
      </c>
      <c r="IC76" s="8">
        <v>0.10692259811860445</v>
      </c>
      <c r="ID76" s="8">
        <v>0.11606087810984204</v>
      </c>
      <c r="IE76" s="8">
        <v>0.11194938872245758</v>
      </c>
      <c r="IF76" s="8">
        <v>0.12996737619547316</v>
      </c>
      <c r="IG76" s="8">
        <v>0.14228025493960716</v>
      </c>
      <c r="IH76" s="8">
        <v>0.14226130086419903</v>
      </c>
      <c r="II76" s="8">
        <v>7.1674998531797679E-2</v>
      </c>
      <c r="IJ76" s="8">
        <v>8.7152374738556471E-2</v>
      </c>
      <c r="IK76" s="8">
        <v>8.3111484893123644E-2</v>
      </c>
      <c r="IL76" s="8">
        <v>8.5565396281026898E-2</v>
      </c>
      <c r="IM76" s="8">
        <v>8.6062024958173389E-2</v>
      </c>
      <c r="IN76" s="8">
        <v>8.6744705685408777E-2</v>
      </c>
      <c r="IO76" s="8">
        <v>8.0273448807242118E-2</v>
      </c>
      <c r="IP76" s="8">
        <v>8.317821605891082E-2</v>
      </c>
      <c r="IQ76" s="8">
        <v>8.3013028910188816E-2</v>
      </c>
      <c r="IR76" s="8">
        <v>6.7814145513312607E-2</v>
      </c>
      <c r="JB76" s="6" t="s">
        <v>202</v>
      </c>
      <c r="JC76" s="8">
        <v>0.47230235137443399</v>
      </c>
      <c r="JD76" s="8">
        <v>0.45756997606499272</v>
      </c>
      <c r="JE76" s="7">
        <v>0.45463441366526586</v>
      </c>
      <c r="JF76" s="8">
        <v>0.44797267213410191</v>
      </c>
      <c r="JG76" s="8">
        <v>0.4555891086211713</v>
      </c>
      <c r="JH76" s="8">
        <v>0.4687234929499236</v>
      </c>
      <c r="JI76" s="8">
        <v>0.46746374842989169</v>
      </c>
      <c r="JJ76" s="8">
        <v>0.47129016915479649</v>
      </c>
      <c r="JK76" s="8">
        <v>0.47922684529831078</v>
      </c>
      <c r="JL76" s="8">
        <v>0.47215027527569614</v>
      </c>
      <c r="JM76" s="8">
        <v>0.40890835731537434</v>
      </c>
      <c r="JN76" s="7">
        <v>0.39258552077887687</v>
      </c>
      <c r="JO76" s="8">
        <v>0.39862994412843283</v>
      </c>
      <c r="JP76" s="8">
        <v>0.42627281792633298</v>
      </c>
      <c r="JQ76" s="8">
        <v>0.44118410124283941</v>
      </c>
      <c r="JR76" s="8">
        <v>0.44785071916133962</v>
      </c>
      <c r="JS76" s="8">
        <v>0.44365069187256057</v>
      </c>
      <c r="JT76" s="8">
        <v>0.43840332643346042</v>
      </c>
      <c r="JU76" s="8">
        <v>0.4480164986411857</v>
      </c>
      <c r="JV76" s="8">
        <v>0.44892012676147319</v>
      </c>
      <c r="JW76" s="7">
        <v>0.29844394130943303</v>
      </c>
      <c r="JX76" s="8">
        <v>0.28957096732252308</v>
      </c>
      <c r="JY76" s="8">
        <v>0.30915471705024672</v>
      </c>
      <c r="JZ76" s="8">
        <v>0.33368726492818368</v>
      </c>
      <c r="KA76" s="8">
        <v>0.35415321165194191</v>
      </c>
      <c r="KB76" s="8">
        <v>0.36550145502976972</v>
      </c>
      <c r="KC76" s="8">
        <v>0.37369289262784755</v>
      </c>
      <c r="KD76" s="8">
        <v>0.37331713790938742</v>
      </c>
      <c r="KE76" s="8">
        <v>0.34809553091020506</v>
      </c>
      <c r="KF76" s="7">
        <v>0.30772561414488969</v>
      </c>
      <c r="KG76" s="7">
        <v>0.26641254209156884</v>
      </c>
      <c r="KH76" s="8">
        <v>0.26133098003483396</v>
      </c>
      <c r="KI76" s="8">
        <v>0.27683002399816087</v>
      </c>
      <c r="KJ76" s="8">
        <v>0.29184382299856887</v>
      </c>
      <c r="KK76" s="8">
        <v>0.31274940069260027</v>
      </c>
      <c r="KL76" s="8">
        <v>0.32478411044232086</v>
      </c>
      <c r="KM76" s="8">
        <v>0.31834254966311698</v>
      </c>
      <c r="KN76" s="8">
        <v>0.2958996522110906</v>
      </c>
      <c r="KO76" s="8">
        <v>0.26300816459231702</v>
      </c>
      <c r="KP76" s="7">
        <v>0.25933034516901587</v>
      </c>
      <c r="KQ76" s="8">
        <v>0.38304205002329111</v>
      </c>
      <c r="KR76" s="7">
        <v>0.39661061646612999</v>
      </c>
      <c r="KS76" s="8">
        <v>0.41490672201052281</v>
      </c>
      <c r="KT76" s="8">
        <v>0.44068903948253552</v>
      </c>
      <c r="KU76" s="8">
        <v>0.46158816245590972</v>
      </c>
      <c r="KV76" s="8">
        <v>0.45904436115702868</v>
      </c>
      <c r="KW76" s="8">
        <v>0.44978520566520114</v>
      </c>
      <c r="KX76" s="8">
        <v>0.43022676843140356</v>
      </c>
      <c r="KY76" s="7">
        <v>0.41594843420772748</v>
      </c>
      <c r="KZ76" s="8">
        <v>0.39539378817027787</v>
      </c>
      <c r="LA76" s="8">
        <v>0.61695739022819573</v>
      </c>
      <c r="LB76" s="8">
        <v>0.6023225684451371</v>
      </c>
      <c r="LC76" s="7">
        <v>0.59848875447260741</v>
      </c>
      <c r="LD76" s="8">
        <v>0.58682304413217456</v>
      </c>
      <c r="LE76" s="8">
        <v>0.58210738940623019</v>
      </c>
      <c r="LF76" s="8">
        <v>0.60432007501951535</v>
      </c>
      <c r="LG76" s="8">
        <v>0.60751817856239254</v>
      </c>
      <c r="LH76" s="7">
        <v>0.6059763149080567</v>
      </c>
      <c r="LI76" s="8">
        <v>0.6108090232366763</v>
      </c>
      <c r="LJ76" s="8">
        <v>0.62111416723680202</v>
      </c>
      <c r="LL76" s="6" t="s">
        <v>225</v>
      </c>
      <c r="LM76" s="6" t="s">
        <v>160</v>
      </c>
      <c r="LN76" s="6" t="s">
        <v>161</v>
      </c>
      <c r="LO76" s="8">
        <v>0.78593113435437745</v>
      </c>
    </row>
    <row r="77" spans="2:327" x14ac:dyDescent="0.45">
      <c r="B77" s="3" t="s">
        <v>204</v>
      </c>
      <c r="C77" s="3" t="s">
        <v>151</v>
      </c>
      <c r="D77" s="5">
        <v>0.26773123361852763</v>
      </c>
      <c r="E77" s="5">
        <v>0.26075144964733482</v>
      </c>
      <c r="F77" s="5">
        <v>0.25313439776761082</v>
      </c>
      <c r="G77" s="5">
        <v>0.27757310107936006</v>
      </c>
      <c r="H77" s="5">
        <v>0.30815167524311904</v>
      </c>
      <c r="I77" s="5">
        <v>0.30095960229851337</v>
      </c>
      <c r="J77" s="5">
        <v>0.30580255245837412</v>
      </c>
      <c r="K77" s="5">
        <v>0.29644642432797869</v>
      </c>
      <c r="L77" s="5">
        <v>0.28040648704422338</v>
      </c>
      <c r="M77" s="5">
        <v>0.26730834003565485</v>
      </c>
      <c r="N77" s="5">
        <v>0.29954037994492189</v>
      </c>
      <c r="O77" s="5">
        <v>0.31182232654674874</v>
      </c>
      <c r="P77" s="5">
        <v>0.33170700430121447</v>
      </c>
      <c r="Q77" s="5">
        <v>0.3396236028446884</v>
      </c>
      <c r="R77" s="5">
        <v>0.33776158163275832</v>
      </c>
      <c r="S77" s="5">
        <v>0.3220570077236517</v>
      </c>
      <c r="T77" s="5">
        <v>0.31083818782363076</v>
      </c>
      <c r="U77" s="5">
        <v>0.30535933315135272</v>
      </c>
      <c r="V77" s="5">
        <v>0.27832750891240271</v>
      </c>
      <c r="W77" s="5">
        <v>0.27973011233513073</v>
      </c>
      <c r="X77" s="5">
        <v>0.29336730872728267</v>
      </c>
      <c r="Y77" s="5">
        <v>0.31127219638400005</v>
      </c>
      <c r="Z77" s="5">
        <v>0.3622379253659947</v>
      </c>
      <c r="AA77" s="5">
        <v>0.3727310820901627</v>
      </c>
      <c r="AB77" s="5">
        <v>0.37726052424293527</v>
      </c>
      <c r="AC77" s="5">
        <v>0.36749094593577614</v>
      </c>
      <c r="AD77" s="5">
        <v>0.34782369893139831</v>
      </c>
      <c r="AE77" s="5">
        <v>0.32885369921356328</v>
      </c>
      <c r="AF77" s="5">
        <v>0.31118236797547483</v>
      </c>
      <c r="AG77" s="5">
        <v>0.28008025585272633</v>
      </c>
      <c r="AH77" s="5">
        <v>0.27839180682763315</v>
      </c>
      <c r="AI77" s="5">
        <v>0.31200813310382591</v>
      </c>
      <c r="AJ77" s="5">
        <v>0.3859712346158532</v>
      </c>
      <c r="AK77" s="5">
        <v>0.38797872480024165</v>
      </c>
      <c r="AL77" s="5">
        <v>0.37600398508836336</v>
      </c>
      <c r="AM77" s="5">
        <v>0.35329696324059695</v>
      </c>
      <c r="AN77" s="5">
        <v>0.33625098518513086</v>
      </c>
      <c r="AO77" s="5">
        <v>0.32102791241199985</v>
      </c>
      <c r="AP77" s="5">
        <v>0.28444493948369781</v>
      </c>
      <c r="AQ77" s="5">
        <v>0.25078973257882059</v>
      </c>
      <c r="AR77" s="5">
        <v>0.33259547512163101</v>
      </c>
      <c r="AS77" s="5">
        <v>0.33570791732767591</v>
      </c>
      <c r="AT77" s="5">
        <v>0.3343203421875835</v>
      </c>
      <c r="AU77" s="5">
        <v>0.36372616437499283</v>
      </c>
      <c r="AV77" s="5">
        <v>0.37449893202385692</v>
      </c>
      <c r="AW77" s="5">
        <v>0.36439591188169668</v>
      </c>
      <c r="AX77" s="5">
        <v>0.353985242911941</v>
      </c>
      <c r="AY77" s="5">
        <v>0.34093919988899885</v>
      </c>
      <c r="AZ77" s="5">
        <v>0.3036336088744282</v>
      </c>
      <c r="BA77" s="5">
        <v>0.28978637862450618</v>
      </c>
      <c r="BB77" s="5">
        <v>0.25763621159341965</v>
      </c>
      <c r="BC77" s="5">
        <v>0.26516967170977102</v>
      </c>
      <c r="BD77" s="5">
        <v>0.27411352586950949</v>
      </c>
      <c r="BE77" s="5">
        <v>0.30478731256738351</v>
      </c>
      <c r="BF77" s="5">
        <v>0.34857267430465555</v>
      </c>
      <c r="BG77" s="5">
        <v>0.33466413125559324</v>
      </c>
      <c r="BH77" s="5">
        <v>0.32340162184895754</v>
      </c>
      <c r="BI77" s="5">
        <v>0.30082686225479233</v>
      </c>
      <c r="BJ77" s="5">
        <v>0.28639010048456165</v>
      </c>
      <c r="BK77" s="5">
        <v>0.29079077256233526</v>
      </c>
      <c r="BM77" s="3" t="s">
        <v>204</v>
      </c>
      <c r="BN77" s="3" t="s">
        <v>152</v>
      </c>
      <c r="BO77" s="5">
        <v>1.0029656916058047E-2</v>
      </c>
      <c r="BP77" s="5">
        <v>2.0294412401635892E-2</v>
      </c>
      <c r="BQ77" s="4">
        <v>1.6371114131142239E-2</v>
      </c>
      <c r="BR77" s="5">
        <v>2.6173419602866642E-2</v>
      </c>
      <c r="BS77" s="5">
        <v>1.7963959858952699E-2</v>
      </c>
      <c r="BT77" s="5">
        <v>1.8219050624135966E-2</v>
      </c>
      <c r="BU77" s="4">
        <v>2.2713693205884858E-2</v>
      </c>
      <c r="BV77" s="5">
        <v>1.425890451068328E-2</v>
      </c>
      <c r="BW77" s="4">
        <v>1.986120616810004E-2</v>
      </c>
      <c r="BX77" s="5">
        <v>5.4700980406916008E-3</v>
      </c>
      <c r="BY77" s="4">
        <v>4.4156623800773636E-3</v>
      </c>
      <c r="BZ77" s="4">
        <v>9.8068397237078258E-3</v>
      </c>
      <c r="CA77" s="4">
        <v>1.7262698747110731E-2</v>
      </c>
      <c r="CB77" s="4">
        <v>2.0456525436253672E-2</v>
      </c>
      <c r="CC77" s="4">
        <v>3.1171713497901304E-2</v>
      </c>
      <c r="CD77" s="5">
        <v>2.4585174368844193E-2</v>
      </c>
      <c r="CE77" s="4">
        <v>1.5503324048664748E-2</v>
      </c>
      <c r="CF77" s="5">
        <v>1.7276381107725992E-2</v>
      </c>
      <c r="CG77" s="4">
        <v>5.6994888116905238E-3</v>
      </c>
      <c r="CH77" s="5">
        <v>3.963253435910378E-3</v>
      </c>
      <c r="CI77" s="5">
        <v>3.2145988661087546E-2</v>
      </c>
      <c r="CJ77" s="4">
        <v>1.0750039535086544E-2</v>
      </c>
      <c r="CK77" s="5">
        <v>1.4919364058927237E-2</v>
      </c>
      <c r="CL77" s="4">
        <v>1.8092865460982748E-2</v>
      </c>
      <c r="CM77" s="5">
        <v>2.1060628842036903E-2</v>
      </c>
      <c r="CN77" s="5">
        <v>7.599261312171663E-3</v>
      </c>
      <c r="CO77" s="5">
        <v>5.1644307115653243E-3</v>
      </c>
      <c r="CP77" s="5">
        <v>1.1302681162422043E-2</v>
      </c>
      <c r="CQ77" s="5">
        <v>2.1176684566099953E-2</v>
      </c>
      <c r="CR77" s="5">
        <v>1.4835674580803418E-2</v>
      </c>
      <c r="CS77" s="5">
        <v>1.8136414880629489E-2</v>
      </c>
      <c r="CT77" s="5">
        <v>7.1916461967599671E-3</v>
      </c>
      <c r="CU77" s="4">
        <v>3.0404284006357824E-2</v>
      </c>
      <c r="CV77" s="4">
        <v>5.8935596044752403E-2</v>
      </c>
      <c r="CW77" s="5">
        <v>9.8693578033359014E-2</v>
      </c>
      <c r="CX77" s="4">
        <v>2.8804283322823691E-2</v>
      </c>
      <c r="CY77" s="4">
        <v>1.5543182386302033E-2</v>
      </c>
      <c r="CZ77" s="4">
        <v>2.1742213047988027E-2</v>
      </c>
      <c r="DA77" s="4">
        <v>1.8759924746529353E-2</v>
      </c>
      <c r="DB77" s="5">
        <v>1.9819795774530892E-2</v>
      </c>
      <c r="DC77" s="5">
        <v>7.8154497992983171E-3</v>
      </c>
      <c r="DD77" s="4">
        <v>8.2409717696679749E-3</v>
      </c>
      <c r="DE77" s="4">
        <v>1.472629235477205E-2</v>
      </c>
      <c r="DF77" s="5">
        <v>4.8642557005708298E-2</v>
      </c>
      <c r="DG77" s="5">
        <v>5.6311059227112999E-2</v>
      </c>
      <c r="DH77" s="4">
        <v>2.190501932111806E-2</v>
      </c>
      <c r="DI77" s="4">
        <v>2.4103319062257555E-2</v>
      </c>
      <c r="DJ77" s="4">
        <v>3.486006146359534E-2</v>
      </c>
      <c r="DK77" s="4">
        <v>2.333501073707004E-2</v>
      </c>
      <c r="DL77" s="5">
        <v>9.6746992651999542E-3</v>
      </c>
      <c r="DM77" s="5">
        <v>1.4708238789854057E-2</v>
      </c>
      <c r="DN77" s="5">
        <v>2.7843255231610995E-2</v>
      </c>
      <c r="DO77" s="5">
        <v>2.8849894773540198E-2</v>
      </c>
      <c r="DP77" s="5">
        <v>1.8175497780980633E-2</v>
      </c>
      <c r="DQ77" s="5">
        <v>4.0123022278002352E-2</v>
      </c>
      <c r="DR77" s="5">
        <v>3.746183591034085E-2</v>
      </c>
      <c r="DS77" s="5">
        <v>9.7610440343013204E-3</v>
      </c>
      <c r="DT77" s="4">
        <v>1.9718871797988993E-2</v>
      </c>
      <c r="DU77" s="5">
        <v>1.8205165194724187E-2</v>
      </c>
      <c r="DV77" s="5">
        <v>3.1545034556153713E-2</v>
      </c>
      <c r="DX77" s="3" t="s">
        <v>204</v>
      </c>
      <c r="DY77" s="3" t="s">
        <v>153</v>
      </c>
      <c r="DZ77" s="4">
        <v>1.2292555171970039E-2</v>
      </c>
      <c r="EA77" s="5">
        <v>1.2959689441460163E-2</v>
      </c>
      <c r="EB77" s="5">
        <v>2.4615262147911703E-2</v>
      </c>
      <c r="EC77" s="5">
        <v>2.618545577805214E-2</v>
      </c>
      <c r="ED77" s="4">
        <v>3.8073794838674201E-2</v>
      </c>
      <c r="EE77" s="5">
        <v>1.6516901890454266E-2</v>
      </c>
      <c r="EF77" s="4">
        <v>1.9816914810977242E-2</v>
      </c>
      <c r="EG77" s="5">
        <v>3.7397707296566961E-2</v>
      </c>
      <c r="EH77" s="5">
        <v>4.0371893094125207E-2</v>
      </c>
      <c r="EI77" s="5">
        <v>3.1080330131402097E-2</v>
      </c>
      <c r="EJ77" s="5">
        <v>2.2921404186571365E-3</v>
      </c>
      <c r="EK77" s="5">
        <v>6.8680704992943173E-3</v>
      </c>
      <c r="EL77" s="5">
        <v>4.5625695575794156E-3</v>
      </c>
      <c r="EM77" s="5">
        <v>1.1509202879938368E-2</v>
      </c>
      <c r="EN77" s="5">
        <v>1.7580427710933655E-2</v>
      </c>
      <c r="EO77" s="4">
        <v>2.365590045896435E-2</v>
      </c>
      <c r="EP77" s="4">
        <v>2.9841686234790197E-2</v>
      </c>
      <c r="EQ77" s="4">
        <v>3.7393127317400514E-2</v>
      </c>
      <c r="ER77" s="4">
        <v>2.8856521879730108E-2</v>
      </c>
      <c r="ES77" s="4">
        <v>9.7474894843125447E-3</v>
      </c>
      <c r="ET77" s="5">
        <v>1.9008319648901678E-2</v>
      </c>
      <c r="EU77" s="5">
        <v>5.3283338496355137E-2</v>
      </c>
      <c r="EV77" s="5">
        <v>3.9488456466742011E-2</v>
      </c>
      <c r="EW77" s="5">
        <v>2.2762276083926131E-2</v>
      </c>
      <c r="EX77" s="4">
        <v>1.3288520255263369E-2</v>
      </c>
      <c r="EY77" s="5">
        <v>1.6205906198365455E-2</v>
      </c>
      <c r="EZ77" s="5">
        <v>1.6947817871958575E-2</v>
      </c>
      <c r="FA77" s="5">
        <v>6.7435285159935477E-3</v>
      </c>
      <c r="FB77" s="5">
        <v>1.1367183147660503E-2</v>
      </c>
      <c r="FC77" s="5">
        <v>1.8810134804145395E-2</v>
      </c>
      <c r="FD77" s="5">
        <v>3.4097567278222822E-2</v>
      </c>
      <c r="FE77" s="5">
        <v>2.8453046781182604E-2</v>
      </c>
      <c r="FF77" s="5">
        <v>2.5076717605936941E-2</v>
      </c>
      <c r="FG77" s="5">
        <v>1.7057597486891105E-2</v>
      </c>
      <c r="FH77" s="4">
        <v>2.0219760163988638E-2</v>
      </c>
      <c r="FI77" s="5">
        <v>8.233073318883484E-2</v>
      </c>
      <c r="FJ77" s="5">
        <v>8.803583185005262E-2</v>
      </c>
      <c r="FK77" s="5">
        <v>6.3796153240182008E-2</v>
      </c>
      <c r="FL77" s="5">
        <v>2.6952307264656937E-2</v>
      </c>
      <c r="FM77" s="4">
        <v>1.3482471276383292E-2</v>
      </c>
      <c r="FN77" s="5">
        <v>2.3858894898457852E-2</v>
      </c>
      <c r="FO77" s="5">
        <v>7.5333003807298883E-3</v>
      </c>
      <c r="FP77" s="4">
        <v>1.3259746554506343E-2</v>
      </c>
      <c r="FQ77" s="4">
        <v>1.1989965078640176E-2</v>
      </c>
      <c r="FR77" s="4">
        <v>1.9853758264883843E-2</v>
      </c>
      <c r="FS77" s="4">
        <v>4.2465640378369959E-2</v>
      </c>
      <c r="FT77" s="5">
        <v>4.605072613717115E-2</v>
      </c>
      <c r="FU77" s="5">
        <v>2.3270924871801227E-2</v>
      </c>
      <c r="FV77" s="4">
        <v>2.7306004441820284E-2</v>
      </c>
      <c r="FW77" s="5">
        <v>3.6922981329749194E-2</v>
      </c>
      <c r="FX77" s="5">
        <v>3.0024038272384302E-2</v>
      </c>
      <c r="FY77" s="5">
        <v>1.1317447530974613E-2</v>
      </c>
      <c r="FZ77" s="5">
        <v>1.3962811405635135E-2</v>
      </c>
      <c r="GA77" s="5">
        <v>4.5690199123862456E-2</v>
      </c>
      <c r="GB77" s="5">
        <v>4.3696207000958005E-2</v>
      </c>
      <c r="GC77" s="5">
        <v>4.3331962321242645E-2</v>
      </c>
      <c r="GD77" s="5">
        <v>5.8480723660413403E-2</v>
      </c>
      <c r="GE77" s="5">
        <v>4.698318672870936E-2</v>
      </c>
      <c r="GF77" s="5">
        <v>2.5809684978785375E-2</v>
      </c>
      <c r="GG77" s="5">
        <v>2.4179912732471782E-2</v>
      </c>
      <c r="GI77" s="3" t="s">
        <v>204</v>
      </c>
      <c r="GJ77" s="3" t="s">
        <v>154</v>
      </c>
      <c r="GK77" s="5">
        <v>0.14664022324160525</v>
      </c>
      <c r="GL77" s="5">
        <v>0.13392918042873639</v>
      </c>
      <c r="GM77" s="5">
        <v>0.12149451393778822</v>
      </c>
      <c r="GN77" s="5">
        <v>0.13189622321560368</v>
      </c>
      <c r="GO77" s="5">
        <v>0.1374054338077515</v>
      </c>
      <c r="GP77" s="5">
        <v>0.15251748921721436</v>
      </c>
      <c r="GQ77" s="5">
        <v>0.14525973953954632</v>
      </c>
      <c r="GR77" s="5">
        <v>0.1322722015001786</v>
      </c>
      <c r="GS77" s="5">
        <v>0.11027872941683772</v>
      </c>
      <c r="GT77" s="5">
        <v>0.13254906019481508</v>
      </c>
      <c r="GU77" s="5">
        <v>0.17877104013049952</v>
      </c>
      <c r="GV77" s="5">
        <v>0.18307265341024406</v>
      </c>
      <c r="GW77" s="5">
        <v>0.18808718869058552</v>
      </c>
      <c r="GX77" s="5">
        <v>0.17925634576365884</v>
      </c>
      <c r="GY77" s="5">
        <v>0.16300938843776408</v>
      </c>
      <c r="GZ77" s="5">
        <v>0.15483769402592518</v>
      </c>
      <c r="HA77" s="4">
        <v>0.1450958728713202</v>
      </c>
      <c r="HB77" s="5">
        <v>0.13553119585667914</v>
      </c>
      <c r="HC77" s="5">
        <v>0.14278352392881105</v>
      </c>
      <c r="HD77" s="5">
        <v>0.16092733273266896</v>
      </c>
      <c r="HE77" s="5">
        <v>0.12532812218331385</v>
      </c>
      <c r="HF77" s="5">
        <v>0.13125009294098983</v>
      </c>
      <c r="HG77" s="5">
        <v>0.17728982662183784</v>
      </c>
      <c r="HH77" s="5">
        <v>0.2027422114981168</v>
      </c>
      <c r="HI77" s="5">
        <v>0.21216967498519179</v>
      </c>
      <c r="HJ77" s="5">
        <v>0.21108460253494465</v>
      </c>
      <c r="HK77" s="5">
        <v>0.19232374906388522</v>
      </c>
      <c r="HL77" s="4">
        <v>0.18294641639978018</v>
      </c>
      <c r="HM77" s="5">
        <v>0.15709874147547725</v>
      </c>
      <c r="HN77" s="5">
        <v>0.13366711617790636</v>
      </c>
      <c r="HO77" s="5">
        <v>0.12472575361097964</v>
      </c>
      <c r="HP77" s="5">
        <v>0.16388547998085329</v>
      </c>
      <c r="HQ77" s="5">
        <v>0.1916583652313798</v>
      </c>
      <c r="HR77" s="5">
        <v>0.17421979735780546</v>
      </c>
      <c r="HS77" s="5">
        <v>0.12762577370849063</v>
      </c>
      <c r="HT77" s="5">
        <v>0.11470415684024997</v>
      </c>
      <c r="HU77" s="5">
        <v>0.1143391683144216</v>
      </c>
      <c r="HV77" s="4">
        <v>0.11511337897484843</v>
      </c>
      <c r="HW77" s="5">
        <v>0.13592905354012152</v>
      </c>
      <c r="HX77" s="5">
        <v>0.12615390088841436</v>
      </c>
      <c r="HY77" s="5">
        <v>0.17689195201048002</v>
      </c>
      <c r="HZ77" s="5">
        <v>0.20442761863832901</v>
      </c>
      <c r="IA77" s="5">
        <v>0.18825067680516813</v>
      </c>
      <c r="IB77" s="5">
        <v>0.18245392660107951</v>
      </c>
      <c r="IC77" s="5">
        <v>0.17476312777955225</v>
      </c>
      <c r="ID77" s="5">
        <v>0.15979639265186946</v>
      </c>
      <c r="IE77" s="5">
        <v>0.1419653381047388</v>
      </c>
      <c r="IF77" s="5">
        <v>0.14966668527062302</v>
      </c>
      <c r="IG77" s="5">
        <v>0.14569546538938585</v>
      </c>
      <c r="IH77" s="5">
        <v>0.13809237418644887</v>
      </c>
      <c r="II77" s="5">
        <v>0.10312783208642687</v>
      </c>
      <c r="IJ77" s="5">
        <v>0.11899011382290053</v>
      </c>
      <c r="IK77" s="5">
        <v>0.12082738627438055</v>
      </c>
      <c r="IL77" s="5">
        <v>0.12243766483872449</v>
      </c>
      <c r="IM77" s="5">
        <v>0.12982362755426874</v>
      </c>
      <c r="IN77" s="5">
        <v>0.1263996966573796</v>
      </c>
      <c r="IO77" s="5">
        <v>0.13485920898239714</v>
      </c>
      <c r="IP77" s="5">
        <v>0.1222107737920185</v>
      </c>
      <c r="IQ77" s="5">
        <v>0.13013940042039213</v>
      </c>
      <c r="IR77" s="5">
        <v>0.11597485908405514</v>
      </c>
      <c r="JB77" s="3" t="s">
        <v>204</v>
      </c>
      <c r="JC77" s="5">
        <v>0.4478160696238333</v>
      </c>
      <c r="JD77" s="5">
        <v>0.41558439788269702</v>
      </c>
      <c r="JE77" s="4">
        <v>0.41555122005614875</v>
      </c>
      <c r="JF77" s="5">
        <v>0.38196428614527511</v>
      </c>
      <c r="JG77" s="5">
        <v>0.38823633559551918</v>
      </c>
      <c r="JH77" s="5">
        <v>0.42031840091879369</v>
      </c>
      <c r="JI77" s="5">
        <v>0.42569457302518637</v>
      </c>
      <c r="JJ77" s="5">
        <v>0.4383732649799692</v>
      </c>
      <c r="JK77" s="5">
        <v>0.45967456341837626</v>
      </c>
      <c r="JL77" s="5">
        <v>0.45667564962240981</v>
      </c>
      <c r="JM77" s="5">
        <v>0.42511260760407082</v>
      </c>
      <c r="JN77" s="4">
        <v>0.40907878924810392</v>
      </c>
      <c r="JO77" s="5">
        <v>0.399762907791887</v>
      </c>
      <c r="JP77" s="5">
        <v>0.42179528627549873</v>
      </c>
      <c r="JQ77" s="5">
        <v>0.42131439126989645</v>
      </c>
      <c r="JR77" s="5">
        <v>0.44122660162529781</v>
      </c>
      <c r="JS77" s="5">
        <v>0.45316029686695086</v>
      </c>
      <c r="JT77" s="5">
        <v>0.4270574200315741</v>
      </c>
      <c r="JU77" s="5">
        <v>0.43964063064499431</v>
      </c>
      <c r="JV77" s="5">
        <v>0.4399394679075207</v>
      </c>
      <c r="JW77" s="4">
        <v>0.37078066689401412</v>
      </c>
      <c r="JX77" s="5">
        <v>0.34276003448690778</v>
      </c>
      <c r="JY77" s="5">
        <v>0.36011010658591347</v>
      </c>
      <c r="JZ77" s="5">
        <v>0.33644097602308343</v>
      </c>
      <c r="KA77" s="5">
        <v>0.3378874013565682</v>
      </c>
      <c r="KB77" s="5">
        <v>0.36549225082720926</v>
      </c>
      <c r="KC77" s="5">
        <v>0.38481572000955022</v>
      </c>
      <c r="KD77" s="5">
        <v>0.38437303275706536</v>
      </c>
      <c r="KE77" s="5">
        <v>0.388816108839936</v>
      </c>
      <c r="KF77" s="4">
        <v>0.38379724805430993</v>
      </c>
      <c r="KG77" s="4">
        <v>0.22777476432603252</v>
      </c>
      <c r="KH77" s="5">
        <v>0.20770553467775607</v>
      </c>
      <c r="KI77" s="5">
        <v>0.1980764915658195</v>
      </c>
      <c r="KJ77" s="5">
        <v>0.19466120038846596</v>
      </c>
      <c r="KK77" s="5">
        <v>0.21038495831783352</v>
      </c>
      <c r="KL77" s="5">
        <v>0.24203982533342228</v>
      </c>
      <c r="KM77" s="5">
        <v>0.25704982705441565</v>
      </c>
      <c r="KN77" s="5">
        <v>0.24440410669260551</v>
      </c>
      <c r="KO77" s="5">
        <v>0.24891451093703301</v>
      </c>
      <c r="KP77" s="4">
        <v>0.25697150841227123</v>
      </c>
      <c r="KQ77" s="5">
        <v>0.38965857034371509</v>
      </c>
      <c r="KR77" s="4">
        <v>0.37339297262056531</v>
      </c>
      <c r="KS77" s="5">
        <v>0.36633632115324749</v>
      </c>
      <c r="KT77" s="5">
        <v>0.35915079619155277</v>
      </c>
      <c r="KU77" s="5">
        <v>0.37285190303419247</v>
      </c>
      <c r="KV77" s="5">
        <v>0.39904235218124157</v>
      </c>
      <c r="KW77" s="5">
        <v>0.4000543091630398</v>
      </c>
      <c r="KX77" s="5">
        <v>0.40698424104834191</v>
      </c>
      <c r="KY77" s="4">
        <v>0.42926113967644491</v>
      </c>
      <c r="KZ77" s="5">
        <v>0.41907143105704714</v>
      </c>
      <c r="LA77" s="5">
        <v>0.49202849797139264</v>
      </c>
      <c r="LB77" s="5">
        <v>0.49476212795082974</v>
      </c>
      <c r="LC77" s="4">
        <v>0.4955065694288765</v>
      </c>
      <c r="LD77" s="5">
        <v>0.46953657172707053</v>
      </c>
      <c r="LE77" s="5">
        <v>0.45641073542079846</v>
      </c>
      <c r="LF77" s="5">
        <v>0.46196835639181472</v>
      </c>
      <c r="LG77" s="5">
        <v>0.45125091214351337</v>
      </c>
      <c r="LH77" s="4">
        <v>0.46445060031861124</v>
      </c>
      <c r="LI77" s="5">
        <v>0.4697086021082002</v>
      </c>
      <c r="LJ77" s="5">
        <v>0.47338499369745823</v>
      </c>
      <c r="LL77" s="3" t="s">
        <v>227</v>
      </c>
      <c r="LM77" s="3" t="s">
        <v>160</v>
      </c>
      <c r="LN77" s="3" t="s">
        <v>161</v>
      </c>
      <c r="LO77" s="5">
        <v>0.77215030678064467</v>
      </c>
    </row>
    <row r="78" spans="2:327" x14ac:dyDescent="0.45">
      <c r="B78" s="6" t="s">
        <v>206</v>
      </c>
      <c r="C78" s="6" t="s">
        <v>151</v>
      </c>
      <c r="D78" s="8">
        <v>0.22588595558265637</v>
      </c>
      <c r="E78" s="8">
        <v>0.2344621673051647</v>
      </c>
      <c r="F78" s="8">
        <v>0.23474671250505044</v>
      </c>
      <c r="G78" s="8">
        <v>0.25502212300620808</v>
      </c>
      <c r="H78" s="8">
        <v>0.2569220997641542</v>
      </c>
      <c r="I78" s="8">
        <v>0.2663799155044515</v>
      </c>
      <c r="J78" s="8">
        <v>0.26645944190838922</v>
      </c>
      <c r="K78" s="8">
        <v>0.25895698671179357</v>
      </c>
      <c r="L78" s="8">
        <v>0.24281595397062625</v>
      </c>
      <c r="M78" s="8">
        <v>0.22781021195660753</v>
      </c>
      <c r="N78" s="8">
        <v>0.26725917077083067</v>
      </c>
      <c r="O78" s="8">
        <v>0.25681497736797054</v>
      </c>
      <c r="P78" s="8">
        <v>0.25892767993117988</v>
      </c>
      <c r="Q78" s="8">
        <v>0.25571906476543366</v>
      </c>
      <c r="R78" s="8">
        <v>0.24498183062585038</v>
      </c>
      <c r="S78" s="8">
        <v>0.24184953811073728</v>
      </c>
      <c r="T78" s="8">
        <v>0.25176757000822364</v>
      </c>
      <c r="U78" s="8">
        <v>0.25748450586465399</v>
      </c>
      <c r="V78" s="8">
        <v>0.25588520896450012</v>
      </c>
      <c r="W78" s="8">
        <v>0.27334353391935573</v>
      </c>
      <c r="X78" s="8">
        <v>0.28868442496424729</v>
      </c>
      <c r="Y78" s="8">
        <v>0.32009534278215473</v>
      </c>
      <c r="Z78" s="8">
        <v>0.3402920796700088</v>
      </c>
      <c r="AA78" s="8">
        <v>0.34048151987184816</v>
      </c>
      <c r="AB78" s="8">
        <v>0.32671170697756147</v>
      </c>
      <c r="AC78" s="8">
        <v>0.29585899220911294</v>
      </c>
      <c r="AD78" s="8">
        <v>0.27388786446182112</v>
      </c>
      <c r="AE78" s="8">
        <v>0.25687520476115699</v>
      </c>
      <c r="AF78" s="8">
        <v>0.2485293642550421</v>
      </c>
      <c r="AG78" s="8">
        <v>0.2564054148697707</v>
      </c>
      <c r="AH78" s="8">
        <v>0.34760998551134692</v>
      </c>
      <c r="AI78" s="8">
        <v>0.34705116562750804</v>
      </c>
      <c r="AJ78" s="8">
        <v>0.37887021042908769</v>
      </c>
      <c r="AK78" s="8">
        <v>0.37850186958556858</v>
      </c>
      <c r="AL78" s="8">
        <v>0.38163890546096702</v>
      </c>
      <c r="AM78" s="8">
        <v>0.36412433083089041</v>
      </c>
      <c r="AN78" s="8">
        <v>0.3356169257348332</v>
      </c>
      <c r="AO78" s="8">
        <v>0.31514588729184234</v>
      </c>
      <c r="AP78" s="8">
        <v>0.28770118447773774</v>
      </c>
      <c r="AQ78" s="8">
        <v>0.31070043357548816</v>
      </c>
      <c r="AR78" s="8">
        <v>0.28479125613175804</v>
      </c>
      <c r="AS78" s="8">
        <v>0.30579517178503263</v>
      </c>
      <c r="AT78" s="8">
        <v>0.31929753542847011</v>
      </c>
      <c r="AU78" s="8">
        <v>0.30896196349178395</v>
      </c>
      <c r="AV78" s="8">
        <v>0.29248222959194414</v>
      </c>
      <c r="AW78" s="8">
        <v>0.27506000930984092</v>
      </c>
      <c r="AX78" s="8">
        <v>0.27568288829053283</v>
      </c>
      <c r="AY78" s="8">
        <v>0.29360699568581167</v>
      </c>
      <c r="AZ78" s="8">
        <v>0.29177088544621227</v>
      </c>
      <c r="BA78" s="8">
        <v>0.27629124761067619</v>
      </c>
      <c r="BB78" s="8">
        <v>0.2652809558720991</v>
      </c>
      <c r="BC78" s="8">
        <v>0.26040454536325014</v>
      </c>
      <c r="BD78" s="8">
        <v>0.25866160293129198</v>
      </c>
      <c r="BE78" s="8">
        <v>0.28678437160911013</v>
      </c>
      <c r="BF78" s="8">
        <v>0.28634363774031363</v>
      </c>
      <c r="BG78" s="8">
        <v>0.27876596794412595</v>
      </c>
      <c r="BH78" s="8">
        <v>0.28601456112601342</v>
      </c>
      <c r="BI78" s="8">
        <v>0.28735853592825072</v>
      </c>
      <c r="BJ78" s="8">
        <v>0.29623979921169363</v>
      </c>
      <c r="BK78" s="8">
        <v>0.28693171730267231</v>
      </c>
      <c r="BM78" s="6" t="s">
        <v>206</v>
      </c>
      <c r="BN78" s="6" t="s">
        <v>152</v>
      </c>
      <c r="BO78" s="8">
        <v>8.5675723264326698E-3</v>
      </c>
      <c r="BP78" s="8">
        <v>5.7465812343127894E-3</v>
      </c>
      <c r="BQ78" s="7">
        <v>1.5017139612763393E-2</v>
      </c>
      <c r="BR78" s="8">
        <v>2.0735917451254353E-2</v>
      </c>
      <c r="BS78" s="8">
        <v>2.393005476674499E-2</v>
      </c>
      <c r="BT78" s="8">
        <v>2.4213561776599942E-2</v>
      </c>
      <c r="BU78" s="7">
        <v>2.3951749217568173E-2</v>
      </c>
      <c r="BV78" s="8">
        <v>1.3195118281159844E-2</v>
      </c>
      <c r="BW78" s="7">
        <v>8.359006325818737E-3</v>
      </c>
      <c r="BX78" s="8">
        <v>1.9441096325656128E-3</v>
      </c>
      <c r="BY78" s="7">
        <v>1.2961735838495445E-2</v>
      </c>
      <c r="BZ78" s="7">
        <v>1.8432338442919385E-2</v>
      </c>
      <c r="CA78" s="7">
        <v>1.1849695182636762E-2</v>
      </c>
      <c r="CB78" s="7">
        <v>1.4944170737810647E-2</v>
      </c>
      <c r="CC78" s="7">
        <v>1.3435951046383432E-2</v>
      </c>
      <c r="CD78" s="8">
        <v>7.271176841486488E-3</v>
      </c>
      <c r="CE78" s="7">
        <v>1.0259013188448097E-2</v>
      </c>
      <c r="CF78" s="8">
        <v>1.3796469108595732E-2</v>
      </c>
      <c r="CG78" s="7">
        <v>6.5417317738969442E-3</v>
      </c>
      <c r="CH78" s="8">
        <v>3.545809115342277E-3</v>
      </c>
      <c r="CI78" s="8">
        <v>1.1016799946517818E-2</v>
      </c>
      <c r="CJ78" s="7">
        <v>7.5160472991591728E-3</v>
      </c>
      <c r="CK78" s="8">
        <v>9.7759890576672066E-3</v>
      </c>
      <c r="CL78" s="7">
        <v>3.0408072715616664E-3</v>
      </c>
      <c r="CM78" s="8">
        <v>9.0579811699068851E-3</v>
      </c>
      <c r="CN78" s="8">
        <v>1.4364940286800441E-2</v>
      </c>
      <c r="CO78" s="8">
        <v>1.0205567377052983E-2</v>
      </c>
      <c r="CP78" s="8">
        <v>6.6634592162946983E-3</v>
      </c>
      <c r="CQ78" s="8">
        <v>1.7417034487678503E-2</v>
      </c>
      <c r="CR78" s="8">
        <v>2.7738715790487353E-2</v>
      </c>
      <c r="CS78" s="8">
        <v>2.5000509093946778E-2</v>
      </c>
      <c r="CT78" s="8">
        <v>2.7332648956203888E-2</v>
      </c>
      <c r="CU78" s="7">
        <v>6.2816997656101006E-2</v>
      </c>
      <c r="CV78" s="7">
        <v>5.2408946153902264E-2</v>
      </c>
      <c r="CW78" s="8">
        <v>8.374120402263761E-3</v>
      </c>
      <c r="CX78" s="7">
        <v>9.1383620393917023E-3</v>
      </c>
      <c r="CY78" s="7">
        <v>1.7576196747708491E-2</v>
      </c>
      <c r="CZ78" s="7">
        <v>1.5297333985715289E-2</v>
      </c>
      <c r="DA78" s="7">
        <v>2.3216836183474969E-2</v>
      </c>
      <c r="DB78" s="8">
        <v>3.9755771907537256E-2</v>
      </c>
      <c r="DC78" s="8">
        <v>1.2150493669854188E-2</v>
      </c>
      <c r="DD78" s="7">
        <v>7.9782505141177476E-3</v>
      </c>
      <c r="DE78" s="7">
        <v>1.1450820273928556E-2</v>
      </c>
      <c r="DF78" s="8">
        <v>3.0304493542190433E-2</v>
      </c>
      <c r="DG78" s="8">
        <v>2.3683995659353127E-2</v>
      </c>
      <c r="DH78" s="7">
        <v>2.4497117516826667E-2</v>
      </c>
      <c r="DI78" s="7">
        <v>2.5043897830045823E-2</v>
      </c>
      <c r="DJ78" s="7">
        <v>1.4294621843234958E-3</v>
      </c>
      <c r="DK78" s="7">
        <v>7.2260607237933775E-4</v>
      </c>
      <c r="DL78" s="8">
        <v>1.9894144749246423E-3</v>
      </c>
      <c r="DM78" s="8">
        <v>1.179305399935218E-2</v>
      </c>
      <c r="DN78" s="8">
        <v>1.8598563217503656E-2</v>
      </c>
      <c r="DO78" s="8">
        <v>3.0535746033345353E-2</v>
      </c>
      <c r="DP78" s="8">
        <v>3.593484916604997E-2</v>
      </c>
      <c r="DQ78" s="8">
        <v>1.986538961845076E-2</v>
      </c>
      <c r="DR78" s="8">
        <v>3.5434846217889302E-3</v>
      </c>
      <c r="DS78" s="8">
        <v>3.3690104852640477E-3</v>
      </c>
      <c r="DT78" s="7">
        <v>1.6749798261630554E-2</v>
      </c>
      <c r="DU78" s="8">
        <v>2.4253922851696995E-2</v>
      </c>
      <c r="DV78" s="8">
        <v>2.2334587865627042E-2</v>
      </c>
      <c r="DX78" s="6" t="s">
        <v>206</v>
      </c>
      <c r="DY78" s="6" t="s">
        <v>153</v>
      </c>
      <c r="DZ78" s="7">
        <v>2.1260503094715937E-3</v>
      </c>
      <c r="EA78" s="8">
        <v>1.2075879726615033E-2</v>
      </c>
      <c r="EB78" s="8">
        <v>8.9606332141646469E-3</v>
      </c>
      <c r="EC78" s="8">
        <v>9.2718116142246863E-3</v>
      </c>
      <c r="ED78" s="7">
        <v>1.0076030657284079E-2</v>
      </c>
      <c r="EE78" s="8">
        <v>2.4439114350969706E-2</v>
      </c>
      <c r="EF78" s="7">
        <v>2.5295852194575606E-2</v>
      </c>
      <c r="EG78" s="8">
        <v>3.8289546535292714E-2</v>
      </c>
      <c r="EH78" s="8">
        <v>2.6520523007298253E-2</v>
      </c>
      <c r="EI78" s="8">
        <v>1.0685880663417168E-2</v>
      </c>
      <c r="EJ78" s="8">
        <v>8.0655098006233925E-3</v>
      </c>
      <c r="EK78" s="8">
        <v>1.5425228119819371E-2</v>
      </c>
      <c r="EL78" s="8">
        <v>2.8927490689875084E-2</v>
      </c>
      <c r="EM78" s="8">
        <v>2.3902128768673647E-2</v>
      </c>
      <c r="EN78" s="8">
        <v>1.8477938740079875E-2</v>
      </c>
      <c r="EO78" s="7">
        <v>1.7237814941373657E-2</v>
      </c>
      <c r="EP78" s="7">
        <v>1.7266419453773007E-2</v>
      </c>
      <c r="EQ78" s="7">
        <v>8.5598861998795704E-3</v>
      </c>
      <c r="ER78" s="7">
        <v>5.6511076657913845E-3</v>
      </c>
      <c r="ES78" s="7">
        <v>6.3392247073335434E-3</v>
      </c>
      <c r="ET78" s="8">
        <v>3.7797697855285584E-2</v>
      </c>
      <c r="EU78" s="8">
        <v>3.6119071021285191E-2</v>
      </c>
      <c r="EV78" s="8">
        <v>7.3525339271489805E-3</v>
      </c>
      <c r="EW78" s="8">
        <v>1.6810513277605639E-2</v>
      </c>
      <c r="EX78" s="7">
        <v>1.5167286868541647E-2</v>
      </c>
      <c r="EY78" s="8">
        <v>6.2589821295182257E-3</v>
      </c>
      <c r="EZ78" s="8">
        <v>1.1804738328430467E-2</v>
      </c>
      <c r="FA78" s="8">
        <v>1.7737753283444291E-2</v>
      </c>
      <c r="FB78" s="8">
        <v>1.1237718490969878E-2</v>
      </c>
      <c r="FC78" s="8">
        <v>1.9964304124716642E-2</v>
      </c>
      <c r="FD78" s="8">
        <v>4.3645604747887493E-2</v>
      </c>
      <c r="FE78" s="8">
        <v>3.4353852431148031E-2</v>
      </c>
      <c r="FF78" s="8">
        <v>3.8734422214278218E-2</v>
      </c>
      <c r="FG78" s="8">
        <v>5.9644244258238915E-2</v>
      </c>
      <c r="FH78" s="7">
        <v>0.11124429050408977</v>
      </c>
      <c r="FI78" s="8">
        <v>0.10121359754327196</v>
      </c>
      <c r="FJ78" s="8">
        <v>3.73882524422611E-2</v>
      </c>
      <c r="FK78" s="8">
        <v>2.104600495630601E-2</v>
      </c>
      <c r="FL78" s="8">
        <v>8.5928943890031979E-3</v>
      </c>
      <c r="FM78" s="7">
        <v>1.0886469199791027E-2</v>
      </c>
      <c r="FN78" s="8">
        <v>4.68407772957786E-3</v>
      </c>
      <c r="FO78" s="8">
        <v>2.1588859166317108E-2</v>
      </c>
      <c r="FP78" s="7">
        <v>2.4459838969976253E-2</v>
      </c>
      <c r="FQ78" s="7">
        <v>1.721367371335154E-2</v>
      </c>
      <c r="FR78" s="7">
        <v>2.2331216419258067E-2</v>
      </c>
      <c r="FS78" s="7">
        <v>2.9520890274502953E-2</v>
      </c>
      <c r="FT78" s="8">
        <v>2.3593718683053218E-2</v>
      </c>
      <c r="FU78" s="8">
        <v>3.4195171659826565E-2</v>
      </c>
      <c r="FV78" s="7">
        <v>3.5168979532716499E-2</v>
      </c>
      <c r="FW78" s="8">
        <v>1.170649179454627E-2</v>
      </c>
      <c r="FX78" s="8">
        <v>2.8171734169992881E-2</v>
      </c>
      <c r="FY78" s="8">
        <v>1.1695145733984162E-2</v>
      </c>
      <c r="FZ78" s="8">
        <v>1.6086013369904312E-2</v>
      </c>
      <c r="GA78" s="8">
        <v>3.3790748067984523E-2</v>
      </c>
      <c r="GB78" s="8">
        <v>3.5682264982383506E-2</v>
      </c>
      <c r="GC78" s="8">
        <v>4.5577159983467466E-2</v>
      </c>
      <c r="GD78" s="8">
        <v>2.8850924791610628E-2</v>
      </c>
      <c r="GE78" s="8">
        <v>1.107210558789949E-2</v>
      </c>
      <c r="GF78" s="8">
        <v>4.2337176609330519E-3</v>
      </c>
      <c r="GG78" s="8">
        <v>1.4603798652828445E-2</v>
      </c>
      <c r="GI78" s="6" t="s">
        <v>206</v>
      </c>
      <c r="GJ78" s="6" t="s">
        <v>154</v>
      </c>
      <c r="GK78" s="8">
        <v>0.12170297433840181</v>
      </c>
      <c r="GL78" s="8">
        <v>0.11337028371273815</v>
      </c>
      <c r="GM78" s="8">
        <v>0.10723106434842762</v>
      </c>
      <c r="GN78" s="8">
        <v>0.11035961830590919</v>
      </c>
      <c r="GO78" s="8">
        <v>0.10617664423525207</v>
      </c>
      <c r="GP78" s="8">
        <v>9.6939887581904943E-2</v>
      </c>
      <c r="GQ78" s="8">
        <v>9.5467224865904532E-2</v>
      </c>
      <c r="GR78" s="8">
        <v>9.0632915650258647E-2</v>
      </c>
      <c r="GS78" s="8">
        <v>0.10307641638116728</v>
      </c>
      <c r="GT78" s="8">
        <v>0.11797587382747098</v>
      </c>
      <c r="GU78" s="8">
        <v>0.11681595862010559</v>
      </c>
      <c r="GV78" s="8">
        <v>9.8284461728488148E-2</v>
      </c>
      <c r="GW78" s="8">
        <v>9.2150925417012031E-2</v>
      </c>
      <c r="GX78" s="8">
        <v>9.4488112346871309E-2</v>
      </c>
      <c r="GY78" s="8">
        <v>9.939691158780696E-2</v>
      </c>
      <c r="GZ78" s="8">
        <v>0.10594062942359765</v>
      </c>
      <c r="HA78" s="7">
        <v>0.10465951766302725</v>
      </c>
      <c r="HB78" s="8">
        <v>0.11238616809364607</v>
      </c>
      <c r="HC78" s="8">
        <v>0.12817408136947611</v>
      </c>
      <c r="HD78" s="8">
        <v>0.14190945971833899</v>
      </c>
      <c r="HE78" s="8">
        <v>0.11132940120768074</v>
      </c>
      <c r="HF78" s="8">
        <v>0.1470758468987583</v>
      </c>
      <c r="HG78" s="8">
        <v>0.19083649856452747</v>
      </c>
      <c r="HH78" s="8">
        <v>0.18180031050716944</v>
      </c>
      <c r="HI78" s="8">
        <v>0.17148609495020958</v>
      </c>
      <c r="HJ78" s="8">
        <v>0.15588151589459273</v>
      </c>
      <c r="HK78" s="8">
        <v>0.14203830387888561</v>
      </c>
      <c r="HL78" s="7">
        <v>0.12330577988123063</v>
      </c>
      <c r="HM78" s="8">
        <v>0.1100283351478121</v>
      </c>
      <c r="HN78" s="8">
        <v>9.3599366100161271E-2</v>
      </c>
      <c r="HO78" s="8">
        <v>0.16161678630614257</v>
      </c>
      <c r="HP78" s="8">
        <v>0.16523949605538729</v>
      </c>
      <c r="HQ78" s="8">
        <v>0.14130018489041421</v>
      </c>
      <c r="HR78" s="8">
        <v>0.13191533042046685</v>
      </c>
      <c r="HS78" s="8">
        <v>0.13526065712716867</v>
      </c>
      <c r="HT78" s="8">
        <v>0.13139061543364799</v>
      </c>
      <c r="HU78" s="8">
        <v>0.16370149840348869</v>
      </c>
      <c r="HV78" s="7">
        <v>0.16353875103374446</v>
      </c>
      <c r="HW78" s="8">
        <v>0.15557324641780099</v>
      </c>
      <c r="HX78" s="8">
        <v>0.15891565587254239</v>
      </c>
      <c r="HY78" s="8">
        <v>0.14890991904698597</v>
      </c>
      <c r="HZ78" s="8">
        <v>0.14704885486398939</v>
      </c>
      <c r="IA78" s="8">
        <v>0.14103667773004425</v>
      </c>
      <c r="IB78" s="8">
        <v>0.12169965262075391</v>
      </c>
      <c r="IC78" s="8">
        <v>0.11273054708015322</v>
      </c>
      <c r="ID78" s="8">
        <v>9.8625922108564135E-2</v>
      </c>
      <c r="IE78" s="8">
        <v>0.10120952753193838</v>
      </c>
      <c r="IF78" s="8">
        <v>0.12060317871085323</v>
      </c>
      <c r="IG78" s="8">
        <v>0.12427220652955207</v>
      </c>
      <c r="IH78" s="8">
        <v>0.14430226517672928</v>
      </c>
      <c r="II78" s="8">
        <v>0.10552302921367321</v>
      </c>
      <c r="IJ78" s="8">
        <v>0.11427885608983424</v>
      </c>
      <c r="IK78" s="8">
        <v>0.10209684009739212</v>
      </c>
      <c r="IL78" s="8">
        <v>9.6316577601247275E-2</v>
      </c>
      <c r="IM78" s="8">
        <v>0.11160268828395446</v>
      </c>
      <c r="IN78" s="8">
        <v>0.11560510274650863</v>
      </c>
      <c r="IO78" s="8">
        <v>0.13237391996093043</v>
      </c>
      <c r="IP78" s="8">
        <v>0.1289586975853505</v>
      </c>
      <c r="IQ78" s="8">
        <v>0.13150765398195399</v>
      </c>
      <c r="IR78" s="8">
        <v>0.11841036614252758</v>
      </c>
      <c r="JB78" s="6" t="s">
        <v>206</v>
      </c>
      <c r="JC78" s="8">
        <v>0.55978361270878396</v>
      </c>
      <c r="JD78" s="8">
        <v>0.54623381028592122</v>
      </c>
      <c r="JE78" s="7">
        <v>0.5503796890349707</v>
      </c>
      <c r="JF78" s="8">
        <v>0.53197504379451355</v>
      </c>
      <c r="JG78" s="8">
        <v>0.54002326817502599</v>
      </c>
      <c r="JH78" s="8">
        <v>0.55069261009244364</v>
      </c>
      <c r="JI78" s="8">
        <v>0.549117402398421</v>
      </c>
      <c r="JJ78" s="8">
        <v>0.5610120223699786</v>
      </c>
      <c r="JK78" s="8">
        <v>0.56589741010949357</v>
      </c>
      <c r="JL78" s="8">
        <v>0.56101022970384129</v>
      </c>
      <c r="JM78" s="8">
        <v>0.52759596845283352</v>
      </c>
      <c r="JN78" s="7">
        <v>0.53673375903882592</v>
      </c>
      <c r="JO78" s="8">
        <v>0.55004930415788522</v>
      </c>
      <c r="JP78" s="8">
        <v>0.55922197854462563</v>
      </c>
      <c r="JQ78" s="8">
        <v>0.5499314112611321</v>
      </c>
      <c r="JR78" s="8">
        <v>0.55615346404426236</v>
      </c>
      <c r="JS78" s="8">
        <v>0.55454354944101003</v>
      </c>
      <c r="JT78" s="8">
        <v>0.54563430415433789</v>
      </c>
      <c r="JU78" s="8">
        <v>0.53952236507413343</v>
      </c>
      <c r="JV78" s="8">
        <v>0.51291620299413399</v>
      </c>
      <c r="JW78" s="7">
        <v>0.4863660784586144</v>
      </c>
      <c r="JX78" s="8">
        <v>0.4540216476519649</v>
      </c>
      <c r="JY78" s="8">
        <v>0.45149047208089571</v>
      </c>
      <c r="JZ78" s="8">
        <v>0.44299441098250542</v>
      </c>
      <c r="KA78" s="8">
        <v>0.44307130323331889</v>
      </c>
      <c r="KB78" s="8">
        <v>0.47854806517642651</v>
      </c>
      <c r="KC78" s="8">
        <v>0.51693956077115633</v>
      </c>
      <c r="KD78" s="8">
        <v>0.5269349866480918</v>
      </c>
      <c r="KE78" s="8">
        <v>0.51848836253352282</v>
      </c>
      <c r="KF78" s="7">
        <v>0.50292852268179344</v>
      </c>
      <c r="KG78" s="7">
        <v>0.28798635207563045</v>
      </c>
      <c r="KH78" s="8">
        <v>0.2695201253636863</v>
      </c>
      <c r="KI78" s="8">
        <v>0.27212649958311097</v>
      </c>
      <c r="KJ78" s="8">
        <v>0.26942741168720435</v>
      </c>
      <c r="KK78" s="8">
        <v>0.27259786012697523</v>
      </c>
      <c r="KL78" s="8">
        <v>0.30133861853606464</v>
      </c>
      <c r="KM78" s="8">
        <v>0.32401291948797023</v>
      </c>
      <c r="KN78" s="8">
        <v>0.3243451708728714</v>
      </c>
      <c r="KO78" s="8">
        <v>0.3004341727236523</v>
      </c>
      <c r="KP78" s="7">
        <v>0.28273030179011011</v>
      </c>
      <c r="KQ78" s="8">
        <v>0.48200067573464833</v>
      </c>
      <c r="KR78" s="7">
        <v>0.46871793192371924</v>
      </c>
      <c r="KS78" s="8">
        <v>0.46804069634070633</v>
      </c>
      <c r="KT78" s="8">
        <v>0.48587294625082433</v>
      </c>
      <c r="KU78" s="8">
        <v>0.50099331823690507</v>
      </c>
      <c r="KV78" s="8">
        <v>0.53291898613943067</v>
      </c>
      <c r="KW78" s="8">
        <v>0.549704111727366</v>
      </c>
      <c r="KX78" s="8">
        <v>0.53800237391584993</v>
      </c>
      <c r="KY78" s="7">
        <v>0.51581313769421211</v>
      </c>
      <c r="KZ78" s="8">
        <v>0.49400359289091456</v>
      </c>
      <c r="LA78" s="8">
        <v>0.54657818835088012</v>
      </c>
      <c r="LB78" s="8">
        <v>0.55098286492678716</v>
      </c>
      <c r="LC78" s="7">
        <v>0.55863214389596183</v>
      </c>
      <c r="LD78" s="8">
        <v>0.52872315178218943</v>
      </c>
      <c r="LE78" s="8">
        <v>0.52871373741263794</v>
      </c>
      <c r="LF78" s="8">
        <v>0.54311861030001773</v>
      </c>
      <c r="LG78" s="8">
        <v>0.53407001715837088</v>
      </c>
      <c r="LH78" s="7">
        <v>0.54933721083491183</v>
      </c>
      <c r="LI78" s="8">
        <v>0.54962737232941028</v>
      </c>
      <c r="LJ78" s="8">
        <v>0.53788111509958803</v>
      </c>
      <c r="LL78" s="6" t="s">
        <v>228</v>
      </c>
      <c r="LM78" s="6" t="s">
        <v>160</v>
      </c>
      <c r="LN78" s="6" t="s">
        <v>161</v>
      </c>
      <c r="LO78" s="8">
        <v>0.64435155345380979</v>
      </c>
    </row>
    <row r="79" spans="2:327" x14ac:dyDescent="0.45">
      <c r="B79" s="3" t="s">
        <v>208</v>
      </c>
      <c r="C79" s="3" t="s">
        <v>151</v>
      </c>
      <c r="D79" s="5">
        <v>0.29320574091732704</v>
      </c>
      <c r="E79" s="5">
        <v>0.2948208777921445</v>
      </c>
      <c r="F79" s="5">
        <v>0.28905555050304593</v>
      </c>
      <c r="G79" s="5">
        <v>0.30579618980852324</v>
      </c>
      <c r="H79" s="5">
        <v>0.3068765938534842</v>
      </c>
      <c r="I79" s="5">
        <v>0.31397986125403327</v>
      </c>
      <c r="J79" s="5">
        <v>0.33409709943540988</v>
      </c>
      <c r="K79" s="5">
        <v>0.33179585820357982</v>
      </c>
      <c r="L79" s="5">
        <v>0.30876761619136933</v>
      </c>
      <c r="M79" s="5">
        <v>0.29614090623645045</v>
      </c>
      <c r="N79" s="5">
        <v>0.31057349784403854</v>
      </c>
      <c r="O79" s="5">
        <v>0.3150801946377601</v>
      </c>
      <c r="P79" s="5">
        <v>0.30878245564972512</v>
      </c>
      <c r="Q79" s="5">
        <v>0.3075999505660576</v>
      </c>
      <c r="R79" s="5">
        <v>0.30621511374208021</v>
      </c>
      <c r="S79" s="5">
        <v>0.30585137330794332</v>
      </c>
      <c r="T79" s="5">
        <v>0.30645392652754194</v>
      </c>
      <c r="U79" s="5">
        <v>0.31187136577247471</v>
      </c>
      <c r="V79" s="5">
        <v>0.3039567241375995</v>
      </c>
      <c r="W79" s="5">
        <v>0.30225482274728194</v>
      </c>
      <c r="X79" s="5">
        <v>0.37310123963912323</v>
      </c>
      <c r="Y79" s="5">
        <v>0.38727548881675378</v>
      </c>
      <c r="Z79" s="5">
        <v>0.39650550997604622</v>
      </c>
      <c r="AA79" s="5">
        <v>0.39769337754059181</v>
      </c>
      <c r="AB79" s="5">
        <v>0.39928392453561767</v>
      </c>
      <c r="AC79" s="5">
        <v>0.38313530004021829</v>
      </c>
      <c r="AD79" s="5">
        <v>0.36092592952822777</v>
      </c>
      <c r="AE79" s="5">
        <v>0.33995741264737178</v>
      </c>
      <c r="AF79" s="5">
        <v>0.32393227133728886</v>
      </c>
      <c r="AG79" s="5">
        <v>0.33458949252635006</v>
      </c>
      <c r="AH79" s="5">
        <v>0.35637972028740378</v>
      </c>
      <c r="AI79" s="5">
        <v>0.38931900385439416</v>
      </c>
      <c r="AJ79" s="5">
        <v>0.43111166761006253</v>
      </c>
      <c r="AK79" s="5">
        <v>0.42011635637821099</v>
      </c>
      <c r="AL79" s="5">
        <v>0.3866772943385115</v>
      </c>
      <c r="AM79" s="5">
        <v>0.34414163242410017</v>
      </c>
      <c r="AN79" s="5">
        <v>0.32862015650112608</v>
      </c>
      <c r="AO79" s="5">
        <v>0.32410258577665735</v>
      </c>
      <c r="AP79" s="5">
        <v>0.31587560707725415</v>
      </c>
      <c r="AQ79" s="5">
        <v>0.32625971735814896</v>
      </c>
      <c r="AR79" s="5">
        <v>0.28254374929423154</v>
      </c>
      <c r="AS79" s="5">
        <v>0.27500256717987676</v>
      </c>
      <c r="AT79" s="5">
        <v>0.28608624479571176</v>
      </c>
      <c r="AU79" s="5">
        <v>0.29673690546734521</v>
      </c>
      <c r="AV79" s="5">
        <v>0.29703749048219458</v>
      </c>
      <c r="AW79" s="5">
        <v>0.28747093107308708</v>
      </c>
      <c r="AX79" s="5">
        <v>0.30361026445501332</v>
      </c>
      <c r="AY79" s="5">
        <v>0.29092052514327427</v>
      </c>
      <c r="AZ79" s="5">
        <v>0.28089170382244871</v>
      </c>
      <c r="BA79" s="5">
        <v>0.27701437880506979</v>
      </c>
      <c r="BB79" s="5">
        <v>0.2733648799855557</v>
      </c>
      <c r="BC79" s="5">
        <v>0.28176360813314666</v>
      </c>
      <c r="BD79" s="5">
        <v>0.28057307996617714</v>
      </c>
      <c r="BE79" s="5">
        <v>0.29880319117056153</v>
      </c>
      <c r="BF79" s="5">
        <v>0.30448676772782479</v>
      </c>
      <c r="BG79" s="5">
        <v>0.30888338236202229</v>
      </c>
      <c r="BH79" s="5">
        <v>0.31611451911544164</v>
      </c>
      <c r="BI79" s="5">
        <v>0.30689340432527945</v>
      </c>
      <c r="BJ79" s="5">
        <v>0.30650167923242061</v>
      </c>
      <c r="BK79" s="5">
        <v>0.2775780375884116</v>
      </c>
      <c r="BM79" s="3" t="s">
        <v>208</v>
      </c>
      <c r="BN79" s="3" t="s">
        <v>152</v>
      </c>
      <c r="BO79" s="5">
        <v>6.3428197360135682E-3</v>
      </c>
      <c r="BP79" s="5">
        <v>1.4523084337496476E-2</v>
      </c>
      <c r="BQ79" s="4">
        <v>3.0490004844688015E-2</v>
      </c>
      <c r="BR79" s="5">
        <v>2.3932821956259714E-2</v>
      </c>
      <c r="BS79" s="5">
        <v>1.246475468194227E-2</v>
      </c>
      <c r="BT79" s="5">
        <v>9.3889481183987728E-3</v>
      </c>
      <c r="BU79" s="4">
        <v>4.3275510934262717E-3</v>
      </c>
      <c r="BV79" s="5">
        <v>7.4438227965182785E-3</v>
      </c>
      <c r="BW79" s="4">
        <v>1.3607955473489829E-2</v>
      </c>
      <c r="BX79" s="5">
        <v>1.1112657317298885E-2</v>
      </c>
      <c r="BY79" s="4">
        <v>4.8323356945366627E-3</v>
      </c>
      <c r="BZ79" s="4">
        <v>2.7374145923265838E-2</v>
      </c>
      <c r="CA79" s="4">
        <v>2.3548367083699489E-2</v>
      </c>
      <c r="CB79" s="4">
        <v>1.3703458741119797E-2</v>
      </c>
      <c r="CC79" s="4">
        <v>3.1403698723323409E-2</v>
      </c>
      <c r="CD79" s="5">
        <v>3.5813867413828838E-2</v>
      </c>
      <c r="CE79" s="4">
        <v>8.6749295276455484E-3</v>
      </c>
      <c r="CF79" s="5">
        <v>1.1801096353995517E-3</v>
      </c>
      <c r="CG79" s="4">
        <v>4.7322847557661508E-3</v>
      </c>
      <c r="CH79" s="5">
        <v>3.4055231455091457E-3</v>
      </c>
      <c r="CI79" s="5">
        <v>2.6309746757948265E-2</v>
      </c>
      <c r="CJ79" s="4">
        <v>1.1381471757375325E-2</v>
      </c>
      <c r="CK79" s="5">
        <v>1.1464355255272694E-2</v>
      </c>
      <c r="CL79" s="4">
        <v>2.0526297274625065E-2</v>
      </c>
      <c r="CM79" s="5">
        <v>2.1003245506435321E-2</v>
      </c>
      <c r="CN79" s="5">
        <v>8.9098522409970828E-3</v>
      </c>
      <c r="CO79" s="5">
        <v>1.701718351822435E-3</v>
      </c>
      <c r="CP79" s="5">
        <v>3.1832862332247091E-3</v>
      </c>
      <c r="CQ79" s="5">
        <v>9.4188663941396703E-3</v>
      </c>
      <c r="CR79" s="5">
        <v>2.7840593969922188E-2</v>
      </c>
      <c r="CS79" s="5">
        <v>3.6202874984216475E-2</v>
      </c>
      <c r="CT79" s="5">
        <v>1.3722727213553169E-2</v>
      </c>
      <c r="CU79" s="4">
        <v>2.1716363876145079E-2</v>
      </c>
      <c r="CV79" s="4">
        <v>5.4859078325010698E-2</v>
      </c>
      <c r="CW79" s="5">
        <v>2.7003857036731992E-2</v>
      </c>
      <c r="CX79" s="4">
        <v>1.8137318368931909E-2</v>
      </c>
      <c r="CY79" s="4">
        <v>1.7108951097278734E-2</v>
      </c>
      <c r="CZ79" s="4">
        <v>3.2624107250513672E-2</v>
      </c>
      <c r="DA79" s="4">
        <v>1.6058919856575649E-2</v>
      </c>
      <c r="DB79" s="5">
        <v>1.9840099256533204E-2</v>
      </c>
      <c r="DC79" s="5">
        <v>1.0472933708070953E-2</v>
      </c>
      <c r="DD79" s="4">
        <v>3.0227674764026942E-2</v>
      </c>
      <c r="DE79" s="4">
        <v>5.5472580005914741E-2</v>
      </c>
      <c r="DF79" s="5">
        <v>4.8512546258234236E-2</v>
      </c>
      <c r="DG79" s="5">
        <v>5.8965077608827583E-2</v>
      </c>
      <c r="DH79" s="4">
        <v>5.5927480763829661E-2</v>
      </c>
      <c r="DI79" s="4">
        <v>1.1087852853586528E-2</v>
      </c>
      <c r="DJ79" s="4">
        <v>1.7944298428997199E-4</v>
      </c>
      <c r="DK79" s="4">
        <v>1.0630972705394724E-2</v>
      </c>
      <c r="DL79" s="5">
        <v>1.8704905912426038E-2</v>
      </c>
      <c r="DM79" s="5">
        <v>2.6470863881181451E-2</v>
      </c>
      <c r="DN79" s="5">
        <v>1.8349728090074777E-2</v>
      </c>
      <c r="DO79" s="5">
        <v>1.7286436713403998E-2</v>
      </c>
      <c r="DP79" s="5">
        <v>3.7602228958136842E-2</v>
      </c>
      <c r="DQ79" s="5">
        <v>3.8211150984360537E-2</v>
      </c>
      <c r="DR79" s="5">
        <v>1.2044170195236528E-2</v>
      </c>
      <c r="DS79" s="5">
        <v>6.9311965594752332E-3</v>
      </c>
      <c r="DT79" s="4">
        <v>1.2189047704560597E-2</v>
      </c>
      <c r="DU79" s="5">
        <v>1.9026427121700704E-2</v>
      </c>
      <c r="DV79" s="5">
        <v>1.7432229749852382E-2</v>
      </c>
      <c r="DX79" s="3" t="s">
        <v>208</v>
      </c>
      <c r="DY79" s="3" t="s">
        <v>153</v>
      </c>
      <c r="DZ79" s="4">
        <v>1.2843909048191927E-2</v>
      </c>
      <c r="EA79" s="5">
        <v>6.9797160719595576E-3</v>
      </c>
      <c r="EB79" s="5">
        <v>7.4982958023571333E-3</v>
      </c>
      <c r="EC79" s="5">
        <v>2.5422662470743776E-2</v>
      </c>
      <c r="ED79" s="4">
        <v>3.8885457036971681E-2</v>
      </c>
      <c r="EE79" s="5">
        <v>3.8439423664480915E-2</v>
      </c>
      <c r="EF79" s="4">
        <v>1.2939973155322774E-2</v>
      </c>
      <c r="EG79" s="5">
        <v>1.0090082068209143E-2</v>
      </c>
      <c r="EH79" s="5">
        <v>7.1454219583583422E-3</v>
      </c>
      <c r="EI79" s="5">
        <v>1.2534020454867661E-2</v>
      </c>
      <c r="EJ79" s="5">
        <v>1.1087463658902921E-3</v>
      </c>
      <c r="EK79" s="5">
        <v>0</v>
      </c>
      <c r="EL79" s="5">
        <v>1.1532005272237505E-2</v>
      </c>
      <c r="EM79" s="5">
        <v>2.6443246137720578E-2</v>
      </c>
      <c r="EN79" s="5">
        <v>2.2806323397344942E-2</v>
      </c>
      <c r="EO79" s="4">
        <v>2.4382727534315373E-2</v>
      </c>
      <c r="EP79" s="4">
        <v>3.711875825239614E-2</v>
      </c>
      <c r="EQ79" s="4">
        <v>2.6657855022057385E-2</v>
      </c>
      <c r="ER79" s="4">
        <v>1.193608290330069E-2</v>
      </c>
      <c r="ES79" s="4">
        <v>2.3432589786521398E-3</v>
      </c>
      <c r="ET79" s="5">
        <v>4.6075332705215535E-2</v>
      </c>
      <c r="EU79" s="5">
        <v>6.6411942501701696E-2</v>
      </c>
      <c r="EV79" s="5">
        <v>2.9038323552131085E-2</v>
      </c>
      <c r="EW79" s="5">
        <v>2.3655501698645175E-2</v>
      </c>
      <c r="EX79" s="4">
        <v>1.3161248813883083E-2</v>
      </c>
      <c r="EY79" s="5">
        <v>3.3983633030836992E-2</v>
      </c>
      <c r="EZ79" s="5">
        <v>3.3881243679806633E-2</v>
      </c>
      <c r="FA79" s="5">
        <v>2.090806058624271E-2</v>
      </c>
      <c r="FB79" s="5">
        <v>1.7645712071296977E-3</v>
      </c>
      <c r="FC79" s="5">
        <v>2.6743222134362416E-3</v>
      </c>
      <c r="FD79" s="5">
        <v>1.5849346375809849E-2</v>
      </c>
      <c r="FE79" s="5">
        <v>7.762057500614733E-2</v>
      </c>
      <c r="FF79" s="5">
        <v>6.7974235275383349E-2</v>
      </c>
      <c r="FG79" s="5">
        <v>1.7253966648518811E-2</v>
      </c>
      <c r="FH79" s="4">
        <v>3.6960569995198554E-2</v>
      </c>
      <c r="FI79" s="5">
        <v>3.5223981858252505E-2</v>
      </c>
      <c r="FJ79" s="5">
        <v>3.7960331140345097E-2</v>
      </c>
      <c r="FK79" s="5">
        <v>2.9479099413058946E-2</v>
      </c>
      <c r="FL79" s="5">
        <v>3.4608161151438478E-2</v>
      </c>
      <c r="FM79" s="4">
        <v>2.6980348716846816E-2</v>
      </c>
      <c r="FN79" s="5">
        <v>2.1011968931005383E-2</v>
      </c>
      <c r="FO79" s="5">
        <v>1.2763655351103598E-2</v>
      </c>
      <c r="FP79" s="4">
        <v>1.4766645101366004E-2</v>
      </c>
      <c r="FQ79" s="4">
        <v>3.3822895772943437E-2</v>
      </c>
      <c r="FR79" s="4">
        <v>4.3102371888387059E-2</v>
      </c>
      <c r="FS79" s="4">
        <v>4.9062322500501049E-2</v>
      </c>
      <c r="FT79" s="5">
        <v>7.3638097970140676E-2</v>
      </c>
      <c r="FU79" s="5">
        <v>7.4344957828281127E-2</v>
      </c>
      <c r="FV79" s="4">
        <v>2.9617151463192153E-2</v>
      </c>
      <c r="FW79" s="5">
        <v>3.8295031571552872E-3</v>
      </c>
      <c r="FX79" s="5">
        <v>2.0367376790537201E-2</v>
      </c>
      <c r="FY79" s="5">
        <v>4.4230129714196709E-2</v>
      </c>
      <c r="FZ79" s="5">
        <v>4.9547121581108376E-2</v>
      </c>
      <c r="GA79" s="5">
        <v>3.6406270820670231E-2</v>
      </c>
      <c r="GB79" s="5">
        <v>2.7229703130148556E-2</v>
      </c>
      <c r="GC79" s="5">
        <v>4.5566247928550838E-2</v>
      </c>
      <c r="GD79" s="5">
        <v>4.0747218965976495E-2</v>
      </c>
      <c r="GE79" s="5">
        <v>1.9992916602221165E-2</v>
      </c>
      <c r="GF79" s="5">
        <v>8.9359840786876824E-3</v>
      </c>
      <c r="GG79" s="5">
        <v>1.4886737049820496E-2</v>
      </c>
      <c r="GI79" s="3" t="s">
        <v>208</v>
      </c>
      <c r="GJ79" s="3" t="s">
        <v>154</v>
      </c>
      <c r="GK79" s="5">
        <v>0.17097155326595756</v>
      </c>
      <c r="GL79" s="5">
        <v>0.1680157160506171</v>
      </c>
      <c r="GM79" s="5">
        <v>0.14796870914547464</v>
      </c>
      <c r="GN79" s="5">
        <v>0.14718708316272355</v>
      </c>
      <c r="GO79" s="5">
        <v>0.14346359827952593</v>
      </c>
      <c r="GP79" s="5">
        <v>0.15044869790768439</v>
      </c>
      <c r="GQ79" s="5">
        <v>0.18716446203540585</v>
      </c>
      <c r="GR79" s="5">
        <v>0.18936437794634658</v>
      </c>
      <c r="GS79" s="5">
        <v>0.16397139296784946</v>
      </c>
      <c r="GT79" s="5">
        <v>0.16669836765507365</v>
      </c>
      <c r="GU79" s="5">
        <v>0.19728167615003561</v>
      </c>
      <c r="GV79" s="5">
        <v>0.17389546957301386</v>
      </c>
      <c r="GW79" s="5">
        <v>0.15755581152660786</v>
      </c>
      <c r="GX79" s="5">
        <v>0.13894610681299296</v>
      </c>
      <c r="GY79" s="5">
        <v>0.11898458691785256</v>
      </c>
      <c r="GZ79" s="5">
        <v>0.12727934248043438</v>
      </c>
      <c r="HA79" s="4">
        <v>0.14196650740402864</v>
      </c>
      <c r="HB79" s="5">
        <v>0.16559136423075746</v>
      </c>
      <c r="HC79" s="5">
        <v>0.17520974985232632</v>
      </c>
      <c r="HD79" s="5">
        <v>0.18847925433024387</v>
      </c>
      <c r="HE79" s="5">
        <v>0.16918509559354192</v>
      </c>
      <c r="HF79" s="5">
        <v>0.15699543971195265</v>
      </c>
      <c r="HG79" s="5">
        <v>0.19503406674219165</v>
      </c>
      <c r="HH79" s="5">
        <v>0.19716212521348023</v>
      </c>
      <c r="HI79" s="5">
        <v>0.20866800598288776</v>
      </c>
      <c r="HJ79" s="5">
        <v>0.18667172280502864</v>
      </c>
      <c r="HK79" s="5">
        <v>0.18974310049767301</v>
      </c>
      <c r="HL79" s="4">
        <v>0.19318095178493433</v>
      </c>
      <c r="HM79" s="5">
        <v>0.19310539770440063</v>
      </c>
      <c r="HN79" s="5">
        <v>0.18499350979865814</v>
      </c>
      <c r="HO79" s="5">
        <v>0.17578441999091285</v>
      </c>
      <c r="HP79" s="5">
        <v>0.15525201028160809</v>
      </c>
      <c r="HQ79" s="5">
        <v>0.18811354880388675</v>
      </c>
      <c r="HR79" s="5">
        <v>0.18982478381380455</v>
      </c>
      <c r="HS79" s="5">
        <v>0.178400757114657</v>
      </c>
      <c r="HT79" s="5">
        <v>0.16277178891840793</v>
      </c>
      <c r="HU79" s="5">
        <v>0.15496990362561042</v>
      </c>
      <c r="HV79" s="4">
        <v>0.15853658344521521</v>
      </c>
      <c r="HW79" s="5">
        <v>0.17442929238760668</v>
      </c>
      <c r="HX79" s="5">
        <v>0.17146824206305086</v>
      </c>
      <c r="HY79" s="5">
        <v>0.14743085678296852</v>
      </c>
      <c r="HZ79" s="5">
        <v>0.13644625500445423</v>
      </c>
      <c r="IA79" s="5">
        <v>0.110910012420306</v>
      </c>
      <c r="IB79" s="5">
        <v>9.1222514192826468E-2</v>
      </c>
      <c r="IC79" s="5">
        <v>6.7329172042095875E-2</v>
      </c>
      <c r="ID79" s="5">
        <v>6.4530272544616671E-2</v>
      </c>
      <c r="IE79" s="5">
        <v>9.1116373143719995E-2</v>
      </c>
      <c r="IF79" s="5">
        <v>9.5228685404217792E-2</v>
      </c>
      <c r="IG79" s="5">
        <v>0.11254165471445764</v>
      </c>
      <c r="IH79" s="5">
        <v>0.13616733138806039</v>
      </c>
      <c r="II79" s="5">
        <v>0.10579516240241911</v>
      </c>
      <c r="IJ79" s="5">
        <v>0.10345724309631209</v>
      </c>
      <c r="IK79" s="5">
        <v>9.9955339520888559E-2</v>
      </c>
      <c r="IL79" s="5">
        <v>0.10687892135003788</v>
      </c>
      <c r="IM79" s="5">
        <v>0.12092751397194246</v>
      </c>
      <c r="IN79" s="5">
        <v>0.1303622674272191</v>
      </c>
      <c r="IO79" s="5">
        <v>0.14758594621482021</v>
      </c>
      <c r="IP79" s="5">
        <v>0.15367804567023705</v>
      </c>
      <c r="IQ79" s="5">
        <v>0.15357502031705969</v>
      </c>
      <c r="IR79" s="5">
        <v>0.13016973688582839</v>
      </c>
      <c r="JB79" s="3" t="s">
        <v>208</v>
      </c>
      <c r="JC79" s="5">
        <v>0.41694536997833459</v>
      </c>
      <c r="JD79" s="5">
        <v>0.39438818369565498</v>
      </c>
      <c r="JE79" s="4">
        <v>0.40509437718462582</v>
      </c>
      <c r="JF79" s="5">
        <v>0.40672183622979791</v>
      </c>
      <c r="JG79" s="5">
        <v>0.42696404042631336</v>
      </c>
      <c r="JH79" s="5">
        <v>0.43515611114583019</v>
      </c>
      <c r="JI79" s="5">
        <v>0.42757518756040458</v>
      </c>
      <c r="JJ79" s="5">
        <v>0.42222978447511761</v>
      </c>
      <c r="JK79" s="5">
        <v>0.4338620782798473</v>
      </c>
      <c r="JL79" s="5">
        <v>0.42970444699400195</v>
      </c>
      <c r="JM79" s="5">
        <v>0.37898922109123179</v>
      </c>
      <c r="JN79" s="4">
        <v>0.39178750568197057</v>
      </c>
      <c r="JO79" s="5">
        <v>0.41474813962877716</v>
      </c>
      <c r="JP79" s="5">
        <v>0.45906496380490319</v>
      </c>
      <c r="JQ79" s="5">
        <v>0.47581563112229686</v>
      </c>
      <c r="JR79" s="5">
        <v>0.47188249074079675</v>
      </c>
      <c r="JS79" s="5">
        <v>0.45271447576627594</v>
      </c>
      <c r="JT79" s="5">
        <v>0.40715129996624594</v>
      </c>
      <c r="JU79" s="5">
        <v>0.40214481162679611</v>
      </c>
      <c r="JV79" s="5">
        <v>0.40035594953173326</v>
      </c>
      <c r="JW79" s="4">
        <v>0.33612411892876692</v>
      </c>
      <c r="JX79" s="5">
        <v>0.31759794183305456</v>
      </c>
      <c r="JY79" s="5">
        <v>0.34468304022397805</v>
      </c>
      <c r="JZ79" s="5">
        <v>0.33993159672434503</v>
      </c>
      <c r="KA79" s="5">
        <v>0.34628213480618686</v>
      </c>
      <c r="KB79" s="5">
        <v>0.36912096185339388</v>
      </c>
      <c r="KC79" s="5">
        <v>0.38384807259797737</v>
      </c>
      <c r="KD79" s="5">
        <v>0.38670219742073386</v>
      </c>
      <c r="KE79" s="5">
        <v>0.37231423938841623</v>
      </c>
      <c r="KF79" s="4">
        <v>0.3611057039296533</v>
      </c>
      <c r="KG79" s="4">
        <v>0.2006262843567804</v>
      </c>
      <c r="KH79" s="5">
        <v>0.18621064263742249</v>
      </c>
      <c r="KI79" s="5">
        <v>0.20736728313619759</v>
      </c>
      <c r="KJ79" s="5">
        <v>0.21697172903962378</v>
      </c>
      <c r="KK79" s="5">
        <v>0.22482176639055912</v>
      </c>
      <c r="KL79" s="5">
        <v>0.24775772255246284</v>
      </c>
      <c r="KM79" s="5">
        <v>0.25272114719405209</v>
      </c>
      <c r="KN79" s="5">
        <v>0.24739279685098592</v>
      </c>
      <c r="KO79" s="5">
        <v>0.22816295677202186</v>
      </c>
      <c r="KP79" s="4">
        <v>0.21777715508453571</v>
      </c>
      <c r="KQ79" s="5">
        <v>0.37541541488828079</v>
      </c>
      <c r="KR79" s="4">
        <v>0.35655380166238754</v>
      </c>
      <c r="KS79" s="5">
        <v>0.37008931629181119</v>
      </c>
      <c r="KT79" s="5">
        <v>0.40197489704618428</v>
      </c>
      <c r="KU79" s="5">
        <v>0.43494832622367841</v>
      </c>
      <c r="KV79" s="5">
        <v>0.45694038940610243</v>
      </c>
      <c r="KW79" s="5">
        <v>0.46216560975297499</v>
      </c>
      <c r="KX79" s="5">
        <v>0.44186730478466535</v>
      </c>
      <c r="KY79" s="4">
        <v>0.43781989746758149</v>
      </c>
      <c r="KZ79" s="5">
        <v>0.41583492180369247</v>
      </c>
      <c r="LA79" s="5">
        <v>0.52509173742708981</v>
      </c>
      <c r="LB79" s="5">
        <v>0.50307338405511193</v>
      </c>
      <c r="LC79" s="4">
        <v>0.50416316185009957</v>
      </c>
      <c r="LD79" s="5">
        <v>0.49159919561702115</v>
      </c>
      <c r="LE79" s="5">
        <v>0.48534231938732997</v>
      </c>
      <c r="LF79" s="5">
        <v>0.48311193917367651</v>
      </c>
      <c r="LG79" s="5">
        <v>0.47710564892195284</v>
      </c>
      <c r="LH79" s="4">
        <v>0.47910056517035354</v>
      </c>
      <c r="LI79" s="5">
        <v>0.48780918581226757</v>
      </c>
      <c r="LJ79" s="5">
        <v>0.50074888303185427</v>
      </c>
      <c r="LL79" s="3" t="s">
        <v>229</v>
      </c>
      <c r="LM79" s="3" t="s">
        <v>160</v>
      </c>
      <c r="LN79" s="3" t="s">
        <v>161</v>
      </c>
      <c r="LO79" s="5">
        <v>0.7732090718535114</v>
      </c>
    </row>
    <row r="80" spans="2:327" x14ac:dyDescent="0.45">
      <c r="B80" s="6" t="s">
        <v>210</v>
      </c>
      <c r="C80" s="6" t="s">
        <v>151</v>
      </c>
      <c r="D80" s="8">
        <v>0.2388964010703814</v>
      </c>
      <c r="E80" s="8">
        <v>0.24062980809477927</v>
      </c>
      <c r="F80" s="8">
        <v>0.2449241674359304</v>
      </c>
      <c r="G80" s="8">
        <v>0.24719778102924228</v>
      </c>
      <c r="H80" s="8">
        <v>0.24681545685314893</v>
      </c>
      <c r="I80" s="8">
        <v>0.25088897498600499</v>
      </c>
      <c r="J80" s="8">
        <v>0.25188797614203895</v>
      </c>
      <c r="K80" s="8">
        <v>0.23391318480888096</v>
      </c>
      <c r="L80" s="8">
        <v>0.22705073577147064</v>
      </c>
      <c r="M80" s="8">
        <v>0.23488117786122534</v>
      </c>
      <c r="N80" s="8">
        <v>0.27698216014405824</v>
      </c>
      <c r="O80" s="8">
        <v>0.27908825926708669</v>
      </c>
      <c r="P80" s="8">
        <v>0.2774727577417872</v>
      </c>
      <c r="Q80" s="8">
        <v>0.26876899443215657</v>
      </c>
      <c r="R80" s="8">
        <v>0.27232432364700443</v>
      </c>
      <c r="S80" s="8">
        <v>0.26841996702274712</v>
      </c>
      <c r="T80" s="8">
        <v>0.2592589060653363</v>
      </c>
      <c r="U80" s="8">
        <v>0.26032868148838073</v>
      </c>
      <c r="V80" s="8">
        <v>0.26095985779319991</v>
      </c>
      <c r="W80" s="8">
        <v>0.25167926956967573</v>
      </c>
      <c r="X80" s="8">
        <v>0.34869181827484969</v>
      </c>
      <c r="Y80" s="8">
        <v>0.31448391743805221</v>
      </c>
      <c r="Z80" s="8">
        <v>0.30434413020544931</v>
      </c>
      <c r="AA80" s="8">
        <v>0.30600360756403328</v>
      </c>
      <c r="AB80" s="8">
        <v>0.30820375817841283</v>
      </c>
      <c r="AC80" s="8">
        <v>0.3153980504494886</v>
      </c>
      <c r="AD80" s="8">
        <v>0.31749000207967143</v>
      </c>
      <c r="AE80" s="8">
        <v>0.31467427973446532</v>
      </c>
      <c r="AF80" s="8">
        <v>0.32790185617192491</v>
      </c>
      <c r="AG80" s="8">
        <v>0.35069514189968215</v>
      </c>
      <c r="AH80" s="8">
        <v>0.3578930997831653</v>
      </c>
      <c r="AI80" s="8">
        <v>0.34907727241555264</v>
      </c>
      <c r="AJ80" s="8">
        <v>0.35833540304155653</v>
      </c>
      <c r="AK80" s="8">
        <v>0.35414278785251818</v>
      </c>
      <c r="AL80" s="8">
        <v>0.33646972503450773</v>
      </c>
      <c r="AM80" s="8">
        <v>0.32494292646610984</v>
      </c>
      <c r="AN80" s="8">
        <v>0.31748555920609811</v>
      </c>
      <c r="AO80" s="8">
        <v>0.31339356829133153</v>
      </c>
      <c r="AP80" s="8">
        <v>0.30868252552968534</v>
      </c>
      <c r="AQ80" s="8">
        <v>0.3331373349766647</v>
      </c>
      <c r="AR80" s="8">
        <v>0.27598109256937359</v>
      </c>
      <c r="AS80" s="8">
        <v>0.27792975967286054</v>
      </c>
      <c r="AT80" s="8">
        <v>0.27684901707504184</v>
      </c>
      <c r="AU80" s="8">
        <v>0.26678350676121215</v>
      </c>
      <c r="AV80" s="8">
        <v>0.26917882262015358</v>
      </c>
      <c r="AW80" s="8">
        <v>0.27615221864424322</v>
      </c>
      <c r="AX80" s="8">
        <v>0.2738517994760708</v>
      </c>
      <c r="AY80" s="8">
        <v>0.25401807691345119</v>
      </c>
      <c r="AZ80" s="8">
        <v>0.23871838159309103</v>
      </c>
      <c r="BA80" s="8">
        <v>0.2576574510172131</v>
      </c>
      <c r="BB80" s="8">
        <v>0.20536786124336062</v>
      </c>
      <c r="BC80" s="8">
        <v>0.20296021798615674</v>
      </c>
      <c r="BD80" s="8">
        <v>0.20420350934509654</v>
      </c>
      <c r="BE80" s="8">
        <v>0.20994759387326448</v>
      </c>
      <c r="BF80" s="8">
        <v>0.22444229127762144</v>
      </c>
      <c r="BG80" s="8">
        <v>0.21976479155936329</v>
      </c>
      <c r="BH80" s="8">
        <v>0.21239536359008068</v>
      </c>
      <c r="BI80" s="8">
        <v>0.20658810803814967</v>
      </c>
      <c r="BJ80" s="8">
        <v>0.20750858993527946</v>
      </c>
      <c r="BK80" s="8">
        <v>0.20705103372677011</v>
      </c>
      <c r="BM80" s="6" t="s">
        <v>210</v>
      </c>
      <c r="BN80" s="6" t="s">
        <v>152</v>
      </c>
      <c r="BO80" s="8">
        <v>1.555061057094685E-2</v>
      </c>
      <c r="BP80" s="8">
        <v>1.711459135954951E-2</v>
      </c>
      <c r="BQ80" s="7">
        <v>1.7501108408749338E-2</v>
      </c>
      <c r="BR80" s="8">
        <v>8.5894617646395059E-3</v>
      </c>
      <c r="BS80" s="8">
        <v>6.1316834067057001E-3</v>
      </c>
      <c r="BT80" s="8">
        <v>8.1352122109333586E-3</v>
      </c>
      <c r="BU80" s="7">
        <v>1.8192396317484129E-2</v>
      </c>
      <c r="BV80" s="8">
        <v>2.1546908678774748E-2</v>
      </c>
      <c r="BW80" s="7">
        <v>1.3535175067310092E-2</v>
      </c>
      <c r="BX80" s="8">
        <v>2.2379930824262134E-2</v>
      </c>
      <c r="BY80" s="7">
        <v>1.1298922789006583E-2</v>
      </c>
      <c r="BZ80" s="7">
        <v>1.7960360384028481E-2</v>
      </c>
      <c r="CA80" s="7">
        <v>2.4485155166319401E-2</v>
      </c>
      <c r="CB80" s="7">
        <v>1.1361401426533675E-2</v>
      </c>
      <c r="CC80" s="7">
        <v>1.608167834052222E-2</v>
      </c>
      <c r="CD80" s="8">
        <v>9.5168202799648452E-3</v>
      </c>
      <c r="CE80" s="7">
        <v>0</v>
      </c>
      <c r="CF80" s="8">
        <v>1.4776071094741523E-3</v>
      </c>
      <c r="CG80" s="7">
        <v>9.216436860225153E-3</v>
      </c>
      <c r="CH80" s="8">
        <v>1.4399029329175717E-2</v>
      </c>
      <c r="CI80" s="8">
        <v>1.6637160057686527E-2</v>
      </c>
      <c r="CJ80" s="7">
        <v>3.6899240301529108E-3</v>
      </c>
      <c r="CK80" s="8">
        <v>9.6464741855633428E-3</v>
      </c>
      <c r="CL80" s="7">
        <v>3.219261147229735E-2</v>
      </c>
      <c r="CM80" s="8">
        <v>5.0707060886146342E-2</v>
      </c>
      <c r="CN80" s="8">
        <v>2.4598279454937928E-2</v>
      </c>
      <c r="CO80" s="8">
        <v>1.7352738802160927E-2</v>
      </c>
      <c r="CP80" s="8">
        <v>1.7135396367633671E-2</v>
      </c>
      <c r="CQ80" s="8">
        <v>1.2768847263150638E-2</v>
      </c>
      <c r="CR80" s="8">
        <v>2.093697155547242E-2</v>
      </c>
      <c r="CS80" s="8">
        <v>3.2692710556668197E-2</v>
      </c>
      <c r="CT80" s="8">
        <v>3.2365245572352784E-2</v>
      </c>
      <c r="CU80" s="7">
        <v>8.0782388172513896E-3</v>
      </c>
      <c r="CV80" s="7">
        <v>9.6734450709732283E-3</v>
      </c>
      <c r="CW80" s="8">
        <v>1.0457943859663824E-3</v>
      </c>
      <c r="CX80" s="7">
        <v>8.5764024556357482E-3</v>
      </c>
      <c r="CY80" s="7">
        <v>1.1009211357723927E-2</v>
      </c>
      <c r="CZ80" s="7">
        <v>1.3607257406261104E-2</v>
      </c>
      <c r="DA80" s="7">
        <v>2.0055703783553459E-2</v>
      </c>
      <c r="DB80" s="8">
        <v>3.9926344957021138E-2</v>
      </c>
      <c r="DC80" s="8">
        <v>2.5566800452866995E-2</v>
      </c>
      <c r="DD80" s="7">
        <v>2.5032128924645156E-2</v>
      </c>
      <c r="DE80" s="7">
        <v>3.6916602816895669E-2</v>
      </c>
      <c r="DF80" s="8">
        <v>2.6055348692111253E-2</v>
      </c>
      <c r="DG80" s="8">
        <v>1.2480108940021195E-2</v>
      </c>
      <c r="DH80" s="7">
        <v>9.2508147483570564E-3</v>
      </c>
      <c r="DI80" s="7">
        <v>7.4152230168393288E-3</v>
      </c>
      <c r="DJ80" s="7">
        <v>1.0263313076510782E-2</v>
      </c>
      <c r="DK80" s="7">
        <v>1.0845069582214713E-2</v>
      </c>
      <c r="DL80" s="8">
        <v>1.6388415247447892E-2</v>
      </c>
      <c r="DM80" s="8">
        <v>1.3567390990278688E-2</v>
      </c>
      <c r="DN80" s="8">
        <v>1.1283363095113614E-2</v>
      </c>
      <c r="DO80" s="8">
        <v>1.3946498652955908E-2</v>
      </c>
      <c r="DP80" s="8">
        <v>1.4696680371147451E-2</v>
      </c>
      <c r="DQ80" s="8">
        <v>7.6548134189713454E-3</v>
      </c>
      <c r="DR80" s="8">
        <v>1.0135540643655957E-2</v>
      </c>
      <c r="DS80" s="8">
        <v>8.6634178532450107E-3</v>
      </c>
      <c r="DT80" s="7">
        <v>1.6395677004103933E-2</v>
      </c>
      <c r="DU80" s="8">
        <v>1.9325921297076675E-2</v>
      </c>
      <c r="DV80" s="8">
        <v>1.8436440685027693E-2</v>
      </c>
      <c r="DX80" s="6" t="s">
        <v>210</v>
      </c>
      <c r="DY80" s="6" t="s">
        <v>153</v>
      </c>
      <c r="DZ80" s="7">
        <v>1.8868690458076209E-2</v>
      </c>
      <c r="EA80" s="8">
        <v>1.8287832541710489E-2</v>
      </c>
      <c r="EB80" s="8">
        <v>2.0466806048997897E-2</v>
      </c>
      <c r="EC80" s="8">
        <v>2.1776305160449965E-2</v>
      </c>
      <c r="ED80" s="7">
        <v>2.3731382043423593E-2</v>
      </c>
      <c r="EE80" s="8">
        <v>1.832894674878438E-2</v>
      </c>
      <c r="EF80" s="7">
        <v>7.0416351819720151E-5</v>
      </c>
      <c r="EG80" s="8">
        <v>4.9609315482996462E-3</v>
      </c>
      <c r="EH80" s="8">
        <v>2.9565714331263537E-2</v>
      </c>
      <c r="EI80" s="8">
        <v>2.8102301605169862E-2</v>
      </c>
      <c r="EJ80" s="8">
        <v>1.4728223768044824E-2</v>
      </c>
      <c r="EK80" s="8">
        <v>1.2491846016595422E-2</v>
      </c>
      <c r="EL80" s="8">
        <v>1.50676952609644E-2</v>
      </c>
      <c r="EM80" s="8">
        <v>1.9630406608480144E-2</v>
      </c>
      <c r="EN80" s="8">
        <v>1.9737010076206356E-2</v>
      </c>
      <c r="EO80" s="7">
        <v>2.0644495934632984E-2</v>
      </c>
      <c r="EP80" s="7">
        <v>2.0586980001580268E-2</v>
      </c>
      <c r="EQ80" s="7">
        <v>1.2813484657391083E-2</v>
      </c>
      <c r="ER80" s="7">
        <v>7.6607293874596163E-3</v>
      </c>
      <c r="ES80" s="7">
        <v>5.6015412569488969E-3</v>
      </c>
      <c r="ET80" s="8">
        <v>1.9149228388241339E-2</v>
      </c>
      <c r="EU80" s="8">
        <v>2.58677558652829E-2</v>
      </c>
      <c r="EV80" s="8">
        <v>2.48635050963486E-2</v>
      </c>
      <c r="EW80" s="8">
        <v>1.7043048475053876E-2</v>
      </c>
      <c r="EX80" s="7">
        <v>1.5264602063134888E-2</v>
      </c>
      <c r="EY80" s="8">
        <v>4.6990933807121535E-2</v>
      </c>
      <c r="EZ80" s="8">
        <v>4.98156254632309E-2</v>
      </c>
      <c r="FA80" s="8">
        <v>3.5374768162529463E-2</v>
      </c>
      <c r="FB80" s="8">
        <v>2.9874435538778461E-2</v>
      </c>
      <c r="FC80" s="8">
        <v>1.9835139943283921E-2</v>
      </c>
      <c r="FD80" s="8">
        <v>4.2323202245088003E-2</v>
      </c>
      <c r="FE80" s="8">
        <v>5.2602837101659423E-2</v>
      </c>
      <c r="FF80" s="8">
        <v>6.2680327330036992E-2</v>
      </c>
      <c r="FG80" s="8">
        <v>4.8145480214356003E-2</v>
      </c>
      <c r="FH80" s="7">
        <v>5.1392392116297921E-3</v>
      </c>
      <c r="FI80" s="8">
        <v>1.0782515540243675E-3</v>
      </c>
      <c r="FJ80" s="8">
        <v>1.3718746111543308E-3</v>
      </c>
      <c r="FK80" s="8">
        <v>1.4432298792567924E-2</v>
      </c>
      <c r="FL80" s="8">
        <v>3.0038686687578562E-2</v>
      </c>
      <c r="FM80" s="7">
        <v>4.1115603982384993E-2</v>
      </c>
      <c r="FN80" s="8">
        <v>2.4678923265949507E-2</v>
      </c>
      <c r="FO80" s="8">
        <v>3.9413106500393431E-2</v>
      </c>
      <c r="FP80" s="7">
        <v>2.743793598754227E-2</v>
      </c>
      <c r="FQ80" s="7">
        <v>3.4386321358791869E-2</v>
      </c>
      <c r="FR80" s="7">
        <v>5.5276899359837442E-2</v>
      </c>
      <c r="FS80" s="7">
        <v>5.1180148749850406E-2</v>
      </c>
      <c r="FT80" s="8">
        <v>2.0257535613347213E-2</v>
      </c>
      <c r="FU80" s="8">
        <v>6.4347169790790236E-3</v>
      </c>
      <c r="FV80" s="7">
        <v>7.6272670138122743E-3</v>
      </c>
      <c r="FW80" s="8">
        <v>1.4047825057200324E-2</v>
      </c>
      <c r="FX80" s="8">
        <v>2.362586001378858E-2</v>
      </c>
      <c r="FY80" s="8">
        <v>1.5417635504428057E-2</v>
      </c>
      <c r="FZ80" s="8">
        <v>9.604056615996134E-3</v>
      </c>
      <c r="GA80" s="8">
        <v>7.8474408443799035E-3</v>
      </c>
      <c r="GB80" s="8">
        <v>1.1895209402185299E-2</v>
      </c>
      <c r="GC80" s="8">
        <v>1.5922249134869604E-2</v>
      </c>
      <c r="GD80" s="8">
        <v>1.5959591628010812E-2</v>
      </c>
      <c r="GE80" s="8">
        <v>7.1472650677907555E-3</v>
      </c>
      <c r="GF80" s="8">
        <v>7.1229804156929611E-3</v>
      </c>
      <c r="GG80" s="8">
        <v>1.3556280252856616E-2</v>
      </c>
      <c r="GI80" s="6" t="s">
        <v>210</v>
      </c>
      <c r="GJ80" s="6" t="s">
        <v>154</v>
      </c>
      <c r="GK80" s="8">
        <v>0.10363571826120592</v>
      </c>
      <c r="GL80" s="8">
        <v>0.10472984356039439</v>
      </c>
      <c r="GM80" s="8">
        <v>0.10709946169926851</v>
      </c>
      <c r="GN80" s="8">
        <v>0.11788881224275546</v>
      </c>
      <c r="GO80" s="8">
        <v>0.11780887892731644</v>
      </c>
      <c r="GP80" s="8">
        <v>0.11238478983139287</v>
      </c>
      <c r="GQ80" s="8">
        <v>0.12456403918930344</v>
      </c>
      <c r="GR80" s="8">
        <v>0.11185731064965806</v>
      </c>
      <c r="GS80" s="8">
        <v>9.5825077412725543E-2</v>
      </c>
      <c r="GT80" s="8">
        <v>9.0827425740130349E-2</v>
      </c>
      <c r="GU80" s="8">
        <v>0.12918743705027727</v>
      </c>
      <c r="GV80" s="8">
        <v>0.12811807274533632</v>
      </c>
      <c r="GW80" s="8">
        <v>0.1215431657719338</v>
      </c>
      <c r="GX80" s="8">
        <v>0.12013940191385782</v>
      </c>
      <c r="GY80" s="8">
        <v>0.11673044870693758</v>
      </c>
      <c r="GZ80" s="8">
        <v>0.12088633868553479</v>
      </c>
      <c r="HA80" s="7">
        <v>0.12518993355717198</v>
      </c>
      <c r="HB80" s="8">
        <v>0.13367239352704421</v>
      </c>
      <c r="HC80" s="8">
        <v>0.13553870984990066</v>
      </c>
      <c r="HD80" s="8">
        <v>0.12629321932706161</v>
      </c>
      <c r="HE80" s="8">
        <v>0.1811057366657722</v>
      </c>
      <c r="HF80" s="8">
        <v>0.16946912700648023</v>
      </c>
      <c r="HG80" s="8">
        <v>0.14585697485270691</v>
      </c>
      <c r="HH80" s="8">
        <v>0.13912253933824378</v>
      </c>
      <c r="HI80" s="8">
        <v>0.12803791461932121</v>
      </c>
      <c r="HJ80" s="8">
        <v>0.1169826421188952</v>
      </c>
      <c r="HK80" s="8">
        <v>0.11529373119524626</v>
      </c>
      <c r="HL80" s="7">
        <v>0.13094215497707934</v>
      </c>
      <c r="HM80" s="8">
        <v>0.15153138151902626</v>
      </c>
      <c r="HN80" s="8">
        <v>0.16974940209419706</v>
      </c>
      <c r="HO80" s="8">
        <v>0.16360011809711941</v>
      </c>
      <c r="HP80" s="8">
        <v>0.14931042299897715</v>
      </c>
      <c r="HQ80" s="8">
        <v>0.1618539503291114</v>
      </c>
      <c r="HR80" s="8">
        <v>0.17374848679197399</v>
      </c>
      <c r="HS80" s="8">
        <v>0.21549288008076517</v>
      </c>
      <c r="HT80" s="8">
        <v>0.21022251978114548</v>
      </c>
      <c r="HU80" s="8">
        <v>0.20042926681243106</v>
      </c>
      <c r="HV80" s="7">
        <v>0.17466973352687204</v>
      </c>
      <c r="HW80" s="8">
        <v>0.16109502636233305</v>
      </c>
      <c r="HX80" s="8">
        <v>0.15287434950091178</v>
      </c>
      <c r="HY80" s="8">
        <v>0.11691355767867745</v>
      </c>
      <c r="HZ80" s="8">
        <v>9.2340610196312081E-2</v>
      </c>
      <c r="IA80" s="8">
        <v>9.6073408577680361E-2</v>
      </c>
      <c r="IB80" s="8">
        <v>9.7288146875464221E-2</v>
      </c>
      <c r="IC80" s="8">
        <v>9.0683268284362448E-2</v>
      </c>
      <c r="ID80" s="8">
        <v>0.10301053531203758</v>
      </c>
      <c r="IE80" s="8">
        <v>0.13556162087366119</v>
      </c>
      <c r="IF80" s="8">
        <v>0.13680789454729181</v>
      </c>
      <c r="IG80" s="8">
        <v>0.13452361999626153</v>
      </c>
      <c r="IH80" s="8">
        <v>0.13171534057015891</v>
      </c>
      <c r="II80" s="8">
        <v>7.2128254240962003E-2</v>
      </c>
      <c r="IJ80" s="8">
        <v>7.9588485794743577E-2</v>
      </c>
      <c r="IK80" s="8">
        <v>7.9992600442128275E-2</v>
      </c>
      <c r="IL80" s="8">
        <v>8.8363779610782373E-2</v>
      </c>
      <c r="IM80" s="8">
        <v>9.5089518475600501E-2</v>
      </c>
      <c r="IN80" s="8">
        <v>8.4775537298296288E-2</v>
      </c>
      <c r="IO80" s="8">
        <v>8.3040893417277717E-2</v>
      </c>
      <c r="IP80" s="8">
        <v>8.4013983848652288E-2</v>
      </c>
      <c r="IQ80" s="8">
        <v>7.8074343212544861E-2</v>
      </c>
      <c r="IR80" s="8">
        <v>7.1027079067718726E-2</v>
      </c>
      <c r="JB80" s="6" t="s">
        <v>210</v>
      </c>
      <c r="JC80" s="8">
        <v>0.51897331061438701</v>
      </c>
      <c r="JD80" s="8">
        <v>0.50594246611828264</v>
      </c>
      <c r="JE80" s="7">
        <v>0.4962918345717815</v>
      </c>
      <c r="JF80" s="8">
        <v>0.50424782716425376</v>
      </c>
      <c r="JG80" s="8">
        <v>0.51725977435162118</v>
      </c>
      <c r="JH80" s="8">
        <v>0.52674686180573893</v>
      </c>
      <c r="JI80" s="8">
        <v>0.52148114905503706</v>
      </c>
      <c r="JJ80" s="8">
        <v>0.51948296964576146</v>
      </c>
      <c r="JK80" s="8">
        <v>0.52638901324039855</v>
      </c>
      <c r="JL80" s="8">
        <v>0.52358722253453482</v>
      </c>
      <c r="JM80" s="8">
        <v>0.46198140784511871</v>
      </c>
      <c r="JN80" s="7">
        <v>0.45816904828458632</v>
      </c>
      <c r="JO80" s="8">
        <v>0.45794950786119282</v>
      </c>
      <c r="JP80" s="8">
        <v>0.49926185698972242</v>
      </c>
      <c r="JQ80" s="8">
        <v>0.51684155851823199</v>
      </c>
      <c r="JR80" s="8">
        <v>0.52640340446587885</v>
      </c>
      <c r="JS80" s="8">
        <v>0.52414519064147524</v>
      </c>
      <c r="JT80" s="8">
        <v>0.50708286012864878</v>
      </c>
      <c r="JU80" s="8">
        <v>0.48914038036208884</v>
      </c>
      <c r="JV80" s="8">
        <v>0.48650545281260188</v>
      </c>
      <c r="JW80" s="7">
        <v>0.35320927094438787</v>
      </c>
      <c r="JX80" s="8">
        <v>0.37322136100821762</v>
      </c>
      <c r="JY80" s="8">
        <v>0.3894894424586714</v>
      </c>
      <c r="JZ80" s="8">
        <v>0.39696854166692691</v>
      </c>
      <c r="KA80" s="8">
        <v>0.39626337892457131</v>
      </c>
      <c r="KB80" s="8">
        <v>0.40310087112136561</v>
      </c>
      <c r="KC80" s="8">
        <v>0.40879543509431054</v>
      </c>
      <c r="KD80" s="8">
        <v>0.40213614644540818</v>
      </c>
      <c r="KE80" s="8">
        <v>0.37128327992582938</v>
      </c>
      <c r="KF80" s="7">
        <v>0.34498401798837464</v>
      </c>
      <c r="KG80" s="7">
        <v>0.27157198516378711</v>
      </c>
      <c r="KH80" s="8">
        <v>0.27247188418012791</v>
      </c>
      <c r="KI80" s="8">
        <v>0.2840856444645749</v>
      </c>
      <c r="KJ80" s="8">
        <v>0.29236819920444768</v>
      </c>
      <c r="KK80" s="8">
        <v>0.29611853233043089</v>
      </c>
      <c r="KL80" s="8">
        <v>0.30507718301140113</v>
      </c>
      <c r="KM80" s="8">
        <v>0.29961265305016882</v>
      </c>
      <c r="KN80" s="8">
        <v>0.28378677942494912</v>
      </c>
      <c r="KO80" s="8">
        <v>0.26014082825050361</v>
      </c>
      <c r="KP80" s="7">
        <v>0.25521753011060311</v>
      </c>
      <c r="KQ80" s="8">
        <v>0.41265953476252554</v>
      </c>
      <c r="KR80" s="7">
        <v>0.43163482999899405</v>
      </c>
      <c r="KS80" s="8">
        <v>0.44870945674452073</v>
      </c>
      <c r="KT80" s="8">
        <v>0.48450528921608821</v>
      </c>
      <c r="KU80" s="8">
        <v>0.49914486126171309</v>
      </c>
      <c r="KV80" s="8">
        <v>0.48049655618577425</v>
      </c>
      <c r="KW80" s="8">
        <v>0.46497044254251552</v>
      </c>
      <c r="KX80" s="8">
        <v>0.43043079769431908</v>
      </c>
      <c r="KY80" s="7">
        <v>0.41792750169093795</v>
      </c>
      <c r="KZ80" s="8">
        <v>0.41393380556763093</v>
      </c>
      <c r="LA80" s="8">
        <v>0.60283009584580416</v>
      </c>
      <c r="LB80" s="8">
        <v>0.5907012417282127</v>
      </c>
      <c r="LC80" s="7">
        <v>0.59322486179437284</v>
      </c>
      <c r="LD80" s="8">
        <v>0.58721148254987454</v>
      </c>
      <c r="LE80" s="8">
        <v>0.58111538675453178</v>
      </c>
      <c r="LF80" s="8">
        <v>0.60325633168949788</v>
      </c>
      <c r="LG80" s="8">
        <v>0.61598366405176563</v>
      </c>
      <c r="LH80" s="7">
        <v>0.61910918210351695</v>
      </c>
      <c r="LI80" s="8">
        <v>0.62723745337787162</v>
      </c>
      <c r="LJ80" s="8">
        <v>0.63006837086059708</v>
      </c>
      <c r="LL80" s="6" t="s">
        <v>230</v>
      </c>
      <c r="LM80" s="6" t="s">
        <v>160</v>
      </c>
      <c r="LN80" s="6" t="s">
        <v>161</v>
      </c>
      <c r="LO80" s="8">
        <v>0.75209024678751446</v>
      </c>
    </row>
    <row r="81" spans="2:327" x14ac:dyDescent="0.45">
      <c r="B81" s="3" t="s">
        <v>212</v>
      </c>
      <c r="C81" s="3" t="s">
        <v>151</v>
      </c>
      <c r="D81" s="5">
        <v>0.36417293852446841</v>
      </c>
      <c r="E81" s="5">
        <v>0.38184073839263055</v>
      </c>
      <c r="F81" s="5">
        <v>0.37551533276613808</v>
      </c>
      <c r="G81" s="5">
        <v>0.36729559029279268</v>
      </c>
      <c r="H81" s="5">
        <v>0.35489734831317021</v>
      </c>
      <c r="I81" s="5">
        <v>0.34959895461983787</v>
      </c>
      <c r="J81" s="5">
        <v>0.36368544109403494</v>
      </c>
      <c r="K81" s="5">
        <v>0.36434199145169616</v>
      </c>
      <c r="L81" s="5">
        <v>0.37159112869623312</v>
      </c>
      <c r="M81" s="5">
        <v>0.36882969418350708</v>
      </c>
      <c r="N81" s="5">
        <v>0.41407054634593582</v>
      </c>
      <c r="O81" s="5">
        <v>0.41257905512003645</v>
      </c>
      <c r="P81" s="5">
        <v>0.40021071597751534</v>
      </c>
      <c r="Q81" s="5">
        <v>0.37478568552214298</v>
      </c>
      <c r="R81" s="5">
        <v>0.34826138390676897</v>
      </c>
      <c r="S81" s="5">
        <v>0.34101389802670229</v>
      </c>
      <c r="T81" s="5">
        <v>0.33692755708940636</v>
      </c>
      <c r="U81" s="5">
        <v>0.363227416984989</v>
      </c>
      <c r="V81" s="5">
        <v>0.38235822006058945</v>
      </c>
      <c r="W81" s="5">
        <v>0.40785722640518951</v>
      </c>
      <c r="X81" s="5">
        <v>0.41000495951794663</v>
      </c>
      <c r="Y81" s="5">
        <v>0.41098119240252667</v>
      </c>
      <c r="Z81" s="5">
        <v>0.41725355514199824</v>
      </c>
      <c r="AA81" s="5">
        <v>0.39252105191784947</v>
      </c>
      <c r="AB81" s="5">
        <v>0.38169006187226001</v>
      </c>
      <c r="AC81" s="5">
        <v>0.36509745872524951</v>
      </c>
      <c r="AD81" s="5">
        <v>0.34159253738266354</v>
      </c>
      <c r="AE81" s="5">
        <v>0.35465753001850248</v>
      </c>
      <c r="AF81" s="5">
        <v>0.3719313182441118</v>
      </c>
      <c r="AG81" s="5">
        <v>0.40960476231019144</v>
      </c>
      <c r="AH81" s="5">
        <v>0.38917415344335782</v>
      </c>
      <c r="AI81" s="5">
        <v>0.41537379691485671</v>
      </c>
      <c r="AJ81" s="5">
        <v>0.44184825726997101</v>
      </c>
      <c r="AK81" s="5">
        <v>0.42975676793682549</v>
      </c>
      <c r="AL81" s="5">
        <v>0.41143548146118025</v>
      </c>
      <c r="AM81" s="5">
        <v>0.40140187135931871</v>
      </c>
      <c r="AN81" s="5">
        <v>0.37445269889336452</v>
      </c>
      <c r="AO81" s="5">
        <v>0.38259284627406254</v>
      </c>
      <c r="AP81" s="5">
        <v>0.38513499560113373</v>
      </c>
      <c r="AQ81" s="5">
        <v>0.37638923073872138</v>
      </c>
      <c r="AR81" s="5">
        <v>0.36605466995081043</v>
      </c>
      <c r="AS81" s="5">
        <v>0.37027651795321737</v>
      </c>
      <c r="AT81" s="5">
        <v>0.36692955708171271</v>
      </c>
      <c r="AU81" s="5">
        <v>0.34098368243597205</v>
      </c>
      <c r="AV81" s="5">
        <v>0.31496980895714571</v>
      </c>
      <c r="AW81" s="5">
        <v>0.3132036012719791</v>
      </c>
      <c r="AX81" s="5">
        <v>0.33700527134613684</v>
      </c>
      <c r="AY81" s="5">
        <v>0.34166478271586459</v>
      </c>
      <c r="AZ81" s="5">
        <v>0.33322458830030183</v>
      </c>
      <c r="BA81" s="5">
        <v>0.34024590523560505</v>
      </c>
      <c r="BB81" s="5">
        <v>0.21211850436599025</v>
      </c>
      <c r="BC81" s="5">
        <v>0.21181166555466605</v>
      </c>
      <c r="BD81" s="5">
        <v>0.21548754191693084</v>
      </c>
      <c r="BE81" s="5">
        <v>0.2362492692917158</v>
      </c>
      <c r="BF81" s="5">
        <v>0.2536850478858681</v>
      </c>
      <c r="BG81" s="5">
        <v>0.25469078021076003</v>
      </c>
      <c r="BH81" s="5">
        <v>0.25912441551057586</v>
      </c>
      <c r="BI81" s="5">
        <v>0.25502241523127395</v>
      </c>
      <c r="BJ81" s="5">
        <v>0.24539773302219992</v>
      </c>
      <c r="BK81" s="5">
        <v>0.22484308525382021</v>
      </c>
      <c r="BM81" s="3" t="s">
        <v>212</v>
      </c>
      <c r="BN81" s="3" t="s">
        <v>152</v>
      </c>
      <c r="BO81" s="5">
        <v>2.2546049096123004E-2</v>
      </c>
      <c r="BP81" s="5">
        <v>1.7792848202902858E-2</v>
      </c>
      <c r="BQ81" s="4">
        <v>1.5305710559523568E-2</v>
      </c>
      <c r="BR81" s="5">
        <v>2.1165484100452273E-2</v>
      </c>
      <c r="BS81" s="5">
        <v>2.5018898707166125E-2</v>
      </c>
      <c r="BT81" s="5">
        <v>2.6734551771947872E-2</v>
      </c>
      <c r="BU81" s="4">
        <v>2.4890607901838901E-2</v>
      </c>
      <c r="BV81" s="5">
        <v>3.2799787771283465E-2</v>
      </c>
      <c r="BW81" s="4">
        <v>3.1952705905213319E-2</v>
      </c>
      <c r="BX81" s="5">
        <v>1.5816663736437784E-2</v>
      </c>
      <c r="BY81" s="4">
        <v>2.2914522914914307E-2</v>
      </c>
      <c r="BZ81" s="4">
        <v>5.5836859568950395E-3</v>
      </c>
      <c r="CA81" s="4">
        <v>1.8116958581266888E-5</v>
      </c>
      <c r="CB81" s="4">
        <v>1.2102010695076715E-2</v>
      </c>
      <c r="CC81" s="4">
        <v>2.0333615367298493E-2</v>
      </c>
      <c r="CD81" s="5">
        <v>1.5060202724491108E-2</v>
      </c>
      <c r="CE81" s="4">
        <v>1.2937325738479069E-2</v>
      </c>
      <c r="CF81" s="5">
        <v>3.8463993762565332E-2</v>
      </c>
      <c r="CG81" s="4">
        <v>2.6846294410430599E-2</v>
      </c>
      <c r="CH81" s="5">
        <v>3.7215808788116624E-2</v>
      </c>
      <c r="CI81" s="5">
        <v>2.4883485980279247E-2</v>
      </c>
      <c r="CJ81" s="4">
        <v>2.0497218723082269E-2</v>
      </c>
      <c r="CK81" s="5">
        <v>0</v>
      </c>
      <c r="CL81" s="4">
        <v>2.3702036730817777E-2</v>
      </c>
      <c r="CM81" s="5">
        <v>6.4658624684970689E-2</v>
      </c>
      <c r="CN81" s="5">
        <v>7.3741356448245074E-2</v>
      </c>
      <c r="CO81" s="5">
        <v>4.2908478034456569E-2</v>
      </c>
      <c r="CP81" s="5">
        <v>4.1258582378117609E-2</v>
      </c>
      <c r="CQ81" s="5">
        <v>1.7522746541429182E-2</v>
      </c>
      <c r="CR81" s="5">
        <v>4.1153600323559955E-2</v>
      </c>
      <c r="CS81" s="5">
        <v>2.6501393307436144E-2</v>
      </c>
      <c r="CT81" s="5">
        <v>3.928373908950817E-2</v>
      </c>
      <c r="CU81" s="4">
        <v>5.1651795857507827E-3</v>
      </c>
      <c r="CV81" s="4">
        <v>1.3401991905884458E-2</v>
      </c>
      <c r="CW81" s="5">
        <v>3.7343938036772495E-2</v>
      </c>
      <c r="CX81" s="4">
        <v>7.8266904648710747E-3</v>
      </c>
      <c r="CY81" s="4">
        <v>2.0071733935601261E-4</v>
      </c>
      <c r="CZ81" s="4">
        <v>0</v>
      </c>
      <c r="DA81" s="4">
        <v>1.3727260860777225E-2</v>
      </c>
      <c r="DB81" s="5">
        <v>2.7930753623772658E-2</v>
      </c>
      <c r="DC81" s="5">
        <v>2.860151474535829E-2</v>
      </c>
      <c r="DD81" s="4">
        <v>1.4883401079281558E-2</v>
      </c>
      <c r="DE81" s="4">
        <v>2.0226341975540251E-2</v>
      </c>
      <c r="DF81" s="5">
        <v>2.3464645331301829E-2</v>
      </c>
      <c r="DG81" s="5">
        <v>2.2646228844472215E-2</v>
      </c>
      <c r="DH81" s="4">
        <v>3.3435546502931478E-2</v>
      </c>
      <c r="DI81" s="4">
        <v>4.7473343614108821E-2</v>
      </c>
      <c r="DJ81" s="4">
        <v>2.0362695994438497E-2</v>
      </c>
      <c r="DK81" s="4">
        <v>1.6721221174637594E-2</v>
      </c>
      <c r="DL81" s="5">
        <v>2.3103914047482448E-2</v>
      </c>
      <c r="DM81" s="5">
        <v>2.1665629505037413E-2</v>
      </c>
      <c r="DN81" s="5">
        <v>9.4939417649801284E-3</v>
      </c>
      <c r="DO81" s="5">
        <v>4.4499664281787655E-3</v>
      </c>
      <c r="DP81" s="5">
        <v>2.4799353740557358E-2</v>
      </c>
      <c r="DQ81" s="5">
        <v>3.9999603015191246E-2</v>
      </c>
      <c r="DR81" s="5">
        <v>2.5590055751214841E-2</v>
      </c>
      <c r="DS81" s="5">
        <v>2.8017227057137158E-2</v>
      </c>
      <c r="DT81" s="4">
        <v>2.5548590749204306E-2</v>
      </c>
      <c r="DU81" s="5">
        <v>1.0898872741004132E-2</v>
      </c>
      <c r="DV81" s="5">
        <v>1.6798964576330604E-2</v>
      </c>
      <c r="DX81" s="3" t="s">
        <v>212</v>
      </c>
      <c r="DY81" s="3" t="s">
        <v>153</v>
      </c>
      <c r="DZ81" s="4">
        <v>1.6173866156205297E-2</v>
      </c>
      <c r="EA81" s="5">
        <v>4.7549820704689369E-2</v>
      </c>
      <c r="EB81" s="5">
        <v>4.101966487264299E-2</v>
      </c>
      <c r="EC81" s="5">
        <v>1.874335954115447E-2</v>
      </c>
      <c r="ED81" s="4">
        <v>1.6548275070885601E-2</v>
      </c>
      <c r="EE81" s="5">
        <v>1.8569906301763906E-2</v>
      </c>
      <c r="EF81" s="4">
        <v>1.8564907768094843E-2</v>
      </c>
      <c r="EG81" s="5">
        <v>2.5725024835604956E-2</v>
      </c>
      <c r="EH81" s="5">
        <v>2.8746135973390371E-2</v>
      </c>
      <c r="EI81" s="5">
        <v>3.5411525881793887E-2</v>
      </c>
      <c r="EJ81" s="5">
        <v>3.0205200981041069E-2</v>
      </c>
      <c r="EK81" s="5">
        <v>4.0031429508205998E-2</v>
      </c>
      <c r="EL81" s="5">
        <v>3.2582117445055521E-2</v>
      </c>
      <c r="EM81" s="5">
        <v>8.9235912774088596E-3</v>
      </c>
      <c r="EN81" s="5">
        <v>7.868483085409439E-3</v>
      </c>
      <c r="EO81" s="4">
        <v>1.0773329034862405E-2</v>
      </c>
      <c r="EP81" s="4">
        <v>6.8567722274216116E-3</v>
      </c>
      <c r="EQ81" s="4">
        <v>9.662602231427271E-4</v>
      </c>
      <c r="ER81" s="4">
        <v>4.1061551545852497E-2</v>
      </c>
      <c r="ES81" s="4">
        <v>5.9557801351631703E-2</v>
      </c>
      <c r="ET81" s="5">
        <v>7.1699610729649324E-2</v>
      </c>
      <c r="EU81" s="5">
        <v>5.0664909622409084E-2</v>
      </c>
      <c r="EV81" s="5">
        <v>3.3986687119267847E-2</v>
      </c>
      <c r="EW81" s="5">
        <v>3.6997405499731108E-2</v>
      </c>
      <c r="EX81" s="4">
        <v>1.3013366725550674E-2</v>
      </c>
      <c r="EY81" s="5">
        <v>1.1232413297871327E-2</v>
      </c>
      <c r="EZ81" s="5">
        <v>5.6637244284136239E-2</v>
      </c>
      <c r="FA81" s="5">
        <v>7.264166369083272E-2</v>
      </c>
      <c r="FB81" s="5">
        <v>0.10266840015874593</v>
      </c>
      <c r="FC81" s="5">
        <v>7.0001029535492587E-2</v>
      </c>
      <c r="FD81" s="5">
        <v>3.1232299125534331E-2</v>
      </c>
      <c r="FE81" s="5">
        <v>2.6424378007004919E-2</v>
      </c>
      <c r="FF81" s="5">
        <v>8.2036819262351041E-2</v>
      </c>
      <c r="FG81" s="5">
        <v>7.5432079042192346E-2</v>
      </c>
      <c r="FH81" s="4">
        <v>3.1391576012160721E-2</v>
      </c>
      <c r="FI81" s="5">
        <v>4.1705036355951651E-2</v>
      </c>
      <c r="FJ81" s="5">
        <v>4.5437145255995591E-2</v>
      </c>
      <c r="FK81" s="5">
        <v>4.1035666827426827E-2</v>
      </c>
      <c r="FL81" s="5">
        <v>0</v>
      </c>
      <c r="FM81" s="4">
        <v>7.7772317604381889E-3</v>
      </c>
      <c r="FN81" s="5">
        <v>3.4042149031017675E-2</v>
      </c>
      <c r="FO81" s="5">
        <v>4.1973712374499948E-2</v>
      </c>
      <c r="FP81" s="4">
        <v>4.2069990420282227E-2</v>
      </c>
      <c r="FQ81" s="4">
        <v>2.1509613360367358E-2</v>
      </c>
      <c r="FR81" s="4">
        <v>1.611185948283405E-2</v>
      </c>
      <c r="FS81" s="4">
        <v>8.9935006291705245E-3</v>
      </c>
      <c r="FT81" s="5">
        <v>1.3236030760314281E-2</v>
      </c>
      <c r="FU81" s="5">
        <v>2.9881345015209327E-2</v>
      </c>
      <c r="FV81" s="4">
        <v>3.3033164592636388E-2</v>
      </c>
      <c r="FW81" s="5">
        <v>3.1626153124996254E-2</v>
      </c>
      <c r="FX81" s="5">
        <v>1.5989597797372558E-2</v>
      </c>
      <c r="FY81" s="5">
        <v>2.3580101240224128E-2</v>
      </c>
      <c r="FZ81" s="5">
        <v>2.1172313089179339E-2</v>
      </c>
      <c r="GA81" s="5">
        <v>1.6744826411486762E-2</v>
      </c>
      <c r="GB81" s="5">
        <v>5.5683240187941411E-3</v>
      </c>
      <c r="GC81" s="5">
        <v>2.2870986266190205E-2</v>
      </c>
      <c r="GD81" s="5">
        <v>3.0852890612727991E-2</v>
      </c>
      <c r="GE81" s="5">
        <v>3.034273059591365E-2</v>
      </c>
      <c r="GF81" s="5">
        <v>3.7768898773002657E-2</v>
      </c>
      <c r="GG81" s="5">
        <v>2.1758940901417709E-2</v>
      </c>
      <c r="GI81" s="3" t="s">
        <v>212</v>
      </c>
      <c r="GJ81" s="3" t="s">
        <v>154</v>
      </c>
      <c r="GK81" s="5">
        <v>0.19004065976301443</v>
      </c>
      <c r="GL81" s="5">
        <v>0.18096470605165707</v>
      </c>
      <c r="GM81" s="5">
        <v>0.17631926807468276</v>
      </c>
      <c r="GN81" s="5">
        <v>0.18324639847222879</v>
      </c>
      <c r="GO81" s="5">
        <v>0.1764527228906107</v>
      </c>
      <c r="GP81" s="5">
        <v>0.16717298816441792</v>
      </c>
      <c r="GQ81" s="5">
        <v>0.18684917335100645</v>
      </c>
      <c r="GR81" s="5">
        <v>0.17068958645072238</v>
      </c>
      <c r="GS81" s="5">
        <v>0.17713049824174223</v>
      </c>
      <c r="GT81" s="5">
        <v>0.18773254313411283</v>
      </c>
      <c r="GU81" s="5">
        <v>0.20790719679615755</v>
      </c>
      <c r="GV81" s="5">
        <v>0.22231360846470602</v>
      </c>
      <c r="GW81" s="5">
        <v>0.23730873029081179</v>
      </c>
      <c r="GX81" s="5">
        <v>0.22613799942831248</v>
      </c>
      <c r="GY81" s="5">
        <v>0.19141522726068635</v>
      </c>
      <c r="GZ81" s="5">
        <v>0.18796049218594948</v>
      </c>
      <c r="HA81" s="4">
        <v>0.19009682033099745</v>
      </c>
      <c r="HB81" s="5">
        <v>0.19641472710571933</v>
      </c>
      <c r="HC81" s="5">
        <v>0.17926176121707374</v>
      </c>
      <c r="HD81" s="5">
        <v>0.15790565083875108</v>
      </c>
      <c r="HE81" s="5">
        <v>0.17620992099365143</v>
      </c>
      <c r="HF81" s="5">
        <v>0.20225512301761017</v>
      </c>
      <c r="HG81" s="5">
        <v>0.26057058757720947</v>
      </c>
      <c r="HH81" s="5">
        <v>0.20824441256406723</v>
      </c>
      <c r="HI81" s="5">
        <v>0.18318587001620945</v>
      </c>
      <c r="HJ81" s="5">
        <v>0.1729542943588506</v>
      </c>
      <c r="HK81" s="5">
        <v>0.12911054237133984</v>
      </c>
      <c r="HL81" s="4">
        <v>0.12459397314530789</v>
      </c>
      <c r="HM81" s="5">
        <v>0.13448842596486263</v>
      </c>
      <c r="HN81" s="5">
        <v>0.15774123293425904</v>
      </c>
      <c r="HO81" s="5">
        <v>0.20546579847452542</v>
      </c>
      <c r="HP81" s="5">
        <v>0.20144705246124164</v>
      </c>
      <c r="HQ81" s="5">
        <v>0.20414768692856566</v>
      </c>
      <c r="HR81" s="5">
        <v>0.20582277443443961</v>
      </c>
      <c r="HS81" s="5">
        <v>0.21358177412488447</v>
      </c>
      <c r="HT81" s="5">
        <v>0.22788492724914303</v>
      </c>
      <c r="HU81" s="5">
        <v>0.21937930339510994</v>
      </c>
      <c r="HV81" s="4">
        <v>0.22755836766727719</v>
      </c>
      <c r="HW81" s="5">
        <v>0.2584173781940694</v>
      </c>
      <c r="HX81" s="5">
        <v>0.24304126960307973</v>
      </c>
      <c r="HY81" s="5">
        <v>0.17230882103444647</v>
      </c>
      <c r="HZ81" s="5">
        <v>0.18185636594003049</v>
      </c>
      <c r="IA81" s="5">
        <v>0.17019272197895505</v>
      </c>
      <c r="IB81" s="5">
        <v>0.1669106493120365</v>
      </c>
      <c r="IC81" s="5">
        <v>0.14128099629880092</v>
      </c>
      <c r="ID81" s="5">
        <v>0.12523125532371046</v>
      </c>
      <c r="IE81" s="5">
        <v>0.13193110102112071</v>
      </c>
      <c r="IF81" s="5">
        <v>0.14119456557758114</v>
      </c>
      <c r="IG81" s="5">
        <v>0.14068785240701281</v>
      </c>
      <c r="IH81" s="5">
        <v>0.1557971916953764</v>
      </c>
      <c r="II81" s="5">
        <v>6.9340001785517122E-2</v>
      </c>
      <c r="IJ81" s="5">
        <v>8.0775848161101255E-2</v>
      </c>
      <c r="IK81" s="5">
        <v>8.9967255192713702E-2</v>
      </c>
      <c r="IL81" s="5">
        <v>8.6388300009907298E-2</v>
      </c>
      <c r="IM81" s="5">
        <v>8.7997388640765589E-2</v>
      </c>
      <c r="IN81" s="5">
        <v>7.7075463844940476E-2</v>
      </c>
      <c r="IO81" s="5">
        <v>7.3423969121319224E-2</v>
      </c>
      <c r="IP81" s="5">
        <v>8.1795653037253432E-2</v>
      </c>
      <c r="IQ81" s="5">
        <v>7.9444305412229299E-2</v>
      </c>
      <c r="IR81" s="5">
        <v>7.2332398935882433E-2</v>
      </c>
      <c r="JB81" s="3" t="s">
        <v>212</v>
      </c>
      <c r="JC81" s="5">
        <v>0.39150656236114578</v>
      </c>
      <c r="JD81" s="5">
        <v>0.38540971980643368</v>
      </c>
      <c r="JE81" s="4">
        <v>0.38450686138097911</v>
      </c>
      <c r="JF81" s="5">
        <v>0.38013839389945742</v>
      </c>
      <c r="JG81" s="5">
        <v>0.38256684376215822</v>
      </c>
      <c r="JH81" s="5">
        <v>0.38432910657342323</v>
      </c>
      <c r="JI81" s="5">
        <v>0.37018020509473731</v>
      </c>
      <c r="JJ81" s="5">
        <v>0.36173463782144727</v>
      </c>
      <c r="JK81" s="5">
        <v>0.38293327210915384</v>
      </c>
      <c r="JL81" s="5">
        <v>0.38702038364408586</v>
      </c>
      <c r="JM81" s="5">
        <v>0.32707963284501268</v>
      </c>
      <c r="JN81" s="4">
        <v>0.31288503807702162</v>
      </c>
      <c r="JO81" s="5">
        <v>0.32087754032859833</v>
      </c>
      <c r="JP81" s="5">
        <v>0.36472222288162615</v>
      </c>
      <c r="JQ81" s="5">
        <v>0.39266831041095074</v>
      </c>
      <c r="JR81" s="5">
        <v>0.38787935707491922</v>
      </c>
      <c r="JS81" s="5">
        <v>0.37996535190503677</v>
      </c>
      <c r="JT81" s="5">
        <v>0.35627996621242708</v>
      </c>
      <c r="JU81" s="5">
        <v>0.34105631536852338</v>
      </c>
      <c r="JV81" s="5">
        <v>0.33856509417486036</v>
      </c>
      <c r="JW81" s="4">
        <v>0.23727689166747448</v>
      </c>
      <c r="JX81" s="5">
        <v>0.22287262577281419</v>
      </c>
      <c r="JY81" s="5">
        <v>0.22995395536448424</v>
      </c>
      <c r="JZ81" s="5">
        <v>0.24906033638113659</v>
      </c>
      <c r="KA81" s="5">
        <v>0.27668262856457215</v>
      </c>
      <c r="KB81" s="5">
        <v>0.29386788348167536</v>
      </c>
      <c r="KC81" s="5">
        <v>0.30190288568318113</v>
      </c>
      <c r="KD81" s="5">
        <v>0.28099178938854102</v>
      </c>
      <c r="KE81" s="5">
        <v>0.2478153678732237</v>
      </c>
      <c r="KF81" s="4">
        <v>0.23436557542042405</v>
      </c>
      <c r="KG81" s="4">
        <v>0.16443078563622976</v>
      </c>
      <c r="KH81" s="5">
        <v>0.16115429826136046</v>
      </c>
      <c r="KI81" s="5">
        <v>0.18955151235484735</v>
      </c>
      <c r="KJ81" s="5">
        <v>0.22743928443611514</v>
      </c>
      <c r="KK81" s="5">
        <v>0.25364289350547936</v>
      </c>
      <c r="KL81" s="5">
        <v>0.26508404596971324</v>
      </c>
      <c r="KM81" s="5">
        <v>0.26013928266785463</v>
      </c>
      <c r="KN81" s="5">
        <v>0.22856989454181501</v>
      </c>
      <c r="KO81" s="5">
        <v>0.1906784502998346</v>
      </c>
      <c r="KP81" s="4">
        <v>0.16997392963785335</v>
      </c>
      <c r="KQ81" s="5">
        <v>0.32910036382937558</v>
      </c>
      <c r="KR81" s="4">
        <v>0.32247048210950618</v>
      </c>
      <c r="KS81" s="5">
        <v>0.32960016905833461</v>
      </c>
      <c r="KT81" s="5">
        <v>0.36226180625194848</v>
      </c>
      <c r="KU81" s="5">
        <v>0.40474767462285477</v>
      </c>
      <c r="KV81" s="5">
        <v>0.4131167231531977</v>
      </c>
      <c r="KW81" s="5">
        <v>0.39634086946485458</v>
      </c>
      <c r="KX81" s="5">
        <v>0.36289659832286225</v>
      </c>
      <c r="KY81" s="4">
        <v>0.35920802635764343</v>
      </c>
      <c r="KZ81" s="5">
        <v>0.34703140358528939</v>
      </c>
      <c r="LA81" s="5">
        <v>0.60443119156603631</v>
      </c>
      <c r="LB81" s="5">
        <v>0.58339720132506878</v>
      </c>
      <c r="LC81" s="4">
        <v>0.56511953362853728</v>
      </c>
      <c r="LD81" s="5">
        <v>0.55086591974274568</v>
      </c>
      <c r="LE81" s="5">
        <v>0.54909908054635814</v>
      </c>
      <c r="LF81" s="5">
        <v>0.56729058817114475</v>
      </c>
      <c r="LG81" s="5">
        <v>0.56150953791283531</v>
      </c>
      <c r="LH81" s="4">
        <v>0.55083548139917782</v>
      </c>
      <c r="LI81" s="5">
        <v>0.57105190463451494</v>
      </c>
      <c r="LJ81" s="5">
        <v>0.58403135613858737</v>
      </c>
      <c r="LL81" s="3" t="s">
        <v>231</v>
      </c>
      <c r="LM81" s="3" t="s">
        <v>160</v>
      </c>
      <c r="LN81" s="3" t="s">
        <v>161</v>
      </c>
      <c r="LO81" s="5">
        <v>0.61878520693951267</v>
      </c>
    </row>
    <row r="82" spans="2:327" x14ac:dyDescent="0.45">
      <c r="B82" s="6" t="s">
        <v>214</v>
      </c>
      <c r="C82" s="6" t="s">
        <v>151</v>
      </c>
      <c r="D82" s="8">
        <v>0.2425970502725856</v>
      </c>
      <c r="E82" s="8">
        <v>0.2555570782441422</v>
      </c>
      <c r="F82" s="8">
        <v>0.24850840374003186</v>
      </c>
      <c r="G82" s="8">
        <v>0.26134475392132211</v>
      </c>
      <c r="H82" s="8">
        <v>0.28231910359178258</v>
      </c>
      <c r="I82" s="8">
        <v>0.27409367664103262</v>
      </c>
      <c r="J82" s="8">
        <v>0.27920425018770489</v>
      </c>
      <c r="K82" s="8">
        <v>0.2723620463050806</v>
      </c>
      <c r="L82" s="8">
        <v>0.26757761919628598</v>
      </c>
      <c r="M82" s="8">
        <v>0.25397122912288239</v>
      </c>
      <c r="N82" s="8">
        <v>0.26973496128402324</v>
      </c>
      <c r="O82" s="8">
        <v>0.28237444460299499</v>
      </c>
      <c r="P82" s="8">
        <v>0.29298388937321201</v>
      </c>
      <c r="Q82" s="8">
        <v>0.31405448827657195</v>
      </c>
      <c r="R82" s="8">
        <v>0.30328495366772462</v>
      </c>
      <c r="S82" s="8">
        <v>0.28732065296100223</v>
      </c>
      <c r="T82" s="8">
        <v>0.27656246891280423</v>
      </c>
      <c r="U82" s="8">
        <v>0.28025334845872085</v>
      </c>
      <c r="V82" s="8">
        <v>0.26139798099062356</v>
      </c>
      <c r="W82" s="8">
        <v>0.27014064930899057</v>
      </c>
      <c r="X82" s="8">
        <v>0.27101695855274255</v>
      </c>
      <c r="Y82" s="8">
        <v>0.295431842487205</v>
      </c>
      <c r="Z82" s="8">
        <v>0.33961230428305994</v>
      </c>
      <c r="AA82" s="8">
        <v>0.36374460139957926</v>
      </c>
      <c r="AB82" s="8">
        <v>0.3615920773179031</v>
      </c>
      <c r="AC82" s="8">
        <v>0.33858265024293016</v>
      </c>
      <c r="AD82" s="8">
        <v>0.30156843374093684</v>
      </c>
      <c r="AE82" s="8">
        <v>0.29240140007616056</v>
      </c>
      <c r="AF82" s="8">
        <v>0.28678667701853605</v>
      </c>
      <c r="AG82" s="8">
        <v>0.2567169407665435</v>
      </c>
      <c r="AH82" s="8">
        <v>0.29275607960324829</v>
      </c>
      <c r="AI82" s="8">
        <v>0.32403744838425619</v>
      </c>
      <c r="AJ82" s="8">
        <v>0.38241882901878754</v>
      </c>
      <c r="AK82" s="8">
        <v>0.37892422465579451</v>
      </c>
      <c r="AL82" s="8">
        <v>0.35372216071653939</v>
      </c>
      <c r="AM82" s="8">
        <v>0.33735479735402596</v>
      </c>
      <c r="AN82" s="8">
        <v>0.31409456778105238</v>
      </c>
      <c r="AO82" s="8">
        <v>0.29397648776968083</v>
      </c>
      <c r="AP82" s="8">
        <v>0.27472059368954355</v>
      </c>
      <c r="AQ82" s="8">
        <v>0.26739510314997034</v>
      </c>
      <c r="AR82" s="8">
        <v>0.33636536700114789</v>
      </c>
      <c r="AS82" s="8">
        <v>0.34540524583427645</v>
      </c>
      <c r="AT82" s="8">
        <v>0.33212754699589503</v>
      </c>
      <c r="AU82" s="8">
        <v>0.34085077089214089</v>
      </c>
      <c r="AV82" s="8">
        <v>0.32823072341637466</v>
      </c>
      <c r="AW82" s="8">
        <v>0.31494757315233857</v>
      </c>
      <c r="AX82" s="8">
        <v>0.30547558814426923</v>
      </c>
      <c r="AY82" s="8">
        <v>0.30319624628615366</v>
      </c>
      <c r="AZ82" s="8">
        <v>0.30421985362736231</v>
      </c>
      <c r="BA82" s="8">
        <v>0.30339741358441596</v>
      </c>
      <c r="BB82" s="8">
        <v>0.25990001341969077</v>
      </c>
      <c r="BC82" s="8">
        <v>0.26825478773752498</v>
      </c>
      <c r="BD82" s="8">
        <v>0.26222927930434803</v>
      </c>
      <c r="BE82" s="8">
        <v>0.27517801215296095</v>
      </c>
      <c r="BF82" s="8">
        <v>0.32163984227959708</v>
      </c>
      <c r="BG82" s="8">
        <v>0.31049693729533417</v>
      </c>
      <c r="BH82" s="8">
        <v>0.30197588543067938</v>
      </c>
      <c r="BI82" s="8">
        <v>0.28406524982006404</v>
      </c>
      <c r="BJ82" s="8">
        <v>0.27260984606281002</v>
      </c>
      <c r="BK82" s="8">
        <v>0.28499075522491896</v>
      </c>
      <c r="BM82" s="6" t="s">
        <v>214</v>
      </c>
      <c r="BN82" s="6" t="s">
        <v>152</v>
      </c>
      <c r="BO82" s="8">
        <v>1.4184472685404851E-2</v>
      </c>
      <c r="BP82" s="8">
        <v>1.7102552821873465E-2</v>
      </c>
      <c r="BQ82" s="7">
        <v>1.6160746677452802E-2</v>
      </c>
      <c r="BR82" s="8">
        <v>2.2596041450176137E-2</v>
      </c>
      <c r="BS82" s="8">
        <v>2.3516177745614347E-2</v>
      </c>
      <c r="BT82" s="8">
        <v>8.565461663573885E-3</v>
      </c>
      <c r="BU82" s="7">
        <v>1.827376527263451E-2</v>
      </c>
      <c r="BV82" s="8">
        <v>2.6856490240407756E-2</v>
      </c>
      <c r="BW82" s="7">
        <v>1.4469942650832734E-2</v>
      </c>
      <c r="BX82" s="8">
        <v>4.8775243714098701E-3</v>
      </c>
      <c r="BY82" s="7">
        <v>1.0919460305838848E-2</v>
      </c>
      <c r="BZ82" s="7">
        <v>1.1089323475402939E-2</v>
      </c>
      <c r="CA82" s="7">
        <v>1.8358435241806147E-2</v>
      </c>
      <c r="CB82" s="7">
        <v>1.7066454532659606E-2</v>
      </c>
      <c r="CC82" s="7">
        <v>1.6026653786753282E-2</v>
      </c>
      <c r="CD82" s="8">
        <v>5.0519223356859455E-3</v>
      </c>
      <c r="CE82" s="7">
        <v>9.9341043969347741E-3</v>
      </c>
      <c r="CF82" s="8">
        <v>8.4572000992592117E-3</v>
      </c>
      <c r="CG82" s="7">
        <v>1.0797140723317437E-2</v>
      </c>
      <c r="CH82" s="8">
        <v>1.2589163596061437E-2</v>
      </c>
      <c r="CI82" s="8">
        <v>3.6557773917105504E-2</v>
      </c>
      <c r="CJ82" s="7">
        <v>1.1008421992947832E-2</v>
      </c>
      <c r="CK82" s="8">
        <v>2.0890977179696745E-2</v>
      </c>
      <c r="CL82" s="7">
        <v>2.1250586984323149E-2</v>
      </c>
      <c r="CM82" s="8">
        <v>1.9155095442885628E-2</v>
      </c>
      <c r="CN82" s="8">
        <v>6.9728012770711627E-3</v>
      </c>
      <c r="CO82" s="8">
        <v>4.7956036626708677E-3</v>
      </c>
      <c r="CP82" s="8">
        <v>1.1526148358937605E-2</v>
      </c>
      <c r="CQ82" s="8">
        <v>1.4393232829740168E-2</v>
      </c>
      <c r="CR82" s="8">
        <v>1.8642531537513538E-2</v>
      </c>
      <c r="CS82" s="8">
        <v>2.0037554464295951E-2</v>
      </c>
      <c r="CT82" s="8">
        <v>3.8433687130117897E-2</v>
      </c>
      <c r="CU82" s="7">
        <v>3.8273835756900659E-2</v>
      </c>
      <c r="CV82" s="7">
        <v>4.3934371531176013E-2</v>
      </c>
      <c r="CW82" s="8">
        <v>4.3201937324257693E-2</v>
      </c>
      <c r="CX82" s="7">
        <v>1.7620078363907273E-2</v>
      </c>
      <c r="CY82" s="7">
        <v>1.4178480638021299E-2</v>
      </c>
      <c r="CZ82" s="7">
        <v>1.5192693032480468E-2</v>
      </c>
      <c r="DA82" s="7">
        <v>2.0922263165460277E-2</v>
      </c>
      <c r="DB82" s="8">
        <v>2.1571935223040253E-2</v>
      </c>
      <c r="DC82" s="8">
        <v>1.1390657027206211E-2</v>
      </c>
      <c r="DD82" s="7">
        <v>8.9143905734433131E-3</v>
      </c>
      <c r="DE82" s="7">
        <v>2.4815153747236175E-2</v>
      </c>
      <c r="DF82" s="8">
        <v>3.29781086225703E-2</v>
      </c>
      <c r="DG82" s="8">
        <v>3.5092373834410648E-2</v>
      </c>
      <c r="DH82" s="7">
        <v>1.2961842056885548E-2</v>
      </c>
      <c r="DI82" s="7">
        <v>2.6910126024663375E-2</v>
      </c>
      <c r="DJ82" s="7">
        <v>3.1522982185455961E-2</v>
      </c>
      <c r="DK82" s="7">
        <v>2.500599249433446E-2</v>
      </c>
      <c r="DL82" s="8">
        <v>1.1363662234278718E-2</v>
      </c>
      <c r="DM82" s="8">
        <v>1.7585745150931552E-2</v>
      </c>
      <c r="DN82" s="8">
        <v>1.8219112375452283E-2</v>
      </c>
      <c r="DO82" s="8">
        <v>2.7768930325611028E-2</v>
      </c>
      <c r="DP82" s="8">
        <v>3.2632442327818909E-2</v>
      </c>
      <c r="DQ82" s="8">
        <v>3.7864353305839489E-2</v>
      </c>
      <c r="DR82" s="8">
        <v>2.6602345363456476E-2</v>
      </c>
      <c r="DS82" s="8">
        <v>8.8635893587548694E-3</v>
      </c>
      <c r="DT82" s="7">
        <v>7.0273979945635343E-3</v>
      </c>
      <c r="DU82" s="8">
        <v>2.5986158277525123E-2</v>
      </c>
      <c r="DV82" s="8">
        <v>3.9449599673994279E-2</v>
      </c>
      <c r="DX82" s="6" t="s">
        <v>214</v>
      </c>
      <c r="DY82" s="6" t="s">
        <v>153</v>
      </c>
      <c r="DZ82" s="7">
        <v>9.6883309779545648E-3</v>
      </c>
      <c r="EA82" s="8">
        <v>2.0062389739122732E-2</v>
      </c>
      <c r="EB82" s="8">
        <v>2.3693200559279197E-2</v>
      </c>
      <c r="EC82" s="8">
        <v>1.8807657723834609E-2</v>
      </c>
      <c r="ED82" s="7">
        <v>2.2507788023615947E-2</v>
      </c>
      <c r="EE82" s="8">
        <v>1.8430979043972274E-2</v>
      </c>
      <c r="EF82" s="7">
        <v>8.5624910941498478E-3</v>
      </c>
      <c r="EG82" s="8">
        <v>9.3116270630714433E-3</v>
      </c>
      <c r="EH82" s="8">
        <v>4.1082562765636495E-2</v>
      </c>
      <c r="EI82" s="8">
        <v>4.0592066777310767E-2</v>
      </c>
      <c r="EJ82" s="8">
        <v>4.9431327581630734E-3</v>
      </c>
      <c r="EK82" s="8">
        <v>1.0830996931233034E-2</v>
      </c>
      <c r="EL82" s="8">
        <v>6.3804566525062431E-3</v>
      </c>
      <c r="EM82" s="8">
        <v>1.8524835590022385E-2</v>
      </c>
      <c r="EN82" s="8">
        <v>2.8589526987526193E-2</v>
      </c>
      <c r="EO82" s="7">
        <v>3.4799484734572485E-2</v>
      </c>
      <c r="EP82" s="7">
        <v>1.8531456584891977E-2</v>
      </c>
      <c r="EQ82" s="7">
        <v>9.7311718706837302E-3</v>
      </c>
      <c r="ER82" s="7">
        <v>7.1761740247996541E-3</v>
      </c>
      <c r="ES82" s="7">
        <v>2.0149510276828283E-3</v>
      </c>
      <c r="ET82" s="8">
        <v>1.6899189520655052E-2</v>
      </c>
      <c r="EU82" s="8">
        <v>6.0308112725900344E-2</v>
      </c>
      <c r="EV82" s="8">
        <v>7.6507652705466278E-2</v>
      </c>
      <c r="EW82" s="8">
        <v>3.0281416072139737E-2</v>
      </c>
      <c r="EX82" s="7">
        <v>1.2591609976329642E-2</v>
      </c>
      <c r="EY82" s="8">
        <v>5.2960587407346353E-3</v>
      </c>
      <c r="EZ82" s="8">
        <v>3.3571565496430577E-3</v>
      </c>
      <c r="FA82" s="8">
        <v>1.2620534714922881E-2</v>
      </c>
      <c r="FB82" s="8">
        <v>2.2075145072567821E-2</v>
      </c>
      <c r="FC82" s="8">
        <v>1.5236692914844214E-2</v>
      </c>
      <c r="FD82" s="8">
        <v>2.5802452825545549E-2</v>
      </c>
      <c r="FE82" s="8">
        <v>1.5833009495731767E-2</v>
      </c>
      <c r="FF82" s="8">
        <v>2.6434204720010294E-2</v>
      </c>
      <c r="FG82" s="8">
        <v>1.7003470279117503E-2</v>
      </c>
      <c r="FH82" s="7">
        <v>3.1021302422626049E-2</v>
      </c>
      <c r="FI82" s="8">
        <v>6.5306902819090573E-2</v>
      </c>
      <c r="FJ82" s="8">
        <v>4.9099172412408965E-2</v>
      </c>
      <c r="FK82" s="8">
        <v>4.3940567872321479E-2</v>
      </c>
      <c r="FL82" s="8">
        <v>2.4871829660568164E-2</v>
      </c>
      <c r="FM82" s="7">
        <v>1.2023104212735768E-2</v>
      </c>
      <c r="FN82" s="8">
        <v>1.259517402325335E-2</v>
      </c>
      <c r="FO82" s="8">
        <v>1.392363188026381E-2</v>
      </c>
      <c r="FP82" s="7">
        <v>1.0724727214084118E-2</v>
      </c>
      <c r="FQ82" s="7">
        <v>2.1167472740926827E-2</v>
      </c>
      <c r="FR82" s="7">
        <v>2.5284047459563915E-2</v>
      </c>
      <c r="FS82" s="7">
        <v>4.1247103808429691E-2</v>
      </c>
      <c r="FT82" s="8">
        <v>2.2063205118718291E-2</v>
      </c>
      <c r="FU82" s="8">
        <v>2.8826575948554686E-2</v>
      </c>
      <c r="FV82" s="7">
        <v>3.2356599029978929E-2</v>
      </c>
      <c r="FW82" s="8">
        <v>3.6881425802653488E-2</v>
      </c>
      <c r="FX82" s="8">
        <v>3.3575900972896658E-2</v>
      </c>
      <c r="FY82" s="8">
        <v>2.3822952207738883E-2</v>
      </c>
      <c r="FZ82" s="8">
        <v>1.1276194947744539E-2</v>
      </c>
      <c r="GA82" s="8">
        <v>2.4953840644980494E-2</v>
      </c>
      <c r="GB82" s="8">
        <v>4.5702027516795661E-2</v>
      </c>
      <c r="GC82" s="8">
        <v>6.6516303153457676E-2</v>
      </c>
      <c r="GD82" s="8">
        <v>5.0928602665752852E-2</v>
      </c>
      <c r="GE82" s="8">
        <v>4.8934430671272199E-2</v>
      </c>
      <c r="GF82" s="8">
        <v>8.1468412921913442E-3</v>
      </c>
      <c r="GG82" s="8">
        <v>1.2168399204413071E-2</v>
      </c>
      <c r="GI82" s="6" t="s">
        <v>214</v>
      </c>
      <c r="GJ82" s="6" t="s">
        <v>154</v>
      </c>
      <c r="GK82" s="8">
        <v>0.11441015215639136</v>
      </c>
      <c r="GL82" s="8">
        <v>0.10949181623650658</v>
      </c>
      <c r="GM82" s="8">
        <v>9.8540693092269968E-2</v>
      </c>
      <c r="GN82" s="8">
        <v>0.12047079629449442</v>
      </c>
      <c r="GO82" s="8">
        <v>0.12462426203373071</v>
      </c>
      <c r="GP82" s="8">
        <v>0.12990500525985899</v>
      </c>
      <c r="GQ82" s="8">
        <v>0.12643213224369798</v>
      </c>
      <c r="GR82" s="8">
        <v>0.12058888529318444</v>
      </c>
      <c r="GS82" s="8">
        <v>0.10271955477456128</v>
      </c>
      <c r="GT82" s="8">
        <v>9.82433216588771E-2</v>
      </c>
      <c r="GU82" s="8">
        <v>0.13955138790224958</v>
      </c>
      <c r="GV82" s="8">
        <v>0.14010191017441428</v>
      </c>
      <c r="GW82" s="8">
        <v>0.14421782459391527</v>
      </c>
      <c r="GX82" s="8">
        <v>0.1468550612759883</v>
      </c>
      <c r="GY82" s="8">
        <v>0.14343450988214765</v>
      </c>
      <c r="GZ82" s="8">
        <v>0.13861698706504008</v>
      </c>
      <c r="HA82" s="7">
        <v>0.13565594908055356</v>
      </c>
      <c r="HB82" s="8">
        <v>0.14302350970946467</v>
      </c>
      <c r="HC82" s="8">
        <v>0.13336193238502864</v>
      </c>
      <c r="HD82" s="8">
        <v>0.1343072553542124</v>
      </c>
      <c r="HE82" s="8">
        <v>0.1054196941590517</v>
      </c>
      <c r="HF82" s="8">
        <v>0.1128760297488506</v>
      </c>
      <c r="HG82" s="8">
        <v>0.11384361398902421</v>
      </c>
      <c r="HH82" s="8">
        <v>0.17825731020960142</v>
      </c>
      <c r="HI82" s="8">
        <v>0.20030340887059786</v>
      </c>
      <c r="HJ82" s="8">
        <v>0.20127844748796278</v>
      </c>
      <c r="HK82" s="8">
        <v>0.18468789411734055</v>
      </c>
      <c r="HL82" s="7">
        <v>0.16603418815542462</v>
      </c>
      <c r="HM82" s="8">
        <v>0.14576857012833572</v>
      </c>
      <c r="HN82" s="8">
        <v>0.12222778753942895</v>
      </c>
      <c r="HO82" s="8">
        <v>0.14049846064255544</v>
      </c>
      <c r="HP82" s="8">
        <v>0.13456492235187673</v>
      </c>
      <c r="HQ82" s="8">
        <v>0.15568142668558788</v>
      </c>
      <c r="HR82" s="8">
        <v>0.17829065200517771</v>
      </c>
      <c r="HS82" s="8">
        <v>0.14970846399157317</v>
      </c>
      <c r="HT82" s="8">
        <v>0.12416446902974922</v>
      </c>
      <c r="HU82" s="8">
        <v>0.12414860223511091</v>
      </c>
      <c r="HV82" s="7">
        <v>0.11301392824673381</v>
      </c>
      <c r="HW82" s="8">
        <v>0.12164144989168386</v>
      </c>
      <c r="HX82" s="8">
        <v>0.13407228811574232</v>
      </c>
      <c r="HY82" s="8">
        <v>0.17756823472836114</v>
      </c>
      <c r="HZ82" s="8">
        <v>0.19146474538127506</v>
      </c>
      <c r="IA82" s="8">
        <v>0.17387220646948026</v>
      </c>
      <c r="IB82" s="8">
        <v>0.15848469772925147</v>
      </c>
      <c r="IC82" s="8">
        <v>0.14835167845654684</v>
      </c>
      <c r="ID82" s="8">
        <v>0.13160137403543065</v>
      </c>
      <c r="IE82" s="8">
        <v>0.12861640861104609</v>
      </c>
      <c r="IF82" s="8">
        <v>0.11937203614857547</v>
      </c>
      <c r="IG82" s="8">
        <v>0.12443839963287004</v>
      </c>
      <c r="IH82" s="8">
        <v>0.13344398655461509</v>
      </c>
      <c r="II82" s="8">
        <v>9.6368067799363938E-2</v>
      </c>
      <c r="IJ82" s="8">
        <v>0.11401047114099452</v>
      </c>
      <c r="IK82" s="8">
        <v>0.11627147812136726</v>
      </c>
      <c r="IL82" s="8">
        <v>0.10731055999369969</v>
      </c>
      <c r="IM82" s="8">
        <v>0.11162004157919242</v>
      </c>
      <c r="IN82" s="8">
        <v>0.10281877318929473</v>
      </c>
      <c r="IO82" s="8">
        <v>0.13145671456581887</v>
      </c>
      <c r="IP82" s="8">
        <v>0.12269657404695222</v>
      </c>
      <c r="IQ82" s="8">
        <v>0.12853023364470334</v>
      </c>
      <c r="IR82" s="8">
        <v>0.11254841551289345</v>
      </c>
      <c r="JB82" s="6" t="s">
        <v>214</v>
      </c>
      <c r="JC82" s="8">
        <v>0.50375598630996543</v>
      </c>
      <c r="JD82" s="8">
        <v>0.48135632677967749</v>
      </c>
      <c r="JE82" s="7">
        <v>0.47938686167357281</v>
      </c>
      <c r="JF82" s="8">
        <v>0.44875062103202634</v>
      </c>
      <c r="JG82" s="8">
        <v>0.44364143602647615</v>
      </c>
      <c r="JH82" s="8">
        <v>0.47139134083073209</v>
      </c>
      <c r="JI82" s="8">
        <v>0.47099179443409417</v>
      </c>
      <c r="JJ82" s="8">
        <v>0.47624723923878903</v>
      </c>
      <c r="JK82" s="8">
        <v>0.49825753258103672</v>
      </c>
      <c r="JL82" s="8">
        <v>0.50154526579482916</v>
      </c>
      <c r="JM82" s="8">
        <v>0.47983733709880888</v>
      </c>
      <c r="JN82" s="7">
        <v>0.46594373737613154</v>
      </c>
      <c r="JO82" s="8">
        <v>0.46122772662570699</v>
      </c>
      <c r="JP82" s="8">
        <v>0.46219090458382056</v>
      </c>
      <c r="JQ82" s="8">
        <v>0.45494494999754309</v>
      </c>
      <c r="JR82" s="8">
        <v>0.47127213371826487</v>
      </c>
      <c r="JS82" s="8">
        <v>0.49276534673647249</v>
      </c>
      <c r="JT82" s="8">
        <v>0.47371904314799379</v>
      </c>
      <c r="JU82" s="8">
        <v>0.48177454813992754</v>
      </c>
      <c r="JV82" s="8">
        <v>0.48125107093128494</v>
      </c>
      <c r="JW82" s="7">
        <v>0.431573427337829</v>
      </c>
      <c r="JX82" s="8">
        <v>0.39725206974077831</v>
      </c>
      <c r="JY82" s="8">
        <v>0.40277464146303532</v>
      </c>
      <c r="JZ82" s="8">
        <v>0.37743206100239352</v>
      </c>
      <c r="KA82" s="8">
        <v>0.37278643985845761</v>
      </c>
      <c r="KB82" s="8">
        <v>0.39963270808045137</v>
      </c>
      <c r="KC82" s="8">
        <v>0.42323514500808707</v>
      </c>
      <c r="KD82" s="8">
        <v>0.42724738417838848</v>
      </c>
      <c r="KE82" s="8">
        <v>0.43162694901962684</v>
      </c>
      <c r="KF82" s="7">
        <v>0.42661561254106839</v>
      </c>
      <c r="KG82" s="7">
        <v>0.25169552898329028</v>
      </c>
      <c r="KH82" s="8">
        <v>0.24236098328894939</v>
      </c>
      <c r="KI82" s="8">
        <v>0.24038282693916024</v>
      </c>
      <c r="KJ82" s="8">
        <v>0.24219155988183913</v>
      </c>
      <c r="KK82" s="8">
        <v>0.24810049969941236</v>
      </c>
      <c r="KL82" s="8">
        <v>0.27910868880451395</v>
      </c>
      <c r="KM82" s="8">
        <v>0.29554793409516272</v>
      </c>
      <c r="KN82" s="8">
        <v>0.29003738091096948</v>
      </c>
      <c r="KO82" s="8">
        <v>0.29286408989608664</v>
      </c>
      <c r="KP82" s="7">
        <v>0.28288665792153578</v>
      </c>
      <c r="KQ82" s="8">
        <v>0.41662361384137642</v>
      </c>
      <c r="KR82" s="7">
        <v>0.40006590823542054</v>
      </c>
      <c r="KS82" s="8">
        <v>0.40740531454898843</v>
      </c>
      <c r="KT82" s="8">
        <v>0.40021627491008727</v>
      </c>
      <c r="KU82" s="8">
        <v>0.41590962888057353</v>
      </c>
      <c r="KV82" s="8">
        <v>0.44924256334632034</v>
      </c>
      <c r="KW82" s="8">
        <v>0.4620251880101699</v>
      </c>
      <c r="KX82" s="8">
        <v>0.47192764189997705</v>
      </c>
      <c r="KY82" s="7">
        <v>0.46828760040212547</v>
      </c>
      <c r="KZ82" s="8">
        <v>0.45280363039058624</v>
      </c>
      <c r="LA82" s="8">
        <v>0.50591153120422905</v>
      </c>
      <c r="LB82" s="8">
        <v>0.50961575661298064</v>
      </c>
      <c r="LC82" s="7">
        <v>0.51924090149116442</v>
      </c>
      <c r="LD82" s="8">
        <v>0.50486457906874493</v>
      </c>
      <c r="LE82" s="8">
        <v>0.48409536361456007</v>
      </c>
      <c r="LF82" s="8">
        <v>0.48853704469824377</v>
      </c>
      <c r="LG82" s="8">
        <v>0.47639801911112822</v>
      </c>
      <c r="LH82" s="7">
        <v>0.48634469008728182</v>
      </c>
      <c r="LI82" s="8">
        <v>0.49912275852192706</v>
      </c>
      <c r="LJ82" s="8">
        <v>0.48599149473181047</v>
      </c>
      <c r="LL82" s="6" t="s">
        <v>232</v>
      </c>
      <c r="LM82" s="6" t="s">
        <v>160</v>
      </c>
      <c r="LN82" s="6" t="s">
        <v>161</v>
      </c>
      <c r="LO82" s="8">
        <v>0.66616004624816239</v>
      </c>
    </row>
    <row r="83" spans="2:327" x14ac:dyDescent="0.45">
      <c r="B83" s="3" t="s">
        <v>216</v>
      </c>
      <c r="C83" s="3" t="s">
        <v>151</v>
      </c>
      <c r="D83" s="5">
        <v>0.32281250259790512</v>
      </c>
      <c r="E83" s="5">
        <v>0.32177229593092033</v>
      </c>
      <c r="F83" s="5">
        <v>0.31822438525679919</v>
      </c>
      <c r="G83" s="5">
        <v>0.32635624163904753</v>
      </c>
      <c r="H83" s="5">
        <v>0.32947170331451647</v>
      </c>
      <c r="I83" s="5">
        <v>0.33110750937455269</v>
      </c>
      <c r="J83" s="5">
        <v>0.32723718106290151</v>
      </c>
      <c r="K83" s="5">
        <v>0.32236811579102492</v>
      </c>
      <c r="L83" s="5">
        <v>0.32008697794644597</v>
      </c>
      <c r="M83" s="5">
        <v>0.32948311988896856</v>
      </c>
      <c r="N83" s="5">
        <v>0.30349964784748978</v>
      </c>
      <c r="O83" s="5">
        <v>0.3146306406160585</v>
      </c>
      <c r="P83" s="5">
        <v>0.32190660264262272</v>
      </c>
      <c r="Q83" s="5">
        <v>0.31508270846626668</v>
      </c>
      <c r="R83" s="5">
        <v>0.29570627340917255</v>
      </c>
      <c r="S83" s="5">
        <v>0.29209721965940477</v>
      </c>
      <c r="T83" s="5">
        <v>0.29789951109785712</v>
      </c>
      <c r="U83" s="5">
        <v>0.30339016280647063</v>
      </c>
      <c r="V83" s="5">
        <v>0.30243597035049657</v>
      </c>
      <c r="W83" s="5">
        <v>0.29156448115252465</v>
      </c>
      <c r="X83" s="5">
        <v>0.36187348472020958</v>
      </c>
      <c r="Y83" s="5">
        <v>0.36778326489682733</v>
      </c>
      <c r="Z83" s="5">
        <v>0.40009357458822797</v>
      </c>
      <c r="AA83" s="5">
        <v>0.39560056184871456</v>
      </c>
      <c r="AB83" s="5">
        <v>0.38066077179270869</v>
      </c>
      <c r="AC83" s="5">
        <v>0.35362268346310183</v>
      </c>
      <c r="AD83" s="5">
        <v>0.3360858662624347</v>
      </c>
      <c r="AE83" s="5">
        <v>0.33458021056772552</v>
      </c>
      <c r="AF83" s="5">
        <v>0.33084711778352716</v>
      </c>
      <c r="AG83" s="5">
        <v>0.35300765220479718</v>
      </c>
      <c r="AH83" s="5">
        <v>0.34233504470632542</v>
      </c>
      <c r="AI83" s="5">
        <v>0.35332019091308314</v>
      </c>
      <c r="AJ83" s="5">
        <v>0.39865415370565044</v>
      </c>
      <c r="AK83" s="5">
        <v>0.41264494045323674</v>
      </c>
      <c r="AL83" s="5">
        <v>0.4152470095649452</v>
      </c>
      <c r="AM83" s="5">
        <v>0.39342192585409069</v>
      </c>
      <c r="AN83" s="5">
        <v>0.3609734791438996</v>
      </c>
      <c r="AO83" s="5">
        <v>0.34313076099993689</v>
      </c>
      <c r="AP83" s="5">
        <v>0.31430837714293453</v>
      </c>
      <c r="AQ83" s="5">
        <v>0.32052837987220495</v>
      </c>
      <c r="AR83" s="5">
        <v>0.2443829136015232</v>
      </c>
      <c r="AS83" s="5">
        <v>0.27755086058286205</v>
      </c>
      <c r="AT83" s="5">
        <v>0.28937999388710067</v>
      </c>
      <c r="AU83" s="5">
        <v>0.28886817511616147</v>
      </c>
      <c r="AV83" s="5">
        <v>0.27416161557368746</v>
      </c>
      <c r="AW83" s="5">
        <v>0.27087571383307452</v>
      </c>
      <c r="AX83" s="5">
        <v>0.25715265324419084</v>
      </c>
      <c r="AY83" s="5">
        <v>0.24958526214676824</v>
      </c>
      <c r="AZ83" s="5">
        <v>0.23879423816730164</v>
      </c>
      <c r="BA83" s="5">
        <v>0.23378301821990852</v>
      </c>
      <c r="BB83" s="5">
        <v>0.2008879172632117</v>
      </c>
      <c r="BC83" s="5">
        <v>0.20031954932509147</v>
      </c>
      <c r="BD83" s="5">
        <v>0.20092372669103437</v>
      </c>
      <c r="BE83" s="5">
        <v>0.20927165411116189</v>
      </c>
      <c r="BF83" s="5">
        <v>0.22140321036028809</v>
      </c>
      <c r="BG83" s="5">
        <v>0.23483731735603947</v>
      </c>
      <c r="BH83" s="5">
        <v>0.22229651183600047</v>
      </c>
      <c r="BI83" s="5">
        <v>0.20576466801825974</v>
      </c>
      <c r="BJ83" s="5">
        <v>0.19519959370854117</v>
      </c>
      <c r="BK83" s="5">
        <v>0.19615907567574128</v>
      </c>
      <c r="BM83" s="3" t="s">
        <v>216</v>
      </c>
      <c r="BN83" s="3" t="s">
        <v>152</v>
      </c>
      <c r="BO83" s="5">
        <v>1.3702320979553964E-2</v>
      </c>
      <c r="BP83" s="5">
        <v>9.1350698613414747E-3</v>
      </c>
      <c r="BQ83" s="4">
        <v>2.8833468063319476E-3</v>
      </c>
      <c r="BR83" s="5">
        <v>7.8827745714046184E-3</v>
      </c>
      <c r="BS83" s="5">
        <v>1.4705455449314347E-2</v>
      </c>
      <c r="BT83" s="5">
        <v>2.0466245427735879E-2</v>
      </c>
      <c r="BU83" s="4">
        <v>1.3874644736538566E-2</v>
      </c>
      <c r="BV83" s="5">
        <v>4.8511051907940269E-3</v>
      </c>
      <c r="BW83" s="4">
        <v>1.0564961730508991E-2</v>
      </c>
      <c r="BX83" s="5">
        <v>1.7056421707148994E-2</v>
      </c>
      <c r="BY83" s="4">
        <v>1.4776498275776304E-2</v>
      </c>
      <c r="BZ83" s="4">
        <v>3.0701188702871859E-2</v>
      </c>
      <c r="CA83" s="4">
        <v>1.4147178475924784E-2</v>
      </c>
      <c r="CB83" s="4">
        <v>1.9324431347990806E-2</v>
      </c>
      <c r="CC83" s="4">
        <v>2.771883726161738E-2</v>
      </c>
      <c r="CD83" s="5">
        <v>4.5017473260574436E-3</v>
      </c>
      <c r="CE83" s="4">
        <v>4.0706981040648593E-4</v>
      </c>
      <c r="CF83" s="5">
        <v>1.1005990972106392E-2</v>
      </c>
      <c r="CG83" s="4">
        <v>2.5582073764194583E-2</v>
      </c>
      <c r="CH83" s="5">
        <v>8.3903286503274783E-3</v>
      </c>
      <c r="CI83" s="5">
        <v>3.1624497098502478E-2</v>
      </c>
      <c r="CJ83" s="4">
        <v>4.3194003748248701E-2</v>
      </c>
      <c r="CK83" s="5">
        <v>3.1281137299457168E-2</v>
      </c>
      <c r="CL83" s="4">
        <v>1.3183648607733659E-2</v>
      </c>
      <c r="CM83" s="5">
        <v>1.5517900969648663E-2</v>
      </c>
      <c r="CN83" s="5">
        <v>3.2219432449106862E-2</v>
      </c>
      <c r="CO83" s="5">
        <v>1.622359454831588E-2</v>
      </c>
      <c r="CP83" s="5">
        <v>1.7932701775059401E-2</v>
      </c>
      <c r="CQ83" s="5">
        <v>2.5977177179973498E-3</v>
      </c>
      <c r="CR83" s="5">
        <v>2.8408544815622286E-2</v>
      </c>
      <c r="CS83" s="5">
        <v>4.5311873645573424E-2</v>
      </c>
      <c r="CT83" s="5">
        <v>4.2415348497000058E-2</v>
      </c>
      <c r="CU83" s="4">
        <v>6.8557216834375143E-2</v>
      </c>
      <c r="CV83" s="4">
        <v>5.0037757401871642E-2</v>
      </c>
      <c r="CW83" s="5">
        <v>2.2949160717415318E-2</v>
      </c>
      <c r="CX83" s="4">
        <v>8.2210860671274484E-3</v>
      </c>
      <c r="CY83" s="4">
        <v>1.196788102502761E-2</v>
      </c>
      <c r="CZ83" s="4">
        <v>1.1378669355442036E-2</v>
      </c>
      <c r="DA83" s="4">
        <v>7.4241891197649353E-3</v>
      </c>
      <c r="DB83" s="5">
        <v>2.9441264124467497E-2</v>
      </c>
      <c r="DC83" s="5">
        <v>1.1122562093792573E-2</v>
      </c>
      <c r="DD83" s="4">
        <v>2.5898989387507527E-2</v>
      </c>
      <c r="DE83" s="4">
        <v>1.0256650404581414E-2</v>
      </c>
      <c r="DF83" s="5">
        <v>1.1386832531374194E-2</v>
      </c>
      <c r="DG83" s="5">
        <v>2.7691613611872432E-2</v>
      </c>
      <c r="DH83" s="4">
        <v>3.6439059037667046E-2</v>
      </c>
      <c r="DI83" s="4">
        <v>2.2677560315778975E-2</v>
      </c>
      <c r="DJ83" s="4">
        <v>1.2085367671803498E-2</v>
      </c>
      <c r="DK83" s="4">
        <v>7.9957664924497384E-4</v>
      </c>
      <c r="DL83" s="5">
        <v>1.2520505670279737E-2</v>
      </c>
      <c r="DM83" s="5">
        <v>9.6029173469220734E-3</v>
      </c>
      <c r="DN83" s="5">
        <v>1.7151190258659025E-2</v>
      </c>
      <c r="DO83" s="5">
        <v>1.0598789468778933E-2</v>
      </c>
      <c r="DP83" s="5">
        <v>9.8597399857908458E-3</v>
      </c>
      <c r="DQ83" s="5">
        <v>1.4536231896009163E-2</v>
      </c>
      <c r="DR83" s="5">
        <v>1.8825380810495163E-2</v>
      </c>
      <c r="DS83" s="5">
        <v>1.2871395831776372E-2</v>
      </c>
      <c r="DT83" s="4">
        <v>8.0116889914449829E-3</v>
      </c>
      <c r="DU83" s="5">
        <v>1.2588654632910985E-3</v>
      </c>
      <c r="DV83" s="5">
        <v>1.4501616436274282E-2</v>
      </c>
      <c r="DX83" s="3" t="s">
        <v>216</v>
      </c>
      <c r="DY83" s="3" t="s">
        <v>153</v>
      </c>
      <c r="DZ83" s="4">
        <v>1.9623426441099476E-2</v>
      </c>
      <c r="EA83" s="5">
        <v>1.7229343152855951E-2</v>
      </c>
      <c r="EB83" s="5">
        <v>2.7190776683695586E-2</v>
      </c>
      <c r="EC83" s="5">
        <v>2.2091265539320139E-2</v>
      </c>
      <c r="ED83" s="4">
        <v>4.2977701942266888E-3</v>
      </c>
      <c r="EE83" s="5">
        <v>1.3969573275740117E-2</v>
      </c>
      <c r="EF83" s="4">
        <v>3.3500186314758928E-2</v>
      </c>
      <c r="EG83" s="5">
        <v>3.0303034736333785E-2</v>
      </c>
      <c r="EH83" s="5">
        <v>2.0254729290867027E-2</v>
      </c>
      <c r="EI83" s="5">
        <v>5.868578764177625E-3</v>
      </c>
      <c r="EJ83" s="5">
        <v>2.0871436274427745E-2</v>
      </c>
      <c r="EK83" s="5">
        <v>9.1948856815117098E-3</v>
      </c>
      <c r="EL83" s="5">
        <v>2.8483446296758211E-2</v>
      </c>
      <c r="EM83" s="5">
        <v>2.7920441768860559E-2</v>
      </c>
      <c r="EN83" s="5">
        <v>6.3650152950977257E-3</v>
      </c>
      <c r="EO83" s="4">
        <v>2.5710324622488658E-2</v>
      </c>
      <c r="EP83" s="4">
        <v>2.9983434835588973E-2</v>
      </c>
      <c r="EQ83" s="4">
        <v>2.1918205377822648E-2</v>
      </c>
      <c r="ER83" s="4">
        <v>0</v>
      </c>
      <c r="ES83" s="4">
        <v>2.4868903805832603E-2</v>
      </c>
      <c r="ET83" s="5">
        <v>2.8150256407733939E-2</v>
      </c>
      <c r="EU83" s="5">
        <v>3.380026617050557E-2</v>
      </c>
      <c r="EV83" s="5">
        <v>4.3269367870502652E-2</v>
      </c>
      <c r="EW83" s="5">
        <v>5.4706001843886763E-2</v>
      </c>
      <c r="EX83" s="4">
        <v>4.0462536168133223E-2</v>
      </c>
      <c r="EY83" s="5">
        <v>1.0295750879237616E-2</v>
      </c>
      <c r="EZ83" s="5">
        <v>3.4174874942686159E-2</v>
      </c>
      <c r="FA83" s="5">
        <v>3.7135893574098938E-2</v>
      </c>
      <c r="FB83" s="5">
        <v>3.9587407910061975E-2</v>
      </c>
      <c r="FC83" s="5">
        <v>1.2419482297921515E-2</v>
      </c>
      <c r="FD83" s="5">
        <v>2.7061148259115153E-2</v>
      </c>
      <c r="FE83" s="5">
        <v>5.330813812408941E-2</v>
      </c>
      <c r="FF83" s="5">
        <v>6.2463962357401343E-2</v>
      </c>
      <c r="FG83" s="5">
        <v>8.414389892653229E-2</v>
      </c>
      <c r="FH83" s="4">
        <v>7.1860909124832908E-2</v>
      </c>
      <c r="FI83" s="5">
        <v>6.79546504281483E-2</v>
      </c>
      <c r="FJ83" s="5">
        <v>4.4431658981597059E-2</v>
      </c>
      <c r="FK83" s="5">
        <v>4.6304670368804753E-3</v>
      </c>
      <c r="FL83" s="5">
        <v>1.1292887966636866E-2</v>
      </c>
      <c r="FM83" s="4">
        <v>1.1981639629764755E-2</v>
      </c>
      <c r="FN83" s="5">
        <v>1.8613001524671147E-2</v>
      </c>
      <c r="FO83" s="5">
        <v>1.3364967856822667E-2</v>
      </c>
      <c r="FP83" s="4">
        <v>2.5267129043279549E-2</v>
      </c>
      <c r="FQ83" s="4">
        <v>2.5262914233637274E-2</v>
      </c>
      <c r="FR83" s="4">
        <v>1.0629972037441721E-2</v>
      </c>
      <c r="FS83" s="4">
        <v>1.0142489952531338E-2</v>
      </c>
      <c r="FT83" s="5">
        <v>3.385064515921913E-2</v>
      </c>
      <c r="FU83" s="5">
        <v>4.3126817315896106E-2</v>
      </c>
      <c r="FV83" s="4">
        <v>3.2169843506743748E-2</v>
      </c>
      <c r="FW83" s="5">
        <v>3.708441775741169E-3</v>
      </c>
      <c r="FX83" s="5">
        <v>1.5895266602166135E-2</v>
      </c>
      <c r="FY83" s="5">
        <v>2.2147878652201632E-2</v>
      </c>
      <c r="FZ83" s="5">
        <v>1.3820216599782113E-2</v>
      </c>
      <c r="GA83" s="5">
        <v>1.3875157345276752E-2</v>
      </c>
      <c r="GB83" s="5">
        <v>1.3584610280310043E-2</v>
      </c>
      <c r="GC83" s="5">
        <v>3.5059957109169395E-3</v>
      </c>
      <c r="GD83" s="5">
        <v>1.3978954652787237E-2</v>
      </c>
      <c r="GE83" s="5">
        <v>1.7551009128549993E-2</v>
      </c>
      <c r="GF83" s="5">
        <v>1.2214710275441363E-2</v>
      </c>
      <c r="GG83" s="5">
        <v>1.018514289594962E-2</v>
      </c>
      <c r="GI83" s="3" t="s">
        <v>216</v>
      </c>
      <c r="GJ83" s="3" t="s">
        <v>154</v>
      </c>
      <c r="GK83" s="5">
        <v>0.16699184716154752</v>
      </c>
      <c r="GL83" s="5">
        <v>0.17736275997782405</v>
      </c>
      <c r="GM83" s="5">
        <v>0.1691678985644651</v>
      </c>
      <c r="GN83" s="5">
        <v>0.15768531939515915</v>
      </c>
      <c r="GO83" s="5">
        <v>0.17253074716313213</v>
      </c>
      <c r="GP83" s="5">
        <v>0.16033265913808115</v>
      </c>
      <c r="GQ83" s="5">
        <v>0.15583259126873344</v>
      </c>
      <c r="GR83" s="5">
        <v>0.15234509377801814</v>
      </c>
      <c r="GS83" s="5">
        <v>0.15187134709019295</v>
      </c>
      <c r="GT83" s="5">
        <v>0.17147384185445197</v>
      </c>
      <c r="GU83" s="5">
        <v>0.15931004733379622</v>
      </c>
      <c r="GV83" s="5">
        <v>0.15565935958593266</v>
      </c>
      <c r="GW83" s="5">
        <v>0.14399843636122345</v>
      </c>
      <c r="GX83" s="5">
        <v>0.12133333121303264</v>
      </c>
      <c r="GY83" s="5">
        <v>0.13068796970621055</v>
      </c>
      <c r="GZ83" s="5">
        <v>0.1463998396319493</v>
      </c>
      <c r="HA83" s="4">
        <v>0.14971442835980694</v>
      </c>
      <c r="HB83" s="5">
        <v>0.15297266353935215</v>
      </c>
      <c r="HC83" s="5">
        <v>0.16368303354521307</v>
      </c>
      <c r="HD83" s="5">
        <v>0.15324705594816473</v>
      </c>
      <c r="HE83" s="5">
        <v>0.15848211003422058</v>
      </c>
      <c r="HF83" s="5">
        <v>0.15005331054191648</v>
      </c>
      <c r="HG83" s="5">
        <v>0.17091780474692117</v>
      </c>
      <c r="HH83" s="5">
        <v>0.1715094630168735</v>
      </c>
      <c r="HI83" s="5">
        <v>0.1710360885400512</v>
      </c>
      <c r="HJ83" s="5">
        <v>0.17000049923180996</v>
      </c>
      <c r="HK83" s="5">
        <v>0.15996469112722675</v>
      </c>
      <c r="HL83" s="4">
        <v>0.16411242829823397</v>
      </c>
      <c r="HM83" s="5">
        <v>0.16815476079491895</v>
      </c>
      <c r="HN83" s="5">
        <v>0.17376012257807888</v>
      </c>
      <c r="HO83" s="5">
        <v>0.14860596696658385</v>
      </c>
      <c r="HP83" s="5">
        <v>0.12226362689826714</v>
      </c>
      <c r="HQ83" s="5">
        <v>0.13359760155507161</v>
      </c>
      <c r="HR83" s="5">
        <v>0.14275609490319796</v>
      </c>
      <c r="HS83" s="5">
        <v>0.18060333150144653</v>
      </c>
      <c r="HT83" s="5">
        <v>0.18730230180006982</v>
      </c>
      <c r="HU83" s="5">
        <v>0.19095486081050414</v>
      </c>
      <c r="HV83" s="4">
        <v>0.22158547042733703</v>
      </c>
      <c r="HW83" s="5">
        <v>0.20052340286333081</v>
      </c>
      <c r="HX83" s="5">
        <v>0.17602490577938268</v>
      </c>
      <c r="HY83" s="5">
        <v>0.11008615058354924</v>
      </c>
      <c r="HZ83" s="5">
        <v>0.12329333515407052</v>
      </c>
      <c r="IA83" s="5">
        <v>0.1305446411269425</v>
      </c>
      <c r="IB83" s="5">
        <v>0.12068057713487435</v>
      </c>
      <c r="IC83" s="5">
        <v>0.10217290600767653</v>
      </c>
      <c r="ID83" s="5">
        <v>9.1886865209440408E-2</v>
      </c>
      <c r="IE83" s="5">
        <v>8.4805250484682015E-2</v>
      </c>
      <c r="IF83" s="5">
        <v>8.3770262736902593E-2</v>
      </c>
      <c r="IG83" s="5">
        <v>9.7026709404344116E-2</v>
      </c>
      <c r="IH83" s="5">
        <v>0.11060107558684437</v>
      </c>
      <c r="II83" s="5">
        <v>7.4019776360083417E-2</v>
      </c>
      <c r="IJ83" s="5">
        <v>6.8646135327511973E-2</v>
      </c>
      <c r="IK83" s="5">
        <v>8.8163239660502463E-2</v>
      </c>
      <c r="IL83" s="5">
        <v>8.8155677738454133E-2</v>
      </c>
      <c r="IM83" s="5">
        <v>8.683096056092196E-2</v>
      </c>
      <c r="IN83" s="5">
        <v>9.5152025457712591E-2</v>
      </c>
      <c r="IO83" s="5">
        <v>9.0532396474896415E-2</v>
      </c>
      <c r="IP83" s="5">
        <v>7.9545148817507391E-2</v>
      </c>
      <c r="IQ83" s="5">
        <v>8.5165366748279167E-2</v>
      </c>
      <c r="IR83" s="5">
        <v>7.3559713683732444E-2</v>
      </c>
      <c r="JB83" s="3" t="s">
        <v>216</v>
      </c>
      <c r="JC83" s="5">
        <v>0.44096751879293811</v>
      </c>
      <c r="JD83" s="5">
        <v>0.44182077911995787</v>
      </c>
      <c r="JE83" s="4">
        <v>0.44827075377234493</v>
      </c>
      <c r="JF83" s="5">
        <v>0.44094881688455823</v>
      </c>
      <c r="JG83" s="5">
        <v>0.44460208279958147</v>
      </c>
      <c r="JH83" s="5">
        <v>0.44430185180765375</v>
      </c>
      <c r="JI83" s="5">
        <v>0.43785766748510269</v>
      </c>
      <c r="JJ83" s="5">
        <v>0.4552582438878332</v>
      </c>
      <c r="JK83" s="5">
        <v>0.47350835029978117</v>
      </c>
      <c r="JL83" s="5">
        <v>0.45914019180102339</v>
      </c>
      <c r="JM83" s="5">
        <v>0.41777889494986009</v>
      </c>
      <c r="JN83" s="4">
        <v>0.43530336732257796</v>
      </c>
      <c r="JO83" s="5">
        <v>0.45372763324367943</v>
      </c>
      <c r="JP83" s="5">
        <v>0.49940158877515606</v>
      </c>
      <c r="JQ83" s="5">
        <v>0.49721076954460092</v>
      </c>
      <c r="JR83" s="5">
        <v>0.48333757586054915</v>
      </c>
      <c r="JS83" s="5">
        <v>0.4711894310038095</v>
      </c>
      <c r="JT83" s="5">
        <v>0.44400951250980991</v>
      </c>
      <c r="JU83" s="5">
        <v>0.42554811624458927</v>
      </c>
      <c r="JV83" s="5">
        <v>0.4164350174772975</v>
      </c>
      <c r="JW83" s="4">
        <v>0.30823037614485516</v>
      </c>
      <c r="JX83" s="5">
        <v>0.29741793171745468</v>
      </c>
      <c r="JY83" s="5">
        <v>0.32710453445655846</v>
      </c>
      <c r="JZ83" s="5">
        <v>0.34334957374336994</v>
      </c>
      <c r="KA83" s="5">
        <v>0.35359795971020047</v>
      </c>
      <c r="KB83" s="5">
        <v>0.36636846621807106</v>
      </c>
      <c r="KC83" s="5">
        <v>0.37726538025311968</v>
      </c>
      <c r="KD83" s="5">
        <v>0.35600069075787283</v>
      </c>
      <c r="KE83" s="5">
        <v>0.3274256430859418</v>
      </c>
      <c r="KF83" s="4">
        <v>0.31564147915910701</v>
      </c>
      <c r="KG83" s="4">
        <v>0.21432573552247269</v>
      </c>
      <c r="KH83" s="5">
        <v>0.20737158850741882</v>
      </c>
      <c r="KI83" s="5">
        <v>0.22218439780620081</v>
      </c>
      <c r="KJ83" s="5">
        <v>0.25365184590082213</v>
      </c>
      <c r="KK83" s="5">
        <v>0.27044341438391017</v>
      </c>
      <c r="KL83" s="5">
        <v>0.28063677189873415</v>
      </c>
      <c r="KM83" s="5">
        <v>0.28270789469980345</v>
      </c>
      <c r="KN83" s="5">
        <v>0.2538470885633719</v>
      </c>
      <c r="KO83" s="5">
        <v>0.22845093808364431</v>
      </c>
      <c r="KP83" s="4">
        <v>0.22809520894751975</v>
      </c>
      <c r="KQ83" s="5">
        <v>0.46554548497330217</v>
      </c>
      <c r="KR83" s="4">
        <v>0.4324481326377787</v>
      </c>
      <c r="KS83" s="5">
        <v>0.43312114085768777</v>
      </c>
      <c r="KT83" s="5">
        <v>0.46884590582920821</v>
      </c>
      <c r="KU83" s="5">
        <v>0.49632003641860206</v>
      </c>
      <c r="KV83" s="5">
        <v>0.5140285784954548</v>
      </c>
      <c r="KW83" s="5">
        <v>0.51263412257817209</v>
      </c>
      <c r="KX83" s="5">
        <v>0.49669803549373126</v>
      </c>
      <c r="KY83" s="4">
        <v>0.49571671728997668</v>
      </c>
      <c r="KZ83" s="5">
        <v>0.49592275628914451</v>
      </c>
      <c r="LA83" s="5">
        <v>0.648723749940886</v>
      </c>
      <c r="LB83" s="5">
        <v>0.62013939924135741</v>
      </c>
      <c r="LC83" s="4">
        <v>0.60931518666836049</v>
      </c>
      <c r="LD83" s="5">
        <v>0.60814487601380052</v>
      </c>
      <c r="LE83" s="5">
        <v>0.60680505403616924</v>
      </c>
      <c r="LF83" s="5">
        <v>0.60153098458944054</v>
      </c>
      <c r="LG83" s="5">
        <v>0.60617865518079683</v>
      </c>
      <c r="LH83" s="4">
        <v>0.61522521486742066</v>
      </c>
      <c r="LI83" s="5">
        <v>0.62380935357951695</v>
      </c>
      <c r="LJ83" s="5">
        <v>0.64425540706465334</v>
      </c>
      <c r="LL83" s="3" t="s">
        <v>233</v>
      </c>
      <c r="LM83" s="3" t="s">
        <v>160</v>
      </c>
      <c r="LN83" s="3" t="s">
        <v>161</v>
      </c>
      <c r="LO83" s="5">
        <v>0.65909131060714765</v>
      </c>
    </row>
    <row r="84" spans="2:327" x14ac:dyDescent="0.45">
      <c r="B84" s="6" t="s">
        <v>218</v>
      </c>
      <c r="C84" s="6" t="s">
        <v>151</v>
      </c>
      <c r="D84" s="8">
        <v>0.23575680292560811</v>
      </c>
      <c r="E84" s="8">
        <v>0.25115568641039115</v>
      </c>
      <c r="F84" s="8">
        <v>0.26066840847657335</v>
      </c>
      <c r="G84" s="8">
        <v>0.27159900663517283</v>
      </c>
      <c r="H84" s="8">
        <v>0.29047159233778075</v>
      </c>
      <c r="I84" s="8">
        <v>0.28357553115578399</v>
      </c>
      <c r="J84" s="8">
        <v>0.27178850418175693</v>
      </c>
      <c r="K84" s="8">
        <v>0.26101790586164697</v>
      </c>
      <c r="L84" s="8">
        <v>0.25268812174556127</v>
      </c>
      <c r="M84" s="8">
        <v>0.24105270067633533</v>
      </c>
      <c r="N84" s="8">
        <v>0.26446289600368805</v>
      </c>
      <c r="O84" s="8">
        <v>0.25351793806106365</v>
      </c>
      <c r="P84" s="8">
        <v>0.25920540316865909</v>
      </c>
      <c r="Q84" s="8">
        <v>0.29112467668308512</v>
      </c>
      <c r="R84" s="8">
        <v>0.30149218201604755</v>
      </c>
      <c r="S84" s="8">
        <v>0.29067053284090622</v>
      </c>
      <c r="T84" s="8">
        <v>0.26555713090020733</v>
      </c>
      <c r="U84" s="8">
        <v>0.24696147014715858</v>
      </c>
      <c r="V84" s="8">
        <v>0.22634859408230082</v>
      </c>
      <c r="W84" s="8">
        <v>0.24305593792671201</v>
      </c>
      <c r="X84" s="8">
        <v>0.27374473956075751</v>
      </c>
      <c r="Y84" s="8">
        <v>0.28466662522401226</v>
      </c>
      <c r="Z84" s="8">
        <v>0.29944140602578112</v>
      </c>
      <c r="AA84" s="8">
        <v>0.32993179091599084</v>
      </c>
      <c r="AB84" s="8">
        <v>0.36567013141171972</v>
      </c>
      <c r="AC84" s="8">
        <v>0.3439382495599464</v>
      </c>
      <c r="AD84" s="8">
        <v>0.31674273069318098</v>
      </c>
      <c r="AE84" s="8">
        <v>0.31216706225194885</v>
      </c>
      <c r="AF84" s="8">
        <v>0.29543283212819554</v>
      </c>
      <c r="AG84" s="8">
        <v>0.28049963298193559</v>
      </c>
      <c r="AH84" s="8">
        <v>0.30312192260447951</v>
      </c>
      <c r="AI84" s="8">
        <v>0.33917057848765353</v>
      </c>
      <c r="AJ84" s="8">
        <v>0.36328362669062347</v>
      </c>
      <c r="AK84" s="8">
        <v>0.36941069741343302</v>
      </c>
      <c r="AL84" s="8">
        <v>0.35895739012950312</v>
      </c>
      <c r="AM84" s="8">
        <v>0.34095594469359153</v>
      </c>
      <c r="AN84" s="8">
        <v>0.32705369039592813</v>
      </c>
      <c r="AO84" s="8">
        <v>0.32429434486494974</v>
      </c>
      <c r="AP84" s="8">
        <v>0.29934850988487716</v>
      </c>
      <c r="AQ84" s="8">
        <v>0.29813744261464015</v>
      </c>
      <c r="AR84" s="8">
        <v>0.31305174289563464</v>
      </c>
      <c r="AS84" s="8">
        <v>0.34837594128444416</v>
      </c>
      <c r="AT84" s="8">
        <v>0.35069289072702137</v>
      </c>
      <c r="AU84" s="8">
        <v>0.34722758975738632</v>
      </c>
      <c r="AV84" s="8">
        <v>0.33441482872170492</v>
      </c>
      <c r="AW84" s="8">
        <v>0.31011408960461689</v>
      </c>
      <c r="AX84" s="8">
        <v>0.28522703678053701</v>
      </c>
      <c r="AY84" s="8">
        <v>0.25983918830554786</v>
      </c>
      <c r="AZ84" s="8">
        <v>0.25793018983336202</v>
      </c>
      <c r="BA84" s="8">
        <v>0.26519019165277363</v>
      </c>
      <c r="BB84" s="8">
        <v>0.25870471476921886</v>
      </c>
      <c r="BC84" s="8">
        <v>0.23454933860914712</v>
      </c>
      <c r="BD84" s="8">
        <v>0.23575196521879557</v>
      </c>
      <c r="BE84" s="8">
        <v>0.23342126224051665</v>
      </c>
      <c r="BF84" s="8">
        <v>0.23679634861405938</v>
      </c>
      <c r="BG84" s="8">
        <v>0.23872406982458663</v>
      </c>
      <c r="BH84" s="8">
        <v>0.23905657227657592</v>
      </c>
      <c r="BI84" s="8">
        <v>0.23049132420022084</v>
      </c>
      <c r="BJ84" s="8">
        <v>0.22092366976352798</v>
      </c>
      <c r="BK84" s="8">
        <v>0.2369254327296694</v>
      </c>
      <c r="BM84" s="6" t="s">
        <v>218</v>
      </c>
      <c r="BN84" s="6" t="s">
        <v>152</v>
      </c>
      <c r="BO84" s="8">
        <v>1.0239245990355547E-2</v>
      </c>
      <c r="BP84" s="8">
        <v>1.4488698810584382E-2</v>
      </c>
      <c r="BQ84" s="7">
        <v>8.5003298893480093E-3</v>
      </c>
      <c r="BR84" s="8">
        <v>1.4905781588252644E-2</v>
      </c>
      <c r="BS84" s="8">
        <v>1.8442453073463774E-2</v>
      </c>
      <c r="BT84" s="8">
        <v>3.4502455091135367E-3</v>
      </c>
      <c r="BU84" s="7">
        <v>4.9593563467494545E-3</v>
      </c>
      <c r="BV84" s="8">
        <v>1.1698503790784513E-2</v>
      </c>
      <c r="BW84" s="7">
        <v>2.2432293425934401E-2</v>
      </c>
      <c r="BX84" s="8">
        <v>1.7754048030033991E-2</v>
      </c>
      <c r="BY84" s="7">
        <v>1.8636582923751338E-2</v>
      </c>
      <c r="BZ84" s="7">
        <v>1.1830736829573545E-2</v>
      </c>
      <c r="CA84" s="7">
        <v>1.7522858897736034E-2</v>
      </c>
      <c r="CB84" s="7">
        <v>3.8678628335963561E-3</v>
      </c>
      <c r="CC84" s="7">
        <v>5.2668512231356795E-3</v>
      </c>
      <c r="CD84" s="8">
        <v>9.9022147523399693E-3</v>
      </c>
      <c r="CE84" s="7">
        <v>1.0000348883576166E-2</v>
      </c>
      <c r="CF84" s="8">
        <v>1.3124007968689949E-2</v>
      </c>
      <c r="CG84" s="7">
        <v>1.4505210339895647E-2</v>
      </c>
      <c r="CH84" s="8">
        <v>1.929095620276166E-2</v>
      </c>
      <c r="CI84" s="8">
        <v>1.1302819807800107E-2</v>
      </c>
      <c r="CJ84" s="7">
        <v>4.498250701757185E-3</v>
      </c>
      <c r="CK84" s="8">
        <v>9.487092779637666E-3</v>
      </c>
      <c r="CL84" s="7">
        <v>2.4702601298775398E-2</v>
      </c>
      <c r="CM84" s="8">
        <v>2.0008907225299008E-2</v>
      </c>
      <c r="CN84" s="8">
        <v>7.2985774314870879E-3</v>
      </c>
      <c r="CO84" s="8">
        <v>4.3661291800086502E-3</v>
      </c>
      <c r="CP84" s="8">
        <v>7.0725462933510022E-3</v>
      </c>
      <c r="CQ84" s="8">
        <v>1.3149676289783075E-2</v>
      </c>
      <c r="CR84" s="8">
        <v>2.183830262878976E-2</v>
      </c>
      <c r="CS84" s="8">
        <v>3.8369711934653002E-2</v>
      </c>
      <c r="CT84" s="8">
        <v>1.3441415364693995E-2</v>
      </c>
      <c r="CU84" s="7">
        <v>3.2963194588581518E-2</v>
      </c>
      <c r="CV84" s="7">
        <v>3.4100613253279552E-2</v>
      </c>
      <c r="CW84" s="8">
        <v>3.5475051921308218E-2</v>
      </c>
      <c r="CX84" s="7">
        <v>2.3947346942622735E-2</v>
      </c>
      <c r="CY84" s="7">
        <v>2.0917582822858407E-2</v>
      </c>
      <c r="CZ84" s="7">
        <v>2.6996750018999881E-2</v>
      </c>
      <c r="DA84" s="7">
        <v>2.3748471900976037E-2</v>
      </c>
      <c r="DB84" s="8">
        <v>3.0800015359264785E-2</v>
      </c>
      <c r="DC84" s="8">
        <v>8.8132098168291588E-3</v>
      </c>
      <c r="DD84" s="7">
        <v>1.248744677955633E-2</v>
      </c>
      <c r="DE84" s="7">
        <v>1.0959770115157976E-2</v>
      </c>
      <c r="DF84" s="8">
        <v>2.7443329219651865E-2</v>
      </c>
      <c r="DG84" s="8">
        <v>5.060597963333871E-2</v>
      </c>
      <c r="DH84" s="7">
        <v>3.674861657560903E-2</v>
      </c>
      <c r="DI84" s="7">
        <v>1.0429379317663644E-2</v>
      </c>
      <c r="DJ84" s="7">
        <v>1.4602609845975735E-2</v>
      </c>
      <c r="DK84" s="7">
        <v>2.099378017468501E-2</v>
      </c>
      <c r="DL84" s="8">
        <v>1.3359448360095304E-2</v>
      </c>
      <c r="DM84" s="8">
        <v>1.3166327597357044E-2</v>
      </c>
      <c r="DN84" s="8">
        <v>1.3893386508870802E-2</v>
      </c>
      <c r="DO84" s="8">
        <v>2.447572666305347E-2</v>
      </c>
      <c r="DP84" s="8">
        <v>2.4204375058952912E-2</v>
      </c>
      <c r="DQ84" s="8">
        <v>1.9190791298647227E-2</v>
      </c>
      <c r="DR84" s="8">
        <v>2.120045639543864E-2</v>
      </c>
      <c r="DS84" s="8">
        <v>1.9957264723005606E-2</v>
      </c>
      <c r="DT84" s="7">
        <v>8.5994874969135965E-3</v>
      </c>
      <c r="DU84" s="8">
        <v>9.7855097791586954E-3</v>
      </c>
      <c r="DV84" s="8">
        <v>2.298629096225787E-2</v>
      </c>
      <c r="DX84" s="6" t="s">
        <v>218</v>
      </c>
      <c r="DY84" s="6" t="s">
        <v>153</v>
      </c>
      <c r="DZ84" s="7">
        <v>2.5137055890433808E-2</v>
      </c>
      <c r="EA84" s="8">
        <v>9.9717623745943663E-3</v>
      </c>
      <c r="EB84" s="8">
        <v>2.2152323298480707E-2</v>
      </c>
      <c r="EC84" s="8">
        <v>2.012680205569288E-2</v>
      </c>
      <c r="ED84" s="7">
        <v>1.3682736277350555E-2</v>
      </c>
      <c r="EE84" s="8">
        <v>1.937419869848879E-2</v>
      </c>
      <c r="EF84" s="7">
        <v>1.9771061177418257E-2</v>
      </c>
      <c r="EG84" s="8">
        <v>1.210958670011127E-2</v>
      </c>
      <c r="EH84" s="8">
        <v>5.1328346892088351E-3</v>
      </c>
      <c r="EI84" s="8">
        <v>9.7647954440633448E-3</v>
      </c>
      <c r="EJ84" s="8">
        <v>2.0940528309201359E-2</v>
      </c>
      <c r="EK84" s="8">
        <v>2.3830023587778863E-2</v>
      </c>
      <c r="EL84" s="8">
        <v>2.5124532142643714E-2</v>
      </c>
      <c r="EM84" s="8">
        <v>2.6766490462219E-2</v>
      </c>
      <c r="EN84" s="8">
        <v>1.7933247747284612E-2</v>
      </c>
      <c r="EO84" s="7">
        <v>5.2806667702153566E-3</v>
      </c>
      <c r="EP84" s="7">
        <v>6.5588052921846064E-3</v>
      </c>
      <c r="EQ84" s="7">
        <v>7.2301165997856387E-3</v>
      </c>
      <c r="ER84" s="7">
        <v>1.4085139833055338E-2</v>
      </c>
      <c r="ES84" s="7">
        <v>1.8256452418766958E-2</v>
      </c>
      <c r="ET84" s="8">
        <v>1.8959942493838571E-2</v>
      </c>
      <c r="EU84" s="8">
        <v>2.0345622454462829E-2</v>
      </c>
      <c r="EV84" s="8">
        <v>1.293987588419368E-2</v>
      </c>
      <c r="EW84" s="8">
        <v>5.1394868883995358E-3</v>
      </c>
      <c r="EX84" s="7">
        <v>1.4477243878009116E-2</v>
      </c>
      <c r="EY84" s="8">
        <v>1.8301988942429064E-2</v>
      </c>
      <c r="EZ84" s="8">
        <v>1.5572012658678393E-2</v>
      </c>
      <c r="FA84" s="8">
        <v>1.4390359171184983E-2</v>
      </c>
      <c r="FB84" s="8">
        <v>1.2759650499438417E-2</v>
      </c>
      <c r="FC84" s="8">
        <v>8.6513454085962761E-3</v>
      </c>
      <c r="FD84" s="8">
        <v>3.5227464656975134E-2</v>
      </c>
      <c r="FE84" s="8">
        <v>5.6351475627364686E-2</v>
      </c>
      <c r="FF84" s="8">
        <v>4.0628085419736573E-2</v>
      </c>
      <c r="FG84" s="8">
        <v>2.1157360564611934E-2</v>
      </c>
      <c r="FH84" s="7">
        <v>1.2201214702398369E-2</v>
      </c>
      <c r="FI84" s="8">
        <v>3.5199098875413566E-2</v>
      </c>
      <c r="FJ84" s="8">
        <v>5.1127788648959151E-2</v>
      </c>
      <c r="FK84" s="8">
        <v>4.1269093487253911E-2</v>
      </c>
      <c r="FL84" s="8">
        <v>2.0751801228438366E-2</v>
      </c>
      <c r="FM84" s="7">
        <v>1.9753514244256754E-2</v>
      </c>
      <c r="FN84" s="8">
        <v>1.8609780431461262E-2</v>
      </c>
      <c r="FO84" s="8">
        <v>7.111023671173995E-3</v>
      </c>
      <c r="FP84" s="7">
        <v>1.8771269501394731E-2</v>
      </c>
      <c r="FQ84" s="7">
        <v>2.5249237220493728E-2</v>
      </c>
      <c r="FR84" s="7">
        <v>1.1741846997152187E-2</v>
      </c>
      <c r="FS84" s="7">
        <v>2.3968010383883364E-2</v>
      </c>
      <c r="FT84" s="8">
        <v>4.3277507098954657E-2</v>
      </c>
      <c r="FU84" s="8">
        <v>4.270296795104904E-2</v>
      </c>
      <c r="FV84" s="7">
        <v>2.1306890634213076E-2</v>
      </c>
      <c r="FW84" s="8">
        <v>1.6300895562998133E-2</v>
      </c>
      <c r="FX84" s="8">
        <v>1.5306383575950452E-2</v>
      </c>
      <c r="FY84" s="8">
        <v>1.4331873298037978E-2</v>
      </c>
      <c r="FZ84" s="8">
        <v>1.1775033436130662E-2</v>
      </c>
      <c r="GA84" s="8">
        <v>9.4551696314834552E-3</v>
      </c>
      <c r="GB84" s="8">
        <v>1.6292296384892834E-2</v>
      </c>
      <c r="GC84" s="8">
        <v>2.5665828817246761E-2</v>
      </c>
      <c r="GD84" s="8">
        <v>2.6322806436715425E-2</v>
      </c>
      <c r="GE84" s="8">
        <v>2.5055171806516192E-2</v>
      </c>
      <c r="GF84" s="8">
        <v>2.8858125267287482E-2</v>
      </c>
      <c r="GG84" s="8">
        <v>6.2130663410423269E-3</v>
      </c>
      <c r="GI84" s="6" t="s">
        <v>218</v>
      </c>
      <c r="GJ84" s="6" t="s">
        <v>154</v>
      </c>
      <c r="GK84" s="8">
        <v>8.8275157476301228E-2</v>
      </c>
      <c r="GL84" s="8">
        <v>0.10937564900336635</v>
      </c>
      <c r="GM84" s="8">
        <v>0.11240612647236946</v>
      </c>
      <c r="GN84" s="8">
        <v>0.10636578019045048</v>
      </c>
      <c r="GO84" s="8">
        <v>0.1293121045530542</v>
      </c>
      <c r="GP84" s="8">
        <v>0.13810570162135122</v>
      </c>
      <c r="GQ84" s="8">
        <v>0.13216992441554784</v>
      </c>
      <c r="GR84" s="8">
        <v>0.11628188551281742</v>
      </c>
      <c r="GS84" s="8">
        <v>0.10092619498351926</v>
      </c>
      <c r="GT84" s="8">
        <v>9.531827011538764E-2</v>
      </c>
      <c r="GU84" s="8">
        <v>0.10898236706698589</v>
      </c>
      <c r="GV84" s="8">
        <v>9.6600126617771495E-2</v>
      </c>
      <c r="GW84" s="8">
        <v>0.10080444880145915</v>
      </c>
      <c r="GX84" s="8">
        <v>0.13672381857104726</v>
      </c>
      <c r="GY84" s="8">
        <v>0.15899161651840718</v>
      </c>
      <c r="GZ84" s="8">
        <v>0.15704281606905648</v>
      </c>
      <c r="HA84" s="7">
        <v>0.1413659719237749</v>
      </c>
      <c r="HB84" s="8">
        <v>0.12314298861216577</v>
      </c>
      <c r="HC84" s="8">
        <v>0.10211582102017525</v>
      </c>
      <c r="HD84" s="8">
        <v>9.6880619243701796E-2</v>
      </c>
      <c r="HE84" s="8">
        <v>0.11329782189303184</v>
      </c>
      <c r="HF84" s="8">
        <v>0.1333065704939693</v>
      </c>
      <c r="HG84" s="8">
        <v>0.14633025354732088</v>
      </c>
      <c r="HH84" s="8">
        <v>0.1656517677730262</v>
      </c>
      <c r="HI84" s="8">
        <v>0.17996824729901126</v>
      </c>
      <c r="HJ84" s="8">
        <v>0.17446830919007059</v>
      </c>
      <c r="HK84" s="8">
        <v>0.16098186298132972</v>
      </c>
      <c r="HL84" s="7">
        <v>0.15059467586631894</v>
      </c>
      <c r="HM84" s="8">
        <v>0.13400722577117438</v>
      </c>
      <c r="HN84" s="8">
        <v>0.11061257640695898</v>
      </c>
      <c r="HO84" s="8">
        <v>0.12686808883571288</v>
      </c>
      <c r="HP84" s="8">
        <v>0.14953130033277739</v>
      </c>
      <c r="HQ84" s="8">
        <v>0.15176039535378161</v>
      </c>
      <c r="HR84" s="8">
        <v>0.17907401715342636</v>
      </c>
      <c r="HS84" s="8">
        <v>0.17162080735943011</v>
      </c>
      <c r="HT84" s="8">
        <v>0.13605915014537323</v>
      </c>
      <c r="HU84" s="8">
        <v>0.10916451091209001</v>
      </c>
      <c r="HV84" s="7">
        <v>0.11362399372327667</v>
      </c>
      <c r="HW84" s="8">
        <v>0.12820257354061429</v>
      </c>
      <c r="HX84" s="8">
        <v>0.12345878004153699</v>
      </c>
      <c r="HY84" s="8">
        <v>0.15631038126636901</v>
      </c>
      <c r="HZ84" s="8">
        <v>0.19278824640082634</v>
      </c>
      <c r="IA84" s="8">
        <v>0.1863285237781328</v>
      </c>
      <c r="IB84" s="8">
        <v>0.14939819932909065</v>
      </c>
      <c r="IC84" s="8">
        <v>0.13809688224852618</v>
      </c>
      <c r="ID84" s="8">
        <v>0.12649523560942719</v>
      </c>
      <c r="IE84" s="8">
        <v>0.11274671689146357</v>
      </c>
      <c r="IF84" s="8">
        <v>9.224780760520658E-2</v>
      </c>
      <c r="IG84" s="8">
        <v>0.10224046510943313</v>
      </c>
      <c r="IH84" s="8">
        <v>0.12131765645329495</v>
      </c>
      <c r="II84" s="8">
        <v>9.5696082867706131E-2</v>
      </c>
      <c r="IJ84" s="8">
        <v>8.0571697768039144E-2</v>
      </c>
      <c r="IK84" s="8">
        <v>8.3378673597461997E-2</v>
      </c>
      <c r="IL84" s="8">
        <v>8.352718198677897E-2</v>
      </c>
      <c r="IM84" s="8">
        <v>7.9648932320007984E-2</v>
      </c>
      <c r="IN84" s="8">
        <v>7.1908235289014452E-2</v>
      </c>
      <c r="IO84" s="8">
        <v>7.3025340063710018E-2</v>
      </c>
      <c r="IP84" s="8">
        <v>8.0432543595778658E-2</v>
      </c>
      <c r="IQ84" s="8">
        <v>6.8670476973120495E-2</v>
      </c>
      <c r="IR84" s="8">
        <v>8.7576012969489719E-2</v>
      </c>
      <c r="JB84" s="6" t="s">
        <v>218</v>
      </c>
      <c r="JC84" s="8">
        <v>0.57550738816607305</v>
      </c>
      <c r="JD84" s="8">
        <v>0.55296223233375008</v>
      </c>
      <c r="JE84" s="7">
        <v>0.53957534012368924</v>
      </c>
      <c r="JF84" s="8">
        <v>0.53756836489221804</v>
      </c>
      <c r="JG84" s="8">
        <v>0.52255242918539102</v>
      </c>
      <c r="JH84" s="8">
        <v>0.5329286094470802</v>
      </c>
      <c r="JI84" s="8">
        <v>0.54377670798813771</v>
      </c>
      <c r="JJ84" s="8">
        <v>0.56331413328426627</v>
      </c>
      <c r="JK84" s="8">
        <v>0.58412116547351922</v>
      </c>
      <c r="JL84" s="8">
        <v>0.58180738508827601</v>
      </c>
      <c r="JM84" s="8">
        <v>0.53901454779762226</v>
      </c>
      <c r="JN84" s="7">
        <v>0.54905828587008554</v>
      </c>
      <c r="JO84" s="8">
        <v>0.54698914414668665</v>
      </c>
      <c r="JP84" s="8">
        <v>0.51659181833908452</v>
      </c>
      <c r="JQ84" s="8">
        <v>0.49870256873870605</v>
      </c>
      <c r="JR84" s="8">
        <v>0.51594457537180083</v>
      </c>
      <c r="JS84" s="8">
        <v>0.54115666478841762</v>
      </c>
      <c r="JT84" s="8">
        <v>0.55314966473636817</v>
      </c>
      <c r="JU84" s="8">
        <v>0.57378565634745859</v>
      </c>
      <c r="JV84" s="8">
        <v>0.56671661049473643</v>
      </c>
      <c r="JW84" s="7">
        <v>0.53112452617983841</v>
      </c>
      <c r="JX84" s="8">
        <v>0.49843970823605532</v>
      </c>
      <c r="JY84" s="8">
        <v>0.49402647207445299</v>
      </c>
      <c r="JZ84" s="8">
        <v>0.46740233051193664</v>
      </c>
      <c r="KA84" s="8">
        <v>0.45652023575375561</v>
      </c>
      <c r="KB84" s="8">
        <v>0.47724094233842046</v>
      </c>
      <c r="KC84" s="8">
        <v>0.50511541717578889</v>
      </c>
      <c r="KD84" s="8">
        <v>0.5107940618849558</v>
      </c>
      <c r="KE84" s="8">
        <v>0.5294710254663082</v>
      </c>
      <c r="KF84" s="7">
        <v>0.54700284247678488</v>
      </c>
      <c r="KG84" s="7">
        <v>0.37857637946914519</v>
      </c>
      <c r="KH84" s="8">
        <v>0.34723545732577482</v>
      </c>
      <c r="KI84" s="8">
        <v>0.33460386029084122</v>
      </c>
      <c r="KJ84" s="8">
        <v>0.33158257500373667</v>
      </c>
      <c r="KK84" s="8">
        <v>0.35025869641122559</v>
      </c>
      <c r="KL84" s="8">
        <v>0.38777845753206602</v>
      </c>
      <c r="KM84" s="8">
        <v>0.42276400729503122</v>
      </c>
      <c r="KN84" s="8">
        <v>0.41842917495617465</v>
      </c>
      <c r="KO84" s="8">
        <v>0.42467422353764694</v>
      </c>
      <c r="KP84" s="7">
        <v>0.42091753539098525</v>
      </c>
      <c r="KQ84" s="8">
        <v>0.48822643887556966</v>
      </c>
      <c r="KR84" s="7">
        <v>0.45776611009276791</v>
      </c>
      <c r="KS84" s="8">
        <v>0.45137486755695255</v>
      </c>
      <c r="KT84" s="8">
        <v>0.46715189869988893</v>
      </c>
      <c r="KU84" s="8">
        <v>0.47315926285323184</v>
      </c>
      <c r="KV84" s="8">
        <v>0.48325982237364484</v>
      </c>
      <c r="KW84" s="8">
        <v>0.50088981425267509</v>
      </c>
      <c r="KX84" s="8">
        <v>0.53153023341304206</v>
      </c>
      <c r="KY84" s="7">
        <v>0.55048795207785295</v>
      </c>
      <c r="KZ84" s="8">
        <v>0.53958272922763728</v>
      </c>
      <c r="LA84" s="8">
        <v>0.5995722600976463</v>
      </c>
      <c r="LB84" s="8">
        <v>0.60989389971631469</v>
      </c>
      <c r="LC84" s="7">
        <v>0.61121974631258458</v>
      </c>
      <c r="LD84" s="8">
        <v>0.60994172287860615</v>
      </c>
      <c r="LE84" s="8">
        <v>0.61219152509708141</v>
      </c>
      <c r="LF84" s="8">
        <v>0.62664321449787552</v>
      </c>
      <c r="LG84" s="8">
        <v>0.62306722149741456</v>
      </c>
      <c r="LH84" s="7">
        <v>0.62038564933921958</v>
      </c>
      <c r="LI84" s="8">
        <v>0.62702116037367794</v>
      </c>
      <c r="LJ84" s="8">
        <v>0.61624752852526277</v>
      </c>
      <c r="LL84" s="6" t="s">
        <v>234</v>
      </c>
      <c r="LM84" s="6" t="s">
        <v>160</v>
      </c>
      <c r="LN84" s="6" t="s">
        <v>161</v>
      </c>
      <c r="LO84" s="8">
        <v>0.73486446039726772</v>
      </c>
    </row>
    <row r="85" spans="2:327" x14ac:dyDescent="0.45">
      <c r="B85" s="3" t="s">
        <v>220</v>
      </c>
      <c r="C85" s="3" t="s">
        <v>151</v>
      </c>
      <c r="D85" s="5">
        <v>0.30510196878149481</v>
      </c>
      <c r="E85" s="5">
        <v>0.31515341502529576</v>
      </c>
      <c r="F85" s="5">
        <v>0.31593840785310529</v>
      </c>
      <c r="G85" s="5">
        <v>0.33380304438056985</v>
      </c>
      <c r="H85" s="5">
        <v>0.32982290962129251</v>
      </c>
      <c r="I85" s="5">
        <v>0.32373090315878383</v>
      </c>
      <c r="J85" s="5">
        <v>0.33805210650430473</v>
      </c>
      <c r="K85" s="5">
        <v>0.32929057364789566</v>
      </c>
      <c r="L85" s="5">
        <v>0.30286001529605855</v>
      </c>
      <c r="M85" s="5">
        <v>0.30063359048168603</v>
      </c>
      <c r="N85" s="5">
        <v>0.30305138913886881</v>
      </c>
      <c r="O85" s="5">
        <v>0.30238820507124547</v>
      </c>
      <c r="P85" s="5">
        <v>0.31150782161870244</v>
      </c>
      <c r="Q85" s="5">
        <v>0.30649829932211003</v>
      </c>
      <c r="R85" s="5">
        <v>0.30017209714383458</v>
      </c>
      <c r="S85" s="5">
        <v>0.30298713733032256</v>
      </c>
      <c r="T85" s="5">
        <v>0.30428769804654843</v>
      </c>
      <c r="U85" s="5">
        <v>0.30177954354868791</v>
      </c>
      <c r="V85" s="5">
        <v>0.28122459540144995</v>
      </c>
      <c r="W85" s="5">
        <v>0.2906120658047906</v>
      </c>
      <c r="X85" s="5">
        <v>0.35262635108176715</v>
      </c>
      <c r="Y85" s="5">
        <v>0.36298503186090431</v>
      </c>
      <c r="Z85" s="5">
        <v>0.37797711693197306</v>
      </c>
      <c r="AA85" s="5">
        <v>0.37464442909427587</v>
      </c>
      <c r="AB85" s="5">
        <v>0.36744940120626202</v>
      </c>
      <c r="AC85" s="5">
        <v>0.37149229233614461</v>
      </c>
      <c r="AD85" s="5">
        <v>0.34338852672991937</v>
      </c>
      <c r="AE85" s="5">
        <v>0.34153568490148228</v>
      </c>
      <c r="AF85" s="5">
        <v>0.33048021687978335</v>
      </c>
      <c r="AG85" s="5">
        <v>0.32762585510514847</v>
      </c>
      <c r="AH85" s="5">
        <v>0.3260443274989599</v>
      </c>
      <c r="AI85" s="5">
        <v>0.34451703657879584</v>
      </c>
      <c r="AJ85" s="5">
        <v>0.39224354295902547</v>
      </c>
      <c r="AK85" s="5">
        <v>0.40895052163922657</v>
      </c>
      <c r="AL85" s="5">
        <v>0.39035138233105077</v>
      </c>
      <c r="AM85" s="5">
        <v>0.36788596170990756</v>
      </c>
      <c r="AN85" s="5">
        <v>0.35412424147014659</v>
      </c>
      <c r="AO85" s="5">
        <v>0.339959618582928</v>
      </c>
      <c r="AP85" s="5">
        <v>0.32823924487985112</v>
      </c>
      <c r="AQ85" s="5">
        <v>0.31891735858870007</v>
      </c>
      <c r="AR85" s="5">
        <v>0.29550679250414025</v>
      </c>
      <c r="AS85" s="5">
        <v>0.29658738258800704</v>
      </c>
      <c r="AT85" s="5">
        <v>0.29961463579300873</v>
      </c>
      <c r="AU85" s="5">
        <v>0.30040876887010065</v>
      </c>
      <c r="AV85" s="5">
        <v>0.29478181288031341</v>
      </c>
      <c r="AW85" s="5">
        <v>0.29374957386254869</v>
      </c>
      <c r="AX85" s="5">
        <v>0.30598257034731119</v>
      </c>
      <c r="AY85" s="5">
        <v>0.31339455566655816</v>
      </c>
      <c r="AZ85" s="5">
        <v>0.29547649390051761</v>
      </c>
      <c r="BA85" s="5">
        <v>0.28553211657715166</v>
      </c>
      <c r="BB85" s="5">
        <v>0.23943925365042593</v>
      </c>
      <c r="BC85" s="5">
        <v>0.25113979787137886</v>
      </c>
      <c r="BD85" s="5">
        <v>0.25205546089478287</v>
      </c>
      <c r="BE85" s="5">
        <v>0.27140705168396984</v>
      </c>
      <c r="BF85" s="5">
        <v>0.29599139592862034</v>
      </c>
      <c r="BG85" s="5">
        <v>0.3079191694953386</v>
      </c>
      <c r="BH85" s="5">
        <v>0.294170993989189</v>
      </c>
      <c r="BI85" s="5">
        <v>0.27878962993681672</v>
      </c>
      <c r="BJ85" s="5">
        <v>0.29044550173956929</v>
      </c>
      <c r="BK85" s="5">
        <v>0.26074636006035956</v>
      </c>
      <c r="BM85" s="3" t="s">
        <v>220</v>
      </c>
      <c r="BN85" s="3" t="s">
        <v>152</v>
      </c>
      <c r="BO85" s="5">
        <v>9.3799167482747654E-3</v>
      </c>
      <c r="BP85" s="5">
        <v>1.3327060942661657E-2</v>
      </c>
      <c r="BQ85" s="4">
        <v>2.5830289018239826E-2</v>
      </c>
      <c r="BR85" s="5">
        <v>2.4624363379809493E-2</v>
      </c>
      <c r="BS85" s="5">
        <v>2.7631044101345138E-2</v>
      </c>
      <c r="BT85" s="5">
        <v>2.2689666372871349E-2</v>
      </c>
      <c r="BU85" s="4">
        <v>6.9740330202864116E-3</v>
      </c>
      <c r="BV85" s="5">
        <v>3.5954470569282294E-3</v>
      </c>
      <c r="BW85" s="4">
        <v>5.293419273465572E-3</v>
      </c>
      <c r="BX85" s="5">
        <v>8.462229805963499E-3</v>
      </c>
      <c r="BY85" s="4">
        <v>5.0301346496498065E-4</v>
      </c>
      <c r="BZ85" s="4">
        <v>1.0381266685302032E-2</v>
      </c>
      <c r="CA85" s="4">
        <v>2.7412051802637016E-2</v>
      </c>
      <c r="CB85" s="4">
        <v>2.8912747175968229E-2</v>
      </c>
      <c r="CC85" s="4">
        <v>1.7155633136671282E-2</v>
      </c>
      <c r="CD85" s="5">
        <v>1.6658498535681965E-2</v>
      </c>
      <c r="CE85" s="4">
        <v>1.3419802770575178E-2</v>
      </c>
      <c r="CF85" s="5">
        <v>1.177424983197471E-2</v>
      </c>
      <c r="CG85" s="4">
        <v>1.2355493960458708E-2</v>
      </c>
      <c r="CH85" s="5">
        <v>2.2710274004768623E-3</v>
      </c>
      <c r="CI85" s="5">
        <v>2.2904664802720357E-2</v>
      </c>
      <c r="CJ85" s="4">
        <v>2.4310646587226911E-2</v>
      </c>
      <c r="CK85" s="5">
        <v>6.5020486723812859E-3</v>
      </c>
      <c r="CL85" s="4">
        <v>3.031156704244637E-2</v>
      </c>
      <c r="CM85" s="5">
        <v>4.2514434397534356E-2</v>
      </c>
      <c r="CN85" s="5">
        <v>2.3371186455700965E-2</v>
      </c>
      <c r="CO85" s="5">
        <v>6.4352867063594103E-3</v>
      </c>
      <c r="CP85" s="5">
        <v>1.2000668149035172E-2</v>
      </c>
      <c r="CQ85" s="5">
        <v>2.3766004368866021E-2</v>
      </c>
      <c r="CR85" s="5">
        <v>1.386660882692675E-2</v>
      </c>
      <c r="CS85" s="5">
        <v>2.4996817422441545E-2</v>
      </c>
      <c r="CT85" s="5">
        <v>7.0173535211139657E-2</v>
      </c>
      <c r="CU85" s="4">
        <v>8.0267491542001204E-2</v>
      </c>
      <c r="CV85" s="4">
        <v>3.1017505405198265E-2</v>
      </c>
      <c r="CW85" s="5">
        <v>5.7912098071508551E-2</v>
      </c>
      <c r="CX85" s="4">
        <v>2.9299191337063435E-2</v>
      </c>
      <c r="CY85" s="4">
        <v>2.4786096600815048E-3</v>
      </c>
      <c r="CZ85" s="4">
        <v>3.8996254689973942E-3</v>
      </c>
      <c r="DA85" s="4">
        <v>1.2219949618888443E-2</v>
      </c>
      <c r="DB85" s="5">
        <v>2.8892379863909089E-2</v>
      </c>
      <c r="DC85" s="5">
        <v>1.2888001510338235E-2</v>
      </c>
      <c r="DD85" s="4">
        <v>9.5420995816082321E-3</v>
      </c>
      <c r="DE85" s="4">
        <v>2.2473216071565712E-2</v>
      </c>
      <c r="DF85" s="5">
        <v>4.1279973800851778E-2</v>
      </c>
      <c r="DG85" s="5">
        <v>3.5826153614359195E-2</v>
      </c>
      <c r="DH85" s="4">
        <v>3.9681586412748632E-2</v>
      </c>
      <c r="DI85" s="4">
        <v>2.9055018085826452E-2</v>
      </c>
      <c r="DJ85" s="4">
        <v>3.2295456683653317E-3</v>
      </c>
      <c r="DK85" s="4">
        <v>1.0615664437009033E-2</v>
      </c>
      <c r="DL85" s="5">
        <v>5.3324819069348233E-3</v>
      </c>
      <c r="DM85" s="5">
        <v>1.7494780743117236E-2</v>
      </c>
      <c r="DN85" s="5">
        <v>1.4842631696644213E-2</v>
      </c>
      <c r="DO85" s="5">
        <v>1.5254162908774729E-2</v>
      </c>
      <c r="DP85" s="5">
        <v>1.3762203898708279E-2</v>
      </c>
      <c r="DQ85" s="5">
        <v>3.1058210196725999E-2</v>
      </c>
      <c r="DR85" s="5">
        <v>1.9789520185350407E-2</v>
      </c>
      <c r="DS85" s="5">
        <v>7.6660706323022614E-3</v>
      </c>
      <c r="DT85" s="4">
        <v>1.1295849968668394E-2</v>
      </c>
      <c r="DU85" s="5">
        <v>2.2768384642406318E-2</v>
      </c>
      <c r="DV85" s="5">
        <v>1.8363730264131174E-2</v>
      </c>
      <c r="DX85" s="3" t="s">
        <v>220</v>
      </c>
      <c r="DY85" s="3" t="s">
        <v>153</v>
      </c>
      <c r="DZ85" s="4">
        <v>9.4160363611597211E-3</v>
      </c>
      <c r="EA85" s="5">
        <v>7.5132660168789204E-3</v>
      </c>
      <c r="EB85" s="5">
        <v>9.1480048981302815E-3</v>
      </c>
      <c r="EC85" s="5">
        <v>1.8397500067251594E-2</v>
      </c>
      <c r="ED85" s="4">
        <v>2.3571301513866189E-2</v>
      </c>
      <c r="EE85" s="5">
        <v>3.7447814376405292E-2</v>
      </c>
      <c r="EF85" s="4">
        <v>4.7116749592708791E-2</v>
      </c>
      <c r="EG85" s="5">
        <v>4.1495150653269405E-2</v>
      </c>
      <c r="EH85" s="5">
        <v>1.1647318992896734E-2</v>
      </c>
      <c r="EI85" s="5">
        <v>5.6259144039739334E-3</v>
      </c>
      <c r="EJ85" s="5">
        <v>9.4446099397340957E-3</v>
      </c>
      <c r="EK85" s="5">
        <v>0</v>
      </c>
      <c r="EL85" s="5">
        <v>4.3158131127342464E-3</v>
      </c>
      <c r="EM85" s="5">
        <v>9.3287277286735349E-3</v>
      </c>
      <c r="EN85" s="5">
        <v>3.2155238583304518E-2</v>
      </c>
      <c r="EO85" s="4">
        <v>2.6895616660031423E-2</v>
      </c>
      <c r="EP85" s="4">
        <v>2.8603421615737059E-2</v>
      </c>
      <c r="EQ85" s="4">
        <v>2.0431582528251217E-2</v>
      </c>
      <c r="ER85" s="4">
        <v>1.2699882936720135E-2</v>
      </c>
      <c r="ES85" s="4">
        <v>2.4169244618393804E-2</v>
      </c>
      <c r="ET85" s="5">
        <v>1.8944316535612356E-2</v>
      </c>
      <c r="EU85" s="5">
        <v>2.5926570406764118E-2</v>
      </c>
      <c r="EV85" s="5">
        <v>4.6775919913975714E-2</v>
      </c>
      <c r="EW85" s="5">
        <v>3.0826803575230901E-2</v>
      </c>
      <c r="EX85" s="4">
        <v>1.4787941155207946E-2</v>
      </c>
      <c r="EY85" s="5">
        <v>3.4462561380751468E-2</v>
      </c>
      <c r="EZ85" s="5">
        <v>5.4056370722152976E-2</v>
      </c>
      <c r="FA85" s="5">
        <v>4.5472196523500846E-2</v>
      </c>
      <c r="FB85" s="5">
        <v>1.1602311887245292E-2</v>
      </c>
      <c r="FC85" s="5">
        <v>1.9726810335745363E-2</v>
      </c>
      <c r="FD85" s="5">
        <v>1.7515083583596852E-2</v>
      </c>
      <c r="FE85" s="5">
        <v>1.1674261743667437E-2</v>
      </c>
      <c r="FF85" s="5">
        <v>4.7921841285400724E-2</v>
      </c>
      <c r="FG85" s="5">
        <v>0.11770330102681366</v>
      </c>
      <c r="FH85" s="4">
        <v>7.3964157727851976E-2</v>
      </c>
      <c r="FI85" s="5">
        <v>4.9286653624965752E-2</v>
      </c>
      <c r="FJ85" s="5">
        <v>5.6962425932843973E-2</v>
      </c>
      <c r="FK85" s="5">
        <v>7.7360974048285722E-2</v>
      </c>
      <c r="FL85" s="5">
        <v>1.5245155563049161E-2</v>
      </c>
      <c r="FM85" s="4">
        <v>0</v>
      </c>
      <c r="FN85" s="5">
        <v>9.2938372724826433E-3</v>
      </c>
      <c r="FO85" s="5">
        <v>3.0909721710433009E-2</v>
      </c>
      <c r="FP85" s="4">
        <v>3.6176138840129872E-2</v>
      </c>
      <c r="FQ85" s="4">
        <v>1.6846212431814098E-2</v>
      </c>
      <c r="FR85" s="4">
        <v>2.3980495066624641E-2</v>
      </c>
      <c r="FS85" s="4">
        <v>3.7633532621374519E-2</v>
      </c>
      <c r="FT85" s="5">
        <v>5.8401278647096336E-2</v>
      </c>
      <c r="FU85" s="5">
        <v>7.1628132345727971E-2</v>
      </c>
      <c r="FV85" s="4">
        <v>4.2677759404841274E-2</v>
      </c>
      <c r="FW85" s="5">
        <v>1.0671423169131269E-2</v>
      </c>
      <c r="FX85" s="5">
        <v>1.8380290625655878E-2</v>
      </c>
      <c r="FY85" s="5">
        <v>2.9561406884710061E-2</v>
      </c>
      <c r="FZ85" s="5">
        <v>3.4110468064011655E-2</v>
      </c>
      <c r="GA85" s="5">
        <v>3.3558013792877046E-2</v>
      </c>
      <c r="GB85" s="5">
        <v>3.0146406311566461E-2</v>
      </c>
      <c r="GC85" s="5">
        <v>2.6545360295426215E-2</v>
      </c>
      <c r="GD85" s="5">
        <v>3.3098727224976379E-2</v>
      </c>
      <c r="GE85" s="5">
        <v>2.6784933857842478E-2</v>
      </c>
      <c r="GF85" s="5">
        <v>8.3769224869204625E-3</v>
      </c>
      <c r="GG85" s="5">
        <v>1.4806558458318051E-2</v>
      </c>
      <c r="GI85" s="3" t="s">
        <v>220</v>
      </c>
      <c r="GJ85" s="3" t="s">
        <v>154</v>
      </c>
      <c r="GK85" s="5">
        <v>0.16968966739580754</v>
      </c>
      <c r="GL85" s="5">
        <v>0.17764894947052307</v>
      </c>
      <c r="GM85" s="5">
        <v>0.16453273117425382</v>
      </c>
      <c r="GN85" s="5">
        <v>0.15726630945765416</v>
      </c>
      <c r="GO85" s="5">
        <v>0.14551364711775092</v>
      </c>
      <c r="GP85" s="5">
        <v>0.14622576291800285</v>
      </c>
      <c r="GQ85" s="5">
        <v>0.16376516756575321</v>
      </c>
      <c r="GR85" s="5">
        <v>0.16731598936724187</v>
      </c>
      <c r="GS85" s="5">
        <v>0.17045820443438259</v>
      </c>
      <c r="GT85" s="5">
        <v>0.17220384006907377</v>
      </c>
      <c r="GU85" s="5">
        <v>0.18944179450083928</v>
      </c>
      <c r="GV85" s="5">
        <v>0.17738068752069169</v>
      </c>
      <c r="GW85" s="5">
        <v>0.16280361831314635</v>
      </c>
      <c r="GX85" s="5">
        <v>0.14638334184807633</v>
      </c>
      <c r="GY85" s="5">
        <v>0.11953957820254531</v>
      </c>
      <c r="GZ85" s="5">
        <v>0.12539324243520233</v>
      </c>
      <c r="HA85" s="4">
        <v>0.13768958155309294</v>
      </c>
      <c r="HB85" s="5">
        <v>0.15452145777314433</v>
      </c>
      <c r="HC85" s="5">
        <v>0.15109196102740524</v>
      </c>
      <c r="HD85" s="5">
        <v>0.15766516908934125</v>
      </c>
      <c r="HE85" s="5">
        <v>0.17619812240386754</v>
      </c>
      <c r="HF85" s="5">
        <v>0.1786743526961698</v>
      </c>
      <c r="HG85" s="5">
        <v>0.1694324474269773</v>
      </c>
      <c r="HH85" s="5">
        <v>0.16996586977961523</v>
      </c>
      <c r="HI85" s="5">
        <v>0.17063835743336764</v>
      </c>
      <c r="HJ85" s="5">
        <v>0.16996701712926701</v>
      </c>
      <c r="HK85" s="5">
        <v>0.14980659456116571</v>
      </c>
      <c r="HL85" s="4">
        <v>0.15400056397706652</v>
      </c>
      <c r="HM85" s="5">
        <v>0.17239162054545201</v>
      </c>
      <c r="HN85" s="5">
        <v>0.1748035074295109</v>
      </c>
      <c r="HO85" s="5">
        <v>0.16409730295191732</v>
      </c>
      <c r="HP85" s="5">
        <v>0.1320518219936217</v>
      </c>
      <c r="HQ85" s="5">
        <v>0.13139647606731811</v>
      </c>
      <c r="HR85" s="5">
        <v>0.11227559558509097</v>
      </c>
      <c r="HS85" s="5">
        <v>0.10838945371476262</v>
      </c>
      <c r="HT85" s="5">
        <v>0.15547148263289642</v>
      </c>
      <c r="HU85" s="5">
        <v>0.16930678217101347</v>
      </c>
      <c r="HV85" s="4">
        <v>0.15452004057829191</v>
      </c>
      <c r="HW85" s="5">
        <v>0.20026461953033176</v>
      </c>
      <c r="HX85" s="5">
        <v>0.18789642438331416</v>
      </c>
      <c r="HY85" s="5">
        <v>0.15088417678377097</v>
      </c>
      <c r="HZ85" s="5">
        <v>0.14383941952963183</v>
      </c>
      <c r="IA85" s="5">
        <v>0.12655991281001996</v>
      </c>
      <c r="IB85" s="5">
        <v>0.11824739529881148</v>
      </c>
      <c r="IC85" s="5">
        <v>9.4663568622691902E-2</v>
      </c>
      <c r="ID85" s="5">
        <v>7.7902967842539028E-2</v>
      </c>
      <c r="IE85" s="5">
        <v>8.2331167004461178E-2</v>
      </c>
      <c r="IF85" s="5">
        <v>9.9778975186971861E-2</v>
      </c>
      <c r="IG85" s="5">
        <v>0.10592738034026455</v>
      </c>
      <c r="IH85" s="5">
        <v>0.13902182849266428</v>
      </c>
      <c r="II85" s="5">
        <v>9.57096383275476E-2</v>
      </c>
      <c r="IJ85" s="5">
        <v>9.7853407993343647E-2</v>
      </c>
      <c r="IK85" s="5">
        <v>9.8296774169865458E-2</v>
      </c>
      <c r="IL85" s="5">
        <v>0.11766237168630267</v>
      </c>
      <c r="IM85" s="5">
        <v>0.11920100543062338</v>
      </c>
      <c r="IN85" s="5">
        <v>0.13736696044455093</v>
      </c>
      <c r="IO85" s="5">
        <v>0.13791296718895985</v>
      </c>
      <c r="IP85" s="5">
        <v>0.13425290991871913</v>
      </c>
      <c r="IQ85" s="5">
        <v>0.1399382645420072</v>
      </c>
      <c r="IR85" s="5">
        <v>0.12041008357407598</v>
      </c>
      <c r="JB85" s="3" t="s">
        <v>220</v>
      </c>
      <c r="JC85" s="5">
        <v>0.41980057931819287</v>
      </c>
      <c r="JD85" s="5">
        <v>0.40102133848444221</v>
      </c>
      <c r="JE85" s="4">
        <v>0.4104528023745419</v>
      </c>
      <c r="JF85" s="5">
        <v>0.39616422555189768</v>
      </c>
      <c r="JG85" s="5">
        <v>0.41379737293508351</v>
      </c>
      <c r="JH85" s="5">
        <v>0.42584538248265841</v>
      </c>
      <c r="JI85" s="5">
        <v>0.4227529577429775</v>
      </c>
      <c r="JJ85" s="5">
        <v>0.43049931588551382</v>
      </c>
      <c r="JK85" s="5">
        <v>0.45381598020561409</v>
      </c>
      <c r="JL85" s="5">
        <v>0.45053216702814358</v>
      </c>
      <c r="JM85" s="5">
        <v>0.39879008834770574</v>
      </c>
      <c r="JN85" s="4">
        <v>0.40917220727429227</v>
      </c>
      <c r="JO85" s="5">
        <v>0.43100923628281723</v>
      </c>
      <c r="JP85" s="5">
        <v>0.48037134165431961</v>
      </c>
      <c r="JQ85" s="5">
        <v>0.51048988775408599</v>
      </c>
      <c r="JR85" s="5">
        <v>0.50498979993043369</v>
      </c>
      <c r="JS85" s="5">
        <v>0.4800284732280693</v>
      </c>
      <c r="JT85" s="5">
        <v>0.44188161585625019</v>
      </c>
      <c r="JU85" s="5">
        <v>0.44084941299656349</v>
      </c>
      <c r="JV85" s="5">
        <v>0.41975870671465992</v>
      </c>
      <c r="JW85" s="4">
        <v>0.34777334473433202</v>
      </c>
      <c r="JX85" s="5">
        <v>0.31966779099632936</v>
      </c>
      <c r="JY85" s="5">
        <v>0.34360719997649819</v>
      </c>
      <c r="JZ85" s="5">
        <v>0.33593041162178033</v>
      </c>
      <c r="KA85" s="5">
        <v>0.35223617194100137</v>
      </c>
      <c r="KB85" s="5">
        <v>0.38246099174013426</v>
      </c>
      <c r="KC85" s="5">
        <v>0.39950912726219062</v>
      </c>
      <c r="KD85" s="5">
        <v>0.38744148157233943</v>
      </c>
      <c r="KE85" s="5">
        <v>0.37215280610946783</v>
      </c>
      <c r="KF85" s="4">
        <v>0.36514454960630233</v>
      </c>
      <c r="KG85" s="4">
        <v>0.2103444214213214</v>
      </c>
      <c r="KH85" s="5">
        <v>0.19444849069777595</v>
      </c>
      <c r="KI85" s="5">
        <v>0.20897810493464797</v>
      </c>
      <c r="KJ85" s="5">
        <v>0.22946856908734908</v>
      </c>
      <c r="KK85" s="5">
        <v>0.25116197076217694</v>
      </c>
      <c r="KL85" s="5">
        <v>0.26104445679397925</v>
      </c>
      <c r="KM85" s="5">
        <v>0.25909965997654261</v>
      </c>
      <c r="KN85" s="5">
        <v>0.23610865285125079</v>
      </c>
      <c r="KO85" s="5">
        <v>0.22714720896724314</v>
      </c>
      <c r="KP85" s="4">
        <v>0.22230414865976655</v>
      </c>
      <c r="KQ85" s="5">
        <v>0.42576214501736304</v>
      </c>
      <c r="KR85" s="4">
        <v>0.39838523943869564</v>
      </c>
      <c r="KS85" s="5">
        <v>0.40496816998039104</v>
      </c>
      <c r="KT85" s="5">
        <v>0.4246354994810782</v>
      </c>
      <c r="KU85" s="5">
        <v>0.45585635312583755</v>
      </c>
      <c r="KV85" s="5">
        <v>0.47857372115244873</v>
      </c>
      <c r="KW85" s="5">
        <v>0.48045850778249849</v>
      </c>
      <c r="KX85" s="5">
        <v>0.47717979104922043</v>
      </c>
      <c r="KY85" s="4">
        <v>0.49015181179646727</v>
      </c>
      <c r="KZ85" s="5">
        <v>0.46805363812746342</v>
      </c>
      <c r="LA85" s="5">
        <v>0.56682436112913381</v>
      </c>
      <c r="LB85" s="5">
        <v>0.55172961958966371</v>
      </c>
      <c r="LC85" s="4">
        <v>0.54152061289870579</v>
      </c>
      <c r="LD85" s="5">
        <v>0.51674833067661263</v>
      </c>
      <c r="LE85" s="5">
        <v>0.49196306476294871</v>
      </c>
      <c r="LF85" s="5">
        <v>0.48983126664076992</v>
      </c>
      <c r="LG85" s="5">
        <v>0.49442086622197295</v>
      </c>
      <c r="LH85" s="4">
        <v>0.5007929579181587</v>
      </c>
      <c r="LI85" s="5">
        <v>0.50304682685214996</v>
      </c>
      <c r="LJ85" s="5">
        <v>0.53161929283312204</v>
      </c>
      <c r="LL85" s="3" t="s">
        <v>235</v>
      </c>
      <c r="LM85" s="3" t="s">
        <v>160</v>
      </c>
      <c r="LN85" s="3" t="s">
        <v>161</v>
      </c>
      <c r="LO85" s="5">
        <v>0.80958347691065391</v>
      </c>
    </row>
    <row r="86" spans="2:327" x14ac:dyDescent="0.45">
      <c r="B86" s="6" t="s">
        <v>222</v>
      </c>
      <c r="C86" s="6" t="s">
        <v>151</v>
      </c>
      <c r="D86" s="8">
        <v>0.3363255424435288</v>
      </c>
      <c r="E86" s="8">
        <v>0.33734481893280915</v>
      </c>
      <c r="F86" s="8">
        <v>0.33612561996570262</v>
      </c>
      <c r="G86" s="8">
        <v>0.33775707509562131</v>
      </c>
      <c r="H86" s="8">
        <v>0.33571125874138391</v>
      </c>
      <c r="I86" s="8">
        <v>0.33397340621970267</v>
      </c>
      <c r="J86" s="8">
        <v>0.34476659627423967</v>
      </c>
      <c r="K86" s="8">
        <v>0.32933350254917243</v>
      </c>
      <c r="L86" s="8">
        <v>0.31987178761118085</v>
      </c>
      <c r="M86" s="8">
        <v>0.32654857226892192</v>
      </c>
      <c r="N86" s="8">
        <v>0.31340200719582306</v>
      </c>
      <c r="O86" s="8">
        <v>0.32405288828554041</v>
      </c>
      <c r="P86" s="8">
        <v>0.33364238939876206</v>
      </c>
      <c r="Q86" s="8">
        <v>0.32464222594491965</v>
      </c>
      <c r="R86" s="8">
        <v>0.30703136592679414</v>
      </c>
      <c r="S86" s="8">
        <v>0.30069905581483553</v>
      </c>
      <c r="T86" s="8">
        <v>0.30703393714540955</v>
      </c>
      <c r="U86" s="8">
        <v>0.31337642936671256</v>
      </c>
      <c r="V86" s="8">
        <v>0.29496044568505631</v>
      </c>
      <c r="W86" s="8">
        <v>0.30187272843068064</v>
      </c>
      <c r="X86" s="8">
        <v>0.37326274588670649</v>
      </c>
      <c r="Y86" s="8">
        <v>0.40062256164477583</v>
      </c>
      <c r="Z86" s="8">
        <v>0.4204448485761515</v>
      </c>
      <c r="AA86" s="8">
        <v>0.40789216732997591</v>
      </c>
      <c r="AB86" s="8">
        <v>0.39030318442470036</v>
      </c>
      <c r="AC86" s="8">
        <v>0.36878385465179608</v>
      </c>
      <c r="AD86" s="8">
        <v>0.35728815386480106</v>
      </c>
      <c r="AE86" s="8">
        <v>0.36619761487338304</v>
      </c>
      <c r="AF86" s="8">
        <v>0.36522834320159397</v>
      </c>
      <c r="AG86" s="8">
        <v>0.35328498169062034</v>
      </c>
      <c r="AH86" s="8">
        <v>0.37041794009457374</v>
      </c>
      <c r="AI86" s="8">
        <v>0.39217312625834272</v>
      </c>
      <c r="AJ86" s="8">
        <v>0.42601680648355378</v>
      </c>
      <c r="AK86" s="8">
        <v>0.42142077777778048</v>
      </c>
      <c r="AL86" s="8">
        <v>0.41308172407917781</v>
      </c>
      <c r="AM86" s="8">
        <v>0.38942417921452954</v>
      </c>
      <c r="AN86" s="8">
        <v>0.38128542792878667</v>
      </c>
      <c r="AO86" s="8">
        <v>0.37553276217387638</v>
      </c>
      <c r="AP86" s="8">
        <v>0.35384018228887071</v>
      </c>
      <c r="AQ86" s="8">
        <v>0.35820260795752895</v>
      </c>
      <c r="AR86" s="8">
        <v>0.26922744591994147</v>
      </c>
      <c r="AS86" s="8">
        <v>0.2879533199150115</v>
      </c>
      <c r="AT86" s="8">
        <v>0.28693514545807286</v>
      </c>
      <c r="AU86" s="8">
        <v>0.27981938425080427</v>
      </c>
      <c r="AV86" s="8">
        <v>0.27153723632984234</v>
      </c>
      <c r="AW86" s="8">
        <v>0.26735816336233131</v>
      </c>
      <c r="AX86" s="8">
        <v>0.27028283091502653</v>
      </c>
      <c r="AY86" s="8">
        <v>0.26652687777719175</v>
      </c>
      <c r="AZ86" s="8">
        <v>0.26122875098100429</v>
      </c>
      <c r="BA86" s="8">
        <v>0.25281765512830501</v>
      </c>
      <c r="BB86" s="8">
        <v>0.24844576318877373</v>
      </c>
      <c r="BC86" s="8">
        <v>0.25895733538464272</v>
      </c>
      <c r="BD86" s="8">
        <v>0.25917722459896703</v>
      </c>
      <c r="BE86" s="8">
        <v>0.26763265642098749</v>
      </c>
      <c r="BF86" s="8">
        <v>0.27692899934501491</v>
      </c>
      <c r="BG86" s="8">
        <v>0.28433531770827131</v>
      </c>
      <c r="BH86" s="8">
        <v>0.27066656251477728</v>
      </c>
      <c r="BI86" s="8">
        <v>0.26560745627788535</v>
      </c>
      <c r="BJ86" s="8">
        <v>0.26227921778499791</v>
      </c>
      <c r="BK86" s="8">
        <v>0.25527092985951977</v>
      </c>
      <c r="BM86" s="6" t="s">
        <v>222</v>
      </c>
      <c r="BN86" s="6" t="s">
        <v>152</v>
      </c>
      <c r="BO86" s="8">
        <v>1.6129539945749536E-2</v>
      </c>
      <c r="BP86" s="8">
        <v>1.2056665621955105E-2</v>
      </c>
      <c r="BQ86" s="7">
        <v>1.2257262321606304E-2</v>
      </c>
      <c r="BR86" s="8">
        <v>1.6270112717950692E-2</v>
      </c>
      <c r="BS86" s="8">
        <v>1.1938146980033195E-2</v>
      </c>
      <c r="BT86" s="8">
        <v>1.5186490996343725E-2</v>
      </c>
      <c r="BU86" s="7">
        <v>2.4197016262442209E-2</v>
      </c>
      <c r="BV86" s="8">
        <v>1.3163787709697778E-2</v>
      </c>
      <c r="BW86" s="7">
        <v>1.0340635604322319E-2</v>
      </c>
      <c r="BX86" s="8">
        <v>6.9222344214329712E-3</v>
      </c>
      <c r="BY86" s="7">
        <v>9.8950562682145974E-3</v>
      </c>
      <c r="BZ86" s="7">
        <v>3.3795937821325533E-2</v>
      </c>
      <c r="CA86" s="7">
        <v>2.6284589133546515E-2</v>
      </c>
      <c r="CB86" s="7">
        <v>2.8038516179302451E-2</v>
      </c>
      <c r="CC86" s="7">
        <v>2.9568534882299592E-2</v>
      </c>
      <c r="CD86" s="8">
        <v>9.8586441738539206E-3</v>
      </c>
      <c r="CE86" s="7">
        <v>9.792197982087001E-3</v>
      </c>
      <c r="CF86" s="8">
        <v>2.1658366268578866E-2</v>
      </c>
      <c r="CG86" s="7">
        <v>8.7169280568612315E-3</v>
      </c>
      <c r="CH86" s="8">
        <v>0</v>
      </c>
      <c r="CI86" s="8">
        <v>3.4997647084280131E-2</v>
      </c>
      <c r="CJ86" s="7">
        <v>3.6712310779855185E-2</v>
      </c>
      <c r="CK86" s="8">
        <v>2.6538655132984691E-2</v>
      </c>
      <c r="CL86" s="7">
        <v>1.7121118842531483E-2</v>
      </c>
      <c r="CM86" s="8">
        <v>2.2444430727833416E-2</v>
      </c>
      <c r="CN86" s="8">
        <v>4.0007070734147485E-2</v>
      </c>
      <c r="CO86" s="8">
        <v>1.3370307385220081E-2</v>
      </c>
      <c r="CP86" s="8">
        <v>0</v>
      </c>
      <c r="CQ86" s="8">
        <v>6.068352202104112E-3</v>
      </c>
      <c r="CR86" s="8">
        <v>3.3690639574112301E-2</v>
      </c>
      <c r="CS86" s="8">
        <v>4.5679914606541167E-2</v>
      </c>
      <c r="CT86" s="8">
        <v>4.2439941924678148E-2</v>
      </c>
      <c r="CU86" s="7">
        <v>5.5505075720468644E-2</v>
      </c>
      <c r="CV86" s="7">
        <v>2.7372419099122285E-2</v>
      </c>
      <c r="CW86" s="8">
        <v>2.4424886328969147E-2</v>
      </c>
      <c r="CX86" s="7">
        <v>6.245115125524882E-4</v>
      </c>
      <c r="CY86" s="7">
        <v>9.5165077901029221E-4</v>
      </c>
      <c r="CZ86" s="7">
        <v>6.9011089248523835E-3</v>
      </c>
      <c r="DA86" s="7">
        <v>1.4303537708577155E-2</v>
      </c>
      <c r="DB86" s="8">
        <v>3.0821364996663242E-2</v>
      </c>
      <c r="DC86" s="8">
        <v>1.2523684365837376E-2</v>
      </c>
      <c r="DD86" s="7">
        <v>2.1358784861608585E-2</v>
      </c>
      <c r="DE86" s="7">
        <v>2.709770035536415E-2</v>
      </c>
      <c r="DF86" s="8">
        <v>3.0735433963083619E-2</v>
      </c>
      <c r="DG86" s="8">
        <v>4.3259119431283515E-2</v>
      </c>
      <c r="DH86" s="7">
        <v>2.9277389061292292E-2</v>
      </c>
      <c r="DI86" s="7">
        <v>2.8442971926785483E-2</v>
      </c>
      <c r="DJ86" s="7">
        <v>1.8587194213961544E-2</v>
      </c>
      <c r="DK86" s="7">
        <v>1.1330858462283808E-2</v>
      </c>
      <c r="DL86" s="8">
        <v>1.4697468898937079E-2</v>
      </c>
      <c r="DM86" s="8">
        <v>1.274881876111239E-2</v>
      </c>
      <c r="DN86" s="8">
        <v>2.0274434001210397E-2</v>
      </c>
      <c r="DO86" s="8">
        <v>1.2389670362525952E-2</v>
      </c>
      <c r="DP86" s="8">
        <v>1.0160022865281249E-2</v>
      </c>
      <c r="DQ86" s="8">
        <v>2.6106345907881138E-2</v>
      </c>
      <c r="DR86" s="8">
        <v>2.644791313784747E-2</v>
      </c>
      <c r="DS86" s="8">
        <v>7.6852637487534346E-3</v>
      </c>
      <c r="DT86" s="7">
        <v>8.4908083250669498E-4</v>
      </c>
      <c r="DU86" s="8">
        <v>7.7194213475572241E-3</v>
      </c>
      <c r="DV86" s="8">
        <v>1.8764813934421472E-2</v>
      </c>
      <c r="DX86" s="6" t="s">
        <v>222</v>
      </c>
      <c r="DY86" s="6" t="s">
        <v>153</v>
      </c>
      <c r="DZ86" s="7">
        <v>1.3224725111957896E-2</v>
      </c>
      <c r="EA86" s="8">
        <v>1.9840558300060415E-2</v>
      </c>
      <c r="EB86" s="8">
        <v>2.7934896832381238E-2</v>
      </c>
      <c r="EC86" s="8">
        <v>2.6681614227052251E-2</v>
      </c>
      <c r="ED86" s="7">
        <v>1.7086955734359643E-2</v>
      </c>
      <c r="EE86" s="8">
        <v>2.3724716521943762E-2</v>
      </c>
      <c r="EF86" s="7">
        <v>7.3233519252222509E-3</v>
      </c>
      <c r="EG86" s="8">
        <v>2.3784830859258598E-2</v>
      </c>
      <c r="EH86" s="8">
        <v>2.136814131250191E-2</v>
      </c>
      <c r="EI86" s="8">
        <v>1.8489687786520503E-2</v>
      </c>
      <c r="EJ86" s="8">
        <v>3.9688109756714609E-3</v>
      </c>
      <c r="EK86" s="8">
        <v>0</v>
      </c>
      <c r="EL86" s="8">
        <v>2.0763561306501904E-2</v>
      </c>
      <c r="EM86" s="8">
        <v>2.3157651521910128E-2</v>
      </c>
      <c r="EN86" s="8">
        <v>1.7461143763837093E-2</v>
      </c>
      <c r="EO86" s="7">
        <v>2.5344402851286793E-2</v>
      </c>
      <c r="EP86" s="7">
        <v>2.8168230199607222E-2</v>
      </c>
      <c r="EQ86" s="7">
        <v>7.9704836176294619E-3</v>
      </c>
      <c r="ER86" s="7">
        <v>2.3205998995013691E-2</v>
      </c>
      <c r="ES86" s="7">
        <v>3.6807383224951876E-2</v>
      </c>
      <c r="ET86" s="8">
        <v>3.1182967729846838E-2</v>
      </c>
      <c r="EU86" s="8">
        <v>4.8427931972291803E-2</v>
      </c>
      <c r="EV86" s="8">
        <v>6.5156078426796382E-2</v>
      </c>
      <c r="EW86" s="8">
        <v>5.6235384779467795E-2</v>
      </c>
      <c r="EX86" s="7">
        <v>4.0003722126315408E-2</v>
      </c>
      <c r="EY86" s="8">
        <v>2.6757106392148306E-2</v>
      </c>
      <c r="EZ86" s="8">
        <v>3.7863057491198185E-2</v>
      </c>
      <c r="FA86" s="8">
        <v>4.737041746000327E-2</v>
      </c>
      <c r="FB86" s="8">
        <v>3.047219869317257E-2</v>
      </c>
      <c r="FC86" s="8">
        <v>1.2642669044247788E-3</v>
      </c>
      <c r="FD86" s="8">
        <v>3.8945593444407289E-2</v>
      </c>
      <c r="FE86" s="8">
        <v>9.0594531927242386E-2</v>
      </c>
      <c r="FF86" s="8">
        <v>9.8979596622937024E-2</v>
      </c>
      <c r="FG86" s="8">
        <v>9.4565379851709375E-2</v>
      </c>
      <c r="FH86" s="7">
        <v>5.67727269009249E-2</v>
      </c>
      <c r="FI86" s="8">
        <v>4.0817792175723434E-2</v>
      </c>
      <c r="FJ86" s="8">
        <v>4.4187155624978179E-2</v>
      </c>
      <c r="FK86" s="8">
        <v>5.80593857739925E-3</v>
      </c>
      <c r="FL86" s="8">
        <v>0</v>
      </c>
      <c r="FM86" s="7">
        <v>1.2778088834019792E-2</v>
      </c>
      <c r="FN86" s="8">
        <v>1.881935811084242E-2</v>
      </c>
      <c r="FO86" s="8">
        <v>1.9236639069849473E-2</v>
      </c>
      <c r="FP86" s="7">
        <v>2.390413394903541E-2</v>
      </c>
      <c r="FQ86" s="7">
        <v>2.7764911767067562E-2</v>
      </c>
      <c r="FR86" s="7">
        <v>2.6434120278004694E-2</v>
      </c>
      <c r="FS86" s="7">
        <v>3.1334015478182722E-2</v>
      </c>
      <c r="FT86" s="8">
        <v>4.5206714627028508E-2</v>
      </c>
      <c r="FU86" s="8">
        <v>4.8349824962395829E-2</v>
      </c>
      <c r="FV86" s="7">
        <v>3.3721225894083252E-2</v>
      </c>
      <c r="FW86" s="8">
        <v>1.3063366828694696E-2</v>
      </c>
      <c r="FX86" s="8">
        <v>1.9149366826690911E-2</v>
      </c>
      <c r="FY86" s="8">
        <v>2.4201749567608493E-2</v>
      </c>
      <c r="FZ86" s="8">
        <v>1.9951044341009604E-2</v>
      </c>
      <c r="GA86" s="8">
        <v>2.0489772776386975E-2</v>
      </c>
      <c r="GB86" s="8">
        <v>1.5140444682320894E-2</v>
      </c>
      <c r="GC86" s="8">
        <v>8.877654222502241E-3</v>
      </c>
      <c r="GD86" s="8">
        <v>2.4421728721356603E-2</v>
      </c>
      <c r="GE86" s="8">
        <v>2.6725313293777427E-2</v>
      </c>
      <c r="GF86" s="8">
        <v>1.3811798234832799E-2</v>
      </c>
      <c r="GG86" s="8">
        <v>6.7279292179685344E-3</v>
      </c>
      <c r="GI86" s="6" t="s">
        <v>222</v>
      </c>
      <c r="GJ86" s="6" t="s">
        <v>154</v>
      </c>
      <c r="GK86" s="8">
        <v>0.19032931773219278</v>
      </c>
      <c r="GL86" s="8">
        <v>0.19549125503589351</v>
      </c>
      <c r="GM86" s="8">
        <v>0.17480945692978644</v>
      </c>
      <c r="GN86" s="8">
        <v>0.16377846158736981</v>
      </c>
      <c r="GO86" s="8">
        <v>0.16753589227469265</v>
      </c>
      <c r="GP86" s="8">
        <v>0.16653480502686896</v>
      </c>
      <c r="GQ86" s="8">
        <v>0.17970603674318078</v>
      </c>
      <c r="GR86" s="8">
        <v>0.16822462790450574</v>
      </c>
      <c r="GS86" s="8">
        <v>0.16201142149293674</v>
      </c>
      <c r="GT86" s="8">
        <v>0.17653515221965202</v>
      </c>
      <c r="GU86" s="8">
        <v>0.19847872761085972</v>
      </c>
      <c r="GV86" s="8">
        <v>0.17862509181253436</v>
      </c>
      <c r="GW86" s="8">
        <v>0.15377088531091548</v>
      </c>
      <c r="GX86" s="8">
        <v>0.12233696979007502</v>
      </c>
      <c r="GY86" s="8">
        <v>0.11717296064460775</v>
      </c>
      <c r="GZ86" s="8">
        <v>0.12989482703514665</v>
      </c>
      <c r="HA86" s="7">
        <v>0.13995817560945359</v>
      </c>
      <c r="HB86" s="8">
        <v>0.16254198838445313</v>
      </c>
      <c r="HC86" s="8">
        <v>0.15729752018135734</v>
      </c>
      <c r="HD86" s="8">
        <v>0.15603455730474</v>
      </c>
      <c r="HE86" s="8">
        <v>0.1691243172273256</v>
      </c>
      <c r="HF86" s="8">
        <v>0.16915802958801557</v>
      </c>
      <c r="HG86" s="8">
        <v>0.16435896353152563</v>
      </c>
      <c r="HH86" s="8">
        <v>0.17680845201384535</v>
      </c>
      <c r="HI86" s="8">
        <v>0.17252802598619887</v>
      </c>
      <c r="HJ86" s="8">
        <v>0.16066934172023159</v>
      </c>
      <c r="HK86" s="8">
        <v>0.18093065948271758</v>
      </c>
      <c r="HL86" s="7">
        <v>0.18761148931135738</v>
      </c>
      <c r="HM86" s="8">
        <v>0.19253802927370747</v>
      </c>
      <c r="HN86" s="8">
        <v>0.1883671979154444</v>
      </c>
      <c r="HO86" s="8">
        <v>0.16120196796325192</v>
      </c>
      <c r="HP86" s="8">
        <v>0.13405605953208211</v>
      </c>
      <c r="HQ86" s="8">
        <v>0.13315258898906102</v>
      </c>
      <c r="HR86" s="8">
        <v>0.16263571518978234</v>
      </c>
      <c r="HS86" s="8">
        <v>0.19335616948083725</v>
      </c>
      <c r="HT86" s="8">
        <v>0.22740194309969811</v>
      </c>
      <c r="HU86" s="8">
        <v>0.21887189840161245</v>
      </c>
      <c r="HV86" s="7">
        <v>0.25570823808562826</v>
      </c>
      <c r="HW86" s="8">
        <v>0.23942231632889235</v>
      </c>
      <c r="HX86" s="8">
        <v>0.20401649637838581</v>
      </c>
      <c r="HY86" s="8">
        <v>0.12303665772624785</v>
      </c>
      <c r="HZ86" s="8">
        <v>0.13015698695277136</v>
      </c>
      <c r="IA86" s="8">
        <v>0.11521064814348307</v>
      </c>
      <c r="IB86" s="8">
        <v>9.6235997308844856E-2</v>
      </c>
      <c r="IC86" s="8">
        <v>7.8936325394397891E-2</v>
      </c>
      <c r="ID86" s="8">
        <v>7.7233731646232373E-2</v>
      </c>
      <c r="IE86" s="8">
        <v>7.14210693077032E-2</v>
      </c>
      <c r="IF86" s="8">
        <v>7.9445570428991599E-2</v>
      </c>
      <c r="IG86" s="8">
        <v>9.6133083763474028E-2</v>
      </c>
      <c r="IH86" s="8">
        <v>0.11054038586054887</v>
      </c>
      <c r="II86" s="8">
        <v>0.10039844288443428</v>
      </c>
      <c r="IJ86" s="8">
        <v>9.8177392696725638E-2</v>
      </c>
      <c r="IK86" s="8">
        <v>0.10732365092336586</v>
      </c>
      <c r="IL86" s="8">
        <v>0.11368139026047319</v>
      </c>
      <c r="IM86" s="8">
        <v>0.10262032226439723</v>
      </c>
      <c r="IN86" s="8">
        <v>0.11749589522508669</v>
      </c>
      <c r="IO86" s="8">
        <v>0.1200708412738388</v>
      </c>
      <c r="IP86" s="8">
        <v>0.12233017959129681</v>
      </c>
      <c r="IQ86" s="8">
        <v>0.1215385701259271</v>
      </c>
      <c r="IR86" s="8">
        <v>0.11355630035574463</v>
      </c>
      <c r="JB86" s="6" t="s">
        <v>222</v>
      </c>
      <c r="JC86" s="8">
        <v>0.40565041668354235</v>
      </c>
      <c r="JD86" s="8">
        <v>0.40483750744814978</v>
      </c>
      <c r="JE86" s="7">
        <v>0.41471902427946078</v>
      </c>
      <c r="JF86" s="8">
        <v>0.41063445374124347</v>
      </c>
      <c r="JG86" s="8">
        <v>0.41982328895687221</v>
      </c>
      <c r="JH86" s="8">
        <v>0.41909628391650094</v>
      </c>
      <c r="JI86" s="8">
        <v>0.4085768203443218</v>
      </c>
      <c r="JJ86" s="8">
        <v>0.42084455189801956</v>
      </c>
      <c r="JK86" s="8">
        <v>0.43915927834729873</v>
      </c>
      <c r="JL86" s="8">
        <v>0.42734891493102073</v>
      </c>
      <c r="JM86" s="8">
        <v>0.3931492092317273</v>
      </c>
      <c r="JN86" s="7">
        <v>0.41236964952799665</v>
      </c>
      <c r="JO86" s="8">
        <v>0.43757778777530548</v>
      </c>
      <c r="JP86" s="8">
        <v>0.49138225137825864</v>
      </c>
      <c r="JQ86" s="8">
        <v>0.50049343203641872</v>
      </c>
      <c r="JR86" s="8">
        <v>0.4934055869566697</v>
      </c>
      <c r="JS86" s="8">
        <v>0.47226449498283402</v>
      </c>
      <c r="JT86" s="8">
        <v>0.43353164589542881</v>
      </c>
      <c r="JU86" s="8">
        <v>0.42255696674844612</v>
      </c>
      <c r="JV86" s="8">
        <v>0.40438527074271036</v>
      </c>
      <c r="JW86" s="7">
        <v>0.29719541604385957</v>
      </c>
      <c r="JX86" s="8">
        <v>0.28578076656708207</v>
      </c>
      <c r="JY86" s="8">
        <v>0.31239666499412594</v>
      </c>
      <c r="JZ86" s="8">
        <v>0.32426296107974295</v>
      </c>
      <c r="KA86" s="8">
        <v>0.34365674170415117</v>
      </c>
      <c r="KB86" s="8">
        <v>0.36618555751389176</v>
      </c>
      <c r="KC86" s="8">
        <v>0.37707795088559964</v>
      </c>
      <c r="KD86" s="8">
        <v>0.35496134075699015</v>
      </c>
      <c r="KE86" s="8">
        <v>0.33075016182881006</v>
      </c>
      <c r="KF86" s="7">
        <v>0.31462528721382876</v>
      </c>
      <c r="KG86" s="7">
        <v>0.1864238904237164</v>
      </c>
      <c r="KH86" s="8">
        <v>0.18707591818985106</v>
      </c>
      <c r="KI86" s="8">
        <v>0.21014261556508992</v>
      </c>
      <c r="KJ86" s="8">
        <v>0.23926279458680302</v>
      </c>
      <c r="KK86" s="8">
        <v>0.26037016464438745</v>
      </c>
      <c r="KL86" s="8">
        <v>0.26857020011827143</v>
      </c>
      <c r="KM86" s="8">
        <v>0.2641314183449629</v>
      </c>
      <c r="KN86" s="8">
        <v>0.23575775386939976</v>
      </c>
      <c r="KO86" s="8">
        <v>0.20688630724629817</v>
      </c>
      <c r="KP86" s="7">
        <v>0.20000578001807076</v>
      </c>
      <c r="KQ86" s="8">
        <v>0.42664210996150959</v>
      </c>
      <c r="KR86" s="7">
        <v>0.39683773558711238</v>
      </c>
      <c r="KS86" s="8">
        <v>0.4113769732175202</v>
      </c>
      <c r="KT86" s="8">
        <v>0.45268401978785688</v>
      </c>
      <c r="KU86" s="8">
        <v>0.48471488383483535</v>
      </c>
      <c r="KV86" s="8">
        <v>0.50497044476278485</v>
      </c>
      <c r="KW86" s="8">
        <v>0.49849952172785217</v>
      </c>
      <c r="KX86" s="8">
        <v>0.47864985237625146</v>
      </c>
      <c r="KY86" s="7">
        <v>0.47507768125004007</v>
      </c>
      <c r="KZ86" s="8">
        <v>0.46723662554741041</v>
      </c>
      <c r="LA86" s="8">
        <v>0.58475842663726907</v>
      </c>
      <c r="LB86" s="8">
        <v>0.55179066738078286</v>
      </c>
      <c r="LC86" s="7">
        <v>0.54490217465783297</v>
      </c>
      <c r="LD86" s="8">
        <v>0.53652709475471461</v>
      </c>
      <c r="LE86" s="8">
        <v>0.53909978278004256</v>
      </c>
      <c r="LF86" s="8">
        <v>0.5413968942614068</v>
      </c>
      <c r="LG86" s="8">
        <v>0.54160977393770282</v>
      </c>
      <c r="LH86" s="7">
        <v>0.53938433422571808</v>
      </c>
      <c r="LI86" s="8">
        <v>0.54476974138065815</v>
      </c>
      <c r="LJ86" s="8">
        <v>0.56917141408805327</v>
      </c>
      <c r="LL86" s="6" t="s">
        <v>236</v>
      </c>
      <c r="LM86" s="6" t="s">
        <v>160</v>
      </c>
      <c r="LN86" s="6" t="s">
        <v>161</v>
      </c>
      <c r="LO86" s="8">
        <v>0.77224738891867939</v>
      </c>
    </row>
    <row r="87" spans="2:327" x14ac:dyDescent="0.45">
      <c r="B87" s="3" t="s">
        <v>224</v>
      </c>
      <c r="C87" s="3" t="s">
        <v>151</v>
      </c>
      <c r="D87" s="5">
        <v>0.25217042564252001</v>
      </c>
      <c r="E87" s="5">
        <v>0.24744582574732302</v>
      </c>
      <c r="F87" s="5">
        <v>0.25495963313931191</v>
      </c>
      <c r="G87" s="5">
        <v>0.27194931216261259</v>
      </c>
      <c r="H87" s="5">
        <v>0.27933896322953461</v>
      </c>
      <c r="I87" s="5">
        <v>0.28971367413076188</v>
      </c>
      <c r="J87" s="5">
        <v>0.3055274037998249</v>
      </c>
      <c r="K87" s="5">
        <v>0.29598154747784228</v>
      </c>
      <c r="L87" s="5">
        <v>0.28036225241768065</v>
      </c>
      <c r="M87" s="5">
        <v>0.26491743178379668</v>
      </c>
      <c r="N87" s="5">
        <v>0.29238974625177122</v>
      </c>
      <c r="O87" s="5">
        <v>0.30925304309449186</v>
      </c>
      <c r="P87" s="5">
        <v>0.29682892584845949</v>
      </c>
      <c r="Q87" s="5">
        <v>0.28835660147668435</v>
      </c>
      <c r="R87" s="5">
        <v>0.28759154543651749</v>
      </c>
      <c r="S87" s="5">
        <v>0.2799145743777105</v>
      </c>
      <c r="T87" s="5">
        <v>0.2752121815375253</v>
      </c>
      <c r="U87" s="5">
        <v>0.2803065447169798</v>
      </c>
      <c r="V87" s="5">
        <v>0.27686885621742768</v>
      </c>
      <c r="W87" s="5">
        <v>0.28998495284202086</v>
      </c>
      <c r="X87" s="5">
        <v>0.3115377538819909</v>
      </c>
      <c r="Y87" s="5">
        <v>0.33909543707069956</v>
      </c>
      <c r="Z87" s="5">
        <v>0.3695612104859719</v>
      </c>
      <c r="AA87" s="5">
        <v>0.37239092199903129</v>
      </c>
      <c r="AB87" s="5">
        <v>0.36747096508224603</v>
      </c>
      <c r="AC87" s="5">
        <v>0.33802328398085135</v>
      </c>
      <c r="AD87" s="5">
        <v>0.31747548478584797</v>
      </c>
      <c r="AE87" s="5">
        <v>0.30400146529498029</v>
      </c>
      <c r="AF87" s="5">
        <v>0.29047649965481637</v>
      </c>
      <c r="AG87" s="5">
        <v>0.28435180012151695</v>
      </c>
      <c r="AH87" s="5">
        <v>0.31602527019514964</v>
      </c>
      <c r="AI87" s="5">
        <v>0.33451562638384003</v>
      </c>
      <c r="AJ87" s="5">
        <v>0.36793549541476278</v>
      </c>
      <c r="AK87" s="5">
        <v>0.37318900438655483</v>
      </c>
      <c r="AL87" s="5">
        <v>0.37739544480871912</v>
      </c>
      <c r="AM87" s="5">
        <v>0.35646291522658952</v>
      </c>
      <c r="AN87" s="5">
        <v>0.31995061367229943</v>
      </c>
      <c r="AO87" s="5">
        <v>0.30634456904053431</v>
      </c>
      <c r="AP87" s="5">
        <v>0.28347295257964861</v>
      </c>
      <c r="AQ87" s="5">
        <v>0.29470872159185846</v>
      </c>
      <c r="AR87" s="5">
        <v>0.30577809938560546</v>
      </c>
      <c r="AS87" s="5">
        <v>0.30454544473239631</v>
      </c>
      <c r="AT87" s="5">
        <v>0.31570245436230254</v>
      </c>
      <c r="AU87" s="5">
        <v>0.31462244856743588</v>
      </c>
      <c r="AV87" s="5">
        <v>0.30085130708052554</v>
      </c>
      <c r="AW87" s="5">
        <v>0.29907297203810684</v>
      </c>
      <c r="AX87" s="5">
        <v>0.30570337307362927</v>
      </c>
      <c r="AY87" s="5">
        <v>0.30649817483062758</v>
      </c>
      <c r="AZ87" s="5">
        <v>0.30519321149771228</v>
      </c>
      <c r="BA87" s="5">
        <v>0.29320449199729698</v>
      </c>
      <c r="BB87" s="5">
        <v>0.27946183277065706</v>
      </c>
      <c r="BC87" s="5">
        <v>0.29539077897836202</v>
      </c>
      <c r="BD87" s="5">
        <v>0.29405159634372208</v>
      </c>
      <c r="BE87" s="5">
        <v>0.32074920478702429</v>
      </c>
      <c r="BF87" s="5">
        <v>0.31810753085067439</v>
      </c>
      <c r="BG87" s="5">
        <v>0.30430224892340041</v>
      </c>
      <c r="BH87" s="5">
        <v>0.31206537828507808</v>
      </c>
      <c r="BI87" s="5">
        <v>0.30161612794237236</v>
      </c>
      <c r="BJ87" s="5">
        <v>0.31006491272031489</v>
      </c>
      <c r="BK87" s="5">
        <v>0.30452621152268633</v>
      </c>
      <c r="BM87" s="3" t="s">
        <v>224</v>
      </c>
      <c r="BN87" s="3" t="s">
        <v>152</v>
      </c>
      <c r="BO87" s="5">
        <v>4.9202381703660255E-3</v>
      </c>
      <c r="BP87" s="5">
        <v>1.2325297998039305E-2</v>
      </c>
      <c r="BQ87" s="4">
        <v>2.1930077223305151E-2</v>
      </c>
      <c r="BR87" s="5">
        <v>2.8968131289295797E-2</v>
      </c>
      <c r="BS87" s="5">
        <v>1.1209480942228237E-2</v>
      </c>
      <c r="BT87" s="5">
        <v>1.7520866558237338E-2</v>
      </c>
      <c r="BU87" s="4">
        <v>2.4736326396245237E-2</v>
      </c>
      <c r="BV87" s="5">
        <v>1.1175286567441744E-2</v>
      </c>
      <c r="BW87" s="4">
        <v>8.6436170763565465E-7</v>
      </c>
      <c r="BX87" s="5">
        <v>1.0543095593863407E-3</v>
      </c>
      <c r="BY87" s="4">
        <v>7.4384385594495304E-3</v>
      </c>
      <c r="BZ87" s="4">
        <v>2.3793419512792107E-2</v>
      </c>
      <c r="CA87" s="4">
        <v>1.3709438169782625E-2</v>
      </c>
      <c r="CB87" s="4">
        <v>9.0197461568024221E-3</v>
      </c>
      <c r="CC87" s="4">
        <v>1.4843767483351002E-2</v>
      </c>
      <c r="CD87" s="5">
        <v>6.7141478316073517E-3</v>
      </c>
      <c r="CE87" s="4">
        <v>9.2683444986610859E-3</v>
      </c>
      <c r="CF87" s="5">
        <v>2.8593274221729104E-3</v>
      </c>
      <c r="CG87" s="4">
        <v>5.6469716521142057E-4</v>
      </c>
      <c r="CH87" s="5">
        <v>3.8862782418800997E-3</v>
      </c>
      <c r="CI87" s="5">
        <v>1.383098640135827E-2</v>
      </c>
      <c r="CJ87" s="4">
        <v>1.1135526034710271E-2</v>
      </c>
      <c r="CK87" s="5">
        <v>2.0509067893509317E-2</v>
      </c>
      <c r="CL87" s="4">
        <v>9.4808506035926098E-4</v>
      </c>
      <c r="CM87" s="5">
        <v>9.9702644874906272E-3</v>
      </c>
      <c r="CN87" s="5">
        <v>2.4392366865311429E-2</v>
      </c>
      <c r="CO87" s="5">
        <v>1.5749018002824373E-2</v>
      </c>
      <c r="CP87" s="5">
        <v>7.3490968823669185E-3</v>
      </c>
      <c r="CQ87" s="5">
        <v>1.4574029681924224E-2</v>
      </c>
      <c r="CR87" s="5">
        <v>3.3246939613801811E-2</v>
      </c>
      <c r="CS87" s="5">
        <v>1.8743524878546008E-2</v>
      </c>
      <c r="CT87" s="5">
        <v>3.4746903624862081E-2</v>
      </c>
      <c r="CU87" s="4">
        <v>3.125173197334636E-2</v>
      </c>
      <c r="CV87" s="4">
        <v>6.7071113779169564E-2</v>
      </c>
      <c r="CW87" s="5">
        <v>5.1523395272902991E-2</v>
      </c>
      <c r="CX87" s="4">
        <v>1.1310974406459406E-2</v>
      </c>
      <c r="CY87" s="4">
        <v>7.8484106712879975E-3</v>
      </c>
      <c r="CZ87" s="4">
        <v>7.5628915247759557E-3</v>
      </c>
      <c r="DA87" s="4">
        <v>1.4500577682088164E-2</v>
      </c>
      <c r="DB87" s="5">
        <v>1.9628903503908959E-2</v>
      </c>
      <c r="DC87" s="5">
        <v>6.3972400277351495E-3</v>
      </c>
      <c r="DD87" s="4">
        <v>2.3611026193171722E-2</v>
      </c>
      <c r="DE87" s="4">
        <v>3.0571934066245664E-2</v>
      </c>
      <c r="DF87" s="5">
        <v>3.3667447685674395E-2</v>
      </c>
      <c r="DG87" s="5">
        <v>2.3580753651986967E-2</v>
      </c>
      <c r="DH87" s="4">
        <v>3.2416008543419098E-2</v>
      </c>
      <c r="DI87" s="4">
        <v>2.403146583487864E-2</v>
      </c>
      <c r="DJ87" s="4">
        <v>1.3897608499387733E-2</v>
      </c>
      <c r="DK87" s="4">
        <v>1.7253195390406772E-2</v>
      </c>
      <c r="DL87" s="5">
        <v>6.6480375935655247E-3</v>
      </c>
      <c r="DM87" s="5">
        <v>2.1423262083388534E-2</v>
      </c>
      <c r="DN87" s="5">
        <v>3.3774211149717182E-2</v>
      </c>
      <c r="DO87" s="5">
        <v>2.3937040164427468E-2</v>
      </c>
      <c r="DP87" s="5">
        <v>3.4345333586500916E-2</v>
      </c>
      <c r="DQ87" s="5">
        <v>3.2861521553633526E-2</v>
      </c>
      <c r="DR87" s="5">
        <v>0</v>
      </c>
      <c r="DS87" s="5">
        <v>7.4171842063480622E-3</v>
      </c>
      <c r="DT87" s="4">
        <v>1.8888113571616565E-2</v>
      </c>
      <c r="DU87" s="5">
        <v>3.2183870718821866E-2</v>
      </c>
      <c r="DV87" s="5">
        <v>2.2375733956946593E-2</v>
      </c>
      <c r="DX87" s="3" t="s">
        <v>224</v>
      </c>
      <c r="DY87" s="3" t="s">
        <v>153</v>
      </c>
      <c r="DZ87" s="4">
        <v>3.8201385243841581E-4</v>
      </c>
      <c r="EA87" s="5">
        <v>8.0589589165776434E-3</v>
      </c>
      <c r="EB87" s="5">
        <v>1.5102085694535205E-2</v>
      </c>
      <c r="EC87" s="5">
        <v>1.6810150852112508E-2</v>
      </c>
      <c r="ED87" s="4">
        <v>1.4076330064585436E-2</v>
      </c>
      <c r="EE87" s="5">
        <v>2.3775598116429753E-2</v>
      </c>
      <c r="EF87" s="4">
        <v>1.7993742497800769E-2</v>
      </c>
      <c r="EG87" s="5">
        <v>2.6238552000839466E-2</v>
      </c>
      <c r="EH87" s="5">
        <v>4.4169282839458458E-2</v>
      </c>
      <c r="EI87" s="5">
        <v>3.0847556177366984E-2</v>
      </c>
      <c r="EJ87" s="5">
        <v>5.3002866809918432E-3</v>
      </c>
      <c r="EK87" s="5">
        <v>1.0285522174617926E-2</v>
      </c>
      <c r="EL87" s="5">
        <v>2.3217564528489713E-2</v>
      </c>
      <c r="EM87" s="5">
        <v>3.5932416294869221E-2</v>
      </c>
      <c r="EN87" s="5">
        <v>3.0094370737963748E-2</v>
      </c>
      <c r="EO87" s="4">
        <v>1.7414407390652076E-2</v>
      </c>
      <c r="EP87" s="4">
        <v>1.2959883944691355E-2</v>
      </c>
      <c r="EQ87" s="4">
        <v>9.7999009603678498E-3</v>
      </c>
      <c r="ER87" s="4">
        <v>1.2419457970009257E-3</v>
      </c>
      <c r="ES87" s="4">
        <v>5.695224186925903E-4</v>
      </c>
      <c r="ET87" s="5">
        <v>5.3609437922963375E-2</v>
      </c>
      <c r="EU87" s="5">
        <v>3.775946864984709E-2</v>
      </c>
      <c r="EV87" s="5">
        <v>2.4500833451689928E-2</v>
      </c>
      <c r="EW87" s="5">
        <v>3.4482612071097374E-2</v>
      </c>
      <c r="EX87" s="4">
        <v>2.4274455241305427E-2</v>
      </c>
      <c r="EY87" s="5">
        <v>9.4608435952472265E-3</v>
      </c>
      <c r="EZ87" s="5">
        <v>1.3917369816125061E-2</v>
      </c>
      <c r="FA87" s="5">
        <v>2.4686379396310701E-2</v>
      </c>
      <c r="FB87" s="5">
        <v>2.1129566728990794E-2</v>
      </c>
      <c r="FC87" s="5">
        <v>5.1527156084907183E-3</v>
      </c>
      <c r="FD87" s="5">
        <v>2.1819416494507471E-2</v>
      </c>
      <c r="FE87" s="5">
        <v>4.4121071010361598E-2</v>
      </c>
      <c r="FF87" s="5">
        <v>3.8917798231640155E-2</v>
      </c>
      <c r="FG87" s="5">
        <v>5.033911308557934E-2</v>
      </c>
      <c r="FH87" s="4">
        <v>8.3156914758726497E-2</v>
      </c>
      <c r="FI87" s="5">
        <v>7.6612083394323502E-2</v>
      </c>
      <c r="FJ87" s="5">
        <v>7.7818613460844399E-2</v>
      </c>
      <c r="FK87" s="5">
        <v>4.794895727573921E-2</v>
      </c>
      <c r="FL87" s="5">
        <v>5.7728923145152367E-3</v>
      </c>
      <c r="FM87" s="4">
        <v>9.58722542142686E-3</v>
      </c>
      <c r="FN87" s="5">
        <v>1.2776887273816692E-2</v>
      </c>
      <c r="FO87" s="5">
        <v>1.2363216678869268E-2</v>
      </c>
      <c r="FP87" s="4">
        <v>2.0761742623044015E-2</v>
      </c>
      <c r="FQ87" s="4">
        <v>2.8096046025242183E-2</v>
      </c>
      <c r="FR87" s="4">
        <v>3.5994604324304597E-2</v>
      </c>
      <c r="FS87" s="4">
        <v>2.8621587128913644E-2</v>
      </c>
      <c r="FT87" s="5">
        <v>2.9013177225438006E-2</v>
      </c>
      <c r="FU87" s="5">
        <v>3.7390358923867904E-2</v>
      </c>
      <c r="FV87" s="4">
        <v>2.6648396815776021E-2</v>
      </c>
      <c r="FW87" s="5">
        <v>2.1775095886097922E-2</v>
      </c>
      <c r="FX87" s="5">
        <v>3.2122362022924678E-2</v>
      </c>
      <c r="FY87" s="5">
        <v>1.8604288726028116E-2</v>
      </c>
      <c r="FZ87" s="5">
        <v>3.3872240896758193E-2</v>
      </c>
      <c r="GA87" s="5">
        <v>4.8652247243832332E-2</v>
      </c>
      <c r="GB87" s="5">
        <v>5.2894252061536792E-2</v>
      </c>
      <c r="GC87" s="5">
        <v>4.5157605151840668E-2</v>
      </c>
      <c r="GD87" s="5">
        <v>3.9046105907949324E-2</v>
      </c>
      <c r="GE87" s="5">
        <v>1.5752691101921058E-2</v>
      </c>
      <c r="GF87" s="5">
        <v>2.9673187612934745E-3</v>
      </c>
      <c r="GG87" s="5">
        <v>2.4858259659575839E-2</v>
      </c>
      <c r="GI87" s="3" t="s">
        <v>224</v>
      </c>
      <c r="GJ87" s="3" t="s">
        <v>154</v>
      </c>
      <c r="GK87" s="5">
        <v>0.14970675718687038</v>
      </c>
      <c r="GL87" s="5">
        <v>0.12915726711930636</v>
      </c>
      <c r="GM87" s="5">
        <v>0.12026250539520061</v>
      </c>
      <c r="GN87" s="5">
        <v>0.12697405538495471</v>
      </c>
      <c r="GO87" s="5">
        <v>0.14445746345236701</v>
      </c>
      <c r="GP87" s="5">
        <v>0.13705463847814869</v>
      </c>
      <c r="GQ87" s="5">
        <v>0.14388466592600491</v>
      </c>
      <c r="GR87" s="5">
        <v>0.14217606037480904</v>
      </c>
      <c r="GS87" s="5">
        <v>0.11911397397111338</v>
      </c>
      <c r="GT87" s="5">
        <v>0.12876094741869351</v>
      </c>
      <c r="GU87" s="5">
        <v>0.16076195060840784</v>
      </c>
      <c r="GV87" s="5">
        <v>0.148092878396861</v>
      </c>
      <c r="GW87" s="5">
        <v>0.14112663207077342</v>
      </c>
      <c r="GX87" s="5">
        <v>0.12671514344571477</v>
      </c>
      <c r="GY87" s="5">
        <v>0.12022405677177297</v>
      </c>
      <c r="GZ87" s="5">
        <v>0.14440854295329159</v>
      </c>
      <c r="HA87" s="4">
        <v>0.13926584306465409</v>
      </c>
      <c r="HB87" s="5">
        <v>0.1587647492042373</v>
      </c>
      <c r="HC87" s="5">
        <v>0.17216691773692039</v>
      </c>
      <c r="HD87" s="5">
        <v>0.17065371295079462</v>
      </c>
      <c r="HE87" s="5">
        <v>0.13739598609179196</v>
      </c>
      <c r="HF87" s="5">
        <v>0.17376959652491222</v>
      </c>
      <c r="HG87" s="5">
        <v>0.19422233999961233</v>
      </c>
      <c r="HH87" s="5">
        <v>0.20845378048212546</v>
      </c>
      <c r="HI87" s="5">
        <v>0.2028334336826651</v>
      </c>
      <c r="HJ87" s="5">
        <v>0.17940190730608982</v>
      </c>
      <c r="HK87" s="5">
        <v>0.17448328482797662</v>
      </c>
      <c r="HL87" s="4">
        <v>0.16342765357119779</v>
      </c>
      <c r="HM87" s="5">
        <v>0.15066137714734765</v>
      </c>
      <c r="HN87" s="5">
        <v>0.14191973024766177</v>
      </c>
      <c r="HO87" s="5">
        <v>0.16948909878207727</v>
      </c>
      <c r="HP87" s="5">
        <v>0.14206661797143122</v>
      </c>
      <c r="HQ87" s="5">
        <v>0.16558707500886566</v>
      </c>
      <c r="HR87" s="5">
        <v>0.11750987045751531</v>
      </c>
      <c r="HS87" s="5">
        <v>9.6808260529539725E-2</v>
      </c>
      <c r="HT87" s="5">
        <v>0.12802070302660548</v>
      </c>
      <c r="HU87" s="5">
        <v>0.11967618326885289</v>
      </c>
      <c r="HV87" s="4">
        <v>0.14997538632722715</v>
      </c>
      <c r="HW87" s="5">
        <v>0.17654953767306844</v>
      </c>
      <c r="HX87" s="5">
        <v>0.16376150375903079</v>
      </c>
      <c r="HY87" s="5">
        <v>0.16643722250836496</v>
      </c>
      <c r="HZ87" s="5">
        <v>0.1508542139161051</v>
      </c>
      <c r="IA87" s="5">
        <v>0.14782404164620475</v>
      </c>
      <c r="IB87" s="5">
        <v>0.11957345596224861</v>
      </c>
      <c r="IC87" s="5">
        <v>0.11168845589508596</v>
      </c>
      <c r="ID87" s="5">
        <v>0.10999556246303391</v>
      </c>
      <c r="IE87" s="5">
        <v>0.11510750509685581</v>
      </c>
      <c r="IF87" s="5">
        <v>0.12719416200489542</v>
      </c>
      <c r="IG87" s="5">
        <v>0.1332053111808042</v>
      </c>
      <c r="IH87" s="5">
        <v>0.14941312180334487</v>
      </c>
      <c r="II87" s="5">
        <v>0.11143957859842864</v>
      </c>
      <c r="IJ87" s="5">
        <v>0.12087181844404406</v>
      </c>
      <c r="IK87" s="5">
        <v>0.12172251684155636</v>
      </c>
      <c r="IL87" s="5">
        <v>0.11573638492725759</v>
      </c>
      <c r="IM87" s="5">
        <v>0.11309235070501848</v>
      </c>
      <c r="IN87" s="5">
        <v>0.14072355206271675</v>
      </c>
      <c r="IO87" s="5">
        <v>0.14289043504189311</v>
      </c>
      <c r="IP87" s="5">
        <v>0.15020576647027503</v>
      </c>
      <c r="IQ87" s="5">
        <v>0.15047265825066389</v>
      </c>
      <c r="IR87" s="5">
        <v>0.12799904400169237</v>
      </c>
      <c r="JB87" s="3" t="s">
        <v>224</v>
      </c>
      <c r="JC87" s="5">
        <v>0.46681164078443532</v>
      </c>
      <c r="JD87" s="5">
        <v>0.4495347877789565</v>
      </c>
      <c r="JE87" s="4">
        <v>0.45480274939652243</v>
      </c>
      <c r="JF87" s="5">
        <v>0.44137478325716106</v>
      </c>
      <c r="JG87" s="5">
        <v>0.45146785948926704</v>
      </c>
      <c r="JH87" s="5">
        <v>0.46446638029762455</v>
      </c>
      <c r="JI87" s="5">
        <v>0.4572034650604499</v>
      </c>
      <c r="JJ87" s="5">
        <v>0.46337547320394268</v>
      </c>
      <c r="JK87" s="5">
        <v>0.47971239904050239</v>
      </c>
      <c r="JL87" s="5">
        <v>0.47678965585834293</v>
      </c>
      <c r="JM87" s="5">
        <v>0.43314963624694719</v>
      </c>
      <c r="JN87" s="4">
        <v>0.43377803655403435</v>
      </c>
      <c r="JO87" s="5">
        <v>0.45018833239320755</v>
      </c>
      <c r="JP87" s="5">
        <v>0.48139854224265194</v>
      </c>
      <c r="JQ87" s="5">
        <v>0.48434156113737725</v>
      </c>
      <c r="JR87" s="5">
        <v>0.47747240859920631</v>
      </c>
      <c r="JS87" s="5">
        <v>0.47213155194330059</v>
      </c>
      <c r="JT87" s="5">
        <v>0.44311585856506691</v>
      </c>
      <c r="JU87" s="5">
        <v>0.43540315046617545</v>
      </c>
      <c r="JV87" s="5">
        <v>0.43140686839037939</v>
      </c>
      <c r="JW87" s="4">
        <v>0.3852497974317165</v>
      </c>
      <c r="JX87" s="5">
        <v>0.36409432689349774</v>
      </c>
      <c r="JY87" s="5">
        <v>0.3804568852453149</v>
      </c>
      <c r="JZ87" s="5">
        <v>0.36636666341964697</v>
      </c>
      <c r="KA87" s="5">
        <v>0.365486876547161</v>
      </c>
      <c r="KB87" s="5">
        <v>0.39346994070707186</v>
      </c>
      <c r="KC87" s="5">
        <v>0.42766219405638323</v>
      </c>
      <c r="KD87" s="5">
        <v>0.4353967742071268</v>
      </c>
      <c r="KE87" s="5">
        <v>0.42506374104890599</v>
      </c>
      <c r="KF87" s="4">
        <v>0.40547579251495841</v>
      </c>
      <c r="KG87" s="4">
        <v>0.22913578506642537</v>
      </c>
      <c r="KH87" s="5">
        <v>0.20783331201964655</v>
      </c>
      <c r="KI87" s="5">
        <v>0.21429313864364238</v>
      </c>
      <c r="KJ87" s="5">
        <v>0.21766891386881509</v>
      </c>
      <c r="KK87" s="5">
        <v>0.23103580645279737</v>
      </c>
      <c r="KL87" s="5">
        <v>0.2571277814027883</v>
      </c>
      <c r="KM87" s="5">
        <v>0.27537629317708456</v>
      </c>
      <c r="KN87" s="5">
        <v>0.27465289379501512</v>
      </c>
      <c r="KO87" s="5">
        <v>0.24928544226969512</v>
      </c>
      <c r="KP87" s="4">
        <v>0.23483381059740374</v>
      </c>
      <c r="KQ87" s="5">
        <v>0.38400594359184426</v>
      </c>
      <c r="KR87" s="4">
        <v>0.38135952000130896</v>
      </c>
      <c r="KS87" s="5">
        <v>0.39969384062578689</v>
      </c>
      <c r="KT87" s="5">
        <v>0.41995075343557792</v>
      </c>
      <c r="KU87" s="5">
        <v>0.43344291900029969</v>
      </c>
      <c r="KV87" s="5">
        <v>0.45694305428287918</v>
      </c>
      <c r="KW87" s="5">
        <v>0.46833594634289843</v>
      </c>
      <c r="KX87" s="5">
        <v>0.45411632327998663</v>
      </c>
      <c r="KY87" s="4">
        <v>0.43786196182780907</v>
      </c>
      <c r="KZ87" s="5">
        <v>0.41092259047462226</v>
      </c>
      <c r="LA87" s="5">
        <v>0.49395966853042272</v>
      </c>
      <c r="LB87" s="5">
        <v>0.4804177727736833</v>
      </c>
      <c r="LC87" s="4">
        <v>0.48855540644924816</v>
      </c>
      <c r="LD87" s="5">
        <v>0.47214166653325301</v>
      </c>
      <c r="LE87" s="5">
        <v>0.4744953574160834</v>
      </c>
      <c r="LF87" s="5">
        <v>0.47982765205760075</v>
      </c>
      <c r="LG87" s="5">
        <v>0.47245082674985323</v>
      </c>
      <c r="LH87" s="4">
        <v>0.47661935679963247</v>
      </c>
      <c r="LI87" s="5">
        <v>0.47798456698438396</v>
      </c>
      <c r="LJ87" s="5">
        <v>0.47469245998336101</v>
      </c>
      <c r="LL87" s="3" t="s">
        <v>237</v>
      </c>
      <c r="LM87" s="3" t="s">
        <v>160</v>
      </c>
      <c r="LN87" s="3" t="s">
        <v>161</v>
      </c>
      <c r="LO87" s="5">
        <v>0.77705500744264511</v>
      </c>
    </row>
    <row r="88" spans="2:327" x14ac:dyDescent="0.45">
      <c r="B88" s="6" t="s">
        <v>226</v>
      </c>
      <c r="C88" s="6" t="s">
        <v>151</v>
      </c>
      <c r="D88" s="8">
        <v>0.258931485213659</v>
      </c>
      <c r="E88" s="8">
        <v>0.25419099883757884</v>
      </c>
      <c r="F88" s="8">
        <v>0.23303891027065962</v>
      </c>
      <c r="G88" s="8">
        <v>0.22007028266082276</v>
      </c>
      <c r="H88" s="8">
        <v>0.22500354362276939</v>
      </c>
      <c r="I88" s="8">
        <v>0.2346924159332815</v>
      </c>
      <c r="J88" s="8">
        <v>0.24158832574637171</v>
      </c>
      <c r="K88" s="8">
        <v>0.25051067970459767</v>
      </c>
      <c r="L88" s="8">
        <v>0.23491560878064816</v>
      </c>
      <c r="M88" s="8">
        <v>0.23046511138330333</v>
      </c>
      <c r="N88" s="8">
        <v>0.28219594474653253</v>
      </c>
      <c r="O88" s="8">
        <v>0.31704262059363958</v>
      </c>
      <c r="P88" s="8">
        <v>0.32039985046713143</v>
      </c>
      <c r="Q88" s="8">
        <v>0.31638918064387589</v>
      </c>
      <c r="R88" s="8">
        <v>0.3132207586774079</v>
      </c>
      <c r="S88" s="8">
        <v>0.29136964357822998</v>
      </c>
      <c r="T88" s="8">
        <v>0.27173742161543329</v>
      </c>
      <c r="U88" s="8">
        <v>0.26158496042822221</v>
      </c>
      <c r="V88" s="8">
        <v>0.24730572325874906</v>
      </c>
      <c r="W88" s="8">
        <v>0.2518427912174851</v>
      </c>
      <c r="X88" s="8">
        <v>0.29121963962671177</v>
      </c>
      <c r="Y88" s="8">
        <v>0.27442582516591729</v>
      </c>
      <c r="Z88" s="8">
        <v>0.29262616224418309</v>
      </c>
      <c r="AA88" s="8">
        <v>0.29438346054536563</v>
      </c>
      <c r="AB88" s="8">
        <v>0.3019045847402187</v>
      </c>
      <c r="AC88" s="8">
        <v>0.30692725747141147</v>
      </c>
      <c r="AD88" s="8">
        <v>0.31546369987595629</v>
      </c>
      <c r="AE88" s="8">
        <v>0.29728416779383571</v>
      </c>
      <c r="AF88" s="8">
        <v>0.2913006439862974</v>
      </c>
      <c r="AG88" s="8">
        <v>0.31001116167146414</v>
      </c>
      <c r="AH88" s="8">
        <v>0.31255058314172146</v>
      </c>
      <c r="AI88" s="8">
        <v>0.31123213881333461</v>
      </c>
      <c r="AJ88" s="8">
        <v>0.29664247347042566</v>
      </c>
      <c r="AK88" s="8">
        <v>0.28577659977891418</v>
      </c>
      <c r="AL88" s="8">
        <v>0.2727599486467327</v>
      </c>
      <c r="AM88" s="8">
        <v>0.27067141737534539</v>
      </c>
      <c r="AN88" s="8">
        <v>0.27814301033189781</v>
      </c>
      <c r="AO88" s="8">
        <v>0.27806397993906973</v>
      </c>
      <c r="AP88" s="8">
        <v>0.29104966103071139</v>
      </c>
      <c r="AQ88" s="8">
        <v>0.30285633828933373</v>
      </c>
      <c r="AR88" s="8">
        <v>0.27594022194732432</v>
      </c>
      <c r="AS88" s="8">
        <v>0.27388464762729192</v>
      </c>
      <c r="AT88" s="8">
        <v>0.26601721514799803</v>
      </c>
      <c r="AU88" s="8">
        <v>0.26808222215925565</v>
      </c>
      <c r="AV88" s="8">
        <v>0.29126417104278735</v>
      </c>
      <c r="AW88" s="8">
        <v>0.2912355684186817</v>
      </c>
      <c r="AX88" s="8">
        <v>0.27660250016980448</v>
      </c>
      <c r="AY88" s="8">
        <v>0.26500463246702571</v>
      </c>
      <c r="AZ88" s="8">
        <v>0.24864257410013194</v>
      </c>
      <c r="BA88" s="8">
        <v>0.26472517644022858</v>
      </c>
      <c r="BB88" s="8">
        <v>0.11585669312033792</v>
      </c>
      <c r="BC88" s="8">
        <v>0.12687719024148497</v>
      </c>
      <c r="BD88" s="8">
        <v>0.1144041823998302</v>
      </c>
      <c r="BE88" s="8">
        <v>0.12685110987704037</v>
      </c>
      <c r="BF88" s="8">
        <v>0.13301240043992169</v>
      </c>
      <c r="BG88" s="8">
        <v>0.14267853937044675</v>
      </c>
      <c r="BH88" s="8">
        <v>0.15414136913591253</v>
      </c>
      <c r="BI88" s="8">
        <v>0.15687328594924102</v>
      </c>
      <c r="BJ88" s="8">
        <v>0.12509913431326872</v>
      </c>
      <c r="BK88" s="8">
        <v>0.11880584165690959</v>
      </c>
      <c r="BM88" s="6" t="s">
        <v>226</v>
      </c>
      <c r="BN88" s="6" t="s">
        <v>152</v>
      </c>
      <c r="BO88" s="8">
        <v>1.2453634622493227E-2</v>
      </c>
      <c r="BP88" s="8">
        <v>1.274292313377086E-3</v>
      </c>
      <c r="BQ88" s="7">
        <v>8.1005394897795818E-3</v>
      </c>
      <c r="BR88" s="8">
        <v>1.7605444493143566E-2</v>
      </c>
      <c r="BS88" s="8">
        <v>1.6793725657683223E-2</v>
      </c>
      <c r="BT88" s="8">
        <v>1.7882915603261534E-2</v>
      </c>
      <c r="BU88" s="7">
        <v>1.9900457660597077E-2</v>
      </c>
      <c r="BV88" s="8">
        <v>1.7332812736087354E-2</v>
      </c>
      <c r="BW88" s="7">
        <v>1.4642009643200782E-2</v>
      </c>
      <c r="BX88" s="8">
        <v>1.6166566708991206E-2</v>
      </c>
      <c r="BY88" s="7">
        <v>1.2435990190030999E-2</v>
      </c>
      <c r="BZ88" s="7">
        <v>1.2588714009176589E-2</v>
      </c>
      <c r="CA88" s="7">
        <v>5.1585173773208981E-3</v>
      </c>
      <c r="CB88" s="7">
        <v>7.1711086377346097E-3</v>
      </c>
      <c r="CC88" s="7">
        <v>1.4850955562748375E-2</v>
      </c>
      <c r="CD88" s="8">
        <v>1.5825841747129067E-2</v>
      </c>
      <c r="CE88" s="7">
        <v>3.3614026803481063E-3</v>
      </c>
      <c r="CF88" s="8">
        <v>1.0580928952308433E-2</v>
      </c>
      <c r="CG88" s="7">
        <v>2.2386921915518977E-2</v>
      </c>
      <c r="CH88" s="8">
        <v>1.2756787963708698E-2</v>
      </c>
      <c r="CI88" s="8">
        <v>2.5075479615682711E-2</v>
      </c>
      <c r="CJ88" s="7">
        <v>1.4834480501169426E-2</v>
      </c>
      <c r="CK88" s="8">
        <v>1.857554544133002E-2</v>
      </c>
      <c r="CL88" s="7">
        <v>1.9883101265755421E-2</v>
      </c>
      <c r="CM88" s="8">
        <v>1.6353676149804836E-2</v>
      </c>
      <c r="CN88" s="8">
        <v>1.9687558339850138E-2</v>
      </c>
      <c r="CO88" s="8">
        <v>2.2943384217536413E-2</v>
      </c>
      <c r="CP88" s="8">
        <v>2.4681919568948212E-2</v>
      </c>
      <c r="CQ88" s="8">
        <v>1.2571602434262823E-2</v>
      </c>
      <c r="CR88" s="8">
        <v>2.6918802594799E-2</v>
      </c>
      <c r="CS88" s="8">
        <v>1.656071078428599E-2</v>
      </c>
      <c r="CT88" s="8">
        <v>1.2858118499059004E-2</v>
      </c>
      <c r="CU88" s="7">
        <v>1.1699342286989146E-2</v>
      </c>
      <c r="CV88" s="7">
        <v>1.1387759784159047E-2</v>
      </c>
      <c r="CW88" s="8">
        <v>8.6470692397421639E-3</v>
      </c>
      <c r="CX88" s="7">
        <v>2.3586256237351673E-2</v>
      </c>
      <c r="CY88" s="7">
        <v>2.6187680316993839E-2</v>
      </c>
      <c r="CZ88" s="7">
        <v>6.0258721640129628E-3</v>
      </c>
      <c r="DA88" s="7">
        <v>1.7710123494714843E-2</v>
      </c>
      <c r="DB88" s="8">
        <v>2.870663811060848E-2</v>
      </c>
      <c r="DC88" s="8">
        <v>1.3016268127972084E-2</v>
      </c>
      <c r="DD88" s="7">
        <v>2.4874027864606844E-3</v>
      </c>
      <c r="DE88" s="7">
        <v>4.7938453199599098E-3</v>
      </c>
      <c r="DF88" s="8">
        <v>7.5119989513920378E-3</v>
      </c>
      <c r="DG88" s="8">
        <v>1.0235703473104143E-2</v>
      </c>
      <c r="DH88" s="7">
        <v>1.5580326172823764E-2</v>
      </c>
      <c r="DI88" s="7">
        <v>1.5832749154382028E-2</v>
      </c>
      <c r="DJ88" s="7">
        <v>1.6662747033896402E-2</v>
      </c>
      <c r="DK88" s="7">
        <v>1.4459853770591367E-2</v>
      </c>
      <c r="DL88" s="8">
        <v>1.4183821721955642E-2</v>
      </c>
      <c r="DM88" s="8">
        <v>7.5428336201326862E-3</v>
      </c>
      <c r="DN88" s="8">
        <v>4.9192232735736953E-3</v>
      </c>
      <c r="DO88" s="8">
        <v>1.6074925222108662E-3</v>
      </c>
      <c r="DP88" s="8">
        <v>6.1755348068170228E-3</v>
      </c>
      <c r="DQ88" s="8">
        <v>1.3532310913595219E-2</v>
      </c>
      <c r="DR88" s="8">
        <v>1.6225918661857242E-2</v>
      </c>
      <c r="DS88" s="8">
        <v>9.6578022355667485E-3</v>
      </c>
      <c r="DT88" s="7">
        <v>5.0959418348724512E-3</v>
      </c>
      <c r="DU88" s="8">
        <v>5.3644435174081927E-3</v>
      </c>
      <c r="DV88" s="8">
        <v>9.6250245804776671E-3</v>
      </c>
      <c r="DX88" s="6" t="s">
        <v>226</v>
      </c>
      <c r="DY88" s="6" t="s">
        <v>153</v>
      </c>
      <c r="DZ88" s="7">
        <v>2.5864782892464955E-2</v>
      </c>
      <c r="EA88" s="8">
        <v>2.1198115253995741E-2</v>
      </c>
      <c r="EB88" s="8">
        <v>8.6015681989614762E-3</v>
      </c>
      <c r="EC88" s="8">
        <v>0</v>
      </c>
      <c r="ED88" s="7">
        <v>4.0208650541416627E-3</v>
      </c>
      <c r="EE88" s="8">
        <v>9.1561848407019954E-3</v>
      </c>
      <c r="EF88" s="7">
        <v>1.9427849304877707E-2</v>
      </c>
      <c r="EG88" s="8">
        <v>2.5423461418640554E-2</v>
      </c>
      <c r="EH88" s="8">
        <v>2.3964882785964061E-2</v>
      </c>
      <c r="EI88" s="8">
        <v>1.6966238212409838E-2</v>
      </c>
      <c r="EJ88" s="8">
        <v>1.928331937395392E-2</v>
      </c>
      <c r="EK88" s="8">
        <v>2.5124713328762073E-2</v>
      </c>
      <c r="EL88" s="8">
        <v>3.3063259309302914E-2</v>
      </c>
      <c r="EM88" s="8">
        <v>2.0603876487533875E-2</v>
      </c>
      <c r="EN88" s="8">
        <v>1.1740207147253373E-2</v>
      </c>
      <c r="EO88" s="7">
        <v>3.5153369863307167E-3</v>
      </c>
      <c r="EP88" s="7">
        <v>1.7774248670175425E-2</v>
      </c>
      <c r="EQ88" s="7">
        <v>1.6031068651275671E-2</v>
      </c>
      <c r="ER88" s="7">
        <v>7.3314829920299472E-3</v>
      </c>
      <c r="ES88" s="7">
        <v>2.1638084419104201E-2</v>
      </c>
      <c r="ET88" s="8">
        <v>3.3900152973306501E-2</v>
      </c>
      <c r="EU88" s="8">
        <v>3.82089931738838E-2</v>
      </c>
      <c r="EV88" s="8">
        <v>1.9801075911341511E-2</v>
      </c>
      <c r="EW88" s="8">
        <v>1.451555886385099E-2</v>
      </c>
      <c r="EX88" s="7">
        <v>2.8261751675852792E-2</v>
      </c>
      <c r="EY88" s="8">
        <v>2.4953364365121324E-2</v>
      </c>
      <c r="EZ88" s="8">
        <v>3.0741469065621363E-2</v>
      </c>
      <c r="FA88" s="8">
        <v>2.5270436524940286E-2</v>
      </c>
      <c r="FB88" s="8">
        <v>3.1578778394039532E-2</v>
      </c>
      <c r="FC88" s="8">
        <v>2.9733979977860175E-2</v>
      </c>
      <c r="FD88" s="8">
        <v>2.6662434290263846E-2</v>
      </c>
      <c r="FE88" s="8">
        <v>1.9450514727717031E-2</v>
      </c>
      <c r="FF88" s="8">
        <v>1.4470129353265688E-2</v>
      </c>
      <c r="FG88" s="8">
        <v>8.8160867609897216E-3</v>
      </c>
      <c r="FH88" s="7">
        <v>1.5715558663668482E-2</v>
      </c>
      <c r="FI88" s="8">
        <v>9.6941661414871715E-3</v>
      </c>
      <c r="FJ88" s="8">
        <v>1.4190188833990392E-2</v>
      </c>
      <c r="FK88" s="8">
        <v>3.7849551728683824E-2</v>
      </c>
      <c r="FL88" s="8">
        <v>3.5269248785061012E-2</v>
      </c>
      <c r="FM88" s="7">
        <v>1.2726969609990891E-2</v>
      </c>
      <c r="FN88" s="8">
        <v>1.7323419630911423E-2</v>
      </c>
      <c r="FO88" s="8">
        <v>2.3796182412185094E-2</v>
      </c>
      <c r="FP88" s="7">
        <v>1.5778612962924408E-2</v>
      </c>
      <c r="FQ88" s="7">
        <v>8.0478782337477309E-3</v>
      </c>
      <c r="FR88" s="7">
        <v>7.4599177394926545E-3</v>
      </c>
      <c r="FS88" s="7">
        <v>9.927485450831483E-3</v>
      </c>
      <c r="FT88" s="8">
        <v>9.8323007615951606E-3</v>
      </c>
      <c r="FU88" s="8">
        <v>1.104275832642989E-2</v>
      </c>
      <c r="FV88" s="7">
        <v>2.040814876621308E-2</v>
      </c>
      <c r="FW88" s="8">
        <v>1.9031621295715371E-2</v>
      </c>
      <c r="FX88" s="8">
        <v>5.8033053440598543E-3</v>
      </c>
      <c r="FY88" s="8">
        <v>9.7350533582507438E-3</v>
      </c>
      <c r="FZ88" s="8">
        <v>9.7224889011758211E-3</v>
      </c>
      <c r="GA88" s="8">
        <v>6.789989194212703E-3</v>
      </c>
      <c r="GB88" s="8">
        <v>2.0513319515894999E-3</v>
      </c>
      <c r="GC88" s="8">
        <v>5.3321948731014784E-3</v>
      </c>
      <c r="GD88" s="8">
        <v>1.3503834447087392E-2</v>
      </c>
      <c r="GE88" s="8">
        <v>2.0326271411034033E-2</v>
      </c>
      <c r="GF88" s="8">
        <v>1.25847518069091E-2</v>
      </c>
      <c r="GG88" s="8">
        <v>2.9989134246753975E-3</v>
      </c>
      <c r="GI88" s="6" t="s">
        <v>226</v>
      </c>
      <c r="GJ88" s="6" t="s">
        <v>154</v>
      </c>
      <c r="GK88" s="8">
        <v>8.3986592296671297E-2</v>
      </c>
      <c r="GL88" s="8">
        <v>0.10842386921798446</v>
      </c>
      <c r="GM88" s="8">
        <v>9.4173394326962451E-2</v>
      </c>
      <c r="GN88" s="8">
        <v>8.6390091793055804E-2</v>
      </c>
      <c r="GO88" s="8">
        <v>7.6923172457772804E-2</v>
      </c>
      <c r="GP88" s="8">
        <v>7.3450555599746364E-2</v>
      </c>
      <c r="GQ88" s="8">
        <v>7.0319524668621486E-2</v>
      </c>
      <c r="GR88" s="8">
        <v>6.9466338653193571E-2</v>
      </c>
      <c r="GS88" s="8">
        <v>6.1418074773329327E-2</v>
      </c>
      <c r="GT88" s="8">
        <v>6.0069378487866178E-2</v>
      </c>
      <c r="GU88" s="8">
        <v>0.11031051013416231</v>
      </c>
      <c r="GV88" s="8">
        <v>0.12927464311838474</v>
      </c>
      <c r="GW88" s="8">
        <v>0.13013941912940435</v>
      </c>
      <c r="GX88" s="8">
        <v>0.13226603165245499</v>
      </c>
      <c r="GY88" s="8">
        <v>0.13346762363264833</v>
      </c>
      <c r="GZ88" s="8">
        <v>0.13763792824185894</v>
      </c>
      <c r="HA88" s="7">
        <v>0.11844951748220747</v>
      </c>
      <c r="HB88" s="8">
        <v>9.7376209164337979E-2</v>
      </c>
      <c r="HC88" s="8">
        <v>9.6955649529540916E-2</v>
      </c>
      <c r="HD88" s="8">
        <v>9.6097884502068867E-2</v>
      </c>
      <c r="HE88" s="8">
        <v>0.10581738557966171</v>
      </c>
      <c r="HF88" s="8">
        <v>9.7116370560890466E-2</v>
      </c>
      <c r="HG88" s="8">
        <v>0.12319058142231222</v>
      </c>
      <c r="HH88" s="8">
        <v>0.12904313689286215</v>
      </c>
      <c r="HI88" s="8">
        <v>0.12160597475809716</v>
      </c>
      <c r="HJ88" s="8">
        <v>0.11293278905582636</v>
      </c>
      <c r="HK88" s="8">
        <v>0.11631230322167867</v>
      </c>
      <c r="HL88" s="7">
        <v>0.11681129909479426</v>
      </c>
      <c r="HM88" s="8">
        <v>0.10945101231237095</v>
      </c>
      <c r="HN88" s="8">
        <v>0.11306373460946963</v>
      </c>
      <c r="HO88" s="8">
        <v>0.13008216262662195</v>
      </c>
      <c r="HP88" s="8">
        <v>0.15134945399282321</v>
      </c>
      <c r="HQ88" s="8">
        <v>0.14312810943724244</v>
      </c>
      <c r="HR88" s="8">
        <v>0.1482796897029996</v>
      </c>
      <c r="HS88" s="8">
        <v>0.13639978710217157</v>
      </c>
      <c r="HT88" s="8">
        <v>0.12607402885497401</v>
      </c>
      <c r="HU88" s="8">
        <v>0.12586428365540084</v>
      </c>
      <c r="HV88" s="7">
        <v>0.12694204455285354</v>
      </c>
      <c r="HW88" s="8">
        <v>0.12350237242137672</v>
      </c>
      <c r="HX88" s="8">
        <v>0.12906388944403127</v>
      </c>
      <c r="HY88" s="8">
        <v>9.5972272097488612E-2</v>
      </c>
      <c r="HZ88" s="8">
        <v>0.11057942376771851</v>
      </c>
      <c r="IA88" s="8">
        <v>0.10925133989399853</v>
      </c>
      <c r="IB88" s="8">
        <v>0.12109159446868345</v>
      </c>
      <c r="IC88" s="8">
        <v>0.12524576373520804</v>
      </c>
      <c r="ID88" s="8">
        <v>0.11847336874994017</v>
      </c>
      <c r="IE88" s="8">
        <v>0.11404266586267602</v>
      </c>
      <c r="IF88" s="8">
        <v>0.1037169671153054</v>
      </c>
      <c r="IG88" s="8">
        <v>8.9197606922761033E-2</v>
      </c>
      <c r="IH88" s="8">
        <v>9.270272826472907E-2</v>
      </c>
      <c r="II88" s="8">
        <v>2.3403466354365552E-2</v>
      </c>
      <c r="IJ88" s="8">
        <v>3.0140792714440624E-2</v>
      </c>
      <c r="IK88" s="8">
        <v>3.3002752202908339E-2</v>
      </c>
      <c r="IL88" s="8">
        <v>2.9114066922581287E-2</v>
      </c>
      <c r="IM88" s="8">
        <v>2.9771263137920792E-2</v>
      </c>
      <c r="IN88" s="8">
        <v>2.9574297657969581E-2</v>
      </c>
      <c r="IO88" s="8">
        <v>3.2411734060256256E-2</v>
      </c>
      <c r="IP88" s="8">
        <v>3.5382050465882643E-2</v>
      </c>
      <c r="IQ88" s="8">
        <v>3.0138437549940784E-2</v>
      </c>
      <c r="IR88" s="8">
        <v>2.8280710931539246E-2</v>
      </c>
      <c r="JB88" s="6" t="s">
        <v>226</v>
      </c>
      <c r="JC88" s="8">
        <v>0.64789714258256159</v>
      </c>
      <c r="JD88" s="8">
        <v>0.63073655436163689</v>
      </c>
      <c r="JE88" s="7">
        <v>0.66050580852522711</v>
      </c>
      <c r="JF88" s="8">
        <v>0.67250922219099429</v>
      </c>
      <c r="JG88" s="8">
        <v>0.6759408077610759</v>
      </c>
      <c r="JH88" s="8">
        <v>0.66816439923765902</v>
      </c>
      <c r="JI88" s="8">
        <v>0.6574303748995971</v>
      </c>
      <c r="JJ88" s="8">
        <v>0.65193899284753865</v>
      </c>
      <c r="JK88" s="8">
        <v>0.66917963815865644</v>
      </c>
      <c r="JL88" s="8">
        <v>0.68916748426875141</v>
      </c>
      <c r="JM88" s="8">
        <v>0.59925353523734093</v>
      </c>
      <c r="JN88" s="7">
        <v>0.56851444440248422</v>
      </c>
      <c r="JO88" s="8">
        <v>0.56377008789192851</v>
      </c>
      <c r="JP88" s="8">
        <v>0.56466718171497876</v>
      </c>
      <c r="JQ88" s="8">
        <v>0.55745964337632115</v>
      </c>
      <c r="JR88" s="8">
        <v>0.56724108332485901</v>
      </c>
      <c r="JS88" s="8">
        <v>0.58965388603694968</v>
      </c>
      <c r="JT88" s="8">
        <v>0.61762558595572192</v>
      </c>
      <c r="JU88" s="8">
        <v>0.62766842810179946</v>
      </c>
      <c r="JV88" s="8">
        <v>0.62114724960593626</v>
      </c>
      <c r="JW88" s="7">
        <v>0.53536058983201551</v>
      </c>
      <c r="JX88" s="8">
        <v>0.55095063932328947</v>
      </c>
      <c r="JY88" s="8">
        <v>0.5345133605909026</v>
      </c>
      <c r="JZ88" s="8">
        <v>0.52265416894902783</v>
      </c>
      <c r="KA88" s="8">
        <v>0.52356731854888028</v>
      </c>
      <c r="KB88" s="8">
        <v>0.52881115416330371</v>
      </c>
      <c r="KC88" s="8">
        <v>0.51762262072314591</v>
      </c>
      <c r="KD88" s="8">
        <v>0.52267461086519795</v>
      </c>
      <c r="KE88" s="8">
        <v>0.52735444263618092</v>
      </c>
      <c r="KF88" s="7">
        <v>0.52634540036407618</v>
      </c>
      <c r="KG88" s="7">
        <v>0.52671063367616866</v>
      </c>
      <c r="KH88" s="8">
        <v>0.51664634840896639</v>
      </c>
      <c r="KI88" s="8">
        <v>0.52715235334386723</v>
      </c>
      <c r="KJ88" s="8">
        <v>0.52179310816731672</v>
      </c>
      <c r="KK88" s="8">
        <v>0.52602289806786606</v>
      </c>
      <c r="KL88" s="8">
        <v>0.5342667812204881</v>
      </c>
      <c r="KM88" s="8">
        <v>0.52433192171637211</v>
      </c>
      <c r="KN88" s="8">
        <v>0.51711702925620651</v>
      </c>
      <c r="KO88" s="8">
        <v>0.51217381457834443</v>
      </c>
      <c r="KP88" s="7">
        <v>0.5260264680096679</v>
      </c>
      <c r="KQ88" s="8">
        <v>0.6222082801883968</v>
      </c>
      <c r="KR88" s="7">
        <v>0.60903272657970253</v>
      </c>
      <c r="KS88" s="8">
        <v>0.62056415250743124</v>
      </c>
      <c r="KT88" s="8">
        <v>0.61536680748370454</v>
      </c>
      <c r="KU88" s="8">
        <v>0.59167802587301199</v>
      </c>
      <c r="KV88" s="8">
        <v>0.58720787575333588</v>
      </c>
      <c r="KW88" s="8">
        <v>0.59637763435432878</v>
      </c>
      <c r="KX88" s="8">
        <v>0.61182183813679514</v>
      </c>
      <c r="KY88" s="7">
        <v>0.63501335981078255</v>
      </c>
      <c r="KZ88" s="8">
        <v>0.63067622520737532</v>
      </c>
      <c r="LA88" s="8">
        <v>0.84778642609627042</v>
      </c>
      <c r="LB88" s="8">
        <v>0.82616134941279062</v>
      </c>
      <c r="LC88" s="7">
        <v>0.83155663256534129</v>
      </c>
      <c r="LD88" s="8">
        <v>0.82740713248252939</v>
      </c>
      <c r="LE88" s="8">
        <v>0.81868809884763727</v>
      </c>
      <c r="LF88" s="8">
        <v>0.80653535227982998</v>
      </c>
      <c r="LG88" s="8">
        <v>0.79220799058579683</v>
      </c>
      <c r="LH88" s="7">
        <v>0.78333816729125094</v>
      </c>
      <c r="LI88" s="8">
        <v>0.81804733152883258</v>
      </c>
      <c r="LJ88" s="8">
        <v>0.83635205321080663</v>
      </c>
      <c r="LL88" s="6" t="s">
        <v>238</v>
      </c>
      <c r="LM88" s="6" t="s">
        <v>160</v>
      </c>
      <c r="LN88" s="6" t="s">
        <v>161</v>
      </c>
      <c r="LO88" s="8">
        <v>0.76548573860977109</v>
      </c>
    </row>
  </sheetData>
  <mergeCells count="1">
    <mergeCell ref="A1:B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C616-E078-4F91-9298-F9B0A2060BB6}">
  <dimension ref="A1:S184"/>
  <sheetViews>
    <sheetView workbookViewId="0">
      <selection sqref="A1:H1"/>
    </sheetView>
  </sheetViews>
  <sheetFormatPr defaultRowHeight="14.25" x14ac:dyDescent="0.45"/>
  <cols>
    <col min="3" max="5" width="10.59765625" customWidth="1"/>
    <col min="6" max="6" width="13.06640625" bestFit="1" customWidth="1"/>
    <col min="8" max="8" width="10.59765625" bestFit="1" customWidth="1"/>
    <col min="9" max="10" width="10.59765625" customWidth="1"/>
    <col min="12" max="12" width="10.59765625" bestFit="1" customWidth="1"/>
    <col min="13" max="14" width="10.59765625" customWidth="1"/>
    <col min="16" max="19" width="10.59765625" customWidth="1"/>
  </cols>
  <sheetData>
    <row r="1" spans="1:19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19" ht="14.65" thickBot="1" x14ac:dyDescent="0.5">
      <c r="C9" s="1" t="str">
        <f>IF(A11="x","DeActivated","~TFM_DINS-AT: region=GBR")</f>
        <v>~TFM_DINS-AT: region=GBR</v>
      </c>
      <c r="H9" s="1" t="str">
        <f>IF(A11="x","DeActivated","~TFM_DINS-AT: region=GBR")</f>
        <v>~TFM_DINS-AT: region=GBR</v>
      </c>
      <c r="L9" s="1" t="str">
        <f>IF(A11="x","DeActivated","~TFM_DINS-AT: region=GBR")</f>
        <v>~TFM_DINS-AT: region=GBR</v>
      </c>
      <c r="P9" s="1" t="str">
        <f>IF(A11="x","DeActivated","~TFM_INS-AT: region=GBR")</f>
        <v>~TFM_INS-AT: region=GBR</v>
      </c>
    </row>
    <row r="10" spans="1:19" ht="15.75" thickBot="1" x14ac:dyDescent="0.6">
      <c r="A10" t="s">
        <v>239</v>
      </c>
      <c r="C10" s="2" t="s">
        <v>240</v>
      </c>
      <c r="D10" s="2" t="s">
        <v>3</v>
      </c>
      <c r="E10" s="2" t="s">
        <v>2</v>
      </c>
      <c r="F10" s="2" t="s">
        <v>1</v>
      </c>
      <c r="H10" s="2" t="s">
        <v>1</v>
      </c>
      <c r="I10" s="2" t="s">
        <v>2</v>
      </c>
      <c r="J10" s="2" t="s">
        <v>3</v>
      </c>
      <c r="L10" s="2" t="s">
        <v>1</v>
      </c>
      <c r="M10" s="2" t="s">
        <v>2</v>
      </c>
      <c r="N10" s="2" t="s">
        <v>241</v>
      </c>
      <c r="P10" s="2" t="s">
        <v>242</v>
      </c>
      <c r="Q10" s="2" t="s">
        <v>2</v>
      </c>
      <c r="R10" s="2" t="s">
        <v>243</v>
      </c>
      <c r="S10" s="2" t="s">
        <v>244</v>
      </c>
    </row>
    <row r="11" spans="1:19" x14ac:dyDescent="0.45">
      <c r="C11" s="5">
        <v>3.3675799086757989E-2</v>
      </c>
      <c r="D11" s="5">
        <v>5.2414456074053829E-3</v>
      </c>
      <c r="E11" s="3" t="s">
        <v>6</v>
      </c>
      <c r="F11" s="3" t="s">
        <v>245</v>
      </c>
      <c r="H11" s="3" t="s">
        <v>246</v>
      </c>
      <c r="I11" s="3" t="s">
        <v>6</v>
      </c>
      <c r="J11" s="3"/>
      <c r="L11" s="3" t="s">
        <v>247</v>
      </c>
      <c r="M11" s="3" t="s">
        <v>6</v>
      </c>
      <c r="N11" s="5">
        <v>8.7223221836725706E-2</v>
      </c>
      <c r="P11" s="11">
        <v>2020</v>
      </c>
      <c r="Q11" s="3" t="s">
        <v>248</v>
      </c>
      <c r="R11" s="5">
        <v>0.33015</v>
      </c>
      <c r="S11" s="3" t="s">
        <v>249</v>
      </c>
    </row>
    <row r="12" spans="1:19" x14ac:dyDescent="0.45">
      <c r="C12" s="8">
        <v>1.3470319634703196E-2</v>
      </c>
      <c r="D12" s="8">
        <v>1.3377420878601798E-2</v>
      </c>
      <c r="E12" s="6" t="s">
        <v>10</v>
      </c>
      <c r="F12" s="6" t="s">
        <v>245</v>
      </c>
      <c r="H12" s="6" t="s">
        <v>246</v>
      </c>
      <c r="I12" s="6" t="s">
        <v>10</v>
      </c>
      <c r="J12" s="6"/>
      <c r="L12" s="6" t="s">
        <v>247</v>
      </c>
      <c r="M12" s="6" t="s">
        <v>10</v>
      </c>
      <c r="N12" s="8">
        <v>0.16873568564308306</v>
      </c>
      <c r="P12" s="12">
        <v>2020</v>
      </c>
      <c r="Q12" s="6" t="s">
        <v>250</v>
      </c>
      <c r="R12" s="8">
        <v>0.23594999999999999</v>
      </c>
      <c r="S12" s="6" t="s">
        <v>249</v>
      </c>
    </row>
    <row r="13" spans="1:19" x14ac:dyDescent="0.45">
      <c r="C13" s="5">
        <v>1.3470319634703196E-2</v>
      </c>
      <c r="D13" s="5">
        <v>1.985099735640471E-2</v>
      </c>
      <c r="E13" s="3" t="s">
        <v>11</v>
      </c>
      <c r="F13" s="3" t="s">
        <v>245</v>
      </c>
      <c r="H13" s="3" t="s">
        <v>246</v>
      </c>
      <c r="I13" s="3" t="s">
        <v>11</v>
      </c>
      <c r="J13" s="3"/>
      <c r="L13" s="3" t="s">
        <v>247</v>
      </c>
      <c r="M13" s="3" t="s">
        <v>11</v>
      </c>
      <c r="N13" s="5">
        <v>0.11237607209617062</v>
      </c>
      <c r="P13" s="11">
        <v>2020</v>
      </c>
      <c r="Q13" s="3" t="s">
        <v>251</v>
      </c>
      <c r="R13" s="5">
        <v>0.13090000000000002</v>
      </c>
      <c r="S13" s="3" t="s">
        <v>249</v>
      </c>
    </row>
    <row r="14" spans="1:19" x14ac:dyDescent="0.45">
      <c r="C14" s="8">
        <v>1.3470319634703196E-2</v>
      </c>
      <c r="D14" s="8">
        <v>1.6839121895432966E-2</v>
      </c>
      <c r="E14" s="6" t="s">
        <v>12</v>
      </c>
      <c r="F14" s="6" t="s">
        <v>245</v>
      </c>
      <c r="H14" s="6" t="s">
        <v>246</v>
      </c>
      <c r="I14" s="6" t="s">
        <v>12</v>
      </c>
      <c r="J14" s="6"/>
      <c r="L14" s="6" t="s">
        <v>247</v>
      </c>
      <c r="M14" s="6" t="s">
        <v>12</v>
      </c>
      <c r="N14" s="8">
        <v>7.8571107732913426E-2</v>
      </c>
      <c r="P14" s="12">
        <v>2020</v>
      </c>
      <c r="Q14" s="6" t="s">
        <v>252</v>
      </c>
      <c r="R14" s="8">
        <v>0.14729999999999999</v>
      </c>
      <c r="S14" s="6" t="s">
        <v>249</v>
      </c>
    </row>
    <row r="15" spans="1:19" x14ac:dyDescent="0.45">
      <c r="C15" s="5">
        <v>1.3470319634703196E-2</v>
      </c>
      <c r="D15" s="5">
        <v>1.6702218465388795E-2</v>
      </c>
      <c r="E15" s="3" t="s">
        <v>13</v>
      </c>
      <c r="F15" s="3" t="s">
        <v>245</v>
      </c>
      <c r="H15" s="3" t="s">
        <v>246</v>
      </c>
      <c r="I15" s="3" t="s">
        <v>13</v>
      </c>
      <c r="J15" s="3"/>
      <c r="L15" s="3" t="s">
        <v>247</v>
      </c>
      <c r="M15" s="3" t="s">
        <v>13</v>
      </c>
      <c r="N15" s="5">
        <v>7.4660052906905916E-2</v>
      </c>
      <c r="P15" s="11">
        <v>2020</v>
      </c>
      <c r="Q15" s="3" t="s">
        <v>253</v>
      </c>
      <c r="R15" s="5">
        <v>0.19269999999999998</v>
      </c>
      <c r="S15" s="3" t="s">
        <v>249</v>
      </c>
    </row>
    <row r="16" spans="1:19" x14ac:dyDescent="0.45">
      <c r="C16" s="8">
        <v>1.3470319634703196E-2</v>
      </c>
      <c r="D16" s="8">
        <v>1.7660542475697986E-2</v>
      </c>
      <c r="E16" s="6" t="s">
        <v>14</v>
      </c>
      <c r="F16" s="6" t="s">
        <v>245</v>
      </c>
      <c r="H16" s="6" t="s">
        <v>246</v>
      </c>
      <c r="I16" s="6" t="s">
        <v>14</v>
      </c>
      <c r="J16" s="6"/>
      <c r="L16" s="6" t="s">
        <v>247</v>
      </c>
      <c r="M16" s="6" t="s">
        <v>14</v>
      </c>
      <c r="N16" s="8">
        <v>7.9031271442569828E-2</v>
      </c>
      <c r="P16" s="12">
        <v>2020</v>
      </c>
      <c r="Q16" s="6" t="s">
        <v>254</v>
      </c>
      <c r="R16" s="8">
        <v>0.30584999999999996</v>
      </c>
      <c r="S16" s="6" t="s">
        <v>249</v>
      </c>
    </row>
    <row r="17" spans="3:19" x14ac:dyDescent="0.45">
      <c r="C17" s="5">
        <v>1.3470319634703196E-2</v>
      </c>
      <c r="D17" s="5">
        <v>2.3273583107508974E-2</v>
      </c>
      <c r="E17" s="3" t="s">
        <v>15</v>
      </c>
      <c r="F17" s="3" t="s">
        <v>245</v>
      </c>
      <c r="H17" s="3" t="s">
        <v>246</v>
      </c>
      <c r="I17" s="3" t="s">
        <v>15</v>
      </c>
      <c r="J17" s="3"/>
      <c r="L17" s="3" t="s">
        <v>247</v>
      </c>
      <c r="M17" s="3" t="s">
        <v>15</v>
      </c>
      <c r="N17" s="5">
        <v>7.8429940255070552E-2</v>
      </c>
      <c r="P17" s="11">
        <v>2021</v>
      </c>
      <c r="Q17" s="3" t="s">
        <v>248</v>
      </c>
      <c r="R17" s="5">
        <v>0.20255000000000001</v>
      </c>
      <c r="S17" s="3" t="s">
        <v>249</v>
      </c>
    </row>
    <row r="18" spans="3:19" x14ac:dyDescent="0.45">
      <c r="C18" s="8">
        <v>1.3470319634703196E-2</v>
      </c>
      <c r="D18" s="8">
        <v>2.3273583107508974E-2</v>
      </c>
      <c r="E18" s="6" t="s">
        <v>16</v>
      </c>
      <c r="F18" s="6" t="s">
        <v>245</v>
      </c>
      <c r="H18" s="6" t="s">
        <v>246</v>
      </c>
      <c r="I18" s="6" t="s">
        <v>16</v>
      </c>
      <c r="J18" s="6"/>
      <c r="L18" s="6" t="s">
        <v>247</v>
      </c>
      <c r="M18" s="6" t="s">
        <v>16</v>
      </c>
      <c r="N18" s="8">
        <v>6.9855882578868655E-2</v>
      </c>
      <c r="P18" s="12">
        <v>2021</v>
      </c>
      <c r="Q18" s="6" t="s">
        <v>250</v>
      </c>
      <c r="R18" s="8">
        <v>0.21190000000000001</v>
      </c>
      <c r="S18" s="6" t="s">
        <v>249</v>
      </c>
    </row>
    <row r="19" spans="3:19" x14ac:dyDescent="0.45">
      <c r="C19" s="5">
        <v>1.3470319634703196E-2</v>
      </c>
      <c r="D19" s="5">
        <v>1.5646106290762338E-2</v>
      </c>
      <c r="E19" s="3" t="s">
        <v>17</v>
      </c>
      <c r="F19" s="3" t="s">
        <v>245</v>
      </c>
      <c r="H19" s="3" t="s">
        <v>246</v>
      </c>
      <c r="I19" s="3" t="s">
        <v>17</v>
      </c>
      <c r="J19" s="3"/>
      <c r="L19" s="3" t="s">
        <v>247</v>
      </c>
      <c r="M19" s="3" t="s">
        <v>17</v>
      </c>
      <c r="N19" s="5">
        <v>8.3717422245655593E-2</v>
      </c>
      <c r="P19" s="11">
        <v>2021</v>
      </c>
      <c r="Q19" s="3" t="s">
        <v>251</v>
      </c>
      <c r="R19" s="5">
        <v>0.10249999999999999</v>
      </c>
      <c r="S19" s="3" t="s">
        <v>249</v>
      </c>
    </row>
    <row r="20" spans="3:19" x14ac:dyDescent="0.45">
      <c r="C20" s="8">
        <v>2.0205479452054795E-2</v>
      </c>
      <c r="D20" s="8">
        <v>9.7788164317264611E-3</v>
      </c>
      <c r="E20" s="6" t="s">
        <v>18</v>
      </c>
      <c r="F20" s="6" t="s">
        <v>245</v>
      </c>
      <c r="H20" s="6" t="s">
        <v>246</v>
      </c>
      <c r="I20" s="6" t="s">
        <v>18</v>
      </c>
      <c r="J20" s="6"/>
      <c r="L20" s="6" t="s">
        <v>247</v>
      </c>
      <c r="M20" s="6" t="s">
        <v>18</v>
      </c>
      <c r="N20" s="8">
        <v>0.10765644311457256</v>
      </c>
      <c r="P20" s="12">
        <v>2021</v>
      </c>
      <c r="Q20" s="6" t="s">
        <v>252</v>
      </c>
      <c r="R20" s="8">
        <v>7.0599999999999996E-2</v>
      </c>
      <c r="S20" s="6" t="s">
        <v>249</v>
      </c>
    </row>
    <row r="21" spans="3:19" x14ac:dyDescent="0.45">
      <c r="C21" s="5">
        <v>3.4817351598173514E-2</v>
      </c>
      <c r="D21" s="5">
        <v>5.4191217296903106E-3</v>
      </c>
      <c r="E21" s="3" t="s">
        <v>19</v>
      </c>
      <c r="F21" s="3" t="s">
        <v>245</v>
      </c>
      <c r="H21" s="3" t="s">
        <v>246</v>
      </c>
      <c r="I21" s="3" t="s">
        <v>19</v>
      </c>
      <c r="J21" s="3"/>
      <c r="L21" s="3" t="s">
        <v>247</v>
      </c>
      <c r="M21" s="3" t="s">
        <v>19</v>
      </c>
      <c r="N21" s="5">
        <v>0.1199573296397034</v>
      </c>
      <c r="P21" s="11">
        <v>2021</v>
      </c>
      <c r="Q21" s="3" t="s">
        <v>253</v>
      </c>
      <c r="R21" s="5">
        <v>0.15465000000000001</v>
      </c>
      <c r="S21" s="3" t="s">
        <v>249</v>
      </c>
    </row>
    <row r="22" spans="3:19" x14ac:dyDescent="0.45">
      <c r="C22" s="8">
        <v>1.3926940639269407E-2</v>
      </c>
      <c r="D22" s="8">
        <v>1.3830892772791687E-2</v>
      </c>
      <c r="E22" s="6" t="s">
        <v>20</v>
      </c>
      <c r="F22" s="6" t="s">
        <v>245</v>
      </c>
      <c r="H22" s="6" t="s">
        <v>246</v>
      </c>
      <c r="I22" s="6" t="s">
        <v>20</v>
      </c>
      <c r="J22" s="6"/>
      <c r="L22" s="6" t="s">
        <v>247</v>
      </c>
      <c r="M22" s="6" t="s">
        <v>20</v>
      </c>
      <c r="N22" s="8">
        <v>0.18387283418293232</v>
      </c>
      <c r="P22" s="12">
        <v>2021</v>
      </c>
      <c r="Q22" s="6" t="s">
        <v>254</v>
      </c>
      <c r="R22" s="8">
        <v>0.26555000000000001</v>
      </c>
      <c r="S22" s="6" t="s">
        <v>249</v>
      </c>
    </row>
    <row r="23" spans="3:19" x14ac:dyDescent="0.45">
      <c r="C23" s="5">
        <v>1.3926940639269407E-2</v>
      </c>
      <c r="D23" s="5">
        <v>2.0523912521028597E-2</v>
      </c>
      <c r="E23" s="3" t="s">
        <v>21</v>
      </c>
      <c r="F23" s="3" t="s">
        <v>245</v>
      </c>
      <c r="H23" s="3" t="s">
        <v>246</v>
      </c>
      <c r="I23" s="3" t="s">
        <v>21</v>
      </c>
      <c r="J23" s="3"/>
      <c r="L23" s="3" t="s">
        <v>247</v>
      </c>
      <c r="M23" s="3" t="s">
        <v>21</v>
      </c>
      <c r="N23" s="5">
        <v>0.13352703468040072</v>
      </c>
      <c r="P23" s="11">
        <v>2022</v>
      </c>
      <c r="Q23" s="3" t="s">
        <v>248</v>
      </c>
      <c r="R23" s="5">
        <v>0.26029999999999998</v>
      </c>
      <c r="S23" s="3" t="s">
        <v>249</v>
      </c>
    </row>
    <row r="24" spans="3:19" x14ac:dyDescent="0.45">
      <c r="C24" s="8">
        <v>1.3926940639269407E-2</v>
      </c>
      <c r="D24" s="8">
        <v>1.7409939586803577E-2</v>
      </c>
      <c r="E24" s="6" t="s">
        <v>22</v>
      </c>
      <c r="F24" s="6" t="s">
        <v>245</v>
      </c>
      <c r="H24" s="6" t="s">
        <v>246</v>
      </c>
      <c r="I24" s="6" t="s">
        <v>22</v>
      </c>
      <c r="J24" s="6"/>
      <c r="L24" s="6" t="s">
        <v>247</v>
      </c>
      <c r="M24" s="6" t="s">
        <v>22</v>
      </c>
      <c r="N24" s="8">
        <v>8.9068050678144939E-2</v>
      </c>
      <c r="P24" s="12">
        <v>2022</v>
      </c>
      <c r="Q24" s="6" t="s">
        <v>250</v>
      </c>
      <c r="R24" s="8">
        <v>0.17080000000000001</v>
      </c>
      <c r="S24" s="6" t="s">
        <v>249</v>
      </c>
    </row>
    <row r="25" spans="3:19" x14ac:dyDescent="0.45">
      <c r="C25" s="5">
        <v>1.3926940639269407E-2</v>
      </c>
      <c r="D25" s="5">
        <v>1.7268395362520613E-2</v>
      </c>
      <c r="E25" s="3" t="s">
        <v>23</v>
      </c>
      <c r="F25" s="3" t="s">
        <v>245</v>
      </c>
      <c r="H25" s="3" t="s">
        <v>246</v>
      </c>
      <c r="I25" s="3" t="s">
        <v>23</v>
      </c>
      <c r="J25" s="3"/>
      <c r="L25" s="3" t="s">
        <v>247</v>
      </c>
      <c r="M25" s="3" t="s">
        <v>23</v>
      </c>
      <c r="N25" s="5">
        <v>9.2193399342911153E-2</v>
      </c>
      <c r="P25" s="11">
        <v>2022</v>
      </c>
      <c r="Q25" s="3" t="s">
        <v>251</v>
      </c>
      <c r="R25" s="5">
        <v>0.13084999999999999</v>
      </c>
      <c r="S25" s="3" t="s">
        <v>249</v>
      </c>
    </row>
    <row r="26" spans="3:19" x14ac:dyDescent="0.45">
      <c r="C26" s="8">
        <v>1.3926940639269407E-2</v>
      </c>
      <c r="D26" s="8">
        <v>1.8259204932501306E-2</v>
      </c>
      <c r="E26" s="6" t="s">
        <v>24</v>
      </c>
      <c r="F26" s="6" t="s">
        <v>245</v>
      </c>
      <c r="H26" s="6" t="s">
        <v>246</v>
      </c>
      <c r="I26" s="6" t="s">
        <v>24</v>
      </c>
      <c r="J26" s="6"/>
      <c r="L26" s="6" t="s">
        <v>247</v>
      </c>
      <c r="M26" s="6" t="s">
        <v>24</v>
      </c>
      <c r="N26" s="8">
        <v>9.9519314503609957E-2</v>
      </c>
      <c r="P26" s="12">
        <v>2022</v>
      </c>
      <c r="Q26" s="6" t="s">
        <v>252</v>
      </c>
      <c r="R26" s="8">
        <v>0.10125000000000001</v>
      </c>
      <c r="S26" s="6" t="s">
        <v>249</v>
      </c>
    </row>
    <row r="27" spans="3:19" x14ac:dyDescent="0.45">
      <c r="C27" s="5">
        <v>1.3926940639269407E-2</v>
      </c>
      <c r="D27" s="5">
        <v>2.4062518128102495E-2</v>
      </c>
      <c r="E27" s="3" t="s">
        <v>25</v>
      </c>
      <c r="F27" s="3" t="s">
        <v>245</v>
      </c>
      <c r="H27" s="3" t="s">
        <v>246</v>
      </c>
      <c r="I27" s="3" t="s">
        <v>25</v>
      </c>
      <c r="J27" s="3"/>
      <c r="L27" s="3" t="s">
        <v>247</v>
      </c>
      <c r="M27" s="3" t="s">
        <v>25</v>
      </c>
      <c r="N27" s="5">
        <v>0.10186490731357956</v>
      </c>
      <c r="P27" s="11">
        <v>2022</v>
      </c>
      <c r="Q27" s="3" t="s">
        <v>253</v>
      </c>
      <c r="R27" s="5">
        <v>0.1515</v>
      </c>
      <c r="S27" s="3" t="s">
        <v>249</v>
      </c>
    </row>
    <row r="28" spans="3:19" x14ac:dyDescent="0.45">
      <c r="C28" s="8">
        <v>1.3926940639269407E-2</v>
      </c>
      <c r="D28" s="8">
        <v>2.4062518128102495E-2</v>
      </c>
      <c r="E28" s="6" t="s">
        <v>26</v>
      </c>
      <c r="F28" s="6" t="s">
        <v>245</v>
      </c>
      <c r="H28" s="6" t="s">
        <v>246</v>
      </c>
      <c r="I28" s="6" t="s">
        <v>26</v>
      </c>
      <c r="J28" s="6"/>
      <c r="L28" s="6" t="s">
        <v>247</v>
      </c>
      <c r="M28" s="6" t="s">
        <v>26</v>
      </c>
      <c r="N28" s="8">
        <v>9.2584439944182417E-2</v>
      </c>
      <c r="P28" s="12">
        <v>2022</v>
      </c>
      <c r="Q28" s="6" t="s">
        <v>254</v>
      </c>
      <c r="R28" s="8">
        <v>0.23475000000000001</v>
      </c>
      <c r="S28" s="6" t="s">
        <v>249</v>
      </c>
    </row>
    <row r="29" spans="3:19" x14ac:dyDescent="0.45">
      <c r="C29" s="5">
        <v>1.3926940639269407E-2</v>
      </c>
      <c r="D29" s="5">
        <v>1.6176482775194956E-2</v>
      </c>
      <c r="E29" s="3" t="s">
        <v>27</v>
      </c>
      <c r="F29" s="3" t="s">
        <v>245</v>
      </c>
      <c r="H29" s="3" t="s">
        <v>246</v>
      </c>
      <c r="I29" s="3" t="s">
        <v>27</v>
      </c>
      <c r="J29" s="3"/>
      <c r="L29" s="3" t="s">
        <v>247</v>
      </c>
      <c r="M29" s="3" t="s">
        <v>27</v>
      </c>
      <c r="N29" s="5">
        <v>0.11062790371007369</v>
      </c>
      <c r="P29" s="11">
        <v>2025</v>
      </c>
      <c r="Q29" s="3" t="s">
        <v>248</v>
      </c>
      <c r="R29" s="5">
        <v>0.44455</v>
      </c>
      <c r="S29" s="3" t="s">
        <v>249</v>
      </c>
    </row>
    <row r="30" spans="3:19" x14ac:dyDescent="0.45">
      <c r="C30" s="8">
        <v>2.0890410958904111E-2</v>
      </c>
      <c r="D30" s="8">
        <v>1.0110301734496849E-2</v>
      </c>
      <c r="E30" s="6" t="s">
        <v>28</v>
      </c>
      <c r="F30" s="6" t="s">
        <v>245</v>
      </c>
      <c r="H30" s="6" t="s">
        <v>246</v>
      </c>
      <c r="I30" s="6" t="s">
        <v>28</v>
      </c>
      <c r="J30" s="6"/>
      <c r="L30" s="6" t="s">
        <v>247</v>
      </c>
      <c r="M30" s="6" t="s">
        <v>28</v>
      </c>
      <c r="N30" s="8">
        <v>0.14893742495750506</v>
      </c>
      <c r="P30" s="12">
        <v>2025</v>
      </c>
      <c r="Q30" s="6" t="s">
        <v>250</v>
      </c>
      <c r="R30" s="8">
        <v>0.38519999999999999</v>
      </c>
      <c r="S30" s="6" t="s">
        <v>249</v>
      </c>
    </row>
    <row r="31" spans="3:19" x14ac:dyDescent="0.45">
      <c r="C31" s="5">
        <v>3.4817351598173514E-2</v>
      </c>
      <c r="D31" s="5">
        <v>5.4191217296903106E-3</v>
      </c>
      <c r="E31" s="3" t="s">
        <v>29</v>
      </c>
      <c r="F31" s="3" t="s">
        <v>245</v>
      </c>
      <c r="H31" s="3" t="s">
        <v>246</v>
      </c>
      <c r="I31" s="3" t="s">
        <v>29</v>
      </c>
      <c r="J31" s="3"/>
      <c r="L31" s="3" t="s">
        <v>247</v>
      </c>
      <c r="M31" s="3" t="s">
        <v>29</v>
      </c>
      <c r="N31" s="5">
        <v>0.10365009145240922</v>
      </c>
      <c r="P31" s="11">
        <v>2025</v>
      </c>
      <c r="Q31" s="3" t="s">
        <v>251</v>
      </c>
      <c r="R31" s="5">
        <v>0.22044999999999998</v>
      </c>
      <c r="S31" s="3" t="s">
        <v>249</v>
      </c>
    </row>
    <row r="32" spans="3:19" x14ac:dyDescent="0.45">
      <c r="C32" s="8">
        <v>1.3926940639269407E-2</v>
      </c>
      <c r="D32" s="8">
        <v>1.3830892772791687E-2</v>
      </c>
      <c r="E32" s="6" t="s">
        <v>30</v>
      </c>
      <c r="F32" s="6" t="s">
        <v>245</v>
      </c>
      <c r="H32" s="6" t="s">
        <v>246</v>
      </c>
      <c r="I32" s="6" t="s">
        <v>30</v>
      </c>
      <c r="J32" s="6"/>
      <c r="L32" s="6" t="s">
        <v>247</v>
      </c>
      <c r="M32" s="6" t="s">
        <v>30</v>
      </c>
      <c r="N32" s="8">
        <v>0.18936376145084299</v>
      </c>
      <c r="P32" s="12">
        <v>2025</v>
      </c>
      <c r="Q32" s="6" t="s">
        <v>252</v>
      </c>
      <c r="R32" s="8">
        <v>0.25980000000000003</v>
      </c>
      <c r="S32" s="6" t="s">
        <v>249</v>
      </c>
    </row>
    <row r="33" spans="3:19" x14ac:dyDescent="0.45">
      <c r="C33" s="5">
        <v>1.3926940639269407E-2</v>
      </c>
      <c r="D33" s="5">
        <v>2.0523912521028597E-2</v>
      </c>
      <c r="E33" s="3" t="s">
        <v>31</v>
      </c>
      <c r="F33" s="3" t="s">
        <v>245</v>
      </c>
      <c r="H33" s="3" t="s">
        <v>246</v>
      </c>
      <c r="I33" s="3" t="s">
        <v>31</v>
      </c>
      <c r="J33" s="3"/>
      <c r="L33" s="3" t="s">
        <v>247</v>
      </c>
      <c r="M33" s="3" t="s">
        <v>31</v>
      </c>
      <c r="N33" s="5">
        <v>0.16897308160833457</v>
      </c>
      <c r="P33" s="11">
        <v>2025</v>
      </c>
      <c r="Q33" s="3" t="s">
        <v>253</v>
      </c>
      <c r="R33" s="5">
        <v>0.28384999999999999</v>
      </c>
      <c r="S33" s="3" t="s">
        <v>249</v>
      </c>
    </row>
    <row r="34" spans="3:19" x14ac:dyDescent="0.45">
      <c r="C34" s="8">
        <v>1.3926940639269407E-2</v>
      </c>
      <c r="D34" s="8">
        <v>1.7409939586803577E-2</v>
      </c>
      <c r="E34" s="6" t="s">
        <v>32</v>
      </c>
      <c r="F34" s="6" t="s">
        <v>245</v>
      </c>
      <c r="H34" s="6" t="s">
        <v>246</v>
      </c>
      <c r="I34" s="6" t="s">
        <v>32</v>
      </c>
      <c r="J34" s="6"/>
      <c r="L34" s="6" t="s">
        <v>247</v>
      </c>
      <c r="M34" s="6" t="s">
        <v>32</v>
      </c>
      <c r="N34" s="8">
        <v>9.9178083799007721E-2</v>
      </c>
      <c r="P34" s="12">
        <v>2025</v>
      </c>
      <c r="Q34" s="6" t="s">
        <v>254</v>
      </c>
      <c r="R34" s="8">
        <v>0.41215000000000002</v>
      </c>
      <c r="S34" s="6" t="s">
        <v>249</v>
      </c>
    </row>
    <row r="35" spans="3:19" x14ac:dyDescent="0.45">
      <c r="C35" s="5">
        <v>1.3926940639269407E-2</v>
      </c>
      <c r="D35" s="5">
        <v>1.7268395362520613E-2</v>
      </c>
      <c r="E35" s="3" t="s">
        <v>33</v>
      </c>
      <c r="F35" s="3" t="s">
        <v>245</v>
      </c>
      <c r="H35" s="3" t="s">
        <v>246</v>
      </c>
      <c r="I35" s="3" t="s">
        <v>33</v>
      </c>
      <c r="J35" s="3"/>
      <c r="L35" s="3" t="s">
        <v>247</v>
      </c>
      <c r="M35" s="3" t="s">
        <v>33</v>
      </c>
      <c r="N35" s="5">
        <v>9.9640331509039726E-2</v>
      </c>
      <c r="P35" s="11">
        <v>2026</v>
      </c>
      <c r="Q35" s="3" t="s">
        <v>248</v>
      </c>
      <c r="R35" s="5">
        <v>0.47465000000000002</v>
      </c>
      <c r="S35" s="3" t="s">
        <v>249</v>
      </c>
    </row>
    <row r="36" spans="3:19" x14ac:dyDescent="0.45">
      <c r="C36" s="8">
        <v>1.3926940639269407E-2</v>
      </c>
      <c r="D36" s="8">
        <v>1.8259204932501306E-2</v>
      </c>
      <c r="E36" s="6" t="s">
        <v>34</v>
      </c>
      <c r="F36" s="6" t="s">
        <v>245</v>
      </c>
      <c r="H36" s="6" t="s">
        <v>246</v>
      </c>
      <c r="I36" s="6" t="s">
        <v>34</v>
      </c>
      <c r="J36" s="6"/>
      <c r="L36" s="6" t="s">
        <v>247</v>
      </c>
      <c r="M36" s="6" t="s">
        <v>34</v>
      </c>
      <c r="N36" s="8">
        <v>9.3349451761988167E-2</v>
      </c>
      <c r="P36" s="12">
        <v>2026</v>
      </c>
      <c r="Q36" s="6" t="s">
        <v>250</v>
      </c>
      <c r="R36" s="8">
        <v>0.3906</v>
      </c>
      <c r="S36" s="6" t="s">
        <v>249</v>
      </c>
    </row>
    <row r="37" spans="3:19" x14ac:dyDescent="0.45">
      <c r="C37" s="5">
        <v>1.3926940639269407E-2</v>
      </c>
      <c r="D37" s="5">
        <v>2.4062518128102495E-2</v>
      </c>
      <c r="E37" s="3" t="s">
        <v>35</v>
      </c>
      <c r="F37" s="3" t="s">
        <v>245</v>
      </c>
      <c r="H37" s="3" t="s">
        <v>246</v>
      </c>
      <c r="I37" s="3" t="s">
        <v>35</v>
      </c>
      <c r="J37" s="3"/>
      <c r="L37" s="3" t="s">
        <v>247</v>
      </c>
      <c r="M37" s="3" t="s">
        <v>35</v>
      </c>
      <c r="N37" s="5">
        <v>9.4089993508424064E-2</v>
      </c>
      <c r="P37" s="11">
        <v>2026</v>
      </c>
      <c r="Q37" s="3" t="s">
        <v>251</v>
      </c>
      <c r="R37" s="5">
        <v>0.20619999999999999</v>
      </c>
      <c r="S37" s="3" t="s">
        <v>249</v>
      </c>
    </row>
    <row r="38" spans="3:19" x14ac:dyDescent="0.45">
      <c r="C38" s="8">
        <v>1.3926940639269407E-2</v>
      </c>
      <c r="D38" s="8">
        <v>2.4062518128102495E-2</v>
      </c>
      <c r="E38" s="6" t="s">
        <v>36</v>
      </c>
      <c r="F38" s="6" t="s">
        <v>245</v>
      </c>
      <c r="H38" s="6" t="s">
        <v>246</v>
      </c>
      <c r="I38" s="6" t="s">
        <v>36</v>
      </c>
      <c r="J38" s="6"/>
      <c r="L38" s="6" t="s">
        <v>247</v>
      </c>
      <c r="M38" s="6" t="s">
        <v>36</v>
      </c>
      <c r="N38" s="8">
        <v>9.9871972323472447E-2</v>
      </c>
      <c r="P38" s="12">
        <v>2026</v>
      </c>
      <c r="Q38" s="6" t="s">
        <v>252</v>
      </c>
      <c r="R38" s="8">
        <v>0.19364999999999999</v>
      </c>
      <c r="S38" s="6" t="s">
        <v>249</v>
      </c>
    </row>
    <row r="39" spans="3:19" x14ac:dyDescent="0.45">
      <c r="C39" s="5">
        <v>1.3926940639269407E-2</v>
      </c>
      <c r="D39" s="5">
        <v>1.6176482775194956E-2</v>
      </c>
      <c r="E39" s="3" t="s">
        <v>37</v>
      </c>
      <c r="F39" s="3" t="s">
        <v>245</v>
      </c>
      <c r="H39" s="3" t="s">
        <v>246</v>
      </c>
      <c r="I39" s="3" t="s">
        <v>37</v>
      </c>
      <c r="J39" s="3"/>
      <c r="L39" s="3" t="s">
        <v>247</v>
      </c>
      <c r="M39" s="3" t="s">
        <v>37</v>
      </c>
      <c r="N39" s="5">
        <v>9.2206790123456894E-2</v>
      </c>
      <c r="P39" s="11">
        <v>2026</v>
      </c>
      <c r="Q39" s="3" t="s">
        <v>253</v>
      </c>
      <c r="R39" s="5">
        <v>0.30369999999999997</v>
      </c>
      <c r="S39" s="3" t="s">
        <v>249</v>
      </c>
    </row>
    <row r="40" spans="3:19" x14ac:dyDescent="0.45">
      <c r="C40" s="8">
        <v>2.0890410958904111E-2</v>
      </c>
      <c r="D40" s="8">
        <v>1.0110301734496849E-2</v>
      </c>
      <c r="E40" s="6" t="s">
        <v>38</v>
      </c>
      <c r="F40" s="6" t="s">
        <v>245</v>
      </c>
      <c r="H40" s="6" t="s">
        <v>246</v>
      </c>
      <c r="I40" s="6" t="s">
        <v>38</v>
      </c>
      <c r="J40" s="6"/>
      <c r="L40" s="6" t="s">
        <v>247</v>
      </c>
      <c r="M40" s="6" t="s">
        <v>38</v>
      </c>
      <c r="N40" s="8">
        <v>0.12283367637033615</v>
      </c>
      <c r="P40" s="12">
        <v>2026</v>
      </c>
      <c r="Q40" s="6" t="s">
        <v>254</v>
      </c>
      <c r="R40" s="8">
        <v>0.40095000000000003</v>
      </c>
      <c r="S40" s="6" t="s">
        <v>249</v>
      </c>
    </row>
    <row r="41" spans="3:19" x14ac:dyDescent="0.45">
      <c r="C41" s="5">
        <v>3.5388127853881277E-2</v>
      </c>
      <c r="D41" s="5">
        <v>5.5079597908327749E-3</v>
      </c>
      <c r="E41" s="3" t="s">
        <v>39</v>
      </c>
      <c r="F41" s="3" t="s">
        <v>245</v>
      </c>
      <c r="H41" s="3" t="s">
        <v>246</v>
      </c>
      <c r="I41" s="3" t="s">
        <v>39</v>
      </c>
      <c r="J41" s="3"/>
      <c r="L41" s="3" t="s">
        <v>247</v>
      </c>
      <c r="M41" s="3" t="s">
        <v>39</v>
      </c>
      <c r="N41" s="5">
        <v>0.12657238649827329</v>
      </c>
      <c r="P41" s="11">
        <v>2027</v>
      </c>
      <c r="Q41" s="3" t="s">
        <v>248</v>
      </c>
      <c r="R41" s="5">
        <v>0.49149999999999999</v>
      </c>
      <c r="S41" s="3" t="s">
        <v>249</v>
      </c>
    </row>
    <row r="42" spans="3:19" x14ac:dyDescent="0.45">
      <c r="C42" s="8">
        <v>1.4155251141552512E-2</v>
      </c>
      <c r="D42" s="8">
        <v>1.4057628719886634E-2</v>
      </c>
      <c r="E42" s="6" t="s">
        <v>40</v>
      </c>
      <c r="F42" s="6" t="s">
        <v>245</v>
      </c>
      <c r="H42" s="6" t="s">
        <v>246</v>
      </c>
      <c r="I42" s="6" t="s">
        <v>40</v>
      </c>
      <c r="J42" s="6"/>
      <c r="L42" s="6" t="s">
        <v>247</v>
      </c>
      <c r="M42" s="6" t="s">
        <v>40</v>
      </c>
      <c r="N42" s="8">
        <v>0.10147097386644477</v>
      </c>
      <c r="P42" s="12">
        <v>2027</v>
      </c>
      <c r="Q42" s="6" t="s">
        <v>250</v>
      </c>
      <c r="R42" s="8">
        <v>0.29709999999999998</v>
      </c>
      <c r="S42" s="6" t="s">
        <v>249</v>
      </c>
    </row>
    <row r="43" spans="3:19" x14ac:dyDescent="0.45">
      <c r="C43" s="5">
        <v>1.4155251141552512E-2</v>
      </c>
      <c r="D43" s="5">
        <v>2.0860370103340541E-2</v>
      </c>
      <c r="E43" s="3" t="s">
        <v>41</v>
      </c>
      <c r="F43" s="3" t="s">
        <v>245</v>
      </c>
      <c r="H43" s="3" t="s">
        <v>246</v>
      </c>
      <c r="I43" s="3" t="s">
        <v>41</v>
      </c>
      <c r="J43" s="3"/>
      <c r="L43" s="3" t="s">
        <v>247</v>
      </c>
      <c r="M43" s="3" t="s">
        <v>41</v>
      </c>
      <c r="N43" s="5">
        <v>0.11947321847286463</v>
      </c>
      <c r="P43" s="11">
        <v>2027</v>
      </c>
      <c r="Q43" s="3" t="s">
        <v>251</v>
      </c>
      <c r="R43" s="5">
        <v>0.19425000000000001</v>
      </c>
      <c r="S43" s="3" t="s">
        <v>249</v>
      </c>
    </row>
    <row r="44" spans="3:19" x14ac:dyDescent="0.45">
      <c r="C44" s="8">
        <v>1.4155251141552512E-2</v>
      </c>
      <c r="D44" s="8">
        <v>1.7695348432488881E-2</v>
      </c>
      <c r="E44" s="6" t="s">
        <v>42</v>
      </c>
      <c r="F44" s="6" t="s">
        <v>245</v>
      </c>
      <c r="H44" s="6" t="s">
        <v>246</v>
      </c>
      <c r="I44" s="6" t="s">
        <v>42</v>
      </c>
      <c r="J44" s="6"/>
      <c r="L44" s="6" t="s">
        <v>247</v>
      </c>
      <c r="M44" s="6" t="s">
        <v>42</v>
      </c>
      <c r="N44" s="8">
        <v>6.5851753136344726E-2</v>
      </c>
      <c r="P44" s="12">
        <v>2027</v>
      </c>
      <c r="Q44" s="6" t="s">
        <v>252</v>
      </c>
      <c r="R44" s="8">
        <v>0.27300000000000002</v>
      </c>
      <c r="S44" s="6" t="s">
        <v>249</v>
      </c>
    </row>
    <row r="45" spans="3:19" x14ac:dyDescent="0.45">
      <c r="C45" s="5">
        <v>1.4155251141552512E-2</v>
      </c>
      <c r="D45" s="5">
        <v>1.7551483811086524E-2</v>
      </c>
      <c r="E45" s="3" t="s">
        <v>43</v>
      </c>
      <c r="F45" s="3" t="s">
        <v>245</v>
      </c>
      <c r="H45" s="3" t="s">
        <v>246</v>
      </c>
      <c r="I45" s="3" t="s">
        <v>43</v>
      </c>
      <c r="J45" s="3"/>
      <c r="L45" s="3" t="s">
        <v>247</v>
      </c>
      <c r="M45" s="3" t="s">
        <v>43</v>
      </c>
      <c r="N45" s="5">
        <v>7.3163345659511991E-2</v>
      </c>
      <c r="P45" s="11">
        <v>2027</v>
      </c>
      <c r="Q45" s="3" t="s">
        <v>253</v>
      </c>
      <c r="R45" s="5">
        <v>0.31659999999999999</v>
      </c>
      <c r="S45" s="3" t="s">
        <v>249</v>
      </c>
    </row>
    <row r="46" spans="3:19" x14ac:dyDescent="0.45">
      <c r="C46" s="8">
        <v>1.4155251141552512E-2</v>
      </c>
      <c r="D46" s="8">
        <v>1.8558536160902969E-2</v>
      </c>
      <c r="E46" s="6" t="s">
        <v>44</v>
      </c>
      <c r="F46" s="6" t="s">
        <v>245</v>
      </c>
      <c r="H46" s="6" t="s">
        <v>246</v>
      </c>
      <c r="I46" s="6" t="s">
        <v>44</v>
      </c>
      <c r="J46" s="6"/>
      <c r="L46" s="6" t="s">
        <v>247</v>
      </c>
      <c r="M46" s="6" t="s">
        <v>44</v>
      </c>
      <c r="N46" s="8">
        <v>7.7917103623054151E-2</v>
      </c>
      <c r="P46" s="12">
        <v>2027</v>
      </c>
      <c r="Q46" s="6" t="s">
        <v>254</v>
      </c>
      <c r="R46" s="8">
        <v>0.44814999999999999</v>
      </c>
      <c r="S46" s="6" t="s">
        <v>249</v>
      </c>
    </row>
    <row r="47" spans="3:19" x14ac:dyDescent="0.45">
      <c r="C47" s="5">
        <v>1.4155251141552512E-2</v>
      </c>
      <c r="D47" s="5">
        <v>2.4456985638399258E-2</v>
      </c>
      <c r="E47" s="3" t="s">
        <v>45</v>
      </c>
      <c r="F47" s="3" t="s">
        <v>245</v>
      </c>
      <c r="H47" s="3" t="s">
        <v>246</v>
      </c>
      <c r="I47" s="3" t="s">
        <v>45</v>
      </c>
      <c r="J47" s="3"/>
      <c r="L47" s="3" t="s">
        <v>247</v>
      </c>
      <c r="M47" s="3" t="s">
        <v>45</v>
      </c>
      <c r="N47" s="5">
        <v>7.5501244726681849E-2</v>
      </c>
      <c r="P47" s="11">
        <v>2028</v>
      </c>
      <c r="Q47" s="3" t="s">
        <v>248</v>
      </c>
      <c r="R47" s="5">
        <v>0.51270000000000004</v>
      </c>
      <c r="S47" s="3" t="s">
        <v>249</v>
      </c>
    </row>
    <row r="48" spans="3:19" x14ac:dyDescent="0.45">
      <c r="C48" s="8">
        <v>1.4155251141552512E-2</v>
      </c>
      <c r="D48" s="8">
        <v>2.4456985638399258E-2</v>
      </c>
      <c r="E48" s="6" t="s">
        <v>46</v>
      </c>
      <c r="F48" s="6" t="s">
        <v>245</v>
      </c>
      <c r="H48" s="6" t="s">
        <v>246</v>
      </c>
      <c r="I48" s="6" t="s">
        <v>46</v>
      </c>
      <c r="J48" s="6"/>
      <c r="L48" s="6" t="s">
        <v>247</v>
      </c>
      <c r="M48" s="6" t="s">
        <v>46</v>
      </c>
      <c r="N48" s="8">
        <v>7.4593300486194059E-2</v>
      </c>
      <c r="P48" s="12">
        <v>2028</v>
      </c>
      <c r="Q48" s="6" t="s">
        <v>250</v>
      </c>
      <c r="R48" s="8">
        <v>0.37514999999999998</v>
      </c>
      <c r="S48" s="6" t="s">
        <v>249</v>
      </c>
    </row>
    <row r="49" spans="3:19" x14ac:dyDescent="0.45">
      <c r="C49" s="5">
        <v>1.4155251141552512E-2</v>
      </c>
      <c r="D49" s="5">
        <v>1.6441671017411268E-2</v>
      </c>
      <c r="E49" s="3" t="s">
        <v>47</v>
      </c>
      <c r="F49" s="3" t="s">
        <v>245</v>
      </c>
      <c r="H49" s="3" t="s">
        <v>246</v>
      </c>
      <c r="I49" s="3" t="s">
        <v>47</v>
      </c>
      <c r="J49" s="3"/>
      <c r="L49" s="3" t="s">
        <v>247</v>
      </c>
      <c r="M49" s="3" t="s">
        <v>47</v>
      </c>
      <c r="N49" s="5">
        <v>7.2371277593379579E-2</v>
      </c>
      <c r="P49" s="11">
        <v>2028</v>
      </c>
      <c r="Q49" s="3" t="s">
        <v>251</v>
      </c>
      <c r="R49" s="5">
        <v>0.14860000000000001</v>
      </c>
      <c r="S49" s="3" t="s">
        <v>249</v>
      </c>
    </row>
    <row r="50" spans="3:19" x14ac:dyDescent="0.45">
      <c r="C50" s="8">
        <v>2.1232876712328767E-2</v>
      </c>
      <c r="D50" s="8">
        <v>1.0276044385882045E-2</v>
      </c>
      <c r="E50" s="6" t="s">
        <v>48</v>
      </c>
      <c r="F50" s="6" t="s">
        <v>245</v>
      </c>
      <c r="H50" s="6" t="s">
        <v>246</v>
      </c>
      <c r="I50" s="6" t="s">
        <v>48</v>
      </c>
      <c r="J50" s="6"/>
      <c r="L50" s="6" t="s">
        <v>247</v>
      </c>
      <c r="M50" s="6" t="s">
        <v>48</v>
      </c>
      <c r="N50" s="8">
        <v>0.12611606024877586</v>
      </c>
      <c r="P50" s="12">
        <v>2028</v>
      </c>
      <c r="Q50" s="6" t="s">
        <v>252</v>
      </c>
      <c r="R50" s="8">
        <v>0.20194999999999999</v>
      </c>
      <c r="S50" s="6" t="s">
        <v>249</v>
      </c>
    </row>
    <row r="51" spans="3:19" x14ac:dyDescent="0.45">
      <c r="C51" s="5">
        <v>3.4817351598173514E-2</v>
      </c>
      <c r="D51" s="5">
        <v>5.4191217296903106E-3</v>
      </c>
      <c r="E51" s="3" t="s">
        <v>49</v>
      </c>
      <c r="F51" s="3" t="s">
        <v>245</v>
      </c>
      <c r="H51" s="3" t="s">
        <v>246</v>
      </c>
      <c r="I51" s="3" t="s">
        <v>49</v>
      </c>
      <c r="J51" s="3"/>
      <c r="L51" s="3" t="s">
        <v>247</v>
      </c>
      <c r="M51" s="3" t="s">
        <v>49</v>
      </c>
      <c r="N51" s="5">
        <v>0.1615416782333492</v>
      </c>
      <c r="P51" s="11">
        <v>2028</v>
      </c>
      <c r="Q51" s="3" t="s">
        <v>253</v>
      </c>
      <c r="R51" s="5">
        <v>0.33589999999999998</v>
      </c>
      <c r="S51" s="3" t="s">
        <v>249</v>
      </c>
    </row>
    <row r="52" spans="3:19" x14ac:dyDescent="0.45">
      <c r="C52" s="8">
        <v>1.3926940639269407E-2</v>
      </c>
      <c r="D52" s="8">
        <v>1.3830892772791687E-2</v>
      </c>
      <c r="E52" s="6" t="s">
        <v>50</v>
      </c>
      <c r="F52" s="6" t="s">
        <v>245</v>
      </c>
      <c r="H52" s="6" t="s">
        <v>246</v>
      </c>
      <c r="I52" s="6" t="s">
        <v>50</v>
      </c>
      <c r="J52" s="6"/>
      <c r="L52" s="6" t="s">
        <v>247</v>
      </c>
      <c r="M52" s="6" t="s">
        <v>50</v>
      </c>
      <c r="N52" s="8">
        <v>0.12715819580077192</v>
      </c>
      <c r="P52" s="12">
        <v>2028</v>
      </c>
      <c r="Q52" s="6" t="s">
        <v>254</v>
      </c>
      <c r="R52" s="8">
        <v>0.41400000000000003</v>
      </c>
      <c r="S52" s="6" t="s">
        <v>249</v>
      </c>
    </row>
    <row r="53" spans="3:19" x14ac:dyDescent="0.45">
      <c r="C53" s="5">
        <v>1.3926940639269407E-2</v>
      </c>
      <c r="D53" s="5">
        <v>2.0523912521028597E-2</v>
      </c>
      <c r="E53" s="3" t="s">
        <v>51</v>
      </c>
      <c r="F53" s="3" t="s">
        <v>245</v>
      </c>
      <c r="H53" s="3" t="s">
        <v>246</v>
      </c>
      <c r="I53" s="3" t="s">
        <v>51</v>
      </c>
      <c r="J53" s="3"/>
      <c r="L53" s="3" t="s">
        <v>247</v>
      </c>
      <c r="M53" s="3" t="s">
        <v>51</v>
      </c>
      <c r="N53" s="5">
        <v>0.14452195680457747</v>
      </c>
      <c r="P53" s="11">
        <v>2029</v>
      </c>
      <c r="Q53" s="3" t="s">
        <v>248</v>
      </c>
      <c r="R53" s="5">
        <v>0.49835000000000002</v>
      </c>
      <c r="S53" s="3" t="s">
        <v>249</v>
      </c>
    </row>
    <row r="54" spans="3:19" x14ac:dyDescent="0.45">
      <c r="C54" s="8">
        <v>1.3926940639269407E-2</v>
      </c>
      <c r="D54" s="8">
        <v>1.7409939586803577E-2</v>
      </c>
      <c r="E54" s="6" t="s">
        <v>52</v>
      </c>
      <c r="F54" s="6" t="s">
        <v>245</v>
      </c>
      <c r="H54" s="6" t="s">
        <v>246</v>
      </c>
      <c r="I54" s="6" t="s">
        <v>52</v>
      </c>
      <c r="J54" s="6"/>
      <c r="L54" s="6" t="s">
        <v>247</v>
      </c>
      <c r="M54" s="6" t="s">
        <v>52</v>
      </c>
      <c r="N54" s="8">
        <v>6.7955355927488359E-2</v>
      </c>
      <c r="P54" s="12">
        <v>2029</v>
      </c>
      <c r="Q54" s="6" t="s">
        <v>250</v>
      </c>
      <c r="R54" s="8">
        <v>0.34709999999999996</v>
      </c>
      <c r="S54" s="6" t="s">
        <v>249</v>
      </c>
    </row>
    <row r="55" spans="3:19" x14ac:dyDescent="0.45">
      <c r="C55" s="5">
        <v>1.3926940639269407E-2</v>
      </c>
      <c r="D55" s="5">
        <v>1.7268395362520613E-2</v>
      </c>
      <c r="E55" s="3" t="s">
        <v>53</v>
      </c>
      <c r="F55" s="3" t="s">
        <v>245</v>
      </c>
      <c r="H55" s="3" t="s">
        <v>246</v>
      </c>
      <c r="I55" s="3" t="s">
        <v>53</v>
      </c>
      <c r="J55" s="3"/>
      <c r="L55" s="3" t="s">
        <v>247</v>
      </c>
      <c r="M55" s="3" t="s">
        <v>53</v>
      </c>
      <c r="N55" s="5">
        <v>6.1737077112155925E-2</v>
      </c>
      <c r="P55" s="11">
        <v>2029</v>
      </c>
      <c r="Q55" s="3" t="s">
        <v>251</v>
      </c>
      <c r="R55" s="5">
        <v>0.19829999999999998</v>
      </c>
      <c r="S55" s="3" t="s">
        <v>249</v>
      </c>
    </row>
    <row r="56" spans="3:19" x14ac:dyDescent="0.45">
      <c r="C56" s="8">
        <v>1.3926940639269407E-2</v>
      </c>
      <c r="D56" s="8">
        <v>1.8259204932501306E-2</v>
      </c>
      <c r="E56" s="6" t="s">
        <v>54</v>
      </c>
      <c r="F56" s="6" t="s">
        <v>245</v>
      </c>
      <c r="H56" s="6" t="s">
        <v>246</v>
      </c>
      <c r="I56" s="6" t="s">
        <v>54</v>
      </c>
      <c r="J56" s="6"/>
      <c r="L56" s="6" t="s">
        <v>247</v>
      </c>
      <c r="M56" s="6" t="s">
        <v>54</v>
      </c>
      <c r="N56" s="8">
        <v>6.6436981304336395E-2</v>
      </c>
      <c r="P56" s="12">
        <v>2029</v>
      </c>
      <c r="Q56" s="6" t="s">
        <v>252</v>
      </c>
      <c r="R56" s="8">
        <v>0.17125000000000001</v>
      </c>
      <c r="S56" s="6" t="s">
        <v>249</v>
      </c>
    </row>
    <row r="57" spans="3:19" x14ac:dyDescent="0.45">
      <c r="C57" s="5">
        <v>1.3926940639269407E-2</v>
      </c>
      <c r="D57" s="5">
        <v>2.4062518128102495E-2</v>
      </c>
      <c r="E57" s="3" t="s">
        <v>55</v>
      </c>
      <c r="F57" s="3" t="s">
        <v>245</v>
      </c>
      <c r="H57" s="3" t="s">
        <v>246</v>
      </c>
      <c r="I57" s="3" t="s">
        <v>55</v>
      </c>
      <c r="J57" s="3"/>
      <c r="L57" s="3" t="s">
        <v>247</v>
      </c>
      <c r="M57" s="3" t="s">
        <v>55</v>
      </c>
      <c r="N57" s="5">
        <v>6.6651062897544966E-2</v>
      </c>
      <c r="P57" s="11">
        <v>2029</v>
      </c>
      <c r="Q57" s="3" t="s">
        <v>253</v>
      </c>
      <c r="R57" s="5">
        <v>0.32815</v>
      </c>
      <c r="S57" s="3" t="s">
        <v>249</v>
      </c>
    </row>
    <row r="58" spans="3:19" x14ac:dyDescent="0.45">
      <c r="C58" s="8">
        <v>1.3926940639269407E-2</v>
      </c>
      <c r="D58" s="8">
        <v>2.4062518128102495E-2</v>
      </c>
      <c r="E58" s="6" t="s">
        <v>56</v>
      </c>
      <c r="F58" s="6" t="s">
        <v>245</v>
      </c>
      <c r="H58" s="6" t="s">
        <v>246</v>
      </c>
      <c r="I58" s="6" t="s">
        <v>56</v>
      </c>
      <c r="J58" s="6"/>
      <c r="L58" s="6" t="s">
        <v>247</v>
      </c>
      <c r="M58" s="6" t="s">
        <v>56</v>
      </c>
      <c r="N58" s="8">
        <v>6.5906218207602452E-2</v>
      </c>
      <c r="P58" s="12">
        <v>2029</v>
      </c>
      <c r="Q58" s="6" t="s">
        <v>254</v>
      </c>
      <c r="R58" s="8">
        <v>0.46215000000000001</v>
      </c>
      <c r="S58" s="6" t="s">
        <v>249</v>
      </c>
    </row>
    <row r="59" spans="3:19" x14ac:dyDescent="0.45">
      <c r="C59" s="5">
        <v>1.3926940639269407E-2</v>
      </c>
      <c r="D59" s="5">
        <v>1.6176482775194956E-2</v>
      </c>
      <c r="E59" s="3" t="s">
        <v>57</v>
      </c>
      <c r="F59" s="3" t="s">
        <v>245</v>
      </c>
      <c r="H59" s="3" t="s">
        <v>246</v>
      </c>
      <c r="I59" s="3" t="s">
        <v>57</v>
      </c>
      <c r="J59" s="3"/>
      <c r="L59" s="3" t="s">
        <v>247</v>
      </c>
      <c r="M59" s="3" t="s">
        <v>57</v>
      </c>
      <c r="N59" s="5">
        <v>7.4050765052237733E-2</v>
      </c>
      <c r="P59" s="11">
        <v>2030</v>
      </c>
      <c r="Q59" s="3" t="s">
        <v>248</v>
      </c>
      <c r="R59" s="5">
        <v>0.48404999999999998</v>
      </c>
      <c r="S59" s="3" t="s">
        <v>249</v>
      </c>
    </row>
    <row r="60" spans="3:19" x14ac:dyDescent="0.45">
      <c r="C60" s="8">
        <v>2.0890410958904111E-2</v>
      </c>
      <c r="D60" s="8">
        <v>1.0110301734496849E-2</v>
      </c>
      <c r="E60" s="6" t="s">
        <v>58</v>
      </c>
      <c r="F60" s="6" t="s">
        <v>245</v>
      </c>
      <c r="H60" s="6" t="s">
        <v>246</v>
      </c>
      <c r="I60" s="6" t="s">
        <v>58</v>
      </c>
      <c r="J60" s="6"/>
      <c r="L60" s="6" t="s">
        <v>247</v>
      </c>
      <c r="M60" s="6" t="s">
        <v>58</v>
      </c>
      <c r="N60" s="8">
        <v>0.1279891422924917</v>
      </c>
      <c r="P60" s="12">
        <v>2030</v>
      </c>
      <c r="Q60" s="6" t="s">
        <v>250</v>
      </c>
      <c r="R60" s="8">
        <v>0.40839999999999999</v>
      </c>
      <c r="S60" s="6" t="s">
        <v>249</v>
      </c>
    </row>
    <row r="61" spans="3:19" x14ac:dyDescent="0.45">
      <c r="C61" s="5">
        <v>3.4817351598173514E-2</v>
      </c>
      <c r="D61" s="5">
        <v>5.4191217296903106E-3</v>
      </c>
      <c r="E61" s="3" t="s">
        <v>59</v>
      </c>
      <c r="F61" s="3" t="s">
        <v>245</v>
      </c>
      <c r="H61" s="3" t="s">
        <v>246</v>
      </c>
      <c r="I61" s="3" t="s">
        <v>59</v>
      </c>
      <c r="J61" s="3"/>
      <c r="L61" s="3" t="s">
        <v>247</v>
      </c>
      <c r="M61" s="3" t="s">
        <v>59</v>
      </c>
      <c r="N61" s="5">
        <v>0.11814360400917434</v>
      </c>
      <c r="P61" s="11">
        <v>2030</v>
      </c>
      <c r="Q61" s="3" t="s">
        <v>251</v>
      </c>
      <c r="R61" s="5">
        <v>0.18725</v>
      </c>
      <c r="S61" s="3" t="s">
        <v>249</v>
      </c>
    </row>
    <row r="62" spans="3:19" x14ac:dyDescent="0.45">
      <c r="C62" s="8">
        <v>1.3926940639269407E-2</v>
      </c>
      <c r="D62" s="8">
        <v>1.3830892772791687E-2</v>
      </c>
      <c r="E62" s="6" t="s">
        <v>60</v>
      </c>
      <c r="F62" s="6" t="s">
        <v>245</v>
      </c>
      <c r="H62" s="6" t="s">
        <v>246</v>
      </c>
      <c r="I62" s="6" t="s">
        <v>60</v>
      </c>
      <c r="J62" s="6"/>
      <c r="L62" s="6" t="s">
        <v>247</v>
      </c>
      <c r="M62" s="6" t="s">
        <v>60</v>
      </c>
      <c r="N62" s="8">
        <v>0.17256612885523004</v>
      </c>
      <c r="P62" s="12">
        <v>2030</v>
      </c>
      <c r="Q62" s="6" t="s">
        <v>252</v>
      </c>
      <c r="R62" s="8">
        <v>0.24575</v>
      </c>
      <c r="S62" s="6" t="s">
        <v>249</v>
      </c>
    </row>
    <row r="63" spans="3:19" x14ac:dyDescent="0.45">
      <c r="C63" s="5">
        <v>1.3926940639269407E-2</v>
      </c>
      <c r="D63" s="5">
        <v>2.0523912521028597E-2</v>
      </c>
      <c r="E63" s="3" t="s">
        <v>61</v>
      </c>
      <c r="F63" s="3" t="s">
        <v>245</v>
      </c>
      <c r="H63" s="3" t="s">
        <v>246</v>
      </c>
      <c r="I63" s="3" t="s">
        <v>61</v>
      </c>
      <c r="J63" s="3"/>
      <c r="L63" s="3" t="s">
        <v>247</v>
      </c>
      <c r="M63" s="3" t="s">
        <v>61</v>
      </c>
      <c r="N63" s="5">
        <v>0.14733549437625704</v>
      </c>
      <c r="P63" s="11">
        <v>2030</v>
      </c>
      <c r="Q63" s="3" t="s">
        <v>253</v>
      </c>
      <c r="R63" s="5">
        <v>0.35150000000000003</v>
      </c>
      <c r="S63" s="3" t="s">
        <v>249</v>
      </c>
    </row>
    <row r="64" spans="3:19" x14ac:dyDescent="0.45">
      <c r="C64" s="8">
        <v>1.3926940639269407E-2</v>
      </c>
      <c r="D64" s="8">
        <v>1.7409939586803577E-2</v>
      </c>
      <c r="E64" s="6" t="s">
        <v>62</v>
      </c>
      <c r="F64" s="6" t="s">
        <v>245</v>
      </c>
      <c r="H64" s="6" t="s">
        <v>246</v>
      </c>
      <c r="I64" s="6" t="s">
        <v>62</v>
      </c>
      <c r="J64" s="6"/>
      <c r="L64" s="6" t="s">
        <v>247</v>
      </c>
      <c r="M64" s="6" t="s">
        <v>62</v>
      </c>
      <c r="N64" s="8">
        <v>0.10361572277177844</v>
      </c>
      <c r="P64" s="12">
        <v>2030</v>
      </c>
      <c r="Q64" s="6" t="s">
        <v>254</v>
      </c>
      <c r="R64" s="8">
        <v>0.48670000000000002</v>
      </c>
      <c r="S64" s="6" t="s">
        <v>249</v>
      </c>
    </row>
    <row r="65" spans="3:19" x14ac:dyDescent="0.45">
      <c r="C65" s="5">
        <v>1.3926940639269407E-2</v>
      </c>
      <c r="D65" s="5">
        <v>1.7268395362520613E-2</v>
      </c>
      <c r="E65" s="3" t="s">
        <v>63</v>
      </c>
      <c r="F65" s="3" t="s">
        <v>245</v>
      </c>
      <c r="H65" s="3" t="s">
        <v>246</v>
      </c>
      <c r="I65" s="3" t="s">
        <v>63</v>
      </c>
      <c r="J65" s="3"/>
      <c r="L65" s="3" t="s">
        <v>247</v>
      </c>
      <c r="M65" s="3" t="s">
        <v>63</v>
      </c>
      <c r="N65" s="5">
        <v>8.9935352735307506E-2</v>
      </c>
      <c r="P65" s="11">
        <v>2031</v>
      </c>
      <c r="Q65" s="3" t="s">
        <v>248</v>
      </c>
      <c r="R65" s="5">
        <v>0.39595000000000002</v>
      </c>
      <c r="S65" s="3" t="s">
        <v>249</v>
      </c>
    </row>
    <row r="66" spans="3:19" x14ac:dyDescent="0.45">
      <c r="C66" s="8">
        <v>1.3926940639269407E-2</v>
      </c>
      <c r="D66" s="8">
        <v>1.8259204932501306E-2</v>
      </c>
      <c r="E66" s="6" t="s">
        <v>64</v>
      </c>
      <c r="F66" s="6" t="s">
        <v>245</v>
      </c>
      <c r="H66" s="6" t="s">
        <v>246</v>
      </c>
      <c r="I66" s="6" t="s">
        <v>64</v>
      </c>
      <c r="J66" s="6"/>
      <c r="L66" s="6" t="s">
        <v>247</v>
      </c>
      <c r="M66" s="6" t="s">
        <v>64</v>
      </c>
      <c r="N66" s="8">
        <v>9.2300370916587271E-2</v>
      </c>
      <c r="P66" s="12">
        <v>2031</v>
      </c>
      <c r="Q66" s="6" t="s">
        <v>250</v>
      </c>
      <c r="R66" s="8">
        <v>0.34009999999999996</v>
      </c>
      <c r="S66" s="6" t="s">
        <v>249</v>
      </c>
    </row>
    <row r="67" spans="3:19" x14ac:dyDescent="0.45">
      <c r="C67" s="5">
        <v>1.3926940639269407E-2</v>
      </c>
      <c r="D67" s="5">
        <v>2.4062518128102495E-2</v>
      </c>
      <c r="E67" s="3" t="s">
        <v>65</v>
      </c>
      <c r="F67" s="3" t="s">
        <v>245</v>
      </c>
      <c r="H67" s="3" t="s">
        <v>246</v>
      </c>
      <c r="I67" s="3" t="s">
        <v>65</v>
      </c>
      <c r="J67" s="3"/>
      <c r="L67" s="3" t="s">
        <v>247</v>
      </c>
      <c r="M67" s="3" t="s">
        <v>65</v>
      </c>
      <c r="N67" s="5">
        <v>9.8354752856401051E-2</v>
      </c>
      <c r="P67" s="11">
        <v>2031</v>
      </c>
      <c r="Q67" s="3" t="s">
        <v>251</v>
      </c>
      <c r="R67" s="5">
        <v>0.1676</v>
      </c>
      <c r="S67" s="3" t="s">
        <v>249</v>
      </c>
    </row>
    <row r="68" spans="3:19" x14ac:dyDescent="0.45">
      <c r="C68" s="8">
        <v>1.3926940639269407E-2</v>
      </c>
      <c r="D68" s="8">
        <v>2.4062518128102495E-2</v>
      </c>
      <c r="E68" s="6" t="s">
        <v>66</v>
      </c>
      <c r="F68" s="6" t="s">
        <v>245</v>
      </c>
      <c r="H68" s="6" t="s">
        <v>246</v>
      </c>
      <c r="I68" s="6" t="s">
        <v>66</v>
      </c>
      <c r="J68" s="6"/>
      <c r="L68" s="6" t="s">
        <v>247</v>
      </c>
      <c r="M68" s="6" t="s">
        <v>66</v>
      </c>
      <c r="N68" s="8">
        <v>8.7590842630373533E-2</v>
      </c>
      <c r="P68" s="12">
        <v>2031</v>
      </c>
      <c r="Q68" s="6" t="s">
        <v>252</v>
      </c>
      <c r="R68" s="8">
        <v>0.19500000000000001</v>
      </c>
      <c r="S68" s="6" t="s">
        <v>249</v>
      </c>
    </row>
    <row r="69" spans="3:19" x14ac:dyDescent="0.45">
      <c r="C69" s="5">
        <v>1.3926940639269407E-2</v>
      </c>
      <c r="D69" s="5">
        <v>1.6176482775194956E-2</v>
      </c>
      <c r="E69" s="3" t="s">
        <v>67</v>
      </c>
      <c r="F69" s="3" t="s">
        <v>245</v>
      </c>
      <c r="H69" s="3" t="s">
        <v>246</v>
      </c>
      <c r="I69" s="3" t="s">
        <v>67</v>
      </c>
      <c r="J69" s="3"/>
      <c r="L69" s="3" t="s">
        <v>247</v>
      </c>
      <c r="M69" s="3" t="s">
        <v>67</v>
      </c>
      <c r="N69" s="5">
        <v>9.0664309712840785E-2</v>
      </c>
      <c r="P69" s="11">
        <v>2031</v>
      </c>
      <c r="Q69" s="3" t="s">
        <v>253</v>
      </c>
      <c r="R69" s="5">
        <v>0.32300000000000001</v>
      </c>
      <c r="S69" s="3" t="s">
        <v>249</v>
      </c>
    </row>
    <row r="70" spans="3:19" x14ac:dyDescent="0.45">
      <c r="C70" s="8">
        <v>2.0890410958904111E-2</v>
      </c>
      <c r="D70" s="8">
        <v>1.0110301734496849E-2</v>
      </c>
      <c r="E70" s="6" t="s">
        <v>68</v>
      </c>
      <c r="F70" s="6" t="s">
        <v>245</v>
      </c>
      <c r="H70" s="6" t="s">
        <v>246</v>
      </c>
      <c r="I70" s="6" t="s">
        <v>68</v>
      </c>
      <c r="J70" s="6"/>
      <c r="L70" s="6" t="s">
        <v>247</v>
      </c>
      <c r="M70" s="6" t="s">
        <v>68</v>
      </c>
      <c r="N70" s="8">
        <v>9.896063481589934E-2</v>
      </c>
      <c r="P70" s="12">
        <v>2031</v>
      </c>
      <c r="Q70" s="6" t="s">
        <v>254</v>
      </c>
      <c r="R70" s="8">
        <v>0.38665000000000005</v>
      </c>
      <c r="S70" s="6" t="s">
        <v>249</v>
      </c>
    </row>
    <row r="71" spans="3:19" x14ac:dyDescent="0.45">
      <c r="H71" s="3" t="s">
        <v>255</v>
      </c>
      <c r="I71" s="3" t="s">
        <v>6</v>
      </c>
      <c r="J71" s="3"/>
      <c r="P71" s="11">
        <v>2032</v>
      </c>
      <c r="Q71" s="3" t="s">
        <v>248</v>
      </c>
      <c r="R71" s="5">
        <v>0.39595000000000002</v>
      </c>
      <c r="S71" s="3" t="s">
        <v>249</v>
      </c>
    </row>
    <row r="72" spans="3:19" x14ac:dyDescent="0.45">
      <c r="H72" s="6" t="s">
        <v>255</v>
      </c>
      <c r="I72" s="6" t="s">
        <v>10</v>
      </c>
      <c r="J72" s="6"/>
      <c r="P72" s="12">
        <v>2032</v>
      </c>
      <c r="Q72" s="6" t="s">
        <v>250</v>
      </c>
      <c r="R72" s="8">
        <v>0.26869999999999999</v>
      </c>
      <c r="S72" s="6" t="s">
        <v>249</v>
      </c>
    </row>
    <row r="73" spans="3:19" x14ac:dyDescent="0.45">
      <c r="H73" s="3" t="s">
        <v>255</v>
      </c>
      <c r="I73" s="3" t="s">
        <v>11</v>
      </c>
      <c r="J73" s="3"/>
      <c r="P73" s="11">
        <v>2032</v>
      </c>
      <c r="Q73" s="3" t="s">
        <v>251</v>
      </c>
      <c r="R73" s="5">
        <v>0.13850000000000001</v>
      </c>
      <c r="S73" s="3" t="s">
        <v>249</v>
      </c>
    </row>
    <row r="74" spans="3:19" x14ac:dyDescent="0.45">
      <c r="H74" s="6" t="s">
        <v>255</v>
      </c>
      <c r="I74" s="6" t="s">
        <v>12</v>
      </c>
      <c r="J74" s="6"/>
      <c r="P74" s="12">
        <v>2032</v>
      </c>
      <c r="Q74" s="6" t="s">
        <v>252</v>
      </c>
      <c r="R74" s="8">
        <v>0.20950000000000002</v>
      </c>
      <c r="S74" s="6" t="s">
        <v>249</v>
      </c>
    </row>
    <row r="75" spans="3:19" x14ac:dyDescent="0.45">
      <c r="H75" s="3" t="s">
        <v>255</v>
      </c>
      <c r="I75" s="3" t="s">
        <v>13</v>
      </c>
      <c r="J75" s="3"/>
      <c r="P75" s="11">
        <v>2032</v>
      </c>
      <c r="Q75" s="3" t="s">
        <v>253</v>
      </c>
      <c r="R75" s="5">
        <v>0.2676</v>
      </c>
      <c r="S75" s="3" t="s">
        <v>249</v>
      </c>
    </row>
    <row r="76" spans="3:19" x14ac:dyDescent="0.45">
      <c r="H76" s="6" t="s">
        <v>255</v>
      </c>
      <c r="I76" s="6" t="s">
        <v>14</v>
      </c>
      <c r="J76" s="6"/>
      <c r="P76" s="12">
        <v>2032</v>
      </c>
      <c r="Q76" s="6" t="s">
        <v>254</v>
      </c>
      <c r="R76" s="8">
        <v>0.41899999999999998</v>
      </c>
      <c r="S76" s="6" t="s">
        <v>249</v>
      </c>
    </row>
    <row r="77" spans="3:19" x14ac:dyDescent="0.45">
      <c r="H77" s="3" t="s">
        <v>255</v>
      </c>
      <c r="I77" s="3" t="s">
        <v>15</v>
      </c>
      <c r="J77" s="3"/>
      <c r="P77" s="11">
        <v>2033</v>
      </c>
      <c r="Q77" s="3" t="s">
        <v>248</v>
      </c>
      <c r="R77" s="5">
        <v>0.30309999999999998</v>
      </c>
      <c r="S77" s="3" t="s">
        <v>249</v>
      </c>
    </row>
    <row r="78" spans="3:19" x14ac:dyDescent="0.45">
      <c r="H78" s="6" t="s">
        <v>255</v>
      </c>
      <c r="I78" s="6" t="s">
        <v>16</v>
      </c>
      <c r="J78" s="6"/>
      <c r="P78" s="12">
        <v>2033</v>
      </c>
      <c r="Q78" s="6" t="s">
        <v>250</v>
      </c>
      <c r="R78" s="8">
        <v>0.23899999999999999</v>
      </c>
      <c r="S78" s="6" t="s">
        <v>249</v>
      </c>
    </row>
    <row r="79" spans="3:19" x14ac:dyDescent="0.45">
      <c r="H79" s="3" t="s">
        <v>255</v>
      </c>
      <c r="I79" s="3" t="s">
        <v>17</v>
      </c>
      <c r="J79" s="3"/>
      <c r="P79" s="11">
        <v>2033</v>
      </c>
      <c r="Q79" s="3" t="s">
        <v>251</v>
      </c>
      <c r="R79" s="5">
        <v>0.11890000000000001</v>
      </c>
      <c r="S79" s="3" t="s">
        <v>249</v>
      </c>
    </row>
    <row r="80" spans="3:19" x14ac:dyDescent="0.45">
      <c r="H80" s="6" t="s">
        <v>255</v>
      </c>
      <c r="I80" s="6" t="s">
        <v>18</v>
      </c>
      <c r="J80" s="6"/>
      <c r="P80" s="12">
        <v>2033</v>
      </c>
      <c r="Q80" s="6" t="s">
        <v>252</v>
      </c>
      <c r="R80" s="8">
        <v>0.14660000000000001</v>
      </c>
      <c r="S80" s="6" t="s">
        <v>249</v>
      </c>
    </row>
    <row r="81" spans="8:19" x14ac:dyDescent="0.45">
      <c r="H81" s="3" t="s">
        <v>255</v>
      </c>
      <c r="I81" s="3" t="s">
        <v>19</v>
      </c>
      <c r="J81" s="3"/>
      <c r="P81" s="11">
        <v>2033</v>
      </c>
      <c r="Q81" s="3" t="s">
        <v>253</v>
      </c>
      <c r="R81" s="5">
        <v>0.25209999999999999</v>
      </c>
      <c r="S81" s="3" t="s">
        <v>249</v>
      </c>
    </row>
    <row r="82" spans="8:19" x14ac:dyDescent="0.45">
      <c r="H82" s="6" t="s">
        <v>255</v>
      </c>
      <c r="I82" s="6" t="s">
        <v>20</v>
      </c>
      <c r="J82" s="6"/>
      <c r="P82" s="12">
        <v>2033</v>
      </c>
      <c r="Q82" s="6" t="s">
        <v>254</v>
      </c>
      <c r="R82" s="8">
        <v>0.39015</v>
      </c>
      <c r="S82" s="6" t="s">
        <v>249</v>
      </c>
    </row>
    <row r="83" spans="8:19" x14ac:dyDescent="0.45">
      <c r="H83" s="3" t="s">
        <v>255</v>
      </c>
      <c r="I83" s="3" t="s">
        <v>21</v>
      </c>
      <c r="J83" s="3"/>
      <c r="P83" s="11">
        <v>2034</v>
      </c>
      <c r="Q83" s="3" t="s">
        <v>248</v>
      </c>
      <c r="R83" s="5">
        <v>0.41464999999999996</v>
      </c>
      <c r="S83" s="3" t="s">
        <v>249</v>
      </c>
    </row>
    <row r="84" spans="8:19" x14ac:dyDescent="0.45">
      <c r="H84" s="6" t="s">
        <v>255</v>
      </c>
      <c r="I84" s="6" t="s">
        <v>22</v>
      </c>
      <c r="J84" s="6"/>
      <c r="P84" s="12">
        <v>2034</v>
      </c>
      <c r="Q84" s="6" t="s">
        <v>250</v>
      </c>
      <c r="R84" s="8">
        <v>0.28115000000000001</v>
      </c>
      <c r="S84" s="6" t="s">
        <v>249</v>
      </c>
    </row>
    <row r="85" spans="8:19" x14ac:dyDescent="0.45">
      <c r="H85" s="3" t="s">
        <v>255</v>
      </c>
      <c r="I85" s="3" t="s">
        <v>23</v>
      </c>
      <c r="J85" s="3"/>
      <c r="P85" s="11">
        <v>2034</v>
      </c>
      <c r="Q85" s="3" t="s">
        <v>251</v>
      </c>
      <c r="R85" s="5">
        <v>0.18130000000000002</v>
      </c>
      <c r="S85" s="3" t="s">
        <v>249</v>
      </c>
    </row>
    <row r="86" spans="8:19" x14ac:dyDescent="0.45">
      <c r="H86" s="6" t="s">
        <v>255</v>
      </c>
      <c r="I86" s="6" t="s">
        <v>24</v>
      </c>
      <c r="J86" s="6"/>
      <c r="P86" s="12">
        <v>2034</v>
      </c>
      <c r="Q86" s="6" t="s">
        <v>252</v>
      </c>
      <c r="R86" s="8">
        <v>0.12740000000000001</v>
      </c>
      <c r="S86" s="6" t="s">
        <v>249</v>
      </c>
    </row>
    <row r="87" spans="8:19" x14ac:dyDescent="0.45">
      <c r="H87" s="3" t="s">
        <v>255</v>
      </c>
      <c r="I87" s="3" t="s">
        <v>25</v>
      </c>
      <c r="J87" s="3"/>
      <c r="P87" s="11">
        <v>2034</v>
      </c>
      <c r="Q87" s="3" t="s">
        <v>253</v>
      </c>
      <c r="R87" s="5">
        <v>0.2157</v>
      </c>
      <c r="S87" s="3" t="s">
        <v>249</v>
      </c>
    </row>
    <row r="88" spans="8:19" x14ac:dyDescent="0.45">
      <c r="H88" s="6" t="s">
        <v>255</v>
      </c>
      <c r="I88" s="6" t="s">
        <v>26</v>
      </c>
      <c r="J88" s="6"/>
      <c r="P88" s="12">
        <v>2034</v>
      </c>
      <c r="Q88" s="6" t="s">
        <v>254</v>
      </c>
      <c r="R88" s="8">
        <v>0.37335000000000002</v>
      </c>
      <c r="S88" s="6" t="s">
        <v>249</v>
      </c>
    </row>
    <row r="89" spans="8:19" x14ac:dyDescent="0.45">
      <c r="H89" s="3" t="s">
        <v>255</v>
      </c>
      <c r="I89" s="3" t="s">
        <v>27</v>
      </c>
      <c r="J89" s="3"/>
      <c r="P89" s="11">
        <v>2035</v>
      </c>
      <c r="Q89" s="3" t="s">
        <v>248</v>
      </c>
      <c r="R89" s="5">
        <v>0.42030000000000001</v>
      </c>
      <c r="S89" s="3" t="s">
        <v>249</v>
      </c>
    </row>
    <row r="90" spans="8:19" x14ac:dyDescent="0.45">
      <c r="H90" s="6" t="s">
        <v>255</v>
      </c>
      <c r="I90" s="6" t="s">
        <v>28</v>
      </c>
      <c r="J90" s="6"/>
      <c r="P90" s="12">
        <v>2035</v>
      </c>
      <c r="Q90" s="6" t="s">
        <v>250</v>
      </c>
      <c r="R90" s="8">
        <v>0.23644999999999999</v>
      </c>
      <c r="S90" s="6" t="s">
        <v>249</v>
      </c>
    </row>
    <row r="91" spans="8:19" x14ac:dyDescent="0.45">
      <c r="H91" s="3" t="s">
        <v>255</v>
      </c>
      <c r="I91" s="3" t="s">
        <v>29</v>
      </c>
      <c r="J91" s="3"/>
      <c r="P91" s="11">
        <v>2035</v>
      </c>
      <c r="Q91" s="3" t="s">
        <v>251</v>
      </c>
      <c r="R91" s="5">
        <v>0.17394999999999999</v>
      </c>
      <c r="S91" s="3" t="s">
        <v>249</v>
      </c>
    </row>
    <row r="92" spans="8:19" x14ac:dyDescent="0.45">
      <c r="H92" s="6" t="s">
        <v>255</v>
      </c>
      <c r="I92" s="6" t="s">
        <v>30</v>
      </c>
      <c r="J92" s="6"/>
      <c r="P92" s="12">
        <v>2035</v>
      </c>
      <c r="Q92" s="6" t="s">
        <v>252</v>
      </c>
      <c r="R92" s="8">
        <v>0.16525000000000001</v>
      </c>
      <c r="S92" s="6" t="s">
        <v>249</v>
      </c>
    </row>
    <row r="93" spans="8:19" x14ac:dyDescent="0.45">
      <c r="H93" s="3" t="s">
        <v>255</v>
      </c>
      <c r="I93" s="3" t="s">
        <v>31</v>
      </c>
      <c r="J93" s="3"/>
      <c r="P93" s="11">
        <v>2035</v>
      </c>
      <c r="Q93" s="3" t="s">
        <v>253</v>
      </c>
      <c r="R93" s="5">
        <v>0.2571</v>
      </c>
      <c r="S93" s="3" t="s">
        <v>249</v>
      </c>
    </row>
    <row r="94" spans="8:19" x14ac:dyDescent="0.45">
      <c r="H94" s="6" t="s">
        <v>255</v>
      </c>
      <c r="I94" s="6" t="s">
        <v>32</v>
      </c>
      <c r="J94" s="6"/>
      <c r="P94" s="12">
        <v>2035</v>
      </c>
      <c r="Q94" s="6" t="s">
        <v>254</v>
      </c>
      <c r="R94" s="8">
        <v>0.34784999999999999</v>
      </c>
      <c r="S94" s="6" t="s">
        <v>249</v>
      </c>
    </row>
    <row r="95" spans="8:19" x14ac:dyDescent="0.45">
      <c r="H95" s="3" t="s">
        <v>255</v>
      </c>
      <c r="I95" s="3" t="s">
        <v>33</v>
      </c>
      <c r="J95" s="3"/>
      <c r="P95" s="11">
        <v>2036</v>
      </c>
      <c r="Q95" s="3" t="s">
        <v>248</v>
      </c>
      <c r="R95" s="5">
        <v>0.36434999999999995</v>
      </c>
      <c r="S95" s="3" t="s">
        <v>249</v>
      </c>
    </row>
    <row r="96" spans="8:19" x14ac:dyDescent="0.45">
      <c r="H96" s="6" t="s">
        <v>255</v>
      </c>
      <c r="I96" s="6" t="s">
        <v>34</v>
      </c>
      <c r="J96" s="6"/>
      <c r="P96" s="12">
        <v>2036</v>
      </c>
      <c r="Q96" s="6" t="s">
        <v>250</v>
      </c>
      <c r="R96" s="8">
        <v>0.2296</v>
      </c>
      <c r="S96" s="6" t="s">
        <v>249</v>
      </c>
    </row>
    <row r="97" spans="8:19" x14ac:dyDescent="0.45">
      <c r="H97" s="3" t="s">
        <v>255</v>
      </c>
      <c r="I97" s="3" t="s">
        <v>35</v>
      </c>
      <c r="J97" s="3"/>
      <c r="P97" s="11">
        <v>2036</v>
      </c>
      <c r="Q97" s="3" t="s">
        <v>251</v>
      </c>
      <c r="R97" s="5">
        <v>0.18915000000000001</v>
      </c>
      <c r="S97" s="3" t="s">
        <v>249</v>
      </c>
    </row>
    <row r="98" spans="8:19" x14ac:dyDescent="0.45">
      <c r="H98" s="6" t="s">
        <v>255</v>
      </c>
      <c r="I98" s="6" t="s">
        <v>36</v>
      </c>
      <c r="J98" s="6"/>
      <c r="P98" s="12">
        <v>2036</v>
      </c>
      <c r="Q98" s="6" t="s">
        <v>252</v>
      </c>
      <c r="R98" s="8">
        <v>0.21229999999999999</v>
      </c>
      <c r="S98" s="6" t="s">
        <v>249</v>
      </c>
    </row>
    <row r="99" spans="8:19" x14ac:dyDescent="0.45">
      <c r="H99" s="3" t="s">
        <v>255</v>
      </c>
      <c r="I99" s="3" t="s">
        <v>37</v>
      </c>
      <c r="J99" s="3"/>
      <c r="P99" s="11">
        <v>2036</v>
      </c>
      <c r="Q99" s="3" t="s">
        <v>253</v>
      </c>
      <c r="R99" s="5">
        <v>0.29730000000000001</v>
      </c>
      <c r="S99" s="3" t="s">
        <v>249</v>
      </c>
    </row>
    <row r="100" spans="8:19" x14ac:dyDescent="0.45">
      <c r="H100" s="6" t="s">
        <v>255</v>
      </c>
      <c r="I100" s="6" t="s">
        <v>38</v>
      </c>
      <c r="J100" s="6"/>
      <c r="P100" s="12">
        <v>2036</v>
      </c>
      <c r="Q100" s="6" t="s">
        <v>254</v>
      </c>
      <c r="R100" s="8">
        <v>0.38219999999999998</v>
      </c>
      <c r="S100" s="6" t="s">
        <v>249</v>
      </c>
    </row>
    <row r="101" spans="8:19" x14ac:dyDescent="0.45">
      <c r="H101" s="3" t="s">
        <v>255</v>
      </c>
      <c r="I101" s="3" t="s">
        <v>39</v>
      </c>
      <c r="J101" s="3"/>
      <c r="P101" s="11">
        <v>2037</v>
      </c>
      <c r="Q101" s="3" t="s">
        <v>248</v>
      </c>
      <c r="R101" s="5">
        <v>0.37114999999999998</v>
      </c>
      <c r="S101" s="3" t="s">
        <v>249</v>
      </c>
    </row>
    <row r="102" spans="8:19" x14ac:dyDescent="0.45">
      <c r="H102" s="6" t="s">
        <v>255</v>
      </c>
      <c r="I102" s="6" t="s">
        <v>40</v>
      </c>
      <c r="J102" s="6"/>
      <c r="P102" s="12">
        <v>2037</v>
      </c>
      <c r="Q102" s="6" t="s">
        <v>250</v>
      </c>
      <c r="R102" s="8">
        <v>0.24704999999999999</v>
      </c>
      <c r="S102" s="6" t="s">
        <v>249</v>
      </c>
    </row>
    <row r="103" spans="8:19" x14ac:dyDescent="0.45">
      <c r="H103" s="3" t="s">
        <v>255</v>
      </c>
      <c r="I103" s="3" t="s">
        <v>41</v>
      </c>
      <c r="J103" s="3"/>
      <c r="P103" s="11">
        <v>2037</v>
      </c>
      <c r="Q103" s="3" t="s">
        <v>251</v>
      </c>
      <c r="R103" s="5">
        <v>0.15060000000000001</v>
      </c>
      <c r="S103" s="3" t="s">
        <v>249</v>
      </c>
    </row>
    <row r="104" spans="8:19" x14ac:dyDescent="0.45">
      <c r="H104" s="6" t="s">
        <v>255</v>
      </c>
      <c r="I104" s="6" t="s">
        <v>42</v>
      </c>
      <c r="J104" s="6"/>
      <c r="P104" s="12">
        <v>2037</v>
      </c>
      <c r="Q104" s="6" t="s">
        <v>252</v>
      </c>
      <c r="R104" s="8">
        <v>0.16144999999999998</v>
      </c>
      <c r="S104" s="6" t="s">
        <v>249</v>
      </c>
    </row>
    <row r="105" spans="8:19" x14ac:dyDescent="0.45">
      <c r="H105" s="3" t="s">
        <v>255</v>
      </c>
      <c r="I105" s="3" t="s">
        <v>43</v>
      </c>
      <c r="J105" s="3"/>
      <c r="P105" s="11">
        <v>2037</v>
      </c>
      <c r="Q105" s="3" t="s">
        <v>253</v>
      </c>
      <c r="R105" s="5">
        <v>0.22159999999999999</v>
      </c>
      <c r="S105" s="3" t="s">
        <v>249</v>
      </c>
    </row>
    <row r="106" spans="8:19" x14ac:dyDescent="0.45">
      <c r="H106" s="6" t="s">
        <v>255</v>
      </c>
      <c r="I106" s="6" t="s">
        <v>44</v>
      </c>
      <c r="J106" s="6"/>
      <c r="P106" s="12">
        <v>2037</v>
      </c>
      <c r="Q106" s="6" t="s">
        <v>254</v>
      </c>
      <c r="R106" s="8">
        <v>0.2586</v>
      </c>
      <c r="S106" s="6" t="s">
        <v>249</v>
      </c>
    </row>
    <row r="107" spans="8:19" x14ac:dyDescent="0.45">
      <c r="H107" s="3" t="s">
        <v>255</v>
      </c>
      <c r="I107" s="3" t="s">
        <v>45</v>
      </c>
      <c r="J107" s="3"/>
      <c r="P107" s="11">
        <v>2038</v>
      </c>
      <c r="Q107" s="3" t="s">
        <v>248</v>
      </c>
      <c r="R107" s="5">
        <v>0.42430000000000001</v>
      </c>
      <c r="S107" s="3" t="s">
        <v>249</v>
      </c>
    </row>
    <row r="108" spans="8:19" x14ac:dyDescent="0.45">
      <c r="H108" s="6" t="s">
        <v>255</v>
      </c>
      <c r="I108" s="6" t="s">
        <v>46</v>
      </c>
      <c r="J108" s="6"/>
      <c r="P108" s="12">
        <v>2038</v>
      </c>
      <c r="Q108" s="6" t="s">
        <v>250</v>
      </c>
      <c r="R108" s="8">
        <v>0.32055</v>
      </c>
      <c r="S108" s="6" t="s">
        <v>249</v>
      </c>
    </row>
    <row r="109" spans="8:19" x14ac:dyDescent="0.45">
      <c r="H109" s="3" t="s">
        <v>255</v>
      </c>
      <c r="I109" s="3" t="s">
        <v>47</v>
      </c>
      <c r="J109" s="3"/>
      <c r="P109" s="11">
        <v>2038</v>
      </c>
      <c r="Q109" s="3" t="s">
        <v>251</v>
      </c>
      <c r="R109" s="5">
        <v>0.18440000000000001</v>
      </c>
      <c r="S109" s="3" t="s">
        <v>249</v>
      </c>
    </row>
    <row r="110" spans="8:19" x14ac:dyDescent="0.45">
      <c r="H110" s="6" t="s">
        <v>255</v>
      </c>
      <c r="I110" s="6" t="s">
        <v>48</v>
      </c>
      <c r="J110" s="6"/>
      <c r="P110" s="12">
        <v>2038</v>
      </c>
      <c r="Q110" s="6" t="s">
        <v>252</v>
      </c>
      <c r="R110" s="8">
        <v>0.14360000000000001</v>
      </c>
      <c r="S110" s="6" t="s">
        <v>249</v>
      </c>
    </row>
    <row r="111" spans="8:19" x14ac:dyDescent="0.45">
      <c r="H111" s="3" t="s">
        <v>255</v>
      </c>
      <c r="I111" s="3" t="s">
        <v>49</v>
      </c>
      <c r="J111" s="3"/>
      <c r="P111" s="11">
        <v>2038</v>
      </c>
      <c r="Q111" s="3" t="s">
        <v>253</v>
      </c>
      <c r="R111" s="5">
        <v>0.23215000000000002</v>
      </c>
      <c r="S111" s="3" t="s">
        <v>249</v>
      </c>
    </row>
    <row r="112" spans="8:19" x14ac:dyDescent="0.45">
      <c r="H112" s="6" t="s">
        <v>255</v>
      </c>
      <c r="I112" s="6" t="s">
        <v>50</v>
      </c>
      <c r="J112" s="6"/>
      <c r="P112" s="12">
        <v>2038</v>
      </c>
      <c r="Q112" s="6" t="s">
        <v>254</v>
      </c>
      <c r="R112" s="8">
        <v>0.35599999999999998</v>
      </c>
      <c r="S112" s="6" t="s">
        <v>249</v>
      </c>
    </row>
    <row r="113" spans="8:19" x14ac:dyDescent="0.45">
      <c r="H113" s="3" t="s">
        <v>255</v>
      </c>
      <c r="I113" s="3" t="s">
        <v>51</v>
      </c>
      <c r="J113" s="3"/>
      <c r="P113" s="11">
        <v>2039</v>
      </c>
      <c r="Q113" s="3" t="s">
        <v>248</v>
      </c>
      <c r="R113" s="5">
        <v>0.38245000000000001</v>
      </c>
      <c r="S113" s="3" t="s">
        <v>249</v>
      </c>
    </row>
    <row r="114" spans="8:19" x14ac:dyDescent="0.45">
      <c r="H114" s="6" t="s">
        <v>255</v>
      </c>
      <c r="I114" s="6" t="s">
        <v>52</v>
      </c>
      <c r="J114" s="6"/>
      <c r="P114" s="12">
        <v>2039</v>
      </c>
      <c r="Q114" s="6" t="s">
        <v>250</v>
      </c>
      <c r="R114" s="8">
        <v>0.19409999999999999</v>
      </c>
      <c r="S114" s="6" t="s">
        <v>249</v>
      </c>
    </row>
    <row r="115" spans="8:19" x14ac:dyDescent="0.45">
      <c r="H115" s="3" t="s">
        <v>255</v>
      </c>
      <c r="I115" s="3" t="s">
        <v>53</v>
      </c>
      <c r="J115" s="3"/>
      <c r="P115" s="11">
        <v>2039</v>
      </c>
      <c r="Q115" s="3" t="s">
        <v>251</v>
      </c>
      <c r="R115" s="5">
        <v>0.15844999999999998</v>
      </c>
      <c r="S115" s="3" t="s">
        <v>249</v>
      </c>
    </row>
    <row r="116" spans="8:19" x14ac:dyDescent="0.45">
      <c r="H116" s="6" t="s">
        <v>255</v>
      </c>
      <c r="I116" s="6" t="s">
        <v>54</v>
      </c>
      <c r="J116" s="6"/>
      <c r="P116" s="12">
        <v>2039</v>
      </c>
      <c r="Q116" s="6" t="s">
        <v>252</v>
      </c>
      <c r="R116" s="8">
        <v>0.16225000000000001</v>
      </c>
      <c r="S116" s="6" t="s">
        <v>249</v>
      </c>
    </row>
    <row r="117" spans="8:19" x14ac:dyDescent="0.45">
      <c r="H117" s="3" t="s">
        <v>255</v>
      </c>
      <c r="I117" s="3" t="s">
        <v>55</v>
      </c>
      <c r="J117" s="3"/>
      <c r="P117" s="11">
        <v>2039</v>
      </c>
      <c r="Q117" s="3" t="s">
        <v>253</v>
      </c>
      <c r="R117" s="5">
        <v>0.23160000000000003</v>
      </c>
      <c r="S117" s="3" t="s">
        <v>249</v>
      </c>
    </row>
    <row r="118" spans="8:19" x14ac:dyDescent="0.45">
      <c r="H118" s="6" t="s">
        <v>255</v>
      </c>
      <c r="I118" s="6" t="s">
        <v>56</v>
      </c>
      <c r="J118" s="6"/>
      <c r="P118" s="12">
        <v>2039</v>
      </c>
      <c r="Q118" s="6" t="s">
        <v>254</v>
      </c>
      <c r="R118" s="8">
        <v>0.35304999999999997</v>
      </c>
      <c r="S118" s="6" t="s">
        <v>249</v>
      </c>
    </row>
    <row r="119" spans="8:19" x14ac:dyDescent="0.45">
      <c r="H119" s="3" t="s">
        <v>255</v>
      </c>
      <c r="I119" s="3" t="s">
        <v>57</v>
      </c>
      <c r="J119" s="3"/>
      <c r="P119" s="11">
        <v>2040</v>
      </c>
      <c r="Q119" s="3" t="s">
        <v>248</v>
      </c>
      <c r="R119" s="5">
        <v>0.32579999999999998</v>
      </c>
      <c r="S119" s="3" t="s">
        <v>249</v>
      </c>
    </row>
    <row r="120" spans="8:19" x14ac:dyDescent="0.45">
      <c r="H120" s="6" t="s">
        <v>255</v>
      </c>
      <c r="I120" s="6" t="s">
        <v>58</v>
      </c>
      <c r="J120" s="6"/>
      <c r="P120" s="12">
        <v>2040</v>
      </c>
      <c r="Q120" s="6" t="s">
        <v>250</v>
      </c>
      <c r="R120" s="8">
        <v>0.2132</v>
      </c>
      <c r="S120" s="6" t="s">
        <v>249</v>
      </c>
    </row>
    <row r="121" spans="8:19" x14ac:dyDescent="0.45">
      <c r="H121" s="3" t="s">
        <v>255</v>
      </c>
      <c r="I121" s="3" t="s">
        <v>59</v>
      </c>
      <c r="J121" s="3"/>
      <c r="P121" s="11">
        <v>2040</v>
      </c>
      <c r="Q121" s="3" t="s">
        <v>251</v>
      </c>
      <c r="R121" s="5">
        <v>0.16494999999999999</v>
      </c>
      <c r="S121" s="3" t="s">
        <v>249</v>
      </c>
    </row>
    <row r="122" spans="8:19" x14ac:dyDescent="0.45">
      <c r="H122" s="6" t="s">
        <v>255</v>
      </c>
      <c r="I122" s="6" t="s">
        <v>60</v>
      </c>
      <c r="J122" s="6"/>
      <c r="P122" s="12">
        <v>2040</v>
      </c>
      <c r="Q122" s="6" t="s">
        <v>252</v>
      </c>
      <c r="R122" s="8">
        <v>0.16639999999999999</v>
      </c>
      <c r="S122" s="6" t="s">
        <v>249</v>
      </c>
    </row>
    <row r="123" spans="8:19" x14ac:dyDescent="0.45">
      <c r="H123" s="3" t="s">
        <v>255</v>
      </c>
      <c r="I123" s="3" t="s">
        <v>61</v>
      </c>
      <c r="J123" s="3"/>
      <c r="P123" s="11">
        <v>2040</v>
      </c>
      <c r="Q123" s="3" t="s">
        <v>253</v>
      </c>
      <c r="R123" s="5">
        <v>0.27629999999999999</v>
      </c>
      <c r="S123" s="3" t="s">
        <v>249</v>
      </c>
    </row>
    <row r="124" spans="8:19" x14ac:dyDescent="0.45">
      <c r="H124" s="6" t="s">
        <v>255</v>
      </c>
      <c r="I124" s="6" t="s">
        <v>62</v>
      </c>
      <c r="J124" s="6"/>
      <c r="P124" s="12">
        <v>2040</v>
      </c>
      <c r="Q124" s="6" t="s">
        <v>254</v>
      </c>
      <c r="R124" s="8">
        <v>0.33865000000000001</v>
      </c>
      <c r="S124" s="6" t="s">
        <v>249</v>
      </c>
    </row>
    <row r="125" spans="8:19" x14ac:dyDescent="0.45">
      <c r="H125" s="3" t="s">
        <v>255</v>
      </c>
      <c r="I125" s="3" t="s">
        <v>63</v>
      </c>
      <c r="J125" s="3"/>
      <c r="P125" s="11">
        <v>2041</v>
      </c>
      <c r="Q125" s="3" t="s">
        <v>248</v>
      </c>
      <c r="R125" s="5">
        <v>0.41769999999999996</v>
      </c>
      <c r="S125" s="3" t="s">
        <v>249</v>
      </c>
    </row>
    <row r="126" spans="8:19" x14ac:dyDescent="0.45">
      <c r="H126" s="6" t="s">
        <v>255</v>
      </c>
      <c r="I126" s="6" t="s">
        <v>64</v>
      </c>
      <c r="J126" s="6"/>
      <c r="P126" s="12">
        <v>2041</v>
      </c>
      <c r="Q126" s="6" t="s">
        <v>250</v>
      </c>
      <c r="R126" s="8">
        <v>0.32369999999999999</v>
      </c>
      <c r="S126" s="6" t="s">
        <v>249</v>
      </c>
    </row>
    <row r="127" spans="8:19" x14ac:dyDescent="0.45">
      <c r="H127" s="3" t="s">
        <v>255</v>
      </c>
      <c r="I127" s="3" t="s">
        <v>65</v>
      </c>
      <c r="J127" s="3"/>
      <c r="P127" s="11">
        <v>2041</v>
      </c>
      <c r="Q127" s="3" t="s">
        <v>251</v>
      </c>
      <c r="R127" s="5">
        <v>0.14734999999999998</v>
      </c>
      <c r="S127" s="3" t="s">
        <v>249</v>
      </c>
    </row>
    <row r="128" spans="8:19" x14ac:dyDescent="0.45">
      <c r="H128" s="6" t="s">
        <v>255</v>
      </c>
      <c r="I128" s="6" t="s">
        <v>66</v>
      </c>
      <c r="J128" s="6"/>
      <c r="P128" s="12">
        <v>2041</v>
      </c>
      <c r="Q128" s="6" t="s">
        <v>252</v>
      </c>
      <c r="R128" s="8">
        <v>0.22610000000000002</v>
      </c>
      <c r="S128" s="6" t="s">
        <v>249</v>
      </c>
    </row>
    <row r="129" spans="8:19" x14ac:dyDescent="0.45">
      <c r="H129" s="3" t="s">
        <v>255</v>
      </c>
      <c r="I129" s="3" t="s">
        <v>67</v>
      </c>
      <c r="J129" s="3"/>
      <c r="P129" s="11">
        <v>2041</v>
      </c>
      <c r="Q129" s="3" t="s">
        <v>253</v>
      </c>
      <c r="R129" s="5">
        <v>0.32214999999999999</v>
      </c>
      <c r="S129" s="3" t="s">
        <v>249</v>
      </c>
    </row>
    <row r="130" spans="8:19" x14ac:dyDescent="0.45">
      <c r="H130" s="6" t="s">
        <v>255</v>
      </c>
      <c r="I130" s="6" t="s">
        <v>68</v>
      </c>
      <c r="J130" s="6"/>
      <c r="P130" s="12">
        <v>2041</v>
      </c>
      <c r="Q130" s="6" t="s">
        <v>254</v>
      </c>
      <c r="R130" s="8">
        <v>0.39019999999999999</v>
      </c>
      <c r="S130" s="6" t="s">
        <v>249</v>
      </c>
    </row>
    <row r="131" spans="8:19" x14ac:dyDescent="0.45">
      <c r="P131" s="11">
        <v>2042</v>
      </c>
      <c r="Q131" s="3" t="s">
        <v>248</v>
      </c>
      <c r="R131" s="5">
        <v>0.46205000000000002</v>
      </c>
      <c r="S131" s="3" t="s">
        <v>249</v>
      </c>
    </row>
    <row r="132" spans="8:19" x14ac:dyDescent="0.45">
      <c r="P132" s="12">
        <v>2042</v>
      </c>
      <c r="Q132" s="6" t="s">
        <v>250</v>
      </c>
      <c r="R132" s="8">
        <v>0.31059999999999999</v>
      </c>
      <c r="S132" s="6" t="s">
        <v>249</v>
      </c>
    </row>
    <row r="133" spans="8:19" x14ac:dyDescent="0.45">
      <c r="P133" s="11">
        <v>2042</v>
      </c>
      <c r="Q133" s="3" t="s">
        <v>251</v>
      </c>
      <c r="R133" s="5">
        <v>0.20174999999999998</v>
      </c>
      <c r="S133" s="3" t="s">
        <v>249</v>
      </c>
    </row>
    <row r="134" spans="8:19" x14ac:dyDescent="0.45">
      <c r="P134" s="12">
        <v>2042</v>
      </c>
      <c r="Q134" s="6" t="s">
        <v>252</v>
      </c>
      <c r="R134" s="8">
        <v>0.16835</v>
      </c>
      <c r="S134" s="6" t="s">
        <v>249</v>
      </c>
    </row>
    <row r="135" spans="8:19" x14ac:dyDescent="0.45">
      <c r="P135" s="11">
        <v>2042</v>
      </c>
      <c r="Q135" s="3" t="s">
        <v>253</v>
      </c>
      <c r="R135" s="5">
        <v>0.28234999999999999</v>
      </c>
      <c r="S135" s="3" t="s">
        <v>249</v>
      </c>
    </row>
    <row r="136" spans="8:19" x14ac:dyDescent="0.45">
      <c r="P136" s="12">
        <v>2042</v>
      </c>
      <c r="Q136" s="6" t="s">
        <v>254</v>
      </c>
      <c r="R136" s="8">
        <v>0.42554999999999998</v>
      </c>
      <c r="S136" s="6" t="s">
        <v>249</v>
      </c>
    </row>
    <row r="137" spans="8:19" x14ac:dyDescent="0.45">
      <c r="P137" s="11">
        <v>2043</v>
      </c>
      <c r="Q137" s="3" t="s">
        <v>248</v>
      </c>
      <c r="R137" s="5">
        <v>0.48135</v>
      </c>
      <c r="S137" s="3" t="s">
        <v>249</v>
      </c>
    </row>
    <row r="138" spans="8:19" x14ac:dyDescent="0.45">
      <c r="P138" s="12">
        <v>2043</v>
      </c>
      <c r="Q138" s="6" t="s">
        <v>250</v>
      </c>
      <c r="R138" s="8">
        <v>0.3029</v>
      </c>
      <c r="S138" s="6" t="s">
        <v>249</v>
      </c>
    </row>
    <row r="139" spans="8:19" x14ac:dyDescent="0.45">
      <c r="P139" s="11">
        <v>2043</v>
      </c>
      <c r="Q139" s="3" t="s">
        <v>251</v>
      </c>
      <c r="R139" s="5">
        <v>0.20824999999999999</v>
      </c>
      <c r="S139" s="3" t="s">
        <v>249</v>
      </c>
    </row>
    <row r="140" spans="8:19" x14ac:dyDescent="0.45">
      <c r="P140" s="12">
        <v>2043</v>
      </c>
      <c r="Q140" s="6" t="s">
        <v>252</v>
      </c>
      <c r="R140" s="8">
        <v>0.20155000000000001</v>
      </c>
      <c r="S140" s="6" t="s">
        <v>249</v>
      </c>
    </row>
    <row r="141" spans="8:19" x14ac:dyDescent="0.45">
      <c r="P141" s="11">
        <v>2043</v>
      </c>
      <c r="Q141" s="3" t="s">
        <v>253</v>
      </c>
      <c r="R141" s="5">
        <v>0.30105000000000004</v>
      </c>
      <c r="S141" s="3" t="s">
        <v>249</v>
      </c>
    </row>
    <row r="142" spans="8:19" x14ac:dyDescent="0.45">
      <c r="P142" s="12">
        <v>2043</v>
      </c>
      <c r="Q142" s="6" t="s">
        <v>254</v>
      </c>
      <c r="R142" s="8">
        <v>0.36934999999999996</v>
      </c>
      <c r="S142" s="6" t="s">
        <v>249</v>
      </c>
    </row>
    <row r="143" spans="8:19" x14ac:dyDescent="0.45">
      <c r="P143" s="11">
        <v>2044</v>
      </c>
      <c r="Q143" s="3" t="s">
        <v>248</v>
      </c>
      <c r="R143" s="5">
        <v>0.46579999999999999</v>
      </c>
      <c r="S143" s="3" t="s">
        <v>249</v>
      </c>
    </row>
    <row r="144" spans="8:19" x14ac:dyDescent="0.45">
      <c r="P144" s="12">
        <v>2044</v>
      </c>
      <c r="Q144" s="6" t="s">
        <v>250</v>
      </c>
      <c r="R144" s="8">
        <v>0.36595</v>
      </c>
      <c r="S144" s="6" t="s">
        <v>249</v>
      </c>
    </row>
    <row r="145" spans="16:19" x14ac:dyDescent="0.45">
      <c r="P145" s="11">
        <v>2044</v>
      </c>
      <c r="Q145" s="3" t="s">
        <v>251</v>
      </c>
      <c r="R145" s="5">
        <v>0.19485000000000002</v>
      </c>
      <c r="S145" s="3" t="s">
        <v>249</v>
      </c>
    </row>
    <row r="146" spans="16:19" x14ac:dyDescent="0.45">
      <c r="P146" s="12">
        <v>2044</v>
      </c>
      <c r="Q146" s="6" t="s">
        <v>252</v>
      </c>
      <c r="R146" s="8">
        <v>0.18575</v>
      </c>
      <c r="S146" s="6" t="s">
        <v>249</v>
      </c>
    </row>
    <row r="147" spans="16:19" x14ac:dyDescent="0.45">
      <c r="P147" s="11">
        <v>2044</v>
      </c>
      <c r="Q147" s="3" t="s">
        <v>253</v>
      </c>
      <c r="R147" s="5">
        <v>0.32405</v>
      </c>
      <c r="S147" s="3" t="s">
        <v>249</v>
      </c>
    </row>
    <row r="148" spans="16:19" x14ac:dyDescent="0.45">
      <c r="P148" s="12">
        <v>2044</v>
      </c>
      <c r="Q148" s="6" t="s">
        <v>254</v>
      </c>
      <c r="R148" s="8">
        <v>0.44735000000000003</v>
      </c>
      <c r="S148" s="6" t="s">
        <v>249</v>
      </c>
    </row>
    <row r="149" spans="16:19" x14ac:dyDescent="0.45">
      <c r="P149" s="11">
        <v>2045</v>
      </c>
      <c r="Q149" s="3" t="s">
        <v>248</v>
      </c>
      <c r="R149" s="5">
        <v>0.48280000000000001</v>
      </c>
      <c r="S149" s="3" t="s">
        <v>249</v>
      </c>
    </row>
    <row r="150" spans="16:19" x14ac:dyDescent="0.45">
      <c r="P150" s="12">
        <v>2045</v>
      </c>
      <c r="Q150" s="6" t="s">
        <v>250</v>
      </c>
      <c r="R150" s="8">
        <v>0.40959999999999996</v>
      </c>
      <c r="S150" s="6" t="s">
        <v>249</v>
      </c>
    </row>
    <row r="151" spans="16:19" x14ac:dyDescent="0.45">
      <c r="P151" s="11">
        <v>2045</v>
      </c>
      <c r="Q151" s="3" t="s">
        <v>251</v>
      </c>
      <c r="R151" s="5">
        <v>0.18890000000000001</v>
      </c>
      <c r="S151" s="3" t="s">
        <v>249</v>
      </c>
    </row>
    <row r="152" spans="16:19" x14ac:dyDescent="0.45">
      <c r="P152" s="12">
        <v>2045</v>
      </c>
      <c r="Q152" s="6" t="s">
        <v>252</v>
      </c>
      <c r="R152" s="8">
        <v>0.19764999999999999</v>
      </c>
      <c r="S152" s="6" t="s">
        <v>249</v>
      </c>
    </row>
    <row r="153" spans="16:19" x14ac:dyDescent="0.45">
      <c r="P153" s="11">
        <v>2045</v>
      </c>
      <c r="Q153" s="3" t="s">
        <v>253</v>
      </c>
      <c r="R153" s="5">
        <v>0.3337</v>
      </c>
      <c r="S153" s="3" t="s">
        <v>249</v>
      </c>
    </row>
    <row r="154" spans="16:19" x14ac:dyDescent="0.45">
      <c r="P154" s="12">
        <v>2045</v>
      </c>
      <c r="Q154" s="6" t="s">
        <v>254</v>
      </c>
      <c r="R154" s="8">
        <v>0.45219999999999999</v>
      </c>
      <c r="S154" s="6" t="s">
        <v>249</v>
      </c>
    </row>
    <row r="155" spans="16:19" x14ac:dyDescent="0.45">
      <c r="P155" s="11">
        <v>2046</v>
      </c>
      <c r="Q155" s="3" t="s">
        <v>248</v>
      </c>
      <c r="R155" s="5">
        <v>0.39649999999999996</v>
      </c>
      <c r="S155" s="3" t="s">
        <v>249</v>
      </c>
    </row>
    <row r="156" spans="16:19" x14ac:dyDescent="0.45">
      <c r="P156" s="12">
        <v>2046</v>
      </c>
      <c r="Q156" s="6" t="s">
        <v>250</v>
      </c>
      <c r="R156" s="8">
        <v>0.21360000000000001</v>
      </c>
      <c r="S156" s="6" t="s">
        <v>249</v>
      </c>
    </row>
    <row r="157" spans="16:19" x14ac:dyDescent="0.45">
      <c r="P157" s="11">
        <v>2046</v>
      </c>
      <c r="Q157" s="3" t="s">
        <v>251</v>
      </c>
      <c r="R157" s="5">
        <v>0.10295</v>
      </c>
      <c r="S157" s="3" t="s">
        <v>249</v>
      </c>
    </row>
    <row r="158" spans="16:19" x14ac:dyDescent="0.45">
      <c r="P158" s="12">
        <v>2046</v>
      </c>
      <c r="Q158" s="6" t="s">
        <v>252</v>
      </c>
      <c r="R158" s="8">
        <v>0.13595000000000002</v>
      </c>
      <c r="S158" s="6" t="s">
        <v>249</v>
      </c>
    </row>
    <row r="159" spans="16:19" x14ac:dyDescent="0.45">
      <c r="P159" s="11">
        <v>2046</v>
      </c>
      <c r="Q159" s="3" t="s">
        <v>253</v>
      </c>
      <c r="R159" s="5">
        <v>0.25650000000000001</v>
      </c>
      <c r="S159" s="3" t="s">
        <v>249</v>
      </c>
    </row>
    <row r="160" spans="16:19" x14ac:dyDescent="0.45">
      <c r="P160" s="12">
        <v>2046</v>
      </c>
      <c r="Q160" s="6" t="s">
        <v>254</v>
      </c>
      <c r="R160" s="8">
        <v>0.34405000000000002</v>
      </c>
      <c r="S160" s="6" t="s">
        <v>249</v>
      </c>
    </row>
    <row r="161" spans="16:19" x14ac:dyDescent="0.45">
      <c r="P161" s="11">
        <v>2047</v>
      </c>
      <c r="Q161" s="3" t="s">
        <v>248</v>
      </c>
      <c r="R161" s="5">
        <v>0.4471</v>
      </c>
      <c r="S161" s="3" t="s">
        <v>249</v>
      </c>
    </row>
    <row r="162" spans="16:19" x14ac:dyDescent="0.45">
      <c r="P162" s="12">
        <v>2047</v>
      </c>
      <c r="Q162" s="6" t="s">
        <v>250</v>
      </c>
      <c r="R162" s="8">
        <v>0.32574999999999998</v>
      </c>
      <c r="S162" s="6" t="s">
        <v>249</v>
      </c>
    </row>
    <row r="163" spans="16:19" x14ac:dyDescent="0.45">
      <c r="P163" s="11">
        <v>2047</v>
      </c>
      <c r="Q163" s="3" t="s">
        <v>251</v>
      </c>
      <c r="R163" s="5">
        <v>0.14955000000000002</v>
      </c>
      <c r="S163" s="3" t="s">
        <v>249</v>
      </c>
    </row>
    <row r="164" spans="16:19" x14ac:dyDescent="0.45">
      <c r="P164" s="12">
        <v>2047</v>
      </c>
      <c r="Q164" s="6" t="s">
        <v>252</v>
      </c>
      <c r="R164" s="8">
        <v>0.19450000000000001</v>
      </c>
      <c r="S164" s="6" t="s">
        <v>249</v>
      </c>
    </row>
    <row r="165" spans="16:19" x14ac:dyDescent="0.45">
      <c r="P165" s="11">
        <v>2047</v>
      </c>
      <c r="Q165" s="3" t="s">
        <v>253</v>
      </c>
      <c r="R165" s="5">
        <v>0.29925000000000002</v>
      </c>
      <c r="S165" s="3" t="s">
        <v>249</v>
      </c>
    </row>
    <row r="166" spans="16:19" x14ac:dyDescent="0.45">
      <c r="P166" s="12">
        <v>2047</v>
      </c>
      <c r="Q166" s="6" t="s">
        <v>254</v>
      </c>
      <c r="R166" s="8">
        <v>0.42809999999999998</v>
      </c>
      <c r="S166" s="6" t="s">
        <v>249</v>
      </c>
    </row>
    <row r="167" spans="16:19" x14ac:dyDescent="0.45">
      <c r="P167" s="11">
        <v>2048</v>
      </c>
      <c r="Q167" s="3" t="s">
        <v>248</v>
      </c>
      <c r="R167" s="5">
        <v>0.43874999999999997</v>
      </c>
      <c r="S167" s="3" t="s">
        <v>249</v>
      </c>
    </row>
    <row r="168" spans="16:19" x14ac:dyDescent="0.45">
      <c r="P168" s="12">
        <v>2048</v>
      </c>
      <c r="Q168" s="6" t="s">
        <v>250</v>
      </c>
      <c r="R168" s="8">
        <v>0.3231</v>
      </c>
      <c r="S168" s="6" t="s">
        <v>249</v>
      </c>
    </row>
    <row r="169" spans="16:19" x14ac:dyDescent="0.45">
      <c r="P169" s="11">
        <v>2048</v>
      </c>
      <c r="Q169" s="3" t="s">
        <v>251</v>
      </c>
      <c r="R169" s="5">
        <v>0.19314999999999999</v>
      </c>
      <c r="S169" s="3" t="s">
        <v>249</v>
      </c>
    </row>
    <row r="170" spans="16:19" x14ac:dyDescent="0.45">
      <c r="P170" s="12">
        <v>2048</v>
      </c>
      <c r="Q170" s="6" t="s">
        <v>252</v>
      </c>
      <c r="R170" s="8">
        <v>0.21355000000000002</v>
      </c>
      <c r="S170" s="6" t="s">
        <v>249</v>
      </c>
    </row>
    <row r="171" spans="16:19" x14ac:dyDescent="0.45">
      <c r="P171" s="11">
        <v>2048</v>
      </c>
      <c r="Q171" s="3" t="s">
        <v>253</v>
      </c>
      <c r="R171" s="5">
        <v>0.27864999999999995</v>
      </c>
      <c r="S171" s="3" t="s">
        <v>249</v>
      </c>
    </row>
    <row r="172" spans="16:19" x14ac:dyDescent="0.45">
      <c r="P172" s="12">
        <v>2048</v>
      </c>
      <c r="Q172" s="6" t="s">
        <v>254</v>
      </c>
      <c r="R172" s="8">
        <v>0.33589999999999998</v>
      </c>
      <c r="S172" s="6" t="s">
        <v>249</v>
      </c>
    </row>
    <row r="173" spans="16:19" x14ac:dyDescent="0.45">
      <c r="P173" s="11">
        <v>2049</v>
      </c>
      <c r="Q173" s="3" t="s">
        <v>248</v>
      </c>
      <c r="R173" s="5">
        <v>0.44614999999999999</v>
      </c>
      <c r="S173" s="3" t="s">
        <v>249</v>
      </c>
    </row>
    <row r="174" spans="16:19" x14ac:dyDescent="0.45">
      <c r="P174" s="12">
        <v>2049</v>
      </c>
      <c r="Q174" s="6" t="s">
        <v>250</v>
      </c>
      <c r="R174" s="8">
        <v>0.35310000000000002</v>
      </c>
      <c r="S174" s="6" t="s">
        <v>249</v>
      </c>
    </row>
    <row r="175" spans="16:19" x14ac:dyDescent="0.45">
      <c r="P175" s="11">
        <v>2049</v>
      </c>
      <c r="Q175" s="3" t="s">
        <v>251</v>
      </c>
      <c r="R175" s="5">
        <v>0.15559999999999999</v>
      </c>
      <c r="S175" s="3" t="s">
        <v>249</v>
      </c>
    </row>
    <row r="176" spans="16:19" x14ac:dyDescent="0.45">
      <c r="P176" s="12">
        <v>2049</v>
      </c>
      <c r="Q176" s="6" t="s">
        <v>252</v>
      </c>
      <c r="R176" s="8">
        <v>0.1288</v>
      </c>
      <c r="S176" s="6" t="s">
        <v>249</v>
      </c>
    </row>
    <row r="177" spans="16:19" x14ac:dyDescent="0.45">
      <c r="P177" s="11">
        <v>2049</v>
      </c>
      <c r="Q177" s="3" t="s">
        <v>253</v>
      </c>
      <c r="R177" s="5">
        <v>0.2087</v>
      </c>
      <c r="S177" s="3" t="s">
        <v>249</v>
      </c>
    </row>
    <row r="178" spans="16:19" x14ac:dyDescent="0.45">
      <c r="P178" s="12">
        <v>2049</v>
      </c>
      <c r="Q178" s="6" t="s">
        <v>254</v>
      </c>
      <c r="R178" s="8">
        <v>0.39015</v>
      </c>
      <c r="S178" s="6" t="s">
        <v>249</v>
      </c>
    </row>
    <row r="179" spans="16:19" x14ac:dyDescent="0.45">
      <c r="P179" s="11">
        <v>2050</v>
      </c>
      <c r="Q179" s="3" t="s">
        <v>248</v>
      </c>
      <c r="R179" s="5">
        <v>0.41820000000000002</v>
      </c>
      <c r="S179" s="3" t="s">
        <v>249</v>
      </c>
    </row>
    <row r="180" spans="16:19" x14ac:dyDescent="0.45">
      <c r="P180" s="12">
        <v>2050</v>
      </c>
      <c r="Q180" s="6" t="s">
        <v>250</v>
      </c>
      <c r="R180" s="8">
        <v>0.2898</v>
      </c>
      <c r="S180" s="6" t="s">
        <v>249</v>
      </c>
    </row>
    <row r="181" spans="16:19" x14ac:dyDescent="0.45">
      <c r="P181" s="11">
        <v>2050</v>
      </c>
      <c r="Q181" s="3" t="s">
        <v>251</v>
      </c>
      <c r="R181" s="5">
        <v>0.18785000000000002</v>
      </c>
      <c r="S181" s="3" t="s">
        <v>249</v>
      </c>
    </row>
    <row r="182" spans="16:19" x14ac:dyDescent="0.45">
      <c r="P182" s="12">
        <v>2050</v>
      </c>
      <c r="Q182" s="6" t="s">
        <v>252</v>
      </c>
      <c r="R182" s="8">
        <v>0.21029999999999999</v>
      </c>
      <c r="S182" s="6" t="s">
        <v>249</v>
      </c>
    </row>
    <row r="183" spans="16:19" x14ac:dyDescent="0.45">
      <c r="P183" s="11">
        <v>2050</v>
      </c>
      <c r="Q183" s="3" t="s">
        <v>253</v>
      </c>
      <c r="R183" s="5">
        <v>0.19845000000000002</v>
      </c>
      <c r="S183" s="3" t="s">
        <v>249</v>
      </c>
    </row>
    <row r="184" spans="16:19" x14ac:dyDescent="0.45">
      <c r="P184" s="12">
        <v>2050</v>
      </c>
      <c r="Q184" s="6" t="s">
        <v>254</v>
      </c>
      <c r="R184" s="8">
        <v>0.38585000000000003</v>
      </c>
      <c r="S184" s="6" t="s">
        <v>249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8ED1-A176-4A1D-8338-E2A4F6D16B10}">
  <dimension ref="A1:O1090"/>
  <sheetViews>
    <sheetView workbookViewId="0">
      <selection sqref="A1:H1"/>
    </sheetView>
  </sheetViews>
  <sheetFormatPr defaultRowHeight="14.25" x14ac:dyDescent="0.45"/>
  <cols>
    <col min="2" max="2" width="11.796875" bestFit="1" customWidth="1"/>
    <col min="3" max="5" width="10.59765625" customWidth="1"/>
    <col min="7" max="7" width="12.3984375" bestFit="1" customWidth="1"/>
    <col min="8" max="10" width="10.59765625" customWidth="1"/>
    <col min="12" max="12" width="12" bestFit="1" customWidth="1"/>
    <col min="13" max="15" width="10.59765625" customWidth="1"/>
  </cols>
  <sheetData>
    <row r="1" spans="1:15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15" ht="14.65" thickBot="1" x14ac:dyDescent="0.5">
      <c r="B9" s="1" t="str">
        <f>IF(A11="x","DeActivated","~TFM_DINS-AT: region=IRL")</f>
        <v>~TFM_DINS-AT: region=IRL</v>
      </c>
      <c r="G9" s="1" t="str">
        <f>IF(A11="x","DeActivated","~TFM_DINS-AT: region=IRL")</f>
        <v>~TFM_DINS-AT: region=IRL</v>
      </c>
      <c r="L9" s="1" t="str">
        <f>IF(A11="x","DeActivated","~TFM_DINS-AT: region=IRL")</f>
        <v>~TFM_DINS-AT: region=IRL</v>
      </c>
    </row>
    <row r="10" spans="1:15" ht="15.75" thickBot="1" x14ac:dyDescent="0.6">
      <c r="B10" s="2" t="s">
        <v>1</v>
      </c>
      <c r="C10" s="2" t="s">
        <v>2</v>
      </c>
      <c r="D10" s="2" t="s">
        <v>3</v>
      </c>
      <c r="E10" s="2" t="s">
        <v>4</v>
      </c>
      <c r="G10" s="2" t="s">
        <v>1</v>
      </c>
      <c r="H10" s="2" t="s">
        <v>2</v>
      </c>
      <c r="I10" s="2" t="s">
        <v>3</v>
      </c>
      <c r="J10" s="2" t="s">
        <v>4</v>
      </c>
      <c r="L10" s="2" t="s">
        <v>1</v>
      </c>
      <c r="M10" s="2" t="s">
        <v>2</v>
      </c>
      <c r="N10" s="2" t="s">
        <v>3</v>
      </c>
      <c r="O10" s="2" t="s">
        <v>4</v>
      </c>
    </row>
    <row r="11" spans="1:15" x14ac:dyDescent="0.45">
      <c r="B11" s="3" t="s">
        <v>256</v>
      </c>
      <c r="C11" s="3" t="s">
        <v>6</v>
      </c>
      <c r="D11" s="4">
        <v>0</v>
      </c>
      <c r="E11" s="3" t="s">
        <v>7</v>
      </c>
      <c r="G11" s="3" t="s">
        <v>257</v>
      </c>
      <c r="H11" s="3" t="s">
        <v>6</v>
      </c>
      <c r="I11" s="5">
        <v>3.7608611296024497E-2</v>
      </c>
      <c r="J11" s="3" t="s">
        <v>7</v>
      </c>
      <c r="L11" s="3" t="s">
        <v>258</v>
      </c>
      <c r="M11" s="3" t="s">
        <v>6</v>
      </c>
      <c r="N11" s="5">
        <v>3.9788326352520387E-2</v>
      </c>
      <c r="O11" s="3" t="s">
        <v>7</v>
      </c>
    </row>
    <row r="12" spans="1:15" x14ac:dyDescent="0.45">
      <c r="B12" s="6" t="s">
        <v>256</v>
      </c>
      <c r="C12" s="6" t="s">
        <v>10</v>
      </c>
      <c r="D12" s="7">
        <v>0</v>
      </c>
      <c r="E12" s="6" t="s">
        <v>7</v>
      </c>
      <c r="G12" s="6" t="s">
        <v>257</v>
      </c>
      <c r="H12" s="6" t="s">
        <v>10</v>
      </c>
      <c r="I12" s="8">
        <v>1.4746544086867323E-2</v>
      </c>
      <c r="J12" s="6" t="s">
        <v>7</v>
      </c>
      <c r="L12" s="6" t="s">
        <v>258</v>
      </c>
      <c r="M12" s="6" t="s">
        <v>10</v>
      </c>
      <c r="N12" s="8">
        <v>1.5889643592946617E-2</v>
      </c>
      <c r="O12" s="6" t="s">
        <v>7</v>
      </c>
    </row>
    <row r="13" spans="1:15" x14ac:dyDescent="0.45">
      <c r="B13" s="3" t="s">
        <v>256</v>
      </c>
      <c r="C13" s="3" t="s">
        <v>11</v>
      </c>
      <c r="D13" s="4">
        <v>0</v>
      </c>
      <c r="E13" s="3" t="s">
        <v>7</v>
      </c>
      <c r="G13" s="3" t="s">
        <v>257</v>
      </c>
      <c r="H13" s="3" t="s">
        <v>11</v>
      </c>
      <c r="I13" s="5">
        <v>1.5135472076513421E-2</v>
      </c>
      <c r="J13" s="3" t="s">
        <v>7</v>
      </c>
      <c r="L13" s="3" t="s">
        <v>258</v>
      </c>
      <c r="M13" s="3" t="s">
        <v>11</v>
      </c>
      <c r="N13" s="5">
        <v>1.5906807310300433E-2</v>
      </c>
      <c r="O13" s="3" t="s">
        <v>7</v>
      </c>
    </row>
    <row r="14" spans="1:15" x14ac:dyDescent="0.45">
      <c r="B14" s="6" t="s">
        <v>256</v>
      </c>
      <c r="C14" s="6" t="s">
        <v>12</v>
      </c>
      <c r="D14" s="7">
        <v>1.4024657569493991E-3</v>
      </c>
      <c r="E14" s="6" t="s">
        <v>7</v>
      </c>
      <c r="G14" s="6" t="s">
        <v>257</v>
      </c>
      <c r="H14" s="6" t="s">
        <v>12</v>
      </c>
      <c r="I14" s="8">
        <v>1.5833233244380105E-2</v>
      </c>
      <c r="J14" s="6" t="s">
        <v>7</v>
      </c>
      <c r="L14" s="6" t="s">
        <v>258</v>
      </c>
      <c r="M14" s="6" t="s">
        <v>12</v>
      </c>
      <c r="N14" s="8">
        <v>1.5773734429877735E-2</v>
      </c>
      <c r="O14" s="6" t="s">
        <v>7</v>
      </c>
    </row>
    <row r="15" spans="1:15" x14ac:dyDescent="0.45">
      <c r="B15" s="3" t="s">
        <v>256</v>
      </c>
      <c r="C15" s="3" t="s">
        <v>13</v>
      </c>
      <c r="D15" s="4">
        <v>1.6599155135667763E-2</v>
      </c>
      <c r="E15" s="3" t="s">
        <v>7</v>
      </c>
      <c r="G15" s="3" t="s">
        <v>257</v>
      </c>
      <c r="H15" s="3" t="s">
        <v>13</v>
      </c>
      <c r="I15" s="5">
        <v>1.6934350628598629E-2</v>
      </c>
      <c r="J15" s="3" t="s">
        <v>7</v>
      </c>
      <c r="L15" s="3" t="s">
        <v>258</v>
      </c>
      <c r="M15" s="3" t="s">
        <v>13</v>
      </c>
      <c r="N15" s="5">
        <v>1.6231946118876163E-2</v>
      </c>
      <c r="O15" s="3" t="s">
        <v>7</v>
      </c>
    </row>
    <row r="16" spans="1:15" x14ac:dyDescent="0.45">
      <c r="B16" s="6" t="s">
        <v>256</v>
      </c>
      <c r="C16" s="6" t="s">
        <v>14</v>
      </c>
      <c r="D16" s="7">
        <v>3.1105733248355069E-2</v>
      </c>
      <c r="E16" s="6" t="s">
        <v>7</v>
      </c>
      <c r="G16" s="6" t="s">
        <v>257</v>
      </c>
      <c r="H16" s="6" t="s">
        <v>14</v>
      </c>
      <c r="I16" s="8">
        <v>1.7870819925776306E-2</v>
      </c>
      <c r="J16" s="6" t="s">
        <v>7</v>
      </c>
      <c r="L16" s="6" t="s">
        <v>258</v>
      </c>
      <c r="M16" s="6" t="s">
        <v>14</v>
      </c>
      <c r="N16" s="8">
        <v>1.6605078474236049E-2</v>
      </c>
      <c r="O16" s="6" t="s">
        <v>7</v>
      </c>
    </row>
    <row r="17" spans="2:15" x14ac:dyDescent="0.45">
      <c r="B17" s="3" t="s">
        <v>256</v>
      </c>
      <c r="C17" s="3" t="s">
        <v>15</v>
      </c>
      <c r="D17" s="4">
        <v>2.9288198749475258E-2</v>
      </c>
      <c r="E17" s="3" t="s">
        <v>7</v>
      </c>
      <c r="G17" s="3" t="s">
        <v>257</v>
      </c>
      <c r="H17" s="3" t="s">
        <v>15</v>
      </c>
      <c r="I17" s="5">
        <v>1.7736258130574591E-2</v>
      </c>
      <c r="J17" s="3" t="s">
        <v>7</v>
      </c>
      <c r="L17" s="3" t="s">
        <v>258</v>
      </c>
      <c r="M17" s="3" t="s">
        <v>15</v>
      </c>
      <c r="N17" s="5">
        <v>1.6564137004402166E-2</v>
      </c>
      <c r="O17" s="3" t="s">
        <v>7</v>
      </c>
    </row>
    <row r="18" spans="2:15" x14ac:dyDescent="0.45">
      <c r="B18" s="6" t="s">
        <v>256</v>
      </c>
      <c r="C18" s="6" t="s">
        <v>16</v>
      </c>
      <c r="D18" s="7">
        <v>1.3158329666833422E-2</v>
      </c>
      <c r="E18" s="6" t="s">
        <v>7</v>
      </c>
      <c r="G18" s="6" t="s">
        <v>257</v>
      </c>
      <c r="H18" s="6" t="s">
        <v>16</v>
      </c>
      <c r="I18" s="8">
        <v>1.6763206534906424E-2</v>
      </c>
      <c r="J18" s="6" t="s">
        <v>7</v>
      </c>
      <c r="L18" s="6" t="s">
        <v>258</v>
      </c>
      <c r="M18" s="6" t="s">
        <v>16</v>
      </c>
      <c r="N18" s="8">
        <v>1.6241238762496807E-2</v>
      </c>
      <c r="O18" s="6" t="s">
        <v>7</v>
      </c>
    </row>
    <row r="19" spans="2:15" x14ac:dyDescent="0.45">
      <c r="B19" s="3" t="s">
        <v>256</v>
      </c>
      <c r="C19" s="3" t="s">
        <v>17</v>
      </c>
      <c r="D19" s="4">
        <v>5.5481296296032673E-4</v>
      </c>
      <c r="E19" s="3" t="s">
        <v>7</v>
      </c>
      <c r="G19" s="3" t="s">
        <v>257</v>
      </c>
      <c r="H19" s="3" t="s">
        <v>17</v>
      </c>
      <c r="I19" s="5">
        <v>1.6205286952444914E-2</v>
      </c>
      <c r="J19" s="3" t="s">
        <v>7</v>
      </c>
      <c r="L19" s="3" t="s">
        <v>258</v>
      </c>
      <c r="M19" s="3" t="s">
        <v>17</v>
      </c>
      <c r="N19" s="5">
        <v>1.5801723077012081E-2</v>
      </c>
      <c r="O19" s="3" t="s">
        <v>7</v>
      </c>
    </row>
    <row r="20" spans="2:15" x14ac:dyDescent="0.45">
      <c r="B20" s="6" t="s">
        <v>256</v>
      </c>
      <c r="C20" s="6" t="s">
        <v>18</v>
      </c>
      <c r="D20" s="7">
        <v>0</v>
      </c>
      <c r="E20" s="6" t="s">
        <v>7</v>
      </c>
      <c r="G20" s="6" t="s">
        <v>257</v>
      </c>
      <c r="H20" s="6" t="s">
        <v>18</v>
      </c>
      <c r="I20" s="8">
        <v>2.3938796277808719E-2</v>
      </c>
      <c r="J20" s="6" t="s">
        <v>7</v>
      </c>
      <c r="L20" s="6" t="s">
        <v>258</v>
      </c>
      <c r="M20" s="6" t="s">
        <v>18</v>
      </c>
      <c r="N20" s="8">
        <v>2.358312040127462E-2</v>
      </c>
      <c r="O20" s="6" t="s">
        <v>7</v>
      </c>
    </row>
    <row r="21" spans="2:15" x14ac:dyDescent="0.45">
      <c r="B21" s="3" t="s">
        <v>256</v>
      </c>
      <c r="C21" s="3" t="s">
        <v>19</v>
      </c>
      <c r="D21" s="4">
        <v>0</v>
      </c>
      <c r="E21" s="3" t="s">
        <v>7</v>
      </c>
      <c r="G21" s="3" t="s">
        <v>257</v>
      </c>
      <c r="H21" s="3" t="s">
        <v>19</v>
      </c>
      <c r="I21" s="5">
        <v>4.1672636154744036E-2</v>
      </c>
      <c r="J21" s="3" t="s">
        <v>7</v>
      </c>
      <c r="L21" s="3" t="s">
        <v>258</v>
      </c>
      <c r="M21" s="3" t="s">
        <v>19</v>
      </c>
      <c r="N21" s="5">
        <v>4.1674383589568181E-2</v>
      </c>
      <c r="O21" s="3" t="s">
        <v>7</v>
      </c>
    </row>
    <row r="22" spans="2:15" x14ac:dyDescent="0.45">
      <c r="B22" s="6" t="s">
        <v>256</v>
      </c>
      <c r="C22" s="6" t="s">
        <v>20</v>
      </c>
      <c r="D22" s="7">
        <v>0</v>
      </c>
      <c r="E22" s="6" t="s">
        <v>7</v>
      </c>
      <c r="G22" s="6" t="s">
        <v>257</v>
      </c>
      <c r="H22" s="6" t="s">
        <v>20</v>
      </c>
      <c r="I22" s="8">
        <v>1.6275091469507237E-2</v>
      </c>
      <c r="J22" s="6" t="s">
        <v>7</v>
      </c>
      <c r="L22" s="6" t="s">
        <v>258</v>
      </c>
      <c r="M22" s="6" t="s">
        <v>20</v>
      </c>
      <c r="N22" s="8">
        <v>1.6578108415758529E-2</v>
      </c>
      <c r="O22" s="6" t="s">
        <v>7</v>
      </c>
    </row>
    <row r="23" spans="2:15" x14ac:dyDescent="0.45">
      <c r="B23" s="3" t="s">
        <v>256</v>
      </c>
      <c r="C23" s="3" t="s">
        <v>21</v>
      </c>
      <c r="D23" s="4">
        <v>4.3600150622634057E-4</v>
      </c>
      <c r="E23" s="3" t="s">
        <v>7</v>
      </c>
      <c r="G23" s="3" t="s">
        <v>257</v>
      </c>
      <c r="H23" s="3" t="s">
        <v>21</v>
      </c>
      <c r="I23" s="5">
        <v>1.6011702736908485E-2</v>
      </c>
      <c r="J23" s="3" t="s">
        <v>7</v>
      </c>
      <c r="L23" s="3" t="s">
        <v>258</v>
      </c>
      <c r="M23" s="3" t="s">
        <v>21</v>
      </c>
      <c r="N23" s="5">
        <v>1.6587611617266185E-2</v>
      </c>
      <c r="O23" s="3" t="s">
        <v>7</v>
      </c>
    </row>
    <row r="24" spans="2:15" x14ac:dyDescent="0.45">
      <c r="B24" s="6" t="s">
        <v>256</v>
      </c>
      <c r="C24" s="6" t="s">
        <v>22</v>
      </c>
      <c r="D24" s="7">
        <v>1.6317311219846902E-2</v>
      </c>
      <c r="E24" s="6" t="s">
        <v>7</v>
      </c>
      <c r="G24" s="6" t="s">
        <v>257</v>
      </c>
      <c r="H24" s="6" t="s">
        <v>22</v>
      </c>
      <c r="I24" s="8">
        <v>1.6768092556138415E-2</v>
      </c>
      <c r="J24" s="6" t="s">
        <v>7</v>
      </c>
      <c r="L24" s="6" t="s">
        <v>258</v>
      </c>
      <c r="M24" s="6" t="s">
        <v>22</v>
      </c>
      <c r="N24" s="8">
        <v>1.6157943981822492E-2</v>
      </c>
      <c r="O24" s="6" t="s">
        <v>7</v>
      </c>
    </row>
    <row r="25" spans="2:15" x14ac:dyDescent="0.45">
      <c r="B25" s="3" t="s">
        <v>256</v>
      </c>
      <c r="C25" s="3" t="s">
        <v>23</v>
      </c>
      <c r="D25" s="4">
        <v>4.3235807769654348E-2</v>
      </c>
      <c r="E25" s="3" t="s">
        <v>7</v>
      </c>
      <c r="G25" s="3" t="s">
        <v>257</v>
      </c>
      <c r="H25" s="3" t="s">
        <v>23</v>
      </c>
      <c r="I25" s="5">
        <v>1.7882544288881898E-2</v>
      </c>
      <c r="J25" s="3" t="s">
        <v>7</v>
      </c>
      <c r="L25" s="3" t="s">
        <v>258</v>
      </c>
      <c r="M25" s="3" t="s">
        <v>23</v>
      </c>
      <c r="N25" s="5">
        <v>1.5705530588302364E-2</v>
      </c>
      <c r="O25" s="3" t="s">
        <v>7</v>
      </c>
    </row>
    <row r="26" spans="2:15" x14ac:dyDescent="0.45">
      <c r="B26" s="6" t="s">
        <v>256</v>
      </c>
      <c r="C26" s="6" t="s">
        <v>24</v>
      </c>
      <c r="D26" s="7">
        <v>5.1861169771339449E-2</v>
      </c>
      <c r="E26" s="6" t="s">
        <v>7</v>
      </c>
      <c r="G26" s="6" t="s">
        <v>257</v>
      </c>
      <c r="H26" s="6" t="s">
        <v>24</v>
      </c>
      <c r="I26" s="8">
        <v>1.8111001757827896E-2</v>
      </c>
      <c r="J26" s="6" t="s">
        <v>7</v>
      </c>
      <c r="L26" s="6" t="s">
        <v>258</v>
      </c>
      <c r="M26" s="6" t="s">
        <v>24</v>
      </c>
      <c r="N26" s="8">
        <v>1.5442193130093698E-2</v>
      </c>
      <c r="O26" s="6" t="s">
        <v>7</v>
      </c>
    </row>
    <row r="27" spans="2:15" x14ac:dyDescent="0.45">
      <c r="B27" s="3" t="s">
        <v>256</v>
      </c>
      <c r="C27" s="3" t="s">
        <v>25</v>
      </c>
      <c r="D27" s="4">
        <v>4.8043991910371051E-2</v>
      </c>
      <c r="E27" s="3" t="s">
        <v>7</v>
      </c>
      <c r="G27" s="3" t="s">
        <v>257</v>
      </c>
      <c r="H27" s="3" t="s">
        <v>25</v>
      </c>
      <c r="I27" s="5">
        <v>1.8286814561054437E-2</v>
      </c>
      <c r="J27" s="3" t="s">
        <v>7</v>
      </c>
      <c r="L27" s="3" t="s">
        <v>258</v>
      </c>
      <c r="M27" s="3" t="s">
        <v>25</v>
      </c>
      <c r="N27" s="5">
        <v>1.5714288218794101E-2</v>
      </c>
      <c r="O27" s="3" t="s">
        <v>7</v>
      </c>
    </row>
    <row r="28" spans="2:15" x14ac:dyDescent="0.45">
      <c r="B28" s="6" t="s">
        <v>256</v>
      </c>
      <c r="C28" s="6" t="s">
        <v>26</v>
      </c>
      <c r="D28" s="7">
        <v>3.0729082635278633E-2</v>
      </c>
      <c r="E28" s="6" t="s">
        <v>7</v>
      </c>
      <c r="G28" s="6" t="s">
        <v>257</v>
      </c>
      <c r="H28" s="6" t="s">
        <v>26</v>
      </c>
      <c r="I28" s="8">
        <v>1.8219571584759169E-2</v>
      </c>
      <c r="J28" s="6" t="s">
        <v>7</v>
      </c>
      <c r="L28" s="6" t="s">
        <v>258</v>
      </c>
      <c r="M28" s="6" t="s">
        <v>26</v>
      </c>
      <c r="N28" s="8">
        <v>1.6538764178614197E-2</v>
      </c>
      <c r="O28" s="6" t="s">
        <v>7</v>
      </c>
    </row>
    <row r="29" spans="2:15" x14ac:dyDescent="0.45">
      <c r="B29" s="3" t="s">
        <v>256</v>
      </c>
      <c r="C29" s="3" t="s">
        <v>27</v>
      </c>
      <c r="D29" s="4">
        <v>7.5496482266910071E-3</v>
      </c>
      <c r="E29" s="3" t="s">
        <v>7</v>
      </c>
      <c r="G29" s="3" t="s">
        <v>257</v>
      </c>
      <c r="H29" s="3" t="s">
        <v>27</v>
      </c>
      <c r="I29" s="5">
        <v>1.6879400174461021E-2</v>
      </c>
      <c r="J29" s="3" t="s">
        <v>7</v>
      </c>
      <c r="L29" s="3" t="s">
        <v>258</v>
      </c>
      <c r="M29" s="3" t="s">
        <v>27</v>
      </c>
      <c r="N29" s="5">
        <v>1.7332373123373379E-2</v>
      </c>
      <c r="O29" s="3" t="s">
        <v>7</v>
      </c>
    </row>
    <row r="30" spans="2:15" x14ac:dyDescent="0.45">
      <c r="B30" s="6" t="s">
        <v>256</v>
      </c>
      <c r="C30" s="6" t="s">
        <v>28</v>
      </c>
      <c r="D30" s="7">
        <v>2.9963807579315955E-5</v>
      </c>
      <c r="E30" s="6" t="s">
        <v>7</v>
      </c>
      <c r="G30" s="6" t="s">
        <v>257</v>
      </c>
      <c r="H30" s="6" t="s">
        <v>28</v>
      </c>
      <c r="I30" s="8">
        <v>2.4626438617172834E-2</v>
      </c>
      <c r="J30" s="6" t="s">
        <v>7</v>
      </c>
      <c r="L30" s="6" t="s">
        <v>258</v>
      </c>
      <c r="M30" s="6" t="s">
        <v>28</v>
      </c>
      <c r="N30" s="8">
        <v>2.5784614280744647E-2</v>
      </c>
      <c r="O30" s="6" t="s">
        <v>7</v>
      </c>
    </row>
    <row r="31" spans="2:15" x14ac:dyDescent="0.45">
      <c r="B31" s="3" t="s">
        <v>256</v>
      </c>
      <c r="C31" s="3" t="s">
        <v>29</v>
      </c>
      <c r="D31" s="4">
        <v>0</v>
      </c>
      <c r="E31" s="3" t="s">
        <v>7</v>
      </c>
      <c r="G31" s="3" t="s">
        <v>257</v>
      </c>
      <c r="H31" s="3" t="s">
        <v>29</v>
      </c>
      <c r="I31" s="5">
        <v>2.7889451224769369E-2</v>
      </c>
      <c r="J31" s="3" t="s">
        <v>7</v>
      </c>
      <c r="L31" s="3" t="s">
        <v>258</v>
      </c>
      <c r="M31" s="3" t="s">
        <v>29</v>
      </c>
      <c r="N31" s="5">
        <v>3.4551246124272607E-2</v>
      </c>
      <c r="O31" s="3" t="s">
        <v>7</v>
      </c>
    </row>
    <row r="32" spans="2:15" x14ac:dyDescent="0.45">
      <c r="B32" s="6" t="s">
        <v>256</v>
      </c>
      <c r="C32" s="6" t="s">
        <v>30</v>
      </c>
      <c r="D32" s="7">
        <v>0</v>
      </c>
      <c r="E32" s="6" t="s">
        <v>7</v>
      </c>
      <c r="G32" s="6" t="s">
        <v>257</v>
      </c>
      <c r="H32" s="6" t="s">
        <v>30</v>
      </c>
      <c r="I32" s="8">
        <v>1.1184790796707617E-2</v>
      </c>
      <c r="J32" s="6" t="s">
        <v>7</v>
      </c>
      <c r="L32" s="6" t="s">
        <v>258</v>
      </c>
      <c r="M32" s="6" t="s">
        <v>30</v>
      </c>
      <c r="N32" s="8">
        <v>1.3381924882452517E-2</v>
      </c>
      <c r="O32" s="6" t="s">
        <v>7</v>
      </c>
    </row>
    <row r="33" spans="2:15" x14ac:dyDescent="0.45">
      <c r="B33" s="3" t="s">
        <v>256</v>
      </c>
      <c r="C33" s="3" t="s">
        <v>31</v>
      </c>
      <c r="D33" s="4">
        <v>4.0533147827579441E-3</v>
      </c>
      <c r="E33" s="3" t="s">
        <v>7</v>
      </c>
      <c r="G33" s="3" t="s">
        <v>257</v>
      </c>
      <c r="H33" s="3" t="s">
        <v>31</v>
      </c>
      <c r="I33" s="5">
        <v>1.1746545153648697E-2</v>
      </c>
      <c r="J33" s="3" t="s">
        <v>7</v>
      </c>
      <c r="L33" s="3" t="s">
        <v>258</v>
      </c>
      <c r="M33" s="3" t="s">
        <v>31</v>
      </c>
      <c r="N33" s="5">
        <v>1.3013137666294443E-2</v>
      </c>
      <c r="O33" s="3" t="s">
        <v>7</v>
      </c>
    </row>
    <row r="34" spans="2:15" x14ac:dyDescent="0.45">
      <c r="B34" s="6" t="s">
        <v>256</v>
      </c>
      <c r="C34" s="6" t="s">
        <v>32</v>
      </c>
      <c r="D34" s="7">
        <v>2.5348600915377037E-2</v>
      </c>
      <c r="E34" s="6" t="s">
        <v>7</v>
      </c>
      <c r="G34" s="6" t="s">
        <v>257</v>
      </c>
      <c r="H34" s="6" t="s">
        <v>32</v>
      </c>
      <c r="I34" s="8">
        <v>1.3714755676079562E-2</v>
      </c>
      <c r="J34" s="6" t="s">
        <v>7</v>
      </c>
      <c r="L34" s="6" t="s">
        <v>258</v>
      </c>
      <c r="M34" s="6" t="s">
        <v>32</v>
      </c>
      <c r="N34" s="8">
        <v>1.2752647474981114E-2</v>
      </c>
      <c r="O34" s="6" t="s">
        <v>7</v>
      </c>
    </row>
    <row r="35" spans="2:15" x14ac:dyDescent="0.45">
      <c r="B35" s="3" t="s">
        <v>256</v>
      </c>
      <c r="C35" s="3" t="s">
        <v>33</v>
      </c>
      <c r="D35" s="4">
        <v>4.9252228279973574E-2</v>
      </c>
      <c r="E35" s="3" t="s">
        <v>7</v>
      </c>
      <c r="G35" s="3" t="s">
        <v>257</v>
      </c>
      <c r="H35" s="3" t="s">
        <v>33</v>
      </c>
      <c r="I35" s="5">
        <v>1.4686754324062391E-2</v>
      </c>
      <c r="J35" s="3" t="s">
        <v>7</v>
      </c>
      <c r="L35" s="3" t="s">
        <v>258</v>
      </c>
      <c r="M35" s="3" t="s">
        <v>33</v>
      </c>
      <c r="N35" s="5">
        <v>1.3644313520614704E-2</v>
      </c>
      <c r="O35" s="3" t="s">
        <v>7</v>
      </c>
    </row>
    <row r="36" spans="2:15" x14ac:dyDescent="0.45">
      <c r="B36" s="6" t="s">
        <v>256</v>
      </c>
      <c r="C36" s="6" t="s">
        <v>34</v>
      </c>
      <c r="D36" s="7">
        <v>6.0366276760276581E-2</v>
      </c>
      <c r="E36" s="6" t="s">
        <v>7</v>
      </c>
      <c r="G36" s="6" t="s">
        <v>257</v>
      </c>
      <c r="H36" s="6" t="s">
        <v>34</v>
      </c>
      <c r="I36" s="8">
        <v>1.5814211662915943E-2</v>
      </c>
      <c r="J36" s="6" t="s">
        <v>7</v>
      </c>
      <c r="L36" s="6" t="s">
        <v>258</v>
      </c>
      <c r="M36" s="6" t="s">
        <v>34</v>
      </c>
      <c r="N36" s="8">
        <v>1.4435789073623837E-2</v>
      </c>
      <c r="O36" s="6" t="s">
        <v>7</v>
      </c>
    </row>
    <row r="37" spans="2:15" x14ac:dyDescent="0.45">
      <c r="B37" s="3" t="s">
        <v>256</v>
      </c>
      <c r="C37" s="3" t="s">
        <v>35</v>
      </c>
      <c r="D37" s="4">
        <v>5.5264634112496575E-2</v>
      </c>
      <c r="E37" s="3" t="s">
        <v>7</v>
      </c>
      <c r="G37" s="3" t="s">
        <v>257</v>
      </c>
      <c r="H37" s="3" t="s">
        <v>35</v>
      </c>
      <c r="I37" s="5">
        <v>1.644154170509415E-2</v>
      </c>
      <c r="J37" s="3" t="s">
        <v>7</v>
      </c>
      <c r="L37" s="3" t="s">
        <v>258</v>
      </c>
      <c r="M37" s="3" t="s">
        <v>35</v>
      </c>
      <c r="N37" s="5">
        <v>1.4978788974849683E-2</v>
      </c>
      <c r="O37" s="3" t="s">
        <v>7</v>
      </c>
    </row>
    <row r="38" spans="2:15" x14ac:dyDescent="0.45">
      <c r="B38" s="6" t="s">
        <v>256</v>
      </c>
      <c r="C38" s="6" t="s">
        <v>36</v>
      </c>
      <c r="D38" s="7">
        <v>3.9420212072285549E-2</v>
      </c>
      <c r="E38" s="6" t="s">
        <v>7</v>
      </c>
      <c r="G38" s="6" t="s">
        <v>257</v>
      </c>
      <c r="H38" s="6" t="s">
        <v>36</v>
      </c>
      <c r="I38" s="8">
        <v>1.6561139876689102E-2</v>
      </c>
      <c r="J38" s="6" t="s">
        <v>7</v>
      </c>
      <c r="L38" s="6" t="s">
        <v>258</v>
      </c>
      <c r="M38" s="6" t="s">
        <v>36</v>
      </c>
      <c r="N38" s="8">
        <v>1.5014262856636091E-2</v>
      </c>
      <c r="O38" s="6" t="s">
        <v>7</v>
      </c>
    </row>
    <row r="39" spans="2:15" x14ac:dyDescent="0.45">
      <c r="B39" s="3" t="s">
        <v>256</v>
      </c>
      <c r="C39" s="3" t="s">
        <v>37</v>
      </c>
      <c r="D39" s="4">
        <v>1.4822277383575085E-2</v>
      </c>
      <c r="E39" s="3" t="s">
        <v>7</v>
      </c>
      <c r="G39" s="3" t="s">
        <v>257</v>
      </c>
      <c r="H39" s="3" t="s">
        <v>37</v>
      </c>
      <c r="I39" s="5">
        <v>1.542717083231035E-2</v>
      </c>
      <c r="J39" s="3" t="s">
        <v>7</v>
      </c>
      <c r="L39" s="3" t="s">
        <v>258</v>
      </c>
      <c r="M39" s="3" t="s">
        <v>37</v>
      </c>
      <c r="N39" s="5">
        <v>1.4653231867879995E-2</v>
      </c>
      <c r="O39" s="3" t="s">
        <v>7</v>
      </c>
    </row>
    <row r="40" spans="2:15" x14ac:dyDescent="0.45">
      <c r="B40" s="6" t="s">
        <v>256</v>
      </c>
      <c r="C40" s="6" t="s">
        <v>38</v>
      </c>
      <c r="D40" s="7">
        <v>1.2288954636103652E-3</v>
      </c>
      <c r="E40" s="6" t="s">
        <v>7</v>
      </c>
      <c r="G40" s="6" t="s">
        <v>257</v>
      </c>
      <c r="H40" s="6" t="s">
        <v>38</v>
      </c>
      <c r="I40" s="8">
        <v>1.9011534353867238E-2</v>
      </c>
      <c r="J40" s="6" t="s">
        <v>7</v>
      </c>
      <c r="L40" s="6" t="s">
        <v>258</v>
      </c>
      <c r="M40" s="6" t="s">
        <v>38</v>
      </c>
      <c r="N40" s="8">
        <v>2.0596092965016684E-2</v>
      </c>
      <c r="O40" s="6" t="s">
        <v>7</v>
      </c>
    </row>
    <row r="41" spans="2:15" x14ac:dyDescent="0.45">
      <c r="B41" s="3" t="s">
        <v>256</v>
      </c>
      <c r="C41" s="3" t="s">
        <v>39</v>
      </c>
      <c r="D41" s="4">
        <v>0</v>
      </c>
      <c r="E41" s="3" t="s">
        <v>7</v>
      </c>
      <c r="G41" s="3" t="s">
        <v>257</v>
      </c>
      <c r="H41" s="3" t="s">
        <v>39</v>
      </c>
      <c r="I41" s="5">
        <v>1.7496605839935238E-2</v>
      </c>
      <c r="J41" s="3" t="s">
        <v>7</v>
      </c>
      <c r="L41" s="3" t="s">
        <v>258</v>
      </c>
      <c r="M41" s="3" t="s">
        <v>39</v>
      </c>
      <c r="N41" s="5">
        <v>2.3844300323851403E-2</v>
      </c>
      <c r="O41" s="3" t="s">
        <v>7</v>
      </c>
    </row>
    <row r="42" spans="2:15" x14ac:dyDescent="0.45">
      <c r="B42" s="6" t="s">
        <v>256</v>
      </c>
      <c r="C42" s="6" t="s">
        <v>40</v>
      </c>
      <c r="D42" s="7">
        <v>0</v>
      </c>
      <c r="E42" s="6" t="s">
        <v>7</v>
      </c>
      <c r="G42" s="6" t="s">
        <v>257</v>
      </c>
      <c r="H42" s="6" t="s">
        <v>40</v>
      </c>
      <c r="I42" s="8">
        <v>6.5909058744085302E-3</v>
      </c>
      <c r="J42" s="6" t="s">
        <v>7</v>
      </c>
      <c r="L42" s="6" t="s">
        <v>258</v>
      </c>
      <c r="M42" s="6" t="s">
        <v>40</v>
      </c>
      <c r="N42" s="8">
        <v>9.2005559390215229E-3</v>
      </c>
      <c r="O42" s="6" t="s">
        <v>7</v>
      </c>
    </row>
    <row r="43" spans="2:15" x14ac:dyDescent="0.45">
      <c r="B43" s="3" t="s">
        <v>256</v>
      </c>
      <c r="C43" s="3" t="s">
        <v>41</v>
      </c>
      <c r="D43" s="4">
        <v>2.2814523697498685E-3</v>
      </c>
      <c r="E43" s="3" t="s">
        <v>7</v>
      </c>
      <c r="G43" s="3" t="s">
        <v>257</v>
      </c>
      <c r="H43" s="3" t="s">
        <v>41</v>
      </c>
      <c r="I43" s="5">
        <v>6.3259528799545755E-3</v>
      </c>
      <c r="J43" s="3" t="s">
        <v>7</v>
      </c>
      <c r="L43" s="3" t="s">
        <v>258</v>
      </c>
      <c r="M43" s="3" t="s">
        <v>41</v>
      </c>
      <c r="N43" s="5">
        <v>8.8046437543890365E-3</v>
      </c>
      <c r="O43" s="3" t="s">
        <v>7</v>
      </c>
    </row>
    <row r="44" spans="2:15" x14ac:dyDescent="0.45">
      <c r="B44" s="6" t="s">
        <v>256</v>
      </c>
      <c r="C44" s="6" t="s">
        <v>42</v>
      </c>
      <c r="D44" s="7">
        <v>2.1540471022495598E-2</v>
      </c>
      <c r="E44" s="6" t="s">
        <v>7</v>
      </c>
      <c r="G44" s="6" t="s">
        <v>257</v>
      </c>
      <c r="H44" s="6" t="s">
        <v>42</v>
      </c>
      <c r="I44" s="8">
        <v>7.6349132140192816E-3</v>
      </c>
      <c r="J44" s="6" t="s">
        <v>7</v>
      </c>
      <c r="L44" s="6" t="s">
        <v>258</v>
      </c>
      <c r="M44" s="6" t="s">
        <v>42</v>
      </c>
      <c r="N44" s="8">
        <v>8.000565712887351E-3</v>
      </c>
      <c r="O44" s="6" t="s">
        <v>7</v>
      </c>
    </row>
    <row r="45" spans="2:15" x14ac:dyDescent="0.45">
      <c r="B45" s="3" t="s">
        <v>256</v>
      </c>
      <c r="C45" s="3" t="s">
        <v>43</v>
      </c>
      <c r="D45" s="4">
        <v>4.4681326409305541E-2</v>
      </c>
      <c r="E45" s="3" t="s">
        <v>7</v>
      </c>
      <c r="G45" s="3" t="s">
        <v>257</v>
      </c>
      <c r="H45" s="3" t="s">
        <v>43</v>
      </c>
      <c r="I45" s="5">
        <v>8.5217560734379121E-3</v>
      </c>
      <c r="J45" s="3" t="s">
        <v>7</v>
      </c>
      <c r="L45" s="3" t="s">
        <v>258</v>
      </c>
      <c r="M45" s="3" t="s">
        <v>43</v>
      </c>
      <c r="N45" s="5">
        <v>8.533434892243761E-3</v>
      </c>
      <c r="O45" s="3" t="s">
        <v>7</v>
      </c>
    </row>
    <row r="46" spans="2:15" x14ac:dyDescent="0.45">
      <c r="B46" s="6" t="s">
        <v>256</v>
      </c>
      <c r="C46" s="6" t="s">
        <v>44</v>
      </c>
      <c r="D46" s="7">
        <v>5.690153902231665E-2</v>
      </c>
      <c r="E46" s="6" t="s">
        <v>7</v>
      </c>
      <c r="G46" s="6" t="s">
        <v>257</v>
      </c>
      <c r="H46" s="6" t="s">
        <v>44</v>
      </c>
      <c r="I46" s="8">
        <v>9.6322234349936735E-3</v>
      </c>
      <c r="J46" s="6" t="s">
        <v>7</v>
      </c>
      <c r="L46" s="6" t="s">
        <v>258</v>
      </c>
      <c r="M46" s="6" t="s">
        <v>44</v>
      </c>
      <c r="N46" s="8">
        <v>9.1061908983358832E-3</v>
      </c>
      <c r="O46" s="6" t="s">
        <v>7</v>
      </c>
    </row>
    <row r="47" spans="2:15" x14ac:dyDescent="0.45">
      <c r="B47" s="3" t="s">
        <v>256</v>
      </c>
      <c r="C47" s="3" t="s">
        <v>45</v>
      </c>
      <c r="D47" s="4">
        <v>5.6499304634025554E-2</v>
      </c>
      <c r="E47" s="3" t="s">
        <v>7</v>
      </c>
      <c r="G47" s="3" t="s">
        <v>257</v>
      </c>
      <c r="H47" s="3" t="s">
        <v>45</v>
      </c>
      <c r="I47" s="5">
        <v>1.0455871582185215E-2</v>
      </c>
      <c r="J47" s="3" t="s">
        <v>7</v>
      </c>
      <c r="L47" s="3" t="s">
        <v>258</v>
      </c>
      <c r="M47" s="3" t="s">
        <v>45</v>
      </c>
      <c r="N47" s="5">
        <v>9.3449302483342538E-3</v>
      </c>
      <c r="O47" s="3" t="s">
        <v>7</v>
      </c>
    </row>
    <row r="48" spans="2:15" x14ac:dyDescent="0.45">
      <c r="B48" s="6" t="s">
        <v>256</v>
      </c>
      <c r="C48" s="6" t="s">
        <v>46</v>
      </c>
      <c r="D48" s="7">
        <v>4.0955766857931376E-2</v>
      </c>
      <c r="E48" s="6" t="s">
        <v>7</v>
      </c>
      <c r="G48" s="6" t="s">
        <v>257</v>
      </c>
      <c r="H48" s="6" t="s">
        <v>46</v>
      </c>
      <c r="I48" s="8">
        <v>9.9834839833603268E-3</v>
      </c>
      <c r="J48" s="6" t="s">
        <v>7</v>
      </c>
      <c r="L48" s="6" t="s">
        <v>258</v>
      </c>
      <c r="M48" s="6" t="s">
        <v>46</v>
      </c>
      <c r="N48" s="8">
        <v>9.310496198193248E-3</v>
      </c>
      <c r="O48" s="6" t="s">
        <v>7</v>
      </c>
    </row>
    <row r="49" spans="2:15" x14ac:dyDescent="0.45">
      <c r="B49" s="3" t="s">
        <v>256</v>
      </c>
      <c r="C49" s="3" t="s">
        <v>47</v>
      </c>
      <c r="D49" s="4">
        <v>1.4787875429444614E-2</v>
      </c>
      <c r="E49" s="3" t="s">
        <v>7</v>
      </c>
      <c r="G49" s="3" t="s">
        <v>257</v>
      </c>
      <c r="H49" s="3" t="s">
        <v>47</v>
      </c>
      <c r="I49" s="5">
        <v>8.5839127617607369E-3</v>
      </c>
      <c r="J49" s="3" t="s">
        <v>7</v>
      </c>
      <c r="L49" s="3" t="s">
        <v>258</v>
      </c>
      <c r="M49" s="3" t="s">
        <v>47</v>
      </c>
      <c r="N49" s="5">
        <v>9.2053047314280424E-3</v>
      </c>
      <c r="O49" s="3" t="s">
        <v>7</v>
      </c>
    </row>
    <row r="50" spans="2:15" x14ac:dyDescent="0.45">
      <c r="B50" s="6" t="s">
        <v>256</v>
      </c>
      <c r="C50" s="6" t="s">
        <v>48</v>
      </c>
      <c r="D50" s="7">
        <v>8.6117091026727851E-4</v>
      </c>
      <c r="E50" s="6" t="s">
        <v>7</v>
      </c>
      <c r="G50" s="6" t="s">
        <v>257</v>
      </c>
      <c r="H50" s="6" t="s">
        <v>48</v>
      </c>
      <c r="I50" s="8">
        <v>1.0377002361461232E-2</v>
      </c>
      <c r="J50" s="6" t="s">
        <v>7</v>
      </c>
      <c r="L50" s="6" t="s">
        <v>258</v>
      </c>
      <c r="M50" s="6" t="s">
        <v>48</v>
      </c>
      <c r="N50" s="8">
        <v>1.4010230706059796E-2</v>
      </c>
      <c r="O50" s="6" t="s">
        <v>7</v>
      </c>
    </row>
    <row r="51" spans="2:15" x14ac:dyDescent="0.45">
      <c r="B51" s="3" t="s">
        <v>256</v>
      </c>
      <c r="C51" s="3" t="s">
        <v>49</v>
      </c>
      <c r="D51" s="4">
        <v>0</v>
      </c>
      <c r="E51" s="3" t="s">
        <v>7</v>
      </c>
      <c r="G51" s="3" t="s">
        <v>257</v>
      </c>
      <c r="H51" s="3" t="s">
        <v>49</v>
      </c>
      <c r="I51" s="5">
        <v>2.8014851098906453E-2</v>
      </c>
      <c r="J51" s="3" t="s">
        <v>7</v>
      </c>
      <c r="L51" s="3" t="s">
        <v>258</v>
      </c>
      <c r="M51" s="3" t="s">
        <v>49</v>
      </c>
      <c r="N51" s="5">
        <v>3.3985961090130398E-2</v>
      </c>
      <c r="O51" s="3" t="s">
        <v>7</v>
      </c>
    </row>
    <row r="52" spans="2:15" x14ac:dyDescent="0.45">
      <c r="B52" s="6" t="s">
        <v>256</v>
      </c>
      <c r="C52" s="6" t="s">
        <v>50</v>
      </c>
      <c r="D52" s="7">
        <v>0</v>
      </c>
      <c r="E52" s="6" t="s">
        <v>7</v>
      </c>
      <c r="G52" s="6" t="s">
        <v>257</v>
      </c>
      <c r="H52" s="6" t="s">
        <v>50</v>
      </c>
      <c r="I52" s="8">
        <v>1.1440320235180556E-2</v>
      </c>
      <c r="J52" s="6" t="s">
        <v>7</v>
      </c>
      <c r="L52" s="6" t="s">
        <v>258</v>
      </c>
      <c r="M52" s="6" t="s">
        <v>50</v>
      </c>
      <c r="N52" s="8">
        <v>1.3238252697952042E-2</v>
      </c>
      <c r="O52" s="6" t="s">
        <v>7</v>
      </c>
    </row>
    <row r="53" spans="2:15" x14ac:dyDescent="0.45">
      <c r="B53" s="3" t="s">
        <v>256</v>
      </c>
      <c r="C53" s="3" t="s">
        <v>51</v>
      </c>
      <c r="D53" s="4">
        <v>8.7636579160238823E-5</v>
      </c>
      <c r="E53" s="3" t="s">
        <v>7</v>
      </c>
      <c r="G53" s="3" t="s">
        <v>257</v>
      </c>
      <c r="H53" s="3" t="s">
        <v>51</v>
      </c>
      <c r="I53" s="5">
        <v>1.1735539630393322E-2</v>
      </c>
      <c r="J53" s="3" t="s">
        <v>7</v>
      </c>
      <c r="L53" s="3" t="s">
        <v>258</v>
      </c>
      <c r="M53" s="3" t="s">
        <v>51</v>
      </c>
      <c r="N53" s="5">
        <v>1.3115965599266699E-2</v>
      </c>
      <c r="O53" s="3" t="s">
        <v>7</v>
      </c>
    </row>
    <row r="54" spans="2:15" x14ac:dyDescent="0.45">
      <c r="B54" s="6" t="s">
        <v>256</v>
      </c>
      <c r="C54" s="6" t="s">
        <v>52</v>
      </c>
      <c r="D54" s="7">
        <v>1.0343728288234329E-2</v>
      </c>
      <c r="E54" s="6" t="s">
        <v>7</v>
      </c>
      <c r="G54" s="6" t="s">
        <v>257</v>
      </c>
      <c r="H54" s="6" t="s">
        <v>52</v>
      </c>
      <c r="I54" s="8">
        <v>1.2561088928424736E-2</v>
      </c>
      <c r="J54" s="6" t="s">
        <v>7</v>
      </c>
      <c r="L54" s="6" t="s">
        <v>258</v>
      </c>
      <c r="M54" s="6" t="s">
        <v>52</v>
      </c>
      <c r="N54" s="8">
        <v>1.3065634880772892E-2</v>
      </c>
      <c r="O54" s="6" t="s">
        <v>7</v>
      </c>
    </row>
    <row r="55" spans="2:15" x14ac:dyDescent="0.45">
      <c r="B55" s="3" t="s">
        <v>256</v>
      </c>
      <c r="C55" s="3" t="s">
        <v>53</v>
      </c>
      <c r="D55" s="4">
        <v>3.2132572074419045E-2</v>
      </c>
      <c r="E55" s="3" t="s">
        <v>7</v>
      </c>
      <c r="G55" s="3" t="s">
        <v>257</v>
      </c>
      <c r="H55" s="3" t="s">
        <v>53</v>
      </c>
      <c r="I55" s="5">
        <v>1.4074239513191535E-2</v>
      </c>
      <c r="J55" s="3" t="s">
        <v>7</v>
      </c>
      <c r="L55" s="3" t="s">
        <v>258</v>
      </c>
      <c r="M55" s="3" t="s">
        <v>53</v>
      </c>
      <c r="N55" s="5">
        <v>1.3009850845562094E-2</v>
      </c>
      <c r="O55" s="3" t="s">
        <v>7</v>
      </c>
    </row>
    <row r="56" spans="2:15" x14ac:dyDescent="0.45">
      <c r="B56" s="6" t="s">
        <v>256</v>
      </c>
      <c r="C56" s="6" t="s">
        <v>54</v>
      </c>
      <c r="D56" s="7">
        <v>4.0895425178111879E-2</v>
      </c>
      <c r="E56" s="6" t="s">
        <v>7</v>
      </c>
      <c r="G56" s="6" t="s">
        <v>257</v>
      </c>
      <c r="H56" s="6" t="s">
        <v>54</v>
      </c>
      <c r="I56" s="8">
        <v>1.5219031488971043E-2</v>
      </c>
      <c r="J56" s="6" t="s">
        <v>7</v>
      </c>
      <c r="L56" s="6" t="s">
        <v>258</v>
      </c>
      <c r="M56" s="6" t="s">
        <v>54</v>
      </c>
      <c r="N56" s="8">
        <v>1.2914575272903088E-2</v>
      </c>
      <c r="O56" s="6" t="s">
        <v>7</v>
      </c>
    </row>
    <row r="57" spans="2:15" x14ac:dyDescent="0.45">
      <c r="B57" s="3" t="s">
        <v>256</v>
      </c>
      <c r="C57" s="3" t="s">
        <v>55</v>
      </c>
      <c r="D57" s="4">
        <v>3.7807663876275481E-2</v>
      </c>
      <c r="E57" s="3" t="s">
        <v>7</v>
      </c>
      <c r="G57" s="3" t="s">
        <v>257</v>
      </c>
      <c r="H57" s="3" t="s">
        <v>55</v>
      </c>
      <c r="I57" s="5">
        <v>1.4883505393342603E-2</v>
      </c>
      <c r="J57" s="3" t="s">
        <v>7</v>
      </c>
      <c r="L57" s="3" t="s">
        <v>258</v>
      </c>
      <c r="M57" s="3" t="s">
        <v>55</v>
      </c>
      <c r="N57" s="5">
        <v>1.2449469534175233E-2</v>
      </c>
      <c r="O57" s="3" t="s">
        <v>7</v>
      </c>
    </row>
    <row r="58" spans="2:15" x14ac:dyDescent="0.45">
      <c r="B58" s="6" t="s">
        <v>256</v>
      </c>
      <c r="C58" s="6" t="s">
        <v>56</v>
      </c>
      <c r="D58" s="7">
        <v>2.0567073404976054E-2</v>
      </c>
      <c r="E58" s="6" t="s">
        <v>7</v>
      </c>
      <c r="G58" s="6" t="s">
        <v>257</v>
      </c>
      <c r="H58" s="6" t="s">
        <v>56</v>
      </c>
      <c r="I58" s="8">
        <v>1.3952779611265913E-2</v>
      </c>
      <c r="J58" s="6" t="s">
        <v>7</v>
      </c>
      <c r="L58" s="6" t="s">
        <v>258</v>
      </c>
      <c r="M58" s="6" t="s">
        <v>56</v>
      </c>
      <c r="N58" s="8">
        <v>1.2035261182418532E-2</v>
      </c>
      <c r="O58" s="6" t="s">
        <v>7</v>
      </c>
    </row>
    <row r="59" spans="2:15" x14ac:dyDescent="0.45">
      <c r="B59" s="3" t="s">
        <v>256</v>
      </c>
      <c r="C59" s="3" t="s">
        <v>57</v>
      </c>
      <c r="D59" s="4">
        <v>2.848403825864103E-3</v>
      </c>
      <c r="E59" s="3" t="s">
        <v>7</v>
      </c>
      <c r="G59" s="3" t="s">
        <v>257</v>
      </c>
      <c r="H59" s="3" t="s">
        <v>57</v>
      </c>
      <c r="I59" s="5">
        <v>1.2024736589400812E-2</v>
      </c>
      <c r="J59" s="3" t="s">
        <v>7</v>
      </c>
      <c r="L59" s="3" t="s">
        <v>258</v>
      </c>
      <c r="M59" s="3" t="s">
        <v>57</v>
      </c>
      <c r="N59" s="5">
        <v>1.215653630426956E-2</v>
      </c>
      <c r="O59" s="3" t="s">
        <v>7</v>
      </c>
    </row>
    <row r="60" spans="2:15" x14ac:dyDescent="0.45">
      <c r="B60" s="6" t="s">
        <v>256</v>
      </c>
      <c r="C60" s="6" t="s">
        <v>58</v>
      </c>
      <c r="D60" s="7">
        <v>0</v>
      </c>
      <c r="E60" s="6" t="s">
        <v>7</v>
      </c>
      <c r="G60" s="6" t="s">
        <v>257</v>
      </c>
      <c r="H60" s="6" t="s">
        <v>58</v>
      </c>
      <c r="I60" s="8">
        <v>1.6464150130942528E-2</v>
      </c>
      <c r="J60" s="6" t="s">
        <v>7</v>
      </c>
      <c r="L60" s="6" t="s">
        <v>258</v>
      </c>
      <c r="M60" s="6" t="s">
        <v>58</v>
      </c>
      <c r="N60" s="8">
        <v>2.0164584840170991E-2</v>
      </c>
      <c r="O60" s="6" t="s">
        <v>7</v>
      </c>
    </row>
    <row r="61" spans="2:15" x14ac:dyDescent="0.45">
      <c r="B61" s="3" t="s">
        <v>256</v>
      </c>
      <c r="C61" s="3" t="s">
        <v>59</v>
      </c>
      <c r="D61" s="4">
        <v>0</v>
      </c>
      <c r="E61" s="3" t="s">
        <v>7</v>
      </c>
      <c r="G61" s="3" t="s">
        <v>257</v>
      </c>
      <c r="H61" s="3" t="s">
        <v>59</v>
      </c>
      <c r="I61" s="5">
        <v>3.7077598533265296E-2</v>
      </c>
      <c r="J61" s="3" t="s">
        <v>7</v>
      </c>
      <c r="L61" s="3" t="s">
        <v>258</v>
      </c>
      <c r="M61" s="3" t="s">
        <v>59</v>
      </c>
      <c r="N61" s="5">
        <v>3.576577579911757E-2</v>
      </c>
      <c r="O61" s="3" t="s">
        <v>7</v>
      </c>
    </row>
    <row r="62" spans="2:15" x14ac:dyDescent="0.45">
      <c r="B62" s="6" t="s">
        <v>256</v>
      </c>
      <c r="C62" s="6" t="s">
        <v>60</v>
      </c>
      <c r="D62" s="7">
        <v>0</v>
      </c>
      <c r="E62" s="6" t="s">
        <v>7</v>
      </c>
      <c r="G62" s="6" t="s">
        <v>257</v>
      </c>
      <c r="H62" s="6" t="s">
        <v>60</v>
      </c>
      <c r="I62" s="8">
        <v>1.5835753909995549E-2</v>
      </c>
      <c r="J62" s="6" t="s">
        <v>7</v>
      </c>
      <c r="L62" s="6" t="s">
        <v>258</v>
      </c>
      <c r="M62" s="6" t="s">
        <v>60</v>
      </c>
      <c r="N62" s="8">
        <v>1.4412407370615157E-2</v>
      </c>
      <c r="O62" s="6" t="s">
        <v>7</v>
      </c>
    </row>
    <row r="63" spans="2:15" x14ac:dyDescent="0.45">
      <c r="B63" s="3" t="s">
        <v>256</v>
      </c>
      <c r="C63" s="3" t="s">
        <v>61</v>
      </c>
      <c r="D63" s="4">
        <v>0</v>
      </c>
      <c r="E63" s="3" t="s">
        <v>7</v>
      </c>
      <c r="G63" s="3" t="s">
        <v>257</v>
      </c>
      <c r="H63" s="3" t="s">
        <v>61</v>
      </c>
      <c r="I63" s="5">
        <v>1.6269933672666475E-2</v>
      </c>
      <c r="J63" s="3" t="s">
        <v>7</v>
      </c>
      <c r="L63" s="3" t="s">
        <v>258</v>
      </c>
      <c r="M63" s="3" t="s">
        <v>61</v>
      </c>
      <c r="N63" s="5">
        <v>1.4402578600969312E-2</v>
      </c>
      <c r="O63" s="3" t="s">
        <v>7</v>
      </c>
    </row>
    <row r="64" spans="2:15" x14ac:dyDescent="0.45">
      <c r="B64" s="6" t="s">
        <v>256</v>
      </c>
      <c r="C64" s="6" t="s">
        <v>62</v>
      </c>
      <c r="D64" s="7">
        <v>1.6430107168456311E-3</v>
      </c>
      <c r="E64" s="6" t="s">
        <v>7</v>
      </c>
      <c r="G64" s="6" t="s">
        <v>257</v>
      </c>
      <c r="H64" s="6" t="s">
        <v>62</v>
      </c>
      <c r="I64" s="8">
        <v>1.6214949002084363E-2</v>
      </c>
      <c r="J64" s="6" t="s">
        <v>7</v>
      </c>
      <c r="L64" s="6" t="s">
        <v>258</v>
      </c>
      <c r="M64" s="6" t="s">
        <v>62</v>
      </c>
      <c r="N64" s="8">
        <v>1.4666509482418801E-2</v>
      </c>
      <c r="O64" s="6" t="s">
        <v>7</v>
      </c>
    </row>
    <row r="65" spans="2:15" x14ac:dyDescent="0.45">
      <c r="B65" s="3" t="s">
        <v>256</v>
      </c>
      <c r="C65" s="3" t="s">
        <v>63</v>
      </c>
      <c r="D65" s="4">
        <v>1.8126034201421455E-2</v>
      </c>
      <c r="E65" s="3" t="s">
        <v>7</v>
      </c>
      <c r="G65" s="3" t="s">
        <v>257</v>
      </c>
      <c r="H65" s="3" t="s">
        <v>63</v>
      </c>
      <c r="I65" s="5">
        <v>1.635005516889039E-2</v>
      </c>
      <c r="J65" s="3" t="s">
        <v>7</v>
      </c>
      <c r="L65" s="3" t="s">
        <v>258</v>
      </c>
      <c r="M65" s="3" t="s">
        <v>63</v>
      </c>
      <c r="N65" s="5">
        <v>1.5369281832994127E-2</v>
      </c>
      <c r="O65" s="3" t="s">
        <v>7</v>
      </c>
    </row>
    <row r="66" spans="2:15" x14ac:dyDescent="0.45">
      <c r="B66" s="6" t="s">
        <v>256</v>
      </c>
      <c r="C66" s="6" t="s">
        <v>64</v>
      </c>
      <c r="D66" s="7">
        <v>2.9180673195876604E-2</v>
      </c>
      <c r="E66" s="6" t="s">
        <v>7</v>
      </c>
      <c r="G66" s="6" t="s">
        <v>257</v>
      </c>
      <c r="H66" s="6" t="s">
        <v>64</v>
      </c>
      <c r="I66" s="8">
        <v>1.728158374147392E-2</v>
      </c>
      <c r="J66" s="6" t="s">
        <v>7</v>
      </c>
      <c r="L66" s="6" t="s">
        <v>258</v>
      </c>
      <c r="M66" s="6" t="s">
        <v>64</v>
      </c>
      <c r="N66" s="8">
        <v>1.5610585842697042E-2</v>
      </c>
      <c r="O66" s="6" t="s">
        <v>7</v>
      </c>
    </row>
    <row r="67" spans="2:15" x14ac:dyDescent="0.45">
      <c r="B67" s="3" t="s">
        <v>256</v>
      </c>
      <c r="C67" s="3" t="s">
        <v>65</v>
      </c>
      <c r="D67" s="4">
        <v>2.198624993439547E-2</v>
      </c>
      <c r="E67" s="3" t="s">
        <v>7</v>
      </c>
      <c r="G67" s="3" t="s">
        <v>257</v>
      </c>
      <c r="H67" s="3" t="s">
        <v>65</v>
      </c>
      <c r="I67" s="5">
        <v>1.7311354624852716E-2</v>
      </c>
      <c r="J67" s="3" t="s">
        <v>7</v>
      </c>
      <c r="L67" s="3" t="s">
        <v>258</v>
      </c>
      <c r="M67" s="3" t="s">
        <v>65</v>
      </c>
      <c r="N67" s="5">
        <v>1.5574262666383107E-2</v>
      </c>
      <c r="O67" s="3" t="s">
        <v>7</v>
      </c>
    </row>
    <row r="68" spans="2:15" x14ac:dyDescent="0.45">
      <c r="B68" s="6" t="s">
        <v>256</v>
      </c>
      <c r="C68" s="6" t="s">
        <v>66</v>
      </c>
      <c r="D68" s="7">
        <v>5.8045099313022291E-3</v>
      </c>
      <c r="E68" s="6" t="s">
        <v>7</v>
      </c>
      <c r="G68" s="6" t="s">
        <v>257</v>
      </c>
      <c r="H68" s="6" t="s">
        <v>66</v>
      </c>
      <c r="I68" s="8">
        <v>1.6977795526937709E-2</v>
      </c>
      <c r="J68" s="6" t="s">
        <v>7</v>
      </c>
      <c r="L68" s="6" t="s">
        <v>258</v>
      </c>
      <c r="M68" s="6" t="s">
        <v>66</v>
      </c>
      <c r="N68" s="8">
        <v>1.5258947837095286E-2</v>
      </c>
      <c r="O68" s="6" t="s">
        <v>7</v>
      </c>
    </row>
    <row r="69" spans="2:15" x14ac:dyDescent="0.45">
      <c r="B69" s="3" t="s">
        <v>256</v>
      </c>
      <c r="C69" s="3" t="s">
        <v>67</v>
      </c>
      <c r="D69" s="4">
        <v>0</v>
      </c>
      <c r="E69" s="3" t="s">
        <v>7</v>
      </c>
      <c r="G69" s="3" t="s">
        <v>257</v>
      </c>
      <c r="H69" s="3" t="s">
        <v>67</v>
      </c>
      <c r="I69" s="5">
        <v>1.6736335597546729E-2</v>
      </c>
      <c r="J69" s="3" t="s">
        <v>7</v>
      </c>
      <c r="L69" s="3" t="s">
        <v>258</v>
      </c>
      <c r="M69" s="3" t="s">
        <v>67</v>
      </c>
      <c r="N69" s="5">
        <v>1.4709420818737355E-2</v>
      </c>
      <c r="O69" s="3" t="s">
        <v>7</v>
      </c>
    </row>
    <row r="70" spans="2:15" x14ac:dyDescent="0.45">
      <c r="B70" s="6" t="s">
        <v>256</v>
      </c>
      <c r="C70" s="6" t="s">
        <v>68</v>
      </c>
      <c r="D70" s="7">
        <v>0</v>
      </c>
      <c r="E70" s="6" t="s">
        <v>7</v>
      </c>
      <c r="G70" s="6" t="s">
        <v>257</v>
      </c>
      <c r="H70" s="6" t="s">
        <v>68</v>
      </c>
      <c r="I70" s="8">
        <v>2.3988000935255854E-2</v>
      </c>
      <c r="J70" s="6" t="s">
        <v>7</v>
      </c>
      <c r="L70" s="6" t="s">
        <v>258</v>
      </c>
      <c r="M70" s="6" t="s">
        <v>68</v>
      </c>
      <c r="N70" s="8">
        <v>2.1810482041703834E-2</v>
      </c>
      <c r="O70" s="6" t="s">
        <v>7</v>
      </c>
    </row>
    <row r="71" spans="2:15" x14ac:dyDescent="0.45">
      <c r="B71" s="3" t="s">
        <v>259</v>
      </c>
      <c r="C71" s="3" t="s">
        <v>6</v>
      </c>
      <c r="D71" s="4">
        <v>0</v>
      </c>
      <c r="E71" s="3" t="s">
        <v>7</v>
      </c>
      <c r="G71" s="3" t="s">
        <v>260</v>
      </c>
      <c r="H71" s="3" t="s">
        <v>6</v>
      </c>
      <c r="I71" s="5">
        <v>3.8406634836984449E-2</v>
      </c>
      <c r="J71" s="3" t="s">
        <v>7</v>
      </c>
      <c r="L71" s="3" t="s">
        <v>261</v>
      </c>
      <c r="M71" s="3" t="s">
        <v>6</v>
      </c>
      <c r="N71" s="5">
        <v>3.765536422627544E-2</v>
      </c>
      <c r="O71" s="3" t="s">
        <v>7</v>
      </c>
    </row>
    <row r="72" spans="2:15" x14ac:dyDescent="0.45">
      <c r="B72" s="6" t="s">
        <v>259</v>
      </c>
      <c r="C72" s="6" t="s">
        <v>10</v>
      </c>
      <c r="D72" s="7">
        <v>0</v>
      </c>
      <c r="E72" s="6" t="s">
        <v>7</v>
      </c>
      <c r="G72" s="6" t="s">
        <v>260</v>
      </c>
      <c r="H72" s="6" t="s">
        <v>10</v>
      </c>
      <c r="I72" s="8">
        <v>1.4080937707474647E-2</v>
      </c>
      <c r="J72" s="6" t="s">
        <v>7</v>
      </c>
      <c r="L72" s="6" t="s">
        <v>261</v>
      </c>
      <c r="M72" s="6" t="s">
        <v>10</v>
      </c>
      <c r="N72" s="8">
        <v>1.5629117962385163E-2</v>
      </c>
      <c r="O72" s="6" t="s">
        <v>7</v>
      </c>
    </row>
    <row r="73" spans="2:15" x14ac:dyDescent="0.45">
      <c r="B73" s="3" t="s">
        <v>259</v>
      </c>
      <c r="C73" s="3" t="s">
        <v>11</v>
      </c>
      <c r="D73" s="4">
        <v>0</v>
      </c>
      <c r="E73" s="3" t="s">
        <v>7</v>
      </c>
      <c r="G73" s="3" t="s">
        <v>260</v>
      </c>
      <c r="H73" s="3" t="s">
        <v>11</v>
      </c>
      <c r="I73" s="5">
        <v>1.428074411826045E-2</v>
      </c>
      <c r="J73" s="3" t="s">
        <v>7</v>
      </c>
      <c r="L73" s="3" t="s">
        <v>261</v>
      </c>
      <c r="M73" s="3" t="s">
        <v>11</v>
      </c>
      <c r="N73" s="5">
        <v>1.6107872207414831E-2</v>
      </c>
      <c r="O73" s="3" t="s">
        <v>7</v>
      </c>
    </row>
    <row r="74" spans="2:15" x14ac:dyDescent="0.45">
      <c r="B74" s="6" t="s">
        <v>259</v>
      </c>
      <c r="C74" s="6" t="s">
        <v>12</v>
      </c>
      <c r="D74" s="7">
        <v>1.5245228780353505E-3</v>
      </c>
      <c r="E74" s="6" t="s">
        <v>7</v>
      </c>
      <c r="G74" s="6" t="s">
        <v>260</v>
      </c>
      <c r="H74" s="6" t="s">
        <v>12</v>
      </c>
      <c r="I74" s="8">
        <v>1.5122363481728568E-2</v>
      </c>
      <c r="J74" s="6" t="s">
        <v>7</v>
      </c>
      <c r="L74" s="6" t="s">
        <v>261</v>
      </c>
      <c r="M74" s="6" t="s">
        <v>12</v>
      </c>
      <c r="N74" s="8">
        <v>1.688481831782522E-2</v>
      </c>
      <c r="O74" s="6" t="s">
        <v>7</v>
      </c>
    </row>
    <row r="75" spans="2:15" x14ac:dyDescent="0.45">
      <c r="B75" s="3" t="s">
        <v>259</v>
      </c>
      <c r="C75" s="3" t="s">
        <v>13</v>
      </c>
      <c r="D75" s="4">
        <v>1.6765320955317003E-2</v>
      </c>
      <c r="E75" s="3" t="s">
        <v>7</v>
      </c>
      <c r="G75" s="3" t="s">
        <v>260</v>
      </c>
      <c r="H75" s="3" t="s">
        <v>13</v>
      </c>
      <c r="I75" s="5">
        <v>1.6184154851782647E-2</v>
      </c>
      <c r="J75" s="3" t="s">
        <v>7</v>
      </c>
      <c r="L75" s="3" t="s">
        <v>261</v>
      </c>
      <c r="M75" s="3" t="s">
        <v>13</v>
      </c>
      <c r="N75" s="5">
        <v>1.7653426859917914E-2</v>
      </c>
      <c r="O75" s="3" t="s">
        <v>7</v>
      </c>
    </row>
    <row r="76" spans="2:15" x14ac:dyDescent="0.45">
      <c r="B76" s="6" t="s">
        <v>259</v>
      </c>
      <c r="C76" s="6" t="s">
        <v>14</v>
      </c>
      <c r="D76" s="7">
        <v>3.1285994370462873E-2</v>
      </c>
      <c r="E76" s="6" t="s">
        <v>7</v>
      </c>
      <c r="G76" s="6" t="s">
        <v>260</v>
      </c>
      <c r="H76" s="6" t="s">
        <v>14</v>
      </c>
      <c r="I76" s="8">
        <v>1.7107316409526958E-2</v>
      </c>
      <c r="J76" s="6" t="s">
        <v>7</v>
      </c>
      <c r="L76" s="6" t="s">
        <v>261</v>
      </c>
      <c r="M76" s="6" t="s">
        <v>14</v>
      </c>
      <c r="N76" s="8">
        <v>1.7590466900757159E-2</v>
      </c>
      <c r="O76" s="6" t="s">
        <v>7</v>
      </c>
    </row>
    <row r="77" spans="2:15" x14ac:dyDescent="0.45">
      <c r="B77" s="3" t="s">
        <v>259</v>
      </c>
      <c r="C77" s="3" t="s">
        <v>15</v>
      </c>
      <c r="D77" s="4">
        <v>2.8650085966471991E-2</v>
      </c>
      <c r="E77" s="3" t="s">
        <v>7</v>
      </c>
      <c r="G77" s="3" t="s">
        <v>260</v>
      </c>
      <c r="H77" s="3" t="s">
        <v>15</v>
      </c>
      <c r="I77" s="5">
        <v>1.7143229789252003E-2</v>
      </c>
      <c r="J77" s="3" t="s">
        <v>7</v>
      </c>
      <c r="L77" s="3" t="s">
        <v>261</v>
      </c>
      <c r="M77" s="3" t="s">
        <v>15</v>
      </c>
      <c r="N77" s="5">
        <v>1.6789531251595029E-2</v>
      </c>
      <c r="O77" s="3" t="s">
        <v>7</v>
      </c>
    </row>
    <row r="78" spans="2:15" x14ac:dyDescent="0.45">
      <c r="B78" s="6" t="s">
        <v>259</v>
      </c>
      <c r="C78" s="6" t="s">
        <v>16</v>
      </c>
      <c r="D78" s="7">
        <v>1.225611581784421E-2</v>
      </c>
      <c r="E78" s="6" t="s">
        <v>7</v>
      </c>
      <c r="G78" s="6" t="s">
        <v>260</v>
      </c>
      <c r="H78" s="6" t="s">
        <v>16</v>
      </c>
      <c r="I78" s="8">
        <v>1.609209070906404E-2</v>
      </c>
      <c r="J78" s="6" t="s">
        <v>7</v>
      </c>
      <c r="L78" s="6" t="s">
        <v>261</v>
      </c>
      <c r="M78" s="6" t="s">
        <v>16</v>
      </c>
      <c r="N78" s="8">
        <v>1.6203634525573728E-2</v>
      </c>
      <c r="O78" s="6" t="s">
        <v>7</v>
      </c>
    </row>
    <row r="79" spans="2:15" x14ac:dyDescent="0.45">
      <c r="B79" s="3" t="s">
        <v>259</v>
      </c>
      <c r="C79" s="3" t="s">
        <v>17</v>
      </c>
      <c r="D79" s="4">
        <v>5.0312733325987447E-4</v>
      </c>
      <c r="E79" s="3" t="s">
        <v>7</v>
      </c>
      <c r="G79" s="3" t="s">
        <v>260</v>
      </c>
      <c r="H79" s="3" t="s">
        <v>17</v>
      </c>
      <c r="I79" s="5">
        <v>1.5705765065925345E-2</v>
      </c>
      <c r="J79" s="3" t="s">
        <v>7</v>
      </c>
      <c r="L79" s="3" t="s">
        <v>261</v>
      </c>
      <c r="M79" s="3" t="s">
        <v>17</v>
      </c>
      <c r="N79" s="5">
        <v>1.5613997011678862E-2</v>
      </c>
      <c r="O79" s="3" t="s">
        <v>7</v>
      </c>
    </row>
    <row r="80" spans="2:15" x14ac:dyDescent="0.45">
      <c r="B80" s="6" t="s">
        <v>259</v>
      </c>
      <c r="C80" s="6" t="s">
        <v>18</v>
      </c>
      <c r="D80" s="7">
        <v>0</v>
      </c>
      <c r="E80" s="6" t="s">
        <v>7</v>
      </c>
      <c r="G80" s="6" t="s">
        <v>260</v>
      </c>
      <c r="H80" s="6" t="s">
        <v>18</v>
      </c>
      <c r="I80" s="8">
        <v>2.398459051983003E-2</v>
      </c>
      <c r="J80" s="6" t="s">
        <v>7</v>
      </c>
      <c r="L80" s="6" t="s">
        <v>261</v>
      </c>
      <c r="M80" s="6" t="s">
        <v>18</v>
      </c>
      <c r="N80" s="8">
        <v>2.2785791799745381E-2</v>
      </c>
      <c r="O80" s="6" t="s">
        <v>7</v>
      </c>
    </row>
    <row r="81" spans="2:15" x14ac:dyDescent="0.45">
      <c r="B81" s="3" t="s">
        <v>259</v>
      </c>
      <c r="C81" s="3" t="s">
        <v>19</v>
      </c>
      <c r="D81" s="4">
        <v>0</v>
      </c>
      <c r="E81" s="3" t="s">
        <v>7</v>
      </c>
      <c r="G81" s="3" t="s">
        <v>260</v>
      </c>
      <c r="H81" s="3" t="s">
        <v>19</v>
      </c>
      <c r="I81" s="5">
        <v>4.2290122924204886E-2</v>
      </c>
      <c r="J81" s="3" t="s">
        <v>7</v>
      </c>
      <c r="L81" s="3" t="s">
        <v>261</v>
      </c>
      <c r="M81" s="3" t="s">
        <v>19</v>
      </c>
      <c r="N81" s="5">
        <v>4.088395841394795E-2</v>
      </c>
      <c r="O81" s="3" t="s">
        <v>7</v>
      </c>
    </row>
    <row r="82" spans="2:15" x14ac:dyDescent="0.45">
      <c r="B82" s="6" t="s">
        <v>259</v>
      </c>
      <c r="C82" s="6" t="s">
        <v>20</v>
      </c>
      <c r="D82" s="7">
        <v>0</v>
      </c>
      <c r="E82" s="6" t="s">
        <v>7</v>
      </c>
      <c r="G82" s="6" t="s">
        <v>260</v>
      </c>
      <c r="H82" s="6" t="s">
        <v>20</v>
      </c>
      <c r="I82" s="8">
        <v>1.6710967208579744E-2</v>
      </c>
      <c r="J82" s="6" t="s">
        <v>7</v>
      </c>
      <c r="L82" s="6" t="s">
        <v>261</v>
      </c>
      <c r="M82" s="6" t="s">
        <v>20</v>
      </c>
      <c r="N82" s="8">
        <v>1.6060720525041022E-2</v>
      </c>
      <c r="O82" s="6" t="s">
        <v>7</v>
      </c>
    </row>
    <row r="83" spans="2:15" x14ac:dyDescent="0.45">
      <c r="B83" s="3" t="s">
        <v>259</v>
      </c>
      <c r="C83" s="3" t="s">
        <v>21</v>
      </c>
      <c r="D83" s="4">
        <v>5.5663490018093085E-4</v>
      </c>
      <c r="E83" s="3" t="s">
        <v>7</v>
      </c>
      <c r="G83" s="3" t="s">
        <v>260</v>
      </c>
      <c r="H83" s="3" t="s">
        <v>21</v>
      </c>
      <c r="I83" s="5">
        <v>1.6487692653713176E-2</v>
      </c>
      <c r="J83" s="3" t="s">
        <v>7</v>
      </c>
      <c r="L83" s="3" t="s">
        <v>261</v>
      </c>
      <c r="M83" s="3" t="s">
        <v>21</v>
      </c>
      <c r="N83" s="5">
        <v>1.6667205856185519E-2</v>
      </c>
      <c r="O83" s="3" t="s">
        <v>7</v>
      </c>
    </row>
    <row r="84" spans="2:15" x14ac:dyDescent="0.45">
      <c r="B84" s="6" t="s">
        <v>259</v>
      </c>
      <c r="C84" s="6" t="s">
        <v>22</v>
      </c>
      <c r="D84" s="7">
        <v>1.6873144661663095E-2</v>
      </c>
      <c r="E84" s="6" t="s">
        <v>7</v>
      </c>
      <c r="G84" s="6" t="s">
        <v>260</v>
      </c>
      <c r="H84" s="6" t="s">
        <v>22</v>
      </c>
      <c r="I84" s="8">
        <v>1.6920517087064293E-2</v>
      </c>
      <c r="J84" s="6" t="s">
        <v>7</v>
      </c>
      <c r="L84" s="6" t="s">
        <v>261</v>
      </c>
      <c r="M84" s="6" t="s">
        <v>22</v>
      </c>
      <c r="N84" s="8">
        <v>1.7534444458081229E-2</v>
      </c>
      <c r="O84" s="6" t="s">
        <v>7</v>
      </c>
    </row>
    <row r="85" spans="2:15" x14ac:dyDescent="0.45">
      <c r="B85" s="3" t="s">
        <v>259</v>
      </c>
      <c r="C85" s="3" t="s">
        <v>23</v>
      </c>
      <c r="D85" s="4">
        <v>4.2911705194174705E-2</v>
      </c>
      <c r="E85" s="3" t="s">
        <v>7</v>
      </c>
      <c r="G85" s="3" t="s">
        <v>260</v>
      </c>
      <c r="H85" s="3" t="s">
        <v>23</v>
      </c>
      <c r="I85" s="5">
        <v>1.7961862678781866E-2</v>
      </c>
      <c r="J85" s="3" t="s">
        <v>7</v>
      </c>
      <c r="L85" s="3" t="s">
        <v>261</v>
      </c>
      <c r="M85" s="3" t="s">
        <v>23</v>
      </c>
      <c r="N85" s="5">
        <v>1.7597961782859151E-2</v>
      </c>
      <c r="O85" s="3" t="s">
        <v>7</v>
      </c>
    </row>
    <row r="86" spans="2:15" x14ac:dyDescent="0.45">
      <c r="B86" s="6" t="s">
        <v>259</v>
      </c>
      <c r="C86" s="6" t="s">
        <v>24</v>
      </c>
      <c r="D86" s="7">
        <v>5.0715976550500551E-2</v>
      </c>
      <c r="E86" s="6" t="s">
        <v>7</v>
      </c>
      <c r="G86" s="6" t="s">
        <v>260</v>
      </c>
      <c r="H86" s="6" t="s">
        <v>24</v>
      </c>
      <c r="I86" s="8">
        <v>1.7802550211264027E-2</v>
      </c>
      <c r="J86" s="6" t="s">
        <v>7</v>
      </c>
      <c r="L86" s="6" t="s">
        <v>261</v>
      </c>
      <c r="M86" s="6" t="s">
        <v>24</v>
      </c>
      <c r="N86" s="8">
        <v>1.772041539611742E-2</v>
      </c>
      <c r="O86" s="6" t="s">
        <v>7</v>
      </c>
    </row>
    <row r="87" spans="2:15" x14ac:dyDescent="0.45">
      <c r="B87" s="3" t="s">
        <v>259</v>
      </c>
      <c r="C87" s="3" t="s">
        <v>25</v>
      </c>
      <c r="D87" s="4">
        <v>4.6931423520560324E-2</v>
      </c>
      <c r="E87" s="3" t="s">
        <v>7</v>
      </c>
      <c r="G87" s="3" t="s">
        <v>260</v>
      </c>
      <c r="H87" s="3" t="s">
        <v>25</v>
      </c>
      <c r="I87" s="5">
        <v>1.7626324549610408E-2</v>
      </c>
      <c r="J87" s="3" t="s">
        <v>7</v>
      </c>
      <c r="L87" s="3" t="s">
        <v>261</v>
      </c>
      <c r="M87" s="3" t="s">
        <v>25</v>
      </c>
      <c r="N87" s="5">
        <v>1.7720448421392167E-2</v>
      </c>
      <c r="O87" s="3" t="s">
        <v>7</v>
      </c>
    </row>
    <row r="88" spans="2:15" x14ac:dyDescent="0.45">
      <c r="B88" s="6" t="s">
        <v>259</v>
      </c>
      <c r="C88" s="6" t="s">
        <v>26</v>
      </c>
      <c r="D88" s="7">
        <v>2.9815785864990459E-2</v>
      </c>
      <c r="E88" s="6" t="s">
        <v>7</v>
      </c>
      <c r="G88" s="6" t="s">
        <v>260</v>
      </c>
      <c r="H88" s="6" t="s">
        <v>26</v>
      </c>
      <c r="I88" s="8">
        <v>1.7257876678727732E-2</v>
      </c>
      <c r="J88" s="6" t="s">
        <v>7</v>
      </c>
      <c r="L88" s="6" t="s">
        <v>261</v>
      </c>
      <c r="M88" s="6" t="s">
        <v>26</v>
      </c>
      <c r="N88" s="8">
        <v>1.6604267264178376E-2</v>
      </c>
      <c r="O88" s="6" t="s">
        <v>7</v>
      </c>
    </row>
    <row r="89" spans="2:15" x14ac:dyDescent="0.45">
      <c r="B89" s="3" t="s">
        <v>259</v>
      </c>
      <c r="C89" s="3" t="s">
        <v>27</v>
      </c>
      <c r="D89" s="4">
        <v>6.967911863477283E-3</v>
      </c>
      <c r="E89" s="3" t="s">
        <v>7</v>
      </c>
      <c r="G89" s="3" t="s">
        <v>260</v>
      </c>
      <c r="H89" s="3" t="s">
        <v>27</v>
      </c>
      <c r="I89" s="5">
        <v>1.6233584416000826E-2</v>
      </c>
      <c r="J89" s="3" t="s">
        <v>7</v>
      </c>
      <c r="L89" s="3" t="s">
        <v>261</v>
      </c>
      <c r="M89" s="3" t="s">
        <v>27</v>
      </c>
      <c r="N89" s="5">
        <v>1.6168310597373028E-2</v>
      </c>
      <c r="O89" s="3" t="s">
        <v>7</v>
      </c>
    </row>
    <row r="90" spans="2:15" x14ac:dyDescent="0.45">
      <c r="B90" s="6" t="s">
        <v>259</v>
      </c>
      <c r="C90" s="6" t="s">
        <v>28</v>
      </c>
      <c r="D90" s="7">
        <v>2.087192282562238E-5</v>
      </c>
      <c r="E90" s="6" t="s">
        <v>7</v>
      </c>
      <c r="G90" s="6" t="s">
        <v>260</v>
      </c>
      <c r="H90" s="6" t="s">
        <v>28</v>
      </c>
      <c r="I90" s="8">
        <v>2.4511828483168026E-2</v>
      </c>
      <c r="J90" s="6" t="s">
        <v>7</v>
      </c>
      <c r="L90" s="6" t="s">
        <v>261</v>
      </c>
      <c r="M90" s="6" t="s">
        <v>28</v>
      </c>
      <c r="N90" s="8">
        <v>2.4669957469187122E-2</v>
      </c>
      <c r="O90" s="6" t="s">
        <v>7</v>
      </c>
    </row>
    <row r="91" spans="2:15" x14ac:dyDescent="0.45">
      <c r="B91" s="3" t="s">
        <v>259</v>
      </c>
      <c r="C91" s="3" t="s">
        <v>29</v>
      </c>
      <c r="D91" s="4">
        <v>0</v>
      </c>
      <c r="E91" s="3" t="s">
        <v>7</v>
      </c>
      <c r="G91" s="3" t="s">
        <v>260</v>
      </c>
      <c r="H91" s="3" t="s">
        <v>29</v>
      </c>
      <c r="I91" s="5">
        <v>2.9872005495250552E-2</v>
      </c>
      <c r="J91" s="3" t="s">
        <v>7</v>
      </c>
      <c r="L91" s="3" t="s">
        <v>261</v>
      </c>
      <c r="M91" s="3" t="s">
        <v>29</v>
      </c>
      <c r="N91" s="5">
        <v>2.8444648647777369E-2</v>
      </c>
      <c r="O91" s="3" t="s">
        <v>7</v>
      </c>
    </row>
    <row r="92" spans="2:15" x14ac:dyDescent="0.45">
      <c r="B92" s="6" t="s">
        <v>259</v>
      </c>
      <c r="C92" s="6" t="s">
        <v>30</v>
      </c>
      <c r="D92" s="7">
        <v>1.222614692475045E-5</v>
      </c>
      <c r="E92" s="6" t="s">
        <v>7</v>
      </c>
      <c r="G92" s="6" t="s">
        <v>260</v>
      </c>
      <c r="H92" s="6" t="s">
        <v>30</v>
      </c>
      <c r="I92" s="8">
        <v>1.1693377273697698E-2</v>
      </c>
      <c r="J92" s="6" t="s">
        <v>7</v>
      </c>
      <c r="L92" s="6" t="s">
        <v>261</v>
      </c>
      <c r="M92" s="6" t="s">
        <v>30</v>
      </c>
      <c r="N92" s="8">
        <v>1.2070987102362219E-2</v>
      </c>
      <c r="O92" s="6" t="s">
        <v>7</v>
      </c>
    </row>
    <row r="93" spans="2:15" x14ac:dyDescent="0.45">
      <c r="B93" s="3" t="s">
        <v>259</v>
      </c>
      <c r="C93" s="3" t="s">
        <v>31</v>
      </c>
      <c r="D93" s="4">
        <v>4.5524873340931195E-3</v>
      </c>
      <c r="E93" s="3" t="s">
        <v>7</v>
      </c>
      <c r="G93" s="3" t="s">
        <v>260</v>
      </c>
      <c r="H93" s="3" t="s">
        <v>31</v>
      </c>
      <c r="I93" s="5">
        <v>1.1652922391281668E-2</v>
      </c>
      <c r="J93" s="3" t="s">
        <v>7</v>
      </c>
      <c r="L93" s="3" t="s">
        <v>261</v>
      </c>
      <c r="M93" s="3" t="s">
        <v>31</v>
      </c>
      <c r="N93" s="5">
        <v>1.3685145525548599E-2</v>
      </c>
      <c r="O93" s="3" t="s">
        <v>7</v>
      </c>
    </row>
    <row r="94" spans="2:15" x14ac:dyDescent="0.45">
      <c r="B94" s="6" t="s">
        <v>259</v>
      </c>
      <c r="C94" s="6" t="s">
        <v>32</v>
      </c>
      <c r="D94" s="7">
        <v>2.6340569952711401E-2</v>
      </c>
      <c r="E94" s="6" t="s">
        <v>7</v>
      </c>
      <c r="G94" s="6" t="s">
        <v>260</v>
      </c>
      <c r="H94" s="6" t="s">
        <v>32</v>
      </c>
      <c r="I94" s="8">
        <v>1.2961083613061745E-2</v>
      </c>
      <c r="J94" s="6" t="s">
        <v>7</v>
      </c>
      <c r="L94" s="6" t="s">
        <v>261</v>
      </c>
      <c r="M94" s="6" t="s">
        <v>32</v>
      </c>
      <c r="N94" s="8">
        <v>1.4379224059133222E-2</v>
      </c>
      <c r="O94" s="6" t="s">
        <v>7</v>
      </c>
    </row>
    <row r="95" spans="2:15" x14ac:dyDescent="0.45">
      <c r="B95" s="3" t="s">
        <v>259</v>
      </c>
      <c r="C95" s="3" t="s">
        <v>33</v>
      </c>
      <c r="D95" s="4">
        <v>4.9418753310365666E-2</v>
      </c>
      <c r="E95" s="3" t="s">
        <v>7</v>
      </c>
      <c r="G95" s="3" t="s">
        <v>260</v>
      </c>
      <c r="H95" s="3" t="s">
        <v>33</v>
      </c>
      <c r="I95" s="5">
        <v>1.3843190276049636E-2</v>
      </c>
      <c r="J95" s="3" t="s">
        <v>7</v>
      </c>
      <c r="L95" s="3" t="s">
        <v>261</v>
      </c>
      <c r="M95" s="3" t="s">
        <v>33</v>
      </c>
      <c r="N95" s="5">
        <v>1.5480730858129966E-2</v>
      </c>
      <c r="O95" s="3" t="s">
        <v>7</v>
      </c>
    </row>
    <row r="96" spans="2:15" x14ac:dyDescent="0.45">
      <c r="B96" s="6" t="s">
        <v>259</v>
      </c>
      <c r="C96" s="6" t="s">
        <v>34</v>
      </c>
      <c r="D96" s="7">
        <v>6.0833033254234094E-2</v>
      </c>
      <c r="E96" s="6" t="s">
        <v>7</v>
      </c>
      <c r="G96" s="6" t="s">
        <v>260</v>
      </c>
      <c r="H96" s="6" t="s">
        <v>34</v>
      </c>
      <c r="I96" s="8">
        <v>1.4896627281345248E-2</v>
      </c>
      <c r="J96" s="6" t="s">
        <v>7</v>
      </c>
      <c r="L96" s="6" t="s">
        <v>261</v>
      </c>
      <c r="M96" s="6" t="s">
        <v>34</v>
      </c>
      <c r="N96" s="8">
        <v>1.6263005622967015E-2</v>
      </c>
      <c r="O96" s="6" t="s">
        <v>7</v>
      </c>
    </row>
    <row r="97" spans="2:15" x14ac:dyDescent="0.45">
      <c r="B97" s="3" t="s">
        <v>259</v>
      </c>
      <c r="C97" s="3" t="s">
        <v>35</v>
      </c>
      <c r="D97" s="4">
        <v>5.7231987093658218E-2</v>
      </c>
      <c r="E97" s="3" t="s">
        <v>7</v>
      </c>
      <c r="G97" s="3" t="s">
        <v>260</v>
      </c>
      <c r="H97" s="3" t="s">
        <v>35</v>
      </c>
      <c r="I97" s="5">
        <v>1.5687944041840759E-2</v>
      </c>
      <c r="J97" s="3" t="s">
        <v>7</v>
      </c>
      <c r="L97" s="3" t="s">
        <v>261</v>
      </c>
      <c r="M97" s="3" t="s">
        <v>35</v>
      </c>
      <c r="N97" s="5">
        <v>1.6616638181456485E-2</v>
      </c>
      <c r="O97" s="3" t="s">
        <v>7</v>
      </c>
    </row>
    <row r="98" spans="2:15" x14ac:dyDescent="0.45">
      <c r="B98" s="6" t="s">
        <v>259</v>
      </c>
      <c r="C98" s="6" t="s">
        <v>36</v>
      </c>
      <c r="D98" s="7">
        <v>3.9266378241467337E-2</v>
      </c>
      <c r="E98" s="6" t="s">
        <v>7</v>
      </c>
      <c r="G98" s="6" t="s">
        <v>260</v>
      </c>
      <c r="H98" s="6" t="s">
        <v>36</v>
      </c>
      <c r="I98" s="8">
        <v>1.5400636137702556E-2</v>
      </c>
      <c r="J98" s="6" t="s">
        <v>7</v>
      </c>
      <c r="L98" s="6" t="s">
        <v>261</v>
      </c>
      <c r="M98" s="6" t="s">
        <v>36</v>
      </c>
      <c r="N98" s="8">
        <v>1.5363174953895166E-2</v>
      </c>
      <c r="O98" s="6" t="s">
        <v>7</v>
      </c>
    </row>
    <row r="99" spans="2:15" x14ac:dyDescent="0.45">
      <c r="B99" s="3" t="s">
        <v>259</v>
      </c>
      <c r="C99" s="3" t="s">
        <v>37</v>
      </c>
      <c r="D99" s="4">
        <v>1.419697165415337E-2</v>
      </c>
      <c r="E99" s="3" t="s">
        <v>7</v>
      </c>
      <c r="G99" s="3" t="s">
        <v>260</v>
      </c>
      <c r="H99" s="3" t="s">
        <v>37</v>
      </c>
      <c r="I99" s="5">
        <v>1.4423659004417416E-2</v>
      </c>
      <c r="J99" s="3" t="s">
        <v>7</v>
      </c>
      <c r="L99" s="3" t="s">
        <v>261</v>
      </c>
      <c r="M99" s="3" t="s">
        <v>37</v>
      </c>
      <c r="N99" s="5">
        <v>1.3203848352346583E-2</v>
      </c>
      <c r="O99" s="3" t="s">
        <v>7</v>
      </c>
    </row>
    <row r="100" spans="2:15" x14ac:dyDescent="0.45">
      <c r="B100" s="6" t="s">
        <v>259</v>
      </c>
      <c r="C100" s="6" t="s">
        <v>38</v>
      </c>
      <c r="D100" s="7">
        <v>1.126558867759183E-3</v>
      </c>
      <c r="E100" s="6" t="s">
        <v>7</v>
      </c>
      <c r="G100" s="6" t="s">
        <v>260</v>
      </c>
      <c r="H100" s="6" t="s">
        <v>38</v>
      </c>
      <c r="I100" s="8">
        <v>1.9414035464680582E-2</v>
      </c>
      <c r="J100" s="6" t="s">
        <v>7</v>
      </c>
      <c r="L100" s="6" t="s">
        <v>261</v>
      </c>
      <c r="M100" s="6" t="s">
        <v>38</v>
      </c>
      <c r="N100" s="8">
        <v>1.7710971661085182E-2</v>
      </c>
      <c r="O100" s="6" t="s">
        <v>7</v>
      </c>
    </row>
    <row r="101" spans="2:15" x14ac:dyDescent="0.45">
      <c r="B101" s="3" t="s">
        <v>259</v>
      </c>
      <c r="C101" s="3" t="s">
        <v>39</v>
      </c>
      <c r="D101" s="4">
        <v>0</v>
      </c>
      <c r="E101" s="3" t="s">
        <v>7</v>
      </c>
      <c r="G101" s="3" t="s">
        <v>260</v>
      </c>
      <c r="H101" s="3" t="s">
        <v>39</v>
      </c>
      <c r="I101" s="5">
        <v>1.8056089875554904E-2</v>
      </c>
      <c r="J101" s="3" t="s">
        <v>7</v>
      </c>
      <c r="L101" s="3" t="s">
        <v>261</v>
      </c>
      <c r="M101" s="3" t="s">
        <v>39</v>
      </c>
      <c r="N101" s="5">
        <v>1.7948915245045886E-2</v>
      </c>
      <c r="O101" s="3" t="s">
        <v>7</v>
      </c>
    </row>
    <row r="102" spans="2:15" x14ac:dyDescent="0.45">
      <c r="B102" s="6" t="s">
        <v>259</v>
      </c>
      <c r="C102" s="6" t="s">
        <v>40</v>
      </c>
      <c r="D102" s="7">
        <v>0</v>
      </c>
      <c r="E102" s="6" t="s">
        <v>7</v>
      </c>
      <c r="G102" s="6" t="s">
        <v>260</v>
      </c>
      <c r="H102" s="6" t="s">
        <v>40</v>
      </c>
      <c r="I102" s="8">
        <v>6.9195646006072814E-3</v>
      </c>
      <c r="J102" s="6" t="s">
        <v>7</v>
      </c>
      <c r="L102" s="6" t="s">
        <v>261</v>
      </c>
      <c r="M102" s="6" t="s">
        <v>40</v>
      </c>
      <c r="N102" s="8">
        <v>6.6433450723817717E-3</v>
      </c>
      <c r="O102" s="6" t="s">
        <v>7</v>
      </c>
    </row>
    <row r="103" spans="2:15" x14ac:dyDescent="0.45">
      <c r="B103" s="3" t="s">
        <v>259</v>
      </c>
      <c r="C103" s="3" t="s">
        <v>41</v>
      </c>
      <c r="D103" s="4">
        <v>2.7048070135958706E-3</v>
      </c>
      <c r="E103" s="3" t="s">
        <v>7</v>
      </c>
      <c r="G103" s="3" t="s">
        <v>260</v>
      </c>
      <c r="H103" s="3" t="s">
        <v>41</v>
      </c>
      <c r="I103" s="5">
        <v>6.9017948256255464E-3</v>
      </c>
      <c r="J103" s="3" t="s">
        <v>7</v>
      </c>
      <c r="L103" s="3" t="s">
        <v>261</v>
      </c>
      <c r="M103" s="3" t="s">
        <v>41</v>
      </c>
      <c r="N103" s="5">
        <v>7.652887727758362E-3</v>
      </c>
      <c r="O103" s="3" t="s">
        <v>7</v>
      </c>
    </row>
    <row r="104" spans="2:15" x14ac:dyDescent="0.45">
      <c r="B104" s="6" t="s">
        <v>259</v>
      </c>
      <c r="C104" s="6" t="s">
        <v>42</v>
      </c>
      <c r="D104" s="7">
        <v>2.3310596614947724E-2</v>
      </c>
      <c r="E104" s="6" t="s">
        <v>7</v>
      </c>
      <c r="G104" s="6" t="s">
        <v>260</v>
      </c>
      <c r="H104" s="6" t="s">
        <v>42</v>
      </c>
      <c r="I104" s="8">
        <v>7.4959188792516245E-3</v>
      </c>
      <c r="J104" s="6" t="s">
        <v>7</v>
      </c>
      <c r="L104" s="6" t="s">
        <v>261</v>
      </c>
      <c r="M104" s="6" t="s">
        <v>42</v>
      </c>
      <c r="N104" s="8">
        <v>8.2363832955358544E-3</v>
      </c>
      <c r="O104" s="6" t="s">
        <v>7</v>
      </c>
    </row>
    <row r="105" spans="2:15" x14ac:dyDescent="0.45">
      <c r="B105" s="3" t="s">
        <v>259</v>
      </c>
      <c r="C105" s="3" t="s">
        <v>43</v>
      </c>
      <c r="D105" s="4">
        <v>4.6998885058914558E-2</v>
      </c>
      <c r="E105" s="3" t="s">
        <v>7</v>
      </c>
      <c r="G105" s="3" t="s">
        <v>260</v>
      </c>
      <c r="H105" s="3" t="s">
        <v>43</v>
      </c>
      <c r="I105" s="5">
        <v>8.4210981448059018E-3</v>
      </c>
      <c r="J105" s="3" t="s">
        <v>7</v>
      </c>
      <c r="L105" s="3" t="s">
        <v>261</v>
      </c>
      <c r="M105" s="3" t="s">
        <v>43</v>
      </c>
      <c r="N105" s="5">
        <v>9.0687357872499749E-3</v>
      </c>
      <c r="O105" s="3" t="s">
        <v>7</v>
      </c>
    </row>
    <row r="106" spans="2:15" x14ac:dyDescent="0.45">
      <c r="B106" s="6" t="s">
        <v>259</v>
      </c>
      <c r="C106" s="6" t="s">
        <v>44</v>
      </c>
      <c r="D106" s="7">
        <v>5.7574641838973997E-2</v>
      </c>
      <c r="E106" s="6" t="s">
        <v>7</v>
      </c>
      <c r="G106" s="6" t="s">
        <v>260</v>
      </c>
      <c r="H106" s="6" t="s">
        <v>44</v>
      </c>
      <c r="I106" s="8">
        <v>9.4644841719057418E-3</v>
      </c>
      <c r="J106" s="6" t="s">
        <v>7</v>
      </c>
      <c r="L106" s="6" t="s">
        <v>261</v>
      </c>
      <c r="M106" s="6" t="s">
        <v>44</v>
      </c>
      <c r="N106" s="8">
        <v>1.0114181122548138E-2</v>
      </c>
      <c r="O106" s="6" t="s">
        <v>7</v>
      </c>
    </row>
    <row r="107" spans="2:15" x14ac:dyDescent="0.45">
      <c r="B107" s="3" t="s">
        <v>259</v>
      </c>
      <c r="C107" s="3" t="s">
        <v>45</v>
      </c>
      <c r="D107" s="4">
        <v>5.5660506773528004E-2</v>
      </c>
      <c r="E107" s="3" t="s">
        <v>7</v>
      </c>
      <c r="G107" s="3" t="s">
        <v>260</v>
      </c>
      <c r="H107" s="3" t="s">
        <v>45</v>
      </c>
      <c r="I107" s="5">
        <v>1.0251042952756863E-2</v>
      </c>
      <c r="J107" s="3" t="s">
        <v>7</v>
      </c>
      <c r="L107" s="3" t="s">
        <v>261</v>
      </c>
      <c r="M107" s="3" t="s">
        <v>45</v>
      </c>
      <c r="N107" s="5">
        <v>9.8348323070162925E-3</v>
      </c>
      <c r="O107" s="3" t="s">
        <v>7</v>
      </c>
    </row>
    <row r="108" spans="2:15" x14ac:dyDescent="0.45">
      <c r="B108" s="6" t="s">
        <v>259</v>
      </c>
      <c r="C108" s="6" t="s">
        <v>46</v>
      </c>
      <c r="D108" s="7">
        <v>4.1319995195238053E-2</v>
      </c>
      <c r="E108" s="6" t="s">
        <v>7</v>
      </c>
      <c r="G108" s="6" t="s">
        <v>260</v>
      </c>
      <c r="H108" s="6" t="s">
        <v>46</v>
      </c>
      <c r="I108" s="8">
        <v>1.0025320839281482E-2</v>
      </c>
      <c r="J108" s="6" t="s">
        <v>7</v>
      </c>
      <c r="L108" s="6" t="s">
        <v>261</v>
      </c>
      <c r="M108" s="6" t="s">
        <v>46</v>
      </c>
      <c r="N108" s="8">
        <v>8.7428367344163944E-3</v>
      </c>
      <c r="O108" s="6" t="s">
        <v>7</v>
      </c>
    </row>
    <row r="109" spans="2:15" x14ac:dyDescent="0.45">
      <c r="B109" s="3" t="s">
        <v>259</v>
      </c>
      <c r="C109" s="3" t="s">
        <v>47</v>
      </c>
      <c r="D109" s="4">
        <v>1.4144961456131604E-2</v>
      </c>
      <c r="E109" s="3" t="s">
        <v>7</v>
      </c>
      <c r="G109" s="3" t="s">
        <v>260</v>
      </c>
      <c r="H109" s="3" t="s">
        <v>47</v>
      </c>
      <c r="I109" s="5">
        <v>8.3479719026013366E-3</v>
      </c>
      <c r="J109" s="3" t="s">
        <v>7</v>
      </c>
      <c r="L109" s="3" t="s">
        <v>261</v>
      </c>
      <c r="M109" s="3" t="s">
        <v>47</v>
      </c>
      <c r="N109" s="5">
        <v>7.242719631013605E-3</v>
      </c>
      <c r="O109" s="3" t="s">
        <v>7</v>
      </c>
    </row>
    <row r="110" spans="2:15" x14ac:dyDescent="0.45">
      <c r="B110" s="6" t="s">
        <v>259</v>
      </c>
      <c r="C110" s="6" t="s">
        <v>48</v>
      </c>
      <c r="D110" s="7">
        <v>7.9335647157483165E-4</v>
      </c>
      <c r="E110" s="6" t="s">
        <v>7</v>
      </c>
      <c r="G110" s="6" t="s">
        <v>260</v>
      </c>
      <c r="H110" s="6" t="s">
        <v>48</v>
      </c>
      <c r="I110" s="8">
        <v>1.0947154971428587E-2</v>
      </c>
      <c r="J110" s="6" t="s">
        <v>7</v>
      </c>
      <c r="L110" s="6" t="s">
        <v>261</v>
      </c>
      <c r="M110" s="6" t="s">
        <v>48</v>
      </c>
      <c r="N110" s="8">
        <v>1.0571791182734342E-2</v>
      </c>
      <c r="O110" s="6" t="s">
        <v>7</v>
      </c>
    </row>
    <row r="111" spans="2:15" x14ac:dyDescent="0.45">
      <c r="B111" s="3" t="s">
        <v>259</v>
      </c>
      <c r="C111" s="3" t="s">
        <v>49</v>
      </c>
      <c r="D111" s="4">
        <v>0</v>
      </c>
      <c r="E111" s="3" t="s">
        <v>7</v>
      </c>
      <c r="G111" s="3" t="s">
        <v>260</v>
      </c>
      <c r="H111" s="3" t="s">
        <v>49</v>
      </c>
      <c r="I111" s="5">
        <v>2.9655029082138542E-2</v>
      </c>
      <c r="J111" s="3" t="s">
        <v>7</v>
      </c>
      <c r="L111" s="3" t="s">
        <v>261</v>
      </c>
      <c r="M111" s="3" t="s">
        <v>49</v>
      </c>
      <c r="N111" s="5">
        <v>2.8826016241520258E-2</v>
      </c>
      <c r="O111" s="3" t="s">
        <v>7</v>
      </c>
    </row>
    <row r="112" spans="2:15" x14ac:dyDescent="0.45">
      <c r="B112" s="6" t="s">
        <v>259</v>
      </c>
      <c r="C112" s="6" t="s">
        <v>50</v>
      </c>
      <c r="D112" s="7">
        <v>0</v>
      </c>
      <c r="E112" s="6" t="s">
        <v>7</v>
      </c>
      <c r="G112" s="6" t="s">
        <v>260</v>
      </c>
      <c r="H112" s="6" t="s">
        <v>50</v>
      </c>
      <c r="I112" s="8">
        <v>1.2195338846454046E-2</v>
      </c>
      <c r="J112" s="6" t="s">
        <v>7</v>
      </c>
      <c r="L112" s="6" t="s">
        <v>261</v>
      </c>
      <c r="M112" s="6" t="s">
        <v>50</v>
      </c>
      <c r="N112" s="8">
        <v>1.1960063122576761E-2</v>
      </c>
      <c r="O112" s="6" t="s">
        <v>7</v>
      </c>
    </row>
    <row r="113" spans="2:15" x14ac:dyDescent="0.45">
      <c r="B113" s="3" t="s">
        <v>259</v>
      </c>
      <c r="C113" s="3" t="s">
        <v>51</v>
      </c>
      <c r="D113" s="4">
        <v>1.3515138649559832E-4</v>
      </c>
      <c r="E113" s="3" t="s">
        <v>7</v>
      </c>
      <c r="G113" s="3" t="s">
        <v>260</v>
      </c>
      <c r="H113" s="3" t="s">
        <v>51</v>
      </c>
      <c r="I113" s="5">
        <v>1.2535294480509199E-2</v>
      </c>
      <c r="J113" s="3" t="s">
        <v>7</v>
      </c>
      <c r="L113" s="3" t="s">
        <v>261</v>
      </c>
      <c r="M113" s="3" t="s">
        <v>51</v>
      </c>
      <c r="N113" s="5">
        <v>1.2671247218537959E-2</v>
      </c>
      <c r="O113" s="3" t="s">
        <v>7</v>
      </c>
    </row>
    <row r="114" spans="2:15" x14ac:dyDescent="0.45">
      <c r="B114" s="6" t="s">
        <v>259</v>
      </c>
      <c r="C114" s="6" t="s">
        <v>52</v>
      </c>
      <c r="D114" s="7">
        <v>1.0392557454121874E-2</v>
      </c>
      <c r="E114" s="6" t="s">
        <v>7</v>
      </c>
      <c r="G114" s="6" t="s">
        <v>260</v>
      </c>
      <c r="H114" s="6" t="s">
        <v>52</v>
      </c>
      <c r="I114" s="8">
        <v>1.3198725827922201E-2</v>
      </c>
      <c r="J114" s="6" t="s">
        <v>7</v>
      </c>
      <c r="L114" s="6" t="s">
        <v>261</v>
      </c>
      <c r="M114" s="6" t="s">
        <v>52</v>
      </c>
      <c r="N114" s="8">
        <v>1.3805391919767245E-2</v>
      </c>
      <c r="O114" s="6" t="s">
        <v>7</v>
      </c>
    </row>
    <row r="115" spans="2:15" x14ac:dyDescent="0.45">
      <c r="B115" s="3" t="s">
        <v>259</v>
      </c>
      <c r="C115" s="3" t="s">
        <v>53</v>
      </c>
      <c r="D115" s="4">
        <v>3.1561610128877489E-2</v>
      </c>
      <c r="E115" s="3" t="s">
        <v>7</v>
      </c>
      <c r="G115" s="3" t="s">
        <v>260</v>
      </c>
      <c r="H115" s="3" t="s">
        <v>53</v>
      </c>
      <c r="I115" s="5">
        <v>1.4408743935218182E-2</v>
      </c>
      <c r="J115" s="3" t="s">
        <v>7</v>
      </c>
      <c r="L115" s="3" t="s">
        <v>261</v>
      </c>
      <c r="M115" s="3" t="s">
        <v>53</v>
      </c>
      <c r="N115" s="5">
        <v>1.4852557989284101E-2</v>
      </c>
      <c r="O115" s="3" t="s">
        <v>7</v>
      </c>
    </row>
    <row r="116" spans="2:15" x14ac:dyDescent="0.45">
      <c r="B116" s="6" t="s">
        <v>259</v>
      </c>
      <c r="C116" s="6" t="s">
        <v>54</v>
      </c>
      <c r="D116" s="7">
        <v>3.9259826526505767E-2</v>
      </c>
      <c r="E116" s="6" t="s">
        <v>7</v>
      </c>
      <c r="G116" s="6" t="s">
        <v>260</v>
      </c>
      <c r="H116" s="6" t="s">
        <v>54</v>
      </c>
      <c r="I116" s="8">
        <v>1.5278004251598955E-2</v>
      </c>
      <c r="J116" s="6" t="s">
        <v>7</v>
      </c>
      <c r="L116" s="6" t="s">
        <v>261</v>
      </c>
      <c r="M116" s="6" t="s">
        <v>54</v>
      </c>
      <c r="N116" s="8">
        <v>1.4679704770169721E-2</v>
      </c>
      <c r="O116" s="6" t="s">
        <v>7</v>
      </c>
    </row>
    <row r="117" spans="2:15" x14ac:dyDescent="0.45">
      <c r="B117" s="3" t="s">
        <v>259</v>
      </c>
      <c r="C117" s="3" t="s">
        <v>55</v>
      </c>
      <c r="D117" s="4">
        <v>3.444286303606188E-2</v>
      </c>
      <c r="E117" s="3" t="s">
        <v>7</v>
      </c>
      <c r="G117" s="3" t="s">
        <v>260</v>
      </c>
      <c r="H117" s="3" t="s">
        <v>55</v>
      </c>
      <c r="I117" s="5">
        <v>1.4758527265130227E-2</v>
      </c>
      <c r="J117" s="3" t="s">
        <v>7</v>
      </c>
      <c r="L117" s="3" t="s">
        <v>261</v>
      </c>
      <c r="M117" s="3" t="s">
        <v>55</v>
      </c>
      <c r="N117" s="5">
        <v>1.3903708602143145E-2</v>
      </c>
      <c r="O117" s="3" t="s">
        <v>7</v>
      </c>
    </row>
    <row r="118" spans="2:15" x14ac:dyDescent="0.45">
      <c r="B118" s="6" t="s">
        <v>259</v>
      </c>
      <c r="C118" s="6" t="s">
        <v>56</v>
      </c>
      <c r="D118" s="7">
        <v>1.8345584418448302E-2</v>
      </c>
      <c r="E118" s="6" t="s">
        <v>7</v>
      </c>
      <c r="G118" s="6" t="s">
        <v>260</v>
      </c>
      <c r="H118" s="6" t="s">
        <v>56</v>
      </c>
      <c r="I118" s="8">
        <v>1.3904650201419641E-2</v>
      </c>
      <c r="J118" s="6" t="s">
        <v>7</v>
      </c>
      <c r="L118" s="6" t="s">
        <v>261</v>
      </c>
      <c r="M118" s="6" t="s">
        <v>56</v>
      </c>
      <c r="N118" s="8">
        <v>1.213851438536164E-2</v>
      </c>
      <c r="O118" s="6" t="s">
        <v>7</v>
      </c>
    </row>
    <row r="119" spans="2:15" x14ac:dyDescent="0.45">
      <c r="B119" s="3" t="s">
        <v>259</v>
      </c>
      <c r="C119" s="3" t="s">
        <v>57</v>
      </c>
      <c r="D119" s="4">
        <v>2.2988459460146116E-3</v>
      </c>
      <c r="E119" s="3" t="s">
        <v>7</v>
      </c>
      <c r="G119" s="3" t="s">
        <v>260</v>
      </c>
      <c r="H119" s="3" t="s">
        <v>57</v>
      </c>
      <c r="I119" s="5">
        <v>1.2679021870317201E-2</v>
      </c>
      <c r="J119" s="3" t="s">
        <v>7</v>
      </c>
      <c r="L119" s="3" t="s">
        <v>261</v>
      </c>
      <c r="M119" s="3" t="s">
        <v>57</v>
      </c>
      <c r="N119" s="5">
        <v>1.1215412677548919E-2</v>
      </c>
      <c r="O119" s="3" t="s">
        <v>7</v>
      </c>
    </row>
    <row r="120" spans="2:15" x14ac:dyDescent="0.45">
      <c r="B120" s="6" t="s">
        <v>259</v>
      </c>
      <c r="C120" s="6" t="s">
        <v>58</v>
      </c>
      <c r="D120" s="7">
        <v>0</v>
      </c>
      <c r="E120" s="6" t="s">
        <v>7</v>
      </c>
      <c r="G120" s="6" t="s">
        <v>260</v>
      </c>
      <c r="H120" s="6" t="s">
        <v>58</v>
      </c>
      <c r="I120" s="8">
        <v>1.7858963480412743E-2</v>
      </c>
      <c r="J120" s="6" t="s">
        <v>7</v>
      </c>
      <c r="L120" s="6" t="s">
        <v>261</v>
      </c>
      <c r="M120" s="6" t="s">
        <v>58</v>
      </c>
      <c r="N120" s="8">
        <v>1.7024928748226243E-2</v>
      </c>
      <c r="O120" s="6" t="s">
        <v>7</v>
      </c>
    </row>
    <row r="121" spans="2:15" x14ac:dyDescent="0.45">
      <c r="B121" s="3" t="s">
        <v>259</v>
      </c>
      <c r="C121" s="3" t="s">
        <v>59</v>
      </c>
      <c r="D121" s="4">
        <v>0</v>
      </c>
      <c r="E121" s="3" t="s">
        <v>7</v>
      </c>
      <c r="G121" s="3" t="s">
        <v>260</v>
      </c>
      <c r="H121" s="3" t="s">
        <v>59</v>
      </c>
      <c r="I121" s="5">
        <v>3.8810872850191372E-2</v>
      </c>
      <c r="J121" s="3" t="s">
        <v>7</v>
      </c>
      <c r="L121" s="3" t="s">
        <v>261</v>
      </c>
      <c r="M121" s="3" t="s">
        <v>59</v>
      </c>
      <c r="N121" s="5">
        <v>3.8182228759953182E-2</v>
      </c>
      <c r="O121" s="3" t="s">
        <v>7</v>
      </c>
    </row>
    <row r="122" spans="2:15" x14ac:dyDescent="0.45">
      <c r="B122" s="6" t="s">
        <v>259</v>
      </c>
      <c r="C122" s="6" t="s">
        <v>60</v>
      </c>
      <c r="D122" s="7">
        <v>0</v>
      </c>
      <c r="E122" s="6" t="s">
        <v>7</v>
      </c>
      <c r="G122" s="6" t="s">
        <v>260</v>
      </c>
      <c r="H122" s="6" t="s">
        <v>60</v>
      </c>
      <c r="I122" s="8">
        <v>1.5973287109254136E-2</v>
      </c>
      <c r="J122" s="6" t="s">
        <v>7</v>
      </c>
      <c r="L122" s="6" t="s">
        <v>261</v>
      </c>
      <c r="M122" s="6" t="s">
        <v>60</v>
      </c>
      <c r="N122" s="8">
        <v>1.6266906705982555E-2</v>
      </c>
      <c r="O122" s="6" t="s">
        <v>7</v>
      </c>
    </row>
    <row r="123" spans="2:15" x14ac:dyDescent="0.45">
      <c r="B123" s="3" t="s">
        <v>259</v>
      </c>
      <c r="C123" s="3" t="s">
        <v>61</v>
      </c>
      <c r="D123" s="4">
        <v>0</v>
      </c>
      <c r="E123" s="3" t="s">
        <v>7</v>
      </c>
      <c r="G123" s="3" t="s">
        <v>260</v>
      </c>
      <c r="H123" s="3" t="s">
        <v>61</v>
      </c>
      <c r="I123" s="5">
        <v>1.6356411628591014E-2</v>
      </c>
      <c r="J123" s="3" t="s">
        <v>7</v>
      </c>
      <c r="L123" s="3" t="s">
        <v>261</v>
      </c>
      <c r="M123" s="3" t="s">
        <v>61</v>
      </c>
      <c r="N123" s="5">
        <v>1.6251733544004089E-2</v>
      </c>
      <c r="O123" s="3" t="s">
        <v>7</v>
      </c>
    </row>
    <row r="124" spans="2:15" x14ac:dyDescent="0.45">
      <c r="B124" s="6" t="s">
        <v>259</v>
      </c>
      <c r="C124" s="6" t="s">
        <v>62</v>
      </c>
      <c r="D124" s="7">
        <v>2.1048229478690971E-3</v>
      </c>
      <c r="E124" s="6" t="s">
        <v>7</v>
      </c>
      <c r="G124" s="6" t="s">
        <v>260</v>
      </c>
      <c r="H124" s="6" t="s">
        <v>62</v>
      </c>
      <c r="I124" s="8">
        <v>1.6327774065690234E-2</v>
      </c>
      <c r="J124" s="6" t="s">
        <v>7</v>
      </c>
      <c r="L124" s="6" t="s">
        <v>261</v>
      </c>
      <c r="M124" s="6" t="s">
        <v>62</v>
      </c>
      <c r="N124" s="8">
        <v>1.6354614060942248E-2</v>
      </c>
      <c r="O124" s="6" t="s">
        <v>7</v>
      </c>
    </row>
    <row r="125" spans="2:15" x14ac:dyDescent="0.45">
      <c r="B125" s="3" t="s">
        <v>259</v>
      </c>
      <c r="C125" s="3" t="s">
        <v>63</v>
      </c>
      <c r="D125" s="4">
        <v>2.0471078756397719E-2</v>
      </c>
      <c r="E125" s="3" t="s">
        <v>7</v>
      </c>
      <c r="G125" s="3" t="s">
        <v>260</v>
      </c>
      <c r="H125" s="3" t="s">
        <v>63</v>
      </c>
      <c r="I125" s="5">
        <v>1.601710496229098E-2</v>
      </c>
      <c r="J125" s="3" t="s">
        <v>7</v>
      </c>
      <c r="L125" s="3" t="s">
        <v>261</v>
      </c>
      <c r="M125" s="3" t="s">
        <v>63</v>
      </c>
      <c r="N125" s="5">
        <v>1.7189318522802279E-2</v>
      </c>
      <c r="O125" s="3" t="s">
        <v>7</v>
      </c>
    </row>
    <row r="126" spans="2:15" x14ac:dyDescent="0.45">
      <c r="B126" s="6" t="s">
        <v>259</v>
      </c>
      <c r="C126" s="6" t="s">
        <v>64</v>
      </c>
      <c r="D126" s="7">
        <v>3.1583556509749963E-2</v>
      </c>
      <c r="E126" s="6" t="s">
        <v>7</v>
      </c>
      <c r="G126" s="6" t="s">
        <v>260</v>
      </c>
      <c r="H126" s="6" t="s">
        <v>64</v>
      </c>
      <c r="I126" s="8">
        <v>1.6617283156487309E-2</v>
      </c>
      <c r="J126" s="6" t="s">
        <v>7</v>
      </c>
      <c r="L126" s="6" t="s">
        <v>261</v>
      </c>
      <c r="M126" s="6" t="s">
        <v>64</v>
      </c>
      <c r="N126" s="8">
        <v>1.7451314304044663E-2</v>
      </c>
      <c r="O126" s="6" t="s">
        <v>7</v>
      </c>
    </row>
    <row r="127" spans="2:15" x14ac:dyDescent="0.45">
      <c r="B127" s="3" t="s">
        <v>259</v>
      </c>
      <c r="C127" s="3" t="s">
        <v>65</v>
      </c>
      <c r="D127" s="4">
        <v>2.2621460979652525E-2</v>
      </c>
      <c r="E127" s="3" t="s">
        <v>7</v>
      </c>
      <c r="G127" s="3" t="s">
        <v>260</v>
      </c>
      <c r="H127" s="3" t="s">
        <v>65</v>
      </c>
      <c r="I127" s="5">
        <v>1.6724270272217984E-2</v>
      </c>
      <c r="J127" s="3" t="s">
        <v>7</v>
      </c>
      <c r="L127" s="3" t="s">
        <v>261</v>
      </c>
      <c r="M127" s="3" t="s">
        <v>65</v>
      </c>
      <c r="N127" s="5">
        <v>1.735814289590441E-2</v>
      </c>
      <c r="O127" s="3" t="s">
        <v>7</v>
      </c>
    </row>
    <row r="128" spans="2:15" x14ac:dyDescent="0.45">
      <c r="B128" s="6" t="s">
        <v>259</v>
      </c>
      <c r="C128" s="6" t="s">
        <v>66</v>
      </c>
      <c r="D128" s="7">
        <v>5.5173038317691018E-3</v>
      </c>
      <c r="E128" s="6" t="s">
        <v>7</v>
      </c>
      <c r="G128" s="6" t="s">
        <v>260</v>
      </c>
      <c r="H128" s="6" t="s">
        <v>66</v>
      </c>
      <c r="I128" s="8">
        <v>1.6610327698390194E-2</v>
      </c>
      <c r="J128" s="6" t="s">
        <v>7</v>
      </c>
      <c r="L128" s="6" t="s">
        <v>261</v>
      </c>
      <c r="M128" s="6" t="s">
        <v>66</v>
      </c>
      <c r="N128" s="8">
        <v>1.707020142339899E-2</v>
      </c>
      <c r="O128" s="6" t="s">
        <v>7</v>
      </c>
    </row>
    <row r="129" spans="2:15" x14ac:dyDescent="0.45">
      <c r="B129" s="3" t="s">
        <v>259</v>
      </c>
      <c r="C129" s="3" t="s">
        <v>67</v>
      </c>
      <c r="D129" s="4">
        <v>0</v>
      </c>
      <c r="E129" s="3" t="s">
        <v>7</v>
      </c>
      <c r="G129" s="3" t="s">
        <v>260</v>
      </c>
      <c r="H129" s="3" t="s">
        <v>67</v>
      </c>
      <c r="I129" s="5">
        <v>1.6649928309098425E-2</v>
      </c>
      <c r="J129" s="3" t="s">
        <v>7</v>
      </c>
      <c r="L129" s="3" t="s">
        <v>261</v>
      </c>
      <c r="M129" s="3" t="s">
        <v>67</v>
      </c>
      <c r="N129" s="5">
        <v>1.6175863942103661E-2</v>
      </c>
      <c r="O129" s="3" t="s">
        <v>7</v>
      </c>
    </row>
    <row r="130" spans="2:15" x14ac:dyDescent="0.45">
      <c r="B130" s="6" t="s">
        <v>259</v>
      </c>
      <c r="C130" s="6" t="s">
        <v>68</v>
      </c>
      <c r="D130" s="7">
        <v>0</v>
      </c>
      <c r="E130" s="6" t="s">
        <v>7</v>
      </c>
      <c r="G130" s="6" t="s">
        <v>260</v>
      </c>
      <c r="H130" s="6" t="s">
        <v>68</v>
      </c>
      <c r="I130" s="8">
        <v>2.4853364182576214E-2</v>
      </c>
      <c r="J130" s="6" t="s">
        <v>7</v>
      </c>
      <c r="L130" s="6" t="s">
        <v>261</v>
      </c>
      <c r="M130" s="6" t="s">
        <v>68</v>
      </c>
      <c r="N130" s="8">
        <v>2.2805415847793796E-2</v>
      </c>
      <c r="O130" s="6" t="s">
        <v>7</v>
      </c>
    </row>
    <row r="131" spans="2:15" x14ac:dyDescent="0.45">
      <c r="B131" s="3" t="s">
        <v>262</v>
      </c>
      <c r="C131" s="3" t="s">
        <v>6</v>
      </c>
      <c r="D131" s="4">
        <v>0</v>
      </c>
      <c r="E131" s="3" t="s">
        <v>7</v>
      </c>
      <c r="G131" s="3" t="s">
        <v>263</v>
      </c>
      <c r="H131" s="3" t="s">
        <v>6</v>
      </c>
      <c r="I131" s="5">
        <v>3.8254556649663422E-2</v>
      </c>
      <c r="J131" s="3" t="s">
        <v>7</v>
      </c>
      <c r="L131" s="3" t="s">
        <v>264</v>
      </c>
      <c r="M131" s="3" t="s">
        <v>6</v>
      </c>
      <c r="N131" s="5">
        <v>3.7633929827361287E-2</v>
      </c>
      <c r="O131" s="3" t="s">
        <v>7</v>
      </c>
    </row>
    <row r="132" spans="2:15" x14ac:dyDescent="0.45">
      <c r="B132" s="6" t="s">
        <v>262</v>
      </c>
      <c r="C132" s="6" t="s">
        <v>10</v>
      </c>
      <c r="D132" s="7">
        <v>0</v>
      </c>
      <c r="E132" s="6" t="s">
        <v>7</v>
      </c>
      <c r="G132" s="6" t="s">
        <v>263</v>
      </c>
      <c r="H132" s="6" t="s">
        <v>10</v>
      </c>
      <c r="I132" s="8">
        <v>1.4645068092757405E-2</v>
      </c>
      <c r="J132" s="6" t="s">
        <v>7</v>
      </c>
      <c r="L132" s="6" t="s">
        <v>264</v>
      </c>
      <c r="M132" s="6" t="s">
        <v>10</v>
      </c>
      <c r="N132" s="8">
        <v>1.5348055638747872E-2</v>
      </c>
      <c r="O132" s="6" t="s">
        <v>7</v>
      </c>
    </row>
    <row r="133" spans="2:15" x14ac:dyDescent="0.45">
      <c r="B133" s="3" t="s">
        <v>262</v>
      </c>
      <c r="C133" s="3" t="s">
        <v>11</v>
      </c>
      <c r="D133" s="4">
        <v>0</v>
      </c>
      <c r="E133" s="3" t="s">
        <v>7</v>
      </c>
      <c r="G133" s="3" t="s">
        <v>263</v>
      </c>
      <c r="H133" s="3" t="s">
        <v>11</v>
      </c>
      <c r="I133" s="5">
        <v>1.4591375636670454E-2</v>
      </c>
      <c r="J133" s="3" t="s">
        <v>7</v>
      </c>
      <c r="L133" s="3" t="s">
        <v>264</v>
      </c>
      <c r="M133" s="3" t="s">
        <v>11</v>
      </c>
      <c r="N133" s="5">
        <v>1.5515265219147128E-2</v>
      </c>
      <c r="O133" s="3" t="s">
        <v>7</v>
      </c>
    </row>
    <row r="134" spans="2:15" x14ac:dyDescent="0.45">
      <c r="B134" s="6" t="s">
        <v>262</v>
      </c>
      <c r="C134" s="6" t="s">
        <v>12</v>
      </c>
      <c r="D134" s="7">
        <v>2.0555720664930319E-3</v>
      </c>
      <c r="E134" s="6" t="s">
        <v>7</v>
      </c>
      <c r="G134" s="6" t="s">
        <v>263</v>
      </c>
      <c r="H134" s="6" t="s">
        <v>12</v>
      </c>
      <c r="I134" s="8">
        <v>1.5297621013632691E-2</v>
      </c>
      <c r="J134" s="6" t="s">
        <v>7</v>
      </c>
      <c r="L134" s="6" t="s">
        <v>264</v>
      </c>
      <c r="M134" s="6" t="s">
        <v>12</v>
      </c>
      <c r="N134" s="8">
        <v>1.557623383635387E-2</v>
      </c>
      <c r="O134" s="6" t="s">
        <v>7</v>
      </c>
    </row>
    <row r="135" spans="2:15" x14ac:dyDescent="0.45">
      <c r="B135" s="3" t="s">
        <v>262</v>
      </c>
      <c r="C135" s="3" t="s">
        <v>13</v>
      </c>
      <c r="D135" s="4">
        <v>1.7588546100246818E-2</v>
      </c>
      <c r="E135" s="3" t="s">
        <v>7</v>
      </c>
      <c r="G135" s="3" t="s">
        <v>263</v>
      </c>
      <c r="H135" s="3" t="s">
        <v>13</v>
      </c>
      <c r="I135" s="5">
        <v>1.5224984840454807E-2</v>
      </c>
      <c r="J135" s="3" t="s">
        <v>7</v>
      </c>
      <c r="L135" s="3" t="s">
        <v>264</v>
      </c>
      <c r="M135" s="3" t="s">
        <v>13</v>
      </c>
      <c r="N135" s="5">
        <v>1.5942208480637318E-2</v>
      </c>
      <c r="O135" s="3" t="s">
        <v>7</v>
      </c>
    </row>
    <row r="136" spans="2:15" x14ac:dyDescent="0.45">
      <c r="B136" s="6" t="s">
        <v>262</v>
      </c>
      <c r="C136" s="6" t="s">
        <v>14</v>
      </c>
      <c r="D136" s="7">
        <v>2.8947199160018682E-2</v>
      </c>
      <c r="E136" s="6" t="s">
        <v>7</v>
      </c>
      <c r="G136" s="6" t="s">
        <v>263</v>
      </c>
      <c r="H136" s="6" t="s">
        <v>14</v>
      </c>
      <c r="I136" s="8">
        <v>1.6043018394794023E-2</v>
      </c>
      <c r="J136" s="6" t="s">
        <v>7</v>
      </c>
      <c r="L136" s="6" t="s">
        <v>264</v>
      </c>
      <c r="M136" s="6" t="s">
        <v>14</v>
      </c>
      <c r="N136" s="8">
        <v>1.6229674680640092E-2</v>
      </c>
      <c r="O136" s="6" t="s">
        <v>7</v>
      </c>
    </row>
    <row r="137" spans="2:15" x14ac:dyDescent="0.45">
      <c r="B137" s="3" t="s">
        <v>262</v>
      </c>
      <c r="C137" s="3" t="s">
        <v>15</v>
      </c>
      <c r="D137" s="4">
        <v>2.6938507144689337E-2</v>
      </c>
      <c r="E137" s="3" t="s">
        <v>7</v>
      </c>
      <c r="G137" s="3" t="s">
        <v>263</v>
      </c>
      <c r="H137" s="3" t="s">
        <v>15</v>
      </c>
      <c r="I137" s="5">
        <v>1.6287449982688822E-2</v>
      </c>
      <c r="J137" s="3" t="s">
        <v>7</v>
      </c>
      <c r="L137" s="3" t="s">
        <v>264</v>
      </c>
      <c r="M137" s="3" t="s">
        <v>15</v>
      </c>
      <c r="N137" s="5">
        <v>1.6112332298525246E-2</v>
      </c>
      <c r="O137" s="3" t="s">
        <v>7</v>
      </c>
    </row>
    <row r="138" spans="2:15" x14ac:dyDescent="0.45">
      <c r="B138" s="6" t="s">
        <v>262</v>
      </c>
      <c r="C138" s="6" t="s">
        <v>16</v>
      </c>
      <c r="D138" s="7">
        <v>1.0978037772113989E-2</v>
      </c>
      <c r="E138" s="6" t="s">
        <v>7</v>
      </c>
      <c r="G138" s="6" t="s">
        <v>263</v>
      </c>
      <c r="H138" s="6" t="s">
        <v>16</v>
      </c>
      <c r="I138" s="8">
        <v>1.5645195452025935E-2</v>
      </c>
      <c r="J138" s="6" t="s">
        <v>7</v>
      </c>
      <c r="L138" s="6" t="s">
        <v>264</v>
      </c>
      <c r="M138" s="6" t="s">
        <v>16</v>
      </c>
      <c r="N138" s="8">
        <v>1.5699103083434158E-2</v>
      </c>
      <c r="O138" s="6" t="s">
        <v>7</v>
      </c>
    </row>
    <row r="139" spans="2:15" x14ac:dyDescent="0.45">
      <c r="B139" s="3" t="s">
        <v>262</v>
      </c>
      <c r="C139" s="3" t="s">
        <v>17</v>
      </c>
      <c r="D139" s="4">
        <v>3.8042556846264603E-4</v>
      </c>
      <c r="E139" s="3" t="s">
        <v>7</v>
      </c>
      <c r="G139" s="3" t="s">
        <v>263</v>
      </c>
      <c r="H139" s="3" t="s">
        <v>17</v>
      </c>
      <c r="I139" s="5">
        <v>1.5188508692195384E-2</v>
      </c>
      <c r="J139" s="3" t="s">
        <v>7</v>
      </c>
      <c r="L139" s="3" t="s">
        <v>264</v>
      </c>
      <c r="M139" s="3" t="s">
        <v>17</v>
      </c>
      <c r="N139" s="5">
        <v>1.5111191273212959E-2</v>
      </c>
      <c r="O139" s="3" t="s">
        <v>7</v>
      </c>
    </row>
    <row r="140" spans="2:15" x14ac:dyDescent="0.45">
      <c r="B140" s="6" t="s">
        <v>262</v>
      </c>
      <c r="C140" s="6" t="s">
        <v>18</v>
      </c>
      <c r="D140" s="7">
        <v>0</v>
      </c>
      <c r="E140" s="6" t="s">
        <v>7</v>
      </c>
      <c r="G140" s="6" t="s">
        <v>263</v>
      </c>
      <c r="H140" s="6" t="s">
        <v>18</v>
      </c>
      <c r="I140" s="8">
        <v>2.317964488233025E-2</v>
      </c>
      <c r="J140" s="6" t="s">
        <v>7</v>
      </c>
      <c r="L140" s="6" t="s">
        <v>264</v>
      </c>
      <c r="M140" s="6" t="s">
        <v>18</v>
      </c>
      <c r="N140" s="8">
        <v>2.241334895279604E-2</v>
      </c>
      <c r="O140" s="6" t="s">
        <v>7</v>
      </c>
    </row>
    <row r="141" spans="2:15" x14ac:dyDescent="0.45">
      <c r="B141" s="3" t="s">
        <v>262</v>
      </c>
      <c r="C141" s="3" t="s">
        <v>19</v>
      </c>
      <c r="D141" s="4">
        <v>0</v>
      </c>
      <c r="E141" s="3" t="s">
        <v>7</v>
      </c>
      <c r="G141" s="3" t="s">
        <v>263</v>
      </c>
      <c r="H141" s="3" t="s">
        <v>19</v>
      </c>
      <c r="I141" s="5">
        <v>3.9638823434792407E-2</v>
      </c>
      <c r="J141" s="3" t="s">
        <v>7</v>
      </c>
      <c r="L141" s="3" t="s">
        <v>264</v>
      </c>
      <c r="M141" s="3" t="s">
        <v>19</v>
      </c>
      <c r="N141" s="5">
        <v>4.2368019881988468E-2</v>
      </c>
      <c r="O141" s="3" t="s">
        <v>7</v>
      </c>
    </row>
    <row r="142" spans="2:15" x14ac:dyDescent="0.45">
      <c r="B142" s="6" t="s">
        <v>262</v>
      </c>
      <c r="C142" s="6" t="s">
        <v>20</v>
      </c>
      <c r="D142" s="7">
        <v>0</v>
      </c>
      <c r="E142" s="6" t="s">
        <v>7</v>
      </c>
      <c r="G142" s="6" t="s">
        <v>263</v>
      </c>
      <c r="H142" s="6" t="s">
        <v>20</v>
      </c>
      <c r="I142" s="8">
        <v>1.5943819927882592E-2</v>
      </c>
      <c r="J142" s="6" t="s">
        <v>7</v>
      </c>
      <c r="L142" s="6" t="s">
        <v>264</v>
      </c>
      <c r="M142" s="6" t="s">
        <v>20</v>
      </c>
      <c r="N142" s="8">
        <v>1.6752144488742949E-2</v>
      </c>
      <c r="O142" s="6" t="s">
        <v>7</v>
      </c>
    </row>
    <row r="143" spans="2:15" x14ac:dyDescent="0.45">
      <c r="B143" s="3" t="s">
        <v>262</v>
      </c>
      <c r="C143" s="3" t="s">
        <v>21</v>
      </c>
      <c r="D143" s="4">
        <v>8.8077780345275508E-4</v>
      </c>
      <c r="E143" s="3" t="s">
        <v>7</v>
      </c>
      <c r="G143" s="3" t="s">
        <v>263</v>
      </c>
      <c r="H143" s="3" t="s">
        <v>21</v>
      </c>
      <c r="I143" s="5">
        <v>1.5986746992737989E-2</v>
      </c>
      <c r="J143" s="3" t="s">
        <v>7</v>
      </c>
      <c r="L143" s="3" t="s">
        <v>264</v>
      </c>
      <c r="M143" s="3" t="s">
        <v>21</v>
      </c>
      <c r="N143" s="5">
        <v>1.6756025432248491E-2</v>
      </c>
      <c r="O143" s="3" t="s">
        <v>7</v>
      </c>
    </row>
    <row r="144" spans="2:15" x14ac:dyDescent="0.45">
      <c r="B144" s="6" t="s">
        <v>262</v>
      </c>
      <c r="C144" s="6" t="s">
        <v>22</v>
      </c>
      <c r="D144" s="7">
        <v>1.8010070231406036E-2</v>
      </c>
      <c r="E144" s="6" t="s">
        <v>7</v>
      </c>
      <c r="G144" s="6" t="s">
        <v>263</v>
      </c>
      <c r="H144" s="6" t="s">
        <v>22</v>
      </c>
      <c r="I144" s="8">
        <v>1.7235987528746027E-2</v>
      </c>
      <c r="J144" s="6" t="s">
        <v>7</v>
      </c>
      <c r="L144" s="6" t="s">
        <v>264</v>
      </c>
      <c r="M144" s="6" t="s">
        <v>22</v>
      </c>
      <c r="N144" s="8">
        <v>1.6262638125349817E-2</v>
      </c>
      <c r="O144" s="6" t="s">
        <v>7</v>
      </c>
    </row>
    <row r="145" spans="2:15" x14ac:dyDescent="0.45">
      <c r="B145" s="3" t="s">
        <v>262</v>
      </c>
      <c r="C145" s="3" t="s">
        <v>23</v>
      </c>
      <c r="D145" s="4">
        <v>4.1460047766644782E-2</v>
      </c>
      <c r="E145" s="3" t="s">
        <v>7</v>
      </c>
      <c r="G145" s="3" t="s">
        <v>263</v>
      </c>
      <c r="H145" s="3" t="s">
        <v>23</v>
      </c>
      <c r="I145" s="5">
        <v>1.7437871274567442E-2</v>
      </c>
      <c r="J145" s="3" t="s">
        <v>7</v>
      </c>
      <c r="L145" s="3" t="s">
        <v>264</v>
      </c>
      <c r="M145" s="3" t="s">
        <v>23</v>
      </c>
      <c r="N145" s="5">
        <v>1.5767961242613038E-2</v>
      </c>
      <c r="O145" s="3" t="s">
        <v>7</v>
      </c>
    </row>
    <row r="146" spans="2:15" x14ac:dyDescent="0.45">
      <c r="B146" s="6" t="s">
        <v>262</v>
      </c>
      <c r="C146" s="6" t="s">
        <v>24</v>
      </c>
      <c r="D146" s="7">
        <v>5.2420636902439477E-2</v>
      </c>
      <c r="E146" s="6" t="s">
        <v>7</v>
      </c>
      <c r="G146" s="6" t="s">
        <v>263</v>
      </c>
      <c r="H146" s="6" t="s">
        <v>24</v>
      </c>
      <c r="I146" s="8">
        <v>1.6612690190199966E-2</v>
      </c>
      <c r="J146" s="6" t="s">
        <v>7</v>
      </c>
      <c r="L146" s="6" t="s">
        <v>264</v>
      </c>
      <c r="M146" s="6" t="s">
        <v>24</v>
      </c>
      <c r="N146" s="8">
        <v>1.5511590283386056E-2</v>
      </c>
      <c r="O146" s="6" t="s">
        <v>7</v>
      </c>
    </row>
    <row r="147" spans="2:15" x14ac:dyDescent="0.45">
      <c r="B147" s="3" t="s">
        <v>262</v>
      </c>
      <c r="C147" s="3" t="s">
        <v>25</v>
      </c>
      <c r="D147" s="4">
        <v>4.87817367303277E-2</v>
      </c>
      <c r="E147" s="3" t="s">
        <v>7</v>
      </c>
      <c r="G147" s="3" t="s">
        <v>263</v>
      </c>
      <c r="H147" s="3" t="s">
        <v>25</v>
      </c>
      <c r="I147" s="5">
        <v>1.618265768447414E-2</v>
      </c>
      <c r="J147" s="3" t="s">
        <v>7</v>
      </c>
      <c r="L147" s="3" t="s">
        <v>264</v>
      </c>
      <c r="M147" s="3" t="s">
        <v>25</v>
      </c>
      <c r="N147" s="5">
        <v>1.5692497651966023E-2</v>
      </c>
      <c r="O147" s="3" t="s">
        <v>7</v>
      </c>
    </row>
    <row r="148" spans="2:15" x14ac:dyDescent="0.45">
      <c r="B148" s="6" t="s">
        <v>262</v>
      </c>
      <c r="C148" s="6" t="s">
        <v>26</v>
      </c>
      <c r="D148" s="7">
        <v>3.0227382363340816E-2</v>
      </c>
      <c r="E148" s="6" t="s">
        <v>7</v>
      </c>
      <c r="G148" s="6" t="s">
        <v>263</v>
      </c>
      <c r="H148" s="6" t="s">
        <v>26</v>
      </c>
      <c r="I148" s="8">
        <v>1.582305219451759E-2</v>
      </c>
      <c r="J148" s="6" t="s">
        <v>7</v>
      </c>
      <c r="L148" s="6" t="s">
        <v>264</v>
      </c>
      <c r="M148" s="6" t="s">
        <v>26</v>
      </c>
      <c r="N148" s="8">
        <v>1.6284679830590055E-2</v>
      </c>
      <c r="O148" s="6" t="s">
        <v>7</v>
      </c>
    </row>
    <row r="149" spans="2:15" x14ac:dyDescent="0.45">
      <c r="B149" s="3" t="s">
        <v>262</v>
      </c>
      <c r="C149" s="3" t="s">
        <v>27</v>
      </c>
      <c r="D149" s="4">
        <v>6.1358479729901726E-3</v>
      </c>
      <c r="E149" s="3" t="s">
        <v>7</v>
      </c>
      <c r="G149" s="3" t="s">
        <v>263</v>
      </c>
      <c r="H149" s="3" t="s">
        <v>27</v>
      </c>
      <c r="I149" s="5">
        <v>1.4888966453905077E-2</v>
      </c>
      <c r="J149" s="3" t="s">
        <v>7</v>
      </c>
      <c r="L149" s="3" t="s">
        <v>264</v>
      </c>
      <c r="M149" s="3" t="s">
        <v>27</v>
      </c>
      <c r="N149" s="5">
        <v>1.6836257683222614E-2</v>
      </c>
      <c r="O149" s="3" t="s">
        <v>7</v>
      </c>
    </row>
    <row r="150" spans="2:15" x14ac:dyDescent="0.45">
      <c r="B150" s="6" t="s">
        <v>262</v>
      </c>
      <c r="C150" s="6" t="s">
        <v>28</v>
      </c>
      <c r="D150" s="7">
        <v>9.6880047372323343E-6</v>
      </c>
      <c r="E150" s="6" t="s">
        <v>7</v>
      </c>
      <c r="G150" s="6" t="s">
        <v>263</v>
      </c>
      <c r="H150" s="6" t="s">
        <v>28</v>
      </c>
      <c r="I150" s="8">
        <v>2.3243365627260967E-2</v>
      </c>
      <c r="J150" s="6" t="s">
        <v>7</v>
      </c>
      <c r="L150" s="6" t="s">
        <v>264</v>
      </c>
      <c r="M150" s="6" t="s">
        <v>28</v>
      </c>
      <c r="N150" s="8">
        <v>2.5701325594719382E-2</v>
      </c>
      <c r="O150" s="6" t="s">
        <v>7</v>
      </c>
    </row>
    <row r="151" spans="2:15" x14ac:dyDescent="0.45">
      <c r="B151" s="3" t="s">
        <v>262</v>
      </c>
      <c r="C151" s="3" t="s">
        <v>29</v>
      </c>
      <c r="D151" s="4">
        <v>0</v>
      </c>
      <c r="E151" s="3" t="s">
        <v>7</v>
      </c>
      <c r="G151" s="3" t="s">
        <v>263</v>
      </c>
      <c r="H151" s="3" t="s">
        <v>29</v>
      </c>
      <c r="I151" s="5">
        <v>2.9965386670845993E-2</v>
      </c>
      <c r="J151" s="3" t="s">
        <v>7</v>
      </c>
      <c r="L151" s="3" t="s">
        <v>264</v>
      </c>
      <c r="M151" s="3" t="s">
        <v>29</v>
      </c>
      <c r="N151" s="5">
        <v>3.2398115109376145E-2</v>
      </c>
      <c r="O151" s="3" t="s">
        <v>7</v>
      </c>
    </row>
    <row r="152" spans="2:15" x14ac:dyDescent="0.45">
      <c r="B152" s="6" t="s">
        <v>262</v>
      </c>
      <c r="C152" s="6" t="s">
        <v>30</v>
      </c>
      <c r="D152" s="7">
        <v>6.924297729305765E-5</v>
      </c>
      <c r="E152" s="6" t="s">
        <v>7</v>
      </c>
      <c r="G152" s="6" t="s">
        <v>263</v>
      </c>
      <c r="H152" s="6" t="s">
        <v>30</v>
      </c>
      <c r="I152" s="8">
        <v>1.157406631234071E-2</v>
      </c>
      <c r="J152" s="6" t="s">
        <v>7</v>
      </c>
      <c r="L152" s="6" t="s">
        <v>264</v>
      </c>
      <c r="M152" s="6" t="s">
        <v>30</v>
      </c>
      <c r="N152" s="8">
        <v>1.3109948267826212E-2</v>
      </c>
      <c r="O152" s="6" t="s">
        <v>7</v>
      </c>
    </row>
    <row r="153" spans="2:15" x14ac:dyDescent="0.45">
      <c r="B153" s="3" t="s">
        <v>262</v>
      </c>
      <c r="C153" s="3" t="s">
        <v>31</v>
      </c>
      <c r="D153" s="4">
        <v>5.5953338600802146E-3</v>
      </c>
      <c r="E153" s="3" t="s">
        <v>7</v>
      </c>
      <c r="G153" s="3" t="s">
        <v>263</v>
      </c>
      <c r="H153" s="3" t="s">
        <v>31</v>
      </c>
      <c r="I153" s="5">
        <v>1.1789757434892517E-2</v>
      </c>
      <c r="J153" s="3" t="s">
        <v>7</v>
      </c>
      <c r="L153" s="3" t="s">
        <v>264</v>
      </c>
      <c r="M153" s="3" t="s">
        <v>31</v>
      </c>
      <c r="N153" s="5">
        <v>1.3328169758003302E-2</v>
      </c>
      <c r="O153" s="3" t="s">
        <v>7</v>
      </c>
    </row>
    <row r="154" spans="2:15" x14ac:dyDescent="0.45">
      <c r="B154" s="6" t="s">
        <v>262</v>
      </c>
      <c r="C154" s="6" t="s">
        <v>32</v>
      </c>
      <c r="D154" s="7">
        <v>2.7840880855838912E-2</v>
      </c>
      <c r="E154" s="6" t="s">
        <v>7</v>
      </c>
      <c r="G154" s="6" t="s">
        <v>263</v>
      </c>
      <c r="H154" s="6" t="s">
        <v>32</v>
      </c>
      <c r="I154" s="8">
        <v>1.2133798019332492E-2</v>
      </c>
      <c r="J154" s="6" t="s">
        <v>7</v>
      </c>
      <c r="L154" s="6" t="s">
        <v>264</v>
      </c>
      <c r="M154" s="6" t="s">
        <v>32</v>
      </c>
      <c r="N154" s="8">
        <v>1.3245832634733905E-2</v>
      </c>
      <c r="O154" s="6" t="s">
        <v>7</v>
      </c>
    </row>
    <row r="155" spans="2:15" x14ac:dyDescent="0.45">
      <c r="B155" s="3" t="s">
        <v>262</v>
      </c>
      <c r="C155" s="3" t="s">
        <v>33</v>
      </c>
      <c r="D155" s="4">
        <v>4.903052002069589E-2</v>
      </c>
      <c r="E155" s="3" t="s">
        <v>7</v>
      </c>
      <c r="G155" s="3" t="s">
        <v>263</v>
      </c>
      <c r="H155" s="3" t="s">
        <v>33</v>
      </c>
      <c r="I155" s="5">
        <v>1.1828863650739097E-2</v>
      </c>
      <c r="J155" s="3" t="s">
        <v>7</v>
      </c>
      <c r="L155" s="3" t="s">
        <v>264</v>
      </c>
      <c r="M155" s="3" t="s">
        <v>33</v>
      </c>
      <c r="N155" s="5">
        <v>1.4006562821159162E-2</v>
      </c>
      <c r="O155" s="3" t="s">
        <v>7</v>
      </c>
    </row>
    <row r="156" spans="2:15" x14ac:dyDescent="0.45">
      <c r="B156" s="6" t="s">
        <v>262</v>
      </c>
      <c r="C156" s="6" t="s">
        <v>34</v>
      </c>
      <c r="D156" s="7">
        <v>6.1339003740729044E-2</v>
      </c>
      <c r="E156" s="6" t="s">
        <v>7</v>
      </c>
      <c r="G156" s="6" t="s">
        <v>263</v>
      </c>
      <c r="H156" s="6" t="s">
        <v>34</v>
      </c>
      <c r="I156" s="8">
        <v>1.298053051630316E-2</v>
      </c>
      <c r="J156" s="6" t="s">
        <v>7</v>
      </c>
      <c r="L156" s="6" t="s">
        <v>264</v>
      </c>
      <c r="M156" s="6" t="s">
        <v>34</v>
      </c>
      <c r="N156" s="8">
        <v>1.4991969306713699E-2</v>
      </c>
      <c r="O156" s="6" t="s">
        <v>7</v>
      </c>
    </row>
    <row r="157" spans="2:15" x14ac:dyDescent="0.45">
      <c r="B157" s="3" t="s">
        <v>262</v>
      </c>
      <c r="C157" s="3" t="s">
        <v>35</v>
      </c>
      <c r="D157" s="4">
        <v>5.7263775760413263E-2</v>
      </c>
      <c r="E157" s="3" t="s">
        <v>7</v>
      </c>
      <c r="G157" s="3" t="s">
        <v>263</v>
      </c>
      <c r="H157" s="3" t="s">
        <v>35</v>
      </c>
      <c r="I157" s="5">
        <v>1.3989582502624012E-2</v>
      </c>
      <c r="J157" s="3" t="s">
        <v>7</v>
      </c>
      <c r="L157" s="3" t="s">
        <v>264</v>
      </c>
      <c r="M157" s="3" t="s">
        <v>35</v>
      </c>
      <c r="N157" s="5">
        <v>1.5504212678890598E-2</v>
      </c>
      <c r="O157" s="3" t="s">
        <v>7</v>
      </c>
    </row>
    <row r="158" spans="2:15" x14ac:dyDescent="0.45">
      <c r="B158" s="6" t="s">
        <v>262</v>
      </c>
      <c r="C158" s="6" t="s">
        <v>36</v>
      </c>
      <c r="D158" s="7">
        <v>3.8696743851670906E-2</v>
      </c>
      <c r="E158" s="6" t="s">
        <v>7</v>
      </c>
      <c r="G158" s="6" t="s">
        <v>263</v>
      </c>
      <c r="H158" s="6" t="s">
        <v>36</v>
      </c>
      <c r="I158" s="8">
        <v>1.4077568917845366E-2</v>
      </c>
      <c r="J158" s="6" t="s">
        <v>7</v>
      </c>
      <c r="L158" s="6" t="s">
        <v>264</v>
      </c>
      <c r="M158" s="6" t="s">
        <v>36</v>
      </c>
      <c r="N158" s="8">
        <v>1.5306531609227856E-2</v>
      </c>
      <c r="O158" s="6" t="s">
        <v>7</v>
      </c>
    </row>
    <row r="159" spans="2:15" x14ac:dyDescent="0.45">
      <c r="B159" s="3" t="s">
        <v>262</v>
      </c>
      <c r="C159" s="3" t="s">
        <v>37</v>
      </c>
      <c r="D159" s="4">
        <v>1.3231693186475886E-2</v>
      </c>
      <c r="E159" s="3" t="s">
        <v>7</v>
      </c>
      <c r="G159" s="3" t="s">
        <v>263</v>
      </c>
      <c r="H159" s="3" t="s">
        <v>37</v>
      </c>
      <c r="I159" s="5">
        <v>1.2507301708966197E-2</v>
      </c>
      <c r="J159" s="3" t="s">
        <v>7</v>
      </c>
      <c r="L159" s="3" t="s">
        <v>264</v>
      </c>
      <c r="M159" s="3" t="s">
        <v>37</v>
      </c>
      <c r="N159" s="5">
        <v>1.471067113461821E-2</v>
      </c>
      <c r="O159" s="3" t="s">
        <v>7</v>
      </c>
    </row>
    <row r="160" spans="2:15" x14ac:dyDescent="0.45">
      <c r="B160" s="6" t="s">
        <v>262</v>
      </c>
      <c r="C160" s="6" t="s">
        <v>38</v>
      </c>
      <c r="D160" s="7">
        <v>9.6862542542162716E-4</v>
      </c>
      <c r="E160" s="6" t="s">
        <v>7</v>
      </c>
      <c r="G160" s="6" t="s">
        <v>263</v>
      </c>
      <c r="H160" s="6" t="s">
        <v>38</v>
      </c>
      <c r="I160" s="8">
        <v>1.8605552783620138E-2</v>
      </c>
      <c r="J160" s="6" t="s">
        <v>7</v>
      </c>
      <c r="L160" s="6" t="s">
        <v>264</v>
      </c>
      <c r="M160" s="6" t="s">
        <v>38</v>
      </c>
      <c r="N160" s="8">
        <v>2.0315078870260565E-2</v>
      </c>
      <c r="O160" s="6" t="s">
        <v>7</v>
      </c>
    </row>
    <row r="161" spans="2:15" x14ac:dyDescent="0.45">
      <c r="B161" s="3" t="s">
        <v>262</v>
      </c>
      <c r="C161" s="3" t="s">
        <v>39</v>
      </c>
      <c r="D161" s="4">
        <v>0</v>
      </c>
      <c r="E161" s="3" t="s">
        <v>7</v>
      </c>
      <c r="G161" s="3" t="s">
        <v>263</v>
      </c>
      <c r="H161" s="3" t="s">
        <v>39</v>
      </c>
      <c r="I161" s="5">
        <v>1.8327689695738249E-2</v>
      </c>
      <c r="J161" s="3" t="s">
        <v>7</v>
      </c>
      <c r="L161" s="3" t="s">
        <v>264</v>
      </c>
      <c r="M161" s="3" t="s">
        <v>39</v>
      </c>
      <c r="N161" s="5">
        <v>2.33012511620137E-2</v>
      </c>
      <c r="O161" s="3" t="s">
        <v>7</v>
      </c>
    </row>
    <row r="162" spans="2:15" x14ac:dyDescent="0.45">
      <c r="B162" s="6" t="s">
        <v>262</v>
      </c>
      <c r="C162" s="6" t="s">
        <v>40</v>
      </c>
      <c r="D162" s="7">
        <v>8.0910553005524463E-6</v>
      </c>
      <c r="E162" s="6" t="s">
        <v>7</v>
      </c>
      <c r="G162" s="6" t="s">
        <v>263</v>
      </c>
      <c r="H162" s="6" t="s">
        <v>40</v>
      </c>
      <c r="I162" s="8">
        <v>7.2774044946224805E-3</v>
      </c>
      <c r="J162" s="6" t="s">
        <v>7</v>
      </c>
      <c r="L162" s="6" t="s">
        <v>264</v>
      </c>
      <c r="M162" s="6" t="s">
        <v>40</v>
      </c>
      <c r="N162" s="8">
        <v>8.9312816473701654E-3</v>
      </c>
      <c r="O162" s="6" t="s">
        <v>7</v>
      </c>
    </row>
    <row r="163" spans="2:15" x14ac:dyDescent="0.45">
      <c r="B163" s="3" t="s">
        <v>262</v>
      </c>
      <c r="C163" s="3" t="s">
        <v>41</v>
      </c>
      <c r="D163" s="4">
        <v>3.449333607253162E-3</v>
      </c>
      <c r="E163" s="3" t="s">
        <v>7</v>
      </c>
      <c r="G163" s="3" t="s">
        <v>263</v>
      </c>
      <c r="H163" s="3" t="s">
        <v>41</v>
      </c>
      <c r="I163" s="5">
        <v>7.2867180375165968E-3</v>
      </c>
      <c r="J163" s="3" t="s">
        <v>7</v>
      </c>
      <c r="L163" s="3" t="s">
        <v>264</v>
      </c>
      <c r="M163" s="3" t="s">
        <v>41</v>
      </c>
      <c r="N163" s="5">
        <v>8.8870083139803071E-3</v>
      </c>
      <c r="O163" s="3" t="s">
        <v>7</v>
      </c>
    </row>
    <row r="164" spans="2:15" x14ac:dyDescent="0.45">
      <c r="B164" s="6" t="s">
        <v>262</v>
      </c>
      <c r="C164" s="6" t="s">
        <v>42</v>
      </c>
      <c r="D164" s="7">
        <v>2.5503227826096028E-2</v>
      </c>
      <c r="E164" s="6" t="s">
        <v>7</v>
      </c>
      <c r="G164" s="6" t="s">
        <v>263</v>
      </c>
      <c r="H164" s="6" t="s">
        <v>42</v>
      </c>
      <c r="I164" s="8">
        <v>7.6302577317583125E-3</v>
      </c>
      <c r="J164" s="6" t="s">
        <v>7</v>
      </c>
      <c r="L164" s="6" t="s">
        <v>264</v>
      </c>
      <c r="M164" s="6" t="s">
        <v>42</v>
      </c>
      <c r="N164" s="8">
        <v>8.3712264048215138E-3</v>
      </c>
      <c r="O164" s="6" t="s">
        <v>7</v>
      </c>
    </row>
    <row r="165" spans="2:15" x14ac:dyDescent="0.45">
      <c r="B165" s="3" t="s">
        <v>262</v>
      </c>
      <c r="C165" s="3" t="s">
        <v>43</v>
      </c>
      <c r="D165" s="4">
        <v>4.8239413049123998E-2</v>
      </c>
      <c r="E165" s="3" t="s">
        <v>7</v>
      </c>
      <c r="G165" s="3" t="s">
        <v>263</v>
      </c>
      <c r="H165" s="3" t="s">
        <v>43</v>
      </c>
      <c r="I165" s="5">
        <v>7.9047622198062106E-3</v>
      </c>
      <c r="J165" s="3" t="s">
        <v>7</v>
      </c>
      <c r="L165" s="3" t="s">
        <v>264</v>
      </c>
      <c r="M165" s="3" t="s">
        <v>43</v>
      </c>
      <c r="N165" s="5">
        <v>9.0829786430619962E-3</v>
      </c>
      <c r="O165" s="3" t="s">
        <v>7</v>
      </c>
    </row>
    <row r="166" spans="2:15" x14ac:dyDescent="0.45">
      <c r="B166" s="6" t="s">
        <v>262</v>
      </c>
      <c r="C166" s="6" t="s">
        <v>44</v>
      </c>
      <c r="D166" s="7">
        <v>5.7713673200509706E-2</v>
      </c>
      <c r="E166" s="6" t="s">
        <v>7</v>
      </c>
      <c r="G166" s="6" t="s">
        <v>263</v>
      </c>
      <c r="H166" s="6" t="s">
        <v>44</v>
      </c>
      <c r="I166" s="8">
        <v>9.1151414175160272E-3</v>
      </c>
      <c r="J166" s="6" t="s">
        <v>7</v>
      </c>
      <c r="L166" s="6" t="s">
        <v>264</v>
      </c>
      <c r="M166" s="6" t="s">
        <v>44</v>
      </c>
      <c r="N166" s="8">
        <v>9.9411906955090244E-3</v>
      </c>
      <c r="O166" s="6" t="s">
        <v>7</v>
      </c>
    </row>
    <row r="167" spans="2:15" x14ac:dyDescent="0.45">
      <c r="B167" s="3" t="s">
        <v>262</v>
      </c>
      <c r="C167" s="3" t="s">
        <v>45</v>
      </c>
      <c r="D167" s="4">
        <v>5.5829460911105598E-2</v>
      </c>
      <c r="E167" s="3" t="s">
        <v>7</v>
      </c>
      <c r="G167" s="3" t="s">
        <v>263</v>
      </c>
      <c r="H167" s="3" t="s">
        <v>45</v>
      </c>
      <c r="I167" s="5">
        <v>9.8356215325811399E-3</v>
      </c>
      <c r="J167" s="3" t="s">
        <v>7</v>
      </c>
      <c r="L167" s="3" t="s">
        <v>264</v>
      </c>
      <c r="M167" s="3" t="s">
        <v>45</v>
      </c>
      <c r="N167" s="5">
        <v>1.0135825664330305E-2</v>
      </c>
      <c r="O167" s="3" t="s">
        <v>7</v>
      </c>
    </row>
    <row r="168" spans="2:15" x14ac:dyDescent="0.45">
      <c r="B168" s="6" t="s">
        <v>262</v>
      </c>
      <c r="C168" s="6" t="s">
        <v>46</v>
      </c>
      <c r="D168" s="7">
        <v>3.8526619191524662E-2</v>
      </c>
      <c r="E168" s="6" t="s">
        <v>7</v>
      </c>
      <c r="G168" s="6" t="s">
        <v>263</v>
      </c>
      <c r="H168" s="6" t="s">
        <v>46</v>
      </c>
      <c r="I168" s="8">
        <v>9.9724989133178673E-3</v>
      </c>
      <c r="J168" s="6" t="s">
        <v>7</v>
      </c>
      <c r="L168" s="6" t="s">
        <v>264</v>
      </c>
      <c r="M168" s="6" t="s">
        <v>46</v>
      </c>
      <c r="N168" s="8">
        <v>9.9890225659661352E-3</v>
      </c>
      <c r="O168" s="6" t="s">
        <v>7</v>
      </c>
    </row>
    <row r="169" spans="2:15" x14ac:dyDescent="0.45">
      <c r="B169" s="3" t="s">
        <v>262</v>
      </c>
      <c r="C169" s="3" t="s">
        <v>47</v>
      </c>
      <c r="D169" s="4">
        <v>1.2839384478961909E-2</v>
      </c>
      <c r="E169" s="3" t="s">
        <v>7</v>
      </c>
      <c r="G169" s="3" t="s">
        <v>263</v>
      </c>
      <c r="H169" s="3" t="s">
        <v>47</v>
      </c>
      <c r="I169" s="5">
        <v>8.6669952221463745E-3</v>
      </c>
      <c r="J169" s="3" t="s">
        <v>7</v>
      </c>
      <c r="L169" s="3" t="s">
        <v>264</v>
      </c>
      <c r="M169" s="3" t="s">
        <v>47</v>
      </c>
      <c r="N169" s="5">
        <v>9.4491607363450525E-3</v>
      </c>
      <c r="O169" s="3" t="s">
        <v>7</v>
      </c>
    </row>
    <row r="170" spans="2:15" x14ac:dyDescent="0.45">
      <c r="B170" s="6" t="s">
        <v>262</v>
      </c>
      <c r="C170" s="6" t="s">
        <v>48</v>
      </c>
      <c r="D170" s="7">
        <v>6.7750460312220723E-4</v>
      </c>
      <c r="E170" s="6" t="s">
        <v>7</v>
      </c>
      <c r="G170" s="6" t="s">
        <v>263</v>
      </c>
      <c r="H170" s="6" t="s">
        <v>48</v>
      </c>
      <c r="I170" s="8">
        <v>1.1476875876006157E-2</v>
      </c>
      <c r="J170" s="6" t="s">
        <v>7</v>
      </c>
      <c r="L170" s="6" t="s">
        <v>264</v>
      </c>
      <c r="M170" s="6" t="s">
        <v>48</v>
      </c>
      <c r="N170" s="8">
        <v>1.3833834240970858E-2</v>
      </c>
      <c r="O170" s="6" t="s">
        <v>7</v>
      </c>
    </row>
    <row r="171" spans="2:15" x14ac:dyDescent="0.45">
      <c r="B171" s="3" t="s">
        <v>262</v>
      </c>
      <c r="C171" s="3" t="s">
        <v>49</v>
      </c>
      <c r="D171" s="4">
        <v>0</v>
      </c>
      <c r="E171" s="3" t="s">
        <v>7</v>
      </c>
      <c r="G171" s="3" t="s">
        <v>263</v>
      </c>
      <c r="H171" s="3" t="s">
        <v>49</v>
      </c>
      <c r="I171" s="5">
        <v>3.009875114729171E-2</v>
      </c>
      <c r="J171" s="3" t="s">
        <v>7</v>
      </c>
      <c r="L171" s="3" t="s">
        <v>264</v>
      </c>
      <c r="M171" s="3" t="s">
        <v>49</v>
      </c>
      <c r="N171" s="5">
        <v>3.3675791952289501E-2</v>
      </c>
      <c r="O171" s="3" t="s">
        <v>7</v>
      </c>
    </row>
    <row r="172" spans="2:15" x14ac:dyDescent="0.45">
      <c r="B172" s="6" t="s">
        <v>262</v>
      </c>
      <c r="C172" s="6" t="s">
        <v>50</v>
      </c>
      <c r="D172" s="7">
        <v>0</v>
      </c>
      <c r="E172" s="6" t="s">
        <v>7</v>
      </c>
      <c r="G172" s="6" t="s">
        <v>263</v>
      </c>
      <c r="H172" s="6" t="s">
        <v>50</v>
      </c>
      <c r="I172" s="8">
        <v>1.2656413560712801E-2</v>
      </c>
      <c r="J172" s="6" t="s">
        <v>7</v>
      </c>
      <c r="L172" s="6" t="s">
        <v>264</v>
      </c>
      <c r="M172" s="6" t="s">
        <v>50</v>
      </c>
      <c r="N172" s="8">
        <v>1.3272746898184485E-2</v>
      </c>
      <c r="O172" s="6" t="s">
        <v>7</v>
      </c>
    </row>
    <row r="173" spans="2:15" x14ac:dyDescent="0.45">
      <c r="B173" s="3" t="s">
        <v>262</v>
      </c>
      <c r="C173" s="3" t="s">
        <v>51</v>
      </c>
      <c r="D173" s="4">
        <v>2.4464074839963639E-4</v>
      </c>
      <c r="E173" s="3" t="s">
        <v>7</v>
      </c>
      <c r="G173" s="3" t="s">
        <v>263</v>
      </c>
      <c r="H173" s="3" t="s">
        <v>51</v>
      </c>
      <c r="I173" s="5">
        <v>1.3080408701229935E-2</v>
      </c>
      <c r="J173" s="3" t="s">
        <v>7</v>
      </c>
      <c r="L173" s="3" t="s">
        <v>264</v>
      </c>
      <c r="M173" s="3" t="s">
        <v>51</v>
      </c>
      <c r="N173" s="5">
        <v>1.3328271772150508E-2</v>
      </c>
      <c r="O173" s="3" t="s">
        <v>7</v>
      </c>
    </row>
    <row r="174" spans="2:15" x14ac:dyDescent="0.45">
      <c r="B174" s="6" t="s">
        <v>262</v>
      </c>
      <c r="C174" s="6" t="s">
        <v>52</v>
      </c>
      <c r="D174" s="7">
        <v>1.1310409072716847E-2</v>
      </c>
      <c r="E174" s="6" t="s">
        <v>7</v>
      </c>
      <c r="G174" s="6" t="s">
        <v>263</v>
      </c>
      <c r="H174" s="6" t="s">
        <v>52</v>
      </c>
      <c r="I174" s="8">
        <v>1.3805695662888662E-2</v>
      </c>
      <c r="J174" s="6" t="s">
        <v>7</v>
      </c>
      <c r="L174" s="6" t="s">
        <v>264</v>
      </c>
      <c r="M174" s="6" t="s">
        <v>52</v>
      </c>
      <c r="N174" s="8">
        <v>1.3375452022556347E-2</v>
      </c>
      <c r="O174" s="6" t="s">
        <v>7</v>
      </c>
    </row>
    <row r="175" spans="2:15" x14ac:dyDescent="0.45">
      <c r="B175" s="3" t="s">
        <v>262</v>
      </c>
      <c r="C175" s="3" t="s">
        <v>53</v>
      </c>
      <c r="D175" s="4">
        <v>3.2292302427897566E-2</v>
      </c>
      <c r="E175" s="3" t="s">
        <v>7</v>
      </c>
      <c r="G175" s="3" t="s">
        <v>263</v>
      </c>
      <c r="H175" s="3" t="s">
        <v>53</v>
      </c>
      <c r="I175" s="5">
        <v>1.4749296000632541E-2</v>
      </c>
      <c r="J175" s="3" t="s">
        <v>7</v>
      </c>
      <c r="L175" s="3" t="s">
        <v>264</v>
      </c>
      <c r="M175" s="3" t="s">
        <v>53</v>
      </c>
      <c r="N175" s="5">
        <v>1.3971315430870679E-2</v>
      </c>
      <c r="O175" s="3" t="s">
        <v>7</v>
      </c>
    </row>
    <row r="176" spans="2:15" x14ac:dyDescent="0.45">
      <c r="B176" s="6" t="s">
        <v>262</v>
      </c>
      <c r="C176" s="6" t="s">
        <v>54</v>
      </c>
      <c r="D176" s="7">
        <v>3.8915487237726615E-2</v>
      </c>
      <c r="E176" s="6" t="s">
        <v>7</v>
      </c>
      <c r="G176" s="6" t="s">
        <v>263</v>
      </c>
      <c r="H176" s="6" t="s">
        <v>54</v>
      </c>
      <c r="I176" s="8">
        <v>1.5838120871652435E-2</v>
      </c>
      <c r="J176" s="6" t="s">
        <v>7</v>
      </c>
      <c r="L176" s="6" t="s">
        <v>264</v>
      </c>
      <c r="M176" s="6" t="s">
        <v>54</v>
      </c>
      <c r="N176" s="8">
        <v>1.4023099413176289E-2</v>
      </c>
      <c r="O176" s="6" t="s">
        <v>7</v>
      </c>
    </row>
    <row r="177" spans="2:15" x14ac:dyDescent="0.45">
      <c r="B177" s="3" t="s">
        <v>262</v>
      </c>
      <c r="C177" s="3" t="s">
        <v>55</v>
      </c>
      <c r="D177" s="4">
        <v>3.2248430085063652E-2</v>
      </c>
      <c r="E177" s="3" t="s">
        <v>7</v>
      </c>
      <c r="G177" s="3" t="s">
        <v>263</v>
      </c>
      <c r="H177" s="3" t="s">
        <v>55</v>
      </c>
      <c r="I177" s="5">
        <v>1.5795212444747644E-2</v>
      </c>
      <c r="J177" s="3" t="s">
        <v>7</v>
      </c>
      <c r="L177" s="3" t="s">
        <v>264</v>
      </c>
      <c r="M177" s="3" t="s">
        <v>55</v>
      </c>
      <c r="N177" s="5">
        <v>1.3713428182000605E-2</v>
      </c>
      <c r="O177" s="3" t="s">
        <v>7</v>
      </c>
    </row>
    <row r="178" spans="2:15" x14ac:dyDescent="0.45">
      <c r="B178" s="6" t="s">
        <v>262</v>
      </c>
      <c r="C178" s="6" t="s">
        <v>56</v>
      </c>
      <c r="D178" s="7">
        <v>1.6274439708220709E-2</v>
      </c>
      <c r="E178" s="6" t="s">
        <v>7</v>
      </c>
      <c r="G178" s="6" t="s">
        <v>263</v>
      </c>
      <c r="H178" s="6" t="s">
        <v>56</v>
      </c>
      <c r="I178" s="8">
        <v>1.4204135285846525E-2</v>
      </c>
      <c r="J178" s="6" t="s">
        <v>7</v>
      </c>
      <c r="L178" s="6" t="s">
        <v>264</v>
      </c>
      <c r="M178" s="6" t="s">
        <v>56</v>
      </c>
      <c r="N178" s="8">
        <v>1.3084939319117738E-2</v>
      </c>
      <c r="O178" s="6" t="s">
        <v>7</v>
      </c>
    </row>
    <row r="179" spans="2:15" x14ac:dyDescent="0.45">
      <c r="B179" s="3" t="s">
        <v>262</v>
      </c>
      <c r="C179" s="3" t="s">
        <v>57</v>
      </c>
      <c r="D179" s="4">
        <v>1.7926934343709001E-3</v>
      </c>
      <c r="E179" s="3" t="s">
        <v>7</v>
      </c>
      <c r="G179" s="3" t="s">
        <v>263</v>
      </c>
      <c r="H179" s="3" t="s">
        <v>57</v>
      </c>
      <c r="I179" s="5">
        <v>1.3500565437183981E-2</v>
      </c>
      <c r="J179" s="3" t="s">
        <v>7</v>
      </c>
      <c r="L179" s="3" t="s">
        <v>264</v>
      </c>
      <c r="M179" s="3" t="s">
        <v>57</v>
      </c>
      <c r="N179" s="5">
        <v>1.2741818608227143E-2</v>
      </c>
      <c r="O179" s="3" t="s">
        <v>7</v>
      </c>
    </row>
    <row r="180" spans="2:15" x14ac:dyDescent="0.45">
      <c r="B180" s="6" t="s">
        <v>262</v>
      </c>
      <c r="C180" s="6" t="s">
        <v>58</v>
      </c>
      <c r="D180" s="7">
        <v>0</v>
      </c>
      <c r="E180" s="6" t="s">
        <v>7</v>
      </c>
      <c r="G180" s="6" t="s">
        <v>263</v>
      </c>
      <c r="H180" s="6" t="s">
        <v>58</v>
      </c>
      <c r="I180" s="8">
        <v>1.9505708549560408E-2</v>
      </c>
      <c r="J180" s="6" t="s">
        <v>7</v>
      </c>
      <c r="L180" s="6" t="s">
        <v>264</v>
      </c>
      <c r="M180" s="6" t="s">
        <v>58</v>
      </c>
      <c r="N180" s="8">
        <v>2.0006511867626694E-2</v>
      </c>
      <c r="O180" s="6" t="s">
        <v>7</v>
      </c>
    </row>
    <row r="181" spans="2:15" x14ac:dyDescent="0.45">
      <c r="B181" s="3" t="s">
        <v>262</v>
      </c>
      <c r="C181" s="3" t="s">
        <v>59</v>
      </c>
      <c r="D181" s="4">
        <v>0</v>
      </c>
      <c r="E181" s="3" t="s">
        <v>7</v>
      </c>
      <c r="G181" s="3" t="s">
        <v>263</v>
      </c>
      <c r="H181" s="3" t="s">
        <v>59</v>
      </c>
      <c r="I181" s="5">
        <v>4.4996703124770422E-2</v>
      </c>
      <c r="J181" s="3" t="s">
        <v>7</v>
      </c>
      <c r="L181" s="3" t="s">
        <v>264</v>
      </c>
      <c r="M181" s="3" t="s">
        <v>59</v>
      </c>
      <c r="N181" s="5">
        <v>3.5417195870291518E-2</v>
      </c>
      <c r="O181" s="3" t="s">
        <v>7</v>
      </c>
    </row>
    <row r="182" spans="2:15" x14ac:dyDescent="0.45">
      <c r="B182" s="6" t="s">
        <v>262</v>
      </c>
      <c r="C182" s="6" t="s">
        <v>60</v>
      </c>
      <c r="D182" s="7">
        <v>0</v>
      </c>
      <c r="E182" s="6" t="s">
        <v>7</v>
      </c>
      <c r="G182" s="6" t="s">
        <v>263</v>
      </c>
      <c r="H182" s="6" t="s">
        <v>60</v>
      </c>
      <c r="I182" s="8">
        <v>1.7624412696134118E-2</v>
      </c>
      <c r="J182" s="6" t="s">
        <v>7</v>
      </c>
      <c r="L182" s="6" t="s">
        <v>264</v>
      </c>
      <c r="M182" s="6" t="s">
        <v>60</v>
      </c>
      <c r="N182" s="8">
        <v>1.4372768827532302E-2</v>
      </c>
      <c r="O182" s="6" t="s">
        <v>7</v>
      </c>
    </row>
    <row r="183" spans="2:15" x14ac:dyDescent="0.45">
      <c r="B183" s="3" t="s">
        <v>262</v>
      </c>
      <c r="C183" s="3" t="s">
        <v>61</v>
      </c>
      <c r="D183" s="4">
        <v>0</v>
      </c>
      <c r="E183" s="3" t="s">
        <v>7</v>
      </c>
      <c r="G183" s="3" t="s">
        <v>263</v>
      </c>
      <c r="H183" s="3" t="s">
        <v>61</v>
      </c>
      <c r="I183" s="5">
        <v>1.7725928071821394E-2</v>
      </c>
      <c r="J183" s="3" t="s">
        <v>7</v>
      </c>
      <c r="L183" s="3" t="s">
        <v>264</v>
      </c>
      <c r="M183" s="3" t="s">
        <v>61</v>
      </c>
      <c r="N183" s="5">
        <v>1.4265282136765102E-2</v>
      </c>
      <c r="O183" s="3" t="s">
        <v>7</v>
      </c>
    </row>
    <row r="184" spans="2:15" x14ac:dyDescent="0.45">
      <c r="B184" s="6" t="s">
        <v>262</v>
      </c>
      <c r="C184" s="6" t="s">
        <v>62</v>
      </c>
      <c r="D184" s="7">
        <v>2.3698817398279527E-3</v>
      </c>
      <c r="E184" s="6" t="s">
        <v>7</v>
      </c>
      <c r="G184" s="6" t="s">
        <v>263</v>
      </c>
      <c r="H184" s="6" t="s">
        <v>62</v>
      </c>
      <c r="I184" s="8">
        <v>1.7920661350033354E-2</v>
      </c>
      <c r="J184" s="6" t="s">
        <v>7</v>
      </c>
      <c r="L184" s="6" t="s">
        <v>264</v>
      </c>
      <c r="M184" s="6" t="s">
        <v>62</v>
      </c>
      <c r="N184" s="8">
        <v>1.4406090003744633E-2</v>
      </c>
      <c r="O184" s="6" t="s">
        <v>7</v>
      </c>
    </row>
    <row r="185" spans="2:15" x14ac:dyDescent="0.45">
      <c r="B185" s="3" t="s">
        <v>262</v>
      </c>
      <c r="C185" s="3" t="s">
        <v>63</v>
      </c>
      <c r="D185" s="4">
        <v>2.1690575157503222E-2</v>
      </c>
      <c r="E185" s="3" t="s">
        <v>7</v>
      </c>
      <c r="G185" s="3" t="s">
        <v>263</v>
      </c>
      <c r="H185" s="3" t="s">
        <v>63</v>
      </c>
      <c r="I185" s="5">
        <v>1.7311348803137269E-2</v>
      </c>
      <c r="J185" s="3" t="s">
        <v>7</v>
      </c>
      <c r="L185" s="3" t="s">
        <v>264</v>
      </c>
      <c r="M185" s="3" t="s">
        <v>63</v>
      </c>
      <c r="N185" s="5">
        <v>1.4787642853869125E-2</v>
      </c>
      <c r="O185" s="3" t="s">
        <v>7</v>
      </c>
    </row>
    <row r="186" spans="2:15" x14ac:dyDescent="0.45">
      <c r="B186" s="6" t="s">
        <v>262</v>
      </c>
      <c r="C186" s="6" t="s">
        <v>64</v>
      </c>
      <c r="D186" s="7">
        <v>3.3836910484414132E-2</v>
      </c>
      <c r="E186" s="6" t="s">
        <v>7</v>
      </c>
      <c r="G186" s="6" t="s">
        <v>263</v>
      </c>
      <c r="H186" s="6" t="s">
        <v>64</v>
      </c>
      <c r="I186" s="8">
        <v>1.7218886534354869E-2</v>
      </c>
      <c r="J186" s="6" t="s">
        <v>7</v>
      </c>
      <c r="L186" s="6" t="s">
        <v>264</v>
      </c>
      <c r="M186" s="6" t="s">
        <v>64</v>
      </c>
      <c r="N186" s="8">
        <v>1.5403918420921063E-2</v>
      </c>
      <c r="O186" s="6" t="s">
        <v>7</v>
      </c>
    </row>
    <row r="187" spans="2:15" x14ac:dyDescent="0.45">
      <c r="B187" s="3" t="s">
        <v>262</v>
      </c>
      <c r="C187" s="3" t="s">
        <v>65</v>
      </c>
      <c r="D187" s="4">
        <v>2.2838527240291621E-2</v>
      </c>
      <c r="E187" s="3" t="s">
        <v>7</v>
      </c>
      <c r="G187" s="3" t="s">
        <v>263</v>
      </c>
      <c r="H187" s="3" t="s">
        <v>65</v>
      </c>
      <c r="I187" s="5">
        <v>1.7232164916376712E-2</v>
      </c>
      <c r="J187" s="3" t="s">
        <v>7</v>
      </c>
      <c r="L187" s="3" t="s">
        <v>264</v>
      </c>
      <c r="M187" s="3" t="s">
        <v>65</v>
      </c>
      <c r="N187" s="5">
        <v>1.5800775660757625E-2</v>
      </c>
      <c r="O187" s="3" t="s">
        <v>7</v>
      </c>
    </row>
    <row r="188" spans="2:15" x14ac:dyDescent="0.45">
      <c r="B188" s="6" t="s">
        <v>262</v>
      </c>
      <c r="C188" s="6" t="s">
        <v>66</v>
      </c>
      <c r="D188" s="7">
        <v>4.5486994745870526E-3</v>
      </c>
      <c r="E188" s="6" t="s">
        <v>7</v>
      </c>
      <c r="G188" s="6" t="s">
        <v>263</v>
      </c>
      <c r="H188" s="6" t="s">
        <v>66</v>
      </c>
      <c r="I188" s="8">
        <v>1.7193306533226087E-2</v>
      </c>
      <c r="J188" s="6" t="s">
        <v>7</v>
      </c>
      <c r="L188" s="6" t="s">
        <v>264</v>
      </c>
      <c r="M188" s="6" t="s">
        <v>66</v>
      </c>
      <c r="N188" s="8">
        <v>1.5357314141015113E-2</v>
      </c>
      <c r="O188" s="6" t="s">
        <v>7</v>
      </c>
    </row>
    <row r="189" spans="2:15" x14ac:dyDescent="0.45">
      <c r="B189" s="3" t="s">
        <v>262</v>
      </c>
      <c r="C189" s="3" t="s">
        <v>67</v>
      </c>
      <c r="D189" s="4">
        <v>0</v>
      </c>
      <c r="E189" s="3" t="s">
        <v>7</v>
      </c>
      <c r="G189" s="3" t="s">
        <v>263</v>
      </c>
      <c r="H189" s="3" t="s">
        <v>67</v>
      </c>
      <c r="I189" s="5">
        <v>1.7598698843959766E-2</v>
      </c>
      <c r="J189" s="3" t="s">
        <v>7</v>
      </c>
      <c r="L189" s="3" t="s">
        <v>264</v>
      </c>
      <c r="M189" s="3" t="s">
        <v>67</v>
      </c>
      <c r="N189" s="5">
        <v>1.4891541426938694E-2</v>
      </c>
      <c r="O189" s="3" t="s">
        <v>7</v>
      </c>
    </row>
    <row r="190" spans="2:15" x14ac:dyDescent="0.45">
      <c r="B190" s="6" t="s">
        <v>262</v>
      </c>
      <c r="C190" s="6" t="s">
        <v>68</v>
      </c>
      <c r="D190" s="7">
        <v>0</v>
      </c>
      <c r="E190" s="6" t="s">
        <v>7</v>
      </c>
      <c r="G190" s="6" t="s">
        <v>263</v>
      </c>
      <c r="H190" s="6" t="s">
        <v>68</v>
      </c>
      <c r="I190" s="8">
        <v>2.7645802859622887E-2</v>
      </c>
      <c r="J190" s="6" t="s">
        <v>7</v>
      </c>
      <c r="L190" s="6" t="s">
        <v>264</v>
      </c>
      <c r="M190" s="6" t="s">
        <v>68</v>
      </c>
      <c r="N190" s="8">
        <v>2.1749739421103208E-2</v>
      </c>
      <c r="O190" s="6" t="s">
        <v>7</v>
      </c>
    </row>
    <row r="191" spans="2:15" x14ac:dyDescent="0.45">
      <c r="B191" s="3" t="s">
        <v>265</v>
      </c>
      <c r="C191" s="3" t="s">
        <v>6</v>
      </c>
      <c r="D191" s="4">
        <v>0</v>
      </c>
      <c r="E191" s="3" t="s">
        <v>7</v>
      </c>
      <c r="G191" s="3" t="s">
        <v>266</v>
      </c>
      <c r="H191" s="3" t="s">
        <v>6</v>
      </c>
      <c r="I191" s="5">
        <v>3.8993896636019203E-2</v>
      </c>
      <c r="J191" s="3" t="s">
        <v>7</v>
      </c>
      <c r="L191" s="3" t="s">
        <v>267</v>
      </c>
      <c r="M191" s="3" t="s">
        <v>6</v>
      </c>
      <c r="N191" s="5">
        <v>3.6728662856207774E-2</v>
      </c>
      <c r="O191" s="3" t="s">
        <v>7</v>
      </c>
    </row>
    <row r="192" spans="2:15" x14ac:dyDescent="0.45">
      <c r="B192" s="6" t="s">
        <v>265</v>
      </c>
      <c r="C192" s="6" t="s">
        <v>10</v>
      </c>
      <c r="D192" s="7">
        <v>0</v>
      </c>
      <c r="E192" s="6" t="s">
        <v>7</v>
      </c>
      <c r="G192" s="6" t="s">
        <v>266</v>
      </c>
      <c r="H192" s="6" t="s">
        <v>10</v>
      </c>
      <c r="I192" s="8">
        <v>1.4359594132181675E-2</v>
      </c>
      <c r="J192" s="6" t="s">
        <v>7</v>
      </c>
      <c r="L192" s="6" t="s">
        <v>267</v>
      </c>
      <c r="M192" s="6" t="s">
        <v>10</v>
      </c>
      <c r="N192" s="8">
        <v>1.4454088665141425E-2</v>
      </c>
      <c r="O192" s="6" t="s">
        <v>7</v>
      </c>
    </row>
    <row r="193" spans="2:15" x14ac:dyDescent="0.45">
      <c r="B193" s="3" t="s">
        <v>265</v>
      </c>
      <c r="C193" s="3" t="s">
        <v>11</v>
      </c>
      <c r="D193" s="4">
        <v>0</v>
      </c>
      <c r="E193" s="3" t="s">
        <v>7</v>
      </c>
      <c r="G193" s="3" t="s">
        <v>266</v>
      </c>
      <c r="H193" s="3" t="s">
        <v>11</v>
      </c>
      <c r="I193" s="5">
        <v>1.4509392655290552E-2</v>
      </c>
      <c r="J193" s="3" t="s">
        <v>7</v>
      </c>
      <c r="L193" s="3" t="s">
        <v>267</v>
      </c>
      <c r="M193" s="3" t="s">
        <v>11</v>
      </c>
      <c r="N193" s="5">
        <v>1.5082228118410531E-2</v>
      </c>
      <c r="O193" s="3" t="s">
        <v>7</v>
      </c>
    </row>
    <row r="194" spans="2:15" x14ac:dyDescent="0.45">
      <c r="B194" s="6" t="s">
        <v>265</v>
      </c>
      <c r="C194" s="6" t="s">
        <v>12</v>
      </c>
      <c r="D194" s="7">
        <v>1.4960935493995996E-3</v>
      </c>
      <c r="E194" s="6" t="s">
        <v>7</v>
      </c>
      <c r="G194" s="6" t="s">
        <v>266</v>
      </c>
      <c r="H194" s="6" t="s">
        <v>12</v>
      </c>
      <c r="I194" s="8">
        <v>1.5114665132594979E-2</v>
      </c>
      <c r="J194" s="6" t="s">
        <v>7</v>
      </c>
      <c r="L194" s="6" t="s">
        <v>267</v>
      </c>
      <c r="M194" s="6" t="s">
        <v>12</v>
      </c>
      <c r="N194" s="8">
        <v>1.5498033982427961E-2</v>
      </c>
      <c r="O194" s="6" t="s">
        <v>7</v>
      </c>
    </row>
    <row r="195" spans="2:15" x14ac:dyDescent="0.45">
      <c r="B195" s="3" t="s">
        <v>265</v>
      </c>
      <c r="C195" s="3" t="s">
        <v>13</v>
      </c>
      <c r="D195" s="4">
        <v>1.649501275202566E-2</v>
      </c>
      <c r="E195" s="3" t="s">
        <v>7</v>
      </c>
      <c r="G195" s="3" t="s">
        <v>266</v>
      </c>
      <c r="H195" s="3" t="s">
        <v>13</v>
      </c>
      <c r="I195" s="5">
        <v>1.6350991079260489E-2</v>
      </c>
      <c r="J195" s="3" t="s">
        <v>7</v>
      </c>
      <c r="L195" s="3" t="s">
        <v>267</v>
      </c>
      <c r="M195" s="3" t="s">
        <v>13</v>
      </c>
      <c r="N195" s="5">
        <v>1.5607261890237523E-2</v>
      </c>
      <c r="O195" s="3" t="s">
        <v>7</v>
      </c>
    </row>
    <row r="196" spans="2:15" x14ac:dyDescent="0.45">
      <c r="B196" s="6" t="s">
        <v>265</v>
      </c>
      <c r="C196" s="6" t="s">
        <v>14</v>
      </c>
      <c r="D196" s="7">
        <v>3.1377555016011187E-2</v>
      </c>
      <c r="E196" s="6" t="s">
        <v>7</v>
      </c>
      <c r="G196" s="6" t="s">
        <v>266</v>
      </c>
      <c r="H196" s="6" t="s">
        <v>14</v>
      </c>
      <c r="I196" s="8">
        <v>1.7503322376846882E-2</v>
      </c>
      <c r="J196" s="6" t="s">
        <v>7</v>
      </c>
      <c r="L196" s="6" t="s">
        <v>267</v>
      </c>
      <c r="M196" s="6" t="s">
        <v>14</v>
      </c>
      <c r="N196" s="8">
        <v>1.6035045035115505E-2</v>
      </c>
      <c r="O196" s="6" t="s">
        <v>7</v>
      </c>
    </row>
    <row r="197" spans="2:15" x14ac:dyDescent="0.45">
      <c r="B197" s="3" t="s">
        <v>265</v>
      </c>
      <c r="C197" s="3" t="s">
        <v>15</v>
      </c>
      <c r="D197" s="4">
        <v>2.8602969251579968E-2</v>
      </c>
      <c r="E197" s="3" t="s">
        <v>7</v>
      </c>
      <c r="G197" s="3" t="s">
        <v>266</v>
      </c>
      <c r="H197" s="3" t="s">
        <v>15</v>
      </c>
      <c r="I197" s="5">
        <v>1.6971294430311593E-2</v>
      </c>
      <c r="J197" s="3" t="s">
        <v>7</v>
      </c>
      <c r="L197" s="3" t="s">
        <v>267</v>
      </c>
      <c r="M197" s="3" t="s">
        <v>15</v>
      </c>
      <c r="N197" s="5">
        <v>1.5917105502761819E-2</v>
      </c>
      <c r="O197" s="3" t="s">
        <v>7</v>
      </c>
    </row>
    <row r="198" spans="2:15" x14ac:dyDescent="0.45">
      <c r="B198" s="6" t="s">
        <v>265</v>
      </c>
      <c r="C198" s="6" t="s">
        <v>16</v>
      </c>
      <c r="D198" s="7">
        <v>1.3229947874157712E-2</v>
      </c>
      <c r="E198" s="6" t="s">
        <v>7</v>
      </c>
      <c r="G198" s="6" t="s">
        <v>266</v>
      </c>
      <c r="H198" s="6" t="s">
        <v>16</v>
      </c>
      <c r="I198" s="8">
        <v>1.6024194665198558E-2</v>
      </c>
      <c r="J198" s="6" t="s">
        <v>7</v>
      </c>
      <c r="L198" s="6" t="s">
        <v>267</v>
      </c>
      <c r="M198" s="6" t="s">
        <v>16</v>
      </c>
      <c r="N198" s="8">
        <v>1.5631286881857397E-2</v>
      </c>
      <c r="O198" s="6" t="s">
        <v>7</v>
      </c>
    </row>
    <row r="199" spans="2:15" x14ac:dyDescent="0.45">
      <c r="B199" s="3" t="s">
        <v>265</v>
      </c>
      <c r="C199" s="3" t="s">
        <v>17</v>
      </c>
      <c r="D199" s="4">
        <v>6.1387902247571596E-4</v>
      </c>
      <c r="E199" s="3" t="s">
        <v>7</v>
      </c>
      <c r="G199" s="3" t="s">
        <v>266</v>
      </c>
      <c r="H199" s="3" t="s">
        <v>17</v>
      </c>
      <c r="I199" s="5">
        <v>1.55813721763762E-2</v>
      </c>
      <c r="J199" s="3" t="s">
        <v>7</v>
      </c>
      <c r="L199" s="3" t="s">
        <v>267</v>
      </c>
      <c r="M199" s="3" t="s">
        <v>17</v>
      </c>
      <c r="N199" s="5">
        <v>1.5524064171435804E-2</v>
      </c>
      <c r="O199" s="3" t="s">
        <v>7</v>
      </c>
    </row>
    <row r="200" spans="2:15" x14ac:dyDescent="0.45">
      <c r="B200" s="6" t="s">
        <v>265</v>
      </c>
      <c r="C200" s="6" t="s">
        <v>18</v>
      </c>
      <c r="D200" s="7">
        <v>0</v>
      </c>
      <c r="E200" s="6" t="s">
        <v>7</v>
      </c>
      <c r="G200" s="6" t="s">
        <v>266</v>
      </c>
      <c r="H200" s="6" t="s">
        <v>18</v>
      </c>
      <c r="I200" s="8">
        <v>2.4212660860768814E-2</v>
      </c>
      <c r="J200" s="6" t="s">
        <v>7</v>
      </c>
      <c r="L200" s="6" t="s">
        <v>267</v>
      </c>
      <c r="M200" s="6" t="s">
        <v>18</v>
      </c>
      <c r="N200" s="8">
        <v>2.3186368398040627E-2</v>
      </c>
      <c r="O200" s="6" t="s">
        <v>7</v>
      </c>
    </row>
    <row r="201" spans="2:15" x14ac:dyDescent="0.45">
      <c r="B201" s="3" t="s">
        <v>265</v>
      </c>
      <c r="C201" s="3" t="s">
        <v>19</v>
      </c>
      <c r="D201" s="4">
        <v>0</v>
      </c>
      <c r="E201" s="3" t="s">
        <v>7</v>
      </c>
      <c r="G201" s="3" t="s">
        <v>266</v>
      </c>
      <c r="H201" s="3" t="s">
        <v>19</v>
      </c>
      <c r="I201" s="5">
        <v>3.9839348027485198E-2</v>
      </c>
      <c r="J201" s="3" t="s">
        <v>7</v>
      </c>
      <c r="L201" s="3" t="s">
        <v>267</v>
      </c>
      <c r="M201" s="3" t="s">
        <v>19</v>
      </c>
      <c r="N201" s="5">
        <v>4.2778275909950182E-2</v>
      </c>
      <c r="O201" s="3" t="s">
        <v>7</v>
      </c>
    </row>
    <row r="202" spans="2:15" x14ac:dyDescent="0.45">
      <c r="B202" s="6" t="s">
        <v>265</v>
      </c>
      <c r="C202" s="6" t="s">
        <v>20</v>
      </c>
      <c r="D202" s="7">
        <v>0</v>
      </c>
      <c r="E202" s="6" t="s">
        <v>7</v>
      </c>
      <c r="G202" s="6" t="s">
        <v>266</v>
      </c>
      <c r="H202" s="6" t="s">
        <v>20</v>
      </c>
      <c r="I202" s="8">
        <v>1.5802071877968935E-2</v>
      </c>
      <c r="J202" s="6" t="s">
        <v>7</v>
      </c>
      <c r="L202" s="6" t="s">
        <v>267</v>
      </c>
      <c r="M202" s="6" t="s">
        <v>20</v>
      </c>
      <c r="N202" s="8">
        <v>1.7141550755750544E-2</v>
      </c>
      <c r="O202" s="6" t="s">
        <v>7</v>
      </c>
    </row>
    <row r="203" spans="2:15" x14ac:dyDescent="0.45">
      <c r="B203" s="3" t="s">
        <v>265</v>
      </c>
      <c r="C203" s="3" t="s">
        <v>21</v>
      </c>
      <c r="D203" s="4">
        <v>5.9263397158468387E-4</v>
      </c>
      <c r="E203" s="3" t="s">
        <v>7</v>
      </c>
      <c r="G203" s="3" t="s">
        <v>266</v>
      </c>
      <c r="H203" s="3" t="s">
        <v>21</v>
      </c>
      <c r="I203" s="5">
        <v>1.5674903969470834E-2</v>
      </c>
      <c r="J203" s="3" t="s">
        <v>7</v>
      </c>
      <c r="L203" s="3" t="s">
        <v>267</v>
      </c>
      <c r="M203" s="3" t="s">
        <v>21</v>
      </c>
      <c r="N203" s="5">
        <v>1.7082189212249861E-2</v>
      </c>
      <c r="O203" s="3" t="s">
        <v>7</v>
      </c>
    </row>
    <row r="204" spans="2:15" x14ac:dyDescent="0.45">
      <c r="B204" s="6" t="s">
        <v>265</v>
      </c>
      <c r="C204" s="6" t="s">
        <v>22</v>
      </c>
      <c r="D204" s="7">
        <v>1.8518204325844431E-2</v>
      </c>
      <c r="E204" s="6" t="s">
        <v>7</v>
      </c>
      <c r="G204" s="6" t="s">
        <v>266</v>
      </c>
      <c r="H204" s="6" t="s">
        <v>22</v>
      </c>
      <c r="I204" s="8">
        <v>1.5949336439599445E-2</v>
      </c>
      <c r="J204" s="6" t="s">
        <v>7</v>
      </c>
      <c r="L204" s="6" t="s">
        <v>267</v>
      </c>
      <c r="M204" s="6" t="s">
        <v>22</v>
      </c>
      <c r="N204" s="8">
        <v>1.6744938555643123E-2</v>
      </c>
      <c r="O204" s="6" t="s">
        <v>7</v>
      </c>
    </row>
    <row r="205" spans="2:15" x14ac:dyDescent="0.45">
      <c r="B205" s="3" t="s">
        <v>265</v>
      </c>
      <c r="C205" s="3" t="s">
        <v>23</v>
      </c>
      <c r="D205" s="4">
        <v>4.6325065798731559E-2</v>
      </c>
      <c r="E205" s="3" t="s">
        <v>7</v>
      </c>
      <c r="G205" s="3" t="s">
        <v>266</v>
      </c>
      <c r="H205" s="3" t="s">
        <v>23</v>
      </c>
      <c r="I205" s="5">
        <v>1.750828117593255E-2</v>
      </c>
      <c r="J205" s="3" t="s">
        <v>7</v>
      </c>
      <c r="L205" s="3" t="s">
        <v>267</v>
      </c>
      <c r="M205" s="3" t="s">
        <v>23</v>
      </c>
      <c r="N205" s="5">
        <v>1.6115553361959991E-2</v>
      </c>
      <c r="O205" s="3" t="s">
        <v>7</v>
      </c>
    </row>
    <row r="206" spans="2:15" x14ac:dyDescent="0.45">
      <c r="B206" s="6" t="s">
        <v>265</v>
      </c>
      <c r="C206" s="6" t="s">
        <v>24</v>
      </c>
      <c r="D206" s="7">
        <v>5.4520013056039193E-2</v>
      </c>
      <c r="E206" s="6" t="s">
        <v>7</v>
      </c>
      <c r="G206" s="6" t="s">
        <v>266</v>
      </c>
      <c r="H206" s="6" t="s">
        <v>24</v>
      </c>
      <c r="I206" s="8">
        <v>1.7783273290837166E-2</v>
      </c>
      <c r="J206" s="6" t="s">
        <v>7</v>
      </c>
      <c r="L206" s="6" t="s">
        <v>267</v>
      </c>
      <c r="M206" s="6" t="s">
        <v>24</v>
      </c>
      <c r="N206" s="8">
        <v>1.5670514808972257E-2</v>
      </c>
      <c r="O206" s="6" t="s">
        <v>7</v>
      </c>
    </row>
    <row r="207" spans="2:15" x14ac:dyDescent="0.45">
      <c r="B207" s="3" t="s">
        <v>265</v>
      </c>
      <c r="C207" s="3" t="s">
        <v>25</v>
      </c>
      <c r="D207" s="4">
        <v>4.9592151592347422E-2</v>
      </c>
      <c r="E207" s="3" t="s">
        <v>7</v>
      </c>
      <c r="G207" s="3" t="s">
        <v>266</v>
      </c>
      <c r="H207" s="3" t="s">
        <v>25</v>
      </c>
      <c r="I207" s="5">
        <v>1.7793631712340819E-2</v>
      </c>
      <c r="J207" s="3" t="s">
        <v>7</v>
      </c>
      <c r="L207" s="3" t="s">
        <v>267</v>
      </c>
      <c r="M207" s="3" t="s">
        <v>25</v>
      </c>
      <c r="N207" s="5">
        <v>1.5382414434381929E-2</v>
      </c>
      <c r="O207" s="3" t="s">
        <v>7</v>
      </c>
    </row>
    <row r="208" spans="2:15" x14ac:dyDescent="0.45">
      <c r="B208" s="6" t="s">
        <v>265</v>
      </c>
      <c r="C208" s="6" t="s">
        <v>26</v>
      </c>
      <c r="D208" s="7">
        <v>3.1515362614549909E-2</v>
      </c>
      <c r="E208" s="6" t="s">
        <v>7</v>
      </c>
      <c r="G208" s="6" t="s">
        <v>266</v>
      </c>
      <c r="H208" s="6" t="s">
        <v>26</v>
      </c>
      <c r="I208" s="8">
        <v>1.7343078888958485E-2</v>
      </c>
      <c r="J208" s="6" t="s">
        <v>7</v>
      </c>
      <c r="L208" s="6" t="s">
        <v>267</v>
      </c>
      <c r="M208" s="6" t="s">
        <v>26</v>
      </c>
      <c r="N208" s="8">
        <v>1.5684808147290549E-2</v>
      </c>
      <c r="O208" s="6" t="s">
        <v>7</v>
      </c>
    </row>
    <row r="209" spans="2:15" x14ac:dyDescent="0.45">
      <c r="B209" s="3" t="s">
        <v>265</v>
      </c>
      <c r="C209" s="3" t="s">
        <v>27</v>
      </c>
      <c r="D209" s="4">
        <v>7.6988938019886839E-3</v>
      </c>
      <c r="E209" s="3" t="s">
        <v>7</v>
      </c>
      <c r="G209" s="3" t="s">
        <v>266</v>
      </c>
      <c r="H209" s="3" t="s">
        <v>27</v>
      </c>
      <c r="I209" s="5">
        <v>1.5799966580286057E-2</v>
      </c>
      <c r="J209" s="3" t="s">
        <v>7</v>
      </c>
      <c r="L209" s="3" t="s">
        <v>267</v>
      </c>
      <c r="M209" s="3" t="s">
        <v>27</v>
      </c>
      <c r="N209" s="5">
        <v>1.6078467186079005E-2</v>
      </c>
      <c r="O209" s="3" t="s">
        <v>7</v>
      </c>
    </row>
    <row r="210" spans="2:15" x14ac:dyDescent="0.45">
      <c r="B210" s="6" t="s">
        <v>265</v>
      </c>
      <c r="C210" s="6" t="s">
        <v>28</v>
      </c>
      <c r="D210" s="7">
        <v>2.6745124300092492E-5</v>
      </c>
      <c r="E210" s="6" t="s">
        <v>7</v>
      </c>
      <c r="G210" s="6" t="s">
        <v>266</v>
      </c>
      <c r="H210" s="6" t="s">
        <v>28</v>
      </c>
      <c r="I210" s="8">
        <v>2.3512331647528122E-2</v>
      </c>
      <c r="J210" s="6" t="s">
        <v>7</v>
      </c>
      <c r="L210" s="6" t="s">
        <v>267</v>
      </c>
      <c r="M210" s="6" t="s">
        <v>28</v>
      </c>
      <c r="N210" s="8">
        <v>2.4956247016468987E-2</v>
      </c>
      <c r="O210" s="6" t="s">
        <v>7</v>
      </c>
    </row>
    <row r="211" spans="2:15" x14ac:dyDescent="0.45">
      <c r="B211" s="3" t="s">
        <v>265</v>
      </c>
      <c r="C211" s="3" t="s">
        <v>29</v>
      </c>
      <c r="D211" s="4">
        <v>0</v>
      </c>
      <c r="E211" s="3" t="s">
        <v>7</v>
      </c>
      <c r="G211" s="3" t="s">
        <v>266</v>
      </c>
      <c r="H211" s="3" t="s">
        <v>29</v>
      </c>
      <c r="I211" s="5">
        <v>2.8057590501914365E-2</v>
      </c>
      <c r="J211" s="3" t="s">
        <v>7</v>
      </c>
      <c r="L211" s="3" t="s">
        <v>267</v>
      </c>
      <c r="M211" s="3" t="s">
        <v>29</v>
      </c>
      <c r="N211" s="5">
        <v>3.2924779260560907E-2</v>
      </c>
      <c r="O211" s="3" t="s">
        <v>7</v>
      </c>
    </row>
    <row r="212" spans="2:15" x14ac:dyDescent="0.45">
      <c r="B212" s="6" t="s">
        <v>265</v>
      </c>
      <c r="C212" s="6" t="s">
        <v>30</v>
      </c>
      <c r="D212" s="7">
        <v>1.9769383913702769E-5</v>
      </c>
      <c r="E212" s="6" t="s">
        <v>7</v>
      </c>
      <c r="G212" s="6" t="s">
        <v>266</v>
      </c>
      <c r="H212" s="6" t="s">
        <v>30</v>
      </c>
      <c r="I212" s="8">
        <v>1.1151745222572835E-2</v>
      </c>
      <c r="J212" s="6" t="s">
        <v>7</v>
      </c>
      <c r="L212" s="6" t="s">
        <v>267</v>
      </c>
      <c r="M212" s="6" t="s">
        <v>30</v>
      </c>
      <c r="N212" s="8">
        <v>1.2746125409436619E-2</v>
      </c>
      <c r="O212" s="6" t="s">
        <v>7</v>
      </c>
    </row>
    <row r="213" spans="2:15" x14ac:dyDescent="0.45">
      <c r="B213" s="3" t="s">
        <v>265</v>
      </c>
      <c r="C213" s="3" t="s">
        <v>31</v>
      </c>
      <c r="D213" s="4">
        <v>4.709119026115054E-3</v>
      </c>
      <c r="E213" s="3" t="s">
        <v>7</v>
      </c>
      <c r="G213" s="3" t="s">
        <v>266</v>
      </c>
      <c r="H213" s="3" t="s">
        <v>31</v>
      </c>
      <c r="I213" s="5">
        <v>1.0874103564225303E-2</v>
      </c>
      <c r="J213" s="3" t="s">
        <v>7</v>
      </c>
      <c r="L213" s="3" t="s">
        <v>267</v>
      </c>
      <c r="M213" s="3" t="s">
        <v>31</v>
      </c>
      <c r="N213" s="5">
        <v>1.282657185876203E-2</v>
      </c>
      <c r="O213" s="3" t="s">
        <v>7</v>
      </c>
    </row>
    <row r="214" spans="2:15" x14ac:dyDescent="0.45">
      <c r="B214" s="6" t="s">
        <v>265</v>
      </c>
      <c r="C214" s="6" t="s">
        <v>32</v>
      </c>
      <c r="D214" s="7">
        <v>2.5898492400597932E-2</v>
      </c>
      <c r="E214" s="6" t="s">
        <v>7</v>
      </c>
      <c r="G214" s="6" t="s">
        <v>266</v>
      </c>
      <c r="H214" s="6" t="s">
        <v>32</v>
      </c>
      <c r="I214" s="8">
        <v>1.2543709003015296E-2</v>
      </c>
      <c r="J214" s="6" t="s">
        <v>7</v>
      </c>
      <c r="L214" s="6" t="s">
        <v>267</v>
      </c>
      <c r="M214" s="6" t="s">
        <v>32</v>
      </c>
      <c r="N214" s="8">
        <v>1.2680806997088026E-2</v>
      </c>
      <c r="O214" s="6" t="s">
        <v>7</v>
      </c>
    </row>
    <row r="215" spans="2:15" x14ac:dyDescent="0.45">
      <c r="B215" s="3" t="s">
        <v>265</v>
      </c>
      <c r="C215" s="3" t="s">
        <v>33</v>
      </c>
      <c r="D215" s="4">
        <v>4.840962213736965E-2</v>
      </c>
      <c r="E215" s="3" t="s">
        <v>7</v>
      </c>
      <c r="G215" s="3" t="s">
        <v>266</v>
      </c>
      <c r="H215" s="3" t="s">
        <v>33</v>
      </c>
      <c r="I215" s="5">
        <v>1.3914851622804217E-2</v>
      </c>
      <c r="J215" s="3" t="s">
        <v>7</v>
      </c>
      <c r="L215" s="3" t="s">
        <v>267</v>
      </c>
      <c r="M215" s="3" t="s">
        <v>33</v>
      </c>
      <c r="N215" s="5">
        <v>1.3000080409453042E-2</v>
      </c>
      <c r="O215" s="3" t="s">
        <v>7</v>
      </c>
    </row>
    <row r="216" spans="2:15" x14ac:dyDescent="0.45">
      <c r="B216" s="6" t="s">
        <v>265</v>
      </c>
      <c r="C216" s="6" t="s">
        <v>34</v>
      </c>
      <c r="D216" s="7">
        <v>5.9886653719599475E-2</v>
      </c>
      <c r="E216" s="6" t="s">
        <v>7</v>
      </c>
      <c r="G216" s="6" t="s">
        <v>266</v>
      </c>
      <c r="H216" s="6" t="s">
        <v>34</v>
      </c>
      <c r="I216" s="8">
        <v>1.5001552147460318E-2</v>
      </c>
      <c r="J216" s="6" t="s">
        <v>7</v>
      </c>
      <c r="L216" s="6" t="s">
        <v>267</v>
      </c>
      <c r="M216" s="6" t="s">
        <v>34</v>
      </c>
      <c r="N216" s="8">
        <v>1.3682756888799196E-2</v>
      </c>
      <c r="O216" s="6" t="s">
        <v>7</v>
      </c>
    </row>
    <row r="217" spans="2:15" x14ac:dyDescent="0.45">
      <c r="B217" s="3" t="s">
        <v>265</v>
      </c>
      <c r="C217" s="3" t="s">
        <v>35</v>
      </c>
      <c r="D217" s="4">
        <v>5.4924905898636946E-2</v>
      </c>
      <c r="E217" s="3" t="s">
        <v>7</v>
      </c>
      <c r="G217" s="3" t="s">
        <v>266</v>
      </c>
      <c r="H217" s="3" t="s">
        <v>35</v>
      </c>
      <c r="I217" s="5">
        <v>1.5720197354735056E-2</v>
      </c>
      <c r="J217" s="3" t="s">
        <v>7</v>
      </c>
      <c r="L217" s="3" t="s">
        <v>267</v>
      </c>
      <c r="M217" s="3" t="s">
        <v>35</v>
      </c>
      <c r="N217" s="5">
        <v>1.4322558031541954E-2</v>
      </c>
      <c r="O217" s="3" t="s">
        <v>7</v>
      </c>
    </row>
    <row r="218" spans="2:15" x14ac:dyDescent="0.45">
      <c r="B218" s="6" t="s">
        <v>265</v>
      </c>
      <c r="C218" s="6" t="s">
        <v>36</v>
      </c>
      <c r="D218" s="7">
        <v>3.7976960135159256E-2</v>
      </c>
      <c r="E218" s="6" t="s">
        <v>7</v>
      </c>
      <c r="G218" s="6" t="s">
        <v>266</v>
      </c>
      <c r="H218" s="6" t="s">
        <v>36</v>
      </c>
      <c r="I218" s="8">
        <v>1.5253138549253956E-2</v>
      </c>
      <c r="J218" s="6" t="s">
        <v>7</v>
      </c>
      <c r="L218" s="6" t="s">
        <v>267</v>
      </c>
      <c r="M218" s="6" t="s">
        <v>36</v>
      </c>
      <c r="N218" s="8">
        <v>1.4526107294241473E-2</v>
      </c>
      <c r="O218" s="6" t="s">
        <v>7</v>
      </c>
    </row>
    <row r="219" spans="2:15" x14ac:dyDescent="0.45">
      <c r="B219" s="3" t="s">
        <v>265</v>
      </c>
      <c r="C219" s="3" t="s">
        <v>37</v>
      </c>
      <c r="D219" s="4">
        <v>1.429672747855578E-2</v>
      </c>
      <c r="E219" s="3" t="s">
        <v>7</v>
      </c>
      <c r="G219" s="3" t="s">
        <v>266</v>
      </c>
      <c r="H219" s="3" t="s">
        <v>37</v>
      </c>
      <c r="I219" s="5">
        <v>1.4144928113194212E-2</v>
      </c>
      <c r="J219" s="3" t="s">
        <v>7</v>
      </c>
      <c r="L219" s="3" t="s">
        <v>267</v>
      </c>
      <c r="M219" s="3" t="s">
        <v>37</v>
      </c>
      <c r="N219" s="5">
        <v>1.4546486095438479E-2</v>
      </c>
      <c r="O219" s="3" t="s">
        <v>7</v>
      </c>
    </row>
    <row r="220" spans="2:15" x14ac:dyDescent="0.45">
      <c r="B220" s="6" t="s">
        <v>265</v>
      </c>
      <c r="C220" s="6" t="s">
        <v>38</v>
      </c>
      <c r="D220" s="7">
        <v>1.2226120953855201E-3</v>
      </c>
      <c r="E220" s="6" t="s">
        <v>7</v>
      </c>
      <c r="G220" s="6" t="s">
        <v>266</v>
      </c>
      <c r="H220" s="6" t="s">
        <v>38</v>
      </c>
      <c r="I220" s="8">
        <v>1.831461538722046E-2</v>
      </c>
      <c r="J220" s="6" t="s">
        <v>7</v>
      </c>
      <c r="L220" s="6" t="s">
        <v>267</v>
      </c>
      <c r="M220" s="6" t="s">
        <v>38</v>
      </c>
      <c r="N220" s="8">
        <v>2.0989909770668079E-2</v>
      </c>
      <c r="O220" s="6" t="s">
        <v>7</v>
      </c>
    </row>
    <row r="221" spans="2:15" x14ac:dyDescent="0.45">
      <c r="B221" s="3" t="s">
        <v>265</v>
      </c>
      <c r="C221" s="3" t="s">
        <v>39</v>
      </c>
      <c r="D221" s="4">
        <v>0</v>
      </c>
      <c r="E221" s="3" t="s">
        <v>7</v>
      </c>
      <c r="G221" s="3" t="s">
        <v>266</v>
      </c>
      <c r="H221" s="3" t="s">
        <v>39</v>
      </c>
      <c r="I221" s="5">
        <v>1.8345518019554492E-2</v>
      </c>
      <c r="J221" s="3" t="s">
        <v>7</v>
      </c>
      <c r="L221" s="3" t="s">
        <v>267</v>
      </c>
      <c r="M221" s="3" t="s">
        <v>39</v>
      </c>
      <c r="N221" s="5">
        <v>2.2054863141179264E-2</v>
      </c>
      <c r="O221" s="3" t="s">
        <v>7</v>
      </c>
    </row>
    <row r="222" spans="2:15" x14ac:dyDescent="0.45">
      <c r="B222" s="6" t="s">
        <v>265</v>
      </c>
      <c r="C222" s="6" t="s">
        <v>40</v>
      </c>
      <c r="D222" s="7">
        <v>0</v>
      </c>
      <c r="E222" s="6" t="s">
        <v>7</v>
      </c>
      <c r="G222" s="6" t="s">
        <v>266</v>
      </c>
      <c r="H222" s="6" t="s">
        <v>40</v>
      </c>
      <c r="I222" s="8">
        <v>7.0497908458977184E-3</v>
      </c>
      <c r="J222" s="6" t="s">
        <v>7</v>
      </c>
      <c r="L222" s="6" t="s">
        <v>267</v>
      </c>
      <c r="M222" s="6" t="s">
        <v>40</v>
      </c>
      <c r="N222" s="8">
        <v>8.7218194531494802E-3</v>
      </c>
      <c r="O222" s="6" t="s">
        <v>7</v>
      </c>
    </row>
    <row r="223" spans="2:15" x14ac:dyDescent="0.45">
      <c r="B223" s="3" t="s">
        <v>265</v>
      </c>
      <c r="C223" s="3" t="s">
        <v>41</v>
      </c>
      <c r="D223" s="4">
        <v>2.8233941480873491E-3</v>
      </c>
      <c r="E223" s="3" t="s">
        <v>7</v>
      </c>
      <c r="G223" s="3" t="s">
        <v>266</v>
      </c>
      <c r="H223" s="3" t="s">
        <v>41</v>
      </c>
      <c r="I223" s="5">
        <v>6.7687418897414784E-3</v>
      </c>
      <c r="J223" s="3" t="s">
        <v>7</v>
      </c>
      <c r="L223" s="3" t="s">
        <v>267</v>
      </c>
      <c r="M223" s="3" t="s">
        <v>41</v>
      </c>
      <c r="N223" s="5">
        <v>8.895708582870648E-3</v>
      </c>
      <c r="O223" s="3" t="s">
        <v>7</v>
      </c>
    </row>
    <row r="224" spans="2:15" x14ac:dyDescent="0.45">
      <c r="B224" s="6" t="s">
        <v>265</v>
      </c>
      <c r="C224" s="6" t="s">
        <v>42</v>
      </c>
      <c r="D224" s="7">
        <v>2.2958576604999639E-2</v>
      </c>
      <c r="E224" s="6" t="s">
        <v>7</v>
      </c>
      <c r="G224" s="6" t="s">
        <v>266</v>
      </c>
      <c r="H224" s="6" t="s">
        <v>42</v>
      </c>
      <c r="I224" s="8">
        <v>7.3387251529728696E-3</v>
      </c>
      <c r="J224" s="6" t="s">
        <v>7</v>
      </c>
      <c r="L224" s="6" t="s">
        <v>267</v>
      </c>
      <c r="M224" s="6" t="s">
        <v>42</v>
      </c>
      <c r="N224" s="8">
        <v>8.7645312784703864E-3</v>
      </c>
      <c r="O224" s="6" t="s">
        <v>7</v>
      </c>
    </row>
    <row r="225" spans="2:15" x14ac:dyDescent="0.45">
      <c r="B225" s="3" t="s">
        <v>265</v>
      </c>
      <c r="C225" s="3" t="s">
        <v>43</v>
      </c>
      <c r="D225" s="4">
        <v>4.6316982628725592E-2</v>
      </c>
      <c r="E225" s="3" t="s">
        <v>7</v>
      </c>
      <c r="G225" s="3" t="s">
        <v>266</v>
      </c>
      <c r="H225" s="3" t="s">
        <v>43</v>
      </c>
      <c r="I225" s="5">
        <v>8.5144682298961688E-3</v>
      </c>
      <c r="J225" s="3" t="s">
        <v>7</v>
      </c>
      <c r="L225" s="3" t="s">
        <v>267</v>
      </c>
      <c r="M225" s="3" t="s">
        <v>43</v>
      </c>
      <c r="N225" s="5">
        <v>9.6052758423938282E-3</v>
      </c>
      <c r="O225" s="3" t="s">
        <v>7</v>
      </c>
    </row>
    <row r="226" spans="2:15" x14ac:dyDescent="0.45">
      <c r="B226" s="6" t="s">
        <v>265</v>
      </c>
      <c r="C226" s="6" t="s">
        <v>44</v>
      </c>
      <c r="D226" s="7">
        <v>5.6993158994061432E-2</v>
      </c>
      <c r="E226" s="6" t="s">
        <v>7</v>
      </c>
      <c r="G226" s="6" t="s">
        <v>266</v>
      </c>
      <c r="H226" s="6" t="s">
        <v>44</v>
      </c>
      <c r="I226" s="8">
        <v>9.6488422858989446E-3</v>
      </c>
      <c r="J226" s="6" t="s">
        <v>7</v>
      </c>
      <c r="L226" s="6" t="s">
        <v>267</v>
      </c>
      <c r="M226" s="6" t="s">
        <v>44</v>
      </c>
      <c r="N226" s="8">
        <v>1.0401156033702088E-2</v>
      </c>
      <c r="O226" s="6" t="s">
        <v>7</v>
      </c>
    </row>
    <row r="227" spans="2:15" x14ac:dyDescent="0.45">
      <c r="B227" s="3" t="s">
        <v>265</v>
      </c>
      <c r="C227" s="3" t="s">
        <v>45</v>
      </c>
      <c r="D227" s="4">
        <v>5.4802227838525522E-2</v>
      </c>
      <c r="E227" s="3" t="s">
        <v>7</v>
      </c>
      <c r="G227" s="3" t="s">
        <v>266</v>
      </c>
      <c r="H227" s="3" t="s">
        <v>45</v>
      </c>
      <c r="I227" s="5">
        <v>1.0208089547827965E-2</v>
      </c>
      <c r="J227" s="3" t="s">
        <v>7</v>
      </c>
      <c r="L227" s="3" t="s">
        <v>267</v>
      </c>
      <c r="M227" s="3" t="s">
        <v>45</v>
      </c>
      <c r="N227" s="5">
        <v>1.0923752686072173E-2</v>
      </c>
      <c r="O227" s="3" t="s">
        <v>7</v>
      </c>
    </row>
    <row r="228" spans="2:15" x14ac:dyDescent="0.45">
      <c r="B228" s="6" t="s">
        <v>265</v>
      </c>
      <c r="C228" s="6" t="s">
        <v>46</v>
      </c>
      <c r="D228" s="7">
        <v>4.0067827354170762E-2</v>
      </c>
      <c r="E228" s="6" t="s">
        <v>7</v>
      </c>
      <c r="G228" s="6" t="s">
        <v>266</v>
      </c>
      <c r="H228" s="6" t="s">
        <v>46</v>
      </c>
      <c r="I228" s="8">
        <v>9.777820354190718E-3</v>
      </c>
      <c r="J228" s="6" t="s">
        <v>7</v>
      </c>
      <c r="L228" s="6" t="s">
        <v>267</v>
      </c>
      <c r="M228" s="6" t="s">
        <v>46</v>
      </c>
      <c r="N228" s="8">
        <v>1.050596787804952E-2</v>
      </c>
      <c r="O228" s="6" t="s">
        <v>7</v>
      </c>
    </row>
    <row r="229" spans="2:15" x14ac:dyDescent="0.45">
      <c r="B229" s="3" t="s">
        <v>265</v>
      </c>
      <c r="C229" s="3" t="s">
        <v>47</v>
      </c>
      <c r="D229" s="4">
        <v>1.4227463711813064E-2</v>
      </c>
      <c r="E229" s="3" t="s">
        <v>7</v>
      </c>
      <c r="G229" s="3" t="s">
        <v>266</v>
      </c>
      <c r="H229" s="3" t="s">
        <v>47</v>
      </c>
      <c r="I229" s="5">
        <v>8.0199283660930334E-3</v>
      </c>
      <c r="J229" s="3" t="s">
        <v>7</v>
      </c>
      <c r="L229" s="3" t="s">
        <v>267</v>
      </c>
      <c r="M229" s="3" t="s">
        <v>47</v>
      </c>
      <c r="N229" s="5">
        <v>9.7444740006359006E-3</v>
      </c>
      <c r="O229" s="3" t="s">
        <v>7</v>
      </c>
    </row>
    <row r="230" spans="2:15" x14ac:dyDescent="0.45">
      <c r="B230" s="6" t="s">
        <v>265</v>
      </c>
      <c r="C230" s="6" t="s">
        <v>48</v>
      </c>
      <c r="D230" s="7">
        <v>9.0265124232136347E-4</v>
      </c>
      <c r="E230" s="6" t="s">
        <v>7</v>
      </c>
      <c r="G230" s="6" t="s">
        <v>266</v>
      </c>
      <c r="H230" s="6" t="s">
        <v>48</v>
      </c>
      <c r="I230" s="8">
        <v>1.0576470259109976E-2</v>
      </c>
      <c r="J230" s="6" t="s">
        <v>7</v>
      </c>
      <c r="L230" s="6" t="s">
        <v>267</v>
      </c>
      <c r="M230" s="6" t="s">
        <v>48</v>
      </c>
      <c r="N230" s="8">
        <v>1.3675815710980395E-2</v>
      </c>
      <c r="O230" s="6" t="s">
        <v>7</v>
      </c>
    </row>
    <row r="231" spans="2:15" x14ac:dyDescent="0.45">
      <c r="B231" s="3" t="s">
        <v>265</v>
      </c>
      <c r="C231" s="3" t="s">
        <v>49</v>
      </c>
      <c r="D231" s="4">
        <v>0</v>
      </c>
      <c r="E231" s="3" t="s">
        <v>7</v>
      </c>
      <c r="G231" s="3" t="s">
        <v>266</v>
      </c>
      <c r="H231" s="3" t="s">
        <v>49</v>
      </c>
      <c r="I231" s="5">
        <v>2.8693946711538073E-2</v>
      </c>
      <c r="J231" s="3" t="s">
        <v>7</v>
      </c>
      <c r="L231" s="3" t="s">
        <v>267</v>
      </c>
      <c r="M231" s="3" t="s">
        <v>49</v>
      </c>
      <c r="N231" s="5">
        <v>3.313463475536832E-2</v>
      </c>
      <c r="O231" s="3" t="s">
        <v>7</v>
      </c>
    </row>
    <row r="232" spans="2:15" x14ac:dyDescent="0.45">
      <c r="B232" s="6" t="s">
        <v>265</v>
      </c>
      <c r="C232" s="6" t="s">
        <v>50</v>
      </c>
      <c r="D232" s="7">
        <v>0</v>
      </c>
      <c r="E232" s="6" t="s">
        <v>7</v>
      </c>
      <c r="G232" s="6" t="s">
        <v>266</v>
      </c>
      <c r="H232" s="6" t="s">
        <v>50</v>
      </c>
      <c r="I232" s="8">
        <v>1.1680262861509498E-2</v>
      </c>
      <c r="J232" s="6" t="s">
        <v>7</v>
      </c>
      <c r="L232" s="6" t="s">
        <v>267</v>
      </c>
      <c r="M232" s="6" t="s">
        <v>50</v>
      </c>
      <c r="N232" s="8">
        <v>1.349220018437291E-2</v>
      </c>
      <c r="O232" s="6" t="s">
        <v>7</v>
      </c>
    </row>
    <row r="233" spans="2:15" x14ac:dyDescent="0.45">
      <c r="B233" s="3" t="s">
        <v>265</v>
      </c>
      <c r="C233" s="3" t="s">
        <v>51</v>
      </c>
      <c r="D233" s="4">
        <v>1.2259719707588752E-4</v>
      </c>
      <c r="E233" s="3" t="s">
        <v>7</v>
      </c>
      <c r="G233" s="3" t="s">
        <v>266</v>
      </c>
      <c r="H233" s="3" t="s">
        <v>51</v>
      </c>
      <c r="I233" s="5">
        <v>1.1976388216395155E-2</v>
      </c>
      <c r="J233" s="3" t="s">
        <v>7</v>
      </c>
      <c r="L233" s="3" t="s">
        <v>267</v>
      </c>
      <c r="M233" s="3" t="s">
        <v>51</v>
      </c>
      <c r="N233" s="5">
        <v>1.3862144468316299E-2</v>
      </c>
      <c r="O233" s="3" t="s">
        <v>7</v>
      </c>
    </row>
    <row r="234" spans="2:15" x14ac:dyDescent="0.45">
      <c r="B234" s="6" t="s">
        <v>265</v>
      </c>
      <c r="C234" s="6" t="s">
        <v>52</v>
      </c>
      <c r="D234" s="7">
        <v>1.0090014726595407E-2</v>
      </c>
      <c r="E234" s="6" t="s">
        <v>7</v>
      </c>
      <c r="G234" s="6" t="s">
        <v>266</v>
      </c>
      <c r="H234" s="6" t="s">
        <v>52</v>
      </c>
      <c r="I234" s="8">
        <v>1.2891210851765983E-2</v>
      </c>
      <c r="J234" s="6" t="s">
        <v>7</v>
      </c>
      <c r="L234" s="6" t="s">
        <v>267</v>
      </c>
      <c r="M234" s="6" t="s">
        <v>52</v>
      </c>
      <c r="N234" s="8">
        <v>1.3845960643882523E-2</v>
      </c>
      <c r="O234" s="6" t="s">
        <v>7</v>
      </c>
    </row>
    <row r="235" spans="2:15" x14ac:dyDescent="0.45">
      <c r="B235" s="3" t="s">
        <v>265</v>
      </c>
      <c r="C235" s="3" t="s">
        <v>53</v>
      </c>
      <c r="D235" s="4">
        <v>3.0952534386379831E-2</v>
      </c>
      <c r="E235" s="3" t="s">
        <v>7</v>
      </c>
      <c r="G235" s="3" t="s">
        <v>266</v>
      </c>
      <c r="H235" s="3" t="s">
        <v>53</v>
      </c>
      <c r="I235" s="5">
        <v>1.4525288483314263E-2</v>
      </c>
      <c r="J235" s="3" t="s">
        <v>7</v>
      </c>
      <c r="L235" s="3" t="s">
        <v>267</v>
      </c>
      <c r="M235" s="3" t="s">
        <v>53</v>
      </c>
      <c r="N235" s="5">
        <v>1.4209613971979913E-2</v>
      </c>
      <c r="O235" s="3" t="s">
        <v>7</v>
      </c>
    </row>
    <row r="236" spans="2:15" x14ac:dyDescent="0.45">
      <c r="B236" s="6" t="s">
        <v>265</v>
      </c>
      <c r="C236" s="6" t="s">
        <v>54</v>
      </c>
      <c r="D236" s="7">
        <v>3.930737185509274E-2</v>
      </c>
      <c r="E236" s="6" t="s">
        <v>7</v>
      </c>
      <c r="G236" s="6" t="s">
        <v>266</v>
      </c>
      <c r="H236" s="6" t="s">
        <v>54</v>
      </c>
      <c r="I236" s="8">
        <v>1.5218145900529079E-2</v>
      </c>
      <c r="J236" s="6" t="s">
        <v>7</v>
      </c>
      <c r="L236" s="6" t="s">
        <v>267</v>
      </c>
      <c r="M236" s="6" t="s">
        <v>54</v>
      </c>
      <c r="N236" s="8">
        <v>1.4451048921485134E-2</v>
      </c>
      <c r="O236" s="6" t="s">
        <v>7</v>
      </c>
    </row>
    <row r="237" spans="2:15" x14ac:dyDescent="0.45">
      <c r="B237" s="3" t="s">
        <v>265</v>
      </c>
      <c r="C237" s="3" t="s">
        <v>55</v>
      </c>
      <c r="D237" s="4">
        <v>3.4747691102846583E-2</v>
      </c>
      <c r="E237" s="3" t="s">
        <v>7</v>
      </c>
      <c r="G237" s="3" t="s">
        <v>266</v>
      </c>
      <c r="H237" s="3" t="s">
        <v>55</v>
      </c>
      <c r="I237" s="5">
        <v>1.4439056734512018E-2</v>
      </c>
      <c r="J237" s="3" t="s">
        <v>7</v>
      </c>
      <c r="L237" s="3" t="s">
        <v>267</v>
      </c>
      <c r="M237" s="3" t="s">
        <v>55</v>
      </c>
      <c r="N237" s="5">
        <v>1.4340735558540792E-2</v>
      </c>
      <c r="O237" s="3" t="s">
        <v>7</v>
      </c>
    </row>
    <row r="238" spans="2:15" x14ac:dyDescent="0.45">
      <c r="B238" s="6" t="s">
        <v>265</v>
      </c>
      <c r="C238" s="6" t="s">
        <v>56</v>
      </c>
      <c r="D238" s="7">
        <v>1.8299629528555388E-2</v>
      </c>
      <c r="E238" s="6" t="s">
        <v>7</v>
      </c>
      <c r="G238" s="6" t="s">
        <v>266</v>
      </c>
      <c r="H238" s="6" t="s">
        <v>56</v>
      </c>
      <c r="I238" s="8">
        <v>1.3600553279644769E-2</v>
      </c>
      <c r="J238" s="6" t="s">
        <v>7</v>
      </c>
      <c r="L238" s="6" t="s">
        <v>267</v>
      </c>
      <c r="M238" s="6" t="s">
        <v>56</v>
      </c>
      <c r="N238" s="8">
        <v>1.3873846591520165E-2</v>
      </c>
      <c r="O238" s="6" t="s">
        <v>7</v>
      </c>
    </row>
    <row r="239" spans="2:15" x14ac:dyDescent="0.45">
      <c r="B239" s="3" t="s">
        <v>265</v>
      </c>
      <c r="C239" s="3" t="s">
        <v>57</v>
      </c>
      <c r="D239" s="4">
        <v>2.2191669317277395E-3</v>
      </c>
      <c r="E239" s="3" t="s">
        <v>7</v>
      </c>
      <c r="G239" s="3" t="s">
        <v>266</v>
      </c>
      <c r="H239" s="3" t="s">
        <v>57</v>
      </c>
      <c r="I239" s="5">
        <v>1.2241206845435166E-2</v>
      </c>
      <c r="J239" s="3" t="s">
        <v>7</v>
      </c>
      <c r="L239" s="3" t="s">
        <v>267</v>
      </c>
      <c r="M239" s="3" t="s">
        <v>57</v>
      </c>
      <c r="N239" s="5">
        <v>1.3071890997614006E-2</v>
      </c>
      <c r="O239" s="3" t="s">
        <v>7</v>
      </c>
    </row>
    <row r="240" spans="2:15" x14ac:dyDescent="0.45">
      <c r="B240" s="6" t="s">
        <v>265</v>
      </c>
      <c r="C240" s="6" t="s">
        <v>58</v>
      </c>
      <c r="D240" s="7">
        <v>0</v>
      </c>
      <c r="E240" s="6" t="s">
        <v>7</v>
      </c>
      <c r="G240" s="6" t="s">
        <v>266</v>
      </c>
      <c r="H240" s="6" t="s">
        <v>58</v>
      </c>
      <c r="I240" s="8">
        <v>1.7560641644530525E-2</v>
      </c>
      <c r="J240" s="6" t="s">
        <v>7</v>
      </c>
      <c r="L240" s="6" t="s">
        <v>267</v>
      </c>
      <c r="M240" s="6" t="s">
        <v>58</v>
      </c>
      <c r="N240" s="8">
        <v>1.8991707022052787E-2</v>
      </c>
      <c r="O240" s="6" t="s">
        <v>7</v>
      </c>
    </row>
    <row r="241" spans="2:15" x14ac:dyDescent="0.45">
      <c r="B241" s="3" t="s">
        <v>265</v>
      </c>
      <c r="C241" s="3" t="s">
        <v>59</v>
      </c>
      <c r="D241" s="4">
        <v>0</v>
      </c>
      <c r="E241" s="3" t="s">
        <v>7</v>
      </c>
      <c r="G241" s="3" t="s">
        <v>266</v>
      </c>
      <c r="H241" s="3" t="s">
        <v>59</v>
      </c>
      <c r="I241" s="5">
        <v>4.1991058652506089E-2</v>
      </c>
      <c r="J241" s="3" t="s">
        <v>7</v>
      </c>
      <c r="L241" s="3" t="s">
        <v>267</v>
      </c>
      <c r="M241" s="3" t="s">
        <v>59</v>
      </c>
      <c r="N241" s="5">
        <v>3.5709643414123214E-2</v>
      </c>
      <c r="O241" s="3" t="s">
        <v>7</v>
      </c>
    </row>
    <row r="242" spans="2:15" x14ac:dyDescent="0.45">
      <c r="B242" s="6" t="s">
        <v>265</v>
      </c>
      <c r="C242" s="6" t="s">
        <v>60</v>
      </c>
      <c r="D242" s="7">
        <v>0</v>
      </c>
      <c r="E242" s="6" t="s">
        <v>7</v>
      </c>
      <c r="G242" s="6" t="s">
        <v>266</v>
      </c>
      <c r="H242" s="6" t="s">
        <v>60</v>
      </c>
      <c r="I242" s="8">
        <v>1.7092848099846392E-2</v>
      </c>
      <c r="J242" s="6" t="s">
        <v>7</v>
      </c>
      <c r="L242" s="6" t="s">
        <v>267</v>
      </c>
      <c r="M242" s="6" t="s">
        <v>60</v>
      </c>
      <c r="N242" s="8">
        <v>1.4738471752220855E-2</v>
      </c>
      <c r="O242" s="6" t="s">
        <v>7</v>
      </c>
    </row>
    <row r="243" spans="2:15" x14ac:dyDescent="0.45">
      <c r="B243" s="3" t="s">
        <v>265</v>
      </c>
      <c r="C243" s="3" t="s">
        <v>61</v>
      </c>
      <c r="D243" s="4">
        <v>0</v>
      </c>
      <c r="E243" s="3" t="s">
        <v>7</v>
      </c>
      <c r="G243" s="3" t="s">
        <v>266</v>
      </c>
      <c r="H243" s="3" t="s">
        <v>61</v>
      </c>
      <c r="I243" s="5">
        <v>1.7426947236880399E-2</v>
      </c>
      <c r="J243" s="3" t="s">
        <v>7</v>
      </c>
      <c r="L243" s="3" t="s">
        <v>267</v>
      </c>
      <c r="M243" s="3" t="s">
        <v>61</v>
      </c>
      <c r="N243" s="5">
        <v>1.5063580426731749E-2</v>
      </c>
      <c r="O243" s="3" t="s">
        <v>7</v>
      </c>
    </row>
    <row r="244" spans="2:15" x14ac:dyDescent="0.45">
      <c r="B244" s="6" t="s">
        <v>265</v>
      </c>
      <c r="C244" s="6" t="s">
        <v>62</v>
      </c>
      <c r="D244" s="7">
        <v>1.7913117666852978E-3</v>
      </c>
      <c r="E244" s="6" t="s">
        <v>7</v>
      </c>
      <c r="G244" s="6" t="s">
        <v>266</v>
      </c>
      <c r="H244" s="6" t="s">
        <v>62</v>
      </c>
      <c r="I244" s="8">
        <v>1.7373679283893249E-2</v>
      </c>
      <c r="J244" s="6" t="s">
        <v>7</v>
      </c>
      <c r="L244" s="6" t="s">
        <v>267</v>
      </c>
      <c r="M244" s="6" t="s">
        <v>62</v>
      </c>
      <c r="N244" s="8">
        <v>1.4639657686723836E-2</v>
      </c>
      <c r="O244" s="6" t="s">
        <v>7</v>
      </c>
    </row>
    <row r="245" spans="2:15" x14ac:dyDescent="0.45">
      <c r="B245" s="3" t="s">
        <v>265</v>
      </c>
      <c r="C245" s="3" t="s">
        <v>63</v>
      </c>
      <c r="D245" s="4">
        <v>1.8869798581888177E-2</v>
      </c>
      <c r="E245" s="3" t="s">
        <v>7</v>
      </c>
      <c r="G245" s="3" t="s">
        <v>266</v>
      </c>
      <c r="H245" s="3" t="s">
        <v>63</v>
      </c>
      <c r="I245" s="5">
        <v>1.7189777080904144E-2</v>
      </c>
      <c r="J245" s="3" t="s">
        <v>7</v>
      </c>
      <c r="L245" s="3" t="s">
        <v>267</v>
      </c>
      <c r="M245" s="3" t="s">
        <v>63</v>
      </c>
      <c r="N245" s="5">
        <v>1.4829431325042428E-2</v>
      </c>
      <c r="O245" s="3" t="s">
        <v>7</v>
      </c>
    </row>
    <row r="246" spans="2:15" x14ac:dyDescent="0.45">
      <c r="B246" s="6" t="s">
        <v>265</v>
      </c>
      <c r="C246" s="6" t="s">
        <v>64</v>
      </c>
      <c r="D246" s="7">
        <v>2.9839509226175856E-2</v>
      </c>
      <c r="E246" s="6" t="s">
        <v>7</v>
      </c>
      <c r="G246" s="6" t="s">
        <v>266</v>
      </c>
      <c r="H246" s="6" t="s">
        <v>64</v>
      </c>
      <c r="I246" s="8">
        <v>1.7845272876992165E-2</v>
      </c>
      <c r="J246" s="6" t="s">
        <v>7</v>
      </c>
      <c r="L246" s="6" t="s">
        <v>267</v>
      </c>
      <c r="M246" s="6" t="s">
        <v>64</v>
      </c>
      <c r="N246" s="8">
        <v>1.5248263725968604E-2</v>
      </c>
      <c r="O246" s="6" t="s">
        <v>7</v>
      </c>
    </row>
    <row r="247" spans="2:15" x14ac:dyDescent="0.45">
      <c r="B247" s="3" t="s">
        <v>265</v>
      </c>
      <c r="C247" s="3" t="s">
        <v>65</v>
      </c>
      <c r="D247" s="4">
        <v>2.1675530942543236E-2</v>
      </c>
      <c r="E247" s="3" t="s">
        <v>7</v>
      </c>
      <c r="G247" s="3" t="s">
        <v>266</v>
      </c>
      <c r="H247" s="3" t="s">
        <v>65</v>
      </c>
      <c r="I247" s="5">
        <v>1.8020552943455E-2</v>
      </c>
      <c r="J247" s="3" t="s">
        <v>7</v>
      </c>
      <c r="L247" s="3" t="s">
        <v>267</v>
      </c>
      <c r="M247" s="3" t="s">
        <v>65</v>
      </c>
      <c r="N247" s="5">
        <v>1.5730872074513961E-2</v>
      </c>
      <c r="O247" s="3" t="s">
        <v>7</v>
      </c>
    </row>
    <row r="248" spans="2:15" x14ac:dyDescent="0.45">
      <c r="B248" s="6" t="s">
        <v>265</v>
      </c>
      <c r="C248" s="6" t="s">
        <v>66</v>
      </c>
      <c r="D248" s="7">
        <v>5.0431712053599581E-3</v>
      </c>
      <c r="E248" s="6" t="s">
        <v>7</v>
      </c>
      <c r="G248" s="6" t="s">
        <v>266</v>
      </c>
      <c r="H248" s="6" t="s">
        <v>66</v>
      </c>
      <c r="I248" s="8">
        <v>1.7658301598103329E-2</v>
      </c>
      <c r="J248" s="6" t="s">
        <v>7</v>
      </c>
      <c r="L248" s="6" t="s">
        <v>267</v>
      </c>
      <c r="M248" s="6" t="s">
        <v>66</v>
      </c>
      <c r="N248" s="8">
        <v>1.5750888079724308E-2</v>
      </c>
      <c r="O248" s="6" t="s">
        <v>7</v>
      </c>
    </row>
    <row r="249" spans="2:15" x14ac:dyDescent="0.45">
      <c r="B249" s="3" t="s">
        <v>265</v>
      </c>
      <c r="C249" s="3" t="s">
        <v>67</v>
      </c>
      <c r="D249" s="4">
        <v>0</v>
      </c>
      <c r="E249" s="3" t="s">
        <v>7</v>
      </c>
      <c r="G249" s="3" t="s">
        <v>266</v>
      </c>
      <c r="H249" s="3" t="s">
        <v>67</v>
      </c>
      <c r="I249" s="5">
        <v>1.7756717593633363E-2</v>
      </c>
      <c r="J249" s="3" t="s">
        <v>7</v>
      </c>
      <c r="L249" s="3" t="s">
        <v>267</v>
      </c>
      <c r="M249" s="3" t="s">
        <v>67</v>
      </c>
      <c r="N249" s="5">
        <v>1.5588631688607643E-2</v>
      </c>
      <c r="O249" s="3" t="s">
        <v>7</v>
      </c>
    </row>
    <row r="250" spans="2:15" x14ac:dyDescent="0.45">
      <c r="B250" s="6" t="s">
        <v>265</v>
      </c>
      <c r="C250" s="6" t="s">
        <v>68</v>
      </c>
      <c r="D250" s="7">
        <v>0</v>
      </c>
      <c r="E250" s="6" t="s">
        <v>7</v>
      </c>
      <c r="G250" s="6" t="s">
        <v>266</v>
      </c>
      <c r="H250" s="6" t="s">
        <v>68</v>
      </c>
      <c r="I250" s="8">
        <v>2.6965708931775453E-2</v>
      </c>
      <c r="J250" s="6" t="s">
        <v>7</v>
      </c>
      <c r="L250" s="6" t="s">
        <v>267</v>
      </c>
      <c r="M250" s="6" t="s">
        <v>68</v>
      </c>
      <c r="N250" s="8">
        <v>2.2588125197334372E-2</v>
      </c>
      <c r="O250" s="6" t="s">
        <v>7</v>
      </c>
    </row>
    <row r="251" spans="2:15" x14ac:dyDescent="0.45">
      <c r="B251" s="3" t="s">
        <v>268</v>
      </c>
      <c r="C251" s="3" t="s">
        <v>6</v>
      </c>
      <c r="D251" s="4">
        <v>0</v>
      </c>
      <c r="E251" s="3" t="s">
        <v>7</v>
      </c>
      <c r="G251" s="3" t="s">
        <v>269</v>
      </c>
      <c r="H251" s="3" t="s">
        <v>6</v>
      </c>
      <c r="I251" s="5">
        <v>3.8485626681235667E-2</v>
      </c>
      <c r="J251" s="3" t="s">
        <v>7</v>
      </c>
      <c r="L251" s="3" t="s">
        <v>270</v>
      </c>
      <c r="M251" s="3" t="s">
        <v>6</v>
      </c>
      <c r="N251" s="5">
        <v>3.817590536062232E-2</v>
      </c>
      <c r="O251" s="3" t="s">
        <v>7</v>
      </c>
    </row>
    <row r="252" spans="2:15" x14ac:dyDescent="0.45">
      <c r="B252" s="6" t="s">
        <v>268</v>
      </c>
      <c r="C252" s="6" t="s">
        <v>10</v>
      </c>
      <c r="D252" s="7">
        <v>0</v>
      </c>
      <c r="E252" s="6" t="s">
        <v>7</v>
      </c>
      <c r="G252" s="6" t="s">
        <v>269</v>
      </c>
      <c r="H252" s="6" t="s">
        <v>10</v>
      </c>
      <c r="I252" s="8">
        <v>1.4678682791802131E-2</v>
      </c>
      <c r="J252" s="6" t="s">
        <v>7</v>
      </c>
      <c r="L252" s="6" t="s">
        <v>270</v>
      </c>
      <c r="M252" s="6" t="s">
        <v>10</v>
      </c>
      <c r="N252" s="8">
        <v>1.5440841250705491E-2</v>
      </c>
      <c r="O252" s="6" t="s">
        <v>7</v>
      </c>
    </row>
    <row r="253" spans="2:15" x14ac:dyDescent="0.45">
      <c r="B253" s="3" t="s">
        <v>268</v>
      </c>
      <c r="C253" s="3" t="s">
        <v>11</v>
      </c>
      <c r="D253" s="4">
        <v>0</v>
      </c>
      <c r="E253" s="3" t="s">
        <v>7</v>
      </c>
      <c r="G253" s="3" t="s">
        <v>269</v>
      </c>
      <c r="H253" s="3" t="s">
        <v>11</v>
      </c>
      <c r="I253" s="5">
        <v>1.4517962798047471E-2</v>
      </c>
      <c r="J253" s="3" t="s">
        <v>7</v>
      </c>
      <c r="L253" s="3" t="s">
        <v>270</v>
      </c>
      <c r="M253" s="3" t="s">
        <v>11</v>
      </c>
      <c r="N253" s="5">
        <v>1.5801371748988654E-2</v>
      </c>
      <c r="O253" s="3" t="s">
        <v>7</v>
      </c>
    </row>
    <row r="254" spans="2:15" x14ac:dyDescent="0.45">
      <c r="B254" s="6" t="s">
        <v>268</v>
      </c>
      <c r="C254" s="6" t="s">
        <v>12</v>
      </c>
      <c r="D254" s="7">
        <v>1.5102861408903484E-3</v>
      </c>
      <c r="E254" s="6" t="s">
        <v>7</v>
      </c>
      <c r="G254" s="6" t="s">
        <v>269</v>
      </c>
      <c r="H254" s="6" t="s">
        <v>12</v>
      </c>
      <c r="I254" s="8">
        <v>1.4991522173506414E-2</v>
      </c>
      <c r="J254" s="6" t="s">
        <v>7</v>
      </c>
      <c r="L254" s="6" t="s">
        <v>270</v>
      </c>
      <c r="M254" s="6" t="s">
        <v>12</v>
      </c>
      <c r="N254" s="8">
        <v>1.6207542605300228E-2</v>
      </c>
      <c r="O254" s="6" t="s">
        <v>7</v>
      </c>
    </row>
    <row r="255" spans="2:15" x14ac:dyDescent="0.45">
      <c r="B255" s="3" t="s">
        <v>268</v>
      </c>
      <c r="C255" s="3" t="s">
        <v>13</v>
      </c>
      <c r="D255" s="4">
        <v>1.6796556545813111E-2</v>
      </c>
      <c r="E255" s="3" t="s">
        <v>7</v>
      </c>
      <c r="G255" s="3" t="s">
        <v>269</v>
      </c>
      <c r="H255" s="3" t="s">
        <v>13</v>
      </c>
      <c r="I255" s="5">
        <v>1.5554991071567341E-2</v>
      </c>
      <c r="J255" s="3" t="s">
        <v>7</v>
      </c>
      <c r="L255" s="3" t="s">
        <v>270</v>
      </c>
      <c r="M255" s="3" t="s">
        <v>13</v>
      </c>
      <c r="N255" s="5">
        <v>1.6034079737113884E-2</v>
      </c>
      <c r="O255" s="3" t="s">
        <v>7</v>
      </c>
    </row>
    <row r="256" spans="2:15" x14ac:dyDescent="0.45">
      <c r="B256" s="6" t="s">
        <v>268</v>
      </c>
      <c r="C256" s="6" t="s">
        <v>14</v>
      </c>
      <c r="D256" s="7">
        <v>3.088466396519092E-2</v>
      </c>
      <c r="E256" s="6" t="s">
        <v>7</v>
      </c>
      <c r="G256" s="6" t="s">
        <v>269</v>
      </c>
      <c r="H256" s="6" t="s">
        <v>14</v>
      </c>
      <c r="I256" s="8">
        <v>1.625122665477326E-2</v>
      </c>
      <c r="J256" s="6" t="s">
        <v>7</v>
      </c>
      <c r="L256" s="6" t="s">
        <v>270</v>
      </c>
      <c r="M256" s="6" t="s">
        <v>14</v>
      </c>
      <c r="N256" s="8">
        <v>1.5957000118801662E-2</v>
      </c>
      <c r="O256" s="6" t="s">
        <v>7</v>
      </c>
    </row>
    <row r="257" spans="2:15" x14ac:dyDescent="0.45">
      <c r="B257" s="3" t="s">
        <v>268</v>
      </c>
      <c r="C257" s="3" t="s">
        <v>15</v>
      </c>
      <c r="D257" s="4">
        <v>2.9031246036470157E-2</v>
      </c>
      <c r="E257" s="3" t="s">
        <v>7</v>
      </c>
      <c r="G257" s="3" t="s">
        <v>269</v>
      </c>
      <c r="H257" s="3" t="s">
        <v>15</v>
      </c>
      <c r="I257" s="5">
        <v>1.5755510212062396E-2</v>
      </c>
      <c r="J257" s="3" t="s">
        <v>7</v>
      </c>
      <c r="L257" s="3" t="s">
        <v>270</v>
      </c>
      <c r="M257" s="3" t="s">
        <v>15</v>
      </c>
      <c r="N257" s="5">
        <v>1.5993709310307865E-2</v>
      </c>
      <c r="O257" s="3" t="s">
        <v>7</v>
      </c>
    </row>
    <row r="258" spans="2:15" x14ac:dyDescent="0.45">
      <c r="B258" s="6" t="s">
        <v>268</v>
      </c>
      <c r="C258" s="6" t="s">
        <v>16</v>
      </c>
      <c r="D258" s="7">
        <v>1.3620324929303117E-2</v>
      </c>
      <c r="E258" s="6" t="s">
        <v>7</v>
      </c>
      <c r="G258" s="6" t="s">
        <v>269</v>
      </c>
      <c r="H258" s="6" t="s">
        <v>16</v>
      </c>
      <c r="I258" s="8">
        <v>1.5186777061607792E-2</v>
      </c>
      <c r="J258" s="6" t="s">
        <v>7</v>
      </c>
      <c r="L258" s="6" t="s">
        <v>270</v>
      </c>
      <c r="M258" s="6" t="s">
        <v>16</v>
      </c>
      <c r="N258" s="8">
        <v>1.6026065765053405E-2</v>
      </c>
      <c r="O258" s="6" t="s">
        <v>7</v>
      </c>
    </row>
    <row r="259" spans="2:15" x14ac:dyDescent="0.45">
      <c r="B259" s="3" t="s">
        <v>268</v>
      </c>
      <c r="C259" s="3" t="s">
        <v>17</v>
      </c>
      <c r="D259" s="4">
        <v>6.9701947295533549E-4</v>
      </c>
      <c r="E259" s="3" t="s">
        <v>7</v>
      </c>
      <c r="G259" s="3" t="s">
        <v>269</v>
      </c>
      <c r="H259" s="3" t="s">
        <v>17</v>
      </c>
      <c r="I259" s="5">
        <v>1.5214026643814341E-2</v>
      </c>
      <c r="J259" s="3" t="s">
        <v>7</v>
      </c>
      <c r="L259" s="3" t="s">
        <v>270</v>
      </c>
      <c r="M259" s="3" t="s">
        <v>17</v>
      </c>
      <c r="N259" s="5">
        <v>1.570631017833039E-2</v>
      </c>
      <c r="O259" s="3" t="s">
        <v>7</v>
      </c>
    </row>
    <row r="260" spans="2:15" x14ac:dyDescent="0.45">
      <c r="B260" s="6" t="s">
        <v>268</v>
      </c>
      <c r="C260" s="6" t="s">
        <v>18</v>
      </c>
      <c r="D260" s="7">
        <v>0</v>
      </c>
      <c r="E260" s="6" t="s">
        <v>7</v>
      </c>
      <c r="G260" s="6" t="s">
        <v>269</v>
      </c>
      <c r="H260" s="6" t="s">
        <v>18</v>
      </c>
      <c r="I260" s="8">
        <v>2.3380709540634519E-2</v>
      </c>
      <c r="J260" s="6" t="s">
        <v>7</v>
      </c>
      <c r="L260" s="6" t="s">
        <v>270</v>
      </c>
      <c r="M260" s="6" t="s">
        <v>18</v>
      </c>
      <c r="N260" s="8">
        <v>2.3117391224817329E-2</v>
      </c>
      <c r="O260" s="6" t="s">
        <v>7</v>
      </c>
    </row>
    <row r="261" spans="2:15" x14ac:dyDescent="0.45">
      <c r="B261" s="3" t="s">
        <v>268</v>
      </c>
      <c r="C261" s="3" t="s">
        <v>19</v>
      </c>
      <c r="D261" s="4">
        <v>0</v>
      </c>
      <c r="E261" s="3" t="s">
        <v>7</v>
      </c>
      <c r="G261" s="3" t="s">
        <v>269</v>
      </c>
      <c r="H261" s="3" t="s">
        <v>19</v>
      </c>
      <c r="I261" s="5">
        <v>3.7742786201606399E-2</v>
      </c>
      <c r="J261" s="3" t="s">
        <v>7</v>
      </c>
      <c r="L261" s="3" t="s">
        <v>270</v>
      </c>
      <c r="M261" s="3" t="s">
        <v>19</v>
      </c>
      <c r="N261" s="5">
        <v>4.1925769402058229E-2</v>
      </c>
      <c r="O261" s="3" t="s">
        <v>7</v>
      </c>
    </row>
    <row r="262" spans="2:15" x14ac:dyDescent="0.45">
      <c r="B262" s="6" t="s">
        <v>268</v>
      </c>
      <c r="C262" s="6" t="s">
        <v>20</v>
      </c>
      <c r="D262" s="7">
        <v>0</v>
      </c>
      <c r="E262" s="6" t="s">
        <v>7</v>
      </c>
      <c r="G262" s="6" t="s">
        <v>269</v>
      </c>
      <c r="H262" s="6" t="s">
        <v>20</v>
      </c>
      <c r="I262" s="8">
        <v>1.5020940766628412E-2</v>
      </c>
      <c r="J262" s="6" t="s">
        <v>7</v>
      </c>
      <c r="L262" s="6" t="s">
        <v>270</v>
      </c>
      <c r="M262" s="6" t="s">
        <v>20</v>
      </c>
      <c r="N262" s="8">
        <v>1.6816332044747553E-2</v>
      </c>
      <c r="O262" s="6" t="s">
        <v>7</v>
      </c>
    </row>
    <row r="263" spans="2:15" x14ac:dyDescent="0.45">
      <c r="B263" s="3" t="s">
        <v>268</v>
      </c>
      <c r="C263" s="3" t="s">
        <v>21</v>
      </c>
      <c r="D263" s="4">
        <v>6.6092986696369017E-4</v>
      </c>
      <c r="E263" s="3" t="s">
        <v>7</v>
      </c>
      <c r="G263" s="3" t="s">
        <v>269</v>
      </c>
      <c r="H263" s="3" t="s">
        <v>21</v>
      </c>
      <c r="I263" s="5">
        <v>1.5052432098857682E-2</v>
      </c>
      <c r="J263" s="3" t="s">
        <v>7</v>
      </c>
      <c r="L263" s="3" t="s">
        <v>270</v>
      </c>
      <c r="M263" s="3" t="s">
        <v>21</v>
      </c>
      <c r="N263" s="5">
        <v>1.6709259884380268E-2</v>
      </c>
      <c r="O263" s="3" t="s">
        <v>7</v>
      </c>
    </row>
    <row r="264" spans="2:15" x14ac:dyDescent="0.45">
      <c r="B264" s="6" t="s">
        <v>268</v>
      </c>
      <c r="C264" s="6" t="s">
        <v>22</v>
      </c>
      <c r="D264" s="7">
        <v>1.861139702177406E-2</v>
      </c>
      <c r="E264" s="6" t="s">
        <v>7</v>
      </c>
      <c r="G264" s="6" t="s">
        <v>269</v>
      </c>
      <c r="H264" s="6" t="s">
        <v>22</v>
      </c>
      <c r="I264" s="8">
        <v>1.5414667587509775E-2</v>
      </c>
      <c r="J264" s="6" t="s">
        <v>7</v>
      </c>
      <c r="L264" s="6" t="s">
        <v>270</v>
      </c>
      <c r="M264" s="6" t="s">
        <v>22</v>
      </c>
      <c r="N264" s="8">
        <v>1.6125894405601953E-2</v>
      </c>
      <c r="O264" s="6" t="s">
        <v>7</v>
      </c>
    </row>
    <row r="265" spans="2:15" x14ac:dyDescent="0.45">
      <c r="B265" s="3" t="s">
        <v>268</v>
      </c>
      <c r="C265" s="3" t="s">
        <v>23</v>
      </c>
      <c r="D265" s="4">
        <v>4.5728537571050921E-2</v>
      </c>
      <c r="E265" s="3" t="s">
        <v>7</v>
      </c>
      <c r="G265" s="3" t="s">
        <v>269</v>
      </c>
      <c r="H265" s="3" t="s">
        <v>23</v>
      </c>
      <c r="I265" s="5">
        <v>1.6893168431976184E-2</v>
      </c>
      <c r="J265" s="3" t="s">
        <v>7</v>
      </c>
      <c r="L265" s="3" t="s">
        <v>270</v>
      </c>
      <c r="M265" s="3" t="s">
        <v>23</v>
      </c>
      <c r="N265" s="5">
        <v>1.5605833537407214E-2</v>
      </c>
      <c r="O265" s="3" t="s">
        <v>7</v>
      </c>
    </row>
    <row r="266" spans="2:15" x14ac:dyDescent="0.45">
      <c r="B266" s="6" t="s">
        <v>268</v>
      </c>
      <c r="C266" s="6" t="s">
        <v>24</v>
      </c>
      <c r="D266" s="7">
        <v>5.6152152828286082E-2</v>
      </c>
      <c r="E266" s="6" t="s">
        <v>7</v>
      </c>
      <c r="G266" s="6" t="s">
        <v>269</v>
      </c>
      <c r="H266" s="6" t="s">
        <v>24</v>
      </c>
      <c r="I266" s="8">
        <v>1.7231508456091053E-2</v>
      </c>
      <c r="J266" s="6" t="s">
        <v>7</v>
      </c>
      <c r="L266" s="6" t="s">
        <v>270</v>
      </c>
      <c r="M266" s="6" t="s">
        <v>24</v>
      </c>
      <c r="N266" s="8">
        <v>1.5189780423465351E-2</v>
      </c>
      <c r="O266" s="6" t="s">
        <v>7</v>
      </c>
    </row>
    <row r="267" spans="2:15" x14ac:dyDescent="0.45">
      <c r="B267" s="3" t="s">
        <v>268</v>
      </c>
      <c r="C267" s="3" t="s">
        <v>25</v>
      </c>
      <c r="D267" s="4">
        <v>5.2016036920419284E-2</v>
      </c>
      <c r="E267" s="3" t="s">
        <v>7</v>
      </c>
      <c r="G267" s="3" t="s">
        <v>269</v>
      </c>
      <c r="H267" s="3" t="s">
        <v>25</v>
      </c>
      <c r="I267" s="5">
        <v>1.7073602915154411E-2</v>
      </c>
      <c r="J267" s="3" t="s">
        <v>7</v>
      </c>
      <c r="L267" s="3" t="s">
        <v>270</v>
      </c>
      <c r="M267" s="3" t="s">
        <v>25</v>
      </c>
      <c r="N267" s="5">
        <v>1.5186760403071646E-2</v>
      </c>
      <c r="O267" s="3" t="s">
        <v>7</v>
      </c>
    </row>
    <row r="268" spans="2:15" x14ac:dyDescent="0.45">
      <c r="B268" s="6" t="s">
        <v>268</v>
      </c>
      <c r="C268" s="6" t="s">
        <v>26</v>
      </c>
      <c r="D268" s="7">
        <v>3.3506208074382184E-2</v>
      </c>
      <c r="E268" s="6" t="s">
        <v>7</v>
      </c>
      <c r="G268" s="6" t="s">
        <v>269</v>
      </c>
      <c r="H268" s="6" t="s">
        <v>26</v>
      </c>
      <c r="I268" s="8">
        <v>1.6746679514083589E-2</v>
      </c>
      <c r="J268" s="6" t="s">
        <v>7</v>
      </c>
      <c r="L268" s="6" t="s">
        <v>270</v>
      </c>
      <c r="M268" s="6" t="s">
        <v>26</v>
      </c>
      <c r="N268" s="8">
        <v>1.5627596255570614E-2</v>
      </c>
      <c r="O268" s="6" t="s">
        <v>7</v>
      </c>
    </row>
    <row r="269" spans="2:15" x14ac:dyDescent="0.45">
      <c r="B269" s="3" t="s">
        <v>268</v>
      </c>
      <c r="C269" s="3" t="s">
        <v>27</v>
      </c>
      <c r="D269" s="4">
        <v>7.9591826663675171E-3</v>
      </c>
      <c r="E269" s="3" t="s">
        <v>7</v>
      </c>
      <c r="G269" s="3" t="s">
        <v>269</v>
      </c>
      <c r="H269" s="3" t="s">
        <v>27</v>
      </c>
      <c r="I269" s="5">
        <v>1.5695151449773018E-2</v>
      </c>
      <c r="J269" s="3" t="s">
        <v>7</v>
      </c>
      <c r="L269" s="3" t="s">
        <v>270</v>
      </c>
      <c r="M269" s="3" t="s">
        <v>27</v>
      </c>
      <c r="N269" s="5">
        <v>1.6270391711190334E-2</v>
      </c>
      <c r="O269" s="3" t="s">
        <v>7</v>
      </c>
    </row>
    <row r="270" spans="2:15" x14ac:dyDescent="0.45">
      <c r="B270" s="6" t="s">
        <v>268</v>
      </c>
      <c r="C270" s="6" t="s">
        <v>28</v>
      </c>
      <c r="D270" s="7">
        <v>3.1336899331147814E-5</v>
      </c>
      <c r="E270" s="6" t="s">
        <v>7</v>
      </c>
      <c r="G270" s="6" t="s">
        <v>269</v>
      </c>
      <c r="H270" s="6" t="s">
        <v>28</v>
      </c>
      <c r="I270" s="8">
        <v>2.2983166070714437E-2</v>
      </c>
      <c r="J270" s="6" t="s">
        <v>7</v>
      </c>
      <c r="L270" s="6" t="s">
        <v>270</v>
      </c>
      <c r="M270" s="6" t="s">
        <v>28</v>
      </c>
      <c r="N270" s="8">
        <v>2.4873168505836638E-2</v>
      </c>
      <c r="O270" s="6" t="s">
        <v>7</v>
      </c>
    </row>
    <row r="271" spans="2:15" x14ac:dyDescent="0.45">
      <c r="B271" s="3" t="s">
        <v>268</v>
      </c>
      <c r="C271" s="3" t="s">
        <v>29</v>
      </c>
      <c r="D271" s="4">
        <v>0</v>
      </c>
      <c r="E271" s="3" t="s">
        <v>7</v>
      </c>
      <c r="G271" s="3" t="s">
        <v>269</v>
      </c>
      <c r="H271" s="3" t="s">
        <v>29</v>
      </c>
      <c r="I271" s="5">
        <v>2.7219167740944551E-2</v>
      </c>
      <c r="J271" s="3" t="s">
        <v>7</v>
      </c>
      <c r="L271" s="3" t="s">
        <v>270</v>
      </c>
      <c r="M271" s="3" t="s">
        <v>29</v>
      </c>
      <c r="N271" s="5">
        <v>3.4859085962095963E-2</v>
      </c>
      <c r="O271" s="3" t="s">
        <v>7</v>
      </c>
    </row>
    <row r="272" spans="2:15" x14ac:dyDescent="0.45">
      <c r="B272" s="6" t="s">
        <v>268</v>
      </c>
      <c r="C272" s="6" t="s">
        <v>30</v>
      </c>
      <c r="D272" s="7">
        <v>4.9046770577310725E-5</v>
      </c>
      <c r="E272" s="6" t="s">
        <v>7</v>
      </c>
      <c r="G272" s="6" t="s">
        <v>269</v>
      </c>
      <c r="H272" s="6" t="s">
        <v>30</v>
      </c>
      <c r="I272" s="8">
        <v>1.1519679166891559E-2</v>
      </c>
      <c r="J272" s="6" t="s">
        <v>7</v>
      </c>
      <c r="L272" s="6" t="s">
        <v>270</v>
      </c>
      <c r="M272" s="6" t="s">
        <v>30</v>
      </c>
      <c r="N272" s="8">
        <v>1.3455123832276648E-2</v>
      </c>
      <c r="O272" s="6" t="s">
        <v>7</v>
      </c>
    </row>
    <row r="273" spans="2:15" x14ac:dyDescent="0.45">
      <c r="B273" s="3" t="s">
        <v>268</v>
      </c>
      <c r="C273" s="3" t="s">
        <v>31</v>
      </c>
      <c r="D273" s="4">
        <v>4.7975749756078928E-3</v>
      </c>
      <c r="E273" s="3" t="s">
        <v>7</v>
      </c>
      <c r="G273" s="3" t="s">
        <v>269</v>
      </c>
      <c r="H273" s="3" t="s">
        <v>31</v>
      </c>
      <c r="I273" s="5">
        <v>1.1495310001894229E-2</v>
      </c>
      <c r="J273" s="3" t="s">
        <v>7</v>
      </c>
      <c r="L273" s="3" t="s">
        <v>270</v>
      </c>
      <c r="M273" s="3" t="s">
        <v>31</v>
      </c>
      <c r="N273" s="5">
        <v>1.3154251437375886E-2</v>
      </c>
      <c r="O273" s="3" t="s">
        <v>7</v>
      </c>
    </row>
    <row r="274" spans="2:15" x14ac:dyDescent="0.45">
      <c r="B274" s="6" t="s">
        <v>268</v>
      </c>
      <c r="C274" s="6" t="s">
        <v>32</v>
      </c>
      <c r="D274" s="7">
        <v>2.53112797970237E-2</v>
      </c>
      <c r="E274" s="6" t="s">
        <v>7</v>
      </c>
      <c r="G274" s="6" t="s">
        <v>269</v>
      </c>
      <c r="H274" s="6" t="s">
        <v>32</v>
      </c>
      <c r="I274" s="8">
        <v>1.2271221910191268E-2</v>
      </c>
      <c r="J274" s="6" t="s">
        <v>7</v>
      </c>
      <c r="L274" s="6" t="s">
        <v>270</v>
      </c>
      <c r="M274" s="6" t="s">
        <v>32</v>
      </c>
      <c r="N274" s="8">
        <v>1.2533209067517171E-2</v>
      </c>
      <c r="O274" s="6" t="s">
        <v>7</v>
      </c>
    </row>
    <row r="275" spans="2:15" x14ac:dyDescent="0.45">
      <c r="B275" s="3" t="s">
        <v>268</v>
      </c>
      <c r="C275" s="3" t="s">
        <v>33</v>
      </c>
      <c r="D275" s="4">
        <v>4.6893437949482322E-2</v>
      </c>
      <c r="E275" s="3" t="s">
        <v>7</v>
      </c>
      <c r="G275" s="3" t="s">
        <v>269</v>
      </c>
      <c r="H275" s="3" t="s">
        <v>33</v>
      </c>
      <c r="I275" s="5">
        <v>1.2856356776767875E-2</v>
      </c>
      <c r="J275" s="3" t="s">
        <v>7</v>
      </c>
      <c r="L275" s="3" t="s">
        <v>270</v>
      </c>
      <c r="M275" s="3" t="s">
        <v>33</v>
      </c>
      <c r="N275" s="5">
        <v>1.2952403407383987E-2</v>
      </c>
      <c r="O275" s="3" t="s">
        <v>7</v>
      </c>
    </row>
    <row r="276" spans="2:15" x14ac:dyDescent="0.45">
      <c r="B276" s="6" t="s">
        <v>268</v>
      </c>
      <c r="C276" s="6" t="s">
        <v>34</v>
      </c>
      <c r="D276" s="7">
        <v>5.7985518134244074E-2</v>
      </c>
      <c r="E276" s="6" t="s">
        <v>7</v>
      </c>
      <c r="G276" s="6" t="s">
        <v>269</v>
      </c>
      <c r="H276" s="6" t="s">
        <v>34</v>
      </c>
      <c r="I276" s="8">
        <v>1.3272734505021732E-2</v>
      </c>
      <c r="J276" s="6" t="s">
        <v>7</v>
      </c>
      <c r="L276" s="6" t="s">
        <v>270</v>
      </c>
      <c r="M276" s="6" t="s">
        <v>34</v>
      </c>
      <c r="N276" s="8">
        <v>1.3544904412559768E-2</v>
      </c>
      <c r="O276" s="6" t="s">
        <v>7</v>
      </c>
    </row>
    <row r="277" spans="2:15" x14ac:dyDescent="0.45">
      <c r="B277" s="3" t="s">
        <v>268</v>
      </c>
      <c r="C277" s="3" t="s">
        <v>35</v>
      </c>
      <c r="D277" s="4">
        <v>5.5231461725138861E-2</v>
      </c>
      <c r="E277" s="3" t="s">
        <v>7</v>
      </c>
      <c r="G277" s="3" t="s">
        <v>269</v>
      </c>
      <c r="H277" s="3" t="s">
        <v>35</v>
      </c>
      <c r="I277" s="5">
        <v>1.3654191977044539E-2</v>
      </c>
      <c r="J277" s="3" t="s">
        <v>7</v>
      </c>
      <c r="L277" s="3" t="s">
        <v>270</v>
      </c>
      <c r="M277" s="3" t="s">
        <v>35</v>
      </c>
      <c r="N277" s="5">
        <v>1.4347306038642565E-2</v>
      </c>
      <c r="O277" s="3" t="s">
        <v>7</v>
      </c>
    </row>
    <row r="278" spans="2:15" x14ac:dyDescent="0.45">
      <c r="B278" s="6" t="s">
        <v>268</v>
      </c>
      <c r="C278" s="6" t="s">
        <v>36</v>
      </c>
      <c r="D278" s="7">
        <v>3.9335066430908359E-2</v>
      </c>
      <c r="E278" s="6" t="s">
        <v>7</v>
      </c>
      <c r="G278" s="6" t="s">
        <v>269</v>
      </c>
      <c r="H278" s="6" t="s">
        <v>36</v>
      </c>
      <c r="I278" s="8">
        <v>1.3516223516562769E-2</v>
      </c>
      <c r="J278" s="6" t="s">
        <v>7</v>
      </c>
      <c r="L278" s="6" t="s">
        <v>270</v>
      </c>
      <c r="M278" s="6" t="s">
        <v>36</v>
      </c>
      <c r="N278" s="8">
        <v>1.4789345227438253E-2</v>
      </c>
      <c r="O278" s="6" t="s">
        <v>7</v>
      </c>
    </row>
    <row r="279" spans="2:15" x14ac:dyDescent="0.45">
      <c r="B279" s="3" t="s">
        <v>268</v>
      </c>
      <c r="C279" s="3" t="s">
        <v>37</v>
      </c>
      <c r="D279" s="4">
        <v>1.4800610770413496E-2</v>
      </c>
      <c r="E279" s="3" t="s">
        <v>7</v>
      </c>
      <c r="G279" s="3" t="s">
        <v>269</v>
      </c>
      <c r="H279" s="3" t="s">
        <v>37</v>
      </c>
      <c r="I279" s="5">
        <v>1.2538207564782097E-2</v>
      </c>
      <c r="J279" s="3" t="s">
        <v>7</v>
      </c>
      <c r="L279" s="3" t="s">
        <v>270</v>
      </c>
      <c r="M279" s="3" t="s">
        <v>37</v>
      </c>
      <c r="N279" s="5">
        <v>1.4988265373017041E-2</v>
      </c>
      <c r="O279" s="3" t="s">
        <v>7</v>
      </c>
    </row>
    <row r="280" spans="2:15" x14ac:dyDescent="0.45">
      <c r="B280" s="6" t="s">
        <v>268</v>
      </c>
      <c r="C280" s="6" t="s">
        <v>38</v>
      </c>
      <c r="D280" s="7">
        <v>1.325253919759118E-3</v>
      </c>
      <c r="E280" s="6" t="s">
        <v>7</v>
      </c>
      <c r="G280" s="6" t="s">
        <v>269</v>
      </c>
      <c r="H280" s="6" t="s">
        <v>38</v>
      </c>
      <c r="I280" s="8">
        <v>1.6892763434826857E-2</v>
      </c>
      <c r="J280" s="6" t="s">
        <v>7</v>
      </c>
      <c r="L280" s="6" t="s">
        <v>270</v>
      </c>
      <c r="M280" s="6" t="s">
        <v>38</v>
      </c>
      <c r="N280" s="8">
        <v>2.1864734622398817E-2</v>
      </c>
      <c r="O280" s="6" t="s">
        <v>7</v>
      </c>
    </row>
    <row r="281" spans="2:15" x14ac:dyDescent="0.45">
      <c r="B281" s="3" t="s">
        <v>268</v>
      </c>
      <c r="C281" s="3" t="s">
        <v>39</v>
      </c>
      <c r="D281" s="4">
        <v>0</v>
      </c>
      <c r="E281" s="3" t="s">
        <v>7</v>
      </c>
      <c r="G281" s="3" t="s">
        <v>269</v>
      </c>
      <c r="H281" s="3" t="s">
        <v>39</v>
      </c>
      <c r="I281" s="5">
        <v>2.0554389006577387E-2</v>
      </c>
      <c r="J281" s="3" t="s">
        <v>7</v>
      </c>
      <c r="L281" s="3" t="s">
        <v>270</v>
      </c>
      <c r="M281" s="3" t="s">
        <v>39</v>
      </c>
      <c r="N281" s="5">
        <v>2.4311197835255951E-2</v>
      </c>
      <c r="O281" s="3" t="s">
        <v>7</v>
      </c>
    </row>
    <row r="282" spans="2:15" x14ac:dyDescent="0.45">
      <c r="B282" s="6" t="s">
        <v>268</v>
      </c>
      <c r="C282" s="6" t="s">
        <v>40</v>
      </c>
      <c r="D282" s="7">
        <v>4.0758001278438999E-6</v>
      </c>
      <c r="E282" s="6" t="s">
        <v>7</v>
      </c>
      <c r="G282" s="6" t="s">
        <v>269</v>
      </c>
      <c r="H282" s="6" t="s">
        <v>40</v>
      </c>
      <c r="I282" s="8">
        <v>7.8735477799387645E-3</v>
      </c>
      <c r="J282" s="6" t="s">
        <v>7</v>
      </c>
      <c r="L282" s="6" t="s">
        <v>270</v>
      </c>
      <c r="M282" s="6" t="s">
        <v>40</v>
      </c>
      <c r="N282" s="8">
        <v>9.4890299729097124E-3</v>
      </c>
      <c r="O282" s="6" t="s">
        <v>7</v>
      </c>
    </row>
    <row r="283" spans="2:15" x14ac:dyDescent="0.45">
      <c r="B283" s="3" t="s">
        <v>268</v>
      </c>
      <c r="C283" s="3" t="s">
        <v>41</v>
      </c>
      <c r="D283" s="4">
        <v>3.1164676198707727E-3</v>
      </c>
      <c r="E283" s="3" t="s">
        <v>7</v>
      </c>
      <c r="G283" s="3" t="s">
        <v>269</v>
      </c>
      <c r="H283" s="3" t="s">
        <v>41</v>
      </c>
      <c r="I283" s="5">
        <v>7.6300047157589384E-3</v>
      </c>
      <c r="J283" s="3" t="s">
        <v>7</v>
      </c>
      <c r="L283" s="3" t="s">
        <v>270</v>
      </c>
      <c r="M283" s="3" t="s">
        <v>41</v>
      </c>
      <c r="N283" s="5">
        <v>9.1723591569198223E-3</v>
      </c>
      <c r="O283" s="3" t="s">
        <v>7</v>
      </c>
    </row>
    <row r="284" spans="2:15" x14ac:dyDescent="0.45">
      <c r="B284" s="6" t="s">
        <v>268</v>
      </c>
      <c r="C284" s="6" t="s">
        <v>42</v>
      </c>
      <c r="D284" s="7">
        <v>2.2951299035211301E-2</v>
      </c>
      <c r="E284" s="6" t="s">
        <v>7</v>
      </c>
      <c r="G284" s="6" t="s">
        <v>269</v>
      </c>
      <c r="H284" s="6" t="s">
        <v>42</v>
      </c>
      <c r="I284" s="8">
        <v>8.0344590212595608E-3</v>
      </c>
      <c r="J284" s="6" t="s">
        <v>7</v>
      </c>
      <c r="L284" s="6" t="s">
        <v>270</v>
      </c>
      <c r="M284" s="6" t="s">
        <v>42</v>
      </c>
      <c r="N284" s="8">
        <v>8.3024374231302628E-3</v>
      </c>
      <c r="O284" s="6" t="s">
        <v>7</v>
      </c>
    </row>
    <row r="285" spans="2:15" x14ac:dyDescent="0.45">
      <c r="B285" s="3" t="s">
        <v>268</v>
      </c>
      <c r="C285" s="3" t="s">
        <v>43</v>
      </c>
      <c r="D285" s="4">
        <v>4.6166692380144245E-2</v>
      </c>
      <c r="E285" s="3" t="s">
        <v>7</v>
      </c>
      <c r="G285" s="3" t="s">
        <v>269</v>
      </c>
      <c r="H285" s="3" t="s">
        <v>43</v>
      </c>
      <c r="I285" s="5">
        <v>8.591480275608368E-3</v>
      </c>
      <c r="J285" s="3" t="s">
        <v>7</v>
      </c>
      <c r="L285" s="3" t="s">
        <v>270</v>
      </c>
      <c r="M285" s="3" t="s">
        <v>43</v>
      </c>
      <c r="N285" s="5">
        <v>8.8705993903355485E-3</v>
      </c>
      <c r="O285" s="3" t="s">
        <v>7</v>
      </c>
    </row>
    <row r="286" spans="2:15" x14ac:dyDescent="0.45">
      <c r="B286" s="6" t="s">
        <v>268</v>
      </c>
      <c r="C286" s="6" t="s">
        <v>44</v>
      </c>
      <c r="D286" s="7">
        <v>5.6704267816421933E-2</v>
      </c>
      <c r="E286" s="6" t="s">
        <v>7</v>
      </c>
      <c r="G286" s="6" t="s">
        <v>269</v>
      </c>
      <c r="H286" s="6" t="s">
        <v>44</v>
      </c>
      <c r="I286" s="8">
        <v>9.3599727476465396E-3</v>
      </c>
      <c r="J286" s="6" t="s">
        <v>7</v>
      </c>
      <c r="L286" s="6" t="s">
        <v>270</v>
      </c>
      <c r="M286" s="6" t="s">
        <v>44</v>
      </c>
      <c r="N286" s="8">
        <v>9.4111918651079794E-3</v>
      </c>
      <c r="O286" s="6" t="s">
        <v>7</v>
      </c>
    </row>
    <row r="287" spans="2:15" x14ac:dyDescent="0.45">
      <c r="B287" s="3" t="s">
        <v>268</v>
      </c>
      <c r="C287" s="3" t="s">
        <v>45</v>
      </c>
      <c r="D287" s="4">
        <v>5.4677241195485317E-2</v>
      </c>
      <c r="E287" s="3" t="s">
        <v>7</v>
      </c>
      <c r="G287" s="3" t="s">
        <v>269</v>
      </c>
      <c r="H287" s="3" t="s">
        <v>45</v>
      </c>
      <c r="I287" s="5">
        <v>9.7074218010134751E-3</v>
      </c>
      <c r="J287" s="3" t="s">
        <v>7</v>
      </c>
      <c r="L287" s="3" t="s">
        <v>270</v>
      </c>
      <c r="M287" s="3" t="s">
        <v>45</v>
      </c>
      <c r="N287" s="5">
        <v>9.8825104994885709E-3</v>
      </c>
      <c r="O287" s="3" t="s">
        <v>7</v>
      </c>
    </row>
    <row r="288" spans="2:15" x14ac:dyDescent="0.45">
      <c r="B288" s="6" t="s">
        <v>268</v>
      </c>
      <c r="C288" s="6" t="s">
        <v>46</v>
      </c>
      <c r="D288" s="7">
        <v>3.8120852874624203E-2</v>
      </c>
      <c r="E288" s="6" t="s">
        <v>7</v>
      </c>
      <c r="G288" s="6" t="s">
        <v>269</v>
      </c>
      <c r="H288" s="6" t="s">
        <v>46</v>
      </c>
      <c r="I288" s="8">
        <v>9.2717481028700387E-3</v>
      </c>
      <c r="J288" s="6" t="s">
        <v>7</v>
      </c>
      <c r="L288" s="6" t="s">
        <v>270</v>
      </c>
      <c r="M288" s="6" t="s">
        <v>46</v>
      </c>
      <c r="N288" s="8">
        <v>9.7444371825361163E-3</v>
      </c>
      <c r="O288" s="6" t="s">
        <v>7</v>
      </c>
    </row>
    <row r="289" spans="2:15" x14ac:dyDescent="0.45">
      <c r="B289" s="3" t="s">
        <v>268</v>
      </c>
      <c r="C289" s="3" t="s">
        <v>47</v>
      </c>
      <c r="D289" s="4">
        <v>1.3827542980517428E-2</v>
      </c>
      <c r="E289" s="3" t="s">
        <v>7</v>
      </c>
      <c r="G289" s="3" t="s">
        <v>269</v>
      </c>
      <c r="H289" s="3" t="s">
        <v>47</v>
      </c>
      <c r="I289" s="5">
        <v>8.2234926930913627E-3</v>
      </c>
      <c r="J289" s="3" t="s">
        <v>7</v>
      </c>
      <c r="L289" s="3" t="s">
        <v>270</v>
      </c>
      <c r="M289" s="3" t="s">
        <v>47</v>
      </c>
      <c r="N289" s="5">
        <v>9.4414574254054768E-3</v>
      </c>
      <c r="O289" s="3" t="s">
        <v>7</v>
      </c>
    </row>
    <row r="290" spans="2:15" x14ac:dyDescent="0.45">
      <c r="B290" s="6" t="s">
        <v>268</v>
      </c>
      <c r="C290" s="6" t="s">
        <v>48</v>
      </c>
      <c r="D290" s="7">
        <v>9.6143691314287748E-4</v>
      </c>
      <c r="E290" s="6" t="s">
        <v>7</v>
      </c>
      <c r="G290" s="6" t="s">
        <v>269</v>
      </c>
      <c r="H290" s="6" t="s">
        <v>48</v>
      </c>
      <c r="I290" s="8">
        <v>1.1383280892411708E-2</v>
      </c>
      <c r="J290" s="6" t="s">
        <v>7</v>
      </c>
      <c r="L290" s="6" t="s">
        <v>270</v>
      </c>
      <c r="M290" s="6" t="s">
        <v>48</v>
      </c>
      <c r="N290" s="8">
        <v>1.4407791410466879E-2</v>
      </c>
      <c r="O290" s="6" t="s">
        <v>7</v>
      </c>
    </row>
    <row r="291" spans="2:15" x14ac:dyDescent="0.45">
      <c r="B291" s="3" t="s">
        <v>268</v>
      </c>
      <c r="C291" s="3" t="s">
        <v>49</v>
      </c>
      <c r="D291" s="4">
        <v>0</v>
      </c>
      <c r="E291" s="3" t="s">
        <v>7</v>
      </c>
      <c r="G291" s="3" t="s">
        <v>269</v>
      </c>
      <c r="H291" s="3" t="s">
        <v>49</v>
      </c>
      <c r="I291" s="5">
        <v>3.0828685383598502E-2</v>
      </c>
      <c r="J291" s="3" t="s">
        <v>7</v>
      </c>
      <c r="L291" s="3" t="s">
        <v>270</v>
      </c>
      <c r="M291" s="3" t="s">
        <v>49</v>
      </c>
      <c r="N291" s="5">
        <v>3.3205143671860636E-2</v>
      </c>
      <c r="O291" s="3" t="s">
        <v>7</v>
      </c>
    </row>
    <row r="292" spans="2:15" x14ac:dyDescent="0.45">
      <c r="B292" s="6" t="s">
        <v>268</v>
      </c>
      <c r="C292" s="6" t="s">
        <v>50</v>
      </c>
      <c r="D292" s="7">
        <v>0</v>
      </c>
      <c r="E292" s="6" t="s">
        <v>7</v>
      </c>
      <c r="G292" s="6" t="s">
        <v>269</v>
      </c>
      <c r="H292" s="6" t="s">
        <v>50</v>
      </c>
      <c r="I292" s="8">
        <v>1.2752499293814411E-2</v>
      </c>
      <c r="J292" s="6" t="s">
        <v>7</v>
      </c>
      <c r="L292" s="6" t="s">
        <v>270</v>
      </c>
      <c r="M292" s="6" t="s">
        <v>50</v>
      </c>
      <c r="N292" s="8">
        <v>1.3469868336958433E-2</v>
      </c>
      <c r="O292" s="6" t="s">
        <v>7</v>
      </c>
    </row>
    <row r="293" spans="2:15" x14ac:dyDescent="0.45">
      <c r="B293" s="3" t="s">
        <v>268</v>
      </c>
      <c r="C293" s="3" t="s">
        <v>51</v>
      </c>
      <c r="D293" s="4">
        <v>1.2574605855033254E-4</v>
      </c>
      <c r="E293" s="3" t="s">
        <v>7</v>
      </c>
      <c r="G293" s="3" t="s">
        <v>269</v>
      </c>
      <c r="H293" s="3" t="s">
        <v>51</v>
      </c>
      <c r="I293" s="5">
        <v>1.3038354998112371E-2</v>
      </c>
      <c r="J293" s="3" t="s">
        <v>7</v>
      </c>
      <c r="L293" s="3" t="s">
        <v>270</v>
      </c>
      <c r="M293" s="3" t="s">
        <v>51</v>
      </c>
      <c r="N293" s="5">
        <v>1.3434585264713816E-2</v>
      </c>
      <c r="O293" s="3" t="s">
        <v>7</v>
      </c>
    </row>
    <row r="294" spans="2:15" x14ac:dyDescent="0.45">
      <c r="B294" s="6" t="s">
        <v>268</v>
      </c>
      <c r="C294" s="6" t="s">
        <v>52</v>
      </c>
      <c r="D294" s="7">
        <v>1.0276543904494149E-2</v>
      </c>
      <c r="E294" s="6" t="s">
        <v>7</v>
      </c>
      <c r="G294" s="6" t="s">
        <v>269</v>
      </c>
      <c r="H294" s="6" t="s">
        <v>52</v>
      </c>
      <c r="I294" s="8">
        <v>1.3882906553771357E-2</v>
      </c>
      <c r="J294" s="6" t="s">
        <v>7</v>
      </c>
      <c r="L294" s="6" t="s">
        <v>270</v>
      </c>
      <c r="M294" s="6" t="s">
        <v>52</v>
      </c>
      <c r="N294" s="8">
        <v>1.3481727181389501E-2</v>
      </c>
      <c r="O294" s="6" t="s">
        <v>7</v>
      </c>
    </row>
    <row r="295" spans="2:15" x14ac:dyDescent="0.45">
      <c r="B295" s="3" t="s">
        <v>268</v>
      </c>
      <c r="C295" s="3" t="s">
        <v>53</v>
      </c>
      <c r="D295" s="4">
        <v>3.0191949904033798E-2</v>
      </c>
      <c r="E295" s="3" t="s">
        <v>7</v>
      </c>
      <c r="G295" s="3" t="s">
        <v>269</v>
      </c>
      <c r="H295" s="3" t="s">
        <v>53</v>
      </c>
      <c r="I295" s="5">
        <v>1.486207468306497E-2</v>
      </c>
      <c r="J295" s="3" t="s">
        <v>7</v>
      </c>
      <c r="L295" s="3" t="s">
        <v>270</v>
      </c>
      <c r="M295" s="3" t="s">
        <v>53</v>
      </c>
      <c r="N295" s="5">
        <v>1.3637051486304921E-2</v>
      </c>
      <c r="O295" s="3" t="s">
        <v>7</v>
      </c>
    </row>
    <row r="296" spans="2:15" x14ac:dyDescent="0.45">
      <c r="B296" s="6" t="s">
        <v>268</v>
      </c>
      <c r="C296" s="6" t="s">
        <v>54</v>
      </c>
      <c r="D296" s="7">
        <v>3.8779820721867676E-2</v>
      </c>
      <c r="E296" s="6" t="s">
        <v>7</v>
      </c>
      <c r="G296" s="6" t="s">
        <v>269</v>
      </c>
      <c r="H296" s="6" t="s">
        <v>54</v>
      </c>
      <c r="I296" s="8">
        <v>1.515376599038762E-2</v>
      </c>
      <c r="J296" s="6" t="s">
        <v>7</v>
      </c>
      <c r="L296" s="6" t="s">
        <v>270</v>
      </c>
      <c r="M296" s="6" t="s">
        <v>54</v>
      </c>
      <c r="N296" s="8">
        <v>1.3818367362608884E-2</v>
      </c>
      <c r="O296" s="6" t="s">
        <v>7</v>
      </c>
    </row>
    <row r="297" spans="2:15" x14ac:dyDescent="0.45">
      <c r="B297" s="3" t="s">
        <v>268</v>
      </c>
      <c r="C297" s="3" t="s">
        <v>55</v>
      </c>
      <c r="D297" s="4">
        <v>3.5525854422362516E-2</v>
      </c>
      <c r="E297" s="3" t="s">
        <v>7</v>
      </c>
      <c r="G297" s="3" t="s">
        <v>269</v>
      </c>
      <c r="H297" s="3" t="s">
        <v>55</v>
      </c>
      <c r="I297" s="5">
        <v>1.46423808199697E-2</v>
      </c>
      <c r="J297" s="3" t="s">
        <v>7</v>
      </c>
      <c r="L297" s="3" t="s">
        <v>270</v>
      </c>
      <c r="M297" s="3" t="s">
        <v>55</v>
      </c>
      <c r="N297" s="5">
        <v>1.3536649057384801E-2</v>
      </c>
      <c r="O297" s="3" t="s">
        <v>7</v>
      </c>
    </row>
    <row r="298" spans="2:15" x14ac:dyDescent="0.45">
      <c r="B298" s="6" t="s">
        <v>268</v>
      </c>
      <c r="C298" s="6" t="s">
        <v>56</v>
      </c>
      <c r="D298" s="7">
        <v>1.8732634845673585E-2</v>
      </c>
      <c r="E298" s="6" t="s">
        <v>7</v>
      </c>
      <c r="G298" s="6" t="s">
        <v>269</v>
      </c>
      <c r="H298" s="6" t="s">
        <v>56</v>
      </c>
      <c r="I298" s="8">
        <v>1.3603236668579039E-2</v>
      </c>
      <c r="J298" s="6" t="s">
        <v>7</v>
      </c>
      <c r="L298" s="6" t="s">
        <v>270</v>
      </c>
      <c r="M298" s="6" t="s">
        <v>56</v>
      </c>
      <c r="N298" s="8">
        <v>1.283074708699113E-2</v>
      </c>
      <c r="O298" s="6" t="s">
        <v>7</v>
      </c>
    </row>
    <row r="299" spans="2:15" x14ac:dyDescent="0.45">
      <c r="B299" s="3" t="s">
        <v>268</v>
      </c>
      <c r="C299" s="3" t="s">
        <v>57</v>
      </c>
      <c r="D299" s="4">
        <v>2.1912251446364172E-3</v>
      </c>
      <c r="E299" s="3" t="s">
        <v>7</v>
      </c>
      <c r="G299" s="3" t="s">
        <v>269</v>
      </c>
      <c r="H299" s="3" t="s">
        <v>57</v>
      </c>
      <c r="I299" s="5">
        <v>1.2727155846365112E-2</v>
      </c>
      <c r="J299" s="3" t="s">
        <v>7</v>
      </c>
      <c r="L299" s="3" t="s">
        <v>270</v>
      </c>
      <c r="M299" s="3" t="s">
        <v>57</v>
      </c>
      <c r="N299" s="5">
        <v>1.2370517418142372E-2</v>
      </c>
      <c r="O299" s="3" t="s">
        <v>7</v>
      </c>
    </row>
    <row r="300" spans="2:15" x14ac:dyDescent="0.45">
      <c r="B300" s="6" t="s">
        <v>268</v>
      </c>
      <c r="C300" s="6" t="s">
        <v>58</v>
      </c>
      <c r="D300" s="7">
        <v>0</v>
      </c>
      <c r="E300" s="6" t="s">
        <v>7</v>
      </c>
      <c r="G300" s="6" t="s">
        <v>269</v>
      </c>
      <c r="H300" s="6" t="s">
        <v>58</v>
      </c>
      <c r="I300" s="8">
        <v>1.8772909474598393E-2</v>
      </c>
      <c r="J300" s="6" t="s">
        <v>7</v>
      </c>
      <c r="L300" s="6" t="s">
        <v>270</v>
      </c>
      <c r="M300" s="6" t="s">
        <v>58</v>
      </c>
      <c r="N300" s="8">
        <v>1.9210282715115667E-2</v>
      </c>
      <c r="O300" s="6" t="s">
        <v>7</v>
      </c>
    </row>
    <row r="301" spans="2:15" x14ac:dyDescent="0.45">
      <c r="B301" s="3" t="s">
        <v>268</v>
      </c>
      <c r="C301" s="3" t="s">
        <v>59</v>
      </c>
      <c r="D301" s="4">
        <v>0</v>
      </c>
      <c r="E301" s="3" t="s">
        <v>7</v>
      </c>
      <c r="G301" s="3" t="s">
        <v>269</v>
      </c>
      <c r="H301" s="3" t="s">
        <v>59</v>
      </c>
      <c r="I301" s="5">
        <v>4.508116740711806E-2</v>
      </c>
      <c r="J301" s="3" t="s">
        <v>7</v>
      </c>
      <c r="L301" s="3" t="s">
        <v>270</v>
      </c>
      <c r="M301" s="3" t="s">
        <v>59</v>
      </c>
      <c r="N301" s="5">
        <v>3.5563371614660742E-2</v>
      </c>
      <c r="O301" s="3" t="s">
        <v>7</v>
      </c>
    </row>
    <row r="302" spans="2:15" x14ac:dyDescent="0.45">
      <c r="B302" s="6" t="s">
        <v>268</v>
      </c>
      <c r="C302" s="6" t="s">
        <v>60</v>
      </c>
      <c r="D302" s="7">
        <v>0</v>
      </c>
      <c r="E302" s="6" t="s">
        <v>7</v>
      </c>
      <c r="G302" s="6" t="s">
        <v>269</v>
      </c>
      <c r="H302" s="6" t="s">
        <v>60</v>
      </c>
      <c r="I302" s="8">
        <v>1.7834430749558226E-2</v>
      </c>
      <c r="J302" s="6" t="s">
        <v>7</v>
      </c>
      <c r="L302" s="6" t="s">
        <v>270</v>
      </c>
      <c r="M302" s="6" t="s">
        <v>60</v>
      </c>
      <c r="N302" s="8">
        <v>1.4175902857599386E-2</v>
      </c>
      <c r="O302" s="6" t="s">
        <v>7</v>
      </c>
    </row>
    <row r="303" spans="2:15" x14ac:dyDescent="0.45">
      <c r="B303" s="3" t="s">
        <v>268</v>
      </c>
      <c r="C303" s="3" t="s">
        <v>61</v>
      </c>
      <c r="D303" s="4">
        <v>0</v>
      </c>
      <c r="E303" s="3" t="s">
        <v>7</v>
      </c>
      <c r="G303" s="3" t="s">
        <v>269</v>
      </c>
      <c r="H303" s="3" t="s">
        <v>61</v>
      </c>
      <c r="I303" s="5">
        <v>1.8072873903066961E-2</v>
      </c>
      <c r="J303" s="3" t="s">
        <v>7</v>
      </c>
      <c r="L303" s="3" t="s">
        <v>270</v>
      </c>
      <c r="M303" s="3" t="s">
        <v>61</v>
      </c>
      <c r="N303" s="5">
        <v>1.4462021696119961E-2</v>
      </c>
      <c r="O303" s="3" t="s">
        <v>7</v>
      </c>
    </row>
    <row r="304" spans="2:15" x14ac:dyDescent="0.45">
      <c r="B304" s="6" t="s">
        <v>268</v>
      </c>
      <c r="C304" s="6" t="s">
        <v>62</v>
      </c>
      <c r="D304" s="7">
        <v>1.4954615219541425E-3</v>
      </c>
      <c r="E304" s="6" t="s">
        <v>7</v>
      </c>
      <c r="G304" s="6" t="s">
        <v>269</v>
      </c>
      <c r="H304" s="6" t="s">
        <v>62</v>
      </c>
      <c r="I304" s="8">
        <v>1.815923500071636E-2</v>
      </c>
      <c r="J304" s="6" t="s">
        <v>7</v>
      </c>
      <c r="L304" s="6" t="s">
        <v>270</v>
      </c>
      <c r="M304" s="6" t="s">
        <v>62</v>
      </c>
      <c r="N304" s="8">
        <v>1.4336830661208499E-2</v>
      </c>
      <c r="O304" s="6" t="s">
        <v>7</v>
      </c>
    </row>
    <row r="305" spans="2:15" x14ac:dyDescent="0.45">
      <c r="B305" s="3" t="s">
        <v>268</v>
      </c>
      <c r="C305" s="3" t="s">
        <v>63</v>
      </c>
      <c r="D305" s="4">
        <v>1.6986317315700428E-2</v>
      </c>
      <c r="E305" s="3" t="s">
        <v>7</v>
      </c>
      <c r="G305" s="3" t="s">
        <v>269</v>
      </c>
      <c r="H305" s="3" t="s">
        <v>63</v>
      </c>
      <c r="I305" s="5">
        <v>1.7784488707314684E-2</v>
      </c>
      <c r="J305" s="3" t="s">
        <v>7</v>
      </c>
      <c r="L305" s="3" t="s">
        <v>270</v>
      </c>
      <c r="M305" s="3" t="s">
        <v>63</v>
      </c>
      <c r="N305" s="5">
        <v>1.4917173744868579E-2</v>
      </c>
      <c r="O305" s="3" t="s">
        <v>7</v>
      </c>
    </row>
    <row r="306" spans="2:15" x14ac:dyDescent="0.45">
      <c r="B306" s="6" t="s">
        <v>268</v>
      </c>
      <c r="C306" s="6" t="s">
        <v>64</v>
      </c>
      <c r="D306" s="7">
        <v>2.9450991969473466E-2</v>
      </c>
      <c r="E306" s="6" t="s">
        <v>7</v>
      </c>
      <c r="G306" s="6" t="s">
        <v>269</v>
      </c>
      <c r="H306" s="6" t="s">
        <v>64</v>
      </c>
      <c r="I306" s="8">
        <v>1.8189780553119143E-2</v>
      </c>
      <c r="J306" s="6" t="s">
        <v>7</v>
      </c>
      <c r="L306" s="6" t="s">
        <v>270</v>
      </c>
      <c r="M306" s="6" t="s">
        <v>64</v>
      </c>
      <c r="N306" s="8">
        <v>1.5348564952602017E-2</v>
      </c>
      <c r="O306" s="6" t="s">
        <v>7</v>
      </c>
    </row>
    <row r="307" spans="2:15" x14ac:dyDescent="0.45">
      <c r="B307" s="3" t="s">
        <v>268</v>
      </c>
      <c r="C307" s="3" t="s">
        <v>65</v>
      </c>
      <c r="D307" s="4">
        <v>2.1878270859135646E-2</v>
      </c>
      <c r="E307" s="3" t="s">
        <v>7</v>
      </c>
      <c r="G307" s="3" t="s">
        <v>269</v>
      </c>
      <c r="H307" s="3" t="s">
        <v>65</v>
      </c>
      <c r="I307" s="5">
        <v>1.8859755131573498E-2</v>
      </c>
      <c r="J307" s="3" t="s">
        <v>7</v>
      </c>
      <c r="L307" s="3" t="s">
        <v>270</v>
      </c>
      <c r="M307" s="3" t="s">
        <v>65</v>
      </c>
      <c r="N307" s="5">
        <v>1.5777597268191453E-2</v>
      </c>
      <c r="O307" s="3" t="s">
        <v>7</v>
      </c>
    </row>
    <row r="308" spans="2:15" x14ac:dyDescent="0.45">
      <c r="B308" s="6" t="s">
        <v>268</v>
      </c>
      <c r="C308" s="6" t="s">
        <v>66</v>
      </c>
      <c r="D308" s="7">
        <v>4.9001773042189056E-3</v>
      </c>
      <c r="E308" s="6" t="s">
        <v>7</v>
      </c>
      <c r="G308" s="6" t="s">
        <v>269</v>
      </c>
      <c r="H308" s="6" t="s">
        <v>66</v>
      </c>
      <c r="I308" s="8">
        <v>1.8725723575021148E-2</v>
      </c>
      <c r="J308" s="6" t="s">
        <v>7</v>
      </c>
      <c r="L308" s="6" t="s">
        <v>270</v>
      </c>
      <c r="M308" s="6" t="s">
        <v>66</v>
      </c>
      <c r="N308" s="8">
        <v>1.5983056836798588E-2</v>
      </c>
      <c r="O308" s="6" t="s">
        <v>7</v>
      </c>
    </row>
    <row r="309" spans="2:15" x14ac:dyDescent="0.45">
      <c r="B309" s="3" t="s">
        <v>268</v>
      </c>
      <c r="C309" s="3" t="s">
        <v>67</v>
      </c>
      <c r="D309" s="4">
        <v>0</v>
      </c>
      <c r="E309" s="3" t="s">
        <v>7</v>
      </c>
      <c r="G309" s="3" t="s">
        <v>269</v>
      </c>
      <c r="H309" s="3" t="s">
        <v>67</v>
      </c>
      <c r="I309" s="5">
        <v>1.8758321736260828E-2</v>
      </c>
      <c r="J309" s="3" t="s">
        <v>7</v>
      </c>
      <c r="L309" s="3" t="s">
        <v>270</v>
      </c>
      <c r="M309" s="3" t="s">
        <v>67</v>
      </c>
      <c r="N309" s="5">
        <v>1.5686547192177405E-2</v>
      </c>
      <c r="O309" s="3" t="s">
        <v>7</v>
      </c>
    </row>
    <row r="310" spans="2:15" x14ac:dyDescent="0.45">
      <c r="B310" s="6" t="s">
        <v>268</v>
      </c>
      <c r="C310" s="6" t="s">
        <v>68</v>
      </c>
      <c r="D310" s="7">
        <v>0</v>
      </c>
      <c r="E310" s="6" t="s">
        <v>7</v>
      </c>
      <c r="G310" s="6" t="s">
        <v>269</v>
      </c>
      <c r="H310" s="6" t="s">
        <v>68</v>
      </c>
      <c r="I310" s="8">
        <v>2.8533460771439655E-2</v>
      </c>
      <c r="J310" s="6" t="s">
        <v>7</v>
      </c>
      <c r="L310" s="6" t="s">
        <v>270</v>
      </c>
      <c r="M310" s="6" t="s">
        <v>68</v>
      </c>
      <c r="N310" s="8">
        <v>2.2441348178669815E-2</v>
      </c>
      <c r="O310" s="6" t="s">
        <v>7</v>
      </c>
    </row>
    <row r="311" spans="2:15" x14ac:dyDescent="0.45">
      <c r="B311" s="3" t="s">
        <v>271</v>
      </c>
      <c r="C311" s="3" t="s">
        <v>6</v>
      </c>
      <c r="D311" s="4">
        <v>0</v>
      </c>
      <c r="E311" s="3" t="s">
        <v>7</v>
      </c>
      <c r="G311" s="3" t="s">
        <v>272</v>
      </c>
      <c r="H311" s="3" t="s">
        <v>6</v>
      </c>
      <c r="I311" s="5">
        <v>3.8069650958670369E-2</v>
      </c>
      <c r="J311" s="3" t="s">
        <v>7</v>
      </c>
      <c r="L311" s="3" t="s">
        <v>273</v>
      </c>
      <c r="M311" s="3" t="s">
        <v>6</v>
      </c>
      <c r="N311" s="5">
        <v>3.8561373236530055E-2</v>
      </c>
      <c r="O311" s="3" t="s">
        <v>7</v>
      </c>
    </row>
    <row r="312" spans="2:15" x14ac:dyDescent="0.45">
      <c r="B312" s="6" t="s">
        <v>271</v>
      </c>
      <c r="C312" s="6" t="s">
        <v>10</v>
      </c>
      <c r="D312" s="7">
        <v>0</v>
      </c>
      <c r="E312" s="6" t="s">
        <v>7</v>
      </c>
      <c r="G312" s="6" t="s">
        <v>272</v>
      </c>
      <c r="H312" s="6" t="s">
        <v>10</v>
      </c>
      <c r="I312" s="8">
        <v>1.4393958664851271E-2</v>
      </c>
      <c r="J312" s="6" t="s">
        <v>7</v>
      </c>
      <c r="L312" s="6" t="s">
        <v>273</v>
      </c>
      <c r="M312" s="6" t="s">
        <v>10</v>
      </c>
      <c r="N312" s="8">
        <v>1.5304875365231407E-2</v>
      </c>
      <c r="O312" s="6" t="s">
        <v>7</v>
      </c>
    </row>
    <row r="313" spans="2:15" x14ac:dyDescent="0.45">
      <c r="B313" s="3" t="s">
        <v>271</v>
      </c>
      <c r="C313" s="3" t="s">
        <v>11</v>
      </c>
      <c r="D313" s="4">
        <v>0</v>
      </c>
      <c r="E313" s="3" t="s">
        <v>7</v>
      </c>
      <c r="G313" s="3" t="s">
        <v>272</v>
      </c>
      <c r="H313" s="3" t="s">
        <v>11</v>
      </c>
      <c r="I313" s="5">
        <v>1.4237170758619171E-2</v>
      </c>
      <c r="J313" s="3" t="s">
        <v>7</v>
      </c>
      <c r="L313" s="3" t="s">
        <v>273</v>
      </c>
      <c r="M313" s="3" t="s">
        <v>11</v>
      </c>
      <c r="N313" s="5">
        <v>1.5527587379572735E-2</v>
      </c>
      <c r="O313" s="3" t="s">
        <v>7</v>
      </c>
    </row>
    <row r="314" spans="2:15" x14ac:dyDescent="0.45">
      <c r="B314" s="6" t="s">
        <v>271</v>
      </c>
      <c r="C314" s="6" t="s">
        <v>12</v>
      </c>
      <c r="D314" s="7">
        <v>1.9697308605691392E-3</v>
      </c>
      <c r="E314" s="6" t="s">
        <v>7</v>
      </c>
      <c r="G314" s="6" t="s">
        <v>272</v>
      </c>
      <c r="H314" s="6" t="s">
        <v>12</v>
      </c>
      <c r="I314" s="8">
        <v>1.4852173671759049E-2</v>
      </c>
      <c r="J314" s="6" t="s">
        <v>7</v>
      </c>
      <c r="L314" s="6" t="s">
        <v>273</v>
      </c>
      <c r="M314" s="6" t="s">
        <v>12</v>
      </c>
      <c r="N314" s="8">
        <v>1.5093420794435463E-2</v>
      </c>
      <c r="O314" s="6" t="s">
        <v>7</v>
      </c>
    </row>
    <row r="315" spans="2:15" x14ac:dyDescent="0.45">
      <c r="B315" s="3" t="s">
        <v>271</v>
      </c>
      <c r="C315" s="3" t="s">
        <v>13</v>
      </c>
      <c r="D315" s="4">
        <v>1.7748584086070451E-2</v>
      </c>
      <c r="E315" s="3" t="s">
        <v>7</v>
      </c>
      <c r="G315" s="3" t="s">
        <v>272</v>
      </c>
      <c r="H315" s="3" t="s">
        <v>13</v>
      </c>
      <c r="I315" s="5">
        <v>1.5081496726173777E-2</v>
      </c>
      <c r="J315" s="3" t="s">
        <v>7</v>
      </c>
      <c r="L315" s="3" t="s">
        <v>273</v>
      </c>
      <c r="M315" s="3" t="s">
        <v>13</v>
      </c>
      <c r="N315" s="5">
        <v>1.504328701514728E-2</v>
      </c>
      <c r="O315" s="3" t="s">
        <v>7</v>
      </c>
    </row>
    <row r="316" spans="2:15" x14ac:dyDescent="0.45">
      <c r="B316" s="6" t="s">
        <v>271</v>
      </c>
      <c r="C316" s="6" t="s">
        <v>14</v>
      </c>
      <c r="D316" s="7">
        <v>2.8961820861555083E-2</v>
      </c>
      <c r="E316" s="6" t="s">
        <v>7</v>
      </c>
      <c r="G316" s="6" t="s">
        <v>272</v>
      </c>
      <c r="H316" s="6" t="s">
        <v>14</v>
      </c>
      <c r="I316" s="8">
        <v>1.5723741858766207E-2</v>
      </c>
      <c r="J316" s="6" t="s">
        <v>7</v>
      </c>
      <c r="L316" s="6" t="s">
        <v>273</v>
      </c>
      <c r="M316" s="6" t="s">
        <v>14</v>
      </c>
      <c r="N316" s="8">
        <v>1.5100258825831077E-2</v>
      </c>
      <c r="O316" s="6" t="s">
        <v>7</v>
      </c>
    </row>
    <row r="317" spans="2:15" x14ac:dyDescent="0.45">
      <c r="B317" s="3" t="s">
        <v>271</v>
      </c>
      <c r="C317" s="3" t="s">
        <v>15</v>
      </c>
      <c r="D317" s="4">
        <v>2.7589849698067576E-2</v>
      </c>
      <c r="E317" s="3" t="s">
        <v>7</v>
      </c>
      <c r="G317" s="3" t="s">
        <v>272</v>
      </c>
      <c r="H317" s="3" t="s">
        <v>15</v>
      </c>
      <c r="I317" s="5">
        <v>1.5545251035141084E-2</v>
      </c>
      <c r="J317" s="3" t="s">
        <v>7</v>
      </c>
      <c r="L317" s="3" t="s">
        <v>273</v>
      </c>
      <c r="M317" s="3" t="s">
        <v>15</v>
      </c>
      <c r="N317" s="5">
        <v>1.5333126211063527E-2</v>
      </c>
      <c r="O317" s="3" t="s">
        <v>7</v>
      </c>
    </row>
    <row r="318" spans="2:15" x14ac:dyDescent="0.45">
      <c r="B318" s="6" t="s">
        <v>271</v>
      </c>
      <c r="C318" s="6" t="s">
        <v>16</v>
      </c>
      <c r="D318" s="7">
        <v>1.1817777811267693E-2</v>
      </c>
      <c r="E318" s="6" t="s">
        <v>7</v>
      </c>
      <c r="G318" s="6" t="s">
        <v>272</v>
      </c>
      <c r="H318" s="6" t="s">
        <v>16</v>
      </c>
      <c r="I318" s="8">
        <v>1.5159776863442269E-2</v>
      </c>
      <c r="J318" s="6" t="s">
        <v>7</v>
      </c>
      <c r="L318" s="6" t="s">
        <v>273</v>
      </c>
      <c r="M318" s="6" t="s">
        <v>16</v>
      </c>
      <c r="N318" s="8">
        <v>1.5498696009220492E-2</v>
      </c>
      <c r="O318" s="6" t="s">
        <v>7</v>
      </c>
    </row>
    <row r="319" spans="2:15" x14ac:dyDescent="0.45">
      <c r="B319" s="3" t="s">
        <v>271</v>
      </c>
      <c r="C319" s="3" t="s">
        <v>17</v>
      </c>
      <c r="D319" s="4">
        <v>4.8864198477836991E-4</v>
      </c>
      <c r="E319" s="3" t="s">
        <v>7</v>
      </c>
      <c r="G319" s="3" t="s">
        <v>272</v>
      </c>
      <c r="H319" s="3" t="s">
        <v>17</v>
      </c>
      <c r="I319" s="5">
        <v>1.4821169957113632E-2</v>
      </c>
      <c r="J319" s="3" t="s">
        <v>7</v>
      </c>
      <c r="L319" s="3" t="s">
        <v>273</v>
      </c>
      <c r="M319" s="3" t="s">
        <v>17</v>
      </c>
      <c r="N319" s="5">
        <v>1.5518848800985599E-2</v>
      </c>
      <c r="O319" s="3" t="s">
        <v>7</v>
      </c>
    </row>
    <row r="320" spans="2:15" x14ac:dyDescent="0.45">
      <c r="B320" s="6" t="s">
        <v>271</v>
      </c>
      <c r="C320" s="6" t="s">
        <v>18</v>
      </c>
      <c r="D320" s="7">
        <v>0</v>
      </c>
      <c r="E320" s="6" t="s">
        <v>7</v>
      </c>
      <c r="G320" s="6" t="s">
        <v>272</v>
      </c>
      <c r="H320" s="6" t="s">
        <v>18</v>
      </c>
      <c r="I320" s="8">
        <v>2.2881228760105992E-2</v>
      </c>
      <c r="J320" s="6" t="s">
        <v>7</v>
      </c>
      <c r="L320" s="6" t="s">
        <v>273</v>
      </c>
      <c r="M320" s="6" t="s">
        <v>18</v>
      </c>
      <c r="N320" s="8">
        <v>2.3624253941562406E-2</v>
      </c>
      <c r="O320" s="6" t="s">
        <v>7</v>
      </c>
    </row>
    <row r="321" spans="2:15" x14ac:dyDescent="0.45">
      <c r="B321" s="3" t="s">
        <v>271</v>
      </c>
      <c r="C321" s="3" t="s">
        <v>19</v>
      </c>
      <c r="D321" s="4">
        <v>0</v>
      </c>
      <c r="E321" s="3" t="s">
        <v>7</v>
      </c>
      <c r="G321" s="3" t="s">
        <v>272</v>
      </c>
      <c r="H321" s="3" t="s">
        <v>19</v>
      </c>
      <c r="I321" s="5">
        <v>3.9321005602284319E-2</v>
      </c>
      <c r="J321" s="3" t="s">
        <v>7</v>
      </c>
      <c r="L321" s="3" t="s">
        <v>273</v>
      </c>
      <c r="M321" s="3" t="s">
        <v>19</v>
      </c>
      <c r="N321" s="5">
        <v>3.8806316665341165E-2</v>
      </c>
      <c r="O321" s="3" t="s">
        <v>7</v>
      </c>
    </row>
    <row r="322" spans="2:15" x14ac:dyDescent="0.45">
      <c r="B322" s="6" t="s">
        <v>271</v>
      </c>
      <c r="C322" s="6" t="s">
        <v>20</v>
      </c>
      <c r="D322" s="7">
        <v>0</v>
      </c>
      <c r="E322" s="6" t="s">
        <v>7</v>
      </c>
      <c r="G322" s="6" t="s">
        <v>272</v>
      </c>
      <c r="H322" s="6" t="s">
        <v>20</v>
      </c>
      <c r="I322" s="8">
        <v>1.5622653239120696E-2</v>
      </c>
      <c r="J322" s="6" t="s">
        <v>7</v>
      </c>
      <c r="L322" s="6" t="s">
        <v>273</v>
      </c>
      <c r="M322" s="6" t="s">
        <v>20</v>
      </c>
      <c r="N322" s="8">
        <v>1.6362871929099673E-2</v>
      </c>
      <c r="O322" s="6" t="s">
        <v>7</v>
      </c>
    </row>
    <row r="323" spans="2:15" x14ac:dyDescent="0.45">
      <c r="B323" s="3" t="s">
        <v>271</v>
      </c>
      <c r="C323" s="3" t="s">
        <v>21</v>
      </c>
      <c r="D323" s="4">
        <v>8.3623439024819318E-4</v>
      </c>
      <c r="E323" s="3" t="s">
        <v>7</v>
      </c>
      <c r="G323" s="3" t="s">
        <v>272</v>
      </c>
      <c r="H323" s="3" t="s">
        <v>21</v>
      </c>
      <c r="I323" s="5">
        <v>1.5557275488126741E-2</v>
      </c>
      <c r="J323" s="3" t="s">
        <v>7</v>
      </c>
      <c r="L323" s="3" t="s">
        <v>273</v>
      </c>
      <c r="M323" s="3" t="s">
        <v>21</v>
      </c>
      <c r="N323" s="5">
        <v>1.6886762469580378E-2</v>
      </c>
      <c r="O323" s="3" t="s">
        <v>7</v>
      </c>
    </row>
    <row r="324" spans="2:15" x14ac:dyDescent="0.45">
      <c r="B324" s="6" t="s">
        <v>271</v>
      </c>
      <c r="C324" s="6" t="s">
        <v>22</v>
      </c>
      <c r="D324" s="7">
        <v>1.9070095323044055E-2</v>
      </c>
      <c r="E324" s="6" t="s">
        <v>7</v>
      </c>
      <c r="G324" s="6" t="s">
        <v>272</v>
      </c>
      <c r="H324" s="6" t="s">
        <v>22</v>
      </c>
      <c r="I324" s="8">
        <v>1.6529414771264461E-2</v>
      </c>
      <c r="J324" s="6" t="s">
        <v>7</v>
      </c>
      <c r="L324" s="6" t="s">
        <v>273</v>
      </c>
      <c r="M324" s="6" t="s">
        <v>22</v>
      </c>
      <c r="N324" s="8">
        <v>1.5912219280271089E-2</v>
      </c>
      <c r="O324" s="6" t="s">
        <v>7</v>
      </c>
    </row>
    <row r="325" spans="2:15" x14ac:dyDescent="0.45">
      <c r="B325" s="3" t="s">
        <v>271</v>
      </c>
      <c r="C325" s="3" t="s">
        <v>23</v>
      </c>
      <c r="D325" s="4">
        <v>4.3569220610477154E-2</v>
      </c>
      <c r="E325" s="3" t="s">
        <v>7</v>
      </c>
      <c r="G325" s="3" t="s">
        <v>272</v>
      </c>
      <c r="H325" s="3" t="s">
        <v>23</v>
      </c>
      <c r="I325" s="5">
        <v>1.7679871869632643E-2</v>
      </c>
      <c r="J325" s="3" t="s">
        <v>7</v>
      </c>
      <c r="L325" s="3" t="s">
        <v>273</v>
      </c>
      <c r="M325" s="3" t="s">
        <v>23</v>
      </c>
      <c r="N325" s="5">
        <v>1.4676307751061733E-2</v>
      </c>
      <c r="O325" s="3" t="s">
        <v>7</v>
      </c>
    </row>
    <row r="326" spans="2:15" x14ac:dyDescent="0.45">
      <c r="B326" s="6" t="s">
        <v>271</v>
      </c>
      <c r="C326" s="6" t="s">
        <v>24</v>
      </c>
      <c r="D326" s="7">
        <v>5.3406428596999844E-2</v>
      </c>
      <c r="E326" s="6" t="s">
        <v>7</v>
      </c>
      <c r="G326" s="6" t="s">
        <v>272</v>
      </c>
      <c r="H326" s="6" t="s">
        <v>24</v>
      </c>
      <c r="I326" s="8">
        <v>1.7549542089135763E-2</v>
      </c>
      <c r="J326" s="6" t="s">
        <v>7</v>
      </c>
      <c r="L326" s="6" t="s">
        <v>273</v>
      </c>
      <c r="M326" s="6" t="s">
        <v>24</v>
      </c>
      <c r="N326" s="8">
        <v>1.440318245779541E-2</v>
      </c>
      <c r="O326" s="6" t="s">
        <v>7</v>
      </c>
    </row>
    <row r="327" spans="2:15" x14ac:dyDescent="0.45">
      <c r="B327" s="3" t="s">
        <v>271</v>
      </c>
      <c r="C327" s="3" t="s">
        <v>25</v>
      </c>
      <c r="D327" s="4">
        <v>4.8788601395831008E-2</v>
      </c>
      <c r="E327" s="3" t="s">
        <v>7</v>
      </c>
      <c r="G327" s="3" t="s">
        <v>272</v>
      </c>
      <c r="H327" s="3" t="s">
        <v>25</v>
      </c>
      <c r="I327" s="5">
        <v>1.7379053952719759E-2</v>
      </c>
      <c r="J327" s="3" t="s">
        <v>7</v>
      </c>
      <c r="L327" s="3" t="s">
        <v>273</v>
      </c>
      <c r="M327" s="3" t="s">
        <v>25</v>
      </c>
      <c r="N327" s="5">
        <v>1.4386321589421609E-2</v>
      </c>
      <c r="O327" s="3" t="s">
        <v>7</v>
      </c>
    </row>
    <row r="328" spans="2:15" x14ac:dyDescent="0.45">
      <c r="B328" s="6" t="s">
        <v>271</v>
      </c>
      <c r="C328" s="6" t="s">
        <v>26</v>
      </c>
      <c r="D328" s="7">
        <v>3.0553646624361948E-2</v>
      </c>
      <c r="E328" s="6" t="s">
        <v>7</v>
      </c>
      <c r="G328" s="6" t="s">
        <v>272</v>
      </c>
      <c r="H328" s="6" t="s">
        <v>26</v>
      </c>
      <c r="I328" s="8">
        <v>1.6608783493050713E-2</v>
      </c>
      <c r="J328" s="6" t="s">
        <v>7</v>
      </c>
      <c r="L328" s="6" t="s">
        <v>273</v>
      </c>
      <c r="M328" s="6" t="s">
        <v>26</v>
      </c>
      <c r="N328" s="8">
        <v>1.4501433962723779E-2</v>
      </c>
      <c r="O328" s="6" t="s">
        <v>7</v>
      </c>
    </row>
    <row r="329" spans="2:15" x14ac:dyDescent="0.45">
      <c r="B329" s="3" t="s">
        <v>271</v>
      </c>
      <c r="C329" s="3" t="s">
        <v>27</v>
      </c>
      <c r="D329" s="4">
        <v>6.7846435270353918E-3</v>
      </c>
      <c r="E329" s="3" t="s">
        <v>7</v>
      </c>
      <c r="G329" s="3" t="s">
        <v>272</v>
      </c>
      <c r="H329" s="3" t="s">
        <v>27</v>
      </c>
      <c r="I329" s="5">
        <v>1.5115166175472115E-2</v>
      </c>
      <c r="J329" s="3" t="s">
        <v>7</v>
      </c>
      <c r="L329" s="3" t="s">
        <v>273</v>
      </c>
      <c r="M329" s="3" t="s">
        <v>27</v>
      </c>
      <c r="N329" s="5">
        <v>1.4714765659075087E-2</v>
      </c>
      <c r="O329" s="3" t="s">
        <v>7</v>
      </c>
    </row>
    <row r="330" spans="2:15" x14ac:dyDescent="0.45">
      <c r="B330" s="6" t="s">
        <v>271</v>
      </c>
      <c r="C330" s="6" t="s">
        <v>28</v>
      </c>
      <c r="D330" s="7">
        <v>1.679295815526891E-5</v>
      </c>
      <c r="E330" s="6" t="s">
        <v>7</v>
      </c>
      <c r="G330" s="6" t="s">
        <v>272</v>
      </c>
      <c r="H330" s="6" t="s">
        <v>28</v>
      </c>
      <c r="I330" s="8">
        <v>2.3208842986316307E-2</v>
      </c>
      <c r="J330" s="6" t="s">
        <v>7</v>
      </c>
      <c r="L330" s="6" t="s">
        <v>273</v>
      </c>
      <c r="M330" s="6" t="s">
        <v>28</v>
      </c>
      <c r="N330" s="8">
        <v>2.2117571841854831E-2</v>
      </c>
      <c r="O330" s="6" t="s">
        <v>7</v>
      </c>
    </row>
    <row r="331" spans="2:15" x14ac:dyDescent="0.45">
      <c r="B331" s="3" t="s">
        <v>271</v>
      </c>
      <c r="C331" s="3" t="s">
        <v>29</v>
      </c>
      <c r="D331" s="4">
        <v>0</v>
      </c>
      <c r="E331" s="3" t="s">
        <v>7</v>
      </c>
      <c r="G331" s="3" t="s">
        <v>272</v>
      </c>
      <c r="H331" s="3" t="s">
        <v>29</v>
      </c>
      <c r="I331" s="5">
        <v>2.7988067664355271E-2</v>
      </c>
      <c r="J331" s="3" t="s">
        <v>7</v>
      </c>
      <c r="L331" s="3" t="s">
        <v>273</v>
      </c>
      <c r="M331" s="3" t="s">
        <v>29</v>
      </c>
      <c r="N331" s="5">
        <v>3.1284202333076952E-2</v>
      </c>
      <c r="O331" s="3" t="s">
        <v>7</v>
      </c>
    </row>
    <row r="332" spans="2:15" x14ac:dyDescent="0.45">
      <c r="B332" s="6" t="s">
        <v>271</v>
      </c>
      <c r="C332" s="6" t="s">
        <v>30</v>
      </c>
      <c r="D332" s="7">
        <v>7.1429776903509946E-5</v>
      </c>
      <c r="E332" s="6" t="s">
        <v>7</v>
      </c>
      <c r="G332" s="6" t="s">
        <v>272</v>
      </c>
      <c r="H332" s="6" t="s">
        <v>30</v>
      </c>
      <c r="I332" s="8">
        <v>1.1629593539013192E-2</v>
      </c>
      <c r="J332" s="6" t="s">
        <v>7</v>
      </c>
      <c r="L332" s="6" t="s">
        <v>273</v>
      </c>
      <c r="M332" s="6" t="s">
        <v>30</v>
      </c>
      <c r="N332" s="8">
        <v>1.2228819796200397E-2</v>
      </c>
      <c r="O332" s="6" t="s">
        <v>7</v>
      </c>
    </row>
    <row r="333" spans="2:15" x14ac:dyDescent="0.45">
      <c r="B333" s="3" t="s">
        <v>271</v>
      </c>
      <c r="C333" s="3" t="s">
        <v>31</v>
      </c>
      <c r="D333" s="4">
        <v>5.4172086664071289E-3</v>
      </c>
      <c r="E333" s="3" t="s">
        <v>7</v>
      </c>
      <c r="G333" s="3" t="s">
        <v>272</v>
      </c>
      <c r="H333" s="3" t="s">
        <v>31</v>
      </c>
      <c r="I333" s="5">
        <v>1.158154775761166E-2</v>
      </c>
      <c r="J333" s="3" t="s">
        <v>7</v>
      </c>
      <c r="L333" s="3" t="s">
        <v>273</v>
      </c>
      <c r="M333" s="3" t="s">
        <v>31</v>
      </c>
      <c r="N333" s="5">
        <v>1.1769076849212809E-2</v>
      </c>
      <c r="O333" s="3" t="s">
        <v>7</v>
      </c>
    </row>
    <row r="334" spans="2:15" x14ac:dyDescent="0.45">
      <c r="B334" s="6" t="s">
        <v>271</v>
      </c>
      <c r="C334" s="6" t="s">
        <v>32</v>
      </c>
      <c r="D334" s="7">
        <v>2.7011041970141102E-2</v>
      </c>
      <c r="E334" s="6" t="s">
        <v>7</v>
      </c>
      <c r="G334" s="6" t="s">
        <v>272</v>
      </c>
      <c r="H334" s="6" t="s">
        <v>32</v>
      </c>
      <c r="I334" s="8">
        <v>1.1997572898090982E-2</v>
      </c>
      <c r="J334" s="6" t="s">
        <v>7</v>
      </c>
      <c r="L334" s="6" t="s">
        <v>273</v>
      </c>
      <c r="M334" s="6" t="s">
        <v>32</v>
      </c>
      <c r="N334" s="8">
        <v>1.1145878448550703E-2</v>
      </c>
      <c r="O334" s="6" t="s">
        <v>7</v>
      </c>
    </row>
    <row r="335" spans="2:15" x14ac:dyDescent="0.45">
      <c r="B335" s="3" t="s">
        <v>271</v>
      </c>
      <c r="C335" s="3" t="s">
        <v>33</v>
      </c>
      <c r="D335" s="4">
        <v>4.8395515492403451E-2</v>
      </c>
      <c r="E335" s="3" t="s">
        <v>7</v>
      </c>
      <c r="G335" s="3" t="s">
        <v>272</v>
      </c>
      <c r="H335" s="3" t="s">
        <v>33</v>
      </c>
      <c r="I335" s="5">
        <v>1.2271563540697861E-2</v>
      </c>
      <c r="J335" s="3" t="s">
        <v>7</v>
      </c>
      <c r="L335" s="3" t="s">
        <v>273</v>
      </c>
      <c r="M335" s="3" t="s">
        <v>33</v>
      </c>
      <c r="N335" s="5">
        <v>1.1638736880285574E-2</v>
      </c>
      <c r="O335" s="3" t="s">
        <v>7</v>
      </c>
    </row>
    <row r="336" spans="2:15" x14ac:dyDescent="0.45">
      <c r="B336" s="6" t="s">
        <v>271</v>
      </c>
      <c r="C336" s="6" t="s">
        <v>34</v>
      </c>
      <c r="D336" s="7">
        <v>5.9015360029512957E-2</v>
      </c>
      <c r="E336" s="6" t="s">
        <v>7</v>
      </c>
      <c r="G336" s="6" t="s">
        <v>272</v>
      </c>
      <c r="H336" s="6" t="s">
        <v>34</v>
      </c>
      <c r="I336" s="8">
        <v>1.3127974988656269E-2</v>
      </c>
      <c r="J336" s="6" t="s">
        <v>7</v>
      </c>
      <c r="L336" s="6" t="s">
        <v>273</v>
      </c>
      <c r="M336" s="6" t="s">
        <v>34</v>
      </c>
      <c r="N336" s="8">
        <v>1.243607563976268E-2</v>
      </c>
      <c r="O336" s="6" t="s">
        <v>7</v>
      </c>
    </row>
    <row r="337" spans="2:15" x14ac:dyDescent="0.45">
      <c r="B337" s="3" t="s">
        <v>271</v>
      </c>
      <c r="C337" s="3" t="s">
        <v>35</v>
      </c>
      <c r="D337" s="4">
        <v>5.5086544112264879E-2</v>
      </c>
      <c r="E337" s="3" t="s">
        <v>7</v>
      </c>
      <c r="G337" s="3" t="s">
        <v>272</v>
      </c>
      <c r="H337" s="3" t="s">
        <v>35</v>
      </c>
      <c r="I337" s="5">
        <v>1.3585114941806427E-2</v>
      </c>
      <c r="J337" s="3" t="s">
        <v>7</v>
      </c>
      <c r="L337" s="3" t="s">
        <v>273</v>
      </c>
      <c r="M337" s="3" t="s">
        <v>35</v>
      </c>
      <c r="N337" s="5">
        <v>1.3025038123809975E-2</v>
      </c>
      <c r="O337" s="3" t="s">
        <v>7</v>
      </c>
    </row>
    <row r="338" spans="2:15" x14ac:dyDescent="0.45">
      <c r="B338" s="6" t="s">
        <v>271</v>
      </c>
      <c r="C338" s="6" t="s">
        <v>36</v>
      </c>
      <c r="D338" s="7">
        <v>3.8060131019955735E-2</v>
      </c>
      <c r="E338" s="6" t="s">
        <v>7</v>
      </c>
      <c r="G338" s="6" t="s">
        <v>272</v>
      </c>
      <c r="H338" s="6" t="s">
        <v>36</v>
      </c>
      <c r="I338" s="8">
        <v>1.3660085836080147E-2</v>
      </c>
      <c r="J338" s="6" t="s">
        <v>7</v>
      </c>
      <c r="L338" s="6" t="s">
        <v>273</v>
      </c>
      <c r="M338" s="6" t="s">
        <v>36</v>
      </c>
      <c r="N338" s="8">
        <v>1.3155580358213795E-2</v>
      </c>
      <c r="O338" s="6" t="s">
        <v>7</v>
      </c>
    </row>
    <row r="339" spans="2:15" x14ac:dyDescent="0.45">
      <c r="B339" s="3" t="s">
        <v>271</v>
      </c>
      <c r="C339" s="3" t="s">
        <v>37</v>
      </c>
      <c r="D339" s="4">
        <v>1.3909333890065358E-2</v>
      </c>
      <c r="E339" s="3" t="s">
        <v>7</v>
      </c>
      <c r="G339" s="3" t="s">
        <v>272</v>
      </c>
      <c r="H339" s="3" t="s">
        <v>37</v>
      </c>
      <c r="I339" s="5">
        <v>1.2106050964764985E-2</v>
      </c>
      <c r="J339" s="3" t="s">
        <v>7</v>
      </c>
      <c r="L339" s="3" t="s">
        <v>273</v>
      </c>
      <c r="M339" s="3" t="s">
        <v>37</v>
      </c>
      <c r="N339" s="5">
        <v>1.356475418939943E-2</v>
      </c>
      <c r="O339" s="3" t="s">
        <v>7</v>
      </c>
    </row>
    <row r="340" spans="2:15" x14ac:dyDescent="0.45">
      <c r="B340" s="6" t="s">
        <v>271</v>
      </c>
      <c r="C340" s="6" t="s">
        <v>38</v>
      </c>
      <c r="D340" s="7">
        <v>1.074901515750236E-3</v>
      </c>
      <c r="E340" s="6" t="s">
        <v>7</v>
      </c>
      <c r="G340" s="6" t="s">
        <v>272</v>
      </c>
      <c r="H340" s="6" t="s">
        <v>38</v>
      </c>
      <c r="I340" s="8">
        <v>1.7273600524553945E-2</v>
      </c>
      <c r="J340" s="6" t="s">
        <v>7</v>
      </c>
      <c r="L340" s="6" t="s">
        <v>273</v>
      </c>
      <c r="M340" s="6" t="s">
        <v>38</v>
      </c>
      <c r="N340" s="8">
        <v>2.0091031112988093E-2</v>
      </c>
      <c r="O340" s="6" t="s">
        <v>7</v>
      </c>
    </row>
    <row r="341" spans="2:15" x14ac:dyDescent="0.45">
      <c r="B341" s="3" t="s">
        <v>271</v>
      </c>
      <c r="C341" s="3" t="s">
        <v>39</v>
      </c>
      <c r="D341" s="4">
        <v>0</v>
      </c>
      <c r="E341" s="3" t="s">
        <v>7</v>
      </c>
      <c r="G341" s="3" t="s">
        <v>272</v>
      </c>
      <c r="H341" s="3" t="s">
        <v>39</v>
      </c>
      <c r="I341" s="5">
        <v>1.8751985531923879E-2</v>
      </c>
      <c r="J341" s="3" t="s">
        <v>7</v>
      </c>
      <c r="L341" s="3" t="s">
        <v>273</v>
      </c>
      <c r="M341" s="3" t="s">
        <v>39</v>
      </c>
      <c r="N341" s="5">
        <v>2.197012866835879E-2</v>
      </c>
      <c r="O341" s="3" t="s">
        <v>7</v>
      </c>
    </row>
    <row r="342" spans="2:15" x14ac:dyDescent="0.45">
      <c r="B342" s="6" t="s">
        <v>271</v>
      </c>
      <c r="C342" s="6" t="s">
        <v>40</v>
      </c>
      <c r="D342" s="7">
        <v>1.0620747986886915E-5</v>
      </c>
      <c r="E342" s="6" t="s">
        <v>7</v>
      </c>
      <c r="G342" s="6" t="s">
        <v>272</v>
      </c>
      <c r="H342" s="6" t="s">
        <v>40</v>
      </c>
      <c r="I342" s="8">
        <v>7.4306306778848868E-3</v>
      </c>
      <c r="J342" s="6" t="s">
        <v>7</v>
      </c>
      <c r="L342" s="6" t="s">
        <v>273</v>
      </c>
      <c r="M342" s="6" t="s">
        <v>40</v>
      </c>
      <c r="N342" s="8">
        <v>8.3406126528728815E-3</v>
      </c>
      <c r="O342" s="6" t="s">
        <v>7</v>
      </c>
    </row>
    <row r="343" spans="2:15" x14ac:dyDescent="0.45">
      <c r="B343" s="3" t="s">
        <v>271</v>
      </c>
      <c r="C343" s="3" t="s">
        <v>41</v>
      </c>
      <c r="D343" s="4">
        <v>3.5571944288030188E-3</v>
      </c>
      <c r="E343" s="3" t="s">
        <v>7</v>
      </c>
      <c r="G343" s="3" t="s">
        <v>272</v>
      </c>
      <c r="H343" s="3" t="s">
        <v>41</v>
      </c>
      <c r="I343" s="5">
        <v>7.3629695380163195E-3</v>
      </c>
      <c r="J343" s="3" t="s">
        <v>7</v>
      </c>
      <c r="L343" s="3" t="s">
        <v>273</v>
      </c>
      <c r="M343" s="3" t="s">
        <v>41</v>
      </c>
      <c r="N343" s="5">
        <v>8.3153048918402864E-3</v>
      </c>
      <c r="O343" s="3" t="s">
        <v>7</v>
      </c>
    </row>
    <row r="344" spans="2:15" x14ac:dyDescent="0.45">
      <c r="B344" s="6" t="s">
        <v>271</v>
      </c>
      <c r="C344" s="6" t="s">
        <v>42</v>
      </c>
      <c r="D344" s="7">
        <v>2.5154345880504601E-2</v>
      </c>
      <c r="E344" s="6" t="s">
        <v>7</v>
      </c>
      <c r="G344" s="6" t="s">
        <v>272</v>
      </c>
      <c r="H344" s="6" t="s">
        <v>42</v>
      </c>
      <c r="I344" s="8">
        <v>7.7632094917755891E-3</v>
      </c>
      <c r="J344" s="6" t="s">
        <v>7</v>
      </c>
      <c r="L344" s="6" t="s">
        <v>273</v>
      </c>
      <c r="M344" s="6" t="s">
        <v>42</v>
      </c>
      <c r="N344" s="8">
        <v>8.0792577368066915E-3</v>
      </c>
      <c r="O344" s="6" t="s">
        <v>7</v>
      </c>
    </row>
    <row r="345" spans="2:15" x14ac:dyDescent="0.45">
      <c r="B345" s="3" t="s">
        <v>271</v>
      </c>
      <c r="C345" s="3" t="s">
        <v>43</v>
      </c>
      <c r="D345" s="4">
        <v>4.6868149725453161E-2</v>
      </c>
      <c r="E345" s="3" t="s">
        <v>7</v>
      </c>
      <c r="G345" s="3" t="s">
        <v>272</v>
      </c>
      <c r="H345" s="3" t="s">
        <v>43</v>
      </c>
      <c r="I345" s="5">
        <v>7.8970001801348267E-3</v>
      </c>
      <c r="J345" s="3" t="s">
        <v>7</v>
      </c>
      <c r="L345" s="3" t="s">
        <v>273</v>
      </c>
      <c r="M345" s="3" t="s">
        <v>43</v>
      </c>
      <c r="N345" s="5">
        <v>9.1670310777939457E-3</v>
      </c>
      <c r="O345" s="3" t="s">
        <v>7</v>
      </c>
    </row>
    <row r="346" spans="2:15" x14ac:dyDescent="0.45">
      <c r="B346" s="6" t="s">
        <v>271</v>
      </c>
      <c r="C346" s="6" t="s">
        <v>44</v>
      </c>
      <c r="D346" s="7">
        <v>5.6414680385378717E-2</v>
      </c>
      <c r="E346" s="6" t="s">
        <v>7</v>
      </c>
      <c r="G346" s="6" t="s">
        <v>272</v>
      </c>
      <c r="H346" s="6" t="s">
        <v>44</v>
      </c>
      <c r="I346" s="8">
        <v>8.8776477580900428E-3</v>
      </c>
      <c r="J346" s="6" t="s">
        <v>7</v>
      </c>
      <c r="L346" s="6" t="s">
        <v>273</v>
      </c>
      <c r="M346" s="6" t="s">
        <v>44</v>
      </c>
      <c r="N346" s="8">
        <v>1.0324089187772802E-2</v>
      </c>
      <c r="O346" s="6" t="s">
        <v>7</v>
      </c>
    </row>
    <row r="347" spans="2:15" x14ac:dyDescent="0.45">
      <c r="B347" s="3" t="s">
        <v>271</v>
      </c>
      <c r="C347" s="3" t="s">
        <v>45</v>
      </c>
      <c r="D347" s="4">
        <v>5.4931995178114555E-2</v>
      </c>
      <c r="E347" s="3" t="s">
        <v>7</v>
      </c>
      <c r="G347" s="3" t="s">
        <v>272</v>
      </c>
      <c r="H347" s="3" t="s">
        <v>45</v>
      </c>
      <c r="I347" s="5">
        <v>9.3890294665484892E-3</v>
      </c>
      <c r="J347" s="3" t="s">
        <v>7</v>
      </c>
      <c r="L347" s="3" t="s">
        <v>273</v>
      </c>
      <c r="M347" s="3" t="s">
        <v>45</v>
      </c>
      <c r="N347" s="5">
        <v>1.1421633668446687E-2</v>
      </c>
      <c r="O347" s="3" t="s">
        <v>7</v>
      </c>
    </row>
    <row r="348" spans="2:15" x14ac:dyDescent="0.45">
      <c r="B348" s="6" t="s">
        <v>271</v>
      </c>
      <c r="C348" s="6" t="s">
        <v>46</v>
      </c>
      <c r="D348" s="7">
        <v>3.7759208019084785E-2</v>
      </c>
      <c r="E348" s="6" t="s">
        <v>7</v>
      </c>
      <c r="G348" s="6" t="s">
        <v>272</v>
      </c>
      <c r="H348" s="6" t="s">
        <v>46</v>
      </c>
      <c r="I348" s="8">
        <v>8.9156256104458414E-3</v>
      </c>
      <c r="J348" s="6" t="s">
        <v>7</v>
      </c>
      <c r="L348" s="6" t="s">
        <v>273</v>
      </c>
      <c r="M348" s="6" t="s">
        <v>46</v>
      </c>
      <c r="N348" s="8">
        <v>1.1574005969071143E-2</v>
      </c>
      <c r="O348" s="6" t="s">
        <v>7</v>
      </c>
    </row>
    <row r="349" spans="2:15" x14ac:dyDescent="0.45">
      <c r="B349" s="3" t="s">
        <v>271</v>
      </c>
      <c r="C349" s="3" t="s">
        <v>47</v>
      </c>
      <c r="D349" s="4">
        <v>1.2977687279051743E-2</v>
      </c>
      <c r="E349" s="3" t="s">
        <v>7</v>
      </c>
      <c r="G349" s="3" t="s">
        <v>272</v>
      </c>
      <c r="H349" s="3" t="s">
        <v>47</v>
      </c>
      <c r="I349" s="5">
        <v>7.6760028210506462E-3</v>
      </c>
      <c r="J349" s="3" t="s">
        <v>7</v>
      </c>
      <c r="L349" s="3" t="s">
        <v>273</v>
      </c>
      <c r="M349" s="3" t="s">
        <v>47</v>
      </c>
      <c r="N349" s="5">
        <v>1.097609847182424E-2</v>
      </c>
      <c r="O349" s="3" t="s">
        <v>7</v>
      </c>
    </row>
    <row r="350" spans="2:15" x14ac:dyDescent="0.45">
      <c r="B350" s="6" t="s">
        <v>271</v>
      </c>
      <c r="C350" s="6" t="s">
        <v>48</v>
      </c>
      <c r="D350" s="7">
        <v>8.0558507013578872E-4</v>
      </c>
      <c r="E350" s="6" t="s">
        <v>7</v>
      </c>
      <c r="G350" s="6" t="s">
        <v>272</v>
      </c>
      <c r="H350" s="6" t="s">
        <v>48</v>
      </c>
      <c r="I350" s="8">
        <v>1.0989121936677251E-2</v>
      </c>
      <c r="J350" s="6" t="s">
        <v>7</v>
      </c>
      <c r="L350" s="6" t="s">
        <v>273</v>
      </c>
      <c r="M350" s="6" t="s">
        <v>48</v>
      </c>
      <c r="N350" s="8">
        <v>1.5293501148218442E-2</v>
      </c>
      <c r="O350" s="6" t="s">
        <v>7</v>
      </c>
    </row>
    <row r="351" spans="2:15" x14ac:dyDescent="0.45">
      <c r="B351" s="3" t="s">
        <v>271</v>
      </c>
      <c r="C351" s="3" t="s">
        <v>49</v>
      </c>
      <c r="D351" s="4">
        <v>0</v>
      </c>
      <c r="E351" s="3" t="s">
        <v>7</v>
      </c>
      <c r="G351" s="3" t="s">
        <v>272</v>
      </c>
      <c r="H351" s="3" t="s">
        <v>49</v>
      </c>
      <c r="I351" s="5">
        <v>2.9944339202969138E-2</v>
      </c>
      <c r="J351" s="3" t="s">
        <v>7</v>
      </c>
      <c r="L351" s="3" t="s">
        <v>273</v>
      </c>
      <c r="M351" s="3" t="s">
        <v>49</v>
      </c>
      <c r="N351" s="5">
        <v>3.4208659902791025E-2</v>
      </c>
      <c r="O351" s="3" t="s">
        <v>7</v>
      </c>
    </row>
    <row r="352" spans="2:15" x14ac:dyDescent="0.45">
      <c r="B352" s="6" t="s">
        <v>271</v>
      </c>
      <c r="C352" s="6" t="s">
        <v>50</v>
      </c>
      <c r="D352" s="7">
        <v>0</v>
      </c>
      <c r="E352" s="6" t="s">
        <v>7</v>
      </c>
      <c r="G352" s="6" t="s">
        <v>272</v>
      </c>
      <c r="H352" s="6" t="s">
        <v>50</v>
      </c>
      <c r="I352" s="8">
        <v>1.2330409027198392E-2</v>
      </c>
      <c r="J352" s="6" t="s">
        <v>7</v>
      </c>
      <c r="L352" s="6" t="s">
        <v>273</v>
      </c>
      <c r="M352" s="6" t="s">
        <v>50</v>
      </c>
      <c r="N352" s="8">
        <v>1.4234344091800012E-2</v>
      </c>
      <c r="O352" s="6" t="s">
        <v>7</v>
      </c>
    </row>
    <row r="353" spans="2:15" x14ac:dyDescent="0.45">
      <c r="B353" s="3" t="s">
        <v>271</v>
      </c>
      <c r="C353" s="3" t="s">
        <v>51</v>
      </c>
      <c r="D353" s="4">
        <v>2.0449548233886277E-4</v>
      </c>
      <c r="E353" s="3" t="s">
        <v>7</v>
      </c>
      <c r="G353" s="3" t="s">
        <v>272</v>
      </c>
      <c r="H353" s="3" t="s">
        <v>51</v>
      </c>
      <c r="I353" s="5">
        <v>1.2634594740429425E-2</v>
      </c>
      <c r="J353" s="3" t="s">
        <v>7</v>
      </c>
      <c r="L353" s="3" t="s">
        <v>273</v>
      </c>
      <c r="M353" s="3" t="s">
        <v>51</v>
      </c>
      <c r="N353" s="5">
        <v>1.4804517522537405E-2</v>
      </c>
      <c r="O353" s="3" t="s">
        <v>7</v>
      </c>
    </row>
    <row r="354" spans="2:15" x14ac:dyDescent="0.45">
      <c r="B354" s="6" t="s">
        <v>271</v>
      </c>
      <c r="C354" s="6" t="s">
        <v>52</v>
      </c>
      <c r="D354" s="7">
        <v>1.1145559537471858E-2</v>
      </c>
      <c r="E354" s="6" t="s">
        <v>7</v>
      </c>
      <c r="G354" s="6" t="s">
        <v>272</v>
      </c>
      <c r="H354" s="6" t="s">
        <v>52</v>
      </c>
      <c r="I354" s="8">
        <v>1.358434826051407E-2</v>
      </c>
      <c r="J354" s="6" t="s">
        <v>7</v>
      </c>
      <c r="L354" s="6" t="s">
        <v>273</v>
      </c>
      <c r="M354" s="6" t="s">
        <v>52</v>
      </c>
      <c r="N354" s="8">
        <v>1.5009780186973383E-2</v>
      </c>
      <c r="O354" s="6" t="s">
        <v>7</v>
      </c>
    </row>
    <row r="355" spans="2:15" x14ac:dyDescent="0.45">
      <c r="B355" s="3" t="s">
        <v>271</v>
      </c>
      <c r="C355" s="3" t="s">
        <v>53</v>
      </c>
      <c r="D355" s="4">
        <v>3.2720923088884038E-2</v>
      </c>
      <c r="E355" s="3" t="s">
        <v>7</v>
      </c>
      <c r="G355" s="3" t="s">
        <v>272</v>
      </c>
      <c r="H355" s="3" t="s">
        <v>53</v>
      </c>
      <c r="I355" s="5">
        <v>1.4707858025948132E-2</v>
      </c>
      <c r="J355" s="3" t="s">
        <v>7</v>
      </c>
      <c r="L355" s="3" t="s">
        <v>273</v>
      </c>
      <c r="M355" s="3" t="s">
        <v>53</v>
      </c>
      <c r="N355" s="5">
        <v>1.5107071359520387E-2</v>
      </c>
      <c r="O355" s="3" t="s">
        <v>7</v>
      </c>
    </row>
    <row r="356" spans="2:15" x14ac:dyDescent="0.45">
      <c r="B356" s="6" t="s">
        <v>271</v>
      </c>
      <c r="C356" s="6" t="s">
        <v>54</v>
      </c>
      <c r="D356" s="7">
        <v>3.8557746267188713E-2</v>
      </c>
      <c r="E356" s="6" t="s">
        <v>7</v>
      </c>
      <c r="G356" s="6" t="s">
        <v>272</v>
      </c>
      <c r="H356" s="6" t="s">
        <v>54</v>
      </c>
      <c r="I356" s="8">
        <v>1.5586362397221313E-2</v>
      </c>
      <c r="J356" s="6" t="s">
        <v>7</v>
      </c>
      <c r="L356" s="6" t="s">
        <v>273</v>
      </c>
      <c r="M356" s="6" t="s">
        <v>54</v>
      </c>
      <c r="N356" s="8">
        <v>1.5123187542123587E-2</v>
      </c>
      <c r="O356" s="6" t="s">
        <v>7</v>
      </c>
    </row>
    <row r="357" spans="2:15" x14ac:dyDescent="0.45">
      <c r="B357" s="3" t="s">
        <v>271</v>
      </c>
      <c r="C357" s="3" t="s">
        <v>55</v>
      </c>
      <c r="D357" s="4">
        <v>3.2877382793594943E-2</v>
      </c>
      <c r="E357" s="3" t="s">
        <v>7</v>
      </c>
      <c r="G357" s="3" t="s">
        <v>272</v>
      </c>
      <c r="H357" s="3" t="s">
        <v>55</v>
      </c>
      <c r="I357" s="5">
        <v>1.5068827629203085E-2</v>
      </c>
      <c r="J357" s="3" t="s">
        <v>7</v>
      </c>
      <c r="L357" s="3" t="s">
        <v>273</v>
      </c>
      <c r="M357" s="3" t="s">
        <v>55</v>
      </c>
      <c r="N357" s="5">
        <v>1.5050354096678627E-2</v>
      </c>
      <c r="O357" s="3" t="s">
        <v>7</v>
      </c>
    </row>
    <row r="358" spans="2:15" x14ac:dyDescent="0.45">
      <c r="B358" s="6" t="s">
        <v>271</v>
      </c>
      <c r="C358" s="6" t="s">
        <v>56</v>
      </c>
      <c r="D358" s="7">
        <v>1.6921631176484674E-2</v>
      </c>
      <c r="E358" s="6" t="s">
        <v>7</v>
      </c>
      <c r="G358" s="6" t="s">
        <v>272</v>
      </c>
      <c r="H358" s="6" t="s">
        <v>56</v>
      </c>
      <c r="I358" s="8">
        <v>1.3147310267061701E-2</v>
      </c>
      <c r="J358" s="6" t="s">
        <v>7</v>
      </c>
      <c r="L358" s="6" t="s">
        <v>273</v>
      </c>
      <c r="M358" s="6" t="s">
        <v>56</v>
      </c>
      <c r="N358" s="8">
        <v>1.4926357617604616E-2</v>
      </c>
      <c r="O358" s="6" t="s">
        <v>7</v>
      </c>
    </row>
    <row r="359" spans="2:15" x14ac:dyDescent="0.45">
      <c r="B359" s="3" t="s">
        <v>271</v>
      </c>
      <c r="C359" s="3" t="s">
        <v>57</v>
      </c>
      <c r="D359" s="4">
        <v>1.9651500824794236E-3</v>
      </c>
      <c r="E359" s="3" t="s">
        <v>7</v>
      </c>
      <c r="G359" s="3" t="s">
        <v>272</v>
      </c>
      <c r="H359" s="3" t="s">
        <v>57</v>
      </c>
      <c r="I359" s="5">
        <v>1.2725997488514218E-2</v>
      </c>
      <c r="J359" s="3" t="s">
        <v>7</v>
      </c>
      <c r="L359" s="3" t="s">
        <v>273</v>
      </c>
      <c r="M359" s="3" t="s">
        <v>57</v>
      </c>
      <c r="N359" s="5">
        <v>1.4574547422242087E-2</v>
      </c>
      <c r="O359" s="3" t="s">
        <v>7</v>
      </c>
    </row>
    <row r="360" spans="2:15" x14ac:dyDescent="0.45">
      <c r="B360" s="6" t="s">
        <v>271</v>
      </c>
      <c r="C360" s="6" t="s">
        <v>58</v>
      </c>
      <c r="D360" s="7">
        <v>0</v>
      </c>
      <c r="E360" s="6" t="s">
        <v>7</v>
      </c>
      <c r="G360" s="6" t="s">
        <v>272</v>
      </c>
      <c r="H360" s="6" t="s">
        <v>58</v>
      </c>
      <c r="I360" s="8">
        <v>1.9220531408846758E-2</v>
      </c>
      <c r="J360" s="6" t="s">
        <v>7</v>
      </c>
      <c r="L360" s="6" t="s">
        <v>273</v>
      </c>
      <c r="M360" s="6" t="s">
        <v>58</v>
      </c>
      <c r="N360" s="8">
        <v>2.1428552810294644E-2</v>
      </c>
      <c r="O360" s="6" t="s">
        <v>7</v>
      </c>
    </row>
    <row r="361" spans="2:15" x14ac:dyDescent="0.45">
      <c r="B361" s="3" t="s">
        <v>271</v>
      </c>
      <c r="C361" s="3" t="s">
        <v>59</v>
      </c>
      <c r="D361" s="4">
        <v>0</v>
      </c>
      <c r="E361" s="3" t="s">
        <v>7</v>
      </c>
      <c r="G361" s="3" t="s">
        <v>272</v>
      </c>
      <c r="H361" s="3" t="s">
        <v>59</v>
      </c>
      <c r="I361" s="5">
        <v>4.788273405963523E-2</v>
      </c>
      <c r="J361" s="3" t="s">
        <v>7</v>
      </c>
      <c r="L361" s="3" t="s">
        <v>273</v>
      </c>
      <c r="M361" s="3" t="s">
        <v>59</v>
      </c>
      <c r="N361" s="5">
        <v>4.0398298361093377E-2</v>
      </c>
      <c r="O361" s="3" t="s">
        <v>7</v>
      </c>
    </row>
    <row r="362" spans="2:15" x14ac:dyDescent="0.45">
      <c r="B362" s="6" t="s">
        <v>271</v>
      </c>
      <c r="C362" s="6" t="s">
        <v>60</v>
      </c>
      <c r="D362" s="7">
        <v>0</v>
      </c>
      <c r="E362" s="6" t="s">
        <v>7</v>
      </c>
      <c r="G362" s="6" t="s">
        <v>272</v>
      </c>
      <c r="H362" s="6" t="s">
        <v>60</v>
      </c>
      <c r="I362" s="8">
        <v>1.8531675580190601E-2</v>
      </c>
      <c r="J362" s="6" t="s">
        <v>7</v>
      </c>
      <c r="L362" s="6" t="s">
        <v>273</v>
      </c>
      <c r="M362" s="6" t="s">
        <v>60</v>
      </c>
      <c r="N362" s="8">
        <v>1.5935146779899264E-2</v>
      </c>
      <c r="O362" s="6" t="s">
        <v>7</v>
      </c>
    </row>
    <row r="363" spans="2:15" x14ac:dyDescent="0.45">
      <c r="B363" s="3" t="s">
        <v>271</v>
      </c>
      <c r="C363" s="3" t="s">
        <v>61</v>
      </c>
      <c r="D363" s="4">
        <v>0</v>
      </c>
      <c r="E363" s="3" t="s">
        <v>7</v>
      </c>
      <c r="G363" s="3" t="s">
        <v>272</v>
      </c>
      <c r="H363" s="3" t="s">
        <v>61</v>
      </c>
      <c r="I363" s="5">
        <v>1.8805721477607115E-2</v>
      </c>
      <c r="J363" s="3" t="s">
        <v>7</v>
      </c>
      <c r="L363" s="3" t="s">
        <v>273</v>
      </c>
      <c r="M363" s="3" t="s">
        <v>61</v>
      </c>
      <c r="N363" s="5">
        <v>1.5831518992202594E-2</v>
      </c>
      <c r="O363" s="3" t="s">
        <v>7</v>
      </c>
    </row>
    <row r="364" spans="2:15" x14ac:dyDescent="0.45">
      <c r="B364" s="6" t="s">
        <v>271</v>
      </c>
      <c r="C364" s="6" t="s">
        <v>62</v>
      </c>
      <c r="D364" s="7">
        <v>2.1566282383913759E-3</v>
      </c>
      <c r="E364" s="6" t="s">
        <v>7</v>
      </c>
      <c r="G364" s="6" t="s">
        <v>272</v>
      </c>
      <c r="H364" s="6" t="s">
        <v>62</v>
      </c>
      <c r="I364" s="8">
        <v>1.8812125096339612E-2</v>
      </c>
      <c r="J364" s="6" t="s">
        <v>7</v>
      </c>
      <c r="L364" s="6" t="s">
        <v>273</v>
      </c>
      <c r="M364" s="6" t="s">
        <v>62</v>
      </c>
      <c r="N364" s="8">
        <v>1.5654932735189739E-2</v>
      </c>
      <c r="O364" s="6" t="s">
        <v>7</v>
      </c>
    </row>
    <row r="365" spans="2:15" x14ac:dyDescent="0.45">
      <c r="B365" s="3" t="s">
        <v>271</v>
      </c>
      <c r="C365" s="3" t="s">
        <v>63</v>
      </c>
      <c r="D365" s="4">
        <v>2.1395669571475727E-2</v>
      </c>
      <c r="E365" s="3" t="s">
        <v>7</v>
      </c>
      <c r="G365" s="3" t="s">
        <v>272</v>
      </c>
      <c r="H365" s="3" t="s">
        <v>63</v>
      </c>
      <c r="I365" s="5">
        <v>1.7705806836168261E-2</v>
      </c>
      <c r="J365" s="3" t="s">
        <v>7</v>
      </c>
      <c r="L365" s="3" t="s">
        <v>273</v>
      </c>
      <c r="M365" s="3" t="s">
        <v>63</v>
      </c>
      <c r="N365" s="5">
        <v>1.5623840992614052E-2</v>
      </c>
      <c r="O365" s="3" t="s">
        <v>7</v>
      </c>
    </row>
    <row r="366" spans="2:15" x14ac:dyDescent="0.45">
      <c r="B366" s="6" t="s">
        <v>271</v>
      </c>
      <c r="C366" s="6" t="s">
        <v>64</v>
      </c>
      <c r="D366" s="7">
        <v>3.4700989232313982E-2</v>
      </c>
      <c r="E366" s="6" t="s">
        <v>7</v>
      </c>
      <c r="G366" s="6" t="s">
        <v>272</v>
      </c>
      <c r="H366" s="6" t="s">
        <v>64</v>
      </c>
      <c r="I366" s="8">
        <v>1.7719685755596685E-2</v>
      </c>
      <c r="J366" s="6" t="s">
        <v>7</v>
      </c>
      <c r="L366" s="6" t="s">
        <v>273</v>
      </c>
      <c r="M366" s="6" t="s">
        <v>64</v>
      </c>
      <c r="N366" s="8">
        <v>1.5414675498631451E-2</v>
      </c>
      <c r="O366" s="6" t="s">
        <v>7</v>
      </c>
    </row>
    <row r="367" spans="2:15" x14ac:dyDescent="0.45">
      <c r="B367" s="3" t="s">
        <v>271</v>
      </c>
      <c r="C367" s="3" t="s">
        <v>65</v>
      </c>
      <c r="D367" s="4">
        <v>2.4199223563019651E-2</v>
      </c>
      <c r="E367" s="3" t="s">
        <v>7</v>
      </c>
      <c r="G367" s="3" t="s">
        <v>272</v>
      </c>
      <c r="H367" s="3" t="s">
        <v>65</v>
      </c>
      <c r="I367" s="5">
        <v>1.8343942295603474E-2</v>
      </c>
      <c r="J367" s="3" t="s">
        <v>7</v>
      </c>
      <c r="L367" s="3" t="s">
        <v>273</v>
      </c>
      <c r="M367" s="3" t="s">
        <v>65</v>
      </c>
      <c r="N367" s="5">
        <v>1.5714354113262052E-2</v>
      </c>
      <c r="O367" s="3" t="s">
        <v>7</v>
      </c>
    </row>
    <row r="368" spans="2:15" x14ac:dyDescent="0.45">
      <c r="B368" s="6" t="s">
        <v>271</v>
      </c>
      <c r="C368" s="6" t="s">
        <v>66</v>
      </c>
      <c r="D368" s="7">
        <v>5.0315990499779535E-3</v>
      </c>
      <c r="E368" s="6" t="s">
        <v>7</v>
      </c>
      <c r="G368" s="6" t="s">
        <v>272</v>
      </c>
      <c r="H368" s="6" t="s">
        <v>66</v>
      </c>
      <c r="I368" s="8">
        <v>1.8323124229757386E-2</v>
      </c>
      <c r="J368" s="6" t="s">
        <v>7</v>
      </c>
      <c r="L368" s="6" t="s">
        <v>273</v>
      </c>
      <c r="M368" s="6" t="s">
        <v>66</v>
      </c>
      <c r="N368" s="8">
        <v>1.6251608928048718E-2</v>
      </c>
      <c r="O368" s="6" t="s">
        <v>7</v>
      </c>
    </row>
    <row r="369" spans="2:15" x14ac:dyDescent="0.45">
      <c r="B369" s="3" t="s">
        <v>271</v>
      </c>
      <c r="C369" s="3" t="s">
        <v>67</v>
      </c>
      <c r="D369" s="4">
        <v>0</v>
      </c>
      <c r="E369" s="3" t="s">
        <v>7</v>
      </c>
      <c r="G369" s="3" t="s">
        <v>272</v>
      </c>
      <c r="H369" s="3" t="s">
        <v>67</v>
      </c>
      <c r="I369" s="5">
        <v>1.8997661030857805E-2</v>
      </c>
      <c r="J369" s="3" t="s">
        <v>7</v>
      </c>
      <c r="L369" s="3" t="s">
        <v>273</v>
      </c>
      <c r="M369" s="3" t="s">
        <v>67</v>
      </c>
      <c r="N369" s="5">
        <v>1.625416135510796E-2</v>
      </c>
      <c r="O369" s="3" t="s">
        <v>7</v>
      </c>
    </row>
    <row r="370" spans="2:15" x14ac:dyDescent="0.45">
      <c r="B370" s="6" t="s">
        <v>271</v>
      </c>
      <c r="C370" s="6" t="s">
        <v>68</v>
      </c>
      <c r="D370" s="7">
        <v>0</v>
      </c>
      <c r="E370" s="6" t="s">
        <v>7</v>
      </c>
      <c r="G370" s="6" t="s">
        <v>272</v>
      </c>
      <c r="H370" s="6" t="s">
        <v>68</v>
      </c>
      <c r="I370" s="8">
        <v>3.0315320600392735E-2</v>
      </c>
      <c r="J370" s="6" t="s">
        <v>7</v>
      </c>
      <c r="L370" s="6" t="s">
        <v>273</v>
      </c>
      <c r="M370" s="6" t="s">
        <v>68</v>
      </c>
      <c r="N370" s="8">
        <v>2.5279751301073863E-2</v>
      </c>
      <c r="O370" s="6" t="s">
        <v>7</v>
      </c>
    </row>
    <row r="371" spans="2:15" x14ac:dyDescent="0.45">
      <c r="B371" s="3" t="s">
        <v>274</v>
      </c>
      <c r="C371" s="3" t="s">
        <v>6</v>
      </c>
      <c r="D371" s="4">
        <v>0</v>
      </c>
      <c r="E371" s="3" t="s">
        <v>7</v>
      </c>
      <c r="G371" s="3" t="s">
        <v>275</v>
      </c>
      <c r="H371" s="3" t="s">
        <v>6</v>
      </c>
      <c r="I371" s="5">
        <v>3.8650540152692543E-2</v>
      </c>
      <c r="J371" s="3" t="s">
        <v>7</v>
      </c>
      <c r="L371" s="3" t="s">
        <v>276</v>
      </c>
      <c r="M371" s="3" t="s">
        <v>6</v>
      </c>
      <c r="N371" s="5">
        <v>3.8573203690142485E-2</v>
      </c>
      <c r="O371" s="3" t="s">
        <v>7</v>
      </c>
    </row>
    <row r="372" spans="2:15" x14ac:dyDescent="0.45">
      <c r="B372" s="6" t="s">
        <v>274</v>
      </c>
      <c r="C372" s="6" t="s">
        <v>10</v>
      </c>
      <c r="D372" s="7">
        <v>0</v>
      </c>
      <c r="E372" s="6" t="s">
        <v>7</v>
      </c>
      <c r="G372" s="6" t="s">
        <v>275</v>
      </c>
      <c r="H372" s="6" t="s">
        <v>10</v>
      </c>
      <c r="I372" s="8">
        <v>1.4835499308590711E-2</v>
      </c>
      <c r="J372" s="6" t="s">
        <v>7</v>
      </c>
      <c r="L372" s="6" t="s">
        <v>276</v>
      </c>
      <c r="M372" s="6" t="s">
        <v>10</v>
      </c>
      <c r="N372" s="8">
        <v>1.5438742258864033E-2</v>
      </c>
      <c r="O372" s="6" t="s">
        <v>7</v>
      </c>
    </row>
    <row r="373" spans="2:15" x14ac:dyDescent="0.45">
      <c r="B373" s="3" t="s">
        <v>274</v>
      </c>
      <c r="C373" s="3" t="s">
        <v>11</v>
      </c>
      <c r="D373" s="4">
        <v>0</v>
      </c>
      <c r="E373" s="3" t="s">
        <v>7</v>
      </c>
      <c r="G373" s="3" t="s">
        <v>275</v>
      </c>
      <c r="H373" s="3" t="s">
        <v>11</v>
      </c>
      <c r="I373" s="5">
        <v>1.4304468400501584E-2</v>
      </c>
      <c r="J373" s="3" t="s">
        <v>7</v>
      </c>
      <c r="L373" s="3" t="s">
        <v>276</v>
      </c>
      <c r="M373" s="3" t="s">
        <v>11</v>
      </c>
      <c r="N373" s="5">
        <v>1.5548991784074331E-2</v>
      </c>
      <c r="O373" s="3" t="s">
        <v>7</v>
      </c>
    </row>
    <row r="374" spans="2:15" x14ac:dyDescent="0.45">
      <c r="B374" s="6" t="s">
        <v>274</v>
      </c>
      <c r="C374" s="6" t="s">
        <v>12</v>
      </c>
      <c r="D374" s="7">
        <v>1.7829518433218677E-3</v>
      </c>
      <c r="E374" s="6" t="s">
        <v>7</v>
      </c>
      <c r="G374" s="6" t="s">
        <v>275</v>
      </c>
      <c r="H374" s="6" t="s">
        <v>12</v>
      </c>
      <c r="I374" s="8">
        <v>1.4406323873824668E-2</v>
      </c>
      <c r="J374" s="6" t="s">
        <v>7</v>
      </c>
      <c r="L374" s="6" t="s">
        <v>276</v>
      </c>
      <c r="M374" s="6" t="s">
        <v>12</v>
      </c>
      <c r="N374" s="8">
        <v>1.506011393754835E-2</v>
      </c>
      <c r="O374" s="6" t="s">
        <v>7</v>
      </c>
    </row>
    <row r="375" spans="2:15" x14ac:dyDescent="0.45">
      <c r="B375" s="3" t="s">
        <v>274</v>
      </c>
      <c r="C375" s="3" t="s">
        <v>13</v>
      </c>
      <c r="D375" s="4">
        <v>1.7631612892586086E-2</v>
      </c>
      <c r="E375" s="3" t="s">
        <v>7</v>
      </c>
      <c r="G375" s="3" t="s">
        <v>275</v>
      </c>
      <c r="H375" s="3" t="s">
        <v>13</v>
      </c>
      <c r="I375" s="5">
        <v>1.4806910297573226E-2</v>
      </c>
      <c r="J375" s="3" t="s">
        <v>7</v>
      </c>
      <c r="L375" s="3" t="s">
        <v>276</v>
      </c>
      <c r="M375" s="3" t="s">
        <v>13</v>
      </c>
      <c r="N375" s="5">
        <v>1.4937822860398887E-2</v>
      </c>
      <c r="O375" s="3" t="s">
        <v>7</v>
      </c>
    </row>
    <row r="376" spans="2:15" x14ac:dyDescent="0.45">
      <c r="B376" s="6" t="s">
        <v>274</v>
      </c>
      <c r="C376" s="6" t="s">
        <v>14</v>
      </c>
      <c r="D376" s="7">
        <v>3.0272812419878611E-2</v>
      </c>
      <c r="E376" s="6" t="s">
        <v>7</v>
      </c>
      <c r="G376" s="6" t="s">
        <v>275</v>
      </c>
      <c r="H376" s="6" t="s">
        <v>14</v>
      </c>
      <c r="I376" s="8">
        <v>1.5515440325632159E-2</v>
      </c>
      <c r="J376" s="6" t="s">
        <v>7</v>
      </c>
      <c r="L376" s="6" t="s">
        <v>276</v>
      </c>
      <c r="M376" s="6" t="s">
        <v>14</v>
      </c>
      <c r="N376" s="8">
        <v>1.4715689378743848E-2</v>
      </c>
      <c r="O376" s="6" t="s">
        <v>7</v>
      </c>
    </row>
    <row r="377" spans="2:15" x14ac:dyDescent="0.45">
      <c r="B377" s="3" t="s">
        <v>274</v>
      </c>
      <c r="C377" s="3" t="s">
        <v>15</v>
      </c>
      <c r="D377" s="4">
        <v>2.7132901411711981E-2</v>
      </c>
      <c r="E377" s="3" t="s">
        <v>7</v>
      </c>
      <c r="G377" s="3" t="s">
        <v>275</v>
      </c>
      <c r="H377" s="3" t="s">
        <v>15</v>
      </c>
      <c r="I377" s="5">
        <v>1.5536206454599858E-2</v>
      </c>
      <c r="J377" s="3" t="s">
        <v>7</v>
      </c>
      <c r="L377" s="3" t="s">
        <v>276</v>
      </c>
      <c r="M377" s="3" t="s">
        <v>15</v>
      </c>
      <c r="N377" s="5">
        <v>1.4655011734962845E-2</v>
      </c>
      <c r="O377" s="3" t="s">
        <v>7</v>
      </c>
    </row>
    <row r="378" spans="2:15" x14ac:dyDescent="0.45">
      <c r="B378" s="6" t="s">
        <v>274</v>
      </c>
      <c r="C378" s="6" t="s">
        <v>16</v>
      </c>
      <c r="D378" s="7">
        <v>1.1693140041503637E-2</v>
      </c>
      <c r="E378" s="6" t="s">
        <v>7</v>
      </c>
      <c r="G378" s="6" t="s">
        <v>275</v>
      </c>
      <c r="H378" s="6" t="s">
        <v>16</v>
      </c>
      <c r="I378" s="8">
        <v>1.5058381329220782E-2</v>
      </c>
      <c r="J378" s="6" t="s">
        <v>7</v>
      </c>
      <c r="L378" s="6" t="s">
        <v>276</v>
      </c>
      <c r="M378" s="6" t="s">
        <v>16</v>
      </c>
      <c r="N378" s="8">
        <v>1.5328016901753531E-2</v>
      </c>
      <c r="O378" s="6" t="s">
        <v>7</v>
      </c>
    </row>
    <row r="379" spans="2:15" x14ac:dyDescent="0.45">
      <c r="B379" s="3" t="s">
        <v>274</v>
      </c>
      <c r="C379" s="3" t="s">
        <v>17</v>
      </c>
      <c r="D379" s="4">
        <v>5.4563833746462285E-4</v>
      </c>
      <c r="E379" s="3" t="s">
        <v>7</v>
      </c>
      <c r="G379" s="3" t="s">
        <v>275</v>
      </c>
      <c r="H379" s="3" t="s">
        <v>17</v>
      </c>
      <c r="I379" s="5">
        <v>1.5080864436352353E-2</v>
      </c>
      <c r="J379" s="3" t="s">
        <v>7</v>
      </c>
      <c r="L379" s="3" t="s">
        <v>276</v>
      </c>
      <c r="M379" s="3" t="s">
        <v>17</v>
      </c>
      <c r="N379" s="5">
        <v>1.5556641516709475E-2</v>
      </c>
      <c r="O379" s="3" t="s">
        <v>7</v>
      </c>
    </row>
    <row r="380" spans="2:15" x14ac:dyDescent="0.45">
      <c r="B380" s="6" t="s">
        <v>274</v>
      </c>
      <c r="C380" s="6" t="s">
        <v>18</v>
      </c>
      <c r="D380" s="7">
        <v>0</v>
      </c>
      <c r="E380" s="6" t="s">
        <v>7</v>
      </c>
      <c r="G380" s="6" t="s">
        <v>275</v>
      </c>
      <c r="H380" s="6" t="s">
        <v>18</v>
      </c>
      <c r="I380" s="8">
        <v>2.3166556236464051E-2</v>
      </c>
      <c r="J380" s="6" t="s">
        <v>7</v>
      </c>
      <c r="L380" s="6" t="s">
        <v>276</v>
      </c>
      <c r="M380" s="6" t="s">
        <v>18</v>
      </c>
      <c r="N380" s="8">
        <v>2.3540812703764031E-2</v>
      </c>
      <c r="O380" s="6" t="s">
        <v>7</v>
      </c>
    </row>
    <row r="381" spans="2:15" x14ac:dyDescent="0.45">
      <c r="B381" s="3" t="s">
        <v>274</v>
      </c>
      <c r="C381" s="3" t="s">
        <v>19</v>
      </c>
      <c r="D381" s="4">
        <v>0</v>
      </c>
      <c r="E381" s="3" t="s">
        <v>7</v>
      </c>
      <c r="G381" s="3" t="s">
        <v>275</v>
      </c>
      <c r="H381" s="3" t="s">
        <v>19</v>
      </c>
      <c r="I381" s="5">
        <v>3.8910382318527725E-2</v>
      </c>
      <c r="J381" s="3" t="s">
        <v>7</v>
      </c>
      <c r="L381" s="3" t="s">
        <v>276</v>
      </c>
      <c r="M381" s="3" t="s">
        <v>19</v>
      </c>
      <c r="N381" s="5">
        <v>3.9023432299203062E-2</v>
      </c>
      <c r="O381" s="3" t="s">
        <v>7</v>
      </c>
    </row>
    <row r="382" spans="2:15" x14ac:dyDescent="0.45">
      <c r="B382" s="6" t="s">
        <v>274</v>
      </c>
      <c r="C382" s="6" t="s">
        <v>20</v>
      </c>
      <c r="D382" s="7">
        <v>0</v>
      </c>
      <c r="E382" s="6" t="s">
        <v>7</v>
      </c>
      <c r="G382" s="6" t="s">
        <v>275</v>
      </c>
      <c r="H382" s="6" t="s">
        <v>20</v>
      </c>
      <c r="I382" s="8">
        <v>1.5187632025626816E-2</v>
      </c>
      <c r="J382" s="6" t="s">
        <v>7</v>
      </c>
      <c r="L382" s="6" t="s">
        <v>276</v>
      </c>
      <c r="M382" s="6" t="s">
        <v>20</v>
      </c>
      <c r="N382" s="8">
        <v>1.6086130839372111E-2</v>
      </c>
      <c r="O382" s="6" t="s">
        <v>7</v>
      </c>
    </row>
    <row r="383" spans="2:15" x14ac:dyDescent="0.45">
      <c r="B383" s="3" t="s">
        <v>274</v>
      </c>
      <c r="C383" s="3" t="s">
        <v>21</v>
      </c>
      <c r="D383" s="4">
        <v>8.6862451450177476E-4</v>
      </c>
      <c r="E383" s="3" t="s">
        <v>7</v>
      </c>
      <c r="G383" s="3" t="s">
        <v>275</v>
      </c>
      <c r="H383" s="3" t="s">
        <v>21</v>
      </c>
      <c r="I383" s="5">
        <v>1.496471431189083E-2</v>
      </c>
      <c r="J383" s="3" t="s">
        <v>7</v>
      </c>
      <c r="L383" s="3" t="s">
        <v>276</v>
      </c>
      <c r="M383" s="3" t="s">
        <v>21</v>
      </c>
      <c r="N383" s="5">
        <v>1.6469692924066096E-2</v>
      </c>
      <c r="O383" s="3" t="s">
        <v>7</v>
      </c>
    </row>
    <row r="384" spans="2:15" x14ac:dyDescent="0.45">
      <c r="B384" s="6" t="s">
        <v>274</v>
      </c>
      <c r="C384" s="6" t="s">
        <v>22</v>
      </c>
      <c r="D384" s="7">
        <v>1.9482995192291044E-2</v>
      </c>
      <c r="E384" s="6" t="s">
        <v>7</v>
      </c>
      <c r="G384" s="6" t="s">
        <v>275</v>
      </c>
      <c r="H384" s="6" t="s">
        <v>22</v>
      </c>
      <c r="I384" s="8">
        <v>1.5916161469455771E-2</v>
      </c>
      <c r="J384" s="6" t="s">
        <v>7</v>
      </c>
      <c r="L384" s="6" t="s">
        <v>276</v>
      </c>
      <c r="M384" s="6" t="s">
        <v>22</v>
      </c>
      <c r="N384" s="8">
        <v>1.5755144000659395E-2</v>
      </c>
      <c r="O384" s="6" t="s">
        <v>7</v>
      </c>
    </row>
    <row r="385" spans="2:15" x14ac:dyDescent="0.45">
      <c r="B385" s="3" t="s">
        <v>274</v>
      </c>
      <c r="C385" s="3" t="s">
        <v>23</v>
      </c>
      <c r="D385" s="4">
        <v>4.4693229234634542E-2</v>
      </c>
      <c r="E385" s="3" t="s">
        <v>7</v>
      </c>
      <c r="G385" s="3" t="s">
        <v>275</v>
      </c>
      <c r="H385" s="3" t="s">
        <v>23</v>
      </c>
      <c r="I385" s="5">
        <v>1.7668015619866913E-2</v>
      </c>
      <c r="J385" s="3" t="s">
        <v>7</v>
      </c>
      <c r="L385" s="3" t="s">
        <v>276</v>
      </c>
      <c r="M385" s="3" t="s">
        <v>23</v>
      </c>
      <c r="N385" s="5">
        <v>1.4884173010680873E-2</v>
      </c>
      <c r="O385" s="3" t="s">
        <v>7</v>
      </c>
    </row>
    <row r="386" spans="2:15" x14ac:dyDescent="0.45">
      <c r="B386" s="6" t="s">
        <v>274</v>
      </c>
      <c r="C386" s="6" t="s">
        <v>24</v>
      </c>
      <c r="D386" s="7">
        <v>5.3336238107185838E-2</v>
      </c>
      <c r="E386" s="6" t="s">
        <v>7</v>
      </c>
      <c r="G386" s="6" t="s">
        <v>275</v>
      </c>
      <c r="H386" s="6" t="s">
        <v>24</v>
      </c>
      <c r="I386" s="8">
        <v>1.8062007018923475E-2</v>
      </c>
      <c r="J386" s="6" t="s">
        <v>7</v>
      </c>
      <c r="L386" s="6" t="s">
        <v>276</v>
      </c>
      <c r="M386" s="6" t="s">
        <v>24</v>
      </c>
      <c r="N386" s="8">
        <v>1.42520341346489E-2</v>
      </c>
      <c r="O386" s="6" t="s">
        <v>7</v>
      </c>
    </row>
    <row r="387" spans="2:15" x14ac:dyDescent="0.45">
      <c r="B387" s="3" t="s">
        <v>274</v>
      </c>
      <c r="C387" s="3" t="s">
        <v>25</v>
      </c>
      <c r="D387" s="4">
        <v>4.9534519011985953E-2</v>
      </c>
      <c r="E387" s="3" t="s">
        <v>7</v>
      </c>
      <c r="G387" s="3" t="s">
        <v>275</v>
      </c>
      <c r="H387" s="3" t="s">
        <v>25</v>
      </c>
      <c r="I387" s="5">
        <v>1.7927489455024658E-2</v>
      </c>
      <c r="J387" s="3" t="s">
        <v>7</v>
      </c>
      <c r="L387" s="3" t="s">
        <v>276</v>
      </c>
      <c r="M387" s="3" t="s">
        <v>25</v>
      </c>
      <c r="N387" s="5">
        <v>1.3912905757235266E-2</v>
      </c>
      <c r="O387" s="3" t="s">
        <v>7</v>
      </c>
    </row>
    <row r="388" spans="2:15" x14ac:dyDescent="0.45">
      <c r="B388" s="6" t="s">
        <v>274</v>
      </c>
      <c r="C388" s="6" t="s">
        <v>26</v>
      </c>
      <c r="D388" s="7">
        <v>3.1688174877735197E-2</v>
      </c>
      <c r="E388" s="6" t="s">
        <v>7</v>
      </c>
      <c r="G388" s="6" t="s">
        <v>275</v>
      </c>
      <c r="H388" s="6" t="s">
        <v>26</v>
      </c>
      <c r="I388" s="8">
        <v>1.7314735232634968E-2</v>
      </c>
      <c r="J388" s="6" t="s">
        <v>7</v>
      </c>
      <c r="L388" s="6" t="s">
        <v>276</v>
      </c>
      <c r="M388" s="6" t="s">
        <v>26</v>
      </c>
      <c r="N388" s="8">
        <v>1.434511392708656E-2</v>
      </c>
      <c r="O388" s="6" t="s">
        <v>7</v>
      </c>
    </row>
    <row r="389" spans="2:15" x14ac:dyDescent="0.45">
      <c r="B389" s="3" t="s">
        <v>274</v>
      </c>
      <c r="C389" s="3" t="s">
        <v>27</v>
      </c>
      <c r="D389" s="4">
        <v>7.3677836091215624E-3</v>
      </c>
      <c r="E389" s="3" t="s">
        <v>7</v>
      </c>
      <c r="G389" s="3" t="s">
        <v>275</v>
      </c>
      <c r="H389" s="3" t="s">
        <v>27</v>
      </c>
      <c r="I389" s="5">
        <v>1.5667032038637518E-2</v>
      </c>
      <c r="J389" s="3" t="s">
        <v>7</v>
      </c>
      <c r="L389" s="3" t="s">
        <v>276</v>
      </c>
      <c r="M389" s="3" t="s">
        <v>27</v>
      </c>
      <c r="N389" s="5">
        <v>1.5218786237661675E-2</v>
      </c>
      <c r="O389" s="3" t="s">
        <v>7</v>
      </c>
    </row>
    <row r="390" spans="2:15" x14ac:dyDescent="0.45">
      <c r="B390" s="6" t="s">
        <v>274</v>
      </c>
      <c r="C390" s="6" t="s">
        <v>28</v>
      </c>
      <c r="D390" s="7">
        <v>2.5046027209474823E-5</v>
      </c>
      <c r="E390" s="6" t="s">
        <v>7</v>
      </c>
      <c r="G390" s="6" t="s">
        <v>275</v>
      </c>
      <c r="H390" s="6" t="s">
        <v>28</v>
      </c>
      <c r="I390" s="8">
        <v>2.3525961982049443E-2</v>
      </c>
      <c r="J390" s="6" t="s">
        <v>7</v>
      </c>
      <c r="L390" s="6" t="s">
        <v>276</v>
      </c>
      <c r="M390" s="6" t="s">
        <v>28</v>
      </c>
      <c r="N390" s="8">
        <v>2.3595716584958064E-2</v>
      </c>
      <c r="O390" s="6" t="s">
        <v>7</v>
      </c>
    </row>
    <row r="391" spans="2:15" x14ac:dyDescent="0.45">
      <c r="B391" s="3" t="s">
        <v>274</v>
      </c>
      <c r="C391" s="3" t="s">
        <v>29</v>
      </c>
      <c r="D391" s="4">
        <v>0</v>
      </c>
      <c r="E391" s="3" t="s">
        <v>7</v>
      </c>
      <c r="G391" s="3" t="s">
        <v>275</v>
      </c>
      <c r="H391" s="3" t="s">
        <v>29</v>
      </c>
      <c r="I391" s="5">
        <v>2.6485956061151186E-2</v>
      </c>
      <c r="J391" s="3" t="s">
        <v>7</v>
      </c>
      <c r="L391" s="3" t="s">
        <v>276</v>
      </c>
      <c r="M391" s="3" t="s">
        <v>29</v>
      </c>
      <c r="N391" s="5">
        <v>2.8659733120579581E-2</v>
      </c>
      <c r="O391" s="3" t="s">
        <v>7</v>
      </c>
    </row>
    <row r="392" spans="2:15" x14ac:dyDescent="0.45">
      <c r="B392" s="6" t="s">
        <v>274</v>
      </c>
      <c r="C392" s="6" t="s">
        <v>30</v>
      </c>
      <c r="D392" s="7">
        <v>9.81211297771412E-5</v>
      </c>
      <c r="E392" s="6" t="s">
        <v>7</v>
      </c>
      <c r="G392" s="6" t="s">
        <v>275</v>
      </c>
      <c r="H392" s="6" t="s">
        <v>30</v>
      </c>
      <c r="I392" s="8">
        <v>1.1427547964907364E-2</v>
      </c>
      <c r="J392" s="6" t="s">
        <v>7</v>
      </c>
      <c r="L392" s="6" t="s">
        <v>276</v>
      </c>
      <c r="M392" s="6" t="s">
        <v>30</v>
      </c>
      <c r="N392" s="8">
        <v>1.1592769474193279E-2</v>
      </c>
      <c r="O392" s="6" t="s">
        <v>7</v>
      </c>
    </row>
    <row r="393" spans="2:15" x14ac:dyDescent="0.45">
      <c r="B393" s="3" t="s">
        <v>274</v>
      </c>
      <c r="C393" s="3" t="s">
        <v>31</v>
      </c>
      <c r="D393" s="4">
        <v>5.5205739770790218E-3</v>
      </c>
      <c r="E393" s="3" t="s">
        <v>7</v>
      </c>
      <c r="G393" s="3" t="s">
        <v>275</v>
      </c>
      <c r="H393" s="3" t="s">
        <v>31</v>
      </c>
      <c r="I393" s="5">
        <v>1.1541755956528897E-2</v>
      </c>
      <c r="J393" s="3" t="s">
        <v>7</v>
      </c>
      <c r="L393" s="3" t="s">
        <v>276</v>
      </c>
      <c r="M393" s="3" t="s">
        <v>31</v>
      </c>
      <c r="N393" s="5">
        <v>1.1599699162538406E-2</v>
      </c>
      <c r="O393" s="3" t="s">
        <v>7</v>
      </c>
    </row>
    <row r="394" spans="2:15" x14ac:dyDescent="0.45">
      <c r="B394" s="6" t="s">
        <v>274</v>
      </c>
      <c r="C394" s="6" t="s">
        <v>32</v>
      </c>
      <c r="D394" s="7">
        <v>2.6227986929301336E-2</v>
      </c>
      <c r="E394" s="6" t="s">
        <v>7</v>
      </c>
      <c r="G394" s="6" t="s">
        <v>275</v>
      </c>
      <c r="H394" s="6" t="s">
        <v>32</v>
      </c>
      <c r="I394" s="8">
        <v>1.2399925960829748E-2</v>
      </c>
      <c r="J394" s="6" t="s">
        <v>7</v>
      </c>
      <c r="L394" s="6" t="s">
        <v>276</v>
      </c>
      <c r="M394" s="6" t="s">
        <v>32</v>
      </c>
      <c r="N394" s="8">
        <v>1.0818005518371797E-2</v>
      </c>
      <c r="O394" s="6" t="s">
        <v>7</v>
      </c>
    </row>
    <row r="395" spans="2:15" x14ac:dyDescent="0.45">
      <c r="B395" s="3" t="s">
        <v>274</v>
      </c>
      <c r="C395" s="3" t="s">
        <v>33</v>
      </c>
      <c r="D395" s="4">
        <v>4.677065314447016E-2</v>
      </c>
      <c r="E395" s="3" t="s">
        <v>7</v>
      </c>
      <c r="G395" s="3" t="s">
        <v>275</v>
      </c>
      <c r="H395" s="3" t="s">
        <v>33</v>
      </c>
      <c r="I395" s="5">
        <v>1.2150055217292633E-2</v>
      </c>
      <c r="J395" s="3" t="s">
        <v>7</v>
      </c>
      <c r="L395" s="3" t="s">
        <v>276</v>
      </c>
      <c r="M395" s="3" t="s">
        <v>33</v>
      </c>
      <c r="N395" s="5">
        <v>1.128200321920159E-2</v>
      </c>
      <c r="O395" s="3" t="s">
        <v>7</v>
      </c>
    </row>
    <row r="396" spans="2:15" x14ac:dyDescent="0.45">
      <c r="B396" s="6" t="s">
        <v>274</v>
      </c>
      <c r="C396" s="6" t="s">
        <v>34</v>
      </c>
      <c r="D396" s="7">
        <v>5.7579081920407331E-2</v>
      </c>
      <c r="E396" s="6" t="s">
        <v>7</v>
      </c>
      <c r="G396" s="6" t="s">
        <v>275</v>
      </c>
      <c r="H396" s="6" t="s">
        <v>34</v>
      </c>
      <c r="I396" s="8">
        <v>1.2594477256833166E-2</v>
      </c>
      <c r="J396" s="6" t="s">
        <v>7</v>
      </c>
      <c r="L396" s="6" t="s">
        <v>276</v>
      </c>
      <c r="M396" s="6" t="s">
        <v>34</v>
      </c>
      <c r="N396" s="8">
        <v>1.2180190903944942E-2</v>
      </c>
      <c r="O396" s="6" t="s">
        <v>7</v>
      </c>
    </row>
    <row r="397" spans="2:15" x14ac:dyDescent="0.45">
      <c r="B397" s="3" t="s">
        <v>274</v>
      </c>
      <c r="C397" s="3" t="s">
        <v>35</v>
      </c>
      <c r="D397" s="4">
        <v>5.4268587923428514E-2</v>
      </c>
      <c r="E397" s="3" t="s">
        <v>7</v>
      </c>
      <c r="G397" s="3" t="s">
        <v>275</v>
      </c>
      <c r="H397" s="3" t="s">
        <v>35</v>
      </c>
      <c r="I397" s="5">
        <v>1.2757793145070313E-2</v>
      </c>
      <c r="J397" s="3" t="s">
        <v>7</v>
      </c>
      <c r="L397" s="3" t="s">
        <v>276</v>
      </c>
      <c r="M397" s="3" t="s">
        <v>35</v>
      </c>
      <c r="N397" s="5">
        <v>1.2496709050430868E-2</v>
      </c>
      <c r="O397" s="3" t="s">
        <v>7</v>
      </c>
    </row>
    <row r="398" spans="2:15" x14ac:dyDescent="0.45">
      <c r="B398" s="6" t="s">
        <v>274</v>
      </c>
      <c r="C398" s="6" t="s">
        <v>36</v>
      </c>
      <c r="D398" s="7">
        <v>3.8727226146305506E-2</v>
      </c>
      <c r="E398" s="6" t="s">
        <v>7</v>
      </c>
      <c r="G398" s="6" t="s">
        <v>275</v>
      </c>
      <c r="H398" s="6" t="s">
        <v>36</v>
      </c>
      <c r="I398" s="8">
        <v>1.2813215136886713E-2</v>
      </c>
      <c r="J398" s="6" t="s">
        <v>7</v>
      </c>
      <c r="L398" s="6" t="s">
        <v>276</v>
      </c>
      <c r="M398" s="6" t="s">
        <v>36</v>
      </c>
      <c r="N398" s="8">
        <v>1.2415418424129555E-2</v>
      </c>
      <c r="O398" s="6" t="s">
        <v>7</v>
      </c>
    </row>
    <row r="399" spans="2:15" x14ac:dyDescent="0.45">
      <c r="B399" s="3" t="s">
        <v>274</v>
      </c>
      <c r="C399" s="3" t="s">
        <v>37</v>
      </c>
      <c r="D399" s="4">
        <v>1.476241122461457E-2</v>
      </c>
      <c r="E399" s="3" t="s">
        <v>7</v>
      </c>
      <c r="G399" s="3" t="s">
        <v>275</v>
      </c>
      <c r="H399" s="3" t="s">
        <v>37</v>
      </c>
      <c r="I399" s="5">
        <v>1.1780931244763877E-2</v>
      </c>
      <c r="J399" s="3" t="s">
        <v>7</v>
      </c>
      <c r="L399" s="3" t="s">
        <v>276</v>
      </c>
      <c r="M399" s="3" t="s">
        <v>37</v>
      </c>
      <c r="N399" s="5">
        <v>1.2423667381926335E-2</v>
      </c>
      <c r="O399" s="3" t="s">
        <v>7</v>
      </c>
    </row>
    <row r="400" spans="2:15" x14ac:dyDescent="0.45">
      <c r="B400" s="6" t="s">
        <v>274</v>
      </c>
      <c r="C400" s="6" t="s">
        <v>38</v>
      </c>
      <c r="D400" s="7">
        <v>1.2751127531772232E-3</v>
      </c>
      <c r="E400" s="6" t="s">
        <v>7</v>
      </c>
      <c r="G400" s="6" t="s">
        <v>275</v>
      </c>
      <c r="H400" s="6" t="s">
        <v>38</v>
      </c>
      <c r="I400" s="8">
        <v>1.5821775055889064E-2</v>
      </c>
      <c r="J400" s="6" t="s">
        <v>7</v>
      </c>
      <c r="L400" s="6" t="s">
        <v>276</v>
      </c>
      <c r="M400" s="6" t="s">
        <v>38</v>
      </c>
      <c r="N400" s="8">
        <v>1.9132251290641566E-2</v>
      </c>
      <c r="O400" s="6" t="s">
        <v>7</v>
      </c>
    </row>
    <row r="401" spans="2:15" x14ac:dyDescent="0.45">
      <c r="B401" s="3" t="s">
        <v>274</v>
      </c>
      <c r="C401" s="3" t="s">
        <v>39</v>
      </c>
      <c r="D401" s="4">
        <v>0</v>
      </c>
      <c r="E401" s="3" t="s">
        <v>7</v>
      </c>
      <c r="G401" s="3" t="s">
        <v>275</v>
      </c>
      <c r="H401" s="3" t="s">
        <v>39</v>
      </c>
      <c r="I401" s="5">
        <v>1.8331893691468881E-2</v>
      </c>
      <c r="J401" s="3" t="s">
        <v>7</v>
      </c>
      <c r="L401" s="3" t="s">
        <v>276</v>
      </c>
      <c r="M401" s="3" t="s">
        <v>39</v>
      </c>
      <c r="N401" s="5">
        <v>2.092463599822459E-2</v>
      </c>
      <c r="O401" s="3" t="s">
        <v>7</v>
      </c>
    </row>
    <row r="402" spans="2:15" x14ac:dyDescent="0.45">
      <c r="B402" s="6" t="s">
        <v>274</v>
      </c>
      <c r="C402" s="6" t="s">
        <v>40</v>
      </c>
      <c r="D402" s="7">
        <v>1.7983447354744462E-5</v>
      </c>
      <c r="E402" s="6" t="s">
        <v>7</v>
      </c>
      <c r="G402" s="6" t="s">
        <v>275</v>
      </c>
      <c r="H402" s="6" t="s">
        <v>40</v>
      </c>
      <c r="I402" s="8">
        <v>7.4690458336289598E-3</v>
      </c>
      <c r="J402" s="6" t="s">
        <v>7</v>
      </c>
      <c r="L402" s="6" t="s">
        <v>276</v>
      </c>
      <c r="M402" s="6" t="s">
        <v>40</v>
      </c>
      <c r="N402" s="8">
        <v>8.3231705752803455E-3</v>
      </c>
      <c r="O402" s="6" t="s">
        <v>7</v>
      </c>
    </row>
    <row r="403" spans="2:15" x14ac:dyDescent="0.45">
      <c r="B403" s="3" t="s">
        <v>274</v>
      </c>
      <c r="C403" s="3" t="s">
        <v>41</v>
      </c>
      <c r="D403" s="4">
        <v>3.9157740762105894E-3</v>
      </c>
      <c r="E403" s="3" t="s">
        <v>7</v>
      </c>
      <c r="G403" s="3" t="s">
        <v>275</v>
      </c>
      <c r="H403" s="3" t="s">
        <v>41</v>
      </c>
      <c r="I403" s="5">
        <v>7.6928880194542812E-3</v>
      </c>
      <c r="J403" s="3" t="s">
        <v>7</v>
      </c>
      <c r="L403" s="3" t="s">
        <v>276</v>
      </c>
      <c r="M403" s="3" t="s">
        <v>41</v>
      </c>
      <c r="N403" s="5">
        <v>8.2127898034597569E-3</v>
      </c>
      <c r="O403" s="3" t="s">
        <v>7</v>
      </c>
    </row>
    <row r="404" spans="2:15" x14ac:dyDescent="0.45">
      <c r="B404" s="6" t="s">
        <v>274</v>
      </c>
      <c r="C404" s="6" t="s">
        <v>42</v>
      </c>
      <c r="D404" s="7">
        <v>2.5193337396010027E-2</v>
      </c>
      <c r="E404" s="6" t="s">
        <v>7</v>
      </c>
      <c r="G404" s="6" t="s">
        <v>275</v>
      </c>
      <c r="H404" s="6" t="s">
        <v>42</v>
      </c>
      <c r="I404" s="8">
        <v>8.3012966390240833E-3</v>
      </c>
      <c r="J404" s="6" t="s">
        <v>7</v>
      </c>
      <c r="L404" s="6" t="s">
        <v>276</v>
      </c>
      <c r="M404" s="6" t="s">
        <v>42</v>
      </c>
      <c r="N404" s="8">
        <v>7.458612120291851E-3</v>
      </c>
      <c r="O404" s="6" t="s">
        <v>7</v>
      </c>
    </row>
    <row r="405" spans="2:15" x14ac:dyDescent="0.45">
      <c r="B405" s="3" t="s">
        <v>274</v>
      </c>
      <c r="C405" s="3" t="s">
        <v>43</v>
      </c>
      <c r="D405" s="4">
        <v>4.7101863285506543E-2</v>
      </c>
      <c r="E405" s="3" t="s">
        <v>7</v>
      </c>
      <c r="G405" s="3" t="s">
        <v>275</v>
      </c>
      <c r="H405" s="3" t="s">
        <v>43</v>
      </c>
      <c r="I405" s="5">
        <v>8.136820199440337E-3</v>
      </c>
      <c r="J405" s="3" t="s">
        <v>7</v>
      </c>
      <c r="L405" s="3" t="s">
        <v>276</v>
      </c>
      <c r="M405" s="3" t="s">
        <v>43</v>
      </c>
      <c r="N405" s="5">
        <v>8.4410159394238161E-3</v>
      </c>
      <c r="O405" s="3" t="s">
        <v>7</v>
      </c>
    </row>
    <row r="406" spans="2:15" x14ac:dyDescent="0.45">
      <c r="B406" s="6" t="s">
        <v>274</v>
      </c>
      <c r="C406" s="6" t="s">
        <v>44</v>
      </c>
      <c r="D406" s="7">
        <v>5.7428974887797586E-2</v>
      </c>
      <c r="E406" s="6" t="s">
        <v>7</v>
      </c>
      <c r="G406" s="6" t="s">
        <v>275</v>
      </c>
      <c r="H406" s="6" t="s">
        <v>44</v>
      </c>
      <c r="I406" s="8">
        <v>8.7843759690729769E-3</v>
      </c>
      <c r="J406" s="6" t="s">
        <v>7</v>
      </c>
      <c r="L406" s="6" t="s">
        <v>276</v>
      </c>
      <c r="M406" s="6" t="s">
        <v>44</v>
      </c>
      <c r="N406" s="8">
        <v>9.2401532986457254E-3</v>
      </c>
      <c r="O406" s="6" t="s">
        <v>7</v>
      </c>
    </row>
    <row r="407" spans="2:15" x14ac:dyDescent="0.45">
      <c r="B407" s="3" t="s">
        <v>274</v>
      </c>
      <c r="C407" s="3" t="s">
        <v>45</v>
      </c>
      <c r="D407" s="4">
        <v>5.4207415261401021E-2</v>
      </c>
      <c r="E407" s="3" t="s">
        <v>7</v>
      </c>
      <c r="G407" s="3" t="s">
        <v>275</v>
      </c>
      <c r="H407" s="3" t="s">
        <v>45</v>
      </c>
      <c r="I407" s="5">
        <v>8.9193538466925872E-3</v>
      </c>
      <c r="J407" s="3" t="s">
        <v>7</v>
      </c>
      <c r="L407" s="3" t="s">
        <v>276</v>
      </c>
      <c r="M407" s="3" t="s">
        <v>45</v>
      </c>
      <c r="N407" s="5">
        <v>9.8850637769198769E-3</v>
      </c>
      <c r="O407" s="3" t="s">
        <v>7</v>
      </c>
    </row>
    <row r="408" spans="2:15" x14ac:dyDescent="0.45">
      <c r="B408" s="6" t="s">
        <v>274</v>
      </c>
      <c r="C408" s="6" t="s">
        <v>46</v>
      </c>
      <c r="D408" s="7">
        <v>3.8119155973328663E-2</v>
      </c>
      <c r="E408" s="6" t="s">
        <v>7</v>
      </c>
      <c r="G408" s="6" t="s">
        <v>275</v>
      </c>
      <c r="H408" s="6" t="s">
        <v>46</v>
      </c>
      <c r="I408" s="8">
        <v>8.1716263934175082E-3</v>
      </c>
      <c r="J408" s="6" t="s">
        <v>7</v>
      </c>
      <c r="L408" s="6" t="s">
        <v>276</v>
      </c>
      <c r="M408" s="6" t="s">
        <v>46</v>
      </c>
      <c r="N408" s="8">
        <v>1.0081344027677861E-2</v>
      </c>
      <c r="O408" s="6" t="s">
        <v>7</v>
      </c>
    </row>
    <row r="409" spans="2:15" x14ac:dyDescent="0.45">
      <c r="B409" s="3" t="s">
        <v>274</v>
      </c>
      <c r="C409" s="3" t="s">
        <v>47</v>
      </c>
      <c r="D409" s="4">
        <v>1.3178113774655106E-2</v>
      </c>
      <c r="E409" s="3" t="s">
        <v>7</v>
      </c>
      <c r="G409" s="3" t="s">
        <v>275</v>
      </c>
      <c r="H409" s="3" t="s">
        <v>47</v>
      </c>
      <c r="I409" s="5">
        <v>7.0289341440823473E-3</v>
      </c>
      <c r="J409" s="3" t="s">
        <v>7</v>
      </c>
      <c r="L409" s="3" t="s">
        <v>276</v>
      </c>
      <c r="M409" s="3" t="s">
        <v>47</v>
      </c>
      <c r="N409" s="5">
        <v>9.6460227365108304E-3</v>
      </c>
      <c r="O409" s="3" t="s">
        <v>7</v>
      </c>
    </row>
    <row r="410" spans="2:15" x14ac:dyDescent="0.45">
      <c r="B410" s="6" t="s">
        <v>274</v>
      </c>
      <c r="C410" s="6" t="s">
        <v>48</v>
      </c>
      <c r="D410" s="7">
        <v>9.1575437587493801E-4</v>
      </c>
      <c r="E410" s="6" t="s">
        <v>7</v>
      </c>
      <c r="G410" s="6" t="s">
        <v>275</v>
      </c>
      <c r="H410" s="6" t="s">
        <v>48</v>
      </c>
      <c r="I410" s="8">
        <v>1.0296479821940985E-2</v>
      </c>
      <c r="J410" s="6" t="s">
        <v>7</v>
      </c>
      <c r="L410" s="6" t="s">
        <v>276</v>
      </c>
      <c r="M410" s="6" t="s">
        <v>48</v>
      </c>
      <c r="N410" s="8">
        <v>1.4127396775143047E-2</v>
      </c>
      <c r="O410" s="6" t="s">
        <v>7</v>
      </c>
    </row>
    <row r="411" spans="2:15" x14ac:dyDescent="0.45">
      <c r="B411" s="3" t="s">
        <v>274</v>
      </c>
      <c r="C411" s="3" t="s">
        <v>49</v>
      </c>
      <c r="D411" s="4">
        <v>0</v>
      </c>
      <c r="E411" s="3" t="s">
        <v>7</v>
      </c>
      <c r="G411" s="3" t="s">
        <v>275</v>
      </c>
      <c r="H411" s="3" t="s">
        <v>49</v>
      </c>
      <c r="I411" s="5">
        <v>3.0091044477668517E-2</v>
      </c>
      <c r="J411" s="3" t="s">
        <v>7</v>
      </c>
      <c r="L411" s="3" t="s">
        <v>276</v>
      </c>
      <c r="M411" s="3" t="s">
        <v>49</v>
      </c>
      <c r="N411" s="5">
        <v>3.4343208004460016E-2</v>
      </c>
      <c r="O411" s="3" t="s">
        <v>7</v>
      </c>
    </row>
    <row r="412" spans="2:15" x14ac:dyDescent="0.45">
      <c r="B412" s="6" t="s">
        <v>274</v>
      </c>
      <c r="C412" s="6" t="s">
        <v>50</v>
      </c>
      <c r="D412" s="7">
        <v>0</v>
      </c>
      <c r="E412" s="6" t="s">
        <v>7</v>
      </c>
      <c r="G412" s="6" t="s">
        <v>275</v>
      </c>
      <c r="H412" s="6" t="s">
        <v>50</v>
      </c>
      <c r="I412" s="8">
        <v>1.2369330575841055E-2</v>
      </c>
      <c r="J412" s="6" t="s">
        <v>7</v>
      </c>
      <c r="L412" s="6" t="s">
        <v>276</v>
      </c>
      <c r="M412" s="6" t="s">
        <v>50</v>
      </c>
      <c r="N412" s="8">
        <v>1.4262649155943384E-2</v>
      </c>
      <c r="O412" s="6" t="s">
        <v>7</v>
      </c>
    </row>
    <row r="413" spans="2:15" x14ac:dyDescent="0.45">
      <c r="B413" s="3" t="s">
        <v>274</v>
      </c>
      <c r="C413" s="3" t="s">
        <v>51</v>
      </c>
      <c r="D413" s="4">
        <v>2.0014127492370165E-4</v>
      </c>
      <c r="E413" s="3" t="s">
        <v>7</v>
      </c>
      <c r="G413" s="3" t="s">
        <v>275</v>
      </c>
      <c r="H413" s="3" t="s">
        <v>51</v>
      </c>
      <c r="I413" s="5">
        <v>1.289804351717821E-2</v>
      </c>
      <c r="J413" s="3" t="s">
        <v>7</v>
      </c>
      <c r="L413" s="3" t="s">
        <v>276</v>
      </c>
      <c r="M413" s="3" t="s">
        <v>51</v>
      </c>
      <c r="N413" s="5">
        <v>1.4756608919679436E-2</v>
      </c>
      <c r="O413" s="3" t="s">
        <v>7</v>
      </c>
    </row>
    <row r="414" spans="2:15" x14ac:dyDescent="0.45">
      <c r="B414" s="6" t="s">
        <v>274</v>
      </c>
      <c r="C414" s="6" t="s">
        <v>52</v>
      </c>
      <c r="D414" s="7">
        <v>1.1297417634504314E-2</v>
      </c>
      <c r="E414" s="6" t="s">
        <v>7</v>
      </c>
      <c r="G414" s="6" t="s">
        <v>275</v>
      </c>
      <c r="H414" s="6" t="s">
        <v>52</v>
      </c>
      <c r="I414" s="8">
        <v>1.4265468739999627E-2</v>
      </c>
      <c r="J414" s="6" t="s">
        <v>7</v>
      </c>
      <c r="L414" s="6" t="s">
        <v>276</v>
      </c>
      <c r="M414" s="6" t="s">
        <v>52</v>
      </c>
      <c r="N414" s="8">
        <v>1.5005144445769782E-2</v>
      </c>
      <c r="O414" s="6" t="s">
        <v>7</v>
      </c>
    </row>
    <row r="415" spans="2:15" x14ac:dyDescent="0.45">
      <c r="B415" s="3" t="s">
        <v>274</v>
      </c>
      <c r="C415" s="3" t="s">
        <v>53</v>
      </c>
      <c r="D415" s="4">
        <v>3.0973079121549025E-2</v>
      </c>
      <c r="E415" s="3" t="s">
        <v>7</v>
      </c>
      <c r="G415" s="3" t="s">
        <v>275</v>
      </c>
      <c r="H415" s="3" t="s">
        <v>53</v>
      </c>
      <c r="I415" s="5">
        <v>1.5700900226965162E-2</v>
      </c>
      <c r="J415" s="3" t="s">
        <v>7</v>
      </c>
      <c r="L415" s="3" t="s">
        <v>276</v>
      </c>
      <c r="M415" s="3" t="s">
        <v>53</v>
      </c>
      <c r="N415" s="5">
        <v>1.5181603937328156E-2</v>
      </c>
      <c r="O415" s="3" t="s">
        <v>7</v>
      </c>
    </row>
    <row r="416" spans="2:15" x14ac:dyDescent="0.45">
      <c r="B416" s="6" t="s">
        <v>274</v>
      </c>
      <c r="C416" s="6" t="s">
        <v>54</v>
      </c>
      <c r="D416" s="7">
        <v>3.7894091401817882E-2</v>
      </c>
      <c r="E416" s="6" t="s">
        <v>7</v>
      </c>
      <c r="G416" s="6" t="s">
        <v>275</v>
      </c>
      <c r="H416" s="6" t="s">
        <v>54</v>
      </c>
      <c r="I416" s="8">
        <v>1.5888072003687265E-2</v>
      </c>
      <c r="J416" s="6" t="s">
        <v>7</v>
      </c>
      <c r="L416" s="6" t="s">
        <v>276</v>
      </c>
      <c r="M416" s="6" t="s">
        <v>54</v>
      </c>
      <c r="N416" s="8">
        <v>1.5158035390166696E-2</v>
      </c>
      <c r="O416" s="6" t="s">
        <v>7</v>
      </c>
    </row>
    <row r="417" spans="2:15" x14ac:dyDescent="0.45">
      <c r="B417" s="3" t="s">
        <v>274</v>
      </c>
      <c r="C417" s="3" t="s">
        <v>55</v>
      </c>
      <c r="D417" s="4">
        <v>3.3455571725973118E-2</v>
      </c>
      <c r="E417" s="3" t="s">
        <v>7</v>
      </c>
      <c r="G417" s="3" t="s">
        <v>275</v>
      </c>
      <c r="H417" s="3" t="s">
        <v>55</v>
      </c>
      <c r="I417" s="5">
        <v>1.5215488281382509E-2</v>
      </c>
      <c r="J417" s="3" t="s">
        <v>7</v>
      </c>
      <c r="L417" s="3" t="s">
        <v>276</v>
      </c>
      <c r="M417" s="3" t="s">
        <v>55</v>
      </c>
      <c r="N417" s="5">
        <v>1.4793871509181445E-2</v>
      </c>
      <c r="O417" s="3" t="s">
        <v>7</v>
      </c>
    </row>
    <row r="418" spans="2:15" x14ac:dyDescent="0.45">
      <c r="B418" s="6" t="s">
        <v>274</v>
      </c>
      <c r="C418" s="6" t="s">
        <v>56</v>
      </c>
      <c r="D418" s="7">
        <v>1.8058778597657053E-2</v>
      </c>
      <c r="E418" s="6" t="s">
        <v>7</v>
      </c>
      <c r="G418" s="6" t="s">
        <v>275</v>
      </c>
      <c r="H418" s="6" t="s">
        <v>56</v>
      </c>
      <c r="I418" s="8">
        <v>1.342126053087935E-2</v>
      </c>
      <c r="J418" s="6" t="s">
        <v>7</v>
      </c>
      <c r="L418" s="6" t="s">
        <v>276</v>
      </c>
      <c r="M418" s="6" t="s">
        <v>56</v>
      </c>
      <c r="N418" s="8">
        <v>1.4927269554774381E-2</v>
      </c>
      <c r="O418" s="6" t="s">
        <v>7</v>
      </c>
    </row>
    <row r="419" spans="2:15" x14ac:dyDescent="0.45">
      <c r="B419" s="3" t="s">
        <v>274</v>
      </c>
      <c r="C419" s="3" t="s">
        <v>57</v>
      </c>
      <c r="D419" s="4">
        <v>2.0142915253445379E-3</v>
      </c>
      <c r="E419" s="3" t="s">
        <v>7</v>
      </c>
      <c r="G419" s="3" t="s">
        <v>275</v>
      </c>
      <c r="H419" s="3" t="s">
        <v>57</v>
      </c>
      <c r="I419" s="5">
        <v>1.2515240946843009E-2</v>
      </c>
      <c r="J419" s="3" t="s">
        <v>7</v>
      </c>
      <c r="L419" s="3" t="s">
        <v>276</v>
      </c>
      <c r="M419" s="3" t="s">
        <v>57</v>
      </c>
      <c r="N419" s="5">
        <v>1.5185487681241503E-2</v>
      </c>
      <c r="O419" s="3" t="s">
        <v>7</v>
      </c>
    </row>
    <row r="420" spans="2:15" x14ac:dyDescent="0.45">
      <c r="B420" s="6" t="s">
        <v>274</v>
      </c>
      <c r="C420" s="6" t="s">
        <v>58</v>
      </c>
      <c r="D420" s="7">
        <v>0</v>
      </c>
      <c r="E420" s="6" t="s">
        <v>7</v>
      </c>
      <c r="G420" s="6" t="s">
        <v>275</v>
      </c>
      <c r="H420" s="6" t="s">
        <v>58</v>
      </c>
      <c r="I420" s="8">
        <v>1.838139021559853E-2</v>
      </c>
      <c r="J420" s="6" t="s">
        <v>7</v>
      </c>
      <c r="L420" s="6" t="s">
        <v>276</v>
      </c>
      <c r="M420" s="6" t="s">
        <v>58</v>
      </c>
      <c r="N420" s="8">
        <v>2.2316915256710642E-2</v>
      </c>
      <c r="O420" s="6" t="s">
        <v>7</v>
      </c>
    </row>
    <row r="421" spans="2:15" x14ac:dyDescent="0.45">
      <c r="B421" s="3" t="s">
        <v>274</v>
      </c>
      <c r="C421" s="3" t="s">
        <v>59</v>
      </c>
      <c r="D421" s="4">
        <v>0</v>
      </c>
      <c r="E421" s="3" t="s">
        <v>7</v>
      </c>
      <c r="G421" s="3" t="s">
        <v>275</v>
      </c>
      <c r="H421" s="3" t="s">
        <v>59</v>
      </c>
      <c r="I421" s="5">
        <v>4.8119747020542863E-2</v>
      </c>
      <c r="J421" s="3" t="s">
        <v>7</v>
      </c>
      <c r="L421" s="3" t="s">
        <v>276</v>
      </c>
      <c r="M421" s="3" t="s">
        <v>59</v>
      </c>
      <c r="N421" s="5">
        <v>4.378674749251478E-2</v>
      </c>
      <c r="O421" s="3" t="s">
        <v>7</v>
      </c>
    </row>
    <row r="422" spans="2:15" x14ac:dyDescent="0.45">
      <c r="B422" s="6" t="s">
        <v>274</v>
      </c>
      <c r="C422" s="6" t="s">
        <v>60</v>
      </c>
      <c r="D422" s="7">
        <v>0</v>
      </c>
      <c r="E422" s="6" t="s">
        <v>7</v>
      </c>
      <c r="G422" s="6" t="s">
        <v>275</v>
      </c>
      <c r="H422" s="6" t="s">
        <v>60</v>
      </c>
      <c r="I422" s="8">
        <v>1.8580116000227846E-2</v>
      </c>
      <c r="J422" s="6" t="s">
        <v>7</v>
      </c>
      <c r="L422" s="6" t="s">
        <v>276</v>
      </c>
      <c r="M422" s="6" t="s">
        <v>60</v>
      </c>
      <c r="N422" s="8">
        <v>1.7257765484505284E-2</v>
      </c>
      <c r="O422" s="6" t="s">
        <v>7</v>
      </c>
    </row>
    <row r="423" spans="2:15" x14ac:dyDescent="0.45">
      <c r="B423" s="3" t="s">
        <v>274</v>
      </c>
      <c r="C423" s="3" t="s">
        <v>61</v>
      </c>
      <c r="D423" s="4">
        <v>0</v>
      </c>
      <c r="E423" s="3" t="s">
        <v>7</v>
      </c>
      <c r="G423" s="3" t="s">
        <v>275</v>
      </c>
      <c r="H423" s="3" t="s">
        <v>61</v>
      </c>
      <c r="I423" s="5">
        <v>1.8843150743005792E-2</v>
      </c>
      <c r="J423" s="3" t="s">
        <v>7</v>
      </c>
      <c r="L423" s="3" t="s">
        <v>276</v>
      </c>
      <c r="M423" s="3" t="s">
        <v>61</v>
      </c>
      <c r="N423" s="5">
        <v>1.7234727453144735E-2</v>
      </c>
      <c r="O423" s="3" t="s">
        <v>7</v>
      </c>
    </row>
    <row r="424" spans="2:15" x14ac:dyDescent="0.45">
      <c r="B424" s="6" t="s">
        <v>274</v>
      </c>
      <c r="C424" s="6" t="s">
        <v>62</v>
      </c>
      <c r="D424" s="7">
        <v>1.7532581143109569E-3</v>
      </c>
      <c r="E424" s="6" t="s">
        <v>7</v>
      </c>
      <c r="G424" s="6" t="s">
        <v>275</v>
      </c>
      <c r="H424" s="6" t="s">
        <v>62</v>
      </c>
      <c r="I424" s="8">
        <v>1.9086461314285531E-2</v>
      </c>
      <c r="J424" s="6" t="s">
        <v>7</v>
      </c>
      <c r="L424" s="6" t="s">
        <v>276</v>
      </c>
      <c r="M424" s="6" t="s">
        <v>62</v>
      </c>
      <c r="N424" s="8">
        <v>1.6941504128315053E-2</v>
      </c>
      <c r="O424" s="6" t="s">
        <v>7</v>
      </c>
    </row>
    <row r="425" spans="2:15" x14ac:dyDescent="0.45">
      <c r="B425" s="3" t="s">
        <v>274</v>
      </c>
      <c r="C425" s="3" t="s">
        <v>63</v>
      </c>
      <c r="D425" s="4">
        <v>1.9049539457248906E-2</v>
      </c>
      <c r="E425" s="3" t="s">
        <v>7</v>
      </c>
      <c r="G425" s="3" t="s">
        <v>275</v>
      </c>
      <c r="H425" s="3" t="s">
        <v>63</v>
      </c>
      <c r="I425" s="5">
        <v>1.8113166647630206E-2</v>
      </c>
      <c r="J425" s="3" t="s">
        <v>7</v>
      </c>
      <c r="L425" s="3" t="s">
        <v>276</v>
      </c>
      <c r="M425" s="3" t="s">
        <v>63</v>
      </c>
      <c r="N425" s="5">
        <v>1.6961256706055951E-2</v>
      </c>
      <c r="O425" s="3" t="s">
        <v>7</v>
      </c>
    </row>
    <row r="426" spans="2:15" x14ac:dyDescent="0.45">
      <c r="B426" s="6" t="s">
        <v>274</v>
      </c>
      <c r="C426" s="6" t="s">
        <v>64</v>
      </c>
      <c r="D426" s="7">
        <v>3.3564190385561007E-2</v>
      </c>
      <c r="E426" s="6" t="s">
        <v>7</v>
      </c>
      <c r="G426" s="6" t="s">
        <v>275</v>
      </c>
      <c r="H426" s="6" t="s">
        <v>64</v>
      </c>
      <c r="I426" s="8">
        <v>1.8477087634642609E-2</v>
      </c>
      <c r="J426" s="6" t="s">
        <v>7</v>
      </c>
      <c r="L426" s="6" t="s">
        <v>276</v>
      </c>
      <c r="M426" s="6" t="s">
        <v>64</v>
      </c>
      <c r="N426" s="8">
        <v>1.6892612185388678E-2</v>
      </c>
      <c r="O426" s="6" t="s">
        <v>7</v>
      </c>
    </row>
    <row r="427" spans="2:15" x14ac:dyDescent="0.45">
      <c r="B427" s="3" t="s">
        <v>274</v>
      </c>
      <c r="C427" s="3" t="s">
        <v>65</v>
      </c>
      <c r="D427" s="4">
        <v>2.5314465767164746E-2</v>
      </c>
      <c r="E427" s="3" t="s">
        <v>7</v>
      </c>
      <c r="G427" s="3" t="s">
        <v>275</v>
      </c>
      <c r="H427" s="3" t="s">
        <v>65</v>
      </c>
      <c r="I427" s="5">
        <v>1.9158376862979172E-2</v>
      </c>
      <c r="J427" s="3" t="s">
        <v>7</v>
      </c>
      <c r="L427" s="3" t="s">
        <v>276</v>
      </c>
      <c r="M427" s="3" t="s">
        <v>65</v>
      </c>
      <c r="N427" s="5">
        <v>1.6949159793556462E-2</v>
      </c>
      <c r="O427" s="3" t="s">
        <v>7</v>
      </c>
    </row>
    <row r="428" spans="2:15" x14ac:dyDescent="0.45">
      <c r="B428" s="6" t="s">
        <v>274</v>
      </c>
      <c r="C428" s="6" t="s">
        <v>66</v>
      </c>
      <c r="D428" s="7">
        <v>5.0613798461126291E-3</v>
      </c>
      <c r="E428" s="6" t="s">
        <v>7</v>
      </c>
      <c r="G428" s="6" t="s">
        <v>275</v>
      </c>
      <c r="H428" s="6" t="s">
        <v>66</v>
      </c>
      <c r="I428" s="8">
        <v>1.9212690182717203E-2</v>
      </c>
      <c r="J428" s="6" t="s">
        <v>7</v>
      </c>
      <c r="L428" s="6" t="s">
        <v>276</v>
      </c>
      <c r="M428" s="6" t="s">
        <v>66</v>
      </c>
      <c r="N428" s="8">
        <v>1.7254907151532724E-2</v>
      </c>
      <c r="O428" s="6" t="s">
        <v>7</v>
      </c>
    </row>
    <row r="429" spans="2:15" x14ac:dyDescent="0.45">
      <c r="B429" s="3" t="s">
        <v>274</v>
      </c>
      <c r="C429" s="3" t="s">
        <v>67</v>
      </c>
      <c r="D429" s="4">
        <v>0</v>
      </c>
      <c r="E429" s="3" t="s">
        <v>7</v>
      </c>
      <c r="G429" s="3" t="s">
        <v>275</v>
      </c>
      <c r="H429" s="3" t="s">
        <v>67</v>
      </c>
      <c r="I429" s="5">
        <v>1.9520882504501839E-2</v>
      </c>
      <c r="J429" s="3" t="s">
        <v>7</v>
      </c>
      <c r="L429" s="3" t="s">
        <v>276</v>
      </c>
      <c r="M429" s="3" t="s">
        <v>67</v>
      </c>
      <c r="N429" s="5">
        <v>1.7647685375699832E-2</v>
      </c>
      <c r="O429" s="3" t="s">
        <v>7</v>
      </c>
    </row>
    <row r="430" spans="2:15" x14ac:dyDescent="0.45">
      <c r="B430" s="6" t="s">
        <v>274</v>
      </c>
      <c r="C430" s="6" t="s">
        <v>68</v>
      </c>
      <c r="D430" s="7">
        <v>0</v>
      </c>
      <c r="E430" s="6" t="s">
        <v>7</v>
      </c>
      <c r="G430" s="6" t="s">
        <v>275</v>
      </c>
      <c r="H430" s="6" t="s">
        <v>68</v>
      </c>
      <c r="I430" s="8">
        <v>3.0730611726957676E-2</v>
      </c>
      <c r="J430" s="6" t="s">
        <v>7</v>
      </c>
      <c r="L430" s="6" t="s">
        <v>276</v>
      </c>
      <c r="M430" s="6" t="s">
        <v>68</v>
      </c>
      <c r="N430" s="8">
        <v>2.7304011293961618E-2</v>
      </c>
      <c r="O430" s="6" t="s">
        <v>7</v>
      </c>
    </row>
    <row r="431" spans="2:15" x14ac:dyDescent="0.45">
      <c r="B431" s="3" t="s">
        <v>277</v>
      </c>
      <c r="C431" s="3" t="s">
        <v>6</v>
      </c>
      <c r="D431" s="4">
        <v>0</v>
      </c>
      <c r="E431" s="3" t="s">
        <v>7</v>
      </c>
      <c r="G431" s="3" t="s">
        <v>278</v>
      </c>
      <c r="H431" s="3" t="s">
        <v>6</v>
      </c>
      <c r="I431" s="5">
        <v>3.9312803703473558E-2</v>
      </c>
      <c r="J431" s="3" t="s">
        <v>7</v>
      </c>
      <c r="L431" s="3" t="s">
        <v>279</v>
      </c>
      <c r="M431" s="3" t="s">
        <v>6</v>
      </c>
      <c r="N431" s="5">
        <v>3.8070677020615014E-2</v>
      </c>
      <c r="O431" s="3" t="s">
        <v>7</v>
      </c>
    </row>
    <row r="432" spans="2:15" x14ac:dyDescent="0.45">
      <c r="B432" s="6" t="s">
        <v>277</v>
      </c>
      <c r="C432" s="6" t="s">
        <v>10</v>
      </c>
      <c r="D432" s="7">
        <v>0</v>
      </c>
      <c r="E432" s="6" t="s">
        <v>7</v>
      </c>
      <c r="G432" s="6" t="s">
        <v>278</v>
      </c>
      <c r="H432" s="6" t="s">
        <v>10</v>
      </c>
      <c r="I432" s="8">
        <v>1.5180956130952142E-2</v>
      </c>
      <c r="J432" s="6" t="s">
        <v>7</v>
      </c>
      <c r="L432" s="6" t="s">
        <v>279</v>
      </c>
      <c r="M432" s="6" t="s">
        <v>10</v>
      </c>
      <c r="N432" s="8">
        <v>1.4703290958988605E-2</v>
      </c>
      <c r="O432" s="6" t="s">
        <v>7</v>
      </c>
    </row>
    <row r="433" spans="2:15" x14ac:dyDescent="0.45">
      <c r="B433" s="3" t="s">
        <v>277</v>
      </c>
      <c r="C433" s="3" t="s">
        <v>11</v>
      </c>
      <c r="D433" s="4">
        <v>0</v>
      </c>
      <c r="E433" s="3" t="s">
        <v>7</v>
      </c>
      <c r="G433" s="3" t="s">
        <v>278</v>
      </c>
      <c r="H433" s="3" t="s">
        <v>11</v>
      </c>
      <c r="I433" s="5">
        <v>1.4771838170969439E-2</v>
      </c>
      <c r="J433" s="3" t="s">
        <v>7</v>
      </c>
      <c r="L433" s="3" t="s">
        <v>279</v>
      </c>
      <c r="M433" s="3" t="s">
        <v>11</v>
      </c>
      <c r="N433" s="5">
        <v>1.5230461508440171E-2</v>
      </c>
      <c r="O433" s="3" t="s">
        <v>7</v>
      </c>
    </row>
    <row r="434" spans="2:15" x14ac:dyDescent="0.45">
      <c r="B434" s="6" t="s">
        <v>277</v>
      </c>
      <c r="C434" s="6" t="s">
        <v>12</v>
      </c>
      <c r="D434" s="7">
        <v>1.9848824620322799E-3</v>
      </c>
      <c r="E434" s="6" t="s">
        <v>7</v>
      </c>
      <c r="G434" s="6" t="s">
        <v>278</v>
      </c>
      <c r="H434" s="6" t="s">
        <v>12</v>
      </c>
      <c r="I434" s="8">
        <v>1.4946331277411613E-2</v>
      </c>
      <c r="J434" s="6" t="s">
        <v>7</v>
      </c>
      <c r="L434" s="6" t="s">
        <v>279</v>
      </c>
      <c r="M434" s="6" t="s">
        <v>12</v>
      </c>
      <c r="N434" s="8">
        <v>1.5879311481650366E-2</v>
      </c>
      <c r="O434" s="6" t="s">
        <v>7</v>
      </c>
    </row>
    <row r="435" spans="2:15" x14ac:dyDescent="0.45">
      <c r="B435" s="3" t="s">
        <v>277</v>
      </c>
      <c r="C435" s="3" t="s">
        <v>13</v>
      </c>
      <c r="D435" s="4">
        <v>1.8274283529243287E-2</v>
      </c>
      <c r="E435" s="3" t="s">
        <v>7</v>
      </c>
      <c r="G435" s="3" t="s">
        <v>278</v>
      </c>
      <c r="H435" s="3" t="s">
        <v>13</v>
      </c>
      <c r="I435" s="5">
        <v>1.4896385227578697E-2</v>
      </c>
      <c r="J435" s="3" t="s">
        <v>7</v>
      </c>
      <c r="L435" s="3" t="s">
        <v>279</v>
      </c>
      <c r="M435" s="3" t="s">
        <v>13</v>
      </c>
      <c r="N435" s="5">
        <v>1.6731084706431441E-2</v>
      </c>
      <c r="O435" s="3" t="s">
        <v>7</v>
      </c>
    </row>
    <row r="436" spans="2:15" x14ac:dyDescent="0.45">
      <c r="B436" s="6" t="s">
        <v>277</v>
      </c>
      <c r="C436" s="6" t="s">
        <v>14</v>
      </c>
      <c r="D436" s="7">
        <v>2.9615835144534919E-2</v>
      </c>
      <c r="E436" s="6" t="s">
        <v>7</v>
      </c>
      <c r="G436" s="6" t="s">
        <v>278</v>
      </c>
      <c r="H436" s="6" t="s">
        <v>14</v>
      </c>
      <c r="I436" s="8">
        <v>1.5331241302731927E-2</v>
      </c>
      <c r="J436" s="6" t="s">
        <v>7</v>
      </c>
      <c r="L436" s="6" t="s">
        <v>279</v>
      </c>
      <c r="M436" s="6" t="s">
        <v>14</v>
      </c>
      <c r="N436" s="8">
        <v>1.6409414041310796E-2</v>
      </c>
      <c r="O436" s="6" t="s">
        <v>7</v>
      </c>
    </row>
    <row r="437" spans="2:15" x14ac:dyDescent="0.45">
      <c r="B437" s="3" t="s">
        <v>277</v>
      </c>
      <c r="C437" s="3" t="s">
        <v>15</v>
      </c>
      <c r="D437" s="4">
        <v>2.6471091369594472E-2</v>
      </c>
      <c r="E437" s="3" t="s">
        <v>7</v>
      </c>
      <c r="G437" s="3" t="s">
        <v>278</v>
      </c>
      <c r="H437" s="3" t="s">
        <v>15</v>
      </c>
      <c r="I437" s="5">
        <v>1.5597739326763506E-2</v>
      </c>
      <c r="J437" s="3" t="s">
        <v>7</v>
      </c>
      <c r="L437" s="3" t="s">
        <v>279</v>
      </c>
      <c r="M437" s="3" t="s">
        <v>15</v>
      </c>
      <c r="N437" s="5">
        <v>1.5854473910526592E-2</v>
      </c>
      <c r="O437" s="3" t="s">
        <v>7</v>
      </c>
    </row>
    <row r="438" spans="2:15" x14ac:dyDescent="0.45">
      <c r="B438" s="6" t="s">
        <v>277</v>
      </c>
      <c r="C438" s="6" t="s">
        <v>16</v>
      </c>
      <c r="D438" s="7">
        <v>1.0721595698147204E-2</v>
      </c>
      <c r="E438" s="6" t="s">
        <v>7</v>
      </c>
      <c r="G438" s="6" t="s">
        <v>278</v>
      </c>
      <c r="H438" s="6" t="s">
        <v>16</v>
      </c>
      <c r="I438" s="8">
        <v>1.5306934577152532E-2</v>
      </c>
      <c r="J438" s="6" t="s">
        <v>7</v>
      </c>
      <c r="L438" s="6" t="s">
        <v>279</v>
      </c>
      <c r="M438" s="6" t="s">
        <v>16</v>
      </c>
      <c r="N438" s="8">
        <v>1.555637267899751E-2</v>
      </c>
      <c r="O438" s="6" t="s">
        <v>7</v>
      </c>
    </row>
    <row r="439" spans="2:15" x14ac:dyDescent="0.45">
      <c r="B439" s="3" t="s">
        <v>277</v>
      </c>
      <c r="C439" s="3" t="s">
        <v>17</v>
      </c>
      <c r="D439" s="4">
        <v>4.1887222256574463E-4</v>
      </c>
      <c r="E439" s="3" t="s">
        <v>7</v>
      </c>
      <c r="G439" s="3" t="s">
        <v>278</v>
      </c>
      <c r="H439" s="3" t="s">
        <v>17</v>
      </c>
      <c r="I439" s="5">
        <v>1.5302649104101819E-2</v>
      </c>
      <c r="J439" s="3" t="s">
        <v>7</v>
      </c>
      <c r="L439" s="3" t="s">
        <v>279</v>
      </c>
      <c r="M439" s="3" t="s">
        <v>17</v>
      </c>
      <c r="N439" s="5">
        <v>1.5274042724033755E-2</v>
      </c>
      <c r="O439" s="3" t="s">
        <v>7</v>
      </c>
    </row>
    <row r="440" spans="2:15" x14ac:dyDescent="0.45">
      <c r="B440" s="6" t="s">
        <v>277</v>
      </c>
      <c r="C440" s="6" t="s">
        <v>18</v>
      </c>
      <c r="D440" s="7">
        <v>0</v>
      </c>
      <c r="E440" s="6" t="s">
        <v>7</v>
      </c>
      <c r="G440" s="6" t="s">
        <v>278</v>
      </c>
      <c r="H440" s="6" t="s">
        <v>18</v>
      </c>
      <c r="I440" s="8">
        <v>2.3339881380033928E-2</v>
      </c>
      <c r="J440" s="6" t="s">
        <v>7</v>
      </c>
      <c r="L440" s="6" t="s">
        <v>279</v>
      </c>
      <c r="M440" s="6" t="s">
        <v>18</v>
      </c>
      <c r="N440" s="8">
        <v>2.312769723735154E-2</v>
      </c>
      <c r="O440" s="6" t="s">
        <v>7</v>
      </c>
    </row>
    <row r="441" spans="2:15" x14ac:dyDescent="0.45">
      <c r="B441" s="3" t="s">
        <v>277</v>
      </c>
      <c r="C441" s="3" t="s">
        <v>19</v>
      </c>
      <c r="D441" s="4">
        <v>0</v>
      </c>
      <c r="E441" s="3" t="s">
        <v>7</v>
      </c>
      <c r="G441" s="3" t="s">
        <v>278</v>
      </c>
      <c r="H441" s="3" t="s">
        <v>19</v>
      </c>
      <c r="I441" s="5">
        <v>3.8808458388055377E-2</v>
      </c>
      <c r="J441" s="3" t="s">
        <v>7</v>
      </c>
      <c r="L441" s="3" t="s">
        <v>279</v>
      </c>
      <c r="M441" s="3" t="s">
        <v>19</v>
      </c>
      <c r="N441" s="5">
        <v>3.6105986996576522E-2</v>
      </c>
      <c r="O441" s="3" t="s">
        <v>7</v>
      </c>
    </row>
    <row r="442" spans="2:15" x14ac:dyDescent="0.45">
      <c r="B442" s="6" t="s">
        <v>277</v>
      </c>
      <c r="C442" s="6" t="s">
        <v>20</v>
      </c>
      <c r="D442" s="7">
        <v>0</v>
      </c>
      <c r="E442" s="6" t="s">
        <v>7</v>
      </c>
      <c r="G442" s="6" t="s">
        <v>278</v>
      </c>
      <c r="H442" s="6" t="s">
        <v>20</v>
      </c>
      <c r="I442" s="8">
        <v>1.5271408676227635E-2</v>
      </c>
      <c r="J442" s="6" t="s">
        <v>7</v>
      </c>
      <c r="L442" s="6" t="s">
        <v>279</v>
      </c>
      <c r="M442" s="6" t="s">
        <v>20</v>
      </c>
      <c r="N442" s="8">
        <v>1.4669173273107882E-2</v>
      </c>
      <c r="O442" s="6" t="s">
        <v>7</v>
      </c>
    </row>
    <row r="443" spans="2:15" x14ac:dyDescent="0.45">
      <c r="B443" s="3" t="s">
        <v>277</v>
      </c>
      <c r="C443" s="3" t="s">
        <v>21</v>
      </c>
      <c r="D443" s="4">
        <v>9.7216350137078176E-4</v>
      </c>
      <c r="E443" s="3" t="s">
        <v>7</v>
      </c>
      <c r="G443" s="3" t="s">
        <v>278</v>
      </c>
      <c r="H443" s="3" t="s">
        <v>21</v>
      </c>
      <c r="I443" s="5">
        <v>1.5071051300479796E-2</v>
      </c>
      <c r="J443" s="3" t="s">
        <v>7</v>
      </c>
      <c r="L443" s="3" t="s">
        <v>279</v>
      </c>
      <c r="M443" s="3" t="s">
        <v>21</v>
      </c>
      <c r="N443" s="5">
        <v>1.5258777469595032E-2</v>
      </c>
      <c r="O443" s="3" t="s">
        <v>7</v>
      </c>
    </row>
    <row r="444" spans="2:15" x14ac:dyDescent="0.45">
      <c r="B444" s="6" t="s">
        <v>277</v>
      </c>
      <c r="C444" s="6" t="s">
        <v>22</v>
      </c>
      <c r="D444" s="7">
        <v>1.9089227480195793E-2</v>
      </c>
      <c r="E444" s="6" t="s">
        <v>7</v>
      </c>
      <c r="G444" s="6" t="s">
        <v>278</v>
      </c>
      <c r="H444" s="6" t="s">
        <v>22</v>
      </c>
      <c r="I444" s="8">
        <v>1.6156342263745863E-2</v>
      </c>
      <c r="J444" s="6" t="s">
        <v>7</v>
      </c>
      <c r="L444" s="6" t="s">
        <v>279</v>
      </c>
      <c r="M444" s="6" t="s">
        <v>22</v>
      </c>
      <c r="N444" s="8">
        <v>1.713521013462049E-2</v>
      </c>
      <c r="O444" s="6" t="s">
        <v>7</v>
      </c>
    </row>
    <row r="445" spans="2:15" x14ac:dyDescent="0.45">
      <c r="B445" s="3" t="s">
        <v>277</v>
      </c>
      <c r="C445" s="3" t="s">
        <v>23</v>
      </c>
      <c r="D445" s="4">
        <v>4.4103689013342974E-2</v>
      </c>
      <c r="E445" s="3" t="s">
        <v>7</v>
      </c>
      <c r="G445" s="3" t="s">
        <v>278</v>
      </c>
      <c r="H445" s="3" t="s">
        <v>23</v>
      </c>
      <c r="I445" s="5">
        <v>1.7222311080953154E-2</v>
      </c>
      <c r="J445" s="3" t="s">
        <v>7</v>
      </c>
      <c r="L445" s="3" t="s">
        <v>279</v>
      </c>
      <c r="M445" s="3" t="s">
        <v>23</v>
      </c>
      <c r="N445" s="5">
        <v>1.746427793145746E-2</v>
      </c>
      <c r="O445" s="3" t="s">
        <v>7</v>
      </c>
    </row>
    <row r="446" spans="2:15" x14ac:dyDescent="0.45">
      <c r="B446" s="6" t="s">
        <v>277</v>
      </c>
      <c r="C446" s="6" t="s">
        <v>24</v>
      </c>
      <c r="D446" s="7">
        <v>5.394930845455001E-2</v>
      </c>
      <c r="E446" s="6" t="s">
        <v>7</v>
      </c>
      <c r="G446" s="6" t="s">
        <v>278</v>
      </c>
      <c r="H446" s="6" t="s">
        <v>24</v>
      </c>
      <c r="I446" s="8">
        <v>1.7622299795591323E-2</v>
      </c>
      <c r="J446" s="6" t="s">
        <v>7</v>
      </c>
      <c r="L446" s="6" t="s">
        <v>279</v>
      </c>
      <c r="M446" s="6" t="s">
        <v>24</v>
      </c>
      <c r="N446" s="8">
        <v>1.7260955500857492E-2</v>
      </c>
      <c r="O446" s="6" t="s">
        <v>7</v>
      </c>
    </row>
    <row r="447" spans="2:15" x14ac:dyDescent="0.45">
      <c r="B447" s="3" t="s">
        <v>277</v>
      </c>
      <c r="C447" s="3" t="s">
        <v>25</v>
      </c>
      <c r="D447" s="4">
        <v>4.8868558208667569E-2</v>
      </c>
      <c r="E447" s="3" t="s">
        <v>7</v>
      </c>
      <c r="G447" s="3" t="s">
        <v>278</v>
      </c>
      <c r="H447" s="3" t="s">
        <v>25</v>
      </c>
      <c r="I447" s="5">
        <v>1.7472359510327294E-2</v>
      </c>
      <c r="J447" s="3" t="s">
        <v>7</v>
      </c>
      <c r="L447" s="3" t="s">
        <v>279</v>
      </c>
      <c r="M447" s="3" t="s">
        <v>25</v>
      </c>
      <c r="N447" s="5">
        <v>1.6699769922673861E-2</v>
      </c>
      <c r="O447" s="3" t="s">
        <v>7</v>
      </c>
    </row>
    <row r="448" spans="2:15" x14ac:dyDescent="0.45">
      <c r="B448" s="6" t="s">
        <v>277</v>
      </c>
      <c r="C448" s="6" t="s">
        <v>26</v>
      </c>
      <c r="D448" s="7">
        <v>3.0759508827599091E-2</v>
      </c>
      <c r="E448" s="6" t="s">
        <v>7</v>
      </c>
      <c r="G448" s="6" t="s">
        <v>278</v>
      </c>
      <c r="H448" s="6" t="s">
        <v>26</v>
      </c>
      <c r="I448" s="8">
        <v>1.7050019097746932E-2</v>
      </c>
      <c r="J448" s="6" t="s">
        <v>7</v>
      </c>
      <c r="L448" s="6" t="s">
        <v>279</v>
      </c>
      <c r="M448" s="6" t="s">
        <v>26</v>
      </c>
      <c r="N448" s="8">
        <v>1.5613693310969795E-2</v>
      </c>
      <c r="O448" s="6" t="s">
        <v>7</v>
      </c>
    </row>
    <row r="449" spans="2:15" x14ac:dyDescent="0.45">
      <c r="B449" s="3" t="s">
        <v>277</v>
      </c>
      <c r="C449" s="3" t="s">
        <v>27</v>
      </c>
      <c r="D449" s="4">
        <v>6.8313035494528464E-3</v>
      </c>
      <c r="E449" s="3" t="s">
        <v>7</v>
      </c>
      <c r="G449" s="3" t="s">
        <v>278</v>
      </c>
      <c r="H449" s="3" t="s">
        <v>27</v>
      </c>
      <c r="I449" s="5">
        <v>1.5521407395698E-2</v>
      </c>
      <c r="J449" s="3" t="s">
        <v>7</v>
      </c>
      <c r="L449" s="3" t="s">
        <v>279</v>
      </c>
      <c r="M449" s="3" t="s">
        <v>27</v>
      </c>
      <c r="N449" s="5">
        <v>1.4847262608494994E-2</v>
      </c>
      <c r="O449" s="3" t="s">
        <v>7</v>
      </c>
    </row>
    <row r="450" spans="2:15" x14ac:dyDescent="0.45">
      <c r="B450" s="6" t="s">
        <v>277</v>
      </c>
      <c r="C450" s="6" t="s">
        <v>28</v>
      </c>
      <c r="D450" s="7">
        <v>1.9422760888731983E-5</v>
      </c>
      <c r="E450" s="6" t="s">
        <v>7</v>
      </c>
      <c r="G450" s="6" t="s">
        <v>278</v>
      </c>
      <c r="H450" s="6" t="s">
        <v>28</v>
      </c>
      <c r="I450" s="8">
        <v>2.3432398987120434E-2</v>
      </c>
      <c r="J450" s="6" t="s">
        <v>7</v>
      </c>
      <c r="L450" s="6" t="s">
        <v>279</v>
      </c>
      <c r="M450" s="6" t="s">
        <v>28</v>
      </c>
      <c r="N450" s="8">
        <v>2.2247837842489859E-2</v>
      </c>
      <c r="O450" s="6" t="s">
        <v>7</v>
      </c>
    </row>
    <row r="451" spans="2:15" x14ac:dyDescent="0.45">
      <c r="B451" s="3" t="s">
        <v>277</v>
      </c>
      <c r="C451" s="3" t="s">
        <v>29</v>
      </c>
      <c r="D451" s="4">
        <v>0</v>
      </c>
      <c r="E451" s="3" t="s">
        <v>7</v>
      </c>
      <c r="G451" s="3" t="s">
        <v>278</v>
      </c>
      <c r="H451" s="3" t="s">
        <v>29</v>
      </c>
      <c r="I451" s="5">
        <v>2.6485317637581079E-2</v>
      </c>
      <c r="J451" s="3" t="s">
        <v>7</v>
      </c>
      <c r="L451" s="3" t="s">
        <v>279</v>
      </c>
      <c r="M451" s="3" t="s">
        <v>29</v>
      </c>
      <c r="N451" s="5">
        <v>2.6529322996603384E-2</v>
      </c>
      <c r="O451" s="3" t="s">
        <v>7</v>
      </c>
    </row>
    <row r="452" spans="2:15" x14ac:dyDescent="0.45">
      <c r="B452" s="6" t="s">
        <v>277</v>
      </c>
      <c r="C452" s="6" t="s">
        <v>30</v>
      </c>
      <c r="D452" s="7">
        <v>1.193081810363788E-4</v>
      </c>
      <c r="E452" s="6" t="s">
        <v>7</v>
      </c>
      <c r="G452" s="6" t="s">
        <v>278</v>
      </c>
      <c r="H452" s="6" t="s">
        <v>30</v>
      </c>
      <c r="I452" s="8">
        <v>1.1259784818710938E-2</v>
      </c>
      <c r="J452" s="6" t="s">
        <v>7</v>
      </c>
      <c r="L452" s="6" t="s">
        <v>279</v>
      </c>
      <c r="M452" s="6" t="s">
        <v>30</v>
      </c>
      <c r="N452" s="8">
        <v>1.161282183082336E-2</v>
      </c>
      <c r="O452" s="6" t="s">
        <v>7</v>
      </c>
    </row>
    <row r="453" spans="2:15" x14ac:dyDescent="0.45">
      <c r="B453" s="3" t="s">
        <v>277</v>
      </c>
      <c r="C453" s="3" t="s">
        <v>31</v>
      </c>
      <c r="D453" s="4">
        <v>5.7616061372265963E-3</v>
      </c>
      <c r="E453" s="3" t="s">
        <v>7</v>
      </c>
      <c r="G453" s="3" t="s">
        <v>278</v>
      </c>
      <c r="H453" s="3" t="s">
        <v>31</v>
      </c>
      <c r="I453" s="5">
        <v>1.1502230467389185E-2</v>
      </c>
      <c r="J453" s="3" t="s">
        <v>7</v>
      </c>
      <c r="L453" s="3" t="s">
        <v>279</v>
      </c>
      <c r="M453" s="3" t="s">
        <v>31</v>
      </c>
      <c r="N453" s="5">
        <v>1.2300946289288088E-2</v>
      </c>
      <c r="O453" s="3" t="s">
        <v>7</v>
      </c>
    </row>
    <row r="454" spans="2:15" x14ac:dyDescent="0.45">
      <c r="B454" s="6" t="s">
        <v>277</v>
      </c>
      <c r="C454" s="6" t="s">
        <v>32</v>
      </c>
      <c r="D454" s="7">
        <v>2.6780221820512602E-2</v>
      </c>
      <c r="E454" s="6" t="s">
        <v>7</v>
      </c>
      <c r="G454" s="6" t="s">
        <v>278</v>
      </c>
      <c r="H454" s="6" t="s">
        <v>32</v>
      </c>
      <c r="I454" s="8">
        <v>1.2445249270329067E-2</v>
      </c>
      <c r="J454" s="6" t="s">
        <v>7</v>
      </c>
      <c r="L454" s="6" t="s">
        <v>279</v>
      </c>
      <c r="M454" s="6" t="s">
        <v>32</v>
      </c>
      <c r="N454" s="8">
        <v>1.2205840386710215E-2</v>
      </c>
      <c r="O454" s="6" t="s">
        <v>7</v>
      </c>
    </row>
    <row r="455" spans="2:15" x14ac:dyDescent="0.45">
      <c r="B455" s="3" t="s">
        <v>277</v>
      </c>
      <c r="C455" s="3" t="s">
        <v>33</v>
      </c>
      <c r="D455" s="4">
        <v>4.7338497606303612E-2</v>
      </c>
      <c r="E455" s="3" t="s">
        <v>7</v>
      </c>
      <c r="G455" s="3" t="s">
        <v>278</v>
      </c>
      <c r="H455" s="3" t="s">
        <v>33</v>
      </c>
      <c r="I455" s="5">
        <v>1.2106243470624908E-2</v>
      </c>
      <c r="J455" s="3" t="s">
        <v>7</v>
      </c>
      <c r="L455" s="3" t="s">
        <v>279</v>
      </c>
      <c r="M455" s="3" t="s">
        <v>33</v>
      </c>
      <c r="N455" s="5">
        <v>1.2728748771528462E-2</v>
      </c>
      <c r="O455" s="3" t="s">
        <v>7</v>
      </c>
    </row>
    <row r="456" spans="2:15" x14ac:dyDescent="0.45">
      <c r="B456" s="6" t="s">
        <v>277</v>
      </c>
      <c r="C456" s="6" t="s">
        <v>34</v>
      </c>
      <c r="D456" s="7">
        <v>5.7245610169485546E-2</v>
      </c>
      <c r="E456" s="6" t="s">
        <v>7</v>
      </c>
      <c r="G456" s="6" t="s">
        <v>278</v>
      </c>
      <c r="H456" s="6" t="s">
        <v>34</v>
      </c>
      <c r="I456" s="8">
        <v>1.2214140208676125E-2</v>
      </c>
      <c r="J456" s="6" t="s">
        <v>7</v>
      </c>
      <c r="L456" s="6" t="s">
        <v>279</v>
      </c>
      <c r="M456" s="6" t="s">
        <v>34</v>
      </c>
      <c r="N456" s="8">
        <v>1.3073320306821287E-2</v>
      </c>
      <c r="O456" s="6" t="s">
        <v>7</v>
      </c>
    </row>
    <row r="457" spans="2:15" x14ac:dyDescent="0.45">
      <c r="B457" s="3" t="s">
        <v>277</v>
      </c>
      <c r="C457" s="3" t="s">
        <v>35</v>
      </c>
      <c r="D457" s="4">
        <v>5.4093462219979377E-2</v>
      </c>
      <c r="E457" s="3" t="s">
        <v>7</v>
      </c>
      <c r="G457" s="3" t="s">
        <v>278</v>
      </c>
      <c r="H457" s="3" t="s">
        <v>35</v>
      </c>
      <c r="I457" s="5">
        <v>1.2403572623643749E-2</v>
      </c>
      <c r="J457" s="3" t="s">
        <v>7</v>
      </c>
      <c r="L457" s="3" t="s">
        <v>279</v>
      </c>
      <c r="M457" s="3" t="s">
        <v>35</v>
      </c>
      <c r="N457" s="5">
        <v>1.2999549683885428E-2</v>
      </c>
      <c r="O457" s="3" t="s">
        <v>7</v>
      </c>
    </row>
    <row r="458" spans="2:15" x14ac:dyDescent="0.45">
      <c r="B458" s="6" t="s">
        <v>277</v>
      </c>
      <c r="C458" s="6" t="s">
        <v>36</v>
      </c>
      <c r="D458" s="7">
        <v>3.8541530549980996E-2</v>
      </c>
      <c r="E458" s="6" t="s">
        <v>7</v>
      </c>
      <c r="G458" s="6" t="s">
        <v>278</v>
      </c>
      <c r="H458" s="6" t="s">
        <v>36</v>
      </c>
      <c r="I458" s="8">
        <v>1.2320103445995791E-2</v>
      </c>
      <c r="J458" s="6" t="s">
        <v>7</v>
      </c>
      <c r="L458" s="6" t="s">
        <v>279</v>
      </c>
      <c r="M458" s="6" t="s">
        <v>36</v>
      </c>
      <c r="N458" s="8">
        <v>1.2145643574910044E-2</v>
      </c>
      <c r="O458" s="6" t="s">
        <v>7</v>
      </c>
    </row>
    <row r="459" spans="2:15" x14ac:dyDescent="0.45">
      <c r="B459" s="3" t="s">
        <v>277</v>
      </c>
      <c r="C459" s="3" t="s">
        <v>37</v>
      </c>
      <c r="D459" s="4">
        <v>1.4112788459610856E-2</v>
      </c>
      <c r="E459" s="3" t="s">
        <v>7</v>
      </c>
      <c r="G459" s="3" t="s">
        <v>278</v>
      </c>
      <c r="H459" s="3" t="s">
        <v>37</v>
      </c>
      <c r="I459" s="5">
        <v>1.1341827787305846E-2</v>
      </c>
      <c r="J459" s="3" t="s">
        <v>7</v>
      </c>
      <c r="L459" s="3" t="s">
        <v>279</v>
      </c>
      <c r="M459" s="3" t="s">
        <v>37</v>
      </c>
      <c r="N459" s="5">
        <v>1.0630244733190335E-2</v>
      </c>
      <c r="O459" s="3" t="s">
        <v>7</v>
      </c>
    </row>
    <row r="460" spans="2:15" x14ac:dyDescent="0.45">
      <c r="B460" s="6" t="s">
        <v>277</v>
      </c>
      <c r="C460" s="6" t="s">
        <v>38</v>
      </c>
      <c r="D460" s="7">
        <v>1.1842791579668257E-3</v>
      </c>
      <c r="E460" s="6" t="s">
        <v>7</v>
      </c>
      <c r="G460" s="6" t="s">
        <v>278</v>
      </c>
      <c r="H460" s="6" t="s">
        <v>38</v>
      </c>
      <c r="I460" s="8">
        <v>1.5776671987546186E-2</v>
      </c>
      <c r="J460" s="6" t="s">
        <v>7</v>
      </c>
      <c r="L460" s="6" t="s">
        <v>279</v>
      </c>
      <c r="M460" s="6" t="s">
        <v>38</v>
      </c>
      <c r="N460" s="8">
        <v>1.5558067101301087E-2</v>
      </c>
      <c r="O460" s="6" t="s">
        <v>7</v>
      </c>
    </row>
    <row r="461" spans="2:15" x14ac:dyDescent="0.45">
      <c r="B461" s="3" t="s">
        <v>277</v>
      </c>
      <c r="C461" s="3" t="s">
        <v>39</v>
      </c>
      <c r="D461" s="4">
        <v>0</v>
      </c>
      <c r="E461" s="3" t="s">
        <v>7</v>
      </c>
      <c r="G461" s="3" t="s">
        <v>278</v>
      </c>
      <c r="H461" s="3" t="s">
        <v>39</v>
      </c>
      <c r="I461" s="5">
        <v>1.7789088949680565E-2</v>
      </c>
      <c r="J461" s="3" t="s">
        <v>7</v>
      </c>
      <c r="L461" s="3" t="s">
        <v>279</v>
      </c>
      <c r="M461" s="3" t="s">
        <v>39</v>
      </c>
      <c r="N461" s="5">
        <v>1.925190548053466E-2</v>
      </c>
      <c r="O461" s="3" t="s">
        <v>7</v>
      </c>
    </row>
    <row r="462" spans="2:15" x14ac:dyDescent="0.45">
      <c r="B462" s="6" t="s">
        <v>277</v>
      </c>
      <c r="C462" s="6" t="s">
        <v>40</v>
      </c>
      <c r="D462" s="7">
        <v>2.8070843936330403E-5</v>
      </c>
      <c r="E462" s="6" t="s">
        <v>7</v>
      </c>
      <c r="G462" s="6" t="s">
        <v>278</v>
      </c>
      <c r="H462" s="6" t="s">
        <v>40</v>
      </c>
      <c r="I462" s="8">
        <v>7.2981260192744053E-3</v>
      </c>
      <c r="J462" s="6" t="s">
        <v>7</v>
      </c>
      <c r="L462" s="6" t="s">
        <v>279</v>
      </c>
      <c r="M462" s="6" t="s">
        <v>40</v>
      </c>
      <c r="N462" s="8">
        <v>7.3227288571285605E-3</v>
      </c>
      <c r="O462" s="6" t="s">
        <v>7</v>
      </c>
    </row>
    <row r="463" spans="2:15" x14ac:dyDescent="0.45">
      <c r="B463" s="3" t="s">
        <v>277</v>
      </c>
      <c r="C463" s="3" t="s">
        <v>41</v>
      </c>
      <c r="D463" s="4">
        <v>4.1818189900355096E-3</v>
      </c>
      <c r="E463" s="3" t="s">
        <v>7</v>
      </c>
      <c r="G463" s="3" t="s">
        <v>278</v>
      </c>
      <c r="H463" s="3" t="s">
        <v>41</v>
      </c>
      <c r="I463" s="5">
        <v>7.5255162804312012E-3</v>
      </c>
      <c r="J463" s="3" t="s">
        <v>7</v>
      </c>
      <c r="L463" s="3" t="s">
        <v>279</v>
      </c>
      <c r="M463" s="3" t="s">
        <v>41</v>
      </c>
      <c r="N463" s="5">
        <v>8.0011028067684155E-3</v>
      </c>
      <c r="O463" s="3" t="s">
        <v>7</v>
      </c>
    </row>
    <row r="464" spans="2:15" x14ac:dyDescent="0.45">
      <c r="B464" s="6" t="s">
        <v>277</v>
      </c>
      <c r="C464" s="6" t="s">
        <v>42</v>
      </c>
      <c r="D464" s="7">
        <v>2.5879703610627681E-2</v>
      </c>
      <c r="E464" s="6" t="s">
        <v>7</v>
      </c>
      <c r="G464" s="6" t="s">
        <v>278</v>
      </c>
      <c r="H464" s="6" t="s">
        <v>42</v>
      </c>
      <c r="I464" s="8">
        <v>8.2602639091803667E-3</v>
      </c>
      <c r="J464" s="6" t="s">
        <v>7</v>
      </c>
      <c r="L464" s="6" t="s">
        <v>279</v>
      </c>
      <c r="M464" s="6" t="s">
        <v>42</v>
      </c>
      <c r="N464" s="8">
        <v>8.4305444638179041E-3</v>
      </c>
      <c r="O464" s="6" t="s">
        <v>7</v>
      </c>
    </row>
    <row r="465" spans="2:15" x14ac:dyDescent="0.45">
      <c r="B465" s="3" t="s">
        <v>277</v>
      </c>
      <c r="C465" s="3" t="s">
        <v>43</v>
      </c>
      <c r="D465" s="4">
        <v>4.823529554129409E-2</v>
      </c>
      <c r="E465" s="3" t="s">
        <v>7</v>
      </c>
      <c r="G465" s="3" t="s">
        <v>278</v>
      </c>
      <c r="H465" s="3" t="s">
        <v>43</v>
      </c>
      <c r="I465" s="5">
        <v>8.1665050573900763E-3</v>
      </c>
      <c r="J465" s="3" t="s">
        <v>7</v>
      </c>
      <c r="L465" s="3" t="s">
        <v>279</v>
      </c>
      <c r="M465" s="3" t="s">
        <v>43</v>
      </c>
      <c r="N465" s="5">
        <v>8.6968837068085916E-3</v>
      </c>
      <c r="O465" s="3" t="s">
        <v>7</v>
      </c>
    </row>
    <row r="466" spans="2:15" x14ac:dyDescent="0.45">
      <c r="B466" s="6" t="s">
        <v>277</v>
      </c>
      <c r="C466" s="6" t="s">
        <v>44</v>
      </c>
      <c r="D466" s="7">
        <v>5.7099009414961203E-2</v>
      </c>
      <c r="E466" s="6" t="s">
        <v>7</v>
      </c>
      <c r="G466" s="6" t="s">
        <v>278</v>
      </c>
      <c r="H466" s="6" t="s">
        <v>44</v>
      </c>
      <c r="I466" s="8">
        <v>8.5525005892436549E-3</v>
      </c>
      <c r="J466" s="6" t="s">
        <v>7</v>
      </c>
      <c r="L466" s="6" t="s">
        <v>279</v>
      </c>
      <c r="M466" s="6" t="s">
        <v>44</v>
      </c>
      <c r="N466" s="8">
        <v>8.9867733093632416E-3</v>
      </c>
      <c r="O466" s="6" t="s">
        <v>7</v>
      </c>
    </row>
    <row r="467" spans="2:15" x14ac:dyDescent="0.45">
      <c r="B467" s="3" t="s">
        <v>277</v>
      </c>
      <c r="C467" s="3" t="s">
        <v>45</v>
      </c>
      <c r="D467" s="4">
        <v>5.3687327618338741E-2</v>
      </c>
      <c r="E467" s="3" t="s">
        <v>7</v>
      </c>
      <c r="G467" s="3" t="s">
        <v>278</v>
      </c>
      <c r="H467" s="3" t="s">
        <v>45</v>
      </c>
      <c r="I467" s="5">
        <v>8.6522971387826587E-3</v>
      </c>
      <c r="J467" s="3" t="s">
        <v>7</v>
      </c>
      <c r="L467" s="3" t="s">
        <v>279</v>
      </c>
      <c r="M467" s="3" t="s">
        <v>45</v>
      </c>
      <c r="N467" s="5">
        <v>8.6881449552790226E-3</v>
      </c>
      <c r="O467" s="3" t="s">
        <v>7</v>
      </c>
    </row>
    <row r="468" spans="2:15" x14ac:dyDescent="0.45">
      <c r="B468" s="6" t="s">
        <v>277</v>
      </c>
      <c r="C468" s="6" t="s">
        <v>46</v>
      </c>
      <c r="D468" s="7">
        <v>3.7588077031713268E-2</v>
      </c>
      <c r="E468" s="6" t="s">
        <v>7</v>
      </c>
      <c r="G468" s="6" t="s">
        <v>278</v>
      </c>
      <c r="H468" s="6" t="s">
        <v>46</v>
      </c>
      <c r="I468" s="8">
        <v>7.999416464182077E-3</v>
      </c>
      <c r="J468" s="6" t="s">
        <v>7</v>
      </c>
      <c r="L468" s="6" t="s">
        <v>279</v>
      </c>
      <c r="M468" s="6" t="s">
        <v>46</v>
      </c>
      <c r="N468" s="8">
        <v>7.6120977653529286E-3</v>
      </c>
      <c r="O468" s="6" t="s">
        <v>7</v>
      </c>
    </row>
    <row r="469" spans="2:15" x14ac:dyDescent="0.45">
      <c r="B469" s="3" t="s">
        <v>277</v>
      </c>
      <c r="C469" s="3" t="s">
        <v>47</v>
      </c>
      <c r="D469" s="4">
        <v>1.2916797795377404E-2</v>
      </c>
      <c r="E469" s="3" t="s">
        <v>7</v>
      </c>
      <c r="G469" s="3" t="s">
        <v>278</v>
      </c>
      <c r="H469" s="3" t="s">
        <v>47</v>
      </c>
      <c r="I469" s="5">
        <v>7.0434476935040046E-3</v>
      </c>
      <c r="J469" s="3" t="s">
        <v>7</v>
      </c>
      <c r="L469" s="3" t="s">
        <v>279</v>
      </c>
      <c r="M469" s="3" t="s">
        <v>47</v>
      </c>
      <c r="N469" s="5">
        <v>6.7464464686274924E-3</v>
      </c>
      <c r="O469" s="3" t="s">
        <v>7</v>
      </c>
    </row>
    <row r="470" spans="2:15" x14ac:dyDescent="0.45">
      <c r="B470" s="6" t="s">
        <v>277</v>
      </c>
      <c r="C470" s="6" t="s">
        <v>48</v>
      </c>
      <c r="D470" s="7">
        <v>8.5520468701677683E-4</v>
      </c>
      <c r="E470" s="6" t="s">
        <v>7</v>
      </c>
      <c r="G470" s="6" t="s">
        <v>278</v>
      </c>
      <c r="H470" s="6" t="s">
        <v>48</v>
      </c>
      <c r="I470" s="8">
        <v>1.0092138497828224E-2</v>
      </c>
      <c r="J470" s="6" t="s">
        <v>7</v>
      </c>
      <c r="L470" s="6" t="s">
        <v>279</v>
      </c>
      <c r="M470" s="6" t="s">
        <v>48</v>
      </c>
      <c r="N470" s="8">
        <v>1.1055567033837938E-2</v>
      </c>
      <c r="O470" s="6" t="s">
        <v>7</v>
      </c>
    </row>
    <row r="471" spans="2:15" x14ac:dyDescent="0.45">
      <c r="B471" s="3" t="s">
        <v>277</v>
      </c>
      <c r="C471" s="3" t="s">
        <v>49</v>
      </c>
      <c r="D471" s="4">
        <v>0</v>
      </c>
      <c r="E471" s="3" t="s">
        <v>7</v>
      </c>
      <c r="G471" s="3" t="s">
        <v>278</v>
      </c>
      <c r="H471" s="3" t="s">
        <v>49</v>
      </c>
      <c r="I471" s="5">
        <v>3.1386952590465228E-2</v>
      </c>
      <c r="J471" s="3" t="s">
        <v>7</v>
      </c>
      <c r="L471" s="3" t="s">
        <v>279</v>
      </c>
      <c r="M471" s="3" t="s">
        <v>49</v>
      </c>
      <c r="N471" s="5">
        <v>3.1283568509736417E-2</v>
      </c>
      <c r="O471" s="3" t="s">
        <v>7</v>
      </c>
    </row>
    <row r="472" spans="2:15" x14ac:dyDescent="0.45">
      <c r="B472" s="6" t="s">
        <v>277</v>
      </c>
      <c r="C472" s="6" t="s">
        <v>50</v>
      </c>
      <c r="D472" s="7">
        <v>0</v>
      </c>
      <c r="E472" s="6" t="s">
        <v>7</v>
      </c>
      <c r="G472" s="6" t="s">
        <v>278</v>
      </c>
      <c r="H472" s="6" t="s">
        <v>50</v>
      </c>
      <c r="I472" s="8">
        <v>1.2816039119369177E-2</v>
      </c>
      <c r="J472" s="6" t="s">
        <v>7</v>
      </c>
      <c r="L472" s="6" t="s">
        <v>279</v>
      </c>
      <c r="M472" s="6" t="s">
        <v>50</v>
      </c>
      <c r="N472" s="8">
        <v>1.3212337797487612E-2</v>
      </c>
      <c r="O472" s="6" t="s">
        <v>7</v>
      </c>
    </row>
    <row r="473" spans="2:15" x14ac:dyDescent="0.45">
      <c r="B473" s="3" t="s">
        <v>277</v>
      </c>
      <c r="C473" s="3" t="s">
        <v>51</v>
      </c>
      <c r="D473" s="4">
        <v>2.457242626215371E-4</v>
      </c>
      <c r="E473" s="3" t="s">
        <v>7</v>
      </c>
      <c r="G473" s="3" t="s">
        <v>278</v>
      </c>
      <c r="H473" s="3" t="s">
        <v>51</v>
      </c>
      <c r="I473" s="5">
        <v>1.3305613761120581E-2</v>
      </c>
      <c r="J473" s="3" t="s">
        <v>7</v>
      </c>
      <c r="L473" s="3" t="s">
        <v>279</v>
      </c>
      <c r="M473" s="3" t="s">
        <v>51</v>
      </c>
      <c r="N473" s="5">
        <v>1.4547618641351009E-2</v>
      </c>
      <c r="O473" s="3" t="s">
        <v>7</v>
      </c>
    </row>
    <row r="474" spans="2:15" x14ac:dyDescent="0.45">
      <c r="B474" s="6" t="s">
        <v>277</v>
      </c>
      <c r="C474" s="6" t="s">
        <v>52</v>
      </c>
      <c r="D474" s="7">
        <v>1.18115759942455E-2</v>
      </c>
      <c r="E474" s="6" t="s">
        <v>7</v>
      </c>
      <c r="G474" s="6" t="s">
        <v>278</v>
      </c>
      <c r="H474" s="6" t="s">
        <v>52</v>
      </c>
      <c r="I474" s="8">
        <v>1.4184670510874318E-2</v>
      </c>
      <c r="J474" s="6" t="s">
        <v>7</v>
      </c>
      <c r="L474" s="6" t="s">
        <v>279</v>
      </c>
      <c r="M474" s="6" t="s">
        <v>52</v>
      </c>
      <c r="N474" s="8">
        <v>1.5312585999365139E-2</v>
      </c>
      <c r="O474" s="6" t="s">
        <v>7</v>
      </c>
    </row>
    <row r="475" spans="2:15" x14ac:dyDescent="0.45">
      <c r="B475" s="3" t="s">
        <v>277</v>
      </c>
      <c r="C475" s="3" t="s">
        <v>53</v>
      </c>
      <c r="D475" s="4">
        <v>3.1852069241208682E-2</v>
      </c>
      <c r="E475" s="3" t="s">
        <v>7</v>
      </c>
      <c r="G475" s="3" t="s">
        <v>278</v>
      </c>
      <c r="H475" s="3" t="s">
        <v>53</v>
      </c>
      <c r="I475" s="5">
        <v>1.554964438043426E-2</v>
      </c>
      <c r="J475" s="3" t="s">
        <v>7</v>
      </c>
      <c r="L475" s="3" t="s">
        <v>279</v>
      </c>
      <c r="M475" s="3" t="s">
        <v>53</v>
      </c>
      <c r="N475" s="5">
        <v>1.5287044181166139E-2</v>
      </c>
      <c r="O475" s="3" t="s">
        <v>7</v>
      </c>
    </row>
    <row r="476" spans="2:15" x14ac:dyDescent="0.45">
      <c r="B476" s="6" t="s">
        <v>277</v>
      </c>
      <c r="C476" s="6" t="s">
        <v>54</v>
      </c>
      <c r="D476" s="7">
        <v>3.8782725572278215E-2</v>
      </c>
      <c r="E476" s="6" t="s">
        <v>7</v>
      </c>
      <c r="G476" s="6" t="s">
        <v>278</v>
      </c>
      <c r="H476" s="6" t="s">
        <v>54</v>
      </c>
      <c r="I476" s="8">
        <v>1.5748535759644609E-2</v>
      </c>
      <c r="J476" s="6" t="s">
        <v>7</v>
      </c>
      <c r="L476" s="6" t="s">
        <v>279</v>
      </c>
      <c r="M476" s="6" t="s">
        <v>54</v>
      </c>
      <c r="N476" s="8">
        <v>1.4996593363793595E-2</v>
      </c>
      <c r="O476" s="6" t="s">
        <v>7</v>
      </c>
    </row>
    <row r="477" spans="2:15" x14ac:dyDescent="0.45">
      <c r="B477" s="3" t="s">
        <v>277</v>
      </c>
      <c r="C477" s="3" t="s">
        <v>55</v>
      </c>
      <c r="D477" s="4">
        <v>3.3582777490553842E-2</v>
      </c>
      <c r="E477" s="3" t="s">
        <v>7</v>
      </c>
      <c r="G477" s="3" t="s">
        <v>278</v>
      </c>
      <c r="H477" s="3" t="s">
        <v>55</v>
      </c>
      <c r="I477" s="5">
        <v>1.5187883134316151E-2</v>
      </c>
      <c r="J477" s="3" t="s">
        <v>7</v>
      </c>
      <c r="L477" s="3" t="s">
        <v>279</v>
      </c>
      <c r="M477" s="3" t="s">
        <v>55</v>
      </c>
      <c r="N477" s="5">
        <v>1.3475214838649108E-2</v>
      </c>
      <c r="O477" s="3" t="s">
        <v>7</v>
      </c>
    </row>
    <row r="478" spans="2:15" x14ac:dyDescent="0.45">
      <c r="B478" s="6" t="s">
        <v>277</v>
      </c>
      <c r="C478" s="6" t="s">
        <v>56</v>
      </c>
      <c r="D478" s="7">
        <v>1.74413505983094E-2</v>
      </c>
      <c r="E478" s="6" t="s">
        <v>7</v>
      </c>
      <c r="G478" s="6" t="s">
        <v>278</v>
      </c>
      <c r="H478" s="6" t="s">
        <v>56</v>
      </c>
      <c r="I478" s="8">
        <v>1.3615479195509849E-2</v>
      </c>
      <c r="J478" s="6" t="s">
        <v>7</v>
      </c>
      <c r="L478" s="6" t="s">
        <v>279</v>
      </c>
      <c r="M478" s="6" t="s">
        <v>56</v>
      </c>
      <c r="N478" s="8">
        <v>1.2359213229126934E-2</v>
      </c>
      <c r="O478" s="6" t="s">
        <v>7</v>
      </c>
    </row>
    <row r="479" spans="2:15" x14ac:dyDescent="0.45">
      <c r="B479" s="3" t="s">
        <v>277</v>
      </c>
      <c r="C479" s="3" t="s">
        <v>57</v>
      </c>
      <c r="D479" s="4">
        <v>1.9385376835369076E-3</v>
      </c>
      <c r="E479" s="3" t="s">
        <v>7</v>
      </c>
      <c r="G479" s="3" t="s">
        <v>278</v>
      </c>
      <c r="H479" s="3" t="s">
        <v>57</v>
      </c>
      <c r="I479" s="5">
        <v>1.2848912642812063E-2</v>
      </c>
      <c r="J479" s="3" t="s">
        <v>7</v>
      </c>
      <c r="L479" s="3" t="s">
        <v>279</v>
      </c>
      <c r="M479" s="3" t="s">
        <v>57</v>
      </c>
      <c r="N479" s="5">
        <v>1.2095110115832006E-2</v>
      </c>
      <c r="O479" s="3" t="s">
        <v>7</v>
      </c>
    </row>
    <row r="480" spans="2:15" x14ac:dyDescent="0.45">
      <c r="B480" s="6" t="s">
        <v>277</v>
      </c>
      <c r="C480" s="6" t="s">
        <v>58</v>
      </c>
      <c r="D480" s="7">
        <v>0</v>
      </c>
      <c r="E480" s="6" t="s">
        <v>7</v>
      </c>
      <c r="G480" s="6" t="s">
        <v>278</v>
      </c>
      <c r="H480" s="6" t="s">
        <v>58</v>
      </c>
      <c r="I480" s="8">
        <v>1.9494702276346709E-2</v>
      </c>
      <c r="J480" s="6" t="s">
        <v>7</v>
      </c>
      <c r="L480" s="6" t="s">
        <v>279</v>
      </c>
      <c r="M480" s="6" t="s">
        <v>58</v>
      </c>
      <c r="N480" s="8">
        <v>1.8012554623709948E-2</v>
      </c>
      <c r="O480" s="6" t="s">
        <v>7</v>
      </c>
    </row>
    <row r="481" spans="2:15" x14ac:dyDescent="0.45">
      <c r="B481" s="3" t="s">
        <v>277</v>
      </c>
      <c r="C481" s="3" t="s">
        <v>59</v>
      </c>
      <c r="D481" s="4">
        <v>0</v>
      </c>
      <c r="E481" s="3" t="s">
        <v>7</v>
      </c>
      <c r="G481" s="3" t="s">
        <v>278</v>
      </c>
      <c r="H481" s="3" t="s">
        <v>59</v>
      </c>
      <c r="I481" s="5">
        <v>4.8603178194662408E-2</v>
      </c>
      <c r="J481" s="3" t="s">
        <v>7</v>
      </c>
      <c r="L481" s="3" t="s">
        <v>279</v>
      </c>
      <c r="M481" s="3" t="s">
        <v>59</v>
      </c>
      <c r="N481" s="5">
        <v>4.5260627362778569E-2</v>
      </c>
      <c r="O481" s="3" t="s">
        <v>7</v>
      </c>
    </row>
    <row r="482" spans="2:15" x14ac:dyDescent="0.45">
      <c r="B482" s="6" t="s">
        <v>277</v>
      </c>
      <c r="C482" s="6" t="s">
        <v>60</v>
      </c>
      <c r="D482" s="7">
        <v>0</v>
      </c>
      <c r="E482" s="6" t="s">
        <v>7</v>
      </c>
      <c r="G482" s="6" t="s">
        <v>278</v>
      </c>
      <c r="H482" s="6" t="s">
        <v>60</v>
      </c>
      <c r="I482" s="8">
        <v>1.8732420118545506E-2</v>
      </c>
      <c r="J482" s="6" t="s">
        <v>7</v>
      </c>
      <c r="L482" s="6" t="s">
        <v>279</v>
      </c>
      <c r="M482" s="6" t="s">
        <v>60</v>
      </c>
      <c r="N482" s="8">
        <v>1.840262296127889E-2</v>
      </c>
      <c r="O482" s="6" t="s">
        <v>7</v>
      </c>
    </row>
    <row r="483" spans="2:15" x14ac:dyDescent="0.45">
      <c r="B483" s="3" t="s">
        <v>277</v>
      </c>
      <c r="C483" s="3" t="s">
        <v>61</v>
      </c>
      <c r="D483" s="4">
        <v>0</v>
      </c>
      <c r="E483" s="3" t="s">
        <v>7</v>
      </c>
      <c r="G483" s="3" t="s">
        <v>278</v>
      </c>
      <c r="H483" s="3" t="s">
        <v>61</v>
      </c>
      <c r="I483" s="5">
        <v>1.8971362838729213E-2</v>
      </c>
      <c r="J483" s="3" t="s">
        <v>7</v>
      </c>
      <c r="L483" s="3" t="s">
        <v>279</v>
      </c>
      <c r="M483" s="3" t="s">
        <v>61</v>
      </c>
      <c r="N483" s="5">
        <v>1.8689790128596055E-2</v>
      </c>
      <c r="O483" s="3" t="s">
        <v>7</v>
      </c>
    </row>
    <row r="484" spans="2:15" x14ac:dyDescent="0.45">
      <c r="B484" s="6" t="s">
        <v>277</v>
      </c>
      <c r="C484" s="6" t="s">
        <v>62</v>
      </c>
      <c r="D484" s="7">
        <v>1.897550787731672E-3</v>
      </c>
      <c r="E484" s="6" t="s">
        <v>7</v>
      </c>
      <c r="G484" s="6" t="s">
        <v>278</v>
      </c>
      <c r="H484" s="6" t="s">
        <v>62</v>
      </c>
      <c r="I484" s="8">
        <v>1.9085813700129271E-2</v>
      </c>
      <c r="J484" s="6" t="s">
        <v>7</v>
      </c>
      <c r="L484" s="6" t="s">
        <v>279</v>
      </c>
      <c r="M484" s="6" t="s">
        <v>62</v>
      </c>
      <c r="N484" s="8">
        <v>1.8495649866517992E-2</v>
      </c>
      <c r="O484" s="6" t="s">
        <v>7</v>
      </c>
    </row>
    <row r="485" spans="2:15" x14ac:dyDescent="0.45">
      <c r="B485" s="3" t="s">
        <v>277</v>
      </c>
      <c r="C485" s="3" t="s">
        <v>63</v>
      </c>
      <c r="D485" s="4">
        <v>1.9882115872579268E-2</v>
      </c>
      <c r="E485" s="3" t="s">
        <v>7</v>
      </c>
      <c r="G485" s="3" t="s">
        <v>278</v>
      </c>
      <c r="H485" s="3" t="s">
        <v>63</v>
      </c>
      <c r="I485" s="5">
        <v>1.8092387707032549E-2</v>
      </c>
      <c r="J485" s="3" t="s">
        <v>7</v>
      </c>
      <c r="L485" s="3" t="s">
        <v>279</v>
      </c>
      <c r="M485" s="3" t="s">
        <v>63</v>
      </c>
      <c r="N485" s="5">
        <v>1.926549559594673E-2</v>
      </c>
      <c r="O485" s="3" t="s">
        <v>7</v>
      </c>
    </row>
    <row r="486" spans="2:15" x14ac:dyDescent="0.45">
      <c r="B486" s="6" t="s">
        <v>277</v>
      </c>
      <c r="C486" s="6" t="s">
        <v>64</v>
      </c>
      <c r="D486" s="7">
        <v>3.4425644012105648E-2</v>
      </c>
      <c r="E486" s="6" t="s">
        <v>7</v>
      </c>
      <c r="G486" s="6" t="s">
        <v>278</v>
      </c>
      <c r="H486" s="6" t="s">
        <v>64</v>
      </c>
      <c r="I486" s="8">
        <v>1.8237368747293925E-2</v>
      </c>
      <c r="J486" s="6" t="s">
        <v>7</v>
      </c>
      <c r="L486" s="6" t="s">
        <v>279</v>
      </c>
      <c r="M486" s="6" t="s">
        <v>64</v>
      </c>
      <c r="N486" s="8">
        <v>2.0584216182138834E-2</v>
      </c>
      <c r="O486" s="6" t="s">
        <v>7</v>
      </c>
    </row>
    <row r="487" spans="2:15" x14ac:dyDescent="0.45">
      <c r="B487" s="3" t="s">
        <v>277</v>
      </c>
      <c r="C487" s="3" t="s">
        <v>65</v>
      </c>
      <c r="D487" s="4">
        <v>2.5456539677346332E-2</v>
      </c>
      <c r="E487" s="3" t="s">
        <v>7</v>
      </c>
      <c r="G487" s="3" t="s">
        <v>278</v>
      </c>
      <c r="H487" s="3" t="s">
        <v>65</v>
      </c>
      <c r="I487" s="5">
        <v>1.8708964535333817E-2</v>
      </c>
      <c r="J487" s="3" t="s">
        <v>7</v>
      </c>
      <c r="L487" s="3" t="s">
        <v>279</v>
      </c>
      <c r="M487" s="3" t="s">
        <v>65</v>
      </c>
      <c r="N487" s="5">
        <v>2.0366527054112082E-2</v>
      </c>
      <c r="O487" s="3" t="s">
        <v>7</v>
      </c>
    </row>
    <row r="488" spans="2:15" x14ac:dyDescent="0.45">
      <c r="B488" s="6" t="s">
        <v>277</v>
      </c>
      <c r="C488" s="6" t="s">
        <v>66</v>
      </c>
      <c r="D488" s="7">
        <v>4.9550367498934871E-3</v>
      </c>
      <c r="E488" s="6" t="s">
        <v>7</v>
      </c>
      <c r="G488" s="6" t="s">
        <v>278</v>
      </c>
      <c r="H488" s="6" t="s">
        <v>66</v>
      </c>
      <c r="I488" s="8">
        <v>1.8816664069759584E-2</v>
      </c>
      <c r="J488" s="6" t="s">
        <v>7</v>
      </c>
      <c r="L488" s="6" t="s">
        <v>279</v>
      </c>
      <c r="M488" s="6" t="s">
        <v>66</v>
      </c>
      <c r="N488" s="8">
        <v>2.0098207274054817E-2</v>
      </c>
      <c r="O488" s="6" t="s">
        <v>7</v>
      </c>
    </row>
    <row r="489" spans="2:15" x14ac:dyDescent="0.45">
      <c r="B489" s="3" t="s">
        <v>277</v>
      </c>
      <c r="C489" s="3" t="s">
        <v>67</v>
      </c>
      <c r="D489" s="4">
        <v>0</v>
      </c>
      <c r="E489" s="3" t="s">
        <v>7</v>
      </c>
      <c r="G489" s="3" t="s">
        <v>278</v>
      </c>
      <c r="H489" s="3" t="s">
        <v>67</v>
      </c>
      <c r="I489" s="5">
        <v>1.940779501719796E-2</v>
      </c>
      <c r="J489" s="3" t="s">
        <v>7</v>
      </c>
      <c r="L489" s="3" t="s">
        <v>279</v>
      </c>
      <c r="M489" s="3" t="s">
        <v>67</v>
      </c>
      <c r="N489" s="5">
        <v>2.0016774470540254E-2</v>
      </c>
      <c r="O489" s="3" t="s">
        <v>7</v>
      </c>
    </row>
    <row r="490" spans="2:15" x14ac:dyDescent="0.45">
      <c r="B490" s="6" t="s">
        <v>277</v>
      </c>
      <c r="C490" s="6" t="s">
        <v>68</v>
      </c>
      <c r="D490" s="7">
        <v>0</v>
      </c>
      <c r="E490" s="6" t="s">
        <v>7</v>
      </c>
      <c r="G490" s="6" t="s">
        <v>278</v>
      </c>
      <c r="H490" s="6" t="s">
        <v>68</v>
      </c>
      <c r="I490" s="8">
        <v>3.0356352686007802E-2</v>
      </c>
      <c r="J490" s="6" t="s">
        <v>7</v>
      </c>
      <c r="L490" s="6" t="s">
        <v>279</v>
      </c>
      <c r="M490" s="6" t="s">
        <v>68</v>
      </c>
      <c r="N490" s="8">
        <v>2.952177602204837E-2</v>
      </c>
      <c r="O490" s="6" t="s">
        <v>7</v>
      </c>
    </row>
    <row r="491" spans="2:15" x14ac:dyDescent="0.45">
      <c r="B491" s="3" t="s">
        <v>280</v>
      </c>
      <c r="C491" s="3" t="s">
        <v>6</v>
      </c>
      <c r="D491" s="4">
        <v>0</v>
      </c>
      <c r="E491" s="3" t="s">
        <v>7</v>
      </c>
      <c r="G491" s="3" t="s">
        <v>281</v>
      </c>
      <c r="H491" s="3" t="s">
        <v>6</v>
      </c>
      <c r="I491" s="5">
        <v>3.8528584107863972E-2</v>
      </c>
      <c r="J491" s="3" t="s">
        <v>7</v>
      </c>
      <c r="L491" s="3" t="s">
        <v>282</v>
      </c>
      <c r="M491" s="3" t="s">
        <v>6</v>
      </c>
      <c r="N491" s="5">
        <v>3.821523376505212E-2</v>
      </c>
      <c r="O491" s="3" t="s">
        <v>7</v>
      </c>
    </row>
    <row r="492" spans="2:15" x14ac:dyDescent="0.45">
      <c r="B492" s="6" t="s">
        <v>280</v>
      </c>
      <c r="C492" s="6" t="s">
        <v>10</v>
      </c>
      <c r="D492" s="7">
        <v>0</v>
      </c>
      <c r="E492" s="6" t="s">
        <v>7</v>
      </c>
      <c r="G492" s="6" t="s">
        <v>281</v>
      </c>
      <c r="H492" s="6" t="s">
        <v>10</v>
      </c>
      <c r="I492" s="8">
        <v>1.495056565405193E-2</v>
      </c>
      <c r="J492" s="6" t="s">
        <v>7</v>
      </c>
      <c r="L492" s="6" t="s">
        <v>282</v>
      </c>
      <c r="M492" s="6" t="s">
        <v>10</v>
      </c>
      <c r="N492" s="8">
        <v>1.4950007504187023E-2</v>
      </c>
      <c r="O492" s="6" t="s">
        <v>7</v>
      </c>
    </row>
    <row r="493" spans="2:15" x14ac:dyDescent="0.45">
      <c r="B493" s="3" t="s">
        <v>280</v>
      </c>
      <c r="C493" s="3" t="s">
        <v>11</v>
      </c>
      <c r="D493" s="4">
        <v>0</v>
      </c>
      <c r="E493" s="3" t="s">
        <v>7</v>
      </c>
      <c r="G493" s="3" t="s">
        <v>281</v>
      </c>
      <c r="H493" s="3" t="s">
        <v>11</v>
      </c>
      <c r="I493" s="5">
        <v>1.5049030814055342E-2</v>
      </c>
      <c r="J493" s="3" t="s">
        <v>7</v>
      </c>
      <c r="L493" s="3" t="s">
        <v>282</v>
      </c>
      <c r="M493" s="3" t="s">
        <v>11</v>
      </c>
      <c r="N493" s="5">
        <v>1.5194861885342869E-2</v>
      </c>
      <c r="O493" s="3" t="s">
        <v>7</v>
      </c>
    </row>
    <row r="494" spans="2:15" x14ac:dyDescent="0.45">
      <c r="B494" s="6" t="s">
        <v>280</v>
      </c>
      <c r="C494" s="6" t="s">
        <v>12</v>
      </c>
      <c r="D494" s="7">
        <v>1.3237313774302336E-3</v>
      </c>
      <c r="E494" s="6" t="s">
        <v>7</v>
      </c>
      <c r="G494" s="6" t="s">
        <v>281</v>
      </c>
      <c r="H494" s="6" t="s">
        <v>12</v>
      </c>
      <c r="I494" s="8">
        <v>1.5402480685454172E-2</v>
      </c>
      <c r="J494" s="6" t="s">
        <v>7</v>
      </c>
      <c r="L494" s="6" t="s">
        <v>282</v>
      </c>
      <c r="M494" s="6" t="s">
        <v>12</v>
      </c>
      <c r="N494" s="8">
        <v>1.5494233540606339E-2</v>
      </c>
      <c r="O494" s="6" t="s">
        <v>7</v>
      </c>
    </row>
    <row r="495" spans="2:15" x14ac:dyDescent="0.45">
      <c r="B495" s="3" t="s">
        <v>280</v>
      </c>
      <c r="C495" s="3" t="s">
        <v>13</v>
      </c>
      <c r="D495" s="4">
        <v>1.6195707168874297E-2</v>
      </c>
      <c r="E495" s="3" t="s">
        <v>7</v>
      </c>
      <c r="G495" s="3" t="s">
        <v>281</v>
      </c>
      <c r="H495" s="3" t="s">
        <v>13</v>
      </c>
      <c r="I495" s="5">
        <v>1.6229687698170875E-2</v>
      </c>
      <c r="J495" s="3" t="s">
        <v>7</v>
      </c>
      <c r="L495" s="3" t="s">
        <v>282</v>
      </c>
      <c r="M495" s="3" t="s">
        <v>13</v>
      </c>
      <c r="N495" s="5">
        <v>1.5451489326038972E-2</v>
      </c>
      <c r="O495" s="3" t="s">
        <v>7</v>
      </c>
    </row>
    <row r="496" spans="2:15" x14ac:dyDescent="0.45">
      <c r="B496" s="6" t="s">
        <v>280</v>
      </c>
      <c r="C496" s="6" t="s">
        <v>14</v>
      </c>
      <c r="D496" s="7">
        <v>3.0591426133236153E-2</v>
      </c>
      <c r="E496" s="6" t="s">
        <v>7</v>
      </c>
      <c r="G496" s="6" t="s">
        <v>281</v>
      </c>
      <c r="H496" s="6" t="s">
        <v>14</v>
      </c>
      <c r="I496" s="8">
        <v>1.6693179961471807E-2</v>
      </c>
      <c r="J496" s="6" t="s">
        <v>7</v>
      </c>
      <c r="L496" s="6" t="s">
        <v>282</v>
      </c>
      <c r="M496" s="6" t="s">
        <v>14</v>
      </c>
      <c r="N496" s="8">
        <v>1.5066217118314566E-2</v>
      </c>
      <c r="O496" s="6" t="s">
        <v>7</v>
      </c>
    </row>
    <row r="497" spans="2:15" x14ac:dyDescent="0.45">
      <c r="B497" s="3" t="s">
        <v>280</v>
      </c>
      <c r="C497" s="3" t="s">
        <v>15</v>
      </c>
      <c r="D497" s="4">
        <v>2.953133016825928E-2</v>
      </c>
      <c r="E497" s="3" t="s">
        <v>7</v>
      </c>
      <c r="G497" s="3" t="s">
        <v>281</v>
      </c>
      <c r="H497" s="3" t="s">
        <v>15</v>
      </c>
      <c r="I497" s="5">
        <v>1.6407422291654431E-2</v>
      </c>
      <c r="J497" s="3" t="s">
        <v>7</v>
      </c>
      <c r="L497" s="3" t="s">
        <v>282</v>
      </c>
      <c r="M497" s="3" t="s">
        <v>15</v>
      </c>
      <c r="N497" s="5">
        <v>1.496903151289687E-2</v>
      </c>
      <c r="O497" s="3" t="s">
        <v>7</v>
      </c>
    </row>
    <row r="498" spans="2:15" x14ac:dyDescent="0.45">
      <c r="B498" s="6" t="s">
        <v>280</v>
      </c>
      <c r="C498" s="6" t="s">
        <v>16</v>
      </c>
      <c r="D498" s="7">
        <v>1.4050565664013238E-2</v>
      </c>
      <c r="E498" s="6" t="s">
        <v>7</v>
      </c>
      <c r="G498" s="6" t="s">
        <v>281</v>
      </c>
      <c r="H498" s="6" t="s">
        <v>16</v>
      </c>
      <c r="I498" s="8">
        <v>1.5813985335195031E-2</v>
      </c>
      <c r="J498" s="6" t="s">
        <v>7</v>
      </c>
      <c r="L498" s="6" t="s">
        <v>282</v>
      </c>
      <c r="M498" s="6" t="s">
        <v>16</v>
      </c>
      <c r="N498" s="8">
        <v>1.5271433295840025E-2</v>
      </c>
      <c r="O498" s="6" t="s">
        <v>7</v>
      </c>
    </row>
    <row r="499" spans="2:15" x14ac:dyDescent="0.45">
      <c r="B499" s="3" t="s">
        <v>280</v>
      </c>
      <c r="C499" s="3" t="s">
        <v>17</v>
      </c>
      <c r="D499" s="4">
        <v>7.3228685174474956E-4</v>
      </c>
      <c r="E499" s="3" t="s">
        <v>7</v>
      </c>
      <c r="G499" s="3" t="s">
        <v>281</v>
      </c>
      <c r="H499" s="3" t="s">
        <v>17</v>
      </c>
      <c r="I499" s="5">
        <v>1.5580026368262216E-2</v>
      </c>
      <c r="J499" s="3" t="s">
        <v>7</v>
      </c>
      <c r="L499" s="3" t="s">
        <v>282</v>
      </c>
      <c r="M499" s="3" t="s">
        <v>17</v>
      </c>
      <c r="N499" s="5">
        <v>1.5441866139930416E-2</v>
      </c>
      <c r="O499" s="3" t="s">
        <v>7</v>
      </c>
    </row>
    <row r="500" spans="2:15" x14ac:dyDescent="0.45">
      <c r="B500" s="6" t="s">
        <v>280</v>
      </c>
      <c r="C500" s="6" t="s">
        <v>18</v>
      </c>
      <c r="D500" s="7">
        <v>0</v>
      </c>
      <c r="E500" s="6" t="s">
        <v>7</v>
      </c>
      <c r="G500" s="6" t="s">
        <v>281</v>
      </c>
      <c r="H500" s="6" t="s">
        <v>18</v>
      </c>
      <c r="I500" s="8">
        <v>2.3888385376105981E-2</v>
      </c>
      <c r="J500" s="6" t="s">
        <v>7</v>
      </c>
      <c r="L500" s="6" t="s">
        <v>282</v>
      </c>
      <c r="M500" s="6" t="s">
        <v>18</v>
      </c>
      <c r="N500" s="8">
        <v>2.2765829149947268E-2</v>
      </c>
      <c r="O500" s="6" t="s">
        <v>7</v>
      </c>
    </row>
    <row r="501" spans="2:15" x14ac:dyDescent="0.45">
      <c r="B501" s="3" t="s">
        <v>280</v>
      </c>
      <c r="C501" s="3" t="s">
        <v>19</v>
      </c>
      <c r="D501" s="4">
        <v>0</v>
      </c>
      <c r="E501" s="3" t="s">
        <v>7</v>
      </c>
      <c r="G501" s="3" t="s">
        <v>281</v>
      </c>
      <c r="H501" s="3" t="s">
        <v>19</v>
      </c>
      <c r="I501" s="5">
        <v>3.8957908159323693E-2</v>
      </c>
      <c r="J501" s="3" t="s">
        <v>7</v>
      </c>
      <c r="L501" s="3" t="s">
        <v>282</v>
      </c>
      <c r="M501" s="3" t="s">
        <v>19</v>
      </c>
      <c r="N501" s="5">
        <v>3.5902427044252339E-2</v>
      </c>
      <c r="O501" s="3" t="s">
        <v>7</v>
      </c>
    </row>
    <row r="502" spans="2:15" x14ac:dyDescent="0.45">
      <c r="B502" s="6" t="s">
        <v>280</v>
      </c>
      <c r="C502" s="6" t="s">
        <v>20</v>
      </c>
      <c r="D502" s="7">
        <v>0</v>
      </c>
      <c r="E502" s="6" t="s">
        <v>7</v>
      </c>
      <c r="G502" s="6" t="s">
        <v>281</v>
      </c>
      <c r="H502" s="6" t="s">
        <v>20</v>
      </c>
      <c r="I502" s="8">
        <v>1.5544642694989039E-2</v>
      </c>
      <c r="J502" s="6" t="s">
        <v>7</v>
      </c>
      <c r="L502" s="6" t="s">
        <v>282</v>
      </c>
      <c r="M502" s="6" t="s">
        <v>20</v>
      </c>
      <c r="N502" s="8">
        <v>1.4673838376379984E-2</v>
      </c>
      <c r="O502" s="6" t="s">
        <v>7</v>
      </c>
    </row>
    <row r="503" spans="2:15" x14ac:dyDescent="0.45">
      <c r="B503" s="3" t="s">
        <v>280</v>
      </c>
      <c r="C503" s="3" t="s">
        <v>21</v>
      </c>
      <c r="D503" s="4">
        <v>4.74300626811748E-4</v>
      </c>
      <c r="E503" s="3" t="s">
        <v>7</v>
      </c>
      <c r="G503" s="3" t="s">
        <v>281</v>
      </c>
      <c r="H503" s="3" t="s">
        <v>21</v>
      </c>
      <c r="I503" s="5">
        <v>1.5440570331562197E-2</v>
      </c>
      <c r="J503" s="3" t="s">
        <v>7</v>
      </c>
      <c r="L503" s="3" t="s">
        <v>282</v>
      </c>
      <c r="M503" s="3" t="s">
        <v>21</v>
      </c>
      <c r="N503" s="5">
        <v>1.4848396870762469E-2</v>
      </c>
      <c r="O503" s="3" t="s">
        <v>7</v>
      </c>
    </row>
    <row r="504" spans="2:15" x14ac:dyDescent="0.45">
      <c r="B504" s="6" t="s">
        <v>280</v>
      </c>
      <c r="C504" s="6" t="s">
        <v>22</v>
      </c>
      <c r="D504" s="7">
        <v>1.7435431905981562E-2</v>
      </c>
      <c r="E504" s="6" t="s">
        <v>7</v>
      </c>
      <c r="G504" s="6" t="s">
        <v>281</v>
      </c>
      <c r="H504" s="6" t="s">
        <v>22</v>
      </c>
      <c r="I504" s="8">
        <v>1.5550243170070085E-2</v>
      </c>
      <c r="J504" s="6" t="s">
        <v>7</v>
      </c>
      <c r="L504" s="6" t="s">
        <v>282</v>
      </c>
      <c r="M504" s="6" t="s">
        <v>22</v>
      </c>
      <c r="N504" s="8">
        <v>1.4673953257398986E-2</v>
      </c>
      <c r="O504" s="6" t="s">
        <v>7</v>
      </c>
    </row>
    <row r="505" spans="2:15" x14ac:dyDescent="0.45">
      <c r="B505" s="3" t="s">
        <v>280</v>
      </c>
      <c r="C505" s="3" t="s">
        <v>23</v>
      </c>
      <c r="D505" s="4">
        <v>4.646709211827494E-2</v>
      </c>
      <c r="E505" s="3" t="s">
        <v>7</v>
      </c>
      <c r="G505" s="3" t="s">
        <v>281</v>
      </c>
      <c r="H505" s="3" t="s">
        <v>23</v>
      </c>
      <c r="I505" s="5">
        <v>1.6465828851956115E-2</v>
      </c>
      <c r="J505" s="3" t="s">
        <v>7</v>
      </c>
      <c r="L505" s="3" t="s">
        <v>282</v>
      </c>
      <c r="M505" s="3" t="s">
        <v>23</v>
      </c>
      <c r="N505" s="5">
        <v>1.4695256495213889E-2</v>
      </c>
      <c r="O505" s="3" t="s">
        <v>7</v>
      </c>
    </row>
    <row r="506" spans="2:15" x14ac:dyDescent="0.45">
      <c r="B506" s="6" t="s">
        <v>280</v>
      </c>
      <c r="C506" s="6" t="s">
        <v>24</v>
      </c>
      <c r="D506" s="7">
        <v>5.7066175750037453E-2</v>
      </c>
      <c r="E506" s="6" t="s">
        <v>7</v>
      </c>
      <c r="G506" s="6" t="s">
        <v>281</v>
      </c>
      <c r="H506" s="6" t="s">
        <v>24</v>
      </c>
      <c r="I506" s="8">
        <v>1.6541823960009548E-2</v>
      </c>
      <c r="J506" s="6" t="s">
        <v>7</v>
      </c>
      <c r="L506" s="6" t="s">
        <v>282</v>
      </c>
      <c r="M506" s="6" t="s">
        <v>24</v>
      </c>
      <c r="N506" s="8">
        <v>1.4785351091085402E-2</v>
      </c>
      <c r="O506" s="6" t="s">
        <v>7</v>
      </c>
    </row>
    <row r="507" spans="2:15" x14ac:dyDescent="0.45">
      <c r="B507" s="3" t="s">
        <v>280</v>
      </c>
      <c r="C507" s="3" t="s">
        <v>25</v>
      </c>
      <c r="D507" s="4">
        <v>5.1905513219268423E-2</v>
      </c>
      <c r="E507" s="3" t="s">
        <v>7</v>
      </c>
      <c r="G507" s="3" t="s">
        <v>281</v>
      </c>
      <c r="H507" s="3" t="s">
        <v>25</v>
      </c>
      <c r="I507" s="5">
        <v>1.6636489111463454E-2</v>
      </c>
      <c r="J507" s="3" t="s">
        <v>7</v>
      </c>
      <c r="L507" s="3" t="s">
        <v>282</v>
      </c>
      <c r="M507" s="3" t="s">
        <v>25</v>
      </c>
      <c r="N507" s="5">
        <v>1.5111819843555741E-2</v>
      </c>
      <c r="O507" s="3" t="s">
        <v>7</v>
      </c>
    </row>
    <row r="508" spans="2:15" x14ac:dyDescent="0.45">
      <c r="B508" s="6" t="s">
        <v>280</v>
      </c>
      <c r="C508" s="6" t="s">
        <v>26</v>
      </c>
      <c r="D508" s="7">
        <v>3.3344614349951458E-2</v>
      </c>
      <c r="E508" s="6" t="s">
        <v>7</v>
      </c>
      <c r="G508" s="6" t="s">
        <v>281</v>
      </c>
      <c r="H508" s="6" t="s">
        <v>26</v>
      </c>
      <c r="I508" s="8">
        <v>1.6449826432798711E-2</v>
      </c>
      <c r="J508" s="6" t="s">
        <v>7</v>
      </c>
      <c r="L508" s="6" t="s">
        <v>282</v>
      </c>
      <c r="M508" s="6" t="s">
        <v>26</v>
      </c>
      <c r="N508" s="8">
        <v>1.5515412819022308E-2</v>
      </c>
      <c r="O508" s="6" t="s">
        <v>7</v>
      </c>
    </row>
    <row r="509" spans="2:15" x14ac:dyDescent="0.45">
      <c r="B509" s="3" t="s">
        <v>280</v>
      </c>
      <c r="C509" s="3" t="s">
        <v>27</v>
      </c>
      <c r="D509" s="4">
        <v>8.2304984993584948E-3</v>
      </c>
      <c r="E509" s="3" t="s">
        <v>7</v>
      </c>
      <c r="G509" s="3" t="s">
        <v>281</v>
      </c>
      <c r="H509" s="3" t="s">
        <v>27</v>
      </c>
      <c r="I509" s="5">
        <v>1.5427498879924771E-2</v>
      </c>
      <c r="J509" s="3" t="s">
        <v>7</v>
      </c>
      <c r="L509" s="3" t="s">
        <v>282</v>
      </c>
      <c r="M509" s="3" t="s">
        <v>27</v>
      </c>
      <c r="N509" s="5">
        <v>1.5407711795202162E-2</v>
      </c>
      <c r="O509" s="3" t="s">
        <v>7</v>
      </c>
    </row>
    <row r="510" spans="2:15" x14ac:dyDescent="0.45">
      <c r="B510" s="6" t="s">
        <v>280</v>
      </c>
      <c r="C510" s="6" t="s">
        <v>28</v>
      </c>
      <c r="D510" s="7">
        <v>3.5866348210154875E-5</v>
      </c>
      <c r="E510" s="6" t="s">
        <v>7</v>
      </c>
      <c r="G510" s="6" t="s">
        <v>281</v>
      </c>
      <c r="H510" s="6" t="s">
        <v>28</v>
      </c>
      <c r="I510" s="8">
        <v>2.3201796848431093E-2</v>
      </c>
      <c r="J510" s="6" t="s">
        <v>7</v>
      </c>
      <c r="L510" s="6" t="s">
        <v>282</v>
      </c>
      <c r="M510" s="6" t="s">
        <v>28</v>
      </c>
      <c r="N510" s="8">
        <v>2.2567906821407632E-2</v>
      </c>
      <c r="O510" s="6" t="s">
        <v>7</v>
      </c>
    </row>
    <row r="511" spans="2:15" x14ac:dyDescent="0.45">
      <c r="B511" s="3" t="s">
        <v>280</v>
      </c>
      <c r="C511" s="3" t="s">
        <v>29</v>
      </c>
      <c r="D511" s="4">
        <v>0</v>
      </c>
      <c r="E511" s="3" t="s">
        <v>7</v>
      </c>
      <c r="G511" s="3" t="s">
        <v>281</v>
      </c>
      <c r="H511" s="3" t="s">
        <v>29</v>
      </c>
      <c r="I511" s="5">
        <v>2.8562466192415339E-2</v>
      </c>
      <c r="J511" s="3" t="s">
        <v>7</v>
      </c>
      <c r="L511" s="3" t="s">
        <v>282</v>
      </c>
      <c r="M511" s="3" t="s">
        <v>29</v>
      </c>
      <c r="N511" s="5">
        <v>2.95222975132448E-2</v>
      </c>
      <c r="O511" s="3" t="s">
        <v>7</v>
      </c>
    </row>
    <row r="512" spans="2:15" x14ac:dyDescent="0.45">
      <c r="B512" s="6" t="s">
        <v>280</v>
      </c>
      <c r="C512" s="6" t="s">
        <v>30</v>
      </c>
      <c r="D512" s="7">
        <v>8.1307912989650125E-6</v>
      </c>
      <c r="E512" s="6" t="s">
        <v>7</v>
      </c>
      <c r="G512" s="6" t="s">
        <v>281</v>
      </c>
      <c r="H512" s="6" t="s">
        <v>30</v>
      </c>
      <c r="I512" s="8">
        <v>1.1523595783517006E-2</v>
      </c>
      <c r="J512" s="6" t="s">
        <v>7</v>
      </c>
      <c r="L512" s="6" t="s">
        <v>282</v>
      </c>
      <c r="M512" s="6" t="s">
        <v>30</v>
      </c>
      <c r="N512" s="8">
        <v>1.2622192715374422E-2</v>
      </c>
      <c r="O512" s="6" t="s">
        <v>7</v>
      </c>
    </row>
    <row r="513" spans="2:15" x14ac:dyDescent="0.45">
      <c r="B513" s="3" t="s">
        <v>280</v>
      </c>
      <c r="C513" s="3" t="s">
        <v>31</v>
      </c>
      <c r="D513" s="4">
        <v>4.047928753423571E-3</v>
      </c>
      <c r="E513" s="3" t="s">
        <v>7</v>
      </c>
      <c r="G513" s="3" t="s">
        <v>281</v>
      </c>
      <c r="H513" s="3" t="s">
        <v>31</v>
      </c>
      <c r="I513" s="5">
        <v>1.1897872217379427E-2</v>
      </c>
      <c r="J513" s="3" t="s">
        <v>7</v>
      </c>
      <c r="L513" s="3" t="s">
        <v>282</v>
      </c>
      <c r="M513" s="3" t="s">
        <v>31</v>
      </c>
      <c r="N513" s="5">
        <v>1.24659512299976E-2</v>
      </c>
      <c r="O513" s="3" t="s">
        <v>7</v>
      </c>
    </row>
    <row r="514" spans="2:15" x14ac:dyDescent="0.45">
      <c r="B514" s="6" t="s">
        <v>280</v>
      </c>
      <c r="C514" s="6" t="s">
        <v>32</v>
      </c>
      <c r="D514" s="7">
        <v>2.3884474753473311E-2</v>
      </c>
      <c r="E514" s="6" t="s">
        <v>7</v>
      </c>
      <c r="G514" s="6" t="s">
        <v>281</v>
      </c>
      <c r="H514" s="6" t="s">
        <v>32</v>
      </c>
      <c r="I514" s="8">
        <v>1.3035742294335939E-2</v>
      </c>
      <c r="J514" s="6" t="s">
        <v>7</v>
      </c>
      <c r="L514" s="6" t="s">
        <v>282</v>
      </c>
      <c r="M514" s="6" t="s">
        <v>32</v>
      </c>
      <c r="N514" s="8">
        <v>1.1812948321546198E-2</v>
      </c>
      <c r="O514" s="6" t="s">
        <v>7</v>
      </c>
    </row>
    <row r="515" spans="2:15" x14ac:dyDescent="0.45">
      <c r="B515" s="3" t="s">
        <v>280</v>
      </c>
      <c r="C515" s="3" t="s">
        <v>33</v>
      </c>
      <c r="D515" s="4">
        <v>4.7500850227806243E-2</v>
      </c>
      <c r="E515" s="3" t="s">
        <v>7</v>
      </c>
      <c r="G515" s="3" t="s">
        <v>281</v>
      </c>
      <c r="H515" s="3" t="s">
        <v>33</v>
      </c>
      <c r="I515" s="5">
        <v>1.3846625909200463E-2</v>
      </c>
      <c r="J515" s="3" t="s">
        <v>7</v>
      </c>
      <c r="L515" s="3" t="s">
        <v>282</v>
      </c>
      <c r="M515" s="3" t="s">
        <v>33</v>
      </c>
      <c r="N515" s="5">
        <v>1.1803479934039551E-2</v>
      </c>
      <c r="O515" s="3" t="s">
        <v>7</v>
      </c>
    </row>
    <row r="516" spans="2:15" x14ac:dyDescent="0.45">
      <c r="B516" s="6" t="s">
        <v>280</v>
      </c>
      <c r="C516" s="6" t="s">
        <v>34</v>
      </c>
      <c r="D516" s="7">
        <v>5.9802524283601805E-2</v>
      </c>
      <c r="E516" s="6" t="s">
        <v>7</v>
      </c>
      <c r="G516" s="6" t="s">
        <v>281</v>
      </c>
      <c r="H516" s="6" t="s">
        <v>34</v>
      </c>
      <c r="I516" s="8">
        <v>1.4538402534490506E-2</v>
      </c>
      <c r="J516" s="6" t="s">
        <v>7</v>
      </c>
      <c r="L516" s="6" t="s">
        <v>282</v>
      </c>
      <c r="M516" s="6" t="s">
        <v>34</v>
      </c>
      <c r="N516" s="8">
        <v>1.1962730754030558E-2</v>
      </c>
      <c r="O516" s="6" t="s">
        <v>7</v>
      </c>
    </row>
    <row r="517" spans="2:15" x14ac:dyDescent="0.45">
      <c r="B517" s="3" t="s">
        <v>280</v>
      </c>
      <c r="C517" s="3" t="s">
        <v>35</v>
      </c>
      <c r="D517" s="4">
        <v>5.4856400262509881E-2</v>
      </c>
      <c r="E517" s="3" t="s">
        <v>7</v>
      </c>
      <c r="G517" s="3" t="s">
        <v>281</v>
      </c>
      <c r="H517" s="3" t="s">
        <v>35</v>
      </c>
      <c r="I517" s="5">
        <v>1.5006928235313903E-2</v>
      </c>
      <c r="J517" s="3" t="s">
        <v>7</v>
      </c>
      <c r="L517" s="3" t="s">
        <v>282</v>
      </c>
      <c r="M517" s="3" t="s">
        <v>35</v>
      </c>
      <c r="N517" s="5">
        <v>1.2277716917139999E-2</v>
      </c>
      <c r="O517" s="3" t="s">
        <v>7</v>
      </c>
    </row>
    <row r="518" spans="2:15" x14ac:dyDescent="0.45">
      <c r="B518" s="6" t="s">
        <v>280</v>
      </c>
      <c r="C518" s="6" t="s">
        <v>36</v>
      </c>
      <c r="D518" s="7">
        <v>3.9013204712590073E-2</v>
      </c>
      <c r="E518" s="6" t="s">
        <v>7</v>
      </c>
      <c r="G518" s="6" t="s">
        <v>281</v>
      </c>
      <c r="H518" s="6" t="s">
        <v>36</v>
      </c>
      <c r="I518" s="8">
        <v>1.4793121474941998E-2</v>
      </c>
      <c r="J518" s="6" t="s">
        <v>7</v>
      </c>
      <c r="L518" s="6" t="s">
        <v>282</v>
      </c>
      <c r="M518" s="6" t="s">
        <v>36</v>
      </c>
      <c r="N518" s="8">
        <v>1.2163400556685799E-2</v>
      </c>
      <c r="O518" s="6" t="s">
        <v>7</v>
      </c>
    </row>
    <row r="519" spans="2:15" x14ac:dyDescent="0.45">
      <c r="B519" s="3" t="s">
        <v>280</v>
      </c>
      <c r="C519" s="3" t="s">
        <v>37</v>
      </c>
      <c r="D519" s="4">
        <v>1.4948459939459192E-2</v>
      </c>
      <c r="E519" s="3" t="s">
        <v>7</v>
      </c>
      <c r="G519" s="3" t="s">
        <v>281</v>
      </c>
      <c r="H519" s="3" t="s">
        <v>37</v>
      </c>
      <c r="I519" s="5">
        <v>1.3922336123877933E-2</v>
      </c>
      <c r="J519" s="3" t="s">
        <v>7</v>
      </c>
      <c r="L519" s="3" t="s">
        <v>282</v>
      </c>
      <c r="M519" s="3" t="s">
        <v>37</v>
      </c>
      <c r="N519" s="5">
        <v>1.1713926390516596E-2</v>
      </c>
      <c r="O519" s="3" t="s">
        <v>7</v>
      </c>
    </row>
    <row r="520" spans="2:15" x14ac:dyDescent="0.45">
      <c r="B520" s="6" t="s">
        <v>280</v>
      </c>
      <c r="C520" s="6" t="s">
        <v>38</v>
      </c>
      <c r="D520" s="7">
        <v>1.3537546373426433E-3</v>
      </c>
      <c r="E520" s="6" t="s">
        <v>7</v>
      </c>
      <c r="G520" s="6" t="s">
        <v>281</v>
      </c>
      <c r="H520" s="6" t="s">
        <v>38</v>
      </c>
      <c r="I520" s="8">
        <v>1.8144013980519635E-2</v>
      </c>
      <c r="J520" s="6" t="s">
        <v>7</v>
      </c>
      <c r="L520" s="6" t="s">
        <v>282</v>
      </c>
      <c r="M520" s="6" t="s">
        <v>38</v>
      </c>
      <c r="N520" s="8">
        <v>1.697842145919997E-2</v>
      </c>
      <c r="O520" s="6" t="s">
        <v>7</v>
      </c>
    </row>
    <row r="521" spans="2:15" x14ac:dyDescent="0.45">
      <c r="B521" s="3" t="s">
        <v>280</v>
      </c>
      <c r="C521" s="3" t="s">
        <v>39</v>
      </c>
      <c r="D521" s="4">
        <v>0</v>
      </c>
      <c r="E521" s="3" t="s">
        <v>7</v>
      </c>
      <c r="G521" s="3" t="s">
        <v>281</v>
      </c>
      <c r="H521" s="3" t="s">
        <v>39</v>
      </c>
      <c r="I521" s="5">
        <v>2.1305146413099742E-2</v>
      </c>
      <c r="J521" s="3" t="s">
        <v>7</v>
      </c>
      <c r="L521" s="3" t="s">
        <v>282</v>
      </c>
      <c r="M521" s="3" t="s">
        <v>39</v>
      </c>
      <c r="N521" s="5">
        <v>2.4943818091563978E-2</v>
      </c>
      <c r="O521" s="3" t="s">
        <v>7</v>
      </c>
    </row>
    <row r="522" spans="2:15" x14ac:dyDescent="0.45">
      <c r="B522" s="6" t="s">
        <v>280</v>
      </c>
      <c r="C522" s="6" t="s">
        <v>40</v>
      </c>
      <c r="D522" s="7">
        <v>0</v>
      </c>
      <c r="E522" s="6" t="s">
        <v>7</v>
      </c>
      <c r="G522" s="6" t="s">
        <v>281</v>
      </c>
      <c r="H522" s="6" t="s">
        <v>40</v>
      </c>
      <c r="I522" s="8">
        <v>7.9657785173591605E-3</v>
      </c>
      <c r="J522" s="6" t="s">
        <v>7</v>
      </c>
      <c r="L522" s="6" t="s">
        <v>282</v>
      </c>
      <c r="M522" s="6" t="s">
        <v>40</v>
      </c>
      <c r="N522" s="8">
        <v>9.4730319027029938E-3</v>
      </c>
      <c r="O522" s="6" t="s">
        <v>7</v>
      </c>
    </row>
    <row r="523" spans="2:15" x14ac:dyDescent="0.45">
      <c r="B523" s="3" t="s">
        <v>280</v>
      </c>
      <c r="C523" s="3" t="s">
        <v>41</v>
      </c>
      <c r="D523" s="4">
        <v>2.4000742412354291E-3</v>
      </c>
      <c r="E523" s="3" t="s">
        <v>7</v>
      </c>
      <c r="G523" s="3" t="s">
        <v>281</v>
      </c>
      <c r="H523" s="3" t="s">
        <v>41</v>
      </c>
      <c r="I523" s="5">
        <v>7.6164367207557249E-3</v>
      </c>
      <c r="J523" s="3" t="s">
        <v>7</v>
      </c>
      <c r="L523" s="3" t="s">
        <v>282</v>
      </c>
      <c r="M523" s="3" t="s">
        <v>41</v>
      </c>
      <c r="N523" s="5">
        <v>9.2719455921519006E-3</v>
      </c>
      <c r="O523" s="3" t="s">
        <v>7</v>
      </c>
    </row>
    <row r="524" spans="2:15" x14ac:dyDescent="0.45">
      <c r="B524" s="6" t="s">
        <v>280</v>
      </c>
      <c r="C524" s="6" t="s">
        <v>42</v>
      </c>
      <c r="D524" s="7">
        <v>2.0953382574761866E-2</v>
      </c>
      <c r="E524" s="6" t="s">
        <v>7</v>
      </c>
      <c r="G524" s="6" t="s">
        <v>281</v>
      </c>
      <c r="H524" s="6" t="s">
        <v>42</v>
      </c>
      <c r="I524" s="8">
        <v>8.22259999613917E-3</v>
      </c>
      <c r="J524" s="6" t="s">
        <v>7</v>
      </c>
      <c r="L524" s="6" t="s">
        <v>282</v>
      </c>
      <c r="M524" s="6" t="s">
        <v>42</v>
      </c>
      <c r="N524" s="8">
        <v>9.116680917057543E-3</v>
      </c>
      <c r="O524" s="6" t="s">
        <v>7</v>
      </c>
    </row>
    <row r="525" spans="2:15" x14ac:dyDescent="0.45">
      <c r="B525" s="3" t="s">
        <v>280</v>
      </c>
      <c r="C525" s="3" t="s">
        <v>43</v>
      </c>
      <c r="D525" s="4">
        <v>4.4679030454540657E-2</v>
      </c>
      <c r="E525" s="3" t="s">
        <v>7</v>
      </c>
      <c r="G525" s="3" t="s">
        <v>281</v>
      </c>
      <c r="H525" s="3" t="s">
        <v>43</v>
      </c>
      <c r="I525" s="5">
        <v>8.9709545702617455E-3</v>
      </c>
      <c r="J525" s="3" t="s">
        <v>7</v>
      </c>
      <c r="L525" s="3" t="s">
        <v>282</v>
      </c>
      <c r="M525" s="3" t="s">
        <v>43</v>
      </c>
      <c r="N525" s="5">
        <v>9.2473597434414613E-3</v>
      </c>
      <c r="O525" s="3" t="s">
        <v>7</v>
      </c>
    </row>
    <row r="526" spans="2:15" x14ac:dyDescent="0.45">
      <c r="B526" s="6" t="s">
        <v>280</v>
      </c>
      <c r="C526" s="6" t="s">
        <v>44</v>
      </c>
      <c r="D526" s="7">
        <v>5.7655890535144534E-2</v>
      </c>
      <c r="E526" s="6" t="s">
        <v>7</v>
      </c>
      <c r="G526" s="6" t="s">
        <v>281</v>
      </c>
      <c r="H526" s="6" t="s">
        <v>44</v>
      </c>
      <c r="I526" s="8">
        <v>9.7171080901830315E-3</v>
      </c>
      <c r="J526" s="6" t="s">
        <v>7</v>
      </c>
      <c r="L526" s="6" t="s">
        <v>282</v>
      </c>
      <c r="M526" s="6" t="s">
        <v>44</v>
      </c>
      <c r="N526" s="8">
        <v>9.4959952858868057E-3</v>
      </c>
      <c r="O526" s="6" t="s">
        <v>7</v>
      </c>
    </row>
    <row r="527" spans="2:15" x14ac:dyDescent="0.45">
      <c r="B527" s="3" t="s">
        <v>280</v>
      </c>
      <c r="C527" s="3" t="s">
        <v>45</v>
      </c>
      <c r="D527" s="4">
        <v>5.5719500967172479E-2</v>
      </c>
      <c r="E527" s="3" t="s">
        <v>7</v>
      </c>
      <c r="G527" s="3" t="s">
        <v>281</v>
      </c>
      <c r="H527" s="3" t="s">
        <v>45</v>
      </c>
      <c r="I527" s="5">
        <v>1.0110037064082363E-2</v>
      </c>
      <c r="J527" s="3" t="s">
        <v>7</v>
      </c>
      <c r="L527" s="3" t="s">
        <v>282</v>
      </c>
      <c r="M527" s="3" t="s">
        <v>45</v>
      </c>
      <c r="N527" s="5">
        <v>9.7810255034148953E-3</v>
      </c>
      <c r="O527" s="3" t="s">
        <v>7</v>
      </c>
    </row>
    <row r="528" spans="2:15" x14ac:dyDescent="0.45">
      <c r="B528" s="6" t="s">
        <v>280</v>
      </c>
      <c r="C528" s="6" t="s">
        <v>46</v>
      </c>
      <c r="D528" s="7">
        <v>4.0249173428079009E-2</v>
      </c>
      <c r="E528" s="6" t="s">
        <v>7</v>
      </c>
      <c r="G528" s="6" t="s">
        <v>281</v>
      </c>
      <c r="H528" s="6" t="s">
        <v>46</v>
      </c>
      <c r="I528" s="8">
        <v>9.8321744787699828E-3</v>
      </c>
      <c r="J528" s="6" t="s">
        <v>7</v>
      </c>
      <c r="L528" s="6" t="s">
        <v>282</v>
      </c>
      <c r="M528" s="6" t="s">
        <v>46</v>
      </c>
      <c r="N528" s="8">
        <v>9.9389384122856965E-3</v>
      </c>
      <c r="O528" s="6" t="s">
        <v>7</v>
      </c>
    </row>
    <row r="529" spans="2:15" x14ac:dyDescent="0.45">
      <c r="B529" s="3" t="s">
        <v>280</v>
      </c>
      <c r="C529" s="3" t="s">
        <v>47</v>
      </c>
      <c r="D529" s="4">
        <v>1.474864636129013E-2</v>
      </c>
      <c r="E529" s="3" t="s">
        <v>7</v>
      </c>
      <c r="G529" s="3" t="s">
        <v>281</v>
      </c>
      <c r="H529" s="3" t="s">
        <v>47</v>
      </c>
      <c r="I529" s="5">
        <v>8.8090471277925547E-3</v>
      </c>
      <c r="J529" s="3" t="s">
        <v>7</v>
      </c>
      <c r="L529" s="3" t="s">
        <v>282</v>
      </c>
      <c r="M529" s="3" t="s">
        <v>47</v>
      </c>
      <c r="N529" s="5">
        <v>9.7604398138130388E-3</v>
      </c>
      <c r="O529" s="3" t="s">
        <v>7</v>
      </c>
    </row>
    <row r="530" spans="2:15" x14ac:dyDescent="0.45">
      <c r="B530" s="6" t="s">
        <v>280</v>
      </c>
      <c r="C530" s="6" t="s">
        <v>48</v>
      </c>
      <c r="D530" s="7">
        <v>9.7106703912071084E-4</v>
      </c>
      <c r="E530" s="6" t="s">
        <v>7</v>
      </c>
      <c r="G530" s="6" t="s">
        <v>281</v>
      </c>
      <c r="H530" s="6" t="s">
        <v>48</v>
      </c>
      <c r="I530" s="8">
        <v>1.1794619326751569E-2</v>
      </c>
      <c r="J530" s="6" t="s">
        <v>7</v>
      </c>
      <c r="L530" s="6" t="s">
        <v>282</v>
      </c>
      <c r="M530" s="6" t="s">
        <v>48</v>
      </c>
      <c r="N530" s="8">
        <v>1.4840231911722328E-2</v>
      </c>
      <c r="O530" s="6" t="s">
        <v>7</v>
      </c>
    </row>
    <row r="531" spans="2:15" x14ac:dyDescent="0.45">
      <c r="B531" s="3" t="s">
        <v>280</v>
      </c>
      <c r="C531" s="3" t="s">
        <v>49</v>
      </c>
      <c r="D531" s="4">
        <v>0</v>
      </c>
      <c r="E531" s="3" t="s">
        <v>7</v>
      </c>
      <c r="G531" s="3" t="s">
        <v>281</v>
      </c>
      <c r="H531" s="3" t="s">
        <v>49</v>
      </c>
      <c r="I531" s="5">
        <v>3.0701491799812755E-2</v>
      </c>
      <c r="J531" s="3" t="s">
        <v>7</v>
      </c>
      <c r="L531" s="3" t="s">
        <v>282</v>
      </c>
      <c r="M531" s="3" t="s">
        <v>49</v>
      </c>
      <c r="N531" s="5">
        <v>3.5115478277948461E-2</v>
      </c>
      <c r="O531" s="3" t="s">
        <v>7</v>
      </c>
    </row>
    <row r="532" spans="2:15" x14ac:dyDescent="0.45">
      <c r="B532" s="6" t="s">
        <v>280</v>
      </c>
      <c r="C532" s="6" t="s">
        <v>50</v>
      </c>
      <c r="D532" s="7">
        <v>0</v>
      </c>
      <c r="E532" s="6" t="s">
        <v>7</v>
      </c>
      <c r="G532" s="6" t="s">
        <v>281</v>
      </c>
      <c r="H532" s="6" t="s">
        <v>50</v>
      </c>
      <c r="I532" s="8">
        <v>1.2496082117235312E-2</v>
      </c>
      <c r="J532" s="6" t="s">
        <v>7</v>
      </c>
      <c r="L532" s="6" t="s">
        <v>282</v>
      </c>
      <c r="M532" s="6" t="s">
        <v>50</v>
      </c>
      <c r="N532" s="8">
        <v>1.4247785942051156E-2</v>
      </c>
      <c r="O532" s="6" t="s">
        <v>7</v>
      </c>
    </row>
    <row r="533" spans="2:15" x14ac:dyDescent="0.45">
      <c r="B533" s="3" t="s">
        <v>280</v>
      </c>
      <c r="C533" s="3" t="s">
        <v>51</v>
      </c>
      <c r="D533" s="4">
        <v>7.1439342411388907E-5</v>
      </c>
      <c r="E533" s="3" t="s">
        <v>7</v>
      </c>
      <c r="G533" s="3" t="s">
        <v>281</v>
      </c>
      <c r="H533" s="3" t="s">
        <v>51</v>
      </c>
      <c r="I533" s="5">
        <v>1.2707606722693783E-2</v>
      </c>
      <c r="J533" s="3" t="s">
        <v>7</v>
      </c>
      <c r="L533" s="3" t="s">
        <v>282</v>
      </c>
      <c r="M533" s="3" t="s">
        <v>51</v>
      </c>
      <c r="N533" s="5">
        <v>1.4361195656602488E-2</v>
      </c>
      <c r="O533" s="3" t="s">
        <v>7</v>
      </c>
    </row>
    <row r="534" spans="2:15" x14ac:dyDescent="0.45">
      <c r="B534" s="6" t="s">
        <v>280</v>
      </c>
      <c r="C534" s="6" t="s">
        <v>52</v>
      </c>
      <c r="D534" s="7">
        <v>9.5161085813111404E-3</v>
      </c>
      <c r="E534" s="6" t="s">
        <v>7</v>
      </c>
      <c r="G534" s="6" t="s">
        <v>281</v>
      </c>
      <c r="H534" s="6" t="s">
        <v>52</v>
      </c>
      <c r="I534" s="8">
        <v>1.3468563842461678E-2</v>
      </c>
      <c r="J534" s="6" t="s">
        <v>7</v>
      </c>
      <c r="L534" s="6" t="s">
        <v>282</v>
      </c>
      <c r="M534" s="6" t="s">
        <v>52</v>
      </c>
      <c r="N534" s="8">
        <v>1.4206144860497207E-2</v>
      </c>
      <c r="O534" s="6" t="s">
        <v>7</v>
      </c>
    </row>
    <row r="535" spans="2:15" x14ac:dyDescent="0.45">
      <c r="B535" s="3" t="s">
        <v>280</v>
      </c>
      <c r="C535" s="3" t="s">
        <v>53</v>
      </c>
      <c r="D535" s="4">
        <v>3.0340011145762579E-2</v>
      </c>
      <c r="E535" s="3" t="s">
        <v>7</v>
      </c>
      <c r="G535" s="3" t="s">
        <v>281</v>
      </c>
      <c r="H535" s="3" t="s">
        <v>53</v>
      </c>
      <c r="I535" s="5">
        <v>1.4267409962109082E-2</v>
      </c>
      <c r="J535" s="3" t="s">
        <v>7</v>
      </c>
      <c r="L535" s="3" t="s">
        <v>282</v>
      </c>
      <c r="M535" s="3" t="s">
        <v>53</v>
      </c>
      <c r="N535" s="5">
        <v>1.4121372364692207E-2</v>
      </c>
      <c r="O535" s="3" t="s">
        <v>7</v>
      </c>
    </row>
    <row r="536" spans="2:15" x14ac:dyDescent="0.45">
      <c r="B536" s="6" t="s">
        <v>280</v>
      </c>
      <c r="C536" s="6" t="s">
        <v>54</v>
      </c>
      <c r="D536" s="7">
        <v>4.1584320015878279E-2</v>
      </c>
      <c r="E536" s="6" t="s">
        <v>7</v>
      </c>
      <c r="G536" s="6" t="s">
        <v>281</v>
      </c>
      <c r="H536" s="6" t="s">
        <v>54</v>
      </c>
      <c r="I536" s="8">
        <v>1.4678030947178558E-2</v>
      </c>
      <c r="J536" s="6" t="s">
        <v>7</v>
      </c>
      <c r="L536" s="6" t="s">
        <v>282</v>
      </c>
      <c r="M536" s="6" t="s">
        <v>54</v>
      </c>
      <c r="N536" s="8">
        <v>1.3879184426675302E-2</v>
      </c>
      <c r="O536" s="6" t="s">
        <v>7</v>
      </c>
    </row>
    <row r="537" spans="2:15" x14ac:dyDescent="0.45">
      <c r="B537" s="3" t="s">
        <v>280</v>
      </c>
      <c r="C537" s="3" t="s">
        <v>55</v>
      </c>
      <c r="D537" s="4">
        <v>3.8300742018935331E-2</v>
      </c>
      <c r="E537" s="3" t="s">
        <v>7</v>
      </c>
      <c r="G537" s="3" t="s">
        <v>281</v>
      </c>
      <c r="H537" s="3" t="s">
        <v>55</v>
      </c>
      <c r="I537" s="5">
        <v>1.4410109972233569E-2</v>
      </c>
      <c r="J537" s="3" t="s">
        <v>7</v>
      </c>
      <c r="L537" s="3" t="s">
        <v>282</v>
      </c>
      <c r="M537" s="3" t="s">
        <v>55</v>
      </c>
      <c r="N537" s="5">
        <v>1.3906977205418027E-2</v>
      </c>
      <c r="O537" s="3" t="s">
        <v>7</v>
      </c>
    </row>
    <row r="538" spans="2:15" x14ac:dyDescent="0.45">
      <c r="B538" s="6" t="s">
        <v>280</v>
      </c>
      <c r="C538" s="6" t="s">
        <v>56</v>
      </c>
      <c r="D538" s="7">
        <v>2.0246918047901737E-2</v>
      </c>
      <c r="E538" s="6" t="s">
        <v>7</v>
      </c>
      <c r="G538" s="6" t="s">
        <v>281</v>
      </c>
      <c r="H538" s="6" t="s">
        <v>56</v>
      </c>
      <c r="I538" s="8">
        <v>1.3770926935571174E-2</v>
      </c>
      <c r="J538" s="6" t="s">
        <v>7</v>
      </c>
      <c r="L538" s="6" t="s">
        <v>282</v>
      </c>
      <c r="M538" s="6" t="s">
        <v>56</v>
      </c>
      <c r="N538" s="8">
        <v>1.4044705595831203E-2</v>
      </c>
      <c r="O538" s="6" t="s">
        <v>7</v>
      </c>
    </row>
    <row r="539" spans="2:15" x14ac:dyDescent="0.45">
      <c r="B539" s="3" t="s">
        <v>280</v>
      </c>
      <c r="C539" s="3" t="s">
        <v>57</v>
      </c>
      <c r="D539" s="4">
        <v>2.6023803583383456E-3</v>
      </c>
      <c r="E539" s="3" t="s">
        <v>7</v>
      </c>
      <c r="G539" s="3" t="s">
        <v>281</v>
      </c>
      <c r="H539" s="3" t="s">
        <v>57</v>
      </c>
      <c r="I539" s="5">
        <v>1.2713563897243492E-2</v>
      </c>
      <c r="J539" s="3" t="s">
        <v>7</v>
      </c>
      <c r="L539" s="3" t="s">
        <v>282</v>
      </c>
      <c r="M539" s="3" t="s">
        <v>57</v>
      </c>
      <c r="N539" s="5">
        <v>1.4019538484372634E-2</v>
      </c>
      <c r="O539" s="3" t="s">
        <v>7</v>
      </c>
    </row>
    <row r="540" spans="2:15" x14ac:dyDescent="0.45">
      <c r="B540" s="6" t="s">
        <v>280</v>
      </c>
      <c r="C540" s="6" t="s">
        <v>58</v>
      </c>
      <c r="D540" s="7">
        <v>0</v>
      </c>
      <c r="E540" s="6" t="s">
        <v>7</v>
      </c>
      <c r="G540" s="6" t="s">
        <v>281</v>
      </c>
      <c r="H540" s="6" t="s">
        <v>58</v>
      </c>
      <c r="I540" s="8">
        <v>1.8504437247063927E-2</v>
      </c>
      <c r="J540" s="6" t="s">
        <v>7</v>
      </c>
      <c r="L540" s="6" t="s">
        <v>282</v>
      </c>
      <c r="M540" s="6" t="s">
        <v>58</v>
      </c>
      <c r="N540" s="8">
        <v>2.0434575340648728E-2</v>
      </c>
      <c r="O540" s="6" t="s">
        <v>7</v>
      </c>
    </row>
    <row r="541" spans="2:15" x14ac:dyDescent="0.45">
      <c r="B541" s="3" t="s">
        <v>280</v>
      </c>
      <c r="C541" s="3" t="s">
        <v>59</v>
      </c>
      <c r="D541" s="4">
        <v>0</v>
      </c>
      <c r="E541" s="3" t="s">
        <v>7</v>
      </c>
      <c r="G541" s="3" t="s">
        <v>281</v>
      </c>
      <c r="H541" s="3" t="s">
        <v>59</v>
      </c>
      <c r="I541" s="5">
        <v>4.1022445787422229E-2</v>
      </c>
      <c r="J541" s="3" t="s">
        <v>7</v>
      </c>
      <c r="L541" s="3" t="s">
        <v>282</v>
      </c>
      <c r="M541" s="3" t="s">
        <v>59</v>
      </c>
      <c r="N541" s="5">
        <v>4.3700491054573277E-2</v>
      </c>
      <c r="O541" s="3" t="s">
        <v>7</v>
      </c>
    </row>
    <row r="542" spans="2:15" x14ac:dyDescent="0.45">
      <c r="B542" s="6" t="s">
        <v>280</v>
      </c>
      <c r="C542" s="6" t="s">
        <v>60</v>
      </c>
      <c r="D542" s="7">
        <v>0</v>
      </c>
      <c r="E542" s="6" t="s">
        <v>7</v>
      </c>
      <c r="G542" s="6" t="s">
        <v>281</v>
      </c>
      <c r="H542" s="6" t="s">
        <v>60</v>
      </c>
      <c r="I542" s="8">
        <v>1.6776492158169832E-2</v>
      </c>
      <c r="J542" s="6" t="s">
        <v>7</v>
      </c>
      <c r="L542" s="6" t="s">
        <v>282</v>
      </c>
      <c r="M542" s="6" t="s">
        <v>60</v>
      </c>
      <c r="N542" s="8">
        <v>1.7416291421940414E-2</v>
      </c>
      <c r="O542" s="6" t="s">
        <v>7</v>
      </c>
    </row>
    <row r="543" spans="2:15" x14ac:dyDescent="0.45">
      <c r="B543" s="3" t="s">
        <v>280</v>
      </c>
      <c r="C543" s="3" t="s">
        <v>61</v>
      </c>
      <c r="D543" s="4">
        <v>0</v>
      </c>
      <c r="E543" s="3" t="s">
        <v>7</v>
      </c>
      <c r="G543" s="3" t="s">
        <v>281</v>
      </c>
      <c r="H543" s="3" t="s">
        <v>61</v>
      </c>
      <c r="I543" s="5">
        <v>1.6967059414198276E-2</v>
      </c>
      <c r="J543" s="3" t="s">
        <v>7</v>
      </c>
      <c r="L543" s="3" t="s">
        <v>282</v>
      </c>
      <c r="M543" s="3" t="s">
        <v>61</v>
      </c>
      <c r="N543" s="5">
        <v>1.7400214654346793E-2</v>
      </c>
      <c r="O543" s="3" t="s">
        <v>7</v>
      </c>
    </row>
    <row r="544" spans="2:15" x14ac:dyDescent="0.45">
      <c r="B544" s="6" t="s">
        <v>280</v>
      </c>
      <c r="C544" s="6" t="s">
        <v>62</v>
      </c>
      <c r="D544" s="7">
        <v>1.2994168411839349E-3</v>
      </c>
      <c r="E544" s="6" t="s">
        <v>7</v>
      </c>
      <c r="G544" s="6" t="s">
        <v>281</v>
      </c>
      <c r="H544" s="6" t="s">
        <v>62</v>
      </c>
      <c r="I544" s="8">
        <v>1.684034964372675E-2</v>
      </c>
      <c r="J544" s="6" t="s">
        <v>7</v>
      </c>
      <c r="L544" s="6" t="s">
        <v>282</v>
      </c>
      <c r="M544" s="6" t="s">
        <v>62</v>
      </c>
      <c r="N544" s="8">
        <v>1.7380608455748382E-2</v>
      </c>
      <c r="O544" s="6" t="s">
        <v>7</v>
      </c>
    </row>
    <row r="545" spans="2:15" x14ac:dyDescent="0.45">
      <c r="B545" s="3" t="s">
        <v>280</v>
      </c>
      <c r="C545" s="3" t="s">
        <v>63</v>
      </c>
      <c r="D545" s="4">
        <v>1.5168965138369267E-2</v>
      </c>
      <c r="E545" s="3" t="s">
        <v>7</v>
      </c>
      <c r="G545" s="3" t="s">
        <v>281</v>
      </c>
      <c r="H545" s="3" t="s">
        <v>63</v>
      </c>
      <c r="I545" s="5">
        <v>1.7023681601171205E-2</v>
      </c>
      <c r="J545" s="3" t="s">
        <v>7</v>
      </c>
      <c r="L545" s="3" t="s">
        <v>282</v>
      </c>
      <c r="M545" s="3" t="s">
        <v>63</v>
      </c>
      <c r="N545" s="5">
        <v>1.7614665488666324E-2</v>
      </c>
      <c r="O545" s="3" t="s">
        <v>7</v>
      </c>
    </row>
    <row r="546" spans="2:15" x14ac:dyDescent="0.45">
      <c r="B546" s="6" t="s">
        <v>280</v>
      </c>
      <c r="C546" s="6" t="s">
        <v>64</v>
      </c>
      <c r="D546" s="7">
        <v>2.5559636851351562E-2</v>
      </c>
      <c r="E546" s="6" t="s">
        <v>7</v>
      </c>
      <c r="G546" s="6" t="s">
        <v>281</v>
      </c>
      <c r="H546" s="6" t="s">
        <v>64</v>
      </c>
      <c r="I546" s="8">
        <v>1.7654158084830614E-2</v>
      </c>
      <c r="J546" s="6" t="s">
        <v>7</v>
      </c>
      <c r="L546" s="6" t="s">
        <v>282</v>
      </c>
      <c r="M546" s="6" t="s">
        <v>64</v>
      </c>
      <c r="N546" s="8">
        <v>1.8210711312151642E-2</v>
      </c>
      <c r="O546" s="6" t="s">
        <v>7</v>
      </c>
    </row>
    <row r="547" spans="2:15" x14ac:dyDescent="0.45">
      <c r="B547" s="3" t="s">
        <v>280</v>
      </c>
      <c r="C547" s="3" t="s">
        <v>65</v>
      </c>
      <c r="D547" s="4">
        <v>2.0097972240956847E-2</v>
      </c>
      <c r="E547" s="3" t="s">
        <v>7</v>
      </c>
      <c r="G547" s="3" t="s">
        <v>281</v>
      </c>
      <c r="H547" s="3" t="s">
        <v>65</v>
      </c>
      <c r="I547" s="5">
        <v>1.7818727308572029E-2</v>
      </c>
      <c r="J547" s="3" t="s">
        <v>7</v>
      </c>
      <c r="L547" s="3" t="s">
        <v>282</v>
      </c>
      <c r="M547" s="3" t="s">
        <v>65</v>
      </c>
      <c r="N547" s="5">
        <v>1.825566778029954E-2</v>
      </c>
      <c r="O547" s="3" t="s">
        <v>7</v>
      </c>
    </row>
    <row r="548" spans="2:15" x14ac:dyDescent="0.45">
      <c r="B548" s="6" t="s">
        <v>280</v>
      </c>
      <c r="C548" s="6" t="s">
        <v>66</v>
      </c>
      <c r="D548" s="7">
        <v>5.0350552732969563E-3</v>
      </c>
      <c r="E548" s="6" t="s">
        <v>7</v>
      </c>
      <c r="G548" s="6" t="s">
        <v>281</v>
      </c>
      <c r="H548" s="6" t="s">
        <v>66</v>
      </c>
      <c r="I548" s="8">
        <v>1.7537268844237563E-2</v>
      </c>
      <c r="J548" s="6" t="s">
        <v>7</v>
      </c>
      <c r="L548" s="6" t="s">
        <v>282</v>
      </c>
      <c r="M548" s="6" t="s">
        <v>66</v>
      </c>
      <c r="N548" s="8">
        <v>1.780367791716389E-2</v>
      </c>
      <c r="O548" s="6" t="s">
        <v>7</v>
      </c>
    </row>
    <row r="549" spans="2:15" x14ac:dyDescent="0.45">
      <c r="B549" s="3" t="s">
        <v>280</v>
      </c>
      <c r="C549" s="3" t="s">
        <v>67</v>
      </c>
      <c r="D549" s="4">
        <v>0</v>
      </c>
      <c r="E549" s="3" t="s">
        <v>7</v>
      </c>
      <c r="G549" s="3" t="s">
        <v>281</v>
      </c>
      <c r="H549" s="3" t="s">
        <v>67</v>
      </c>
      <c r="I549" s="5">
        <v>1.7184922563268552E-2</v>
      </c>
      <c r="J549" s="3" t="s">
        <v>7</v>
      </c>
      <c r="L549" s="3" t="s">
        <v>282</v>
      </c>
      <c r="M549" s="3" t="s">
        <v>67</v>
      </c>
      <c r="N549" s="5">
        <v>1.7322446690206796E-2</v>
      </c>
      <c r="O549" s="3" t="s">
        <v>7</v>
      </c>
    </row>
    <row r="550" spans="2:15" x14ac:dyDescent="0.45">
      <c r="B550" s="6" t="s">
        <v>280</v>
      </c>
      <c r="C550" s="6" t="s">
        <v>68</v>
      </c>
      <c r="D550" s="7">
        <v>0</v>
      </c>
      <c r="E550" s="6" t="s">
        <v>7</v>
      </c>
      <c r="G550" s="6" t="s">
        <v>281</v>
      </c>
      <c r="H550" s="6" t="s">
        <v>68</v>
      </c>
      <c r="I550" s="8">
        <v>2.5081687366797934E-2</v>
      </c>
      <c r="J550" s="6" t="s">
        <v>7</v>
      </c>
      <c r="L550" s="6" t="s">
        <v>282</v>
      </c>
      <c r="M550" s="6" t="s">
        <v>68</v>
      </c>
      <c r="N550" s="8">
        <v>2.6363456451912067E-2</v>
      </c>
      <c r="O550" s="6" t="s">
        <v>7</v>
      </c>
    </row>
    <row r="551" spans="2:15" x14ac:dyDescent="0.45">
      <c r="B551" s="3" t="s">
        <v>283</v>
      </c>
      <c r="C551" s="3" t="s">
        <v>6</v>
      </c>
      <c r="D551" s="4">
        <v>0</v>
      </c>
      <c r="E551" s="3" t="s">
        <v>7</v>
      </c>
      <c r="G551" s="3" t="s">
        <v>284</v>
      </c>
      <c r="H551" s="3" t="s">
        <v>6</v>
      </c>
      <c r="I551" s="5">
        <v>3.8003285518800396E-2</v>
      </c>
      <c r="J551" s="3" t="s">
        <v>7</v>
      </c>
      <c r="L551" s="3" t="s">
        <v>285</v>
      </c>
      <c r="M551" s="3" t="s">
        <v>6</v>
      </c>
      <c r="N551" s="5">
        <v>3.8910170640218268E-2</v>
      </c>
      <c r="O551" s="3" t="s">
        <v>7</v>
      </c>
    </row>
    <row r="552" spans="2:15" x14ac:dyDescent="0.45">
      <c r="B552" s="6" t="s">
        <v>283</v>
      </c>
      <c r="C552" s="6" t="s">
        <v>10</v>
      </c>
      <c r="D552" s="7">
        <v>0</v>
      </c>
      <c r="E552" s="6" t="s">
        <v>7</v>
      </c>
      <c r="G552" s="6" t="s">
        <v>284</v>
      </c>
      <c r="H552" s="6" t="s">
        <v>10</v>
      </c>
      <c r="I552" s="8">
        <v>1.4303602696697535E-2</v>
      </c>
      <c r="J552" s="6" t="s">
        <v>7</v>
      </c>
      <c r="L552" s="6" t="s">
        <v>285</v>
      </c>
      <c r="M552" s="6" t="s">
        <v>10</v>
      </c>
      <c r="N552" s="8">
        <v>1.5138357699616864E-2</v>
      </c>
      <c r="O552" s="6" t="s">
        <v>7</v>
      </c>
    </row>
    <row r="553" spans="2:15" x14ac:dyDescent="0.45">
      <c r="B553" s="3" t="s">
        <v>283</v>
      </c>
      <c r="C553" s="3" t="s">
        <v>11</v>
      </c>
      <c r="D553" s="4">
        <v>0</v>
      </c>
      <c r="E553" s="3" t="s">
        <v>7</v>
      </c>
      <c r="G553" s="3" t="s">
        <v>284</v>
      </c>
      <c r="H553" s="3" t="s">
        <v>11</v>
      </c>
      <c r="I553" s="5">
        <v>1.4358599341337453E-2</v>
      </c>
      <c r="J553" s="3" t="s">
        <v>7</v>
      </c>
      <c r="L553" s="3" t="s">
        <v>285</v>
      </c>
      <c r="M553" s="3" t="s">
        <v>11</v>
      </c>
      <c r="N553" s="5">
        <v>1.5228401125800354E-2</v>
      </c>
      <c r="O553" s="3" t="s">
        <v>7</v>
      </c>
    </row>
    <row r="554" spans="2:15" x14ac:dyDescent="0.45">
      <c r="B554" s="6" t="s">
        <v>283</v>
      </c>
      <c r="C554" s="6" t="s">
        <v>12</v>
      </c>
      <c r="D554" s="7">
        <v>1.8682788732413138E-3</v>
      </c>
      <c r="E554" s="6" t="s">
        <v>7</v>
      </c>
      <c r="G554" s="6" t="s">
        <v>284</v>
      </c>
      <c r="H554" s="6" t="s">
        <v>12</v>
      </c>
      <c r="I554" s="8">
        <v>1.5084104226022245E-2</v>
      </c>
      <c r="J554" s="6" t="s">
        <v>7</v>
      </c>
      <c r="L554" s="6" t="s">
        <v>285</v>
      </c>
      <c r="M554" s="6" t="s">
        <v>12</v>
      </c>
      <c r="N554" s="8">
        <v>1.5663490649207221E-2</v>
      </c>
      <c r="O554" s="6" t="s">
        <v>7</v>
      </c>
    </row>
    <row r="555" spans="2:15" x14ac:dyDescent="0.45">
      <c r="B555" s="3" t="s">
        <v>283</v>
      </c>
      <c r="C555" s="3" t="s">
        <v>13</v>
      </c>
      <c r="D555" s="4">
        <v>1.7260785822955878E-2</v>
      </c>
      <c r="E555" s="3" t="s">
        <v>7</v>
      </c>
      <c r="G555" s="3" t="s">
        <v>284</v>
      </c>
      <c r="H555" s="3" t="s">
        <v>13</v>
      </c>
      <c r="I555" s="5">
        <v>1.5417941279601376E-2</v>
      </c>
      <c r="J555" s="3" t="s">
        <v>7</v>
      </c>
      <c r="L555" s="3" t="s">
        <v>285</v>
      </c>
      <c r="M555" s="3" t="s">
        <v>13</v>
      </c>
      <c r="N555" s="5">
        <v>1.5652956215057141E-2</v>
      </c>
      <c r="O555" s="3" t="s">
        <v>7</v>
      </c>
    </row>
    <row r="556" spans="2:15" x14ac:dyDescent="0.45">
      <c r="B556" s="6" t="s">
        <v>283</v>
      </c>
      <c r="C556" s="6" t="s">
        <v>14</v>
      </c>
      <c r="D556" s="7">
        <v>3.0177808338281004E-2</v>
      </c>
      <c r="E556" s="6" t="s">
        <v>7</v>
      </c>
      <c r="G556" s="6" t="s">
        <v>284</v>
      </c>
      <c r="H556" s="6" t="s">
        <v>14</v>
      </c>
      <c r="I556" s="8">
        <v>1.6630528649071323E-2</v>
      </c>
      <c r="J556" s="6" t="s">
        <v>7</v>
      </c>
      <c r="L556" s="6" t="s">
        <v>285</v>
      </c>
      <c r="M556" s="6" t="s">
        <v>14</v>
      </c>
      <c r="N556" s="8">
        <v>1.5415352462023964E-2</v>
      </c>
      <c r="O556" s="6" t="s">
        <v>7</v>
      </c>
    </row>
    <row r="557" spans="2:15" x14ac:dyDescent="0.45">
      <c r="B557" s="3" t="s">
        <v>283</v>
      </c>
      <c r="C557" s="3" t="s">
        <v>15</v>
      </c>
      <c r="D557" s="4">
        <v>2.7977939314737976E-2</v>
      </c>
      <c r="E557" s="3" t="s">
        <v>7</v>
      </c>
      <c r="G557" s="3" t="s">
        <v>284</v>
      </c>
      <c r="H557" s="3" t="s">
        <v>15</v>
      </c>
      <c r="I557" s="5">
        <v>1.6331841273002787E-2</v>
      </c>
      <c r="J557" s="3" t="s">
        <v>7</v>
      </c>
      <c r="L557" s="3" t="s">
        <v>285</v>
      </c>
      <c r="M557" s="3" t="s">
        <v>15</v>
      </c>
      <c r="N557" s="5">
        <v>1.5443119658825241E-2</v>
      </c>
      <c r="O557" s="3" t="s">
        <v>7</v>
      </c>
    </row>
    <row r="558" spans="2:15" x14ac:dyDescent="0.45">
      <c r="B558" s="6" t="s">
        <v>283</v>
      </c>
      <c r="C558" s="6" t="s">
        <v>16</v>
      </c>
      <c r="D558" s="7">
        <v>1.1354536519101913E-2</v>
      </c>
      <c r="E558" s="6" t="s">
        <v>7</v>
      </c>
      <c r="G558" s="6" t="s">
        <v>284</v>
      </c>
      <c r="H558" s="6" t="s">
        <v>16</v>
      </c>
      <c r="I558" s="8">
        <v>1.54832153517197E-2</v>
      </c>
      <c r="J558" s="6" t="s">
        <v>7</v>
      </c>
      <c r="L558" s="6" t="s">
        <v>285</v>
      </c>
      <c r="M558" s="6" t="s">
        <v>16</v>
      </c>
      <c r="N558" s="8">
        <v>1.5582801999526327E-2</v>
      </c>
      <c r="O558" s="6" t="s">
        <v>7</v>
      </c>
    </row>
    <row r="559" spans="2:15" x14ac:dyDescent="0.45">
      <c r="B559" s="3" t="s">
        <v>283</v>
      </c>
      <c r="C559" s="3" t="s">
        <v>17</v>
      </c>
      <c r="D559" s="4">
        <v>3.9252807869528359E-4</v>
      </c>
      <c r="E559" s="3" t="s">
        <v>7</v>
      </c>
      <c r="G559" s="3" t="s">
        <v>284</v>
      </c>
      <c r="H559" s="3" t="s">
        <v>17</v>
      </c>
      <c r="I559" s="5">
        <v>1.4975376489970197E-2</v>
      </c>
      <c r="J559" s="3" t="s">
        <v>7</v>
      </c>
      <c r="L559" s="3" t="s">
        <v>285</v>
      </c>
      <c r="M559" s="3" t="s">
        <v>17</v>
      </c>
      <c r="N559" s="5">
        <v>1.5516550812530368E-2</v>
      </c>
      <c r="O559" s="3" t="s">
        <v>7</v>
      </c>
    </row>
    <row r="560" spans="2:15" x14ac:dyDescent="0.45">
      <c r="B560" s="6" t="s">
        <v>283</v>
      </c>
      <c r="C560" s="6" t="s">
        <v>18</v>
      </c>
      <c r="D560" s="7">
        <v>0</v>
      </c>
      <c r="E560" s="6" t="s">
        <v>7</v>
      </c>
      <c r="G560" s="6" t="s">
        <v>284</v>
      </c>
      <c r="H560" s="6" t="s">
        <v>18</v>
      </c>
      <c r="I560" s="8">
        <v>2.3208670809082649E-2</v>
      </c>
      <c r="J560" s="6" t="s">
        <v>7</v>
      </c>
      <c r="L560" s="6" t="s">
        <v>285</v>
      </c>
      <c r="M560" s="6" t="s">
        <v>18</v>
      </c>
      <c r="N560" s="8">
        <v>2.2838286484858271E-2</v>
      </c>
      <c r="O560" s="6" t="s">
        <v>7</v>
      </c>
    </row>
    <row r="561" spans="2:15" x14ac:dyDescent="0.45">
      <c r="B561" s="3" t="s">
        <v>283</v>
      </c>
      <c r="C561" s="3" t="s">
        <v>19</v>
      </c>
      <c r="D561" s="4">
        <v>0</v>
      </c>
      <c r="E561" s="3" t="s">
        <v>7</v>
      </c>
      <c r="G561" s="3" t="s">
        <v>284</v>
      </c>
      <c r="H561" s="3" t="s">
        <v>19</v>
      </c>
      <c r="I561" s="5">
        <v>4.0037669207495789E-2</v>
      </c>
      <c r="J561" s="3" t="s">
        <v>7</v>
      </c>
      <c r="L561" s="3" t="s">
        <v>285</v>
      </c>
      <c r="M561" s="3" t="s">
        <v>19</v>
      </c>
      <c r="N561" s="5">
        <v>3.6320736497280903E-2</v>
      </c>
      <c r="O561" s="3" t="s">
        <v>7</v>
      </c>
    </row>
    <row r="562" spans="2:15" x14ac:dyDescent="0.45">
      <c r="B562" s="6" t="s">
        <v>283</v>
      </c>
      <c r="C562" s="6" t="s">
        <v>20</v>
      </c>
      <c r="D562" s="7">
        <v>0</v>
      </c>
      <c r="E562" s="6" t="s">
        <v>7</v>
      </c>
      <c r="G562" s="6" t="s">
        <v>284</v>
      </c>
      <c r="H562" s="6" t="s">
        <v>20</v>
      </c>
      <c r="I562" s="8">
        <v>1.5961177470723856E-2</v>
      </c>
      <c r="J562" s="6" t="s">
        <v>7</v>
      </c>
      <c r="L562" s="6" t="s">
        <v>285</v>
      </c>
      <c r="M562" s="6" t="s">
        <v>20</v>
      </c>
      <c r="N562" s="8">
        <v>1.4798060461802272E-2</v>
      </c>
      <c r="O562" s="6" t="s">
        <v>7</v>
      </c>
    </row>
    <row r="563" spans="2:15" x14ac:dyDescent="0.45">
      <c r="B563" s="3" t="s">
        <v>283</v>
      </c>
      <c r="C563" s="3" t="s">
        <v>21</v>
      </c>
      <c r="D563" s="4">
        <v>7.5665363523126118E-4</v>
      </c>
      <c r="E563" s="3" t="s">
        <v>7</v>
      </c>
      <c r="G563" s="3" t="s">
        <v>284</v>
      </c>
      <c r="H563" s="3" t="s">
        <v>21</v>
      </c>
      <c r="I563" s="5">
        <v>1.5938086381189133E-2</v>
      </c>
      <c r="J563" s="3" t="s">
        <v>7</v>
      </c>
      <c r="L563" s="3" t="s">
        <v>285</v>
      </c>
      <c r="M563" s="3" t="s">
        <v>21</v>
      </c>
      <c r="N563" s="5">
        <v>1.494145183941536E-2</v>
      </c>
      <c r="O563" s="3" t="s">
        <v>7</v>
      </c>
    </row>
    <row r="564" spans="2:15" x14ac:dyDescent="0.45">
      <c r="B564" s="6" t="s">
        <v>283</v>
      </c>
      <c r="C564" s="6" t="s">
        <v>22</v>
      </c>
      <c r="D564" s="7">
        <v>1.8131271888361888E-2</v>
      </c>
      <c r="E564" s="6" t="s">
        <v>7</v>
      </c>
      <c r="G564" s="6" t="s">
        <v>284</v>
      </c>
      <c r="H564" s="6" t="s">
        <v>22</v>
      </c>
      <c r="I564" s="8">
        <v>1.6733526621981097E-2</v>
      </c>
      <c r="J564" s="6" t="s">
        <v>7</v>
      </c>
      <c r="L564" s="6" t="s">
        <v>285</v>
      </c>
      <c r="M564" s="6" t="s">
        <v>22</v>
      </c>
      <c r="N564" s="8">
        <v>1.4792724829146434E-2</v>
      </c>
      <c r="O564" s="6" t="s">
        <v>7</v>
      </c>
    </row>
    <row r="565" spans="2:15" x14ac:dyDescent="0.45">
      <c r="B565" s="3" t="s">
        <v>283</v>
      </c>
      <c r="C565" s="3" t="s">
        <v>23</v>
      </c>
      <c r="D565" s="4">
        <v>4.2319551360291009E-2</v>
      </c>
      <c r="E565" s="3" t="s">
        <v>7</v>
      </c>
      <c r="G565" s="3" t="s">
        <v>284</v>
      </c>
      <c r="H565" s="3" t="s">
        <v>23</v>
      </c>
      <c r="I565" s="5">
        <v>1.7599690402444409E-2</v>
      </c>
      <c r="J565" s="3" t="s">
        <v>7</v>
      </c>
      <c r="L565" s="3" t="s">
        <v>285</v>
      </c>
      <c r="M565" s="3" t="s">
        <v>23</v>
      </c>
      <c r="N565" s="5">
        <v>1.4930114643471876E-2</v>
      </c>
      <c r="O565" s="3" t="s">
        <v>7</v>
      </c>
    </row>
    <row r="566" spans="2:15" x14ac:dyDescent="0.45">
      <c r="B566" s="6" t="s">
        <v>283</v>
      </c>
      <c r="C566" s="6" t="s">
        <v>24</v>
      </c>
      <c r="D566" s="7">
        <v>5.1901059165150941E-2</v>
      </c>
      <c r="E566" s="6" t="s">
        <v>7</v>
      </c>
      <c r="G566" s="6" t="s">
        <v>284</v>
      </c>
      <c r="H566" s="6" t="s">
        <v>24</v>
      </c>
      <c r="I566" s="8">
        <v>1.7181843634929625E-2</v>
      </c>
      <c r="J566" s="6" t="s">
        <v>7</v>
      </c>
      <c r="L566" s="6" t="s">
        <v>285</v>
      </c>
      <c r="M566" s="6" t="s">
        <v>24</v>
      </c>
      <c r="N566" s="8">
        <v>1.5106694107516075E-2</v>
      </c>
      <c r="O566" s="6" t="s">
        <v>7</v>
      </c>
    </row>
    <row r="567" spans="2:15" x14ac:dyDescent="0.45">
      <c r="B567" s="3" t="s">
        <v>283</v>
      </c>
      <c r="C567" s="3" t="s">
        <v>25</v>
      </c>
      <c r="D567" s="4">
        <v>4.8013605308388087E-2</v>
      </c>
      <c r="E567" s="3" t="s">
        <v>7</v>
      </c>
      <c r="G567" s="3" t="s">
        <v>284</v>
      </c>
      <c r="H567" s="3" t="s">
        <v>25</v>
      </c>
      <c r="I567" s="5">
        <v>1.6868600153513696E-2</v>
      </c>
      <c r="J567" s="3" t="s">
        <v>7</v>
      </c>
      <c r="L567" s="3" t="s">
        <v>285</v>
      </c>
      <c r="M567" s="3" t="s">
        <v>25</v>
      </c>
      <c r="N567" s="5">
        <v>1.5405438884124757E-2</v>
      </c>
      <c r="O567" s="3" t="s">
        <v>7</v>
      </c>
    </row>
    <row r="568" spans="2:15" x14ac:dyDescent="0.45">
      <c r="B568" s="6" t="s">
        <v>283</v>
      </c>
      <c r="C568" s="6" t="s">
        <v>26</v>
      </c>
      <c r="D568" s="7">
        <v>3.0017023584853659E-2</v>
      </c>
      <c r="E568" s="6" t="s">
        <v>7</v>
      </c>
      <c r="G568" s="6" t="s">
        <v>284</v>
      </c>
      <c r="H568" s="6" t="s">
        <v>26</v>
      </c>
      <c r="I568" s="8">
        <v>1.6489735925574147E-2</v>
      </c>
      <c r="J568" s="6" t="s">
        <v>7</v>
      </c>
      <c r="L568" s="6" t="s">
        <v>285</v>
      </c>
      <c r="M568" s="6" t="s">
        <v>26</v>
      </c>
      <c r="N568" s="8">
        <v>1.5519742539906945E-2</v>
      </c>
      <c r="O568" s="6" t="s">
        <v>7</v>
      </c>
    </row>
    <row r="569" spans="2:15" x14ac:dyDescent="0.45">
      <c r="B569" s="3" t="s">
        <v>283</v>
      </c>
      <c r="C569" s="3" t="s">
        <v>27</v>
      </c>
      <c r="D569" s="4">
        <v>6.5083276113583602E-3</v>
      </c>
      <c r="E569" s="3" t="s">
        <v>7</v>
      </c>
      <c r="G569" s="3" t="s">
        <v>284</v>
      </c>
      <c r="H569" s="3" t="s">
        <v>27</v>
      </c>
      <c r="I569" s="5">
        <v>1.5279224460492812E-2</v>
      </c>
      <c r="J569" s="3" t="s">
        <v>7</v>
      </c>
      <c r="L569" s="3" t="s">
        <v>285</v>
      </c>
      <c r="M569" s="3" t="s">
        <v>27</v>
      </c>
      <c r="N569" s="5">
        <v>1.5453760303135437E-2</v>
      </c>
      <c r="O569" s="3" t="s">
        <v>7</v>
      </c>
    </row>
    <row r="570" spans="2:15" x14ac:dyDescent="0.45">
      <c r="B570" s="6" t="s">
        <v>283</v>
      </c>
      <c r="C570" s="6" t="s">
        <v>28</v>
      </c>
      <c r="D570" s="7">
        <v>1.3382784803277398E-5</v>
      </c>
      <c r="E570" s="6" t="s">
        <v>7</v>
      </c>
      <c r="G570" s="6" t="s">
        <v>284</v>
      </c>
      <c r="H570" s="6" t="s">
        <v>28</v>
      </c>
      <c r="I570" s="8">
        <v>2.3398066793115759E-2</v>
      </c>
      <c r="J570" s="6" t="s">
        <v>7</v>
      </c>
      <c r="L570" s="6" t="s">
        <v>285</v>
      </c>
      <c r="M570" s="6" t="s">
        <v>28</v>
      </c>
      <c r="N570" s="8">
        <v>2.2481465265787051E-2</v>
      </c>
      <c r="O570" s="6" t="s">
        <v>7</v>
      </c>
    </row>
    <row r="571" spans="2:15" x14ac:dyDescent="0.45">
      <c r="B571" s="3" t="s">
        <v>283</v>
      </c>
      <c r="C571" s="3" t="s">
        <v>29</v>
      </c>
      <c r="D571" s="4">
        <v>0</v>
      </c>
      <c r="E571" s="3" t="s">
        <v>7</v>
      </c>
      <c r="G571" s="3" t="s">
        <v>284</v>
      </c>
      <c r="H571" s="3" t="s">
        <v>29</v>
      </c>
      <c r="I571" s="5">
        <v>3.056702844638641E-2</v>
      </c>
      <c r="J571" s="3" t="s">
        <v>7</v>
      </c>
      <c r="L571" s="3" t="s">
        <v>285</v>
      </c>
      <c r="M571" s="3" t="s">
        <v>29</v>
      </c>
      <c r="N571" s="5">
        <v>2.9438129505289783E-2</v>
      </c>
      <c r="O571" s="3" t="s">
        <v>7</v>
      </c>
    </row>
    <row r="572" spans="2:15" x14ac:dyDescent="0.45">
      <c r="B572" s="6" t="s">
        <v>283</v>
      </c>
      <c r="C572" s="6" t="s">
        <v>30</v>
      </c>
      <c r="D572" s="7">
        <v>4.4989109159500923E-5</v>
      </c>
      <c r="E572" s="6" t="s">
        <v>7</v>
      </c>
      <c r="G572" s="6" t="s">
        <v>284</v>
      </c>
      <c r="H572" s="6" t="s">
        <v>30</v>
      </c>
      <c r="I572" s="8">
        <v>1.1916251804666296E-2</v>
      </c>
      <c r="J572" s="6" t="s">
        <v>7</v>
      </c>
      <c r="L572" s="6" t="s">
        <v>285</v>
      </c>
      <c r="M572" s="6" t="s">
        <v>30</v>
      </c>
      <c r="N572" s="8">
        <v>1.2322609716232896E-2</v>
      </c>
      <c r="O572" s="6" t="s">
        <v>7</v>
      </c>
    </row>
    <row r="573" spans="2:15" x14ac:dyDescent="0.45">
      <c r="B573" s="3" t="s">
        <v>283</v>
      </c>
      <c r="C573" s="3" t="s">
        <v>31</v>
      </c>
      <c r="D573" s="4">
        <v>5.2062980693121201E-3</v>
      </c>
      <c r="E573" s="3" t="s">
        <v>7</v>
      </c>
      <c r="G573" s="3" t="s">
        <v>284</v>
      </c>
      <c r="H573" s="3" t="s">
        <v>31</v>
      </c>
      <c r="I573" s="5">
        <v>1.1642166673464054E-2</v>
      </c>
      <c r="J573" s="3" t="s">
        <v>7</v>
      </c>
      <c r="L573" s="3" t="s">
        <v>285</v>
      </c>
      <c r="M573" s="3" t="s">
        <v>31</v>
      </c>
      <c r="N573" s="5">
        <v>1.2186933706828352E-2</v>
      </c>
      <c r="O573" s="3" t="s">
        <v>7</v>
      </c>
    </row>
    <row r="574" spans="2:15" x14ac:dyDescent="0.45">
      <c r="B574" s="6" t="s">
        <v>283</v>
      </c>
      <c r="C574" s="6" t="s">
        <v>32</v>
      </c>
      <c r="D574" s="7">
        <v>2.7237184174404707E-2</v>
      </c>
      <c r="E574" s="6" t="s">
        <v>7</v>
      </c>
      <c r="G574" s="6" t="s">
        <v>284</v>
      </c>
      <c r="H574" s="6" t="s">
        <v>32</v>
      </c>
      <c r="I574" s="8">
        <v>1.2326301791858018E-2</v>
      </c>
      <c r="J574" s="6" t="s">
        <v>7</v>
      </c>
      <c r="L574" s="6" t="s">
        <v>285</v>
      </c>
      <c r="M574" s="6" t="s">
        <v>32</v>
      </c>
      <c r="N574" s="8">
        <v>1.1492227609408552E-2</v>
      </c>
      <c r="O574" s="6" t="s">
        <v>7</v>
      </c>
    </row>
    <row r="575" spans="2:15" x14ac:dyDescent="0.45">
      <c r="B575" s="3" t="s">
        <v>283</v>
      </c>
      <c r="C575" s="3" t="s">
        <v>33</v>
      </c>
      <c r="D575" s="4">
        <v>4.8569974221438703E-2</v>
      </c>
      <c r="E575" s="3" t="s">
        <v>7</v>
      </c>
      <c r="G575" s="3" t="s">
        <v>284</v>
      </c>
      <c r="H575" s="3" t="s">
        <v>33</v>
      </c>
      <c r="I575" s="5">
        <v>1.2733968191716927E-2</v>
      </c>
      <c r="J575" s="3" t="s">
        <v>7</v>
      </c>
      <c r="L575" s="3" t="s">
        <v>285</v>
      </c>
      <c r="M575" s="3" t="s">
        <v>33</v>
      </c>
      <c r="N575" s="5">
        <v>1.1404067589762821E-2</v>
      </c>
      <c r="O575" s="3" t="s">
        <v>7</v>
      </c>
    </row>
    <row r="576" spans="2:15" x14ac:dyDescent="0.45">
      <c r="B576" s="6" t="s">
        <v>283</v>
      </c>
      <c r="C576" s="6" t="s">
        <v>34</v>
      </c>
      <c r="D576" s="7">
        <v>6.1011170371008734E-2</v>
      </c>
      <c r="E576" s="6" t="s">
        <v>7</v>
      </c>
      <c r="G576" s="6" t="s">
        <v>284</v>
      </c>
      <c r="H576" s="6" t="s">
        <v>34</v>
      </c>
      <c r="I576" s="8">
        <v>1.3987549472756532E-2</v>
      </c>
      <c r="J576" s="6" t="s">
        <v>7</v>
      </c>
      <c r="L576" s="6" t="s">
        <v>285</v>
      </c>
      <c r="M576" s="6" t="s">
        <v>34</v>
      </c>
      <c r="N576" s="8">
        <v>1.1676124566549241E-2</v>
      </c>
      <c r="O576" s="6" t="s">
        <v>7</v>
      </c>
    </row>
    <row r="577" spans="2:15" x14ac:dyDescent="0.45">
      <c r="B577" s="3" t="s">
        <v>283</v>
      </c>
      <c r="C577" s="3" t="s">
        <v>35</v>
      </c>
      <c r="D577" s="4">
        <v>5.6678939390458462E-2</v>
      </c>
      <c r="E577" s="3" t="s">
        <v>7</v>
      </c>
      <c r="G577" s="3" t="s">
        <v>284</v>
      </c>
      <c r="H577" s="3" t="s">
        <v>35</v>
      </c>
      <c r="I577" s="5">
        <v>1.4879993302638818E-2</v>
      </c>
      <c r="J577" s="3" t="s">
        <v>7</v>
      </c>
      <c r="L577" s="3" t="s">
        <v>285</v>
      </c>
      <c r="M577" s="3" t="s">
        <v>35</v>
      </c>
      <c r="N577" s="5">
        <v>1.1694429004146205E-2</v>
      </c>
      <c r="O577" s="3" t="s">
        <v>7</v>
      </c>
    </row>
    <row r="578" spans="2:15" x14ac:dyDescent="0.45">
      <c r="B578" s="6" t="s">
        <v>283</v>
      </c>
      <c r="C578" s="6" t="s">
        <v>36</v>
      </c>
      <c r="D578" s="7">
        <v>3.8986228475943713E-2</v>
      </c>
      <c r="E578" s="6" t="s">
        <v>7</v>
      </c>
      <c r="G578" s="6" t="s">
        <v>284</v>
      </c>
      <c r="H578" s="6" t="s">
        <v>36</v>
      </c>
      <c r="I578" s="8">
        <v>1.4787384621361335E-2</v>
      </c>
      <c r="J578" s="6" t="s">
        <v>7</v>
      </c>
      <c r="L578" s="6" t="s">
        <v>285</v>
      </c>
      <c r="M578" s="6" t="s">
        <v>36</v>
      </c>
      <c r="N578" s="8">
        <v>1.1654547976413925E-2</v>
      </c>
      <c r="O578" s="6" t="s">
        <v>7</v>
      </c>
    </row>
    <row r="579" spans="2:15" x14ac:dyDescent="0.45">
      <c r="B579" s="3" t="s">
        <v>283</v>
      </c>
      <c r="C579" s="3" t="s">
        <v>37</v>
      </c>
      <c r="D579" s="4">
        <v>1.3580297334195114E-2</v>
      </c>
      <c r="E579" s="3" t="s">
        <v>7</v>
      </c>
      <c r="G579" s="3" t="s">
        <v>284</v>
      </c>
      <c r="H579" s="3" t="s">
        <v>37</v>
      </c>
      <c r="I579" s="5">
        <v>1.3229004623549643E-2</v>
      </c>
      <c r="J579" s="3" t="s">
        <v>7</v>
      </c>
      <c r="L579" s="3" t="s">
        <v>285</v>
      </c>
      <c r="M579" s="3" t="s">
        <v>37</v>
      </c>
      <c r="N579" s="5">
        <v>1.1489085493913438E-2</v>
      </c>
      <c r="O579" s="3" t="s">
        <v>7</v>
      </c>
    </row>
    <row r="580" spans="2:15" x14ac:dyDescent="0.45">
      <c r="B580" s="6" t="s">
        <v>283</v>
      </c>
      <c r="C580" s="6" t="s">
        <v>38</v>
      </c>
      <c r="D580" s="7">
        <v>1.0241723811719697E-3</v>
      </c>
      <c r="E580" s="6" t="s">
        <v>7</v>
      </c>
      <c r="G580" s="6" t="s">
        <v>284</v>
      </c>
      <c r="H580" s="6" t="s">
        <v>38</v>
      </c>
      <c r="I580" s="8">
        <v>1.9257949733141978E-2</v>
      </c>
      <c r="J580" s="6" t="s">
        <v>7</v>
      </c>
      <c r="L580" s="6" t="s">
        <v>285</v>
      </c>
      <c r="M580" s="6" t="s">
        <v>38</v>
      </c>
      <c r="N580" s="8">
        <v>1.6987432911550467E-2</v>
      </c>
      <c r="O580" s="6" t="s">
        <v>7</v>
      </c>
    </row>
    <row r="581" spans="2:15" x14ac:dyDescent="0.45">
      <c r="B581" s="3" t="s">
        <v>283</v>
      </c>
      <c r="C581" s="3" t="s">
        <v>39</v>
      </c>
      <c r="D581" s="4">
        <v>0</v>
      </c>
      <c r="E581" s="3" t="s">
        <v>7</v>
      </c>
      <c r="G581" s="3" t="s">
        <v>284</v>
      </c>
      <c r="H581" s="3" t="s">
        <v>39</v>
      </c>
      <c r="I581" s="5">
        <v>1.8113284439501904E-2</v>
      </c>
      <c r="J581" s="3" t="s">
        <v>7</v>
      </c>
      <c r="L581" s="3" t="s">
        <v>285</v>
      </c>
      <c r="M581" s="3" t="s">
        <v>39</v>
      </c>
      <c r="N581" s="5">
        <v>2.635847716981303E-2</v>
      </c>
      <c r="O581" s="3" t="s">
        <v>7</v>
      </c>
    </row>
    <row r="582" spans="2:15" x14ac:dyDescent="0.45">
      <c r="B582" s="6" t="s">
        <v>283</v>
      </c>
      <c r="C582" s="6" t="s">
        <v>40</v>
      </c>
      <c r="D582" s="7">
        <v>2.3818758158397727E-6</v>
      </c>
      <c r="E582" s="6" t="s">
        <v>7</v>
      </c>
      <c r="G582" s="6" t="s">
        <v>284</v>
      </c>
      <c r="H582" s="6" t="s">
        <v>40</v>
      </c>
      <c r="I582" s="8">
        <v>7.2089472573174376E-3</v>
      </c>
      <c r="J582" s="6" t="s">
        <v>7</v>
      </c>
      <c r="L582" s="6" t="s">
        <v>285</v>
      </c>
      <c r="M582" s="6" t="s">
        <v>40</v>
      </c>
      <c r="N582" s="8">
        <v>9.9457905481927372E-3</v>
      </c>
      <c r="O582" s="6" t="s">
        <v>7</v>
      </c>
    </row>
    <row r="583" spans="2:15" x14ac:dyDescent="0.45">
      <c r="B583" s="3" t="s">
        <v>283</v>
      </c>
      <c r="C583" s="3" t="s">
        <v>41</v>
      </c>
      <c r="D583" s="4">
        <v>3.154467232509511E-3</v>
      </c>
      <c r="E583" s="3" t="s">
        <v>7</v>
      </c>
      <c r="G583" s="3" t="s">
        <v>284</v>
      </c>
      <c r="H583" s="3" t="s">
        <v>41</v>
      </c>
      <c r="I583" s="5">
        <v>7.1243630907217199E-3</v>
      </c>
      <c r="J583" s="3" t="s">
        <v>7</v>
      </c>
      <c r="L583" s="3" t="s">
        <v>285</v>
      </c>
      <c r="M583" s="3" t="s">
        <v>41</v>
      </c>
      <c r="N583" s="5">
        <v>9.6548396110114759E-3</v>
      </c>
      <c r="O583" s="3" t="s">
        <v>7</v>
      </c>
    </row>
    <row r="584" spans="2:15" x14ac:dyDescent="0.45">
      <c r="B584" s="6" t="s">
        <v>283</v>
      </c>
      <c r="C584" s="6" t="s">
        <v>42</v>
      </c>
      <c r="D584" s="7">
        <v>2.4810949266366039E-2</v>
      </c>
      <c r="E584" s="6" t="s">
        <v>7</v>
      </c>
      <c r="G584" s="6" t="s">
        <v>284</v>
      </c>
      <c r="H584" s="6" t="s">
        <v>42</v>
      </c>
      <c r="I584" s="8">
        <v>7.6036013073019883E-3</v>
      </c>
      <c r="J584" s="6" t="s">
        <v>7</v>
      </c>
      <c r="L584" s="6" t="s">
        <v>285</v>
      </c>
      <c r="M584" s="6" t="s">
        <v>42</v>
      </c>
      <c r="N584" s="8">
        <v>9.4732929420776272E-3</v>
      </c>
      <c r="O584" s="6" t="s">
        <v>7</v>
      </c>
    </row>
    <row r="585" spans="2:15" x14ac:dyDescent="0.45">
      <c r="B585" s="3" t="s">
        <v>283</v>
      </c>
      <c r="C585" s="3" t="s">
        <v>43</v>
      </c>
      <c r="D585" s="4">
        <v>4.8133890165756296E-2</v>
      </c>
      <c r="E585" s="3" t="s">
        <v>7</v>
      </c>
      <c r="G585" s="3" t="s">
        <v>284</v>
      </c>
      <c r="H585" s="3" t="s">
        <v>43</v>
      </c>
      <c r="I585" s="5">
        <v>8.1674970368016426E-3</v>
      </c>
      <c r="J585" s="3" t="s">
        <v>7</v>
      </c>
      <c r="L585" s="3" t="s">
        <v>285</v>
      </c>
      <c r="M585" s="3" t="s">
        <v>43</v>
      </c>
      <c r="N585" s="5">
        <v>9.7239615343447921E-3</v>
      </c>
      <c r="O585" s="3" t="s">
        <v>7</v>
      </c>
    </row>
    <row r="586" spans="2:15" x14ac:dyDescent="0.45">
      <c r="B586" s="6" t="s">
        <v>283</v>
      </c>
      <c r="C586" s="6" t="s">
        <v>44</v>
      </c>
      <c r="D586" s="7">
        <v>5.6992095313624584E-2</v>
      </c>
      <c r="E586" s="6" t="s">
        <v>7</v>
      </c>
      <c r="G586" s="6" t="s">
        <v>284</v>
      </c>
      <c r="H586" s="6" t="s">
        <v>44</v>
      </c>
      <c r="I586" s="8">
        <v>9.1691675979525059E-3</v>
      </c>
      <c r="J586" s="6" t="s">
        <v>7</v>
      </c>
      <c r="L586" s="6" t="s">
        <v>285</v>
      </c>
      <c r="M586" s="6" t="s">
        <v>44</v>
      </c>
      <c r="N586" s="8">
        <v>9.9192156283499575E-3</v>
      </c>
      <c r="O586" s="6" t="s">
        <v>7</v>
      </c>
    </row>
    <row r="587" spans="2:15" x14ac:dyDescent="0.45">
      <c r="B587" s="3" t="s">
        <v>283</v>
      </c>
      <c r="C587" s="3" t="s">
        <v>45</v>
      </c>
      <c r="D587" s="4">
        <v>5.5277872792302972E-2</v>
      </c>
      <c r="E587" s="3" t="s">
        <v>7</v>
      </c>
      <c r="G587" s="3" t="s">
        <v>284</v>
      </c>
      <c r="H587" s="3" t="s">
        <v>45</v>
      </c>
      <c r="I587" s="5">
        <v>1.0070400487246502E-2</v>
      </c>
      <c r="J587" s="3" t="s">
        <v>7</v>
      </c>
      <c r="L587" s="3" t="s">
        <v>285</v>
      </c>
      <c r="M587" s="3" t="s">
        <v>45</v>
      </c>
      <c r="N587" s="5">
        <v>1.012620093078429E-2</v>
      </c>
      <c r="O587" s="3" t="s">
        <v>7</v>
      </c>
    </row>
    <row r="588" spans="2:15" x14ac:dyDescent="0.45">
      <c r="B588" s="6" t="s">
        <v>283</v>
      </c>
      <c r="C588" s="6" t="s">
        <v>46</v>
      </c>
      <c r="D588" s="7">
        <v>3.8991913939303166E-2</v>
      </c>
      <c r="E588" s="6" t="s">
        <v>7</v>
      </c>
      <c r="G588" s="6" t="s">
        <v>284</v>
      </c>
      <c r="H588" s="6" t="s">
        <v>46</v>
      </c>
      <c r="I588" s="8">
        <v>1.0125889613783436E-2</v>
      </c>
      <c r="J588" s="6" t="s">
        <v>7</v>
      </c>
      <c r="L588" s="6" t="s">
        <v>285</v>
      </c>
      <c r="M588" s="6" t="s">
        <v>46</v>
      </c>
      <c r="N588" s="8">
        <v>1.0416624046442911E-2</v>
      </c>
      <c r="O588" s="6" t="s">
        <v>7</v>
      </c>
    </row>
    <row r="589" spans="2:15" x14ac:dyDescent="0.45">
      <c r="B589" s="3" t="s">
        <v>283</v>
      </c>
      <c r="C589" s="3" t="s">
        <v>47</v>
      </c>
      <c r="D589" s="4">
        <v>1.3347499466724236E-2</v>
      </c>
      <c r="E589" s="3" t="s">
        <v>7</v>
      </c>
      <c r="G589" s="3" t="s">
        <v>284</v>
      </c>
      <c r="H589" s="3" t="s">
        <v>47</v>
      </c>
      <c r="I589" s="5">
        <v>8.6199592763248414E-3</v>
      </c>
      <c r="J589" s="3" t="s">
        <v>7</v>
      </c>
      <c r="L589" s="3" t="s">
        <v>285</v>
      </c>
      <c r="M589" s="3" t="s">
        <v>47</v>
      </c>
      <c r="N589" s="5">
        <v>1.0480824818598413E-2</v>
      </c>
      <c r="O589" s="3" t="s">
        <v>7</v>
      </c>
    </row>
    <row r="590" spans="2:15" x14ac:dyDescent="0.45">
      <c r="B590" s="6" t="s">
        <v>283</v>
      </c>
      <c r="C590" s="6" t="s">
        <v>48</v>
      </c>
      <c r="D590" s="7">
        <v>7.281949375540763E-4</v>
      </c>
      <c r="E590" s="6" t="s">
        <v>7</v>
      </c>
      <c r="G590" s="6" t="s">
        <v>284</v>
      </c>
      <c r="H590" s="6" t="s">
        <v>48</v>
      </c>
      <c r="I590" s="8">
        <v>1.1471645150131944E-2</v>
      </c>
      <c r="J590" s="6" t="s">
        <v>7</v>
      </c>
      <c r="L590" s="6" t="s">
        <v>285</v>
      </c>
      <c r="M590" s="6" t="s">
        <v>48</v>
      </c>
      <c r="N590" s="8">
        <v>1.5665818898252956E-2</v>
      </c>
      <c r="O590" s="6" t="s">
        <v>7</v>
      </c>
    </row>
    <row r="591" spans="2:15" x14ac:dyDescent="0.45">
      <c r="B591" s="3" t="s">
        <v>283</v>
      </c>
      <c r="C591" s="3" t="s">
        <v>49</v>
      </c>
      <c r="D591" s="4">
        <v>0</v>
      </c>
      <c r="E591" s="3" t="s">
        <v>7</v>
      </c>
      <c r="G591" s="3" t="s">
        <v>284</v>
      </c>
      <c r="H591" s="3" t="s">
        <v>49</v>
      </c>
      <c r="I591" s="5">
        <v>2.9600173734327141E-2</v>
      </c>
      <c r="J591" s="3" t="s">
        <v>7</v>
      </c>
      <c r="L591" s="3" t="s">
        <v>285</v>
      </c>
      <c r="M591" s="3" t="s">
        <v>49</v>
      </c>
      <c r="N591" s="5">
        <v>3.4631892885944503E-2</v>
      </c>
      <c r="O591" s="3" t="s">
        <v>7</v>
      </c>
    </row>
    <row r="592" spans="2:15" x14ac:dyDescent="0.45">
      <c r="B592" s="6" t="s">
        <v>283</v>
      </c>
      <c r="C592" s="6" t="s">
        <v>50</v>
      </c>
      <c r="D592" s="7">
        <v>0</v>
      </c>
      <c r="E592" s="6" t="s">
        <v>7</v>
      </c>
      <c r="G592" s="6" t="s">
        <v>284</v>
      </c>
      <c r="H592" s="6" t="s">
        <v>50</v>
      </c>
      <c r="I592" s="8">
        <v>1.2587040426680331E-2</v>
      </c>
      <c r="J592" s="6" t="s">
        <v>7</v>
      </c>
      <c r="L592" s="6" t="s">
        <v>285</v>
      </c>
      <c r="M592" s="6" t="s">
        <v>50</v>
      </c>
      <c r="N592" s="8">
        <v>1.4196448011650901E-2</v>
      </c>
      <c r="O592" s="6" t="s">
        <v>7</v>
      </c>
    </row>
    <row r="593" spans="2:15" x14ac:dyDescent="0.45">
      <c r="B593" s="3" t="s">
        <v>283</v>
      </c>
      <c r="C593" s="3" t="s">
        <v>51</v>
      </c>
      <c r="D593" s="4">
        <v>1.9936594577590251E-4</v>
      </c>
      <c r="E593" s="3" t="s">
        <v>7</v>
      </c>
      <c r="G593" s="3" t="s">
        <v>284</v>
      </c>
      <c r="H593" s="3" t="s">
        <v>51</v>
      </c>
      <c r="I593" s="5">
        <v>1.3007461710921325E-2</v>
      </c>
      <c r="J593" s="3" t="s">
        <v>7</v>
      </c>
      <c r="L593" s="3" t="s">
        <v>285</v>
      </c>
      <c r="M593" s="3" t="s">
        <v>51</v>
      </c>
      <c r="N593" s="5">
        <v>1.4227376737786519E-2</v>
      </c>
      <c r="O593" s="3" t="s">
        <v>7</v>
      </c>
    </row>
    <row r="594" spans="2:15" x14ac:dyDescent="0.45">
      <c r="B594" s="6" t="s">
        <v>283</v>
      </c>
      <c r="C594" s="6" t="s">
        <v>52</v>
      </c>
      <c r="D594" s="7">
        <v>1.116059103116754E-2</v>
      </c>
      <c r="E594" s="6" t="s">
        <v>7</v>
      </c>
      <c r="G594" s="6" t="s">
        <v>284</v>
      </c>
      <c r="H594" s="6" t="s">
        <v>52</v>
      </c>
      <c r="I594" s="8">
        <v>1.3605457686940377E-2</v>
      </c>
      <c r="J594" s="6" t="s">
        <v>7</v>
      </c>
      <c r="L594" s="6" t="s">
        <v>285</v>
      </c>
      <c r="M594" s="6" t="s">
        <v>52</v>
      </c>
      <c r="N594" s="8">
        <v>1.4042437124419282E-2</v>
      </c>
      <c r="O594" s="6" t="s">
        <v>7</v>
      </c>
    </row>
    <row r="595" spans="2:15" x14ac:dyDescent="0.45">
      <c r="B595" s="3" t="s">
        <v>283</v>
      </c>
      <c r="C595" s="3" t="s">
        <v>53</v>
      </c>
      <c r="D595" s="4">
        <v>3.2708722295353376E-2</v>
      </c>
      <c r="E595" s="3" t="s">
        <v>7</v>
      </c>
      <c r="G595" s="3" t="s">
        <v>284</v>
      </c>
      <c r="H595" s="3" t="s">
        <v>53</v>
      </c>
      <c r="I595" s="5">
        <v>1.4624977436134919E-2</v>
      </c>
      <c r="J595" s="3" t="s">
        <v>7</v>
      </c>
      <c r="L595" s="3" t="s">
        <v>285</v>
      </c>
      <c r="M595" s="3" t="s">
        <v>53</v>
      </c>
      <c r="N595" s="5">
        <v>1.4008528889321612E-2</v>
      </c>
      <c r="O595" s="3" t="s">
        <v>7</v>
      </c>
    </row>
    <row r="596" spans="2:15" x14ac:dyDescent="0.45">
      <c r="B596" s="6" t="s">
        <v>283</v>
      </c>
      <c r="C596" s="6" t="s">
        <v>54</v>
      </c>
      <c r="D596" s="7">
        <v>3.8532630149996611E-2</v>
      </c>
      <c r="E596" s="6" t="s">
        <v>7</v>
      </c>
      <c r="G596" s="6" t="s">
        <v>284</v>
      </c>
      <c r="H596" s="6" t="s">
        <v>54</v>
      </c>
      <c r="I596" s="8">
        <v>1.5771012107900939E-2</v>
      </c>
      <c r="J596" s="6" t="s">
        <v>7</v>
      </c>
      <c r="L596" s="6" t="s">
        <v>285</v>
      </c>
      <c r="M596" s="6" t="s">
        <v>54</v>
      </c>
      <c r="N596" s="8">
        <v>1.3956135089901515E-2</v>
      </c>
      <c r="O596" s="6" t="s">
        <v>7</v>
      </c>
    </row>
    <row r="597" spans="2:15" x14ac:dyDescent="0.45">
      <c r="B597" s="3" t="s">
        <v>283</v>
      </c>
      <c r="C597" s="3" t="s">
        <v>55</v>
      </c>
      <c r="D597" s="4">
        <v>3.2059651273895803E-2</v>
      </c>
      <c r="E597" s="3" t="s">
        <v>7</v>
      </c>
      <c r="G597" s="3" t="s">
        <v>284</v>
      </c>
      <c r="H597" s="3" t="s">
        <v>55</v>
      </c>
      <c r="I597" s="5">
        <v>1.5364134232711556E-2</v>
      </c>
      <c r="J597" s="3" t="s">
        <v>7</v>
      </c>
      <c r="L597" s="3" t="s">
        <v>285</v>
      </c>
      <c r="M597" s="3" t="s">
        <v>55</v>
      </c>
      <c r="N597" s="5">
        <v>1.4014036893597901E-2</v>
      </c>
      <c r="O597" s="3" t="s">
        <v>7</v>
      </c>
    </row>
    <row r="598" spans="2:15" x14ac:dyDescent="0.45">
      <c r="B598" s="6" t="s">
        <v>283</v>
      </c>
      <c r="C598" s="6" t="s">
        <v>56</v>
      </c>
      <c r="D598" s="7">
        <v>1.6954226959992453E-2</v>
      </c>
      <c r="E598" s="6" t="s">
        <v>7</v>
      </c>
      <c r="G598" s="6" t="s">
        <v>284</v>
      </c>
      <c r="H598" s="6" t="s">
        <v>56</v>
      </c>
      <c r="I598" s="8">
        <v>1.4046278323750825E-2</v>
      </c>
      <c r="J598" s="6" t="s">
        <v>7</v>
      </c>
      <c r="L598" s="6" t="s">
        <v>285</v>
      </c>
      <c r="M598" s="6" t="s">
        <v>56</v>
      </c>
      <c r="N598" s="8">
        <v>1.4101734038980386E-2</v>
      </c>
      <c r="O598" s="6" t="s">
        <v>7</v>
      </c>
    </row>
    <row r="599" spans="2:15" x14ac:dyDescent="0.45">
      <c r="B599" s="3" t="s">
        <v>283</v>
      </c>
      <c r="C599" s="3" t="s">
        <v>57</v>
      </c>
      <c r="D599" s="4">
        <v>1.9207364822650421E-3</v>
      </c>
      <c r="E599" s="3" t="s">
        <v>7</v>
      </c>
      <c r="G599" s="3" t="s">
        <v>284</v>
      </c>
      <c r="H599" s="3" t="s">
        <v>57</v>
      </c>
      <c r="I599" s="5">
        <v>1.3227484348702735E-2</v>
      </c>
      <c r="J599" s="3" t="s">
        <v>7</v>
      </c>
      <c r="L599" s="3" t="s">
        <v>285</v>
      </c>
      <c r="M599" s="3" t="s">
        <v>57</v>
      </c>
      <c r="N599" s="5">
        <v>1.405374885430411E-2</v>
      </c>
      <c r="O599" s="3" t="s">
        <v>7</v>
      </c>
    </row>
    <row r="600" spans="2:15" x14ac:dyDescent="0.45">
      <c r="B600" s="6" t="s">
        <v>283</v>
      </c>
      <c r="C600" s="6" t="s">
        <v>58</v>
      </c>
      <c r="D600" s="7">
        <v>0</v>
      </c>
      <c r="E600" s="6" t="s">
        <v>7</v>
      </c>
      <c r="G600" s="6" t="s">
        <v>284</v>
      </c>
      <c r="H600" s="6" t="s">
        <v>58</v>
      </c>
      <c r="I600" s="8">
        <v>1.8961498406641224E-2</v>
      </c>
      <c r="J600" s="6" t="s">
        <v>7</v>
      </c>
      <c r="L600" s="6" t="s">
        <v>285</v>
      </c>
      <c r="M600" s="6" t="s">
        <v>58</v>
      </c>
      <c r="N600" s="8">
        <v>2.0465033803530805E-2</v>
      </c>
      <c r="O600" s="6" t="s">
        <v>7</v>
      </c>
    </row>
    <row r="601" spans="2:15" x14ac:dyDescent="0.45">
      <c r="B601" s="3" t="s">
        <v>283</v>
      </c>
      <c r="C601" s="3" t="s">
        <v>59</v>
      </c>
      <c r="D601" s="4">
        <v>0</v>
      </c>
      <c r="E601" s="3" t="s">
        <v>7</v>
      </c>
      <c r="G601" s="3" t="s">
        <v>284</v>
      </c>
      <c r="H601" s="3" t="s">
        <v>59</v>
      </c>
      <c r="I601" s="5">
        <v>4.2979910082208417E-2</v>
      </c>
      <c r="J601" s="3" t="s">
        <v>7</v>
      </c>
      <c r="L601" s="3" t="s">
        <v>285</v>
      </c>
      <c r="M601" s="3" t="s">
        <v>59</v>
      </c>
      <c r="N601" s="5">
        <v>4.2979669656086676E-2</v>
      </c>
      <c r="O601" s="3" t="s">
        <v>7</v>
      </c>
    </row>
    <row r="602" spans="2:15" x14ac:dyDescent="0.45">
      <c r="B602" s="6" t="s">
        <v>283</v>
      </c>
      <c r="C602" s="6" t="s">
        <v>60</v>
      </c>
      <c r="D602" s="7">
        <v>0</v>
      </c>
      <c r="E602" s="6" t="s">
        <v>7</v>
      </c>
      <c r="G602" s="6" t="s">
        <v>284</v>
      </c>
      <c r="H602" s="6" t="s">
        <v>60</v>
      </c>
      <c r="I602" s="8">
        <v>1.7159098912008945E-2</v>
      </c>
      <c r="J602" s="6" t="s">
        <v>7</v>
      </c>
      <c r="L602" s="6" t="s">
        <v>285</v>
      </c>
      <c r="M602" s="6" t="s">
        <v>60</v>
      </c>
      <c r="N602" s="8">
        <v>1.6789093369046007E-2</v>
      </c>
      <c r="O602" s="6" t="s">
        <v>7</v>
      </c>
    </row>
    <row r="603" spans="2:15" x14ac:dyDescent="0.45">
      <c r="B603" s="3" t="s">
        <v>283</v>
      </c>
      <c r="C603" s="3" t="s">
        <v>61</v>
      </c>
      <c r="D603" s="4">
        <v>0</v>
      </c>
      <c r="E603" s="3" t="s">
        <v>7</v>
      </c>
      <c r="G603" s="3" t="s">
        <v>284</v>
      </c>
      <c r="H603" s="3" t="s">
        <v>61</v>
      </c>
      <c r="I603" s="5">
        <v>1.7353478624130031E-2</v>
      </c>
      <c r="J603" s="3" t="s">
        <v>7</v>
      </c>
      <c r="L603" s="3" t="s">
        <v>285</v>
      </c>
      <c r="M603" s="3" t="s">
        <v>61</v>
      </c>
      <c r="N603" s="5">
        <v>1.6609791880071164E-2</v>
      </c>
      <c r="O603" s="3" t="s">
        <v>7</v>
      </c>
    </row>
    <row r="604" spans="2:15" x14ac:dyDescent="0.45">
      <c r="B604" s="6" t="s">
        <v>283</v>
      </c>
      <c r="C604" s="6" t="s">
        <v>62</v>
      </c>
      <c r="D604" s="7">
        <v>2.3793242256256531E-3</v>
      </c>
      <c r="E604" s="6" t="s">
        <v>7</v>
      </c>
      <c r="G604" s="6" t="s">
        <v>284</v>
      </c>
      <c r="H604" s="6" t="s">
        <v>62</v>
      </c>
      <c r="I604" s="8">
        <v>1.7448048462807338E-2</v>
      </c>
      <c r="J604" s="6" t="s">
        <v>7</v>
      </c>
      <c r="L604" s="6" t="s">
        <v>285</v>
      </c>
      <c r="M604" s="6" t="s">
        <v>62</v>
      </c>
      <c r="N604" s="8">
        <v>1.6862115191207748E-2</v>
      </c>
      <c r="O604" s="6" t="s">
        <v>7</v>
      </c>
    </row>
    <row r="605" spans="2:15" x14ac:dyDescent="0.45">
      <c r="B605" s="3" t="s">
        <v>283</v>
      </c>
      <c r="C605" s="3" t="s">
        <v>63</v>
      </c>
      <c r="D605" s="4">
        <v>2.1751116335874822E-2</v>
      </c>
      <c r="E605" s="3" t="s">
        <v>7</v>
      </c>
      <c r="G605" s="3" t="s">
        <v>284</v>
      </c>
      <c r="H605" s="3" t="s">
        <v>63</v>
      </c>
      <c r="I605" s="5">
        <v>1.6948565697341308E-2</v>
      </c>
      <c r="J605" s="3" t="s">
        <v>7</v>
      </c>
      <c r="L605" s="3" t="s">
        <v>285</v>
      </c>
      <c r="M605" s="3" t="s">
        <v>63</v>
      </c>
      <c r="N605" s="5">
        <v>1.7071107161815473E-2</v>
      </c>
      <c r="O605" s="3" t="s">
        <v>7</v>
      </c>
    </row>
    <row r="606" spans="2:15" x14ac:dyDescent="0.45">
      <c r="B606" s="6" t="s">
        <v>283</v>
      </c>
      <c r="C606" s="6" t="s">
        <v>64</v>
      </c>
      <c r="D606" s="7">
        <v>3.3826913019529177E-2</v>
      </c>
      <c r="E606" s="6" t="s">
        <v>7</v>
      </c>
      <c r="G606" s="6" t="s">
        <v>284</v>
      </c>
      <c r="H606" s="6" t="s">
        <v>64</v>
      </c>
      <c r="I606" s="8">
        <v>1.68603036481298E-2</v>
      </c>
      <c r="J606" s="6" t="s">
        <v>7</v>
      </c>
      <c r="L606" s="6" t="s">
        <v>285</v>
      </c>
      <c r="M606" s="6" t="s">
        <v>64</v>
      </c>
      <c r="N606" s="8">
        <v>1.7514710444839168E-2</v>
      </c>
      <c r="O606" s="6" t="s">
        <v>7</v>
      </c>
    </row>
    <row r="607" spans="2:15" x14ac:dyDescent="0.45">
      <c r="B607" s="3" t="s">
        <v>283</v>
      </c>
      <c r="C607" s="3" t="s">
        <v>65</v>
      </c>
      <c r="D607" s="4">
        <v>2.3152013534205793E-2</v>
      </c>
      <c r="E607" s="3" t="s">
        <v>7</v>
      </c>
      <c r="G607" s="3" t="s">
        <v>284</v>
      </c>
      <c r="H607" s="3" t="s">
        <v>65</v>
      </c>
      <c r="I607" s="5">
        <v>1.6999275029674226E-2</v>
      </c>
      <c r="J607" s="3" t="s">
        <v>7</v>
      </c>
      <c r="L607" s="3" t="s">
        <v>285</v>
      </c>
      <c r="M607" s="3" t="s">
        <v>65</v>
      </c>
      <c r="N607" s="5">
        <v>1.7511619776849487E-2</v>
      </c>
      <c r="O607" s="3" t="s">
        <v>7</v>
      </c>
    </row>
    <row r="608" spans="2:15" x14ac:dyDescent="0.45">
      <c r="B608" s="6" t="s">
        <v>283</v>
      </c>
      <c r="C608" s="6" t="s">
        <v>66</v>
      </c>
      <c r="D608" s="7">
        <v>4.883437943816283E-3</v>
      </c>
      <c r="E608" s="6" t="s">
        <v>7</v>
      </c>
      <c r="G608" s="6" t="s">
        <v>284</v>
      </c>
      <c r="H608" s="6" t="s">
        <v>66</v>
      </c>
      <c r="I608" s="8">
        <v>1.6928257652102621E-2</v>
      </c>
      <c r="J608" s="6" t="s">
        <v>7</v>
      </c>
      <c r="L608" s="6" t="s">
        <v>285</v>
      </c>
      <c r="M608" s="6" t="s">
        <v>66</v>
      </c>
      <c r="N608" s="8">
        <v>1.7337681438683302E-2</v>
      </c>
      <c r="O608" s="6" t="s">
        <v>7</v>
      </c>
    </row>
    <row r="609" spans="2:15" x14ac:dyDescent="0.45">
      <c r="B609" s="3" t="s">
        <v>283</v>
      </c>
      <c r="C609" s="3" t="s">
        <v>67</v>
      </c>
      <c r="D609" s="4">
        <v>0</v>
      </c>
      <c r="E609" s="3" t="s">
        <v>7</v>
      </c>
      <c r="G609" s="3" t="s">
        <v>284</v>
      </c>
      <c r="H609" s="3" t="s">
        <v>67</v>
      </c>
      <c r="I609" s="5">
        <v>1.7355312938642228E-2</v>
      </c>
      <c r="J609" s="3" t="s">
        <v>7</v>
      </c>
      <c r="L609" s="3" t="s">
        <v>285</v>
      </c>
      <c r="M609" s="3" t="s">
        <v>67</v>
      </c>
      <c r="N609" s="5">
        <v>1.6892866461175722E-2</v>
      </c>
      <c r="O609" s="3" t="s">
        <v>7</v>
      </c>
    </row>
    <row r="610" spans="2:15" x14ac:dyDescent="0.45">
      <c r="B610" s="6" t="s">
        <v>283</v>
      </c>
      <c r="C610" s="6" t="s">
        <v>68</v>
      </c>
      <c r="D610" s="7">
        <v>0</v>
      </c>
      <c r="E610" s="6" t="s">
        <v>7</v>
      </c>
      <c r="G610" s="6" t="s">
        <v>284</v>
      </c>
      <c r="H610" s="6" t="s">
        <v>68</v>
      </c>
      <c r="I610" s="8">
        <v>2.6885089932853865E-2</v>
      </c>
      <c r="J610" s="6" t="s">
        <v>7</v>
      </c>
      <c r="L610" s="6" t="s">
        <v>285</v>
      </c>
      <c r="M610" s="6" t="s">
        <v>68</v>
      </c>
      <c r="N610" s="8">
        <v>2.5483660963572668E-2</v>
      </c>
      <c r="O610" s="6" t="s">
        <v>7</v>
      </c>
    </row>
    <row r="611" spans="2:15" x14ac:dyDescent="0.45">
      <c r="L611" s="3" t="s">
        <v>286</v>
      </c>
      <c r="M611" s="3" t="s">
        <v>6</v>
      </c>
      <c r="N611" s="5">
        <v>3.9290123282604041E-2</v>
      </c>
      <c r="O611" s="3" t="s">
        <v>7</v>
      </c>
    </row>
    <row r="612" spans="2:15" x14ac:dyDescent="0.45">
      <c r="L612" s="6" t="s">
        <v>286</v>
      </c>
      <c r="M612" s="6" t="s">
        <v>10</v>
      </c>
      <c r="N612" s="8">
        <v>1.5430673605688174E-2</v>
      </c>
      <c r="O612" s="6" t="s">
        <v>7</v>
      </c>
    </row>
    <row r="613" spans="2:15" x14ac:dyDescent="0.45">
      <c r="L613" s="3" t="s">
        <v>286</v>
      </c>
      <c r="M613" s="3" t="s">
        <v>11</v>
      </c>
      <c r="N613" s="5">
        <v>1.5406410585015268E-2</v>
      </c>
      <c r="O613" s="3" t="s">
        <v>7</v>
      </c>
    </row>
    <row r="614" spans="2:15" x14ac:dyDescent="0.45">
      <c r="L614" s="6" t="s">
        <v>286</v>
      </c>
      <c r="M614" s="6" t="s">
        <v>12</v>
      </c>
      <c r="N614" s="8">
        <v>1.5436341461999107E-2</v>
      </c>
      <c r="O614" s="6" t="s">
        <v>7</v>
      </c>
    </row>
    <row r="615" spans="2:15" x14ac:dyDescent="0.45">
      <c r="L615" s="3" t="s">
        <v>286</v>
      </c>
      <c r="M615" s="3" t="s">
        <v>13</v>
      </c>
      <c r="N615" s="5">
        <v>1.5283388427397128E-2</v>
      </c>
      <c r="O615" s="3" t="s">
        <v>7</v>
      </c>
    </row>
    <row r="616" spans="2:15" x14ac:dyDescent="0.45">
      <c r="L616" s="6" t="s">
        <v>286</v>
      </c>
      <c r="M616" s="6" t="s">
        <v>14</v>
      </c>
      <c r="N616" s="8">
        <v>1.5302767586199159E-2</v>
      </c>
      <c r="O616" s="6" t="s">
        <v>7</v>
      </c>
    </row>
    <row r="617" spans="2:15" x14ac:dyDescent="0.45">
      <c r="L617" s="3" t="s">
        <v>286</v>
      </c>
      <c r="M617" s="3" t="s">
        <v>15</v>
      </c>
      <c r="N617" s="5">
        <v>1.5154184228324858E-2</v>
      </c>
      <c r="O617" s="3" t="s">
        <v>7</v>
      </c>
    </row>
    <row r="618" spans="2:15" x14ac:dyDescent="0.45">
      <c r="L618" s="6" t="s">
        <v>286</v>
      </c>
      <c r="M618" s="6" t="s">
        <v>16</v>
      </c>
      <c r="N618" s="8">
        <v>1.5588206547174643E-2</v>
      </c>
      <c r="O618" s="6" t="s">
        <v>7</v>
      </c>
    </row>
    <row r="619" spans="2:15" x14ac:dyDescent="0.45">
      <c r="L619" s="3" t="s">
        <v>286</v>
      </c>
      <c r="M619" s="3" t="s">
        <v>17</v>
      </c>
      <c r="N619" s="5">
        <v>1.5889545190617776E-2</v>
      </c>
      <c r="O619" s="3" t="s">
        <v>7</v>
      </c>
    </row>
    <row r="620" spans="2:15" x14ac:dyDescent="0.45">
      <c r="L620" s="6" t="s">
        <v>286</v>
      </c>
      <c r="M620" s="6" t="s">
        <v>18</v>
      </c>
      <c r="N620" s="8">
        <v>2.3468472879651391E-2</v>
      </c>
      <c r="O620" s="6" t="s">
        <v>7</v>
      </c>
    </row>
    <row r="621" spans="2:15" x14ac:dyDescent="0.45">
      <c r="L621" s="3" t="s">
        <v>286</v>
      </c>
      <c r="M621" s="3" t="s">
        <v>19</v>
      </c>
      <c r="N621" s="5">
        <v>3.7518499839291203E-2</v>
      </c>
      <c r="O621" s="3" t="s">
        <v>7</v>
      </c>
    </row>
    <row r="622" spans="2:15" x14ac:dyDescent="0.45">
      <c r="L622" s="6" t="s">
        <v>286</v>
      </c>
      <c r="M622" s="6" t="s">
        <v>20</v>
      </c>
      <c r="N622" s="8">
        <v>1.5108274627789506E-2</v>
      </c>
      <c r="O622" s="6" t="s">
        <v>7</v>
      </c>
    </row>
    <row r="623" spans="2:15" x14ac:dyDescent="0.45">
      <c r="L623" s="3" t="s">
        <v>286</v>
      </c>
      <c r="M623" s="3" t="s">
        <v>21</v>
      </c>
      <c r="N623" s="5">
        <v>1.5237614571000443E-2</v>
      </c>
      <c r="O623" s="3" t="s">
        <v>7</v>
      </c>
    </row>
    <row r="624" spans="2:15" x14ac:dyDescent="0.45">
      <c r="L624" s="6" t="s">
        <v>286</v>
      </c>
      <c r="M624" s="6" t="s">
        <v>22</v>
      </c>
      <c r="N624" s="8">
        <v>1.4868995568059684E-2</v>
      </c>
      <c r="O624" s="6" t="s">
        <v>7</v>
      </c>
    </row>
    <row r="625" spans="12:15" x14ac:dyDescent="0.45">
      <c r="L625" s="3" t="s">
        <v>286</v>
      </c>
      <c r="M625" s="3" t="s">
        <v>23</v>
      </c>
      <c r="N625" s="5">
        <v>1.4818246488444141E-2</v>
      </c>
      <c r="O625" s="3" t="s">
        <v>7</v>
      </c>
    </row>
    <row r="626" spans="12:15" x14ac:dyDescent="0.45">
      <c r="L626" s="6" t="s">
        <v>286</v>
      </c>
      <c r="M626" s="6" t="s">
        <v>24</v>
      </c>
      <c r="N626" s="8">
        <v>1.4615750984857567E-2</v>
      </c>
      <c r="O626" s="6" t="s">
        <v>7</v>
      </c>
    </row>
    <row r="627" spans="12:15" x14ac:dyDescent="0.45">
      <c r="L627" s="3" t="s">
        <v>286</v>
      </c>
      <c r="M627" s="3" t="s">
        <v>25</v>
      </c>
      <c r="N627" s="5">
        <v>1.4557772713643596E-2</v>
      </c>
      <c r="O627" s="3" t="s">
        <v>7</v>
      </c>
    </row>
    <row r="628" spans="12:15" x14ac:dyDescent="0.45">
      <c r="L628" s="6" t="s">
        <v>286</v>
      </c>
      <c r="M628" s="6" t="s">
        <v>26</v>
      </c>
      <c r="N628" s="8">
        <v>1.4969672300033337E-2</v>
      </c>
      <c r="O628" s="6" t="s">
        <v>7</v>
      </c>
    </row>
    <row r="629" spans="12:15" x14ac:dyDescent="0.45">
      <c r="L629" s="3" t="s">
        <v>286</v>
      </c>
      <c r="M629" s="3" t="s">
        <v>27</v>
      </c>
      <c r="N629" s="5">
        <v>1.5477278885455697E-2</v>
      </c>
      <c r="O629" s="3" t="s">
        <v>7</v>
      </c>
    </row>
    <row r="630" spans="12:15" x14ac:dyDescent="0.45">
      <c r="L630" s="6" t="s">
        <v>286</v>
      </c>
      <c r="M630" s="6" t="s">
        <v>28</v>
      </c>
      <c r="N630" s="8">
        <v>2.3523156241268356E-2</v>
      </c>
      <c r="O630" s="6" t="s">
        <v>7</v>
      </c>
    </row>
    <row r="631" spans="12:15" x14ac:dyDescent="0.45">
      <c r="L631" s="3" t="s">
        <v>286</v>
      </c>
      <c r="M631" s="3" t="s">
        <v>29</v>
      </c>
      <c r="N631" s="5">
        <v>2.7814059148254962E-2</v>
      </c>
      <c r="O631" s="3" t="s">
        <v>7</v>
      </c>
    </row>
    <row r="632" spans="12:15" x14ac:dyDescent="0.45">
      <c r="L632" s="6" t="s">
        <v>286</v>
      </c>
      <c r="M632" s="6" t="s">
        <v>30</v>
      </c>
      <c r="N632" s="8">
        <v>1.1362089113086941E-2</v>
      </c>
      <c r="O632" s="6" t="s">
        <v>7</v>
      </c>
    </row>
    <row r="633" spans="12:15" x14ac:dyDescent="0.45">
      <c r="L633" s="3" t="s">
        <v>286</v>
      </c>
      <c r="M633" s="3" t="s">
        <v>31</v>
      </c>
      <c r="N633" s="5">
        <v>1.1703478647987136E-2</v>
      </c>
      <c r="O633" s="3" t="s">
        <v>7</v>
      </c>
    </row>
    <row r="634" spans="12:15" x14ac:dyDescent="0.45">
      <c r="L634" s="6" t="s">
        <v>286</v>
      </c>
      <c r="M634" s="6" t="s">
        <v>32</v>
      </c>
      <c r="N634" s="8">
        <v>1.1226792094097264E-2</v>
      </c>
      <c r="O634" s="6" t="s">
        <v>7</v>
      </c>
    </row>
    <row r="635" spans="12:15" x14ac:dyDescent="0.45">
      <c r="L635" s="3" t="s">
        <v>286</v>
      </c>
      <c r="M635" s="3" t="s">
        <v>33</v>
      </c>
      <c r="N635" s="5">
        <v>1.1496184285192652E-2</v>
      </c>
      <c r="O635" s="3" t="s">
        <v>7</v>
      </c>
    </row>
    <row r="636" spans="12:15" x14ac:dyDescent="0.45">
      <c r="L636" s="6" t="s">
        <v>286</v>
      </c>
      <c r="M636" s="6" t="s">
        <v>34</v>
      </c>
      <c r="N636" s="8">
        <v>1.1978173046927646E-2</v>
      </c>
      <c r="O636" s="6" t="s">
        <v>7</v>
      </c>
    </row>
    <row r="637" spans="12:15" x14ac:dyDescent="0.45">
      <c r="L637" s="3" t="s">
        <v>286</v>
      </c>
      <c r="M637" s="3" t="s">
        <v>35</v>
      </c>
      <c r="N637" s="5">
        <v>1.208640491969621E-2</v>
      </c>
      <c r="O637" s="3" t="s">
        <v>7</v>
      </c>
    </row>
    <row r="638" spans="12:15" x14ac:dyDescent="0.45">
      <c r="L638" s="6" t="s">
        <v>286</v>
      </c>
      <c r="M638" s="6" t="s">
        <v>36</v>
      </c>
      <c r="N638" s="8">
        <v>1.2016939892795389E-2</v>
      </c>
      <c r="O638" s="6" t="s">
        <v>7</v>
      </c>
    </row>
    <row r="639" spans="12:15" x14ac:dyDescent="0.45">
      <c r="L639" s="3" t="s">
        <v>286</v>
      </c>
      <c r="M639" s="3" t="s">
        <v>37</v>
      </c>
      <c r="N639" s="5">
        <v>1.1575855818131984E-2</v>
      </c>
      <c r="O639" s="3" t="s">
        <v>7</v>
      </c>
    </row>
    <row r="640" spans="12:15" x14ac:dyDescent="0.45">
      <c r="L640" s="6" t="s">
        <v>286</v>
      </c>
      <c r="M640" s="6" t="s">
        <v>38</v>
      </c>
      <c r="N640" s="8">
        <v>1.7027312923919662E-2</v>
      </c>
      <c r="O640" s="6" t="s">
        <v>7</v>
      </c>
    </row>
    <row r="641" spans="12:15" x14ac:dyDescent="0.45">
      <c r="L641" s="3" t="s">
        <v>286</v>
      </c>
      <c r="M641" s="3" t="s">
        <v>39</v>
      </c>
      <c r="N641" s="5">
        <v>2.2559379024098089E-2</v>
      </c>
      <c r="O641" s="3" t="s">
        <v>7</v>
      </c>
    </row>
    <row r="642" spans="12:15" x14ac:dyDescent="0.45">
      <c r="L642" s="6" t="s">
        <v>286</v>
      </c>
      <c r="M642" s="6" t="s">
        <v>40</v>
      </c>
      <c r="N642" s="8">
        <v>9.1351307847962766E-3</v>
      </c>
      <c r="O642" s="6" t="s">
        <v>7</v>
      </c>
    </row>
    <row r="643" spans="12:15" x14ac:dyDescent="0.45">
      <c r="L643" s="3" t="s">
        <v>286</v>
      </c>
      <c r="M643" s="3" t="s">
        <v>41</v>
      </c>
      <c r="N643" s="5">
        <v>9.1500308880123112E-3</v>
      </c>
      <c r="O643" s="3" t="s">
        <v>7</v>
      </c>
    </row>
    <row r="644" spans="12:15" x14ac:dyDescent="0.45">
      <c r="L644" s="6" t="s">
        <v>286</v>
      </c>
      <c r="M644" s="6" t="s">
        <v>42</v>
      </c>
      <c r="N644" s="8">
        <v>8.5631215721055937E-3</v>
      </c>
      <c r="O644" s="6" t="s">
        <v>7</v>
      </c>
    </row>
    <row r="645" spans="12:15" x14ac:dyDescent="0.45">
      <c r="L645" s="3" t="s">
        <v>286</v>
      </c>
      <c r="M645" s="3" t="s">
        <v>43</v>
      </c>
      <c r="N645" s="5">
        <v>8.7163210510603478E-3</v>
      </c>
      <c r="O645" s="3" t="s">
        <v>7</v>
      </c>
    </row>
    <row r="646" spans="12:15" x14ac:dyDescent="0.45">
      <c r="L646" s="6" t="s">
        <v>286</v>
      </c>
      <c r="M646" s="6" t="s">
        <v>44</v>
      </c>
      <c r="N646" s="8">
        <v>8.9529608312486093E-3</v>
      </c>
      <c r="O646" s="6" t="s">
        <v>7</v>
      </c>
    </row>
    <row r="647" spans="12:15" x14ac:dyDescent="0.45">
      <c r="L647" s="3" t="s">
        <v>286</v>
      </c>
      <c r="M647" s="3" t="s">
        <v>45</v>
      </c>
      <c r="N647" s="5">
        <v>9.1284615375364885E-3</v>
      </c>
      <c r="O647" s="3" t="s">
        <v>7</v>
      </c>
    </row>
    <row r="648" spans="12:15" x14ac:dyDescent="0.45">
      <c r="L648" s="6" t="s">
        <v>286</v>
      </c>
      <c r="M648" s="6" t="s">
        <v>46</v>
      </c>
      <c r="N648" s="8">
        <v>9.1847116562156095E-3</v>
      </c>
      <c r="O648" s="6" t="s">
        <v>7</v>
      </c>
    </row>
    <row r="649" spans="12:15" x14ac:dyDescent="0.45">
      <c r="L649" s="3" t="s">
        <v>286</v>
      </c>
      <c r="M649" s="3" t="s">
        <v>47</v>
      </c>
      <c r="N649" s="5">
        <v>8.9606661524875598E-3</v>
      </c>
      <c r="O649" s="3" t="s">
        <v>7</v>
      </c>
    </row>
    <row r="650" spans="12:15" x14ac:dyDescent="0.45">
      <c r="L650" s="6" t="s">
        <v>286</v>
      </c>
      <c r="M650" s="6" t="s">
        <v>48</v>
      </c>
      <c r="N650" s="8">
        <v>1.3349518207305703E-2</v>
      </c>
      <c r="O650" s="6" t="s">
        <v>7</v>
      </c>
    </row>
    <row r="651" spans="12:15" x14ac:dyDescent="0.45">
      <c r="L651" s="3" t="s">
        <v>286</v>
      </c>
      <c r="M651" s="3" t="s">
        <v>49</v>
      </c>
      <c r="N651" s="5">
        <v>3.5315399781346707E-2</v>
      </c>
      <c r="O651" s="3" t="s">
        <v>7</v>
      </c>
    </row>
    <row r="652" spans="12:15" x14ac:dyDescent="0.45">
      <c r="L652" s="6" t="s">
        <v>286</v>
      </c>
      <c r="M652" s="6" t="s">
        <v>50</v>
      </c>
      <c r="N652" s="8">
        <v>1.4456547787899378E-2</v>
      </c>
      <c r="O652" s="6" t="s">
        <v>7</v>
      </c>
    </row>
    <row r="653" spans="12:15" x14ac:dyDescent="0.45">
      <c r="L653" s="3" t="s">
        <v>286</v>
      </c>
      <c r="M653" s="3" t="s">
        <v>51</v>
      </c>
      <c r="N653" s="5">
        <v>1.4858363685717753E-2</v>
      </c>
      <c r="O653" s="3" t="s">
        <v>7</v>
      </c>
    </row>
    <row r="654" spans="12:15" x14ac:dyDescent="0.45">
      <c r="L654" s="6" t="s">
        <v>286</v>
      </c>
      <c r="M654" s="6" t="s">
        <v>52</v>
      </c>
      <c r="N654" s="8">
        <v>1.4877460865251673E-2</v>
      </c>
      <c r="O654" s="6" t="s">
        <v>7</v>
      </c>
    </row>
    <row r="655" spans="12:15" x14ac:dyDescent="0.45">
      <c r="L655" s="3" t="s">
        <v>286</v>
      </c>
      <c r="M655" s="3" t="s">
        <v>53</v>
      </c>
      <c r="N655" s="5">
        <v>1.4811375614217585E-2</v>
      </c>
      <c r="O655" s="3" t="s">
        <v>7</v>
      </c>
    </row>
    <row r="656" spans="12:15" x14ac:dyDescent="0.45">
      <c r="L656" s="6" t="s">
        <v>286</v>
      </c>
      <c r="M656" s="6" t="s">
        <v>54</v>
      </c>
      <c r="N656" s="8">
        <v>1.4590109313729591E-2</v>
      </c>
      <c r="O656" s="6" t="s">
        <v>7</v>
      </c>
    </row>
    <row r="657" spans="12:15" x14ac:dyDescent="0.45">
      <c r="L657" s="3" t="s">
        <v>286</v>
      </c>
      <c r="M657" s="3" t="s">
        <v>55</v>
      </c>
      <c r="N657" s="5">
        <v>1.4573768711863744E-2</v>
      </c>
      <c r="O657" s="3" t="s">
        <v>7</v>
      </c>
    </row>
    <row r="658" spans="12:15" x14ac:dyDescent="0.45">
      <c r="L658" s="6" t="s">
        <v>286</v>
      </c>
      <c r="M658" s="6" t="s">
        <v>56</v>
      </c>
      <c r="N658" s="8">
        <v>1.4601982835755898E-2</v>
      </c>
      <c r="O658" s="6" t="s">
        <v>7</v>
      </c>
    </row>
    <row r="659" spans="12:15" x14ac:dyDescent="0.45">
      <c r="L659" s="3" t="s">
        <v>286</v>
      </c>
      <c r="M659" s="3" t="s">
        <v>57</v>
      </c>
      <c r="N659" s="5">
        <v>1.4857638252538264E-2</v>
      </c>
      <c r="O659" s="3" t="s">
        <v>7</v>
      </c>
    </row>
    <row r="660" spans="12:15" x14ac:dyDescent="0.45">
      <c r="L660" s="6" t="s">
        <v>286</v>
      </c>
      <c r="M660" s="6" t="s">
        <v>58</v>
      </c>
      <c r="N660" s="8">
        <v>2.2041204736001862E-2</v>
      </c>
      <c r="O660" s="6" t="s">
        <v>7</v>
      </c>
    </row>
    <row r="661" spans="12:15" x14ac:dyDescent="0.45">
      <c r="L661" s="3" t="s">
        <v>286</v>
      </c>
      <c r="M661" s="3" t="s">
        <v>59</v>
      </c>
      <c r="N661" s="5">
        <v>4.4564585367510665E-2</v>
      </c>
      <c r="O661" s="3" t="s">
        <v>7</v>
      </c>
    </row>
    <row r="662" spans="12:15" x14ac:dyDescent="0.45">
      <c r="L662" s="6" t="s">
        <v>286</v>
      </c>
      <c r="M662" s="6" t="s">
        <v>60</v>
      </c>
      <c r="N662" s="8">
        <v>1.7736334088165003E-2</v>
      </c>
      <c r="O662" s="6" t="s">
        <v>7</v>
      </c>
    </row>
    <row r="663" spans="12:15" x14ac:dyDescent="0.45">
      <c r="L663" s="3" t="s">
        <v>286</v>
      </c>
      <c r="M663" s="3" t="s">
        <v>61</v>
      </c>
      <c r="N663" s="5">
        <v>1.7381089630761001E-2</v>
      </c>
      <c r="O663" s="3" t="s">
        <v>7</v>
      </c>
    </row>
    <row r="664" spans="12:15" x14ac:dyDescent="0.45">
      <c r="L664" s="6" t="s">
        <v>286</v>
      </c>
      <c r="M664" s="6" t="s">
        <v>62</v>
      </c>
      <c r="N664" s="8">
        <v>1.731498463959771E-2</v>
      </c>
      <c r="O664" s="6" t="s">
        <v>7</v>
      </c>
    </row>
    <row r="665" spans="12:15" x14ac:dyDescent="0.45">
      <c r="L665" s="3" t="s">
        <v>286</v>
      </c>
      <c r="M665" s="3" t="s">
        <v>63</v>
      </c>
      <c r="N665" s="5">
        <v>1.7295424393890275E-2</v>
      </c>
      <c r="O665" s="3" t="s">
        <v>7</v>
      </c>
    </row>
    <row r="666" spans="12:15" x14ac:dyDescent="0.45">
      <c r="L666" s="6" t="s">
        <v>286</v>
      </c>
      <c r="M666" s="6" t="s">
        <v>64</v>
      </c>
      <c r="N666" s="8">
        <v>1.7443974720185638E-2</v>
      </c>
      <c r="O666" s="6" t="s">
        <v>7</v>
      </c>
    </row>
    <row r="667" spans="12:15" x14ac:dyDescent="0.45">
      <c r="L667" s="3" t="s">
        <v>286</v>
      </c>
      <c r="M667" s="3" t="s">
        <v>65</v>
      </c>
      <c r="N667" s="5">
        <v>1.7690113206858166E-2</v>
      </c>
      <c r="O667" s="3" t="s">
        <v>7</v>
      </c>
    </row>
    <row r="668" spans="12:15" x14ac:dyDescent="0.45">
      <c r="L668" s="6" t="s">
        <v>286</v>
      </c>
      <c r="M668" s="6" t="s">
        <v>66</v>
      </c>
      <c r="N668" s="8">
        <v>1.7866384110316488E-2</v>
      </c>
      <c r="O668" s="6" t="s">
        <v>7</v>
      </c>
    </row>
    <row r="669" spans="12:15" x14ac:dyDescent="0.45">
      <c r="L669" s="3" t="s">
        <v>286</v>
      </c>
      <c r="M669" s="3" t="s">
        <v>67</v>
      </c>
      <c r="N669" s="5">
        <v>1.7930468211771158E-2</v>
      </c>
      <c r="O669" s="3" t="s">
        <v>7</v>
      </c>
    </row>
    <row r="670" spans="12:15" x14ac:dyDescent="0.45">
      <c r="L670" s="6" t="s">
        <v>286</v>
      </c>
      <c r="M670" s="6" t="s">
        <v>68</v>
      </c>
      <c r="N670" s="8">
        <v>2.6859822437150023E-2</v>
      </c>
      <c r="O670" s="6" t="s">
        <v>7</v>
      </c>
    </row>
    <row r="671" spans="12:15" x14ac:dyDescent="0.45">
      <c r="L671" s="3" t="s">
        <v>287</v>
      </c>
      <c r="M671" s="3" t="s">
        <v>6</v>
      </c>
      <c r="N671" s="5">
        <v>3.684302560890472E-2</v>
      </c>
      <c r="O671" s="3" t="s">
        <v>7</v>
      </c>
    </row>
    <row r="672" spans="12:15" x14ac:dyDescent="0.45">
      <c r="L672" s="6" t="s">
        <v>287</v>
      </c>
      <c r="M672" s="6" t="s">
        <v>10</v>
      </c>
      <c r="N672" s="8">
        <v>1.4791503634530885E-2</v>
      </c>
      <c r="O672" s="6" t="s">
        <v>7</v>
      </c>
    </row>
    <row r="673" spans="12:15" x14ac:dyDescent="0.45">
      <c r="L673" s="3" t="s">
        <v>287</v>
      </c>
      <c r="M673" s="3" t="s">
        <v>11</v>
      </c>
      <c r="N673" s="5">
        <v>1.5098462811676611E-2</v>
      </c>
      <c r="O673" s="3" t="s">
        <v>7</v>
      </c>
    </row>
    <row r="674" spans="12:15" x14ac:dyDescent="0.45">
      <c r="L674" s="6" t="s">
        <v>287</v>
      </c>
      <c r="M674" s="6" t="s">
        <v>12</v>
      </c>
      <c r="N674" s="8">
        <v>1.589903325122121E-2</v>
      </c>
      <c r="O674" s="6" t="s">
        <v>7</v>
      </c>
    </row>
    <row r="675" spans="12:15" x14ac:dyDescent="0.45">
      <c r="L675" s="3" t="s">
        <v>287</v>
      </c>
      <c r="M675" s="3" t="s">
        <v>13</v>
      </c>
      <c r="N675" s="5">
        <v>1.6251944201415226E-2</v>
      </c>
      <c r="O675" s="3" t="s">
        <v>7</v>
      </c>
    </row>
    <row r="676" spans="12:15" x14ac:dyDescent="0.45">
      <c r="L676" s="6" t="s">
        <v>287</v>
      </c>
      <c r="M676" s="6" t="s">
        <v>14</v>
      </c>
      <c r="N676" s="8">
        <v>1.5741876051741158E-2</v>
      </c>
      <c r="O676" s="6" t="s">
        <v>7</v>
      </c>
    </row>
    <row r="677" spans="12:15" x14ac:dyDescent="0.45">
      <c r="L677" s="3" t="s">
        <v>287</v>
      </c>
      <c r="M677" s="3" t="s">
        <v>15</v>
      </c>
      <c r="N677" s="5">
        <v>1.5327040320846747E-2</v>
      </c>
      <c r="O677" s="3" t="s">
        <v>7</v>
      </c>
    </row>
    <row r="678" spans="12:15" x14ac:dyDescent="0.45">
      <c r="L678" s="6" t="s">
        <v>287</v>
      </c>
      <c r="M678" s="6" t="s">
        <v>16</v>
      </c>
      <c r="N678" s="8">
        <v>1.5005314218479924E-2</v>
      </c>
      <c r="O678" s="6" t="s">
        <v>7</v>
      </c>
    </row>
    <row r="679" spans="12:15" x14ac:dyDescent="0.45">
      <c r="L679" s="3" t="s">
        <v>287</v>
      </c>
      <c r="M679" s="3" t="s">
        <v>17</v>
      </c>
      <c r="N679" s="5">
        <v>1.4694369700268895E-2</v>
      </c>
      <c r="O679" s="3" t="s">
        <v>7</v>
      </c>
    </row>
    <row r="680" spans="12:15" x14ac:dyDescent="0.45">
      <c r="L680" s="6" t="s">
        <v>287</v>
      </c>
      <c r="M680" s="6" t="s">
        <v>18</v>
      </c>
      <c r="N680" s="8">
        <v>2.2219591007690682E-2</v>
      </c>
      <c r="O680" s="6" t="s">
        <v>7</v>
      </c>
    </row>
    <row r="681" spans="12:15" x14ac:dyDescent="0.45">
      <c r="L681" s="3" t="s">
        <v>287</v>
      </c>
      <c r="M681" s="3" t="s">
        <v>19</v>
      </c>
      <c r="N681" s="5">
        <v>3.8311553938145164E-2</v>
      </c>
      <c r="O681" s="3" t="s">
        <v>7</v>
      </c>
    </row>
    <row r="682" spans="12:15" x14ac:dyDescent="0.45">
      <c r="L682" s="6" t="s">
        <v>287</v>
      </c>
      <c r="M682" s="6" t="s">
        <v>20</v>
      </c>
      <c r="N682" s="8">
        <v>1.6083543885523292E-2</v>
      </c>
      <c r="O682" s="6" t="s">
        <v>7</v>
      </c>
    </row>
    <row r="683" spans="12:15" x14ac:dyDescent="0.45">
      <c r="L683" s="3" t="s">
        <v>287</v>
      </c>
      <c r="M683" s="3" t="s">
        <v>21</v>
      </c>
      <c r="N683" s="5">
        <v>1.6220797046082879E-2</v>
      </c>
      <c r="O683" s="3" t="s">
        <v>7</v>
      </c>
    </row>
    <row r="684" spans="12:15" x14ac:dyDescent="0.45">
      <c r="L684" s="6" t="s">
        <v>287</v>
      </c>
      <c r="M684" s="6" t="s">
        <v>22</v>
      </c>
      <c r="N684" s="8">
        <v>1.6333906376057514E-2</v>
      </c>
      <c r="O684" s="6" t="s">
        <v>7</v>
      </c>
    </row>
    <row r="685" spans="12:15" x14ac:dyDescent="0.45">
      <c r="L685" s="3" t="s">
        <v>287</v>
      </c>
      <c r="M685" s="3" t="s">
        <v>23</v>
      </c>
      <c r="N685" s="5">
        <v>1.6552270303296892E-2</v>
      </c>
      <c r="O685" s="3" t="s">
        <v>7</v>
      </c>
    </row>
    <row r="686" spans="12:15" x14ac:dyDescent="0.45">
      <c r="L686" s="6" t="s">
        <v>287</v>
      </c>
      <c r="M686" s="6" t="s">
        <v>24</v>
      </c>
      <c r="N686" s="8">
        <v>1.609940773907248E-2</v>
      </c>
      <c r="O686" s="6" t="s">
        <v>7</v>
      </c>
    </row>
    <row r="687" spans="12:15" x14ac:dyDescent="0.45">
      <c r="L687" s="3" t="s">
        <v>287</v>
      </c>
      <c r="M687" s="3" t="s">
        <v>25</v>
      </c>
      <c r="N687" s="5">
        <v>1.5867554675396762E-2</v>
      </c>
      <c r="O687" s="3" t="s">
        <v>7</v>
      </c>
    </row>
    <row r="688" spans="12:15" x14ac:dyDescent="0.45">
      <c r="L688" s="6" t="s">
        <v>287</v>
      </c>
      <c r="M688" s="6" t="s">
        <v>26</v>
      </c>
      <c r="N688" s="8">
        <v>1.5557321816224772E-2</v>
      </c>
      <c r="O688" s="6" t="s">
        <v>7</v>
      </c>
    </row>
    <row r="689" spans="12:15" x14ac:dyDescent="0.45">
      <c r="L689" s="3" t="s">
        <v>287</v>
      </c>
      <c r="M689" s="3" t="s">
        <v>27</v>
      </c>
      <c r="N689" s="5">
        <v>1.5324276659014553E-2</v>
      </c>
      <c r="O689" s="3" t="s">
        <v>7</v>
      </c>
    </row>
    <row r="690" spans="12:15" x14ac:dyDescent="0.45">
      <c r="L690" s="6" t="s">
        <v>287</v>
      </c>
      <c r="M690" s="6" t="s">
        <v>28</v>
      </c>
      <c r="N690" s="8">
        <v>2.308750917196575E-2</v>
      </c>
      <c r="O690" s="6" t="s">
        <v>7</v>
      </c>
    </row>
    <row r="691" spans="12:15" x14ac:dyDescent="0.45">
      <c r="L691" s="3" t="s">
        <v>287</v>
      </c>
      <c r="M691" s="3" t="s">
        <v>29</v>
      </c>
      <c r="N691" s="5">
        <v>3.065796140552848E-2</v>
      </c>
      <c r="O691" s="3" t="s">
        <v>7</v>
      </c>
    </row>
    <row r="692" spans="12:15" x14ac:dyDescent="0.45">
      <c r="L692" s="6" t="s">
        <v>287</v>
      </c>
      <c r="M692" s="6" t="s">
        <v>30</v>
      </c>
      <c r="N692" s="8">
        <v>1.2216764176668417E-2</v>
      </c>
      <c r="O692" s="6" t="s">
        <v>7</v>
      </c>
    </row>
    <row r="693" spans="12:15" x14ac:dyDescent="0.45">
      <c r="L693" s="3" t="s">
        <v>287</v>
      </c>
      <c r="M693" s="3" t="s">
        <v>31</v>
      </c>
      <c r="N693" s="5">
        <v>1.1911451084664132E-2</v>
      </c>
      <c r="O693" s="3" t="s">
        <v>7</v>
      </c>
    </row>
    <row r="694" spans="12:15" x14ac:dyDescent="0.45">
      <c r="L694" s="6" t="s">
        <v>287</v>
      </c>
      <c r="M694" s="6" t="s">
        <v>32</v>
      </c>
      <c r="N694" s="8">
        <v>1.1235337656267285E-2</v>
      </c>
      <c r="O694" s="6" t="s">
        <v>7</v>
      </c>
    </row>
    <row r="695" spans="12:15" x14ac:dyDescent="0.45">
      <c r="L695" s="3" t="s">
        <v>287</v>
      </c>
      <c r="M695" s="3" t="s">
        <v>33</v>
      </c>
      <c r="N695" s="5">
        <v>1.1609684071494375E-2</v>
      </c>
      <c r="O695" s="3" t="s">
        <v>7</v>
      </c>
    </row>
    <row r="696" spans="12:15" x14ac:dyDescent="0.45">
      <c r="L696" s="6" t="s">
        <v>287</v>
      </c>
      <c r="M696" s="6" t="s">
        <v>34</v>
      </c>
      <c r="N696" s="8">
        <v>1.2090009487546538E-2</v>
      </c>
      <c r="O696" s="6" t="s">
        <v>7</v>
      </c>
    </row>
    <row r="697" spans="12:15" x14ac:dyDescent="0.45">
      <c r="L697" s="3" t="s">
        <v>287</v>
      </c>
      <c r="M697" s="3" t="s">
        <v>35</v>
      </c>
      <c r="N697" s="5">
        <v>1.2058904936946682E-2</v>
      </c>
      <c r="O697" s="3" t="s">
        <v>7</v>
      </c>
    </row>
    <row r="698" spans="12:15" x14ac:dyDescent="0.45">
      <c r="L698" s="6" t="s">
        <v>287</v>
      </c>
      <c r="M698" s="6" t="s">
        <v>36</v>
      </c>
      <c r="N698" s="8">
        <v>1.185934177389493E-2</v>
      </c>
      <c r="O698" s="6" t="s">
        <v>7</v>
      </c>
    </row>
    <row r="699" spans="12:15" x14ac:dyDescent="0.45">
      <c r="L699" s="3" t="s">
        <v>287</v>
      </c>
      <c r="M699" s="3" t="s">
        <v>37</v>
      </c>
      <c r="N699" s="5">
        <v>1.1686661188948405E-2</v>
      </c>
      <c r="O699" s="3" t="s">
        <v>7</v>
      </c>
    </row>
    <row r="700" spans="12:15" x14ac:dyDescent="0.45">
      <c r="L700" s="6" t="s">
        <v>287</v>
      </c>
      <c r="M700" s="6" t="s">
        <v>38</v>
      </c>
      <c r="N700" s="8">
        <v>1.721802633978637E-2</v>
      </c>
      <c r="O700" s="6" t="s">
        <v>7</v>
      </c>
    </row>
    <row r="701" spans="12:15" x14ac:dyDescent="0.45">
      <c r="L701" s="3" t="s">
        <v>287</v>
      </c>
      <c r="M701" s="3" t="s">
        <v>39</v>
      </c>
      <c r="N701" s="5">
        <v>2.8049905173381132E-2</v>
      </c>
      <c r="O701" s="3" t="s">
        <v>7</v>
      </c>
    </row>
    <row r="702" spans="12:15" x14ac:dyDescent="0.45">
      <c r="L702" s="6" t="s">
        <v>287</v>
      </c>
      <c r="M702" s="6" t="s">
        <v>40</v>
      </c>
      <c r="N702" s="8">
        <v>1.1043520265108322E-2</v>
      </c>
      <c r="O702" s="6" t="s">
        <v>7</v>
      </c>
    </row>
    <row r="703" spans="12:15" x14ac:dyDescent="0.45">
      <c r="L703" s="3" t="s">
        <v>287</v>
      </c>
      <c r="M703" s="3" t="s">
        <v>41</v>
      </c>
      <c r="N703" s="5">
        <v>1.1583878719933475E-2</v>
      </c>
      <c r="O703" s="3" t="s">
        <v>7</v>
      </c>
    </row>
    <row r="704" spans="12:15" x14ac:dyDescent="0.45">
      <c r="L704" s="6" t="s">
        <v>287</v>
      </c>
      <c r="M704" s="6" t="s">
        <v>42</v>
      </c>
      <c r="N704" s="8">
        <v>1.1762032721681775E-2</v>
      </c>
      <c r="O704" s="6" t="s">
        <v>7</v>
      </c>
    </row>
    <row r="705" spans="12:15" x14ac:dyDescent="0.45">
      <c r="L705" s="3" t="s">
        <v>287</v>
      </c>
      <c r="M705" s="3" t="s">
        <v>43</v>
      </c>
      <c r="N705" s="5">
        <v>1.2173865163734652E-2</v>
      </c>
      <c r="O705" s="3" t="s">
        <v>7</v>
      </c>
    </row>
    <row r="706" spans="12:15" x14ac:dyDescent="0.45">
      <c r="L706" s="6" t="s">
        <v>287</v>
      </c>
      <c r="M706" s="6" t="s">
        <v>44</v>
      </c>
      <c r="N706" s="8">
        <v>1.2386536071326781E-2</v>
      </c>
      <c r="O706" s="6" t="s">
        <v>7</v>
      </c>
    </row>
    <row r="707" spans="12:15" x14ac:dyDescent="0.45">
      <c r="L707" s="3" t="s">
        <v>287</v>
      </c>
      <c r="M707" s="3" t="s">
        <v>45</v>
      </c>
      <c r="N707" s="5">
        <v>1.2381601902467454E-2</v>
      </c>
      <c r="O707" s="3" t="s">
        <v>7</v>
      </c>
    </row>
    <row r="708" spans="12:15" x14ac:dyDescent="0.45">
      <c r="L708" s="6" t="s">
        <v>287</v>
      </c>
      <c r="M708" s="6" t="s">
        <v>46</v>
      </c>
      <c r="N708" s="8">
        <v>1.2046908278877545E-2</v>
      </c>
      <c r="O708" s="6" t="s">
        <v>7</v>
      </c>
    </row>
    <row r="709" spans="12:15" x14ac:dyDescent="0.45">
      <c r="L709" s="3" t="s">
        <v>287</v>
      </c>
      <c r="M709" s="3" t="s">
        <v>47</v>
      </c>
      <c r="N709" s="5">
        <v>1.1606310277978491E-2</v>
      </c>
      <c r="O709" s="3" t="s">
        <v>7</v>
      </c>
    </row>
    <row r="710" spans="12:15" x14ac:dyDescent="0.45">
      <c r="L710" s="6" t="s">
        <v>287</v>
      </c>
      <c r="M710" s="6" t="s">
        <v>48</v>
      </c>
      <c r="N710" s="8">
        <v>1.7412953725196134E-2</v>
      </c>
      <c r="O710" s="6" t="s">
        <v>7</v>
      </c>
    </row>
    <row r="711" spans="12:15" x14ac:dyDescent="0.45">
      <c r="L711" s="3" t="s">
        <v>287</v>
      </c>
      <c r="M711" s="3" t="s">
        <v>49</v>
      </c>
      <c r="N711" s="5">
        <v>3.2996517427034792E-2</v>
      </c>
      <c r="O711" s="3" t="s">
        <v>7</v>
      </c>
    </row>
    <row r="712" spans="12:15" x14ac:dyDescent="0.45">
      <c r="L712" s="6" t="s">
        <v>287</v>
      </c>
      <c r="M712" s="6" t="s">
        <v>50</v>
      </c>
      <c r="N712" s="8">
        <v>1.2884701451350972E-2</v>
      </c>
      <c r="O712" s="6" t="s">
        <v>7</v>
      </c>
    </row>
    <row r="713" spans="12:15" x14ac:dyDescent="0.45">
      <c r="L713" s="3" t="s">
        <v>287</v>
      </c>
      <c r="M713" s="3" t="s">
        <v>51</v>
      </c>
      <c r="N713" s="5">
        <v>1.2836153188505553E-2</v>
      </c>
      <c r="O713" s="3" t="s">
        <v>7</v>
      </c>
    </row>
    <row r="714" spans="12:15" x14ac:dyDescent="0.45">
      <c r="L714" s="6" t="s">
        <v>287</v>
      </c>
      <c r="M714" s="6" t="s">
        <v>52</v>
      </c>
      <c r="N714" s="8">
        <v>1.2792332013661124E-2</v>
      </c>
      <c r="O714" s="6" t="s">
        <v>7</v>
      </c>
    </row>
    <row r="715" spans="12:15" x14ac:dyDescent="0.45">
      <c r="L715" s="3" t="s">
        <v>287</v>
      </c>
      <c r="M715" s="3" t="s">
        <v>53</v>
      </c>
      <c r="N715" s="5">
        <v>1.3106752494343926E-2</v>
      </c>
      <c r="O715" s="3" t="s">
        <v>7</v>
      </c>
    </row>
    <row r="716" spans="12:15" x14ac:dyDescent="0.45">
      <c r="L716" s="6" t="s">
        <v>287</v>
      </c>
      <c r="M716" s="6" t="s">
        <v>54</v>
      </c>
      <c r="N716" s="8">
        <v>1.2539199947075195E-2</v>
      </c>
      <c r="O716" s="6" t="s">
        <v>7</v>
      </c>
    </row>
    <row r="717" spans="12:15" x14ac:dyDescent="0.45">
      <c r="L717" s="3" t="s">
        <v>287</v>
      </c>
      <c r="M717" s="3" t="s">
        <v>55</v>
      </c>
      <c r="N717" s="5">
        <v>1.2484895452120063E-2</v>
      </c>
      <c r="O717" s="3" t="s">
        <v>7</v>
      </c>
    </row>
    <row r="718" spans="12:15" x14ac:dyDescent="0.45">
      <c r="L718" s="6" t="s">
        <v>287</v>
      </c>
      <c r="M718" s="6" t="s">
        <v>56</v>
      </c>
      <c r="N718" s="8">
        <v>1.2832184677921406E-2</v>
      </c>
      <c r="O718" s="6" t="s">
        <v>7</v>
      </c>
    </row>
    <row r="719" spans="12:15" x14ac:dyDescent="0.45">
      <c r="L719" s="3" t="s">
        <v>287</v>
      </c>
      <c r="M719" s="3" t="s">
        <v>57</v>
      </c>
      <c r="N719" s="5">
        <v>1.2904693878020321E-2</v>
      </c>
      <c r="O719" s="3" t="s">
        <v>7</v>
      </c>
    </row>
    <row r="720" spans="12:15" x14ac:dyDescent="0.45">
      <c r="L720" s="6" t="s">
        <v>287</v>
      </c>
      <c r="M720" s="6" t="s">
        <v>58</v>
      </c>
      <c r="N720" s="8">
        <v>2.0043155026992349E-2</v>
      </c>
      <c r="O720" s="6" t="s">
        <v>7</v>
      </c>
    </row>
    <row r="721" spans="12:15" x14ac:dyDescent="0.45">
      <c r="L721" s="3" t="s">
        <v>287</v>
      </c>
      <c r="M721" s="3" t="s">
        <v>59</v>
      </c>
      <c r="N721" s="5">
        <v>3.8396142932691182E-2</v>
      </c>
      <c r="O721" s="3" t="s">
        <v>7</v>
      </c>
    </row>
    <row r="722" spans="12:15" x14ac:dyDescent="0.45">
      <c r="L722" s="6" t="s">
        <v>287</v>
      </c>
      <c r="M722" s="6" t="s">
        <v>60</v>
      </c>
      <c r="N722" s="8">
        <v>1.5720020508289686E-2</v>
      </c>
      <c r="O722" s="6" t="s">
        <v>7</v>
      </c>
    </row>
    <row r="723" spans="12:15" x14ac:dyDescent="0.45">
      <c r="L723" s="3" t="s">
        <v>287</v>
      </c>
      <c r="M723" s="3" t="s">
        <v>61</v>
      </c>
      <c r="N723" s="5">
        <v>1.6123913996241513E-2</v>
      </c>
      <c r="O723" s="3" t="s">
        <v>7</v>
      </c>
    </row>
    <row r="724" spans="12:15" x14ac:dyDescent="0.45">
      <c r="L724" s="6" t="s">
        <v>287</v>
      </c>
      <c r="M724" s="6" t="s">
        <v>62</v>
      </c>
      <c r="N724" s="8">
        <v>1.5968807398833135E-2</v>
      </c>
      <c r="O724" s="6" t="s">
        <v>7</v>
      </c>
    </row>
    <row r="725" spans="12:15" x14ac:dyDescent="0.45">
      <c r="L725" s="3" t="s">
        <v>287</v>
      </c>
      <c r="M725" s="3" t="s">
        <v>63</v>
      </c>
      <c r="N725" s="5">
        <v>1.6443415415380556E-2</v>
      </c>
      <c r="O725" s="3" t="s">
        <v>7</v>
      </c>
    </row>
    <row r="726" spans="12:15" x14ac:dyDescent="0.45">
      <c r="L726" s="6" t="s">
        <v>287</v>
      </c>
      <c r="M726" s="6" t="s">
        <v>64</v>
      </c>
      <c r="N726" s="8">
        <v>1.6614818708406309E-2</v>
      </c>
      <c r="O726" s="6" t="s">
        <v>7</v>
      </c>
    </row>
    <row r="727" spans="12:15" x14ac:dyDescent="0.45">
      <c r="L727" s="3" t="s">
        <v>287</v>
      </c>
      <c r="M727" s="3" t="s">
        <v>65</v>
      </c>
      <c r="N727" s="5">
        <v>1.6079746364148478E-2</v>
      </c>
      <c r="O727" s="3" t="s">
        <v>7</v>
      </c>
    </row>
    <row r="728" spans="12:15" x14ac:dyDescent="0.45">
      <c r="L728" s="6" t="s">
        <v>287</v>
      </c>
      <c r="M728" s="6" t="s">
        <v>66</v>
      </c>
      <c r="N728" s="8">
        <v>1.5907953847258634E-2</v>
      </c>
      <c r="O728" s="6" t="s">
        <v>7</v>
      </c>
    </row>
    <row r="729" spans="12:15" x14ac:dyDescent="0.45">
      <c r="L729" s="3" t="s">
        <v>287</v>
      </c>
      <c r="M729" s="3" t="s">
        <v>67</v>
      </c>
      <c r="N729" s="5">
        <v>1.5569151411640704E-2</v>
      </c>
      <c r="O729" s="3" t="s">
        <v>7</v>
      </c>
    </row>
    <row r="730" spans="12:15" x14ac:dyDescent="0.45">
      <c r="L730" s="6" t="s">
        <v>287</v>
      </c>
      <c r="M730" s="6" t="s">
        <v>68</v>
      </c>
      <c r="N730" s="8">
        <v>2.3453487021096609E-2</v>
      </c>
      <c r="O730" s="6" t="s">
        <v>7</v>
      </c>
    </row>
    <row r="731" spans="12:15" x14ac:dyDescent="0.45">
      <c r="L731" s="3" t="s">
        <v>288</v>
      </c>
      <c r="M731" s="3" t="s">
        <v>6</v>
      </c>
      <c r="N731" s="5">
        <v>3.8594319871674172E-2</v>
      </c>
      <c r="O731" s="3" t="s">
        <v>7</v>
      </c>
    </row>
    <row r="732" spans="12:15" x14ac:dyDescent="0.45">
      <c r="L732" s="6" t="s">
        <v>288</v>
      </c>
      <c r="M732" s="6" t="s">
        <v>10</v>
      </c>
      <c r="N732" s="8">
        <v>1.5526669251667732E-2</v>
      </c>
      <c r="O732" s="6" t="s">
        <v>7</v>
      </c>
    </row>
    <row r="733" spans="12:15" x14ac:dyDescent="0.45">
      <c r="L733" s="3" t="s">
        <v>288</v>
      </c>
      <c r="M733" s="3" t="s">
        <v>11</v>
      </c>
      <c r="N733" s="5">
        <v>1.5315997075632798E-2</v>
      </c>
      <c r="O733" s="3" t="s">
        <v>7</v>
      </c>
    </row>
    <row r="734" spans="12:15" x14ac:dyDescent="0.45">
      <c r="L734" s="6" t="s">
        <v>288</v>
      </c>
      <c r="M734" s="6" t="s">
        <v>12</v>
      </c>
      <c r="N734" s="8">
        <v>1.5931205987175571E-2</v>
      </c>
      <c r="O734" s="6" t="s">
        <v>7</v>
      </c>
    </row>
    <row r="735" spans="12:15" x14ac:dyDescent="0.45">
      <c r="L735" s="3" t="s">
        <v>288</v>
      </c>
      <c r="M735" s="3" t="s">
        <v>13</v>
      </c>
      <c r="N735" s="5">
        <v>1.575745103272394E-2</v>
      </c>
      <c r="O735" s="3" t="s">
        <v>7</v>
      </c>
    </row>
    <row r="736" spans="12:15" x14ac:dyDescent="0.45">
      <c r="L736" s="6" t="s">
        <v>288</v>
      </c>
      <c r="M736" s="6" t="s">
        <v>14</v>
      </c>
      <c r="N736" s="8">
        <v>1.5708177636312302E-2</v>
      </c>
      <c r="O736" s="6" t="s">
        <v>7</v>
      </c>
    </row>
    <row r="737" spans="12:15" x14ac:dyDescent="0.45">
      <c r="L737" s="3" t="s">
        <v>288</v>
      </c>
      <c r="M737" s="3" t="s">
        <v>15</v>
      </c>
      <c r="N737" s="5">
        <v>1.5565002188758512E-2</v>
      </c>
      <c r="O737" s="3" t="s">
        <v>7</v>
      </c>
    </row>
    <row r="738" spans="12:15" x14ac:dyDescent="0.45">
      <c r="L738" s="6" t="s">
        <v>288</v>
      </c>
      <c r="M738" s="6" t="s">
        <v>16</v>
      </c>
      <c r="N738" s="8">
        <v>1.5407019867873692E-2</v>
      </c>
      <c r="O738" s="6" t="s">
        <v>7</v>
      </c>
    </row>
    <row r="739" spans="12:15" x14ac:dyDescent="0.45">
      <c r="L739" s="3" t="s">
        <v>288</v>
      </c>
      <c r="M739" s="3" t="s">
        <v>17</v>
      </c>
      <c r="N739" s="5">
        <v>1.5473396612295394E-2</v>
      </c>
      <c r="O739" s="3" t="s">
        <v>7</v>
      </c>
    </row>
    <row r="740" spans="12:15" x14ac:dyDescent="0.45">
      <c r="L740" s="6" t="s">
        <v>288</v>
      </c>
      <c r="M740" s="6" t="s">
        <v>18</v>
      </c>
      <c r="N740" s="8">
        <v>2.3134017106864593E-2</v>
      </c>
      <c r="O740" s="6" t="s">
        <v>7</v>
      </c>
    </row>
    <row r="741" spans="12:15" x14ac:dyDescent="0.45">
      <c r="L741" s="3" t="s">
        <v>288</v>
      </c>
      <c r="M741" s="3" t="s">
        <v>19</v>
      </c>
      <c r="N741" s="5">
        <v>3.9036207191280162E-2</v>
      </c>
      <c r="O741" s="3" t="s">
        <v>7</v>
      </c>
    </row>
    <row r="742" spans="12:15" x14ac:dyDescent="0.45">
      <c r="L742" s="6" t="s">
        <v>288</v>
      </c>
      <c r="M742" s="6" t="s">
        <v>20</v>
      </c>
      <c r="N742" s="8">
        <v>1.5644329842609366E-2</v>
      </c>
      <c r="O742" s="6" t="s">
        <v>7</v>
      </c>
    </row>
    <row r="743" spans="12:15" x14ac:dyDescent="0.45">
      <c r="L743" s="3" t="s">
        <v>288</v>
      </c>
      <c r="M743" s="3" t="s">
        <v>21</v>
      </c>
      <c r="N743" s="5">
        <v>1.5629092101905266E-2</v>
      </c>
      <c r="O743" s="3" t="s">
        <v>7</v>
      </c>
    </row>
    <row r="744" spans="12:15" x14ac:dyDescent="0.45">
      <c r="L744" s="6" t="s">
        <v>288</v>
      </c>
      <c r="M744" s="6" t="s">
        <v>22</v>
      </c>
      <c r="N744" s="8">
        <v>1.5277034607952272E-2</v>
      </c>
      <c r="O744" s="6" t="s">
        <v>7</v>
      </c>
    </row>
    <row r="745" spans="12:15" x14ac:dyDescent="0.45">
      <c r="L745" s="3" t="s">
        <v>288</v>
      </c>
      <c r="M745" s="3" t="s">
        <v>23</v>
      </c>
      <c r="N745" s="5">
        <v>1.5043498535060464E-2</v>
      </c>
      <c r="O745" s="3" t="s">
        <v>7</v>
      </c>
    </row>
    <row r="746" spans="12:15" x14ac:dyDescent="0.45">
      <c r="L746" s="6" t="s">
        <v>288</v>
      </c>
      <c r="M746" s="6" t="s">
        <v>24</v>
      </c>
      <c r="N746" s="8">
        <v>1.493171090870303E-2</v>
      </c>
      <c r="O746" s="6" t="s">
        <v>7</v>
      </c>
    </row>
    <row r="747" spans="12:15" x14ac:dyDescent="0.45">
      <c r="L747" s="3" t="s">
        <v>288</v>
      </c>
      <c r="M747" s="3" t="s">
        <v>25</v>
      </c>
      <c r="N747" s="5">
        <v>1.5051752624134713E-2</v>
      </c>
      <c r="O747" s="3" t="s">
        <v>7</v>
      </c>
    </row>
    <row r="748" spans="12:15" x14ac:dyDescent="0.45">
      <c r="L748" s="6" t="s">
        <v>288</v>
      </c>
      <c r="M748" s="6" t="s">
        <v>26</v>
      </c>
      <c r="N748" s="8">
        <v>1.544670558806902E-2</v>
      </c>
      <c r="O748" s="6" t="s">
        <v>7</v>
      </c>
    </row>
    <row r="749" spans="12:15" x14ac:dyDescent="0.45">
      <c r="L749" s="3" t="s">
        <v>288</v>
      </c>
      <c r="M749" s="3" t="s">
        <v>27</v>
      </c>
      <c r="N749" s="5">
        <v>1.5840390808581833E-2</v>
      </c>
      <c r="O749" s="3" t="s">
        <v>7</v>
      </c>
    </row>
    <row r="750" spans="12:15" x14ac:dyDescent="0.45">
      <c r="L750" s="6" t="s">
        <v>288</v>
      </c>
      <c r="M750" s="6" t="s">
        <v>28</v>
      </c>
      <c r="N750" s="8">
        <v>2.3772538740308845E-2</v>
      </c>
      <c r="O750" s="6" t="s">
        <v>7</v>
      </c>
    </row>
    <row r="751" spans="12:15" x14ac:dyDescent="0.45">
      <c r="L751" s="3" t="s">
        <v>288</v>
      </c>
      <c r="M751" s="3" t="s">
        <v>29</v>
      </c>
      <c r="N751" s="5">
        <v>3.1481467723344925E-2</v>
      </c>
      <c r="O751" s="3" t="s">
        <v>7</v>
      </c>
    </row>
    <row r="752" spans="12:15" x14ac:dyDescent="0.45">
      <c r="L752" s="6" t="s">
        <v>288</v>
      </c>
      <c r="M752" s="6" t="s">
        <v>30</v>
      </c>
      <c r="N752" s="8">
        <v>1.2922750805678347E-2</v>
      </c>
      <c r="O752" s="6" t="s">
        <v>7</v>
      </c>
    </row>
    <row r="753" spans="12:15" x14ac:dyDescent="0.45">
      <c r="L753" s="3" t="s">
        <v>288</v>
      </c>
      <c r="M753" s="3" t="s">
        <v>31</v>
      </c>
      <c r="N753" s="5">
        <v>1.2748731147734898E-2</v>
      </c>
      <c r="O753" s="3" t="s">
        <v>7</v>
      </c>
    </row>
    <row r="754" spans="12:15" x14ac:dyDescent="0.45">
      <c r="L754" s="6" t="s">
        <v>288</v>
      </c>
      <c r="M754" s="6" t="s">
        <v>32</v>
      </c>
      <c r="N754" s="8">
        <v>1.2272018636854473E-2</v>
      </c>
      <c r="O754" s="6" t="s">
        <v>7</v>
      </c>
    </row>
    <row r="755" spans="12:15" x14ac:dyDescent="0.45">
      <c r="L755" s="3" t="s">
        <v>288</v>
      </c>
      <c r="M755" s="3" t="s">
        <v>33</v>
      </c>
      <c r="N755" s="5">
        <v>1.2251819193978813E-2</v>
      </c>
      <c r="O755" s="3" t="s">
        <v>7</v>
      </c>
    </row>
    <row r="756" spans="12:15" x14ac:dyDescent="0.45">
      <c r="L756" s="6" t="s">
        <v>288</v>
      </c>
      <c r="M756" s="6" t="s">
        <v>34</v>
      </c>
      <c r="N756" s="8">
        <v>1.2269638190234626E-2</v>
      </c>
      <c r="O756" s="6" t="s">
        <v>7</v>
      </c>
    </row>
    <row r="757" spans="12:15" x14ac:dyDescent="0.45">
      <c r="L757" s="3" t="s">
        <v>288</v>
      </c>
      <c r="M757" s="3" t="s">
        <v>35</v>
      </c>
      <c r="N757" s="5">
        <v>1.2198156091297424E-2</v>
      </c>
      <c r="O757" s="3" t="s">
        <v>7</v>
      </c>
    </row>
    <row r="758" spans="12:15" x14ac:dyDescent="0.45">
      <c r="L758" s="6" t="s">
        <v>288</v>
      </c>
      <c r="M758" s="6" t="s">
        <v>36</v>
      </c>
      <c r="N758" s="8">
        <v>1.2191583649664687E-2</v>
      </c>
      <c r="O758" s="6" t="s">
        <v>7</v>
      </c>
    </row>
    <row r="759" spans="12:15" x14ac:dyDescent="0.45">
      <c r="L759" s="3" t="s">
        <v>288</v>
      </c>
      <c r="M759" s="3" t="s">
        <v>37</v>
      </c>
      <c r="N759" s="5">
        <v>1.2061881265206549E-2</v>
      </c>
      <c r="O759" s="3" t="s">
        <v>7</v>
      </c>
    </row>
    <row r="760" spans="12:15" x14ac:dyDescent="0.45">
      <c r="L760" s="6" t="s">
        <v>288</v>
      </c>
      <c r="M760" s="6" t="s">
        <v>38</v>
      </c>
      <c r="N760" s="8">
        <v>1.7845468553039923E-2</v>
      </c>
      <c r="O760" s="6" t="s">
        <v>7</v>
      </c>
    </row>
    <row r="761" spans="12:15" x14ac:dyDescent="0.45">
      <c r="L761" s="3" t="s">
        <v>288</v>
      </c>
      <c r="M761" s="3" t="s">
        <v>39</v>
      </c>
      <c r="N761" s="5">
        <v>2.4124310323764279E-2</v>
      </c>
      <c r="O761" s="3" t="s">
        <v>7</v>
      </c>
    </row>
    <row r="762" spans="12:15" x14ac:dyDescent="0.45">
      <c r="L762" s="6" t="s">
        <v>288</v>
      </c>
      <c r="M762" s="6" t="s">
        <v>40</v>
      </c>
      <c r="N762" s="8">
        <v>9.0305034673245788E-3</v>
      </c>
      <c r="O762" s="6" t="s">
        <v>7</v>
      </c>
    </row>
    <row r="763" spans="12:15" x14ac:dyDescent="0.45">
      <c r="L763" s="3" t="s">
        <v>288</v>
      </c>
      <c r="M763" s="3" t="s">
        <v>41</v>
      </c>
      <c r="N763" s="5">
        <v>9.1275292605270744E-3</v>
      </c>
      <c r="O763" s="3" t="s">
        <v>7</v>
      </c>
    </row>
    <row r="764" spans="12:15" x14ac:dyDescent="0.45">
      <c r="L764" s="6" t="s">
        <v>288</v>
      </c>
      <c r="M764" s="6" t="s">
        <v>42</v>
      </c>
      <c r="N764" s="8">
        <v>9.2029895034936547E-3</v>
      </c>
      <c r="O764" s="6" t="s">
        <v>7</v>
      </c>
    </row>
    <row r="765" spans="12:15" x14ac:dyDescent="0.45">
      <c r="L765" s="3" t="s">
        <v>288</v>
      </c>
      <c r="M765" s="3" t="s">
        <v>43</v>
      </c>
      <c r="N765" s="5">
        <v>9.5191509352427223E-3</v>
      </c>
      <c r="O765" s="3" t="s">
        <v>7</v>
      </c>
    </row>
    <row r="766" spans="12:15" x14ac:dyDescent="0.45">
      <c r="L766" s="6" t="s">
        <v>288</v>
      </c>
      <c r="M766" s="6" t="s">
        <v>44</v>
      </c>
      <c r="N766" s="8">
        <v>9.7354363215445411E-3</v>
      </c>
      <c r="O766" s="6" t="s">
        <v>7</v>
      </c>
    </row>
    <row r="767" spans="12:15" x14ac:dyDescent="0.45">
      <c r="L767" s="3" t="s">
        <v>288</v>
      </c>
      <c r="M767" s="3" t="s">
        <v>45</v>
      </c>
      <c r="N767" s="5">
        <v>9.8594103209986867E-3</v>
      </c>
      <c r="O767" s="3" t="s">
        <v>7</v>
      </c>
    </row>
    <row r="768" spans="12:15" x14ac:dyDescent="0.45">
      <c r="L768" s="6" t="s">
        <v>288</v>
      </c>
      <c r="M768" s="6" t="s">
        <v>46</v>
      </c>
      <c r="N768" s="8">
        <v>9.7161341006926222E-3</v>
      </c>
      <c r="O768" s="6" t="s">
        <v>7</v>
      </c>
    </row>
    <row r="769" spans="12:15" x14ac:dyDescent="0.45">
      <c r="L769" s="3" t="s">
        <v>288</v>
      </c>
      <c r="M769" s="3" t="s">
        <v>47</v>
      </c>
      <c r="N769" s="5">
        <v>9.5056134131782238E-3</v>
      </c>
      <c r="O769" s="3" t="s">
        <v>7</v>
      </c>
    </row>
    <row r="770" spans="12:15" x14ac:dyDescent="0.45">
      <c r="L770" s="6" t="s">
        <v>288</v>
      </c>
      <c r="M770" s="6" t="s">
        <v>48</v>
      </c>
      <c r="N770" s="8">
        <v>1.4896577402617727E-2</v>
      </c>
      <c r="O770" s="6" t="s">
        <v>7</v>
      </c>
    </row>
    <row r="771" spans="12:15" x14ac:dyDescent="0.45">
      <c r="L771" s="3" t="s">
        <v>288</v>
      </c>
      <c r="M771" s="3" t="s">
        <v>49</v>
      </c>
      <c r="N771" s="5">
        <v>3.4464434314519302E-2</v>
      </c>
      <c r="O771" s="3" t="s">
        <v>7</v>
      </c>
    </row>
    <row r="772" spans="12:15" x14ac:dyDescent="0.45">
      <c r="L772" s="6" t="s">
        <v>288</v>
      </c>
      <c r="M772" s="6" t="s">
        <v>50</v>
      </c>
      <c r="N772" s="8">
        <v>1.4229642633630689E-2</v>
      </c>
      <c r="O772" s="6" t="s">
        <v>7</v>
      </c>
    </row>
    <row r="773" spans="12:15" x14ac:dyDescent="0.45">
      <c r="L773" s="3" t="s">
        <v>288</v>
      </c>
      <c r="M773" s="3" t="s">
        <v>51</v>
      </c>
      <c r="N773" s="5">
        <v>1.4682270792210924E-2</v>
      </c>
      <c r="O773" s="3" t="s">
        <v>7</v>
      </c>
    </row>
    <row r="774" spans="12:15" x14ac:dyDescent="0.45">
      <c r="L774" s="6" t="s">
        <v>288</v>
      </c>
      <c r="M774" s="6" t="s">
        <v>52</v>
      </c>
      <c r="N774" s="8">
        <v>1.4738433413920981E-2</v>
      </c>
      <c r="O774" s="6" t="s">
        <v>7</v>
      </c>
    </row>
    <row r="775" spans="12:15" x14ac:dyDescent="0.45">
      <c r="L775" s="3" t="s">
        <v>288</v>
      </c>
      <c r="M775" s="3" t="s">
        <v>53</v>
      </c>
      <c r="N775" s="5">
        <v>1.4693935048690657E-2</v>
      </c>
      <c r="O775" s="3" t="s">
        <v>7</v>
      </c>
    </row>
    <row r="776" spans="12:15" x14ac:dyDescent="0.45">
      <c r="L776" s="6" t="s">
        <v>288</v>
      </c>
      <c r="M776" s="6" t="s">
        <v>54</v>
      </c>
      <c r="N776" s="8">
        <v>1.4402378739187377E-2</v>
      </c>
      <c r="O776" s="6" t="s">
        <v>7</v>
      </c>
    </row>
    <row r="777" spans="12:15" x14ac:dyDescent="0.45">
      <c r="L777" s="3" t="s">
        <v>288</v>
      </c>
      <c r="M777" s="3" t="s">
        <v>55</v>
      </c>
      <c r="N777" s="5">
        <v>1.4081404203348705E-2</v>
      </c>
      <c r="O777" s="3" t="s">
        <v>7</v>
      </c>
    </row>
    <row r="778" spans="12:15" x14ac:dyDescent="0.45">
      <c r="L778" s="6" t="s">
        <v>288</v>
      </c>
      <c r="M778" s="6" t="s">
        <v>56</v>
      </c>
      <c r="N778" s="8">
        <v>1.3725305993457089E-2</v>
      </c>
      <c r="O778" s="6" t="s">
        <v>7</v>
      </c>
    </row>
    <row r="779" spans="12:15" x14ac:dyDescent="0.45">
      <c r="L779" s="3" t="s">
        <v>288</v>
      </c>
      <c r="M779" s="3" t="s">
        <v>57</v>
      </c>
      <c r="N779" s="5">
        <v>1.3393315957497173E-2</v>
      </c>
      <c r="O779" s="3" t="s">
        <v>7</v>
      </c>
    </row>
    <row r="780" spans="12:15" x14ac:dyDescent="0.45">
      <c r="L780" s="6" t="s">
        <v>288</v>
      </c>
      <c r="M780" s="6" t="s">
        <v>58</v>
      </c>
      <c r="N780" s="8">
        <v>2.0139881475442503E-2</v>
      </c>
      <c r="O780" s="6" t="s">
        <v>7</v>
      </c>
    </row>
    <row r="781" spans="12:15" x14ac:dyDescent="0.45">
      <c r="L781" s="3" t="s">
        <v>288</v>
      </c>
      <c r="M781" s="3" t="s">
        <v>59</v>
      </c>
      <c r="N781" s="5">
        <v>4.1361326148305538E-2</v>
      </c>
      <c r="O781" s="3" t="s">
        <v>7</v>
      </c>
    </row>
    <row r="782" spans="12:15" x14ac:dyDescent="0.45">
      <c r="L782" s="6" t="s">
        <v>288</v>
      </c>
      <c r="M782" s="6" t="s">
        <v>60</v>
      </c>
      <c r="N782" s="8">
        <v>1.6106581776732708E-2</v>
      </c>
      <c r="O782" s="6" t="s">
        <v>7</v>
      </c>
    </row>
    <row r="783" spans="12:15" x14ac:dyDescent="0.45">
      <c r="L783" s="3" t="s">
        <v>288</v>
      </c>
      <c r="M783" s="3" t="s">
        <v>61</v>
      </c>
      <c r="N783" s="5">
        <v>1.6168669171525502E-2</v>
      </c>
      <c r="O783" s="3" t="s">
        <v>7</v>
      </c>
    </row>
    <row r="784" spans="12:15" x14ac:dyDescent="0.45">
      <c r="L784" s="6" t="s">
        <v>288</v>
      </c>
      <c r="M784" s="6" t="s">
        <v>62</v>
      </c>
      <c r="N784" s="8">
        <v>1.640980396835565E-2</v>
      </c>
      <c r="O784" s="6" t="s">
        <v>7</v>
      </c>
    </row>
    <row r="785" spans="12:15" x14ac:dyDescent="0.45">
      <c r="L785" s="3" t="s">
        <v>288</v>
      </c>
      <c r="M785" s="3" t="s">
        <v>63</v>
      </c>
      <c r="N785" s="5">
        <v>1.644828245391694E-2</v>
      </c>
      <c r="O785" s="3" t="s">
        <v>7</v>
      </c>
    </row>
    <row r="786" spans="12:15" x14ac:dyDescent="0.45">
      <c r="L786" s="6" t="s">
        <v>288</v>
      </c>
      <c r="M786" s="6" t="s">
        <v>64</v>
      </c>
      <c r="N786" s="8">
        <v>1.6636660217723913E-2</v>
      </c>
      <c r="O786" s="6" t="s">
        <v>7</v>
      </c>
    </row>
    <row r="787" spans="12:15" x14ac:dyDescent="0.45">
      <c r="L787" s="3" t="s">
        <v>288</v>
      </c>
      <c r="M787" s="3" t="s">
        <v>65</v>
      </c>
      <c r="N787" s="5">
        <v>1.6384723693129998E-2</v>
      </c>
      <c r="O787" s="3" t="s">
        <v>7</v>
      </c>
    </row>
    <row r="788" spans="12:15" x14ac:dyDescent="0.45">
      <c r="L788" s="6" t="s">
        <v>288</v>
      </c>
      <c r="M788" s="6" t="s">
        <v>66</v>
      </c>
      <c r="N788" s="8">
        <v>1.6035174979359714E-2</v>
      </c>
      <c r="O788" s="6" t="s">
        <v>7</v>
      </c>
    </row>
    <row r="789" spans="12:15" x14ac:dyDescent="0.45">
      <c r="L789" s="3" t="s">
        <v>288</v>
      </c>
      <c r="M789" s="3" t="s">
        <v>67</v>
      </c>
      <c r="N789" s="5">
        <v>1.6064154158509574E-2</v>
      </c>
      <c r="O789" s="3" t="s">
        <v>7</v>
      </c>
    </row>
    <row r="790" spans="12:15" x14ac:dyDescent="0.45">
      <c r="L790" s="6" t="s">
        <v>288</v>
      </c>
      <c r="M790" s="6" t="s">
        <v>68</v>
      </c>
      <c r="N790" s="8">
        <v>2.4785932974532663E-2</v>
      </c>
      <c r="O790" s="6" t="s">
        <v>7</v>
      </c>
    </row>
    <row r="791" spans="12:15" x14ac:dyDescent="0.45">
      <c r="L791" s="3" t="s">
        <v>289</v>
      </c>
      <c r="M791" s="3" t="s">
        <v>6</v>
      </c>
      <c r="N791" s="5">
        <v>3.9229393317830083E-2</v>
      </c>
      <c r="O791" s="3" t="s">
        <v>7</v>
      </c>
    </row>
    <row r="792" spans="12:15" x14ac:dyDescent="0.45">
      <c r="L792" s="6" t="s">
        <v>289</v>
      </c>
      <c r="M792" s="6" t="s">
        <v>10</v>
      </c>
      <c r="N792" s="8">
        <v>1.5931747626935E-2</v>
      </c>
      <c r="O792" s="6" t="s">
        <v>7</v>
      </c>
    </row>
    <row r="793" spans="12:15" x14ac:dyDescent="0.45">
      <c r="L793" s="3" t="s">
        <v>289</v>
      </c>
      <c r="M793" s="3" t="s">
        <v>11</v>
      </c>
      <c r="N793" s="5">
        <v>1.5739417791421337E-2</v>
      </c>
      <c r="O793" s="3" t="s">
        <v>7</v>
      </c>
    </row>
    <row r="794" spans="12:15" x14ac:dyDescent="0.45">
      <c r="L794" s="6" t="s">
        <v>289</v>
      </c>
      <c r="M794" s="6" t="s">
        <v>12</v>
      </c>
      <c r="N794" s="8">
        <v>1.608943688732677E-2</v>
      </c>
      <c r="O794" s="6" t="s">
        <v>7</v>
      </c>
    </row>
    <row r="795" spans="12:15" x14ac:dyDescent="0.45">
      <c r="L795" s="3" t="s">
        <v>289</v>
      </c>
      <c r="M795" s="3" t="s">
        <v>13</v>
      </c>
      <c r="N795" s="5">
        <v>1.6187865409050078E-2</v>
      </c>
      <c r="O795" s="3" t="s">
        <v>7</v>
      </c>
    </row>
    <row r="796" spans="12:15" x14ac:dyDescent="0.45">
      <c r="L796" s="6" t="s">
        <v>289</v>
      </c>
      <c r="M796" s="6" t="s">
        <v>14</v>
      </c>
      <c r="N796" s="8">
        <v>1.6194129595167198E-2</v>
      </c>
      <c r="O796" s="6" t="s">
        <v>7</v>
      </c>
    </row>
    <row r="797" spans="12:15" x14ac:dyDescent="0.45">
      <c r="L797" s="3" t="s">
        <v>289</v>
      </c>
      <c r="M797" s="3" t="s">
        <v>15</v>
      </c>
      <c r="N797" s="5">
        <v>1.5815689306628276E-2</v>
      </c>
      <c r="O797" s="3" t="s">
        <v>7</v>
      </c>
    </row>
    <row r="798" spans="12:15" x14ac:dyDescent="0.45">
      <c r="L798" s="6" t="s">
        <v>289</v>
      </c>
      <c r="M798" s="6" t="s">
        <v>16</v>
      </c>
      <c r="N798" s="8">
        <v>1.5369176176502497E-2</v>
      </c>
      <c r="O798" s="6" t="s">
        <v>7</v>
      </c>
    </row>
    <row r="799" spans="12:15" x14ac:dyDescent="0.45">
      <c r="L799" s="3" t="s">
        <v>289</v>
      </c>
      <c r="M799" s="3" t="s">
        <v>17</v>
      </c>
      <c r="N799" s="5">
        <v>1.5427160696735564E-2</v>
      </c>
      <c r="O799" s="3" t="s">
        <v>7</v>
      </c>
    </row>
    <row r="800" spans="12:15" x14ac:dyDescent="0.45">
      <c r="L800" s="6" t="s">
        <v>289</v>
      </c>
      <c r="M800" s="6" t="s">
        <v>18</v>
      </c>
      <c r="N800" s="8">
        <v>2.3334694977549208E-2</v>
      </c>
      <c r="O800" s="6" t="s">
        <v>7</v>
      </c>
    </row>
    <row r="801" spans="12:15" x14ac:dyDescent="0.45">
      <c r="L801" s="3" t="s">
        <v>289</v>
      </c>
      <c r="M801" s="3" t="s">
        <v>19</v>
      </c>
      <c r="N801" s="5">
        <v>4.0683867543961069E-2</v>
      </c>
      <c r="O801" s="3" t="s">
        <v>7</v>
      </c>
    </row>
    <row r="802" spans="12:15" x14ac:dyDescent="0.45">
      <c r="L802" s="6" t="s">
        <v>289</v>
      </c>
      <c r="M802" s="6" t="s">
        <v>20</v>
      </c>
      <c r="N802" s="8">
        <v>1.6163078436612424E-2</v>
      </c>
      <c r="O802" s="6" t="s">
        <v>7</v>
      </c>
    </row>
    <row r="803" spans="12:15" x14ac:dyDescent="0.45">
      <c r="L803" s="3" t="s">
        <v>289</v>
      </c>
      <c r="M803" s="3" t="s">
        <v>21</v>
      </c>
      <c r="N803" s="5">
        <v>1.6035064206100725E-2</v>
      </c>
      <c r="O803" s="3" t="s">
        <v>7</v>
      </c>
    </row>
    <row r="804" spans="12:15" x14ac:dyDescent="0.45">
      <c r="L804" s="6" t="s">
        <v>289</v>
      </c>
      <c r="M804" s="6" t="s">
        <v>22</v>
      </c>
      <c r="N804" s="8">
        <v>1.5524476170033448E-2</v>
      </c>
      <c r="O804" s="6" t="s">
        <v>7</v>
      </c>
    </row>
    <row r="805" spans="12:15" x14ac:dyDescent="0.45">
      <c r="L805" s="3" t="s">
        <v>289</v>
      </c>
      <c r="M805" s="3" t="s">
        <v>23</v>
      </c>
      <c r="N805" s="5">
        <v>1.525854725599061E-2</v>
      </c>
      <c r="O805" s="3" t="s">
        <v>7</v>
      </c>
    </row>
    <row r="806" spans="12:15" x14ac:dyDescent="0.45">
      <c r="L806" s="6" t="s">
        <v>289</v>
      </c>
      <c r="M806" s="6" t="s">
        <v>24</v>
      </c>
      <c r="N806" s="8">
        <v>1.51744530248012E-2</v>
      </c>
      <c r="O806" s="6" t="s">
        <v>7</v>
      </c>
    </row>
    <row r="807" spans="12:15" x14ac:dyDescent="0.45">
      <c r="L807" s="3" t="s">
        <v>289</v>
      </c>
      <c r="M807" s="3" t="s">
        <v>25</v>
      </c>
      <c r="N807" s="5">
        <v>1.5499108160956855E-2</v>
      </c>
      <c r="O807" s="3" t="s">
        <v>7</v>
      </c>
    </row>
    <row r="808" spans="12:15" x14ac:dyDescent="0.45">
      <c r="L808" s="6" t="s">
        <v>289</v>
      </c>
      <c r="M808" s="6" t="s">
        <v>26</v>
      </c>
      <c r="N808" s="8">
        <v>1.5879603269114549E-2</v>
      </c>
      <c r="O808" s="6" t="s">
        <v>7</v>
      </c>
    </row>
    <row r="809" spans="12:15" x14ac:dyDescent="0.45">
      <c r="L809" s="3" t="s">
        <v>289</v>
      </c>
      <c r="M809" s="3" t="s">
        <v>27</v>
      </c>
      <c r="N809" s="5">
        <v>1.6171595190133409E-2</v>
      </c>
      <c r="O809" s="3" t="s">
        <v>7</v>
      </c>
    </row>
    <row r="810" spans="12:15" x14ac:dyDescent="0.45">
      <c r="L810" s="6" t="s">
        <v>289</v>
      </c>
      <c r="M810" s="6" t="s">
        <v>28</v>
      </c>
      <c r="N810" s="8">
        <v>2.4412279022094842E-2</v>
      </c>
      <c r="O810" s="6" t="s">
        <v>7</v>
      </c>
    </row>
    <row r="811" spans="12:15" x14ac:dyDescent="0.45">
      <c r="L811" s="3" t="s">
        <v>289</v>
      </c>
      <c r="M811" s="3" t="s">
        <v>29</v>
      </c>
      <c r="N811" s="5">
        <v>3.2528727930034862E-2</v>
      </c>
      <c r="O811" s="3" t="s">
        <v>7</v>
      </c>
    </row>
    <row r="812" spans="12:15" x14ac:dyDescent="0.45">
      <c r="L812" s="6" t="s">
        <v>289</v>
      </c>
      <c r="M812" s="6" t="s">
        <v>30</v>
      </c>
      <c r="N812" s="8">
        <v>1.3310259670689809E-2</v>
      </c>
      <c r="O812" s="6" t="s">
        <v>7</v>
      </c>
    </row>
    <row r="813" spans="12:15" x14ac:dyDescent="0.45">
      <c r="L813" s="3" t="s">
        <v>289</v>
      </c>
      <c r="M813" s="3" t="s">
        <v>31</v>
      </c>
      <c r="N813" s="5">
        <v>1.3153681994237904E-2</v>
      </c>
      <c r="O813" s="3" t="s">
        <v>7</v>
      </c>
    </row>
    <row r="814" spans="12:15" x14ac:dyDescent="0.45">
      <c r="L814" s="6" t="s">
        <v>289</v>
      </c>
      <c r="M814" s="6" t="s">
        <v>32</v>
      </c>
      <c r="N814" s="8">
        <v>1.2854310276035974E-2</v>
      </c>
      <c r="O814" s="6" t="s">
        <v>7</v>
      </c>
    </row>
    <row r="815" spans="12:15" x14ac:dyDescent="0.45">
      <c r="L815" s="3" t="s">
        <v>289</v>
      </c>
      <c r="M815" s="3" t="s">
        <v>33</v>
      </c>
      <c r="N815" s="5">
        <v>1.3042026761272144E-2</v>
      </c>
      <c r="O815" s="3" t="s">
        <v>7</v>
      </c>
    </row>
    <row r="816" spans="12:15" x14ac:dyDescent="0.45">
      <c r="L816" s="6" t="s">
        <v>289</v>
      </c>
      <c r="M816" s="6" t="s">
        <v>34</v>
      </c>
      <c r="N816" s="8">
        <v>1.3161073492906045E-2</v>
      </c>
      <c r="O816" s="6" t="s">
        <v>7</v>
      </c>
    </row>
    <row r="817" spans="12:15" x14ac:dyDescent="0.45">
      <c r="L817" s="3" t="s">
        <v>289</v>
      </c>
      <c r="M817" s="3" t="s">
        <v>35</v>
      </c>
      <c r="N817" s="5">
        <v>1.3206731961470269E-2</v>
      </c>
      <c r="O817" s="3" t="s">
        <v>7</v>
      </c>
    </row>
    <row r="818" spans="12:15" x14ac:dyDescent="0.45">
      <c r="L818" s="6" t="s">
        <v>289</v>
      </c>
      <c r="M818" s="6" t="s">
        <v>36</v>
      </c>
      <c r="N818" s="8">
        <v>1.3210617748831753E-2</v>
      </c>
      <c r="O818" s="6" t="s">
        <v>7</v>
      </c>
    </row>
    <row r="819" spans="12:15" x14ac:dyDescent="0.45">
      <c r="L819" s="3" t="s">
        <v>289</v>
      </c>
      <c r="M819" s="3" t="s">
        <v>37</v>
      </c>
      <c r="N819" s="5">
        <v>1.305318768220444E-2</v>
      </c>
      <c r="O819" s="3" t="s">
        <v>7</v>
      </c>
    </row>
    <row r="820" spans="12:15" x14ac:dyDescent="0.45">
      <c r="L820" s="6" t="s">
        <v>289</v>
      </c>
      <c r="M820" s="6" t="s">
        <v>38</v>
      </c>
      <c r="N820" s="8">
        <v>1.9182429786355426E-2</v>
      </c>
      <c r="O820" s="6" t="s">
        <v>7</v>
      </c>
    </row>
    <row r="821" spans="12:15" x14ac:dyDescent="0.45">
      <c r="L821" s="3" t="s">
        <v>289</v>
      </c>
      <c r="M821" s="3" t="s">
        <v>39</v>
      </c>
      <c r="N821" s="5">
        <v>2.3380254866881729E-2</v>
      </c>
      <c r="O821" s="3" t="s">
        <v>7</v>
      </c>
    </row>
    <row r="822" spans="12:15" x14ac:dyDescent="0.45">
      <c r="L822" s="6" t="s">
        <v>289</v>
      </c>
      <c r="M822" s="6" t="s">
        <v>40</v>
      </c>
      <c r="N822" s="8">
        <v>8.756437703081146E-3</v>
      </c>
      <c r="O822" s="6" t="s">
        <v>7</v>
      </c>
    </row>
    <row r="823" spans="12:15" x14ac:dyDescent="0.45">
      <c r="L823" s="3" t="s">
        <v>289</v>
      </c>
      <c r="M823" s="3" t="s">
        <v>41</v>
      </c>
      <c r="N823" s="5">
        <v>8.7111859108670482E-3</v>
      </c>
      <c r="O823" s="3" t="s">
        <v>7</v>
      </c>
    </row>
    <row r="824" spans="12:15" x14ac:dyDescent="0.45">
      <c r="L824" s="6" t="s">
        <v>289</v>
      </c>
      <c r="M824" s="6" t="s">
        <v>42</v>
      </c>
      <c r="N824" s="8">
        <v>8.7944056255432786E-3</v>
      </c>
      <c r="O824" s="6" t="s">
        <v>7</v>
      </c>
    </row>
    <row r="825" spans="12:15" x14ac:dyDescent="0.45">
      <c r="L825" s="3" t="s">
        <v>289</v>
      </c>
      <c r="M825" s="3" t="s">
        <v>43</v>
      </c>
      <c r="N825" s="5">
        <v>9.3659664533449014E-3</v>
      </c>
      <c r="O825" s="3" t="s">
        <v>7</v>
      </c>
    </row>
    <row r="826" spans="12:15" x14ac:dyDescent="0.45">
      <c r="L826" s="6" t="s">
        <v>289</v>
      </c>
      <c r="M826" s="6" t="s">
        <v>44</v>
      </c>
      <c r="N826" s="8">
        <v>9.7521465050359451E-3</v>
      </c>
      <c r="O826" s="6" t="s">
        <v>7</v>
      </c>
    </row>
    <row r="827" spans="12:15" x14ac:dyDescent="0.45">
      <c r="L827" s="3" t="s">
        <v>289</v>
      </c>
      <c r="M827" s="3" t="s">
        <v>45</v>
      </c>
      <c r="N827" s="5">
        <v>9.6705762569548569E-3</v>
      </c>
      <c r="O827" s="3" t="s">
        <v>7</v>
      </c>
    </row>
    <row r="828" spans="12:15" x14ac:dyDescent="0.45">
      <c r="L828" s="6" t="s">
        <v>289</v>
      </c>
      <c r="M828" s="6" t="s">
        <v>46</v>
      </c>
      <c r="N828" s="8">
        <v>9.3317507772532112E-3</v>
      </c>
      <c r="O828" s="6" t="s">
        <v>7</v>
      </c>
    </row>
    <row r="829" spans="12:15" x14ac:dyDescent="0.45">
      <c r="L829" s="3" t="s">
        <v>289</v>
      </c>
      <c r="M829" s="3" t="s">
        <v>47</v>
      </c>
      <c r="N829" s="5">
        <v>9.1014399396440251E-3</v>
      </c>
      <c r="O829" s="3" t="s">
        <v>7</v>
      </c>
    </row>
    <row r="830" spans="12:15" x14ac:dyDescent="0.45">
      <c r="L830" s="6" t="s">
        <v>289</v>
      </c>
      <c r="M830" s="6" t="s">
        <v>48</v>
      </c>
      <c r="N830" s="8">
        <v>1.4008447686082618E-2</v>
      </c>
      <c r="O830" s="6" t="s">
        <v>7</v>
      </c>
    </row>
    <row r="831" spans="12:15" x14ac:dyDescent="0.45">
      <c r="L831" s="3" t="s">
        <v>289</v>
      </c>
      <c r="M831" s="3" t="s">
        <v>49</v>
      </c>
      <c r="N831" s="5">
        <v>3.481000236456356E-2</v>
      </c>
      <c r="O831" s="3" t="s">
        <v>7</v>
      </c>
    </row>
    <row r="832" spans="12:15" x14ac:dyDescent="0.45">
      <c r="L832" s="6" t="s">
        <v>289</v>
      </c>
      <c r="M832" s="6" t="s">
        <v>50</v>
      </c>
      <c r="N832" s="8">
        <v>1.4183234888306822E-2</v>
      </c>
      <c r="O832" s="6" t="s">
        <v>7</v>
      </c>
    </row>
    <row r="833" spans="12:15" x14ac:dyDescent="0.45">
      <c r="L833" s="3" t="s">
        <v>289</v>
      </c>
      <c r="M833" s="3" t="s">
        <v>51</v>
      </c>
      <c r="N833" s="5">
        <v>1.4336834000811869E-2</v>
      </c>
      <c r="O833" s="3" t="s">
        <v>7</v>
      </c>
    </row>
    <row r="834" spans="12:15" x14ac:dyDescent="0.45">
      <c r="L834" s="6" t="s">
        <v>289</v>
      </c>
      <c r="M834" s="6" t="s">
        <v>52</v>
      </c>
      <c r="N834" s="8">
        <v>1.4251953430929469E-2</v>
      </c>
      <c r="O834" s="6" t="s">
        <v>7</v>
      </c>
    </row>
    <row r="835" spans="12:15" x14ac:dyDescent="0.45">
      <c r="L835" s="3" t="s">
        <v>289</v>
      </c>
      <c r="M835" s="3" t="s">
        <v>53</v>
      </c>
      <c r="N835" s="5">
        <v>1.4297092040961678E-2</v>
      </c>
      <c r="O835" s="3" t="s">
        <v>7</v>
      </c>
    </row>
    <row r="836" spans="12:15" x14ac:dyDescent="0.45">
      <c r="L836" s="6" t="s">
        <v>289</v>
      </c>
      <c r="M836" s="6" t="s">
        <v>54</v>
      </c>
      <c r="N836" s="8">
        <v>1.3927058649955122E-2</v>
      </c>
      <c r="O836" s="6" t="s">
        <v>7</v>
      </c>
    </row>
    <row r="837" spans="12:15" x14ac:dyDescent="0.45">
      <c r="L837" s="3" t="s">
        <v>289</v>
      </c>
      <c r="M837" s="3" t="s">
        <v>55</v>
      </c>
      <c r="N837" s="5">
        <v>1.3808624332187585E-2</v>
      </c>
      <c r="O837" s="3" t="s">
        <v>7</v>
      </c>
    </row>
    <row r="838" spans="12:15" x14ac:dyDescent="0.45">
      <c r="L838" s="6" t="s">
        <v>289</v>
      </c>
      <c r="M838" s="6" t="s">
        <v>56</v>
      </c>
      <c r="N838" s="8">
        <v>1.3530356682679628E-2</v>
      </c>
      <c r="O838" s="6" t="s">
        <v>7</v>
      </c>
    </row>
    <row r="839" spans="12:15" x14ac:dyDescent="0.45">
      <c r="L839" s="3" t="s">
        <v>289</v>
      </c>
      <c r="M839" s="3" t="s">
        <v>57</v>
      </c>
      <c r="N839" s="5">
        <v>1.3368032027675116E-2</v>
      </c>
      <c r="O839" s="3" t="s">
        <v>7</v>
      </c>
    </row>
    <row r="840" spans="12:15" x14ac:dyDescent="0.45">
      <c r="L840" s="6" t="s">
        <v>289</v>
      </c>
      <c r="M840" s="6" t="s">
        <v>58</v>
      </c>
      <c r="N840" s="8">
        <v>2.0648187111240956E-2</v>
      </c>
      <c r="O840" s="6" t="s">
        <v>7</v>
      </c>
    </row>
    <row r="841" spans="12:15" x14ac:dyDescent="0.45">
      <c r="L841" s="3" t="s">
        <v>289</v>
      </c>
      <c r="M841" s="3" t="s">
        <v>59</v>
      </c>
      <c r="N841" s="5">
        <v>3.8291820845080468E-2</v>
      </c>
      <c r="O841" s="3" t="s">
        <v>7</v>
      </c>
    </row>
    <row r="842" spans="12:15" x14ac:dyDescent="0.45">
      <c r="L842" s="6" t="s">
        <v>289</v>
      </c>
      <c r="M842" s="6" t="s">
        <v>60</v>
      </c>
      <c r="N842" s="8">
        <v>1.521234223768504E-2</v>
      </c>
      <c r="O842" s="6" t="s">
        <v>7</v>
      </c>
    </row>
    <row r="843" spans="12:15" x14ac:dyDescent="0.45">
      <c r="L843" s="3" t="s">
        <v>289</v>
      </c>
      <c r="M843" s="3" t="s">
        <v>61</v>
      </c>
      <c r="N843" s="5">
        <v>1.5004327136775285E-2</v>
      </c>
      <c r="O843" s="3" t="s">
        <v>7</v>
      </c>
    </row>
    <row r="844" spans="12:15" x14ac:dyDescent="0.45">
      <c r="L844" s="6" t="s">
        <v>289</v>
      </c>
      <c r="M844" s="6" t="s">
        <v>62</v>
      </c>
      <c r="N844" s="8">
        <v>1.5381417580991883E-2</v>
      </c>
      <c r="O844" s="6" t="s">
        <v>7</v>
      </c>
    </row>
    <row r="845" spans="12:15" x14ac:dyDescent="0.45">
      <c r="L845" s="3" t="s">
        <v>289</v>
      </c>
      <c r="M845" s="3" t="s">
        <v>63</v>
      </c>
      <c r="N845" s="5">
        <v>1.5607968149515532E-2</v>
      </c>
      <c r="O845" s="3" t="s">
        <v>7</v>
      </c>
    </row>
    <row r="846" spans="12:15" x14ac:dyDescent="0.45">
      <c r="L846" s="6" t="s">
        <v>289</v>
      </c>
      <c r="M846" s="6" t="s">
        <v>64</v>
      </c>
      <c r="N846" s="8">
        <v>1.5743478755115597E-2</v>
      </c>
      <c r="O846" s="6" t="s">
        <v>7</v>
      </c>
    </row>
    <row r="847" spans="12:15" x14ac:dyDescent="0.45">
      <c r="L847" s="3" t="s">
        <v>289</v>
      </c>
      <c r="M847" s="3" t="s">
        <v>65</v>
      </c>
      <c r="N847" s="5">
        <v>1.5812008336605825E-2</v>
      </c>
      <c r="O847" s="3" t="s">
        <v>7</v>
      </c>
    </row>
    <row r="848" spans="12:15" x14ac:dyDescent="0.45">
      <c r="L848" s="6" t="s">
        <v>289</v>
      </c>
      <c r="M848" s="6" t="s">
        <v>66</v>
      </c>
      <c r="N848" s="8">
        <v>1.5321701647979033E-2</v>
      </c>
      <c r="O848" s="6" t="s">
        <v>7</v>
      </c>
    </row>
    <row r="849" spans="12:15" x14ac:dyDescent="0.45">
      <c r="L849" s="3" t="s">
        <v>289</v>
      </c>
      <c r="M849" s="3" t="s">
        <v>67</v>
      </c>
      <c r="N849" s="5">
        <v>1.518847236213006E-2</v>
      </c>
      <c r="O849" s="3" t="s">
        <v>7</v>
      </c>
    </row>
    <row r="850" spans="12:15" x14ac:dyDescent="0.45">
      <c r="L850" s="6" t="s">
        <v>289</v>
      </c>
      <c r="M850" s="6" t="s">
        <v>68</v>
      </c>
      <c r="N850" s="8">
        <v>2.357864432513699E-2</v>
      </c>
      <c r="O850" s="6" t="s">
        <v>7</v>
      </c>
    </row>
    <row r="851" spans="12:15" x14ac:dyDescent="0.45">
      <c r="L851" s="3" t="s">
        <v>290</v>
      </c>
      <c r="M851" s="3" t="s">
        <v>6</v>
      </c>
      <c r="N851" s="5">
        <v>3.8367674650686648E-2</v>
      </c>
      <c r="O851" s="3" t="s">
        <v>7</v>
      </c>
    </row>
    <row r="852" spans="12:15" x14ac:dyDescent="0.45">
      <c r="L852" s="6" t="s">
        <v>290</v>
      </c>
      <c r="M852" s="6" t="s">
        <v>10</v>
      </c>
      <c r="N852" s="8">
        <v>1.5631145298576801E-2</v>
      </c>
      <c r="O852" s="6" t="s">
        <v>7</v>
      </c>
    </row>
    <row r="853" spans="12:15" x14ac:dyDescent="0.45">
      <c r="L853" s="3" t="s">
        <v>290</v>
      </c>
      <c r="M853" s="3" t="s">
        <v>11</v>
      </c>
      <c r="N853" s="5">
        <v>1.6213541712704352E-2</v>
      </c>
      <c r="O853" s="3" t="s">
        <v>7</v>
      </c>
    </row>
    <row r="854" spans="12:15" x14ac:dyDescent="0.45">
      <c r="L854" s="6" t="s">
        <v>290</v>
      </c>
      <c r="M854" s="6" t="s">
        <v>12</v>
      </c>
      <c r="N854" s="8">
        <v>1.7446851930024022E-2</v>
      </c>
      <c r="O854" s="6" t="s">
        <v>7</v>
      </c>
    </row>
    <row r="855" spans="12:15" x14ac:dyDescent="0.45">
      <c r="L855" s="3" t="s">
        <v>290</v>
      </c>
      <c r="M855" s="3" t="s">
        <v>13</v>
      </c>
      <c r="N855" s="5">
        <v>1.8195362647444733E-2</v>
      </c>
      <c r="O855" s="3" t="s">
        <v>7</v>
      </c>
    </row>
    <row r="856" spans="12:15" x14ac:dyDescent="0.45">
      <c r="L856" s="6" t="s">
        <v>290</v>
      </c>
      <c r="M856" s="6" t="s">
        <v>14</v>
      </c>
      <c r="N856" s="8">
        <v>1.784281248210506E-2</v>
      </c>
      <c r="O856" s="6" t="s">
        <v>7</v>
      </c>
    </row>
    <row r="857" spans="12:15" x14ac:dyDescent="0.45">
      <c r="L857" s="3" t="s">
        <v>290</v>
      </c>
      <c r="M857" s="3" t="s">
        <v>15</v>
      </c>
      <c r="N857" s="5">
        <v>1.6921376857647719E-2</v>
      </c>
      <c r="O857" s="3" t="s">
        <v>7</v>
      </c>
    </row>
    <row r="858" spans="12:15" x14ac:dyDescent="0.45">
      <c r="L858" s="6" t="s">
        <v>290</v>
      </c>
      <c r="M858" s="6" t="s">
        <v>16</v>
      </c>
      <c r="N858" s="8">
        <v>1.6276940849049074E-2</v>
      </c>
      <c r="O858" s="6" t="s">
        <v>7</v>
      </c>
    </row>
    <row r="859" spans="12:15" x14ac:dyDescent="0.45">
      <c r="L859" s="3" t="s">
        <v>290</v>
      </c>
      <c r="M859" s="3" t="s">
        <v>17</v>
      </c>
      <c r="N859" s="5">
        <v>1.6290441497692234E-2</v>
      </c>
      <c r="O859" s="3" t="s">
        <v>7</v>
      </c>
    </row>
    <row r="860" spans="12:15" x14ac:dyDescent="0.45">
      <c r="L860" s="6" t="s">
        <v>290</v>
      </c>
      <c r="M860" s="6" t="s">
        <v>18</v>
      </c>
      <c r="N860" s="8">
        <v>2.3959819433051539E-2</v>
      </c>
      <c r="O860" s="6" t="s">
        <v>7</v>
      </c>
    </row>
    <row r="861" spans="12:15" x14ac:dyDescent="0.45">
      <c r="L861" s="3" t="s">
        <v>290</v>
      </c>
      <c r="M861" s="3" t="s">
        <v>19</v>
      </c>
      <c r="N861" s="5">
        <v>3.9467993420171016E-2</v>
      </c>
      <c r="O861" s="3" t="s">
        <v>7</v>
      </c>
    </row>
    <row r="862" spans="12:15" x14ac:dyDescent="0.45">
      <c r="L862" s="6" t="s">
        <v>290</v>
      </c>
      <c r="M862" s="6" t="s">
        <v>20</v>
      </c>
      <c r="N862" s="8">
        <v>1.5438640030116585E-2</v>
      </c>
      <c r="O862" s="6" t="s">
        <v>7</v>
      </c>
    </row>
    <row r="863" spans="12:15" x14ac:dyDescent="0.45">
      <c r="L863" s="3" t="s">
        <v>290</v>
      </c>
      <c r="M863" s="3" t="s">
        <v>21</v>
      </c>
      <c r="N863" s="5">
        <v>1.5884297604736829E-2</v>
      </c>
      <c r="O863" s="3" t="s">
        <v>7</v>
      </c>
    </row>
    <row r="864" spans="12:15" x14ac:dyDescent="0.45">
      <c r="L864" s="6" t="s">
        <v>290</v>
      </c>
      <c r="M864" s="6" t="s">
        <v>22</v>
      </c>
      <c r="N864" s="8">
        <v>1.7389829680983938E-2</v>
      </c>
      <c r="O864" s="6" t="s">
        <v>7</v>
      </c>
    </row>
    <row r="865" spans="12:15" x14ac:dyDescent="0.45">
      <c r="L865" s="3" t="s">
        <v>290</v>
      </c>
      <c r="M865" s="3" t="s">
        <v>23</v>
      </c>
      <c r="N865" s="5">
        <v>1.7478170535283541E-2</v>
      </c>
      <c r="O865" s="3" t="s">
        <v>7</v>
      </c>
    </row>
    <row r="866" spans="12:15" x14ac:dyDescent="0.45">
      <c r="L866" s="6" t="s">
        <v>290</v>
      </c>
      <c r="M866" s="6" t="s">
        <v>24</v>
      </c>
      <c r="N866" s="8">
        <v>1.7783763955342567E-2</v>
      </c>
      <c r="O866" s="6" t="s">
        <v>7</v>
      </c>
    </row>
    <row r="867" spans="12:15" x14ac:dyDescent="0.45">
      <c r="L867" s="3" t="s">
        <v>290</v>
      </c>
      <c r="M867" s="3" t="s">
        <v>25</v>
      </c>
      <c r="N867" s="5">
        <v>1.7557310435505579E-2</v>
      </c>
      <c r="O867" s="3" t="s">
        <v>7</v>
      </c>
    </row>
    <row r="868" spans="12:15" x14ac:dyDescent="0.45">
      <c r="L868" s="6" t="s">
        <v>290</v>
      </c>
      <c r="M868" s="6" t="s">
        <v>26</v>
      </c>
      <c r="N868" s="8">
        <v>1.6030061991821134E-2</v>
      </c>
      <c r="O868" s="6" t="s">
        <v>7</v>
      </c>
    </row>
    <row r="869" spans="12:15" x14ac:dyDescent="0.45">
      <c r="L869" s="3" t="s">
        <v>290</v>
      </c>
      <c r="M869" s="3" t="s">
        <v>27</v>
      </c>
      <c r="N869" s="5">
        <v>1.5597908432821958E-2</v>
      </c>
      <c r="O869" s="3" t="s">
        <v>7</v>
      </c>
    </row>
    <row r="870" spans="12:15" x14ac:dyDescent="0.45">
      <c r="L870" s="6" t="s">
        <v>290</v>
      </c>
      <c r="M870" s="6" t="s">
        <v>28</v>
      </c>
      <c r="N870" s="8">
        <v>2.3712561140950932E-2</v>
      </c>
      <c r="O870" s="6" t="s">
        <v>7</v>
      </c>
    </row>
    <row r="871" spans="12:15" x14ac:dyDescent="0.45">
      <c r="L871" s="3" t="s">
        <v>290</v>
      </c>
      <c r="M871" s="3" t="s">
        <v>29</v>
      </c>
      <c r="N871" s="5">
        <v>2.7657804706557466E-2</v>
      </c>
      <c r="O871" s="3" t="s">
        <v>7</v>
      </c>
    </row>
    <row r="872" spans="12:15" x14ac:dyDescent="0.45">
      <c r="L872" s="6" t="s">
        <v>290</v>
      </c>
      <c r="M872" s="6" t="s">
        <v>30</v>
      </c>
      <c r="N872" s="8">
        <v>1.1627923049578465E-2</v>
      </c>
      <c r="O872" s="6" t="s">
        <v>7</v>
      </c>
    </row>
    <row r="873" spans="12:15" x14ac:dyDescent="0.45">
      <c r="L873" s="3" t="s">
        <v>290</v>
      </c>
      <c r="M873" s="3" t="s">
        <v>31</v>
      </c>
      <c r="N873" s="5">
        <v>1.3315592879365378E-2</v>
      </c>
      <c r="O873" s="3" t="s">
        <v>7</v>
      </c>
    </row>
    <row r="874" spans="12:15" x14ac:dyDescent="0.45">
      <c r="L874" s="6" t="s">
        <v>290</v>
      </c>
      <c r="M874" s="6" t="s">
        <v>32</v>
      </c>
      <c r="N874" s="8">
        <v>1.4620921467584818E-2</v>
      </c>
      <c r="O874" s="6" t="s">
        <v>7</v>
      </c>
    </row>
    <row r="875" spans="12:15" x14ac:dyDescent="0.45">
      <c r="L875" s="3" t="s">
        <v>290</v>
      </c>
      <c r="M875" s="3" t="s">
        <v>33</v>
      </c>
      <c r="N875" s="5">
        <v>1.5808577975920661E-2</v>
      </c>
      <c r="O875" s="3" t="s">
        <v>7</v>
      </c>
    </row>
    <row r="876" spans="12:15" x14ac:dyDescent="0.45">
      <c r="L876" s="6" t="s">
        <v>290</v>
      </c>
      <c r="M876" s="6" t="s">
        <v>34</v>
      </c>
      <c r="N876" s="8">
        <v>1.6347724846742951E-2</v>
      </c>
      <c r="O876" s="6" t="s">
        <v>7</v>
      </c>
    </row>
    <row r="877" spans="12:15" x14ac:dyDescent="0.45">
      <c r="L877" s="3" t="s">
        <v>290</v>
      </c>
      <c r="M877" s="3" t="s">
        <v>35</v>
      </c>
      <c r="N877" s="5">
        <v>1.6134437140632757E-2</v>
      </c>
      <c r="O877" s="3" t="s">
        <v>7</v>
      </c>
    </row>
    <row r="878" spans="12:15" x14ac:dyDescent="0.45">
      <c r="L878" s="6" t="s">
        <v>290</v>
      </c>
      <c r="M878" s="6" t="s">
        <v>36</v>
      </c>
      <c r="N878" s="8">
        <v>1.4854409510286139E-2</v>
      </c>
      <c r="O878" s="6" t="s">
        <v>7</v>
      </c>
    </row>
    <row r="879" spans="12:15" x14ac:dyDescent="0.45">
      <c r="L879" s="3" t="s">
        <v>290</v>
      </c>
      <c r="M879" s="3" t="s">
        <v>37</v>
      </c>
      <c r="N879" s="5">
        <v>1.2556782159690225E-2</v>
      </c>
      <c r="O879" s="3" t="s">
        <v>7</v>
      </c>
    </row>
    <row r="880" spans="12:15" x14ac:dyDescent="0.45">
      <c r="L880" s="6" t="s">
        <v>290</v>
      </c>
      <c r="M880" s="6" t="s">
        <v>38</v>
      </c>
      <c r="N880" s="8">
        <v>1.6952343901677061E-2</v>
      </c>
      <c r="O880" s="6" t="s">
        <v>7</v>
      </c>
    </row>
    <row r="881" spans="12:15" x14ac:dyDescent="0.45">
      <c r="L881" s="3" t="s">
        <v>290</v>
      </c>
      <c r="M881" s="3" t="s">
        <v>39</v>
      </c>
      <c r="N881" s="5">
        <v>1.7143433391829919E-2</v>
      </c>
      <c r="O881" s="3" t="s">
        <v>7</v>
      </c>
    </row>
    <row r="882" spans="12:15" x14ac:dyDescent="0.45">
      <c r="L882" s="6" t="s">
        <v>290</v>
      </c>
      <c r="M882" s="6" t="s">
        <v>40</v>
      </c>
      <c r="N882" s="8">
        <v>6.2326892683319136E-3</v>
      </c>
      <c r="O882" s="6" t="s">
        <v>7</v>
      </c>
    </row>
    <row r="883" spans="12:15" x14ac:dyDescent="0.45">
      <c r="L883" s="3" t="s">
        <v>290</v>
      </c>
      <c r="M883" s="3" t="s">
        <v>41</v>
      </c>
      <c r="N883" s="5">
        <v>7.2109042722863876E-3</v>
      </c>
      <c r="O883" s="3" t="s">
        <v>7</v>
      </c>
    </row>
    <row r="884" spans="12:15" x14ac:dyDescent="0.45">
      <c r="L884" s="6" t="s">
        <v>290</v>
      </c>
      <c r="M884" s="6" t="s">
        <v>42</v>
      </c>
      <c r="N884" s="8">
        <v>8.1223213986124886E-3</v>
      </c>
      <c r="O884" s="6" t="s">
        <v>7</v>
      </c>
    </row>
    <row r="885" spans="12:15" x14ac:dyDescent="0.45">
      <c r="L885" s="3" t="s">
        <v>290</v>
      </c>
      <c r="M885" s="3" t="s">
        <v>43</v>
      </c>
      <c r="N885" s="5">
        <v>8.9705856282826998E-3</v>
      </c>
      <c r="O885" s="3" t="s">
        <v>7</v>
      </c>
    </row>
    <row r="886" spans="12:15" x14ac:dyDescent="0.45">
      <c r="L886" s="6" t="s">
        <v>290</v>
      </c>
      <c r="M886" s="6" t="s">
        <v>44</v>
      </c>
      <c r="N886" s="8">
        <v>9.5530685649147119E-3</v>
      </c>
      <c r="O886" s="6" t="s">
        <v>7</v>
      </c>
    </row>
    <row r="887" spans="12:15" x14ac:dyDescent="0.45">
      <c r="L887" s="3" t="s">
        <v>290</v>
      </c>
      <c r="M887" s="3" t="s">
        <v>45</v>
      </c>
      <c r="N887" s="5">
        <v>9.313757853827381E-3</v>
      </c>
      <c r="O887" s="3" t="s">
        <v>7</v>
      </c>
    </row>
    <row r="888" spans="12:15" x14ac:dyDescent="0.45">
      <c r="L888" s="6" t="s">
        <v>290</v>
      </c>
      <c r="M888" s="6" t="s">
        <v>46</v>
      </c>
      <c r="N888" s="8">
        <v>8.1513526193228401E-3</v>
      </c>
      <c r="O888" s="6" t="s">
        <v>7</v>
      </c>
    </row>
    <row r="889" spans="12:15" x14ac:dyDescent="0.45">
      <c r="L889" s="3" t="s">
        <v>290</v>
      </c>
      <c r="M889" s="3" t="s">
        <v>47</v>
      </c>
      <c r="N889" s="5">
        <v>6.7394308706494226E-3</v>
      </c>
      <c r="O889" s="3" t="s">
        <v>7</v>
      </c>
    </row>
    <row r="890" spans="12:15" x14ac:dyDescent="0.45">
      <c r="L890" s="6" t="s">
        <v>290</v>
      </c>
      <c r="M890" s="6" t="s">
        <v>48</v>
      </c>
      <c r="N890" s="8">
        <v>1.0072879236073942E-2</v>
      </c>
      <c r="O890" s="6" t="s">
        <v>7</v>
      </c>
    </row>
    <row r="891" spans="12:15" x14ac:dyDescent="0.45">
      <c r="L891" s="3" t="s">
        <v>290</v>
      </c>
      <c r="M891" s="3" t="s">
        <v>49</v>
      </c>
      <c r="N891" s="5">
        <v>2.7474396341650539E-2</v>
      </c>
      <c r="O891" s="3" t="s">
        <v>7</v>
      </c>
    </row>
    <row r="892" spans="12:15" x14ac:dyDescent="0.45">
      <c r="L892" s="6" t="s">
        <v>290</v>
      </c>
      <c r="M892" s="6" t="s">
        <v>50</v>
      </c>
      <c r="N892" s="8">
        <v>1.1660609125229801E-2</v>
      </c>
      <c r="O892" s="6" t="s">
        <v>7</v>
      </c>
    </row>
    <row r="893" spans="12:15" x14ac:dyDescent="0.45">
      <c r="L893" s="3" t="s">
        <v>290</v>
      </c>
      <c r="M893" s="3" t="s">
        <v>51</v>
      </c>
      <c r="N893" s="5">
        <v>1.2723058424257166E-2</v>
      </c>
      <c r="O893" s="3" t="s">
        <v>7</v>
      </c>
    </row>
    <row r="894" spans="12:15" x14ac:dyDescent="0.45">
      <c r="L894" s="6" t="s">
        <v>290</v>
      </c>
      <c r="M894" s="6" t="s">
        <v>52</v>
      </c>
      <c r="N894" s="8">
        <v>1.3881954750477448E-2</v>
      </c>
      <c r="O894" s="6" t="s">
        <v>7</v>
      </c>
    </row>
    <row r="895" spans="12:15" x14ac:dyDescent="0.45">
      <c r="L895" s="3" t="s">
        <v>290</v>
      </c>
      <c r="M895" s="3" t="s">
        <v>53</v>
      </c>
      <c r="N895" s="5">
        <v>1.4549448850519774E-2</v>
      </c>
      <c r="O895" s="3" t="s">
        <v>7</v>
      </c>
    </row>
    <row r="896" spans="12:15" x14ac:dyDescent="0.45">
      <c r="L896" s="6" t="s">
        <v>290</v>
      </c>
      <c r="M896" s="6" t="s">
        <v>54</v>
      </c>
      <c r="N896" s="8">
        <v>1.426223610575298E-2</v>
      </c>
      <c r="O896" s="6" t="s">
        <v>7</v>
      </c>
    </row>
    <row r="897" spans="12:15" x14ac:dyDescent="0.45">
      <c r="L897" s="3" t="s">
        <v>290</v>
      </c>
      <c r="M897" s="3" t="s">
        <v>55</v>
      </c>
      <c r="N897" s="5">
        <v>1.3446016667802872E-2</v>
      </c>
      <c r="O897" s="3" t="s">
        <v>7</v>
      </c>
    </row>
    <row r="898" spans="12:15" x14ac:dyDescent="0.45">
      <c r="L898" s="6" t="s">
        <v>290</v>
      </c>
      <c r="M898" s="6" t="s">
        <v>56</v>
      </c>
      <c r="N898" s="8">
        <v>1.1712949900267703E-2</v>
      </c>
      <c r="O898" s="6" t="s">
        <v>7</v>
      </c>
    </row>
    <row r="899" spans="12:15" x14ac:dyDescent="0.45">
      <c r="L899" s="3" t="s">
        <v>290</v>
      </c>
      <c r="M899" s="3" t="s">
        <v>57</v>
      </c>
      <c r="N899" s="5">
        <v>1.0907387700906391E-2</v>
      </c>
      <c r="O899" s="3" t="s">
        <v>7</v>
      </c>
    </row>
    <row r="900" spans="12:15" x14ac:dyDescent="0.45">
      <c r="L900" s="6" t="s">
        <v>290</v>
      </c>
      <c r="M900" s="6" t="s">
        <v>58</v>
      </c>
      <c r="N900" s="8">
        <v>1.6562680307574545E-2</v>
      </c>
      <c r="O900" s="6" t="s">
        <v>7</v>
      </c>
    </row>
    <row r="901" spans="12:15" x14ac:dyDescent="0.45">
      <c r="L901" s="3" t="s">
        <v>290</v>
      </c>
      <c r="M901" s="3" t="s">
        <v>59</v>
      </c>
      <c r="N901" s="5">
        <v>4.0935334766753109E-2</v>
      </c>
      <c r="O901" s="3" t="s">
        <v>7</v>
      </c>
    </row>
    <row r="902" spans="12:15" x14ac:dyDescent="0.45">
      <c r="L902" s="6" t="s">
        <v>290</v>
      </c>
      <c r="M902" s="6" t="s">
        <v>60</v>
      </c>
      <c r="N902" s="8">
        <v>1.7422592641835641E-2</v>
      </c>
      <c r="O902" s="6" t="s">
        <v>7</v>
      </c>
    </row>
    <row r="903" spans="12:15" x14ac:dyDescent="0.45">
      <c r="L903" s="3" t="s">
        <v>290</v>
      </c>
      <c r="M903" s="3" t="s">
        <v>61</v>
      </c>
      <c r="N903" s="5">
        <v>1.734565876873103E-2</v>
      </c>
      <c r="O903" s="3" t="s">
        <v>7</v>
      </c>
    </row>
    <row r="904" spans="12:15" x14ac:dyDescent="0.45">
      <c r="L904" s="6" t="s">
        <v>290</v>
      </c>
      <c r="M904" s="6" t="s">
        <v>62</v>
      </c>
      <c r="N904" s="8">
        <v>1.7843593598266906E-2</v>
      </c>
      <c r="O904" s="6" t="s">
        <v>7</v>
      </c>
    </row>
    <row r="905" spans="12:15" x14ac:dyDescent="0.45">
      <c r="L905" s="3" t="s">
        <v>290</v>
      </c>
      <c r="M905" s="3" t="s">
        <v>63</v>
      </c>
      <c r="N905" s="5">
        <v>1.876463891360006E-2</v>
      </c>
      <c r="O905" s="3" t="s">
        <v>7</v>
      </c>
    </row>
    <row r="906" spans="12:15" x14ac:dyDescent="0.45">
      <c r="L906" s="6" t="s">
        <v>290</v>
      </c>
      <c r="M906" s="6" t="s">
        <v>64</v>
      </c>
      <c r="N906" s="8">
        <v>1.8637784675342439E-2</v>
      </c>
      <c r="O906" s="6" t="s">
        <v>7</v>
      </c>
    </row>
    <row r="907" spans="12:15" x14ac:dyDescent="0.45">
      <c r="L907" s="3" t="s">
        <v>290</v>
      </c>
      <c r="M907" s="3" t="s">
        <v>65</v>
      </c>
      <c r="N907" s="5">
        <v>1.790329153219351E-2</v>
      </c>
      <c r="O907" s="3" t="s">
        <v>7</v>
      </c>
    </row>
    <row r="908" spans="12:15" x14ac:dyDescent="0.45">
      <c r="L908" s="6" t="s">
        <v>290</v>
      </c>
      <c r="M908" s="6" t="s">
        <v>66</v>
      </c>
      <c r="N908" s="8">
        <v>1.7766430931059268E-2</v>
      </c>
      <c r="O908" s="6" t="s">
        <v>7</v>
      </c>
    </row>
    <row r="909" spans="12:15" x14ac:dyDescent="0.45">
      <c r="L909" s="3" t="s">
        <v>290</v>
      </c>
      <c r="M909" s="3" t="s">
        <v>67</v>
      </c>
      <c r="N909" s="5">
        <v>1.6985259953511182E-2</v>
      </c>
      <c r="O909" s="3" t="s">
        <v>7</v>
      </c>
    </row>
    <row r="910" spans="12:15" x14ac:dyDescent="0.45">
      <c r="L910" s="6" t="s">
        <v>290</v>
      </c>
      <c r="M910" s="6" t="s">
        <v>68</v>
      </c>
      <c r="N910" s="8">
        <v>2.4341230715383848E-2</v>
      </c>
      <c r="O910" s="6" t="s">
        <v>7</v>
      </c>
    </row>
    <row r="911" spans="12:15" x14ac:dyDescent="0.45">
      <c r="L911" s="3" t="s">
        <v>291</v>
      </c>
      <c r="M911" s="3" t="s">
        <v>6</v>
      </c>
      <c r="N911" s="5">
        <v>3.8113767406960694E-2</v>
      </c>
      <c r="O911" s="3" t="s">
        <v>7</v>
      </c>
    </row>
    <row r="912" spans="12:15" x14ac:dyDescent="0.45">
      <c r="L912" s="6" t="s">
        <v>291</v>
      </c>
      <c r="M912" s="6" t="s">
        <v>10</v>
      </c>
      <c r="N912" s="8">
        <v>1.5511577175017586E-2</v>
      </c>
      <c r="O912" s="6" t="s">
        <v>7</v>
      </c>
    </row>
    <row r="913" spans="12:15" x14ac:dyDescent="0.45">
      <c r="L913" s="3" t="s">
        <v>291</v>
      </c>
      <c r="M913" s="3" t="s">
        <v>11</v>
      </c>
      <c r="N913" s="5">
        <v>1.5370972534202543E-2</v>
      </c>
      <c r="O913" s="3" t="s">
        <v>7</v>
      </c>
    </row>
    <row r="914" spans="12:15" x14ac:dyDescent="0.45">
      <c r="L914" s="6" t="s">
        <v>291</v>
      </c>
      <c r="M914" s="6" t="s">
        <v>12</v>
      </c>
      <c r="N914" s="8">
        <v>1.5803907086379545E-2</v>
      </c>
      <c r="O914" s="6" t="s">
        <v>7</v>
      </c>
    </row>
    <row r="915" spans="12:15" x14ac:dyDescent="0.45">
      <c r="L915" s="3" t="s">
        <v>291</v>
      </c>
      <c r="M915" s="3" t="s">
        <v>13</v>
      </c>
      <c r="N915" s="5">
        <v>1.5939803584110259E-2</v>
      </c>
      <c r="O915" s="3" t="s">
        <v>7</v>
      </c>
    </row>
    <row r="916" spans="12:15" x14ac:dyDescent="0.45">
      <c r="L916" s="6" t="s">
        <v>291</v>
      </c>
      <c r="M916" s="6" t="s">
        <v>14</v>
      </c>
      <c r="N916" s="8">
        <v>1.6072200709038306E-2</v>
      </c>
      <c r="O916" s="6" t="s">
        <v>7</v>
      </c>
    </row>
    <row r="917" spans="12:15" x14ac:dyDescent="0.45">
      <c r="L917" s="3" t="s">
        <v>291</v>
      </c>
      <c r="M917" s="3" t="s">
        <v>15</v>
      </c>
      <c r="N917" s="5">
        <v>1.5802156799941468E-2</v>
      </c>
      <c r="O917" s="3" t="s">
        <v>7</v>
      </c>
    </row>
    <row r="918" spans="12:15" x14ac:dyDescent="0.45">
      <c r="L918" s="6" t="s">
        <v>291</v>
      </c>
      <c r="M918" s="6" t="s">
        <v>16</v>
      </c>
      <c r="N918" s="8">
        <v>1.5490911843192031E-2</v>
      </c>
      <c r="O918" s="6" t="s">
        <v>7</v>
      </c>
    </row>
    <row r="919" spans="12:15" x14ac:dyDescent="0.45">
      <c r="L919" s="3" t="s">
        <v>291</v>
      </c>
      <c r="M919" s="3" t="s">
        <v>17</v>
      </c>
      <c r="N919" s="5">
        <v>1.5325171195574704E-2</v>
      </c>
      <c r="O919" s="3" t="s">
        <v>7</v>
      </c>
    </row>
    <row r="920" spans="12:15" x14ac:dyDescent="0.45">
      <c r="L920" s="6" t="s">
        <v>291</v>
      </c>
      <c r="M920" s="6" t="s">
        <v>18</v>
      </c>
      <c r="N920" s="8">
        <v>2.2610505244351226E-2</v>
      </c>
      <c r="O920" s="6" t="s">
        <v>7</v>
      </c>
    </row>
    <row r="921" spans="12:15" x14ac:dyDescent="0.45">
      <c r="L921" s="3" t="s">
        <v>291</v>
      </c>
      <c r="M921" s="3" t="s">
        <v>19</v>
      </c>
      <c r="N921" s="5">
        <v>4.003245321637372E-2</v>
      </c>
      <c r="O921" s="3" t="s">
        <v>7</v>
      </c>
    </row>
    <row r="922" spans="12:15" x14ac:dyDescent="0.45">
      <c r="L922" s="6" t="s">
        <v>291</v>
      </c>
      <c r="M922" s="6" t="s">
        <v>20</v>
      </c>
      <c r="N922" s="8">
        <v>1.5914131731788222E-2</v>
      </c>
      <c r="O922" s="6" t="s">
        <v>7</v>
      </c>
    </row>
    <row r="923" spans="12:15" x14ac:dyDescent="0.45">
      <c r="L923" s="3" t="s">
        <v>291</v>
      </c>
      <c r="M923" s="3" t="s">
        <v>21</v>
      </c>
      <c r="N923" s="5">
        <v>1.590924623671235E-2</v>
      </c>
      <c r="O923" s="3" t="s">
        <v>7</v>
      </c>
    </row>
    <row r="924" spans="12:15" x14ac:dyDescent="0.45">
      <c r="L924" s="6" t="s">
        <v>291</v>
      </c>
      <c r="M924" s="6" t="s">
        <v>22</v>
      </c>
      <c r="N924" s="8">
        <v>1.5587069233801381E-2</v>
      </c>
      <c r="O924" s="6" t="s">
        <v>7</v>
      </c>
    </row>
    <row r="925" spans="12:15" x14ac:dyDescent="0.45">
      <c r="L925" s="3" t="s">
        <v>291</v>
      </c>
      <c r="M925" s="3" t="s">
        <v>23</v>
      </c>
      <c r="N925" s="5">
        <v>1.5105116042026292E-2</v>
      </c>
      <c r="O925" s="3" t="s">
        <v>7</v>
      </c>
    </row>
    <row r="926" spans="12:15" x14ac:dyDescent="0.45">
      <c r="L926" s="6" t="s">
        <v>291</v>
      </c>
      <c r="M926" s="6" t="s">
        <v>24</v>
      </c>
      <c r="N926" s="8">
        <v>1.5013584069422107E-2</v>
      </c>
      <c r="O926" s="6" t="s">
        <v>7</v>
      </c>
    </row>
    <row r="927" spans="12:15" x14ac:dyDescent="0.45">
      <c r="L927" s="3" t="s">
        <v>291</v>
      </c>
      <c r="M927" s="3" t="s">
        <v>25</v>
      </c>
      <c r="N927" s="5">
        <v>1.5086401071284724E-2</v>
      </c>
      <c r="O927" s="3" t="s">
        <v>7</v>
      </c>
    </row>
    <row r="928" spans="12:15" x14ac:dyDescent="0.45">
      <c r="L928" s="6" t="s">
        <v>291</v>
      </c>
      <c r="M928" s="6" t="s">
        <v>26</v>
      </c>
      <c r="N928" s="8">
        <v>1.5140273538261015E-2</v>
      </c>
      <c r="O928" s="6" t="s">
        <v>7</v>
      </c>
    </row>
    <row r="929" spans="12:15" x14ac:dyDescent="0.45">
      <c r="L929" s="3" t="s">
        <v>291</v>
      </c>
      <c r="M929" s="3" t="s">
        <v>27</v>
      </c>
      <c r="N929" s="5">
        <v>1.5604742265490728E-2</v>
      </c>
      <c r="O929" s="3" t="s">
        <v>7</v>
      </c>
    </row>
    <row r="930" spans="12:15" x14ac:dyDescent="0.45">
      <c r="L930" s="6" t="s">
        <v>291</v>
      </c>
      <c r="M930" s="6" t="s">
        <v>28</v>
      </c>
      <c r="N930" s="8">
        <v>2.3868064493891301E-2</v>
      </c>
      <c r="O930" s="6" t="s">
        <v>7</v>
      </c>
    </row>
    <row r="931" spans="12:15" x14ac:dyDescent="0.45">
      <c r="L931" s="3" t="s">
        <v>291</v>
      </c>
      <c r="M931" s="3" t="s">
        <v>29</v>
      </c>
      <c r="N931" s="5">
        <v>3.1493054538231063E-2</v>
      </c>
      <c r="O931" s="3" t="s">
        <v>7</v>
      </c>
    </row>
    <row r="932" spans="12:15" x14ac:dyDescent="0.45">
      <c r="L932" s="6" t="s">
        <v>291</v>
      </c>
      <c r="M932" s="6" t="s">
        <v>30</v>
      </c>
      <c r="N932" s="8">
        <v>1.3050729533520251E-2</v>
      </c>
      <c r="O932" s="6" t="s">
        <v>7</v>
      </c>
    </row>
    <row r="933" spans="12:15" x14ac:dyDescent="0.45">
      <c r="L933" s="3" t="s">
        <v>291</v>
      </c>
      <c r="M933" s="3" t="s">
        <v>31</v>
      </c>
      <c r="N933" s="5">
        <v>1.32710568786526E-2</v>
      </c>
      <c r="O933" s="3" t="s">
        <v>7</v>
      </c>
    </row>
    <row r="934" spans="12:15" x14ac:dyDescent="0.45">
      <c r="L934" s="6" t="s">
        <v>291</v>
      </c>
      <c r="M934" s="6" t="s">
        <v>32</v>
      </c>
      <c r="N934" s="8">
        <v>1.3304480649371739E-2</v>
      </c>
      <c r="O934" s="6" t="s">
        <v>7</v>
      </c>
    </row>
    <row r="935" spans="12:15" x14ac:dyDescent="0.45">
      <c r="L935" s="3" t="s">
        <v>291</v>
      </c>
      <c r="M935" s="3" t="s">
        <v>33</v>
      </c>
      <c r="N935" s="5">
        <v>1.3698309116457783E-2</v>
      </c>
      <c r="O935" s="3" t="s">
        <v>7</v>
      </c>
    </row>
    <row r="936" spans="12:15" x14ac:dyDescent="0.45">
      <c r="L936" s="6" t="s">
        <v>291</v>
      </c>
      <c r="M936" s="6" t="s">
        <v>34</v>
      </c>
      <c r="N936" s="8">
        <v>1.3997159754220617E-2</v>
      </c>
      <c r="O936" s="6" t="s">
        <v>7</v>
      </c>
    </row>
    <row r="937" spans="12:15" x14ac:dyDescent="0.45">
      <c r="L937" s="3" t="s">
        <v>291</v>
      </c>
      <c r="M937" s="3" t="s">
        <v>35</v>
      </c>
      <c r="N937" s="5">
        <v>1.4045212361203716E-2</v>
      </c>
      <c r="O937" s="3" t="s">
        <v>7</v>
      </c>
    </row>
    <row r="938" spans="12:15" x14ac:dyDescent="0.45">
      <c r="L938" s="6" t="s">
        <v>291</v>
      </c>
      <c r="M938" s="6" t="s">
        <v>36</v>
      </c>
      <c r="N938" s="8">
        <v>1.3812079269686148E-2</v>
      </c>
      <c r="O938" s="6" t="s">
        <v>7</v>
      </c>
    </row>
    <row r="939" spans="12:15" x14ac:dyDescent="0.45">
      <c r="L939" s="3" t="s">
        <v>291</v>
      </c>
      <c r="M939" s="3" t="s">
        <v>37</v>
      </c>
      <c r="N939" s="5">
        <v>1.3129653963156886E-2</v>
      </c>
      <c r="O939" s="3" t="s">
        <v>7</v>
      </c>
    </row>
    <row r="940" spans="12:15" x14ac:dyDescent="0.45">
      <c r="L940" s="6" t="s">
        <v>291</v>
      </c>
      <c r="M940" s="6" t="s">
        <v>38</v>
      </c>
      <c r="N940" s="8">
        <v>1.9087669049339059E-2</v>
      </c>
      <c r="O940" s="6" t="s">
        <v>7</v>
      </c>
    </row>
    <row r="941" spans="12:15" x14ac:dyDescent="0.45">
      <c r="L941" s="3" t="s">
        <v>291</v>
      </c>
      <c r="M941" s="3" t="s">
        <v>39</v>
      </c>
      <c r="N941" s="5">
        <v>2.3041691687330772E-2</v>
      </c>
      <c r="O941" s="3" t="s">
        <v>7</v>
      </c>
    </row>
    <row r="942" spans="12:15" x14ac:dyDescent="0.45">
      <c r="L942" s="6" t="s">
        <v>291</v>
      </c>
      <c r="M942" s="6" t="s">
        <v>40</v>
      </c>
      <c r="N942" s="8">
        <v>8.765221750820085E-3</v>
      </c>
      <c r="O942" s="6" t="s">
        <v>7</v>
      </c>
    </row>
    <row r="943" spans="12:15" x14ac:dyDescent="0.45">
      <c r="L943" s="3" t="s">
        <v>291</v>
      </c>
      <c r="M943" s="3" t="s">
        <v>41</v>
      </c>
      <c r="N943" s="5">
        <v>8.5775125025184754E-3</v>
      </c>
      <c r="O943" s="3" t="s">
        <v>7</v>
      </c>
    </row>
    <row r="944" spans="12:15" x14ac:dyDescent="0.45">
      <c r="L944" s="6" t="s">
        <v>291</v>
      </c>
      <c r="M944" s="6" t="s">
        <v>42</v>
      </c>
      <c r="N944" s="8">
        <v>8.7436016465552713E-3</v>
      </c>
      <c r="O944" s="6" t="s">
        <v>7</v>
      </c>
    </row>
    <row r="945" spans="12:15" x14ac:dyDescent="0.45">
      <c r="L945" s="3" t="s">
        <v>291</v>
      </c>
      <c r="M945" s="3" t="s">
        <v>43</v>
      </c>
      <c r="N945" s="5">
        <v>9.1232620573265099E-3</v>
      </c>
      <c r="O945" s="3" t="s">
        <v>7</v>
      </c>
    </row>
    <row r="946" spans="12:15" x14ac:dyDescent="0.45">
      <c r="L946" s="6" t="s">
        <v>291</v>
      </c>
      <c r="M946" s="6" t="s">
        <v>44</v>
      </c>
      <c r="N946" s="8">
        <v>9.5529247066216613E-3</v>
      </c>
      <c r="O946" s="6" t="s">
        <v>7</v>
      </c>
    </row>
    <row r="947" spans="12:15" x14ac:dyDescent="0.45">
      <c r="L947" s="3" t="s">
        <v>291</v>
      </c>
      <c r="M947" s="3" t="s">
        <v>45</v>
      </c>
      <c r="N947" s="5">
        <v>9.6666801493084462E-3</v>
      </c>
      <c r="O947" s="3" t="s">
        <v>7</v>
      </c>
    </row>
    <row r="948" spans="12:15" x14ac:dyDescent="0.45">
      <c r="L948" s="6" t="s">
        <v>291</v>
      </c>
      <c r="M948" s="6" t="s">
        <v>46</v>
      </c>
      <c r="N948" s="8">
        <v>9.4150794486189283E-3</v>
      </c>
      <c r="O948" s="6" t="s">
        <v>7</v>
      </c>
    </row>
    <row r="949" spans="12:15" x14ac:dyDescent="0.45">
      <c r="L949" s="3" t="s">
        <v>291</v>
      </c>
      <c r="M949" s="3" t="s">
        <v>47</v>
      </c>
      <c r="N949" s="5">
        <v>8.9217991490146576E-3</v>
      </c>
      <c r="O949" s="3" t="s">
        <v>7</v>
      </c>
    </row>
    <row r="950" spans="12:15" x14ac:dyDescent="0.45">
      <c r="L950" s="6" t="s">
        <v>291</v>
      </c>
      <c r="M950" s="6" t="s">
        <v>48</v>
      </c>
      <c r="N950" s="8">
        <v>1.3799147204506632E-2</v>
      </c>
      <c r="O950" s="6" t="s">
        <v>7</v>
      </c>
    </row>
    <row r="951" spans="12:15" x14ac:dyDescent="0.45">
      <c r="L951" s="3" t="s">
        <v>291</v>
      </c>
      <c r="M951" s="3" t="s">
        <v>49</v>
      </c>
      <c r="N951" s="5">
        <v>3.3608417935121544E-2</v>
      </c>
      <c r="O951" s="3" t="s">
        <v>7</v>
      </c>
    </row>
    <row r="952" spans="12:15" x14ac:dyDescent="0.45">
      <c r="L952" s="6" t="s">
        <v>291</v>
      </c>
      <c r="M952" s="6" t="s">
        <v>50</v>
      </c>
      <c r="N952" s="8">
        <v>1.3854229599962773E-2</v>
      </c>
      <c r="O952" s="6" t="s">
        <v>7</v>
      </c>
    </row>
    <row r="953" spans="12:15" x14ac:dyDescent="0.45">
      <c r="L953" s="3" t="s">
        <v>291</v>
      </c>
      <c r="M953" s="3" t="s">
        <v>51</v>
      </c>
      <c r="N953" s="5">
        <v>1.4196652761135502E-2</v>
      </c>
      <c r="O953" s="3" t="s">
        <v>7</v>
      </c>
    </row>
    <row r="954" spans="12:15" x14ac:dyDescent="0.45">
      <c r="L954" s="6" t="s">
        <v>291</v>
      </c>
      <c r="M954" s="6" t="s">
        <v>52</v>
      </c>
      <c r="N954" s="8">
        <v>1.4364971292457904E-2</v>
      </c>
      <c r="O954" s="6" t="s">
        <v>7</v>
      </c>
    </row>
    <row r="955" spans="12:15" x14ac:dyDescent="0.45">
      <c r="L955" s="3" t="s">
        <v>291</v>
      </c>
      <c r="M955" s="3" t="s">
        <v>53</v>
      </c>
      <c r="N955" s="5">
        <v>1.4367646620058046E-2</v>
      </c>
      <c r="O955" s="3" t="s">
        <v>7</v>
      </c>
    </row>
    <row r="956" spans="12:15" x14ac:dyDescent="0.45">
      <c r="L956" s="6" t="s">
        <v>291</v>
      </c>
      <c r="M956" s="6" t="s">
        <v>54</v>
      </c>
      <c r="N956" s="8">
        <v>1.4114793833600262E-2</v>
      </c>
      <c r="O956" s="6" t="s">
        <v>7</v>
      </c>
    </row>
    <row r="957" spans="12:15" x14ac:dyDescent="0.45">
      <c r="L957" s="3" t="s">
        <v>291</v>
      </c>
      <c r="M957" s="3" t="s">
        <v>55</v>
      </c>
      <c r="N957" s="5">
        <v>1.3907001341271617E-2</v>
      </c>
      <c r="O957" s="3" t="s">
        <v>7</v>
      </c>
    </row>
    <row r="958" spans="12:15" x14ac:dyDescent="0.45">
      <c r="L958" s="6" t="s">
        <v>291</v>
      </c>
      <c r="M958" s="6" t="s">
        <v>56</v>
      </c>
      <c r="N958" s="8">
        <v>1.3550858194111701E-2</v>
      </c>
      <c r="O958" s="6" t="s">
        <v>7</v>
      </c>
    </row>
    <row r="959" spans="12:15" x14ac:dyDescent="0.45">
      <c r="L959" s="3" t="s">
        <v>291</v>
      </c>
      <c r="M959" s="3" t="s">
        <v>57</v>
      </c>
      <c r="N959" s="5">
        <v>1.319517260881488E-2</v>
      </c>
      <c r="O959" s="3" t="s">
        <v>7</v>
      </c>
    </row>
    <row r="960" spans="12:15" x14ac:dyDescent="0.45">
      <c r="L960" s="6" t="s">
        <v>291</v>
      </c>
      <c r="M960" s="6" t="s">
        <v>58</v>
      </c>
      <c r="N960" s="8">
        <v>2.01533233565034E-2</v>
      </c>
      <c r="O960" s="6" t="s">
        <v>7</v>
      </c>
    </row>
    <row r="961" spans="12:15" x14ac:dyDescent="0.45">
      <c r="L961" s="3" t="s">
        <v>291</v>
      </c>
      <c r="M961" s="3" t="s">
        <v>59</v>
      </c>
      <c r="N961" s="5">
        <v>4.0008699883617743E-2</v>
      </c>
      <c r="O961" s="3" t="s">
        <v>7</v>
      </c>
    </row>
    <row r="962" spans="12:15" x14ac:dyDescent="0.45">
      <c r="L962" s="6" t="s">
        <v>291</v>
      </c>
      <c r="M962" s="6" t="s">
        <v>60</v>
      </c>
      <c r="N962" s="8">
        <v>1.6055260463900812E-2</v>
      </c>
      <c r="O962" s="6" t="s">
        <v>7</v>
      </c>
    </row>
    <row r="963" spans="12:15" x14ac:dyDescent="0.45">
      <c r="L963" s="3" t="s">
        <v>291</v>
      </c>
      <c r="M963" s="3" t="s">
        <v>61</v>
      </c>
      <c r="N963" s="5">
        <v>1.5820289134244176E-2</v>
      </c>
      <c r="O963" s="3" t="s">
        <v>7</v>
      </c>
    </row>
    <row r="964" spans="12:15" x14ac:dyDescent="0.45">
      <c r="L964" s="6" t="s">
        <v>291</v>
      </c>
      <c r="M964" s="6" t="s">
        <v>62</v>
      </c>
      <c r="N964" s="8">
        <v>1.6007728279991685E-2</v>
      </c>
      <c r="O964" s="6" t="s">
        <v>7</v>
      </c>
    </row>
    <row r="965" spans="12:15" x14ac:dyDescent="0.45">
      <c r="L965" s="3" t="s">
        <v>291</v>
      </c>
      <c r="M965" s="3" t="s">
        <v>63</v>
      </c>
      <c r="N965" s="5">
        <v>1.6179952508728598E-2</v>
      </c>
      <c r="O965" s="3" t="s">
        <v>7</v>
      </c>
    </row>
    <row r="966" spans="12:15" x14ac:dyDescent="0.45">
      <c r="L966" s="6" t="s">
        <v>291</v>
      </c>
      <c r="M966" s="6" t="s">
        <v>64</v>
      </c>
      <c r="N966" s="8">
        <v>1.6580325378484178E-2</v>
      </c>
      <c r="O966" s="6" t="s">
        <v>7</v>
      </c>
    </row>
    <row r="967" spans="12:15" x14ac:dyDescent="0.45">
      <c r="L967" s="3" t="s">
        <v>291</v>
      </c>
      <c r="M967" s="3" t="s">
        <v>65</v>
      </c>
      <c r="N967" s="5">
        <v>1.6490103562630712E-2</v>
      </c>
      <c r="O967" s="3" t="s">
        <v>7</v>
      </c>
    </row>
    <row r="968" spans="12:15" x14ac:dyDescent="0.45">
      <c r="L968" s="6" t="s">
        <v>291</v>
      </c>
      <c r="M968" s="6" t="s">
        <v>66</v>
      </c>
      <c r="N968" s="8">
        <v>1.6221521535514132E-2</v>
      </c>
      <c r="O968" s="6" t="s">
        <v>7</v>
      </c>
    </row>
    <row r="969" spans="12:15" x14ac:dyDescent="0.45">
      <c r="L969" s="3" t="s">
        <v>291</v>
      </c>
      <c r="M969" s="3" t="s">
        <v>67</v>
      </c>
      <c r="N969" s="5">
        <v>1.5639970744147125E-2</v>
      </c>
      <c r="O969" s="3" t="s">
        <v>7</v>
      </c>
    </row>
    <row r="970" spans="12:15" x14ac:dyDescent="0.45">
      <c r="L970" s="6" t="s">
        <v>291</v>
      </c>
      <c r="M970" s="6" t="s">
        <v>68</v>
      </c>
      <c r="N970" s="8">
        <v>2.3884700071421634E-2</v>
      </c>
      <c r="O970" s="6" t="s">
        <v>7</v>
      </c>
    </row>
    <row r="971" spans="12:15" x14ac:dyDescent="0.45">
      <c r="L971" s="3" t="s">
        <v>292</v>
      </c>
      <c r="M971" s="3" t="s">
        <v>6</v>
      </c>
      <c r="N971" s="5">
        <v>3.6865445980671312E-2</v>
      </c>
      <c r="O971" s="3" t="s">
        <v>7</v>
      </c>
    </row>
    <row r="972" spans="12:15" x14ac:dyDescent="0.45">
      <c r="L972" s="6" t="s">
        <v>292</v>
      </c>
      <c r="M972" s="6" t="s">
        <v>10</v>
      </c>
      <c r="N972" s="8">
        <v>1.4584228346077409E-2</v>
      </c>
      <c r="O972" s="6" t="s">
        <v>7</v>
      </c>
    </row>
    <row r="973" spans="12:15" x14ac:dyDescent="0.45">
      <c r="L973" s="3" t="s">
        <v>292</v>
      </c>
      <c r="M973" s="3" t="s">
        <v>11</v>
      </c>
      <c r="N973" s="5">
        <v>1.5199349420428814E-2</v>
      </c>
      <c r="O973" s="3" t="s">
        <v>7</v>
      </c>
    </row>
    <row r="974" spans="12:15" x14ac:dyDescent="0.45">
      <c r="L974" s="6" t="s">
        <v>292</v>
      </c>
      <c r="M974" s="6" t="s">
        <v>12</v>
      </c>
      <c r="N974" s="8">
        <v>1.530278278128566E-2</v>
      </c>
      <c r="O974" s="6" t="s">
        <v>7</v>
      </c>
    </row>
    <row r="975" spans="12:15" x14ac:dyDescent="0.45">
      <c r="L975" s="3" t="s">
        <v>292</v>
      </c>
      <c r="M975" s="3" t="s">
        <v>13</v>
      </c>
      <c r="N975" s="5">
        <v>1.6076354589561179E-2</v>
      </c>
      <c r="O975" s="3" t="s">
        <v>7</v>
      </c>
    </row>
    <row r="976" spans="12:15" x14ac:dyDescent="0.45">
      <c r="L976" s="6" t="s">
        <v>292</v>
      </c>
      <c r="M976" s="6" t="s">
        <v>14</v>
      </c>
      <c r="N976" s="8">
        <v>1.5878862503699867E-2</v>
      </c>
      <c r="O976" s="6" t="s">
        <v>7</v>
      </c>
    </row>
    <row r="977" spans="12:15" x14ac:dyDescent="0.45">
      <c r="L977" s="3" t="s">
        <v>292</v>
      </c>
      <c r="M977" s="3" t="s">
        <v>15</v>
      </c>
      <c r="N977" s="5">
        <v>1.5426095847472412E-2</v>
      </c>
      <c r="O977" s="3" t="s">
        <v>7</v>
      </c>
    </row>
    <row r="978" spans="12:15" x14ac:dyDescent="0.45">
      <c r="L978" s="6" t="s">
        <v>292</v>
      </c>
      <c r="M978" s="6" t="s">
        <v>16</v>
      </c>
      <c r="N978" s="8">
        <v>1.5083366123734598E-2</v>
      </c>
      <c r="O978" s="6" t="s">
        <v>7</v>
      </c>
    </row>
    <row r="979" spans="12:15" x14ac:dyDescent="0.45">
      <c r="L979" s="3" t="s">
        <v>292</v>
      </c>
      <c r="M979" s="3" t="s">
        <v>17</v>
      </c>
      <c r="N979" s="5">
        <v>1.537113107946755E-2</v>
      </c>
      <c r="O979" s="3" t="s">
        <v>7</v>
      </c>
    </row>
    <row r="980" spans="12:15" x14ac:dyDescent="0.45">
      <c r="L980" s="6" t="s">
        <v>292</v>
      </c>
      <c r="M980" s="6" t="s">
        <v>18</v>
      </c>
      <c r="N980" s="8">
        <v>2.3377387284492606E-2</v>
      </c>
      <c r="O980" s="6" t="s">
        <v>7</v>
      </c>
    </row>
    <row r="981" spans="12:15" x14ac:dyDescent="0.45">
      <c r="L981" s="3" t="s">
        <v>292</v>
      </c>
      <c r="M981" s="3" t="s">
        <v>19</v>
      </c>
      <c r="N981" s="5">
        <v>4.1707608123676167E-2</v>
      </c>
      <c r="O981" s="3" t="s">
        <v>7</v>
      </c>
    </row>
    <row r="982" spans="12:15" x14ac:dyDescent="0.45">
      <c r="L982" s="6" t="s">
        <v>292</v>
      </c>
      <c r="M982" s="6" t="s">
        <v>20</v>
      </c>
      <c r="N982" s="8">
        <v>1.6978874362625709E-2</v>
      </c>
      <c r="O982" s="6" t="s">
        <v>7</v>
      </c>
    </row>
    <row r="983" spans="12:15" x14ac:dyDescent="0.45">
      <c r="L983" s="3" t="s">
        <v>292</v>
      </c>
      <c r="M983" s="3" t="s">
        <v>21</v>
      </c>
      <c r="N983" s="5">
        <v>1.7285950051203813E-2</v>
      </c>
      <c r="O983" s="3" t="s">
        <v>7</v>
      </c>
    </row>
    <row r="984" spans="12:15" x14ac:dyDescent="0.45">
      <c r="L984" s="6" t="s">
        <v>292</v>
      </c>
      <c r="M984" s="6" t="s">
        <v>22</v>
      </c>
      <c r="N984" s="8">
        <v>1.7398588763806701E-2</v>
      </c>
      <c r="O984" s="6" t="s">
        <v>7</v>
      </c>
    </row>
    <row r="985" spans="12:15" x14ac:dyDescent="0.45">
      <c r="L985" s="3" t="s">
        <v>292</v>
      </c>
      <c r="M985" s="3" t="s">
        <v>23</v>
      </c>
      <c r="N985" s="5">
        <v>1.657035549834612E-2</v>
      </c>
      <c r="O985" s="3" t="s">
        <v>7</v>
      </c>
    </row>
    <row r="986" spans="12:15" x14ac:dyDescent="0.45">
      <c r="L986" s="6" t="s">
        <v>292</v>
      </c>
      <c r="M986" s="6" t="s">
        <v>24</v>
      </c>
      <c r="N986" s="8">
        <v>1.6159386183536382E-2</v>
      </c>
      <c r="O986" s="6" t="s">
        <v>7</v>
      </c>
    </row>
    <row r="987" spans="12:15" x14ac:dyDescent="0.45">
      <c r="L987" s="3" t="s">
        <v>292</v>
      </c>
      <c r="M987" s="3" t="s">
        <v>25</v>
      </c>
      <c r="N987" s="5">
        <v>1.5997255723129683E-2</v>
      </c>
      <c r="O987" s="3" t="s">
        <v>7</v>
      </c>
    </row>
    <row r="988" spans="12:15" x14ac:dyDescent="0.45">
      <c r="L988" s="6" t="s">
        <v>292</v>
      </c>
      <c r="M988" s="6" t="s">
        <v>26</v>
      </c>
      <c r="N988" s="8">
        <v>1.5504579416865841E-2</v>
      </c>
      <c r="O988" s="6" t="s">
        <v>7</v>
      </c>
    </row>
    <row r="989" spans="12:15" x14ac:dyDescent="0.45">
      <c r="L989" s="3" t="s">
        <v>292</v>
      </c>
      <c r="M989" s="3" t="s">
        <v>27</v>
      </c>
      <c r="N989" s="5">
        <v>1.5735447599402892E-2</v>
      </c>
      <c r="O989" s="3" t="s">
        <v>7</v>
      </c>
    </row>
    <row r="990" spans="12:15" x14ac:dyDescent="0.45">
      <c r="L990" s="6" t="s">
        <v>292</v>
      </c>
      <c r="M990" s="6" t="s">
        <v>28</v>
      </c>
      <c r="N990" s="8">
        <v>2.4123481730350539E-2</v>
      </c>
      <c r="O990" s="6" t="s">
        <v>7</v>
      </c>
    </row>
    <row r="991" spans="12:15" x14ac:dyDescent="0.45">
      <c r="L991" s="3" t="s">
        <v>292</v>
      </c>
      <c r="M991" s="3" t="s">
        <v>29</v>
      </c>
      <c r="N991" s="5">
        <v>3.1520349535116808E-2</v>
      </c>
      <c r="O991" s="3" t="s">
        <v>7</v>
      </c>
    </row>
    <row r="992" spans="12:15" x14ac:dyDescent="0.45">
      <c r="L992" s="6" t="s">
        <v>292</v>
      </c>
      <c r="M992" s="6" t="s">
        <v>30</v>
      </c>
      <c r="N992" s="8">
        <v>1.2087396633880761E-2</v>
      </c>
      <c r="O992" s="6" t="s">
        <v>7</v>
      </c>
    </row>
    <row r="993" spans="12:15" x14ac:dyDescent="0.45">
      <c r="L993" s="3" t="s">
        <v>292</v>
      </c>
      <c r="M993" s="3" t="s">
        <v>31</v>
      </c>
      <c r="N993" s="5">
        <v>1.2211037894158677E-2</v>
      </c>
      <c r="O993" s="3" t="s">
        <v>7</v>
      </c>
    </row>
    <row r="994" spans="12:15" x14ac:dyDescent="0.45">
      <c r="L994" s="6" t="s">
        <v>292</v>
      </c>
      <c r="M994" s="6" t="s">
        <v>32</v>
      </c>
      <c r="N994" s="8">
        <v>1.207390405406043E-2</v>
      </c>
      <c r="O994" s="6" t="s">
        <v>7</v>
      </c>
    </row>
    <row r="995" spans="12:15" x14ac:dyDescent="0.45">
      <c r="L995" s="3" t="s">
        <v>292</v>
      </c>
      <c r="M995" s="3" t="s">
        <v>33</v>
      </c>
      <c r="N995" s="5">
        <v>1.2997559884683608E-2</v>
      </c>
      <c r="O995" s="3" t="s">
        <v>7</v>
      </c>
    </row>
    <row r="996" spans="12:15" x14ac:dyDescent="0.45">
      <c r="L996" s="6" t="s">
        <v>292</v>
      </c>
      <c r="M996" s="6" t="s">
        <v>34</v>
      </c>
      <c r="N996" s="8">
        <v>1.3839412670385748E-2</v>
      </c>
      <c r="O996" s="6" t="s">
        <v>7</v>
      </c>
    </row>
    <row r="997" spans="12:15" x14ac:dyDescent="0.45">
      <c r="L997" s="3" t="s">
        <v>292</v>
      </c>
      <c r="M997" s="3" t="s">
        <v>35</v>
      </c>
      <c r="N997" s="5">
        <v>1.3959695580507565E-2</v>
      </c>
      <c r="O997" s="3" t="s">
        <v>7</v>
      </c>
    </row>
    <row r="998" spans="12:15" x14ac:dyDescent="0.45">
      <c r="L998" s="6" t="s">
        <v>292</v>
      </c>
      <c r="M998" s="6" t="s">
        <v>36</v>
      </c>
      <c r="N998" s="8">
        <v>1.3179479003093089E-2</v>
      </c>
      <c r="O998" s="6" t="s">
        <v>7</v>
      </c>
    </row>
    <row r="999" spans="12:15" x14ac:dyDescent="0.45">
      <c r="L999" s="3" t="s">
        <v>292</v>
      </c>
      <c r="M999" s="3" t="s">
        <v>37</v>
      </c>
      <c r="N999" s="5">
        <v>1.3239994969544821E-2</v>
      </c>
      <c r="O999" s="3" t="s">
        <v>7</v>
      </c>
    </row>
    <row r="1000" spans="12:15" x14ac:dyDescent="0.45">
      <c r="L1000" s="6" t="s">
        <v>292</v>
      </c>
      <c r="M1000" s="6" t="s">
        <v>38</v>
      </c>
      <c r="N1000" s="8">
        <v>1.9745332076107416E-2</v>
      </c>
      <c r="O1000" s="6" t="s">
        <v>7</v>
      </c>
    </row>
    <row r="1001" spans="12:15" x14ac:dyDescent="0.45">
      <c r="L1001" s="3" t="s">
        <v>292</v>
      </c>
      <c r="M1001" s="3" t="s">
        <v>39</v>
      </c>
      <c r="N1001" s="5">
        <v>1.908961116893761E-2</v>
      </c>
      <c r="O1001" s="3" t="s">
        <v>7</v>
      </c>
    </row>
    <row r="1002" spans="12:15" x14ac:dyDescent="0.45">
      <c r="L1002" s="6" t="s">
        <v>292</v>
      </c>
      <c r="M1002" s="6" t="s">
        <v>40</v>
      </c>
      <c r="N1002" s="8">
        <v>7.6858774911975703E-3</v>
      </c>
      <c r="O1002" s="6" t="s">
        <v>7</v>
      </c>
    </row>
    <row r="1003" spans="12:15" x14ac:dyDescent="0.45">
      <c r="L1003" s="3" t="s">
        <v>292</v>
      </c>
      <c r="M1003" s="3" t="s">
        <v>41</v>
      </c>
      <c r="N1003" s="5">
        <v>7.6920285435472056E-3</v>
      </c>
      <c r="O1003" s="3" t="s">
        <v>7</v>
      </c>
    </row>
    <row r="1004" spans="12:15" x14ac:dyDescent="0.45">
      <c r="L1004" s="6" t="s">
        <v>292</v>
      </c>
      <c r="M1004" s="6" t="s">
        <v>42</v>
      </c>
      <c r="N1004" s="8">
        <v>7.9898555656256372E-3</v>
      </c>
      <c r="O1004" s="6" t="s">
        <v>7</v>
      </c>
    </row>
    <row r="1005" spans="12:15" x14ac:dyDescent="0.45">
      <c r="L1005" s="3" t="s">
        <v>292</v>
      </c>
      <c r="M1005" s="3" t="s">
        <v>43</v>
      </c>
      <c r="N1005" s="5">
        <v>8.8643360020276146E-3</v>
      </c>
      <c r="O1005" s="3" t="s">
        <v>7</v>
      </c>
    </row>
    <row r="1006" spans="12:15" x14ac:dyDescent="0.45">
      <c r="L1006" s="6" t="s">
        <v>292</v>
      </c>
      <c r="M1006" s="6" t="s">
        <v>44</v>
      </c>
      <c r="N1006" s="8">
        <v>9.9574328198368447E-3</v>
      </c>
      <c r="O1006" s="6" t="s">
        <v>7</v>
      </c>
    </row>
    <row r="1007" spans="12:15" x14ac:dyDescent="0.45">
      <c r="L1007" s="3" t="s">
        <v>292</v>
      </c>
      <c r="M1007" s="3" t="s">
        <v>45</v>
      </c>
      <c r="N1007" s="5">
        <v>1.0525974647210294E-2</v>
      </c>
      <c r="O1007" s="3" t="s">
        <v>7</v>
      </c>
    </row>
    <row r="1008" spans="12:15" x14ac:dyDescent="0.45">
      <c r="L1008" s="6" t="s">
        <v>292</v>
      </c>
      <c r="M1008" s="6" t="s">
        <v>46</v>
      </c>
      <c r="N1008" s="8">
        <v>9.70603284246979E-3</v>
      </c>
      <c r="O1008" s="6" t="s">
        <v>7</v>
      </c>
    </row>
    <row r="1009" spans="12:15" x14ac:dyDescent="0.45">
      <c r="L1009" s="3" t="s">
        <v>292</v>
      </c>
      <c r="M1009" s="3" t="s">
        <v>47</v>
      </c>
      <c r="N1009" s="5">
        <v>8.7535639917250257E-3</v>
      </c>
      <c r="O1009" s="3" t="s">
        <v>7</v>
      </c>
    </row>
    <row r="1010" spans="12:15" x14ac:dyDescent="0.45">
      <c r="L1010" s="6" t="s">
        <v>292</v>
      </c>
      <c r="M1010" s="6" t="s">
        <v>48</v>
      </c>
      <c r="N1010" s="8">
        <v>1.1774625318520625E-2</v>
      </c>
      <c r="O1010" s="6" t="s">
        <v>7</v>
      </c>
    </row>
    <row r="1011" spans="12:15" x14ac:dyDescent="0.45">
      <c r="L1011" s="3" t="s">
        <v>292</v>
      </c>
      <c r="M1011" s="3" t="s">
        <v>49</v>
      </c>
      <c r="N1011" s="5">
        <v>3.1950496555924177E-2</v>
      </c>
      <c r="O1011" s="3" t="s">
        <v>7</v>
      </c>
    </row>
    <row r="1012" spans="12:15" x14ac:dyDescent="0.45">
      <c r="L1012" s="6" t="s">
        <v>292</v>
      </c>
      <c r="M1012" s="6" t="s">
        <v>50</v>
      </c>
      <c r="N1012" s="8">
        <v>1.3768388669672666E-2</v>
      </c>
      <c r="O1012" s="6" t="s">
        <v>7</v>
      </c>
    </row>
    <row r="1013" spans="12:15" x14ac:dyDescent="0.45">
      <c r="L1013" s="3" t="s">
        <v>292</v>
      </c>
      <c r="M1013" s="3" t="s">
        <v>51</v>
      </c>
      <c r="N1013" s="5">
        <v>1.4044553378567047E-2</v>
      </c>
      <c r="O1013" s="3" t="s">
        <v>7</v>
      </c>
    </row>
    <row r="1014" spans="12:15" x14ac:dyDescent="0.45">
      <c r="L1014" s="6" t="s">
        <v>292</v>
      </c>
      <c r="M1014" s="6" t="s">
        <v>52</v>
      </c>
      <c r="N1014" s="8">
        <v>1.4534969637114791E-2</v>
      </c>
      <c r="O1014" s="6" t="s">
        <v>7</v>
      </c>
    </row>
    <row r="1015" spans="12:15" x14ac:dyDescent="0.45">
      <c r="L1015" s="3" t="s">
        <v>292</v>
      </c>
      <c r="M1015" s="3" t="s">
        <v>53</v>
      </c>
      <c r="N1015" s="5">
        <v>1.5111838671965066E-2</v>
      </c>
      <c r="O1015" s="3" t="s">
        <v>7</v>
      </c>
    </row>
    <row r="1016" spans="12:15" x14ac:dyDescent="0.45">
      <c r="L1016" s="6" t="s">
        <v>292</v>
      </c>
      <c r="M1016" s="6" t="s">
        <v>54</v>
      </c>
      <c r="N1016" s="8">
        <v>1.5132056122100959E-2</v>
      </c>
      <c r="O1016" s="6" t="s">
        <v>7</v>
      </c>
    </row>
    <row r="1017" spans="12:15" x14ac:dyDescent="0.45">
      <c r="L1017" s="3" t="s">
        <v>292</v>
      </c>
      <c r="M1017" s="3" t="s">
        <v>55</v>
      </c>
      <c r="N1017" s="5">
        <v>1.4393554368497886E-2</v>
      </c>
      <c r="O1017" s="3" t="s">
        <v>7</v>
      </c>
    </row>
    <row r="1018" spans="12:15" x14ac:dyDescent="0.45">
      <c r="L1018" s="6" t="s">
        <v>292</v>
      </c>
      <c r="M1018" s="6" t="s">
        <v>56</v>
      </c>
      <c r="N1018" s="8">
        <v>1.3856943375635823E-2</v>
      </c>
      <c r="O1018" s="6" t="s">
        <v>7</v>
      </c>
    </row>
    <row r="1019" spans="12:15" x14ac:dyDescent="0.45">
      <c r="L1019" s="3" t="s">
        <v>292</v>
      </c>
      <c r="M1019" s="3" t="s">
        <v>57</v>
      </c>
      <c r="N1019" s="5">
        <v>1.3260823763287631E-2</v>
      </c>
      <c r="O1019" s="3" t="s">
        <v>7</v>
      </c>
    </row>
    <row r="1020" spans="12:15" x14ac:dyDescent="0.45">
      <c r="L1020" s="6" t="s">
        <v>292</v>
      </c>
      <c r="M1020" s="6" t="s">
        <v>58</v>
      </c>
      <c r="N1020" s="8">
        <v>1.8741379107957149E-2</v>
      </c>
      <c r="O1020" s="6" t="s">
        <v>7</v>
      </c>
    </row>
    <row r="1021" spans="12:15" x14ac:dyDescent="0.45">
      <c r="L1021" s="3" t="s">
        <v>292</v>
      </c>
      <c r="M1021" s="3" t="s">
        <v>59</v>
      </c>
      <c r="N1021" s="5">
        <v>4.058305172463228E-2</v>
      </c>
      <c r="O1021" s="3" t="s">
        <v>7</v>
      </c>
    </row>
    <row r="1022" spans="12:15" x14ac:dyDescent="0.45">
      <c r="L1022" s="6" t="s">
        <v>292</v>
      </c>
      <c r="M1022" s="6" t="s">
        <v>60</v>
      </c>
      <c r="N1022" s="8">
        <v>1.6533180429703608E-2</v>
      </c>
      <c r="O1022" s="6" t="s">
        <v>7</v>
      </c>
    </row>
    <row r="1023" spans="12:15" x14ac:dyDescent="0.45">
      <c r="L1023" s="3" t="s">
        <v>292</v>
      </c>
      <c r="M1023" s="3" t="s">
        <v>61</v>
      </c>
      <c r="N1023" s="5">
        <v>1.6619022166552928E-2</v>
      </c>
      <c r="O1023" s="3" t="s">
        <v>7</v>
      </c>
    </row>
    <row r="1024" spans="12:15" x14ac:dyDescent="0.45">
      <c r="L1024" s="6" t="s">
        <v>292</v>
      </c>
      <c r="M1024" s="6" t="s">
        <v>62</v>
      </c>
      <c r="N1024" s="8">
        <v>1.6391620018255809E-2</v>
      </c>
      <c r="O1024" s="6" t="s">
        <v>7</v>
      </c>
    </row>
    <row r="1025" spans="12:15" x14ac:dyDescent="0.45">
      <c r="L1025" s="3" t="s">
        <v>292</v>
      </c>
      <c r="M1025" s="3" t="s">
        <v>63</v>
      </c>
      <c r="N1025" s="5">
        <v>1.6017557582595258E-2</v>
      </c>
      <c r="O1025" s="3" t="s">
        <v>7</v>
      </c>
    </row>
    <row r="1026" spans="12:15" x14ac:dyDescent="0.45">
      <c r="L1026" s="6" t="s">
        <v>292</v>
      </c>
      <c r="M1026" s="6" t="s">
        <v>64</v>
      </c>
      <c r="N1026" s="8">
        <v>1.610623719450718E-2</v>
      </c>
      <c r="O1026" s="6" t="s">
        <v>7</v>
      </c>
    </row>
    <row r="1027" spans="12:15" x14ac:dyDescent="0.45">
      <c r="L1027" s="3" t="s">
        <v>292</v>
      </c>
      <c r="M1027" s="3" t="s">
        <v>65</v>
      </c>
      <c r="N1027" s="5">
        <v>1.6412830079139434E-2</v>
      </c>
      <c r="O1027" s="3" t="s">
        <v>7</v>
      </c>
    </row>
    <row r="1028" spans="12:15" x14ac:dyDescent="0.45">
      <c r="L1028" s="6" t="s">
        <v>292</v>
      </c>
      <c r="M1028" s="6" t="s">
        <v>66</v>
      </c>
      <c r="N1028" s="8">
        <v>1.6710099312536392E-2</v>
      </c>
      <c r="O1028" s="6" t="s">
        <v>7</v>
      </c>
    </row>
    <row r="1029" spans="12:15" x14ac:dyDescent="0.45">
      <c r="L1029" s="3" t="s">
        <v>292</v>
      </c>
      <c r="M1029" s="3" t="s">
        <v>67</v>
      </c>
      <c r="N1029" s="5">
        <v>1.6858873375410321E-2</v>
      </c>
      <c r="O1029" s="3" t="s">
        <v>7</v>
      </c>
    </row>
    <row r="1030" spans="12:15" x14ac:dyDescent="0.45">
      <c r="L1030" s="6" t="s">
        <v>292</v>
      </c>
      <c r="M1030" s="6" t="s">
        <v>68</v>
      </c>
      <c r="N1030" s="8">
        <v>2.5452492363471205E-2</v>
      </c>
      <c r="O1030" s="6" t="s">
        <v>7</v>
      </c>
    </row>
    <row r="1031" spans="12:15" x14ac:dyDescent="0.45">
      <c r="L1031" s="3" t="s">
        <v>293</v>
      </c>
      <c r="M1031" s="3" t="s">
        <v>6</v>
      </c>
      <c r="N1031" s="5">
        <v>3.7293493912079208E-2</v>
      </c>
      <c r="O1031" s="3" t="s">
        <v>7</v>
      </c>
    </row>
    <row r="1032" spans="12:15" x14ac:dyDescent="0.45">
      <c r="L1032" s="6" t="s">
        <v>293</v>
      </c>
      <c r="M1032" s="6" t="s">
        <v>10</v>
      </c>
      <c r="N1032" s="8">
        <v>1.5088661012689521E-2</v>
      </c>
      <c r="O1032" s="6" t="s">
        <v>7</v>
      </c>
    </row>
    <row r="1033" spans="12:15" x14ac:dyDescent="0.45">
      <c r="L1033" s="3" t="s">
        <v>293</v>
      </c>
      <c r="M1033" s="3" t="s">
        <v>11</v>
      </c>
      <c r="N1033" s="5">
        <v>1.5314444882112158E-2</v>
      </c>
      <c r="O1033" s="3" t="s">
        <v>7</v>
      </c>
    </row>
    <row r="1034" spans="12:15" x14ac:dyDescent="0.45">
      <c r="L1034" s="6" t="s">
        <v>293</v>
      </c>
      <c r="M1034" s="6" t="s">
        <v>12</v>
      </c>
      <c r="N1034" s="8">
        <v>1.5252912754878835E-2</v>
      </c>
      <c r="O1034" s="6" t="s">
        <v>7</v>
      </c>
    </row>
    <row r="1035" spans="12:15" x14ac:dyDescent="0.45">
      <c r="L1035" s="3" t="s">
        <v>293</v>
      </c>
      <c r="M1035" s="3" t="s">
        <v>13</v>
      </c>
      <c r="N1035" s="5">
        <v>1.5397206150046666E-2</v>
      </c>
      <c r="O1035" s="3" t="s">
        <v>7</v>
      </c>
    </row>
    <row r="1036" spans="12:15" x14ac:dyDescent="0.45">
      <c r="L1036" s="6" t="s">
        <v>293</v>
      </c>
      <c r="M1036" s="6" t="s">
        <v>14</v>
      </c>
      <c r="N1036" s="8">
        <v>1.5423939375628706E-2</v>
      </c>
      <c r="O1036" s="6" t="s">
        <v>7</v>
      </c>
    </row>
    <row r="1037" spans="12:15" x14ac:dyDescent="0.45">
      <c r="L1037" s="3" t="s">
        <v>293</v>
      </c>
      <c r="M1037" s="3" t="s">
        <v>15</v>
      </c>
      <c r="N1037" s="5">
        <v>1.5405963888557209E-2</v>
      </c>
      <c r="O1037" s="3" t="s">
        <v>7</v>
      </c>
    </row>
    <row r="1038" spans="12:15" x14ac:dyDescent="0.45">
      <c r="L1038" s="6" t="s">
        <v>293</v>
      </c>
      <c r="M1038" s="6" t="s">
        <v>16</v>
      </c>
      <c r="N1038" s="8">
        <v>1.5295390243007618E-2</v>
      </c>
      <c r="O1038" s="6" t="s">
        <v>7</v>
      </c>
    </row>
    <row r="1039" spans="12:15" x14ac:dyDescent="0.45">
      <c r="L1039" s="3" t="s">
        <v>293</v>
      </c>
      <c r="M1039" s="3" t="s">
        <v>17</v>
      </c>
      <c r="N1039" s="5">
        <v>1.5170778160985847E-2</v>
      </c>
      <c r="O1039" s="3" t="s">
        <v>7</v>
      </c>
    </row>
    <row r="1040" spans="12:15" x14ac:dyDescent="0.45">
      <c r="L1040" s="6" t="s">
        <v>293</v>
      </c>
      <c r="M1040" s="6" t="s">
        <v>18</v>
      </c>
      <c r="N1040" s="8">
        <v>2.3002672636230251E-2</v>
      </c>
      <c r="O1040" s="6" t="s">
        <v>7</v>
      </c>
    </row>
    <row r="1041" spans="12:15" x14ac:dyDescent="0.45">
      <c r="L1041" s="3" t="s">
        <v>293</v>
      </c>
      <c r="M1041" s="3" t="s">
        <v>19</v>
      </c>
      <c r="N1041" s="5">
        <v>4.1071654859714361E-2</v>
      </c>
      <c r="O1041" s="3" t="s">
        <v>7</v>
      </c>
    </row>
    <row r="1042" spans="12:15" x14ac:dyDescent="0.45">
      <c r="L1042" s="6" t="s">
        <v>293</v>
      </c>
      <c r="M1042" s="6" t="s">
        <v>20</v>
      </c>
      <c r="N1042" s="8">
        <v>1.7064391659756969E-2</v>
      </c>
      <c r="O1042" s="6" t="s">
        <v>7</v>
      </c>
    </row>
    <row r="1043" spans="12:15" x14ac:dyDescent="0.45">
      <c r="L1043" s="3" t="s">
        <v>293</v>
      </c>
      <c r="M1043" s="3" t="s">
        <v>21</v>
      </c>
      <c r="N1043" s="5">
        <v>1.6974297840540439E-2</v>
      </c>
      <c r="O1043" s="3" t="s">
        <v>7</v>
      </c>
    </row>
    <row r="1044" spans="12:15" x14ac:dyDescent="0.45">
      <c r="L1044" s="6" t="s">
        <v>293</v>
      </c>
      <c r="M1044" s="6" t="s">
        <v>22</v>
      </c>
      <c r="N1044" s="8">
        <v>1.6373586051185007E-2</v>
      </c>
      <c r="O1044" s="6" t="s">
        <v>7</v>
      </c>
    </row>
    <row r="1045" spans="12:15" x14ac:dyDescent="0.45">
      <c r="L1045" s="3" t="s">
        <v>293</v>
      </c>
      <c r="M1045" s="3" t="s">
        <v>23</v>
      </c>
      <c r="N1045" s="5">
        <v>1.5491785673453651E-2</v>
      </c>
      <c r="O1045" s="3" t="s">
        <v>7</v>
      </c>
    </row>
    <row r="1046" spans="12:15" x14ac:dyDescent="0.45">
      <c r="L1046" s="6" t="s">
        <v>293</v>
      </c>
      <c r="M1046" s="6" t="s">
        <v>24</v>
      </c>
      <c r="N1046" s="8">
        <v>1.4999639480086579E-2</v>
      </c>
      <c r="O1046" s="6" t="s">
        <v>7</v>
      </c>
    </row>
    <row r="1047" spans="12:15" x14ac:dyDescent="0.45">
      <c r="L1047" s="3" t="s">
        <v>293</v>
      </c>
      <c r="M1047" s="3" t="s">
        <v>25</v>
      </c>
      <c r="N1047" s="5">
        <v>1.4893624587381943E-2</v>
      </c>
      <c r="O1047" s="3" t="s">
        <v>7</v>
      </c>
    </row>
    <row r="1048" spans="12:15" x14ac:dyDescent="0.45">
      <c r="L1048" s="6" t="s">
        <v>293</v>
      </c>
      <c r="M1048" s="6" t="s">
        <v>26</v>
      </c>
      <c r="N1048" s="8">
        <v>1.4952011689028847E-2</v>
      </c>
      <c r="O1048" s="6" t="s">
        <v>7</v>
      </c>
    </row>
    <row r="1049" spans="12:15" x14ac:dyDescent="0.45">
      <c r="L1049" s="3" t="s">
        <v>293</v>
      </c>
      <c r="M1049" s="3" t="s">
        <v>27</v>
      </c>
      <c r="N1049" s="5">
        <v>1.5212541514112964E-2</v>
      </c>
      <c r="O1049" s="3" t="s">
        <v>7</v>
      </c>
    </row>
    <row r="1050" spans="12:15" x14ac:dyDescent="0.45">
      <c r="L1050" s="6" t="s">
        <v>293</v>
      </c>
      <c r="M1050" s="6" t="s">
        <v>28</v>
      </c>
      <c r="N1050" s="8">
        <v>2.3079813728269984E-2</v>
      </c>
      <c r="O1050" s="6" t="s">
        <v>7</v>
      </c>
    </row>
    <row r="1051" spans="12:15" x14ac:dyDescent="0.45">
      <c r="L1051" s="3" t="s">
        <v>293</v>
      </c>
      <c r="M1051" s="3" t="s">
        <v>29</v>
      </c>
      <c r="N1051" s="5">
        <v>3.4353747186746129E-2</v>
      </c>
      <c r="O1051" s="3" t="s">
        <v>7</v>
      </c>
    </row>
    <row r="1052" spans="12:15" x14ac:dyDescent="0.45">
      <c r="L1052" s="6" t="s">
        <v>293</v>
      </c>
      <c r="M1052" s="6" t="s">
        <v>30</v>
      </c>
      <c r="N1052" s="8">
        <v>1.3162908892165337E-2</v>
      </c>
      <c r="O1052" s="6" t="s">
        <v>7</v>
      </c>
    </row>
    <row r="1053" spans="12:15" x14ac:dyDescent="0.45">
      <c r="L1053" s="3" t="s">
        <v>293</v>
      </c>
      <c r="M1053" s="3" t="s">
        <v>31</v>
      </c>
      <c r="N1053" s="5">
        <v>1.2733466292441186E-2</v>
      </c>
      <c r="O1053" s="3" t="s">
        <v>7</v>
      </c>
    </row>
    <row r="1054" spans="12:15" x14ac:dyDescent="0.45">
      <c r="L1054" s="6" t="s">
        <v>293</v>
      </c>
      <c r="M1054" s="6" t="s">
        <v>32</v>
      </c>
      <c r="N1054" s="8">
        <v>1.2205745787343205E-2</v>
      </c>
      <c r="O1054" s="6" t="s">
        <v>7</v>
      </c>
    </row>
    <row r="1055" spans="12:15" x14ac:dyDescent="0.45">
      <c r="L1055" s="3" t="s">
        <v>293</v>
      </c>
      <c r="M1055" s="3" t="s">
        <v>33</v>
      </c>
      <c r="N1055" s="5">
        <v>1.2437336622415168E-2</v>
      </c>
      <c r="O1055" s="3" t="s">
        <v>7</v>
      </c>
    </row>
    <row r="1056" spans="12:15" x14ac:dyDescent="0.45">
      <c r="L1056" s="6" t="s">
        <v>293</v>
      </c>
      <c r="M1056" s="6" t="s">
        <v>34</v>
      </c>
      <c r="N1056" s="8">
        <v>1.2951744624206601E-2</v>
      </c>
      <c r="O1056" s="6" t="s">
        <v>7</v>
      </c>
    </row>
    <row r="1057" spans="12:15" x14ac:dyDescent="0.45">
      <c r="L1057" s="3" t="s">
        <v>293</v>
      </c>
      <c r="M1057" s="3" t="s">
        <v>35</v>
      </c>
      <c r="N1057" s="5">
        <v>1.3459997361313696E-2</v>
      </c>
      <c r="O1057" s="3" t="s">
        <v>7</v>
      </c>
    </row>
    <row r="1058" spans="12:15" x14ac:dyDescent="0.45">
      <c r="L1058" s="6" t="s">
        <v>293</v>
      </c>
      <c r="M1058" s="6" t="s">
        <v>36</v>
      </c>
      <c r="N1058" s="8">
        <v>1.383256742353522E-2</v>
      </c>
      <c r="O1058" s="6" t="s">
        <v>7</v>
      </c>
    </row>
    <row r="1059" spans="12:15" x14ac:dyDescent="0.45">
      <c r="L1059" s="3" t="s">
        <v>293</v>
      </c>
      <c r="M1059" s="3" t="s">
        <v>37</v>
      </c>
      <c r="N1059" s="5">
        <v>1.4199481826404077E-2</v>
      </c>
      <c r="O1059" s="3" t="s">
        <v>7</v>
      </c>
    </row>
    <row r="1060" spans="12:15" x14ac:dyDescent="0.45">
      <c r="L1060" s="6" t="s">
        <v>293</v>
      </c>
      <c r="M1060" s="6" t="s">
        <v>38</v>
      </c>
      <c r="N1060" s="8">
        <v>2.1419486256791929E-2</v>
      </c>
      <c r="O1060" s="6" t="s">
        <v>7</v>
      </c>
    </row>
    <row r="1061" spans="12:15" x14ac:dyDescent="0.45">
      <c r="L1061" s="3" t="s">
        <v>293</v>
      </c>
      <c r="M1061" s="3" t="s">
        <v>39</v>
      </c>
      <c r="N1061" s="5">
        <v>2.2648241187736198E-2</v>
      </c>
      <c r="O1061" s="3" t="s">
        <v>7</v>
      </c>
    </row>
    <row r="1062" spans="12:15" x14ac:dyDescent="0.45">
      <c r="L1062" s="6" t="s">
        <v>293</v>
      </c>
      <c r="M1062" s="6" t="s">
        <v>40</v>
      </c>
      <c r="N1062" s="8">
        <v>8.8485081092283917E-3</v>
      </c>
      <c r="O1062" s="6" t="s">
        <v>7</v>
      </c>
    </row>
    <row r="1063" spans="12:15" x14ac:dyDescent="0.45">
      <c r="L1063" s="3" t="s">
        <v>293</v>
      </c>
      <c r="M1063" s="3" t="s">
        <v>41</v>
      </c>
      <c r="N1063" s="5">
        <v>8.8825971252528505E-3</v>
      </c>
      <c r="O1063" s="3" t="s">
        <v>7</v>
      </c>
    </row>
    <row r="1064" spans="12:15" x14ac:dyDescent="0.45">
      <c r="L1064" s="6" t="s">
        <v>293</v>
      </c>
      <c r="M1064" s="6" t="s">
        <v>42</v>
      </c>
      <c r="N1064" s="8">
        <v>8.4450224824962668E-3</v>
      </c>
      <c r="O1064" s="6" t="s">
        <v>7</v>
      </c>
    </row>
    <row r="1065" spans="12:15" x14ac:dyDescent="0.45">
      <c r="L1065" s="3" t="s">
        <v>293</v>
      </c>
      <c r="M1065" s="3" t="s">
        <v>43</v>
      </c>
      <c r="N1065" s="5">
        <v>8.9406941726130184E-3</v>
      </c>
      <c r="O1065" s="3" t="s">
        <v>7</v>
      </c>
    </row>
    <row r="1066" spans="12:15" x14ac:dyDescent="0.45">
      <c r="L1066" s="6" t="s">
        <v>293</v>
      </c>
      <c r="M1066" s="6" t="s">
        <v>44</v>
      </c>
      <c r="N1066" s="8">
        <v>9.8624557160705249E-3</v>
      </c>
      <c r="O1066" s="6" t="s">
        <v>7</v>
      </c>
    </row>
    <row r="1067" spans="12:15" x14ac:dyDescent="0.45">
      <c r="L1067" s="3" t="s">
        <v>293</v>
      </c>
      <c r="M1067" s="3" t="s">
        <v>45</v>
      </c>
      <c r="N1067" s="5">
        <v>1.0660177322165934E-2</v>
      </c>
      <c r="O1067" s="3" t="s">
        <v>7</v>
      </c>
    </row>
    <row r="1068" spans="12:15" x14ac:dyDescent="0.45">
      <c r="L1068" s="6" t="s">
        <v>293</v>
      </c>
      <c r="M1068" s="6" t="s">
        <v>46</v>
      </c>
      <c r="N1068" s="8">
        <v>1.0844167913190711E-2</v>
      </c>
      <c r="O1068" s="6" t="s">
        <v>7</v>
      </c>
    </row>
    <row r="1069" spans="12:15" x14ac:dyDescent="0.45">
      <c r="L1069" s="3" t="s">
        <v>293</v>
      </c>
      <c r="M1069" s="3" t="s">
        <v>47</v>
      </c>
      <c r="N1069" s="5">
        <v>1.053257473302229E-2</v>
      </c>
      <c r="O1069" s="3" t="s">
        <v>7</v>
      </c>
    </row>
    <row r="1070" spans="12:15" x14ac:dyDescent="0.45">
      <c r="L1070" s="6" t="s">
        <v>293</v>
      </c>
      <c r="M1070" s="6" t="s">
        <v>48</v>
      </c>
      <c r="N1070" s="8">
        <v>1.4695697220005232E-2</v>
      </c>
      <c r="O1070" s="6" t="s">
        <v>7</v>
      </c>
    </row>
    <row r="1071" spans="12:15" x14ac:dyDescent="0.45">
      <c r="L1071" s="3" t="s">
        <v>293</v>
      </c>
      <c r="M1071" s="3" t="s">
        <v>49</v>
      </c>
      <c r="N1071" s="5">
        <v>3.3517914108628692E-2</v>
      </c>
      <c r="O1071" s="3" t="s">
        <v>7</v>
      </c>
    </row>
    <row r="1072" spans="12:15" x14ac:dyDescent="0.45">
      <c r="L1072" s="6" t="s">
        <v>293</v>
      </c>
      <c r="M1072" s="6" t="s">
        <v>50</v>
      </c>
      <c r="N1072" s="8">
        <v>1.3930482517943221E-2</v>
      </c>
      <c r="O1072" s="6" t="s">
        <v>7</v>
      </c>
    </row>
    <row r="1073" spans="12:15" x14ac:dyDescent="0.45">
      <c r="L1073" s="3" t="s">
        <v>293</v>
      </c>
      <c r="M1073" s="3" t="s">
        <v>51</v>
      </c>
      <c r="N1073" s="5">
        <v>1.430941633517023E-2</v>
      </c>
      <c r="O1073" s="3" t="s">
        <v>7</v>
      </c>
    </row>
    <row r="1074" spans="12:15" x14ac:dyDescent="0.45">
      <c r="L1074" s="6" t="s">
        <v>293</v>
      </c>
      <c r="M1074" s="6" t="s">
        <v>52</v>
      </c>
      <c r="N1074" s="8">
        <v>1.4341755168188603E-2</v>
      </c>
      <c r="O1074" s="6" t="s">
        <v>7</v>
      </c>
    </row>
    <row r="1075" spans="12:15" x14ac:dyDescent="0.45">
      <c r="L1075" s="3" t="s">
        <v>293</v>
      </c>
      <c r="M1075" s="3" t="s">
        <v>53</v>
      </c>
      <c r="N1075" s="5">
        <v>1.4482498405637909E-2</v>
      </c>
      <c r="O1075" s="3" t="s">
        <v>7</v>
      </c>
    </row>
    <row r="1076" spans="12:15" x14ac:dyDescent="0.45">
      <c r="L1076" s="6" t="s">
        <v>293</v>
      </c>
      <c r="M1076" s="6" t="s">
        <v>54</v>
      </c>
      <c r="N1076" s="8">
        <v>1.4703549931739552E-2</v>
      </c>
      <c r="O1076" s="6" t="s">
        <v>7</v>
      </c>
    </row>
    <row r="1077" spans="12:15" x14ac:dyDescent="0.45">
      <c r="L1077" s="3" t="s">
        <v>293</v>
      </c>
      <c r="M1077" s="3" t="s">
        <v>55</v>
      </c>
      <c r="N1077" s="5">
        <v>1.4645127829485986E-2</v>
      </c>
      <c r="O1077" s="3" t="s">
        <v>7</v>
      </c>
    </row>
    <row r="1078" spans="12:15" x14ac:dyDescent="0.45">
      <c r="L1078" s="6" t="s">
        <v>293</v>
      </c>
      <c r="M1078" s="6" t="s">
        <v>56</v>
      </c>
      <c r="N1078" s="8">
        <v>1.4486926757056087E-2</v>
      </c>
      <c r="O1078" s="6" t="s">
        <v>7</v>
      </c>
    </row>
    <row r="1079" spans="12:15" x14ac:dyDescent="0.45">
      <c r="L1079" s="3" t="s">
        <v>293</v>
      </c>
      <c r="M1079" s="3" t="s">
        <v>57</v>
      </c>
      <c r="N1079" s="5">
        <v>1.4107254750335158E-2</v>
      </c>
      <c r="O1079" s="3" t="s">
        <v>7</v>
      </c>
    </row>
    <row r="1080" spans="12:15" x14ac:dyDescent="0.45">
      <c r="L1080" s="6" t="s">
        <v>293</v>
      </c>
      <c r="M1080" s="6" t="s">
        <v>58</v>
      </c>
      <c r="N1080" s="8">
        <v>1.9913856604813537E-2</v>
      </c>
      <c r="O1080" s="6" t="s">
        <v>7</v>
      </c>
    </row>
    <row r="1081" spans="12:15" x14ac:dyDescent="0.45">
      <c r="L1081" s="3" t="s">
        <v>293</v>
      </c>
      <c r="M1081" s="3" t="s">
        <v>59</v>
      </c>
      <c r="N1081" s="5">
        <v>3.7697558395149294E-2</v>
      </c>
      <c r="O1081" s="3" t="s">
        <v>7</v>
      </c>
    </row>
    <row r="1082" spans="12:15" x14ac:dyDescent="0.45">
      <c r="L1082" s="6" t="s">
        <v>293</v>
      </c>
      <c r="M1082" s="6" t="s">
        <v>60</v>
      </c>
      <c r="N1082" s="8">
        <v>1.502694094064284E-2</v>
      </c>
      <c r="O1082" s="6" t="s">
        <v>7</v>
      </c>
    </row>
    <row r="1083" spans="12:15" x14ac:dyDescent="0.45">
      <c r="L1083" s="3" t="s">
        <v>293</v>
      </c>
      <c r="M1083" s="3" t="s">
        <v>61</v>
      </c>
      <c r="N1083" s="5">
        <v>1.5109711079518098E-2</v>
      </c>
      <c r="O1083" s="3" t="s">
        <v>7</v>
      </c>
    </row>
    <row r="1084" spans="12:15" x14ac:dyDescent="0.45">
      <c r="L1084" s="6" t="s">
        <v>293</v>
      </c>
      <c r="M1084" s="6" t="s">
        <v>62</v>
      </c>
      <c r="N1084" s="8">
        <v>1.49345391521052E-2</v>
      </c>
      <c r="O1084" s="6" t="s">
        <v>7</v>
      </c>
    </row>
    <row r="1085" spans="12:15" x14ac:dyDescent="0.45">
      <c r="L1085" s="3" t="s">
        <v>293</v>
      </c>
      <c r="M1085" s="3" t="s">
        <v>63</v>
      </c>
      <c r="N1085" s="5">
        <v>1.501945856052503E-2</v>
      </c>
      <c r="O1085" s="3" t="s">
        <v>7</v>
      </c>
    </row>
    <row r="1086" spans="12:15" x14ac:dyDescent="0.45">
      <c r="L1086" s="6" t="s">
        <v>293</v>
      </c>
      <c r="M1086" s="6" t="s">
        <v>64</v>
      </c>
      <c r="N1086" s="8">
        <v>1.5062656998150842E-2</v>
      </c>
      <c r="O1086" s="6" t="s">
        <v>7</v>
      </c>
    </row>
    <row r="1087" spans="12:15" x14ac:dyDescent="0.45">
      <c r="L1087" s="3" t="s">
        <v>293</v>
      </c>
      <c r="M1087" s="3" t="s">
        <v>65</v>
      </c>
      <c r="N1087" s="5">
        <v>1.5763234468639021E-2</v>
      </c>
      <c r="O1087" s="3" t="s">
        <v>7</v>
      </c>
    </row>
    <row r="1088" spans="12:15" x14ac:dyDescent="0.45">
      <c r="L1088" s="6" t="s">
        <v>293</v>
      </c>
      <c r="M1088" s="6" t="s">
        <v>66</v>
      </c>
      <c r="N1088" s="8">
        <v>1.5774186214846709E-2</v>
      </c>
      <c r="O1088" s="6" t="s">
        <v>7</v>
      </c>
    </row>
    <row r="1089" spans="12:15" x14ac:dyDescent="0.45">
      <c r="L1089" s="3" t="s">
        <v>293</v>
      </c>
      <c r="M1089" s="3" t="s">
        <v>67</v>
      </c>
      <c r="N1089" s="5">
        <v>1.5647142312040761E-2</v>
      </c>
      <c r="O1089" s="3" t="s">
        <v>7</v>
      </c>
    </row>
    <row r="1090" spans="12:15" x14ac:dyDescent="0.45">
      <c r="L1090" s="6" t="s">
        <v>293</v>
      </c>
      <c r="M1090" s="6" t="s">
        <v>68</v>
      </c>
      <c r="N1090" s="8">
        <v>2.3650361114492525E-2</v>
      </c>
      <c r="O1090" s="6" t="s">
        <v>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B477-0366-4FB2-9F57-0A26A1518307}">
  <dimension ref="A1:LO48"/>
  <sheetViews>
    <sheetView workbookViewId="0">
      <selection sqref="A1:BH1"/>
    </sheetView>
  </sheetViews>
  <sheetFormatPr defaultRowHeight="14.25" x14ac:dyDescent="0.45"/>
  <cols>
    <col min="2" max="2" width="19.265625" bestFit="1" customWidth="1"/>
    <col min="3" max="3" width="10.59765625" bestFit="1" customWidth="1"/>
    <col min="4" max="63" width="10.59765625" customWidth="1"/>
    <col min="65" max="65" width="19.265625" bestFit="1" customWidth="1"/>
    <col min="66" max="66" width="10.59765625" bestFit="1" customWidth="1"/>
    <col min="67" max="126" width="10.59765625" customWidth="1"/>
    <col min="128" max="128" width="19.265625" bestFit="1" customWidth="1"/>
    <col min="129" max="129" width="10.59765625" bestFit="1" customWidth="1"/>
    <col min="130" max="189" width="10.59765625" customWidth="1"/>
    <col min="191" max="191" width="19.265625" bestFit="1" customWidth="1"/>
    <col min="192" max="192" width="10.59765625" bestFit="1" customWidth="1"/>
    <col min="193" max="252" width="10.59765625" customWidth="1"/>
    <col min="254" max="255" width="10.59765625" customWidth="1"/>
    <col min="256" max="256" width="15.1328125" bestFit="1" customWidth="1"/>
    <col min="257" max="259" width="10.59765625" customWidth="1"/>
    <col min="260" max="260" width="30.59765625" customWidth="1"/>
    <col min="262" max="262" width="19.265625" bestFit="1" customWidth="1"/>
    <col min="263" max="322" width="10.59765625" customWidth="1"/>
    <col min="324" max="324" width="19.265625" bestFit="1" customWidth="1"/>
    <col min="325" max="325" width="10.59765625" bestFit="1" customWidth="1"/>
    <col min="326" max="326" width="12.6640625" bestFit="1" customWidth="1"/>
    <col min="327" max="327" width="10.59765625" customWidth="1"/>
  </cols>
  <sheetData>
    <row r="1" spans="1:327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</row>
    <row r="9" spans="1:327" ht="14.65" thickBot="1" x14ac:dyDescent="0.5">
      <c r="B9" s="1" t="str">
        <f>IF(A11="x","DeActivated","~TFM_DINS-TSL: attribute=FLO_EMIS; other_indexes=ACT; region=IRL")</f>
        <v>~TFM_DINS-TSL: attribute=FLO_EMIS; other_indexes=ACT; region=IRL</v>
      </c>
      <c r="BM9" s="1" t="str">
        <f>IF(A11="x","DeActivated","~TFM_DINS-TSL: attribute=FLO_SHAR; limtype=FX; region=IRL")</f>
        <v>~TFM_DINS-TSL: attribute=FLO_SHAR; limtype=FX; region=IRL</v>
      </c>
      <c r="DX9" s="1" t="str">
        <f>IF(A11="x","DeActivated","~TFM_DINS-TSL: attribute=FLO_SHAR; limtype=FX; region=IRL")</f>
        <v>~TFM_DINS-TSL: attribute=FLO_SHAR; limtype=FX; region=IRL</v>
      </c>
      <c r="GI9" s="1" t="str">
        <f>IF(A11="x","DeActivated","~TFM_DINS-TSL: attribute=FLO_SHAR; limtype=FX; region=IRL")</f>
        <v>~TFM_DINS-TSL: attribute=FLO_SHAR; limtype=FX; region=IRL</v>
      </c>
      <c r="IT9" s="1" t="str">
        <f>IF(A11="x","DeActivated","~TFM_INS: region=IRL")</f>
        <v>~TFM_INS: region=IRL</v>
      </c>
      <c r="JB9" s="1" t="str">
        <f>IF(A11="x","DeActivated","~TFM_DINS-TSL: attribute=NCAP_PKCNT; region=IRL")</f>
        <v>~TFM_DINS-TSL: attribute=NCAP_PKCNT; region=IRL</v>
      </c>
      <c r="LL9" s="1" t="str">
        <f>IF(A11="x","DeActivated","~TFM_DINS-AT: region=IRL")</f>
        <v>~TFM_DINS-AT: region=IRL</v>
      </c>
    </row>
    <row r="10" spans="1:327" ht="15.75" thickBot="1" x14ac:dyDescent="0.6">
      <c r="B10" s="2" t="s">
        <v>4</v>
      </c>
      <c r="C10" s="2" t="s">
        <v>1</v>
      </c>
      <c r="D10" s="2" t="s">
        <v>6</v>
      </c>
      <c r="E10" s="2" t="s">
        <v>10</v>
      </c>
      <c r="F10" s="2" t="s">
        <v>11</v>
      </c>
      <c r="G10" s="2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  <c r="M10" s="2" t="s">
        <v>18</v>
      </c>
      <c r="N10" s="2" t="s">
        <v>19</v>
      </c>
      <c r="O10" s="2" t="s">
        <v>20</v>
      </c>
      <c r="P10" s="2" t="s">
        <v>21</v>
      </c>
      <c r="Q10" s="2" t="s">
        <v>22</v>
      </c>
      <c r="R10" s="2" t="s">
        <v>23</v>
      </c>
      <c r="S10" s="2" t="s">
        <v>24</v>
      </c>
      <c r="T10" s="2" t="s">
        <v>25</v>
      </c>
      <c r="U10" s="2" t="s">
        <v>26</v>
      </c>
      <c r="V10" s="2" t="s">
        <v>27</v>
      </c>
      <c r="W10" s="2" t="s">
        <v>28</v>
      </c>
      <c r="X10" s="2" t="s">
        <v>29</v>
      </c>
      <c r="Y10" s="2" t="s">
        <v>30</v>
      </c>
      <c r="Z10" s="2" t="s">
        <v>31</v>
      </c>
      <c r="AA10" s="2" t="s">
        <v>32</v>
      </c>
      <c r="AB10" s="2" t="s">
        <v>33</v>
      </c>
      <c r="AC10" s="2" t="s">
        <v>34</v>
      </c>
      <c r="AD10" s="2" t="s">
        <v>35</v>
      </c>
      <c r="AE10" s="2" t="s">
        <v>36</v>
      </c>
      <c r="AF10" s="2" t="s">
        <v>37</v>
      </c>
      <c r="AG10" s="2" t="s">
        <v>38</v>
      </c>
      <c r="AH10" s="2" t="s">
        <v>39</v>
      </c>
      <c r="AI10" s="2" t="s">
        <v>40</v>
      </c>
      <c r="AJ10" s="2" t="s">
        <v>41</v>
      </c>
      <c r="AK10" s="2" t="s">
        <v>42</v>
      </c>
      <c r="AL10" s="2" t="s">
        <v>43</v>
      </c>
      <c r="AM10" s="2" t="s">
        <v>44</v>
      </c>
      <c r="AN10" s="2" t="s">
        <v>45</v>
      </c>
      <c r="AO10" s="2" t="s">
        <v>46</v>
      </c>
      <c r="AP10" s="2" t="s">
        <v>47</v>
      </c>
      <c r="AQ10" s="2" t="s">
        <v>48</v>
      </c>
      <c r="AR10" s="2" t="s">
        <v>49</v>
      </c>
      <c r="AS10" s="2" t="s">
        <v>50</v>
      </c>
      <c r="AT10" s="2" t="s">
        <v>51</v>
      </c>
      <c r="AU10" s="2" t="s">
        <v>52</v>
      </c>
      <c r="AV10" s="2" t="s">
        <v>53</v>
      </c>
      <c r="AW10" s="2" t="s">
        <v>54</v>
      </c>
      <c r="AX10" s="2" t="s">
        <v>55</v>
      </c>
      <c r="AY10" s="2" t="s">
        <v>56</v>
      </c>
      <c r="AZ10" s="2" t="s">
        <v>57</v>
      </c>
      <c r="BA10" s="2" t="s">
        <v>58</v>
      </c>
      <c r="BB10" s="2" t="s">
        <v>59</v>
      </c>
      <c r="BC10" s="2" t="s">
        <v>60</v>
      </c>
      <c r="BD10" s="2" t="s">
        <v>61</v>
      </c>
      <c r="BE10" s="2" t="s">
        <v>62</v>
      </c>
      <c r="BF10" s="2" t="s">
        <v>63</v>
      </c>
      <c r="BG10" s="2" t="s">
        <v>64</v>
      </c>
      <c r="BH10" s="2" t="s">
        <v>65</v>
      </c>
      <c r="BI10" s="2" t="s">
        <v>66</v>
      </c>
      <c r="BJ10" s="2" t="s">
        <v>67</v>
      </c>
      <c r="BK10" s="2" t="s">
        <v>68</v>
      </c>
      <c r="BM10" s="2" t="s">
        <v>4</v>
      </c>
      <c r="BN10" s="2" t="s">
        <v>1</v>
      </c>
      <c r="BO10" s="2" t="s">
        <v>6</v>
      </c>
      <c r="BP10" s="2" t="s">
        <v>10</v>
      </c>
      <c r="BQ10" s="2" t="s">
        <v>11</v>
      </c>
      <c r="BR10" s="2" t="s">
        <v>12</v>
      </c>
      <c r="BS10" s="2" t="s">
        <v>13</v>
      </c>
      <c r="BT10" s="2" t="s">
        <v>14</v>
      </c>
      <c r="BU10" s="2" t="s">
        <v>15</v>
      </c>
      <c r="BV10" s="2" t="s">
        <v>16</v>
      </c>
      <c r="BW10" s="2" t="s">
        <v>17</v>
      </c>
      <c r="BX10" s="2" t="s">
        <v>18</v>
      </c>
      <c r="BY10" s="2" t="s">
        <v>19</v>
      </c>
      <c r="BZ10" s="2" t="s">
        <v>20</v>
      </c>
      <c r="CA10" s="2" t="s">
        <v>21</v>
      </c>
      <c r="CB10" s="2" t="s">
        <v>22</v>
      </c>
      <c r="CC10" s="2" t="s">
        <v>23</v>
      </c>
      <c r="CD10" s="2" t="s">
        <v>24</v>
      </c>
      <c r="CE10" s="2" t="s">
        <v>25</v>
      </c>
      <c r="CF10" s="2" t="s">
        <v>26</v>
      </c>
      <c r="CG10" s="2" t="s">
        <v>27</v>
      </c>
      <c r="CH10" s="2" t="s">
        <v>28</v>
      </c>
      <c r="CI10" s="2" t="s">
        <v>29</v>
      </c>
      <c r="CJ10" s="2" t="s">
        <v>30</v>
      </c>
      <c r="CK10" s="2" t="s">
        <v>31</v>
      </c>
      <c r="CL10" s="2" t="s">
        <v>32</v>
      </c>
      <c r="CM10" s="2" t="s">
        <v>33</v>
      </c>
      <c r="CN10" s="2" t="s">
        <v>34</v>
      </c>
      <c r="CO10" s="2" t="s">
        <v>35</v>
      </c>
      <c r="CP10" s="2" t="s">
        <v>36</v>
      </c>
      <c r="CQ10" s="2" t="s">
        <v>37</v>
      </c>
      <c r="CR10" s="2" t="s">
        <v>38</v>
      </c>
      <c r="CS10" s="2" t="s">
        <v>39</v>
      </c>
      <c r="CT10" s="2" t="s">
        <v>40</v>
      </c>
      <c r="CU10" s="2" t="s">
        <v>41</v>
      </c>
      <c r="CV10" s="2" t="s">
        <v>42</v>
      </c>
      <c r="CW10" s="2" t="s">
        <v>43</v>
      </c>
      <c r="CX10" s="2" t="s">
        <v>44</v>
      </c>
      <c r="CY10" s="2" t="s">
        <v>45</v>
      </c>
      <c r="CZ10" s="2" t="s">
        <v>46</v>
      </c>
      <c r="DA10" s="2" t="s">
        <v>47</v>
      </c>
      <c r="DB10" s="2" t="s">
        <v>48</v>
      </c>
      <c r="DC10" s="2" t="s">
        <v>49</v>
      </c>
      <c r="DD10" s="2" t="s">
        <v>50</v>
      </c>
      <c r="DE10" s="2" t="s">
        <v>51</v>
      </c>
      <c r="DF10" s="2" t="s">
        <v>52</v>
      </c>
      <c r="DG10" s="2" t="s">
        <v>53</v>
      </c>
      <c r="DH10" s="2" t="s">
        <v>54</v>
      </c>
      <c r="DI10" s="2" t="s">
        <v>55</v>
      </c>
      <c r="DJ10" s="2" t="s">
        <v>56</v>
      </c>
      <c r="DK10" s="2" t="s">
        <v>57</v>
      </c>
      <c r="DL10" s="2" t="s">
        <v>58</v>
      </c>
      <c r="DM10" s="2" t="s">
        <v>59</v>
      </c>
      <c r="DN10" s="2" t="s">
        <v>60</v>
      </c>
      <c r="DO10" s="2" t="s">
        <v>61</v>
      </c>
      <c r="DP10" s="2" t="s">
        <v>62</v>
      </c>
      <c r="DQ10" s="2" t="s">
        <v>63</v>
      </c>
      <c r="DR10" s="2" t="s">
        <v>64</v>
      </c>
      <c r="DS10" s="2" t="s">
        <v>65</v>
      </c>
      <c r="DT10" s="2" t="s">
        <v>66</v>
      </c>
      <c r="DU10" s="2" t="s">
        <v>67</v>
      </c>
      <c r="DV10" s="2" t="s">
        <v>68</v>
      </c>
      <c r="DX10" s="2" t="s">
        <v>4</v>
      </c>
      <c r="DY10" s="2" t="s">
        <v>1</v>
      </c>
      <c r="DZ10" s="2" t="s">
        <v>6</v>
      </c>
      <c r="EA10" s="2" t="s">
        <v>10</v>
      </c>
      <c r="EB10" s="2" t="s">
        <v>11</v>
      </c>
      <c r="EC10" s="2" t="s">
        <v>12</v>
      </c>
      <c r="ED10" s="2" t="s">
        <v>13</v>
      </c>
      <c r="EE10" s="2" t="s">
        <v>14</v>
      </c>
      <c r="EF10" s="2" t="s">
        <v>15</v>
      </c>
      <c r="EG10" s="2" t="s">
        <v>16</v>
      </c>
      <c r="EH10" s="2" t="s">
        <v>17</v>
      </c>
      <c r="EI10" s="2" t="s">
        <v>18</v>
      </c>
      <c r="EJ10" s="2" t="s">
        <v>19</v>
      </c>
      <c r="EK10" s="2" t="s">
        <v>20</v>
      </c>
      <c r="EL10" s="2" t="s">
        <v>21</v>
      </c>
      <c r="EM10" s="2" t="s">
        <v>22</v>
      </c>
      <c r="EN10" s="2" t="s">
        <v>23</v>
      </c>
      <c r="EO10" s="2" t="s">
        <v>24</v>
      </c>
      <c r="EP10" s="2" t="s">
        <v>25</v>
      </c>
      <c r="EQ10" s="2" t="s">
        <v>26</v>
      </c>
      <c r="ER10" s="2" t="s">
        <v>27</v>
      </c>
      <c r="ES10" s="2" t="s">
        <v>28</v>
      </c>
      <c r="ET10" s="2" t="s">
        <v>29</v>
      </c>
      <c r="EU10" s="2" t="s">
        <v>30</v>
      </c>
      <c r="EV10" s="2" t="s">
        <v>31</v>
      </c>
      <c r="EW10" s="2" t="s">
        <v>32</v>
      </c>
      <c r="EX10" s="2" t="s">
        <v>33</v>
      </c>
      <c r="EY10" s="2" t="s">
        <v>34</v>
      </c>
      <c r="EZ10" s="2" t="s">
        <v>35</v>
      </c>
      <c r="FA10" s="2" t="s">
        <v>36</v>
      </c>
      <c r="FB10" s="2" t="s">
        <v>37</v>
      </c>
      <c r="FC10" s="2" t="s">
        <v>38</v>
      </c>
      <c r="FD10" s="2" t="s">
        <v>39</v>
      </c>
      <c r="FE10" s="2" t="s">
        <v>40</v>
      </c>
      <c r="FF10" s="2" t="s">
        <v>41</v>
      </c>
      <c r="FG10" s="2" t="s">
        <v>42</v>
      </c>
      <c r="FH10" s="2" t="s">
        <v>43</v>
      </c>
      <c r="FI10" s="2" t="s">
        <v>44</v>
      </c>
      <c r="FJ10" s="2" t="s">
        <v>45</v>
      </c>
      <c r="FK10" s="2" t="s">
        <v>46</v>
      </c>
      <c r="FL10" s="2" t="s">
        <v>47</v>
      </c>
      <c r="FM10" s="2" t="s">
        <v>48</v>
      </c>
      <c r="FN10" s="2" t="s">
        <v>49</v>
      </c>
      <c r="FO10" s="2" t="s">
        <v>50</v>
      </c>
      <c r="FP10" s="2" t="s">
        <v>51</v>
      </c>
      <c r="FQ10" s="2" t="s">
        <v>52</v>
      </c>
      <c r="FR10" s="2" t="s">
        <v>53</v>
      </c>
      <c r="FS10" s="2" t="s">
        <v>54</v>
      </c>
      <c r="FT10" s="2" t="s">
        <v>55</v>
      </c>
      <c r="FU10" s="2" t="s">
        <v>56</v>
      </c>
      <c r="FV10" s="2" t="s">
        <v>57</v>
      </c>
      <c r="FW10" s="2" t="s">
        <v>58</v>
      </c>
      <c r="FX10" s="2" t="s">
        <v>59</v>
      </c>
      <c r="FY10" s="2" t="s">
        <v>60</v>
      </c>
      <c r="FZ10" s="2" t="s">
        <v>61</v>
      </c>
      <c r="GA10" s="2" t="s">
        <v>62</v>
      </c>
      <c r="GB10" s="2" t="s">
        <v>63</v>
      </c>
      <c r="GC10" s="2" t="s">
        <v>64</v>
      </c>
      <c r="GD10" s="2" t="s">
        <v>65</v>
      </c>
      <c r="GE10" s="2" t="s">
        <v>66</v>
      </c>
      <c r="GF10" s="2" t="s">
        <v>67</v>
      </c>
      <c r="GG10" s="2" t="s">
        <v>68</v>
      </c>
      <c r="GI10" s="2" t="s">
        <v>4</v>
      </c>
      <c r="GJ10" s="2" t="s">
        <v>1</v>
      </c>
      <c r="GK10" s="2" t="s">
        <v>6</v>
      </c>
      <c r="GL10" s="2" t="s">
        <v>10</v>
      </c>
      <c r="GM10" s="2" t="s">
        <v>11</v>
      </c>
      <c r="GN10" s="2" t="s">
        <v>12</v>
      </c>
      <c r="GO10" s="2" t="s">
        <v>13</v>
      </c>
      <c r="GP10" s="2" t="s">
        <v>14</v>
      </c>
      <c r="GQ10" s="2" t="s">
        <v>15</v>
      </c>
      <c r="GR10" s="2" t="s">
        <v>16</v>
      </c>
      <c r="GS10" s="2" t="s">
        <v>17</v>
      </c>
      <c r="GT10" s="2" t="s">
        <v>18</v>
      </c>
      <c r="GU10" s="2" t="s">
        <v>19</v>
      </c>
      <c r="GV10" s="2" t="s">
        <v>20</v>
      </c>
      <c r="GW10" s="2" t="s">
        <v>21</v>
      </c>
      <c r="GX10" s="2" t="s">
        <v>22</v>
      </c>
      <c r="GY10" s="2" t="s">
        <v>23</v>
      </c>
      <c r="GZ10" s="2" t="s">
        <v>24</v>
      </c>
      <c r="HA10" s="2" t="s">
        <v>25</v>
      </c>
      <c r="HB10" s="2" t="s">
        <v>26</v>
      </c>
      <c r="HC10" s="2" t="s">
        <v>27</v>
      </c>
      <c r="HD10" s="2" t="s">
        <v>28</v>
      </c>
      <c r="HE10" s="2" t="s">
        <v>29</v>
      </c>
      <c r="HF10" s="2" t="s">
        <v>30</v>
      </c>
      <c r="HG10" s="2" t="s">
        <v>31</v>
      </c>
      <c r="HH10" s="2" t="s">
        <v>32</v>
      </c>
      <c r="HI10" s="2" t="s">
        <v>33</v>
      </c>
      <c r="HJ10" s="2" t="s">
        <v>34</v>
      </c>
      <c r="HK10" s="2" t="s">
        <v>35</v>
      </c>
      <c r="HL10" s="2" t="s">
        <v>36</v>
      </c>
      <c r="HM10" s="2" t="s">
        <v>37</v>
      </c>
      <c r="HN10" s="2" t="s">
        <v>38</v>
      </c>
      <c r="HO10" s="2" t="s">
        <v>39</v>
      </c>
      <c r="HP10" s="2" t="s">
        <v>40</v>
      </c>
      <c r="HQ10" s="2" t="s">
        <v>41</v>
      </c>
      <c r="HR10" s="2" t="s">
        <v>42</v>
      </c>
      <c r="HS10" s="2" t="s">
        <v>43</v>
      </c>
      <c r="HT10" s="2" t="s">
        <v>44</v>
      </c>
      <c r="HU10" s="2" t="s">
        <v>45</v>
      </c>
      <c r="HV10" s="2" t="s">
        <v>46</v>
      </c>
      <c r="HW10" s="2" t="s">
        <v>47</v>
      </c>
      <c r="HX10" s="2" t="s">
        <v>48</v>
      </c>
      <c r="HY10" s="2" t="s">
        <v>49</v>
      </c>
      <c r="HZ10" s="2" t="s">
        <v>50</v>
      </c>
      <c r="IA10" s="2" t="s">
        <v>51</v>
      </c>
      <c r="IB10" s="2" t="s">
        <v>52</v>
      </c>
      <c r="IC10" s="2" t="s">
        <v>53</v>
      </c>
      <c r="ID10" s="2" t="s">
        <v>54</v>
      </c>
      <c r="IE10" s="2" t="s">
        <v>55</v>
      </c>
      <c r="IF10" s="2" t="s">
        <v>56</v>
      </c>
      <c r="IG10" s="2" t="s">
        <v>57</v>
      </c>
      <c r="IH10" s="2" t="s">
        <v>58</v>
      </c>
      <c r="II10" s="2" t="s">
        <v>59</v>
      </c>
      <c r="IJ10" s="2" t="s">
        <v>60</v>
      </c>
      <c r="IK10" s="2" t="s">
        <v>61</v>
      </c>
      <c r="IL10" s="2" t="s">
        <v>62</v>
      </c>
      <c r="IM10" s="2" t="s">
        <v>63</v>
      </c>
      <c r="IN10" s="2" t="s">
        <v>64</v>
      </c>
      <c r="IO10" s="2" t="s">
        <v>65</v>
      </c>
      <c r="IP10" s="2" t="s">
        <v>66</v>
      </c>
      <c r="IQ10" s="2" t="s">
        <v>67</v>
      </c>
      <c r="IR10" s="2" t="s">
        <v>68</v>
      </c>
      <c r="IT10" s="2" t="s">
        <v>144</v>
      </c>
      <c r="IU10" s="2" t="s">
        <v>4</v>
      </c>
      <c r="IV10" s="2" t="s">
        <v>1</v>
      </c>
      <c r="IW10" s="2" t="s">
        <v>145</v>
      </c>
      <c r="IX10" s="2" t="s">
        <v>146</v>
      </c>
      <c r="IY10" s="2" t="s">
        <v>147</v>
      </c>
      <c r="IZ10" s="2" t="s">
        <v>2</v>
      </c>
      <c r="JB10" s="2" t="s">
        <v>4</v>
      </c>
      <c r="JC10" s="2" t="s">
        <v>6</v>
      </c>
      <c r="JD10" s="2" t="s">
        <v>10</v>
      </c>
      <c r="JE10" s="2" t="s">
        <v>11</v>
      </c>
      <c r="JF10" s="2" t="s">
        <v>12</v>
      </c>
      <c r="JG10" s="2" t="s">
        <v>13</v>
      </c>
      <c r="JH10" s="2" t="s">
        <v>14</v>
      </c>
      <c r="JI10" s="2" t="s">
        <v>15</v>
      </c>
      <c r="JJ10" s="2" t="s">
        <v>16</v>
      </c>
      <c r="JK10" s="2" t="s">
        <v>17</v>
      </c>
      <c r="JL10" s="2" t="s">
        <v>18</v>
      </c>
      <c r="JM10" s="2" t="s">
        <v>19</v>
      </c>
      <c r="JN10" s="2" t="s">
        <v>20</v>
      </c>
      <c r="JO10" s="2" t="s">
        <v>21</v>
      </c>
      <c r="JP10" s="2" t="s">
        <v>22</v>
      </c>
      <c r="JQ10" s="2" t="s">
        <v>23</v>
      </c>
      <c r="JR10" s="2" t="s">
        <v>24</v>
      </c>
      <c r="JS10" s="2" t="s">
        <v>25</v>
      </c>
      <c r="JT10" s="2" t="s">
        <v>26</v>
      </c>
      <c r="JU10" s="2" t="s">
        <v>27</v>
      </c>
      <c r="JV10" s="2" t="s">
        <v>28</v>
      </c>
      <c r="JW10" s="2" t="s">
        <v>29</v>
      </c>
      <c r="JX10" s="2" t="s">
        <v>30</v>
      </c>
      <c r="JY10" s="2" t="s">
        <v>31</v>
      </c>
      <c r="JZ10" s="2" t="s">
        <v>32</v>
      </c>
      <c r="KA10" s="2" t="s">
        <v>33</v>
      </c>
      <c r="KB10" s="2" t="s">
        <v>34</v>
      </c>
      <c r="KC10" s="2" t="s">
        <v>35</v>
      </c>
      <c r="KD10" s="2" t="s">
        <v>36</v>
      </c>
      <c r="KE10" s="2" t="s">
        <v>37</v>
      </c>
      <c r="KF10" s="2" t="s">
        <v>38</v>
      </c>
      <c r="KG10" s="2" t="s">
        <v>39</v>
      </c>
      <c r="KH10" s="2" t="s">
        <v>40</v>
      </c>
      <c r="KI10" s="2" t="s">
        <v>41</v>
      </c>
      <c r="KJ10" s="2" t="s">
        <v>42</v>
      </c>
      <c r="KK10" s="2" t="s">
        <v>43</v>
      </c>
      <c r="KL10" s="2" t="s">
        <v>44</v>
      </c>
      <c r="KM10" s="2" t="s">
        <v>45</v>
      </c>
      <c r="KN10" s="2" t="s">
        <v>46</v>
      </c>
      <c r="KO10" s="2" t="s">
        <v>47</v>
      </c>
      <c r="KP10" s="2" t="s">
        <v>48</v>
      </c>
      <c r="KQ10" s="2" t="s">
        <v>49</v>
      </c>
      <c r="KR10" s="2" t="s">
        <v>50</v>
      </c>
      <c r="KS10" s="2" t="s">
        <v>51</v>
      </c>
      <c r="KT10" s="2" t="s">
        <v>52</v>
      </c>
      <c r="KU10" s="2" t="s">
        <v>53</v>
      </c>
      <c r="KV10" s="2" t="s">
        <v>54</v>
      </c>
      <c r="KW10" s="2" t="s">
        <v>55</v>
      </c>
      <c r="KX10" s="2" t="s">
        <v>56</v>
      </c>
      <c r="KY10" s="2" t="s">
        <v>57</v>
      </c>
      <c r="KZ10" s="2" t="s">
        <v>58</v>
      </c>
      <c r="LA10" s="2" t="s">
        <v>59</v>
      </c>
      <c r="LB10" s="2" t="s">
        <v>60</v>
      </c>
      <c r="LC10" s="2" t="s">
        <v>61</v>
      </c>
      <c r="LD10" s="2" t="s">
        <v>62</v>
      </c>
      <c r="LE10" s="2" t="s">
        <v>63</v>
      </c>
      <c r="LF10" s="2" t="s">
        <v>64</v>
      </c>
      <c r="LG10" s="2" t="s">
        <v>65</v>
      </c>
      <c r="LH10" s="2" t="s">
        <v>66</v>
      </c>
      <c r="LI10" s="2" t="s">
        <v>67</v>
      </c>
      <c r="LJ10" s="2" t="s">
        <v>68</v>
      </c>
      <c r="LL10" s="2" t="s">
        <v>4</v>
      </c>
      <c r="LM10" s="2" t="s">
        <v>1</v>
      </c>
      <c r="LN10" s="2" t="s">
        <v>148</v>
      </c>
      <c r="LO10" s="2" t="s">
        <v>149</v>
      </c>
    </row>
    <row r="11" spans="1:327" x14ac:dyDescent="0.45">
      <c r="B11" s="3" t="s">
        <v>294</v>
      </c>
      <c r="C11" s="3" t="s">
        <v>151</v>
      </c>
      <c r="D11" s="5">
        <v>0</v>
      </c>
      <c r="E11" s="5">
        <v>0</v>
      </c>
      <c r="F11" s="5">
        <v>0</v>
      </c>
      <c r="G11" s="5">
        <v>0.79089509015177606</v>
      </c>
      <c r="H11" s="5">
        <v>0.37761160269857463</v>
      </c>
      <c r="I11" s="5">
        <v>0.31472752786282121</v>
      </c>
      <c r="J11" s="5">
        <v>0.31157629182840518</v>
      </c>
      <c r="K11" s="5">
        <v>0.39298566302697557</v>
      </c>
      <c r="L11" s="5">
        <v>0.85591485179928606</v>
      </c>
      <c r="M11" s="5">
        <v>0</v>
      </c>
      <c r="N11" s="5">
        <v>0</v>
      </c>
      <c r="O11" s="5">
        <v>0</v>
      </c>
      <c r="P11" s="5">
        <v>0.74592768751842242</v>
      </c>
      <c r="Q11" s="5">
        <v>0.33090224355442394</v>
      </c>
      <c r="R11" s="5">
        <v>0.2147890579094098</v>
      </c>
      <c r="S11" s="5">
        <v>0.19264921757605252</v>
      </c>
      <c r="T11" s="5">
        <v>0.19215294909154695</v>
      </c>
      <c r="U11" s="5">
        <v>0.23144306430104397</v>
      </c>
      <c r="V11" s="5">
        <v>0.41043794868907008</v>
      </c>
      <c r="W11" s="5">
        <v>0.93648838253836342</v>
      </c>
      <c r="X11" s="5">
        <v>0</v>
      </c>
      <c r="Y11" s="5">
        <v>0</v>
      </c>
      <c r="Z11" s="5">
        <v>0.32438573546349531</v>
      </c>
      <c r="AA11" s="5">
        <v>0.18710424662740327</v>
      </c>
      <c r="AB11" s="5">
        <v>0.1419911142065034</v>
      </c>
      <c r="AC11" s="5">
        <v>0.14257066000678528</v>
      </c>
      <c r="AD11" s="5">
        <v>0.16305455472212829</v>
      </c>
      <c r="AE11" s="5">
        <v>0.17287380497566338</v>
      </c>
      <c r="AF11" s="5">
        <v>0.26177715276016772</v>
      </c>
      <c r="AG11" s="5">
        <v>0.63969353080262192</v>
      </c>
      <c r="AH11" s="5">
        <v>0</v>
      </c>
      <c r="AI11" s="5">
        <v>0</v>
      </c>
      <c r="AJ11" s="5">
        <v>0.40062745787909654</v>
      </c>
      <c r="AK11" s="5">
        <v>0.22487024427881666</v>
      </c>
      <c r="AL11" s="5">
        <v>0.17377156572761573</v>
      </c>
      <c r="AM11" s="5">
        <v>0.15068086802670053</v>
      </c>
      <c r="AN11" s="5">
        <v>0.14961325984002982</v>
      </c>
      <c r="AO11" s="5">
        <v>0.16624897747939191</v>
      </c>
      <c r="AP11" s="5">
        <v>0.2628955454152585</v>
      </c>
      <c r="AQ11" s="5">
        <v>0.70165353109280126</v>
      </c>
      <c r="AR11" s="5">
        <v>0</v>
      </c>
      <c r="AS11" s="5">
        <v>0</v>
      </c>
      <c r="AT11" s="5">
        <v>0.87479597059942216</v>
      </c>
      <c r="AU11" s="5">
        <v>0.37616518682508648</v>
      </c>
      <c r="AV11" s="5">
        <v>0.23506348607470012</v>
      </c>
      <c r="AW11" s="5">
        <v>0.20412379392567859</v>
      </c>
      <c r="AX11" s="5">
        <v>0.20772048775702426</v>
      </c>
      <c r="AY11" s="5">
        <v>0.29134272481587686</v>
      </c>
      <c r="AZ11" s="5">
        <v>0.62783038268968538</v>
      </c>
      <c r="BA11" s="5">
        <v>0</v>
      </c>
      <c r="BB11" s="5">
        <v>0</v>
      </c>
      <c r="BC11" s="5">
        <v>0</v>
      </c>
      <c r="BD11" s="5">
        <v>0</v>
      </c>
      <c r="BE11" s="5">
        <v>0.81000237070686421</v>
      </c>
      <c r="BF11" s="5">
        <v>0.30427540676715514</v>
      </c>
      <c r="BG11" s="5">
        <v>0.28565904306855155</v>
      </c>
      <c r="BH11" s="5">
        <v>0.30424856678882267</v>
      </c>
      <c r="BI11" s="5">
        <v>0.54671166647733316</v>
      </c>
      <c r="BJ11" s="5">
        <v>0</v>
      </c>
      <c r="BK11" s="5">
        <v>0</v>
      </c>
      <c r="BM11" s="3" t="s">
        <v>294</v>
      </c>
      <c r="BN11" s="3" t="s">
        <v>152</v>
      </c>
      <c r="BO11" s="5">
        <v>0</v>
      </c>
      <c r="BP11" s="5">
        <v>0</v>
      </c>
      <c r="BQ11" s="5">
        <v>0</v>
      </c>
      <c r="BR11" s="5">
        <v>0.65633029196553705</v>
      </c>
      <c r="BS11" s="5">
        <v>0.24657357454788145</v>
      </c>
      <c r="BT11" s="5">
        <v>0.17883669933645818</v>
      </c>
      <c r="BU11" s="4">
        <v>9.5813312957141752E-2</v>
      </c>
      <c r="BV11" s="5">
        <v>5.0089767874231389E-2</v>
      </c>
      <c r="BW11" s="5">
        <v>0.23648966387832823</v>
      </c>
      <c r="BX11" s="5">
        <v>0</v>
      </c>
      <c r="BY11" s="5">
        <v>0</v>
      </c>
      <c r="BZ11" s="4">
        <v>0</v>
      </c>
      <c r="CA11" s="5">
        <v>0.61064310198230465</v>
      </c>
      <c r="CB11" s="5">
        <v>0.21050966163958607</v>
      </c>
      <c r="CC11" s="5">
        <v>0.11356362381236124</v>
      </c>
      <c r="CD11" s="4">
        <v>8.5374888989456027E-2</v>
      </c>
      <c r="CE11" s="4">
        <v>3.014253542286878E-2</v>
      </c>
      <c r="CF11" s="4">
        <v>3.1688577941836847E-2</v>
      </c>
      <c r="CG11" s="5">
        <v>6.9593777528510758E-2</v>
      </c>
      <c r="CH11" s="5">
        <v>0.72316391471657759</v>
      </c>
      <c r="CI11" s="5">
        <v>0</v>
      </c>
      <c r="CJ11" s="5">
        <v>0</v>
      </c>
      <c r="CK11" s="4">
        <v>0.20180114630226897</v>
      </c>
      <c r="CL11" s="4">
        <v>0.11641864642264735</v>
      </c>
      <c r="CM11" s="5">
        <v>7.8335915222481539E-2</v>
      </c>
      <c r="CN11" s="5">
        <v>5.8285246389019378E-2</v>
      </c>
      <c r="CO11" s="5">
        <v>2.8698159151409785E-2</v>
      </c>
      <c r="CP11" s="5">
        <v>2.4859621217244533E-2</v>
      </c>
      <c r="CQ11" s="5">
        <v>7.8514422925641522E-2</v>
      </c>
      <c r="CR11" s="5">
        <v>0.46688040077631848</v>
      </c>
      <c r="CS11" s="5">
        <v>0</v>
      </c>
      <c r="CT11" s="4">
        <v>0</v>
      </c>
      <c r="CU11" s="5">
        <v>0.27137879864962233</v>
      </c>
      <c r="CV11" s="5">
        <v>0.13986258631351101</v>
      </c>
      <c r="CW11" s="5">
        <v>8.5724033722339277E-2</v>
      </c>
      <c r="CX11" s="5">
        <v>5.2776115197860816E-2</v>
      </c>
      <c r="CY11" s="5">
        <v>2.8281478129983915E-2</v>
      </c>
      <c r="CZ11" s="5">
        <v>1.9872508662501655E-2</v>
      </c>
      <c r="DA11" s="5">
        <v>4.6158554152733212E-2</v>
      </c>
      <c r="DB11" s="4">
        <v>0.54906321489920895</v>
      </c>
      <c r="DC11" s="5">
        <v>0</v>
      </c>
      <c r="DD11" s="5">
        <v>0</v>
      </c>
      <c r="DE11" s="5">
        <v>0.77266308286458363</v>
      </c>
      <c r="DF11" s="5">
        <v>0.2572104799296423</v>
      </c>
      <c r="DG11" s="5">
        <v>0.14485231329658885</v>
      </c>
      <c r="DH11" s="5">
        <v>8.2038811575551054E-2</v>
      </c>
      <c r="DI11" s="5">
        <v>2.3380110833230182E-2</v>
      </c>
      <c r="DJ11" s="5">
        <v>4.8039882966536093E-2</v>
      </c>
      <c r="DK11" s="5">
        <v>0.15969413763848206</v>
      </c>
      <c r="DL11" s="5">
        <v>0</v>
      </c>
      <c r="DM11" s="5">
        <v>0</v>
      </c>
      <c r="DN11" s="5">
        <v>0</v>
      </c>
      <c r="DO11" s="5">
        <v>0</v>
      </c>
      <c r="DP11" s="5">
        <v>0.67406226546191894</v>
      </c>
      <c r="DQ11" s="5">
        <v>0.19179633691923006</v>
      </c>
      <c r="DR11" s="5">
        <v>0.15068750793654223</v>
      </c>
      <c r="DS11" s="5">
        <v>8.4216200355690593E-2</v>
      </c>
      <c r="DT11" s="5">
        <v>0.12776296669588261</v>
      </c>
      <c r="DU11" s="4">
        <v>0</v>
      </c>
      <c r="DV11" s="5">
        <v>0</v>
      </c>
      <c r="DX11" s="3" t="s">
        <v>294</v>
      </c>
      <c r="DY11" s="3" t="s">
        <v>153</v>
      </c>
      <c r="DZ11" s="5">
        <v>0</v>
      </c>
      <c r="EA11" s="5">
        <v>0</v>
      </c>
      <c r="EB11" s="4">
        <v>0</v>
      </c>
      <c r="EC11" s="5">
        <v>0</v>
      </c>
      <c r="ED11" s="5">
        <v>0</v>
      </c>
      <c r="EE11" s="5">
        <v>0</v>
      </c>
      <c r="EF11" s="4">
        <v>8.2046131359480107E-2</v>
      </c>
      <c r="EG11" s="5">
        <v>0.2104938073964035</v>
      </c>
      <c r="EH11" s="5">
        <v>0.50049667243628715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1.5944740106144266E-2</v>
      </c>
      <c r="EP11" s="5">
        <v>7.1036790808194264E-2</v>
      </c>
      <c r="EQ11" s="5">
        <v>0.10055739226697345</v>
      </c>
      <c r="ER11" s="5">
        <v>0.14718773003491756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</v>
      </c>
      <c r="EY11" s="5">
        <v>1.266469349720504E-2</v>
      </c>
      <c r="EZ11" s="5">
        <v>4.9679103052248576E-2</v>
      </c>
      <c r="FA11" s="5">
        <v>7.0064957846650663E-2</v>
      </c>
      <c r="FB11" s="5">
        <v>5.9566885538882314E-2</v>
      </c>
      <c r="FC11" s="5">
        <v>0</v>
      </c>
      <c r="FD11" s="5">
        <v>0</v>
      </c>
      <c r="FE11" s="4">
        <v>0</v>
      </c>
      <c r="FF11" s="5">
        <v>0</v>
      </c>
      <c r="FG11" s="5">
        <v>0</v>
      </c>
      <c r="FH11" s="5">
        <v>0</v>
      </c>
      <c r="FI11" s="5">
        <v>2.6155590370254618E-2</v>
      </c>
      <c r="FJ11" s="5">
        <v>4.9459053339210919E-2</v>
      </c>
      <c r="FK11" s="5">
        <v>6.8050215715218784E-2</v>
      </c>
      <c r="FL11" s="5">
        <v>8.7804448624579659E-2</v>
      </c>
      <c r="FM11" s="5">
        <v>0</v>
      </c>
      <c r="FN11" s="5">
        <v>0</v>
      </c>
      <c r="FO11" s="5">
        <v>0</v>
      </c>
      <c r="FP11" s="5">
        <v>0</v>
      </c>
      <c r="FQ11" s="5">
        <v>0</v>
      </c>
      <c r="FR11" s="5">
        <v>0</v>
      </c>
      <c r="FS11" s="5">
        <v>3.9525892922598303E-2</v>
      </c>
      <c r="FT11" s="5">
        <v>9.6989826470247398E-2</v>
      </c>
      <c r="FU11" s="5">
        <v>0.12727460427802914</v>
      </c>
      <c r="FV11" s="5">
        <v>9.9854588950146664E-2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8.7225629999910195E-2</v>
      </c>
      <c r="GE11" s="5">
        <v>0.22968717420956469</v>
      </c>
      <c r="GF11" s="5">
        <v>0</v>
      </c>
      <c r="GG11" s="5">
        <v>0</v>
      </c>
      <c r="GI11" s="3" t="s">
        <v>294</v>
      </c>
      <c r="GJ11" s="3" t="s">
        <v>154</v>
      </c>
      <c r="GK11" s="5">
        <v>0</v>
      </c>
      <c r="GL11" s="5">
        <v>0</v>
      </c>
      <c r="GM11" s="5">
        <v>0</v>
      </c>
      <c r="GN11" s="5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5">
        <v>0</v>
      </c>
      <c r="GV11" s="5">
        <v>0</v>
      </c>
      <c r="GW11" s="5">
        <v>0</v>
      </c>
      <c r="GX11" s="5">
        <v>0</v>
      </c>
      <c r="GY11" s="5">
        <v>0</v>
      </c>
      <c r="GZ11" s="5">
        <v>0</v>
      </c>
      <c r="HA11" s="5">
        <v>0</v>
      </c>
      <c r="HB11" s="4">
        <v>1.0703179408724955E-3</v>
      </c>
      <c r="HC11" s="5">
        <v>7.2641300906061662E-2</v>
      </c>
      <c r="HD11" s="5">
        <v>0.15703281641237612</v>
      </c>
      <c r="HE11" s="5">
        <v>0</v>
      </c>
      <c r="HF11" s="5">
        <v>0</v>
      </c>
      <c r="HG11" s="5">
        <v>0</v>
      </c>
      <c r="HH11" s="5">
        <v>0</v>
      </c>
      <c r="HI11" s="5">
        <v>0</v>
      </c>
      <c r="HJ11" s="5">
        <v>0</v>
      </c>
      <c r="HK11" s="5">
        <v>0</v>
      </c>
      <c r="HL11" s="4">
        <v>0</v>
      </c>
      <c r="HM11" s="5">
        <v>3.1942095988323774E-2</v>
      </c>
      <c r="HN11" s="5">
        <v>0</v>
      </c>
      <c r="HO11" s="5">
        <v>0</v>
      </c>
      <c r="HP11" s="5">
        <v>0</v>
      </c>
      <c r="HQ11" s="5">
        <v>0</v>
      </c>
      <c r="HR11" s="5">
        <v>0</v>
      </c>
      <c r="HS11" s="5">
        <v>0</v>
      </c>
      <c r="HT11" s="5">
        <v>0</v>
      </c>
      <c r="HU11" s="5">
        <v>0</v>
      </c>
      <c r="HV11" s="5">
        <v>0</v>
      </c>
      <c r="HW11" s="5">
        <v>3.617529020510947E-2</v>
      </c>
      <c r="HX11" s="5">
        <v>0</v>
      </c>
      <c r="HY11" s="5">
        <v>0</v>
      </c>
      <c r="HZ11" s="5">
        <v>0</v>
      </c>
      <c r="IA11" s="5">
        <v>0</v>
      </c>
      <c r="IB11" s="5">
        <v>0</v>
      </c>
      <c r="IC11" s="5">
        <v>0</v>
      </c>
      <c r="ID11" s="5">
        <v>0</v>
      </c>
      <c r="IE11" s="5">
        <v>0</v>
      </c>
      <c r="IF11" s="5">
        <v>1.0478744223753649E-2</v>
      </c>
      <c r="IG11" s="5">
        <v>0.20900660148056976</v>
      </c>
      <c r="IH11" s="5">
        <v>0</v>
      </c>
      <c r="II11" s="5">
        <v>0</v>
      </c>
      <c r="IJ11" s="5">
        <v>0</v>
      </c>
      <c r="IK11" s="5">
        <v>0</v>
      </c>
      <c r="IL11" s="5">
        <v>0</v>
      </c>
      <c r="IM11" s="5">
        <v>0</v>
      </c>
      <c r="IN11" s="5">
        <v>0</v>
      </c>
      <c r="IO11" s="5">
        <v>0</v>
      </c>
      <c r="IP11" s="5">
        <v>0</v>
      </c>
      <c r="IQ11" s="5">
        <v>0</v>
      </c>
      <c r="IR11" s="5">
        <v>0</v>
      </c>
      <c r="IT11" s="3" t="s">
        <v>155</v>
      </c>
      <c r="IU11" s="3" t="s">
        <v>156</v>
      </c>
      <c r="IV11" s="3" t="s">
        <v>157</v>
      </c>
      <c r="IW11" s="9">
        <v>0</v>
      </c>
      <c r="IX11" s="3" t="s">
        <v>158</v>
      </c>
      <c r="IY11" s="10">
        <v>3</v>
      </c>
      <c r="IZ11" s="3" t="s">
        <v>159</v>
      </c>
      <c r="JB11" s="3" t="s">
        <v>294</v>
      </c>
      <c r="JC11" s="5">
        <v>0</v>
      </c>
      <c r="JD11" s="5">
        <v>0</v>
      </c>
      <c r="JE11" s="5">
        <v>0</v>
      </c>
      <c r="JF11" s="5">
        <v>1.2291994511635216E-2</v>
      </c>
      <c r="JG11" s="5">
        <v>0.14548428210413075</v>
      </c>
      <c r="JH11" s="5">
        <v>0.27262804847431638</v>
      </c>
      <c r="JI11" s="5">
        <v>0.25669815929574985</v>
      </c>
      <c r="JJ11" s="5">
        <v>0.11532696270518561</v>
      </c>
      <c r="JK11" s="5">
        <v>4.8626912007652427E-3</v>
      </c>
      <c r="JL11" s="5">
        <v>0</v>
      </c>
      <c r="JM11" s="5">
        <v>0</v>
      </c>
      <c r="JN11" s="5">
        <v>0</v>
      </c>
      <c r="JO11" s="5">
        <v>3.6960705955175026E-3</v>
      </c>
      <c r="JP11" s="5">
        <v>0.13832505928609198</v>
      </c>
      <c r="JQ11" s="5">
        <v>0.36651845346586626</v>
      </c>
      <c r="JR11" s="5">
        <v>0.43963734506339325</v>
      </c>
      <c r="JS11" s="5">
        <v>0.4072783769215228</v>
      </c>
      <c r="JT11" s="5">
        <v>0.26049648254315871</v>
      </c>
      <c r="JU11" s="5">
        <v>6.3999854171805828E-2</v>
      </c>
      <c r="JV11" s="4">
        <v>1.6933939683251402E-4</v>
      </c>
      <c r="JW11" s="5">
        <v>0</v>
      </c>
      <c r="JX11" s="4">
        <v>0</v>
      </c>
      <c r="JY11" s="5">
        <v>3.4360747311617819E-2</v>
      </c>
      <c r="JZ11" s="5">
        <v>0.21488507985152672</v>
      </c>
      <c r="KA11" s="5">
        <v>0.4175208344689158</v>
      </c>
      <c r="KB11" s="5">
        <v>0.51173681124556258</v>
      </c>
      <c r="KC11" s="5">
        <v>0.4684891822579943</v>
      </c>
      <c r="KD11" s="5">
        <v>0.33417289763627972</v>
      </c>
      <c r="KE11" s="5">
        <v>0.12565136315743822</v>
      </c>
      <c r="KF11" s="5">
        <v>6.9450591693708463E-3</v>
      </c>
      <c r="KG11" s="5">
        <v>0</v>
      </c>
      <c r="KH11" s="4">
        <v>0</v>
      </c>
      <c r="KI11" s="5">
        <v>1.9028380185274377E-2</v>
      </c>
      <c r="KJ11" s="5">
        <v>0.179657606453064</v>
      </c>
      <c r="KK11" s="5">
        <v>0.37266316727524801</v>
      </c>
      <c r="KL11" s="5">
        <v>0.47458545793028128</v>
      </c>
      <c r="KM11" s="5">
        <v>0.47123063493880535</v>
      </c>
      <c r="KN11" s="5">
        <v>0.34159025754178723</v>
      </c>
      <c r="KO11" s="5">
        <v>0.12333779987473521</v>
      </c>
      <c r="KP11" s="5">
        <v>4.7883788713827544E-3</v>
      </c>
      <c r="KQ11" s="5">
        <v>0</v>
      </c>
      <c r="KR11" s="5">
        <v>0</v>
      </c>
      <c r="KS11" s="4">
        <v>7.4291253287035524E-4</v>
      </c>
      <c r="KT11" s="5">
        <v>8.7685820870349554E-2</v>
      </c>
      <c r="KU11" s="5">
        <v>0.27239413879674357</v>
      </c>
      <c r="KV11" s="5">
        <v>0.34667856953122089</v>
      </c>
      <c r="KW11" s="5">
        <v>0.32050300914733137</v>
      </c>
      <c r="KX11" s="5">
        <v>0.17435112989843501</v>
      </c>
      <c r="KY11" s="5">
        <v>2.4146479942366388E-2</v>
      </c>
      <c r="KZ11" s="5">
        <v>0</v>
      </c>
      <c r="LA11" s="5">
        <v>0</v>
      </c>
      <c r="LB11" s="5">
        <v>0</v>
      </c>
      <c r="LC11" s="5">
        <v>0</v>
      </c>
      <c r="LD11" s="5">
        <v>1.3928125274642447E-2</v>
      </c>
      <c r="LE11" s="5">
        <v>0.15365796004943016</v>
      </c>
      <c r="LF11" s="5">
        <v>0.24737031091974102</v>
      </c>
      <c r="LG11" s="5">
        <v>0.18638176870433096</v>
      </c>
      <c r="LH11" s="5">
        <v>4.9205973309959579E-2</v>
      </c>
      <c r="LI11" s="5">
        <v>0</v>
      </c>
      <c r="LJ11" s="5">
        <v>0</v>
      </c>
      <c r="LL11" s="3" t="s">
        <v>294</v>
      </c>
      <c r="LM11" s="3" t="s">
        <v>160</v>
      </c>
      <c r="LN11" s="3" t="s">
        <v>161</v>
      </c>
      <c r="LO11" s="5">
        <v>0.4529682074132706</v>
      </c>
    </row>
    <row r="12" spans="1:327" x14ac:dyDescent="0.45">
      <c r="B12" s="6" t="s">
        <v>295</v>
      </c>
      <c r="C12" s="6" t="s">
        <v>151</v>
      </c>
      <c r="D12" s="8">
        <v>0</v>
      </c>
      <c r="E12" s="8">
        <v>0</v>
      </c>
      <c r="F12" s="8">
        <v>0</v>
      </c>
      <c r="G12" s="8">
        <v>0.78091502294818393</v>
      </c>
      <c r="H12" s="8">
        <v>0.35142490511924751</v>
      </c>
      <c r="I12" s="8">
        <v>0.2797635357045351</v>
      </c>
      <c r="J12" s="8">
        <v>0.3076908270723433</v>
      </c>
      <c r="K12" s="8">
        <v>0.40773894217969875</v>
      </c>
      <c r="L12" s="8">
        <v>0.86491372863812355</v>
      </c>
      <c r="M12" s="8">
        <v>0</v>
      </c>
      <c r="N12" s="8">
        <v>0</v>
      </c>
      <c r="O12" s="8">
        <v>0</v>
      </c>
      <c r="P12" s="8">
        <v>0.72635592998358145</v>
      </c>
      <c r="Q12" s="8">
        <v>0.33945586916292386</v>
      </c>
      <c r="R12" s="8">
        <v>0.22527318395644927</v>
      </c>
      <c r="S12" s="8">
        <v>0.20323281196595636</v>
      </c>
      <c r="T12" s="8">
        <v>0.18945263411305346</v>
      </c>
      <c r="U12" s="8">
        <v>0.22891624566720645</v>
      </c>
      <c r="V12" s="8">
        <v>0.42385972736175681</v>
      </c>
      <c r="W12" s="8">
        <v>0.95079254145991898</v>
      </c>
      <c r="X12" s="8">
        <v>0</v>
      </c>
      <c r="Y12" s="8">
        <v>0.81107201253818761</v>
      </c>
      <c r="Z12" s="8">
        <v>0.32052907914499568</v>
      </c>
      <c r="AA12" s="8">
        <v>0.18388591485370165</v>
      </c>
      <c r="AB12" s="8">
        <v>0.14334245962950684</v>
      </c>
      <c r="AC12" s="8">
        <v>0.13433421069026646</v>
      </c>
      <c r="AD12" s="8">
        <v>0.14851120602450016</v>
      </c>
      <c r="AE12" s="8">
        <v>0.164686073576783</v>
      </c>
      <c r="AF12" s="8">
        <v>0.27011141432422409</v>
      </c>
      <c r="AG12" s="8">
        <v>0.65103956773607641</v>
      </c>
      <c r="AH12" s="8">
        <v>0</v>
      </c>
      <c r="AI12" s="8">
        <v>0.99193548387096786</v>
      </c>
      <c r="AJ12" s="8">
        <v>0.39997737890393664</v>
      </c>
      <c r="AK12" s="8">
        <v>0.21515312614446855</v>
      </c>
      <c r="AL12" s="8">
        <v>0.15790770489292871</v>
      </c>
      <c r="AM12" s="8">
        <v>0.15475865901056168</v>
      </c>
      <c r="AN12" s="8">
        <v>0.15507640363209446</v>
      </c>
      <c r="AO12" s="8">
        <v>0.16037538348723718</v>
      </c>
      <c r="AP12" s="8">
        <v>0.27973000874486931</v>
      </c>
      <c r="AQ12" s="8">
        <v>0.71991870176283668</v>
      </c>
      <c r="AR12" s="8">
        <v>0</v>
      </c>
      <c r="AS12" s="8">
        <v>0</v>
      </c>
      <c r="AT12" s="8">
        <v>0.86400789490034291</v>
      </c>
      <c r="AU12" s="8">
        <v>0.38146306432566246</v>
      </c>
      <c r="AV12" s="8">
        <v>0.25793670307399996</v>
      </c>
      <c r="AW12" s="8">
        <v>0.22703872048217388</v>
      </c>
      <c r="AX12" s="8">
        <v>0.21374821346000325</v>
      </c>
      <c r="AY12" s="8">
        <v>0.30098910676007729</v>
      </c>
      <c r="AZ12" s="8">
        <v>0.6410677691383343</v>
      </c>
      <c r="BA12" s="8">
        <v>0</v>
      </c>
      <c r="BB12" s="8">
        <v>0</v>
      </c>
      <c r="BC12" s="8">
        <v>0</v>
      </c>
      <c r="BD12" s="8">
        <v>0</v>
      </c>
      <c r="BE12" s="8">
        <v>0.78780320370909185</v>
      </c>
      <c r="BF12" s="8">
        <v>0.29940661877572061</v>
      </c>
      <c r="BG12" s="8">
        <v>0.25926765275029695</v>
      </c>
      <c r="BH12" s="8">
        <v>0.3060445233615845</v>
      </c>
      <c r="BI12" s="8">
        <v>0.5717624480414939</v>
      </c>
      <c r="BJ12" s="8">
        <v>0</v>
      </c>
      <c r="BK12" s="8">
        <v>0</v>
      </c>
      <c r="BM12" s="6" t="s">
        <v>295</v>
      </c>
      <c r="BN12" s="6" t="s">
        <v>152</v>
      </c>
      <c r="BO12" s="8">
        <v>0</v>
      </c>
      <c r="BP12" s="8">
        <v>0</v>
      </c>
      <c r="BQ12" s="8">
        <v>0</v>
      </c>
      <c r="BR12" s="8">
        <v>0.63575754827353048</v>
      </c>
      <c r="BS12" s="8">
        <v>0.22852334305791872</v>
      </c>
      <c r="BT12" s="8">
        <v>0.17196402830023297</v>
      </c>
      <c r="BU12" s="7">
        <v>7.0869074414857985E-2</v>
      </c>
      <c r="BV12" s="8">
        <v>7.0864769144459383E-2</v>
      </c>
      <c r="BW12" s="8">
        <v>0.28221671003228171</v>
      </c>
      <c r="BX12" s="8">
        <v>0</v>
      </c>
      <c r="BY12" s="8">
        <v>0</v>
      </c>
      <c r="BZ12" s="7">
        <v>0</v>
      </c>
      <c r="CA12" s="8">
        <v>0.58771700421891149</v>
      </c>
      <c r="CB12" s="8">
        <v>0.21302847760983573</v>
      </c>
      <c r="CC12" s="8">
        <v>0.11670797950409809</v>
      </c>
      <c r="CD12" s="7">
        <v>7.8662238286982433E-2</v>
      </c>
      <c r="CE12" s="7">
        <v>3.9610090891838375E-2</v>
      </c>
      <c r="CF12" s="7">
        <v>3.7736277688150133E-2</v>
      </c>
      <c r="CG12" s="8">
        <v>8.4141739900041812E-2</v>
      </c>
      <c r="CH12" s="8">
        <v>0.90403225253566066</v>
      </c>
      <c r="CI12" s="8">
        <v>0</v>
      </c>
      <c r="CJ12" s="8">
        <v>0.67810938753192695</v>
      </c>
      <c r="CK12" s="7">
        <v>0.19845645811803064</v>
      </c>
      <c r="CL12" s="7">
        <v>0.11263727255303807</v>
      </c>
      <c r="CM12" s="8">
        <v>8.2334782738404971E-2</v>
      </c>
      <c r="CN12" s="8">
        <v>4.934707690954282E-2</v>
      </c>
      <c r="CO12" s="8">
        <v>2.8414882930325121E-2</v>
      </c>
      <c r="CP12" s="8">
        <v>2.8762538163920128E-2</v>
      </c>
      <c r="CQ12" s="8">
        <v>6.7944060404878631E-2</v>
      </c>
      <c r="CR12" s="8">
        <v>0.48296410656544037</v>
      </c>
      <c r="CS12" s="8">
        <v>0</v>
      </c>
      <c r="CT12" s="7">
        <v>0.98393600416233074</v>
      </c>
      <c r="CU12" s="8">
        <v>0.26444618743107462</v>
      </c>
      <c r="CV12" s="8">
        <v>0.132078502823578</v>
      </c>
      <c r="CW12" s="8">
        <v>8.6905682532999906E-2</v>
      </c>
      <c r="CX12" s="8">
        <v>5.8591698835553985E-2</v>
      </c>
      <c r="CY12" s="8">
        <v>2.0481181709623181E-2</v>
      </c>
      <c r="CZ12" s="8">
        <v>2.1763148609674696E-2</v>
      </c>
      <c r="DA12" s="8">
        <v>5.6990438083646906E-2</v>
      </c>
      <c r="DB12" s="7">
        <v>0.52788003589668364</v>
      </c>
      <c r="DC12" s="8">
        <v>0</v>
      </c>
      <c r="DD12" s="8">
        <v>0</v>
      </c>
      <c r="DE12" s="8">
        <v>0.7676422941872727</v>
      </c>
      <c r="DF12" s="8">
        <v>0.26159910765494376</v>
      </c>
      <c r="DG12" s="8">
        <v>0.16436864528955653</v>
      </c>
      <c r="DH12" s="8">
        <v>8.810577983550287E-2</v>
      </c>
      <c r="DI12" s="8">
        <v>1.5611077724663336E-2</v>
      </c>
      <c r="DJ12" s="8">
        <v>4.7844519739818979E-2</v>
      </c>
      <c r="DK12" s="8">
        <v>0.14049609485812597</v>
      </c>
      <c r="DL12" s="8">
        <v>0</v>
      </c>
      <c r="DM12" s="8">
        <v>0</v>
      </c>
      <c r="DN12" s="8">
        <v>0</v>
      </c>
      <c r="DO12" s="8">
        <v>0</v>
      </c>
      <c r="DP12" s="8">
        <v>0.6488810204657175</v>
      </c>
      <c r="DQ12" s="8">
        <v>0.18095543959526783</v>
      </c>
      <c r="DR12" s="8">
        <v>0.15178494784161209</v>
      </c>
      <c r="DS12" s="8">
        <v>7.460347254861581E-2</v>
      </c>
      <c r="DT12" s="8">
        <v>0.12470585387002349</v>
      </c>
      <c r="DU12" s="7">
        <v>0</v>
      </c>
      <c r="DV12" s="8">
        <v>0</v>
      </c>
      <c r="DX12" s="6" t="s">
        <v>295</v>
      </c>
      <c r="DY12" s="6" t="s">
        <v>153</v>
      </c>
      <c r="DZ12" s="8">
        <v>0</v>
      </c>
      <c r="EA12" s="8">
        <v>0</v>
      </c>
      <c r="EB12" s="7">
        <v>0</v>
      </c>
      <c r="EC12" s="8">
        <v>0</v>
      </c>
      <c r="ED12" s="8">
        <v>0</v>
      </c>
      <c r="EE12" s="8">
        <v>0</v>
      </c>
      <c r="EF12" s="7">
        <v>0.10303722741867548</v>
      </c>
      <c r="EG12" s="8">
        <v>0.19570806538646907</v>
      </c>
      <c r="EH12" s="8">
        <v>0.48123341865620167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2.3712921564375825E-2</v>
      </c>
      <c r="EP12" s="8">
        <v>6.8857583866250044E-2</v>
      </c>
      <c r="EQ12" s="8">
        <v>9.3250851843082655E-2</v>
      </c>
      <c r="ER12" s="8">
        <v>0.16356781795292757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2.5813082810225294E-2</v>
      </c>
      <c r="EZ12" s="8">
        <v>4.851351674922328E-2</v>
      </c>
      <c r="FA12" s="8">
        <v>6.4658990188455473E-2</v>
      </c>
      <c r="FB12" s="8">
        <v>6.1463318966047967E-2</v>
      </c>
      <c r="FC12" s="8">
        <v>0</v>
      </c>
      <c r="FD12" s="8">
        <v>0</v>
      </c>
      <c r="FE12" s="7">
        <v>0</v>
      </c>
      <c r="FF12" s="8">
        <v>0</v>
      </c>
      <c r="FG12" s="8">
        <v>0</v>
      </c>
      <c r="FH12" s="8">
        <v>0</v>
      </c>
      <c r="FI12" s="8">
        <v>2.7563819503732823E-2</v>
      </c>
      <c r="FJ12" s="8">
        <v>6.3851228140986455E-2</v>
      </c>
      <c r="FK12" s="8">
        <v>6.7146373543544427E-2</v>
      </c>
      <c r="FL12" s="8">
        <v>5.160749320558327E-2</v>
      </c>
      <c r="FM12" s="8">
        <v>4.1898829597591038E-2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5.2807070701960106E-2</v>
      </c>
      <c r="FT12" s="8">
        <v>0.11975089535069035</v>
      </c>
      <c r="FU12" s="8">
        <v>0.12874821387278892</v>
      </c>
      <c r="FV12" s="8">
        <v>7.8789571299451439E-2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0.111341154737242</v>
      </c>
      <c r="GE12" s="8">
        <v>0.27166224588476323</v>
      </c>
      <c r="GF12" s="8">
        <v>0</v>
      </c>
      <c r="GG12" s="8">
        <v>0</v>
      </c>
      <c r="GI12" s="6" t="s">
        <v>295</v>
      </c>
      <c r="GJ12" s="6" t="s">
        <v>154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7">
        <v>1.4877001572361371E-3</v>
      </c>
      <c r="HC12" s="8">
        <v>4.4713182535938291E-2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7">
        <v>1.252007149845956E-3</v>
      </c>
      <c r="HM12" s="8">
        <v>4.5417114476205812E-2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6.8121002707311668E-2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1.8763296527101625E-2</v>
      </c>
      <c r="IG12" s="8">
        <v>0.28743973305538112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8">
        <v>0</v>
      </c>
      <c r="IO12" s="8">
        <v>0</v>
      </c>
      <c r="IP12" s="8">
        <v>0</v>
      </c>
      <c r="IQ12" s="8">
        <v>0</v>
      </c>
      <c r="IR12" s="8">
        <v>0</v>
      </c>
      <c r="JB12" s="6" t="s">
        <v>295</v>
      </c>
      <c r="JC12" s="8">
        <v>0</v>
      </c>
      <c r="JD12" s="8">
        <v>0</v>
      </c>
      <c r="JE12" s="8">
        <v>0</v>
      </c>
      <c r="JF12" s="8">
        <v>1.3198773752617538E-2</v>
      </c>
      <c r="JG12" s="8">
        <v>0.1451481518364697</v>
      </c>
      <c r="JH12" s="8">
        <v>0.27086294818583262</v>
      </c>
      <c r="JI12" s="8">
        <v>0.24804219609470377</v>
      </c>
      <c r="JJ12" s="8">
        <v>0.10610906670949401</v>
      </c>
      <c r="JK12" s="8">
        <v>4.3558964815357164E-3</v>
      </c>
      <c r="JL12" s="8">
        <v>0</v>
      </c>
      <c r="JM12" s="8">
        <v>0</v>
      </c>
      <c r="JN12" s="8">
        <v>0</v>
      </c>
      <c r="JO12" s="8">
        <v>4.6611410739868719E-3</v>
      </c>
      <c r="JP12" s="8">
        <v>0.14129208859206649</v>
      </c>
      <c r="JQ12" s="8">
        <v>0.35933340070909853</v>
      </c>
      <c r="JR12" s="8">
        <v>0.42468469247985452</v>
      </c>
      <c r="JS12" s="8">
        <v>0.39299365843078221</v>
      </c>
      <c r="JT12" s="8">
        <v>0.24967098560174905</v>
      </c>
      <c r="JU12" s="8">
        <v>5.8347797050126486E-2</v>
      </c>
      <c r="JV12" s="7">
        <v>1.1651799859473426E-4</v>
      </c>
      <c r="JW12" s="8">
        <v>0</v>
      </c>
      <c r="JX12" s="7">
        <v>1.0237912784309619E-4</v>
      </c>
      <c r="JY12" s="8">
        <v>3.8121550939132762E-2</v>
      </c>
      <c r="JZ12" s="8">
        <v>0.22057027412204944</v>
      </c>
      <c r="KA12" s="8">
        <v>0.41382202374536159</v>
      </c>
      <c r="KB12" s="8">
        <v>0.50940275190138662</v>
      </c>
      <c r="KC12" s="8">
        <v>0.47924836495416662</v>
      </c>
      <c r="KD12" s="8">
        <v>0.32880821592127313</v>
      </c>
      <c r="KE12" s="8">
        <v>0.11888239074102633</v>
      </c>
      <c r="KF12" s="8">
        <v>6.2890412956735208E-3</v>
      </c>
      <c r="KG12" s="8">
        <v>0</v>
      </c>
      <c r="KH12" s="7">
        <v>0</v>
      </c>
      <c r="KI12" s="8">
        <v>2.228415878815751E-2</v>
      </c>
      <c r="KJ12" s="8">
        <v>0.19204957462883704</v>
      </c>
      <c r="KK12" s="8">
        <v>0.38721084804008088</v>
      </c>
      <c r="KL12" s="8">
        <v>0.4743415905319332</v>
      </c>
      <c r="KM12" s="8">
        <v>0.4585715597955547</v>
      </c>
      <c r="KN12" s="8">
        <v>0.34042404113425795</v>
      </c>
      <c r="KO12" s="8">
        <v>0.1165364351528187</v>
      </c>
      <c r="KP12" s="8">
        <v>4.3574967331174892E-3</v>
      </c>
      <c r="KQ12" s="8">
        <v>0</v>
      </c>
      <c r="KR12" s="8">
        <v>0</v>
      </c>
      <c r="KS12" s="7">
        <v>1.1317286763660407E-3</v>
      </c>
      <c r="KT12" s="8">
        <v>8.7025043520322531E-2</v>
      </c>
      <c r="KU12" s="8">
        <v>0.2642901429375929</v>
      </c>
      <c r="KV12" s="8">
        <v>0.3287533532676693</v>
      </c>
      <c r="KW12" s="8">
        <v>0.28841713581183759</v>
      </c>
      <c r="KX12" s="8">
        <v>0.1536219827957751</v>
      </c>
      <c r="KY12" s="8">
        <v>1.9250042098068208E-2</v>
      </c>
      <c r="KZ12" s="8">
        <v>0</v>
      </c>
      <c r="LA12" s="8">
        <v>0</v>
      </c>
      <c r="LB12" s="8">
        <v>0</v>
      </c>
      <c r="LC12" s="8">
        <v>0</v>
      </c>
      <c r="LD12" s="8">
        <v>1.7625335192949294E-2</v>
      </c>
      <c r="LE12" s="8">
        <v>0.1714204157684871</v>
      </c>
      <c r="LF12" s="8">
        <v>0.26447391721634689</v>
      </c>
      <c r="LG12" s="8">
        <v>0.18942725454616027</v>
      </c>
      <c r="LH12" s="8">
        <v>4.6200717022171954E-2</v>
      </c>
      <c r="LI12" s="8">
        <v>0</v>
      </c>
      <c r="LJ12" s="8">
        <v>0</v>
      </c>
      <c r="LL12" s="6" t="s">
        <v>295</v>
      </c>
      <c r="LM12" s="6" t="s">
        <v>160</v>
      </c>
      <c r="LN12" s="6" t="s">
        <v>161</v>
      </c>
      <c r="LO12" s="8">
        <v>0.45554402365270186</v>
      </c>
    </row>
    <row r="13" spans="1:327" x14ac:dyDescent="0.45">
      <c r="B13" s="3" t="s">
        <v>296</v>
      </c>
      <c r="C13" s="3" t="s">
        <v>151</v>
      </c>
      <c r="D13" s="5">
        <v>0</v>
      </c>
      <c r="E13" s="5">
        <v>0</v>
      </c>
      <c r="F13" s="5">
        <v>0</v>
      </c>
      <c r="G13" s="5">
        <v>0.7771302477835309</v>
      </c>
      <c r="H13" s="5">
        <v>0.38381463385892706</v>
      </c>
      <c r="I13" s="5">
        <v>0.31094628861383161</v>
      </c>
      <c r="J13" s="5">
        <v>0.29420720507051168</v>
      </c>
      <c r="K13" s="5">
        <v>0.43377816108593942</v>
      </c>
      <c r="L13" s="5">
        <v>0.8982628922437641</v>
      </c>
      <c r="M13" s="5">
        <v>0</v>
      </c>
      <c r="N13" s="5">
        <v>0</v>
      </c>
      <c r="O13" s="5">
        <v>0</v>
      </c>
      <c r="P13" s="5">
        <v>0.70174514055772963</v>
      </c>
      <c r="Q13" s="5">
        <v>0.32244681335621578</v>
      </c>
      <c r="R13" s="5">
        <v>0.21969125350911869</v>
      </c>
      <c r="S13" s="5">
        <v>0.20071868090132067</v>
      </c>
      <c r="T13" s="5">
        <v>0.18993852425014288</v>
      </c>
      <c r="U13" s="5">
        <v>0.20485063334002984</v>
      </c>
      <c r="V13" s="5">
        <v>0.45170306440541785</v>
      </c>
      <c r="W13" s="5">
        <v>0.96721311475409844</v>
      </c>
      <c r="X13" s="5">
        <v>0</v>
      </c>
      <c r="Y13" s="5">
        <v>0.73547758374804562</v>
      </c>
      <c r="Z13" s="5">
        <v>0.31781702953767355</v>
      </c>
      <c r="AA13" s="5">
        <v>0.18696145078594348</v>
      </c>
      <c r="AB13" s="5">
        <v>0.15064086411155145</v>
      </c>
      <c r="AC13" s="5">
        <v>0.12832731195613689</v>
      </c>
      <c r="AD13" s="5">
        <v>0.12887566973665965</v>
      </c>
      <c r="AE13" s="5">
        <v>0.14225437125226925</v>
      </c>
      <c r="AF13" s="5">
        <v>0.26481437124257406</v>
      </c>
      <c r="AG13" s="5">
        <v>0.6548508227089882</v>
      </c>
      <c r="AH13" s="5">
        <v>0</v>
      </c>
      <c r="AI13" s="5">
        <v>0.90326344850512519</v>
      </c>
      <c r="AJ13" s="5">
        <v>0.3830607574841462</v>
      </c>
      <c r="AK13" s="5">
        <v>0.19724650240675987</v>
      </c>
      <c r="AL13" s="5">
        <v>0.15293155854618809</v>
      </c>
      <c r="AM13" s="5">
        <v>0.13913863396996765</v>
      </c>
      <c r="AN13" s="5">
        <v>0.1361842497115974</v>
      </c>
      <c r="AO13" s="5">
        <v>0.15520356302617414</v>
      </c>
      <c r="AP13" s="5">
        <v>0.29150224910259392</v>
      </c>
      <c r="AQ13" s="5">
        <v>0.74063792055944488</v>
      </c>
      <c r="AR13" s="5">
        <v>0</v>
      </c>
      <c r="AS13" s="5">
        <v>0</v>
      </c>
      <c r="AT13" s="5">
        <v>0.82653898150410343</v>
      </c>
      <c r="AU13" s="5">
        <v>0.34847054439324637</v>
      </c>
      <c r="AV13" s="5">
        <v>0.24120543355232874</v>
      </c>
      <c r="AW13" s="5">
        <v>0.23025225239646083</v>
      </c>
      <c r="AX13" s="5">
        <v>0.23058541231095869</v>
      </c>
      <c r="AY13" s="5">
        <v>0.29557064559714702</v>
      </c>
      <c r="AZ13" s="5">
        <v>0.69146729251527839</v>
      </c>
      <c r="BA13" s="5">
        <v>0</v>
      </c>
      <c r="BB13" s="5">
        <v>0</v>
      </c>
      <c r="BC13" s="5">
        <v>0</v>
      </c>
      <c r="BD13" s="5">
        <v>0</v>
      </c>
      <c r="BE13" s="5">
        <v>0.77221631804176361</v>
      </c>
      <c r="BF13" s="5">
        <v>0.30311438353971482</v>
      </c>
      <c r="BG13" s="5">
        <v>0.22782506583146611</v>
      </c>
      <c r="BH13" s="5">
        <v>0.28857229050817668</v>
      </c>
      <c r="BI13" s="5">
        <v>0.59740895541505301</v>
      </c>
      <c r="BJ13" s="5">
        <v>0</v>
      </c>
      <c r="BK13" s="5">
        <v>0</v>
      </c>
      <c r="BM13" s="3" t="s">
        <v>296</v>
      </c>
      <c r="BN13" s="3" t="s">
        <v>152</v>
      </c>
      <c r="BO13" s="5">
        <v>0</v>
      </c>
      <c r="BP13" s="5">
        <v>0</v>
      </c>
      <c r="BQ13" s="5">
        <v>0</v>
      </c>
      <c r="BR13" s="5">
        <v>0.63191953406759838</v>
      </c>
      <c r="BS13" s="5">
        <v>0.23779507000223277</v>
      </c>
      <c r="BT13" s="5">
        <v>0.1754513151336265</v>
      </c>
      <c r="BU13" s="4">
        <v>7.8125867680483449E-2</v>
      </c>
      <c r="BV13" s="5">
        <v>7.6836370817849706E-2</v>
      </c>
      <c r="BW13" s="5">
        <v>0.20165149775495175</v>
      </c>
      <c r="BX13" s="5">
        <v>0</v>
      </c>
      <c r="BY13" s="5">
        <v>0</v>
      </c>
      <c r="BZ13" s="4">
        <v>0</v>
      </c>
      <c r="CA13" s="5">
        <v>0.55949945644762733</v>
      </c>
      <c r="CB13" s="5">
        <v>0.19651409176445198</v>
      </c>
      <c r="CC13" s="5">
        <v>0.12001084680155923</v>
      </c>
      <c r="CD13" s="4">
        <v>5.970059792787475E-2</v>
      </c>
      <c r="CE13" s="4">
        <v>2.1229929665430816E-2</v>
      </c>
      <c r="CF13" s="4">
        <v>3.1858209882559912E-2</v>
      </c>
      <c r="CG13" s="5">
        <v>0.1182050998467829</v>
      </c>
      <c r="CH13" s="5">
        <v>0.93550120935232473</v>
      </c>
      <c r="CI13" s="5">
        <v>0</v>
      </c>
      <c r="CJ13" s="5">
        <v>0.56548821438538976</v>
      </c>
      <c r="CK13" s="4">
        <v>0.19194376508366742</v>
      </c>
      <c r="CL13" s="4">
        <v>0.1105211631943423</v>
      </c>
      <c r="CM13" s="5">
        <v>8.1447901228212841E-2</v>
      </c>
      <c r="CN13" s="5">
        <v>4.7172896780516789E-2</v>
      </c>
      <c r="CO13" s="5">
        <v>2.2234592128863237E-2</v>
      </c>
      <c r="CP13" s="5">
        <v>2.3630470949787354E-2</v>
      </c>
      <c r="CQ13" s="5">
        <v>7.4539211880024117E-2</v>
      </c>
      <c r="CR13" s="5">
        <v>0.48445133805260404</v>
      </c>
      <c r="CS13" s="5">
        <v>0</v>
      </c>
      <c r="CT13" s="4">
        <v>0.8254330590363308</v>
      </c>
      <c r="CU13" s="5">
        <v>0.24957551692698884</v>
      </c>
      <c r="CV13" s="5">
        <v>0.11974145169090601</v>
      </c>
      <c r="CW13" s="5">
        <v>7.8968389479864079E-2</v>
      </c>
      <c r="CX13" s="5">
        <v>4.7654501913465416E-2</v>
      </c>
      <c r="CY13" s="5">
        <v>1.8962392107486837E-2</v>
      </c>
      <c r="CZ13" s="5">
        <v>2.3505080085146596E-2</v>
      </c>
      <c r="DA13" s="5">
        <v>7.2646275755906264E-2</v>
      </c>
      <c r="DB13" s="4">
        <v>0.59369535294312348</v>
      </c>
      <c r="DC13" s="5">
        <v>0</v>
      </c>
      <c r="DD13" s="5">
        <v>0</v>
      </c>
      <c r="DE13" s="5">
        <v>0.71798196871695008</v>
      </c>
      <c r="DF13" s="5">
        <v>0.23064740156173913</v>
      </c>
      <c r="DG13" s="5">
        <v>0.13578269809493582</v>
      </c>
      <c r="DH13" s="5">
        <v>8.8339528383892404E-2</v>
      </c>
      <c r="DI13" s="5">
        <v>3.2389862486897611E-2</v>
      </c>
      <c r="DJ13" s="5">
        <v>3.5983556501783136E-2</v>
      </c>
      <c r="DK13" s="5">
        <v>0.18777220671425146</v>
      </c>
      <c r="DL13" s="5">
        <v>0</v>
      </c>
      <c r="DM13" s="5">
        <v>0</v>
      </c>
      <c r="DN13" s="5">
        <v>0</v>
      </c>
      <c r="DO13" s="5">
        <v>0</v>
      </c>
      <c r="DP13" s="5">
        <v>0.62674127375156796</v>
      </c>
      <c r="DQ13" s="5">
        <v>0.18742268857833244</v>
      </c>
      <c r="DR13" s="5">
        <v>0.12634568114738048</v>
      </c>
      <c r="DS13" s="5">
        <v>8.821708153200182E-2</v>
      </c>
      <c r="DT13" s="5">
        <v>0.15691625125802913</v>
      </c>
      <c r="DU13" s="4">
        <v>0</v>
      </c>
      <c r="DV13" s="5">
        <v>0</v>
      </c>
      <c r="DX13" s="3" t="s">
        <v>296</v>
      </c>
      <c r="DY13" s="3" t="s">
        <v>153</v>
      </c>
      <c r="DZ13" s="5">
        <v>0</v>
      </c>
      <c r="EA13" s="5">
        <v>0</v>
      </c>
      <c r="EB13" s="4">
        <v>0</v>
      </c>
      <c r="EC13" s="5">
        <v>0</v>
      </c>
      <c r="ED13" s="5">
        <v>0</v>
      </c>
      <c r="EE13" s="5">
        <v>0</v>
      </c>
      <c r="EF13" s="4">
        <v>9.5916780019752165E-2</v>
      </c>
      <c r="EG13" s="5">
        <v>0.20762131266911418</v>
      </c>
      <c r="EH13" s="5">
        <v>0.60526262578605694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3.7323894436335624E-2</v>
      </c>
      <c r="EP13" s="5">
        <v>7.1463230771180886E-2</v>
      </c>
      <c r="EQ13" s="5">
        <v>8.2630721122918374E-2</v>
      </c>
      <c r="ER13" s="5">
        <v>7.5017915786666167E-2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1.6051592279485893E-2</v>
      </c>
      <c r="EZ13" s="5">
        <v>3.968880020218888E-2</v>
      </c>
      <c r="FA13" s="5">
        <v>5.7090162434436174E-2</v>
      </c>
      <c r="FB13" s="5">
        <v>4.3803420021526158E-2</v>
      </c>
      <c r="FC13" s="5">
        <v>0</v>
      </c>
      <c r="FD13" s="5">
        <v>0</v>
      </c>
      <c r="FE13" s="4">
        <v>0</v>
      </c>
      <c r="FF13" s="5">
        <v>0</v>
      </c>
      <c r="FG13" s="5">
        <v>0</v>
      </c>
      <c r="FH13" s="5">
        <v>0</v>
      </c>
      <c r="FI13" s="5">
        <v>2.8899065296975564E-2</v>
      </c>
      <c r="FJ13" s="5">
        <v>5.5855813561574097E-2</v>
      </c>
      <c r="FK13" s="5">
        <v>6.5292607400615224E-2</v>
      </c>
      <c r="FL13" s="5">
        <v>3.7378297720678265E-2</v>
      </c>
      <c r="FM13" s="5">
        <v>0</v>
      </c>
      <c r="FN13" s="5">
        <v>0</v>
      </c>
      <c r="FO13" s="5">
        <v>0</v>
      </c>
      <c r="FP13" s="5">
        <v>0</v>
      </c>
      <c r="FQ13" s="5">
        <v>0</v>
      </c>
      <c r="FR13" s="5">
        <v>0</v>
      </c>
      <c r="FS13" s="5">
        <v>3.8291017581914708E-2</v>
      </c>
      <c r="FT13" s="5">
        <v>0.10820840594202538</v>
      </c>
      <c r="FU13" s="5">
        <v>0.14873408184644601</v>
      </c>
      <c r="FV13" s="5">
        <v>0.19542813174071794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8.7344553800928454E-2</v>
      </c>
      <c r="GE13" s="5">
        <v>0.27342292831881887</v>
      </c>
      <c r="GF13" s="5">
        <v>0</v>
      </c>
      <c r="GG13" s="5">
        <v>0</v>
      </c>
      <c r="GI13" s="3" t="s">
        <v>296</v>
      </c>
      <c r="GJ13" s="3" t="s">
        <v>154</v>
      </c>
      <c r="GK13" s="5">
        <v>0</v>
      </c>
      <c r="GL13" s="5">
        <v>0</v>
      </c>
      <c r="GM13" s="5">
        <v>0</v>
      </c>
      <c r="GN13" s="5">
        <v>0</v>
      </c>
      <c r="GO13" s="5">
        <v>0</v>
      </c>
      <c r="GP13" s="5">
        <v>0</v>
      </c>
      <c r="GQ13" s="5">
        <v>0</v>
      </c>
      <c r="GR13" s="5">
        <v>0</v>
      </c>
      <c r="GS13" s="5">
        <v>0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4">
        <v>2.6421491062698856E-4</v>
      </c>
      <c r="HC13" s="5">
        <v>0.10390722176387772</v>
      </c>
      <c r="HD13" s="5">
        <v>0</v>
      </c>
      <c r="HE13" s="5">
        <v>0</v>
      </c>
      <c r="HF13" s="5">
        <v>0</v>
      </c>
      <c r="HG13" s="5">
        <v>0</v>
      </c>
      <c r="HH13" s="5">
        <v>0</v>
      </c>
      <c r="HI13" s="5">
        <v>0</v>
      </c>
      <c r="HJ13" s="5">
        <v>0</v>
      </c>
      <c r="HK13" s="5">
        <v>0</v>
      </c>
      <c r="HL13" s="4">
        <v>0</v>
      </c>
      <c r="HM13" s="5">
        <v>4.1243996339372993E-2</v>
      </c>
      <c r="HN13" s="5">
        <v>0</v>
      </c>
      <c r="HO13" s="5">
        <v>0</v>
      </c>
      <c r="HP13" s="5">
        <v>0</v>
      </c>
      <c r="HQ13" s="5">
        <v>0</v>
      </c>
      <c r="HR13" s="5">
        <v>0</v>
      </c>
      <c r="HS13" s="5">
        <v>0</v>
      </c>
      <c r="HT13" s="5">
        <v>0</v>
      </c>
      <c r="HU13" s="5">
        <v>0</v>
      </c>
      <c r="HV13" s="5">
        <v>0</v>
      </c>
      <c r="HW13" s="5">
        <v>7.6385117937857058E-2</v>
      </c>
      <c r="HX13" s="5">
        <v>0</v>
      </c>
      <c r="HY13" s="5">
        <v>0</v>
      </c>
      <c r="HZ13" s="5">
        <v>0</v>
      </c>
      <c r="IA13" s="5">
        <v>0</v>
      </c>
      <c r="IB13" s="5">
        <v>0</v>
      </c>
      <c r="IC13" s="5">
        <v>0</v>
      </c>
      <c r="ID13" s="5">
        <v>0</v>
      </c>
      <c r="IE13" s="5">
        <v>0</v>
      </c>
      <c r="IF13" s="5">
        <v>0</v>
      </c>
      <c r="IG13" s="5">
        <v>0.17753400095667154</v>
      </c>
      <c r="IH13" s="5">
        <v>0</v>
      </c>
      <c r="II13" s="5">
        <v>0</v>
      </c>
      <c r="IJ13" s="5">
        <v>0</v>
      </c>
      <c r="IK13" s="5">
        <v>0</v>
      </c>
      <c r="IL13" s="5">
        <v>0</v>
      </c>
      <c r="IM13" s="5">
        <v>0</v>
      </c>
      <c r="IN13" s="5">
        <v>0</v>
      </c>
      <c r="IO13" s="5">
        <v>0</v>
      </c>
      <c r="IP13" s="5">
        <v>0</v>
      </c>
      <c r="IQ13" s="5">
        <v>0</v>
      </c>
      <c r="IR13" s="5">
        <v>0</v>
      </c>
      <c r="JB13" s="3" t="s">
        <v>296</v>
      </c>
      <c r="JC13" s="5">
        <v>0</v>
      </c>
      <c r="JD13" s="5">
        <v>0</v>
      </c>
      <c r="JE13" s="5">
        <v>0</v>
      </c>
      <c r="JF13" s="5">
        <v>1.8871352524533674E-2</v>
      </c>
      <c r="JG13" s="5">
        <v>0.16147312918979817</v>
      </c>
      <c r="JH13" s="5">
        <v>0.26575220049500969</v>
      </c>
      <c r="JI13" s="5">
        <v>0.24731123422951265</v>
      </c>
      <c r="JJ13" s="5">
        <v>0.10078480059259534</v>
      </c>
      <c r="JK13" s="5">
        <v>3.4925289795618313E-3</v>
      </c>
      <c r="JL13" s="5">
        <v>0</v>
      </c>
      <c r="JM13" s="5">
        <v>0</v>
      </c>
      <c r="JN13" s="5">
        <v>0</v>
      </c>
      <c r="JO13" s="5">
        <v>7.8209382725796528E-3</v>
      </c>
      <c r="JP13" s="5">
        <v>0.15992188610167044</v>
      </c>
      <c r="JQ13" s="5">
        <v>0.3681478723578277</v>
      </c>
      <c r="JR13" s="5">
        <v>0.46547331667092978</v>
      </c>
      <c r="JS13" s="5">
        <v>0.43316140609075787</v>
      </c>
      <c r="JT13" s="5">
        <v>0.26840650465827987</v>
      </c>
      <c r="JU13" s="5">
        <v>5.448376203234237E-2</v>
      </c>
      <c r="JV13" s="4">
        <v>5.7350284969586819E-5</v>
      </c>
      <c r="JW13" s="5">
        <v>0</v>
      </c>
      <c r="JX13" s="4">
        <v>6.1484865887368725E-4</v>
      </c>
      <c r="JY13" s="5">
        <v>4.9684222925026889E-2</v>
      </c>
      <c r="JZ13" s="5">
        <v>0.24721537006744107</v>
      </c>
      <c r="KA13" s="5">
        <v>0.43537049758874002</v>
      </c>
      <c r="KB13" s="5">
        <v>0.5446646816906382</v>
      </c>
      <c r="KC13" s="5">
        <v>0.50847836278501102</v>
      </c>
      <c r="KD13" s="5">
        <v>0.34361089008753415</v>
      </c>
      <c r="KE13" s="5">
        <v>0.11749189778337957</v>
      </c>
      <c r="KF13" s="5">
        <v>5.7339922598538444E-3</v>
      </c>
      <c r="KG13" s="5">
        <v>0</v>
      </c>
      <c r="KH13" s="4">
        <v>7.0686391506657653E-5</v>
      </c>
      <c r="KI13" s="5">
        <v>3.0134628517830168E-2</v>
      </c>
      <c r="KJ13" s="5">
        <v>0.22280544129711005</v>
      </c>
      <c r="KK13" s="5">
        <v>0.42143699556829467</v>
      </c>
      <c r="KL13" s="5">
        <v>0.50420756595990346</v>
      </c>
      <c r="KM13" s="5">
        <v>0.48774640451395707</v>
      </c>
      <c r="KN13" s="5">
        <v>0.33658250826861591</v>
      </c>
      <c r="KO13" s="5">
        <v>0.11216951612262957</v>
      </c>
      <c r="KP13" s="5">
        <v>3.9459505050051307E-3</v>
      </c>
      <c r="KQ13" s="5">
        <v>0</v>
      </c>
      <c r="KR13" s="5">
        <v>0</v>
      </c>
      <c r="KS13" s="4">
        <v>2.172307459033141E-3</v>
      </c>
      <c r="KT13" s="5">
        <v>0.10043169894674601</v>
      </c>
      <c r="KU13" s="5">
        <v>0.28674213062364945</v>
      </c>
      <c r="KV13" s="5">
        <v>0.34555323980748653</v>
      </c>
      <c r="KW13" s="5">
        <v>0.28635256258068514</v>
      </c>
      <c r="KX13" s="5">
        <v>0.1445102134498111</v>
      </c>
      <c r="KY13" s="5">
        <v>1.5918367421285377E-2</v>
      </c>
      <c r="KZ13" s="5">
        <v>0</v>
      </c>
      <c r="LA13" s="5">
        <v>0</v>
      </c>
      <c r="LB13" s="5">
        <v>0</v>
      </c>
      <c r="LC13" s="5">
        <v>0</v>
      </c>
      <c r="LD13" s="5">
        <v>2.1043558009579532E-2</v>
      </c>
      <c r="LE13" s="5">
        <v>0.19260322948486058</v>
      </c>
      <c r="LF13" s="5">
        <v>0.30045760371798619</v>
      </c>
      <c r="LG13" s="5">
        <v>0.20279656354047845</v>
      </c>
      <c r="LH13" s="5">
        <v>4.0390547618028266E-2</v>
      </c>
      <c r="LI13" s="5">
        <v>0</v>
      </c>
      <c r="LJ13" s="5">
        <v>0</v>
      </c>
      <c r="LL13" s="3" t="s">
        <v>296</v>
      </c>
      <c r="LM13" s="3" t="s">
        <v>160</v>
      </c>
      <c r="LN13" s="3" t="s">
        <v>161</v>
      </c>
      <c r="LO13" s="5">
        <v>0.45959703440988259</v>
      </c>
    </row>
    <row r="14" spans="1:327" x14ac:dyDescent="0.45">
      <c r="B14" s="6" t="s">
        <v>297</v>
      </c>
      <c r="C14" s="6" t="s">
        <v>151</v>
      </c>
      <c r="D14" s="8">
        <v>0</v>
      </c>
      <c r="E14" s="8">
        <v>0</v>
      </c>
      <c r="F14" s="8">
        <v>0</v>
      </c>
      <c r="G14" s="8">
        <v>0.79407275112278697</v>
      </c>
      <c r="H14" s="8">
        <v>0.35799555434640057</v>
      </c>
      <c r="I14" s="8">
        <v>0.27851387286681023</v>
      </c>
      <c r="J14" s="8">
        <v>0.30126004115944555</v>
      </c>
      <c r="K14" s="8">
        <v>0.40435845979279966</v>
      </c>
      <c r="L14" s="8">
        <v>0.87829080116924485</v>
      </c>
      <c r="M14" s="8">
        <v>0</v>
      </c>
      <c r="N14" s="8">
        <v>0</v>
      </c>
      <c r="O14" s="8">
        <v>0</v>
      </c>
      <c r="P14" s="8">
        <v>0.72443715931045027</v>
      </c>
      <c r="Q14" s="8">
        <v>0.33238499177433722</v>
      </c>
      <c r="R14" s="8">
        <v>0.22025245355271911</v>
      </c>
      <c r="S14" s="8">
        <v>0.19821530942582463</v>
      </c>
      <c r="T14" s="8">
        <v>0.19201429112332175</v>
      </c>
      <c r="U14" s="8">
        <v>0.21595751409289074</v>
      </c>
      <c r="V14" s="8">
        <v>0.41828020991520004</v>
      </c>
      <c r="W14" s="8">
        <v>0.93937164544885665</v>
      </c>
      <c r="X14" s="8">
        <v>0</v>
      </c>
      <c r="Y14" s="8">
        <v>0.78992395918208069</v>
      </c>
      <c r="Z14" s="8">
        <v>0.33475971935003773</v>
      </c>
      <c r="AA14" s="8">
        <v>0.19664415837493268</v>
      </c>
      <c r="AB14" s="8">
        <v>0.16765198704840717</v>
      </c>
      <c r="AC14" s="8">
        <v>0.15786969353301353</v>
      </c>
      <c r="AD14" s="8">
        <v>0.16362013378989881</v>
      </c>
      <c r="AE14" s="8">
        <v>0.17030166297608343</v>
      </c>
      <c r="AF14" s="8">
        <v>0.25663983706502952</v>
      </c>
      <c r="AG14" s="8">
        <v>0.63833352601315885</v>
      </c>
      <c r="AH14" s="8">
        <v>0</v>
      </c>
      <c r="AI14" s="8">
        <v>0.96774193548387077</v>
      </c>
      <c r="AJ14" s="8">
        <v>0.39731463201871253</v>
      </c>
      <c r="AK14" s="8">
        <v>0.2233385617978495</v>
      </c>
      <c r="AL14" s="8">
        <v>0.16948784087262206</v>
      </c>
      <c r="AM14" s="8">
        <v>0.1551256885681212</v>
      </c>
      <c r="AN14" s="8">
        <v>0.15969823565678773</v>
      </c>
      <c r="AO14" s="8">
        <v>0.17635735409346392</v>
      </c>
      <c r="AP14" s="8">
        <v>0.27938991833664623</v>
      </c>
      <c r="AQ14" s="8">
        <v>0.70244883546297632</v>
      </c>
      <c r="AR14" s="8">
        <v>0</v>
      </c>
      <c r="AS14" s="8">
        <v>0</v>
      </c>
      <c r="AT14" s="8">
        <v>0.86728700198951736</v>
      </c>
      <c r="AU14" s="8">
        <v>0.41029898164054729</v>
      </c>
      <c r="AV14" s="8">
        <v>0.27384580477945675</v>
      </c>
      <c r="AW14" s="8">
        <v>0.2277503453359076</v>
      </c>
      <c r="AX14" s="8">
        <v>0.20634311364009919</v>
      </c>
      <c r="AY14" s="8">
        <v>0.28201322629616171</v>
      </c>
      <c r="AZ14" s="8">
        <v>0.63694464186371924</v>
      </c>
      <c r="BA14" s="8">
        <v>0</v>
      </c>
      <c r="BB14" s="8">
        <v>0</v>
      </c>
      <c r="BC14" s="8">
        <v>0</v>
      </c>
      <c r="BD14" s="8">
        <v>0</v>
      </c>
      <c r="BE14" s="8">
        <v>0.81009496719314045</v>
      </c>
      <c r="BF14" s="8">
        <v>0.31600940595761895</v>
      </c>
      <c r="BG14" s="8">
        <v>0.27671301849310792</v>
      </c>
      <c r="BH14" s="8">
        <v>0.31717367149726822</v>
      </c>
      <c r="BI14" s="8">
        <v>0.5605098253159666</v>
      </c>
      <c r="BJ14" s="8">
        <v>0</v>
      </c>
      <c r="BK14" s="8">
        <v>0</v>
      </c>
      <c r="BM14" s="6" t="s">
        <v>297</v>
      </c>
      <c r="BN14" s="6" t="s">
        <v>152</v>
      </c>
      <c r="BO14" s="8">
        <v>0</v>
      </c>
      <c r="BP14" s="8">
        <v>0</v>
      </c>
      <c r="BQ14" s="8">
        <v>0</v>
      </c>
      <c r="BR14" s="8">
        <v>0.65237490928055331</v>
      </c>
      <c r="BS14" s="8">
        <v>0.23918639945675491</v>
      </c>
      <c r="BT14" s="8">
        <v>0.16715363102666106</v>
      </c>
      <c r="BU14" s="7">
        <v>7.8493835456336841E-2</v>
      </c>
      <c r="BV14" s="8">
        <v>7.5010552183378154E-2</v>
      </c>
      <c r="BW14" s="8">
        <v>0.28008030785960358</v>
      </c>
      <c r="BX14" s="8">
        <v>0</v>
      </c>
      <c r="BY14" s="8">
        <v>0</v>
      </c>
      <c r="BZ14" s="7">
        <v>0</v>
      </c>
      <c r="CA14" s="8">
        <v>0.59193102585485902</v>
      </c>
      <c r="CB14" s="8">
        <v>0.21794446776185519</v>
      </c>
      <c r="CC14" s="8">
        <v>0.11467291405786957</v>
      </c>
      <c r="CD14" s="7">
        <v>8.7429975335453297E-2</v>
      </c>
      <c r="CE14" s="7">
        <v>2.9385171181562274E-2</v>
      </c>
      <c r="CF14" s="7">
        <v>2.5302594673349426E-2</v>
      </c>
      <c r="CG14" s="8">
        <v>0.10744149911571228</v>
      </c>
      <c r="CH14" s="8">
        <v>0.88713839942247374</v>
      </c>
      <c r="CI14" s="8">
        <v>0</v>
      </c>
      <c r="CJ14" s="8">
        <v>0.66141915617085334</v>
      </c>
      <c r="CK14" s="7">
        <v>0.20858973688571039</v>
      </c>
      <c r="CL14" s="7">
        <v>0.1189827268508952</v>
      </c>
      <c r="CM14" s="8">
        <v>9.9932294875418881E-2</v>
      </c>
      <c r="CN14" s="8">
        <v>4.788921357984402E-2</v>
      </c>
      <c r="CO14" s="8">
        <v>3.066107293862225E-2</v>
      </c>
      <c r="CP14" s="8">
        <v>3.2514661389890544E-2</v>
      </c>
      <c r="CQ14" s="8">
        <v>6.9851339772611043E-2</v>
      </c>
      <c r="CR14" s="8">
        <v>0.44567075361787972</v>
      </c>
      <c r="CS14" s="8">
        <v>0</v>
      </c>
      <c r="CT14" s="7">
        <v>0.93652445369406878</v>
      </c>
      <c r="CU14" s="8">
        <v>0.26822033976877585</v>
      </c>
      <c r="CV14" s="8">
        <v>0.13435498397098766</v>
      </c>
      <c r="CW14" s="8">
        <v>9.1567876013329608E-2</v>
      </c>
      <c r="CX14" s="8">
        <v>4.0130596463273771E-2</v>
      </c>
      <c r="CY14" s="8">
        <v>2.8766773526945403E-2</v>
      </c>
      <c r="CZ14" s="8">
        <v>3.5793213542389526E-2</v>
      </c>
      <c r="DA14" s="8">
        <v>5.2192224684785016E-2</v>
      </c>
      <c r="DB14" s="7">
        <v>0.55103750105538463</v>
      </c>
      <c r="DC14" s="8">
        <v>0</v>
      </c>
      <c r="DD14" s="8">
        <v>0</v>
      </c>
      <c r="DE14" s="8">
        <v>0.76776226405629389</v>
      </c>
      <c r="DF14" s="8">
        <v>0.28735172406725012</v>
      </c>
      <c r="DG14" s="8">
        <v>0.17536089724770881</v>
      </c>
      <c r="DH14" s="8">
        <v>9.1766247538170961E-2</v>
      </c>
      <c r="DI14" s="8">
        <v>2.1178860375565055E-2</v>
      </c>
      <c r="DJ14" s="8">
        <v>5.0176438522571504E-2</v>
      </c>
      <c r="DK14" s="8">
        <v>0.18156852170029986</v>
      </c>
      <c r="DL14" s="8">
        <v>0</v>
      </c>
      <c r="DM14" s="8">
        <v>0</v>
      </c>
      <c r="DN14" s="8">
        <v>0</v>
      </c>
      <c r="DO14" s="8">
        <v>0</v>
      </c>
      <c r="DP14" s="8">
        <v>0.67994847457495489</v>
      </c>
      <c r="DQ14" s="8">
        <v>0.20103677552260413</v>
      </c>
      <c r="DR14" s="8">
        <v>0.16174107170505705</v>
      </c>
      <c r="DS14" s="8">
        <v>7.359320023080039E-2</v>
      </c>
      <c r="DT14" s="8">
        <v>0.1003315670856655</v>
      </c>
      <c r="DU14" s="7">
        <v>0</v>
      </c>
      <c r="DV14" s="8">
        <v>0</v>
      </c>
      <c r="DX14" s="6" t="s">
        <v>297</v>
      </c>
      <c r="DY14" s="6" t="s">
        <v>153</v>
      </c>
      <c r="DZ14" s="8">
        <v>0</v>
      </c>
      <c r="EA14" s="8">
        <v>0</v>
      </c>
      <c r="EB14" s="7">
        <v>0</v>
      </c>
      <c r="EC14" s="8">
        <v>0</v>
      </c>
      <c r="ED14" s="8">
        <v>0</v>
      </c>
      <c r="EE14" s="8">
        <v>0</v>
      </c>
      <c r="EF14" s="7">
        <v>9.6524446669056491E-2</v>
      </c>
      <c r="EG14" s="8">
        <v>0.18845382763575003</v>
      </c>
      <c r="EH14" s="8">
        <v>0.50587450938234568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1.5035172929351647E-2</v>
      </c>
      <c r="EP14" s="8">
        <v>8.0112412118402185E-2</v>
      </c>
      <c r="EQ14" s="8">
        <v>0.10728660447506567</v>
      </c>
      <c r="ER14" s="8">
        <v>0.1120720443510532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4.0547736178581248E-2</v>
      </c>
      <c r="EZ14" s="8">
        <v>6.060727209430649E-2</v>
      </c>
      <c r="FA14" s="8">
        <v>6.192967121315162E-2</v>
      </c>
      <c r="FB14" s="8">
        <v>5.4823649135077951E-2</v>
      </c>
      <c r="FC14" s="8">
        <v>2.5932199127318114E-2</v>
      </c>
      <c r="FD14" s="8">
        <v>0</v>
      </c>
      <c r="FE14" s="7">
        <v>0</v>
      </c>
      <c r="FF14" s="8">
        <v>0</v>
      </c>
      <c r="FG14" s="8">
        <v>0</v>
      </c>
      <c r="FH14" s="8">
        <v>0</v>
      </c>
      <c r="FI14" s="8">
        <v>4.2802040211075795E-2</v>
      </c>
      <c r="FJ14" s="8">
        <v>5.8405678183177781E-2</v>
      </c>
      <c r="FK14" s="8">
        <v>6.1700779041394017E-2</v>
      </c>
      <c r="FL14" s="8">
        <v>7.6089089563242979E-2</v>
      </c>
      <c r="FM14" s="8">
        <v>0</v>
      </c>
      <c r="FN14" s="8">
        <v>0</v>
      </c>
      <c r="FO14" s="8">
        <v>0</v>
      </c>
      <c r="FP14" s="8">
        <v>0</v>
      </c>
      <c r="FQ14" s="8">
        <v>0</v>
      </c>
      <c r="FR14" s="8">
        <v>0</v>
      </c>
      <c r="FS14" s="8">
        <v>4.8284408712410735E-2</v>
      </c>
      <c r="FT14" s="8">
        <v>0.10636921542460594</v>
      </c>
      <c r="FU14" s="8">
        <v>0.11779073351206834</v>
      </c>
      <c r="FV14" s="8">
        <v>2.4720052291773407E-2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0</v>
      </c>
      <c r="GD14" s="8">
        <v>0.13112340511666162</v>
      </c>
      <c r="GE14" s="8">
        <v>0.3089052541429182</v>
      </c>
      <c r="GF14" s="8">
        <v>0</v>
      </c>
      <c r="GG14" s="8">
        <v>0</v>
      </c>
      <c r="GI14" s="6" t="s">
        <v>297</v>
      </c>
      <c r="GJ14" s="6" t="s">
        <v>154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 s="8">
        <v>0</v>
      </c>
      <c r="GV14" s="8">
        <v>0</v>
      </c>
      <c r="GW14" s="8">
        <v>0</v>
      </c>
      <c r="GX14" s="8">
        <v>0</v>
      </c>
      <c r="GY14" s="8">
        <v>0</v>
      </c>
      <c r="GZ14" s="8">
        <v>0</v>
      </c>
      <c r="HA14" s="8">
        <v>0</v>
      </c>
      <c r="HB14" s="7">
        <v>1.9847809644764317E-3</v>
      </c>
      <c r="HC14" s="8">
        <v>6.0512476030775253E-2</v>
      </c>
      <c r="HD14" s="8">
        <v>0</v>
      </c>
      <c r="HE14" s="8">
        <v>0</v>
      </c>
      <c r="HF14" s="8">
        <v>0</v>
      </c>
      <c r="HG14" s="8">
        <v>0</v>
      </c>
      <c r="HH14" s="8">
        <v>0</v>
      </c>
      <c r="HI14" s="8">
        <v>0</v>
      </c>
      <c r="HJ14" s="8">
        <v>0</v>
      </c>
      <c r="HK14" s="8">
        <v>0</v>
      </c>
      <c r="HL14" s="7">
        <v>4.1617178751828252E-3</v>
      </c>
      <c r="HM14" s="8">
        <v>4.4799543115525309E-2</v>
      </c>
      <c r="HN14" s="8">
        <v>0</v>
      </c>
      <c r="HO14" s="8">
        <v>0</v>
      </c>
      <c r="HP14" s="8">
        <v>0</v>
      </c>
      <c r="HQ14" s="8">
        <v>0</v>
      </c>
      <c r="HR14" s="8">
        <v>0</v>
      </c>
      <c r="HS14" s="8">
        <v>0</v>
      </c>
      <c r="HT14" s="8">
        <v>0</v>
      </c>
      <c r="HU14" s="8">
        <v>0</v>
      </c>
      <c r="HV14" s="8">
        <v>4.1664869034655615E-3</v>
      </c>
      <c r="HW14" s="8">
        <v>5.1906547438127379E-2</v>
      </c>
      <c r="HX14" s="8">
        <v>0</v>
      </c>
      <c r="HY14" s="8">
        <v>0</v>
      </c>
      <c r="HZ14" s="8">
        <v>0</v>
      </c>
      <c r="IA14" s="8">
        <v>0</v>
      </c>
      <c r="IB14" s="8">
        <v>0</v>
      </c>
      <c r="IC14" s="8">
        <v>0</v>
      </c>
      <c r="ID14" s="8">
        <v>0</v>
      </c>
      <c r="IE14" s="8">
        <v>0</v>
      </c>
      <c r="IF14" s="8">
        <v>1.7703298361667553E-2</v>
      </c>
      <c r="IG14" s="8">
        <v>0.28306140301471722</v>
      </c>
      <c r="IH14" s="8">
        <v>0</v>
      </c>
      <c r="II14" s="8">
        <v>0</v>
      </c>
      <c r="IJ14" s="8">
        <v>0</v>
      </c>
      <c r="IK14" s="8">
        <v>0</v>
      </c>
      <c r="IL14" s="8">
        <v>0</v>
      </c>
      <c r="IM14" s="8">
        <v>0</v>
      </c>
      <c r="IN14" s="8">
        <v>0</v>
      </c>
      <c r="IO14" s="8">
        <v>0</v>
      </c>
      <c r="IP14" s="8">
        <v>0</v>
      </c>
      <c r="IQ14" s="8">
        <v>0</v>
      </c>
      <c r="IR14" s="8">
        <v>0</v>
      </c>
      <c r="JB14" s="6" t="s">
        <v>297</v>
      </c>
      <c r="JC14" s="8">
        <v>0</v>
      </c>
      <c r="JD14" s="8">
        <v>0</v>
      </c>
      <c r="JE14" s="8">
        <v>0</v>
      </c>
      <c r="JF14" s="8">
        <v>1.2117946344615585E-2</v>
      </c>
      <c r="JG14" s="8">
        <v>0.1336050673856681</v>
      </c>
      <c r="JH14" s="8">
        <v>0.25414956722581866</v>
      </c>
      <c r="JI14" s="8">
        <v>0.23167618550753988</v>
      </c>
      <c r="JJ14" s="8">
        <v>0.10715893972368402</v>
      </c>
      <c r="JK14" s="8">
        <v>4.9722512736126243E-3</v>
      </c>
      <c r="JL14" s="8">
        <v>0</v>
      </c>
      <c r="JM14" s="8">
        <v>0</v>
      </c>
      <c r="JN14" s="8">
        <v>0</v>
      </c>
      <c r="JO14" s="8">
        <v>4.6427895083007084E-3</v>
      </c>
      <c r="JP14" s="8">
        <v>0.14507458039690496</v>
      </c>
      <c r="JQ14" s="8">
        <v>0.36291798947431336</v>
      </c>
      <c r="JR14" s="8">
        <v>0.42711851960181862</v>
      </c>
      <c r="JS14" s="8">
        <v>0.38851286316128458</v>
      </c>
      <c r="JT14" s="8">
        <v>0.24689640134174554</v>
      </c>
      <c r="JU14" s="8">
        <v>6.0314367861523707E-2</v>
      </c>
      <c r="JV14" s="7">
        <v>1.396837266085573E-4</v>
      </c>
      <c r="JW14" s="8">
        <v>0</v>
      </c>
      <c r="JX14" s="7">
        <v>1.5487652180093167E-4</v>
      </c>
      <c r="JY14" s="8">
        <v>3.6891993129121635E-2</v>
      </c>
      <c r="JZ14" s="8">
        <v>0.20289293993184454</v>
      </c>
      <c r="KA14" s="8">
        <v>0.37924873790004338</v>
      </c>
      <c r="KB14" s="8">
        <v>0.4691616426124226</v>
      </c>
      <c r="KC14" s="8">
        <v>0.4302905150184369</v>
      </c>
      <c r="KD14" s="8">
        <v>0.2975175918471234</v>
      </c>
      <c r="KE14" s="8">
        <v>0.11200285424573973</v>
      </c>
      <c r="KF14" s="8">
        <v>6.3854260598652643E-3</v>
      </c>
      <c r="KG14" s="8">
        <v>0</v>
      </c>
      <c r="KH14" s="7">
        <v>1.6647860058859309E-6</v>
      </c>
      <c r="KI14" s="8">
        <v>2.1762165420170593E-2</v>
      </c>
      <c r="KJ14" s="8">
        <v>0.17696018185350554</v>
      </c>
      <c r="KK14" s="8">
        <v>0.35700217003435897</v>
      </c>
      <c r="KL14" s="8">
        <v>0.43929203249466986</v>
      </c>
      <c r="KM14" s="8">
        <v>0.4224047671217932</v>
      </c>
      <c r="KN14" s="8">
        <v>0.30883491329008866</v>
      </c>
      <c r="KO14" s="8">
        <v>0.10966248513892267</v>
      </c>
      <c r="KP14" s="8">
        <v>4.6383052033140528E-3</v>
      </c>
      <c r="KQ14" s="8">
        <v>0</v>
      </c>
      <c r="KR14" s="8">
        <v>0</v>
      </c>
      <c r="KS14" s="7">
        <v>9.6044608919229071E-4</v>
      </c>
      <c r="KT14" s="8">
        <v>7.904679238345487E-2</v>
      </c>
      <c r="KU14" s="8">
        <v>0.24248711480399238</v>
      </c>
      <c r="KV14" s="8">
        <v>0.30794025047148604</v>
      </c>
      <c r="KW14" s="8">
        <v>0.27221898072867634</v>
      </c>
      <c r="KX14" s="8">
        <v>0.14336223040637205</v>
      </c>
      <c r="KY14" s="8">
        <v>1.7385309384548454E-2</v>
      </c>
      <c r="KZ14" s="8">
        <v>0</v>
      </c>
      <c r="LA14" s="8">
        <v>0</v>
      </c>
      <c r="LB14" s="8">
        <v>0</v>
      </c>
      <c r="LC14" s="8">
        <v>0</v>
      </c>
      <c r="LD14" s="8">
        <v>1.4033423453980483E-2</v>
      </c>
      <c r="LE14" s="8">
        <v>0.14782902614488289</v>
      </c>
      <c r="LF14" s="8">
        <v>0.23376749732669541</v>
      </c>
      <c r="LG14" s="8">
        <v>0.16980958310201591</v>
      </c>
      <c r="LH14" s="8">
        <v>3.9509011436182358E-2</v>
      </c>
      <c r="LI14" s="8">
        <v>0</v>
      </c>
      <c r="LJ14" s="8">
        <v>0</v>
      </c>
      <c r="LL14" s="6" t="s">
        <v>297</v>
      </c>
      <c r="LM14" s="6" t="s">
        <v>160</v>
      </c>
      <c r="LN14" s="6" t="s">
        <v>161</v>
      </c>
      <c r="LO14" s="8">
        <v>0.42130618171012224</v>
      </c>
    </row>
    <row r="15" spans="1:327" x14ac:dyDescent="0.45">
      <c r="B15" s="3" t="s">
        <v>298</v>
      </c>
      <c r="C15" s="3" t="s">
        <v>151</v>
      </c>
      <c r="D15" s="5">
        <v>0</v>
      </c>
      <c r="E15" s="5">
        <v>0</v>
      </c>
      <c r="F15" s="5">
        <v>0</v>
      </c>
      <c r="G15" s="5">
        <v>0.816056622035498</v>
      </c>
      <c r="H15" s="5">
        <v>0.37575195550950347</v>
      </c>
      <c r="I15" s="5">
        <v>0.30394012077107013</v>
      </c>
      <c r="J15" s="5">
        <v>0.30531740909792082</v>
      </c>
      <c r="K15" s="5">
        <v>0.41787708487211128</v>
      </c>
      <c r="L15" s="5">
        <v>0.87715893468246653</v>
      </c>
      <c r="M15" s="5">
        <v>0</v>
      </c>
      <c r="N15" s="5">
        <v>0</v>
      </c>
      <c r="O15" s="5">
        <v>0</v>
      </c>
      <c r="P15" s="5">
        <v>0.72212197410068213</v>
      </c>
      <c r="Q15" s="5">
        <v>0.33639279657383175</v>
      </c>
      <c r="R15" s="5">
        <v>0.20717200368734157</v>
      </c>
      <c r="S15" s="5">
        <v>0.17704266125776455</v>
      </c>
      <c r="T15" s="5">
        <v>0.17798622318548957</v>
      </c>
      <c r="U15" s="5">
        <v>0.19414929321313276</v>
      </c>
      <c r="V15" s="5">
        <v>0.41633249235527553</v>
      </c>
      <c r="W15" s="5">
        <v>0.92839885005993117</v>
      </c>
      <c r="X15" s="5">
        <v>0</v>
      </c>
      <c r="Y15" s="5">
        <v>0.75885645581304295</v>
      </c>
      <c r="Z15" s="5">
        <v>0.33282496600628869</v>
      </c>
      <c r="AA15" s="5">
        <v>0.22899800629229683</v>
      </c>
      <c r="AB15" s="5">
        <v>0.19816404169621463</v>
      </c>
      <c r="AC15" s="5">
        <v>0.16558826714348487</v>
      </c>
      <c r="AD15" s="5">
        <v>0.15848410510912328</v>
      </c>
      <c r="AE15" s="5">
        <v>0.1634436676701512</v>
      </c>
      <c r="AF15" s="5">
        <v>0.24719987041603014</v>
      </c>
      <c r="AG15" s="5">
        <v>0.61076997062040939</v>
      </c>
      <c r="AH15" s="5">
        <v>0</v>
      </c>
      <c r="AI15" s="5">
        <v>0.90197446345900689</v>
      </c>
      <c r="AJ15" s="5">
        <v>0.37817399515389416</v>
      </c>
      <c r="AK15" s="5">
        <v>0.2089365201396248</v>
      </c>
      <c r="AL15" s="5">
        <v>0.16493033979423768</v>
      </c>
      <c r="AM15" s="5">
        <v>0.1495846208760819</v>
      </c>
      <c r="AN15" s="5">
        <v>0.1491726057505863</v>
      </c>
      <c r="AO15" s="5">
        <v>0.17408483311099199</v>
      </c>
      <c r="AP15" s="5">
        <v>0.27228945871493165</v>
      </c>
      <c r="AQ15" s="5">
        <v>0.68208778529537795</v>
      </c>
      <c r="AR15" s="5">
        <v>0</v>
      </c>
      <c r="AS15" s="5">
        <v>0</v>
      </c>
      <c r="AT15" s="5">
        <v>0.86183381360352906</v>
      </c>
      <c r="AU15" s="5">
        <v>0.38603234366097244</v>
      </c>
      <c r="AV15" s="5">
        <v>0.26829142307227144</v>
      </c>
      <c r="AW15" s="5">
        <v>0.21404714262624286</v>
      </c>
      <c r="AX15" s="5">
        <v>0.19664537518718422</v>
      </c>
      <c r="AY15" s="5">
        <v>0.26316831088496184</v>
      </c>
      <c r="AZ15" s="5">
        <v>0.6385319324011689</v>
      </c>
      <c r="BA15" s="5">
        <v>0</v>
      </c>
      <c r="BB15" s="5">
        <v>0</v>
      </c>
      <c r="BC15" s="5">
        <v>0</v>
      </c>
      <c r="BD15" s="5">
        <v>0</v>
      </c>
      <c r="BE15" s="5">
        <v>0.81713421448162737</v>
      </c>
      <c r="BF15" s="5">
        <v>0.33162082670225007</v>
      </c>
      <c r="BG15" s="5">
        <v>0.25971900798722147</v>
      </c>
      <c r="BH15" s="5">
        <v>0.27812564420499808</v>
      </c>
      <c r="BI15" s="5">
        <v>0.55002421081175668</v>
      </c>
      <c r="BJ15" s="5">
        <v>0</v>
      </c>
      <c r="BK15" s="5">
        <v>0</v>
      </c>
      <c r="BM15" s="3" t="s">
        <v>298</v>
      </c>
      <c r="BN15" s="3" t="s">
        <v>152</v>
      </c>
      <c r="BO15" s="5">
        <v>0</v>
      </c>
      <c r="BP15" s="5">
        <v>0</v>
      </c>
      <c r="BQ15" s="5">
        <v>0</v>
      </c>
      <c r="BR15" s="5">
        <v>0.69023849342679799</v>
      </c>
      <c r="BS15" s="5">
        <v>0.2425283630361135</v>
      </c>
      <c r="BT15" s="5">
        <v>0.17316562709738706</v>
      </c>
      <c r="BU15" s="4">
        <v>5.8066220750625251E-2</v>
      </c>
      <c r="BV15" s="5">
        <v>5.9772060243709756E-2</v>
      </c>
      <c r="BW15" s="5">
        <v>6.7335364330744898E-2</v>
      </c>
      <c r="BX15" s="5">
        <v>0</v>
      </c>
      <c r="BY15" s="5">
        <v>0</v>
      </c>
      <c r="BZ15" s="4">
        <v>0</v>
      </c>
      <c r="CA15" s="5">
        <v>0.58451869304062887</v>
      </c>
      <c r="CB15" s="5">
        <v>0.21329238526263017</v>
      </c>
      <c r="CC15" s="5">
        <v>0.11332592103888223</v>
      </c>
      <c r="CD15" s="4">
        <v>8.1207084020212025E-2</v>
      </c>
      <c r="CE15" s="4">
        <v>3.6597703009411932E-2</v>
      </c>
      <c r="CF15" s="4">
        <v>2.0086463628003079E-2</v>
      </c>
      <c r="CG15" s="5">
        <v>0.1075481204239359</v>
      </c>
      <c r="CH15" s="5">
        <v>0.86697331266815703</v>
      </c>
      <c r="CI15" s="5">
        <v>0</v>
      </c>
      <c r="CJ15" s="5">
        <v>0.60818549590581383</v>
      </c>
      <c r="CK15" s="4">
        <v>0.21835172629652636</v>
      </c>
      <c r="CL15" s="4">
        <v>0.13988941207638103</v>
      </c>
      <c r="CM15" s="5">
        <v>0.11206246449065314</v>
      </c>
      <c r="CN15" s="5">
        <v>3.1054019227566679E-2</v>
      </c>
      <c r="CO15" s="5">
        <v>2.0089597019961564E-2</v>
      </c>
      <c r="CP15" s="5">
        <v>2.1556020398512524E-2</v>
      </c>
      <c r="CQ15" s="5">
        <v>6.0498426786769324E-2</v>
      </c>
      <c r="CR15" s="5">
        <v>0.43870819742807721</v>
      </c>
      <c r="CS15" s="5">
        <v>0</v>
      </c>
      <c r="CT15" s="4">
        <v>0.82705384114838032</v>
      </c>
      <c r="CU15" s="5">
        <v>0.24991425671683648</v>
      </c>
      <c r="CV15" s="5">
        <v>0.12751850023458985</v>
      </c>
      <c r="CW15" s="5">
        <v>9.3417036518958163E-2</v>
      </c>
      <c r="CX15" s="5">
        <v>4.3429622384496477E-2</v>
      </c>
      <c r="CY15" s="5">
        <v>2.3872432590285542E-2</v>
      </c>
      <c r="CZ15" s="5">
        <v>3.2830833258304735E-2</v>
      </c>
      <c r="DA15" s="5">
        <v>7.8652895634001241E-2</v>
      </c>
      <c r="DB15" s="4">
        <v>0.47021790408832259</v>
      </c>
      <c r="DC15" s="5">
        <v>0</v>
      </c>
      <c r="DD15" s="5">
        <v>0</v>
      </c>
      <c r="DE15" s="5">
        <v>0.75587063979981661</v>
      </c>
      <c r="DF15" s="5">
        <v>0.26767517603757846</v>
      </c>
      <c r="DG15" s="5">
        <v>0.15642665166304795</v>
      </c>
      <c r="DH15" s="5">
        <v>7.9274782324652335E-2</v>
      </c>
      <c r="DI15" s="5">
        <v>4.8271287496772022E-2</v>
      </c>
      <c r="DJ15" s="5">
        <v>4.7075736129262385E-2</v>
      </c>
      <c r="DK15" s="5">
        <v>0.12533123984455305</v>
      </c>
      <c r="DL15" s="5">
        <v>0</v>
      </c>
      <c r="DM15" s="5">
        <v>0</v>
      </c>
      <c r="DN15" s="5">
        <v>0</v>
      </c>
      <c r="DO15" s="5">
        <v>0</v>
      </c>
      <c r="DP15" s="5">
        <v>0.70191759728235481</v>
      </c>
      <c r="DQ15" s="5">
        <v>0.21473178324707942</v>
      </c>
      <c r="DR15" s="5">
        <v>0.15219857699588202</v>
      </c>
      <c r="DS15" s="5">
        <v>6.8683635827513259E-2</v>
      </c>
      <c r="DT15" s="5">
        <v>0.10093430950141012</v>
      </c>
      <c r="DU15" s="4">
        <v>0</v>
      </c>
      <c r="DV15" s="5">
        <v>0</v>
      </c>
      <c r="DX15" s="3" t="s">
        <v>298</v>
      </c>
      <c r="DY15" s="3" t="s">
        <v>153</v>
      </c>
      <c r="DZ15" s="5">
        <v>0</v>
      </c>
      <c r="EA15" s="5">
        <v>0</v>
      </c>
      <c r="EB15" s="4">
        <v>0</v>
      </c>
      <c r="EC15" s="5">
        <v>0</v>
      </c>
      <c r="ED15" s="5">
        <v>0</v>
      </c>
      <c r="EE15" s="5">
        <v>0</v>
      </c>
      <c r="EF15" s="4">
        <v>0.12416138107195182</v>
      </c>
      <c r="EG15" s="5">
        <v>0.21519704683467628</v>
      </c>
      <c r="EH15" s="5">
        <v>0.7136769503799919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1.2438319476175437E-2</v>
      </c>
      <c r="EP15" s="5">
        <v>6.1066827684910181E-2</v>
      </c>
      <c r="EQ15" s="5">
        <v>9.5717959983923045E-2</v>
      </c>
      <c r="ER15" s="5">
        <v>0.13651159763404108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6.3192597770679107E-2</v>
      </c>
      <c r="EZ15" s="5">
        <v>7.0455991694461692E-2</v>
      </c>
      <c r="FA15" s="5">
        <v>6.4098298435128806E-2</v>
      </c>
      <c r="FB15" s="5">
        <v>5.7699053532532379E-2</v>
      </c>
      <c r="FC15" s="5">
        <v>0</v>
      </c>
      <c r="FD15" s="5">
        <v>0</v>
      </c>
      <c r="FE15" s="4">
        <v>0</v>
      </c>
      <c r="FF15" s="5">
        <v>0</v>
      </c>
      <c r="FG15" s="5">
        <v>0</v>
      </c>
      <c r="FH15" s="5">
        <v>0</v>
      </c>
      <c r="FI15" s="5">
        <v>4.4340575087661475E-2</v>
      </c>
      <c r="FJ15" s="5">
        <v>5.7660771139614375E-2</v>
      </c>
      <c r="FK15" s="5">
        <v>5.9242451000365931E-2</v>
      </c>
      <c r="FL15" s="5">
        <v>3.4372856853372998E-2</v>
      </c>
      <c r="FM15" s="5">
        <v>2.5652541964182589E-2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4.1508239432882031E-2</v>
      </c>
      <c r="FT15" s="5">
        <v>7.001216120828925E-2</v>
      </c>
      <c r="FU15" s="5">
        <v>0.11077969499173783</v>
      </c>
      <c r="FV15" s="5">
        <v>0.1770045605577488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9.8255721621076084E-2</v>
      </c>
      <c r="GE15" s="5">
        <v>0.27035790777569507</v>
      </c>
      <c r="GF15" s="5">
        <v>0</v>
      </c>
      <c r="GG15" s="5">
        <v>0</v>
      </c>
      <c r="GI15" s="3" t="s">
        <v>298</v>
      </c>
      <c r="GJ15" s="3" t="s">
        <v>154</v>
      </c>
      <c r="GK15" s="5">
        <v>0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4">
        <v>2.1588629575129263E-3</v>
      </c>
      <c r="HC15" s="5">
        <v>3.1813146834419929E-2</v>
      </c>
      <c r="HD15" s="5">
        <v>0</v>
      </c>
      <c r="HE15" s="5">
        <v>0</v>
      </c>
      <c r="HF15" s="5">
        <v>0</v>
      </c>
      <c r="HG15" s="5">
        <v>0</v>
      </c>
      <c r="HH15" s="5">
        <v>0</v>
      </c>
      <c r="HI15" s="5">
        <v>0</v>
      </c>
      <c r="HJ15" s="5">
        <v>0</v>
      </c>
      <c r="HK15" s="5">
        <v>0</v>
      </c>
      <c r="HL15" s="4">
        <v>7.8632877469363167E-3</v>
      </c>
      <c r="HM15" s="5">
        <v>4.2402961760003598E-2</v>
      </c>
      <c r="HN15" s="5">
        <v>0</v>
      </c>
      <c r="HO15" s="5">
        <v>0</v>
      </c>
      <c r="HP15" s="5">
        <v>0</v>
      </c>
      <c r="HQ15" s="5">
        <v>0</v>
      </c>
      <c r="HR15" s="5">
        <v>0</v>
      </c>
      <c r="HS15" s="5">
        <v>0</v>
      </c>
      <c r="HT15" s="5">
        <v>0</v>
      </c>
      <c r="HU15" s="5">
        <v>0</v>
      </c>
      <c r="HV15" s="5">
        <v>7.4908228995775959E-3</v>
      </c>
      <c r="HW15" s="5">
        <v>6.2274856935438806E-2</v>
      </c>
      <c r="HX15" s="5">
        <v>3.686076123514901E-2</v>
      </c>
      <c r="HY15" s="5">
        <v>0</v>
      </c>
      <c r="HZ15" s="5">
        <v>0</v>
      </c>
      <c r="IA15" s="5">
        <v>0</v>
      </c>
      <c r="IB15" s="5">
        <v>0</v>
      </c>
      <c r="IC15" s="5">
        <v>0</v>
      </c>
      <c r="ID15" s="5">
        <v>0</v>
      </c>
      <c r="IE15" s="5">
        <v>0</v>
      </c>
      <c r="IF15" s="5">
        <v>1.2563760995875807E-2</v>
      </c>
      <c r="IG15" s="5">
        <v>0.17959533959604312</v>
      </c>
      <c r="IH15" s="5">
        <v>0</v>
      </c>
      <c r="II15" s="5">
        <v>0</v>
      </c>
      <c r="IJ15" s="5">
        <v>0</v>
      </c>
      <c r="IK15" s="5">
        <v>0</v>
      </c>
      <c r="IL15" s="5">
        <v>0</v>
      </c>
      <c r="IM15" s="5">
        <v>0</v>
      </c>
      <c r="IN15" s="5">
        <v>0</v>
      </c>
      <c r="IO15" s="5">
        <v>0</v>
      </c>
      <c r="IP15" s="5">
        <v>0</v>
      </c>
      <c r="IQ15" s="5">
        <v>0</v>
      </c>
      <c r="IR15" s="5">
        <v>0</v>
      </c>
      <c r="JB15" s="3" t="s">
        <v>298</v>
      </c>
      <c r="JC15" s="5">
        <v>0</v>
      </c>
      <c r="JD15" s="5">
        <v>0</v>
      </c>
      <c r="JE15" s="5">
        <v>0</v>
      </c>
      <c r="JF15" s="5">
        <v>1.2075582835505781E-2</v>
      </c>
      <c r="JG15" s="5">
        <v>0.1342978687473429</v>
      </c>
      <c r="JH15" s="5">
        <v>0.24694017111125746</v>
      </c>
      <c r="JI15" s="5">
        <v>0.23212105761936985</v>
      </c>
      <c r="JJ15" s="5">
        <v>0.10890211958996283</v>
      </c>
      <c r="JK15" s="5">
        <v>5.573060730512145E-3</v>
      </c>
      <c r="JL15" s="5">
        <v>0</v>
      </c>
      <c r="JM15" s="5">
        <v>0</v>
      </c>
      <c r="JN15" s="5">
        <v>0</v>
      </c>
      <c r="JO15" s="5">
        <v>5.1112417046078676E-3</v>
      </c>
      <c r="JP15" s="5">
        <v>0.14392956559176395</v>
      </c>
      <c r="JQ15" s="5">
        <v>0.35363753403615478</v>
      </c>
      <c r="JR15" s="5">
        <v>0.43424762548250517</v>
      </c>
      <c r="JS15" s="5">
        <v>0.4022613449706241</v>
      </c>
      <c r="JT15" s="5">
        <v>0.25911724773433431</v>
      </c>
      <c r="JU15" s="5">
        <v>6.1551623572134062E-2</v>
      </c>
      <c r="JV15" s="4">
        <v>1.6156072906825831E-4</v>
      </c>
      <c r="JW15" s="5">
        <v>0</v>
      </c>
      <c r="JX15" s="4">
        <v>3.7929879066103239E-4</v>
      </c>
      <c r="JY15" s="5">
        <v>3.7101614743122645E-2</v>
      </c>
      <c r="JZ15" s="5">
        <v>0.19574250667454482</v>
      </c>
      <c r="KA15" s="5">
        <v>0.36264618638122909</v>
      </c>
      <c r="KB15" s="5">
        <v>0.44842579124560344</v>
      </c>
      <c r="KC15" s="5">
        <v>0.42712754361196381</v>
      </c>
      <c r="KD15" s="5">
        <v>0.30419419978523227</v>
      </c>
      <c r="KE15" s="5">
        <v>0.11445919272938809</v>
      </c>
      <c r="KF15" s="5">
        <v>6.8324880267918884E-3</v>
      </c>
      <c r="KG15" s="5">
        <v>0</v>
      </c>
      <c r="KH15" s="4">
        <v>3.1011449432891394E-5</v>
      </c>
      <c r="KI15" s="5">
        <v>2.3712197598362544E-2</v>
      </c>
      <c r="KJ15" s="5">
        <v>0.17462903653868375</v>
      </c>
      <c r="KK15" s="5">
        <v>0.35126748155534882</v>
      </c>
      <c r="KL15" s="5">
        <v>0.43144449650634303</v>
      </c>
      <c r="KM15" s="5">
        <v>0.41602150431276991</v>
      </c>
      <c r="KN15" s="5">
        <v>0.29004928214806158</v>
      </c>
      <c r="KO15" s="5">
        <v>0.1052093175501936</v>
      </c>
      <c r="KP15" s="5">
        <v>4.8768423834394418E-3</v>
      </c>
      <c r="KQ15" s="5">
        <v>0</v>
      </c>
      <c r="KR15" s="5">
        <v>0</v>
      </c>
      <c r="KS15" s="4">
        <v>9.7244583847476797E-4</v>
      </c>
      <c r="KT15" s="5">
        <v>7.9472728362523684E-2</v>
      </c>
      <c r="KU15" s="5">
        <v>0.23348673014561608</v>
      </c>
      <c r="KV15" s="5">
        <v>0.29990025701428291</v>
      </c>
      <c r="KW15" s="5">
        <v>0.27473600118813024</v>
      </c>
      <c r="KX15" s="5">
        <v>0.14486714740288401</v>
      </c>
      <c r="KY15" s="5">
        <v>1.6945642651773757E-2</v>
      </c>
      <c r="KZ15" s="5">
        <v>0</v>
      </c>
      <c r="LA15" s="5">
        <v>0</v>
      </c>
      <c r="LB15" s="5">
        <v>0</v>
      </c>
      <c r="LC15" s="5">
        <v>0</v>
      </c>
      <c r="LD15" s="5">
        <v>1.1565017229079606E-2</v>
      </c>
      <c r="LE15" s="5">
        <v>0.13136215778924776</v>
      </c>
      <c r="LF15" s="5">
        <v>0.22775659857525249</v>
      </c>
      <c r="LG15" s="5">
        <v>0.1691936407014642</v>
      </c>
      <c r="LH15" s="5">
        <v>3.7895080626871698E-2</v>
      </c>
      <c r="LI15" s="5">
        <v>0</v>
      </c>
      <c r="LJ15" s="5">
        <v>0</v>
      </c>
      <c r="LL15" s="3" t="s">
        <v>298</v>
      </c>
      <c r="LM15" s="3" t="s">
        <v>160</v>
      </c>
      <c r="LN15" s="3" t="s">
        <v>161</v>
      </c>
      <c r="LO15" s="5">
        <v>0.37583426535412706</v>
      </c>
    </row>
    <row r="16" spans="1:327" x14ac:dyDescent="0.45">
      <c r="B16" s="6" t="s">
        <v>299</v>
      </c>
      <c r="C16" s="6" t="s">
        <v>151</v>
      </c>
      <c r="D16" s="8">
        <v>0</v>
      </c>
      <c r="E16" s="8">
        <v>0</v>
      </c>
      <c r="F16" s="8">
        <v>0</v>
      </c>
      <c r="G16" s="8">
        <v>0.80374796453003972</v>
      </c>
      <c r="H16" s="8">
        <v>0.40725433037753722</v>
      </c>
      <c r="I16" s="8">
        <v>0.33786369264452115</v>
      </c>
      <c r="J16" s="8">
        <v>0.31458991135422881</v>
      </c>
      <c r="K16" s="8">
        <v>0.43625172430418602</v>
      </c>
      <c r="L16" s="8">
        <v>0.89830508474576276</v>
      </c>
      <c r="M16" s="8">
        <v>0</v>
      </c>
      <c r="N16" s="8">
        <v>0</v>
      </c>
      <c r="O16" s="8">
        <v>0</v>
      </c>
      <c r="P16" s="8">
        <v>0.71157856753475857</v>
      </c>
      <c r="Q16" s="8">
        <v>0.34958936587507405</v>
      </c>
      <c r="R16" s="8">
        <v>0.2259969875426667</v>
      </c>
      <c r="S16" s="8">
        <v>0.20597476325701175</v>
      </c>
      <c r="T16" s="8">
        <v>0.19556097215464394</v>
      </c>
      <c r="U16" s="8">
        <v>0.19918792817618713</v>
      </c>
      <c r="V16" s="8">
        <v>0.43618648298399187</v>
      </c>
      <c r="W16" s="8">
        <v>0.95228797632962137</v>
      </c>
      <c r="X16" s="8">
        <v>0</v>
      </c>
      <c r="Y16" s="8">
        <v>0.75285441466373326</v>
      </c>
      <c r="Z16" s="8">
        <v>0.33620592352846052</v>
      </c>
      <c r="AA16" s="8">
        <v>0.22654591242464409</v>
      </c>
      <c r="AB16" s="8">
        <v>0.19865655661735998</v>
      </c>
      <c r="AC16" s="8">
        <v>0.18156117763151292</v>
      </c>
      <c r="AD16" s="8">
        <v>0.16888735425196133</v>
      </c>
      <c r="AE16" s="8">
        <v>0.16377520379401683</v>
      </c>
      <c r="AF16" s="8">
        <v>0.26401445046108335</v>
      </c>
      <c r="AG16" s="8">
        <v>0.6392094433108253</v>
      </c>
      <c r="AH16" s="8">
        <v>0</v>
      </c>
      <c r="AI16" s="8">
        <v>0.90025076549216421</v>
      </c>
      <c r="AJ16" s="8">
        <v>0.38164324051703918</v>
      </c>
      <c r="AK16" s="8">
        <v>0.21623526027939952</v>
      </c>
      <c r="AL16" s="8">
        <v>0.1848635753492805</v>
      </c>
      <c r="AM16" s="8">
        <v>0.16953991659156969</v>
      </c>
      <c r="AN16" s="8">
        <v>0.15231081559093548</v>
      </c>
      <c r="AO16" s="8">
        <v>0.18022302822394731</v>
      </c>
      <c r="AP16" s="8">
        <v>0.28872568496345291</v>
      </c>
      <c r="AQ16" s="8">
        <v>0.72045647288518389</v>
      </c>
      <c r="AR16" s="8">
        <v>0</v>
      </c>
      <c r="AS16" s="8">
        <v>0</v>
      </c>
      <c r="AT16" s="8">
        <v>0.83589814627912262</v>
      </c>
      <c r="AU16" s="8">
        <v>0.37922581453419907</v>
      </c>
      <c r="AV16" s="8">
        <v>0.27133037882235339</v>
      </c>
      <c r="AW16" s="8">
        <v>0.24426527494414638</v>
      </c>
      <c r="AX16" s="8">
        <v>0.24988808893559128</v>
      </c>
      <c r="AY16" s="8">
        <v>0.29626953655130539</v>
      </c>
      <c r="AZ16" s="8">
        <v>0.68693299204103153</v>
      </c>
      <c r="BA16" s="8">
        <v>0</v>
      </c>
      <c r="BB16" s="8">
        <v>0</v>
      </c>
      <c r="BC16" s="8">
        <v>0</v>
      </c>
      <c r="BD16" s="8">
        <v>0</v>
      </c>
      <c r="BE16" s="8">
        <v>0.79889165572930843</v>
      </c>
      <c r="BF16" s="8">
        <v>0.32954127415295587</v>
      </c>
      <c r="BG16" s="8">
        <v>0.25018569148989167</v>
      </c>
      <c r="BH16" s="8">
        <v>0.29577117657259294</v>
      </c>
      <c r="BI16" s="8">
        <v>0.58845523028688906</v>
      </c>
      <c r="BJ16" s="8">
        <v>0</v>
      </c>
      <c r="BK16" s="8">
        <v>0</v>
      </c>
      <c r="BM16" s="6" t="s">
        <v>299</v>
      </c>
      <c r="BN16" s="6" t="s">
        <v>152</v>
      </c>
      <c r="BO16" s="8">
        <v>0</v>
      </c>
      <c r="BP16" s="8">
        <v>0</v>
      </c>
      <c r="BQ16" s="8">
        <v>0</v>
      </c>
      <c r="BR16" s="8">
        <v>0.66246694160218478</v>
      </c>
      <c r="BS16" s="8">
        <v>0.265404323680624</v>
      </c>
      <c r="BT16" s="8">
        <v>0.19460042979747769</v>
      </c>
      <c r="BU16" s="7">
        <v>5.6493269298017922E-2</v>
      </c>
      <c r="BV16" s="8">
        <v>8.1890972037922366E-2</v>
      </c>
      <c r="BW16" s="8">
        <v>0.25283218847366229</v>
      </c>
      <c r="BX16" s="8">
        <v>0</v>
      </c>
      <c r="BY16" s="8">
        <v>0</v>
      </c>
      <c r="BZ16" s="7">
        <v>0</v>
      </c>
      <c r="CA16" s="8">
        <v>0.57439849537629928</v>
      </c>
      <c r="CB16" s="8">
        <v>0.21506668077004806</v>
      </c>
      <c r="CC16" s="8">
        <v>0.12939160578167658</v>
      </c>
      <c r="CD16" s="7">
        <v>8.1266710853748009E-2</v>
      </c>
      <c r="CE16" s="7">
        <v>3.1863249423831376E-2</v>
      </c>
      <c r="CF16" s="7">
        <v>3.2385649122209655E-2</v>
      </c>
      <c r="CG16" s="8">
        <v>0.13728577279731258</v>
      </c>
      <c r="CH16" s="8">
        <v>0.912227157695366</v>
      </c>
      <c r="CI16" s="8">
        <v>0</v>
      </c>
      <c r="CJ16" s="8">
        <v>0.60547345368887917</v>
      </c>
      <c r="CK16" s="7">
        <v>0.21917011642424994</v>
      </c>
      <c r="CL16" s="7">
        <v>0.13239508312659209</v>
      </c>
      <c r="CM16" s="8">
        <v>0.10410971447053928</v>
      </c>
      <c r="CN16" s="8">
        <v>4.0326942216157007E-2</v>
      </c>
      <c r="CO16" s="8">
        <v>2.1417545875578481E-2</v>
      </c>
      <c r="CP16" s="8">
        <v>1.404843401476131E-2</v>
      </c>
      <c r="CQ16" s="8">
        <v>7.0892317418538825E-2</v>
      </c>
      <c r="CR16" s="8">
        <v>0.46986529904101182</v>
      </c>
      <c r="CS16" s="8">
        <v>0</v>
      </c>
      <c r="CT16" s="7">
        <v>0.82038981048882698</v>
      </c>
      <c r="CU16" s="8">
        <v>0.24998378517140929</v>
      </c>
      <c r="CV16" s="8">
        <v>0.12993326733214422</v>
      </c>
      <c r="CW16" s="8">
        <v>0.1041259299131987</v>
      </c>
      <c r="CX16" s="8">
        <v>5.2609974194951316E-2</v>
      </c>
      <c r="CY16" s="8">
        <v>1.8282994431021288E-2</v>
      </c>
      <c r="CZ16" s="8">
        <v>2.0448907837332494E-2</v>
      </c>
      <c r="DA16" s="8">
        <v>6.3261364975829779E-2</v>
      </c>
      <c r="DB16" s="7">
        <v>0.57156727381742156</v>
      </c>
      <c r="DC16" s="8">
        <v>0</v>
      </c>
      <c r="DD16" s="8">
        <v>0</v>
      </c>
      <c r="DE16" s="8">
        <v>0.72599254133237812</v>
      </c>
      <c r="DF16" s="8">
        <v>0.25882100051642759</v>
      </c>
      <c r="DG16" s="8">
        <v>0.15566276081873964</v>
      </c>
      <c r="DH16" s="8">
        <v>8.6277420292857759E-2</v>
      </c>
      <c r="DI16" s="8">
        <v>5.6460184095779395E-2</v>
      </c>
      <c r="DJ16" s="8">
        <v>5.0991623330501751E-2</v>
      </c>
      <c r="DK16" s="8">
        <v>0.16054641506957409</v>
      </c>
      <c r="DL16" s="8">
        <v>0</v>
      </c>
      <c r="DM16" s="8">
        <v>0</v>
      </c>
      <c r="DN16" s="8">
        <v>0</v>
      </c>
      <c r="DO16" s="8">
        <v>0</v>
      </c>
      <c r="DP16" s="8">
        <v>0.66917302835878423</v>
      </c>
      <c r="DQ16" s="8">
        <v>0.20457212996282909</v>
      </c>
      <c r="DR16" s="8">
        <v>0.14060304709305299</v>
      </c>
      <c r="DS16" s="8">
        <v>6.4436100841001986E-2</v>
      </c>
      <c r="DT16" s="8">
        <v>0.14197472903607106</v>
      </c>
      <c r="DU16" s="7">
        <v>0</v>
      </c>
      <c r="DV16" s="8">
        <v>0</v>
      </c>
      <c r="DX16" s="6" t="s">
        <v>299</v>
      </c>
      <c r="DY16" s="6" t="s">
        <v>153</v>
      </c>
      <c r="DZ16" s="8">
        <v>0</v>
      </c>
      <c r="EA16" s="8">
        <v>0</v>
      </c>
      <c r="EB16" s="7">
        <v>0</v>
      </c>
      <c r="EC16" s="8">
        <v>0</v>
      </c>
      <c r="ED16" s="8">
        <v>0</v>
      </c>
      <c r="EE16" s="8">
        <v>0</v>
      </c>
      <c r="EF16" s="7">
        <v>0.12491539355544908</v>
      </c>
      <c r="EG16" s="8">
        <v>0.19815581116924652</v>
      </c>
      <c r="EH16" s="8">
        <v>0.55411983680642962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3.4709311447804793E-2</v>
      </c>
      <c r="EP16" s="8">
        <v>7.6668028808037164E-2</v>
      </c>
      <c r="EQ16" s="8">
        <v>8.3052787299706735E-2</v>
      </c>
      <c r="ER16" s="8">
        <v>5.812865303863151E-2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5.8857985895824888E-2</v>
      </c>
      <c r="EZ16" s="8">
        <v>7.063528780005493E-2</v>
      </c>
      <c r="FA16" s="8">
        <v>7.6675266707948622E-2</v>
      </c>
      <c r="FB16" s="8">
        <v>3.0740242323195888E-2</v>
      </c>
      <c r="FC16" s="8">
        <v>0</v>
      </c>
      <c r="FD16" s="8">
        <v>0</v>
      </c>
      <c r="FE16" s="7">
        <v>0</v>
      </c>
      <c r="FF16" s="8">
        <v>0</v>
      </c>
      <c r="FG16" s="8">
        <v>0</v>
      </c>
      <c r="FH16" s="8">
        <v>0</v>
      </c>
      <c r="FI16" s="8">
        <v>4.3575914654669784E-2</v>
      </c>
      <c r="FJ16" s="8">
        <v>6.4992904497613038E-2</v>
      </c>
      <c r="FK16" s="8">
        <v>7.6296466087935361E-2</v>
      </c>
      <c r="FL16" s="8">
        <v>6.2356824779938674E-2</v>
      </c>
      <c r="FM16" s="8">
        <v>0</v>
      </c>
      <c r="FN16" s="8">
        <v>0</v>
      </c>
      <c r="FO16" s="8">
        <v>0</v>
      </c>
      <c r="FP16" s="8">
        <v>0</v>
      </c>
      <c r="FQ16" s="8">
        <v>0</v>
      </c>
      <c r="FR16" s="8">
        <v>0</v>
      </c>
      <c r="FS16" s="8">
        <v>4.9025885828181917E-2</v>
      </c>
      <c r="FT16" s="8">
        <v>0.10269328204663827</v>
      </c>
      <c r="FU16" s="8">
        <v>0.12795691118565991</v>
      </c>
      <c r="FV16" s="8">
        <v>0.16666697616787746</v>
      </c>
      <c r="FW16" s="8">
        <v>0</v>
      </c>
      <c r="FX16" s="8">
        <v>0</v>
      </c>
      <c r="FY16" s="8">
        <v>0</v>
      </c>
      <c r="FZ16" s="8">
        <v>0</v>
      </c>
      <c r="GA16" s="8">
        <v>0</v>
      </c>
      <c r="GB16" s="8">
        <v>0</v>
      </c>
      <c r="GC16" s="8">
        <v>0</v>
      </c>
      <c r="GD16" s="8">
        <v>0.11139794947750391</v>
      </c>
      <c r="GE16" s="8">
        <v>0.27992202343350925</v>
      </c>
      <c r="GF16" s="8">
        <v>0</v>
      </c>
      <c r="GG16" s="8">
        <v>0</v>
      </c>
      <c r="GI16" s="6" t="s">
        <v>299</v>
      </c>
      <c r="GJ16" s="6" t="s">
        <v>154</v>
      </c>
      <c r="GK16" s="8">
        <v>0</v>
      </c>
      <c r="GL16" s="8">
        <v>0</v>
      </c>
      <c r="GM16" s="8">
        <v>0</v>
      </c>
      <c r="GN16" s="8">
        <v>0</v>
      </c>
      <c r="GO16" s="8">
        <v>0</v>
      </c>
      <c r="GP16" s="8">
        <v>0</v>
      </c>
      <c r="GQ16" s="8">
        <v>0</v>
      </c>
      <c r="GR16" s="8">
        <v>0</v>
      </c>
      <c r="GS16" s="8">
        <v>0</v>
      </c>
      <c r="GT16" s="8">
        <v>0</v>
      </c>
      <c r="GU16" s="8">
        <v>0</v>
      </c>
      <c r="GV16" s="8">
        <v>0</v>
      </c>
      <c r="GW16" s="8">
        <v>0</v>
      </c>
      <c r="GX16" s="8">
        <v>0</v>
      </c>
      <c r="GY16" s="8">
        <v>0</v>
      </c>
      <c r="GZ16" s="8">
        <v>0</v>
      </c>
      <c r="HA16" s="8">
        <v>0</v>
      </c>
      <c r="HB16" s="7">
        <v>1.4664494814344571E-3</v>
      </c>
      <c r="HC16" s="8">
        <v>9.0567166655016892E-2</v>
      </c>
      <c r="HD16" s="8">
        <v>0</v>
      </c>
      <c r="HE16" s="8">
        <v>0</v>
      </c>
      <c r="HF16" s="8">
        <v>0</v>
      </c>
      <c r="HG16" s="8">
        <v>0</v>
      </c>
      <c r="HH16" s="8">
        <v>0</v>
      </c>
      <c r="HI16" s="8">
        <v>0</v>
      </c>
      <c r="HJ16" s="8">
        <v>0</v>
      </c>
      <c r="HK16" s="8">
        <v>0</v>
      </c>
      <c r="HL16" s="7">
        <v>8.9849379659848287E-3</v>
      </c>
      <c r="HM16" s="8">
        <v>6.8880449020382498E-2</v>
      </c>
      <c r="HN16" s="8">
        <v>0</v>
      </c>
      <c r="HO16" s="8">
        <v>0</v>
      </c>
      <c r="HP16" s="8">
        <v>0</v>
      </c>
      <c r="HQ16" s="8">
        <v>0</v>
      </c>
      <c r="HR16" s="8">
        <v>0</v>
      </c>
      <c r="HS16" s="8">
        <v>0</v>
      </c>
      <c r="HT16" s="8">
        <v>0</v>
      </c>
      <c r="HU16" s="8">
        <v>0</v>
      </c>
      <c r="HV16" s="8">
        <v>5.8120403025834584E-3</v>
      </c>
      <c r="HW16" s="8">
        <v>6.7316823862023631E-2</v>
      </c>
      <c r="HX16" s="8">
        <v>0</v>
      </c>
      <c r="HY16" s="8">
        <v>0</v>
      </c>
      <c r="HZ16" s="8">
        <v>0</v>
      </c>
      <c r="IA16" s="8">
        <v>0</v>
      </c>
      <c r="IB16" s="8">
        <v>0</v>
      </c>
      <c r="IC16" s="8">
        <v>0</v>
      </c>
      <c r="ID16" s="8">
        <v>0</v>
      </c>
      <c r="IE16" s="8">
        <v>0</v>
      </c>
      <c r="IF16" s="8">
        <v>1.1114998892565654E-2</v>
      </c>
      <c r="IG16" s="8">
        <v>0.21607143061636164</v>
      </c>
      <c r="IH16" s="8">
        <v>0</v>
      </c>
      <c r="II16" s="8">
        <v>0</v>
      </c>
      <c r="IJ16" s="8">
        <v>0</v>
      </c>
      <c r="IK16" s="8">
        <v>0</v>
      </c>
      <c r="IL16" s="8">
        <v>0</v>
      </c>
      <c r="IM16" s="8">
        <v>0</v>
      </c>
      <c r="IN16" s="8">
        <v>0</v>
      </c>
      <c r="IO16" s="8">
        <v>0</v>
      </c>
      <c r="IP16" s="8">
        <v>0</v>
      </c>
      <c r="IQ16" s="8">
        <v>0</v>
      </c>
      <c r="IR16" s="8">
        <v>0</v>
      </c>
      <c r="JB16" s="6" t="s">
        <v>299</v>
      </c>
      <c r="JC16" s="8">
        <v>0</v>
      </c>
      <c r="JD16" s="8">
        <v>0</v>
      </c>
      <c r="JE16" s="8">
        <v>0</v>
      </c>
      <c r="JF16" s="8">
        <v>1.6151206960522583E-2</v>
      </c>
      <c r="JG16" s="8">
        <v>0.1455331083900126</v>
      </c>
      <c r="JH16" s="8">
        <v>0.23747831343486103</v>
      </c>
      <c r="JI16" s="8">
        <v>0.22622855812618242</v>
      </c>
      <c r="JJ16" s="8">
        <v>9.6902261656247407E-2</v>
      </c>
      <c r="JK16" s="8">
        <v>4.0067188790836109E-3</v>
      </c>
      <c r="JL16" s="8">
        <v>0</v>
      </c>
      <c r="JM16" s="8">
        <v>0</v>
      </c>
      <c r="JN16" s="8">
        <v>0</v>
      </c>
      <c r="JO16" s="8">
        <v>6.6320576633237503E-3</v>
      </c>
      <c r="JP16" s="8">
        <v>0.15124225133813429</v>
      </c>
      <c r="JQ16" s="8">
        <v>0.3455413778773162</v>
      </c>
      <c r="JR16" s="8">
        <v>0.4235588947045828</v>
      </c>
      <c r="JS16" s="8">
        <v>0.38693555484370129</v>
      </c>
      <c r="JT16" s="8">
        <v>0.2423166860877895</v>
      </c>
      <c r="JU16" s="8">
        <v>5.3808056235333912E-2</v>
      </c>
      <c r="JV16" s="7">
        <v>8.8788397226341614E-5</v>
      </c>
      <c r="JW16" s="8">
        <v>0</v>
      </c>
      <c r="JX16" s="7">
        <v>5.6649954226568888E-4</v>
      </c>
      <c r="JY16" s="8">
        <v>4.2963122144744695E-2</v>
      </c>
      <c r="JZ16" s="8">
        <v>0.21422078544182521</v>
      </c>
      <c r="KA16" s="8">
        <v>0.38381804567573047</v>
      </c>
      <c r="KB16" s="8">
        <v>0.46804254321731076</v>
      </c>
      <c r="KC16" s="8">
        <v>0.43688365521219064</v>
      </c>
      <c r="KD16" s="8">
        <v>0.30184956101014498</v>
      </c>
      <c r="KE16" s="8">
        <v>0.11031297623380183</v>
      </c>
      <c r="KF16" s="8">
        <v>5.6832621076760119E-3</v>
      </c>
      <c r="KG16" s="8">
        <v>0</v>
      </c>
      <c r="KH16" s="7">
        <v>8.2873087470615729E-5</v>
      </c>
      <c r="KI16" s="8">
        <v>2.7756584132506871E-2</v>
      </c>
      <c r="KJ16" s="8">
        <v>0.19627791837213251</v>
      </c>
      <c r="KK16" s="8">
        <v>0.36570948454656615</v>
      </c>
      <c r="KL16" s="8">
        <v>0.4402005158183499</v>
      </c>
      <c r="KM16" s="8">
        <v>0.42863120817403894</v>
      </c>
      <c r="KN16" s="8">
        <v>0.29463293478485075</v>
      </c>
      <c r="KO16" s="8">
        <v>0.1012641496033083</v>
      </c>
      <c r="KP16" s="8">
        <v>4.1906227361019083E-3</v>
      </c>
      <c r="KQ16" s="8">
        <v>0</v>
      </c>
      <c r="KR16" s="8">
        <v>0</v>
      </c>
      <c r="KS16" s="7">
        <v>1.6218249889938341E-3</v>
      </c>
      <c r="KT16" s="8">
        <v>8.8393869475497863E-2</v>
      </c>
      <c r="KU16" s="8">
        <v>0.25950505175738231</v>
      </c>
      <c r="KV16" s="8">
        <v>0.30579607774311346</v>
      </c>
      <c r="KW16" s="8">
        <v>0.26074591173124845</v>
      </c>
      <c r="KX16" s="8">
        <v>0.13420308352378926</v>
      </c>
      <c r="KY16" s="8">
        <v>1.5585329682770868E-2</v>
      </c>
      <c r="KZ16" s="8">
        <v>0</v>
      </c>
      <c r="LA16" s="8">
        <v>0</v>
      </c>
      <c r="LB16" s="8">
        <v>0</v>
      </c>
      <c r="LC16" s="8">
        <v>0</v>
      </c>
      <c r="LD16" s="8">
        <v>1.7103916081613012E-2</v>
      </c>
      <c r="LE16" s="8">
        <v>0.16968605452991883</v>
      </c>
      <c r="LF16" s="8">
        <v>0.27520867862750537</v>
      </c>
      <c r="LG16" s="8">
        <v>0.19192064802546061</v>
      </c>
      <c r="LH16" s="8">
        <v>3.990490636037422E-2</v>
      </c>
      <c r="LI16" s="8">
        <v>0</v>
      </c>
      <c r="LJ16" s="8">
        <v>0</v>
      </c>
      <c r="LL16" s="6" t="s">
        <v>299</v>
      </c>
      <c r="LM16" s="6" t="s">
        <v>160</v>
      </c>
      <c r="LN16" s="6" t="s">
        <v>161</v>
      </c>
      <c r="LO16" s="8">
        <v>0.41151791832105705</v>
      </c>
    </row>
    <row r="17" spans="2:327" x14ac:dyDescent="0.45">
      <c r="B17" s="3" t="s">
        <v>300</v>
      </c>
      <c r="C17" s="3" t="s">
        <v>151</v>
      </c>
      <c r="D17" s="5">
        <v>0</v>
      </c>
      <c r="E17" s="5">
        <v>0</v>
      </c>
      <c r="F17" s="5">
        <v>0</v>
      </c>
      <c r="G17" s="5">
        <v>0.82492384472867286</v>
      </c>
      <c r="H17" s="5">
        <v>0.4196423293162263</v>
      </c>
      <c r="I17" s="5">
        <v>0.34992110604081994</v>
      </c>
      <c r="J17" s="5">
        <v>0.35287166997653074</v>
      </c>
      <c r="K17" s="5">
        <v>0.46557635095100569</v>
      </c>
      <c r="L17" s="5">
        <v>0.89901202243585832</v>
      </c>
      <c r="M17" s="5">
        <v>0</v>
      </c>
      <c r="N17" s="5">
        <v>0</v>
      </c>
      <c r="O17" s="5">
        <v>0</v>
      </c>
      <c r="P17" s="5">
        <v>0.70693083874023344</v>
      </c>
      <c r="Q17" s="5">
        <v>0.35666116976335543</v>
      </c>
      <c r="R17" s="5">
        <v>0.23097965005930735</v>
      </c>
      <c r="S17" s="5">
        <v>0.20384711774180189</v>
      </c>
      <c r="T17" s="5">
        <v>0.20550852916751119</v>
      </c>
      <c r="U17" s="5">
        <v>0.21443384517488631</v>
      </c>
      <c r="V17" s="5">
        <v>0.43280776374559088</v>
      </c>
      <c r="W17" s="5">
        <v>0.94495767871381309</v>
      </c>
      <c r="X17" s="5">
        <v>0</v>
      </c>
      <c r="Y17" s="5">
        <v>0.75688652623895569</v>
      </c>
      <c r="Z17" s="5">
        <v>0.34048333159806193</v>
      </c>
      <c r="AA17" s="5">
        <v>0.26529637239613385</v>
      </c>
      <c r="AB17" s="5">
        <v>0.24007545314715742</v>
      </c>
      <c r="AC17" s="5">
        <v>0.19625469739770313</v>
      </c>
      <c r="AD17" s="5">
        <v>0.17936283068782916</v>
      </c>
      <c r="AE17" s="5">
        <v>0.18031531856260288</v>
      </c>
      <c r="AF17" s="5">
        <v>0.26149303326085049</v>
      </c>
      <c r="AG17" s="5">
        <v>0.61920419181186148</v>
      </c>
      <c r="AH17" s="5">
        <v>0</v>
      </c>
      <c r="AI17" s="5">
        <v>0.88681109923291512</v>
      </c>
      <c r="AJ17" s="5">
        <v>0.37771395378198258</v>
      </c>
      <c r="AK17" s="5">
        <v>0.21392086981800004</v>
      </c>
      <c r="AL17" s="5">
        <v>0.18934127888681249</v>
      </c>
      <c r="AM17" s="5">
        <v>0.18272564805242258</v>
      </c>
      <c r="AN17" s="5">
        <v>0.17294486460028061</v>
      </c>
      <c r="AO17" s="5">
        <v>0.18632852222295293</v>
      </c>
      <c r="AP17" s="5">
        <v>0.27701358404582371</v>
      </c>
      <c r="AQ17" s="5">
        <v>0.71059608665827756</v>
      </c>
      <c r="AR17" s="5">
        <v>0</v>
      </c>
      <c r="AS17" s="5">
        <v>0</v>
      </c>
      <c r="AT17" s="5">
        <v>0.85438557031347639</v>
      </c>
      <c r="AU17" s="5">
        <v>0.39174085554104293</v>
      </c>
      <c r="AV17" s="5">
        <v>0.28205149428197268</v>
      </c>
      <c r="AW17" s="5">
        <v>0.25711961075175882</v>
      </c>
      <c r="AX17" s="5">
        <v>0.27128079119633436</v>
      </c>
      <c r="AY17" s="5">
        <v>0.31348758279912708</v>
      </c>
      <c r="AZ17" s="5">
        <v>0.69326055875997894</v>
      </c>
      <c r="BA17" s="5">
        <v>0</v>
      </c>
      <c r="BB17" s="5">
        <v>0</v>
      </c>
      <c r="BC17" s="5">
        <v>0</v>
      </c>
      <c r="BD17" s="5">
        <v>0</v>
      </c>
      <c r="BE17" s="5">
        <v>0.82601592734754514</v>
      </c>
      <c r="BF17" s="5">
        <v>0.36017192723051311</v>
      </c>
      <c r="BG17" s="5">
        <v>0.27291117374814206</v>
      </c>
      <c r="BH17" s="5">
        <v>0.28454418031992895</v>
      </c>
      <c r="BI17" s="5">
        <v>0.6004936644130372</v>
      </c>
      <c r="BJ17" s="5">
        <v>0</v>
      </c>
      <c r="BK17" s="5">
        <v>0</v>
      </c>
      <c r="BM17" s="3" t="s">
        <v>300</v>
      </c>
      <c r="BN17" s="3" t="s">
        <v>152</v>
      </c>
      <c r="BO17" s="5">
        <v>0</v>
      </c>
      <c r="BP17" s="5">
        <v>0</v>
      </c>
      <c r="BQ17" s="5">
        <v>0</v>
      </c>
      <c r="BR17" s="5">
        <v>0.70585370021141725</v>
      </c>
      <c r="BS17" s="5">
        <v>0.26830620500010405</v>
      </c>
      <c r="BT17" s="5">
        <v>0.20671443408595336</v>
      </c>
      <c r="BU17" s="4">
        <v>4.3293025812330889E-2</v>
      </c>
      <c r="BV17" s="5">
        <v>5.9426434924170886E-2</v>
      </c>
      <c r="BW17" s="5">
        <v>8.8706898442975496E-2</v>
      </c>
      <c r="BX17" s="5">
        <v>0</v>
      </c>
      <c r="BY17" s="5">
        <v>0</v>
      </c>
      <c r="BZ17" s="4">
        <v>0</v>
      </c>
      <c r="CA17" s="5">
        <v>0.56845622141711993</v>
      </c>
      <c r="CB17" s="5">
        <v>0.22636570472692971</v>
      </c>
      <c r="CC17" s="5">
        <v>0.11800680331343417</v>
      </c>
      <c r="CD17" s="4">
        <v>0.10748985568289446</v>
      </c>
      <c r="CE17" s="4">
        <v>3.651210229069924E-2</v>
      </c>
      <c r="CF17" s="4">
        <v>3.521976911259999E-2</v>
      </c>
      <c r="CG17" s="5">
        <v>0.13691690236555393</v>
      </c>
      <c r="CH17" s="5">
        <v>0.89914102259431916</v>
      </c>
      <c r="CI17" s="5">
        <v>0</v>
      </c>
      <c r="CJ17" s="5">
        <v>0.60707245017857692</v>
      </c>
      <c r="CK17" s="4">
        <v>0.23150170905196024</v>
      </c>
      <c r="CL17" s="4">
        <v>0.16190463684486595</v>
      </c>
      <c r="CM17" s="5">
        <v>0.13410939279885367</v>
      </c>
      <c r="CN17" s="5">
        <v>3.521546321865876E-2</v>
      </c>
      <c r="CO17" s="5">
        <v>1.4940002659153188E-2</v>
      </c>
      <c r="CP17" s="5">
        <v>2.2869214354513043E-2</v>
      </c>
      <c r="CQ17" s="5">
        <v>4.7946649911148102E-2</v>
      </c>
      <c r="CR17" s="5">
        <v>0.45725148302306406</v>
      </c>
      <c r="CS17" s="5">
        <v>0</v>
      </c>
      <c r="CT17" s="4">
        <v>0.79635413125767573</v>
      </c>
      <c r="CU17" s="5">
        <v>0.25099570019292727</v>
      </c>
      <c r="CV17" s="5">
        <v>0.13361771993890137</v>
      </c>
      <c r="CW17" s="5">
        <v>0.10152932904303948</v>
      </c>
      <c r="CX17" s="5">
        <v>4.6274266258053497E-2</v>
      </c>
      <c r="CY17" s="5">
        <v>2.6094740243801099E-2</v>
      </c>
      <c r="CZ17" s="5">
        <v>2.6047225887223212E-2</v>
      </c>
      <c r="DA17" s="5">
        <v>5.5314679828743364E-2</v>
      </c>
      <c r="DB17" s="4">
        <v>0.48560278007823704</v>
      </c>
      <c r="DC17" s="5">
        <v>0</v>
      </c>
      <c r="DD17" s="5">
        <v>0</v>
      </c>
      <c r="DE17" s="5">
        <v>0.74323498202379124</v>
      </c>
      <c r="DF17" s="5">
        <v>0.26782769368971682</v>
      </c>
      <c r="DG17" s="5">
        <v>0.16152942990111496</v>
      </c>
      <c r="DH17" s="5">
        <v>0.10568121925497471</v>
      </c>
      <c r="DI17" s="5">
        <v>6.2973819041612658E-2</v>
      </c>
      <c r="DJ17" s="5">
        <v>8.1980579257125943E-2</v>
      </c>
      <c r="DK17" s="5">
        <v>0.1727539088481797</v>
      </c>
      <c r="DL17" s="5">
        <v>0</v>
      </c>
      <c r="DM17" s="5">
        <v>0</v>
      </c>
      <c r="DN17" s="5">
        <v>0</v>
      </c>
      <c r="DO17" s="5">
        <v>0</v>
      </c>
      <c r="DP17" s="5">
        <v>0.69737410259669819</v>
      </c>
      <c r="DQ17" s="5">
        <v>0.22979646605417103</v>
      </c>
      <c r="DR17" s="5">
        <v>0.15399632744115915</v>
      </c>
      <c r="DS17" s="5">
        <v>6.3992515938314606E-2</v>
      </c>
      <c r="DT17" s="5">
        <v>0.15645398064109808</v>
      </c>
      <c r="DU17" s="4">
        <v>0</v>
      </c>
      <c r="DV17" s="5">
        <v>0</v>
      </c>
      <c r="DX17" s="3" t="s">
        <v>300</v>
      </c>
      <c r="DY17" s="3" t="s">
        <v>153</v>
      </c>
      <c r="DZ17" s="5">
        <v>0</v>
      </c>
      <c r="EA17" s="5">
        <v>0</v>
      </c>
      <c r="EB17" s="4">
        <v>0</v>
      </c>
      <c r="EC17" s="5">
        <v>0</v>
      </c>
      <c r="ED17" s="5">
        <v>0</v>
      </c>
      <c r="EE17" s="5">
        <v>0</v>
      </c>
      <c r="EF17" s="4">
        <v>0.17107872365373417</v>
      </c>
      <c r="EG17" s="5">
        <v>0.25591736158405848</v>
      </c>
      <c r="EH17" s="5">
        <v>0.72649891851157367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1.1348347197638326E-2</v>
      </c>
      <c r="EP17" s="5">
        <v>8.1670782550231871E-2</v>
      </c>
      <c r="EQ17" s="5">
        <v>9.3314162870581002E-2</v>
      </c>
      <c r="ER17" s="5">
        <v>0.11989510316223266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7.0914581087146919E-2</v>
      </c>
      <c r="EZ17" s="5">
        <v>8.0515361213180967E-2</v>
      </c>
      <c r="FA17" s="5">
        <v>7.1485365191106848E-2</v>
      </c>
      <c r="FB17" s="5">
        <v>4.4104306192224399E-2</v>
      </c>
      <c r="FC17" s="5">
        <v>0</v>
      </c>
      <c r="FD17" s="5">
        <v>0</v>
      </c>
      <c r="FE17" s="4">
        <v>0</v>
      </c>
      <c r="FF17" s="5">
        <v>0</v>
      </c>
      <c r="FG17" s="5">
        <v>0</v>
      </c>
      <c r="FH17" s="5">
        <v>6.2218591767945345E-3</v>
      </c>
      <c r="FI17" s="5">
        <v>5.3026156022752229E-2</v>
      </c>
      <c r="FJ17" s="5">
        <v>7.1401628693495034E-2</v>
      </c>
      <c r="FK17" s="5">
        <v>6.3145912398300599E-2</v>
      </c>
      <c r="FL17" s="5">
        <v>4.4907416088620755E-2</v>
      </c>
      <c r="FM17" s="5">
        <v>2.0957492379572489E-2</v>
      </c>
      <c r="FN17" s="5">
        <v>0</v>
      </c>
      <c r="FO17" s="5">
        <v>0</v>
      </c>
      <c r="FP17" s="5">
        <v>0</v>
      </c>
      <c r="FQ17" s="5">
        <v>0</v>
      </c>
      <c r="FR17" s="5">
        <v>0</v>
      </c>
      <c r="FS17" s="5">
        <v>4.8045350187654559E-2</v>
      </c>
      <c r="FT17" s="5">
        <v>0.10902031042821539</v>
      </c>
      <c r="FU17" s="5">
        <v>0.1007253469838837</v>
      </c>
      <c r="FV17" s="5">
        <v>0.21815237408759475</v>
      </c>
      <c r="FW17" s="5">
        <v>0</v>
      </c>
      <c r="FX17" s="5">
        <v>0</v>
      </c>
      <c r="FY17" s="5">
        <v>0</v>
      </c>
      <c r="FZ17" s="5">
        <v>0</v>
      </c>
      <c r="GA17" s="5">
        <v>0</v>
      </c>
      <c r="GB17" s="5">
        <v>0</v>
      </c>
      <c r="GC17" s="5">
        <v>0</v>
      </c>
      <c r="GD17" s="5">
        <v>0.1002081984681433</v>
      </c>
      <c r="GE17" s="5">
        <v>0.25280670452616261</v>
      </c>
      <c r="GF17" s="5">
        <v>0</v>
      </c>
      <c r="GG17" s="5">
        <v>0</v>
      </c>
      <c r="GI17" s="3" t="s">
        <v>300</v>
      </c>
      <c r="GJ17" s="3" t="s">
        <v>154</v>
      </c>
      <c r="GK17" s="5">
        <v>0</v>
      </c>
      <c r="GL17" s="5">
        <v>0</v>
      </c>
      <c r="GM17" s="5">
        <v>0</v>
      </c>
      <c r="GN17" s="5">
        <v>0</v>
      </c>
      <c r="GO17" s="5">
        <v>0</v>
      </c>
      <c r="GP17" s="5">
        <v>0</v>
      </c>
      <c r="GQ17" s="5">
        <v>0</v>
      </c>
      <c r="GR17" s="5">
        <v>0</v>
      </c>
      <c r="GS17" s="5">
        <v>0</v>
      </c>
      <c r="GT17" s="5">
        <v>0</v>
      </c>
      <c r="GU17" s="5">
        <v>0</v>
      </c>
      <c r="GV17" s="5">
        <v>0</v>
      </c>
      <c r="GW17" s="5">
        <v>0</v>
      </c>
      <c r="GX17" s="5">
        <v>0</v>
      </c>
      <c r="GY17" s="5">
        <v>0</v>
      </c>
      <c r="GZ17" s="5">
        <v>0</v>
      </c>
      <c r="HA17" s="5">
        <v>0</v>
      </c>
      <c r="HB17" s="4">
        <v>5.1978224378641303E-4</v>
      </c>
      <c r="HC17" s="5">
        <v>3.1881398643096338E-2</v>
      </c>
      <c r="HD17" s="5">
        <v>0</v>
      </c>
      <c r="HE17" s="5">
        <v>0</v>
      </c>
      <c r="HF17" s="5">
        <v>0</v>
      </c>
      <c r="HG17" s="5">
        <v>0</v>
      </c>
      <c r="HH17" s="5">
        <v>0</v>
      </c>
      <c r="HI17" s="5">
        <v>0</v>
      </c>
      <c r="HJ17" s="5">
        <v>0</v>
      </c>
      <c r="HK17" s="5">
        <v>0</v>
      </c>
      <c r="HL17" s="4">
        <v>1.0201432417499363E-2</v>
      </c>
      <c r="HM17" s="5">
        <v>7.5930217573808065E-2</v>
      </c>
      <c r="HN17" s="5">
        <v>0</v>
      </c>
      <c r="HO17" s="5">
        <v>0</v>
      </c>
      <c r="HP17" s="5">
        <v>0</v>
      </c>
      <c r="HQ17" s="5">
        <v>0</v>
      </c>
      <c r="HR17" s="5">
        <v>0</v>
      </c>
      <c r="HS17" s="5">
        <v>0</v>
      </c>
      <c r="HT17" s="5">
        <v>0</v>
      </c>
      <c r="HU17" s="5">
        <v>0</v>
      </c>
      <c r="HV17" s="5">
        <v>1.9816081626099269E-2</v>
      </c>
      <c r="HW17" s="5">
        <v>8.0639025945765566E-2</v>
      </c>
      <c r="HX17" s="5">
        <v>5.7603065583622257E-2</v>
      </c>
      <c r="HY17" s="5">
        <v>0</v>
      </c>
      <c r="HZ17" s="5">
        <v>0</v>
      </c>
      <c r="IA17" s="5">
        <v>0</v>
      </c>
      <c r="IB17" s="5">
        <v>0</v>
      </c>
      <c r="IC17" s="5">
        <v>0</v>
      </c>
      <c r="ID17" s="5">
        <v>0</v>
      </c>
      <c r="IE17" s="5">
        <v>0</v>
      </c>
      <c r="IF17" s="5">
        <v>1.087314210668454E-2</v>
      </c>
      <c r="IG17" s="5">
        <v>0.15192310789663196</v>
      </c>
      <c r="IH17" s="5">
        <v>0</v>
      </c>
      <c r="II17" s="5">
        <v>0</v>
      </c>
      <c r="IJ17" s="5">
        <v>0</v>
      </c>
      <c r="IK17" s="5">
        <v>0</v>
      </c>
      <c r="IL17" s="5">
        <v>0</v>
      </c>
      <c r="IM17" s="5">
        <v>0</v>
      </c>
      <c r="IN17" s="5">
        <v>0</v>
      </c>
      <c r="IO17" s="5">
        <v>0</v>
      </c>
      <c r="IP17" s="5">
        <v>0</v>
      </c>
      <c r="IQ17" s="5">
        <v>0</v>
      </c>
      <c r="IR17" s="5">
        <v>0</v>
      </c>
      <c r="JB17" s="3" t="s">
        <v>300</v>
      </c>
      <c r="JC17" s="5">
        <v>0</v>
      </c>
      <c r="JD17" s="5">
        <v>0</v>
      </c>
      <c r="JE17" s="5">
        <v>0</v>
      </c>
      <c r="JF17" s="5">
        <v>1.3633369693512637E-2</v>
      </c>
      <c r="JG17" s="5">
        <v>0.13482040906369866</v>
      </c>
      <c r="JH17" s="5">
        <v>0.23148154277325567</v>
      </c>
      <c r="JI17" s="5">
        <v>0.20747216319331729</v>
      </c>
      <c r="JJ17" s="5">
        <v>8.9411781737649548E-2</v>
      </c>
      <c r="JK17" s="5">
        <v>4.1722322459081156E-3</v>
      </c>
      <c r="JL17" s="5">
        <v>0</v>
      </c>
      <c r="JM17" s="5">
        <v>0</v>
      </c>
      <c r="JN17" s="5">
        <v>0</v>
      </c>
      <c r="JO17" s="5">
        <v>6.4241823058948412E-3</v>
      </c>
      <c r="JP17" s="5">
        <v>0.14409254043669362</v>
      </c>
      <c r="JQ17" s="5">
        <v>0.33054265410310918</v>
      </c>
      <c r="JR17" s="5">
        <v>0.39446470988412025</v>
      </c>
      <c r="JS17" s="5">
        <v>0.36634791587747845</v>
      </c>
      <c r="JT17" s="5">
        <v>0.23435973652253159</v>
      </c>
      <c r="JU17" s="5">
        <v>5.449073138642585E-2</v>
      </c>
      <c r="JV17" s="4">
        <v>1.2349044736501821E-4</v>
      </c>
      <c r="JW17" s="5">
        <v>0</v>
      </c>
      <c r="JX17" s="4">
        <v>7.2568528198893459E-4</v>
      </c>
      <c r="JY17" s="5">
        <v>4.0829118991969338E-2</v>
      </c>
      <c r="JZ17" s="5">
        <v>0.19397722115533791</v>
      </c>
      <c r="KA17" s="5">
        <v>0.34590688767077865</v>
      </c>
      <c r="KB17" s="5">
        <v>0.42584397871261614</v>
      </c>
      <c r="KC17" s="5">
        <v>0.40136019244581839</v>
      </c>
      <c r="KD17" s="5">
        <v>0.28641922581264612</v>
      </c>
      <c r="KE17" s="5">
        <v>0.10917999595706612</v>
      </c>
      <c r="KF17" s="5">
        <v>6.2869948600521829E-3</v>
      </c>
      <c r="KG17" s="5">
        <v>0</v>
      </c>
      <c r="KH17" s="4">
        <v>1.3085697252196172E-4</v>
      </c>
      <c r="KI17" s="5">
        <v>2.8493221048505706E-2</v>
      </c>
      <c r="KJ17" s="5">
        <v>0.18331990492893116</v>
      </c>
      <c r="KK17" s="5">
        <v>0.34273780260816455</v>
      </c>
      <c r="KL17" s="5">
        <v>0.41788327013253818</v>
      </c>
      <c r="KM17" s="5">
        <v>0.39444151665816779</v>
      </c>
      <c r="KN17" s="5">
        <v>0.27737492413801551</v>
      </c>
      <c r="KO17" s="5">
        <v>9.5890851074578717E-2</v>
      </c>
      <c r="KP17" s="5">
        <v>4.442338662396606E-3</v>
      </c>
      <c r="KQ17" s="5">
        <v>0</v>
      </c>
      <c r="KR17" s="5">
        <v>0</v>
      </c>
      <c r="KS17" s="4">
        <v>1.4802069427911038E-3</v>
      </c>
      <c r="KT17" s="5">
        <v>8.3553559976965938E-2</v>
      </c>
      <c r="KU17" s="5">
        <v>0.22907102381961336</v>
      </c>
      <c r="KV17" s="5">
        <v>0.28025751912050467</v>
      </c>
      <c r="KW17" s="5">
        <v>0.24743106869240111</v>
      </c>
      <c r="KX17" s="5">
        <v>0.13355930439020997</v>
      </c>
      <c r="KY17" s="5">
        <v>1.4897318415488804E-2</v>
      </c>
      <c r="KZ17" s="5">
        <v>0</v>
      </c>
      <c r="LA17" s="5">
        <v>0</v>
      </c>
      <c r="LB17" s="5">
        <v>0</v>
      </c>
      <c r="LC17" s="5">
        <v>0</v>
      </c>
      <c r="LD17" s="5">
        <v>1.2966764773019758E-2</v>
      </c>
      <c r="LE17" s="5">
        <v>0.14088678395969217</v>
      </c>
      <c r="LF17" s="5">
        <v>0.24823439171560038</v>
      </c>
      <c r="LG17" s="5">
        <v>0.18722099175139981</v>
      </c>
      <c r="LH17" s="5">
        <v>3.7433006216108893E-2</v>
      </c>
      <c r="LI17" s="5">
        <v>0</v>
      </c>
      <c r="LJ17" s="5">
        <v>0</v>
      </c>
      <c r="LL17" s="3" t="s">
        <v>300</v>
      </c>
      <c r="LM17" s="3" t="s">
        <v>160</v>
      </c>
      <c r="LN17" s="3" t="s">
        <v>161</v>
      </c>
      <c r="LO17" s="5">
        <v>0.3811807990551011</v>
      </c>
    </row>
    <row r="18" spans="2:327" x14ac:dyDescent="0.45">
      <c r="B18" s="6" t="s">
        <v>301</v>
      </c>
      <c r="C18" s="6" t="s">
        <v>151</v>
      </c>
      <c r="D18" s="8">
        <v>0</v>
      </c>
      <c r="E18" s="8">
        <v>0</v>
      </c>
      <c r="F18" s="8">
        <v>0</v>
      </c>
      <c r="G18" s="8">
        <v>0.81309271391243809</v>
      </c>
      <c r="H18" s="8">
        <v>0.41329299686151028</v>
      </c>
      <c r="I18" s="8">
        <v>0.35301677456261621</v>
      </c>
      <c r="J18" s="8">
        <v>0.34713009579586296</v>
      </c>
      <c r="K18" s="8">
        <v>0.46582302462155567</v>
      </c>
      <c r="L18" s="8">
        <v>0.90677966101694918</v>
      </c>
      <c r="M18" s="8">
        <v>0</v>
      </c>
      <c r="N18" s="8">
        <v>0</v>
      </c>
      <c r="O18" s="8">
        <v>0</v>
      </c>
      <c r="P18" s="8">
        <v>0.69651546399551101</v>
      </c>
      <c r="Q18" s="8">
        <v>0.33777730798248834</v>
      </c>
      <c r="R18" s="8">
        <v>0.2283215006198839</v>
      </c>
      <c r="S18" s="8">
        <v>0.20238047645980523</v>
      </c>
      <c r="T18" s="8">
        <v>0.20212250358506162</v>
      </c>
      <c r="U18" s="8">
        <v>0.2112163919651629</v>
      </c>
      <c r="V18" s="8">
        <v>0.44231026150926761</v>
      </c>
      <c r="W18" s="8">
        <v>0.94694694406086788</v>
      </c>
      <c r="X18" s="8">
        <v>0</v>
      </c>
      <c r="Y18" s="8">
        <v>0.72216590168152495</v>
      </c>
      <c r="Z18" s="8">
        <v>0.33206418280056182</v>
      </c>
      <c r="AA18" s="8">
        <v>0.24805692481615974</v>
      </c>
      <c r="AB18" s="8">
        <v>0.22800426737210169</v>
      </c>
      <c r="AC18" s="8">
        <v>0.19449864710445022</v>
      </c>
      <c r="AD18" s="8">
        <v>0.17272947343893499</v>
      </c>
      <c r="AE18" s="8">
        <v>0.17410837536397342</v>
      </c>
      <c r="AF18" s="8">
        <v>0.26257216137107647</v>
      </c>
      <c r="AG18" s="8">
        <v>0.62583209414796392</v>
      </c>
      <c r="AH18" s="8">
        <v>0</v>
      </c>
      <c r="AI18" s="8">
        <v>0.87562671236817602</v>
      </c>
      <c r="AJ18" s="8">
        <v>0.36956110358072986</v>
      </c>
      <c r="AK18" s="8">
        <v>0.20189915239771378</v>
      </c>
      <c r="AL18" s="8">
        <v>0.16585869748099921</v>
      </c>
      <c r="AM18" s="8">
        <v>0.16310833655141307</v>
      </c>
      <c r="AN18" s="8">
        <v>0.1633176781082466</v>
      </c>
      <c r="AO18" s="8">
        <v>0.1759591187846325</v>
      </c>
      <c r="AP18" s="8">
        <v>0.2779012477111843</v>
      </c>
      <c r="AQ18" s="8">
        <v>0.71499438300475271</v>
      </c>
      <c r="AR18" s="8">
        <v>0</v>
      </c>
      <c r="AS18" s="8">
        <v>0</v>
      </c>
      <c r="AT18" s="8">
        <v>0.83735801666851195</v>
      </c>
      <c r="AU18" s="8">
        <v>0.37271994320829732</v>
      </c>
      <c r="AV18" s="8">
        <v>0.26360655065135602</v>
      </c>
      <c r="AW18" s="8">
        <v>0.24345752550261832</v>
      </c>
      <c r="AX18" s="8">
        <v>0.27195465727579848</v>
      </c>
      <c r="AY18" s="8">
        <v>0.32020514947605427</v>
      </c>
      <c r="AZ18" s="8">
        <v>0.69771234089683509</v>
      </c>
      <c r="BA18" s="8">
        <v>0</v>
      </c>
      <c r="BB18" s="8">
        <v>0</v>
      </c>
      <c r="BC18" s="8">
        <v>0</v>
      </c>
      <c r="BD18" s="8">
        <v>0</v>
      </c>
      <c r="BE18" s="8">
        <v>0.81378994699041751</v>
      </c>
      <c r="BF18" s="8">
        <v>0.34662749497912954</v>
      </c>
      <c r="BG18" s="8">
        <v>0.25502066209972446</v>
      </c>
      <c r="BH18" s="8">
        <v>0.27609321642790707</v>
      </c>
      <c r="BI18" s="8">
        <v>0.60374807255791529</v>
      </c>
      <c r="BJ18" s="8">
        <v>0</v>
      </c>
      <c r="BK18" s="8">
        <v>0</v>
      </c>
      <c r="BM18" s="6" t="s">
        <v>301</v>
      </c>
      <c r="BN18" s="6" t="s">
        <v>152</v>
      </c>
      <c r="BO18" s="8">
        <v>0</v>
      </c>
      <c r="BP18" s="8">
        <v>0</v>
      </c>
      <c r="BQ18" s="8">
        <v>0</v>
      </c>
      <c r="BR18" s="8">
        <v>0.68588780980929076</v>
      </c>
      <c r="BS18" s="8">
        <v>0.25595775293255607</v>
      </c>
      <c r="BT18" s="8">
        <v>0.2060393484046705</v>
      </c>
      <c r="BU18" s="7">
        <v>5.2089533124384066E-2</v>
      </c>
      <c r="BV18" s="8">
        <v>6.2132950382407258E-2</v>
      </c>
      <c r="BW18" s="8">
        <v>0.1705820326377224</v>
      </c>
      <c r="BX18" s="8">
        <v>0</v>
      </c>
      <c r="BY18" s="8">
        <v>0</v>
      </c>
      <c r="BZ18" s="7">
        <v>0</v>
      </c>
      <c r="CA18" s="8">
        <v>0.55377076328329056</v>
      </c>
      <c r="CB18" s="8">
        <v>0.21291191975792687</v>
      </c>
      <c r="CC18" s="8">
        <v>0.11708029289672886</v>
      </c>
      <c r="CD18" s="7">
        <v>8.5529717091570076E-2</v>
      </c>
      <c r="CE18" s="7">
        <v>3.6792766302584816E-2</v>
      </c>
      <c r="CF18" s="7">
        <v>2.4647990782889911E-2</v>
      </c>
      <c r="CG18" s="8">
        <v>0.11412318937405851</v>
      </c>
      <c r="CH18" s="8">
        <v>0.9003757828775466</v>
      </c>
      <c r="CI18" s="8">
        <v>0</v>
      </c>
      <c r="CJ18" s="8">
        <v>0.56373563727879594</v>
      </c>
      <c r="CK18" s="7">
        <v>0.22703477182842532</v>
      </c>
      <c r="CL18" s="7">
        <v>0.14999678892702253</v>
      </c>
      <c r="CM18" s="8">
        <v>0.12791631273735557</v>
      </c>
      <c r="CN18" s="8">
        <v>3.2932495628324759E-2</v>
      </c>
      <c r="CO18" s="8">
        <v>1.670849756463965E-2</v>
      </c>
      <c r="CP18" s="8">
        <v>2.3741839705277712E-2</v>
      </c>
      <c r="CQ18" s="8">
        <v>5.6370345298492344E-2</v>
      </c>
      <c r="CR18" s="8">
        <v>0.46246176487146778</v>
      </c>
      <c r="CS18" s="8">
        <v>0</v>
      </c>
      <c r="CT18" s="7">
        <v>0.77469412157800122</v>
      </c>
      <c r="CU18" s="8">
        <v>0.24045561729996109</v>
      </c>
      <c r="CV18" s="8">
        <v>0.12504631454599288</v>
      </c>
      <c r="CW18" s="8">
        <v>9.7251805875311695E-2</v>
      </c>
      <c r="CX18" s="8">
        <v>4.6493229403253011E-2</v>
      </c>
      <c r="CY18" s="8">
        <v>2.3130470454148594E-2</v>
      </c>
      <c r="CZ18" s="8">
        <v>2.6542746675350462E-2</v>
      </c>
      <c r="DA18" s="8">
        <v>7.148679308554852E-2</v>
      </c>
      <c r="DB18" s="7">
        <v>0.5736819169645665</v>
      </c>
      <c r="DC18" s="8">
        <v>0</v>
      </c>
      <c r="DD18" s="8">
        <v>0</v>
      </c>
      <c r="DE18" s="8">
        <v>0.72228136200398085</v>
      </c>
      <c r="DF18" s="8">
        <v>0.25553741492782445</v>
      </c>
      <c r="DG18" s="8">
        <v>0.14656178748537352</v>
      </c>
      <c r="DH18" s="8">
        <v>8.9767186201134358E-2</v>
      </c>
      <c r="DI18" s="8">
        <v>4.5020957332487545E-2</v>
      </c>
      <c r="DJ18" s="8">
        <v>7.6815223893857518E-2</v>
      </c>
      <c r="DK18" s="8">
        <v>0.21695534766164401</v>
      </c>
      <c r="DL18" s="8">
        <v>0</v>
      </c>
      <c r="DM18" s="8">
        <v>0</v>
      </c>
      <c r="DN18" s="8">
        <v>0</v>
      </c>
      <c r="DO18" s="8">
        <v>0</v>
      </c>
      <c r="DP18" s="8">
        <v>0.67625160276546881</v>
      </c>
      <c r="DQ18" s="8">
        <v>0.22156263628194858</v>
      </c>
      <c r="DR18" s="8">
        <v>0.14328044610092205</v>
      </c>
      <c r="DS18" s="8">
        <v>7.1947515904062537E-2</v>
      </c>
      <c r="DT18" s="8">
        <v>0.14068097231380786</v>
      </c>
      <c r="DU18" s="7">
        <v>0</v>
      </c>
      <c r="DV18" s="8">
        <v>0</v>
      </c>
      <c r="DX18" s="6" t="s">
        <v>301</v>
      </c>
      <c r="DY18" s="6" t="s">
        <v>153</v>
      </c>
      <c r="DZ18" s="8">
        <v>0</v>
      </c>
      <c r="EA18" s="8">
        <v>0</v>
      </c>
      <c r="EB18" s="7">
        <v>0</v>
      </c>
      <c r="EC18" s="8">
        <v>0</v>
      </c>
      <c r="ED18" s="8">
        <v>0</v>
      </c>
      <c r="EE18" s="8">
        <v>0</v>
      </c>
      <c r="EF18" s="7">
        <v>0.15385884099462691</v>
      </c>
      <c r="EG18" s="8">
        <v>0.24864083129289308</v>
      </c>
      <c r="EH18" s="8">
        <v>0.65709909759658236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2.5274817633828113E-2</v>
      </c>
      <c r="EP18" s="8">
        <v>7.5340642676856348E-2</v>
      </c>
      <c r="EQ18" s="8">
        <v>9.8139767684083321E-2</v>
      </c>
      <c r="ER18" s="8">
        <v>0.12372466089273923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7.2067562654698894E-2</v>
      </c>
      <c r="EZ18" s="8">
        <v>7.8886019799415799E-2</v>
      </c>
      <c r="FA18" s="8">
        <v>6.7457275652362134E-2</v>
      </c>
      <c r="FB18" s="8">
        <v>2.882885766767063E-2</v>
      </c>
      <c r="FC18" s="8">
        <v>0</v>
      </c>
      <c r="FD18" s="8">
        <v>0</v>
      </c>
      <c r="FE18" s="7">
        <v>0</v>
      </c>
      <c r="FF18" s="8">
        <v>0</v>
      </c>
      <c r="FG18" s="8">
        <v>0</v>
      </c>
      <c r="FH18" s="8">
        <v>0</v>
      </c>
      <c r="FI18" s="8">
        <v>4.5605395027753959E-2</v>
      </c>
      <c r="FJ18" s="8">
        <v>6.8194643328997134E-2</v>
      </c>
      <c r="FK18" s="8">
        <v>7.1186139778482288E-2</v>
      </c>
      <c r="FL18" s="8">
        <v>3.6971716411203018E-2</v>
      </c>
      <c r="FM18" s="8">
        <v>0</v>
      </c>
      <c r="FN18" s="8">
        <v>0</v>
      </c>
      <c r="FO18" s="8">
        <v>0</v>
      </c>
      <c r="FP18" s="8">
        <v>0</v>
      </c>
      <c r="FQ18" s="8">
        <v>0</v>
      </c>
      <c r="FR18" s="8">
        <v>0</v>
      </c>
      <c r="FS18" s="8">
        <v>5.3188517932988615E-2</v>
      </c>
      <c r="FT18" s="8">
        <v>0.11866905466364955</v>
      </c>
      <c r="FU18" s="8">
        <v>0.11584014413212818</v>
      </c>
      <c r="FV18" s="8">
        <v>0.16271245115478938</v>
      </c>
      <c r="FW18" s="8">
        <v>0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0</v>
      </c>
      <c r="GD18" s="8">
        <v>8.9879863271550758E-2</v>
      </c>
      <c r="GE18" s="8">
        <v>0.28334798062764088</v>
      </c>
      <c r="GF18" s="8">
        <v>0</v>
      </c>
      <c r="GG18" s="8">
        <v>0</v>
      </c>
      <c r="GI18" s="6" t="s">
        <v>301</v>
      </c>
      <c r="GJ18" s="6" t="s">
        <v>154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0</v>
      </c>
      <c r="GT18" s="8">
        <v>0</v>
      </c>
      <c r="GU18" s="8">
        <v>0</v>
      </c>
      <c r="GV18" s="8">
        <v>0</v>
      </c>
      <c r="GW18" s="8">
        <v>0</v>
      </c>
      <c r="GX18" s="8">
        <v>0</v>
      </c>
      <c r="GY18" s="8">
        <v>0</v>
      </c>
      <c r="GZ18" s="8">
        <v>0</v>
      </c>
      <c r="HA18" s="8">
        <v>0</v>
      </c>
      <c r="HB18" s="7">
        <v>2.2527451382358273E-3</v>
      </c>
      <c r="HC18" s="8">
        <v>5.2088812202797596E-2</v>
      </c>
      <c r="HD18" s="8">
        <v>0</v>
      </c>
      <c r="HE18" s="8">
        <v>0</v>
      </c>
      <c r="HF18" s="8">
        <v>0</v>
      </c>
      <c r="HG18" s="8">
        <v>0</v>
      </c>
      <c r="HH18" s="8">
        <v>0</v>
      </c>
      <c r="HI18" s="8">
        <v>0</v>
      </c>
      <c r="HJ18" s="8">
        <v>0</v>
      </c>
      <c r="HK18" s="8">
        <v>0</v>
      </c>
      <c r="HL18" s="7">
        <v>9.077740756867566E-3</v>
      </c>
      <c r="HM18" s="8">
        <v>8.0277347449489E-2</v>
      </c>
      <c r="HN18" s="8">
        <v>0</v>
      </c>
      <c r="HO18" s="8">
        <v>0</v>
      </c>
      <c r="HP18" s="8">
        <v>0</v>
      </c>
      <c r="HQ18" s="8">
        <v>0</v>
      </c>
      <c r="HR18" s="8">
        <v>0</v>
      </c>
      <c r="HS18" s="8">
        <v>0</v>
      </c>
      <c r="HT18" s="8">
        <v>0</v>
      </c>
      <c r="HU18" s="8">
        <v>0</v>
      </c>
      <c r="HV18" s="8">
        <v>3.7478680432487992E-3</v>
      </c>
      <c r="HW18" s="8">
        <v>7.6906496307526384E-2</v>
      </c>
      <c r="HX18" s="8">
        <v>0</v>
      </c>
      <c r="HY18" s="8">
        <v>0</v>
      </c>
      <c r="HZ18" s="8">
        <v>0</v>
      </c>
      <c r="IA18" s="8">
        <v>0</v>
      </c>
      <c r="IB18" s="8">
        <v>0</v>
      </c>
      <c r="IC18" s="8">
        <v>0</v>
      </c>
      <c r="ID18" s="8">
        <v>0</v>
      </c>
      <c r="IE18" s="8">
        <v>0</v>
      </c>
      <c r="IF18" s="8">
        <v>9.8811933749133295E-3</v>
      </c>
      <c r="IG18" s="8">
        <v>0.17166718714444265</v>
      </c>
      <c r="IH18" s="8">
        <v>0</v>
      </c>
      <c r="II18" s="8">
        <v>0</v>
      </c>
      <c r="IJ18" s="8">
        <v>0</v>
      </c>
      <c r="IK18" s="8">
        <v>0</v>
      </c>
      <c r="IL18" s="8">
        <v>0</v>
      </c>
      <c r="IM18" s="8">
        <v>0</v>
      </c>
      <c r="IN18" s="8">
        <v>0</v>
      </c>
      <c r="IO18" s="8">
        <v>0</v>
      </c>
      <c r="IP18" s="8">
        <v>0</v>
      </c>
      <c r="IQ18" s="8">
        <v>0</v>
      </c>
      <c r="IR18" s="8">
        <v>0</v>
      </c>
      <c r="JB18" s="6" t="s">
        <v>301</v>
      </c>
      <c r="JC18" s="8">
        <v>0</v>
      </c>
      <c r="JD18" s="8">
        <v>0</v>
      </c>
      <c r="JE18" s="8">
        <v>0</v>
      </c>
      <c r="JF18" s="8">
        <v>1.5781309733616782E-2</v>
      </c>
      <c r="JG18" s="8">
        <v>0.14529431039440049</v>
      </c>
      <c r="JH18" s="8">
        <v>0.23546818331857372</v>
      </c>
      <c r="JI18" s="8">
        <v>0.21046510303825067</v>
      </c>
      <c r="JJ18" s="8">
        <v>8.5244756698506521E-2</v>
      </c>
      <c r="JK18" s="8">
        <v>3.3303494839438904E-3</v>
      </c>
      <c r="JL18" s="8">
        <v>0</v>
      </c>
      <c r="JM18" s="8">
        <v>0</v>
      </c>
      <c r="JN18" s="8">
        <v>0</v>
      </c>
      <c r="JO18" s="8">
        <v>7.4760076630773576E-3</v>
      </c>
      <c r="JP18" s="8">
        <v>0.14679754045789953</v>
      </c>
      <c r="JQ18" s="8">
        <v>0.33916055948286228</v>
      </c>
      <c r="JR18" s="8">
        <v>0.41487408533157039</v>
      </c>
      <c r="JS18" s="8">
        <v>0.3758027483405797</v>
      </c>
      <c r="JT18" s="8">
        <v>0.23654284838237377</v>
      </c>
      <c r="JU18" s="8">
        <v>5.2533218550691776E-2</v>
      </c>
      <c r="JV18" s="7">
        <v>9.9574957667467929E-5</v>
      </c>
      <c r="JW18" s="8">
        <v>0</v>
      </c>
      <c r="JX18" s="7">
        <v>9.1748854430156242E-4</v>
      </c>
      <c r="JY18" s="8">
        <v>4.4307168056406263E-2</v>
      </c>
      <c r="JZ18" s="8">
        <v>0.20594184339029634</v>
      </c>
      <c r="KA18" s="8">
        <v>0.36403647160614483</v>
      </c>
      <c r="KB18" s="8">
        <v>0.44022288401196247</v>
      </c>
      <c r="KC18" s="8">
        <v>0.41598263821747056</v>
      </c>
      <c r="KD18" s="8">
        <v>0.2963871584688233</v>
      </c>
      <c r="KE18" s="8">
        <v>0.10852836433652543</v>
      </c>
      <c r="KF18" s="8">
        <v>6.0714616061316277E-3</v>
      </c>
      <c r="KG18" s="8">
        <v>0</v>
      </c>
      <c r="KH18" s="7">
        <v>2.1238509792268035E-4</v>
      </c>
      <c r="KI18" s="8">
        <v>3.1639805262289565E-2</v>
      </c>
      <c r="KJ18" s="8">
        <v>0.19580684492493516</v>
      </c>
      <c r="KK18" s="8">
        <v>0.36495012369786245</v>
      </c>
      <c r="KL18" s="8">
        <v>0.43201332789960628</v>
      </c>
      <c r="KM18" s="8">
        <v>0.40620041062144452</v>
      </c>
      <c r="KN18" s="8">
        <v>0.28439285399515785</v>
      </c>
      <c r="KO18" s="8">
        <v>9.7728994925876028E-2</v>
      </c>
      <c r="KP18" s="8">
        <v>4.3136746347436326E-3</v>
      </c>
      <c r="KQ18" s="8">
        <v>0</v>
      </c>
      <c r="KR18" s="8">
        <v>0</v>
      </c>
      <c r="KS18" s="7">
        <v>1.8896373580908606E-3</v>
      </c>
      <c r="KT18" s="8">
        <v>9.0831873981577438E-2</v>
      </c>
      <c r="KU18" s="8">
        <v>0.24494471701147078</v>
      </c>
      <c r="KV18" s="8">
        <v>0.2982419656411226</v>
      </c>
      <c r="KW18" s="8">
        <v>0.25825398866835919</v>
      </c>
      <c r="KX18" s="8">
        <v>0.13412524800974682</v>
      </c>
      <c r="KY18" s="8">
        <v>1.4907495042604694E-2</v>
      </c>
      <c r="KZ18" s="8">
        <v>0</v>
      </c>
      <c r="LA18" s="8">
        <v>0</v>
      </c>
      <c r="LB18" s="8">
        <v>0</v>
      </c>
      <c r="LC18" s="8">
        <v>0</v>
      </c>
      <c r="LD18" s="8">
        <v>1.4592302848396996E-2</v>
      </c>
      <c r="LE18" s="8">
        <v>0.1528949095620325</v>
      </c>
      <c r="LF18" s="8">
        <v>0.2647356932017918</v>
      </c>
      <c r="LG18" s="8">
        <v>0.19576263193889315</v>
      </c>
      <c r="LH18" s="8">
        <v>3.8104591111269404E-2</v>
      </c>
      <c r="LI18" s="8">
        <v>0</v>
      </c>
      <c r="LJ18" s="8">
        <v>0</v>
      </c>
      <c r="LL18" s="6" t="s">
        <v>301</v>
      </c>
      <c r="LM18" s="6" t="s">
        <v>160</v>
      </c>
      <c r="LN18" s="6" t="s">
        <v>161</v>
      </c>
      <c r="LO18" s="8">
        <v>0.40212372895206461</v>
      </c>
    </row>
    <row r="19" spans="2:327" x14ac:dyDescent="0.45">
      <c r="B19" s="3" t="s">
        <v>302</v>
      </c>
      <c r="C19" s="3" t="s">
        <v>151</v>
      </c>
      <c r="D19" s="5">
        <v>0</v>
      </c>
      <c r="E19" s="5">
        <v>0</v>
      </c>
      <c r="F19" s="5">
        <v>0</v>
      </c>
      <c r="G19" s="5">
        <v>0.81046926890517867</v>
      </c>
      <c r="H19" s="5">
        <v>0.3518409027821281</v>
      </c>
      <c r="I19" s="5">
        <v>0.26513641383366565</v>
      </c>
      <c r="J19" s="5">
        <v>0.28061346129958337</v>
      </c>
      <c r="K19" s="5">
        <v>0.37946214651734839</v>
      </c>
      <c r="L19" s="5">
        <v>0.85311814878050318</v>
      </c>
      <c r="M19" s="5">
        <v>0</v>
      </c>
      <c r="N19" s="5">
        <v>0</v>
      </c>
      <c r="O19" s="5">
        <v>0</v>
      </c>
      <c r="P19" s="5">
        <v>0.73584888930182912</v>
      </c>
      <c r="Q19" s="5">
        <v>0.31702556146972605</v>
      </c>
      <c r="R19" s="5">
        <v>0.19484666251185376</v>
      </c>
      <c r="S19" s="5">
        <v>0.16543672036785623</v>
      </c>
      <c r="T19" s="5">
        <v>0.16709928787814771</v>
      </c>
      <c r="U19" s="5">
        <v>0.20242584995921636</v>
      </c>
      <c r="V19" s="5">
        <v>0.39852832623292439</v>
      </c>
      <c r="W19" s="5">
        <v>0.92563283914762173</v>
      </c>
      <c r="X19" s="5">
        <v>0</v>
      </c>
      <c r="Y19" s="5">
        <v>0.81377878442663087</v>
      </c>
      <c r="Z19" s="5">
        <v>0.32710575108323248</v>
      </c>
      <c r="AA19" s="5">
        <v>0.18916058034364852</v>
      </c>
      <c r="AB19" s="5">
        <v>0.15517187367045746</v>
      </c>
      <c r="AC19" s="5">
        <v>0.1455602682535598</v>
      </c>
      <c r="AD19" s="5">
        <v>0.15264825062264084</v>
      </c>
      <c r="AE19" s="5">
        <v>0.1614749331953404</v>
      </c>
      <c r="AF19" s="5">
        <v>0.24881816188041678</v>
      </c>
      <c r="AG19" s="5">
        <v>0.60971582774751143</v>
      </c>
      <c r="AH19" s="5">
        <v>0</v>
      </c>
      <c r="AI19" s="5">
        <v>0.96774193548387122</v>
      </c>
      <c r="AJ19" s="5">
        <v>0.39054962184685887</v>
      </c>
      <c r="AK19" s="5">
        <v>0.21864899271899083</v>
      </c>
      <c r="AL19" s="5">
        <v>0.15829418557361849</v>
      </c>
      <c r="AM19" s="5">
        <v>0.13374590858194396</v>
      </c>
      <c r="AN19" s="5">
        <v>0.14102690939207152</v>
      </c>
      <c r="AO19" s="5">
        <v>0.1617914229712773</v>
      </c>
      <c r="AP19" s="5">
        <v>0.25389564001037035</v>
      </c>
      <c r="AQ19" s="5">
        <v>0.67965375404627892</v>
      </c>
      <c r="AR19" s="5">
        <v>0</v>
      </c>
      <c r="AS19" s="5">
        <v>0</v>
      </c>
      <c r="AT19" s="5">
        <v>0.87915099542827613</v>
      </c>
      <c r="AU19" s="5">
        <v>0.37552941030637199</v>
      </c>
      <c r="AV19" s="5">
        <v>0.23663120094444581</v>
      </c>
      <c r="AW19" s="5">
        <v>0.17898614650061598</v>
      </c>
      <c r="AX19" s="5">
        <v>0.1749229971280086</v>
      </c>
      <c r="AY19" s="5">
        <v>0.24435870143048222</v>
      </c>
      <c r="AZ19" s="5">
        <v>0.60350951876367653</v>
      </c>
      <c r="BA19" s="5">
        <v>0</v>
      </c>
      <c r="BB19" s="5">
        <v>0</v>
      </c>
      <c r="BC19" s="5">
        <v>0</v>
      </c>
      <c r="BD19" s="5">
        <v>0</v>
      </c>
      <c r="BE19" s="5">
        <v>0.81710797905099652</v>
      </c>
      <c r="BF19" s="5">
        <v>0.31874861907655005</v>
      </c>
      <c r="BG19" s="5">
        <v>0.26484819647707064</v>
      </c>
      <c r="BH19" s="5">
        <v>0.27828002513645955</v>
      </c>
      <c r="BI19" s="5">
        <v>0.51617411536323698</v>
      </c>
      <c r="BJ19" s="5">
        <v>0</v>
      </c>
      <c r="BK19" s="5">
        <v>0</v>
      </c>
      <c r="BM19" s="3" t="s">
        <v>302</v>
      </c>
      <c r="BN19" s="3" t="s">
        <v>152</v>
      </c>
      <c r="BO19" s="5">
        <v>0</v>
      </c>
      <c r="BP19" s="5">
        <v>0</v>
      </c>
      <c r="BQ19" s="5">
        <v>0</v>
      </c>
      <c r="BR19" s="5">
        <v>0.68304142181136107</v>
      </c>
      <c r="BS19" s="5">
        <v>0.22840331822408469</v>
      </c>
      <c r="BT19" s="5">
        <v>0.16289385772102527</v>
      </c>
      <c r="BU19" s="4">
        <v>7.3379632243222831E-2</v>
      </c>
      <c r="BV19" s="5">
        <v>5.0659460215699129E-2</v>
      </c>
      <c r="BW19" s="5">
        <v>0.13561227756614438</v>
      </c>
      <c r="BX19" s="5">
        <v>0</v>
      </c>
      <c r="BY19" s="5">
        <v>0</v>
      </c>
      <c r="BZ19" s="4">
        <v>0</v>
      </c>
      <c r="CA19" s="5">
        <v>0.59449161041679066</v>
      </c>
      <c r="CB19" s="5">
        <v>0.20909958190501132</v>
      </c>
      <c r="CC19" s="5">
        <v>9.7062806111652744E-2</v>
      </c>
      <c r="CD19" s="4">
        <v>7.5245069532376307E-2</v>
      </c>
      <c r="CE19" s="4">
        <v>2.4868527342626231E-2</v>
      </c>
      <c r="CF19" s="4">
        <v>1.7569139212077679E-2</v>
      </c>
      <c r="CG19" s="5">
        <v>0.10061159915165466</v>
      </c>
      <c r="CH19" s="5">
        <v>0.86437987538423433</v>
      </c>
      <c r="CI19" s="5">
        <v>0</v>
      </c>
      <c r="CJ19" s="5">
        <v>0.67908989886760773</v>
      </c>
      <c r="CK19" s="4">
        <v>0.20803999762534461</v>
      </c>
      <c r="CL19" s="4">
        <v>0.12141744088690405</v>
      </c>
      <c r="CM19" s="5">
        <v>8.9211827382910336E-2</v>
      </c>
      <c r="CN19" s="5">
        <v>4.253221886074747E-2</v>
      </c>
      <c r="CO19" s="5">
        <v>3.1865923615591214E-2</v>
      </c>
      <c r="CP19" s="5">
        <v>1.8696797978209355E-2</v>
      </c>
      <c r="CQ19" s="5">
        <v>6.3824240584231973E-2</v>
      </c>
      <c r="CR19" s="5">
        <v>0.41776553671445577</v>
      </c>
      <c r="CS19" s="5">
        <v>0</v>
      </c>
      <c r="CT19" s="4">
        <v>0.93652445369406878</v>
      </c>
      <c r="CU19" s="5">
        <v>0.26921096365236197</v>
      </c>
      <c r="CV19" s="5">
        <v>0.13274505503979209</v>
      </c>
      <c r="CW19" s="5">
        <v>8.1138429447543167E-2</v>
      </c>
      <c r="CX19" s="5">
        <v>4.1608590633917045E-2</v>
      </c>
      <c r="CY19" s="5">
        <v>2.0200205718881023E-2</v>
      </c>
      <c r="CZ19" s="5">
        <v>2.9530283985827514E-2</v>
      </c>
      <c r="DA19" s="5">
        <v>5.6151729916709713E-2</v>
      </c>
      <c r="DB19" s="4">
        <v>0.52460942599107252</v>
      </c>
      <c r="DC19" s="5">
        <v>0</v>
      </c>
      <c r="DD19" s="5">
        <v>0</v>
      </c>
      <c r="DE19" s="5">
        <v>0.78652193821433369</v>
      </c>
      <c r="DF19" s="5">
        <v>0.25629457707700809</v>
      </c>
      <c r="DG19" s="5">
        <v>0.14209957412619306</v>
      </c>
      <c r="DH19" s="5">
        <v>7.4329852518196238E-2</v>
      </c>
      <c r="DI19" s="5">
        <v>2.4356622417087071E-2</v>
      </c>
      <c r="DJ19" s="5">
        <v>3.2557627846309438E-2</v>
      </c>
      <c r="DK19" s="5">
        <v>0.18927381925196482</v>
      </c>
      <c r="DL19" s="5">
        <v>0</v>
      </c>
      <c r="DM19" s="5">
        <v>0</v>
      </c>
      <c r="DN19" s="5">
        <v>0</v>
      </c>
      <c r="DO19" s="5">
        <v>0</v>
      </c>
      <c r="DP19" s="5">
        <v>0.68974431358406429</v>
      </c>
      <c r="DQ19" s="5">
        <v>0.21143499495036955</v>
      </c>
      <c r="DR19" s="5">
        <v>0.15397940323420284</v>
      </c>
      <c r="DS19" s="5">
        <v>8.3344656602605885E-2</v>
      </c>
      <c r="DT19" s="5">
        <v>9.6456246385018471E-2</v>
      </c>
      <c r="DU19" s="4">
        <v>0</v>
      </c>
      <c r="DV19" s="5">
        <v>0</v>
      </c>
      <c r="DX19" s="3" t="s">
        <v>302</v>
      </c>
      <c r="DY19" s="3" t="s">
        <v>153</v>
      </c>
      <c r="DZ19" s="5">
        <v>0</v>
      </c>
      <c r="EA19" s="5">
        <v>0</v>
      </c>
      <c r="EB19" s="4">
        <v>0</v>
      </c>
      <c r="EC19" s="5">
        <v>0</v>
      </c>
      <c r="ED19" s="5">
        <v>0</v>
      </c>
      <c r="EE19" s="5">
        <v>0</v>
      </c>
      <c r="EF19" s="4">
        <v>8.7195914429438401E-2</v>
      </c>
      <c r="EG19" s="5">
        <v>0.1913773687734889</v>
      </c>
      <c r="EH19" s="5">
        <v>0.60995453591104365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1.0960908669368155E-2</v>
      </c>
      <c r="EP19" s="5">
        <v>6.8029099795177059E-2</v>
      </c>
      <c r="EQ19" s="5">
        <v>0.10033684655522611</v>
      </c>
      <c r="ER19" s="5">
        <v>0.10316090436372413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2.9502655250857698E-2</v>
      </c>
      <c r="EZ19" s="5">
        <v>5.0975393483901565E-2</v>
      </c>
      <c r="FA19" s="5">
        <v>7.2383652886660169E-2</v>
      </c>
      <c r="FB19" s="5">
        <v>6.5456062637598039E-2</v>
      </c>
      <c r="FC19" s="5">
        <v>2.549198318604742E-2</v>
      </c>
      <c r="FD19" s="5">
        <v>0</v>
      </c>
      <c r="FE19" s="4">
        <v>0</v>
      </c>
      <c r="FF19" s="5">
        <v>0</v>
      </c>
      <c r="FG19" s="5">
        <v>0</v>
      </c>
      <c r="FH19" s="5">
        <v>0</v>
      </c>
      <c r="FI19" s="5">
        <v>2.4556016083661234E-2</v>
      </c>
      <c r="FJ19" s="5">
        <v>4.9007198969219595E-2</v>
      </c>
      <c r="FK19" s="5">
        <v>5.5375699942444706E-2</v>
      </c>
      <c r="FL19" s="5">
        <v>7.1440626033577828E-2</v>
      </c>
      <c r="FM19" s="5">
        <v>0</v>
      </c>
      <c r="FN19" s="5">
        <v>0</v>
      </c>
      <c r="FO19" s="5">
        <v>0</v>
      </c>
      <c r="FP19" s="5">
        <v>0</v>
      </c>
      <c r="FQ19" s="5">
        <v>0</v>
      </c>
      <c r="FR19" s="5">
        <v>0</v>
      </c>
      <c r="FS19" s="5">
        <v>3.167340771364819E-2</v>
      </c>
      <c r="FT19" s="5">
        <v>7.7764271272557084E-2</v>
      </c>
      <c r="FU19" s="5">
        <v>0.11060901093755694</v>
      </c>
      <c r="FV19" s="5">
        <v>8.3255889288913351E-2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8.4333495394533595E-2</v>
      </c>
      <c r="GE19" s="5">
        <v>0.23969654739264337</v>
      </c>
      <c r="GF19" s="5">
        <v>0</v>
      </c>
      <c r="GG19" s="5">
        <v>0</v>
      </c>
      <c r="GI19" s="3" t="s">
        <v>302</v>
      </c>
      <c r="GJ19" s="3" t="s">
        <v>154</v>
      </c>
      <c r="GK19" s="5">
        <v>0</v>
      </c>
      <c r="GL19" s="5">
        <v>0</v>
      </c>
      <c r="GM19" s="5">
        <v>0</v>
      </c>
      <c r="GN19" s="5">
        <v>0</v>
      </c>
      <c r="GO19" s="5">
        <v>0</v>
      </c>
      <c r="GP19" s="5">
        <v>0</v>
      </c>
      <c r="GQ19" s="5">
        <v>0</v>
      </c>
      <c r="GR19" s="5">
        <v>0</v>
      </c>
      <c r="GS19" s="5">
        <v>0</v>
      </c>
      <c r="GT19" s="5">
        <v>0</v>
      </c>
      <c r="GU19" s="5">
        <v>0</v>
      </c>
      <c r="GV19" s="5">
        <v>0</v>
      </c>
      <c r="GW19" s="5">
        <v>0</v>
      </c>
      <c r="GX19" s="5">
        <v>0</v>
      </c>
      <c r="GY19" s="5">
        <v>0</v>
      </c>
      <c r="GZ19" s="5">
        <v>0</v>
      </c>
      <c r="HA19" s="5">
        <v>0</v>
      </c>
      <c r="HB19" s="4">
        <v>0</v>
      </c>
      <c r="HC19" s="5">
        <v>5.6586724493277153E-2</v>
      </c>
      <c r="HD19" s="5">
        <v>0</v>
      </c>
      <c r="HE19" s="5">
        <v>0</v>
      </c>
      <c r="HF19" s="5">
        <v>0</v>
      </c>
      <c r="HG19" s="5">
        <v>0</v>
      </c>
      <c r="HH19" s="5">
        <v>0</v>
      </c>
      <c r="HI19" s="5">
        <v>0</v>
      </c>
      <c r="HJ19" s="5">
        <v>0</v>
      </c>
      <c r="HK19" s="5">
        <v>0</v>
      </c>
      <c r="HL19" s="4">
        <v>1.0468165399676946E-3</v>
      </c>
      <c r="HM19" s="5">
        <v>3.1454622392633927E-2</v>
      </c>
      <c r="HN19" s="5">
        <v>0</v>
      </c>
      <c r="HO19" s="5">
        <v>0</v>
      </c>
      <c r="HP19" s="5">
        <v>0</v>
      </c>
      <c r="HQ19" s="5">
        <v>0</v>
      </c>
      <c r="HR19" s="5">
        <v>0</v>
      </c>
      <c r="HS19" s="5">
        <v>0</v>
      </c>
      <c r="HT19" s="5">
        <v>0</v>
      </c>
      <c r="HU19" s="5">
        <v>0</v>
      </c>
      <c r="HV19" s="5">
        <v>2.0492066532740469E-3</v>
      </c>
      <c r="HW19" s="5">
        <v>3.167665776202247E-2</v>
      </c>
      <c r="HX19" s="5">
        <v>0</v>
      </c>
      <c r="HY19" s="5">
        <v>0</v>
      </c>
      <c r="HZ19" s="5">
        <v>0</v>
      </c>
      <c r="IA19" s="5">
        <v>0</v>
      </c>
      <c r="IB19" s="5">
        <v>0</v>
      </c>
      <c r="IC19" s="5">
        <v>0</v>
      </c>
      <c r="ID19" s="5">
        <v>0</v>
      </c>
      <c r="IE19" s="5">
        <v>0</v>
      </c>
      <c r="IF19" s="5">
        <v>7.4157580279264716E-3</v>
      </c>
      <c r="IG19" s="5">
        <v>0.17179363742000411</v>
      </c>
      <c r="IH19" s="5">
        <v>0</v>
      </c>
      <c r="II19" s="5">
        <v>0</v>
      </c>
      <c r="IJ19" s="5">
        <v>0</v>
      </c>
      <c r="IK19" s="5">
        <v>0</v>
      </c>
      <c r="IL19" s="5">
        <v>0</v>
      </c>
      <c r="IM19" s="5">
        <v>0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JB19" s="3" t="s">
        <v>302</v>
      </c>
      <c r="JC19" s="5">
        <v>0</v>
      </c>
      <c r="JD19" s="5">
        <v>0</v>
      </c>
      <c r="JE19" s="5">
        <v>0</v>
      </c>
      <c r="JF19" s="5">
        <v>1.1187605986733608E-2</v>
      </c>
      <c r="JG19" s="5">
        <v>0.13687912334119468</v>
      </c>
      <c r="JH19" s="5">
        <v>0.25854552365096406</v>
      </c>
      <c r="JI19" s="5">
        <v>0.24958605032691911</v>
      </c>
      <c r="JJ19" s="5">
        <v>0.11874931365974428</v>
      </c>
      <c r="JK19" s="5">
        <v>6.1889722539402812E-3</v>
      </c>
      <c r="JL19" s="5">
        <v>0</v>
      </c>
      <c r="JM19" s="5">
        <v>0</v>
      </c>
      <c r="JN19" s="5">
        <v>0</v>
      </c>
      <c r="JO19" s="5">
        <v>3.8771550983498371E-3</v>
      </c>
      <c r="JP19" s="5">
        <v>0.14252537290666181</v>
      </c>
      <c r="JQ19" s="5">
        <v>0.37984373818541789</v>
      </c>
      <c r="JR19" s="5">
        <v>0.46648560374009879</v>
      </c>
      <c r="JS19" s="5">
        <v>0.42429993517682352</v>
      </c>
      <c r="JT19" s="5">
        <v>0.27257446906292226</v>
      </c>
      <c r="JU19" s="5">
        <v>6.7279943172864606E-2</v>
      </c>
      <c r="JV19" s="4">
        <v>1.9545886717031589E-4</v>
      </c>
      <c r="JW19" s="5">
        <v>0</v>
      </c>
      <c r="JX19" s="4">
        <v>6.6464889895481502E-5</v>
      </c>
      <c r="JY19" s="5">
        <v>3.3089662372135752E-2</v>
      </c>
      <c r="JZ19" s="5">
        <v>0.19524286460323795</v>
      </c>
      <c r="KA19" s="5">
        <v>0.38829416034018482</v>
      </c>
      <c r="KB19" s="5">
        <v>0.48885379612282148</v>
      </c>
      <c r="KC19" s="5">
        <v>0.44842186565215292</v>
      </c>
      <c r="KD19" s="5">
        <v>0.31891217722219101</v>
      </c>
      <c r="KE19" s="5">
        <v>0.12219570118712091</v>
      </c>
      <c r="KF19" s="5">
        <v>7.377482265301754E-3</v>
      </c>
      <c r="KG19" s="5">
        <v>0</v>
      </c>
      <c r="KH19" s="4">
        <v>0</v>
      </c>
      <c r="KI19" s="5">
        <v>1.930288828953651E-2</v>
      </c>
      <c r="KJ19" s="5">
        <v>0.16852012166105104</v>
      </c>
      <c r="KK19" s="5">
        <v>0.35933652340056921</v>
      </c>
      <c r="KL19" s="5">
        <v>0.46370449509960437</v>
      </c>
      <c r="KM19" s="5">
        <v>0.44813084705430528</v>
      </c>
      <c r="KN19" s="5">
        <v>0.323708860784436</v>
      </c>
      <c r="KO19" s="5">
        <v>0.11861777783478844</v>
      </c>
      <c r="KP19" s="5">
        <v>5.2066163220432869E-3</v>
      </c>
      <c r="KQ19" s="5">
        <v>0</v>
      </c>
      <c r="KR19" s="5">
        <v>0</v>
      </c>
      <c r="KS19" s="4">
        <v>5.8397858867475518E-4</v>
      </c>
      <c r="KT19" s="5">
        <v>7.7789121111840914E-2</v>
      </c>
      <c r="KU19" s="5">
        <v>0.24801343757125854</v>
      </c>
      <c r="KV19" s="5">
        <v>0.33992967592042861</v>
      </c>
      <c r="KW19" s="5">
        <v>0.31308817402899286</v>
      </c>
      <c r="KX19" s="5">
        <v>0.16550777523313437</v>
      </c>
      <c r="KY19" s="5">
        <v>2.1273073877217732E-2</v>
      </c>
      <c r="KZ19" s="5">
        <v>0</v>
      </c>
      <c r="LA19" s="5">
        <v>0</v>
      </c>
      <c r="LB19" s="5">
        <v>0</v>
      </c>
      <c r="LC19" s="5">
        <v>0</v>
      </c>
      <c r="LD19" s="5">
        <v>1.0622040844735283E-2</v>
      </c>
      <c r="LE19" s="5">
        <v>0.12399821378743879</v>
      </c>
      <c r="LF19" s="5">
        <v>0.20893642286819239</v>
      </c>
      <c r="LG19" s="5">
        <v>0.16429022256267706</v>
      </c>
      <c r="LH19" s="5">
        <v>4.1158896108911901E-2</v>
      </c>
      <c r="LI19" s="5">
        <v>0</v>
      </c>
      <c r="LJ19" s="5">
        <v>0</v>
      </c>
      <c r="LL19" s="3" t="s">
        <v>302</v>
      </c>
      <c r="LM19" s="3" t="s">
        <v>160</v>
      </c>
      <c r="LN19" s="3" t="s">
        <v>161</v>
      </c>
      <c r="LO19" s="5">
        <v>0.40803120741125243</v>
      </c>
    </row>
    <row r="20" spans="2:327" x14ac:dyDescent="0.45">
      <c r="B20" s="6" t="s">
        <v>303</v>
      </c>
      <c r="C20" s="6" t="s">
        <v>151</v>
      </c>
      <c r="D20" s="8">
        <v>0</v>
      </c>
      <c r="E20" s="8">
        <v>0</v>
      </c>
      <c r="F20" s="8">
        <v>0</v>
      </c>
      <c r="G20" s="8">
        <v>0.78311351760225723</v>
      </c>
      <c r="H20" s="8">
        <v>0.37063674240543881</v>
      </c>
      <c r="I20" s="8">
        <v>0.28573468109163602</v>
      </c>
      <c r="J20" s="8">
        <v>0.27868903814914242</v>
      </c>
      <c r="K20" s="8">
        <v>0.41605141504551146</v>
      </c>
      <c r="L20" s="8">
        <v>0.88511029110115491</v>
      </c>
      <c r="M20" s="8">
        <v>0</v>
      </c>
      <c r="N20" s="8">
        <v>0</v>
      </c>
      <c r="O20" s="8">
        <v>0</v>
      </c>
      <c r="P20" s="8">
        <v>0.71817478571055315</v>
      </c>
      <c r="Q20" s="8">
        <v>0.33246147689070754</v>
      </c>
      <c r="R20" s="8">
        <v>0.22620649066786366</v>
      </c>
      <c r="S20" s="8">
        <v>0.20577411184773772</v>
      </c>
      <c r="T20" s="8">
        <v>0.18829104622685916</v>
      </c>
      <c r="U20" s="8">
        <v>0.21194538941931737</v>
      </c>
      <c r="V20" s="8">
        <v>0.43984309233217189</v>
      </c>
      <c r="W20" s="8">
        <v>0.96174863387978127</v>
      </c>
      <c r="X20" s="8">
        <v>0</v>
      </c>
      <c r="Y20" s="8">
        <v>0.75842837420041365</v>
      </c>
      <c r="Z20" s="8">
        <v>0.32078319678542999</v>
      </c>
      <c r="AA20" s="8">
        <v>0.19158620351491448</v>
      </c>
      <c r="AB20" s="8">
        <v>0.1529987853333071</v>
      </c>
      <c r="AC20" s="8">
        <v>0.13179183127166955</v>
      </c>
      <c r="AD20" s="8">
        <v>0.13840272333396303</v>
      </c>
      <c r="AE20" s="8">
        <v>0.14815020037267884</v>
      </c>
      <c r="AF20" s="8">
        <v>0.26590495723569679</v>
      </c>
      <c r="AG20" s="8">
        <v>0.66207110361705612</v>
      </c>
      <c r="AH20" s="8">
        <v>0</v>
      </c>
      <c r="AI20" s="8">
        <v>0.93179950928955868</v>
      </c>
      <c r="AJ20" s="8">
        <v>0.39366210182897371</v>
      </c>
      <c r="AK20" s="8">
        <v>0.20901701538188872</v>
      </c>
      <c r="AL20" s="8">
        <v>0.16290189557928803</v>
      </c>
      <c r="AM20" s="8">
        <v>0.15555732816458984</v>
      </c>
      <c r="AN20" s="8">
        <v>0.1476898574353713</v>
      </c>
      <c r="AO20" s="8">
        <v>0.1653118937335448</v>
      </c>
      <c r="AP20" s="8">
        <v>0.29216124308862129</v>
      </c>
      <c r="AQ20" s="8">
        <v>0.73320772248289234</v>
      </c>
      <c r="AR20" s="8">
        <v>0</v>
      </c>
      <c r="AS20" s="8">
        <v>0</v>
      </c>
      <c r="AT20" s="8">
        <v>0.84149578736139063</v>
      </c>
      <c r="AU20" s="8">
        <v>0.36051224199667692</v>
      </c>
      <c r="AV20" s="8">
        <v>0.25548473334292315</v>
      </c>
      <c r="AW20" s="8">
        <v>0.23405979913349065</v>
      </c>
      <c r="AX20" s="8">
        <v>0.22098458374667934</v>
      </c>
      <c r="AY20" s="8">
        <v>0.29036818086673716</v>
      </c>
      <c r="AZ20" s="8">
        <v>0.67031251619874443</v>
      </c>
      <c r="BA20" s="8">
        <v>0</v>
      </c>
      <c r="BB20" s="8">
        <v>0</v>
      </c>
      <c r="BC20" s="8">
        <v>0</v>
      </c>
      <c r="BD20" s="8">
        <v>0</v>
      </c>
      <c r="BE20" s="8">
        <v>0.77537409401028512</v>
      </c>
      <c r="BF20" s="8">
        <v>0.30587346098542478</v>
      </c>
      <c r="BG20" s="8">
        <v>0.24451285583062274</v>
      </c>
      <c r="BH20" s="8">
        <v>0.31157621326773244</v>
      </c>
      <c r="BI20" s="8">
        <v>0.59978474204804966</v>
      </c>
      <c r="BJ20" s="8">
        <v>0</v>
      </c>
      <c r="BK20" s="8">
        <v>0</v>
      </c>
      <c r="BM20" s="6" t="s">
        <v>303</v>
      </c>
      <c r="BN20" s="6" t="s">
        <v>152</v>
      </c>
      <c r="BO20" s="8">
        <v>0</v>
      </c>
      <c r="BP20" s="8">
        <v>0</v>
      </c>
      <c r="BQ20" s="8">
        <v>0</v>
      </c>
      <c r="BR20" s="8">
        <v>0.63920270169283311</v>
      </c>
      <c r="BS20" s="8">
        <v>0.23758010859039014</v>
      </c>
      <c r="BT20" s="8">
        <v>0.17050380315540098</v>
      </c>
      <c r="BU20" s="7">
        <v>6.7877319412120815E-2</v>
      </c>
      <c r="BV20" s="8">
        <v>6.253509238652194E-2</v>
      </c>
      <c r="BW20" s="8">
        <v>0.34164078807256226</v>
      </c>
      <c r="BX20" s="8">
        <v>0</v>
      </c>
      <c r="BY20" s="8">
        <v>0</v>
      </c>
      <c r="BZ20" s="7">
        <v>0</v>
      </c>
      <c r="CA20" s="8">
        <v>0.57585159121120988</v>
      </c>
      <c r="CB20" s="8">
        <v>0.2082436313126404</v>
      </c>
      <c r="CC20" s="8">
        <v>0.11835477253499235</v>
      </c>
      <c r="CD20" s="7">
        <v>7.7504037920236329E-2</v>
      </c>
      <c r="CE20" s="7">
        <v>2.56691889414053E-2</v>
      </c>
      <c r="CF20" s="7">
        <v>3.1838907989582103E-2</v>
      </c>
      <c r="CG20" s="8">
        <v>0.12540736596580596</v>
      </c>
      <c r="CH20" s="8">
        <v>0.92496043476962608</v>
      </c>
      <c r="CI20" s="8">
        <v>0</v>
      </c>
      <c r="CJ20" s="8">
        <v>0.60438306589677282</v>
      </c>
      <c r="CK20" s="7">
        <v>0.1986617387393097</v>
      </c>
      <c r="CL20" s="7">
        <v>0.11513411835909464</v>
      </c>
      <c r="CM20" s="8">
        <v>8.8908063860241318E-2</v>
      </c>
      <c r="CN20" s="8">
        <v>4.6935022396758369E-2</v>
      </c>
      <c r="CO20" s="8">
        <v>2.6903369858475856E-2</v>
      </c>
      <c r="CP20" s="8">
        <v>3.0717839742659798E-2</v>
      </c>
      <c r="CQ20" s="8">
        <v>8.7381262567328713E-2</v>
      </c>
      <c r="CR20" s="8">
        <v>0.48864294568574768</v>
      </c>
      <c r="CS20" s="8">
        <v>0</v>
      </c>
      <c r="CT20" s="7">
        <v>0.87919792408772823</v>
      </c>
      <c r="CU20" s="8">
        <v>0.26041024076336772</v>
      </c>
      <c r="CV20" s="8">
        <v>0.12725038262570978</v>
      </c>
      <c r="CW20" s="8">
        <v>8.8308628820961368E-2</v>
      </c>
      <c r="CX20" s="8">
        <v>5.0803638895439963E-2</v>
      </c>
      <c r="CY20" s="8">
        <v>1.4615208530340639E-2</v>
      </c>
      <c r="CZ20" s="8">
        <v>2.228119803223455E-2</v>
      </c>
      <c r="DA20" s="8">
        <v>7.4789167505753873E-2</v>
      </c>
      <c r="DB20" s="7">
        <v>0.58389647572492942</v>
      </c>
      <c r="DC20" s="8">
        <v>0</v>
      </c>
      <c r="DD20" s="8">
        <v>0</v>
      </c>
      <c r="DE20" s="8">
        <v>0.73094281483149881</v>
      </c>
      <c r="DF20" s="8">
        <v>0.24553181961981344</v>
      </c>
      <c r="DG20" s="8">
        <v>0.15244700010008863</v>
      </c>
      <c r="DH20" s="8">
        <v>9.5553820762272867E-2</v>
      </c>
      <c r="DI20" s="8">
        <v>2.5876542338223577E-2</v>
      </c>
      <c r="DJ20" s="8">
        <v>4.4237016621835053E-2</v>
      </c>
      <c r="DK20" s="8">
        <v>0.16227183803035486</v>
      </c>
      <c r="DL20" s="8">
        <v>0</v>
      </c>
      <c r="DM20" s="8">
        <v>0</v>
      </c>
      <c r="DN20" s="8">
        <v>0</v>
      </c>
      <c r="DO20" s="8">
        <v>0</v>
      </c>
      <c r="DP20" s="8">
        <v>0.63489990861426793</v>
      </c>
      <c r="DQ20" s="8">
        <v>0.1846562245956084</v>
      </c>
      <c r="DR20" s="8">
        <v>0.13460623936268132</v>
      </c>
      <c r="DS20" s="8">
        <v>8.7441210653658522E-2</v>
      </c>
      <c r="DT20" s="8">
        <v>9.617428735378869E-2</v>
      </c>
      <c r="DU20" s="7">
        <v>0</v>
      </c>
      <c r="DV20" s="8">
        <v>0</v>
      </c>
      <c r="DX20" s="6" t="s">
        <v>303</v>
      </c>
      <c r="DY20" s="6" t="s">
        <v>153</v>
      </c>
      <c r="DZ20" s="8">
        <v>0</v>
      </c>
      <c r="EA20" s="8">
        <v>0</v>
      </c>
      <c r="EB20" s="7">
        <v>0</v>
      </c>
      <c r="EC20" s="8">
        <v>0</v>
      </c>
      <c r="ED20" s="8">
        <v>0</v>
      </c>
      <c r="EE20" s="8">
        <v>0</v>
      </c>
      <c r="EF20" s="7">
        <v>9.5835166637971425E-2</v>
      </c>
      <c r="EG20" s="8">
        <v>0.20266197274303432</v>
      </c>
      <c r="EH20" s="8">
        <v>0.45345828698440765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2.8988225688894954E-2</v>
      </c>
      <c r="EP20" s="8">
        <v>7.3190308122322592E-2</v>
      </c>
      <c r="EQ20" s="8">
        <v>8.844491647181997E-2</v>
      </c>
      <c r="ER20" s="8">
        <v>8.4007493534691155E-2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2.4687774048088321E-2</v>
      </c>
      <c r="EZ20" s="8">
        <v>4.6114924659759735E-2</v>
      </c>
      <c r="FA20" s="8">
        <v>5.2181447415024125E-2</v>
      </c>
      <c r="FB20" s="8">
        <v>2.3599320379687379E-2</v>
      </c>
      <c r="FC20" s="8">
        <v>0</v>
      </c>
      <c r="FD20" s="8">
        <v>0</v>
      </c>
      <c r="FE20" s="7">
        <v>0</v>
      </c>
      <c r="FF20" s="8">
        <v>0</v>
      </c>
      <c r="FG20" s="8">
        <v>0</v>
      </c>
      <c r="FH20" s="8">
        <v>0</v>
      </c>
      <c r="FI20" s="8">
        <v>3.9468141355655385E-2</v>
      </c>
      <c r="FJ20" s="8">
        <v>7.0089380013398137E-2</v>
      </c>
      <c r="FK20" s="8">
        <v>7.0945903661040602E-2</v>
      </c>
      <c r="FL20" s="8">
        <v>2.2234056302821624E-2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4.3511758330360438E-2</v>
      </c>
      <c r="FT20" s="8">
        <v>0.11603510383398542</v>
      </c>
      <c r="FU20" s="8">
        <v>0.13967875361475582</v>
      </c>
      <c r="FV20" s="8">
        <v>0.15844623361973725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9.4253876461028438E-2</v>
      </c>
      <c r="GE20" s="8">
        <v>0.33543214803834975</v>
      </c>
      <c r="GF20" s="8">
        <v>0</v>
      </c>
      <c r="GG20" s="8">
        <v>0</v>
      </c>
      <c r="GI20" s="6" t="s">
        <v>303</v>
      </c>
      <c r="GJ20" s="6" t="s">
        <v>154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7">
        <v>9.8134668459834597E-5</v>
      </c>
      <c r="HC20" s="8">
        <v>8.8057527210912229E-2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7">
        <v>6.4395998603088795E-4</v>
      </c>
      <c r="HM20" s="8">
        <v>5.1727709041774789E-2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9.2826855087262072E-2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2.4974457713811686E-3</v>
      </c>
      <c r="IG20" s="8">
        <v>0.21701413970402783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8">
        <v>0</v>
      </c>
      <c r="IO20" s="8">
        <v>0</v>
      </c>
      <c r="IP20" s="8">
        <v>0</v>
      </c>
      <c r="IQ20" s="8">
        <v>0</v>
      </c>
      <c r="IR20" s="8">
        <v>0</v>
      </c>
      <c r="JB20" s="6" t="s">
        <v>303</v>
      </c>
      <c r="JC20" s="8">
        <v>0</v>
      </c>
      <c r="JD20" s="8">
        <v>0</v>
      </c>
      <c r="JE20" s="8">
        <v>0</v>
      </c>
      <c r="JF20" s="8">
        <v>1.6363794949475825E-2</v>
      </c>
      <c r="JG20" s="8">
        <v>0.15118297590318402</v>
      </c>
      <c r="JH20" s="8">
        <v>0.26431999780389748</v>
      </c>
      <c r="JI20" s="8">
        <v>0.24505188631767821</v>
      </c>
      <c r="JJ20" s="8">
        <v>9.9451591518864013E-2</v>
      </c>
      <c r="JK20" s="8">
        <v>3.4380568573991899E-3</v>
      </c>
      <c r="JL20" s="8">
        <v>0</v>
      </c>
      <c r="JM20" s="8">
        <v>0</v>
      </c>
      <c r="JN20" s="8">
        <v>0</v>
      </c>
      <c r="JO20" s="8">
        <v>6.410053077002641E-3</v>
      </c>
      <c r="JP20" s="8">
        <v>0.15360055082857529</v>
      </c>
      <c r="JQ20" s="8">
        <v>0.35851353615910991</v>
      </c>
      <c r="JR20" s="8">
        <v>0.43968406217937495</v>
      </c>
      <c r="JS20" s="8">
        <v>0.40675117929084903</v>
      </c>
      <c r="JT20" s="8">
        <v>0.25429166719557789</v>
      </c>
      <c r="JU20" s="8">
        <v>5.5135828982805495E-2</v>
      </c>
      <c r="JV20" s="7">
        <v>7.5582236409391909E-5</v>
      </c>
      <c r="JW20" s="8">
        <v>0</v>
      </c>
      <c r="JX20" s="7">
        <v>3.811289131140252E-4</v>
      </c>
      <c r="JY20" s="8">
        <v>4.4105579362989734E-2</v>
      </c>
      <c r="JZ20" s="8">
        <v>0.23074203056285966</v>
      </c>
      <c r="KA20" s="8">
        <v>0.41146450398393491</v>
      </c>
      <c r="KB20" s="8">
        <v>0.5168611134058545</v>
      </c>
      <c r="KC20" s="8">
        <v>0.48016026478219731</v>
      </c>
      <c r="KD20" s="8">
        <v>0.33027501906677714</v>
      </c>
      <c r="KE20" s="8">
        <v>0.11504659815327836</v>
      </c>
      <c r="KF20" s="8">
        <v>5.7842399900768331E-3</v>
      </c>
      <c r="KG20" s="8">
        <v>0</v>
      </c>
      <c r="KH20" s="7">
        <v>1.9852799799496779E-5</v>
      </c>
      <c r="KI20" s="8">
        <v>2.6292305427772441E-2</v>
      </c>
      <c r="KJ20" s="8">
        <v>0.20679785459216868</v>
      </c>
      <c r="KK20" s="8">
        <v>0.40119324386137872</v>
      </c>
      <c r="KL20" s="8">
        <v>0.4750258812365134</v>
      </c>
      <c r="KM20" s="8">
        <v>0.46073793377037392</v>
      </c>
      <c r="KN20" s="8">
        <v>0.32499539064477678</v>
      </c>
      <c r="KO20" s="8">
        <v>0.11125065084190419</v>
      </c>
      <c r="KP20" s="8">
        <v>4.0463089956605377E-3</v>
      </c>
      <c r="KQ20" s="8">
        <v>0</v>
      </c>
      <c r="KR20" s="8">
        <v>0</v>
      </c>
      <c r="KS20" s="7">
        <v>1.6889448945550606E-3</v>
      </c>
      <c r="KT20" s="8">
        <v>9.4547858557024342E-2</v>
      </c>
      <c r="KU20" s="8">
        <v>0.27709461268903252</v>
      </c>
      <c r="KV20" s="8">
        <v>0.32643232379700304</v>
      </c>
      <c r="KW20" s="8">
        <v>0.27159595451234148</v>
      </c>
      <c r="KX20" s="8">
        <v>0.14362911857270722</v>
      </c>
      <c r="KY20" s="8">
        <v>1.627167600204717E-2</v>
      </c>
      <c r="KZ20" s="8">
        <v>0</v>
      </c>
      <c r="LA20" s="8">
        <v>0</v>
      </c>
      <c r="LB20" s="8">
        <v>0</v>
      </c>
      <c r="LC20" s="8">
        <v>0</v>
      </c>
      <c r="LD20" s="8">
        <v>2.0156639528992944E-2</v>
      </c>
      <c r="LE20" s="8">
        <v>0.18426635874735892</v>
      </c>
      <c r="LF20" s="8">
        <v>0.28656745674665501</v>
      </c>
      <c r="LG20" s="8">
        <v>0.1961341737932501</v>
      </c>
      <c r="LH20" s="8">
        <v>4.1370443437496518E-2</v>
      </c>
      <c r="LI20" s="8">
        <v>0</v>
      </c>
      <c r="LJ20" s="8">
        <v>0</v>
      </c>
      <c r="LL20" s="6" t="s">
        <v>303</v>
      </c>
      <c r="LM20" s="6" t="s">
        <v>160</v>
      </c>
      <c r="LN20" s="6" t="s">
        <v>161</v>
      </c>
      <c r="LO20" s="8">
        <v>0.43613872079374244</v>
      </c>
    </row>
    <row r="21" spans="2:327" x14ac:dyDescent="0.45">
      <c r="B21" s="3" t="s">
        <v>304</v>
      </c>
      <c r="C21" s="3" t="s">
        <v>151</v>
      </c>
      <c r="D21" s="5">
        <v>0.19497757743808491</v>
      </c>
      <c r="E21" s="5">
        <v>0.19953702176778737</v>
      </c>
      <c r="F21" s="5">
        <v>0.19589868418139239</v>
      </c>
      <c r="G21" s="5">
        <v>0.20443946893657508</v>
      </c>
      <c r="H21" s="5">
        <v>0.1905082486920254</v>
      </c>
      <c r="I21" s="5">
        <v>0.16925156285151363</v>
      </c>
      <c r="J21" s="5">
        <v>0.16195375357073968</v>
      </c>
      <c r="K21" s="5">
        <v>0.17369824566809408</v>
      </c>
      <c r="L21" s="5">
        <v>0.18245513205623079</v>
      </c>
      <c r="M21" s="5">
        <v>0.1897972023379613</v>
      </c>
      <c r="N21" s="5">
        <v>0.17513968538958635</v>
      </c>
      <c r="O21" s="5">
        <v>0.18358048794053849</v>
      </c>
      <c r="P21" s="5">
        <v>0.17566549416365668</v>
      </c>
      <c r="Q21" s="5">
        <v>0.18875187659316978</v>
      </c>
      <c r="R21" s="5">
        <v>0.19643148705139382</v>
      </c>
      <c r="S21" s="5">
        <v>0.20716082058230739</v>
      </c>
      <c r="T21" s="5">
        <v>0.19220123823954088</v>
      </c>
      <c r="U21" s="5">
        <v>0.17053431220768633</v>
      </c>
      <c r="V21" s="5">
        <v>0.14960384458217826</v>
      </c>
      <c r="W21" s="5">
        <v>0.15577672485190638</v>
      </c>
      <c r="X21" s="5">
        <v>0.25700622828766639</v>
      </c>
      <c r="Y21" s="5">
        <v>0.27331764539326781</v>
      </c>
      <c r="Z21" s="5">
        <v>0.27807153447030392</v>
      </c>
      <c r="AA21" s="5">
        <v>0.29056445623320931</v>
      </c>
      <c r="AB21" s="5">
        <v>0.2636697505449333</v>
      </c>
      <c r="AC21" s="5">
        <v>0.24928112850770948</v>
      </c>
      <c r="AD21" s="5">
        <v>0.23191231561864609</v>
      </c>
      <c r="AE21" s="5">
        <v>0.22764932855438194</v>
      </c>
      <c r="AF21" s="5">
        <v>0.23550205121730916</v>
      </c>
      <c r="AG21" s="5">
        <v>0.24995727539511134</v>
      </c>
      <c r="AH21" s="5">
        <v>0.30407382483825446</v>
      </c>
      <c r="AI21" s="5">
        <v>0.30882201823005762</v>
      </c>
      <c r="AJ21" s="5">
        <v>0.31207440283105703</v>
      </c>
      <c r="AK21" s="5">
        <v>0.35262562827588845</v>
      </c>
      <c r="AL21" s="5">
        <v>0.33931484520922311</v>
      </c>
      <c r="AM21" s="5">
        <v>0.32585780484819665</v>
      </c>
      <c r="AN21" s="5">
        <v>0.31331310882771218</v>
      </c>
      <c r="AO21" s="5">
        <v>0.30813934137886684</v>
      </c>
      <c r="AP21" s="5">
        <v>0.30063461417294879</v>
      </c>
      <c r="AQ21" s="5">
        <v>0.31540313192056979</v>
      </c>
      <c r="AR21" s="5">
        <v>0.24622550451453085</v>
      </c>
      <c r="AS21" s="5">
        <v>0.274793380956601</v>
      </c>
      <c r="AT21" s="5">
        <v>0.28503236917696889</v>
      </c>
      <c r="AU21" s="5">
        <v>0.28528203921497736</v>
      </c>
      <c r="AV21" s="5">
        <v>0.29000786706235981</v>
      </c>
      <c r="AW21" s="5">
        <v>0.28683319342468933</v>
      </c>
      <c r="AX21" s="5">
        <v>0.28659196020811051</v>
      </c>
      <c r="AY21" s="5">
        <v>0.29036918260453182</v>
      </c>
      <c r="AZ21" s="5">
        <v>0.27559444871459809</v>
      </c>
      <c r="BA21" s="5">
        <v>0.24114137631847388</v>
      </c>
      <c r="BB21" s="5">
        <v>0.27479895541364424</v>
      </c>
      <c r="BC21" s="5">
        <v>0.26287395825940735</v>
      </c>
      <c r="BD21" s="5">
        <v>0.26188810548490687</v>
      </c>
      <c r="BE21" s="5">
        <v>0.26517754960900997</v>
      </c>
      <c r="BF21" s="5">
        <v>0.24650999853044239</v>
      </c>
      <c r="BG21" s="5">
        <v>0.2490456030961028</v>
      </c>
      <c r="BH21" s="5">
        <v>0.25623274548949332</v>
      </c>
      <c r="BI21" s="5">
        <v>0.26790710182511951</v>
      </c>
      <c r="BJ21" s="5">
        <v>0.28730641778616972</v>
      </c>
      <c r="BK21" s="5">
        <v>0.2818219557646669</v>
      </c>
      <c r="BM21" s="3" t="s">
        <v>304</v>
      </c>
      <c r="BN21" s="3" t="s">
        <v>152</v>
      </c>
      <c r="BO21" s="5">
        <v>1.5480756505998665E-2</v>
      </c>
      <c r="BP21" s="5">
        <v>7.9806315626241662E-3</v>
      </c>
      <c r="BQ21" s="5">
        <v>9.5767925767449996E-3</v>
      </c>
      <c r="BR21" s="5">
        <v>1.5199926986737576E-2</v>
      </c>
      <c r="BS21" s="5">
        <v>1.3498678218747331E-2</v>
      </c>
      <c r="BT21" s="5">
        <v>1.1403648614572255E-2</v>
      </c>
      <c r="BU21" s="4">
        <v>1.0825997830563506E-2</v>
      </c>
      <c r="BV21" s="5">
        <v>1.1381434021688943E-2</v>
      </c>
      <c r="BW21" s="5">
        <v>9.200335081030379E-3</v>
      </c>
      <c r="BX21" s="5">
        <v>1.2410280406913814E-2</v>
      </c>
      <c r="BY21" s="5">
        <v>7.1748386035224302E-3</v>
      </c>
      <c r="BZ21" s="4">
        <v>1.6052716316261272E-3</v>
      </c>
      <c r="CA21" s="5">
        <v>4.7200263065217147E-3</v>
      </c>
      <c r="CB21" s="5">
        <v>7.8779821997543836E-3</v>
      </c>
      <c r="CC21" s="5">
        <v>5.811272533663289E-3</v>
      </c>
      <c r="CD21" s="4">
        <v>5.96837628512965E-3</v>
      </c>
      <c r="CE21" s="4">
        <v>3.7944101432662398E-3</v>
      </c>
      <c r="CF21" s="4">
        <v>5.4894525015913246E-3</v>
      </c>
      <c r="CG21" s="5">
        <v>1.1057767902959847E-2</v>
      </c>
      <c r="CH21" s="5">
        <v>1.4156735877275665E-2</v>
      </c>
      <c r="CI21" s="5">
        <v>1.1060739968883741E-2</v>
      </c>
      <c r="CJ21" s="5">
        <v>1.1460966030598194E-2</v>
      </c>
      <c r="CK21" s="4">
        <v>2.6502917560382387E-4</v>
      </c>
      <c r="CL21" s="4">
        <v>1.0087383930342086E-2</v>
      </c>
      <c r="CM21" s="5">
        <v>1.6844926138938735E-2</v>
      </c>
      <c r="CN21" s="5">
        <v>1.2360819530151409E-2</v>
      </c>
      <c r="CO21" s="5">
        <v>1.2203018898370338E-2</v>
      </c>
      <c r="CP21" s="5">
        <v>5.9256228381440708E-3</v>
      </c>
      <c r="CQ21" s="5">
        <v>6.1557004312898069E-3</v>
      </c>
      <c r="CR21" s="5">
        <v>9.6846798912167461E-3</v>
      </c>
      <c r="CS21" s="5">
        <v>2.3130238926728292E-2</v>
      </c>
      <c r="CT21" s="4">
        <v>1.5243082516565973E-3</v>
      </c>
      <c r="CU21" s="5">
        <v>6.6544989338299483E-3</v>
      </c>
      <c r="CV21" s="5">
        <v>2.5829072355236682E-2</v>
      </c>
      <c r="CW21" s="5">
        <v>2.6137439933784052E-2</v>
      </c>
      <c r="CX21" s="5">
        <v>1.9462417805596644E-2</v>
      </c>
      <c r="CY21" s="5">
        <v>8.0751983644284063E-3</v>
      </c>
      <c r="CZ21" s="5">
        <v>1.4972558164316929E-2</v>
      </c>
      <c r="DA21" s="5">
        <v>1.4651735936851281E-2</v>
      </c>
      <c r="DB21" s="4">
        <v>4.0269859982095216E-2</v>
      </c>
      <c r="DC21" s="5">
        <v>3.4025688842262015E-2</v>
      </c>
      <c r="DD21" s="5">
        <v>3.0159801209689703E-2</v>
      </c>
      <c r="DE21" s="5">
        <v>1.4896233418419278E-2</v>
      </c>
      <c r="DF21" s="5">
        <v>1.0795871118506111E-2</v>
      </c>
      <c r="DG21" s="5">
        <v>1.1673699872059859E-2</v>
      </c>
      <c r="DH21" s="5">
        <v>1.5116532318023507E-2</v>
      </c>
      <c r="DI21" s="5">
        <v>4.2612259558501954E-3</v>
      </c>
      <c r="DJ21" s="5">
        <v>7.5408839612574616E-3</v>
      </c>
      <c r="DK21" s="5">
        <v>4.7915958730080019E-3</v>
      </c>
      <c r="DL21" s="5">
        <v>1.9573948909167572E-2</v>
      </c>
      <c r="DM21" s="5">
        <v>1.2470678398820073E-2</v>
      </c>
      <c r="DN21" s="5">
        <v>1.9855877416967607E-2</v>
      </c>
      <c r="DO21" s="5">
        <v>2.4718175250974014E-2</v>
      </c>
      <c r="DP21" s="5">
        <v>2.3765590543436542E-2</v>
      </c>
      <c r="DQ21" s="5">
        <v>2.2742068099456839E-2</v>
      </c>
      <c r="DR21" s="5">
        <v>2.0386346086066383E-2</v>
      </c>
      <c r="DS21" s="5">
        <v>1.7737068801861811E-2</v>
      </c>
      <c r="DT21" s="5">
        <v>1.0987164896432292E-2</v>
      </c>
      <c r="DU21" s="4">
        <v>2.9517622695198194E-3</v>
      </c>
      <c r="DV21" s="5">
        <v>1.237128485040275E-3</v>
      </c>
      <c r="DX21" s="3" t="s">
        <v>304</v>
      </c>
      <c r="DY21" s="3" t="s">
        <v>153</v>
      </c>
      <c r="DZ21" s="5">
        <v>1.5567413605522468E-2</v>
      </c>
      <c r="EA21" s="5">
        <v>2.0765071861756957E-2</v>
      </c>
      <c r="EB21" s="4">
        <v>2.170417052224274E-2</v>
      </c>
      <c r="EC21" s="5">
        <v>1.2784220154690091E-2</v>
      </c>
      <c r="ED21" s="5">
        <v>1.0839600291909999E-2</v>
      </c>
      <c r="EE21" s="5">
        <v>1.3353471032495576E-2</v>
      </c>
      <c r="EF21" s="4">
        <v>1.2759402875308719E-2</v>
      </c>
      <c r="EG21" s="5">
        <v>1.2790736886778878E-2</v>
      </c>
      <c r="EH21" s="5">
        <v>1.1841144955794814E-2</v>
      </c>
      <c r="EI21" s="5">
        <v>1.0345215548188274E-2</v>
      </c>
      <c r="EJ21" s="5">
        <v>1.6911043691392125E-2</v>
      </c>
      <c r="EK21" s="5">
        <v>1.5276613212157317E-2</v>
      </c>
      <c r="EL21" s="5">
        <v>3.7260669803971147E-3</v>
      </c>
      <c r="EM21" s="5">
        <v>4.4733773490110195E-3</v>
      </c>
      <c r="EN21" s="5">
        <v>4.2775419777460978E-3</v>
      </c>
      <c r="EO21" s="5">
        <v>6.5994038147268001E-3</v>
      </c>
      <c r="EP21" s="5">
        <v>6.2882367337232514E-3</v>
      </c>
      <c r="EQ21" s="5">
        <v>9.6227830667789446E-3</v>
      </c>
      <c r="ER21" s="5">
        <v>0</v>
      </c>
      <c r="ES21" s="5">
        <v>4.945782508996955E-3</v>
      </c>
      <c r="ET21" s="5">
        <v>9.334338242376946E-3</v>
      </c>
      <c r="EU21" s="5">
        <v>1.3331854949775009E-2</v>
      </c>
      <c r="EV21" s="5">
        <v>1.9306813589971973E-2</v>
      </c>
      <c r="EW21" s="5">
        <v>1.465739716344916E-2</v>
      </c>
      <c r="EX21" s="5">
        <v>4.1604655635874566E-3</v>
      </c>
      <c r="EY21" s="5">
        <v>7.6745643904464964E-3</v>
      </c>
      <c r="EZ21" s="5">
        <v>9.259905168707689E-3</v>
      </c>
      <c r="FA21" s="5">
        <v>1.4813723831674773E-2</v>
      </c>
      <c r="FB21" s="5">
        <v>1.2923654883014763E-2</v>
      </c>
      <c r="FC21" s="5">
        <v>9.346335117930862E-3</v>
      </c>
      <c r="FD21" s="5">
        <v>5.4409871522365344E-2</v>
      </c>
      <c r="FE21" s="4">
        <v>7.4791990334013722E-2</v>
      </c>
      <c r="FF21" s="5">
        <v>1.0133259222388606E-2</v>
      </c>
      <c r="FG21" s="5">
        <v>8.1339557685251185E-3</v>
      </c>
      <c r="FH21" s="5">
        <v>9.7466477131250215E-3</v>
      </c>
      <c r="FI21" s="5">
        <v>1.7466816830405931E-2</v>
      </c>
      <c r="FJ21" s="5">
        <v>2.6281641110398764E-2</v>
      </c>
      <c r="FK21" s="5">
        <v>2.5599430623940853E-2</v>
      </c>
      <c r="FL21" s="5">
        <v>1.6122127344418289E-2</v>
      </c>
      <c r="FM21" s="5">
        <v>1.9696557051413818E-2</v>
      </c>
      <c r="FN21" s="5">
        <v>7.1618906200643711E-3</v>
      </c>
      <c r="FO21" s="5">
        <v>3.7809419302198229E-2</v>
      </c>
      <c r="FP21" s="5">
        <v>5.7489291380357042E-2</v>
      </c>
      <c r="FQ21" s="5">
        <v>4.4735734294797894E-2</v>
      </c>
      <c r="FR21" s="5">
        <v>2.3713398377350741E-2</v>
      </c>
      <c r="FS21" s="5">
        <v>1.7191830075349277E-2</v>
      </c>
      <c r="FT21" s="5">
        <v>2.3214744392932595E-2</v>
      </c>
      <c r="FU21" s="5">
        <v>1.8449800152839129E-2</v>
      </c>
      <c r="FV21" s="5">
        <v>7.5795265816492449E-3</v>
      </c>
      <c r="FW21" s="5">
        <v>1.7671985478075363E-3</v>
      </c>
      <c r="FX21" s="5">
        <v>2.1465598077016895E-3</v>
      </c>
      <c r="FY21" s="5">
        <v>5.8148629356563836E-3</v>
      </c>
      <c r="FZ21" s="5">
        <v>1.3569509839869594E-2</v>
      </c>
      <c r="GA21" s="5">
        <v>1.7572610857664119E-2</v>
      </c>
      <c r="GB21" s="5">
        <v>1.9119334040190387E-2</v>
      </c>
      <c r="GC21" s="5">
        <v>1.8521573730951167E-2</v>
      </c>
      <c r="GD21" s="5">
        <v>2.2029352491585261E-2</v>
      </c>
      <c r="GE21" s="5">
        <v>2.7205442040318287E-2</v>
      </c>
      <c r="GF21" s="5">
        <v>2.0936686574247788E-2</v>
      </c>
      <c r="GG21" s="5">
        <v>1.2490216665174254E-2</v>
      </c>
      <c r="GI21" s="3" t="s">
        <v>304</v>
      </c>
      <c r="GJ21" s="3" t="s">
        <v>154</v>
      </c>
      <c r="GK21" s="5">
        <v>5.2579355739853589E-2</v>
      </c>
      <c r="GL21" s="5">
        <v>5.4870187218308206E-2</v>
      </c>
      <c r="GM21" s="5">
        <v>4.8012921295353249E-2</v>
      </c>
      <c r="GN21" s="5">
        <v>6.295870988724292E-2</v>
      </c>
      <c r="GO21" s="5">
        <v>5.5811105808587703E-2</v>
      </c>
      <c r="GP21" s="5">
        <v>4.9051218915647191E-2</v>
      </c>
      <c r="GQ21" s="5">
        <v>4.9659504526600437E-2</v>
      </c>
      <c r="GR21" s="5">
        <v>5.5613564211765096E-2</v>
      </c>
      <c r="GS21" s="5">
        <v>6.4992888107035393E-2</v>
      </c>
      <c r="GT21" s="5">
        <v>6.7174913211732801E-2</v>
      </c>
      <c r="GU21" s="5">
        <v>5.9106739403245533E-2</v>
      </c>
      <c r="GV21" s="5">
        <v>6.4550846491744654E-2</v>
      </c>
      <c r="GW21" s="5">
        <v>7.0393186054574855E-2</v>
      </c>
      <c r="GX21" s="5">
        <v>7.1728007692366424E-2</v>
      </c>
      <c r="GY21" s="5">
        <v>8.4789339688314591E-2</v>
      </c>
      <c r="GZ21" s="5">
        <v>9.1357670089060164E-2</v>
      </c>
      <c r="HA21" s="5">
        <v>8.3647060757532365E-2</v>
      </c>
      <c r="HB21" s="4">
        <v>6.4334139386584346E-2</v>
      </c>
      <c r="HC21" s="5">
        <v>5.7231788823419283E-2</v>
      </c>
      <c r="HD21" s="5">
        <v>5.3664347002115413E-2</v>
      </c>
      <c r="HE21" s="5">
        <v>0.11290532289948794</v>
      </c>
      <c r="HF21" s="5">
        <v>0.12272090440320259</v>
      </c>
      <c r="HG21" s="5">
        <v>0.1327223456604458</v>
      </c>
      <c r="HH21" s="5">
        <v>0.13413453120072802</v>
      </c>
      <c r="HI21" s="5">
        <v>0.11628245337601366</v>
      </c>
      <c r="HJ21" s="5">
        <v>0.10065032422665865</v>
      </c>
      <c r="HK21" s="5">
        <v>8.8360035811358248E-2</v>
      </c>
      <c r="HL21" s="4">
        <v>8.9652862565075681E-2</v>
      </c>
      <c r="HM21" s="5">
        <v>9.4783862022160381E-2</v>
      </c>
      <c r="HN21" s="5">
        <v>0.11230495813605343</v>
      </c>
      <c r="HO21" s="5">
        <v>0.12243145420143095</v>
      </c>
      <c r="HP21" s="5">
        <v>0.12736242001541195</v>
      </c>
      <c r="HQ21" s="5">
        <v>0.18464153366302252</v>
      </c>
      <c r="HR21" s="5">
        <v>0.19660606088247229</v>
      </c>
      <c r="HS21" s="5">
        <v>0.1803037936700316</v>
      </c>
      <c r="HT21" s="5">
        <v>0.17195634884006872</v>
      </c>
      <c r="HU21" s="5">
        <v>0.16576750803833681</v>
      </c>
      <c r="HV21" s="5">
        <v>0.15071552567619917</v>
      </c>
      <c r="HW21" s="5">
        <v>0.14568853037004609</v>
      </c>
      <c r="HX21" s="5">
        <v>0.12653976045851426</v>
      </c>
      <c r="HY21" s="5">
        <v>8.243107200972638E-2</v>
      </c>
      <c r="HZ21" s="5">
        <v>7.8096619661514682E-2</v>
      </c>
      <c r="IA21" s="5">
        <v>8.122658510195481E-2</v>
      </c>
      <c r="IB21" s="5">
        <v>9.5123743422196136E-2</v>
      </c>
      <c r="IC21" s="5">
        <v>0.11893706836280754</v>
      </c>
      <c r="ID21" s="5">
        <v>0.12161030035932069</v>
      </c>
      <c r="IE21" s="5">
        <v>0.13071700115096987</v>
      </c>
      <c r="IF21" s="5">
        <v>0.13799494709173021</v>
      </c>
      <c r="IG21" s="5">
        <v>0.15094754103633787</v>
      </c>
      <c r="IH21" s="5">
        <v>0.10919038182080822</v>
      </c>
      <c r="II21" s="5">
        <v>0.12291233906748457</v>
      </c>
      <c r="IJ21" s="5">
        <v>0.10166277897685994</v>
      </c>
      <c r="IK21" s="5">
        <v>9.1010816541712558E-2</v>
      </c>
      <c r="IL21" s="5">
        <v>8.3072764356720827E-2</v>
      </c>
      <c r="IM21" s="5">
        <v>6.7716393815595952E-2</v>
      </c>
      <c r="IN21" s="5">
        <v>6.2323155849479631E-2</v>
      </c>
      <c r="IO21" s="5">
        <v>6.6393411352860393E-2</v>
      </c>
      <c r="IP21" s="5">
        <v>7.6748127550513634E-2</v>
      </c>
      <c r="IQ21" s="5">
        <v>0.1069380250861461</v>
      </c>
      <c r="IR21" s="5">
        <v>0.12124651616921223</v>
      </c>
      <c r="JB21" s="3" t="s">
        <v>304</v>
      </c>
      <c r="JC21" s="5">
        <v>0.70495965806002692</v>
      </c>
      <c r="JD21" s="5">
        <v>0.70382187068731683</v>
      </c>
      <c r="JE21" s="5">
        <v>0.70458212686205401</v>
      </c>
      <c r="JF21" s="5">
        <v>0.69868774646963094</v>
      </c>
      <c r="JG21" s="5">
        <v>0.71898394796938192</v>
      </c>
      <c r="JH21" s="5">
        <v>0.73551161335263404</v>
      </c>
      <c r="JI21" s="5">
        <v>0.73369813643487858</v>
      </c>
      <c r="JJ21" s="5">
        <v>0.71939555983332659</v>
      </c>
      <c r="JK21" s="5">
        <v>0.69992748616982481</v>
      </c>
      <c r="JL21" s="5">
        <v>0.69639975750567029</v>
      </c>
      <c r="JM21" s="5">
        <v>0.714167289839717</v>
      </c>
      <c r="JN21" s="5">
        <v>0.71024102447162041</v>
      </c>
      <c r="JO21" s="5">
        <v>0.71064816160725053</v>
      </c>
      <c r="JP21" s="5">
        <v>0.69224029661284947</v>
      </c>
      <c r="JQ21" s="5">
        <v>0.67285795551336769</v>
      </c>
      <c r="JR21" s="5">
        <v>0.66157602506573676</v>
      </c>
      <c r="JS21" s="5">
        <v>0.67323315081891189</v>
      </c>
      <c r="JT21" s="5">
        <v>0.70855543462049597</v>
      </c>
      <c r="JU21" s="5">
        <v>0.74255531059065272</v>
      </c>
      <c r="JV21" s="4">
        <v>0.73644472992482546</v>
      </c>
      <c r="JW21" s="5">
        <v>0.59209921490796735</v>
      </c>
      <c r="JX21" s="4">
        <v>0.57330980106758278</v>
      </c>
      <c r="JY21" s="5">
        <v>0.55751018125286578</v>
      </c>
      <c r="JZ21" s="5">
        <v>0.54635023370617664</v>
      </c>
      <c r="KA21" s="5">
        <v>0.58455108206927309</v>
      </c>
      <c r="KB21" s="5">
        <v>0.61845955905082672</v>
      </c>
      <c r="KC21" s="5">
        <v>0.64172281662296549</v>
      </c>
      <c r="KD21" s="5">
        <v>0.64324259231209147</v>
      </c>
      <c r="KE21" s="5">
        <v>0.62777526558883334</v>
      </c>
      <c r="KF21" s="5">
        <v>0.58825328763809881</v>
      </c>
      <c r="KG21" s="5">
        <v>0.40202540555740551</v>
      </c>
      <c r="KH21" s="4">
        <v>0.38781356367152076</v>
      </c>
      <c r="KI21" s="5">
        <v>0.3711254291456379</v>
      </c>
      <c r="KJ21" s="5">
        <v>0.33723265431643029</v>
      </c>
      <c r="KK21" s="5">
        <v>0.35969367697490512</v>
      </c>
      <c r="KL21" s="5">
        <v>0.38383597330015051</v>
      </c>
      <c r="KM21" s="5">
        <v>0.39389909978132442</v>
      </c>
      <c r="KN21" s="5">
        <v>0.39244766665213821</v>
      </c>
      <c r="KO21" s="5">
        <v>0.38801373050040744</v>
      </c>
      <c r="KP21" s="5">
        <v>0.39369776739491624</v>
      </c>
      <c r="KQ21" s="5">
        <v>0.58241201509725793</v>
      </c>
      <c r="KR21" s="5">
        <v>0.56715458257409679</v>
      </c>
      <c r="KS21" s="4">
        <v>0.56191554612483696</v>
      </c>
      <c r="KT21" s="5">
        <v>0.55975927231066325</v>
      </c>
      <c r="KU21" s="5">
        <v>0.5573693669412656</v>
      </c>
      <c r="KV21" s="5">
        <v>0.55328756106598653</v>
      </c>
      <c r="KW21" s="5">
        <v>0.53336145320872985</v>
      </c>
      <c r="KX21" s="5">
        <v>0.51561589643478944</v>
      </c>
      <c r="KY21" s="5">
        <v>0.52081157766851338</v>
      </c>
      <c r="KZ21" s="5">
        <v>0.57592881068442692</v>
      </c>
      <c r="LA21" s="5">
        <v>0.61291241696648702</v>
      </c>
      <c r="LB21" s="5">
        <v>0.61745783772760321</v>
      </c>
      <c r="LC21" s="5">
        <v>0.61703675256833823</v>
      </c>
      <c r="LD21" s="5">
        <v>0.62834410651543837</v>
      </c>
      <c r="LE21" s="5">
        <v>0.65845235178234041</v>
      </c>
      <c r="LF21" s="5">
        <v>0.66879032296472185</v>
      </c>
      <c r="LG21" s="5">
        <v>0.6672341617121661</v>
      </c>
      <c r="LH21" s="5">
        <v>0.65372541139107399</v>
      </c>
      <c r="LI21" s="5">
        <v>0.63018251839597383</v>
      </c>
      <c r="LJ21" s="5">
        <v>0.62293794205514752</v>
      </c>
      <c r="LL21" s="3" t="s">
        <v>305</v>
      </c>
      <c r="LM21" s="3" t="s">
        <v>160</v>
      </c>
      <c r="LN21" s="3" t="s">
        <v>161</v>
      </c>
      <c r="LO21" s="5">
        <v>0.50244202167071972</v>
      </c>
    </row>
    <row r="22" spans="2:327" x14ac:dyDescent="0.45">
      <c r="B22" s="6" t="s">
        <v>306</v>
      </c>
      <c r="C22" s="6" t="s">
        <v>151</v>
      </c>
      <c r="D22" s="8">
        <v>0.31487423056152813</v>
      </c>
      <c r="E22" s="8">
        <v>0.31087395724551931</v>
      </c>
      <c r="F22" s="8">
        <v>0.30646151714913689</v>
      </c>
      <c r="G22" s="8">
        <v>0.30779419909765693</v>
      </c>
      <c r="H22" s="8">
        <v>0.29503103543942549</v>
      </c>
      <c r="I22" s="8">
        <v>0.28501426590994849</v>
      </c>
      <c r="J22" s="8">
        <v>0.29340076124599024</v>
      </c>
      <c r="K22" s="8">
        <v>0.30456849617912291</v>
      </c>
      <c r="L22" s="8">
        <v>0.31107188340287523</v>
      </c>
      <c r="M22" s="8">
        <v>0.32279599549941163</v>
      </c>
      <c r="N22" s="8">
        <v>0.27660184842535035</v>
      </c>
      <c r="O22" s="8">
        <v>0.28129793684633175</v>
      </c>
      <c r="P22" s="8">
        <v>0.2746090828206541</v>
      </c>
      <c r="Q22" s="8">
        <v>0.28300636886750546</v>
      </c>
      <c r="R22" s="8">
        <v>0.28828382868347657</v>
      </c>
      <c r="S22" s="8">
        <v>0.27674926108262615</v>
      </c>
      <c r="T22" s="8">
        <v>0.26890357568646106</v>
      </c>
      <c r="U22" s="8">
        <v>0.27891115008531803</v>
      </c>
      <c r="V22" s="8">
        <v>0.27236717768158231</v>
      </c>
      <c r="W22" s="8">
        <v>0.27783223046714839</v>
      </c>
      <c r="X22" s="8">
        <v>0.37959247889839526</v>
      </c>
      <c r="Y22" s="8">
        <v>0.36597919192616579</v>
      </c>
      <c r="Z22" s="8">
        <v>0.34180164119088724</v>
      </c>
      <c r="AA22" s="8">
        <v>0.33427112196512032</v>
      </c>
      <c r="AB22" s="8">
        <v>0.31411513331316449</v>
      </c>
      <c r="AC22" s="8">
        <v>0.29135805548501176</v>
      </c>
      <c r="AD22" s="8">
        <v>0.28021864229555643</v>
      </c>
      <c r="AE22" s="8">
        <v>0.28842214403205324</v>
      </c>
      <c r="AF22" s="8">
        <v>0.29850481416915076</v>
      </c>
      <c r="AG22" s="8">
        <v>0.33781428556121001</v>
      </c>
      <c r="AH22" s="8">
        <v>0.3906440173320827</v>
      </c>
      <c r="AI22" s="8">
        <v>0.37115772787214529</v>
      </c>
      <c r="AJ22" s="8">
        <v>0.40225983316322345</v>
      </c>
      <c r="AK22" s="8">
        <v>0.39275534384035404</v>
      </c>
      <c r="AL22" s="8">
        <v>0.35574607396098346</v>
      </c>
      <c r="AM22" s="8">
        <v>0.33488967321757201</v>
      </c>
      <c r="AN22" s="8">
        <v>0.31290463320592576</v>
      </c>
      <c r="AO22" s="8">
        <v>0.31189564787754731</v>
      </c>
      <c r="AP22" s="8">
        <v>0.33339572756476521</v>
      </c>
      <c r="AQ22" s="8">
        <v>0.3917743428201218</v>
      </c>
      <c r="AR22" s="8">
        <v>0.31084713962793603</v>
      </c>
      <c r="AS22" s="8">
        <v>0.3131410506224177</v>
      </c>
      <c r="AT22" s="8">
        <v>0.32957214687872399</v>
      </c>
      <c r="AU22" s="8">
        <v>0.3264560804192006</v>
      </c>
      <c r="AV22" s="8">
        <v>0.29931762952959823</v>
      </c>
      <c r="AW22" s="8">
        <v>0.28778452908495011</v>
      </c>
      <c r="AX22" s="8">
        <v>0.2949261956530283</v>
      </c>
      <c r="AY22" s="8">
        <v>0.30892068404319695</v>
      </c>
      <c r="AZ22" s="8">
        <v>0.32767651437454343</v>
      </c>
      <c r="BA22" s="8">
        <v>0.30637342398939038</v>
      </c>
      <c r="BB22" s="8">
        <v>0.3488863625762888</v>
      </c>
      <c r="BC22" s="8">
        <v>0.34782220063430641</v>
      </c>
      <c r="BD22" s="8">
        <v>0.35344327349211752</v>
      </c>
      <c r="BE22" s="8">
        <v>0.36849710845336714</v>
      </c>
      <c r="BF22" s="8">
        <v>0.35083863990217434</v>
      </c>
      <c r="BG22" s="8">
        <v>0.33144653620491726</v>
      </c>
      <c r="BH22" s="8">
        <v>0.3168237084831429</v>
      </c>
      <c r="BI22" s="8">
        <v>0.32277876735695338</v>
      </c>
      <c r="BJ22" s="8">
        <v>0.32335747325841574</v>
      </c>
      <c r="BK22" s="8">
        <v>0.3276214639746019</v>
      </c>
      <c r="BM22" s="6" t="s">
        <v>306</v>
      </c>
      <c r="BN22" s="6" t="s">
        <v>152</v>
      </c>
      <c r="BO22" s="8">
        <v>1.7331252419373149E-2</v>
      </c>
      <c r="BP22" s="8">
        <v>1.5164208019260781E-2</v>
      </c>
      <c r="BQ22" s="8">
        <v>1.7423458714112012E-2</v>
      </c>
      <c r="BR22" s="8">
        <v>2.7902442877230281E-2</v>
      </c>
      <c r="BS22" s="8">
        <v>2.88726215871348E-2</v>
      </c>
      <c r="BT22" s="8">
        <v>1.7976154681159175E-2</v>
      </c>
      <c r="BU22" s="7">
        <v>2.8609825956480518E-2</v>
      </c>
      <c r="BV22" s="8">
        <v>1.9315578982601788E-2</v>
      </c>
      <c r="BW22" s="8">
        <v>2.2340870474570205E-2</v>
      </c>
      <c r="BX22" s="8">
        <v>3.0409143391782332E-2</v>
      </c>
      <c r="BY22" s="8">
        <v>2.0934842760067074E-2</v>
      </c>
      <c r="BZ22" s="7">
        <v>1.1493083419536426E-2</v>
      </c>
      <c r="CA22" s="8">
        <v>1.3296946839107492E-2</v>
      </c>
      <c r="CB22" s="8">
        <v>8.8387047831783843E-3</v>
      </c>
      <c r="CC22" s="8">
        <v>7.5638392454484204E-3</v>
      </c>
      <c r="CD22" s="7">
        <v>4.6150918560457534E-3</v>
      </c>
      <c r="CE22" s="7">
        <v>1.6643132579593382E-2</v>
      </c>
      <c r="CF22" s="7">
        <v>7.9799039143248745E-3</v>
      </c>
      <c r="CG22" s="8">
        <v>6.2241529109067851E-3</v>
      </c>
      <c r="CH22" s="8">
        <v>2.0061376900826433E-2</v>
      </c>
      <c r="CI22" s="8">
        <v>4.1401247045947581E-2</v>
      </c>
      <c r="CJ22" s="8">
        <v>2.5943223215842429E-2</v>
      </c>
      <c r="CK22" s="7">
        <v>1.3629631549577288E-2</v>
      </c>
      <c r="CL22" s="7">
        <v>2.4389696153174122E-2</v>
      </c>
      <c r="CM22" s="8">
        <v>1.8285453929669345E-2</v>
      </c>
      <c r="CN22" s="8">
        <v>1.15488049105911E-2</v>
      </c>
      <c r="CO22" s="8">
        <v>1.9775240128750718E-2</v>
      </c>
      <c r="CP22" s="8">
        <v>2.215946434729402E-2</v>
      </c>
      <c r="CQ22" s="8">
        <v>1.3619806779406477E-2</v>
      </c>
      <c r="CR22" s="8">
        <v>1.2950636498266156E-2</v>
      </c>
      <c r="CS22" s="8">
        <v>2.9875652126411661E-2</v>
      </c>
      <c r="CT22" s="7">
        <v>3.9389457149433676E-2</v>
      </c>
      <c r="CU22" s="8">
        <v>5.9802469034822545E-2</v>
      </c>
      <c r="CV22" s="8">
        <v>6.4504587309145267E-2</v>
      </c>
      <c r="CW22" s="8">
        <v>2.6512914236547995E-2</v>
      </c>
      <c r="CX22" s="8">
        <v>1.6571546880092686E-2</v>
      </c>
      <c r="CY22" s="8">
        <v>1.2107115682376208E-2</v>
      </c>
      <c r="CZ22" s="8">
        <v>1.3635490155283545E-2</v>
      </c>
      <c r="DA22" s="8">
        <v>1.9287934727519541E-2</v>
      </c>
      <c r="DB22" s="7">
        <v>3.9177832526072043E-2</v>
      </c>
      <c r="DC22" s="8">
        <v>5.8230697851186036E-2</v>
      </c>
      <c r="DD22" s="8">
        <v>3.12282833837569E-2</v>
      </c>
      <c r="DE22" s="8">
        <v>5.2058331893979903E-2</v>
      </c>
      <c r="DF22" s="8">
        <v>1.4934179682007036E-2</v>
      </c>
      <c r="DG22" s="8">
        <v>1.9876735260958567E-2</v>
      </c>
      <c r="DH22" s="8">
        <v>2.4289716710991456E-2</v>
      </c>
      <c r="DI22" s="8">
        <v>1.0771037796803251E-2</v>
      </c>
      <c r="DJ22" s="8">
        <v>1.035559016955831E-2</v>
      </c>
      <c r="DK22" s="8">
        <v>1.5164357339359402E-2</v>
      </c>
      <c r="DL22" s="8">
        <v>1.5407660897587921E-2</v>
      </c>
      <c r="DM22" s="8">
        <v>3.7235072200914827E-2</v>
      </c>
      <c r="DN22" s="8">
        <v>2.8303460294017788E-2</v>
      </c>
      <c r="DO22" s="8">
        <v>1.9597493561521458E-2</v>
      </c>
      <c r="DP22" s="8">
        <v>2.8185514180185157E-2</v>
      </c>
      <c r="DQ22" s="8">
        <v>3.4681174650891343E-2</v>
      </c>
      <c r="DR22" s="8">
        <v>2.7522137508510243E-2</v>
      </c>
      <c r="DS22" s="8">
        <v>2.1129560126278309E-2</v>
      </c>
      <c r="DT22" s="8">
        <v>1.8482920682314555E-2</v>
      </c>
      <c r="DU22" s="7">
        <v>1.103385252226923E-2</v>
      </c>
      <c r="DV22" s="8">
        <v>1.0517787364604283E-2</v>
      </c>
      <c r="DX22" s="6" t="s">
        <v>306</v>
      </c>
      <c r="DY22" s="6" t="s">
        <v>153</v>
      </c>
      <c r="DZ22" s="8">
        <v>3.9001711230007279E-2</v>
      </c>
      <c r="EA22" s="8">
        <v>1.880885381830074E-2</v>
      </c>
      <c r="EB22" s="7">
        <v>9.0385321289211413E-3</v>
      </c>
      <c r="EC22" s="8">
        <v>1.0649926674598287E-2</v>
      </c>
      <c r="ED22" s="8">
        <v>1.8143018872861769E-2</v>
      </c>
      <c r="EE22" s="8">
        <v>4.0371581035767254E-2</v>
      </c>
      <c r="EF22" s="7">
        <v>3.963156822002635E-2</v>
      </c>
      <c r="EG22" s="8">
        <v>3.4358761057878037E-2</v>
      </c>
      <c r="EH22" s="8">
        <v>2.9867268240930646E-2</v>
      </c>
      <c r="EI22" s="8">
        <v>1.6351573471740127E-2</v>
      </c>
      <c r="EJ22" s="8">
        <v>3.2902883913114953E-2</v>
      </c>
      <c r="EK22" s="8">
        <v>4.1798556608206937E-2</v>
      </c>
      <c r="EL22" s="8">
        <v>9.0018256135865008E-3</v>
      </c>
      <c r="EM22" s="8">
        <v>1.4796080993959775E-2</v>
      </c>
      <c r="EN22" s="8">
        <v>2.274931261048441E-2</v>
      </c>
      <c r="EO22" s="8">
        <v>8.6187414888736144E-3</v>
      </c>
      <c r="EP22" s="8">
        <v>4.8734881976678314E-3</v>
      </c>
      <c r="EQ22" s="8">
        <v>1.2605329502056848E-2</v>
      </c>
      <c r="ER22" s="8">
        <v>2.1883136840988365E-3</v>
      </c>
      <c r="ES22" s="8">
        <v>1.4093488372609164E-3</v>
      </c>
      <c r="ET22" s="8">
        <v>3.0678485310961734E-2</v>
      </c>
      <c r="EU22" s="8">
        <v>5.6611609105532035E-2</v>
      </c>
      <c r="EV22" s="8">
        <v>5.1014033683629778E-2</v>
      </c>
      <c r="EW22" s="8">
        <v>2.9489294250756776E-2</v>
      </c>
      <c r="EX22" s="8">
        <v>3.044867955656419E-2</v>
      </c>
      <c r="EY22" s="8">
        <v>2.6763295986682402E-2</v>
      </c>
      <c r="EZ22" s="8">
        <v>2.6058577961910741E-2</v>
      </c>
      <c r="FA22" s="8">
        <v>2.6676894454427884E-2</v>
      </c>
      <c r="FB22" s="8">
        <v>2.966199028626652E-2</v>
      </c>
      <c r="FC22" s="8">
        <v>4.5683121931697324E-2</v>
      </c>
      <c r="FD22" s="8">
        <v>3.0490603324891074E-2</v>
      </c>
      <c r="FE22" s="7">
        <v>7.1783438221172113E-2</v>
      </c>
      <c r="FF22" s="8">
        <v>5.0375984214281869E-2</v>
      </c>
      <c r="FG22" s="8">
        <v>3.6571721461082909E-2</v>
      </c>
      <c r="FH22" s="8">
        <v>7.0968452478991015E-2</v>
      </c>
      <c r="FI22" s="8">
        <v>7.5348361845637368E-2</v>
      </c>
      <c r="FJ22" s="8">
        <v>5.6903457671903523E-2</v>
      </c>
      <c r="FK22" s="8">
        <v>2.6411377006208381E-2</v>
      </c>
      <c r="FL22" s="8">
        <v>2.8279966445888247E-2</v>
      </c>
      <c r="FM22" s="8">
        <v>2.5454951496104931E-2</v>
      </c>
      <c r="FN22" s="8">
        <v>3.5724466503491065E-2</v>
      </c>
      <c r="FO22" s="8">
        <v>9.1914091609494014E-2</v>
      </c>
      <c r="FP22" s="8">
        <v>6.9788952559123374E-2</v>
      </c>
      <c r="FQ22" s="8">
        <v>6.2361055233623869E-2</v>
      </c>
      <c r="FR22" s="8">
        <v>4.1685692538650572E-2</v>
      </c>
      <c r="FS22" s="8">
        <v>2.3461589170234803E-2</v>
      </c>
      <c r="FT22" s="8">
        <v>2.5953765181148079E-2</v>
      </c>
      <c r="FU22" s="8">
        <v>2.9739512188984588E-2</v>
      </c>
      <c r="FV22" s="8">
        <v>2.4720994793063441E-2</v>
      </c>
      <c r="FW22" s="8">
        <v>2.1216154525603929E-2</v>
      </c>
      <c r="FX22" s="8">
        <v>1.5437431178468772E-2</v>
      </c>
      <c r="FY22" s="8">
        <v>4.4927065383741735E-2</v>
      </c>
      <c r="FZ22" s="8">
        <v>4.6789256480855725E-2</v>
      </c>
      <c r="GA22" s="8">
        <v>3.7754375926431036E-2</v>
      </c>
      <c r="GB22" s="8">
        <v>2.5136759025911271E-2</v>
      </c>
      <c r="GC22" s="8">
        <v>2.2410976720837389E-2</v>
      </c>
      <c r="GD22" s="8">
        <v>3.7320413630756756E-2</v>
      </c>
      <c r="GE22" s="8">
        <v>4.0689481708150767E-2</v>
      </c>
      <c r="GF22" s="8">
        <v>1.9030624445934806E-2</v>
      </c>
      <c r="GG22" s="8">
        <v>1.1108975532295846E-2</v>
      </c>
      <c r="GI22" s="6" t="s">
        <v>306</v>
      </c>
      <c r="GJ22" s="6" t="s">
        <v>154</v>
      </c>
      <c r="GK22" s="8">
        <v>0.1397388672330856</v>
      </c>
      <c r="GL22" s="8">
        <v>0.1510952533534643</v>
      </c>
      <c r="GM22" s="8">
        <v>0.14760969451727518</v>
      </c>
      <c r="GN22" s="8">
        <v>0.12650682199251922</v>
      </c>
      <c r="GO22" s="8">
        <v>0.11342278065727544</v>
      </c>
      <c r="GP22" s="8">
        <v>9.9562561272973693E-2</v>
      </c>
      <c r="GQ22" s="8">
        <v>0.10757059967308136</v>
      </c>
      <c r="GR22" s="8">
        <v>0.11930506328417692</v>
      </c>
      <c r="GS22" s="8">
        <v>0.13365196224134507</v>
      </c>
      <c r="GT22" s="8">
        <v>0.15040732869381712</v>
      </c>
      <c r="GU22" s="8">
        <v>0.11205412483904428</v>
      </c>
      <c r="GV22" s="8">
        <v>0.12077363516781719</v>
      </c>
      <c r="GW22" s="8">
        <v>0.14806258099236416</v>
      </c>
      <c r="GX22" s="8">
        <v>0.14522981326452478</v>
      </c>
      <c r="GY22" s="8">
        <v>0.13869525288244572</v>
      </c>
      <c r="GZ22" s="8">
        <v>0.1479070685375807</v>
      </c>
      <c r="HA22" s="8">
        <v>0.13582771178493169</v>
      </c>
      <c r="HB22" s="7">
        <v>0.14184100221589466</v>
      </c>
      <c r="HC22" s="8">
        <v>0.1470913104018505</v>
      </c>
      <c r="HD22" s="8">
        <v>0.13403200830331902</v>
      </c>
      <c r="HE22" s="8">
        <v>0.16043111921267306</v>
      </c>
      <c r="HF22" s="8">
        <v>0.13523519065342357</v>
      </c>
      <c r="HG22" s="8">
        <v>0.14282082612230651</v>
      </c>
      <c r="HH22" s="8">
        <v>0.157456550747923</v>
      </c>
      <c r="HI22" s="8">
        <v>0.15028560767623439</v>
      </c>
      <c r="HJ22" s="8">
        <v>0.13582778025684855</v>
      </c>
      <c r="HK22" s="8">
        <v>0.11616508340360698</v>
      </c>
      <c r="HL22" s="7">
        <v>0.11774215181408508</v>
      </c>
      <c r="HM22" s="8">
        <v>0.13787533344979477</v>
      </c>
      <c r="HN22" s="8">
        <v>0.15639553103509823</v>
      </c>
      <c r="HO22" s="8">
        <v>0.21226878473814884</v>
      </c>
      <c r="HP22" s="8">
        <v>0.13311871037240397</v>
      </c>
      <c r="HQ22" s="8">
        <v>0.15128574606199924</v>
      </c>
      <c r="HR22" s="8">
        <v>0.17520622297440741</v>
      </c>
      <c r="HS22" s="8">
        <v>0.13640514998313863</v>
      </c>
      <c r="HT22" s="8">
        <v>0.11629894903501327</v>
      </c>
      <c r="HU22" s="8">
        <v>0.140940413235045</v>
      </c>
      <c r="HV22" s="8">
        <v>0.17157368084496311</v>
      </c>
      <c r="HW22" s="8">
        <v>0.18256288664383136</v>
      </c>
      <c r="HX22" s="8">
        <v>0.21260155333284514</v>
      </c>
      <c r="HY22" s="8">
        <v>0.10556551739528255</v>
      </c>
      <c r="HZ22" s="8">
        <v>8.9689033009767383E-2</v>
      </c>
      <c r="IA22" s="8">
        <v>9.6703577194778442E-2</v>
      </c>
      <c r="IB22" s="8">
        <v>0.13410203136006149</v>
      </c>
      <c r="IC22" s="8">
        <v>0.12338376411706316</v>
      </c>
      <c r="ID22" s="8">
        <v>0.13458920573182151</v>
      </c>
      <c r="IE22" s="8">
        <v>0.14954945466120834</v>
      </c>
      <c r="IF22" s="8">
        <v>0.15294397196220874</v>
      </c>
      <c r="IG22" s="8">
        <v>0.17317597372833954</v>
      </c>
      <c r="IH22" s="8">
        <v>0.15990918573826379</v>
      </c>
      <c r="II22" s="8">
        <v>0.15880036763393929</v>
      </c>
      <c r="IJ22" s="8">
        <v>0.13186256614332786</v>
      </c>
      <c r="IK22" s="8">
        <v>0.1456441230728453</v>
      </c>
      <c r="IL22" s="8">
        <v>0.14889093476519127</v>
      </c>
      <c r="IM22" s="8">
        <v>0.13816556277139305</v>
      </c>
      <c r="IN22" s="8">
        <v>0.13745618831142298</v>
      </c>
      <c r="IO22" s="8">
        <v>0.11510374342137747</v>
      </c>
      <c r="IP22" s="8">
        <v>0.12344367472031739</v>
      </c>
      <c r="IQ22" s="8">
        <v>0.16130657056865511</v>
      </c>
      <c r="IR22" s="8">
        <v>0.17356001134749396</v>
      </c>
      <c r="JB22" s="6" t="s">
        <v>306</v>
      </c>
      <c r="JC22" s="8">
        <v>0.43335467607091088</v>
      </c>
      <c r="JD22" s="8">
        <v>0.44966709863460819</v>
      </c>
      <c r="JE22" s="8">
        <v>0.46344139049417515</v>
      </c>
      <c r="JF22" s="8">
        <v>0.48579499382000002</v>
      </c>
      <c r="JG22" s="8">
        <v>0.50790871603646814</v>
      </c>
      <c r="JH22" s="8">
        <v>0.50609728801896214</v>
      </c>
      <c r="JI22" s="8">
        <v>0.48305347899413126</v>
      </c>
      <c r="JJ22" s="8">
        <v>0.46619657884636945</v>
      </c>
      <c r="JK22" s="8">
        <v>0.44923205207285966</v>
      </c>
      <c r="JL22" s="8">
        <v>0.43704837399623819</v>
      </c>
      <c r="JM22" s="8">
        <v>0.45508419092781327</v>
      </c>
      <c r="JN22" s="8">
        <v>0.44693446338127146</v>
      </c>
      <c r="JO22" s="8">
        <v>0.46381161379311353</v>
      </c>
      <c r="JP22" s="8">
        <v>0.48794495317583059</v>
      </c>
      <c r="JQ22" s="8">
        <v>0.48971250036779962</v>
      </c>
      <c r="JR22" s="8">
        <v>0.4931201146056135</v>
      </c>
      <c r="JS22" s="8">
        <v>0.49312103362624055</v>
      </c>
      <c r="JT22" s="8">
        <v>0.46206017145895267</v>
      </c>
      <c r="JU22" s="8">
        <v>0.44992845802602499</v>
      </c>
      <c r="JV22" s="7">
        <v>0.45767370506775668</v>
      </c>
      <c r="JW22" s="8">
        <v>0.31662075831882924</v>
      </c>
      <c r="JX22" s="7">
        <v>0.33590897336548525</v>
      </c>
      <c r="JY22" s="8">
        <v>0.38082744558186926</v>
      </c>
      <c r="JZ22" s="8">
        <v>0.40014212181127279</v>
      </c>
      <c r="KA22" s="8">
        <v>0.43079462892344506</v>
      </c>
      <c r="KB22" s="8">
        <v>0.45256361193351852</v>
      </c>
      <c r="KC22" s="8">
        <v>0.46240442682823107</v>
      </c>
      <c r="KD22" s="8">
        <v>0.42752330713594733</v>
      </c>
      <c r="KE22" s="8">
        <v>0.36743400576099811</v>
      </c>
      <c r="KF22" s="8">
        <v>0.32857154417891193</v>
      </c>
      <c r="KG22" s="8">
        <v>0.19656906114099151</v>
      </c>
      <c r="KH22" s="7">
        <v>0.18188788652202179</v>
      </c>
      <c r="KI22" s="8">
        <v>0.20952811564449383</v>
      </c>
      <c r="KJ22" s="8">
        <v>0.22550361811526426</v>
      </c>
      <c r="KK22" s="8">
        <v>0.24829256463388027</v>
      </c>
      <c r="KL22" s="8">
        <v>0.27691577183445337</v>
      </c>
      <c r="KM22" s="8">
        <v>0.26926749147178652</v>
      </c>
      <c r="KN22" s="8">
        <v>0.23936978713345211</v>
      </c>
      <c r="KO22" s="8">
        <v>0.19829813926620576</v>
      </c>
      <c r="KP22" s="8">
        <v>0.19296310659054813</v>
      </c>
      <c r="KQ22" s="8">
        <v>0.32086580624416328</v>
      </c>
      <c r="KR22" s="8">
        <v>0.3328222034223664</v>
      </c>
      <c r="KS22" s="7">
        <v>0.3526128897616333</v>
      </c>
      <c r="KT22" s="8">
        <v>0.3841736377772848</v>
      </c>
      <c r="KU22" s="8">
        <v>0.41331396212455734</v>
      </c>
      <c r="KV22" s="8">
        <v>0.4085038379082645</v>
      </c>
      <c r="KW22" s="8">
        <v>0.38690957441291646</v>
      </c>
      <c r="KX22" s="8">
        <v>0.33778810885905697</v>
      </c>
      <c r="KY22" s="8">
        <v>0.31210022232965984</v>
      </c>
      <c r="KZ22" s="8">
        <v>0.3158441691051691</v>
      </c>
      <c r="LA22" s="8">
        <v>0.42501091765898924</v>
      </c>
      <c r="LB22" s="8">
        <v>0.45267217047803954</v>
      </c>
      <c r="LC22" s="8">
        <v>0.4522499348133277</v>
      </c>
      <c r="LD22" s="8">
        <v>0.45511287290869229</v>
      </c>
      <c r="LE22" s="8">
        <v>0.47834085886123501</v>
      </c>
      <c r="LF22" s="8">
        <v>0.48563162416128197</v>
      </c>
      <c r="LG22" s="8">
        <v>0.48303886917032635</v>
      </c>
      <c r="LH22" s="8">
        <v>0.47502609245219762</v>
      </c>
      <c r="LI22" s="8">
        <v>0.45013865096653827</v>
      </c>
      <c r="LJ22" s="8">
        <v>0.42308298178896842</v>
      </c>
      <c r="LL22" s="6" t="s">
        <v>307</v>
      </c>
      <c r="LM22" s="6" t="s">
        <v>160</v>
      </c>
      <c r="LN22" s="6" t="s">
        <v>161</v>
      </c>
      <c r="LO22" s="8">
        <v>0.50478970097066744</v>
      </c>
    </row>
    <row r="23" spans="2:327" x14ac:dyDescent="0.45">
      <c r="B23" s="3" t="s">
        <v>308</v>
      </c>
      <c r="C23" s="3" t="s">
        <v>151</v>
      </c>
      <c r="D23" s="5">
        <v>0.22690858476952558</v>
      </c>
      <c r="E23" s="5">
        <v>0.23120778131804653</v>
      </c>
      <c r="F23" s="5">
        <v>0.2250201832494001</v>
      </c>
      <c r="G23" s="5">
        <v>0.22320949040031099</v>
      </c>
      <c r="H23" s="5">
        <v>0.21531624895794207</v>
      </c>
      <c r="I23" s="5">
        <v>0.2016683578939833</v>
      </c>
      <c r="J23" s="5">
        <v>0.19191744201108085</v>
      </c>
      <c r="K23" s="5">
        <v>0.20717881647232031</v>
      </c>
      <c r="L23" s="5">
        <v>0.21687466050277207</v>
      </c>
      <c r="M23" s="5">
        <v>0.21654653754175793</v>
      </c>
      <c r="N23" s="5">
        <v>0.18049912583121</v>
      </c>
      <c r="O23" s="5">
        <v>0.18927326783670254</v>
      </c>
      <c r="P23" s="5">
        <v>0.19247762249770456</v>
      </c>
      <c r="Q23" s="5">
        <v>0.2051527592324103</v>
      </c>
      <c r="R23" s="5">
        <v>0.21296338762819264</v>
      </c>
      <c r="S23" s="5">
        <v>0.22642757419091297</v>
      </c>
      <c r="T23" s="5">
        <v>0.22307253556252168</v>
      </c>
      <c r="U23" s="5">
        <v>0.19778451795659899</v>
      </c>
      <c r="V23" s="5">
        <v>0.17701432527097555</v>
      </c>
      <c r="W23" s="5">
        <v>0.17578996307174774</v>
      </c>
      <c r="X23" s="5">
        <v>0.29083715068093796</v>
      </c>
      <c r="Y23" s="5">
        <v>0.29059990281340581</v>
      </c>
      <c r="Z23" s="5">
        <v>0.28688444855602457</v>
      </c>
      <c r="AA23" s="5">
        <v>0.28296209750484458</v>
      </c>
      <c r="AB23" s="5">
        <v>0.25145070953081727</v>
      </c>
      <c r="AC23" s="5">
        <v>0.23262814522969769</v>
      </c>
      <c r="AD23" s="5">
        <v>0.21790575635476617</v>
      </c>
      <c r="AE23" s="5">
        <v>0.21393597196519287</v>
      </c>
      <c r="AF23" s="5">
        <v>0.2222376306296506</v>
      </c>
      <c r="AG23" s="5">
        <v>0.2556849409219934</v>
      </c>
      <c r="AH23" s="5">
        <v>0.32330266693429854</v>
      </c>
      <c r="AI23" s="5">
        <v>0.32839593696106578</v>
      </c>
      <c r="AJ23" s="5">
        <v>0.33350430810056753</v>
      </c>
      <c r="AK23" s="5">
        <v>0.34232954531819704</v>
      </c>
      <c r="AL23" s="5">
        <v>0.31231022708479922</v>
      </c>
      <c r="AM23" s="5">
        <v>0.29870829880919669</v>
      </c>
      <c r="AN23" s="5">
        <v>0.28634632418218209</v>
      </c>
      <c r="AO23" s="5">
        <v>0.2867429559258326</v>
      </c>
      <c r="AP23" s="5">
        <v>0.29563812673600609</v>
      </c>
      <c r="AQ23" s="5">
        <v>0.32444812994309336</v>
      </c>
      <c r="AR23" s="5">
        <v>0.24568866366239334</v>
      </c>
      <c r="AS23" s="5">
        <v>0.26144633002138917</v>
      </c>
      <c r="AT23" s="5">
        <v>0.2727103114653594</v>
      </c>
      <c r="AU23" s="5">
        <v>0.27121818217407634</v>
      </c>
      <c r="AV23" s="5">
        <v>0.26283899237548447</v>
      </c>
      <c r="AW23" s="5">
        <v>0.25503937360322637</v>
      </c>
      <c r="AX23" s="5">
        <v>0.25035817381624981</v>
      </c>
      <c r="AY23" s="5">
        <v>0.24844982813967925</v>
      </c>
      <c r="AZ23" s="5">
        <v>0.25300583538540306</v>
      </c>
      <c r="BA23" s="5">
        <v>0.2403282115795953</v>
      </c>
      <c r="BB23" s="5">
        <v>0.28418501964390719</v>
      </c>
      <c r="BC23" s="5">
        <v>0.27299842341400066</v>
      </c>
      <c r="BD23" s="5">
        <v>0.28257065411806487</v>
      </c>
      <c r="BE23" s="5">
        <v>0.27556718897693339</v>
      </c>
      <c r="BF23" s="5">
        <v>0.27356060205846561</v>
      </c>
      <c r="BG23" s="5">
        <v>0.2619070290315062</v>
      </c>
      <c r="BH23" s="5">
        <v>0.25608079189630395</v>
      </c>
      <c r="BI23" s="5">
        <v>0.26257008109859825</v>
      </c>
      <c r="BJ23" s="5">
        <v>0.27549269598147658</v>
      </c>
      <c r="BK23" s="5">
        <v>0.27406516124951208</v>
      </c>
      <c r="BM23" s="3" t="s">
        <v>308</v>
      </c>
      <c r="BN23" s="3" t="s">
        <v>152</v>
      </c>
      <c r="BO23" s="5">
        <v>2.028053021700529E-2</v>
      </c>
      <c r="BP23" s="5">
        <v>1.379894801954781E-2</v>
      </c>
      <c r="BQ23" s="5">
        <v>1.5130832357795082E-2</v>
      </c>
      <c r="BR23" s="5">
        <v>1.5408993575877217E-2</v>
      </c>
      <c r="BS23" s="5">
        <v>6.4491980037006437E-3</v>
      </c>
      <c r="BT23" s="5">
        <v>1.1780833867782024E-2</v>
      </c>
      <c r="BU23" s="4">
        <v>1.031426449279906E-2</v>
      </c>
      <c r="BV23" s="5">
        <v>7.4317417577594944E-3</v>
      </c>
      <c r="BW23" s="5">
        <v>1.0337483578189182E-2</v>
      </c>
      <c r="BX23" s="5">
        <v>1.2679321112943719E-2</v>
      </c>
      <c r="BY23" s="5">
        <v>9.5394169275426037E-3</v>
      </c>
      <c r="BZ23" s="4">
        <v>6.7919379376082485E-3</v>
      </c>
      <c r="CA23" s="5">
        <v>5.7421779944394026E-3</v>
      </c>
      <c r="CB23" s="5">
        <v>9.0012765970613525E-3</v>
      </c>
      <c r="CC23" s="5">
        <v>5.5549040490127585E-3</v>
      </c>
      <c r="CD23" s="4">
        <v>1.5918328900748988E-3</v>
      </c>
      <c r="CE23" s="4">
        <v>6.8481686053117859E-3</v>
      </c>
      <c r="CF23" s="4">
        <v>6.4877929779462171E-3</v>
      </c>
      <c r="CG23" s="5">
        <v>5.8022449186198328E-3</v>
      </c>
      <c r="CH23" s="5">
        <v>1.4581278645966304E-2</v>
      </c>
      <c r="CI23" s="5">
        <v>2.1911091446562708E-2</v>
      </c>
      <c r="CJ23" s="5">
        <v>1.419125227007721E-2</v>
      </c>
      <c r="CK23" s="4">
        <v>1.8520529254531768E-2</v>
      </c>
      <c r="CL23" s="4">
        <v>1.0998224557026129E-2</v>
      </c>
      <c r="CM23" s="5">
        <v>4.4301098615786337E-3</v>
      </c>
      <c r="CN23" s="5">
        <v>1.0444789508958621E-2</v>
      </c>
      <c r="CO23" s="5">
        <v>1.4150937177568662E-2</v>
      </c>
      <c r="CP23" s="5">
        <v>8.0916098143318325E-3</v>
      </c>
      <c r="CQ23" s="5">
        <v>7.3066360124640923E-3</v>
      </c>
      <c r="CR23" s="5">
        <v>1.0191342300789117E-2</v>
      </c>
      <c r="CS23" s="5">
        <v>2.5512962132262791E-2</v>
      </c>
      <c r="CT23" s="4">
        <v>1.9780374826580151E-2</v>
      </c>
      <c r="CU23" s="5">
        <v>1.15563900769223E-2</v>
      </c>
      <c r="CV23" s="5">
        <v>2.7534614613338358E-2</v>
      </c>
      <c r="CW23" s="5">
        <v>1.6065677386200641E-2</v>
      </c>
      <c r="CX23" s="5">
        <v>4.8221321759008406E-3</v>
      </c>
      <c r="CY23" s="5">
        <v>8.7073169011872547E-3</v>
      </c>
      <c r="CZ23" s="5">
        <v>1.1602560117854781E-2</v>
      </c>
      <c r="DA23" s="5">
        <v>2.0751054571936E-2</v>
      </c>
      <c r="DB23" s="4">
        <v>3.3812079898178693E-2</v>
      </c>
      <c r="DC23" s="5">
        <v>4.1756634016495792E-2</v>
      </c>
      <c r="DD23" s="5">
        <v>1.6636243485810283E-2</v>
      </c>
      <c r="DE23" s="5">
        <v>1.4838056255675159E-2</v>
      </c>
      <c r="DF23" s="5">
        <v>1.5163056575604093E-2</v>
      </c>
      <c r="DG23" s="5">
        <v>1.4495356807132135E-2</v>
      </c>
      <c r="DH23" s="5">
        <v>1.309670021057974E-2</v>
      </c>
      <c r="DI23" s="5">
        <v>6.4975729477137366E-3</v>
      </c>
      <c r="DJ23" s="5">
        <v>7.1815831177968045E-3</v>
      </c>
      <c r="DK23" s="5">
        <v>3.5213838740375076E-3</v>
      </c>
      <c r="DL23" s="5">
        <v>1.5257410003045488E-2</v>
      </c>
      <c r="DM23" s="5">
        <v>1.5253899865604199E-2</v>
      </c>
      <c r="DN23" s="5">
        <v>1.5069640262118907E-2</v>
      </c>
      <c r="DO23" s="5">
        <v>2.1252543336441117E-2</v>
      </c>
      <c r="DP23" s="5">
        <v>2.5597375007565371E-2</v>
      </c>
      <c r="DQ23" s="5">
        <v>1.4647416864506543E-2</v>
      </c>
      <c r="DR23" s="5">
        <v>1.7246128769861212E-2</v>
      </c>
      <c r="DS23" s="5">
        <v>1.8208517691824862E-2</v>
      </c>
      <c r="DT23" s="5">
        <v>1.6374471001862685E-2</v>
      </c>
      <c r="DU23" s="4">
        <v>7.3753957777837314E-3</v>
      </c>
      <c r="DV23" s="5">
        <v>7.5088100090867594E-3</v>
      </c>
      <c r="DX23" s="3" t="s">
        <v>308</v>
      </c>
      <c r="DY23" s="3" t="s">
        <v>153</v>
      </c>
      <c r="DZ23" s="5">
        <v>1.1862148399025149E-2</v>
      </c>
      <c r="EA23" s="5">
        <v>1.8790613288547638E-2</v>
      </c>
      <c r="EB23" s="4">
        <v>2.6904263897522176E-2</v>
      </c>
      <c r="EC23" s="5">
        <v>2.8467919386569951E-2</v>
      </c>
      <c r="ED23" s="5">
        <v>2.9014690357351026E-2</v>
      </c>
      <c r="EE23" s="5">
        <v>1.5975317265786167E-2</v>
      </c>
      <c r="EF23" s="4">
        <v>8.4095471838081561E-3</v>
      </c>
      <c r="EG23" s="5">
        <v>9.8346588642506533E-3</v>
      </c>
      <c r="EH23" s="5">
        <v>1.8584989995559138E-2</v>
      </c>
      <c r="EI23" s="5">
        <v>1.0924904741349257E-2</v>
      </c>
      <c r="EJ23" s="5">
        <v>1.5214965364205033E-2</v>
      </c>
      <c r="EK23" s="5">
        <v>1.2755773814110203E-2</v>
      </c>
      <c r="EL23" s="5">
        <v>1.07430947553589E-2</v>
      </c>
      <c r="EM23" s="5">
        <v>9.0619755015735309E-3</v>
      </c>
      <c r="EN23" s="5">
        <v>7.1135015016074044E-3</v>
      </c>
      <c r="EO23" s="5">
        <v>7.4317416947245474E-3</v>
      </c>
      <c r="EP23" s="5">
        <v>6.582360412976225E-3</v>
      </c>
      <c r="EQ23" s="5">
        <v>7.051153227807843E-3</v>
      </c>
      <c r="ER23" s="5">
        <v>4.3157346558459868E-3</v>
      </c>
      <c r="ES23" s="5">
        <v>5.0334609836865689E-3</v>
      </c>
      <c r="ET23" s="5">
        <v>2.3453552595093175E-2</v>
      </c>
      <c r="EU23" s="5">
        <v>4.2597244265089027E-2</v>
      </c>
      <c r="EV23" s="5">
        <v>2.4045919147807022E-2</v>
      </c>
      <c r="EW23" s="5">
        <v>2.3490701647931655E-2</v>
      </c>
      <c r="EX23" s="5">
        <v>1.8756970812659583E-2</v>
      </c>
      <c r="EY23" s="5">
        <v>1.1524423668601645E-2</v>
      </c>
      <c r="EZ23" s="5">
        <v>5.3650028865213951E-3</v>
      </c>
      <c r="FA23" s="5">
        <v>9.2199806875238842E-3</v>
      </c>
      <c r="FB23" s="5">
        <v>1.5415352813214159E-2</v>
      </c>
      <c r="FC23" s="5">
        <v>1.9254079856056407E-2</v>
      </c>
      <c r="FD23" s="5">
        <v>4.8357237381972423E-2</v>
      </c>
      <c r="FE23" s="4">
        <v>4.7779114772776819E-2</v>
      </c>
      <c r="FF23" s="5">
        <v>4.7172080495710804E-2</v>
      </c>
      <c r="FG23" s="5">
        <v>4.4493165646731885E-2</v>
      </c>
      <c r="FH23" s="5">
        <v>2.4423725855584315E-2</v>
      </c>
      <c r="FI23" s="5">
        <v>3.2809539376675884E-2</v>
      </c>
      <c r="FJ23" s="5">
        <v>3.1978143430179969E-2</v>
      </c>
      <c r="FK23" s="5">
        <v>5.5606283343360005E-3</v>
      </c>
      <c r="FL23" s="5">
        <v>1.4523645126048892E-2</v>
      </c>
      <c r="FM23" s="5">
        <v>3.3802572282678384E-2</v>
      </c>
      <c r="FN23" s="5">
        <v>1.1676325696474178E-2</v>
      </c>
      <c r="FO23" s="5">
        <v>5.9747951564093189E-2</v>
      </c>
      <c r="FP23" s="5">
        <v>5.508581387667176E-2</v>
      </c>
      <c r="FQ23" s="5">
        <v>3.3896687866158744E-2</v>
      </c>
      <c r="FR23" s="5">
        <v>1.8607190440165473E-2</v>
      </c>
      <c r="FS23" s="5">
        <v>1.5149330582412237E-2</v>
      </c>
      <c r="FT23" s="5">
        <v>2.8223627801654737E-2</v>
      </c>
      <c r="FU23" s="5">
        <v>2.6663301335817593E-2</v>
      </c>
      <c r="FV23" s="5">
        <v>2.0326332786464736E-2</v>
      </c>
      <c r="FW23" s="5">
        <v>2.6526120582330962E-3</v>
      </c>
      <c r="FX23" s="5">
        <v>9.7929487591832814E-3</v>
      </c>
      <c r="FY23" s="5">
        <v>1.6294785629570981E-2</v>
      </c>
      <c r="FZ23" s="5">
        <v>1.4301751268443876E-2</v>
      </c>
      <c r="GA23" s="5">
        <v>2.0096069115505242E-2</v>
      </c>
      <c r="GB23" s="5">
        <v>2.2157408366916386E-2</v>
      </c>
      <c r="GC23" s="5">
        <v>1.9514289592705351E-2</v>
      </c>
      <c r="GD23" s="5">
        <v>1.5015247599597718E-2</v>
      </c>
      <c r="GE23" s="5">
        <v>8.710339457701919E-3</v>
      </c>
      <c r="GF23" s="5">
        <v>1.8929926191357093E-2</v>
      </c>
      <c r="GG23" s="5">
        <v>1.9122404903556607E-2</v>
      </c>
      <c r="GI23" s="3" t="s">
        <v>308</v>
      </c>
      <c r="GJ23" s="3" t="s">
        <v>154</v>
      </c>
      <c r="GK23" s="5">
        <v>7.3315157737708136E-2</v>
      </c>
      <c r="GL23" s="5">
        <v>6.5201770588638283E-2</v>
      </c>
      <c r="GM23" s="5">
        <v>5.8303333642116095E-2</v>
      </c>
      <c r="GN23" s="5">
        <v>6.0877949442956415E-2</v>
      </c>
      <c r="GO23" s="5">
        <v>5.9086105025535039E-2</v>
      </c>
      <c r="GP23" s="5">
        <v>6.2241164612238213E-2</v>
      </c>
      <c r="GQ23" s="5">
        <v>7.1300066637211973E-2</v>
      </c>
      <c r="GR23" s="5">
        <v>8.0205023674638415E-2</v>
      </c>
      <c r="GS23" s="5">
        <v>7.7540957342302014E-2</v>
      </c>
      <c r="GT23" s="5">
        <v>8.957931853523711E-2</v>
      </c>
      <c r="GU23" s="5">
        <v>6.1715794162972216E-2</v>
      </c>
      <c r="GV23" s="5">
        <v>6.8816339972787563E-2</v>
      </c>
      <c r="GW23" s="5">
        <v>7.0833182735145425E-2</v>
      </c>
      <c r="GX23" s="5">
        <v>7.8620023689557797E-2</v>
      </c>
      <c r="GY23" s="5">
        <v>9.1087760873012805E-2</v>
      </c>
      <c r="GZ23" s="5">
        <v>0.1004903226785596</v>
      </c>
      <c r="HA23" s="5">
        <v>9.0298435648679648E-2</v>
      </c>
      <c r="HB23" s="4">
        <v>7.8753171699346244E-2</v>
      </c>
      <c r="HC23" s="5">
        <v>7.2451018030031289E-2</v>
      </c>
      <c r="HD23" s="5">
        <v>5.942033490977848E-2</v>
      </c>
      <c r="HE23" s="5">
        <v>0.10995814482718527</v>
      </c>
      <c r="HF23" s="5">
        <v>9.6635078065449354E-2</v>
      </c>
      <c r="HG23" s="5">
        <v>0.11238948185987324</v>
      </c>
      <c r="HH23" s="5">
        <v>0.12480250071063312</v>
      </c>
      <c r="HI23" s="5">
        <v>0.11136048258321572</v>
      </c>
      <c r="HJ23" s="5">
        <v>9.3885064589189854E-2</v>
      </c>
      <c r="HK23" s="5">
        <v>8.7358259991267548E-2</v>
      </c>
      <c r="HL23" s="4">
        <v>9.3103353769951297E-2</v>
      </c>
      <c r="HM23" s="5">
        <v>9.3986600788308228E-2</v>
      </c>
      <c r="HN23" s="5">
        <v>0.1037831085631985</v>
      </c>
      <c r="HO23" s="5">
        <v>0.13311714098207539</v>
      </c>
      <c r="HP23" s="5">
        <v>0.13502744986916443</v>
      </c>
      <c r="HQ23" s="5">
        <v>0.14997795821110257</v>
      </c>
      <c r="HR23" s="5">
        <v>0.15542594155792058</v>
      </c>
      <c r="HS23" s="5">
        <v>0.16325962439059802</v>
      </c>
      <c r="HT23" s="5">
        <v>0.1550962385545594</v>
      </c>
      <c r="HU23" s="5">
        <v>0.14445051986808871</v>
      </c>
      <c r="HV23" s="5">
        <v>0.15915148175248398</v>
      </c>
      <c r="HW23" s="5">
        <v>0.14966500464159457</v>
      </c>
      <c r="HX23" s="5">
        <v>0.14045909424057537</v>
      </c>
      <c r="HY23" s="5">
        <v>7.8878207117818969E-2</v>
      </c>
      <c r="HZ23" s="5">
        <v>6.5244492988217648E-2</v>
      </c>
      <c r="IA23" s="5">
        <v>7.5301020445927958E-2</v>
      </c>
      <c r="IB23" s="5">
        <v>0.10299687679243566</v>
      </c>
      <c r="IC23" s="5">
        <v>0.10419779458541877</v>
      </c>
      <c r="ID23" s="5">
        <v>0.10243131185455906</v>
      </c>
      <c r="IE23" s="5">
        <v>0.10123987635781395</v>
      </c>
      <c r="IF23" s="5">
        <v>0.11013609139256382</v>
      </c>
      <c r="IG23" s="5">
        <v>0.12191198986908923</v>
      </c>
      <c r="IH23" s="5">
        <v>0.10496510135867966</v>
      </c>
      <c r="II23" s="5">
        <v>0.1239559077570362</v>
      </c>
      <c r="IJ23" s="5">
        <v>0.10567879709184755</v>
      </c>
      <c r="IK23" s="5">
        <v>0.1047087039153103</v>
      </c>
      <c r="IL23" s="5">
        <v>0.10012488018909774</v>
      </c>
      <c r="IM23" s="5">
        <v>9.3714006439871961E-2</v>
      </c>
      <c r="IN23" s="5">
        <v>7.8073912565215411E-2</v>
      </c>
      <c r="IO23" s="5">
        <v>7.5820861139438589E-2</v>
      </c>
      <c r="IP23" s="5">
        <v>9.2148049371182553E-2</v>
      </c>
      <c r="IQ23" s="5">
        <v>0.10097186931688684</v>
      </c>
      <c r="IR23" s="5">
        <v>0.11020387793197867</v>
      </c>
      <c r="JB23" s="3" t="s">
        <v>308</v>
      </c>
      <c r="JC23" s="5">
        <v>0.64198232882243844</v>
      </c>
      <c r="JD23" s="5">
        <v>0.65454103166074895</v>
      </c>
      <c r="JE23" s="5">
        <v>0.6616719369580808</v>
      </c>
      <c r="JF23" s="5">
        <v>0.66427203579435834</v>
      </c>
      <c r="JG23" s="5">
        <v>0.67987957767909091</v>
      </c>
      <c r="JH23" s="5">
        <v>0.69213900829011799</v>
      </c>
      <c r="JI23" s="5">
        <v>0.68713476503906568</v>
      </c>
      <c r="JJ23" s="5">
        <v>0.66951198055584815</v>
      </c>
      <c r="JK23" s="5">
        <v>0.64443959276646445</v>
      </c>
      <c r="JL23" s="5">
        <v>0.63723409626334204</v>
      </c>
      <c r="JM23" s="5">
        <v>0.6990429287823644</v>
      </c>
      <c r="JN23" s="5">
        <v>0.69099689927771324</v>
      </c>
      <c r="JO23" s="5">
        <v>0.69115698146482674</v>
      </c>
      <c r="JP23" s="5">
        <v>0.67080561096184088</v>
      </c>
      <c r="JQ23" s="5">
        <v>0.65040104769263218</v>
      </c>
      <c r="JR23" s="5">
        <v>0.63982619036557531</v>
      </c>
      <c r="JS23" s="5">
        <v>0.64728830548935845</v>
      </c>
      <c r="JT23" s="5">
        <v>0.67171479306602055</v>
      </c>
      <c r="JU23" s="5">
        <v>0.69446642263413172</v>
      </c>
      <c r="JV23" s="4">
        <v>0.70675673016916385</v>
      </c>
      <c r="JW23" s="5">
        <v>0.53454641817505555</v>
      </c>
      <c r="JX23" s="4">
        <v>0.54076262348659498</v>
      </c>
      <c r="JY23" s="5">
        <v>0.54976388139536359</v>
      </c>
      <c r="JZ23" s="5">
        <v>0.5463676178953184</v>
      </c>
      <c r="KA23" s="5">
        <v>0.57774641840411545</v>
      </c>
      <c r="KB23" s="5">
        <v>0.61839272649344046</v>
      </c>
      <c r="KC23" s="5">
        <v>0.6395218769784814</v>
      </c>
      <c r="KD23" s="5">
        <v>0.6313678757833121</v>
      </c>
      <c r="KE23" s="5">
        <v>0.60678966487818953</v>
      </c>
      <c r="KF23" s="5">
        <v>0.55864117446237882</v>
      </c>
      <c r="KG23" s="5">
        <v>0.37825359674410119</v>
      </c>
      <c r="KH23" s="4">
        <v>0.36245794090230238</v>
      </c>
      <c r="KI23" s="5">
        <v>0.36066119751306053</v>
      </c>
      <c r="KJ23" s="5">
        <v>0.33972923543532196</v>
      </c>
      <c r="KK23" s="5">
        <v>0.36861425562514138</v>
      </c>
      <c r="KL23" s="5">
        <v>0.40344305015532872</v>
      </c>
      <c r="KM23" s="5">
        <v>0.41134191538116316</v>
      </c>
      <c r="KN23" s="5">
        <v>0.40538420954990395</v>
      </c>
      <c r="KO23" s="5">
        <v>0.38347501276695123</v>
      </c>
      <c r="KP23" s="5">
        <v>0.37427872592376848</v>
      </c>
      <c r="KQ23" s="5">
        <v>0.5556271995001052</v>
      </c>
      <c r="KR23" s="5">
        <v>0.54747778457297513</v>
      </c>
      <c r="KS23" s="4">
        <v>0.54976808930196608</v>
      </c>
      <c r="KT23" s="5">
        <v>0.55171419278498512</v>
      </c>
      <c r="KU23" s="5">
        <v>0.57629252470033687</v>
      </c>
      <c r="KV23" s="5">
        <v>0.57842852413786994</v>
      </c>
      <c r="KW23" s="5">
        <v>0.56565512305589505</v>
      </c>
      <c r="KX23" s="5">
        <v>0.53973104773679381</v>
      </c>
      <c r="KY23" s="5">
        <v>0.52557791364326401</v>
      </c>
      <c r="KZ23" s="5">
        <v>0.55015593874891733</v>
      </c>
      <c r="LA23" s="5">
        <v>0.58435915578278996</v>
      </c>
      <c r="LB23" s="5">
        <v>0.59285178088894575</v>
      </c>
      <c r="LC23" s="5">
        <v>0.58841814135797887</v>
      </c>
      <c r="LD23" s="5">
        <v>0.5942262216035944</v>
      </c>
      <c r="LE23" s="5">
        <v>0.60996461477013897</v>
      </c>
      <c r="LF23" s="5">
        <v>0.63538491282330245</v>
      </c>
      <c r="LG23" s="5">
        <v>0.65175458551608811</v>
      </c>
      <c r="LH23" s="5">
        <v>0.63346256712423554</v>
      </c>
      <c r="LI23" s="5">
        <v>0.61425025067058703</v>
      </c>
      <c r="LJ23" s="5">
        <v>0.59809268041989894</v>
      </c>
      <c r="LL23" s="3" t="s">
        <v>309</v>
      </c>
      <c r="LM23" s="3" t="s">
        <v>160</v>
      </c>
      <c r="LN23" s="3" t="s">
        <v>161</v>
      </c>
      <c r="LO23" s="5">
        <v>0.52318180738464815</v>
      </c>
    </row>
    <row r="24" spans="2:327" x14ac:dyDescent="0.45">
      <c r="B24" s="6" t="s">
        <v>310</v>
      </c>
      <c r="C24" s="6" t="s">
        <v>151</v>
      </c>
      <c r="D24" s="8">
        <v>0.24486609072294077</v>
      </c>
      <c r="E24" s="8">
        <v>0.24116407481099766</v>
      </c>
      <c r="F24" s="8">
        <v>0.23485420380542346</v>
      </c>
      <c r="G24" s="8">
        <v>0.23058096309954212</v>
      </c>
      <c r="H24" s="8">
        <v>0.23778058378707864</v>
      </c>
      <c r="I24" s="8">
        <v>0.2256013095454491</v>
      </c>
      <c r="J24" s="8">
        <v>0.22752603170742092</v>
      </c>
      <c r="K24" s="8">
        <v>0.23020983398437433</v>
      </c>
      <c r="L24" s="8">
        <v>0.24329325789167738</v>
      </c>
      <c r="M24" s="8">
        <v>0.23780643232578885</v>
      </c>
      <c r="N24" s="8">
        <v>0.19926421173240397</v>
      </c>
      <c r="O24" s="8">
        <v>0.21008594080241608</v>
      </c>
      <c r="P24" s="8">
        <v>0.21099370966360501</v>
      </c>
      <c r="Q24" s="8">
        <v>0.22500145024828722</v>
      </c>
      <c r="R24" s="8">
        <v>0.23450081368468587</v>
      </c>
      <c r="S24" s="8">
        <v>0.22680447653601102</v>
      </c>
      <c r="T24" s="8">
        <v>0.22856839433112905</v>
      </c>
      <c r="U24" s="8">
        <v>0.22664106711793525</v>
      </c>
      <c r="V24" s="8">
        <v>0.21215853663015338</v>
      </c>
      <c r="W24" s="8">
        <v>0.19855982938407188</v>
      </c>
      <c r="X24" s="8">
        <v>0.28409305072074736</v>
      </c>
      <c r="Y24" s="8">
        <v>0.31317452507411137</v>
      </c>
      <c r="Z24" s="8">
        <v>0.32248857798147434</v>
      </c>
      <c r="AA24" s="8">
        <v>0.33113293748392425</v>
      </c>
      <c r="AB24" s="8">
        <v>0.31700526842792559</v>
      </c>
      <c r="AC24" s="8">
        <v>0.29807770104225756</v>
      </c>
      <c r="AD24" s="8">
        <v>0.2821329329912266</v>
      </c>
      <c r="AE24" s="8">
        <v>0.27220110132614211</v>
      </c>
      <c r="AF24" s="8">
        <v>0.25560842320503441</v>
      </c>
      <c r="AG24" s="8">
        <v>0.24762244399269404</v>
      </c>
      <c r="AH24" s="8">
        <v>0.33104532956878324</v>
      </c>
      <c r="AI24" s="8">
        <v>0.3524220475715939</v>
      </c>
      <c r="AJ24" s="8">
        <v>0.3493270991371214</v>
      </c>
      <c r="AK24" s="8">
        <v>0.352804653279642</v>
      </c>
      <c r="AL24" s="8">
        <v>0.32683084841474208</v>
      </c>
      <c r="AM24" s="8">
        <v>0.32751985421547514</v>
      </c>
      <c r="AN24" s="8">
        <v>0.31212648338871407</v>
      </c>
      <c r="AO24" s="8">
        <v>0.28943323033304158</v>
      </c>
      <c r="AP24" s="8">
        <v>0.28671684100692263</v>
      </c>
      <c r="AQ24" s="8">
        <v>0.30447429600654136</v>
      </c>
      <c r="AR24" s="8">
        <v>0.26115381681574862</v>
      </c>
      <c r="AS24" s="8">
        <v>0.26802125303593577</v>
      </c>
      <c r="AT24" s="8">
        <v>0.26786788264168898</v>
      </c>
      <c r="AU24" s="8">
        <v>0.2761035479626841</v>
      </c>
      <c r="AV24" s="8">
        <v>0.2693410698122839</v>
      </c>
      <c r="AW24" s="8">
        <v>0.25556384877001825</v>
      </c>
      <c r="AX24" s="8">
        <v>0.25160127391221865</v>
      </c>
      <c r="AY24" s="8">
        <v>0.24869385739388858</v>
      </c>
      <c r="AZ24" s="8">
        <v>0.26254750324468451</v>
      </c>
      <c r="BA24" s="8">
        <v>0.27985447528571461</v>
      </c>
      <c r="BB24" s="8">
        <v>0.30574560944500928</v>
      </c>
      <c r="BC24" s="8">
        <v>0.28909746709852241</v>
      </c>
      <c r="BD24" s="8">
        <v>0.2701625388393542</v>
      </c>
      <c r="BE24" s="8">
        <v>0.28938420009444143</v>
      </c>
      <c r="BF24" s="8">
        <v>0.28520845379743093</v>
      </c>
      <c r="BG24" s="8">
        <v>0.28410225312180359</v>
      </c>
      <c r="BH24" s="8">
        <v>0.28231501886848853</v>
      </c>
      <c r="BI24" s="8">
        <v>0.26602366087953699</v>
      </c>
      <c r="BJ24" s="8">
        <v>0.26704596098588751</v>
      </c>
      <c r="BK24" s="8">
        <v>0.27884364324490507</v>
      </c>
      <c r="BM24" s="6" t="s">
        <v>310</v>
      </c>
      <c r="BN24" s="6" t="s">
        <v>152</v>
      </c>
      <c r="BO24" s="8">
        <v>1.8958442732555453E-2</v>
      </c>
      <c r="BP24" s="8">
        <v>1.4154972242139123E-2</v>
      </c>
      <c r="BQ24" s="8">
        <v>1.7853674572762726E-2</v>
      </c>
      <c r="BR24" s="8">
        <v>2.2832518382873437E-2</v>
      </c>
      <c r="BS24" s="8">
        <v>2.5922053337857243E-2</v>
      </c>
      <c r="BT24" s="8">
        <v>1.5551186610555866E-2</v>
      </c>
      <c r="BU24" s="7">
        <v>1.4896120405385908E-2</v>
      </c>
      <c r="BV24" s="8">
        <v>5.3065838738511296E-3</v>
      </c>
      <c r="BW24" s="8">
        <v>4.3387498723431303E-3</v>
      </c>
      <c r="BX24" s="8">
        <v>1.3764791914426871E-2</v>
      </c>
      <c r="BY24" s="8">
        <v>1.3942044099746712E-2</v>
      </c>
      <c r="BZ24" s="7">
        <v>9.1529710907943176E-3</v>
      </c>
      <c r="CA24" s="8">
        <v>1.0648538731259455E-2</v>
      </c>
      <c r="CB24" s="8">
        <v>2.1800395601149379E-3</v>
      </c>
      <c r="CC24" s="8">
        <v>2.0705680972675704E-3</v>
      </c>
      <c r="CD24" s="7">
        <v>4.4074449916587559E-3</v>
      </c>
      <c r="CE24" s="7">
        <v>3.684819249238244E-3</v>
      </c>
      <c r="CF24" s="7">
        <v>8.3190406797594794E-3</v>
      </c>
      <c r="CG24" s="8">
        <v>1.0830794987200047E-2</v>
      </c>
      <c r="CH24" s="8">
        <v>1.0690449238431623E-2</v>
      </c>
      <c r="CI24" s="8">
        <v>6.8546440595055307E-3</v>
      </c>
      <c r="CJ24" s="8">
        <v>1.5390855283961828E-2</v>
      </c>
      <c r="CK24" s="7">
        <v>9.2581637121829565E-3</v>
      </c>
      <c r="CL24" s="7">
        <v>1.8084709055691338E-2</v>
      </c>
      <c r="CM24" s="8">
        <v>1.3679714790093013E-2</v>
      </c>
      <c r="CN24" s="8">
        <v>8.8819697899385052E-3</v>
      </c>
      <c r="CO24" s="8">
        <v>2.1608234063084909E-2</v>
      </c>
      <c r="CP24" s="8">
        <v>2.6205146329509758E-2</v>
      </c>
      <c r="CQ24" s="8">
        <v>1.9534120008059909E-2</v>
      </c>
      <c r="CR24" s="8">
        <v>1.1251546811362721E-2</v>
      </c>
      <c r="CS24" s="8">
        <v>4.3663782440656572E-2</v>
      </c>
      <c r="CT24" s="7">
        <v>3.3143892580543746E-2</v>
      </c>
      <c r="CU24" s="8">
        <v>3.7873332044649349E-2</v>
      </c>
      <c r="CV24" s="8">
        <v>3.2163589759581467E-2</v>
      </c>
      <c r="CW24" s="8">
        <v>2.9992244942401512E-2</v>
      </c>
      <c r="CX24" s="8">
        <v>2.9352881699065712E-2</v>
      </c>
      <c r="CY24" s="8">
        <v>2.4185534248056351E-2</v>
      </c>
      <c r="CZ24" s="8">
        <v>1.8364013868031513E-2</v>
      </c>
      <c r="DA24" s="8">
        <v>1.152572751126304E-2</v>
      </c>
      <c r="DB24" s="7">
        <v>2.3699833598367311E-2</v>
      </c>
      <c r="DC24" s="8">
        <v>3.5992229620952304E-2</v>
      </c>
      <c r="DD24" s="8">
        <v>3.8535604304677416E-2</v>
      </c>
      <c r="DE24" s="8">
        <v>3.2947816843321209E-2</v>
      </c>
      <c r="DF24" s="8">
        <v>3.1915245202295918E-2</v>
      </c>
      <c r="DG24" s="8">
        <v>1.3394275411469394E-2</v>
      </c>
      <c r="DH24" s="8">
        <v>6.9930621572479468E-3</v>
      </c>
      <c r="DI24" s="8">
        <v>3.4756384637452237E-3</v>
      </c>
      <c r="DJ24" s="8">
        <v>1.4191931003695058E-2</v>
      </c>
      <c r="DK24" s="8">
        <v>2.1581733991803836E-2</v>
      </c>
      <c r="DL24" s="8">
        <v>1.1166935504646983E-2</v>
      </c>
      <c r="DM24" s="8">
        <v>1.8584148769929133E-2</v>
      </c>
      <c r="DN24" s="8">
        <v>1.8108659531880223E-2</v>
      </c>
      <c r="DO24" s="8">
        <v>1.5312128596962567E-2</v>
      </c>
      <c r="DP24" s="8">
        <v>2.7105282565568475E-2</v>
      </c>
      <c r="DQ24" s="8">
        <v>3.2834170958650682E-2</v>
      </c>
      <c r="DR24" s="8">
        <v>2.7100938094953373E-2</v>
      </c>
      <c r="DS24" s="8">
        <v>2.1103360434281772E-2</v>
      </c>
      <c r="DT24" s="8">
        <v>1.6668099172552138E-2</v>
      </c>
      <c r="DU24" s="7">
        <v>5.0973049304429826E-3</v>
      </c>
      <c r="DV24" s="8">
        <v>5.8727976110966862E-3</v>
      </c>
      <c r="DX24" s="6" t="s">
        <v>310</v>
      </c>
      <c r="DY24" s="6" t="s">
        <v>153</v>
      </c>
      <c r="DZ24" s="8">
        <v>1.5435880778257135E-2</v>
      </c>
      <c r="EA24" s="8">
        <v>1.7583321005718685E-2</v>
      </c>
      <c r="EB24" s="7">
        <v>1.3364961534211555E-2</v>
      </c>
      <c r="EC24" s="8">
        <v>1.5202102609604713E-2</v>
      </c>
      <c r="ED24" s="8">
        <v>9.9934527486108642E-3</v>
      </c>
      <c r="EE24" s="8">
        <v>2.7552073198644219E-2</v>
      </c>
      <c r="EF24" s="7">
        <v>3.9493740194779123E-2</v>
      </c>
      <c r="EG24" s="8">
        <v>3.4753749220784551E-2</v>
      </c>
      <c r="EH24" s="8">
        <v>2.0414231860713044E-2</v>
      </c>
      <c r="EI24" s="8">
        <v>1.3201005208541214E-2</v>
      </c>
      <c r="EJ24" s="8">
        <v>1.4533329651990941E-2</v>
      </c>
      <c r="EK24" s="8">
        <v>1.8955095447747903E-2</v>
      </c>
      <c r="EL24" s="8">
        <v>1.7990594015808069E-2</v>
      </c>
      <c r="EM24" s="8">
        <v>1.4857945516354922E-2</v>
      </c>
      <c r="EN24" s="8">
        <v>1.8248837200102411E-2</v>
      </c>
      <c r="EO24" s="8">
        <v>5.676475986677653E-3</v>
      </c>
      <c r="EP24" s="8">
        <v>1.6676152063565531E-3</v>
      </c>
      <c r="EQ24" s="8">
        <v>3.2070028220057157E-3</v>
      </c>
      <c r="ER24" s="8">
        <v>8.1192272918242537E-3</v>
      </c>
      <c r="ES24" s="8">
        <v>1.3045212942116956E-2</v>
      </c>
      <c r="ET24" s="8">
        <v>2.6302929881913868E-2</v>
      </c>
      <c r="EU24" s="8">
        <v>1.4224034238978642E-2</v>
      </c>
      <c r="EV24" s="8">
        <v>1.9432589871970423E-2</v>
      </c>
      <c r="EW24" s="8">
        <v>3.210797372097679E-2</v>
      </c>
      <c r="EX24" s="8">
        <v>2.5101940488174119E-2</v>
      </c>
      <c r="EY24" s="8">
        <v>2.4540471984558946E-2</v>
      </c>
      <c r="EZ24" s="8">
        <v>1.7336257790364712E-2</v>
      </c>
      <c r="FA24" s="8">
        <v>6.626297589557989E-3</v>
      </c>
      <c r="FB24" s="8">
        <v>1.1530784051818928E-2</v>
      </c>
      <c r="FC24" s="8">
        <v>3.6488568124967778E-2</v>
      </c>
      <c r="FD24" s="8">
        <v>1.7363213441228258E-2</v>
      </c>
      <c r="FE24" s="7">
        <v>6.8010237969875084E-2</v>
      </c>
      <c r="FF24" s="8">
        <v>6.2099102629771613E-2</v>
      </c>
      <c r="FG24" s="8">
        <v>4.7747804183431858E-2</v>
      </c>
      <c r="FH24" s="8">
        <v>5.2741336094974535E-2</v>
      </c>
      <c r="FI24" s="8">
        <v>2.9344700820267505E-2</v>
      </c>
      <c r="FJ24" s="8">
        <v>2.6774348611692256E-2</v>
      </c>
      <c r="FK24" s="8">
        <v>1.8122465236424936E-2</v>
      </c>
      <c r="FL24" s="8">
        <v>2.0891545625916264E-2</v>
      </c>
      <c r="FM24" s="8">
        <v>2.6509554451865359E-2</v>
      </c>
      <c r="FN24" s="8">
        <v>1.6246134467737643E-2</v>
      </c>
      <c r="FO24" s="8">
        <v>3.3804116601419992E-2</v>
      </c>
      <c r="FP24" s="8">
        <v>4.3687390264261904E-2</v>
      </c>
      <c r="FQ24" s="8">
        <v>4.218871815077227E-2</v>
      </c>
      <c r="FR24" s="8">
        <v>4.5353482859460018E-2</v>
      </c>
      <c r="FS24" s="8">
        <v>3.195878548579624E-2</v>
      </c>
      <c r="FT24" s="8">
        <v>2.8492765167729459E-2</v>
      </c>
      <c r="FU24" s="8">
        <v>2.2078742052986803E-3</v>
      </c>
      <c r="FV24" s="8">
        <v>1.5551181258650166E-3</v>
      </c>
      <c r="FW24" s="8">
        <v>3.0262311371795452E-2</v>
      </c>
      <c r="FX24" s="8">
        <v>1.3954063556691551E-2</v>
      </c>
      <c r="FY24" s="8">
        <v>2.018770789467907E-2</v>
      </c>
      <c r="FZ24" s="8">
        <v>1.2932444963639163E-2</v>
      </c>
      <c r="GA24" s="8">
        <v>1.4581829937346424E-2</v>
      </c>
      <c r="GB24" s="8">
        <v>1.7279243919691923E-2</v>
      </c>
      <c r="GC24" s="8">
        <v>2.3343293138495896E-2</v>
      </c>
      <c r="GD24" s="8">
        <v>2.8377533556548307E-2</v>
      </c>
      <c r="GE24" s="8">
        <v>2.3042474133583055E-2</v>
      </c>
      <c r="GF24" s="8">
        <v>1.8093528816460688E-2</v>
      </c>
      <c r="GG24" s="8">
        <v>1.6897645420572985E-2</v>
      </c>
      <c r="GI24" s="6" t="s">
        <v>310</v>
      </c>
      <c r="GJ24" s="6" t="s">
        <v>154</v>
      </c>
      <c r="GK24" s="8">
        <v>9.4732676401935972E-2</v>
      </c>
      <c r="GL24" s="8">
        <v>9.8607443023892502E-2</v>
      </c>
      <c r="GM24" s="8">
        <v>8.7585372947216453E-2</v>
      </c>
      <c r="GN24" s="8">
        <v>7.5675408643078729E-2</v>
      </c>
      <c r="GO24" s="8">
        <v>7.8786992207194748E-2</v>
      </c>
      <c r="GP24" s="8">
        <v>7.0021958210154542E-2</v>
      </c>
      <c r="GQ24" s="8">
        <v>6.0645355578669728E-2</v>
      </c>
      <c r="GR24" s="8">
        <v>7.9338171868474042E-2</v>
      </c>
      <c r="GS24" s="8">
        <v>9.4408820218699271E-2</v>
      </c>
      <c r="GT24" s="8">
        <v>8.9356966696695878E-2</v>
      </c>
      <c r="GU24" s="8">
        <v>7.1712265604005357E-2</v>
      </c>
      <c r="GV24" s="8">
        <v>7.202826676275699E-2</v>
      </c>
      <c r="GW24" s="8">
        <v>7.3341786528725833E-2</v>
      </c>
      <c r="GX24" s="8">
        <v>9.1973736939832865E-2</v>
      </c>
      <c r="GY24" s="8">
        <v>9.5270224938032999E-2</v>
      </c>
      <c r="GZ24" s="8">
        <v>0.11226129021912561</v>
      </c>
      <c r="HA24" s="8">
        <v>0.11436636900636947</v>
      </c>
      <c r="HB24" s="7">
        <v>0.10159742615792595</v>
      </c>
      <c r="HC24" s="8">
        <v>9.3842545533741772E-2</v>
      </c>
      <c r="HD24" s="8">
        <v>7.6810415671031168E-2</v>
      </c>
      <c r="HE24" s="8">
        <v>0.12801806759463327</v>
      </c>
      <c r="HF24" s="8">
        <v>0.14578625350380722</v>
      </c>
      <c r="HG24" s="8">
        <v>0.15263451233490924</v>
      </c>
      <c r="HH24" s="8">
        <v>0.13773751534925385</v>
      </c>
      <c r="HI24" s="8">
        <v>0.14016217392918515</v>
      </c>
      <c r="HJ24" s="8">
        <v>0.13239730735946773</v>
      </c>
      <c r="HK24" s="8">
        <v>0.11664248063458915</v>
      </c>
      <c r="HL24" s="7">
        <v>0.10830128016459856</v>
      </c>
      <c r="HM24" s="8">
        <v>9.8173272533982309E-2</v>
      </c>
      <c r="HN24" s="8">
        <v>9.3299525932179522E-2</v>
      </c>
      <c r="HO24" s="8">
        <v>0.15981838100444959</v>
      </c>
      <c r="HP24" s="8">
        <v>0.12929990864958527</v>
      </c>
      <c r="HQ24" s="8">
        <v>0.1383313971425762</v>
      </c>
      <c r="HR24" s="8">
        <v>0.15816268577665135</v>
      </c>
      <c r="HS24" s="8">
        <v>0.13368302287160577</v>
      </c>
      <c r="HT24" s="8">
        <v>0.14468273841293416</v>
      </c>
      <c r="HU24" s="8">
        <v>0.13859370537741555</v>
      </c>
      <c r="HV24" s="8">
        <v>0.14139063611187178</v>
      </c>
      <c r="HW24" s="8">
        <v>0.15692860764506861</v>
      </c>
      <c r="HX24" s="8">
        <v>0.14702937178823106</v>
      </c>
      <c r="HY24" s="8">
        <v>8.9870016519446941E-2</v>
      </c>
      <c r="HZ24" s="8">
        <v>7.2625309636393298E-2</v>
      </c>
      <c r="IA24" s="8">
        <v>6.9903136469480834E-2</v>
      </c>
      <c r="IB24" s="8">
        <v>7.8288605565928898E-2</v>
      </c>
      <c r="IC24" s="8">
        <v>8.9691962155576441E-2</v>
      </c>
      <c r="ID24" s="8">
        <v>9.9964738903134842E-2</v>
      </c>
      <c r="IE24" s="8">
        <v>0.10160571458584004</v>
      </c>
      <c r="IF24" s="8">
        <v>0.12328694569343907</v>
      </c>
      <c r="IG24" s="8">
        <v>0.12813075514274752</v>
      </c>
      <c r="IH24" s="8">
        <v>0.12451433424361731</v>
      </c>
      <c r="II24" s="8">
        <v>0.13738092018590461</v>
      </c>
      <c r="IJ24" s="8">
        <v>0.1232364932729391</v>
      </c>
      <c r="IK24" s="8">
        <v>0.11912644234435306</v>
      </c>
      <c r="IL24" s="8">
        <v>0.11048258763377664</v>
      </c>
      <c r="IM24" s="8">
        <v>0.10584460911437221</v>
      </c>
      <c r="IN24" s="8">
        <v>9.2564377166924242E-2</v>
      </c>
      <c r="IO24" s="8">
        <v>7.8984906211545372E-2</v>
      </c>
      <c r="IP24" s="8">
        <v>8.8954028961361009E-2</v>
      </c>
      <c r="IQ24" s="8">
        <v>0.10967853907723103</v>
      </c>
      <c r="IR24" s="8">
        <v>0.12126030941070329</v>
      </c>
      <c r="JB24" s="6" t="s">
        <v>310</v>
      </c>
      <c r="JC24" s="8">
        <v>0.58243931789170122</v>
      </c>
      <c r="JD24" s="8">
        <v>0.5730285891314616</v>
      </c>
      <c r="JE24" s="8">
        <v>0.59793101452979636</v>
      </c>
      <c r="JF24" s="8">
        <v>0.6144155299586469</v>
      </c>
      <c r="JG24" s="8">
        <v>0.61874584198010585</v>
      </c>
      <c r="JH24" s="8">
        <v>0.63570519359629096</v>
      </c>
      <c r="JI24" s="8">
        <v>0.6310295114835579</v>
      </c>
      <c r="JJ24" s="8">
        <v>0.61969830652981017</v>
      </c>
      <c r="JK24" s="8">
        <v>0.61544749003773247</v>
      </c>
      <c r="JL24" s="8">
        <v>0.61281169999803764</v>
      </c>
      <c r="JM24" s="8">
        <v>0.65613170033033119</v>
      </c>
      <c r="JN24" s="8">
        <v>0.65729126550967487</v>
      </c>
      <c r="JO24" s="8">
        <v>0.65501505231250656</v>
      </c>
      <c r="JP24" s="8">
        <v>0.64208320536157359</v>
      </c>
      <c r="JQ24" s="8">
        <v>0.61794948511982395</v>
      </c>
      <c r="JR24" s="8">
        <v>0.60088452070312626</v>
      </c>
      <c r="JS24" s="8">
        <v>0.58983733702024033</v>
      </c>
      <c r="JT24" s="8">
        <v>0.60143259751166334</v>
      </c>
      <c r="JU24" s="8">
        <v>0.61652741894710317</v>
      </c>
      <c r="JV24" s="7">
        <v>0.63796340706704524</v>
      </c>
      <c r="JW24" s="8">
        <v>0.5049991132112881</v>
      </c>
      <c r="JX24" s="7">
        <v>0.48874906477776203</v>
      </c>
      <c r="JY24" s="8">
        <v>0.49183377684589985</v>
      </c>
      <c r="JZ24" s="8">
        <v>0.48624443596526751</v>
      </c>
      <c r="KA24" s="8">
        <v>0.49848694705701302</v>
      </c>
      <c r="KB24" s="8">
        <v>0.52466411698970372</v>
      </c>
      <c r="KC24" s="8">
        <v>0.54919723588776148</v>
      </c>
      <c r="KD24" s="8">
        <v>0.55700231457519855</v>
      </c>
      <c r="KE24" s="8">
        <v>0.55778373792593339</v>
      </c>
      <c r="KF24" s="8">
        <v>0.53657083705288255</v>
      </c>
      <c r="KG24" s="8">
        <v>0.33282064367091369</v>
      </c>
      <c r="KH24" s="7">
        <v>0.32904325293213937</v>
      </c>
      <c r="KI24" s="8">
        <v>0.33560347184062983</v>
      </c>
      <c r="KJ24" s="8">
        <v>0.33065461831498788</v>
      </c>
      <c r="KK24" s="8">
        <v>0.36237292292842338</v>
      </c>
      <c r="KL24" s="8">
        <v>0.39239865419917996</v>
      </c>
      <c r="KM24" s="8">
        <v>0.41211436872308066</v>
      </c>
      <c r="KN24" s="8">
        <v>0.39635283261288723</v>
      </c>
      <c r="KO24" s="8">
        <v>0.36762437476552778</v>
      </c>
      <c r="KP24" s="8">
        <v>0.3439599510334207</v>
      </c>
      <c r="KQ24" s="8">
        <v>0.50821786945386105</v>
      </c>
      <c r="KR24" s="8">
        <v>0.51735723681366774</v>
      </c>
      <c r="KS24" s="7">
        <v>0.53154271804730979</v>
      </c>
      <c r="KT24" s="8">
        <v>0.53092215071390825</v>
      </c>
      <c r="KU24" s="8">
        <v>0.5448664057954824</v>
      </c>
      <c r="KV24" s="8">
        <v>0.55412420783216898</v>
      </c>
      <c r="KW24" s="8">
        <v>0.5498942515717653</v>
      </c>
      <c r="KX24" s="8">
        <v>0.53199143493876355</v>
      </c>
      <c r="KY24" s="8">
        <v>0.50124051778359846</v>
      </c>
      <c r="KZ24" s="8">
        <v>0.48549023055479412</v>
      </c>
      <c r="LA24" s="8">
        <v>0.54771326223665384</v>
      </c>
      <c r="LB24" s="8">
        <v>0.56514541115516914</v>
      </c>
      <c r="LC24" s="8">
        <v>0.57761167486387999</v>
      </c>
      <c r="LD24" s="8">
        <v>0.56135639445031227</v>
      </c>
      <c r="LE24" s="8">
        <v>0.56863324802489068</v>
      </c>
      <c r="LF24" s="8">
        <v>0.58469333983127936</v>
      </c>
      <c r="LG24" s="8">
        <v>0.60319891477492871</v>
      </c>
      <c r="LH24" s="8">
        <v>0.60396642674526446</v>
      </c>
      <c r="LI24" s="8">
        <v>0.59774471960955922</v>
      </c>
      <c r="LJ24" s="8">
        <v>0.57742645761755673</v>
      </c>
      <c r="LL24" s="6" t="s">
        <v>311</v>
      </c>
      <c r="LM24" s="6" t="s">
        <v>160</v>
      </c>
      <c r="LN24" s="6" t="s">
        <v>161</v>
      </c>
      <c r="LO24" s="8">
        <v>0.46378918747339815</v>
      </c>
    </row>
    <row r="25" spans="2:327" x14ac:dyDescent="0.45">
      <c r="B25" s="3" t="s">
        <v>312</v>
      </c>
      <c r="C25" s="3" t="s">
        <v>151</v>
      </c>
      <c r="D25" s="5">
        <v>0.20709693656062542</v>
      </c>
      <c r="E25" s="5">
        <v>0.20099862025936152</v>
      </c>
      <c r="F25" s="5">
        <v>0.19746849386239168</v>
      </c>
      <c r="G25" s="5">
        <v>0.19026253211121763</v>
      </c>
      <c r="H25" s="5">
        <v>0.20000062727597268</v>
      </c>
      <c r="I25" s="5">
        <v>0.20721400062255774</v>
      </c>
      <c r="J25" s="5">
        <v>0.20538676520959737</v>
      </c>
      <c r="K25" s="5">
        <v>0.19972929616003945</v>
      </c>
      <c r="L25" s="5">
        <v>0.19892780848054309</v>
      </c>
      <c r="M25" s="5">
        <v>0.20088458215747701</v>
      </c>
      <c r="N25" s="5">
        <v>0.17133039713963655</v>
      </c>
      <c r="O25" s="5">
        <v>0.18162290231638875</v>
      </c>
      <c r="P25" s="5">
        <v>0.18888317117653983</v>
      </c>
      <c r="Q25" s="5">
        <v>0.19877348023348079</v>
      </c>
      <c r="R25" s="5">
        <v>0.20536324516422749</v>
      </c>
      <c r="S25" s="5">
        <v>0.21423772181481332</v>
      </c>
      <c r="T25" s="5">
        <v>0.21281795551450633</v>
      </c>
      <c r="U25" s="5">
        <v>0.19973611775867534</v>
      </c>
      <c r="V25" s="5">
        <v>0.18814116003525858</v>
      </c>
      <c r="W25" s="5">
        <v>0.18076132467683584</v>
      </c>
      <c r="X25" s="5">
        <v>0.26329057290707608</v>
      </c>
      <c r="Y25" s="5">
        <v>0.28010950896293424</v>
      </c>
      <c r="Z25" s="5">
        <v>0.28647051875603569</v>
      </c>
      <c r="AA25" s="5">
        <v>0.30228796004933245</v>
      </c>
      <c r="AB25" s="5">
        <v>0.29443219786907959</v>
      </c>
      <c r="AC25" s="5">
        <v>0.27541431433094526</v>
      </c>
      <c r="AD25" s="5">
        <v>0.25242420805092447</v>
      </c>
      <c r="AE25" s="5">
        <v>0.23994584139072275</v>
      </c>
      <c r="AF25" s="5">
        <v>0.23522215150030845</v>
      </c>
      <c r="AG25" s="5">
        <v>0.23902118045075965</v>
      </c>
      <c r="AH25" s="5">
        <v>0.30572385400081314</v>
      </c>
      <c r="AI25" s="5">
        <v>0.32413788837730956</v>
      </c>
      <c r="AJ25" s="5">
        <v>0.32358109034789517</v>
      </c>
      <c r="AK25" s="5">
        <v>0.340816328149597</v>
      </c>
      <c r="AL25" s="5">
        <v>0.32625147290902456</v>
      </c>
      <c r="AM25" s="5">
        <v>0.31442678732890844</v>
      </c>
      <c r="AN25" s="5">
        <v>0.29898764910478393</v>
      </c>
      <c r="AO25" s="5">
        <v>0.29035826109927737</v>
      </c>
      <c r="AP25" s="5">
        <v>0.29774859904780954</v>
      </c>
      <c r="AQ25" s="5">
        <v>0.30066965204800361</v>
      </c>
      <c r="AR25" s="5">
        <v>0.25488162142586684</v>
      </c>
      <c r="AS25" s="5">
        <v>0.26495454121542356</v>
      </c>
      <c r="AT25" s="5">
        <v>0.27898199804394813</v>
      </c>
      <c r="AU25" s="5">
        <v>0.27538281400783865</v>
      </c>
      <c r="AV25" s="5">
        <v>0.27849838831606505</v>
      </c>
      <c r="AW25" s="5">
        <v>0.27946225057043789</v>
      </c>
      <c r="AX25" s="5">
        <v>0.27681409873147755</v>
      </c>
      <c r="AY25" s="5">
        <v>0.27615206262316494</v>
      </c>
      <c r="AZ25" s="5">
        <v>0.28255816411980733</v>
      </c>
      <c r="BA25" s="5">
        <v>0.26830780780212032</v>
      </c>
      <c r="BB25" s="5">
        <v>0.27752633003603988</v>
      </c>
      <c r="BC25" s="5">
        <v>0.28014283678479901</v>
      </c>
      <c r="BD25" s="5">
        <v>0.27263977201801715</v>
      </c>
      <c r="BE25" s="5">
        <v>0.27327833172618055</v>
      </c>
      <c r="BF25" s="5">
        <v>0.26272772723483251</v>
      </c>
      <c r="BG25" s="5">
        <v>0.26214164093918418</v>
      </c>
      <c r="BH25" s="5">
        <v>0.25667812148173819</v>
      </c>
      <c r="BI25" s="5">
        <v>0.24628425055556744</v>
      </c>
      <c r="BJ25" s="5">
        <v>0.25425163587495914</v>
      </c>
      <c r="BK25" s="5">
        <v>0.27317314789735592</v>
      </c>
      <c r="BM25" s="3" t="s">
        <v>312</v>
      </c>
      <c r="BN25" s="3" t="s">
        <v>152</v>
      </c>
      <c r="BO25" s="5">
        <v>1.2776818661384848E-2</v>
      </c>
      <c r="BP25" s="5">
        <v>1.2914010036300031E-2</v>
      </c>
      <c r="BQ25" s="5">
        <v>9.244531761735621E-3</v>
      </c>
      <c r="BR25" s="5">
        <v>1.7513975831768339E-2</v>
      </c>
      <c r="BS25" s="5">
        <v>1.9053525240149478E-2</v>
      </c>
      <c r="BT25" s="5">
        <v>2.0221331608664288E-2</v>
      </c>
      <c r="BU25" s="4">
        <v>9.4619226883043174E-3</v>
      </c>
      <c r="BV25" s="5">
        <v>1.1353534157070196E-2</v>
      </c>
      <c r="BW25" s="5">
        <v>6.8010182486524969E-3</v>
      </c>
      <c r="BX25" s="5">
        <v>1.1920031371768419E-2</v>
      </c>
      <c r="BY25" s="5">
        <v>1.2179696827382035E-2</v>
      </c>
      <c r="BZ25" s="4">
        <v>4.9646086677590144E-3</v>
      </c>
      <c r="CA25" s="5">
        <v>3.5048736682260465E-3</v>
      </c>
      <c r="CB25" s="5">
        <v>2.9750342625784357E-3</v>
      </c>
      <c r="CC25" s="5">
        <v>1.7684156755989828E-3</v>
      </c>
      <c r="CD25" s="4">
        <v>2.3327011757547909E-3</v>
      </c>
      <c r="CE25" s="4">
        <v>3.803174913804718E-3</v>
      </c>
      <c r="CF25" s="4">
        <v>1.1266156303468562E-2</v>
      </c>
      <c r="CG25" s="5">
        <v>9.6019414856239153E-3</v>
      </c>
      <c r="CH25" s="5">
        <v>1.4758300832250893E-2</v>
      </c>
      <c r="CI25" s="5">
        <v>7.4976402588117653E-3</v>
      </c>
      <c r="CJ25" s="5">
        <v>1.1057518096889624E-2</v>
      </c>
      <c r="CK25" s="4">
        <v>1.1356967240519723E-2</v>
      </c>
      <c r="CL25" s="4">
        <v>1.4971672865983734E-2</v>
      </c>
      <c r="CM25" s="5">
        <v>1.334899544131257E-2</v>
      </c>
      <c r="CN25" s="5">
        <v>2.053957669484404E-2</v>
      </c>
      <c r="CO25" s="5">
        <v>1.5770405116442024E-2</v>
      </c>
      <c r="CP25" s="5">
        <v>1.0996418158015695E-2</v>
      </c>
      <c r="CQ25" s="5">
        <v>6.368480482577708E-3</v>
      </c>
      <c r="CR25" s="5">
        <v>1.4361104738462202E-2</v>
      </c>
      <c r="CS25" s="5">
        <v>3.985197695305677E-2</v>
      </c>
      <c r="CT25" s="4">
        <v>1.9695920095064556E-2</v>
      </c>
      <c r="CU25" s="5">
        <v>7.9867465199196085E-3</v>
      </c>
      <c r="CV25" s="5">
        <v>2.8849267809616906E-2</v>
      </c>
      <c r="CW25" s="5">
        <v>3.0490837592218319E-2</v>
      </c>
      <c r="CX25" s="5">
        <v>1.6543838049535482E-2</v>
      </c>
      <c r="CY25" s="5">
        <v>1.3140872210752202E-3</v>
      </c>
      <c r="CZ25" s="5">
        <v>4.1692341430008091E-3</v>
      </c>
      <c r="DA25" s="5">
        <v>1.5743771073135446E-2</v>
      </c>
      <c r="DB25" s="4">
        <v>3.2337569256695113E-2</v>
      </c>
      <c r="DC25" s="5">
        <v>1.9557483828147048E-2</v>
      </c>
      <c r="DD25" s="5">
        <v>3.2549723200866694E-2</v>
      </c>
      <c r="DE25" s="5">
        <v>2.5045376540641096E-2</v>
      </c>
      <c r="DF25" s="5">
        <v>1.9404100722377575E-2</v>
      </c>
      <c r="DG25" s="5">
        <v>1.0317443965473795E-2</v>
      </c>
      <c r="DH25" s="5">
        <v>1.1188811113901968E-2</v>
      </c>
      <c r="DI25" s="5">
        <v>1.6671941100937462E-2</v>
      </c>
      <c r="DJ25" s="5">
        <v>1.3495250832268352E-2</v>
      </c>
      <c r="DK25" s="5">
        <v>5.6869398426830182E-3</v>
      </c>
      <c r="DL25" s="5">
        <v>1.4767651832239131E-2</v>
      </c>
      <c r="DM25" s="5">
        <v>1.3234163231917557E-2</v>
      </c>
      <c r="DN25" s="5">
        <v>2.239805862546464E-2</v>
      </c>
      <c r="DO25" s="5">
        <v>1.9615510941009068E-2</v>
      </c>
      <c r="DP25" s="5">
        <v>2.2761187893490353E-2</v>
      </c>
      <c r="DQ25" s="5">
        <v>2.2302367810809146E-2</v>
      </c>
      <c r="DR25" s="5">
        <v>2.4484192232485887E-2</v>
      </c>
      <c r="DS25" s="5">
        <v>2.0682033786523019E-2</v>
      </c>
      <c r="DT25" s="5">
        <v>1.2484465372647191E-2</v>
      </c>
      <c r="DU25" s="4">
        <v>6.1533370047773608E-3</v>
      </c>
      <c r="DV25" s="5">
        <v>6.1409690902763537E-3</v>
      </c>
      <c r="DX25" s="3" t="s">
        <v>312</v>
      </c>
      <c r="DY25" s="3" t="s">
        <v>153</v>
      </c>
      <c r="DZ25" s="5">
        <v>1.3521742274305781E-2</v>
      </c>
      <c r="EA25" s="5">
        <v>1.4882607228927243E-2</v>
      </c>
      <c r="EB25" s="4">
        <v>1.3369795442956514E-2</v>
      </c>
      <c r="EC25" s="5">
        <v>8.6448579382822684E-3</v>
      </c>
      <c r="ED25" s="5">
        <v>1.366659316961052E-2</v>
      </c>
      <c r="EE25" s="5">
        <v>1.8200345439109988E-2</v>
      </c>
      <c r="EF25" s="4">
        <v>2.768520620221494E-2</v>
      </c>
      <c r="EG25" s="5">
        <v>2.2440391223835697E-2</v>
      </c>
      <c r="EH25" s="5">
        <v>1.5842117842452038E-2</v>
      </c>
      <c r="EI25" s="5">
        <v>1.358185396671148E-2</v>
      </c>
      <c r="EJ25" s="5">
        <v>1.4435540417114945E-2</v>
      </c>
      <c r="EK25" s="5">
        <v>2.0653301429414312E-2</v>
      </c>
      <c r="EL25" s="5">
        <v>1.2091799692161734E-2</v>
      </c>
      <c r="EM25" s="5">
        <v>9.5346350226872927E-3</v>
      </c>
      <c r="EN25" s="5">
        <v>6.2619203489056741E-3</v>
      </c>
      <c r="EO25" s="5">
        <v>2.9169441990267789E-3</v>
      </c>
      <c r="EP25" s="5">
        <v>5.4347941281734143E-3</v>
      </c>
      <c r="EQ25" s="5">
        <v>2.2625975282576584E-3</v>
      </c>
      <c r="ER25" s="5">
        <v>4.0250101461449268E-3</v>
      </c>
      <c r="ES25" s="5">
        <v>1.0514295784023809E-2</v>
      </c>
      <c r="ET25" s="5">
        <v>1.5665447715192703E-2</v>
      </c>
      <c r="EU25" s="5">
        <v>1.5709114843103885E-2</v>
      </c>
      <c r="EV25" s="5">
        <v>6.7187126175931354E-3</v>
      </c>
      <c r="EW25" s="5">
        <v>1.2860049829930626E-2</v>
      </c>
      <c r="EX25" s="5">
        <v>2.0510034198561716E-2</v>
      </c>
      <c r="EY25" s="5">
        <v>1.4845333416019065E-2</v>
      </c>
      <c r="EZ25" s="5">
        <v>1.579380248957335E-2</v>
      </c>
      <c r="FA25" s="5">
        <v>1.4649982121590176E-2</v>
      </c>
      <c r="FB25" s="5">
        <v>1.6411071221374418E-2</v>
      </c>
      <c r="FC25" s="5">
        <v>1.2831144417980797E-2</v>
      </c>
      <c r="FD25" s="5">
        <v>3.9187442339776161E-2</v>
      </c>
      <c r="FE25" s="4">
        <v>7.1142704725527028E-2</v>
      </c>
      <c r="FF25" s="5">
        <v>7.4297015864585897E-2</v>
      </c>
      <c r="FG25" s="5">
        <v>2.623560730277285E-2</v>
      </c>
      <c r="FH25" s="5">
        <v>1.5502795788137451E-2</v>
      </c>
      <c r="FI25" s="5">
        <v>2.5990186803522324E-2</v>
      </c>
      <c r="FJ25" s="5">
        <v>3.6695487422049727E-2</v>
      </c>
      <c r="FK25" s="5">
        <v>3.1131494777505417E-2</v>
      </c>
      <c r="FL25" s="5">
        <v>1.3348727785401089E-2</v>
      </c>
      <c r="FM25" s="5">
        <v>1.4492620838440638E-2</v>
      </c>
      <c r="FN25" s="5">
        <v>1.1544303933155413E-2</v>
      </c>
      <c r="FO25" s="5">
        <v>1.9985813285972071E-2</v>
      </c>
      <c r="FP25" s="5">
        <v>3.1993109347494213E-2</v>
      </c>
      <c r="FQ25" s="5">
        <v>3.4699033743337042E-2</v>
      </c>
      <c r="FR25" s="5">
        <v>3.3551613189367745E-2</v>
      </c>
      <c r="FS25" s="5">
        <v>2.1415690591428477E-2</v>
      </c>
      <c r="FT25" s="5">
        <v>8.4571050972699468E-3</v>
      </c>
      <c r="FU25" s="5">
        <v>1.7013694441862379E-2</v>
      </c>
      <c r="FV25" s="5">
        <v>1.8897028309970886E-2</v>
      </c>
      <c r="FW25" s="5">
        <v>2.0631940258954696E-2</v>
      </c>
      <c r="FX25" s="5">
        <v>8.0155172464712997E-3</v>
      </c>
      <c r="FY25" s="5">
        <v>8.7382140409493509E-3</v>
      </c>
      <c r="FZ25" s="5">
        <v>1.0819120767550807E-2</v>
      </c>
      <c r="GA25" s="5">
        <v>1.6903299849317148E-2</v>
      </c>
      <c r="GB25" s="5">
        <v>1.752382259578494E-2</v>
      </c>
      <c r="GC25" s="5">
        <v>1.7639443523154094E-2</v>
      </c>
      <c r="GD25" s="5">
        <v>1.6728764375223203E-2</v>
      </c>
      <c r="GE25" s="5">
        <v>2.2281773009406036E-2</v>
      </c>
      <c r="GF25" s="5">
        <v>1.9561674137812599E-2</v>
      </c>
      <c r="GG25" s="5">
        <v>1.7352672545763771E-2</v>
      </c>
      <c r="GI25" s="3" t="s">
        <v>312</v>
      </c>
      <c r="GJ25" s="3" t="s">
        <v>154</v>
      </c>
      <c r="GK25" s="5">
        <v>8.0125327360405299E-2</v>
      </c>
      <c r="GL25" s="5">
        <v>7.1693405130244775E-2</v>
      </c>
      <c r="GM25" s="5">
        <v>6.5974031300759836E-2</v>
      </c>
      <c r="GN25" s="5">
        <v>5.7095285340400606E-2</v>
      </c>
      <c r="GO25" s="5">
        <v>5.6915614894590495E-2</v>
      </c>
      <c r="GP25" s="5">
        <v>5.1957304129879991E-2</v>
      </c>
      <c r="GQ25" s="5">
        <v>4.9711647498759698E-2</v>
      </c>
      <c r="GR25" s="5">
        <v>5.7970409303168428E-2</v>
      </c>
      <c r="GS25" s="5">
        <v>7.1455330123663591E-2</v>
      </c>
      <c r="GT25" s="5">
        <v>7.3990163895637673E-2</v>
      </c>
      <c r="GU25" s="5">
        <v>5.7430551251430637E-2</v>
      </c>
      <c r="GV25" s="5">
        <v>5.9638879644716349E-2</v>
      </c>
      <c r="GW25" s="5">
        <v>6.9130719606654192E-2</v>
      </c>
      <c r="GX25" s="5">
        <v>8.2016833361775357E-2</v>
      </c>
      <c r="GY25" s="5">
        <v>9.4436108350039905E-2</v>
      </c>
      <c r="GZ25" s="5">
        <v>0.10472901010875733</v>
      </c>
      <c r="HA25" s="5">
        <v>9.5843746071695546E-2</v>
      </c>
      <c r="HB25" s="4">
        <v>8.435238086335918E-2</v>
      </c>
      <c r="HC25" s="5">
        <v>7.2713022996674925E-2</v>
      </c>
      <c r="HD25" s="5">
        <v>5.845909778811139E-2</v>
      </c>
      <c r="HE25" s="5">
        <v>0.11234692072189958</v>
      </c>
      <c r="HF25" s="5">
        <v>0.11953292882061069</v>
      </c>
      <c r="HG25" s="5">
        <v>0.13711114883452075</v>
      </c>
      <c r="HH25" s="5">
        <v>0.14413799008546035</v>
      </c>
      <c r="HI25" s="5">
        <v>0.13100247822336938</v>
      </c>
      <c r="HJ25" s="5">
        <v>0.11380401013745396</v>
      </c>
      <c r="HK25" s="5">
        <v>0.10605972846056079</v>
      </c>
      <c r="HL25" s="4">
        <v>9.8255443039898235E-2</v>
      </c>
      <c r="HM25" s="5">
        <v>9.6116810873491998E-2</v>
      </c>
      <c r="HN25" s="5">
        <v>9.4297408361962931E-2</v>
      </c>
      <c r="HO25" s="5">
        <v>0.11532563748731724</v>
      </c>
      <c r="HP25" s="5">
        <v>0.11740619073880836</v>
      </c>
      <c r="HQ25" s="5">
        <v>0.12965508721753427</v>
      </c>
      <c r="HR25" s="5">
        <v>0.17109942921490462</v>
      </c>
      <c r="HS25" s="5">
        <v>0.16645339451651772</v>
      </c>
      <c r="HT25" s="5">
        <v>0.16608489865988144</v>
      </c>
      <c r="HU25" s="5">
        <v>0.15839363807677817</v>
      </c>
      <c r="HV25" s="5">
        <v>0.14865786531107578</v>
      </c>
      <c r="HW25" s="5">
        <v>0.15963673234901432</v>
      </c>
      <c r="HX25" s="5">
        <v>0.13572756412190776</v>
      </c>
      <c r="HY25" s="5">
        <v>0.1067610526403122</v>
      </c>
      <c r="HZ25" s="5">
        <v>8.9062175912662689E-2</v>
      </c>
      <c r="IA25" s="5">
        <v>0.10035455792347441</v>
      </c>
      <c r="IB25" s="5">
        <v>9.633967734144222E-2</v>
      </c>
      <c r="IC25" s="5">
        <v>9.9923350245871331E-2</v>
      </c>
      <c r="ID25" s="5">
        <v>0.1062993059639025</v>
      </c>
      <c r="IE25" s="5">
        <v>0.11336102902904734</v>
      </c>
      <c r="IF25" s="5">
        <v>0.12187839018731148</v>
      </c>
      <c r="IG25" s="5">
        <v>0.13125747748291908</v>
      </c>
      <c r="IH25" s="5">
        <v>0.11445032834061032</v>
      </c>
      <c r="II25" s="5">
        <v>0.12520717610167681</v>
      </c>
      <c r="IJ25" s="5">
        <v>0.11933006509030213</v>
      </c>
      <c r="IK25" s="5">
        <v>0.10990185884253992</v>
      </c>
      <c r="IL25" s="5">
        <v>9.8607782574698793E-2</v>
      </c>
      <c r="IM25" s="5">
        <v>8.4511280079812207E-2</v>
      </c>
      <c r="IN25" s="5">
        <v>7.1476646908857272E-2</v>
      </c>
      <c r="IO25" s="5">
        <v>7.027118210764953E-2</v>
      </c>
      <c r="IP25" s="5">
        <v>6.6222032265117692E-2</v>
      </c>
      <c r="IQ25" s="5">
        <v>8.1867865322451702E-2</v>
      </c>
      <c r="IR25" s="5">
        <v>0.1020796552675987</v>
      </c>
      <c r="JB25" s="3" t="s">
        <v>312</v>
      </c>
      <c r="JC25" s="5">
        <v>0.66436503043765716</v>
      </c>
      <c r="JD25" s="5">
        <v>0.67178203572411355</v>
      </c>
      <c r="JE25" s="5">
        <v>0.68746757436445316</v>
      </c>
      <c r="JF25" s="5">
        <v>0.70513878024465926</v>
      </c>
      <c r="JG25" s="5">
        <v>0.69759196094765741</v>
      </c>
      <c r="JH25" s="5">
        <v>0.69423847119526094</v>
      </c>
      <c r="JI25" s="5">
        <v>0.69583557170289678</v>
      </c>
      <c r="JJ25" s="5">
        <v>0.69724329843778421</v>
      </c>
      <c r="JK25" s="5">
        <v>0.68333174689112663</v>
      </c>
      <c r="JL25" s="5">
        <v>0.67050958711760544</v>
      </c>
      <c r="JM25" s="5">
        <v>0.70570084494023022</v>
      </c>
      <c r="JN25" s="5">
        <v>0.7076375640819621</v>
      </c>
      <c r="JO25" s="5">
        <v>0.70313192738653496</v>
      </c>
      <c r="JP25" s="5">
        <v>0.67858368908619016</v>
      </c>
      <c r="JQ25" s="5">
        <v>0.65669933255918977</v>
      </c>
      <c r="JR25" s="5">
        <v>0.63919166136816485</v>
      </c>
      <c r="JS25" s="5">
        <v>0.63906457777649972</v>
      </c>
      <c r="JT25" s="5">
        <v>0.65761511590766109</v>
      </c>
      <c r="JU25" s="5">
        <v>0.68466418993922262</v>
      </c>
      <c r="JV25" s="4">
        <v>0.69778151088019247</v>
      </c>
      <c r="JW25" s="5">
        <v>0.58675336834933711</v>
      </c>
      <c r="JX25" s="4">
        <v>0.56619666094588805</v>
      </c>
      <c r="JY25" s="5">
        <v>0.55353583764265268</v>
      </c>
      <c r="JZ25" s="5">
        <v>0.52740214162445498</v>
      </c>
      <c r="KA25" s="5">
        <v>0.54504199678139187</v>
      </c>
      <c r="KB25" s="5">
        <v>0.56997466146136044</v>
      </c>
      <c r="KC25" s="5">
        <v>0.60374002305066066</v>
      </c>
      <c r="KD25" s="5">
        <v>0.6223411980248339</v>
      </c>
      <c r="KE25" s="5">
        <v>0.63071183241107454</v>
      </c>
      <c r="KF25" s="5">
        <v>0.6133841595706554</v>
      </c>
      <c r="KG25" s="5">
        <v>0.4026095748665619</v>
      </c>
      <c r="KH25" s="4">
        <v>0.39286158884250433</v>
      </c>
      <c r="KI25" s="5">
        <v>0.37975089151464131</v>
      </c>
      <c r="KJ25" s="5">
        <v>0.3437346880164035</v>
      </c>
      <c r="KK25" s="5">
        <v>0.36725753637850084</v>
      </c>
      <c r="KL25" s="5">
        <v>0.38963896199963582</v>
      </c>
      <c r="KM25" s="5">
        <v>0.40915233566190279</v>
      </c>
      <c r="KN25" s="5">
        <v>0.40343587119403235</v>
      </c>
      <c r="KO25" s="5">
        <v>0.39089200642458005</v>
      </c>
      <c r="KP25" s="5">
        <v>0.39767098367883313</v>
      </c>
      <c r="KQ25" s="5">
        <v>0.5589139634118061</v>
      </c>
      <c r="KR25" s="5">
        <v>0.56681711523692191</v>
      </c>
      <c r="KS25" s="4">
        <v>0.56533239031414617</v>
      </c>
      <c r="KT25" s="5">
        <v>0.56731613986153673</v>
      </c>
      <c r="KU25" s="5">
        <v>0.57385224490992648</v>
      </c>
      <c r="KV25" s="5">
        <v>0.58148208503770837</v>
      </c>
      <c r="KW25" s="5">
        <v>0.56962727301713256</v>
      </c>
      <c r="KX25" s="5">
        <v>0.53992265315824617</v>
      </c>
      <c r="KY25" s="5">
        <v>0.52055601595604462</v>
      </c>
      <c r="KZ25" s="5">
        <v>0.53891727120505739</v>
      </c>
      <c r="LA25" s="5">
        <v>0.59860801018853593</v>
      </c>
      <c r="LB25" s="5">
        <v>0.59652731285996352</v>
      </c>
      <c r="LC25" s="5">
        <v>0.60856730097329903</v>
      </c>
      <c r="LD25" s="5">
        <v>0.60329921523653329</v>
      </c>
      <c r="LE25" s="5">
        <v>0.62772027001591413</v>
      </c>
      <c r="LF25" s="5">
        <v>0.64587337395050326</v>
      </c>
      <c r="LG25" s="5">
        <v>0.66392721481831485</v>
      </c>
      <c r="LH25" s="5">
        <v>0.67257303058001616</v>
      </c>
      <c r="LI25" s="5">
        <v>0.66009579344600788</v>
      </c>
      <c r="LJ25" s="5">
        <v>0.62956023614869028</v>
      </c>
      <c r="LL25" s="3" t="s">
        <v>313</v>
      </c>
      <c r="LM25" s="3" t="s">
        <v>160</v>
      </c>
      <c r="LN25" s="3" t="s">
        <v>161</v>
      </c>
      <c r="LO25" s="5">
        <v>0.55569100981655417</v>
      </c>
    </row>
    <row r="26" spans="2:327" x14ac:dyDescent="0.45">
      <c r="B26" s="6" t="s">
        <v>314</v>
      </c>
      <c r="C26" s="6" t="s">
        <v>151</v>
      </c>
      <c r="D26" s="8">
        <v>0.24392677435514837</v>
      </c>
      <c r="E26" s="8">
        <v>0.24279578889055728</v>
      </c>
      <c r="F26" s="8">
        <v>0.23398679667318559</v>
      </c>
      <c r="G26" s="8">
        <v>0.25032217625400338</v>
      </c>
      <c r="H26" s="8">
        <v>0.26312343034170543</v>
      </c>
      <c r="I26" s="8">
        <v>0.25163397787409808</v>
      </c>
      <c r="J26" s="8">
        <v>0.25036784626436442</v>
      </c>
      <c r="K26" s="8">
        <v>0.23903742208469836</v>
      </c>
      <c r="L26" s="8">
        <v>0.23088818826176583</v>
      </c>
      <c r="M26" s="8">
        <v>0.22756148115337235</v>
      </c>
      <c r="N26" s="8">
        <v>0.24800215030062303</v>
      </c>
      <c r="O26" s="8">
        <v>0.22545348407956378</v>
      </c>
      <c r="P26" s="8">
        <v>0.21746861717415775</v>
      </c>
      <c r="Q26" s="8">
        <v>0.24228785754187904</v>
      </c>
      <c r="R26" s="8">
        <v>0.25915687410920718</v>
      </c>
      <c r="S26" s="8">
        <v>0.24083428800977152</v>
      </c>
      <c r="T26" s="8">
        <v>0.23879099199784018</v>
      </c>
      <c r="U26" s="8">
        <v>0.25072433503056335</v>
      </c>
      <c r="V26" s="8">
        <v>0.25486061786636927</v>
      </c>
      <c r="W26" s="8">
        <v>0.24987665528067554</v>
      </c>
      <c r="X26" s="8">
        <v>0.32878670357290851</v>
      </c>
      <c r="Y26" s="8">
        <v>0.33879271131871019</v>
      </c>
      <c r="Z26" s="8">
        <v>0.36831779357077704</v>
      </c>
      <c r="AA26" s="8">
        <v>0.3828055488621217</v>
      </c>
      <c r="AB26" s="8">
        <v>0.36556045294456169</v>
      </c>
      <c r="AC26" s="8">
        <v>0.34134660598274164</v>
      </c>
      <c r="AD26" s="8">
        <v>0.32784243201958962</v>
      </c>
      <c r="AE26" s="8">
        <v>0.31139696224268437</v>
      </c>
      <c r="AF26" s="8">
        <v>0.29608734104336781</v>
      </c>
      <c r="AG26" s="8">
        <v>0.3109388675914217</v>
      </c>
      <c r="AH26" s="8">
        <v>0.3328057020496118</v>
      </c>
      <c r="AI26" s="8">
        <v>0.33682475930235212</v>
      </c>
      <c r="AJ26" s="8">
        <v>0.3296024807315055</v>
      </c>
      <c r="AK26" s="8">
        <v>0.35384281091861297</v>
      </c>
      <c r="AL26" s="8">
        <v>0.34933995206511004</v>
      </c>
      <c r="AM26" s="8">
        <v>0.32257410514158247</v>
      </c>
      <c r="AN26" s="8">
        <v>0.30080683937005825</v>
      </c>
      <c r="AO26" s="8">
        <v>0.28775680387648717</v>
      </c>
      <c r="AP26" s="8">
        <v>0.27524176681368057</v>
      </c>
      <c r="AQ26" s="8">
        <v>0.29038194179406418</v>
      </c>
      <c r="AR26" s="8">
        <v>0.25564592946695447</v>
      </c>
      <c r="AS26" s="8">
        <v>0.25965838712021189</v>
      </c>
      <c r="AT26" s="8">
        <v>0.2535148627494711</v>
      </c>
      <c r="AU26" s="8">
        <v>0.24300495232809696</v>
      </c>
      <c r="AV26" s="8">
        <v>0.24401680035456852</v>
      </c>
      <c r="AW26" s="8">
        <v>0.24416656103047399</v>
      </c>
      <c r="AX26" s="8">
        <v>0.23841678603304597</v>
      </c>
      <c r="AY26" s="8">
        <v>0.2397522655869111</v>
      </c>
      <c r="AZ26" s="8">
        <v>0.24178222231608296</v>
      </c>
      <c r="BA26" s="8">
        <v>0.23811572272673695</v>
      </c>
      <c r="BB26" s="8">
        <v>0.25365918363765622</v>
      </c>
      <c r="BC26" s="8">
        <v>0.25257752141151368</v>
      </c>
      <c r="BD26" s="8">
        <v>0.25386343836600139</v>
      </c>
      <c r="BE26" s="8">
        <v>0.25422500881923549</v>
      </c>
      <c r="BF26" s="8">
        <v>0.26611286490516156</v>
      </c>
      <c r="BG26" s="8">
        <v>0.27465544391375707</v>
      </c>
      <c r="BH26" s="8">
        <v>0.27606284007056686</v>
      </c>
      <c r="BI26" s="8">
        <v>0.25958876844300316</v>
      </c>
      <c r="BJ26" s="8">
        <v>0.26216545982760403</v>
      </c>
      <c r="BK26" s="8">
        <v>0.24607062367561336</v>
      </c>
      <c r="BM26" s="6" t="s">
        <v>314</v>
      </c>
      <c r="BN26" s="6" t="s">
        <v>152</v>
      </c>
      <c r="BO26" s="8">
        <v>1.1257102549922801E-2</v>
      </c>
      <c r="BP26" s="8">
        <v>6.353285164184006E-3</v>
      </c>
      <c r="BQ26" s="8">
        <v>6.2874802253127197E-3</v>
      </c>
      <c r="BR26" s="8">
        <v>1.7103234447930171E-2</v>
      </c>
      <c r="BS26" s="8">
        <v>1.6080189176213473E-2</v>
      </c>
      <c r="BT26" s="8">
        <v>1.4719516114021764E-2</v>
      </c>
      <c r="BU26" s="7">
        <v>1.1100314946279107E-2</v>
      </c>
      <c r="BV26" s="8">
        <v>1.3002175359719753E-2</v>
      </c>
      <c r="BW26" s="8">
        <v>8.8078410857084424E-3</v>
      </c>
      <c r="BX26" s="8">
        <v>1.0544196311776314E-2</v>
      </c>
      <c r="BY26" s="8">
        <v>1.4341087478935425E-2</v>
      </c>
      <c r="BZ26" s="7">
        <v>5.736903881901392E-3</v>
      </c>
      <c r="CA26" s="8">
        <v>6.6158112060615568E-3</v>
      </c>
      <c r="CB26" s="8">
        <v>1.4831150373056008E-2</v>
      </c>
      <c r="CC26" s="8">
        <v>1.7163187192096752E-2</v>
      </c>
      <c r="CD26" s="7">
        <v>5.5970752144997027E-3</v>
      </c>
      <c r="CE26" s="7">
        <v>5.2815517066362944E-3</v>
      </c>
      <c r="CF26" s="7">
        <v>7.1760413479381889E-3</v>
      </c>
      <c r="CG26" s="8">
        <v>9.9525270394112478E-3</v>
      </c>
      <c r="CH26" s="8">
        <v>1.4080108257566407E-2</v>
      </c>
      <c r="CI26" s="8">
        <v>1.8727530557776581E-2</v>
      </c>
      <c r="CJ26" s="8">
        <v>5.595965768377468E-3</v>
      </c>
      <c r="CK26" s="7">
        <v>1.7305911534222947E-2</v>
      </c>
      <c r="CL26" s="7">
        <v>1.8457106217115035E-2</v>
      </c>
      <c r="CM26" s="8">
        <v>9.9673861495851671E-3</v>
      </c>
      <c r="CN26" s="8">
        <v>1.5927092699535912E-2</v>
      </c>
      <c r="CO26" s="8">
        <v>2.6613902511103335E-2</v>
      </c>
      <c r="CP26" s="8">
        <v>2.0367297369439843E-2</v>
      </c>
      <c r="CQ26" s="8">
        <v>1.5998422627164537E-2</v>
      </c>
      <c r="CR26" s="8">
        <v>3.0034694599376317E-2</v>
      </c>
      <c r="CS26" s="8">
        <v>1.6244442937944571E-2</v>
      </c>
      <c r="CT26" s="7">
        <v>6.4061742512025246E-3</v>
      </c>
      <c r="CU26" s="8">
        <v>2.1320240068687067E-2</v>
      </c>
      <c r="CV26" s="8">
        <v>5.7063670626035547E-2</v>
      </c>
      <c r="CW26" s="8">
        <v>5.4305523326248967E-2</v>
      </c>
      <c r="CX26" s="8">
        <v>3.4086896414911999E-2</v>
      </c>
      <c r="CY26" s="8">
        <v>3.2125778290812916E-2</v>
      </c>
      <c r="CZ26" s="8">
        <v>2.1697911301479415E-2</v>
      </c>
      <c r="DA26" s="8">
        <v>1.3839516853252805E-2</v>
      </c>
      <c r="DB26" s="7">
        <v>1.4373062643345352E-2</v>
      </c>
      <c r="DC26" s="8">
        <v>2.5085333311942619E-2</v>
      </c>
      <c r="DD26" s="8">
        <v>4.5478509887189288E-2</v>
      </c>
      <c r="DE26" s="8">
        <v>2.9545057982727791E-2</v>
      </c>
      <c r="DF26" s="8">
        <v>1.8646546093321899E-2</v>
      </c>
      <c r="DG26" s="8">
        <v>1.2709928838139537E-2</v>
      </c>
      <c r="DH26" s="8">
        <v>9.0893483342528014E-3</v>
      </c>
      <c r="DI26" s="8">
        <v>1.0244115301517658E-2</v>
      </c>
      <c r="DJ26" s="8">
        <v>7.2124414934035975E-3</v>
      </c>
      <c r="DK26" s="8">
        <v>5.0740028872772553E-3</v>
      </c>
      <c r="DL26" s="8">
        <v>1.7424000739533381E-2</v>
      </c>
      <c r="DM26" s="8">
        <v>1.5155976299759925E-2</v>
      </c>
      <c r="DN26" s="8">
        <v>1.2294760581278218E-2</v>
      </c>
      <c r="DO26" s="8">
        <v>1.6345133557032557E-2</v>
      </c>
      <c r="DP26" s="8">
        <v>1.7850118992734219E-2</v>
      </c>
      <c r="DQ26" s="8">
        <v>2.3600637583930755E-2</v>
      </c>
      <c r="DR26" s="8">
        <v>2.6252932115181062E-2</v>
      </c>
      <c r="DS26" s="8">
        <v>2.2339218428134956E-2</v>
      </c>
      <c r="DT26" s="8">
        <v>1.4114773920432578E-2</v>
      </c>
      <c r="DU26" s="7">
        <v>1.5970529858465768E-2</v>
      </c>
      <c r="DV26" s="8">
        <v>1.0003826339478808E-2</v>
      </c>
      <c r="DX26" s="6" t="s">
        <v>314</v>
      </c>
      <c r="DY26" s="6" t="s">
        <v>153</v>
      </c>
      <c r="DZ26" s="8">
        <v>1.3124419516628896E-2</v>
      </c>
      <c r="EA26" s="8">
        <v>1.5207923313566169E-2</v>
      </c>
      <c r="EB26" s="7">
        <v>1.3727643699086125E-2</v>
      </c>
      <c r="EC26" s="8">
        <v>1.1914468585171102E-2</v>
      </c>
      <c r="ED26" s="8">
        <v>8.6582093189301185E-3</v>
      </c>
      <c r="EE26" s="8">
        <v>1.3710937126938303E-2</v>
      </c>
      <c r="EF26" s="7">
        <v>1.9114750346966903E-2</v>
      </c>
      <c r="EG26" s="8">
        <v>1.541915333667781E-2</v>
      </c>
      <c r="EH26" s="8">
        <v>1.1223931340787611E-2</v>
      </c>
      <c r="EI26" s="8">
        <v>1.1444539246745589E-2</v>
      </c>
      <c r="EJ26" s="8">
        <v>1.3181539321450759E-2</v>
      </c>
      <c r="EK26" s="8">
        <v>1.4895439498477676E-2</v>
      </c>
      <c r="EL26" s="8">
        <v>1.5388574408062435E-2</v>
      </c>
      <c r="EM26" s="8">
        <v>1.3350125736308508E-2</v>
      </c>
      <c r="EN26" s="8">
        <v>8.5353553551636482E-3</v>
      </c>
      <c r="EO26" s="8">
        <v>1.4627901523861168E-2</v>
      </c>
      <c r="EP26" s="8">
        <v>1.8057608109394524E-2</v>
      </c>
      <c r="EQ26" s="8">
        <v>9.5048165958032064E-3</v>
      </c>
      <c r="ER26" s="8">
        <v>9.3461032374095292E-3</v>
      </c>
      <c r="ES26" s="8">
        <v>1.3779541271470526E-2</v>
      </c>
      <c r="ET26" s="8">
        <v>4.420505290616638E-2</v>
      </c>
      <c r="EU26" s="8">
        <v>3.9809136928781033E-2</v>
      </c>
      <c r="EV26" s="8">
        <v>6.5603252076395363E-3</v>
      </c>
      <c r="EW26" s="8">
        <v>1.7824394101912482E-2</v>
      </c>
      <c r="EX26" s="8">
        <v>3.1636558704692203E-2</v>
      </c>
      <c r="EY26" s="8">
        <v>2.7461334167910061E-2</v>
      </c>
      <c r="EZ26" s="8">
        <v>8.8189756572791388E-3</v>
      </c>
      <c r="FA26" s="8">
        <v>1.0990897203277878E-2</v>
      </c>
      <c r="FB26" s="8">
        <v>1.9868501591222922E-2</v>
      </c>
      <c r="FC26" s="8">
        <v>2.7059974065580292E-2</v>
      </c>
      <c r="FD26" s="8">
        <v>2.3901950402716469E-2</v>
      </c>
      <c r="FE26" s="7">
        <v>4.3990842627879383E-2</v>
      </c>
      <c r="FF26" s="8">
        <v>1.9354932218756973E-2</v>
      </c>
      <c r="FG26" s="8">
        <v>7.7740419195335307E-3</v>
      </c>
      <c r="FH26" s="8">
        <v>1.8010186990559732E-2</v>
      </c>
      <c r="FI26" s="8">
        <v>3.067719261236896E-2</v>
      </c>
      <c r="FJ26" s="8">
        <v>2.9074544199759696E-2</v>
      </c>
      <c r="FK26" s="8">
        <v>3.7238348235249775E-2</v>
      </c>
      <c r="FL26" s="8">
        <v>2.9267471136971434E-2</v>
      </c>
      <c r="FM26" s="8">
        <v>2.0717169428664792E-2</v>
      </c>
      <c r="FN26" s="8">
        <v>1.535701099600678E-2</v>
      </c>
      <c r="FO26" s="8">
        <v>2.165406835238079E-2</v>
      </c>
      <c r="FP26" s="8">
        <v>2.9842239753697139E-2</v>
      </c>
      <c r="FQ26" s="8">
        <v>4.1366789435294864E-2</v>
      </c>
      <c r="FR26" s="8">
        <v>3.1397358396499812E-2</v>
      </c>
      <c r="FS26" s="8">
        <v>2.6092409578423372E-2</v>
      </c>
      <c r="FT26" s="8">
        <v>1.1642565911952063E-2</v>
      </c>
      <c r="FU26" s="8">
        <v>1.5369397372759505E-2</v>
      </c>
      <c r="FV26" s="8">
        <v>9.5071493496806259E-3</v>
      </c>
      <c r="FW26" s="8">
        <v>9.3241989172069654E-3</v>
      </c>
      <c r="FX26" s="8">
        <v>1.340647430080028E-2</v>
      </c>
      <c r="FY26" s="8">
        <v>1.765056291804331E-2</v>
      </c>
      <c r="FZ26" s="8">
        <v>2.0238692554394748E-2</v>
      </c>
      <c r="GA26" s="8">
        <v>1.405901751810174E-2</v>
      </c>
      <c r="GB26" s="8">
        <v>1.5067986424583464E-2</v>
      </c>
      <c r="GC26" s="8">
        <v>2.2917924499606449E-2</v>
      </c>
      <c r="GD26" s="8">
        <v>2.7635075169633126E-2</v>
      </c>
      <c r="GE26" s="8">
        <v>2.7802449937184295E-2</v>
      </c>
      <c r="GF26" s="8">
        <v>1.8235622784717142E-2</v>
      </c>
      <c r="GG26" s="8">
        <v>1.2172939770645933E-2</v>
      </c>
      <c r="GI26" s="6" t="s">
        <v>314</v>
      </c>
      <c r="GJ26" s="6" t="s">
        <v>154</v>
      </c>
      <c r="GK26" s="8">
        <v>9.2757639228787353E-2</v>
      </c>
      <c r="GL26" s="8">
        <v>9.7324143353684014E-2</v>
      </c>
      <c r="GM26" s="8">
        <v>9.5858516408616964E-2</v>
      </c>
      <c r="GN26" s="8">
        <v>9.6979040291064286E-2</v>
      </c>
      <c r="GO26" s="8">
        <v>0.10484284296022844</v>
      </c>
      <c r="GP26" s="8">
        <v>9.6686541899759476E-2</v>
      </c>
      <c r="GQ26" s="8">
        <v>8.9879744693155669E-2</v>
      </c>
      <c r="GR26" s="8">
        <v>8.8152026505106881E-2</v>
      </c>
      <c r="GS26" s="8">
        <v>9.5769525643508893E-2</v>
      </c>
      <c r="GT26" s="8">
        <v>8.688655197073078E-2</v>
      </c>
      <c r="GU26" s="8">
        <v>9.3271758649324535E-2</v>
      </c>
      <c r="GV26" s="8">
        <v>9.1584617813238761E-2</v>
      </c>
      <c r="GW26" s="8">
        <v>8.0076975544829052E-2</v>
      </c>
      <c r="GX26" s="8">
        <v>8.8409918100593649E-2</v>
      </c>
      <c r="GY26" s="8">
        <v>0.11695038466882057</v>
      </c>
      <c r="GZ26" s="8">
        <v>0.12162136027216576</v>
      </c>
      <c r="HA26" s="8">
        <v>0.11382705762711799</v>
      </c>
      <c r="HB26" s="7">
        <v>0.11920328208241036</v>
      </c>
      <c r="HC26" s="8">
        <v>0.11192303941944791</v>
      </c>
      <c r="HD26" s="8">
        <v>0.1013458354573655</v>
      </c>
      <c r="HE26" s="8">
        <v>0.12763949653476489</v>
      </c>
      <c r="HF26" s="8">
        <v>0.15709206519783517</v>
      </c>
      <c r="HG26" s="8">
        <v>0.20085111686812462</v>
      </c>
      <c r="HH26" s="8">
        <v>0.20797549547396565</v>
      </c>
      <c r="HI26" s="8">
        <v>0.18123150407060967</v>
      </c>
      <c r="HJ26" s="8">
        <v>0.15572750306551092</v>
      </c>
      <c r="HK26" s="8">
        <v>0.14663635546913292</v>
      </c>
      <c r="HL26" s="7">
        <v>0.13772581278462176</v>
      </c>
      <c r="HM26" s="8">
        <v>0.12117776730236042</v>
      </c>
      <c r="HN26" s="8">
        <v>0.11391454824827114</v>
      </c>
      <c r="HO26" s="8">
        <v>0.17274332475209239</v>
      </c>
      <c r="HP26" s="8">
        <v>0.17158668625938878</v>
      </c>
      <c r="HQ26" s="8">
        <v>0.18063390915665542</v>
      </c>
      <c r="HR26" s="8">
        <v>0.18056315784902638</v>
      </c>
      <c r="HS26" s="8">
        <v>0.15105418467471313</v>
      </c>
      <c r="HT26" s="8">
        <v>0.1257743460719182</v>
      </c>
      <c r="HU26" s="8">
        <v>0.10640090611041803</v>
      </c>
      <c r="HV26" s="8">
        <v>0.10810005429441519</v>
      </c>
      <c r="HW26" s="8">
        <v>0.12710011362731025</v>
      </c>
      <c r="HX26" s="8">
        <v>0.14332960564188257</v>
      </c>
      <c r="HY26" s="8">
        <v>0.1096495564514471</v>
      </c>
      <c r="HZ26" s="8">
        <v>8.3614408289888392E-2</v>
      </c>
      <c r="IA26" s="8">
        <v>8.4275825183329794E-2</v>
      </c>
      <c r="IB26" s="8">
        <v>7.4024723863186911E-2</v>
      </c>
      <c r="IC26" s="8">
        <v>9.3826100102263291E-2</v>
      </c>
      <c r="ID26" s="8">
        <v>0.10055597550028413</v>
      </c>
      <c r="IE26" s="8">
        <v>0.11202230312965218</v>
      </c>
      <c r="IF26" s="8">
        <v>0.11170166216499718</v>
      </c>
      <c r="IG26" s="8">
        <v>0.1255226161503602</v>
      </c>
      <c r="IH26" s="8">
        <v>0.11497129310877273</v>
      </c>
      <c r="II26" s="8">
        <v>9.554425026368317E-2</v>
      </c>
      <c r="IJ26" s="8">
        <v>0.10399722685968654</v>
      </c>
      <c r="IK26" s="8">
        <v>0.10077659188795046</v>
      </c>
      <c r="IL26" s="8">
        <v>0.10705989113290892</v>
      </c>
      <c r="IM26" s="8">
        <v>9.5343958418903391E-2</v>
      </c>
      <c r="IN26" s="8">
        <v>9.2179869478593177E-2</v>
      </c>
      <c r="IO26" s="8">
        <v>8.5425361064576807E-2</v>
      </c>
      <c r="IP26" s="8">
        <v>7.958474121063619E-2</v>
      </c>
      <c r="IQ26" s="8">
        <v>8.7833046664866257E-2</v>
      </c>
      <c r="IR26" s="8">
        <v>8.6569226220836237E-2</v>
      </c>
      <c r="JB26" s="6" t="s">
        <v>314</v>
      </c>
      <c r="JC26" s="8">
        <v>0.61820609663516701</v>
      </c>
      <c r="JD26" s="8">
        <v>0.61340964188382952</v>
      </c>
      <c r="JE26" s="8">
        <v>0.62233579735391509</v>
      </c>
      <c r="JF26" s="8">
        <v>0.60493467757008534</v>
      </c>
      <c r="JG26" s="8">
        <v>0.6029253476758144</v>
      </c>
      <c r="JH26" s="8">
        <v>0.60520874150654191</v>
      </c>
      <c r="JI26" s="8">
        <v>0.61454191776398226</v>
      </c>
      <c r="JJ26" s="8">
        <v>0.6211778496595769</v>
      </c>
      <c r="JK26" s="8">
        <v>0.62198556069835331</v>
      </c>
      <c r="JL26" s="8">
        <v>0.63123001894271813</v>
      </c>
      <c r="JM26" s="8">
        <v>0.60173516498467383</v>
      </c>
      <c r="JN26" s="8">
        <v>0.63431138832313316</v>
      </c>
      <c r="JO26" s="8">
        <v>0.65462015425991804</v>
      </c>
      <c r="JP26" s="8">
        <v>0.61684171010475186</v>
      </c>
      <c r="JQ26" s="8">
        <v>0.56893124785006832</v>
      </c>
      <c r="JR26" s="8">
        <v>0.5583434681064755</v>
      </c>
      <c r="JS26" s="8">
        <v>0.55768985174420971</v>
      </c>
      <c r="JT26" s="8">
        <v>0.56215221566411633</v>
      </c>
      <c r="JU26" s="8">
        <v>0.57042207960195457</v>
      </c>
      <c r="JV26" s="7">
        <v>0.57159597908130422</v>
      </c>
      <c r="JW26" s="8">
        <v>0.48509640362546574</v>
      </c>
      <c r="JX26" s="7">
        <v>0.47405368055753599</v>
      </c>
      <c r="JY26" s="8">
        <v>0.45623161434330078</v>
      </c>
      <c r="JZ26" s="8">
        <v>0.43207315093678017</v>
      </c>
      <c r="KA26" s="8">
        <v>0.45117894834417388</v>
      </c>
      <c r="KB26" s="8">
        <v>0.48208801233240478</v>
      </c>
      <c r="KC26" s="8">
        <v>0.50491931068547058</v>
      </c>
      <c r="KD26" s="8">
        <v>0.50997981756337585</v>
      </c>
      <c r="KE26" s="8">
        <v>0.52584155760812212</v>
      </c>
      <c r="KF26" s="8">
        <v>0.51922302691696853</v>
      </c>
      <c r="KG26" s="8">
        <v>0.3351766181533401</v>
      </c>
      <c r="KH26" s="7">
        <v>0.3181112847034735</v>
      </c>
      <c r="KI26" s="8">
        <v>0.31714604573241617</v>
      </c>
      <c r="KJ26" s="8">
        <v>0.30814319823625852</v>
      </c>
      <c r="KK26" s="8">
        <v>0.34963091495074422</v>
      </c>
      <c r="KL26" s="8">
        <v>0.39376115539718981</v>
      </c>
      <c r="KM26" s="8">
        <v>0.43562154375200879</v>
      </c>
      <c r="KN26" s="8">
        <v>0.44143302910952309</v>
      </c>
      <c r="KO26" s="8">
        <v>0.41862881435947868</v>
      </c>
      <c r="KP26" s="8">
        <v>0.38886314473937977</v>
      </c>
      <c r="KQ26" s="8">
        <v>0.53044337570164446</v>
      </c>
      <c r="KR26" s="8">
        <v>0.5517984007857264</v>
      </c>
      <c r="KS26" s="7">
        <v>0.57390133613858541</v>
      </c>
      <c r="KT26" s="8">
        <v>0.58185840175722803</v>
      </c>
      <c r="KU26" s="8">
        <v>0.58562992175672901</v>
      </c>
      <c r="KV26" s="8">
        <v>0.58625467016310917</v>
      </c>
      <c r="KW26" s="8">
        <v>0.5834312609170591</v>
      </c>
      <c r="KX26" s="8">
        <v>0.57862450210788341</v>
      </c>
      <c r="KY26" s="8">
        <v>0.5649864797354307</v>
      </c>
      <c r="KZ26" s="8">
        <v>0.55378929981441483</v>
      </c>
      <c r="LA26" s="8">
        <v>0.6264206144337221</v>
      </c>
      <c r="LB26" s="8">
        <v>0.61773050115457129</v>
      </c>
      <c r="LC26" s="8">
        <v>0.61371334046495973</v>
      </c>
      <c r="LD26" s="8">
        <v>0.60686792394333977</v>
      </c>
      <c r="LE26" s="8">
        <v>0.60566264369155831</v>
      </c>
      <c r="LF26" s="8">
        <v>0.59755428377452902</v>
      </c>
      <c r="LG26" s="8">
        <v>0.60917141057969804</v>
      </c>
      <c r="LH26" s="8">
        <v>0.62999824641433921</v>
      </c>
      <c r="LI26" s="8">
        <v>0.63009719197588598</v>
      </c>
      <c r="LJ26" s="8">
        <v>0.65331783702063928</v>
      </c>
      <c r="LL26" s="6" t="s">
        <v>315</v>
      </c>
      <c r="LM26" s="6" t="s">
        <v>160</v>
      </c>
      <c r="LN26" s="6" t="s">
        <v>161</v>
      </c>
      <c r="LO26" s="8">
        <v>0.5314484617965769</v>
      </c>
    </row>
    <row r="27" spans="2:327" x14ac:dyDescent="0.45">
      <c r="B27" s="3" t="s">
        <v>316</v>
      </c>
      <c r="C27" s="3" t="s">
        <v>151</v>
      </c>
      <c r="D27" s="5">
        <v>0.24042383460427943</v>
      </c>
      <c r="E27" s="5">
        <v>0.23435023296997315</v>
      </c>
      <c r="F27" s="5">
        <v>0.23916277488870624</v>
      </c>
      <c r="G27" s="5">
        <v>0.24913156579316934</v>
      </c>
      <c r="H27" s="5">
        <v>0.26676336175469745</v>
      </c>
      <c r="I27" s="5">
        <v>0.2848033538849048</v>
      </c>
      <c r="J27" s="5">
        <v>0.28009103282226516</v>
      </c>
      <c r="K27" s="5">
        <v>0.25304207039711457</v>
      </c>
      <c r="L27" s="5">
        <v>0.23854400907508463</v>
      </c>
      <c r="M27" s="5">
        <v>0.24200040470204418</v>
      </c>
      <c r="N27" s="5">
        <v>0.26829904166529522</v>
      </c>
      <c r="O27" s="5">
        <v>0.25459183243460287</v>
      </c>
      <c r="P27" s="5">
        <v>0.23985852337882768</v>
      </c>
      <c r="Q27" s="5">
        <v>0.25227781162729163</v>
      </c>
      <c r="R27" s="5">
        <v>0.28144949192562829</v>
      </c>
      <c r="S27" s="5">
        <v>0.29225242748849645</v>
      </c>
      <c r="T27" s="5">
        <v>0.28679071471734985</v>
      </c>
      <c r="U27" s="5">
        <v>0.27425759012140422</v>
      </c>
      <c r="V27" s="5">
        <v>0.25967849741431198</v>
      </c>
      <c r="W27" s="5">
        <v>0.24928579904521631</v>
      </c>
      <c r="X27" s="5">
        <v>0.35330884538542545</v>
      </c>
      <c r="Y27" s="5">
        <v>0.37562772146222506</v>
      </c>
      <c r="Z27" s="5">
        <v>0.38201591289813885</v>
      </c>
      <c r="AA27" s="5">
        <v>0.4023000138004591</v>
      </c>
      <c r="AB27" s="5">
        <v>0.38483017436345029</v>
      </c>
      <c r="AC27" s="5">
        <v>0.34084177497656376</v>
      </c>
      <c r="AD27" s="5">
        <v>0.32567809739252035</v>
      </c>
      <c r="AE27" s="5">
        <v>0.33367269040164227</v>
      </c>
      <c r="AF27" s="5">
        <v>0.32038135975036042</v>
      </c>
      <c r="AG27" s="5">
        <v>0.32051165789249431</v>
      </c>
      <c r="AH27" s="5">
        <v>0.34675168704557269</v>
      </c>
      <c r="AI27" s="5">
        <v>0.37134277721409337</v>
      </c>
      <c r="AJ27" s="5">
        <v>0.38976255858355269</v>
      </c>
      <c r="AK27" s="5">
        <v>0.38591549395171654</v>
      </c>
      <c r="AL27" s="5">
        <v>0.36197748231437299</v>
      </c>
      <c r="AM27" s="5">
        <v>0.35085643071085171</v>
      </c>
      <c r="AN27" s="5">
        <v>0.32717931459208105</v>
      </c>
      <c r="AO27" s="5">
        <v>0.31585742243731307</v>
      </c>
      <c r="AP27" s="5">
        <v>0.29743909826507237</v>
      </c>
      <c r="AQ27" s="5">
        <v>0.2975764000563263</v>
      </c>
      <c r="AR27" s="5">
        <v>0.25438692076018804</v>
      </c>
      <c r="AS27" s="5">
        <v>0.27422755219686024</v>
      </c>
      <c r="AT27" s="5">
        <v>0.26646587685603268</v>
      </c>
      <c r="AU27" s="5">
        <v>0.26944612458233425</v>
      </c>
      <c r="AV27" s="5">
        <v>0.27338318031705805</v>
      </c>
      <c r="AW27" s="5">
        <v>0.26806119568104186</v>
      </c>
      <c r="AX27" s="5">
        <v>0.24706325109797073</v>
      </c>
      <c r="AY27" s="5">
        <v>0.22373352888209047</v>
      </c>
      <c r="AZ27" s="5">
        <v>0.22089721448998748</v>
      </c>
      <c r="BA27" s="5">
        <v>0.22652321279181817</v>
      </c>
      <c r="BB27" s="5">
        <v>0.21097241360208766</v>
      </c>
      <c r="BC27" s="5">
        <v>0.21377617601215598</v>
      </c>
      <c r="BD27" s="5">
        <v>0.21734887055890123</v>
      </c>
      <c r="BE27" s="5">
        <v>0.22883185079027479</v>
      </c>
      <c r="BF27" s="5">
        <v>0.24072348206175195</v>
      </c>
      <c r="BG27" s="5">
        <v>0.2491609699506398</v>
      </c>
      <c r="BH27" s="5">
        <v>0.24136915595447403</v>
      </c>
      <c r="BI27" s="5">
        <v>0.22625030503270088</v>
      </c>
      <c r="BJ27" s="5">
        <v>0.22373503783312823</v>
      </c>
      <c r="BK27" s="5">
        <v>0.2118215401093923</v>
      </c>
      <c r="BM27" s="3" t="s">
        <v>316</v>
      </c>
      <c r="BN27" s="3" t="s">
        <v>152</v>
      </c>
      <c r="BO27" s="5">
        <v>1.1680706491551946E-2</v>
      </c>
      <c r="BP27" s="5">
        <v>9.1633396048182332E-3</v>
      </c>
      <c r="BQ27" s="5">
        <v>1.8694176689323095E-2</v>
      </c>
      <c r="BR27" s="5">
        <v>1.7183598246152443E-2</v>
      </c>
      <c r="BS27" s="5">
        <v>9.9931055368464253E-3</v>
      </c>
      <c r="BT27" s="5">
        <v>2.0681316156575872E-2</v>
      </c>
      <c r="BU27" s="4">
        <v>2.0000303024184946E-2</v>
      </c>
      <c r="BV27" s="5">
        <v>1.1239620930878245E-2</v>
      </c>
      <c r="BW27" s="5">
        <v>1.7071237656181071E-2</v>
      </c>
      <c r="BX27" s="5">
        <v>1.4317683109015307E-2</v>
      </c>
      <c r="BY27" s="5">
        <v>2.2282520622210346E-2</v>
      </c>
      <c r="BZ27" s="4">
        <v>1.0446285488912974E-2</v>
      </c>
      <c r="CA27" s="5">
        <v>8.6143332347934955E-3</v>
      </c>
      <c r="CB27" s="5">
        <v>1.4973620155012461E-2</v>
      </c>
      <c r="CC27" s="5">
        <v>2.5368654220824995E-2</v>
      </c>
      <c r="CD27" s="4">
        <v>1.6337392399367528E-2</v>
      </c>
      <c r="CE27" s="4">
        <v>1.3864826107831305E-2</v>
      </c>
      <c r="CF27" s="4">
        <v>9.2615516678209997E-3</v>
      </c>
      <c r="CG27" s="5">
        <v>1.2221494302600354E-2</v>
      </c>
      <c r="CH27" s="5">
        <v>1.6331755506787636E-2</v>
      </c>
      <c r="CI27" s="5">
        <v>2.9059150641481176E-2</v>
      </c>
      <c r="CJ27" s="5">
        <v>1.9567094392475729E-2</v>
      </c>
      <c r="CK27" s="4">
        <v>3.3297642409965675E-2</v>
      </c>
      <c r="CL27" s="4">
        <v>2.4591159213831568E-2</v>
      </c>
      <c r="CM27" s="5">
        <v>6.9323950003882182E-3</v>
      </c>
      <c r="CN27" s="5">
        <v>1.2893027847194809E-2</v>
      </c>
      <c r="CO27" s="5">
        <v>2.4565551594791294E-2</v>
      </c>
      <c r="CP27" s="5">
        <v>1.7786572397663517E-2</v>
      </c>
      <c r="CQ27" s="5">
        <v>1.5832182947519455E-2</v>
      </c>
      <c r="CR27" s="5">
        <v>3.2525660991144054E-2</v>
      </c>
      <c r="CS27" s="5">
        <v>2.4327030112431498E-2</v>
      </c>
      <c r="CT27" s="4">
        <v>5.276633677957529E-2</v>
      </c>
      <c r="CU27" s="5">
        <v>4.7580593223422486E-2</v>
      </c>
      <c r="CV27" s="5">
        <v>3.8729906781837298E-2</v>
      </c>
      <c r="CW27" s="5">
        <v>6.164393347095222E-2</v>
      </c>
      <c r="CX27" s="5">
        <v>7.9778798601199172E-2</v>
      </c>
      <c r="CY27" s="5">
        <v>3.7862648070770021E-2</v>
      </c>
      <c r="CZ27" s="5">
        <v>1.712211091241015E-2</v>
      </c>
      <c r="DA27" s="5">
        <v>2.1960180391430658E-2</v>
      </c>
      <c r="DB27" s="4">
        <v>3.1966039483750562E-2</v>
      </c>
      <c r="DC27" s="5">
        <v>1.7065073443179417E-2</v>
      </c>
      <c r="DD27" s="5">
        <v>3.267349180598883E-2</v>
      </c>
      <c r="DE27" s="5">
        <v>4.0935922221799176E-2</v>
      </c>
      <c r="DF27" s="5">
        <v>3.647007667243559E-2</v>
      </c>
      <c r="DG27" s="5">
        <v>2.5000313155860696E-2</v>
      </c>
      <c r="DH27" s="5">
        <v>1.6571482029892431E-2</v>
      </c>
      <c r="DI27" s="5">
        <v>2.0771323799916902E-3</v>
      </c>
      <c r="DJ27" s="5">
        <v>6.1478493839671059E-3</v>
      </c>
      <c r="DK27" s="5">
        <v>1.7311834158526582E-2</v>
      </c>
      <c r="DL27" s="5">
        <v>1.8635713799886971E-2</v>
      </c>
      <c r="DM27" s="5">
        <v>8.399321685976447E-3</v>
      </c>
      <c r="DN27" s="5">
        <v>1.8433002078815267E-2</v>
      </c>
      <c r="DO27" s="5">
        <v>1.666937106150989E-2</v>
      </c>
      <c r="DP27" s="5">
        <v>1.2438490835796139E-2</v>
      </c>
      <c r="DQ27" s="5">
        <v>1.376650212351194E-2</v>
      </c>
      <c r="DR27" s="5">
        <v>1.9719089616126777E-2</v>
      </c>
      <c r="DS27" s="5">
        <v>1.9138386176441709E-2</v>
      </c>
      <c r="DT27" s="5">
        <v>1.6530857664518683E-2</v>
      </c>
      <c r="DU27" s="4">
        <v>1.5205285686096543E-2</v>
      </c>
      <c r="DV27" s="5">
        <v>1.7202381924643507E-2</v>
      </c>
      <c r="DX27" s="3" t="s">
        <v>316</v>
      </c>
      <c r="DY27" s="3" t="s">
        <v>153</v>
      </c>
      <c r="DZ27" s="5">
        <v>1.8264154955608736E-2</v>
      </c>
      <c r="EA27" s="5">
        <v>1.7982227402802548E-2</v>
      </c>
      <c r="EB27" s="4">
        <v>9.2572166380636527E-3</v>
      </c>
      <c r="EC27" s="5">
        <v>1.0518966658343414E-2</v>
      </c>
      <c r="ED27" s="5">
        <v>1.7403680398602142E-2</v>
      </c>
      <c r="EE27" s="5">
        <v>2.0139416577608496E-2</v>
      </c>
      <c r="EF27" s="4">
        <v>1.4407406564991067E-2</v>
      </c>
      <c r="EG27" s="5">
        <v>1.4057379047282293E-2</v>
      </c>
      <c r="EH27" s="5">
        <v>1.9511895446144335E-2</v>
      </c>
      <c r="EI27" s="5">
        <v>1.5629982689298386E-2</v>
      </c>
      <c r="EJ27" s="5">
        <v>9.3788870812046912E-3</v>
      </c>
      <c r="EK27" s="5">
        <v>1.9524131927703591E-2</v>
      </c>
      <c r="EL27" s="5">
        <v>1.6508082310136798E-2</v>
      </c>
      <c r="EM27" s="5">
        <v>1.9921740793101345E-2</v>
      </c>
      <c r="EN27" s="5">
        <v>7.9217501627925971E-3</v>
      </c>
      <c r="EO27" s="5">
        <v>1.8390272445597582E-2</v>
      </c>
      <c r="EP27" s="5">
        <v>2.5009933745631988E-2</v>
      </c>
      <c r="EQ27" s="5">
        <v>2.8351505364613498E-2</v>
      </c>
      <c r="ER27" s="5">
        <v>1.4858138582544662E-2</v>
      </c>
      <c r="ES27" s="5">
        <v>9.9105971789384077E-3</v>
      </c>
      <c r="ET27" s="5">
        <v>4.4437218305345368E-2</v>
      </c>
      <c r="EU27" s="5">
        <v>5.3860866204563755E-2</v>
      </c>
      <c r="EV27" s="5">
        <v>1.8667017327349052E-2</v>
      </c>
      <c r="EW27" s="5">
        <v>4.5743472976172664E-2</v>
      </c>
      <c r="EX27" s="5">
        <v>6.0029473369803785E-2</v>
      </c>
      <c r="EY27" s="5">
        <v>3.2321564379729696E-2</v>
      </c>
      <c r="EZ27" s="5">
        <v>1.3288987414459327E-2</v>
      </c>
      <c r="FA27" s="5">
        <v>1.5073470447463568E-2</v>
      </c>
      <c r="FB27" s="5">
        <v>2.7129235157066587E-2</v>
      </c>
      <c r="FC27" s="5">
        <v>2.7501272775681956E-2</v>
      </c>
      <c r="FD27" s="5">
        <v>4.4015803101176226E-2</v>
      </c>
      <c r="FE27" s="4">
        <v>5.3918717857585974E-3</v>
      </c>
      <c r="FF27" s="5">
        <v>3.3068215654539469E-2</v>
      </c>
      <c r="FG27" s="5">
        <v>6.0085603185982182E-2</v>
      </c>
      <c r="FH27" s="5">
        <v>5.186008004351024E-2</v>
      </c>
      <c r="FI27" s="5">
        <v>2.8666515825512506E-2</v>
      </c>
      <c r="FJ27" s="5">
        <v>6.5044698848954086E-2</v>
      </c>
      <c r="FK27" s="5">
        <v>7.1991130997342889E-2</v>
      </c>
      <c r="FL27" s="5">
        <v>5.7031874872821721E-2</v>
      </c>
      <c r="FM27" s="5">
        <v>2.0347279524077076E-2</v>
      </c>
      <c r="FN27" s="5">
        <v>2.3632123777804891E-2</v>
      </c>
      <c r="FO27" s="5">
        <v>1.7344923416704947E-2</v>
      </c>
      <c r="FP27" s="5">
        <v>1.9620164081243355E-2</v>
      </c>
      <c r="FQ27" s="5">
        <v>3.1053904618951432E-2</v>
      </c>
      <c r="FR27" s="5">
        <v>4.6042079949630214E-2</v>
      </c>
      <c r="FS27" s="5">
        <v>3.7466273980914615E-2</v>
      </c>
      <c r="FT27" s="5">
        <v>3.3735914028120838E-2</v>
      </c>
      <c r="FU27" s="5">
        <v>2.7524451842116042E-2</v>
      </c>
      <c r="FV27" s="5">
        <v>3.6110726841048833E-3</v>
      </c>
      <c r="FW27" s="5">
        <v>5.616565737752887E-3</v>
      </c>
      <c r="FX27" s="5">
        <v>2.230230506052534E-2</v>
      </c>
      <c r="FY27" s="5">
        <v>1.3820950136900219E-2</v>
      </c>
      <c r="FZ27" s="5">
        <v>1.2906876970054215E-2</v>
      </c>
      <c r="GA27" s="5">
        <v>1.5160377431230389E-2</v>
      </c>
      <c r="GB27" s="5">
        <v>1.9090139621042976E-2</v>
      </c>
      <c r="GC27" s="5">
        <v>2.0637195479081574E-2</v>
      </c>
      <c r="GD27" s="5">
        <v>1.743240974952167E-2</v>
      </c>
      <c r="GE27" s="5">
        <v>2.3027550466718654E-2</v>
      </c>
      <c r="GF27" s="5">
        <v>1.6702371224441577E-2</v>
      </c>
      <c r="GG27" s="5">
        <v>1.1902461764131561E-2</v>
      </c>
      <c r="GI27" s="3" t="s">
        <v>316</v>
      </c>
      <c r="GJ27" s="3" t="s">
        <v>154</v>
      </c>
      <c r="GK27" s="5">
        <v>0.10046483833023506</v>
      </c>
      <c r="GL27" s="5">
        <v>9.3570157499997197E-2</v>
      </c>
      <c r="GM27" s="5">
        <v>9.6441312435082721E-2</v>
      </c>
      <c r="GN27" s="5">
        <v>0.10673928718918083</v>
      </c>
      <c r="GO27" s="5">
        <v>0.11624859217638869</v>
      </c>
      <c r="GP27" s="5">
        <v>0.11744755764421548</v>
      </c>
      <c r="GQ27" s="5">
        <v>0.12004050294191349</v>
      </c>
      <c r="GR27" s="5">
        <v>0.10505354545279993</v>
      </c>
      <c r="GS27" s="5">
        <v>8.8575983081881374E-2</v>
      </c>
      <c r="GT27" s="5">
        <v>9.6206831553082045E-2</v>
      </c>
      <c r="GU27" s="5">
        <v>0.10293962811754437</v>
      </c>
      <c r="GV27" s="5">
        <v>9.5391488445511222E-2</v>
      </c>
      <c r="GW27" s="5">
        <v>9.06307910844905E-2</v>
      </c>
      <c r="GX27" s="5">
        <v>9.8301024146354388E-2</v>
      </c>
      <c r="GY27" s="5">
        <v>0.11546576771182046</v>
      </c>
      <c r="GZ27" s="5">
        <v>0.12088019128739905</v>
      </c>
      <c r="HA27" s="5">
        <v>0.12055923606411227</v>
      </c>
      <c r="HB27" s="4">
        <v>0.11593630169359628</v>
      </c>
      <c r="HC27" s="5">
        <v>0.11150821330697296</v>
      </c>
      <c r="HD27" s="5">
        <v>0.10034939116351733</v>
      </c>
      <c r="HE27" s="5">
        <v>0.14322455274796955</v>
      </c>
      <c r="HF27" s="5">
        <v>0.14461918729500486</v>
      </c>
      <c r="HG27" s="5">
        <v>0.1759253437507233</v>
      </c>
      <c r="HH27" s="5">
        <v>0.17921870442165411</v>
      </c>
      <c r="HI27" s="5">
        <v>0.16982087160447631</v>
      </c>
      <c r="HJ27" s="5">
        <v>0.15647963735896225</v>
      </c>
      <c r="HK27" s="5">
        <v>0.14906675487342355</v>
      </c>
      <c r="HL27" s="4">
        <v>0.16294967712269309</v>
      </c>
      <c r="HM27" s="5">
        <v>0.15097808086091058</v>
      </c>
      <c r="HN27" s="5">
        <v>0.12951691968286302</v>
      </c>
      <c r="HO27" s="5">
        <v>0.1565115533904686</v>
      </c>
      <c r="HP27" s="5">
        <v>0.19739984614586378</v>
      </c>
      <c r="HQ27" s="5">
        <v>0.19638141427553313</v>
      </c>
      <c r="HR27" s="5">
        <v>0.17199570429306632</v>
      </c>
      <c r="HS27" s="5">
        <v>0.13654343638387356</v>
      </c>
      <c r="HT27" s="5">
        <v>0.12415823338930981</v>
      </c>
      <c r="HU27" s="5">
        <v>0.11446805255320586</v>
      </c>
      <c r="HV27" s="5">
        <v>0.11732716988198189</v>
      </c>
      <c r="HW27" s="5">
        <v>0.11678890823248148</v>
      </c>
      <c r="HX27" s="5">
        <v>0.13194830394990806</v>
      </c>
      <c r="HY27" s="5">
        <v>0.11147481096704218</v>
      </c>
      <c r="HZ27" s="5">
        <v>9.7294652356345976E-2</v>
      </c>
      <c r="IA27" s="5">
        <v>8.1048389547002886E-2</v>
      </c>
      <c r="IB27" s="5">
        <v>7.4730220374063766E-2</v>
      </c>
      <c r="IC27" s="5">
        <v>7.6033640686271164E-2</v>
      </c>
      <c r="ID27" s="5">
        <v>8.4316825028860259E-2</v>
      </c>
      <c r="IE27" s="5">
        <v>9.4752670116284729E-2</v>
      </c>
      <c r="IF27" s="5">
        <v>8.6259572928534992E-2</v>
      </c>
      <c r="IG27" s="5">
        <v>0.1040877842180314</v>
      </c>
      <c r="IH27" s="5">
        <v>0.10480403875789422</v>
      </c>
      <c r="II27" s="5">
        <v>7.657642472241831E-2</v>
      </c>
      <c r="IJ27" s="5">
        <v>8.3158573574208083E-2</v>
      </c>
      <c r="IK27" s="5">
        <v>9.1087850979264418E-2</v>
      </c>
      <c r="IL27" s="5">
        <v>9.5394423865456865E-2</v>
      </c>
      <c r="IM27" s="5">
        <v>8.7577098773514217E-2</v>
      </c>
      <c r="IN27" s="5">
        <v>8.5561471498120351E-2</v>
      </c>
      <c r="IO27" s="5">
        <v>8.6447318769366205E-2</v>
      </c>
      <c r="IP27" s="5">
        <v>7.1590012588621521E-2</v>
      </c>
      <c r="IQ27" s="5">
        <v>7.4681627161799199E-2</v>
      </c>
      <c r="IR27" s="5">
        <v>6.8817492561715543E-2</v>
      </c>
      <c r="JB27" s="3" t="s">
        <v>316</v>
      </c>
      <c r="JC27" s="5">
        <v>0.5929030911026324</v>
      </c>
      <c r="JD27" s="5">
        <v>0.59326664188620237</v>
      </c>
      <c r="JE27" s="5">
        <v>0.59750321533851902</v>
      </c>
      <c r="JF27" s="5">
        <v>0.57871704005053493</v>
      </c>
      <c r="JG27" s="5">
        <v>0.57401774424932084</v>
      </c>
      <c r="JH27" s="5">
        <v>0.56548179083405359</v>
      </c>
      <c r="JI27" s="5">
        <v>0.56315012279012</v>
      </c>
      <c r="JJ27" s="5">
        <v>0.58901178357694595</v>
      </c>
      <c r="JK27" s="5">
        <v>0.59779717265160093</v>
      </c>
      <c r="JL27" s="5">
        <v>0.60307066753945726</v>
      </c>
      <c r="JM27" s="5">
        <v>0.58015714550715058</v>
      </c>
      <c r="JN27" s="5">
        <v>0.59787691651967134</v>
      </c>
      <c r="JO27" s="5">
        <v>0.61213285654531213</v>
      </c>
      <c r="JP27" s="5">
        <v>0.58557505272693122</v>
      </c>
      <c r="JQ27" s="5">
        <v>0.5532034740629117</v>
      </c>
      <c r="JR27" s="5">
        <v>0.52970862338762281</v>
      </c>
      <c r="JS27" s="5">
        <v>0.51710416115758051</v>
      </c>
      <c r="JT27" s="5">
        <v>0.53316814139407287</v>
      </c>
      <c r="JU27" s="5">
        <v>0.56564012066063285</v>
      </c>
      <c r="JV27" s="4">
        <v>0.58465827553584016</v>
      </c>
      <c r="JW27" s="5">
        <v>0.42608115121057033</v>
      </c>
      <c r="JX27" s="4">
        <v>0.43087112347673706</v>
      </c>
      <c r="JY27" s="5">
        <v>0.43112868079375732</v>
      </c>
      <c r="JZ27" s="5">
        <v>0.40207529372982376</v>
      </c>
      <c r="KA27" s="5">
        <v>0.41932080275958639</v>
      </c>
      <c r="KB27" s="5">
        <v>0.45270395056390073</v>
      </c>
      <c r="KC27" s="5">
        <v>0.46446805315222167</v>
      </c>
      <c r="KD27" s="5">
        <v>0.46144670578906177</v>
      </c>
      <c r="KE27" s="5">
        <v>0.4617532966965513</v>
      </c>
      <c r="KF27" s="5">
        <v>0.47406184959161862</v>
      </c>
      <c r="KG27" s="5">
        <v>0.30606681056196838</v>
      </c>
      <c r="KH27" s="4">
        <v>0.30435968778088002</v>
      </c>
      <c r="KI27" s="5">
        <v>0.30032331042390203</v>
      </c>
      <c r="KJ27" s="5">
        <v>0.27274472338136024</v>
      </c>
      <c r="KK27" s="5">
        <v>0.30866902854384071</v>
      </c>
      <c r="KL27" s="5">
        <v>0.33789169014219733</v>
      </c>
      <c r="KM27" s="5">
        <v>0.36147462047371076</v>
      </c>
      <c r="KN27" s="5">
        <v>0.36865214919283606</v>
      </c>
      <c r="KO27" s="5">
        <v>0.35273342554472614</v>
      </c>
      <c r="KP27" s="5">
        <v>0.3444048180717334</v>
      </c>
      <c r="KQ27" s="5">
        <v>0.51057675733543173</v>
      </c>
      <c r="KR27" s="5">
        <v>0.53010315432012056</v>
      </c>
      <c r="KS27" s="4">
        <v>0.54846227021792593</v>
      </c>
      <c r="KT27" s="5">
        <v>0.55769964715264508</v>
      </c>
      <c r="KU27" s="5">
        <v>0.56425815757115583</v>
      </c>
      <c r="KV27" s="5">
        <v>0.56338217997005036</v>
      </c>
      <c r="KW27" s="5">
        <v>0.54984721743335385</v>
      </c>
      <c r="KX27" s="5">
        <v>0.55480525320747864</v>
      </c>
      <c r="KY27" s="5">
        <v>0.56440250557246519</v>
      </c>
      <c r="KZ27" s="5">
        <v>0.55297194057610011</v>
      </c>
      <c r="LA27" s="5">
        <v>0.65097283707713594</v>
      </c>
      <c r="LB27" s="5">
        <v>0.64142333025424869</v>
      </c>
      <c r="LC27" s="5">
        <v>0.64056707045566386</v>
      </c>
      <c r="LD27" s="5">
        <v>0.62966877184977865</v>
      </c>
      <c r="LE27" s="5">
        <v>0.63040292043970192</v>
      </c>
      <c r="LF27" s="5">
        <v>0.62785159378680211</v>
      </c>
      <c r="LG27" s="5">
        <v>0.6299533117167081</v>
      </c>
      <c r="LH27" s="5">
        <v>0.64131709393669734</v>
      </c>
      <c r="LI27" s="5">
        <v>0.65591557233315101</v>
      </c>
      <c r="LJ27" s="5">
        <v>0.67654296918090728</v>
      </c>
      <c r="LL27" s="3" t="s">
        <v>317</v>
      </c>
      <c r="LM27" s="3" t="s">
        <v>160</v>
      </c>
      <c r="LN27" s="3" t="s">
        <v>161</v>
      </c>
      <c r="LO27" s="5">
        <v>0.5402378577435315</v>
      </c>
    </row>
    <row r="28" spans="2:327" x14ac:dyDescent="0.45">
      <c r="B28" s="6" t="s">
        <v>318</v>
      </c>
      <c r="C28" s="6" t="s">
        <v>151</v>
      </c>
      <c r="D28" s="8">
        <v>0.3121240592136123</v>
      </c>
      <c r="E28" s="8">
        <v>0.31520626840553478</v>
      </c>
      <c r="F28" s="8">
        <v>0.31503749212438331</v>
      </c>
      <c r="G28" s="8">
        <v>0.30938014168551453</v>
      </c>
      <c r="H28" s="8">
        <v>0.2979531143298898</v>
      </c>
      <c r="I28" s="8">
        <v>0.30588876421143102</v>
      </c>
      <c r="J28" s="8">
        <v>0.30944698553152261</v>
      </c>
      <c r="K28" s="8">
        <v>0.31119099819590579</v>
      </c>
      <c r="L28" s="8">
        <v>0.3076872567124625</v>
      </c>
      <c r="M28" s="8">
        <v>0.31101097200724737</v>
      </c>
      <c r="N28" s="8">
        <v>0.33027368834428239</v>
      </c>
      <c r="O28" s="8">
        <v>0.32691169398467357</v>
      </c>
      <c r="P28" s="8">
        <v>0.32998331916620255</v>
      </c>
      <c r="Q28" s="8">
        <v>0.3181982701354103</v>
      </c>
      <c r="R28" s="8">
        <v>0.31623310907536739</v>
      </c>
      <c r="S28" s="8">
        <v>0.32017904174105188</v>
      </c>
      <c r="T28" s="8">
        <v>0.32054997610585473</v>
      </c>
      <c r="U28" s="8">
        <v>0.32598126451731291</v>
      </c>
      <c r="V28" s="8">
        <v>0.31711276888192408</v>
      </c>
      <c r="W28" s="8">
        <v>0.31319467367197434</v>
      </c>
      <c r="X28" s="8">
        <v>0.40314536231375614</v>
      </c>
      <c r="Y28" s="8">
        <v>0.35973726652035631</v>
      </c>
      <c r="Z28" s="8">
        <v>0.36856414975959745</v>
      </c>
      <c r="AA28" s="8">
        <v>0.37808978138048971</v>
      </c>
      <c r="AB28" s="8">
        <v>0.3738487959273461</v>
      </c>
      <c r="AC28" s="8">
        <v>0.36712630609774355</v>
      </c>
      <c r="AD28" s="8">
        <v>0.36758950864816597</v>
      </c>
      <c r="AE28" s="8">
        <v>0.38667362751105966</v>
      </c>
      <c r="AF28" s="8">
        <v>0.40102300016032755</v>
      </c>
      <c r="AG28" s="8">
        <v>0.41754703667044396</v>
      </c>
      <c r="AH28" s="8">
        <v>0.43116243611964972</v>
      </c>
      <c r="AI28" s="8">
        <v>0.43440661618925486</v>
      </c>
      <c r="AJ28" s="8">
        <v>0.43416418637352211</v>
      </c>
      <c r="AK28" s="8">
        <v>0.42395957381570343</v>
      </c>
      <c r="AL28" s="8">
        <v>0.40512877299331596</v>
      </c>
      <c r="AM28" s="8">
        <v>0.39480722901542303</v>
      </c>
      <c r="AN28" s="8">
        <v>0.38996506709236112</v>
      </c>
      <c r="AO28" s="8">
        <v>0.39744780356823511</v>
      </c>
      <c r="AP28" s="8">
        <v>0.39932331158138584</v>
      </c>
      <c r="AQ28" s="8">
        <v>0.42400608414825924</v>
      </c>
      <c r="AR28" s="8">
        <v>0.33552233474714366</v>
      </c>
      <c r="AS28" s="8">
        <v>0.35617287251559732</v>
      </c>
      <c r="AT28" s="8">
        <v>0.35300475917338958</v>
      </c>
      <c r="AU28" s="8">
        <v>0.32837597169340682</v>
      </c>
      <c r="AV28" s="8">
        <v>0.33382954175012131</v>
      </c>
      <c r="AW28" s="8">
        <v>0.3354973127548958</v>
      </c>
      <c r="AX28" s="8">
        <v>0.32636812040141605</v>
      </c>
      <c r="AY28" s="8">
        <v>0.31500344070305342</v>
      </c>
      <c r="AZ28" s="8">
        <v>0.30537039677688721</v>
      </c>
      <c r="BA28" s="8">
        <v>0.33725305766259828</v>
      </c>
      <c r="BB28" s="8">
        <v>0.28420667687989953</v>
      </c>
      <c r="BC28" s="8">
        <v>0.27598483385754496</v>
      </c>
      <c r="BD28" s="8">
        <v>0.2730145243873765</v>
      </c>
      <c r="BE28" s="8">
        <v>0.28453870500347317</v>
      </c>
      <c r="BF28" s="8">
        <v>0.28194048929316273</v>
      </c>
      <c r="BG28" s="8">
        <v>0.26129471334210419</v>
      </c>
      <c r="BH28" s="8">
        <v>0.2641228796801518</v>
      </c>
      <c r="BI28" s="8">
        <v>0.26810659503745221</v>
      </c>
      <c r="BJ28" s="8">
        <v>0.28436905611200858</v>
      </c>
      <c r="BK28" s="8">
        <v>0.27884580923842633</v>
      </c>
      <c r="BM28" s="6" t="s">
        <v>318</v>
      </c>
      <c r="BN28" s="6" t="s">
        <v>152</v>
      </c>
      <c r="BO28" s="8">
        <v>3.2205747570297032E-2</v>
      </c>
      <c r="BP28" s="8">
        <v>2.066600275590812E-2</v>
      </c>
      <c r="BQ28" s="8">
        <v>2.2655139882936867E-2</v>
      </c>
      <c r="BR28" s="8">
        <v>2.0683119265430858E-2</v>
      </c>
      <c r="BS28" s="8">
        <v>3.0494062104642228E-2</v>
      </c>
      <c r="BT28" s="8">
        <v>3.7181698803578599E-2</v>
      </c>
      <c r="BU28" s="7">
        <v>1.6087588951510461E-2</v>
      </c>
      <c r="BV28" s="8">
        <v>2.9748878203875916E-2</v>
      </c>
      <c r="BW28" s="8">
        <v>1.1864256794055733E-2</v>
      </c>
      <c r="BX28" s="8">
        <v>2.7517194091252091E-2</v>
      </c>
      <c r="BY28" s="8">
        <v>1.8782088210392806E-2</v>
      </c>
      <c r="BZ28" s="7">
        <v>3.3564775322417327E-2</v>
      </c>
      <c r="CA28" s="8">
        <v>2.2441702219473524E-2</v>
      </c>
      <c r="CB28" s="8">
        <v>2.627503118781124E-2</v>
      </c>
      <c r="CC28" s="8">
        <v>2.9670482054430014E-2</v>
      </c>
      <c r="CD28" s="7">
        <v>1.4423589962112229E-2</v>
      </c>
      <c r="CE28" s="7">
        <v>1.3850662921971848E-3</v>
      </c>
      <c r="CF28" s="7">
        <v>1.2458069641666764E-2</v>
      </c>
      <c r="CG28" s="8">
        <v>2.7788724590671051E-2</v>
      </c>
      <c r="CH28" s="8">
        <v>1.4221485658595363E-2</v>
      </c>
      <c r="CI28" s="8">
        <v>8.5612422598555869E-3</v>
      </c>
      <c r="CJ28" s="8">
        <v>2.5599511086384703E-2</v>
      </c>
      <c r="CK28" s="7">
        <v>3.9701882211848193E-2</v>
      </c>
      <c r="CL28" s="7">
        <v>6.8272385506428987E-2</v>
      </c>
      <c r="CM28" s="8">
        <v>6.9815165456400222E-2</v>
      </c>
      <c r="CN28" s="8">
        <v>3.8562825185761852E-2</v>
      </c>
      <c r="CO28" s="8">
        <v>4.7683560435554537E-2</v>
      </c>
      <c r="CP28" s="8">
        <v>4.5596089380890936E-2</v>
      </c>
      <c r="CQ28" s="8">
        <v>2.3631610579895244E-2</v>
      </c>
      <c r="CR28" s="8">
        <v>8.9165155309554635E-3</v>
      </c>
      <c r="CS28" s="8">
        <v>4.3229465807761269E-2</v>
      </c>
      <c r="CT28" s="7">
        <v>2.0869746819226837E-2</v>
      </c>
      <c r="CU28" s="8">
        <v>4.0819832343644896E-3</v>
      </c>
      <c r="CV28" s="8">
        <v>5.8765182628203695E-3</v>
      </c>
      <c r="CW28" s="8">
        <v>1.6921564905158063E-2</v>
      </c>
      <c r="CX28" s="8">
        <v>2.4868150231202518E-2</v>
      </c>
      <c r="CY28" s="8">
        <v>3.7467336451723288E-2</v>
      </c>
      <c r="CZ28" s="8">
        <v>4.3772339419599078E-2</v>
      </c>
      <c r="DA28" s="8">
        <v>5.6187763016495536E-2</v>
      </c>
      <c r="DB28" s="7">
        <v>4.7469932245957691E-2</v>
      </c>
      <c r="DC28" s="8">
        <v>3.8801149608007006E-2</v>
      </c>
      <c r="DD28" s="8">
        <v>4.160192411932416E-2</v>
      </c>
      <c r="DE28" s="8">
        <v>4.3248742487175224E-2</v>
      </c>
      <c r="DF28" s="8">
        <v>2.6601761730313558E-2</v>
      </c>
      <c r="DG28" s="8">
        <v>2.7413030252063642E-2</v>
      </c>
      <c r="DH28" s="8">
        <v>8.5100567213503876E-3</v>
      </c>
      <c r="DI28" s="8">
        <v>3.3519452159848071E-3</v>
      </c>
      <c r="DJ28" s="8">
        <v>1.7387498842113196E-2</v>
      </c>
      <c r="DK28" s="8">
        <v>2.3066282521471165E-2</v>
      </c>
      <c r="DL28" s="8">
        <v>3.3999210068473673E-2</v>
      </c>
      <c r="DM28" s="8">
        <v>2.3531112899797608E-2</v>
      </c>
      <c r="DN28" s="8">
        <v>3.4940484131162873E-2</v>
      </c>
      <c r="DO28" s="8">
        <v>2.9392555302254833E-2</v>
      </c>
      <c r="DP28" s="8">
        <v>2.4688979976773107E-2</v>
      </c>
      <c r="DQ28" s="8">
        <v>3.0932996893627027E-2</v>
      </c>
      <c r="DR28" s="8">
        <v>2.4300938639578811E-2</v>
      </c>
      <c r="DS28" s="8">
        <v>2.2102951917249751E-2</v>
      </c>
      <c r="DT28" s="8">
        <v>2.3939818742080274E-2</v>
      </c>
      <c r="DU28" s="7">
        <v>2.7963245929609176E-2</v>
      </c>
      <c r="DV28" s="8">
        <v>2.679850475037935E-2</v>
      </c>
      <c r="DX28" s="6" t="s">
        <v>318</v>
      </c>
      <c r="DY28" s="6" t="s">
        <v>153</v>
      </c>
      <c r="DZ28" s="8">
        <v>2.1612503274322851E-2</v>
      </c>
      <c r="EA28" s="8">
        <v>4.4605556482383436E-2</v>
      </c>
      <c r="EB28" s="7">
        <v>2.5545674563352196E-2</v>
      </c>
      <c r="EC28" s="8">
        <v>2.6754580078763513E-2</v>
      </c>
      <c r="ED28" s="8">
        <v>2.4715983438904889E-2</v>
      </c>
      <c r="EE28" s="8">
        <v>2.0273994643383364E-2</v>
      </c>
      <c r="EF28" s="7">
        <v>4.60112446184388E-2</v>
      </c>
      <c r="EG28" s="8">
        <v>3.373017026633577E-2</v>
      </c>
      <c r="EH28" s="8">
        <v>4.666855646364497E-2</v>
      </c>
      <c r="EI28" s="8">
        <v>4.0205994955384371E-2</v>
      </c>
      <c r="EJ28" s="8">
        <v>2.5532138454570311E-2</v>
      </c>
      <c r="EK28" s="8">
        <v>2.1761157553982814E-2</v>
      </c>
      <c r="EL28" s="8">
        <v>3.3382196840399621E-2</v>
      </c>
      <c r="EM28" s="8">
        <v>3.042987271722139E-2</v>
      </c>
      <c r="EN28" s="8">
        <v>3.2227124297976778E-2</v>
      </c>
      <c r="EO28" s="8">
        <v>3.7400587271757733E-2</v>
      </c>
      <c r="EP28" s="8">
        <v>2.7078093958018901E-2</v>
      </c>
      <c r="EQ28" s="8">
        <v>2.5786996866653551E-2</v>
      </c>
      <c r="ER28" s="8">
        <v>9.7999770325105495E-3</v>
      </c>
      <c r="ES28" s="8">
        <v>3.1409546961456064E-2</v>
      </c>
      <c r="ET28" s="8">
        <v>2.1471044893602954E-2</v>
      </c>
      <c r="EU28" s="8">
        <v>2.5685340981516279E-2</v>
      </c>
      <c r="EV28" s="8">
        <v>1.6193418896183448E-2</v>
      </c>
      <c r="EW28" s="8">
        <v>1.8145184643828739E-2</v>
      </c>
      <c r="EX28" s="8">
        <v>2.9170970834618934E-2</v>
      </c>
      <c r="EY28" s="8">
        <v>3.8451686574079082E-2</v>
      </c>
      <c r="EZ28" s="8">
        <v>5.6872286296406921E-2</v>
      </c>
      <c r="FA28" s="8">
        <v>5.6874050581208396E-2</v>
      </c>
      <c r="FB28" s="8">
        <v>7.0213311224164715E-2</v>
      </c>
      <c r="FC28" s="8">
        <v>5.7486478800381192E-2</v>
      </c>
      <c r="FD28" s="8">
        <v>6.9811914602380357E-2</v>
      </c>
      <c r="FE28" s="7">
        <v>9.0599816135655972E-2</v>
      </c>
      <c r="FF28" s="8">
        <v>6.0814436181466217E-2</v>
      </c>
      <c r="FG28" s="8">
        <v>3.8926444555820207E-2</v>
      </c>
      <c r="FH28" s="8">
        <v>3.8848217677944119E-3</v>
      </c>
      <c r="FI28" s="8">
        <v>0</v>
      </c>
      <c r="FJ28" s="8">
        <v>1.0571055674316088E-2</v>
      </c>
      <c r="FK28" s="8">
        <v>3.4890460803187161E-2</v>
      </c>
      <c r="FL28" s="8">
        <v>6.7972933201295188E-2</v>
      </c>
      <c r="FM28" s="8">
        <v>7.8710998180023556E-2</v>
      </c>
      <c r="FN28" s="8">
        <v>4.7378328318424902E-2</v>
      </c>
      <c r="FO28" s="8">
        <v>4.8277677569307773E-2</v>
      </c>
      <c r="FP28" s="8">
        <v>3.9421047557501386E-2</v>
      </c>
      <c r="FQ28" s="8">
        <v>7.2730506181184457E-2</v>
      </c>
      <c r="FR28" s="8">
        <v>6.6600272440601488E-2</v>
      </c>
      <c r="FS28" s="8">
        <v>3.891733159642962E-2</v>
      </c>
      <c r="FT28" s="8">
        <v>2.4452674873555597E-2</v>
      </c>
      <c r="FU28" s="8">
        <v>1.5557349213348963E-2</v>
      </c>
      <c r="FV28" s="8">
        <v>5.0784762862908879E-3</v>
      </c>
      <c r="FW28" s="8">
        <v>1.9766265746242719E-2</v>
      </c>
      <c r="FX28" s="8">
        <v>4.1633948670845508E-2</v>
      </c>
      <c r="FY28" s="8">
        <v>2.2841845491008702E-2</v>
      </c>
      <c r="FZ28" s="8">
        <v>2.34390401897147E-2</v>
      </c>
      <c r="GA28" s="8">
        <v>3.4238680366624377E-2</v>
      </c>
      <c r="GB28" s="8">
        <v>2.9163877860742999E-2</v>
      </c>
      <c r="GC28" s="8">
        <v>3.3616389715703215E-2</v>
      </c>
      <c r="GD28" s="8">
        <v>3.4458181258299476E-2</v>
      </c>
      <c r="GE28" s="8">
        <v>2.6988009924933581E-2</v>
      </c>
      <c r="GF28" s="8">
        <v>1.8890117472754916E-2</v>
      </c>
      <c r="GG28" s="8">
        <v>2.2925846185746234E-2</v>
      </c>
      <c r="GI28" s="6" t="s">
        <v>318</v>
      </c>
      <c r="GJ28" s="6" t="s">
        <v>154</v>
      </c>
      <c r="GK28" s="8">
        <v>0.13255457964879755</v>
      </c>
      <c r="GL28" s="8">
        <v>0.12652444708504046</v>
      </c>
      <c r="GM28" s="8">
        <v>0.1423397177095603</v>
      </c>
      <c r="GN28" s="8">
        <v>0.13735824839300295</v>
      </c>
      <c r="GO28" s="8">
        <v>0.11312118860705757</v>
      </c>
      <c r="GP28" s="8">
        <v>0.11926100754812274</v>
      </c>
      <c r="GQ28" s="8">
        <v>0.11716290804940592</v>
      </c>
      <c r="GR28" s="8">
        <v>0.13219999095744281</v>
      </c>
      <c r="GS28" s="8">
        <v>0.14169064434167414</v>
      </c>
      <c r="GT28" s="8">
        <v>0.12951088919690662</v>
      </c>
      <c r="GU28" s="8">
        <v>0.15387313867143695</v>
      </c>
      <c r="GV28" s="8">
        <v>0.13560832668814396</v>
      </c>
      <c r="GW28" s="8">
        <v>0.13438998523454204</v>
      </c>
      <c r="GX28" s="8">
        <v>0.11941896725899591</v>
      </c>
      <c r="GY28" s="8">
        <v>0.1245241619410288</v>
      </c>
      <c r="GZ28" s="8">
        <v>0.13810117679922884</v>
      </c>
      <c r="HA28" s="8">
        <v>0.15374613304698401</v>
      </c>
      <c r="HB28" s="7">
        <v>0.15365234228586894</v>
      </c>
      <c r="HC28" s="8">
        <v>0.15914201352827692</v>
      </c>
      <c r="HD28" s="8">
        <v>0.14770670777688771</v>
      </c>
      <c r="HE28" s="8">
        <v>0.22949819530438142</v>
      </c>
      <c r="HF28" s="8">
        <v>0.17414183442082085</v>
      </c>
      <c r="HG28" s="8">
        <v>0.16611764548617228</v>
      </c>
      <c r="HH28" s="8">
        <v>0.15818133068951867</v>
      </c>
      <c r="HI28" s="8">
        <v>0.13568470842711208</v>
      </c>
      <c r="HJ28" s="8">
        <v>0.14243509733435925</v>
      </c>
      <c r="HK28" s="8">
        <v>0.1230856980429387</v>
      </c>
      <c r="HL28" s="7">
        <v>0.14105547840511065</v>
      </c>
      <c r="HM28" s="8">
        <v>0.16451041879158812</v>
      </c>
      <c r="HN28" s="8">
        <v>0.20281823551059663</v>
      </c>
      <c r="HO28" s="8">
        <v>0.18522087150796129</v>
      </c>
      <c r="HP28" s="8">
        <v>0.18851231131638768</v>
      </c>
      <c r="HQ28" s="8">
        <v>0.23639594719525328</v>
      </c>
      <c r="HR28" s="8">
        <v>0.25158978454722314</v>
      </c>
      <c r="HS28" s="8">
        <v>0.24705610890710386</v>
      </c>
      <c r="HT28" s="8">
        <v>0.24658403779184401</v>
      </c>
      <c r="HU28" s="8">
        <v>0.22082162514196907</v>
      </c>
      <c r="HV28" s="8">
        <v>0.19685055988539196</v>
      </c>
      <c r="HW28" s="8">
        <v>0.16698719111617188</v>
      </c>
      <c r="HX28" s="8">
        <v>0.17246413852620734</v>
      </c>
      <c r="HY28" s="8">
        <v>0.12077439147763962</v>
      </c>
      <c r="HZ28" s="8">
        <v>0.12540510308515213</v>
      </c>
      <c r="IA28" s="8">
        <v>0.13192846334526298</v>
      </c>
      <c r="IB28" s="8">
        <v>0.10809256532061177</v>
      </c>
      <c r="IC28" s="8">
        <v>0.11628570579487138</v>
      </c>
      <c r="ID28" s="8">
        <v>0.16165069698145301</v>
      </c>
      <c r="IE28" s="8">
        <v>0.17328627323854029</v>
      </c>
      <c r="IF28" s="8">
        <v>0.17087415859332755</v>
      </c>
      <c r="IG28" s="8">
        <v>0.16831514278637094</v>
      </c>
      <c r="IH28" s="8">
        <v>0.15913340719076563</v>
      </c>
      <c r="II28" s="8">
        <v>0.10508591721376352</v>
      </c>
      <c r="IJ28" s="8">
        <v>9.7562619884855636E-2</v>
      </c>
      <c r="IK28" s="8">
        <v>9.8959264268286842E-2</v>
      </c>
      <c r="IL28" s="8">
        <v>9.3251721604505816E-2</v>
      </c>
      <c r="IM28" s="8">
        <v>8.8110552566784989E-2</v>
      </c>
      <c r="IN28" s="8">
        <v>8.0699024481054316E-2</v>
      </c>
      <c r="IO28" s="8">
        <v>8.2468375114640072E-2</v>
      </c>
      <c r="IP28" s="8">
        <v>9.0911405315986113E-2</v>
      </c>
      <c r="IQ28" s="8">
        <v>9.6078699808343063E-2</v>
      </c>
      <c r="IR28" s="8">
        <v>9.6717683451802677E-2</v>
      </c>
      <c r="JB28" s="6" t="s">
        <v>318</v>
      </c>
      <c r="JC28" s="8">
        <v>0.43086393691853098</v>
      </c>
      <c r="JD28" s="8">
        <v>0.41601032106797381</v>
      </c>
      <c r="JE28" s="8">
        <v>0.43092591990544737</v>
      </c>
      <c r="JF28" s="8">
        <v>0.44928427834595036</v>
      </c>
      <c r="JG28" s="8">
        <v>0.47338408387293368</v>
      </c>
      <c r="JH28" s="8">
        <v>0.46428283456431002</v>
      </c>
      <c r="JI28" s="8">
        <v>0.44858153186786109</v>
      </c>
      <c r="JJ28" s="8">
        <v>0.44014714875015781</v>
      </c>
      <c r="JK28" s="8">
        <v>0.43215899320462847</v>
      </c>
      <c r="JL28" s="8">
        <v>0.4362452270089302</v>
      </c>
      <c r="JM28" s="8">
        <v>0.39523094737792658</v>
      </c>
      <c r="JN28" s="8">
        <v>0.40143697294101893</v>
      </c>
      <c r="JO28" s="8">
        <v>0.41757209654099925</v>
      </c>
      <c r="JP28" s="8">
        <v>0.46892260109577139</v>
      </c>
      <c r="JQ28" s="8">
        <v>0.47792787888445054</v>
      </c>
      <c r="JR28" s="8">
        <v>0.47236375202116682</v>
      </c>
      <c r="JS28" s="8">
        <v>0.45700633306033245</v>
      </c>
      <c r="JT28" s="8">
        <v>0.42728473258106098</v>
      </c>
      <c r="JU28" s="8">
        <v>0.40631057027195655</v>
      </c>
      <c r="JV28" s="7">
        <v>0.4058899349310815</v>
      </c>
      <c r="JW28" s="8">
        <v>0.29040085408097971</v>
      </c>
      <c r="JX28" s="7">
        <v>0.31779678079168505</v>
      </c>
      <c r="JY28" s="8">
        <v>0.33662801241393131</v>
      </c>
      <c r="JZ28" s="8">
        <v>0.33402534183878202</v>
      </c>
      <c r="KA28" s="8">
        <v>0.34833526614186039</v>
      </c>
      <c r="KB28" s="8">
        <v>0.35776481963572843</v>
      </c>
      <c r="KC28" s="8">
        <v>0.35574601087179941</v>
      </c>
      <c r="KD28" s="8">
        <v>0.3323779943393792</v>
      </c>
      <c r="KE28" s="8">
        <v>0.29090755067548746</v>
      </c>
      <c r="KF28" s="8">
        <v>0.28384164286473301</v>
      </c>
      <c r="KG28" s="8">
        <v>0.2073402358808481</v>
      </c>
      <c r="KH28" s="7">
        <v>0.19716182510656644</v>
      </c>
      <c r="KI28" s="8">
        <v>0.21542679826415384</v>
      </c>
      <c r="KJ28" s="8">
        <v>0.22698935950773189</v>
      </c>
      <c r="KK28" s="8">
        <v>0.23416044726341545</v>
      </c>
      <c r="KL28" s="8">
        <v>0.24196561992981186</v>
      </c>
      <c r="KM28" s="8">
        <v>0.23392515954017204</v>
      </c>
      <c r="KN28" s="8">
        <v>0.20495297826650774</v>
      </c>
      <c r="KO28" s="8">
        <v>0.18164563029579808</v>
      </c>
      <c r="KP28" s="8">
        <v>0.19844476164624866</v>
      </c>
      <c r="KQ28" s="8">
        <v>0.34244277605920975</v>
      </c>
      <c r="KR28" s="8">
        <v>0.36156917585948739</v>
      </c>
      <c r="KS28" s="7">
        <v>0.39811050576315177</v>
      </c>
      <c r="KT28" s="8">
        <v>0.41904462215012245</v>
      </c>
      <c r="KU28" s="8">
        <v>0.41834564409660036</v>
      </c>
      <c r="KV28" s="8">
        <v>0.41039715956079964</v>
      </c>
      <c r="KW28" s="8">
        <v>0.36876307572656591</v>
      </c>
      <c r="KX28" s="8">
        <v>0.33822254698762289</v>
      </c>
      <c r="KY28" s="8">
        <v>0.33099509439901814</v>
      </c>
      <c r="KZ28" s="8">
        <v>0.32862135529400116</v>
      </c>
      <c r="LA28" s="8">
        <v>0.49544139683001637</v>
      </c>
      <c r="LB28" s="8">
        <v>0.5036066530956953</v>
      </c>
      <c r="LC28" s="8">
        <v>0.51146527717965684</v>
      </c>
      <c r="LD28" s="8">
        <v>0.50615242977622021</v>
      </c>
      <c r="LE28" s="8">
        <v>0.5272200478007476</v>
      </c>
      <c r="LF28" s="8">
        <v>0.56330818926720982</v>
      </c>
      <c r="LG28" s="8">
        <v>0.55735090299277246</v>
      </c>
      <c r="LH28" s="8">
        <v>0.55000805699313771</v>
      </c>
      <c r="LI28" s="8">
        <v>0.54777956479849466</v>
      </c>
      <c r="LJ28" s="8">
        <v>0.53859578775580252</v>
      </c>
      <c r="LL28" s="6" t="s">
        <v>319</v>
      </c>
      <c r="LM28" s="6" t="s">
        <v>160</v>
      </c>
      <c r="LN28" s="6" t="s">
        <v>161</v>
      </c>
      <c r="LO28" s="8">
        <v>0.57446300437731712</v>
      </c>
    </row>
    <row r="29" spans="2:327" x14ac:dyDescent="0.45">
      <c r="B29" s="3" t="s">
        <v>320</v>
      </c>
      <c r="C29" s="3" t="s">
        <v>151</v>
      </c>
      <c r="D29" s="5">
        <v>0.20912178136408535</v>
      </c>
      <c r="E29" s="5">
        <v>0.21750427751054091</v>
      </c>
      <c r="F29" s="5">
        <v>0.21167495897257627</v>
      </c>
      <c r="G29" s="5">
        <v>0.20265499287315603</v>
      </c>
      <c r="H29" s="5">
        <v>0.21517532224822505</v>
      </c>
      <c r="I29" s="5">
        <v>0.22182540369870762</v>
      </c>
      <c r="J29" s="5">
        <v>0.21202053082480102</v>
      </c>
      <c r="K29" s="5">
        <v>0.19171804153755659</v>
      </c>
      <c r="L29" s="5">
        <v>0.19785017060322752</v>
      </c>
      <c r="M29" s="5">
        <v>0.21237442494902195</v>
      </c>
      <c r="N29" s="5">
        <v>0.24624167059988408</v>
      </c>
      <c r="O29" s="5">
        <v>0.2443232342971749</v>
      </c>
      <c r="P29" s="5">
        <v>0.2488116126660615</v>
      </c>
      <c r="Q29" s="5">
        <v>0.25373110963508894</v>
      </c>
      <c r="R29" s="5">
        <v>0.24748347933266401</v>
      </c>
      <c r="S29" s="5">
        <v>0.24305795009112993</v>
      </c>
      <c r="T29" s="5">
        <v>0.22649249786930684</v>
      </c>
      <c r="U29" s="5">
        <v>0.20762749731573713</v>
      </c>
      <c r="V29" s="5">
        <v>0.20931714113017799</v>
      </c>
      <c r="W29" s="5">
        <v>0.23324724256367591</v>
      </c>
      <c r="X29" s="5">
        <v>0.29894013387456014</v>
      </c>
      <c r="Y29" s="5">
        <v>0.29395215368785182</v>
      </c>
      <c r="Z29" s="5">
        <v>0.3041209322641476</v>
      </c>
      <c r="AA29" s="5">
        <v>0.31678330775779884</v>
      </c>
      <c r="AB29" s="5">
        <v>0.32064985260938839</v>
      </c>
      <c r="AC29" s="5">
        <v>0.30937800552315003</v>
      </c>
      <c r="AD29" s="5">
        <v>0.29962881596209845</v>
      </c>
      <c r="AE29" s="5">
        <v>0.30498536588153502</v>
      </c>
      <c r="AF29" s="5">
        <v>0.32229795785680276</v>
      </c>
      <c r="AG29" s="5">
        <v>0.33921363718581254</v>
      </c>
      <c r="AH29" s="5">
        <v>0.36820419037592222</v>
      </c>
      <c r="AI29" s="5">
        <v>0.36332008020794526</v>
      </c>
      <c r="AJ29" s="5">
        <v>0.36571982336218339</v>
      </c>
      <c r="AK29" s="5">
        <v>0.36358023236037401</v>
      </c>
      <c r="AL29" s="5">
        <v>0.34870539824040375</v>
      </c>
      <c r="AM29" s="5">
        <v>0.35545738825538448</v>
      </c>
      <c r="AN29" s="5">
        <v>0.34288575930921639</v>
      </c>
      <c r="AO29" s="5">
        <v>0.32120987473546875</v>
      </c>
      <c r="AP29" s="5">
        <v>0.3376874901263946</v>
      </c>
      <c r="AQ29" s="5">
        <v>0.36834500742914678</v>
      </c>
      <c r="AR29" s="5">
        <v>0.26392665761770473</v>
      </c>
      <c r="AS29" s="5">
        <v>0.26957230738919086</v>
      </c>
      <c r="AT29" s="5">
        <v>0.27104858270700499</v>
      </c>
      <c r="AU29" s="5">
        <v>0.27352177244743908</v>
      </c>
      <c r="AV29" s="5">
        <v>0.2784144434273878</v>
      </c>
      <c r="AW29" s="5">
        <v>0.27511405392878252</v>
      </c>
      <c r="AX29" s="5">
        <v>0.25792819371097092</v>
      </c>
      <c r="AY29" s="5">
        <v>0.25018938316453138</v>
      </c>
      <c r="AZ29" s="5">
        <v>0.24807905247833043</v>
      </c>
      <c r="BA29" s="5">
        <v>0.26397757615297174</v>
      </c>
      <c r="BB29" s="5">
        <v>0.18209021633937053</v>
      </c>
      <c r="BC29" s="5">
        <v>0.18646481205284965</v>
      </c>
      <c r="BD29" s="5">
        <v>0.18642630723936907</v>
      </c>
      <c r="BE29" s="5">
        <v>0.18929631854728773</v>
      </c>
      <c r="BF29" s="5">
        <v>0.18836593064939461</v>
      </c>
      <c r="BG29" s="5">
        <v>0.16823593163656311</v>
      </c>
      <c r="BH29" s="5">
        <v>0.16917618406466037</v>
      </c>
      <c r="BI29" s="5">
        <v>0.1828341879557589</v>
      </c>
      <c r="BJ29" s="5">
        <v>0.19555599760619058</v>
      </c>
      <c r="BK29" s="5">
        <v>0.18686143166265301</v>
      </c>
      <c r="BM29" s="3" t="s">
        <v>320</v>
      </c>
      <c r="BN29" s="3" t="s">
        <v>152</v>
      </c>
      <c r="BO29" s="5">
        <v>1.6488309819260246E-2</v>
      </c>
      <c r="BP29" s="5">
        <v>8.6274667803695939E-3</v>
      </c>
      <c r="BQ29" s="5">
        <v>1.2388759288458799E-2</v>
      </c>
      <c r="BR29" s="5">
        <v>6.6787109772023633E-3</v>
      </c>
      <c r="BS29" s="5">
        <v>1.2378744135106532E-2</v>
      </c>
      <c r="BT29" s="5">
        <v>1.3572348961841809E-2</v>
      </c>
      <c r="BU29" s="4">
        <v>1.2327791879024741E-2</v>
      </c>
      <c r="BV29" s="5">
        <v>6.9290138610852954E-3</v>
      </c>
      <c r="BW29" s="5">
        <v>1.0490153777943141E-2</v>
      </c>
      <c r="BX29" s="5">
        <v>1.7639576315924731E-2</v>
      </c>
      <c r="BY29" s="5">
        <v>7.5789573035866089E-3</v>
      </c>
      <c r="BZ29" s="4">
        <v>1.2956890767363524E-2</v>
      </c>
      <c r="CA29" s="5">
        <v>1.1374300247448029E-2</v>
      </c>
      <c r="CB29" s="5">
        <v>1.0244952718790598E-2</v>
      </c>
      <c r="CC29" s="5">
        <v>8.7779521758373624E-3</v>
      </c>
      <c r="CD29" s="4">
        <v>4.6658329536979444E-3</v>
      </c>
      <c r="CE29" s="4">
        <v>5.4512523811287633E-3</v>
      </c>
      <c r="CF29" s="4">
        <v>8.9882912407121176E-3</v>
      </c>
      <c r="CG29" s="5">
        <v>1.3381154490744918E-2</v>
      </c>
      <c r="CH29" s="5">
        <v>2.0978163071350284E-2</v>
      </c>
      <c r="CI29" s="5">
        <v>8.6021487760262021E-3</v>
      </c>
      <c r="CJ29" s="5">
        <v>2.1017907127674047E-2</v>
      </c>
      <c r="CK29" s="4">
        <v>2.9763194367146924E-2</v>
      </c>
      <c r="CL29" s="4">
        <v>2.7662032708167295E-2</v>
      </c>
      <c r="CM29" s="5">
        <v>2.1847969621668843E-2</v>
      </c>
      <c r="CN29" s="5">
        <v>2.0746866603526284E-2</v>
      </c>
      <c r="CO29" s="5">
        <v>1.7935518914781436E-2</v>
      </c>
      <c r="CP29" s="5">
        <v>2.0983618000238086E-2</v>
      </c>
      <c r="CQ29" s="5">
        <v>1.7691854785185573E-2</v>
      </c>
      <c r="CR29" s="5">
        <v>9.4942713897889688E-3</v>
      </c>
      <c r="CS29" s="5">
        <v>5.3400778340423971E-3</v>
      </c>
      <c r="CT29" s="4">
        <v>0</v>
      </c>
      <c r="CU29" s="5">
        <v>1.7915793322564059E-3</v>
      </c>
      <c r="CV29" s="5">
        <v>1.367953618413144E-2</v>
      </c>
      <c r="CW29" s="5">
        <v>2.7645073178487176E-2</v>
      </c>
      <c r="CX29" s="5">
        <v>1.9128586854124302E-2</v>
      </c>
      <c r="CY29" s="5">
        <v>3.1305639511791911E-2</v>
      </c>
      <c r="CZ29" s="5">
        <v>3.888023508357781E-2</v>
      </c>
      <c r="DA29" s="5">
        <v>2.1058125995042327E-2</v>
      </c>
      <c r="DB29" s="4">
        <v>3.8057796694212068E-2</v>
      </c>
      <c r="DC29" s="5">
        <v>1.0834856741328306E-2</v>
      </c>
      <c r="DD29" s="5">
        <v>2.1787232908300178E-2</v>
      </c>
      <c r="DE29" s="5">
        <v>8.7161211992221963E-3</v>
      </c>
      <c r="DF29" s="5">
        <v>1.0827007764482616E-2</v>
      </c>
      <c r="DG29" s="5">
        <v>1.1888829191389583E-2</v>
      </c>
      <c r="DH29" s="5">
        <v>1.1383482513053007E-2</v>
      </c>
      <c r="DI29" s="5">
        <v>3.8724710891320183E-3</v>
      </c>
      <c r="DJ29" s="5">
        <v>5.1820766245177039E-3</v>
      </c>
      <c r="DK29" s="5">
        <v>1.2264559845865892E-2</v>
      </c>
      <c r="DL29" s="5">
        <v>2.0580288972759205E-2</v>
      </c>
      <c r="DM29" s="5">
        <v>7.1150902290438352E-3</v>
      </c>
      <c r="DN29" s="5">
        <v>4.782273878729505E-3</v>
      </c>
      <c r="DO29" s="5">
        <v>4.0967656708142787E-3</v>
      </c>
      <c r="DP29" s="5">
        <v>1.0080776362115596E-2</v>
      </c>
      <c r="DQ29" s="5">
        <v>1.2136815720684823E-2</v>
      </c>
      <c r="DR29" s="5">
        <v>6.8916005595141376E-3</v>
      </c>
      <c r="DS29" s="5">
        <v>1.0614508135196266E-2</v>
      </c>
      <c r="DT29" s="5">
        <v>1.1204260908439323E-2</v>
      </c>
      <c r="DU29" s="4">
        <v>5.4250943382555417E-3</v>
      </c>
      <c r="DV29" s="5">
        <v>7.464616561291655E-3</v>
      </c>
      <c r="DX29" s="3" t="s">
        <v>320</v>
      </c>
      <c r="DY29" s="3" t="s">
        <v>153</v>
      </c>
      <c r="DZ29" s="5">
        <v>1.6320704789666598E-2</v>
      </c>
      <c r="EA29" s="5">
        <v>2.3969063808922778E-2</v>
      </c>
      <c r="EB29" s="4">
        <v>1.8223950532824919E-2</v>
      </c>
      <c r="EC29" s="5">
        <v>1.1040761410954555E-2</v>
      </c>
      <c r="ED29" s="5">
        <v>5.630694113246325E-3</v>
      </c>
      <c r="EE29" s="5">
        <v>1.1605643931132371E-2</v>
      </c>
      <c r="EF29" s="4">
        <v>1.6003636257875108E-2</v>
      </c>
      <c r="EG29" s="5">
        <v>1.7635770985220386E-2</v>
      </c>
      <c r="EH29" s="5">
        <v>1.7742438330173142E-2</v>
      </c>
      <c r="EI29" s="5">
        <v>1.104087658156923E-2</v>
      </c>
      <c r="EJ29" s="5">
        <v>2.1662668519756026E-2</v>
      </c>
      <c r="EK29" s="5">
        <v>1.222007726214175E-2</v>
      </c>
      <c r="EL29" s="5">
        <v>6.9298005033343775E-3</v>
      </c>
      <c r="EM29" s="5">
        <v>1.2768361414340486E-2</v>
      </c>
      <c r="EN29" s="5">
        <v>1.7017601335516563E-2</v>
      </c>
      <c r="EO29" s="5">
        <v>1.3198819886013742E-2</v>
      </c>
      <c r="EP29" s="5">
        <v>1.4318779781568508E-2</v>
      </c>
      <c r="EQ29" s="5">
        <v>7.1352534178550555E-3</v>
      </c>
      <c r="ER29" s="5">
        <v>4.5120570401700399E-3</v>
      </c>
      <c r="ES29" s="5">
        <v>1.231943767508026E-2</v>
      </c>
      <c r="ET29" s="5">
        <v>2.3379620890990285E-2</v>
      </c>
      <c r="EU29" s="5">
        <v>9.3965991902286907E-3</v>
      </c>
      <c r="EV29" s="5">
        <v>1.0140840517468467E-2</v>
      </c>
      <c r="EW29" s="5">
        <v>2.0130993387522545E-2</v>
      </c>
      <c r="EX29" s="5">
        <v>3.7147952479963581E-2</v>
      </c>
      <c r="EY29" s="5">
        <v>2.5097195289304854E-2</v>
      </c>
      <c r="EZ29" s="5">
        <v>1.8583505495112552E-2</v>
      </c>
      <c r="FA29" s="5">
        <v>2.0801734392504215E-2</v>
      </c>
      <c r="FB29" s="5">
        <v>2.1533586382537436E-2</v>
      </c>
      <c r="FC29" s="5">
        <v>1.9701670331500252E-2</v>
      </c>
      <c r="FD29" s="5">
        <v>4.5294647363376163E-2</v>
      </c>
      <c r="FE29" s="4">
        <v>1.7665566308943368E-2</v>
      </c>
      <c r="FF29" s="5">
        <v>0</v>
      </c>
      <c r="FG29" s="5">
        <v>0</v>
      </c>
      <c r="FH29" s="5">
        <v>0</v>
      </c>
      <c r="FI29" s="5">
        <v>2.235374137878518E-2</v>
      </c>
      <c r="FJ29" s="5">
        <v>2.8528681250361461E-2</v>
      </c>
      <c r="FK29" s="5">
        <v>2.9043855331322026E-2</v>
      </c>
      <c r="FL29" s="5">
        <v>4.1541540089174087E-2</v>
      </c>
      <c r="FM29" s="5">
        <v>4.5877518601877124E-2</v>
      </c>
      <c r="FN29" s="5">
        <v>2.2374008392932066E-2</v>
      </c>
      <c r="FO29" s="5">
        <v>8.5040034888599729E-3</v>
      </c>
      <c r="FP29" s="5">
        <v>2.4106859647190733E-2</v>
      </c>
      <c r="FQ29" s="5">
        <v>2.2877428837937235E-2</v>
      </c>
      <c r="FR29" s="5">
        <v>1.8953790540719728E-2</v>
      </c>
      <c r="FS29" s="5">
        <v>1.5254497120729895E-2</v>
      </c>
      <c r="FT29" s="5">
        <v>1.5044547712963827E-2</v>
      </c>
      <c r="FU29" s="5">
        <v>1.4061397102702643E-2</v>
      </c>
      <c r="FV29" s="5">
        <v>1.2459675757899955E-2</v>
      </c>
      <c r="FW29" s="5">
        <v>9.0750546050718927E-3</v>
      </c>
      <c r="FX29" s="5">
        <v>6.8102617450900163E-3</v>
      </c>
      <c r="FY29" s="5">
        <v>8.9720338257003925E-3</v>
      </c>
      <c r="FZ29" s="5">
        <v>5.3076786216152876E-3</v>
      </c>
      <c r="GA29" s="5">
        <v>5.3443135711768808E-3</v>
      </c>
      <c r="GB29" s="5">
        <v>4.0333251062174983E-3</v>
      </c>
      <c r="GC29" s="5">
        <v>6.8825261041916301E-3</v>
      </c>
      <c r="GD29" s="5">
        <v>7.0243111266840791E-3</v>
      </c>
      <c r="GE29" s="5">
        <v>8.1702061087695274E-3</v>
      </c>
      <c r="GF29" s="5">
        <v>1.3494981895656566E-2</v>
      </c>
      <c r="GG29" s="5">
        <v>1.3329100346287851E-2</v>
      </c>
      <c r="GI29" s="3" t="s">
        <v>320</v>
      </c>
      <c r="GJ29" s="3" t="s">
        <v>154</v>
      </c>
      <c r="GK29" s="5">
        <v>6.625624190094577E-2</v>
      </c>
      <c r="GL29" s="5">
        <v>6.3418591634603963E-2</v>
      </c>
      <c r="GM29" s="5">
        <v>6.4640732879713808E-2</v>
      </c>
      <c r="GN29" s="5">
        <v>6.9157723682501449E-2</v>
      </c>
      <c r="GO29" s="5">
        <v>7.141524619824377E-2</v>
      </c>
      <c r="GP29" s="5">
        <v>7.3651946096943602E-2</v>
      </c>
      <c r="GQ29" s="5">
        <v>7.4077559175931534E-2</v>
      </c>
      <c r="GR29" s="5">
        <v>7.1604885493722001E-2</v>
      </c>
      <c r="GS29" s="5">
        <v>6.1103261477556459E-2</v>
      </c>
      <c r="GT29" s="5">
        <v>6.9812236477702239E-2</v>
      </c>
      <c r="GU29" s="5">
        <v>9.5677751852638548E-2</v>
      </c>
      <c r="GV29" s="5">
        <v>9.483751389202344E-2</v>
      </c>
      <c r="GW29" s="5">
        <v>9.7241811944973902E-2</v>
      </c>
      <c r="GX29" s="5">
        <v>9.7624713178298309E-2</v>
      </c>
      <c r="GY29" s="5">
        <v>9.5356194906909372E-2</v>
      </c>
      <c r="GZ29" s="5">
        <v>0.10457197232275195</v>
      </c>
      <c r="HA29" s="5">
        <v>9.3809741293127052E-2</v>
      </c>
      <c r="HB29" s="4">
        <v>8.3676478572115631E-2</v>
      </c>
      <c r="HC29" s="5">
        <v>8.1711728031385558E-2</v>
      </c>
      <c r="HD29" s="5">
        <v>7.7272934079612068E-2</v>
      </c>
      <c r="HE29" s="5">
        <v>0.142901069769032</v>
      </c>
      <c r="HF29" s="5">
        <v>0.12578328003084685</v>
      </c>
      <c r="HG29" s="5">
        <v>0.11810702464170078</v>
      </c>
      <c r="HH29" s="5">
        <v>0.12575646552315792</v>
      </c>
      <c r="HI29" s="5">
        <v>0.12060313591505166</v>
      </c>
      <c r="HJ29" s="5">
        <v>0.12676783371972905</v>
      </c>
      <c r="HK29" s="5">
        <v>0.12790236893279386</v>
      </c>
      <c r="HL29" s="4">
        <v>0.13301219012343812</v>
      </c>
      <c r="HM29" s="5">
        <v>0.15012213128329513</v>
      </c>
      <c r="HN29" s="5">
        <v>0.16564171750912945</v>
      </c>
      <c r="HO29" s="5">
        <v>0.18200734877036406</v>
      </c>
      <c r="HP29" s="5">
        <v>0.21369632268893735</v>
      </c>
      <c r="HQ29" s="5">
        <v>0.22371099950281245</v>
      </c>
      <c r="HR29" s="5">
        <v>0.21634804110968564</v>
      </c>
      <c r="HS29" s="5">
        <v>0.20393145430657936</v>
      </c>
      <c r="HT29" s="5">
        <v>0.18135650136286652</v>
      </c>
      <c r="HU29" s="5">
        <v>0.15085832621510242</v>
      </c>
      <c r="HV29" s="5">
        <v>0.12506735231976002</v>
      </c>
      <c r="HW29" s="5">
        <v>0.13280421766475217</v>
      </c>
      <c r="HX29" s="5">
        <v>0.13590334747403693</v>
      </c>
      <c r="HY29" s="5">
        <v>0.10074592865888932</v>
      </c>
      <c r="HZ29" s="5">
        <v>0.10372788066453414</v>
      </c>
      <c r="IA29" s="5">
        <v>0.10127600836062686</v>
      </c>
      <c r="IB29" s="5">
        <v>0.10346005981800309</v>
      </c>
      <c r="IC29" s="5">
        <v>0.10969230196748635</v>
      </c>
      <c r="ID29" s="5">
        <v>0.11911241507333556</v>
      </c>
      <c r="IE29" s="5">
        <v>0.11507571273667952</v>
      </c>
      <c r="IF29" s="5">
        <v>0.10596476829072331</v>
      </c>
      <c r="IG29" s="5">
        <v>0.10169304113432677</v>
      </c>
      <c r="IH29" s="5">
        <v>0.11168630586241016</v>
      </c>
      <c r="II29" s="5">
        <v>5.3233733418822871E-2</v>
      </c>
      <c r="IJ29" s="5">
        <v>5.8868301353981474E-2</v>
      </c>
      <c r="IK29" s="5">
        <v>6.0586572785318323E-2</v>
      </c>
      <c r="IL29" s="5">
        <v>5.9406980997117532E-2</v>
      </c>
      <c r="IM29" s="5">
        <v>5.3576429889793831E-2</v>
      </c>
      <c r="IN29" s="5">
        <v>4.3819708366859299E-2</v>
      </c>
      <c r="IO29" s="5">
        <v>4.0248662941506724E-2</v>
      </c>
      <c r="IP29" s="5">
        <v>4.6732389703436558E-2</v>
      </c>
      <c r="IQ29" s="5">
        <v>5.7433670654536674E-2</v>
      </c>
      <c r="IR29" s="5">
        <v>4.8027706825523243E-2</v>
      </c>
      <c r="JB29" s="3" t="s">
        <v>320</v>
      </c>
      <c r="JC29" s="5">
        <v>0.66818916653689464</v>
      </c>
      <c r="JD29" s="5">
        <v>0.65349809943321591</v>
      </c>
      <c r="JE29" s="5">
        <v>0.66420122935996861</v>
      </c>
      <c r="JF29" s="5">
        <v>0.67728743066682828</v>
      </c>
      <c r="JG29" s="5">
        <v>0.67541898592031424</v>
      </c>
      <c r="JH29" s="5">
        <v>0.65857788029265352</v>
      </c>
      <c r="JI29" s="5">
        <v>0.65432968119208823</v>
      </c>
      <c r="JJ29" s="5">
        <v>0.66754833612341324</v>
      </c>
      <c r="JK29" s="5">
        <v>0.67499833503899065</v>
      </c>
      <c r="JL29" s="5">
        <v>0.66343003851760152</v>
      </c>
      <c r="JM29" s="5">
        <v>0.60716802791071223</v>
      </c>
      <c r="JN29" s="5">
        <v>0.62039576724754431</v>
      </c>
      <c r="JO29" s="5">
        <v>0.62777593242820462</v>
      </c>
      <c r="JP29" s="5">
        <v>0.62040062430648812</v>
      </c>
      <c r="JQ29" s="5">
        <v>0.62130130470312561</v>
      </c>
      <c r="JR29" s="5">
        <v>0.62511041752670271</v>
      </c>
      <c r="JS29" s="5">
        <v>0.63891320224983317</v>
      </c>
      <c r="JT29" s="5">
        <v>0.65597672491158876</v>
      </c>
      <c r="JU29" s="5">
        <v>0.65142322925541485</v>
      </c>
      <c r="JV29" s="4">
        <v>0.63609959023742557</v>
      </c>
      <c r="JW29" s="5">
        <v>0.49926973289065724</v>
      </c>
      <c r="JX29" s="4">
        <v>0.53365416281305089</v>
      </c>
      <c r="JY29" s="5">
        <v>0.52704842314835099</v>
      </c>
      <c r="JZ29" s="5">
        <v>0.49944008850458826</v>
      </c>
      <c r="KA29" s="5">
        <v>0.49903977419137913</v>
      </c>
      <c r="KB29" s="5">
        <v>0.5057727456279566</v>
      </c>
      <c r="KC29" s="5">
        <v>0.51909005752156434</v>
      </c>
      <c r="KD29" s="5">
        <v>0.51425687179784196</v>
      </c>
      <c r="KE29" s="5">
        <v>0.49525353654049353</v>
      </c>
      <c r="KF29" s="5">
        <v>0.47855421499838446</v>
      </c>
      <c r="KG29" s="5">
        <v>0.4150363760759993</v>
      </c>
      <c r="KH29" s="4">
        <v>0.39405082422805471</v>
      </c>
      <c r="KI29" s="5">
        <v>0.38568621327482577</v>
      </c>
      <c r="KJ29" s="5">
        <v>0.37922765029067962</v>
      </c>
      <c r="KK29" s="5">
        <v>0.38466351282916061</v>
      </c>
      <c r="KL29" s="5">
        <v>0.39500603478403978</v>
      </c>
      <c r="KM29" s="5">
        <v>0.40686247032658224</v>
      </c>
      <c r="KN29" s="5">
        <v>0.41343119220315833</v>
      </c>
      <c r="KO29" s="5">
        <v>0.40600616497068026</v>
      </c>
      <c r="KP29" s="5">
        <v>0.41154058359999657</v>
      </c>
      <c r="KQ29" s="5">
        <v>0.59385945325879375</v>
      </c>
      <c r="KR29" s="5">
        <v>0.60238268027579556</v>
      </c>
      <c r="KS29" s="4">
        <v>0.6071775338831279</v>
      </c>
      <c r="KT29" s="5">
        <v>0.6006221354151362</v>
      </c>
      <c r="KU29" s="5">
        <v>0.59703803586139648</v>
      </c>
      <c r="KV29" s="5">
        <v>0.58679856287756194</v>
      </c>
      <c r="KW29" s="5">
        <v>0.58797361482033039</v>
      </c>
      <c r="KX29" s="5">
        <v>0.59379663864344201</v>
      </c>
      <c r="KY29" s="5">
        <v>0.5927325973870059</v>
      </c>
      <c r="KZ29" s="5">
        <v>0.57596945537422706</v>
      </c>
      <c r="LA29" s="5">
        <v>0.73904588510493952</v>
      </c>
      <c r="LB29" s="5">
        <v>0.7363440431996312</v>
      </c>
      <c r="LC29" s="5">
        <v>0.73566433293499023</v>
      </c>
      <c r="LD29" s="5">
        <v>0.73483540172351891</v>
      </c>
      <c r="LE29" s="5">
        <v>0.74473110786340302</v>
      </c>
      <c r="LF29" s="5">
        <v>0.76993135175944438</v>
      </c>
      <c r="LG29" s="5">
        <v>0.77183206797519954</v>
      </c>
      <c r="LH29" s="5">
        <v>0.75272237147073706</v>
      </c>
      <c r="LI29" s="5">
        <v>0.7323763782402205</v>
      </c>
      <c r="LJ29" s="5">
        <v>0.74308104774678863</v>
      </c>
      <c r="LL29" s="3" t="s">
        <v>321</v>
      </c>
      <c r="LM29" s="3" t="s">
        <v>160</v>
      </c>
      <c r="LN29" s="3" t="s">
        <v>161</v>
      </c>
      <c r="LO29" s="5">
        <v>0.56598472742881589</v>
      </c>
    </row>
    <row r="30" spans="2:327" x14ac:dyDescent="0.45">
      <c r="B30" s="6" t="s">
        <v>322</v>
      </c>
      <c r="C30" s="6" t="s">
        <v>151</v>
      </c>
      <c r="D30" s="8">
        <v>0.17713873658581208</v>
      </c>
      <c r="E30" s="8">
        <v>0.18098265434157998</v>
      </c>
      <c r="F30" s="8">
        <v>0.1777788358070081</v>
      </c>
      <c r="G30" s="8">
        <v>0.17833660531506149</v>
      </c>
      <c r="H30" s="8">
        <v>0.18349694440400219</v>
      </c>
      <c r="I30" s="8">
        <v>0.19137562911879408</v>
      </c>
      <c r="J30" s="8">
        <v>0.18044546164271391</v>
      </c>
      <c r="K30" s="8">
        <v>0.17480410270104541</v>
      </c>
      <c r="L30" s="8">
        <v>0.17832476685384166</v>
      </c>
      <c r="M30" s="8">
        <v>0.19051550919502822</v>
      </c>
      <c r="N30" s="8">
        <v>0.23610034939002972</v>
      </c>
      <c r="O30" s="8">
        <v>0.23223223558508568</v>
      </c>
      <c r="P30" s="8">
        <v>0.22880142088357605</v>
      </c>
      <c r="Q30" s="8">
        <v>0.22423087734663791</v>
      </c>
      <c r="R30" s="8">
        <v>0.21827078210778844</v>
      </c>
      <c r="S30" s="8">
        <v>0.20984267803807582</v>
      </c>
      <c r="T30" s="8">
        <v>0.20156394915809875</v>
      </c>
      <c r="U30" s="8">
        <v>0.19458505762429412</v>
      </c>
      <c r="V30" s="8">
        <v>0.19731191523989669</v>
      </c>
      <c r="W30" s="8">
        <v>0.2219432729149238</v>
      </c>
      <c r="X30" s="8">
        <v>0.27450357605985803</v>
      </c>
      <c r="Y30" s="8">
        <v>0.27288605232357505</v>
      </c>
      <c r="Z30" s="8">
        <v>0.28224326505266484</v>
      </c>
      <c r="AA30" s="8">
        <v>0.30462122345229664</v>
      </c>
      <c r="AB30" s="8">
        <v>0.31482811214167988</v>
      </c>
      <c r="AC30" s="8">
        <v>0.30198823236097067</v>
      </c>
      <c r="AD30" s="8">
        <v>0.30175779942767361</v>
      </c>
      <c r="AE30" s="8">
        <v>0.31329715668075714</v>
      </c>
      <c r="AF30" s="8">
        <v>0.31722068190809483</v>
      </c>
      <c r="AG30" s="8">
        <v>0.31187946992741639</v>
      </c>
      <c r="AH30" s="8">
        <v>0.34657748638095237</v>
      </c>
      <c r="AI30" s="8">
        <v>0.34627351196522427</v>
      </c>
      <c r="AJ30" s="8">
        <v>0.34973412852357555</v>
      </c>
      <c r="AK30" s="8">
        <v>0.34487422734476841</v>
      </c>
      <c r="AL30" s="8">
        <v>0.34006492796351095</v>
      </c>
      <c r="AM30" s="8">
        <v>0.34049913848046776</v>
      </c>
      <c r="AN30" s="8">
        <v>0.32574712725179811</v>
      </c>
      <c r="AO30" s="8">
        <v>0.31587670908041032</v>
      </c>
      <c r="AP30" s="8">
        <v>0.32584732605351518</v>
      </c>
      <c r="AQ30" s="8">
        <v>0.34526550044449428</v>
      </c>
      <c r="AR30" s="8">
        <v>0.26028282142330722</v>
      </c>
      <c r="AS30" s="8">
        <v>0.26194468357271344</v>
      </c>
      <c r="AT30" s="8">
        <v>0.26278638961955819</v>
      </c>
      <c r="AU30" s="8">
        <v>0.26719963947693454</v>
      </c>
      <c r="AV30" s="8">
        <v>0.27595298598326867</v>
      </c>
      <c r="AW30" s="8">
        <v>0.26700150436273723</v>
      </c>
      <c r="AX30" s="8">
        <v>0.24244806052841583</v>
      </c>
      <c r="AY30" s="8">
        <v>0.23817503733215825</v>
      </c>
      <c r="AZ30" s="8">
        <v>0.24153516641899186</v>
      </c>
      <c r="BA30" s="8">
        <v>0.25260365513765631</v>
      </c>
      <c r="BB30" s="8">
        <v>0.16899434905389704</v>
      </c>
      <c r="BC30" s="8">
        <v>0.18220699961493203</v>
      </c>
      <c r="BD30" s="8">
        <v>0.18502572670726053</v>
      </c>
      <c r="BE30" s="8">
        <v>0.17928429174085264</v>
      </c>
      <c r="BF30" s="8">
        <v>0.1752497506495824</v>
      </c>
      <c r="BG30" s="8">
        <v>0.1623124034773103</v>
      </c>
      <c r="BH30" s="8">
        <v>0.16150290442450629</v>
      </c>
      <c r="BI30" s="8">
        <v>0.16580827628654296</v>
      </c>
      <c r="BJ30" s="8">
        <v>0.18644853045299747</v>
      </c>
      <c r="BK30" s="8">
        <v>0.17855209566455862</v>
      </c>
      <c r="BM30" s="6" t="s">
        <v>322</v>
      </c>
      <c r="BN30" s="6" t="s">
        <v>152</v>
      </c>
      <c r="BO30" s="8">
        <v>1.5381647469916817E-2</v>
      </c>
      <c r="BP30" s="8">
        <v>7.3461139816599309E-3</v>
      </c>
      <c r="BQ30" s="8">
        <v>1.2239679398584065E-2</v>
      </c>
      <c r="BR30" s="8">
        <v>1.2037157570037316E-2</v>
      </c>
      <c r="BS30" s="8">
        <v>1.237670410065015E-2</v>
      </c>
      <c r="BT30" s="8">
        <v>1.155156803490924E-2</v>
      </c>
      <c r="BU30" s="7">
        <v>9.211656510768898E-3</v>
      </c>
      <c r="BV30" s="8">
        <v>9.1074846648435716E-3</v>
      </c>
      <c r="BW30" s="8">
        <v>1.3285817674334059E-2</v>
      </c>
      <c r="BX30" s="8">
        <v>1.3055392019475491E-2</v>
      </c>
      <c r="BY30" s="8">
        <v>1.1445717915361498E-2</v>
      </c>
      <c r="BZ30" s="7">
        <v>8.0915423692522696E-3</v>
      </c>
      <c r="CA30" s="8">
        <v>1.0288096064651236E-2</v>
      </c>
      <c r="CB30" s="8">
        <v>8.7704113874123926E-3</v>
      </c>
      <c r="CC30" s="8">
        <v>5.2724163921273482E-3</v>
      </c>
      <c r="CD30" s="7">
        <v>3.1687507948188905E-3</v>
      </c>
      <c r="CE30" s="7">
        <v>4.7625372528277699E-3</v>
      </c>
      <c r="CF30" s="7">
        <v>8.9936673629251937E-3</v>
      </c>
      <c r="CG30" s="8">
        <v>1.1486818589754495E-2</v>
      </c>
      <c r="CH30" s="8">
        <v>1.6396688658892326E-2</v>
      </c>
      <c r="CI30" s="8">
        <v>1.1887188199671769E-2</v>
      </c>
      <c r="CJ30" s="8">
        <v>2.0749764716974956E-2</v>
      </c>
      <c r="CK30" s="7">
        <v>2.6316217400769174E-2</v>
      </c>
      <c r="CL30" s="7">
        <v>2.7225978433543484E-2</v>
      </c>
      <c r="CM30" s="8">
        <v>2.172419250164731E-2</v>
      </c>
      <c r="CN30" s="8">
        <v>1.9424411952778761E-2</v>
      </c>
      <c r="CO30" s="8">
        <v>1.8096134967959313E-2</v>
      </c>
      <c r="CP30" s="8">
        <v>3.0067259864272868E-2</v>
      </c>
      <c r="CQ30" s="8">
        <v>3.4247291759205871E-2</v>
      </c>
      <c r="CR30" s="8">
        <v>1.3603020623614947E-2</v>
      </c>
      <c r="CS30" s="8">
        <v>7.5713504076706127E-3</v>
      </c>
      <c r="CT30" s="7">
        <v>8.0096744702719378E-4</v>
      </c>
      <c r="CU30" s="8">
        <v>6.6601912497939626E-3</v>
      </c>
      <c r="CV30" s="8">
        <v>1.6809823235031558E-2</v>
      </c>
      <c r="CW30" s="8">
        <v>1.5478102900724326E-2</v>
      </c>
      <c r="CX30" s="8">
        <v>1.8106624363152014E-2</v>
      </c>
      <c r="CY30" s="8">
        <v>2.5826293266772139E-2</v>
      </c>
      <c r="CZ30" s="8">
        <v>2.9597527292511677E-2</v>
      </c>
      <c r="DA30" s="8">
        <v>2.2731461373918602E-2</v>
      </c>
      <c r="DB30" s="7">
        <v>3.5123964846659861E-2</v>
      </c>
      <c r="DC30" s="8">
        <v>1.0913525782060004E-2</v>
      </c>
      <c r="DD30" s="8">
        <v>1.5591303308454698E-2</v>
      </c>
      <c r="DE30" s="8">
        <v>1.356192057753936E-2</v>
      </c>
      <c r="DF30" s="8">
        <v>7.29230247458236E-3</v>
      </c>
      <c r="DG30" s="8">
        <v>9.0189570571222386E-3</v>
      </c>
      <c r="DH30" s="8">
        <v>1.0163428179817951E-2</v>
      </c>
      <c r="DI30" s="8">
        <v>6.0647543217017446E-3</v>
      </c>
      <c r="DJ30" s="8">
        <v>5.7280854103184163E-3</v>
      </c>
      <c r="DK30" s="8">
        <v>1.5420402380118388E-2</v>
      </c>
      <c r="DL30" s="8">
        <v>9.1052837958603139E-3</v>
      </c>
      <c r="DM30" s="8">
        <v>8.6969444643930863E-3</v>
      </c>
      <c r="DN30" s="8">
        <v>5.2355649277015665E-3</v>
      </c>
      <c r="DO30" s="8">
        <v>4.4028270261898053E-3</v>
      </c>
      <c r="DP30" s="8">
        <v>1.0754329928551392E-2</v>
      </c>
      <c r="DQ30" s="8">
        <v>1.0859698526974063E-2</v>
      </c>
      <c r="DR30" s="8">
        <v>9.4708157231605111E-3</v>
      </c>
      <c r="DS30" s="8">
        <v>1.07657236989345E-2</v>
      </c>
      <c r="DT30" s="8">
        <v>7.8001337609527209E-3</v>
      </c>
      <c r="DU30" s="7">
        <v>3.4962961160091822E-3</v>
      </c>
      <c r="DV30" s="8">
        <v>4.9597885082062034E-3</v>
      </c>
      <c r="DX30" s="6" t="s">
        <v>322</v>
      </c>
      <c r="DY30" s="6" t="s">
        <v>153</v>
      </c>
      <c r="DZ30" s="8">
        <v>1.327219371354558E-2</v>
      </c>
      <c r="EA30" s="8">
        <v>1.9157363030364347E-2</v>
      </c>
      <c r="EB30" s="7">
        <v>1.6930245799343126E-2</v>
      </c>
      <c r="EC30" s="8">
        <v>9.2795745651170145E-3</v>
      </c>
      <c r="ED30" s="8">
        <v>6.1594613124113943E-3</v>
      </c>
      <c r="EE30" s="8">
        <v>1.2026987640212901E-2</v>
      </c>
      <c r="EF30" s="7">
        <v>1.7764659656734835E-2</v>
      </c>
      <c r="EG30" s="8">
        <v>1.6604388999562701E-2</v>
      </c>
      <c r="EH30" s="8">
        <v>1.2194105245863332E-2</v>
      </c>
      <c r="EI30" s="8">
        <v>1.0369838875937424E-2</v>
      </c>
      <c r="EJ30" s="8">
        <v>1.7653614470922226E-2</v>
      </c>
      <c r="EK30" s="8">
        <v>1.7370328485686103E-2</v>
      </c>
      <c r="EL30" s="8">
        <v>6.9491695464952343E-3</v>
      </c>
      <c r="EM30" s="8">
        <v>1.11602557661486E-2</v>
      </c>
      <c r="EN30" s="8">
        <v>1.1873477081124611E-2</v>
      </c>
      <c r="EO30" s="8">
        <v>1.0917971411546143E-2</v>
      </c>
      <c r="EP30" s="8">
        <v>7.2513331032755665E-3</v>
      </c>
      <c r="EQ30" s="8">
        <v>7.0390180777250106E-3</v>
      </c>
      <c r="ER30" s="8">
        <v>6.4472567158339643E-3</v>
      </c>
      <c r="ES30" s="8">
        <v>1.2058757877227589E-2</v>
      </c>
      <c r="ET30" s="8">
        <v>2.8480965791117079E-2</v>
      </c>
      <c r="EU30" s="8">
        <v>1.0624536371715787E-2</v>
      </c>
      <c r="EV30" s="8">
        <v>1.4956679298413841E-2</v>
      </c>
      <c r="EW30" s="8">
        <v>1.5780461843792091E-2</v>
      </c>
      <c r="EX30" s="8">
        <v>3.2392774451262991E-2</v>
      </c>
      <c r="EY30" s="8">
        <v>2.6968122978884228E-2</v>
      </c>
      <c r="EZ30" s="8">
        <v>2.6889231774076074E-2</v>
      </c>
      <c r="FA30" s="8">
        <v>2.2775233501269448E-2</v>
      </c>
      <c r="FB30" s="8">
        <v>2.2259365379462506E-2</v>
      </c>
      <c r="FC30" s="8">
        <v>3.8820093964137145E-2</v>
      </c>
      <c r="FD30" s="8">
        <v>4.5838603626584512E-2</v>
      </c>
      <c r="FE30" s="7">
        <v>2.193792462757288E-2</v>
      </c>
      <c r="FF30" s="8">
        <v>0</v>
      </c>
      <c r="FG30" s="8">
        <v>4.430190819009831E-3</v>
      </c>
      <c r="FH30" s="8">
        <v>1.6823987412495609E-2</v>
      </c>
      <c r="FI30" s="8">
        <v>2.3758170582575067E-2</v>
      </c>
      <c r="FJ30" s="8">
        <v>1.9943809774094504E-2</v>
      </c>
      <c r="FK30" s="8">
        <v>2.6112009923900309E-2</v>
      </c>
      <c r="FL30" s="8">
        <v>3.8485759735381368E-2</v>
      </c>
      <c r="FM30" s="8">
        <v>4.0040154607860062E-2</v>
      </c>
      <c r="FN30" s="8">
        <v>1.6441152720910127E-2</v>
      </c>
      <c r="FO30" s="8">
        <v>1.3138870116720663E-2</v>
      </c>
      <c r="FP30" s="8">
        <v>1.7710588034691541E-2</v>
      </c>
      <c r="FQ30" s="8">
        <v>2.5498801072646116E-2</v>
      </c>
      <c r="FR30" s="8">
        <v>1.6795568467272783E-2</v>
      </c>
      <c r="FS30" s="8">
        <v>1.2314589689224867E-2</v>
      </c>
      <c r="FT30" s="8">
        <v>8.6159475793384736E-3</v>
      </c>
      <c r="FU30" s="8">
        <v>1.2065615416029492E-2</v>
      </c>
      <c r="FV30" s="8">
        <v>8.3176295789635542E-3</v>
      </c>
      <c r="FW30" s="8">
        <v>1.4859809749959719E-2</v>
      </c>
      <c r="FX30" s="8">
        <v>4.2967895516453358E-3</v>
      </c>
      <c r="FY30" s="8">
        <v>1.1789179176636478E-2</v>
      </c>
      <c r="FZ30" s="8">
        <v>1.6505291379864454E-2</v>
      </c>
      <c r="GA30" s="8">
        <v>6.077143177067439E-3</v>
      </c>
      <c r="GB30" s="8">
        <v>6.0169957252808465E-3</v>
      </c>
      <c r="GC30" s="8">
        <v>7.4220920455022234E-3</v>
      </c>
      <c r="GD30" s="8">
        <v>9.3332825589704394E-3</v>
      </c>
      <c r="GE30" s="8">
        <v>1.0944913368646827E-2</v>
      </c>
      <c r="GF30" s="8">
        <v>1.1978122314971624E-2</v>
      </c>
      <c r="GG30" s="8">
        <v>8.0792674697808785E-3</v>
      </c>
      <c r="GI30" s="6" t="s">
        <v>322</v>
      </c>
      <c r="GJ30" s="6" t="s">
        <v>154</v>
      </c>
      <c r="GK30" s="8">
        <v>5.4230156639707296E-2</v>
      </c>
      <c r="GL30" s="8">
        <v>5.7510924049025337E-2</v>
      </c>
      <c r="GM30" s="8">
        <v>5.2008596627994591E-2</v>
      </c>
      <c r="GN30" s="8">
        <v>5.3164396655951789E-2</v>
      </c>
      <c r="GO30" s="8">
        <v>5.4111422406168924E-2</v>
      </c>
      <c r="GP30" s="8">
        <v>5.2258316652484864E-2</v>
      </c>
      <c r="GQ30" s="8">
        <v>5.1894899542977643E-2</v>
      </c>
      <c r="GR30" s="8">
        <v>5.2946243540098359E-2</v>
      </c>
      <c r="GS30" s="8">
        <v>5.6513898569564291E-2</v>
      </c>
      <c r="GT30" s="8">
        <v>6.5645469417029159E-2</v>
      </c>
      <c r="GU30" s="8">
        <v>8.5754098455987873E-2</v>
      </c>
      <c r="GV30" s="8">
        <v>7.9762920756034111E-2</v>
      </c>
      <c r="GW30" s="8">
        <v>8.2466390357764444E-2</v>
      </c>
      <c r="GX30" s="8">
        <v>8.4899547883097629E-2</v>
      </c>
      <c r="GY30" s="8">
        <v>8.6435725010155173E-2</v>
      </c>
      <c r="GZ30" s="8">
        <v>8.614541047191418E-2</v>
      </c>
      <c r="HA30" s="8">
        <v>8.1774325483386673E-2</v>
      </c>
      <c r="HB30" s="7">
        <v>7.6075432942742605E-2</v>
      </c>
      <c r="HC30" s="8">
        <v>7.3000056733814642E-2</v>
      </c>
      <c r="HD30" s="8">
        <v>7.5891777376500755E-2</v>
      </c>
      <c r="HE30" s="8">
        <v>0.123561323296259</v>
      </c>
      <c r="HF30" s="8">
        <v>0.11838333583093152</v>
      </c>
      <c r="HG30" s="8">
        <v>0.1121790658620847</v>
      </c>
      <c r="HH30" s="8">
        <v>0.13175519389980539</v>
      </c>
      <c r="HI30" s="8">
        <v>0.12489799926677328</v>
      </c>
      <c r="HJ30" s="8">
        <v>0.12731423465387642</v>
      </c>
      <c r="HK30" s="8">
        <v>0.12174262760312914</v>
      </c>
      <c r="HL30" s="7">
        <v>0.12283445130700711</v>
      </c>
      <c r="HM30" s="8">
        <v>0.12289497619455095</v>
      </c>
      <c r="HN30" s="8">
        <v>0.12619072214144991</v>
      </c>
      <c r="HO30" s="8">
        <v>0.15480965589925633</v>
      </c>
      <c r="HP30" s="8">
        <v>0.17696598729750909</v>
      </c>
      <c r="HQ30" s="8">
        <v>0.19675988950301715</v>
      </c>
      <c r="HR30" s="8">
        <v>0.20345632271486719</v>
      </c>
      <c r="HS30" s="8">
        <v>0.18945366541894579</v>
      </c>
      <c r="HT30" s="8">
        <v>0.16286024335670241</v>
      </c>
      <c r="HU30" s="8">
        <v>0.14919434977293011</v>
      </c>
      <c r="HV30" s="8">
        <v>0.12695386114509166</v>
      </c>
      <c r="HW30" s="8">
        <v>0.12194807949265739</v>
      </c>
      <c r="HX30" s="8">
        <v>0.13278471581197285</v>
      </c>
      <c r="HY30" s="8">
        <v>0.10364130613439608</v>
      </c>
      <c r="HZ30" s="8">
        <v>9.5614911126127911E-2</v>
      </c>
      <c r="IA30" s="8">
        <v>9.7122580400781658E-2</v>
      </c>
      <c r="IB30" s="8">
        <v>9.9643079150577199E-2</v>
      </c>
      <c r="IC30" s="8">
        <v>0.10418119725577039</v>
      </c>
      <c r="ID30" s="8">
        <v>0.10457187184424672</v>
      </c>
      <c r="IE30" s="8">
        <v>0.10625624367240827</v>
      </c>
      <c r="IF30" s="8">
        <v>0.10072401264819701</v>
      </c>
      <c r="IG30" s="8">
        <v>9.9437961587933471E-2</v>
      </c>
      <c r="IH30" s="8">
        <v>0.10951038327346006</v>
      </c>
      <c r="II30" s="8">
        <v>4.7266695508215634E-2</v>
      </c>
      <c r="IJ30" s="8">
        <v>4.9613626010599446E-2</v>
      </c>
      <c r="IK30" s="8">
        <v>4.9789753479075702E-2</v>
      </c>
      <c r="IL30" s="8">
        <v>4.9150840858458757E-2</v>
      </c>
      <c r="IM30" s="8">
        <v>4.7005515404078935E-2</v>
      </c>
      <c r="IN30" s="8">
        <v>3.7847128284849679E-2</v>
      </c>
      <c r="IO30" s="8">
        <v>3.7492717927669353E-2</v>
      </c>
      <c r="IP30" s="8">
        <v>4.3281908080644776E-2</v>
      </c>
      <c r="IQ30" s="8">
        <v>5.2400332384466237E-2</v>
      </c>
      <c r="IR30" s="8">
        <v>5.032180815606143E-2</v>
      </c>
      <c r="JB30" s="6" t="s">
        <v>322</v>
      </c>
      <c r="JC30" s="8">
        <v>0.72462641582921072</v>
      </c>
      <c r="JD30" s="8">
        <v>0.70480633346769928</v>
      </c>
      <c r="JE30" s="8">
        <v>0.7089985436347811</v>
      </c>
      <c r="JF30" s="8">
        <v>0.72925528864024247</v>
      </c>
      <c r="JG30" s="8">
        <v>0.72876483016014837</v>
      </c>
      <c r="JH30" s="8">
        <v>0.7177025581940345</v>
      </c>
      <c r="JI30" s="8">
        <v>0.71899533357670875</v>
      </c>
      <c r="JJ30" s="8">
        <v>0.72549861486740053</v>
      </c>
      <c r="JK30" s="8">
        <v>0.72241411540444456</v>
      </c>
      <c r="JL30" s="8">
        <v>0.70886460647292249</v>
      </c>
      <c r="JM30" s="8">
        <v>0.65422607510215447</v>
      </c>
      <c r="JN30" s="8">
        <v>0.66637394699953634</v>
      </c>
      <c r="JO30" s="8">
        <v>0.67283102821719853</v>
      </c>
      <c r="JP30" s="8">
        <v>0.66613367722892758</v>
      </c>
      <c r="JQ30" s="8">
        <v>0.67232050104181185</v>
      </c>
      <c r="JR30" s="8">
        <v>0.68027208055575739</v>
      </c>
      <c r="JS30" s="8">
        <v>0.69372490678579557</v>
      </c>
      <c r="JT30" s="8">
        <v>0.69887213391442249</v>
      </c>
      <c r="JU30" s="8">
        <v>0.69590087672414536</v>
      </c>
      <c r="JV30" s="7">
        <v>0.67491109311996667</v>
      </c>
      <c r="JW30" s="8">
        <v>0.53025334235819999</v>
      </c>
      <c r="JX30" s="7">
        <v>0.55490150855491693</v>
      </c>
      <c r="JY30" s="8">
        <v>0.54879185937937602</v>
      </c>
      <c r="JZ30" s="8">
        <v>0.51750843238316735</v>
      </c>
      <c r="KA30" s="8">
        <v>0.51353848372600863</v>
      </c>
      <c r="KB30" s="8">
        <v>0.52578952715821325</v>
      </c>
      <c r="KC30" s="8">
        <v>0.52661379736312164</v>
      </c>
      <c r="KD30" s="8">
        <v>0.52481790810256912</v>
      </c>
      <c r="KE30" s="8">
        <v>0.51736693925237398</v>
      </c>
      <c r="KF30" s="8">
        <v>0.50997596375910625</v>
      </c>
      <c r="KG30" s="8">
        <v>0.4671234442740077</v>
      </c>
      <c r="KH30" s="7">
        <v>0.4406468464555664</v>
      </c>
      <c r="KI30" s="8">
        <v>0.4277563062495382</v>
      </c>
      <c r="KJ30" s="8">
        <v>0.41971290670652744</v>
      </c>
      <c r="KK30" s="8">
        <v>0.43081874330672154</v>
      </c>
      <c r="KL30" s="8">
        <v>0.43946944838280511</v>
      </c>
      <c r="KM30" s="8">
        <v>0.44863990299256101</v>
      </c>
      <c r="KN30" s="8">
        <v>0.461507058140527</v>
      </c>
      <c r="KO30" s="8">
        <v>0.46435146428936508</v>
      </c>
      <c r="KP30" s="8">
        <v>0.46271459677404603</v>
      </c>
      <c r="KQ30" s="8">
        <v>0.62380583493470421</v>
      </c>
      <c r="KR30" s="8">
        <v>0.63928263567490318</v>
      </c>
      <c r="KS30" s="7">
        <v>0.64067539233810622</v>
      </c>
      <c r="KT30" s="8">
        <v>0.63234734553533734</v>
      </c>
      <c r="KU30" s="8">
        <v>0.63082041810345202</v>
      </c>
      <c r="KV30" s="8">
        <v>0.62846106411865155</v>
      </c>
      <c r="KW30" s="8">
        <v>0.63106844996946299</v>
      </c>
      <c r="KX30" s="8">
        <v>0.63501755485790179</v>
      </c>
      <c r="KY30" s="8">
        <v>0.63285672594435793</v>
      </c>
      <c r="KZ30" s="8">
        <v>0.61437625047054523</v>
      </c>
      <c r="LA30" s="8">
        <v>0.77416989026072724</v>
      </c>
      <c r="LB30" s="8">
        <v>0.75603248437547976</v>
      </c>
      <c r="LC30" s="8">
        <v>0.74795832889953251</v>
      </c>
      <c r="LD30" s="8">
        <v>0.7593207423182432</v>
      </c>
      <c r="LE30" s="8">
        <v>0.76873189486114335</v>
      </c>
      <c r="LF30" s="8">
        <v>0.78870786883242749</v>
      </c>
      <c r="LG30" s="8">
        <v>0.78856869244289596</v>
      </c>
      <c r="LH30" s="8">
        <v>0.78073604591212042</v>
      </c>
      <c r="LI30" s="8">
        <v>0.76070550792294545</v>
      </c>
      <c r="LJ30" s="8">
        <v>0.76503934571372045</v>
      </c>
      <c r="LL30" s="6" t="s">
        <v>323</v>
      </c>
      <c r="LM30" s="6" t="s">
        <v>160</v>
      </c>
      <c r="LN30" s="6" t="s">
        <v>161</v>
      </c>
      <c r="LO30" s="8">
        <v>0.48765934507567077</v>
      </c>
    </row>
    <row r="31" spans="2:327" x14ac:dyDescent="0.45">
      <c r="B31" s="3" t="s">
        <v>324</v>
      </c>
      <c r="C31" s="3" t="s">
        <v>151</v>
      </c>
      <c r="D31" s="5">
        <v>0.19413467214431543</v>
      </c>
      <c r="E31" s="5">
        <v>0.201208304854047</v>
      </c>
      <c r="F31" s="5">
        <v>0.21006104759151997</v>
      </c>
      <c r="G31" s="5">
        <v>0.21587202100735803</v>
      </c>
      <c r="H31" s="5">
        <v>0.22496702241461464</v>
      </c>
      <c r="I31" s="5">
        <v>0.2308003178926093</v>
      </c>
      <c r="J31" s="5">
        <v>0.22343016246264749</v>
      </c>
      <c r="K31" s="5">
        <v>0.20108445519082646</v>
      </c>
      <c r="L31" s="5">
        <v>0.1870101585341129</v>
      </c>
      <c r="M31" s="5">
        <v>0.20265294588623023</v>
      </c>
      <c r="N31" s="5">
        <v>0.23866961966695596</v>
      </c>
      <c r="O31" s="5">
        <v>0.23856447864884189</v>
      </c>
      <c r="P31" s="5">
        <v>0.23864178074445813</v>
      </c>
      <c r="Q31" s="5">
        <v>0.24946585883404171</v>
      </c>
      <c r="R31" s="5">
        <v>0.25131671290869723</v>
      </c>
      <c r="S31" s="5">
        <v>0.25219153618114509</v>
      </c>
      <c r="T31" s="5">
        <v>0.2496946287710077</v>
      </c>
      <c r="U31" s="5">
        <v>0.23367015298562338</v>
      </c>
      <c r="V31" s="5">
        <v>0.21929664519031897</v>
      </c>
      <c r="W31" s="5">
        <v>0.20985965483038665</v>
      </c>
      <c r="X31" s="5">
        <v>0.34180260194729145</v>
      </c>
      <c r="Y31" s="5">
        <v>0.30781786915547804</v>
      </c>
      <c r="Z31" s="5">
        <v>0.30300912349602804</v>
      </c>
      <c r="AA31" s="5">
        <v>0.32783361128028449</v>
      </c>
      <c r="AB31" s="5">
        <v>0.31592922634723397</v>
      </c>
      <c r="AC31" s="5">
        <v>0.30365203542046876</v>
      </c>
      <c r="AD31" s="5">
        <v>0.29178781050139052</v>
      </c>
      <c r="AE31" s="5">
        <v>0.30101013851772523</v>
      </c>
      <c r="AF31" s="5">
        <v>0.31168240409799236</v>
      </c>
      <c r="AG31" s="5">
        <v>0.35134669434014837</v>
      </c>
      <c r="AH31" s="5">
        <v>0.35102389460806604</v>
      </c>
      <c r="AI31" s="5">
        <v>0.35950243634756768</v>
      </c>
      <c r="AJ31" s="5">
        <v>0.35737325054786967</v>
      </c>
      <c r="AK31" s="5">
        <v>0.35206266608829689</v>
      </c>
      <c r="AL31" s="5">
        <v>0.33677828994432113</v>
      </c>
      <c r="AM31" s="5">
        <v>0.31857810184406671</v>
      </c>
      <c r="AN31" s="5">
        <v>0.31930232181982443</v>
      </c>
      <c r="AO31" s="5">
        <v>0.30871562520169504</v>
      </c>
      <c r="AP31" s="5">
        <v>0.31601142600677407</v>
      </c>
      <c r="AQ31" s="5">
        <v>0.32838166096886556</v>
      </c>
      <c r="AR31" s="5">
        <v>0.2408576384868775</v>
      </c>
      <c r="AS31" s="5">
        <v>0.25314633790997537</v>
      </c>
      <c r="AT31" s="5">
        <v>0.23926779390535738</v>
      </c>
      <c r="AU31" s="5">
        <v>0.24474999715409157</v>
      </c>
      <c r="AV31" s="5">
        <v>0.24332703608137102</v>
      </c>
      <c r="AW31" s="5">
        <v>0.2370457055316802</v>
      </c>
      <c r="AX31" s="5">
        <v>0.22893312433560409</v>
      </c>
      <c r="AY31" s="5">
        <v>0.21453327783837711</v>
      </c>
      <c r="AZ31" s="5">
        <v>0.20657068574985057</v>
      </c>
      <c r="BA31" s="5">
        <v>0.21303737040314685</v>
      </c>
      <c r="BB31" s="5">
        <v>0.16851937712642936</v>
      </c>
      <c r="BC31" s="5">
        <v>0.16445331726508544</v>
      </c>
      <c r="BD31" s="5">
        <v>0.17217561826656916</v>
      </c>
      <c r="BE31" s="5">
        <v>0.17521038013627771</v>
      </c>
      <c r="BF31" s="5">
        <v>0.18547763168774428</v>
      </c>
      <c r="BG31" s="5">
        <v>0.18204471533395555</v>
      </c>
      <c r="BH31" s="5">
        <v>0.1737035743037913</v>
      </c>
      <c r="BI31" s="5">
        <v>0.17362819296825774</v>
      </c>
      <c r="BJ31" s="5">
        <v>0.17534801275812528</v>
      </c>
      <c r="BK31" s="5">
        <v>0.17846162415806965</v>
      </c>
      <c r="BM31" s="3" t="s">
        <v>324</v>
      </c>
      <c r="BN31" s="3" t="s">
        <v>152</v>
      </c>
      <c r="BO31" s="5">
        <v>1.0615759748008657E-2</v>
      </c>
      <c r="BP31" s="5">
        <v>1.4123848454125234E-2</v>
      </c>
      <c r="BQ31" s="5">
        <v>2.5306414308059671E-2</v>
      </c>
      <c r="BR31" s="5">
        <v>2.2282048131401624E-2</v>
      </c>
      <c r="BS31" s="5">
        <v>1.6008908231299426E-2</v>
      </c>
      <c r="BT31" s="5">
        <v>2.6989758193446257E-3</v>
      </c>
      <c r="BU31" s="4">
        <v>4.0065562651199994E-3</v>
      </c>
      <c r="BV31" s="5">
        <v>8.5754995600441988E-3</v>
      </c>
      <c r="BW31" s="5">
        <v>8.4521357637161905E-3</v>
      </c>
      <c r="BX31" s="5">
        <v>1.4498032684639702E-2</v>
      </c>
      <c r="BY31" s="5">
        <v>9.3663954536829745E-3</v>
      </c>
      <c r="BZ31" s="4">
        <v>1.6253196917088587E-2</v>
      </c>
      <c r="CA31" s="5">
        <v>1.3120041901471998E-2</v>
      </c>
      <c r="CB31" s="5">
        <v>7.6102077107759458E-3</v>
      </c>
      <c r="CC31" s="5">
        <v>1.1717501647599422E-2</v>
      </c>
      <c r="CD31" s="4">
        <v>6.7078615103670592E-3</v>
      </c>
      <c r="CE31" s="4">
        <v>4.3891190231864531E-3</v>
      </c>
      <c r="CF31" s="4">
        <v>2.9723035340833912E-3</v>
      </c>
      <c r="CG31" s="5">
        <v>8.185286327375774E-3</v>
      </c>
      <c r="CH31" s="5">
        <v>5.3122666032595781E-3</v>
      </c>
      <c r="CI31" s="5">
        <v>1.5741968550090548E-2</v>
      </c>
      <c r="CJ31" s="5">
        <v>5.3060905698036594E-3</v>
      </c>
      <c r="CK31" s="4">
        <v>1.3328262213128479E-2</v>
      </c>
      <c r="CL31" s="4">
        <v>3.9843349791911564E-2</v>
      </c>
      <c r="CM31" s="5">
        <v>5.1751561697386775E-2</v>
      </c>
      <c r="CN31" s="5">
        <v>1.6002656788312346E-2</v>
      </c>
      <c r="CO31" s="5">
        <v>1.4612682670677824E-2</v>
      </c>
      <c r="CP31" s="5">
        <v>2.0290048619236153E-2</v>
      </c>
      <c r="CQ31" s="5">
        <v>2.3146132079625667E-2</v>
      </c>
      <c r="CR31" s="5">
        <v>2.068306410390473E-2</v>
      </c>
      <c r="CS31" s="5">
        <v>2.5984999145565828E-2</v>
      </c>
      <c r="CT31" s="4">
        <v>4.1449412019525449E-2</v>
      </c>
      <c r="CU31" s="5">
        <v>1.4741553479042881E-2</v>
      </c>
      <c r="CV31" s="5">
        <v>1.5301155795759825E-2</v>
      </c>
      <c r="CW31" s="5">
        <v>2.2158559540955618E-3</v>
      </c>
      <c r="CX31" s="5">
        <v>1.2449658160713417E-2</v>
      </c>
      <c r="CY31" s="5">
        <v>2.7944884475963827E-2</v>
      </c>
      <c r="CZ31" s="5">
        <v>3.1797415024995571E-2</v>
      </c>
      <c r="DA31" s="5">
        <v>3.4470491896743109E-2</v>
      </c>
      <c r="DB31" s="4">
        <v>3.7216682693196973E-2</v>
      </c>
      <c r="DC31" s="5">
        <v>1.5549674486582045E-2</v>
      </c>
      <c r="DD31" s="5">
        <v>3.0638200551598421E-2</v>
      </c>
      <c r="DE31" s="5">
        <v>2.5307500132557944E-2</v>
      </c>
      <c r="DF31" s="5">
        <v>9.5878953658409486E-3</v>
      </c>
      <c r="DG31" s="5">
        <v>9.9864650177195115E-3</v>
      </c>
      <c r="DH31" s="5">
        <v>5.9577884687551409E-3</v>
      </c>
      <c r="DI31" s="5">
        <v>4.9282967387392516E-3</v>
      </c>
      <c r="DJ31" s="5">
        <v>3.9135875028838965E-3</v>
      </c>
      <c r="DK31" s="5">
        <v>1.1017290902596483E-2</v>
      </c>
      <c r="DL31" s="5">
        <v>1.2771114919743668E-2</v>
      </c>
      <c r="DM31" s="5">
        <v>8.2594311590097735E-3</v>
      </c>
      <c r="DN31" s="5">
        <v>4.5335599454358983E-3</v>
      </c>
      <c r="DO31" s="5">
        <v>4.1098963864151889E-3</v>
      </c>
      <c r="DP31" s="5">
        <v>9.2717053759542711E-3</v>
      </c>
      <c r="DQ31" s="5">
        <v>1.2789622303496551E-2</v>
      </c>
      <c r="DR31" s="5">
        <v>1.3429798013101487E-2</v>
      </c>
      <c r="DS31" s="5">
        <v>1.2763477652779149E-2</v>
      </c>
      <c r="DT31" s="5">
        <v>1.0657733866546839E-2</v>
      </c>
      <c r="DU31" s="4">
        <v>1.0882867881168195E-2</v>
      </c>
      <c r="DV31" s="5">
        <v>8.1730101281211227E-3</v>
      </c>
      <c r="DX31" s="3" t="s">
        <v>324</v>
      </c>
      <c r="DY31" s="3" t="s">
        <v>153</v>
      </c>
      <c r="DZ31" s="5">
        <v>1.8813194952853593E-2</v>
      </c>
      <c r="EA31" s="5">
        <v>1.5917740970349564E-2</v>
      </c>
      <c r="EB31" s="4">
        <v>9.5280768147296153E-3</v>
      </c>
      <c r="EC31" s="5">
        <v>1.3987241307962342E-2</v>
      </c>
      <c r="ED31" s="5">
        <v>2.3432142965543572E-2</v>
      </c>
      <c r="EE31" s="5">
        <v>3.3087156399514865E-2</v>
      </c>
      <c r="EF31" s="4">
        <v>1.8904609874937469E-2</v>
      </c>
      <c r="EG31" s="5">
        <v>6.7425630421347029E-3</v>
      </c>
      <c r="EH31" s="5">
        <v>3.7604161557722618E-3</v>
      </c>
      <c r="EI31" s="5">
        <v>1.1051914171127952E-2</v>
      </c>
      <c r="EJ31" s="5">
        <v>9.596509026498775E-3</v>
      </c>
      <c r="EK31" s="5">
        <v>8.6073692166766715E-3</v>
      </c>
      <c r="EL31" s="5">
        <v>1.8685536919831613E-2</v>
      </c>
      <c r="EM31" s="5">
        <v>2.7048513046376017E-2</v>
      </c>
      <c r="EN31" s="5">
        <v>2.0873093018924715E-2</v>
      </c>
      <c r="EO31" s="5">
        <v>1.2024386798340865E-2</v>
      </c>
      <c r="EP31" s="5">
        <v>1.3312891838135658E-2</v>
      </c>
      <c r="EQ31" s="5">
        <v>1.5217541729015483E-2</v>
      </c>
      <c r="ER31" s="5">
        <v>4.0499963449446954E-3</v>
      </c>
      <c r="ES31" s="5">
        <v>7.1074632370923532E-3</v>
      </c>
      <c r="ET31" s="5">
        <v>3.1750226361123422E-2</v>
      </c>
      <c r="EU31" s="5">
        <v>2.5419892876659952E-2</v>
      </c>
      <c r="EV31" s="5">
        <v>1.4500481802128611E-2</v>
      </c>
      <c r="EW31" s="5">
        <v>9.8138420155430353E-3</v>
      </c>
      <c r="EX31" s="5">
        <v>1.1658344190579487E-2</v>
      </c>
      <c r="EY31" s="5">
        <v>4.9914649679165257E-2</v>
      </c>
      <c r="EZ31" s="5">
        <v>5.3012835598492923E-2</v>
      </c>
      <c r="FA31" s="5">
        <v>3.2023768575094931E-2</v>
      </c>
      <c r="FB31" s="5">
        <v>3.006787826989207E-2</v>
      </c>
      <c r="FC31" s="5">
        <v>4.1862573190220159E-2</v>
      </c>
      <c r="FD31" s="5">
        <v>4.6577359671744735E-2</v>
      </c>
      <c r="FE31" s="4">
        <v>3.4344418121513377E-2</v>
      </c>
      <c r="FF31" s="5">
        <v>3.8896245115315919E-2</v>
      </c>
      <c r="FG31" s="5">
        <v>4.4217704135184721E-2</v>
      </c>
      <c r="FH31" s="5">
        <v>4.9490918848198791E-2</v>
      </c>
      <c r="FI31" s="5">
        <v>1.9481545434506916E-2</v>
      </c>
      <c r="FJ31" s="5">
        <v>9.2330924227399386E-3</v>
      </c>
      <c r="FK31" s="5">
        <v>1.538430149134146E-2</v>
      </c>
      <c r="FL31" s="5">
        <v>3.2997583620685125E-2</v>
      </c>
      <c r="FM31" s="5">
        <v>4.0024156101629647E-2</v>
      </c>
      <c r="FN31" s="5">
        <v>2.3201398347142587E-2</v>
      </c>
      <c r="FO31" s="5">
        <v>1.8564977764824159E-2</v>
      </c>
      <c r="FP31" s="5">
        <v>1.9058641596114225E-2</v>
      </c>
      <c r="FQ31" s="5">
        <v>4.0334082921426387E-2</v>
      </c>
      <c r="FR31" s="5">
        <v>4.1273294169210467E-2</v>
      </c>
      <c r="FS31" s="5">
        <v>2.264006483165024E-2</v>
      </c>
      <c r="FT31" s="5">
        <v>6.4691142473800173E-3</v>
      </c>
      <c r="FU31" s="5">
        <v>4.1009388257490214E-3</v>
      </c>
      <c r="FV31" s="5">
        <v>0</v>
      </c>
      <c r="FW31" s="5">
        <v>7.4743639445259014E-3</v>
      </c>
      <c r="FX31" s="5">
        <v>1.0777277682344124E-2</v>
      </c>
      <c r="FY31" s="5">
        <v>7.587498251552395E-3</v>
      </c>
      <c r="FZ31" s="5">
        <v>1.0665509915401499E-2</v>
      </c>
      <c r="GA31" s="5">
        <v>9.2529460003958428E-3</v>
      </c>
      <c r="GB31" s="5">
        <v>6.6849168097445465E-3</v>
      </c>
      <c r="GC31" s="5">
        <v>9.6890449234780622E-3</v>
      </c>
      <c r="GD31" s="5">
        <v>1.2703984979005821E-2</v>
      </c>
      <c r="GE31" s="5">
        <v>9.6332693806307386E-3</v>
      </c>
      <c r="GF31" s="5">
        <v>8.8387249544181444E-3</v>
      </c>
      <c r="GG31" s="5">
        <v>1.0158788036083949E-2</v>
      </c>
      <c r="GI31" s="3" t="s">
        <v>324</v>
      </c>
      <c r="GJ31" s="3" t="s">
        <v>154</v>
      </c>
      <c r="GK31" s="5">
        <v>6.5201845781099263E-2</v>
      </c>
      <c r="GL31" s="5">
        <v>6.7768001110705411E-2</v>
      </c>
      <c r="GM31" s="5">
        <v>6.6398373409612022E-2</v>
      </c>
      <c r="GN31" s="5">
        <v>6.9935761144582845E-2</v>
      </c>
      <c r="GO31" s="5">
        <v>7.0879982966247854E-2</v>
      </c>
      <c r="GP31" s="5">
        <v>7.3793233492093019E-2</v>
      </c>
      <c r="GQ31" s="5">
        <v>8.4380840149283709E-2</v>
      </c>
      <c r="GR31" s="5">
        <v>8.2078480810018645E-2</v>
      </c>
      <c r="GS31" s="5">
        <v>8.1354486994247743E-2</v>
      </c>
      <c r="GT31" s="5">
        <v>7.0771919572126987E-2</v>
      </c>
      <c r="GU31" s="5">
        <v>9.3708295119136156E-2</v>
      </c>
      <c r="GV31" s="5">
        <v>8.3966290315138567E-2</v>
      </c>
      <c r="GW31" s="5">
        <v>7.5236620163422419E-2</v>
      </c>
      <c r="GX31" s="5">
        <v>8.3207448582405391E-2</v>
      </c>
      <c r="GY31" s="5">
        <v>9.0993041416816356E-2</v>
      </c>
      <c r="GZ31" s="5">
        <v>0.11164962702318589</v>
      </c>
      <c r="HA31" s="5">
        <v>0.11487817434174985</v>
      </c>
      <c r="HB31" s="4">
        <v>0.10238244322933281</v>
      </c>
      <c r="HC31" s="5">
        <v>0.10124039040477478</v>
      </c>
      <c r="HD31" s="5">
        <v>9.8275894782427028E-2</v>
      </c>
      <c r="HE31" s="5">
        <v>0.1536682736177872</v>
      </c>
      <c r="HF31" s="5">
        <v>0.15986906315391911</v>
      </c>
      <c r="HG31" s="5">
        <v>0.15116169384481901</v>
      </c>
      <c r="HH31" s="5">
        <v>0.14429724511570816</v>
      </c>
      <c r="HI31" s="5">
        <v>0.12701961959221686</v>
      </c>
      <c r="HJ31" s="5">
        <v>0.1074426559790384</v>
      </c>
      <c r="HK31" s="5">
        <v>9.4387067554572421E-2</v>
      </c>
      <c r="HL31" s="4">
        <v>0.11023354436643862</v>
      </c>
      <c r="HM31" s="5">
        <v>0.126152171309344</v>
      </c>
      <c r="HN31" s="5">
        <v>0.14236083456768672</v>
      </c>
      <c r="HO31" s="5">
        <v>0.14626569058997041</v>
      </c>
      <c r="HP31" s="5">
        <v>0.1389285285794625</v>
      </c>
      <c r="HQ31" s="5">
        <v>0.16658932039950439</v>
      </c>
      <c r="HR31" s="5">
        <v>0.1627816994514979</v>
      </c>
      <c r="HS31" s="5">
        <v>0.16643828225173707</v>
      </c>
      <c r="HT31" s="5">
        <v>0.18116015794523999</v>
      </c>
      <c r="HU31" s="5">
        <v>0.16831302331400627</v>
      </c>
      <c r="HV31" s="5">
        <v>0.1483698681501143</v>
      </c>
      <c r="HW31" s="5">
        <v>0.13779120002896802</v>
      </c>
      <c r="HX31" s="5">
        <v>0.12787689186374807</v>
      </c>
      <c r="HY31" s="5">
        <v>8.8188158533232641E-2</v>
      </c>
      <c r="HZ31" s="5">
        <v>7.9325423302979661E-2</v>
      </c>
      <c r="IA31" s="5">
        <v>7.8765391572257953E-2</v>
      </c>
      <c r="IB31" s="5">
        <v>7.6792137979688646E-2</v>
      </c>
      <c r="IC31" s="5">
        <v>7.5735516852042467E-2</v>
      </c>
      <c r="ID31" s="5">
        <v>9.9506285059119001E-2</v>
      </c>
      <c r="IE31" s="5">
        <v>0.10910429525909827</v>
      </c>
      <c r="IF31" s="5">
        <v>0.10387386062266341</v>
      </c>
      <c r="IG31" s="5">
        <v>9.9250820723293665E-2</v>
      </c>
      <c r="IH31" s="5">
        <v>9.4488274144941112E-2</v>
      </c>
      <c r="II31" s="5">
        <v>5.5479904674817553E-2</v>
      </c>
      <c r="IJ31" s="5">
        <v>6.3797937246188513E-2</v>
      </c>
      <c r="IK31" s="5">
        <v>6.3038318214982278E-2</v>
      </c>
      <c r="IL31" s="5">
        <v>5.5662160264570833E-2</v>
      </c>
      <c r="IM31" s="5">
        <v>6.2934777233100286E-2</v>
      </c>
      <c r="IN31" s="5">
        <v>6.0981564836547139E-2</v>
      </c>
      <c r="IO31" s="5">
        <v>5.4038300921548994E-2</v>
      </c>
      <c r="IP31" s="5">
        <v>5.6903715000931096E-2</v>
      </c>
      <c r="IQ31" s="5">
        <v>5.8961095709512211E-2</v>
      </c>
      <c r="IR31" s="5">
        <v>5.86889530979645E-2</v>
      </c>
      <c r="JB31" s="3" t="s">
        <v>324</v>
      </c>
      <c r="JC31" s="5">
        <v>0.6616792254404027</v>
      </c>
      <c r="JD31" s="5">
        <v>0.64966429896365518</v>
      </c>
      <c r="JE31" s="5">
        <v>0.64864277399857551</v>
      </c>
      <c r="JF31" s="5">
        <v>0.64990292781363046</v>
      </c>
      <c r="JG31" s="5">
        <v>0.64346327854501861</v>
      </c>
      <c r="JH31" s="5">
        <v>0.64427918249965754</v>
      </c>
      <c r="JI31" s="5">
        <v>0.63802350594931634</v>
      </c>
      <c r="JJ31" s="5">
        <v>0.65629677208892201</v>
      </c>
      <c r="JK31" s="5">
        <v>0.66898377225144068</v>
      </c>
      <c r="JL31" s="5">
        <v>0.65871520456440924</v>
      </c>
      <c r="JM31" s="5">
        <v>0.61112739113677161</v>
      </c>
      <c r="JN31" s="5">
        <v>0.61523518380321462</v>
      </c>
      <c r="JO31" s="5">
        <v>0.62050213093615281</v>
      </c>
      <c r="JP31" s="5">
        <v>0.60549132489676083</v>
      </c>
      <c r="JQ31" s="5">
        <v>0.60342473423076359</v>
      </c>
      <c r="JR31" s="5">
        <v>0.59517876561835437</v>
      </c>
      <c r="JS31" s="5">
        <v>0.5928177897143746</v>
      </c>
      <c r="JT31" s="5">
        <v>0.60959105628412824</v>
      </c>
      <c r="JU31" s="5">
        <v>0.63026167808415989</v>
      </c>
      <c r="JV31" s="4">
        <v>0.63860251905088705</v>
      </c>
      <c r="JW31" s="5">
        <v>0.45305471905877875</v>
      </c>
      <c r="JX31" s="4">
        <v>0.46268400304431784</v>
      </c>
      <c r="JY31" s="5">
        <v>0.47658597785132084</v>
      </c>
      <c r="JZ31" s="5">
        <v>0.45717447343906203</v>
      </c>
      <c r="KA31" s="5">
        <v>0.46814459135701852</v>
      </c>
      <c r="KB31" s="5">
        <v>0.48777201088192412</v>
      </c>
      <c r="KC31" s="5">
        <v>0.49217940072468325</v>
      </c>
      <c r="KD31" s="5">
        <v>0.48935066417824707</v>
      </c>
      <c r="KE31" s="5">
        <v>0.47138895455661595</v>
      </c>
      <c r="KF31" s="5">
        <v>0.4622545042151418</v>
      </c>
      <c r="KG31" s="5">
        <v>0.36153601856234729</v>
      </c>
      <c r="KH31" s="4">
        <v>0.36599841793668525</v>
      </c>
      <c r="KI31" s="5">
        <v>0.36659538959835397</v>
      </c>
      <c r="KJ31" s="5">
        <v>0.34308090620949339</v>
      </c>
      <c r="KK31" s="5">
        <v>0.34921883332264264</v>
      </c>
      <c r="KL31" s="5">
        <v>0.35869979065211344</v>
      </c>
      <c r="KM31" s="5">
        <v>0.36573121498103917</v>
      </c>
      <c r="KN31" s="5">
        <v>0.36798487231012439</v>
      </c>
      <c r="KO31" s="5">
        <v>0.35900850384402999</v>
      </c>
      <c r="KP31" s="5">
        <v>0.35656504974710995</v>
      </c>
      <c r="KQ31" s="5">
        <v>0.57524176680232264</v>
      </c>
      <c r="KR31" s="5">
        <v>0.58869573492453353</v>
      </c>
      <c r="KS31" s="4">
        <v>0.60505837618170499</v>
      </c>
      <c r="KT31" s="5">
        <v>0.60583604650145573</v>
      </c>
      <c r="KU31" s="5">
        <v>0.60314494029851085</v>
      </c>
      <c r="KV31" s="5">
        <v>0.59413459223402731</v>
      </c>
      <c r="KW31" s="5">
        <v>0.59346917454471038</v>
      </c>
      <c r="KX31" s="5">
        <v>0.59461810267358539</v>
      </c>
      <c r="KY31" s="5">
        <v>0.60502883528266016</v>
      </c>
      <c r="KZ31" s="5">
        <v>0.59837075955961028</v>
      </c>
      <c r="LA31" s="5">
        <v>0.72589892744638218</v>
      </c>
      <c r="LB31" s="5">
        <v>0.7222543296013646</v>
      </c>
      <c r="LC31" s="5">
        <v>0.70778815828594421</v>
      </c>
      <c r="LD31" s="5">
        <v>0.70509624823065253</v>
      </c>
      <c r="LE31" s="5">
        <v>0.70429972105203498</v>
      </c>
      <c r="LF31" s="5">
        <v>0.71034894834991924</v>
      </c>
      <c r="LG31" s="5">
        <v>0.72037213503534514</v>
      </c>
      <c r="LH31" s="5">
        <v>0.72755019238206975</v>
      </c>
      <c r="LI31" s="5">
        <v>0.73015980829842375</v>
      </c>
      <c r="LJ31" s="5">
        <v>0.72918574759671251</v>
      </c>
      <c r="LL31" s="3" t="s">
        <v>304</v>
      </c>
      <c r="LM31" s="3" t="s">
        <v>160</v>
      </c>
      <c r="LN31" s="3" t="s">
        <v>161</v>
      </c>
      <c r="LO31" s="5">
        <v>0.71924744268120144</v>
      </c>
    </row>
    <row r="32" spans="2:327" x14ac:dyDescent="0.45">
      <c r="B32" s="6" t="s">
        <v>325</v>
      </c>
      <c r="C32" s="6" t="s">
        <v>151</v>
      </c>
      <c r="D32" s="8">
        <v>0.20179440153329017</v>
      </c>
      <c r="E32" s="8">
        <v>0.20904286022707033</v>
      </c>
      <c r="F32" s="8">
        <v>0.19493251959636324</v>
      </c>
      <c r="G32" s="8">
        <v>0.16012446653673101</v>
      </c>
      <c r="H32" s="8">
        <v>0.14832665457836031</v>
      </c>
      <c r="I32" s="8">
        <v>0.17549509896798229</v>
      </c>
      <c r="J32" s="8">
        <v>0.1788984096846169</v>
      </c>
      <c r="K32" s="8">
        <v>0.19224737552515242</v>
      </c>
      <c r="L32" s="8">
        <v>0.20506935536983931</v>
      </c>
      <c r="M32" s="8">
        <v>0.19557641764523412</v>
      </c>
      <c r="N32" s="8">
        <v>0.20841883060878086</v>
      </c>
      <c r="O32" s="8">
        <v>0.17929801671136358</v>
      </c>
      <c r="P32" s="8">
        <v>0.1767241743286419</v>
      </c>
      <c r="Q32" s="8">
        <v>0.16568773079544818</v>
      </c>
      <c r="R32" s="8">
        <v>0.15946540583911975</v>
      </c>
      <c r="S32" s="8">
        <v>0.17128005145545427</v>
      </c>
      <c r="T32" s="8">
        <v>0.16573098337976969</v>
      </c>
      <c r="U32" s="8">
        <v>0.18484183277748348</v>
      </c>
      <c r="V32" s="8">
        <v>0.19803811346573083</v>
      </c>
      <c r="W32" s="8">
        <v>0.19296905885644242</v>
      </c>
      <c r="X32" s="8">
        <v>0.27768521068169039</v>
      </c>
      <c r="Y32" s="8">
        <v>0.27201899915963207</v>
      </c>
      <c r="Z32" s="8">
        <v>0.28008482555461695</v>
      </c>
      <c r="AA32" s="8">
        <v>0.31890311702287683</v>
      </c>
      <c r="AB32" s="8">
        <v>0.30661027635057164</v>
      </c>
      <c r="AC32" s="8">
        <v>0.28169679333069403</v>
      </c>
      <c r="AD32" s="8">
        <v>0.28002917459791238</v>
      </c>
      <c r="AE32" s="8">
        <v>0.2884376717900432</v>
      </c>
      <c r="AF32" s="8">
        <v>0.29746480026160965</v>
      </c>
      <c r="AG32" s="8">
        <v>0.3264761892480077</v>
      </c>
      <c r="AH32" s="8">
        <v>0.30949993117855679</v>
      </c>
      <c r="AI32" s="8">
        <v>0.31689554268814069</v>
      </c>
      <c r="AJ32" s="8">
        <v>0.28236767450477218</v>
      </c>
      <c r="AK32" s="8">
        <v>0.29278553270572039</v>
      </c>
      <c r="AL32" s="8">
        <v>0.28843852115828811</v>
      </c>
      <c r="AM32" s="8">
        <v>0.27947984540815163</v>
      </c>
      <c r="AN32" s="8">
        <v>0.28359070134479003</v>
      </c>
      <c r="AO32" s="8">
        <v>0.29440156374682502</v>
      </c>
      <c r="AP32" s="8">
        <v>0.31482648918587025</v>
      </c>
      <c r="AQ32" s="8">
        <v>0.2971526236729769</v>
      </c>
      <c r="AR32" s="8">
        <v>0.24815855911275958</v>
      </c>
      <c r="AS32" s="8">
        <v>0.25446242026267946</v>
      </c>
      <c r="AT32" s="8">
        <v>0.25514564780511551</v>
      </c>
      <c r="AU32" s="8">
        <v>0.25713878137102936</v>
      </c>
      <c r="AV32" s="8">
        <v>0.2386751715246275</v>
      </c>
      <c r="AW32" s="8">
        <v>0.25288008653968869</v>
      </c>
      <c r="AX32" s="8">
        <v>0.25490408085403821</v>
      </c>
      <c r="AY32" s="8">
        <v>0.25484066678469958</v>
      </c>
      <c r="AZ32" s="8">
        <v>0.25524279328944527</v>
      </c>
      <c r="BA32" s="8">
        <v>0.24061521332834762</v>
      </c>
      <c r="BB32" s="8">
        <v>0.21064362727169889</v>
      </c>
      <c r="BC32" s="8">
        <v>0.18789696224545677</v>
      </c>
      <c r="BD32" s="8">
        <v>0.17394928239636448</v>
      </c>
      <c r="BE32" s="8">
        <v>0.1774416131791646</v>
      </c>
      <c r="BF32" s="8">
        <v>0.15520279623041283</v>
      </c>
      <c r="BG32" s="8">
        <v>0.14849508922813812</v>
      </c>
      <c r="BH32" s="8">
        <v>0.16913843586061525</v>
      </c>
      <c r="BI32" s="8">
        <v>0.16515191725596576</v>
      </c>
      <c r="BJ32" s="8">
        <v>0.19868190608865857</v>
      </c>
      <c r="BK32" s="8">
        <v>0.20653213121969416</v>
      </c>
      <c r="BM32" s="6" t="s">
        <v>325</v>
      </c>
      <c r="BN32" s="6" t="s">
        <v>152</v>
      </c>
      <c r="BO32" s="8">
        <v>1.3191338863693737E-2</v>
      </c>
      <c r="BP32" s="8">
        <v>1.1820865953776308E-2</v>
      </c>
      <c r="BQ32" s="8">
        <v>1.200120696563732E-2</v>
      </c>
      <c r="BR32" s="8">
        <v>1.012895144207822E-2</v>
      </c>
      <c r="BS32" s="8">
        <v>1.2202068660616719E-2</v>
      </c>
      <c r="BT32" s="8">
        <v>1.5877410533657026E-2</v>
      </c>
      <c r="BU32" s="7">
        <v>1.2011187180705324E-2</v>
      </c>
      <c r="BV32" s="8">
        <v>1.3167995469982593E-2</v>
      </c>
      <c r="BW32" s="8">
        <v>1.6239941041129757E-2</v>
      </c>
      <c r="BX32" s="8">
        <v>7.3367920691195399E-3</v>
      </c>
      <c r="BY32" s="8">
        <v>5.3325668789003357E-3</v>
      </c>
      <c r="BZ32" s="7">
        <v>4.9019606793945566E-3</v>
      </c>
      <c r="CA32" s="8">
        <v>7.9210983888584312E-3</v>
      </c>
      <c r="CB32" s="8">
        <v>1.1302860590574349E-2</v>
      </c>
      <c r="CC32" s="8">
        <v>7.4959211003861352E-3</v>
      </c>
      <c r="CD32" s="7">
        <v>6.5037826605233145E-3</v>
      </c>
      <c r="CE32" s="7">
        <v>6.4714485031679217E-3</v>
      </c>
      <c r="CF32" s="7">
        <v>8.1926745287605064E-3</v>
      </c>
      <c r="CG32" s="8">
        <v>1.2563204918967209E-2</v>
      </c>
      <c r="CH32" s="8">
        <v>4.9639033700052959E-3</v>
      </c>
      <c r="CI32" s="8">
        <v>1.4193403372150467E-2</v>
      </c>
      <c r="CJ32" s="8">
        <v>2.3468989524056679E-2</v>
      </c>
      <c r="CK32" s="7">
        <v>2.7262169281105895E-2</v>
      </c>
      <c r="CL32" s="7">
        <v>2.1180436975237252E-2</v>
      </c>
      <c r="CM32" s="8">
        <v>1.7300157005408826E-2</v>
      </c>
      <c r="CN32" s="8">
        <v>1.2162149854301601E-2</v>
      </c>
      <c r="CO32" s="8">
        <v>1.2458329643031101E-2</v>
      </c>
      <c r="CP32" s="8">
        <v>2.4272120078340367E-2</v>
      </c>
      <c r="CQ32" s="8">
        <v>3.040395091446289E-2</v>
      </c>
      <c r="CR32" s="8">
        <v>2.7273804810066426E-2</v>
      </c>
      <c r="CS32" s="8">
        <v>1.9103039766816654E-2</v>
      </c>
      <c r="CT32" s="7">
        <v>1.8162897495628029E-2</v>
      </c>
      <c r="CU32" s="8">
        <v>1.1328526325511103E-2</v>
      </c>
      <c r="CV32" s="8">
        <v>2.0954017970332934E-2</v>
      </c>
      <c r="CW32" s="8">
        <v>2.9787108291337863E-2</v>
      </c>
      <c r="CX32" s="8">
        <v>1.7970394429686096E-2</v>
      </c>
      <c r="CY32" s="8">
        <v>1.2625972935490882E-2</v>
      </c>
      <c r="CZ32" s="8">
        <v>1.2621730044699755E-2</v>
      </c>
      <c r="DA32" s="8">
        <v>1.1831170735720497E-2</v>
      </c>
      <c r="DB32" s="7">
        <v>6.7675375171106003E-4</v>
      </c>
      <c r="DC32" s="8">
        <v>1.6399678224955267E-2</v>
      </c>
      <c r="DD32" s="8">
        <v>1.5245062522790705E-2</v>
      </c>
      <c r="DE32" s="8">
        <v>1.5321139638669875E-2</v>
      </c>
      <c r="DF32" s="8">
        <v>2.0633368235362978E-2</v>
      </c>
      <c r="DG32" s="8">
        <v>1.9647966493098648E-2</v>
      </c>
      <c r="DH32" s="8">
        <v>1.3317962624906178E-2</v>
      </c>
      <c r="DI32" s="8">
        <v>1.4599711388980878E-2</v>
      </c>
      <c r="DJ32" s="8">
        <v>1.2033526127673387E-2</v>
      </c>
      <c r="DK32" s="8">
        <v>1.7904152143005891E-2</v>
      </c>
      <c r="DL32" s="8">
        <v>1.9172357018238891E-2</v>
      </c>
      <c r="DM32" s="8">
        <v>6.8054789485631787E-3</v>
      </c>
      <c r="DN32" s="8">
        <v>5.6387170511677433E-3</v>
      </c>
      <c r="DO32" s="8">
        <v>8.8298933515189738E-3</v>
      </c>
      <c r="DP32" s="8">
        <v>1.150044948981619E-2</v>
      </c>
      <c r="DQ32" s="8">
        <v>1.0202425037036184E-2</v>
      </c>
      <c r="DR32" s="8">
        <v>1.2052541551714232E-2</v>
      </c>
      <c r="DS32" s="8">
        <v>1.3649361970610367E-2</v>
      </c>
      <c r="DT32" s="8">
        <v>8.5818977818766344E-3</v>
      </c>
      <c r="DU32" s="7">
        <v>1.360463885854513E-2</v>
      </c>
      <c r="DV32" s="8">
        <v>1.3565410644393486E-2</v>
      </c>
      <c r="DX32" s="6" t="s">
        <v>325</v>
      </c>
      <c r="DY32" s="6" t="s">
        <v>153</v>
      </c>
      <c r="DZ32" s="8">
        <v>9.2161305522494817E-3</v>
      </c>
      <c r="EA32" s="8">
        <v>1.316504924597971E-2</v>
      </c>
      <c r="EB32" s="7">
        <v>1.495279643152388E-2</v>
      </c>
      <c r="EC32" s="8">
        <v>7.379290117704552E-3</v>
      </c>
      <c r="ED32" s="8">
        <v>5.3745486948237114E-3</v>
      </c>
      <c r="EE32" s="8">
        <v>6.4130794450315484E-3</v>
      </c>
      <c r="EF32" s="7">
        <v>1.3927576600027702E-2</v>
      </c>
      <c r="EG32" s="8">
        <v>2.0138543730677597E-2</v>
      </c>
      <c r="EH32" s="8">
        <v>1.7618665492197032E-2</v>
      </c>
      <c r="EI32" s="8">
        <v>1.1453315198210785E-2</v>
      </c>
      <c r="EJ32" s="8">
        <v>7.1264295537939049E-3</v>
      </c>
      <c r="EK32" s="8">
        <v>3.4741372755370302E-3</v>
      </c>
      <c r="EL32" s="8">
        <v>5.1247133931496347E-3</v>
      </c>
      <c r="EM32" s="8">
        <v>7.0113576665651158E-3</v>
      </c>
      <c r="EN32" s="8">
        <v>7.5131501137544925E-3</v>
      </c>
      <c r="EO32" s="8">
        <v>1.2068358226885696E-2</v>
      </c>
      <c r="EP32" s="8">
        <v>1.5130559511043666E-2</v>
      </c>
      <c r="EQ32" s="8">
        <v>1.1010190771447144E-2</v>
      </c>
      <c r="ER32" s="8">
        <v>7.7368697710753316E-3</v>
      </c>
      <c r="ES32" s="8">
        <v>9.0133714676323626E-3</v>
      </c>
      <c r="ET32" s="8">
        <v>2.1145138098153327E-2</v>
      </c>
      <c r="EU32" s="8">
        <v>1.6504275405750869E-2</v>
      </c>
      <c r="EV32" s="8">
        <v>8.5804380767837678E-3</v>
      </c>
      <c r="EW32" s="8">
        <v>2.4632904539922292E-2</v>
      </c>
      <c r="EX32" s="8">
        <v>3.2948145535961391E-2</v>
      </c>
      <c r="EY32" s="8">
        <v>2.710993539342221E-2</v>
      </c>
      <c r="EZ32" s="8">
        <v>2.3273509772446341E-2</v>
      </c>
      <c r="FA32" s="8">
        <v>9.4867594306460613E-3</v>
      </c>
      <c r="FB32" s="8">
        <v>8.0223825155165893E-3</v>
      </c>
      <c r="FC32" s="8">
        <v>1.9897544635453696E-2</v>
      </c>
      <c r="FD32" s="8">
        <v>6.531987276335513E-3</v>
      </c>
      <c r="FE32" s="7">
        <v>2.3555420934796407E-2</v>
      </c>
      <c r="FF32" s="8">
        <v>2.8944911060205022E-2</v>
      </c>
      <c r="FG32" s="8">
        <v>2.2112542097600281E-2</v>
      </c>
      <c r="FH32" s="8">
        <v>1.5125189713247722E-2</v>
      </c>
      <c r="FI32" s="8">
        <v>2.2364741552932894E-2</v>
      </c>
      <c r="FJ32" s="8">
        <v>2.5353748734880506E-2</v>
      </c>
      <c r="FK32" s="8">
        <v>2.3047374707359337E-2</v>
      </c>
      <c r="FL32" s="8">
        <v>2.2531768277441591E-2</v>
      </c>
      <c r="FM32" s="8">
        <v>2.2605862994405077E-2</v>
      </c>
      <c r="FN32" s="8">
        <v>1.796691224417744E-2</v>
      </c>
      <c r="FO32" s="8">
        <v>2.1415867701137559E-2</v>
      </c>
      <c r="FP32" s="8">
        <v>1.9573068584534281E-2</v>
      </c>
      <c r="FQ32" s="8">
        <v>2.0130438550865621E-2</v>
      </c>
      <c r="FR32" s="8">
        <v>1.6051962645487049E-2</v>
      </c>
      <c r="FS32" s="8">
        <v>3.0861885392683433E-2</v>
      </c>
      <c r="FT32" s="8">
        <v>2.9875512695407051E-2</v>
      </c>
      <c r="FU32" s="8">
        <v>2.0583205402020386E-2</v>
      </c>
      <c r="FV32" s="8">
        <v>1.3776642659773417E-2</v>
      </c>
      <c r="FW32" s="8">
        <v>1.2786322770313838E-2</v>
      </c>
      <c r="FX32" s="8">
        <v>1.67323181147256E-2</v>
      </c>
      <c r="FY32" s="8">
        <v>1.0887124228520718E-2</v>
      </c>
      <c r="FZ32" s="8">
        <v>4.268378724144809E-3</v>
      </c>
      <c r="GA32" s="8">
        <v>4.1485355356952252E-3</v>
      </c>
      <c r="GB32" s="8">
        <v>5.793666799564428E-3</v>
      </c>
      <c r="GC32" s="8">
        <v>6.216708085045995E-3</v>
      </c>
      <c r="GD32" s="8">
        <v>5.8184965485049162E-3</v>
      </c>
      <c r="GE32" s="8">
        <v>1.3350629266896516E-2</v>
      </c>
      <c r="GF32" s="8">
        <v>1.1322231155831062E-2</v>
      </c>
      <c r="GG32" s="8">
        <v>1.0487983035984361E-2</v>
      </c>
      <c r="GI32" s="6" t="s">
        <v>325</v>
      </c>
      <c r="GJ32" s="6" t="s">
        <v>154</v>
      </c>
      <c r="GK32" s="8">
        <v>5.9342145763603318E-2</v>
      </c>
      <c r="GL32" s="8">
        <v>5.433737694405006E-2</v>
      </c>
      <c r="GM32" s="8">
        <v>4.4358542231437301E-2</v>
      </c>
      <c r="GN32" s="8">
        <v>3.7724850991766867E-2</v>
      </c>
      <c r="GO32" s="8">
        <v>3.0827393293869316E-2</v>
      </c>
      <c r="GP32" s="8">
        <v>3.6362213706731303E-2</v>
      </c>
      <c r="GQ32" s="8">
        <v>4.2360463060671143E-2</v>
      </c>
      <c r="GR32" s="8">
        <v>4.2444215044397819E-2</v>
      </c>
      <c r="GS32" s="8">
        <v>4.8054947652526762E-2</v>
      </c>
      <c r="GT32" s="8">
        <v>5.8298227358865168E-2</v>
      </c>
      <c r="GU32" s="8">
        <v>5.9332579077151094E-2</v>
      </c>
      <c r="GV32" s="8">
        <v>5.0073839949173998E-2</v>
      </c>
      <c r="GW32" s="8">
        <v>4.2168859451070989E-2</v>
      </c>
      <c r="GX32" s="8">
        <v>3.8549421646790656E-2</v>
      </c>
      <c r="GY32" s="8">
        <v>3.8239569974124199E-2</v>
      </c>
      <c r="GZ32" s="8">
        <v>4.3930823018245253E-2</v>
      </c>
      <c r="HA32" s="8">
        <v>4.8514382075832044E-2</v>
      </c>
      <c r="HB32" s="7">
        <v>5.5893835508155014E-2</v>
      </c>
      <c r="HC32" s="8">
        <v>5.9759852790145E-2</v>
      </c>
      <c r="HD32" s="8">
        <v>6.1469105896149054E-2</v>
      </c>
      <c r="HE32" s="8">
        <v>0.10297463018137722</v>
      </c>
      <c r="HF32" s="8">
        <v>0.10335999678227244</v>
      </c>
      <c r="HG32" s="8">
        <v>0.11443683287003562</v>
      </c>
      <c r="HH32" s="8">
        <v>0.13270609560135618</v>
      </c>
      <c r="HI32" s="8">
        <v>0.12163301561082712</v>
      </c>
      <c r="HJ32" s="8">
        <v>0.11369947669830388</v>
      </c>
      <c r="HK32" s="8">
        <v>0.11080566296134844</v>
      </c>
      <c r="HL32" s="7">
        <v>0.11512318035592468</v>
      </c>
      <c r="HM32" s="8">
        <v>0.12365925160819714</v>
      </c>
      <c r="HN32" s="8">
        <v>0.12412469060848295</v>
      </c>
      <c r="HO32" s="8">
        <v>0.14015797671167862</v>
      </c>
      <c r="HP32" s="8">
        <v>0.13393270668349555</v>
      </c>
      <c r="HQ32" s="8">
        <v>0.11697529766804367</v>
      </c>
      <c r="HR32" s="8">
        <v>0.11578439159620257</v>
      </c>
      <c r="HS32" s="8">
        <v>0.10510093533454955</v>
      </c>
      <c r="HT32" s="8">
        <v>0.10096604928947521</v>
      </c>
      <c r="HU32" s="8">
        <v>0.10581215073731461</v>
      </c>
      <c r="HV32" s="8">
        <v>0.12144474816091856</v>
      </c>
      <c r="HW32" s="8">
        <v>0.132733155760522</v>
      </c>
      <c r="HX32" s="8">
        <v>0.14057234373669839</v>
      </c>
      <c r="HY32" s="8">
        <v>8.4777060552990613E-2</v>
      </c>
      <c r="HZ32" s="8">
        <v>8.9328561708679394E-2</v>
      </c>
      <c r="IA32" s="8">
        <v>9.1473162680100722E-2</v>
      </c>
      <c r="IB32" s="8">
        <v>8.993207014891734E-2</v>
      </c>
      <c r="IC32" s="8">
        <v>8.5144794412394101E-2</v>
      </c>
      <c r="ID32" s="8">
        <v>8.6886171693374981E-2</v>
      </c>
      <c r="IE32" s="8">
        <v>8.7467971664023675E-2</v>
      </c>
      <c r="IF32" s="8">
        <v>9.4523211594781997E-2</v>
      </c>
      <c r="IG32" s="8">
        <v>9.4541381801959964E-2</v>
      </c>
      <c r="IH32" s="8">
        <v>8.4612118894298746E-2</v>
      </c>
      <c r="II32" s="8">
        <v>5.6019758257292711E-2</v>
      </c>
      <c r="IJ32" s="8">
        <v>5.5880958419924597E-2</v>
      </c>
      <c r="IK32" s="8">
        <v>4.7552601910062324E-2</v>
      </c>
      <c r="IL32" s="8">
        <v>4.7988807824586775E-2</v>
      </c>
      <c r="IM32" s="8">
        <v>3.9607287158642909E-2</v>
      </c>
      <c r="IN32" s="8">
        <v>3.5528724637479463E-2</v>
      </c>
      <c r="IO32" s="8">
        <v>3.9273287209267024E-2</v>
      </c>
      <c r="IP32" s="8">
        <v>4.3699047754544959E-2</v>
      </c>
      <c r="IQ32" s="8">
        <v>4.4331074198618842E-2</v>
      </c>
      <c r="IR32" s="8">
        <v>4.3916563682974703E-2</v>
      </c>
      <c r="JB32" s="6" t="s">
        <v>325</v>
      </c>
      <c r="JC32" s="8">
        <v>0.73158990107644972</v>
      </c>
      <c r="JD32" s="8">
        <v>0.73428515315412601</v>
      </c>
      <c r="JE32" s="8">
        <v>0.74952333123064874</v>
      </c>
      <c r="JF32" s="8">
        <v>0.78926553745499339</v>
      </c>
      <c r="JG32" s="8">
        <v>0.80678487000669019</v>
      </c>
      <c r="JH32" s="8">
        <v>0.78146388313094717</v>
      </c>
      <c r="JI32" s="8">
        <v>0.76087045830275757</v>
      </c>
      <c r="JJ32" s="8">
        <v>0.74489921520353675</v>
      </c>
      <c r="JK32" s="8">
        <v>0.7294631953898375</v>
      </c>
      <c r="JL32" s="8">
        <v>0.73535529536544164</v>
      </c>
      <c r="JM32" s="8">
        <v>0.73580775045409941</v>
      </c>
      <c r="JN32" s="8">
        <v>0.77224720934339852</v>
      </c>
      <c r="JO32" s="8">
        <v>0.77883738442981765</v>
      </c>
      <c r="JP32" s="8">
        <v>0.78426829972095791</v>
      </c>
      <c r="JQ32" s="8">
        <v>0.79475298733906785</v>
      </c>
      <c r="JR32" s="8">
        <v>0.77300890817793344</v>
      </c>
      <c r="JS32" s="8">
        <v>0.76187654315467201</v>
      </c>
      <c r="JT32" s="8">
        <v>0.74698079247637572</v>
      </c>
      <c r="JU32" s="8">
        <v>0.73579118938967214</v>
      </c>
      <c r="JV32" s="7">
        <v>0.73902719681030382</v>
      </c>
      <c r="JW32" s="8">
        <v>0.58881364226915689</v>
      </c>
      <c r="JX32" s="7">
        <v>0.5865847794359802</v>
      </c>
      <c r="JY32" s="8">
        <v>0.5719252501087071</v>
      </c>
      <c r="JZ32" s="8">
        <v>0.53946183831368433</v>
      </c>
      <c r="KA32" s="8">
        <v>0.55743598484161661</v>
      </c>
      <c r="KB32" s="8">
        <v>0.5804986857465374</v>
      </c>
      <c r="KC32" s="8">
        <v>0.57900520877594008</v>
      </c>
      <c r="KD32" s="8">
        <v>0.56942323499880654</v>
      </c>
      <c r="KE32" s="8">
        <v>0.56113202127241102</v>
      </c>
      <c r="KF32" s="8">
        <v>0.55114606108957231</v>
      </c>
      <c r="KG32" s="8">
        <v>0.53003449341954401</v>
      </c>
      <c r="KH32" s="7">
        <v>0.52169932777883099</v>
      </c>
      <c r="KI32" s="8">
        <v>0.54722602903663209</v>
      </c>
      <c r="KJ32" s="8">
        <v>0.55564207941930277</v>
      </c>
      <c r="KK32" s="8">
        <v>0.57509717190963128</v>
      </c>
      <c r="KL32" s="8">
        <v>0.58514381164637119</v>
      </c>
      <c r="KM32" s="8">
        <v>0.58491071997675259</v>
      </c>
      <c r="KN32" s="8">
        <v>0.5690996892322906</v>
      </c>
      <c r="KO32" s="8">
        <v>0.54828570280660649</v>
      </c>
      <c r="KP32" s="8">
        <v>0.54839556198279638</v>
      </c>
      <c r="KQ32" s="8">
        <v>0.63372770783469334</v>
      </c>
      <c r="KR32" s="8">
        <v>0.61865561532024826</v>
      </c>
      <c r="KS32" s="7">
        <v>0.61632458300748838</v>
      </c>
      <c r="KT32" s="8">
        <v>0.61422052060528232</v>
      </c>
      <c r="KU32" s="8">
        <v>0.62931733884981467</v>
      </c>
      <c r="KV32" s="8">
        <v>0.60206644974828294</v>
      </c>
      <c r="KW32" s="8">
        <v>0.59945903343615714</v>
      </c>
      <c r="KX32" s="8">
        <v>0.61613403599585537</v>
      </c>
      <c r="KY32" s="8">
        <v>0.61961554652777917</v>
      </c>
      <c r="KZ32" s="8">
        <v>0.64157794435523885</v>
      </c>
      <c r="LA32" s="8">
        <v>0.73743235795215523</v>
      </c>
      <c r="LB32" s="8">
        <v>0.75479272819186438</v>
      </c>
      <c r="LC32" s="8">
        <v>0.7741855697921235</v>
      </c>
      <c r="LD32" s="8">
        <v>0.76673816654244653</v>
      </c>
      <c r="LE32" s="8">
        <v>0.78952634798550825</v>
      </c>
      <c r="LF32" s="8">
        <v>0.79775623286993025</v>
      </c>
      <c r="LG32" s="8">
        <v>0.77206487233452814</v>
      </c>
      <c r="LH32" s="8">
        <v>0.76381629896671022</v>
      </c>
      <c r="LI32" s="8">
        <v>0.74754878744767272</v>
      </c>
      <c r="LJ32" s="8">
        <v>0.7507420848011771</v>
      </c>
      <c r="LL32" s="6" t="s">
        <v>306</v>
      </c>
      <c r="LM32" s="6" t="s">
        <v>160</v>
      </c>
      <c r="LN32" s="6" t="s">
        <v>161</v>
      </c>
      <c r="LO32" s="8">
        <v>0.50398278495667981</v>
      </c>
    </row>
    <row r="33" spans="2:327" x14ac:dyDescent="0.45">
      <c r="B33" s="3" t="s">
        <v>326</v>
      </c>
      <c r="C33" s="3" t="s">
        <v>151</v>
      </c>
      <c r="D33" s="5">
        <v>0.18529968445029704</v>
      </c>
      <c r="E33" s="5">
        <v>0.18188649276695773</v>
      </c>
      <c r="F33" s="5">
        <v>0.19255044668100796</v>
      </c>
      <c r="G33" s="5">
        <v>0.17031582015941663</v>
      </c>
      <c r="H33" s="5">
        <v>0.17201145403099702</v>
      </c>
      <c r="I33" s="5">
        <v>0.16588983971522697</v>
      </c>
      <c r="J33" s="5">
        <v>0.17725797915507199</v>
      </c>
      <c r="K33" s="5">
        <v>0.18390500838910878</v>
      </c>
      <c r="L33" s="5">
        <v>0.18375424405418114</v>
      </c>
      <c r="M33" s="5">
        <v>0.18247385500910551</v>
      </c>
      <c r="N33" s="5">
        <v>0.19368724102851287</v>
      </c>
      <c r="O33" s="5">
        <v>0.20282858882315064</v>
      </c>
      <c r="P33" s="5">
        <v>0.20894149104999726</v>
      </c>
      <c r="Q33" s="5">
        <v>0.22205829755843456</v>
      </c>
      <c r="R33" s="5">
        <v>0.22752461385321077</v>
      </c>
      <c r="S33" s="5">
        <v>0.22834997227853396</v>
      </c>
      <c r="T33" s="5">
        <v>0.21490995296121898</v>
      </c>
      <c r="U33" s="5">
        <v>0.18986847807372417</v>
      </c>
      <c r="V33" s="5">
        <v>0.17024569319179628</v>
      </c>
      <c r="W33" s="5">
        <v>0.18098452306314877</v>
      </c>
      <c r="X33" s="5">
        <v>0.25379865875656799</v>
      </c>
      <c r="Y33" s="5">
        <v>0.25715468111249834</v>
      </c>
      <c r="Z33" s="5">
        <v>0.26014046352565356</v>
      </c>
      <c r="AA33" s="5">
        <v>0.26871362562886253</v>
      </c>
      <c r="AB33" s="5">
        <v>0.2712233253708709</v>
      </c>
      <c r="AC33" s="5">
        <v>0.26906021626077503</v>
      </c>
      <c r="AD33" s="5">
        <v>0.26701346967274436</v>
      </c>
      <c r="AE33" s="5">
        <v>0.25944564172594131</v>
      </c>
      <c r="AF33" s="5">
        <v>0.25960760138728617</v>
      </c>
      <c r="AG33" s="5">
        <v>0.26268978467149551</v>
      </c>
      <c r="AH33" s="5">
        <v>0.34413206694620213</v>
      </c>
      <c r="AI33" s="5">
        <v>0.32995928289505383</v>
      </c>
      <c r="AJ33" s="5">
        <v>0.30792580191723656</v>
      </c>
      <c r="AK33" s="5">
        <v>0.32576529373365154</v>
      </c>
      <c r="AL33" s="5">
        <v>0.33192816863912</v>
      </c>
      <c r="AM33" s="5">
        <v>0.3253309232319414</v>
      </c>
      <c r="AN33" s="5">
        <v>0.32350536380105266</v>
      </c>
      <c r="AO33" s="5">
        <v>0.34326958300291388</v>
      </c>
      <c r="AP33" s="5">
        <v>0.35359147135185987</v>
      </c>
      <c r="AQ33" s="5">
        <v>0.3550360761982746</v>
      </c>
      <c r="AR33" s="5">
        <v>0.24266971657624881</v>
      </c>
      <c r="AS33" s="5">
        <v>0.22800031684175229</v>
      </c>
      <c r="AT33" s="5">
        <v>0.22072764001614473</v>
      </c>
      <c r="AU33" s="5">
        <v>0.21393622137630663</v>
      </c>
      <c r="AV33" s="5">
        <v>0.21106843914516046</v>
      </c>
      <c r="AW33" s="5">
        <v>0.22645849274117302</v>
      </c>
      <c r="AX33" s="5">
        <v>0.23727602932988276</v>
      </c>
      <c r="AY33" s="5">
        <v>0.24864521064757797</v>
      </c>
      <c r="AZ33" s="5">
        <v>0.25391572949436958</v>
      </c>
      <c r="BA33" s="5">
        <v>0.2526359991227477</v>
      </c>
      <c r="BB33" s="5">
        <v>0.17464442790094523</v>
      </c>
      <c r="BC33" s="5">
        <v>0.19405522667650676</v>
      </c>
      <c r="BD33" s="5">
        <v>0.19301504643181966</v>
      </c>
      <c r="BE33" s="5">
        <v>0.18768077703607858</v>
      </c>
      <c r="BF33" s="5">
        <v>0.18479588818466264</v>
      </c>
      <c r="BG33" s="5">
        <v>0.18012776327497343</v>
      </c>
      <c r="BH33" s="5">
        <v>0.19378180309532014</v>
      </c>
      <c r="BI33" s="5">
        <v>0.20605430478968664</v>
      </c>
      <c r="BJ33" s="5">
        <v>0.19726073511549952</v>
      </c>
      <c r="BK33" s="5">
        <v>0.1771665288302133</v>
      </c>
      <c r="BM33" s="3" t="s">
        <v>326</v>
      </c>
      <c r="BN33" s="3" t="s">
        <v>152</v>
      </c>
      <c r="BO33" s="5">
        <v>1.4412104612540862E-2</v>
      </c>
      <c r="BP33" s="5">
        <v>1.3145317742280286E-2</v>
      </c>
      <c r="BQ33" s="5">
        <v>1.0961226662784804E-2</v>
      </c>
      <c r="BR33" s="5">
        <v>1.172374187348566E-2</v>
      </c>
      <c r="BS33" s="5">
        <v>1.1785477766484415E-2</v>
      </c>
      <c r="BT33" s="5">
        <v>8.182756502722259E-3</v>
      </c>
      <c r="BU33" s="4">
        <v>1.1053278016102477E-2</v>
      </c>
      <c r="BV33" s="5">
        <v>1.3956466738569531E-2</v>
      </c>
      <c r="BW33" s="5">
        <v>1.6485853632257221E-2</v>
      </c>
      <c r="BX33" s="5">
        <v>1.4450185897974786E-2</v>
      </c>
      <c r="BY33" s="5">
        <v>1.2729265648709515E-2</v>
      </c>
      <c r="BZ33" s="4">
        <v>1.0429124276029668E-2</v>
      </c>
      <c r="CA33" s="5">
        <v>7.8720312675392336E-3</v>
      </c>
      <c r="CB33" s="5">
        <v>4.4471166760218055E-3</v>
      </c>
      <c r="CC33" s="5">
        <v>1.9102688647348524E-3</v>
      </c>
      <c r="CD33" s="4">
        <v>6.9524781307635291E-3</v>
      </c>
      <c r="CE33" s="4">
        <v>7.82779446392377E-3</v>
      </c>
      <c r="CF33" s="4">
        <v>1.9429488015437657E-4</v>
      </c>
      <c r="CG33" s="5">
        <v>4.6970262243262381E-3</v>
      </c>
      <c r="CH33" s="5">
        <v>7.4268317713115069E-3</v>
      </c>
      <c r="CI33" s="5">
        <v>2.7007490272498515E-2</v>
      </c>
      <c r="CJ33" s="5">
        <v>2.6893889606289016E-2</v>
      </c>
      <c r="CK33" s="4">
        <v>1.2587885182611986E-2</v>
      </c>
      <c r="CL33" s="4">
        <v>5.1016706598439358E-4</v>
      </c>
      <c r="CM33" s="5">
        <v>1.2689655928085531E-2</v>
      </c>
      <c r="CN33" s="5">
        <v>2.4773335684550382E-2</v>
      </c>
      <c r="CO33" s="5">
        <v>1.9071744571821043E-2</v>
      </c>
      <c r="CP33" s="5">
        <v>9.1386202426204134E-3</v>
      </c>
      <c r="CQ33" s="5">
        <v>1.2480529930416862E-2</v>
      </c>
      <c r="CR33" s="5">
        <v>1.796300552129633E-2</v>
      </c>
      <c r="CS33" s="5">
        <v>6.4462277198745789E-3</v>
      </c>
      <c r="CT33" s="4">
        <v>1.9178658895488858E-2</v>
      </c>
      <c r="CU33" s="5">
        <v>1.0463432436240219E-2</v>
      </c>
      <c r="CV33" s="5">
        <v>2.2258983548549049E-2</v>
      </c>
      <c r="CW33" s="5">
        <v>3.5344480160805755E-2</v>
      </c>
      <c r="CX33" s="5">
        <v>3.487831406044916E-2</v>
      </c>
      <c r="CY33" s="5">
        <v>3.0097983328866939E-2</v>
      </c>
      <c r="CZ33" s="5">
        <v>1.7759618058962961E-2</v>
      </c>
      <c r="DA33" s="5">
        <v>3.7828323081735782E-2</v>
      </c>
      <c r="DB33" s="4">
        <v>1.7947300338370335E-2</v>
      </c>
      <c r="DC33" s="5">
        <v>1.1380379493098674E-2</v>
      </c>
      <c r="DD33" s="5">
        <v>1.2199434901761372E-2</v>
      </c>
      <c r="DE33" s="5">
        <v>1.2043847868055846E-2</v>
      </c>
      <c r="DF33" s="5">
        <v>1.4596136030918158E-2</v>
      </c>
      <c r="DG33" s="5">
        <v>9.7842830258202031E-3</v>
      </c>
      <c r="DH33" s="5">
        <v>8.474962090944756E-3</v>
      </c>
      <c r="DI33" s="5">
        <v>1.1241939912355347E-2</v>
      </c>
      <c r="DJ33" s="5">
        <v>1.2833568986152946E-2</v>
      </c>
      <c r="DK33" s="5">
        <v>1.4338594297579303E-2</v>
      </c>
      <c r="DL33" s="5">
        <v>8.2579600489052583E-3</v>
      </c>
      <c r="DM33" s="5">
        <v>1.2197188725332753E-2</v>
      </c>
      <c r="DN33" s="5">
        <v>6.22137791036284E-3</v>
      </c>
      <c r="DO33" s="5">
        <v>7.9648099276741109E-3</v>
      </c>
      <c r="DP33" s="5">
        <v>1.4773644396777266E-2</v>
      </c>
      <c r="DQ33" s="5">
        <v>1.6089120343127466E-2</v>
      </c>
      <c r="DR33" s="5">
        <v>1.11712902714687E-2</v>
      </c>
      <c r="DS33" s="5">
        <v>1.3099015568172969E-2</v>
      </c>
      <c r="DT33" s="5">
        <v>5.089437559272496E-3</v>
      </c>
      <c r="DU33" s="4">
        <v>3.2516671302512809E-4</v>
      </c>
      <c r="DV33" s="5">
        <v>3.998370173404233E-3</v>
      </c>
      <c r="DX33" s="3" t="s">
        <v>326</v>
      </c>
      <c r="DY33" s="3" t="s">
        <v>153</v>
      </c>
      <c r="DZ33" s="5">
        <v>1.5978352169900692E-2</v>
      </c>
      <c r="EA33" s="5">
        <v>1.5421143359319087E-2</v>
      </c>
      <c r="EB33" s="4">
        <v>1.7881857456962975E-2</v>
      </c>
      <c r="EC33" s="5">
        <v>1.5097221614605607E-2</v>
      </c>
      <c r="ED33" s="5">
        <v>1.2084390287408989E-2</v>
      </c>
      <c r="EE33" s="5">
        <v>1.5673924605151525E-2</v>
      </c>
      <c r="EF33" s="4">
        <v>1.3762982680457824E-2</v>
      </c>
      <c r="EG33" s="5">
        <v>1.1252227171122765E-2</v>
      </c>
      <c r="EH33" s="5">
        <v>9.9559359299812768E-3</v>
      </c>
      <c r="EI33" s="5">
        <v>1.5670110586531102E-2</v>
      </c>
      <c r="EJ33" s="5">
        <v>6.9168544120315227E-3</v>
      </c>
      <c r="EK33" s="5">
        <v>1.5216605823561198E-2</v>
      </c>
      <c r="EL33" s="5">
        <v>1.5992899690716881E-2</v>
      </c>
      <c r="EM33" s="5">
        <v>2.1947344017100093E-2</v>
      </c>
      <c r="EN33" s="5">
        <v>1.4608357425495216E-2</v>
      </c>
      <c r="EO33" s="5">
        <v>1.0388908678556633E-2</v>
      </c>
      <c r="EP33" s="5">
        <v>2.0619606820201329E-3</v>
      </c>
      <c r="EQ33" s="5">
        <v>6.9682656055695437E-3</v>
      </c>
      <c r="ER33" s="5">
        <v>4.9811127695969151E-3</v>
      </c>
      <c r="ES33" s="5">
        <v>2.9037238989056018E-3</v>
      </c>
      <c r="ET33" s="5">
        <v>2.0941805417704698E-2</v>
      </c>
      <c r="EU33" s="5">
        <v>2.8177345241742324E-2</v>
      </c>
      <c r="EV33" s="5">
        <v>3.1949429669617578E-2</v>
      </c>
      <c r="EW33" s="5">
        <v>3.1461217605978711E-2</v>
      </c>
      <c r="EX33" s="5">
        <v>2.7251547014841251E-2</v>
      </c>
      <c r="EY33" s="5">
        <v>0</v>
      </c>
      <c r="EZ33" s="5">
        <v>1.0470356389659149E-2</v>
      </c>
      <c r="FA33" s="5">
        <v>2.4978177738561803E-2</v>
      </c>
      <c r="FB33" s="5">
        <v>3.3042812334938568E-2</v>
      </c>
      <c r="FC33" s="5">
        <v>1.0571535972539793E-2</v>
      </c>
      <c r="FD33" s="5">
        <v>4.3479231446574736E-2</v>
      </c>
      <c r="FE33" s="4">
        <v>0</v>
      </c>
      <c r="FF33" s="5">
        <v>2.4114933652761628E-2</v>
      </c>
      <c r="FG33" s="5">
        <v>3.2177632469672542E-2</v>
      </c>
      <c r="FH33" s="5">
        <v>2.881143335808535E-2</v>
      </c>
      <c r="FI33" s="5">
        <v>1.7836759456655842E-2</v>
      </c>
      <c r="FJ33" s="5">
        <v>3.1306179179293833E-2</v>
      </c>
      <c r="FK33" s="5">
        <v>5.1316937698788402E-2</v>
      </c>
      <c r="FL33" s="5">
        <v>3.2220303283964705E-2</v>
      </c>
      <c r="FM33" s="5">
        <v>4.6562707315264656E-2</v>
      </c>
      <c r="FN33" s="5">
        <v>1.5628710322074468E-2</v>
      </c>
      <c r="FO33" s="5">
        <v>1.4201073795029402E-2</v>
      </c>
      <c r="FP33" s="5">
        <v>1.0429882085878913E-2</v>
      </c>
      <c r="FQ33" s="5">
        <v>1.1360177560065365E-2</v>
      </c>
      <c r="FR33" s="5">
        <v>1.3770907936608094E-2</v>
      </c>
      <c r="FS33" s="5">
        <v>1.5487665734249426E-2</v>
      </c>
      <c r="FT33" s="5">
        <v>1.1038845868915235E-2</v>
      </c>
      <c r="FU33" s="5">
        <v>8.5431851887927471E-3</v>
      </c>
      <c r="FV33" s="5">
        <v>7.4641983759580564E-3</v>
      </c>
      <c r="FW33" s="5">
        <v>1.7358764539840536E-2</v>
      </c>
      <c r="FX33" s="5">
        <v>3.0937997006210967E-3</v>
      </c>
      <c r="FY33" s="5">
        <v>1.2904702457858673E-2</v>
      </c>
      <c r="FZ33" s="5">
        <v>1.4330265244896103E-2</v>
      </c>
      <c r="GA33" s="5">
        <v>7.8523333658638856E-3</v>
      </c>
      <c r="GB33" s="5">
        <v>5.08151569473055E-3</v>
      </c>
      <c r="GC33" s="5">
        <v>1.3145000317910624E-2</v>
      </c>
      <c r="GD33" s="5">
        <v>1.6287857298788008E-2</v>
      </c>
      <c r="GE33" s="5">
        <v>1.7895873679175934E-2</v>
      </c>
      <c r="GF33" s="5">
        <v>1.5536578900722008E-2</v>
      </c>
      <c r="GG33" s="5">
        <v>5.908246860671356E-3</v>
      </c>
      <c r="GI33" s="3" t="s">
        <v>326</v>
      </c>
      <c r="GJ33" s="3" t="s">
        <v>154</v>
      </c>
      <c r="GK33" s="5">
        <v>4.973411438067659E-2</v>
      </c>
      <c r="GL33" s="5">
        <v>4.8415135532515738E-2</v>
      </c>
      <c r="GM33" s="5">
        <v>5.0972056414254618E-2</v>
      </c>
      <c r="GN33" s="5">
        <v>4.5015630711812311E-2</v>
      </c>
      <c r="GO33" s="5">
        <v>5.0178119017648508E-2</v>
      </c>
      <c r="GP33" s="5">
        <v>4.9988941013892112E-2</v>
      </c>
      <c r="GQ33" s="5">
        <v>4.979030086786939E-2</v>
      </c>
      <c r="GR33" s="5">
        <v>5.2077413746246345E-2</v>
      </c>
      <c r="GS33" s="5">
        <v>5.2785715358866926E-2</v>
      </c>
      <c r="GT33" s="5">
        <v>5.0083652377887318E-2</v>
      </c>
      <c r="GU33" s="5">
        <v>6.2374695537986649E-2</v>
      </c>
      <c r="GV33" s="5">
        <v>6.1155920669694053E-2</v>
      </c>
      <c r="GW33" s="5">
        <v>6.4587367204673965E-2</v>
      </c>
      <c r="GX33" s="5">
        <v>6.9934742370200434E-2</v>
      </c>
      <c r="GY33" s="5">
        <v>7.8945954921336145E-2</v>
      </c>
      <c r="GZ33" s="5">
        <v>8.157494726288117E-2</v>
      </c>
      <c r="HA33" s="5">
        <v>8.4087506755729985E-2</v>
      </c>
      <c r="HB33" s="4">
        <v>7.6993657857211378E-2</v>
      </c>
      <c r="HC33" s="5">
        <v>6.7030366466219404E-2</v>
      </c>
      <c r="HD33" s="5">
        <v>6.4315871177919814E-2</v>
      </c>
      <c r="HE33" s="5">
        <v>9.3033526808318334E-2</v>
      </c>
      <c r="HF33" s="5">
        <v>8.7517059354937796E-2</v>
      </c>
      <c r="HG33" s="5">
        <v>0.10204552187743116</v>
      </c>
      <c r="HH33" s="5">
        <v>0.1273482779471026</v>
      </c>
      <c r="HI33" s="5">
        <v>0.11052342867988302</v>
      </c>
      <c r="HJ33" s="5">
        <v>0.12679454936072102</v>
      </c>
      <c r="HK33" s="5">
        <v>0.12325364571007671</v>
      </c>
      <c r="HL33" s="4">
        <v>0.11108589033978851</v>
      </c>
      <c r="HM33" s="5">
        <v>9.8265330572702758E-2</v>
      </c>
      <c r="HN33" s="5">
        <v>0.11998521006224258</v>
      </c>
      <c r="HO33" s="5">
        <v>0.16799880680762946</v>
      </c>
      <c r="HP33" s="5">
        <v>0.20183045028899449</v>
      </c>
      <c r="HQ33" s="5">
        <v>0.16625253962485642</v>
      </c>
      <c r="HR33" s="5">
        <v>0.15400530355689326</v>
      </c>
      <c r="HS33" s="5">
        <v>0.14123845766507667</v>
      </c>
      <c r="HT33" s="5">
        <v>0.14633114329485078</v>
      </c>
      <c r="HU33" s="5">
        <v>0.12816533191375257</v>
      </c>
      <c r="HV33" s="5">
        <v>0.13018678344300619</v>
      </c>
      <c r="HW33" s="5">
        <v>0.14088215542730079</v>
      </c>
      <c r="HX33" s="5">
        <v>0.15129888489860127</v>
      </c>
      <c r="HY33" s="5">
        <v>9.118653367672043E-2</v>
      </c>
      <c r="HZ33" s="5">
        <v>7.9157596492209645E-2</v>
      </c>
      <c r="IA33" s="5">
        <v>6.8774754025106771E-2</v>
      </c>
      <c r="IB33" s="5">
        <v>6.8666410852840143E-2</v>
      </c>
      <c r="IC33" s="5">
        <v>6.9739230994016396E-2</v>
      </c>
      <c r="ID33" s="5">
        <v>7.4546248742632326E-2</v>
      </c>
      <c r="IE33" s="5">
        <v>8.3314540982413463E-2</v>
      </c>
      <c r="IF33" s="5">
        <v>9.4436900091026274E-2</v>
      </c>
      <c r="IG33" s="5">
        <v>0.10216272283915394</v>
      </c>
      <c r="IH33" s="5">
        <v>0.10344616781922972</v>
      </c>
      <c r="II33" s="5">
        <v>4.9595406944145735E-2</v>
      </c>
      <c r="IJ33" s="5">
        <v>5.3033670845570417E-2</v>
      </c>
      <c r="IK33" s="5">
        <v>4.771339876126892E-2</v>
      </c>
      <c r="IL33" s="5">
        <v>4.5095627554633824E-2</v>
      </c>
      <c r="IM33" s="5">
        <v>4.6760637758572039E-2</v>
      </c>
      <c r="IN33" s="5">
        <v>4.2367137249263741E-2</v>
      </c>
      <c r="IO33" s="5">
        <v>4.4732489169997953E-2</v>
      </c>
      <c r="IP33" s="5">
        <v>5.8287255176132431E-2</v>
      </c>
      <c r="IQ33" s="5">
        <v>6.3101292235559117E-2</v>
      </c>
      <c r="IR33" s="5">
        <v>5.8658971831890339E-2</v>
      </c>
      <c r="JB33" s="3" t="s">
        <v>326</v>
      </c>
      <c r="JC33" s="5">
        <v>0.72059129649180198</v>
      </c>
      <c r="JD33" s="5">
        <v>0.72474283543925255</v>
      </c>
      <c r="JE33" s="5">
        <v>0.71490922929147449</v>
      </c>
      <c r="JF33" s="5">
        <v>0.7436255137509451</v>
      </c>
      <c r="JG33" s="5">
        <v>0.73551510344209092</v>
      </c>
      <c r="JH33" s="5">
        <v>0.73321515485374456</v>
      </c>
      <c r="JI33" s="5">
        <v>0.72653211304075116</v>
      </c>
      <c r="JJ33" s="5">
        <v>0.71915792651487787</v>
      </c>
      <c r="JK33" s="5">
        <v>0.72225621302949805</v>
      </c>
      <c r="JL33" s="5">
        <v>0.71988880900640662</v>
      </c>
      <c r="JM33" s="5">
        <v>0.70494528701962722</v>
      </c>
      <c r="JN33" s="5">
        <v>0.7062927846119923</v>
      </c>
      <c r="JO33" s="5">
        <v>0.70560484806109047</v>
      </c>
      <c r="JP33" s="5">
        <v>0.68971054832123646</v>
      </c>
      <c r="JQ33" s="5">
        <v>0.67916712173220772</v>
      </c>
      <c r="JR33" s="5">
        <v>0.67412025844694778</v>
      </c>
      <c r="JS33" s="5">
        <v>0.6795397681552463</v>
      </c>
      <c r="JT33" s="5">
        <v>0.69737066481201215</v>
      </c>
      <c r="JU33" s="5">
        <v>0.71514432680034812</v>
      </c>
      <c r="JV33" s="4">
        <v>0.71550407306713937</v>
      </c>
      <c r="JW33" s="5">
        <v>0.56851610073915892</v>
      </c>
      <c r="JX33" s="4">
        <v>0.58342196458490592</v>
      </c>
      <c r="JY33" s="5">
        <v>0.57556551882962992</v>
      </c>
      <c r="JZ33" s="5">
        <v>0.55404343318221105</v>
      </c>
      <c r="KA33" s="5">
        <v>0.55313149122625704</v>
      </c>
      <c r="KB33" s="5">
        <v>0.55393596342871787</v>
      </c>
      <c r="KC33" s="5">
        <v>0.55070876921738399</v>
      </c>
      <c r="KD33" s="5">
        <v>0.55041204394061038</v>
      </c>
      <c r="KE33" s="5">
        <v>0.54455638510374238</v>
      </c>
      <c r="KF33" s="5">
        <v>0.53711156284041572</v>
      </c>
      <c r="KG33" s="5">
        <v>0.42862830699146898</v>
      </c>
      <c r="KH33" s="4">
        <v>0.40112332337506879</v>
      </c>
      <c r="KI33" s="5">
        <v>0.40543308403938955</v>
      </c>
      <c r="KJ33" s="5">
        <v>0.4087849307610002</v>
      </c>
      <c r="KK33" s="5">
        <v>0.42282841401584664</v>
      </c>
      <c r="KL33" s="5">
        <v>0.43243553207573798</v>
      </c>
      <c r="KM33" s="5">
        <v>0.43794229732455076</v>
      </c>
      <c r="KN33" s="5">
        <v>0.43157815230675217</v>
      </c>
      <c r="KO33" s="5">
        <v>0.42222709473609404</v>
      </c>
      <c r="KP33" s="5">
        <v>0.44112451066712344</v>
      </c>
      <c r="KQ33" s="5">
        <v>0.62238476245317675</v>
      </c>
      <c r="KR33" s="5">
        <v>0.64242406167934796</v>
      </c>
      <c r="KS33" s="4">
        <v>0.66285881380575251</v>
      </c>
      <c r="KT33" s="5">
        <v>0.66539438131665141</v>
      </c>
      <c r="KU33" s="5">
        <v>0.66338541866977541</v>
      </c>
      <c r="KV33" s="5">
        <v>0.65022255904063331</v>
      </c>
      <c r="KW33" s="5">
        <v>0.63573155808451765</v>
      </c>
      <c r="KX33" s="5">
        <v>0.61965483260058707</v>
      </c>
      <c r="KY33" s="5">
        <v>0.60466651611016631</v>
      </c>
      <c r="KZ33" s="5">
        <v>0.60616862945035732</v>
      </c>
      <c r="LA33" s="5">
        <v>0.74693403973024308</v>
      </c>
      <c r="LB33" s="5">
        <v>0.7271620202410588</v>
      </c>
      <c r="LC33" s="5">
        <v>0.7299650728101803</v>
      </c>
      <c r="LD33" s="5">
        <v>0.7408515581268057</v>
      </c>
      <c r="LE33" s="5">
        <v>0.74258874194919722</v>
      </c>
      <c r="LF33" s="5">
        <v>0.7510934114810186</v>
      </c>
      <c r="LG33" s="5">
        <v>0.73971926178645919</v>
      </c>
      <c r="LH33" s="5">
        <v>0.72393822566090182</v>
      </c>
      <c r="LI33" s="5">
        <v>0.72524654537439825</v>
      </c>
      <c r="LJ33" s="5">
        <v>0.74600513608488228</v>
      </c>
      <c r="LL33" s="3" t="s">
        <v>308</v>
      </c>
      <c r="LM33" s="3" t="s">
        <v>160</v>
      </c>
      <c r="LN33" s="3" t="s">
        <v>161</v>
      </c>
      <c r="LO33" s="5">
        <v>0.6892570610476596</v>
      </c>
    </row>
    <row r="34" spans="2:327" x14ac:dyDescent="0.45">
      <c r="B34" s="6" t="s">
        <v>327</v>
      </c>
      <c r="C34" s="6" t="s">
        <v>151</v>
      </c>
      <c r="D34" s="8">
        <v>0.18232328903001707</v>
      </c>
      <c r="E34" s="8">
        <v>0.1683728177530521</v>
      </c>
      <c r="F34" s="8">
        <v>0.1855133608787313</v>
      </c>
      <c r="G34" s="8">
        <v>0.18112521071042151</v>
      </c>
      <c r="H34" s="8">
        <v>0.17061413208233364</v>
      </c>
      <c r="I34" s="8">
        <v>0.15848074753062003</v>
      </c>
      <c r="J34" s="8">
        <v>0.16179176494192576</v>
      </c>
      <c r="K34" s="8">
        <v>0.17725684565345975</v>
      </c>
      <c r="L34" s="8">
        <v>0.18396178153968343</v>
      </c>
      <c r="M34" s="8">
        <v>0.1887816123820496</v>
      </c>
      <c r="N34" s="8">
        <v>0.17119724596275054</v>
      </c>
      <c r="O34" s="8">
        <v>0.17686457042586709</v>
      </c>
      <c r="P34" s="8">
        <v>0.18213137727900261</v>
      </c>
      <c r="Q34" s="8">
        <v>0.19813823419727664</v>
      </c>
      <c r="R34" s="8">
        <v>0.20861371475625543</v>
      </c>
      <c r="S34" s="8">
        <v>0.20879020616033594</v>
      </c>
      <c r="T34" s="8">
        <v>0.18652383131632033</v>
      </c>
      <c r="U34" s="8">
        <v>0.17390762649632771</v>
      </c>
      <c r="V34" s="8">
        <v>0.17596209184392966</v>
      </c>
      <c r="W34" s="8">
        <v>0.17381020577732284</v>
      </c>
      <c r="X34" s="8">
        <v>0.25696147870570152</v>
      </c>
      <c r="Y34" s="8">
        <v>0.24833252872990538</v>
      </c>
      <c r="Z34" s="8">
        <v>0.2379826698826448</v>
      </c>
      <c r="AA34" s="8">
        <v>0.25225616996475281</v>
      </c>
      <c r="AB34" s="8">
        <v>0.25748733178880229</v>
      </c>
      <c r="AC34" s="8">
        <v>0.25836424925184642</v>
      </c>
      <c r="AD34" s="8">
        <v>0.25420380165250706</v>
      </c>
      <c r="AE34" s="8">
        <v>0.23720054448540603</v>
      </c>
      <c r="AF34" s="8">
        <v>0.24298508782089323</v>
      </c>
      <c r="AG34" s="8">
        <v>0.2697536071531258</v>
      </c>
      <c r="AH34" s="8">
        <v>0.31904546248862486</v>
      </c>
      <c r="AI34" s="8">
        <v>0.31473293839391914</v>
      </c>
      <c r="AJ34" s="8">
        <v>0.30016534604926887</v>
      </c>
      <c r="AK34" s="8">
        <v>0.31388831797083178</v>
      </c>
      <c r="AL34" s="8">
        <v>0.30595738659016608</v>
      </c>
      <c r="AM34" s="8">
        <v>0.30191597018811234</v>
      </c>
      <c r="AN34" s="8">
        <v>0.3038617369584049</v>
      </c>
      <c r="AO34" s="8">
        <v>0.3185303912915563</v>
      </c>
      <c r="AP34" s="8">
        <v>0.33115789038345483</v>
      </c>
      <c r="AQ34" s="8">
        <v>0.33950041494706623</v>
      </c>
      <c r="AR34" s="8">
        <v>0.21955368026694261</v>
      </c>
      <c r="AS34" s="8">
        <v>0.1977467520428321</v>
      </c>
      <c r="AT34" s="8">
        <v>0.19547153459690836</v>
      </c>
      <c r="AU34" s="8">
        <v>0.2128320216114663</v>
      </c>
      <c r="AV34" s="8">
        <v>0.22656528847028437</v>
      </c>
      <c r="AW34" s="8">
        <v>0.23370770624021911</v>
      </c>
      <c r="AX34" s="8">
        <v>0.22578085926932828</v>
      </c>
      <c r="AY34" s="8">
        <v>0.22849988858807171</v>
      </c>
      <c r="AZ34" s="8">
        <v>0.24247124332052716</v>
      </c>
      <c r="BA34" s="8">
        <v>0.23304593660688414</v>
      </c>
      <c r="BB34" s="8">
        <v>0.20725231556055873</v>
      </c>
      <c r="BC34" s="8">
        <v>0.20672209186315063</v>
      </c>
      <c r="BD34" s="8">
        <v>0.21067457126560218</v>
      </c>
      <c r="BE34" s="8">
        <v>0.19781477774387374</v>
      </c>
      <c r="BF34" s="8">
        <v>0.19472338902057382</v>
      </c>
      <c r="BG34" s="8">
        <v>0.1970906786760577</v>
      </c>
      <c r="BH34" s="8">
        <v>0.1992068024740844</v>
      </c>
      <c r="BI34" s="8">
        <v>0.21119244946981919</v>
      </c>
      <c r="BJ34" s="8">
        <v>0.20943265669348404</v>
      </c>
      <c r="BK34" s="8">
        <v>0.18990917520957351</v>
      </c>
      <c r="BM34" s="6" t="s">
        <v>327</v>
      </c>
      <c r="BN34" s="6" t="s">
        <v>152</v>
      </c>
      <c r="BO34" s="8">
        <v>9.8444299353621159E-3</v>
      </c>
      <c r="BP34" s="8">
        <v>9.198150445048358E-3</v>
      </c>
      <c r="BQ34" s="8">
        <v>8.1812338438501456E-3</v>
      </c>
      <c r="BR34" s="8">
        <v>1.3702243804657096E-2</v>
      </c>
      <c r="BS34" s="8">
        <v>1.4724167075951455E-2</v>
      </c>
      <c r="BT34" s="8">
        <v>5.3362102068739876E-3</v>
      </c>
      <c r="BU34" s="7">
        <v>6.6720046165065043E-3</v>
      </c>
      <c r="BV34" s="8">
        <v>9.7602562935977938E-3</v>
      </c>
      <c r="BW34" s="8">
        <v>1.6586774088702794E-2</v>
      </c>
      <c r="BX34" s="8">
        <v>1.429094978904478E-2</v>
      </c>
      <c r="BY34" s="8">
        <v>6.4581700748088389E-3</v>
      </c>
      <c r="BZ34" s="7">
        <v>6.9915981101961793E-3</v>
      </c>
      <c r="CA34" s="8">
        <v>7.4289619469289307E-3</v>
      </c>
      <c r="CB34" s="8">
        <v>8.1576668567704125E-3</v>
      </c>
      <c r="CC34" s="8">
        <v>4.0147908663935045E-3</v>
      </c>
      <c r="CD34" s="7">
        <v>6.3247303246527315E-3</v>
      </c>
      <c r="CE34" s="7">
        <v>9.8068538530367583E-3</v>
      </c>
      <c r="CF34" s="7">
        <v>9.2837659497187978E-3</v>
      </c>
      <c r="CG34" s="8">
        <v>1.015377100863891E-2</v>
      </c>
      <c r="CH34" s="8">
        <v>1.3922598216803122E-2</v>
      </c>
      <c r="CI34" s="8">
        <v>8.3875064165192317E-3</v>
      </c>
      <c r="CJ34" s="8">
        <v>8.7686760679661774E-3</v>
      </c>
      <c r="CK34" s="7">
        <v>1.3899336044482619E-2</v>
      </c>
      <c r="CL34" s="7">
        <v>1.1707460343961973E-2</v>
      </c>
      <c r="CM34" s="8">
        <v>1.7624091650710137E-2</v>
      </c>
      <c r="CN34" s="8">
        <v>1.976053972498466E-2</v>
      </c>
      <c r="CO34" s="8">
        <v>9.3499951983642207E-3</v>
      </c>
      <c r="CP34" s="8">
        <v>9.369988617216083E-3</v>
      </c>
      <c r="CQ34" s="8">
        <v>6.8233343590298305E-3</v>
      </c>
      <c r="CR34" s="8">
        <v>6.4940479442452724E-3</v>
      </c>
      <c r="CS34" s="8">
        <v>1.0700535896424989E-2</v>
      </c>
      <c r="CT34" s="7">
        <v>9.8661243182398273E-3</v>
      </c>
      <c r="CU34" s="8">
        <v>1.4447448441401689E-2</v>
      </c>
      <c r="CV34" s="8">
        <v>4.1218710899875555E-2</v>
      </c>
      <c r="CW34" s="8">
        <v>5.1030893257700501E-2</v>
      </c>
      <c r="CX34" s="8">
        <v>2.0987649422756913E-2</v>
      </c>
      <c r="CY34" s="8">
        <v>1.4299910788789354E-2</v>
      </c>
      <c r="CZ34" s="8">
        <v>2.3383587878774235E-2</v>
      </c>
      <c r="DA34" s="8">
        <v>2.6553949536983406E-2</v>
      </c>
      <c r="DB34" s="7">
        <v>1.3708149749604784E-2</v>
      </c>
      <c r="DC34" s="8">
        <v>1.454935236119221E-2</v>
      </c>
      <c r="DD34" s="8">
        <v>1.299007170537643E-2</v>
      </c>
      <c r="DE34" s="8">
        <v>9.334482517575432E-3</v>
      </c>
      <c r="DF34" s="8">
        <v>8.730154941732517E-3</v>
      </c>
      <c r="DG34" s="8">
        <v>1.4021060200096185E-2</v>
      </c>
      <c r="DH34" s="8">
        <v>1.2692022702061947E-2</v>
      </c>
      <c r="DI34" s="8">
        <v>6.5935891698655847E-3</v>
      </c>
      <c r="DJ34" s="8">
        <v>7.6464686099903994E-3</v>
      </c>
      <c r="DK34" s="8">
        <v>1.5549486628114827E-2</v>
      </c>
      <c r="DL34" s="8">
        <v>2.0905182925582497E-2</v>
      </c>
      <c r="DM34" s="8">
        <v>1.120999377217924E-2</v>
      </c>
      <c r="DN34" s="8">
        <v>8.1729138667372518E-3</v>
      </c>
      <c r="DO34" s="8">
        <v>1.1631708617183155E-2</v>
      </c>
      <c r="DP34" s="8">
        <v>9.3082937165737487E-3</v>
      </c>
      <c r="DQ34" s="8">
        <v>1.4193085619523836E-2</v>
      </c>
      <c r="DR34" s="8">
        <v>1.5737365867381201E-2</v>
      </c>
      <c r="DS34" s="8">
        <v>1.396938590561534E-2</v>
      </c>
      <c r="DT34" s="8">
        <v>5.4127870989024891E-3</v>
      </c>
      <c r="DU34" s="7">
        <v>6.1170344695468523E-3</v>
      </c>
      <c r="DV34" s="8">
        <v>1.2571258534563897E-2</v>
      </c>
      <c r="DX34" s="6" t="s">
        <v>327</v>
      </c>
      <c r="DY34" s="6" t="s">
        <v>153</v>
      </c>
      <c r="DZ34" s="8">
        <v>1.7337679549213825E-2</v>
      </c>
      <c r="EA34" s="8">
        <v>8.2624621299598154E-3</v>
      </c>
      <c r="EB34" s="7">
        <v>7.7750141790537061E-3</v>
      </c>
      <c r="EC34" s="8">
        <v>6.8348265659400618E-3</v>
      </c>
      <c r="ED34" s="8">
        <v>8.3254602543870321E-3</v>
      </c>
      <c r="EE34" s="8">
        <v>1.5326347145233194E-2</v>
      </c>
      <c r="EF34" s="7">
        <v>1.646308962247274E-2</v>
      </c>
      <c r="EG34" s="8">
        <v>1.2222452269569757E-2</v>
      </c>
      <c r="EH34" s="8">
        <v>4.6136960490989042E-3</v>
      </c>
      <c r="EI34" s="8">
        <v>9.6161270814020608E-3</v>
      </c>
      <c r="EJ34" s="8">
        <v>1.481663464623996E-2</v>
      </c>
      <c r="EK34" s="8">
        <v>7.9656506075252813E-3</v>
      </c>
      <c r="EL34" s="8">
        <v>7.2755259488390071E-3</v>
      </c>
      <c r="EM34" s="8">
        <v>8.2139267594513541E-3</v>
      </c>
      <c r="EN34" s="8">
        <v>1.5538852704121335E-2</v>
      </c>
      <c r="EO34" s="8">
        <v>1.8368477252803123E-2</v>
      </c>
      <c r="EP34" s="8">
        <v>5.4824147858907515E-3</v>
      </c>
      <c r="EQ34" s="8">
        <v>6.5927089961383334E-3</v>
      </c>
      <c r="ER34" s="8">
        <v>8.3133170404880562E-3</v>
      </c>
      <c r="ES34" s="8">
        <v>8.8430044143524792E-3</v>
      </c>
      <c r="ET34" s="8">
        <v>8.1709459392562637E-3</v>
      </c>
      <c r="EU34" s="8">
        <v>1.3072876965752538E-2</v>
      </c>
      <c r="EV34" s="8">
        <v>2.5036133801405926E-3</v>
      </c>
      <c r="EW34" s="8">
        <v>1.1531996401530558E-2</v>
      </c>
      <c r="EX34" s="8">
        <v>1.6363087323070732E-2</v>
      </c>
      <c r="EY34" s="8">
        <v>1.5608935499419413E-2</v>
      </c>
      <c r="EZ34" s="8">
        <v>2.4844083524178429E-2</v>
      </c>
      <c r="FA34" s="8">
        <v>2.6824316530626446E-2</v>
      </c>
      <c r="FB34" s="8">
        <v>2.1220819538397037E-2</v>
      </c>
      <c r="FC34" s="8">
        <v>1.342124325513481E-2</v>
      </c>
      <c r="FD34" s="8">
        <v>2.7555390676222903E-2</v>
      </c>
      <c r="FE34" s="7">
        <v>1.4791722872082766E-2</v>
      </c>
      <c r="FF34" s="8">
        <v>1.644445995051769E-2</v>
      </c>
      <c r="FG34" s="8">
        <v>6.9040454460632802E-3</v>
      </c>
      <c r="FH34" s="8">
        <v>1.1971237638532511E-2</v>
      </c>
      <c r="FI34" s="8">
        <v>4.5831533405214855E-2</v>
      </c>
      <c r="FJ34" s="8">
        <v>5.4603790565309361E-2</v>
      </c>
      <c r="FK34" s="8">
        <v>4.5902692339084894E-2</v>
      </c>
      <c r="FL34" s="8">
        <v>3.8615840070067943E-2</v>
      </c>
      <c r="FM34" s="8">
        <v>5.2103122049784116E-2</v>
      </c>
      <c r="FN34" s="8">
        <v>2.1656140354284748E-2</v>
      </c>
      <c r="FO34" s="8">
        <v>1.8504499970751952E-2</v>
      </c>
      <c r="FP34" s="8">
        <v>1.9323727690076117E-2</v>
      </c>
      <c r="FQ34" s="8">
        <v>2.0784660090454422E-2</v>
      </c>
      <c r="FR34" s="8">
        <v>1.0957342370444968E-2</v>
      </c>
      <c r="FS34" s="8">
        <v>1.5675927728200038E-2</v>
      </c>
      <c r="FT34" s="8">
        <v>2.080590082706071E-2</v>
      </c>
      <c r="FU34" s="8">
        <v>1.6824285399456986E-2</v>
      </c>
      <c r="FV34" s="8">
        <v>4.5123011418981849E-3</v>
      </c>
      <c r="FW34" s="8">
        <v>8.7463657523315676E-3</v>
      </c>
      <c r="FX34" s="8">
        <v>1.36170073515026E-2</v>
      </c>
      <c r="FY34" s="8">
        <v>1.5738897821980766E-2</v>
      </c>
      <c r="FZ34" s="8">
        <v>1.4981584132382268E-2</v>
      </c>
      <c r="GA34" s="8">
        <v>1.0314621902764191E-2</v>
      </c>
      <c r="GB34" s="8">
        <v>6.0228606462810344E-3</v>
      </c>
      <c r="GC34" s="8">
        <v>7.3229814337149E-3</v>
      </c>
      <c r="GD34" s="8">
        <v>1.4214216394818145E-2</v>
      </c>
      <c r="GE34" s="8">
        <v>2.2582199115943273E-2</v>
      </c>
      <c r="GF34" s="8">
        <v>2.1283652541943993E-2</v>
      </c>
      <c r="GG34" s="8">
        <v>1.1603611899586719E-2</v>
      </c>
      <c r="GI34" s="6" t="s">
        <v>327</v>
      </c>
      <c r="GJ34" s="6" t="s">
        <v>154</v>
      </c>
      <c r="GK34" s="8">
        <v>4.9328125822382621E-2</v>
      </c>
      <c r="GL34" s="8">
        <v>5.6768947043416264E-2</v>
      </c>
      <c r="GM34" s="8">
        <v>6.1755446547921852E-2</v>
      </c>
      <c r="GN34" s="8">
        <v>4.9789526244380503E-2</v>
      </c>
      <c r="GO34" s="8">
        <v>4.6015234700684783E-2</v>
      </c>
      <c r="GP34" s="8">
        <v>4.8250814787883012E-2</v>
      </c>
      <c r="GQ34" s="8">
        <v>5.3434004850742123E-2</v>
      </c>
      <c r="GR34" s="8">
        <v>6.1802806958301044E-2</v>
      </c>
      <c r="GS34" s="8">
        <v>6.1377348449568624E-2</v>
      </c>
      <c r="GT34" s="8">
        <v>5.3352641778598747E-2</v>
      </c>
      <c r="GU34" s="8">
        <v>5.5126380220923005E-2</v>
      </c>
      <c r="GV34" s="8">
        <v>6.0512027541062642E-2</v>
      </c>
      <c r="GW34" s="8">
        <v>6.4164233076272351E-2</v>
      </c>
      <c r="GX34" s="8">
        <v>7.2412099936499622E-2</v>
      </c>
      <c r="GY34" s="8">
        <v>7.5561051626229808E-2</v>
      </c>
      <c r="GZ34" s="8">
        <v>7.4882760220813679E-2</v>
      </c>
      <c r="HA34" s="8">
        <v>7.8448320652502707E-2</v>
      </c>
      <c r="HB34" s="7">
        <v>6.8022338658188131E-2</v>
      </c>
      <c r="HC34" s="8">
        <v>5.5717692325537159E-2</v>
      </c>
      <c r="HD34" s="8">
        <v>5.5867614530230474E-2</v>
      </c>
      <c r="HE34" s="8">
        <v>0.12522645419225775</v>
      </c>
      <c r="HF34" s="8">
        <v>0.11595368749823076</v>
      </c>
      <c r="HG34" s="8">
        <v>0.12207741078135359</v>
      </c>
      <c r="HH34" s="8">
        <v>0.12361702186446005</v>
      </c>
      <c r="HI34" s="8">
        <v>0.11054419764650966</v>
      </c>
      <c r="HJ34" s="8">
        <v>0.10366916081324629</v>
      </c>
      <c r="HK34" s="8">
        <v>9.5063321322910371E-2</v>
      </c>
      <c r="HL34" s="7">
        <v>8.6825078338237216E-2</v>
      </c>
      <c r="HM34" s="8">
        <v>9.5981715189596681E-2</v>
      </c>
      <c r="HN34" s="8">
        <v>0.12043445156005392</v>
      </c>
      <c r="HO34" s="8">
        <v>0.14978823606450095</v>
      </c>
      <c r="HP34" s="8">
        <v>0.17028504392491006</v>
      </c>
      <c r="HQ34" s="8">
        <v>0.15697985720084809</v>
      </c>
      <c r="HR34" s="8">
        <v>0.15036615723691352</v>
      </c>
      <c r="HS34" s="8">
        <v>0.12737172469267952</v>
      </c>
      <c r="HT34" s="8">
        <v>0.10838896545688101</v>
      </c>
      <c r="HU34" s="8">
        <v>0.11084190699869098</v>
      </c>
      <c r="HV34" s="8">
        <v>0.11992653243308916</v>
      </c>
      <c r="HW34" s="8">
        <v>0.13677345554016676</v>
      </c>
      <c r="HX34" s="8">
        <v>0.14717261932878684</v>
      </c>
      <c r="HY34" s="8">
        <v>7.5801176273539134E-2</v>
      </c>
      <c r="HZ34" s="8">
        <v>7.4170697769466332E-2</v>
      </c>
      <c r="IA34" s="8">
        <v>7.9813728434856068E-2</v>
      </c>
      <c r="IB34" s="8">
        <v>7.8863443075935014E-2</v>
      </c>
      <c r="IC34" s="8">
        <v>8.2875938605136562E-2</v>
      </c>
      <c r="ID34" s="8">
        <v>8.7274392847675297E-2</v>
      </c>
      <c r="IE34" s="8">
        <v>8.5450511375253294E-2</v>
      </c>
      <c r="IF34" s="8">
        <v>9.1287545909178827E-2</v>
      </c>
      <c r="IG34" s="8">
        <v>0.10147479070439361</v>
      </c>
      <c r="IH34" s="8">
        <v>8.8831857358978028E-2</v>
      </c>
      <c r="II34" s="8">
        <v>7.0649215803090748E-2</v>
      </c>
      <c r="IJ34" s="8">
        <v>7.1095063333377062E-2</v>
      </c>
      <c r="IK34" s="8">
        <v>7.550563796540509E-2</v>
      </c>
      <c r="IL34" s="8">
        <v>7.1206561981401406E-2</v>
      </c>
      <c r="IM34" s="8">
        <v>6.7363510603323129E-2</v>
      </c>
      <c r="IN34" s="8">
        <v>6.5105377024066893E-2</v>
      </c>
      <c r="IO34" s="8">
        <v>5.9677196854076159E-2</v>
      </c>
      <c r="IP34" s="8">
        <v>6.4697202610613527E-2</v>
      </c>
      <c r="IQ34" s="8">
        <v>6.7687773996257306E-2</v>
      </c>
      <c r="IR34" s="8">
        <v>6.3629943080235951E-2</v>
      </c>
      <c r="JB34" s="6" t="s">
        <v>327</v>
      </c>
      <c r="JC34" s="8">
        <v>0.73003391447494526</v>
      </c>
      <c r="JD34" s="8">
        <v>0.74119907936684926</v>
      </c>
      <c r="JE34" s="8">
        <v>0.73225124135462194</v>
      </c>
      <c r="JF34" s="8">
        <v>0.74853532002075107</v>
      </c>
      <c r="JG34" s="8">
        <v>0.75311454958131807</v>
      </c>
      <c r="JH34" s="8">
        <v>0.75340598082236687</v>
      </c>
      <c r="JI34" s="8">
        <v>0.73579965162178684</v>
      </c>
      <c r="JJ34" s="8">
        <v>0.71502634233242113</v>
      </c>
      <c r="JK34" s="8">
        <v>0.71772397940405175</v>
      </c>
      <c r="JL34" s="8">
        <v>0.7237395770871502</v>
      </c>
      <c r="JM34" s="8">
        <v>0.73227777400149197</v>
      </c>
      <c r="JN34" s="8">
        <v>0.72730690400714637</v>
      </c>
      <c r="JO34" s="8">
        <v>0.72154651411437576</v>
      </c>
      <c r="JP34" s="8">
        <v>0.69857105153826193</v>
      </c>
      <c r="JQ34" s="8">
        <v>0.68660477073866111</v>
      </c>
      <c r="JR34" s="8">
        <v>0.68282069487891106</v>
      </c>
      <c r="JS34" s="8">
        <v>0.6974295407663702</v>
      </c>
      <c r="JT34" s="8">
        <v>0.71455107613411173</v>
      </c>
      <c r="JU34" s="8">
        <v>0.72769014125120435</v>
      </c>
      <c r="JV34" s="7">
        <v>0.73233652631829849</v>
      </c>
      <c r="JW34" s="8">
        <v>0.585491643683267</v>
      </c>
      <c r="JX34" s="7">
        <v>0.59893564153547019</v>
      </c>
      <c r="JY34" s="8">
        <v>0.59188995246432707</v>
      </c>
      <c r="JZ34" s="8">
        <v>0.57841881091374625</v>
      </c>
      <c r="KA34" s="8">
        <v>0.58686568545213613</v>
      </c>
      <c r="KB34" s="8">
        <v>0.59222255544174762</v>
      </c>
      <c r="KC34" s="8">
        <v>0.59427709718906307</v>
      </c>
      <c r="KD34" s="8">
        <v>0.59445195001716711</v>
      </c>
      <c r="KE34" s="8">
        <v>0.58736790505596803</v>
      </c>
      <c r="KF34" s="8">
        <v>0.57544787126878927</v>
      </c>
      <c r="KG34" s="8">
        <v>0.41403876793918742</v>
      </c>
      <c r="KH34" s="7">
        <v>0.38766736063851848</v>
      </c>
      <c r="KI34" s="8">
        <v>0.38566396114586515</v>
      </c>
      <c r="KJ34" s="8">
        <v>0.38934828669417282</v>
      </c>
      <c r="KK34" s="8">
        <v>0.41465258109693615</v>
      </c>
      <c r="KL34" s="8">
        <v>0.43174964801464333</v>
      </c>
      <c r="KM34" s="8">
        <v>0.42813834809423201</v>
      </c>
      <c r="KN34" s="8">
        <v>0.4131377754998769</v>
      </c>
      <c r="KO34" s="8">
        <v>0.4029413922707718</v>
      </c>
      <c r="KP34" s="8">
        <v>0.4134571709981657</v>
      </c>
      <c r="KQ34" s="8">
        <v>0.62655279803389752</v>
      </c>
      <c r="KR34" s="8">
        <v>0.63821781821301282</v>
      </c>
      <c r="KS34" s="7">
        <v>0.64512947773458285</v>
      </c>
      <c r="KT34" s="8">
        <v>0.64131001817224531</v>
      </c>
      <c r="KU34" s="8">
        <v>0.64334116730280599</v>
      </c>
      <c r="KV34" s="8">
        <v>0.62669038873684813</v>
      </c>
      <c r="KW34" s="8">
        <v>0.62136107617293779</v>
      </c>
      <c r="KX34" s="8">
        <v>0.60883957642011011</v>
      </c>
      <c r="KY34" s="8">
        <v>0.60153528455897975</v>
      </c>
      <c r="KZ34" s="8">
        <v>0.61941867902339243</v>
      </c>
      <c r="LA34" s="8">
        <v>0.68922280558996718</v>
      </c>
      <c r="LB34" s="8">
        <v>0.68452563532239685</v>
      </c>
      <c r="LC34" s="8">
        <v>0.6751653627961739</v>
      </c>
      <c r="LD34" s="8">
        <v>0.69213369494833388</v>
      </c>
      <c r="LE34" s="8">
        <v>0.70232802724958376</v>
      </c>
      <c r="LF34" s="8">
        <v>0.70842573935347752</v>
      </c>
      <c r="LG34" s="8">
        <v>0.71150943643148368</v>
      </c>
      <c r="LH34" s="8">
        <v>0.68944659480650128</v>
      </c>
      <c r="LI34" s="8">
        <v>0.68345153762764055</v>
      </c>
      <c r="LJ34" s="8">
        <v>0.70732857283570982</v>
      </c>
      <c r="LL34" s="6" t="s">
        <v>310</v>
      </c>
      <c r="LM34" s="6" t="s">
        <v>160</v>
      </c>
      <c r="LN34" s="6" t="s">
        <v>161</v>
      </c>
      <c r="LO34" s="8">
        <v>0.64545145222029832</v>
      </c>
    </row>
    <row r="35" spans="2:327" x14ac:dyDescent="0.45">
      <c r="B35" s="3" t="s">
        <v>328</v>
      </c>
      <c r="C35" s="3" t="s">
        <v>151</v>
      </c>
      <c r="D35" s="5">
        <v>0.33068232284994498</v>
      </c>
      <c r="E35" s="5">
        <v>0.323833256331439</v>
      </c>
      <c r="F35" s="5">
        <v>0.31584719433972924</v>
      </c>
      <c r="G35" s="5">
        <v>0.31066022509480429</v>
      </c>
      <c r="H35" s="5">
        <v>0.30588107806800957</v>
      </c>
      <c r="I35" s="5">
        <v>0.2980057002638184</v>
      </c>
      <c r="J35" s="5">
        <v>0.31084159701456832</v>
      </c>
      <c r="K35" s="5">
        <v>0.31537761587207752</v>
      </c>
      <c r="L35" s="5">
        <v>0.31843606464190571</v>
      </c>
      <c r="M35" s="5">
        <v>0.32371728452096854</v>
      </c>
      <c r="N35" s="5">
        <v>0.29663545313586043</v>
      </c>
      <c r="O35" s="5">
        <v>0.30327565102790066</v>
      </c>
      <c r="P35" s="5">
        <v>0.31834540814549767</v>
      </c>
      <c r="Q35" s="5">
        <v>0.32429202307594457</v>
      </c>
      <c r="R35" s="5">
        <v>0.32561490019577005</v>
      </c>
      <c r="S35" s="5">
        <v>0.31549240370760756</v>
      </c>
      <c r="T35" s="5">
        <v>0.31247684855325775</v>
      </c>
      <c r="U35" s="5">
        <v>0.32277080010046116</v>
      </c>
      <c r="V35" s="5">
        <v>0.30097045401352762</v>
      </c>
      <c r="W35" s="5">
        <v>0.29971422231616557</v>
      </c>
      <c r="X35" s="5">
        <v>0.38637033626828232</v>
      </c>
      <c r="Y35" s="5">
        <v>0.37219021668014135</v>
      </c>
      <c r="Z35" s="5">
        <v>0.35958787354922672</v>
      </c>
      <c r="AA35" s="5">
        <v>0.35157146252521976</v>
      </c>
      <c r="AB35" s="5">
        <v>0.34224638505351457</v>
      </c>
      <c r="AC35" s="5">
        <v>0.32871245708732777</v>
      </c>
      <c r="AD35" s="5">
        <v>0.32689393494105362</v>
      </c>
      <c r="AE35" s="5">
        <v>0.32636441954915885</v>
      </c>
      <c r="AF35" s="5">
        <v>0.3296607125975804</v>
      </c>
      <c r="AG35" s="5">
        <v>0.36077700303856153</v>
      </c>
      <c r="AH35" s="5">
        <v>0.38927766211824261</v>
      </c>
      <c r="AI35" s="5">
        <v>0.36946552571672281</v>
      </c>
      <c r="AJ35" s="5">
        <v>0.39496517407638471</v>
      </c>
      <c r="AK35" s="5">
        <v>0.39747395288554238</v>
      </c>
      <c r="AL35" s="5">
        <v>0.38319742302674209</v>
      </c>
      <c r="AM35" s="5">
        <v>0.35408619298342381</v>
      </c>
      <c r="AN35" s="5">
        <v>0.33395128634695903</v>
      </c>
      <c r="AO35" s="5">
        <v>0.32889499713868126</v>
      </c>
      <c r="AP35" s="5">
        <v>0.33760828192116527</v>
      </c>
      <c r="AQ35" s="5">
        <v>0.39393754188136143</v>
      </c>
      <c r="AR35" s="5">
        <v>0.31376833423511069</v>
      </c>
      <c r="AS35" s="5">
        <v>0.31879329552186458</v>
      </c>
      <c r="AT35" s="5">
        <v>0.33208527989968473</v>
      </c>
      <c r="AU35" s="5">
        <v>0.32477502271464886</v>
      </c>
      <c r="AV35" s="5">
        <v>0.30224746537491581</v>
      </c>
      <c r="AW35" s="5">
        <v>0.29967163696892601</v>
      </c>
      <c r="AX35" s="5">
        <v>0.31240100511156854</v>
      </c>
      <c r="AY35" s="5">
        <v>0.31472990642727489</v>
      </c>
      <c r="AZ35" s="5">
        <v>0.32282500326550773</v>
      </c>
      <c r="BA35" s="5">
        <v>0.31056726792214207</v>
      </c>
      <c r="BB35" s="5">
        <v>0.33346021764049388</v>
      </c>
      <c r="BC35" s="5">
        <v>0.3347840343379887</v>
      </c>
      <c r="BD35" s="5">
        <v>0.34520148105266929</v>
      </c>
      <c r="BE35" s="5">
        <v>0.36756312359144822</v>
      </c>
      <c r="BF35" s="5">
        <v>0.34304952193200394</v>
      </c>
      <c r="BG35" s="5">
        <v>0.32553960408325311</v>
      </c>
      <c r="BH35" s="5">
        <v>0.3171864842860182</v>
      </c>
      <c r="BI35" s="5">
        <v>0.32635148722266633</v>
      </c>
      <c r="BJ35" s="5">
        <v>0.33718586168715964</v>
      </c>
      <c r="BK35" s="5">
        <v>0.32470508264601677</v>
      </c>
      <c r="BM35" s="3" t="s">
        <v>328</v>
      </c>
      <c r="BN35" s="3" t="s">
        <v>152</v>
      </c>
      <c r="BO35" s="5">
        <v>1.7207629038598675E-2</v>
      </c>
      <c r="BP35" s="5">
        <v>1.1406336359856908E-2</v>
      </c>
      <c r="BQ35" s="5">
        <v>2.178175484542557E-2</v>
      </c>
      <c r="BR35" s="5">
        <v>2.7948101615496265E-2</v>
      </c>
      <c r="BS35" s="5">
        <v>4.3422260777904662E-2</v>
      </c>
      <c r="BT35" s="5">
        <v>3.3162017962046784E-2</v>
      </c>
      <c r="BU35" s="4">
        <v>2.7264231298807007E-2</v>
      </c>
      <c r="BV35" s="5">
        <v>1.8624874962518172E-2</v>
      </c>
      <c r="BW35" s="5">
        <v>2.3041605885151958E-2</v>
      </c>
      <c r="BX35" s="5">
        <v>3.3492507362577618E-2</v>
      </c>
      <c r="BY35" s="5">
        <v>2.8678888656111456E-2</v>
      </c>
      <c r="BZ35" s="4">
        <v>3.2163875400308736E-3</v>
      </c>
      <c r="CA35" s="5">
        <v>1.4386490057734987E-2</v>
      </c>
      <c r="CB35" s="5">
        <v>2.3098601562860106E-2</v>
      </c>
      <c r="CC35" s="5">
        <v>2.3020664990333065E-2</v>
      </c>
      <c r="CD35" s="4">
        <v>8.9670139691776767E-3</v>
      </c>
      <c r="CE35" s="4">
        <v>1.7983905797223775E-2</v>
      </c>
      <c r="CF35" s="4">
        <v>0</v>
      </c>
      <c r="CG35" s="5">
        <v>1.2224542286084126E-3</v>
      </c>
      <c r="CH35" s="5">
        <v>1.7339973958094557E-2</v>
      </c>
      <c r="CI35" s="5">
        <v>5.5133218512697382E-2</v>
      </c>
      <c r="CJ35" s="5">
        <v>3.3599976096577985E-2</v>
      </c>
      <c r="CK35" s="4">
        <v>8.7052045554902313E-3</v>
      </c>
      <c r="CL35" s="4">
        <v>2.2660208629429249E-2</v>
      </c>
      <c r="CM35" s="5">
        <v>2.5134795893409959E-2</v>
      </c>
      <c r="CN35" s="5">
        <v>1.8873609755171258E-2</v>
      </c>
      <c r="CO35" s="5">
        <v>1.9014094225569902E-2</v>
      </c>
      <c r="CP35" s="5">
        <v>2.0124373159498315E-2</v>
      </c>
      <c r="CQ35" s="5">
        <v>1.0460941982303887E-2</v>
      </c>
      <c r="CR35" s="5">
        <v>9.3880350411924655E-3</v>
      </c>
      <c r="CS35" s="5">
        <v>2.5915008985935115E-2</v>
      </c>
      <c r="CT35" s="4">
        <v>3.5163314486581561E-2</v>
      </c>
      <c r="CU35" s="5">
        <v>5.4820573162321827E-2</v>
      </c>
      <c r="CV35" s="5">
        <v>6.8043169937191048E-2</v>
      </c>
      <c r="CW35" s="5">
        <v>2.3201118645463648E-2</v>
      </c>
      <c r="CX35" s="5">
        <v>3.1019079877057886E-2</v>
      </c>
      <c r="CY35" s="5">
        <v>2.6901953008545268E-2</v>
      </c>
      <c r="CZ35" s="5">
        <v>1.0412330598351055E-2</v>
      </c>
      <c r="DA35" s="5">
        <v>3.0837851471436271E-2</v>
      </c>
      <c r="DB35" s="4">
        <v>3.4274749676543467E-2</v>
      </c>
      <c r="DC35" s="5">
        <v>6.4057963720326155E-2</v>
      </c>
      <c r="DD35" s="5">
        <v>3.6494885783753948E-2</v>
      </c>
      <c r="DE35" s="5">
        <v>5.7437389322962544E-2</v>
      </c>
      <c r="DF35" s="5">
        <v>3.7258022675512051E-2</v>
      </c>
      <c r="DG35" s="5">
        <v>2.777637756217648E-2</v>
      </c>
      <c r="DH35" s="5">
        <v>4.2208832486431626E-2</v>
      </c>
      <c r="DI35" s="5">
        <v>2.0822807161612132E-2</v>
      </c>
      <c r="DJ35" s="5">
        <v>6.8266759746450625E-3</v>
      </c>
      <c r="DK35" s="5">
        <v>1.3182072165186253E-2</v>
      </c>
      <c r="DL35" s="5">
        <v>3.193991877876301E-2</v>
      </c>
      <c r="DM35" s="5">
        <v>4.305955818033648E-2</v>
      </c>
      <c r="DN35" s="5">
        <v>3.9139441344335446E-2</v>
      </c>
      <c r="DO35" s="5">
        <v>2.2646395414204028E-2</v>
      </c>
      <c r="DP35" s="5">
        <v>3.1991629427993974E-2</v>
      </c>
      <c r="DQ35" s="5">
        <v>2.9751134856191408E-2</v>
      </c>
      <c r="DR35" s="5">
        <v>2.8616545621175427E-2</v>
      </c>
      <c r="DS35" s="5">
        <v>2.528297941679036E-2</v>
      </c>
      <c r="DT35" s="5">
        <v>2.682468217560062E-2</v>
      </c>
      <c r="DU35" s="4">
        <v>1.9488516045091858E-2</v>
      </c>
      <c r="DV35" s="5">
        <v>9.5340341119016393E-3</v>
      </c>
      <c r="DX35" s="3" t="s">
        <v>328</v>
      </c>
      <c r="DY35" s="3" t="s">
        <v>153</v>
      </c>
      <c r="DZ35" s="5">
        <v>4.3612308636031057E-2</v>
      </c>
      <c r="EA35" s="5">
        <v>2.2331013873555766E-2</v>
      </c>
      <c r="EB35" s="4">
        <v>6.5623166244014144E-4</v>
      </c>
      <c r="EC35" s="5">
        <v>1.4138219493385793E-2</v>
      </c>
      <c r="ED35" s="5">
        <v>1.353523140540689E-2</v>
      </c>
      <c r="EE35" s="5">
        <v>3.1087915457275021E-2</v>
      </c>
      <c r="EF35" s="4">
        <v>5.3076632600434943E-2</v>
      </c>
      <c r="EG35" s="5">
        <v>6.940673855431842E-2</v>
      </c>
      <c r="EH35" s="5">
        <v>3.8550642787044558E-2</v>
      </c>
      <c r="EI35" s="5">
        <v>1.7797550472625941E-2</v>
      </c>
      <c r="EJ35" s="5">
        <v>2.9750786621685475E-2</v>
      </c>
      <c r="EK35" s="5">
        <v>6.0861981437390682E-2</v>
      </c>
      <c r="EL35" s="5">
        <v>4.1570627484407256E-2</v>
      </c>
      <c r="EM35" s="5">
        <v>9.5438878975135678E-3</v>
      </c>
      <c r="EN35" s="5">
        <v>7.1714069406815578E-3</v>
      </c>
      <c r="EO35" s="5">
        <v>2.4881996531288173E-2</v>
      </c>
      <c r="EP35" s="5">
        <v>2.5654946043818093E-2</v>
      </c>
      <c r="EQ35" s="5">
        <v>3.743109790186392E-2</v>
      </c>
      <c r="ER35" s="5">
        <v>9.6845005546275162E-3</v>
      </c>
      <c r="ES35" s="5">
        <v>3.8902424983234315E-3</v>
      </c>
      <c r="ET35" s="5">
        <v>1.576599499781248E-2</v>
      </c>
      <c r="EU35" s="5">
        <v>8.0030402804730311E-2</v>
      </c>
      <c r="EV35" s="5">
        <v>9.4890791869401775E-2</v>
      </c>
      <c r="EW35" s="5">
        <v>2.8079102858458344E-2</v>
      </c>
      <c r="EX35" s="5">
        <v>1.9286287244917846E-2</v>
      </c>
      <c r="EY35" s="5">
        <v>3.0242883101985012E-2</v>
      </c>
      <c r="EZ35" s="5">
        <v>2.8326405247704939E-2</v>
      </c>
      <c r="FA35" s="5">
        <v>3.5106430947598403E-2</v>
      </c>
      <c r="FB35" s="5">
        <v>4.6812101694851296E-2</v>
      </c>
      <c r="FC35" s="5">
        <v>5.5054656021099359E-2</v>
      </c>
      <c r="FD35" s="5">
        <v>3.9016287120111237E-2</v>
      </c>
      <c r="FE35" s="4">
        <v>6.0934386409134039E-2</v>
      </c>
      <c r="FF35" s="5">
        <v>5.0132012678414668E-2</v>
      </c>
      <c r="FG35" s="5">
        <v>7.3349495086924343E-2</v>
      </c>
      <c r="FH35" s="5">
        <v>8.4613441688299776E-2</v>
      </c>
      <c r="FI35" s="5">
        <v>6.414596076756561E-2</v>
      </c>
      <c r="FJ35" s="5">
        <v>5.3949480795862453E-2</v>
      </c>
      <c r="FK35" s="5">
        <v>2.1078464270099382E-2</v>
      </c>
      <c r="FL35" s="5">
        <v>2.7951892494851034E-2</v>
      </c>
      <c r="FM35" s="5">
        <v>6.0438893244243209E-2</v>
      </c>
      <c r="FN35" s="5">
        <v>5.8487178794001872E-2</v>
      </c>
      <c r="FO35" s="5">
        <v>9.7791554230191036E-2</v>
      </c>
      <c r="FP35" s="5">
        <v>7.2161486747465739E-2</v>
      </c>
      <c r="FQ35" s="5">
        <v>4.9683611704475085E-2</v>
      </c>
      <c r="FR35" s="5">
        <v>2.5427040032560907E-2</v>
      </c>
      <c r="FS35" s="5">
        <v>3.2324740049282402E-2</v>
      </c>
      <c r="FT35" s="5">
        <v>4.7686788731405076E-2</v>
      </c>
      <c r="FU35" s="5">
        <v>5.2848800742829952E-2</v>
      </c>
      <c r="FV35" s="5">
        <v>4.6852836565198196E-2</v>
      </c>
      <c r="FW35" s="5">
        <v>5.8014341078168798E-3</v>
      </c>
      <c r="FX35" s="5">
        <v>1.5140597572783555E-2</v>
      </c>
      <c r="FY35" s="5">
        <v>4.118602952811342E-2</v>
      </c>
      <c r="FZ35" s="5">
        <v>5.4271038346037546E-2</v>
      </c>
      <c r="GA35" s="5">
        <v>4.6955999276513963E-2</v>
      </c>
      <c r="GB35" s="5">
        <v>2.4205469464777103E-2</v>
      </c>
      <c r="GC35" s="5">
        <v>2.9020833190540329E-2</v>
      </c>
      <c r="GD35" s="5">
        <v>4.0153461678097871E-2</v>
      </c>
      <c r="GE35" s="5">
        <v>4.0368876718246197E-2</v>
      </c>
      <c r="GF35" s="5">
        <v>3.0372994707716237E-2</v>
      </c>
      <c r="GG35" s="5">
        <v>2.133040712885978E-2</v>
      </c>
      <c r="GI35" s="3" t="s">
        <v>328</v>
      </c>
      <c r="GJ35" s="3" t="s">
        <v>154</v>
      </c>
      <c r="GK35" s="5">
        <v>0.14638526239966265</v>
      </c>
      <c r="GL35" s="5">
        <v>0.16735451290546824</v>
      </c>
      <c r="GM35" s="5">
        <v>0.16731927954418516</v>
      </c>
      <c r="GN35" s="5">
        <v>0.13216273326066344</v>
      </c>
      <c r="GO35" s="5">
        <v>0.11843507918688286</v>
      </c>
      <c r="GP35" s="5">
        <v>0.10794035097734447</v>
      </c>
      <c r="GQ35" s="5">
        <v>0.11578080054672245</v>
      </c>
      <c r="GR35" s="5">
        <v>0.10408163082058179</v>
      </c>
      <c r="GS35" s="5">
        <v>0.13477589199686799</v>
      </c>
      <c r="GT35" s="5">
        <v>0.14840644968065653</v>
      </c>
      <c r="GU35" s="5">
        <v>0.12567296496259325</v>
      </c>
      <c r="GV35" s="5">
        <v>0.12754027559343284</v>
      </c>
      <c r="GW35" s="5">
        <v>0.14810039544193063</v>
      </c>
      <c r="GX35" s="5">
        <v>0.16284957738090458</v>
      </c>
      <c r="GY35" s="5">
        <v>0.16516850256898438</v>
      </c>
      <c r="GZ35" s="5">
        <v>0.15564469590574931</v>
      </c>
      <c r="HA35" s="5">
        <v>0.14984012017783144</v>
      </c>
      <c r="HB35" s="4">
        <v>0.16962334675795457</v>
      </c>
      <c r="HC35" s="5">
        <v>0.17703582431773762</v>
      </c>
      <c r="HD35" s="5">
        <v>0.16441577215501246</v>
      </c>
      <c r="HE35" s="5">
        <v>0.17276416386515772</v>
      </c>
      <c r="HF35" s="5">
        <v>0.12268516038844161</v>
      </c>
      <c r="HG35" s="5">
        <v>0.13108757694024914</v>
      </c>
      <c r="HH35" s="5">
        <v>0.17219052153232914</v>
      </c>
      <c r="HI35" s="5">
        <v>0.16986573521810638</v>
      </c>
      <c r="HJ35" s="5">
        <v>0.149445869440022</v>
      </c>
      <c r="HK35" s="5">
        <v>0.14593069804049882</v>
      </c>
      <c r="HL35" s="4">
        <v>0.13834357588012655</v>
      </c>
      <c r="HM35" s="5">
        <v>0.14864379088354546</v>
      </c>
      <c r="HN35" s="5">
        <v>0.16907267526524983</v>
      </c>
      <c r="HO35" s="5">
        <v>0.2009118522914895</v>
      </c>
      <c r="HP35" s="5">
        <v>0.14979970739897841</v>
      </c>
      <c r="HQ35" s="5">
        <v>0.14677461462945876</v>
      </c>
      <c r="HR35" s="5">
        <v>0.12353270362501885</v>
      </c>
      <c r="HS35" s="5">
        <v>0.12951203847368042</v>
      </c>
      <c r="HT35" s="5">
        <v>0.12952529835361623</v>
      </c>
      <c r="HU35" s="5">
        <v>0.14580189603762378</v>
      </c>
      <c r="HV35" s="5">
        <v>0.20148708310680682</v>
      </c>
      <c r="HW35" s="5">
        <v>0.18499075930858769</v>
      </c>
      <c r="HX35" s="5">
        <v>0.19072547601681292</v>
      </c>
      <c r="HY35" s="5">
        <v>9.5327219207444761E-2</v>
      </c>
      <c r="HZ35" s="5">
        <v>9.0384147178967728E-2</v>
      </c>
      <c r="IA35" s="5">
        <v>0.10828954134785289</v>
      </c>
      <c r="IB35" s="5">
        <v>0.12853247820161659</v>
      </c>
      <c r="IC35" s="5">
        <v>0.13411963257666143</v>
      </c>
      <c r="ID35" s="5">
        <v>0.1171186084415643</v>
      </c>
      <c r="IE35" s="5">
        <v>0.12733917254258784</v>
      </c>
      <c r="IF35" s="5">
        <v>0.1407925256139235</v>
      </c>
      <c r="IG35" s="5">
        <v>0.15767312066175623</v>
      </c>
      <c r="IH35" s="5">
        <v>0.16717619560583244</v>
      </c>
      <c r="II35" s="5">
        <v>0.1467008299591456</v>
      </c>
      <c r="IJ35" s="5">
        <v>0.11997705578069506</v>
      </c>
      <c r="IK35" s="5">
        <v>0.13377916183687533</v>
      </c>
      <c r="IL35" s="5">
        <v>0.13946292153436179</v>
      </c>
      <c r="IM35" s="5">
        <v>0.14520933033149594</v>
      </c>
      <c r="IN35" s="5">
        <v>0.13448411224864112</v>
      </c>
      <c r="IO35" s="5">
        <v>0.12245662081806395</v>
      </c>
      <c r="IP35" s="5">
        <v>0.12577917609931064</v>
      </c>
      <c r="IQ35" s="5">
        <v>0.14994189054863802</v>
      </c>
      <c r="IR35" s="5">
        <v>0.16719950295380515</v>
      </c>
      <c r="JB35" s="3" t="s">
        <v>328</v>
      </c>
      <c r="JC35" s="5">
        <v>0.39995935611972244</v>
      </c>
      <c r="JD35" s="5">
        <v>0.4073626344280365</v>
      </c>
      <c r="JE35" s="5">
        <v>0.42254044341187624</v>
      </c>
      <c r="JF35" s="5">
        <v>0.45468169023657928</v>
      </c>
      <c r="JG35" s="5">
        <v>0.47418859724318763</v>
      </c>
      <c r="JH35" s="5">
        <v>0.4650008018911807</v>
      </c>
      <c r="JI35" s="5">
        <v>0.44098730599789121</v>
      </c>
      <c r="JJ35" s="5">
        <v>0.42419268569537671</v>
      </c>
      <c r="JK35" s="5">
        <v>0.42454452554413463</v>
      </c>
      <c r="JL35" s="5">
        <v>0.41627724555609319</v>
      </c>
      <c r="JM35" s="5">
        <v>0.39794000915401939</v>
      </c>
      <c r="JN35" s="5">
        <v>0.38915409820216185</v>
      </c>
      <c r="JO35" s="5">
        <v>0.40038756638459183</v>
      </c>
      <c r="JP35" s="5">
        <v>0.43833676244742314</v>
      </c>
      <c r="JQ35" s="5">
        <v>0.44056352629594275</v>
      </c>
      <c r="JR35" s="5">
        <v>0.44826646720055602</v>
      </c>
      <c r="JS35" s="5">
        <v>0.44255836628461004</v>
      </c>
      <c r="JT35" s="5">
        <v>0.404061776580252</v>
      </c>
      <c r="JU35" s="5">
        <v>0.39316869738356658</v>
      </c>
      <c r="JV35" s="4">
        <v>0.39847380032046781</v>
      </c>
      <c r="JW35" s="5">
        <v>0.27886259483570847</v>
      </c>
      <c r="JX35" s="4">
        <v>0.29309925611943088</v>
      </c>
      <c r="JY35" s="5">
        <v>0.3356395076825579</v>
      </c>
      <c r="JZ35" s="5">
        <v>0.36854227428733122</v>
      </c>
      <c r="KA35" s="5">
        <v>0.39847893947116692</v>
      </c>
      <c r="KB35" s="5">
        <v>0.41206894570902736</v>
      </c>
      <c r="KC35" s="5">
        <v>0.40669270889237735</v>
      </c>
      <c r="KD35" s="5">
        <v>0.37442769091218753</v>
      </c>
      <c r="KE35" s="5">
        <v>0.3165125443784535</v>
      </c>
      <c r="KF35" s="5">
        <v>0.28487285108882465</v>
      </c>
      <c r="KG35" s="5">
        <v>0.17006248012695033</v>
      </c>
      <c r="KH35" s="4">
        <v>0.15457034927121041</v>
      </c>
      <c r="KI35" s="5">
        <v>0.17883002728722175</v>
      </c>
      <c r="KJ35" s="5">
        <v>0.20143312163106861</v>
      </c>
      <c r="KK35" s="5">
        <v>0.22247002762935048</v>
      </c>
      <c r="KL35" s="5">
        <v>0.23691557225439588</v>
      </c>
      <c r="KM35" s="5">
        <v>0.23098067985007581</v>
      </c>
      <c r="KN35" s="5">
        <v>0.2021530942996515</v>
      </c>
      <c r="KO35" s="5">
        <v>0.1671375129927275</v>
      </c>
      <c r="KP35" s="5">
        <v>0.16653789877376335</v>
      </c>
      <c r="KQ35" s="5">
        <v>0.27701336156881817</v>
      </c>
      <c r="KR35" s="5">
        <v>0.29392315772404448</v>
      </c>
      <c r="KS35" s="4">
        <v>0.32070378723817078</v>
      </c>
      <c r="KT35" s="5">
        <v>0.34991550885745165</v>
      </c>
      <c r="KU35" s="5">
        <v>0.36674069968064055</v>
      </c>
      <c r="KV35" s="5">
        <v>0.35950107128954806</v>
      </c>
      <c r="KW35" s="5">
        <v>0.33892703506026034</v>
      </c>
      <c r="KX35" s="5">
        <v>0.29524248553202131</v>
      </c>
      <c r="KY35" s="5">
        <v>0.27493708099984276</v>
      </c>
      <c r="KZ35" s="5">
        <v>0.27832481385802499</v>
      </c>
      <c r="LA35" s="5">
        <v>0.41273462571014063</v>
      </c>
      <c r="LB35" s="5">
        <v>0.43916260205893076</v>
      </c>
      <c r="LC35" s="5">
        <v>0.43722336829541125</v>
      </c>
      <c r="LD35" s="5">
        <v>0.44977456316578085</v>
      </c>
      <c r="LE35" s="5">
        <v>0.47299089299746316</v>
      </c>
      <c r="LF35" s="5">
        <v>0.46979334149059676</v>
      </c>
      <c r="LG35" s="5">
        <v>0.4512793392079984</v>
      </c>
      <c r="LH35" s="5">
        <v>0.44782956230343257</v>
      </c>
      <c r="LI35" s="5">
        <v>0.42813897513277416</v>
      </c>
      <c r="LJ35" s="5">
        <v>0.40903817390209296</v>
      </c>
      <c r="LL35" s="3" t="s">
        <v>312</v>
      </c>
      <c r="LM35" s="3" t="s">
        <v>160</v>
      </c>
      <c r="LN35" s="3" t="s">
        <v>161</v>
      </c>
      <c r="LO35" s="5">
        <v>0.69334220326953111</v>
      </c>
    </row>
    <row r="36" spans="2:327" x14ac:dyDescent="0.45">
      <c r="B36" s="6" t="s">
        <v>329</v>
      </c>
      <c r="C36" s="6" t="s">
        <v>151</v>
      </c>
      <c r="D36" s="8">
        <v>0.23411139070091316</v>
      </c>
      <c r="E36" s="8">
        <v>0.22402150672793261</v>
      </c>
      <c r="F36" s="8">
        <v>0.22801458817810544</v>
      </c>
      <c r="G36" s="8">
        <v>0.21758593978034632</v>
      </c>
      <c r="H36" s="8">
        <v>0.22174033157165501</v>
      </c>
      <c r="I36" s="8">
        <v>0.20612986051077614</v>
      </c>
      <c r="J36" s="8">
        <v>0.20793281614517223</v>
      </c>
      <c r="K36" s="8">
        <v>0.22224579918979015</v>
      </c>
      <c r="L36" s="8">
        <v>0.22616800098972203</v>
      </c>
      <c r="M36" s="8">
        <v>0.23398788069326182</v>
      </c>
      <c r="N36" s="8">
        <v>0.20457088559851141</v>
      </c>
      <c r="O36" s="8">
        <v>0.20913574808067836</v>
      </c>
      <c r="P36" s="8">
        <v>0.21695347712050261</v>
      </c>
      <c r="Q36" s="8">
        <v>0.23923661217168268</v>
      </c>
      <c r="R36" s="8">
        <v>0.25293785880228981</v>
      </c>
      <c r="S36" s="8">
        <v>0.2533946068939712</v>
      </c>
      <c r="T36" s="8">
        <v>0.23980670218322314</v>
      </c>
      <c r="U36" s="8">
        <v>0.22315993467840314</v>
      </c>
      <c r="V36" s="8">
        <v>0.2060088608712928</v>
      </c>
      <c r="W36" s="8">
        <v>0.20799754813893154</v>
      </c>
      <c r="X36" s="8">
        <v>0.29374731280142252</v>
      </c>
      <c r="Y36" s="8">
        <v>0.27825298828092548</v>
      </c>
      <c r="Z36" s="8">
        <v>0.28779958040344683</v>
      </c>
      <c r="AA36" s="8">
        <v>0.29328131777434485</v>
      </c>
      <c r="AB36" s="8">
        <v>0.28945828399231571</v>
      </c>
      <c r="AC36" s="8">
        <v>0.28649095452013873</v>
      </c>
      <c r="AD36" s="8">
        <v>0.27975467580384117</v>
      </c>
      <c r="AE36" s="8">
        <v>0.27174791270791826</v>
      </c>
      <c r="AF36" s="8">
        <v>0.26417505624874388</v>
      </c>
      <c r="AG36" s="8">
        <v>0.29055564391327543</v>
      </c>
      <c r="AH36" s="8">
        <v>0.34970558568235893</v>
      </c>
      <c r="AI36" s="8">
        <v>0.34313854768646074</v>
      </c>
      <c r="AJ36" s="8">
        <v>0.34751927703922497</v>
      </c>
      <c r="AK36" s="8">
        <v>0.3542552193742155</v>
      </c>
      <c r="AL36" s="8">
        <v>0.35229828790412004</v>
      </c>
      <c r="AM36" s="8">
        <v>0.32997047648853761</v>
      </c>
      <c r="AN36" s="8">
        <v>0.31100223126949383</v>
      </c>
      <c r="AO36" s="8">
        <v>0.31222147466154843</v>
      </c>
      <c r="AP36" s="8">
        <v>0.32724580266912545</v>
      </c>
      <c r="AQ36" s="8">
        <v>0.36194985314587225</v>
      </c>
      <c r="AR36" s="8">
        <v>0.23919534980107895</v>
      </c>
      <c r="AS36" s="8">
        <v>0.22750538538825549</v>
      </c>
      <c r="AT36" s="8">
        <v>0.22434187442046494</v>
      </c>
      <c r="AU36" s="8">
        <v>0.23502237221019834</v>
      </c>
      <c r="AV36" s="8">
        <v>0.25245120564734891</v>
      </c>
      <c r="AW36" s="8">
        <v>0.26178496084882602</v>
      </c>
      <c r="AX36" s="8">
        <v>0.26361360911600168</v>
      </c>
      <c r="AY36" s="8">
        <v>0.26073430434531086</v>
      </c>
      <c r="AZ36" s="8">
        <v>0.26229905482165317</v>
      </c>
      <c r="BA36" s="8">
        <v>0.25676926529428762</v>
      </c>
      <c r="BB36" s="8">
        <v>0.22045865494640943</v>
      </c>
      <c r="BC36" s="8">
        <v>0.22712413771510545</v>
      </c>
      <c r="BD36" s="8">
        <v>0.23021211428665453</v>
      </c>
      <c r="BE36" s="8">
        <v>0.22446955915247055</v>
      </c>
      <c r="BF36" s="8">
        <v>0.22477046009052368</v>
      </c>
      <c r="BG36" s="8">
        <v>0.20966794843231665</v>
      </c>
      <c r="BH36" s="8">
        <v>0.21246707029441614</v>
      </c>
      <c r="BI36" s="8">
        <v>0.23008954176524707</v>
      </c>
      <c r="BJ36" s="8">
        <v>0.24293788729895016</v>
      </c>
      <c r="BK36" s="8">
        <v>0.23218396650743514</v>
      </c>
      <c r="BM36" s="6" t="s">
        <v>329</v>
      </c>
      <c r="BN36" s="6" t="s">
        <v>152</v>
      </c>
      <c r="BO36" s="8">
        <v>1.7006942208703014E-2</v>
      </c>
      <c r="BP36" s="8">
        <v>1.721582098152822E-2</v>
      </c>
      <c r="BQ36" s="8">
        <v>1.4591483333082805E-2</v>
      </c>
      <c r="BR36" s="8">
        <v>1.1178635852435944E-2</v>
      </c>
      <c r="BS36" s="8">
        <v>1.6086813493616604E-2</v>
      </c>
      <c r="BT36" s="8">
        <v>1.0311315008817656E-2</v>
      </c>
      <c r="BU36" s="7">
        <v>4.6165448592224031E-4</v>
      </c>
      <c r="BV36" s="8">
        <v>7.2416780895179127E-3</v>
      </c>
      <c r="BW36" s="8">
        <v>1.5142095148038997E-2</v>
      </c>
      <c r="BX36" s="8">
        <v>1.5823151984494393E-2</v>
      </c>
      <c r="BY36" s="8">
        <v>1.4341014909333399E-2</v>
      </c>
      <c r="BZ36" s="7">
        <v>7.8567629666737183E-3</v>
      </c>
      <c r="CA36" s="8">
        <v>1.0502198857438342E-2</v>
      </c>
      <c r="CB36" s="8">
        <v>8.5093838715141652E-3</v>
      </c>
      <c r="CC36" s="8">
        <v>7.3812531943227575E-3</v>
      </c>
      <c r="CD36" s="7">
        <v>1.4335612626033048E-3</v>
      </c>
      <c r="CE36" s="7">
        <v>4.7721075640065336E-3</v>
      </c>
      <c r="CF36" s="7">
        <v>5.0209323231050094E-3</v>
      </c>
      <c r="CG36" s="8">
        <v>3.18220161506115E-3</v>
      </c>
      <c r="CH36" s="8">
        <v>7.089118199213755E-3</v>
      </c>
      <c r="CI36" s="8">
        <v>2.110412629123749E-2</v>
      </c>
      <c r="CJ36" s="8">
        <v>1.8384190519458259E-2</v>
      </c>
      <c r="CK36" s="7">
        <v>1.7367782742364054E-2</v>
      </c>
      <c r="CL36" s="7">
        <v>2.3164661338695176E-2</v>
      </c>
      <c r="CM36" s="8">
        <v>1.3892068122157248E-2</v>
      </c>
      <c r="CN36" s="8">
        <v>1.6955055266939439E-2</v>
      </c>
      <c r="CO36" s="8">
        <v>1.8800387100027984E-2</v>
      </c>
      <c r="CP36" s="8">
        <v>9.2550813031201697E-3</v>
      </c>
      <c r="CQ36" s="8">
        <v>1.4578650980155521E-3</v>
      </c>
      <c r="CR36" s="8">
        <v>1.391086940020083E-2</v>
      </c>
      <c r="CS36" s="8">
        <v>1.799458932332703E-2</v>
      </c>
      <c r="CT36" s="7">
        <v>2.0649033093836158E-2</v>
      </c>
      <c r="CU36" s="8">
        <v>3.3884398860041381E-2</v>
      </c>
      <c r="CV36" s="8">
        <v>2.1775710156906342E-2</v>
      </c>
      <c r="CW36" s="8">
        <v>3.6058010414467094E-2</v>
      </c>
      <c r="CX36" s="8">
        <v>3.2826680443038443E-2</v>
      </c>
      <c r="CY36" s="8">
        <v>1.3857975245576132E-2</v>
      </c>
      <c r="CZ36" s="8">
        <v>1.9693870566875386E-2</v>
      </c>
      <c r="DA36" s="8">
        <v>2.3965748640025864E-2</v>
      </c>
      <c r="DB36" s="7">
        <v>3.7201899968101429E-2</v>
      </c>
      <c r="DC36" s="8">
        <v>2.0279381454423727E-2</v>
      </c>
      <c r="DD36" s="8">
        <v>1.3016065261918425E-2</v>
      </c>
      <c r="DE36" s="8">
        <v>1.2104715510450986E-2</v>
      </c>
      <c r="DF36" s="8">
        <v>1.6348655123929325E-2</v>
      </c>
      <c r="DG36" s="8">
        <v>2.0239401676552644E-2</v>
      </c>
      <c r="DH36" s="8">
        <v>1.6449538196762207E-2</v>
      </c>
      <c r="DI36" s="8">
        <v>4.1778507013124355E-3</v>
      </c>
      <c r="DJ36" s="8">
        <v>4.4566222905477815E-3</v>
      </c>
      <c r="DK36" s="8">
        <v>5.1706623221977246E-3</v>
      </c>
      <c r="DL36" s="8">
        <v>1.849104583552811E-2</v>
      </c>
      <c r="DM36" s="8">
        <v>1.2106900350112819E-2</v>
      </c>
      <c r="DN36" s="8">
        <v>9.0242384194977442E-3</v>
      </c>
      <c r="DO36" s="8">
        <v>6.6541008060205919E-3</v>
      </c>
      <c r="DP36" s="8">
        <v>1.0018742562824264E-2</v>
      </c>
      <c r="DQ36" s="8">
        <v>1.8104693218540167E-2</v>
      </c>
      <c r="DR36" s="8">
        <v>1.5924080994835128E-2</v>
      </c>
      <c r="DS36" s="8">
        <v>1.0604092889713033E-2</v>
      </c>
      <c r="DT36" s="8">
        <v>1.5472608217777501E-2</v>
      </c>
      <c r="DU36" s="7">
        <v>1.6942930683489104E-2</v>
      </c>
      <c r="DV36" s="8">
        <v>1.2343069689378277E-2</v>
      </c>
      <c r="DX36" s="6" t="s">
        <v>329</v>
      </c>
      <c r="DY36" s="6" t="s">
        <v>153</v>
      </c>
      <c r="DZ36" s="8">
        <v>1.5667281700058225E-2</v>
      </c>
      <c r="EA36" s="8">
        <v>1.8981811250858672E-2</v>
      </c>
      <c r="EB36" s="7">
        <v>2.3885905927389397E-2</v>
      </c>
      <c r="EC36" s="8">
        <v>2.2362528963814309E-2</v>
      </c>
      <c r="ED36" s="8">
        <v>1.463897282536056E-2</v>
      </c>
      <c r="EE36" s="8">
        <v>1.2478807497046532E-2</v>
      </c>
      <c r="EF36" s="7">
        <v>1.4824895298765389E-2</v>
      </c>
      <c r="EG36" s="8">
        <v>1.324287009872684E-2</v>
      </c>
      <c r="EH36" s="8">
        <v>1.4995683004792064E-3</v>
      </c>
      <c r="EI36" s="8">
        <v>3.8055808778337634E-3</v>
      </c>
      <c r="EJ36" s="8">
        <v>7.7722381974954582E-3</v>
      </c>
      <c r="EK36" s="8">
        <v>2.1945835650189385E-2</v>
      </c>
      <c r="EL36" s="8">
        <v>1.3810121978966392E-2</v>
      </c>
      <c r="EM36" s="8">
        <v>1.6245292259935398E-2</v>
      </c>
      <c r="EN36" s="8">
        <v>2.0273075079367844E-2</v>
      </c>
      <c r="EO36" s="8">
        <v>2.4596336572422488E-2</v>
      </c>
      <c r="EP36" s="8">
        <v>1.2176540493329923E-2</v>
      </c>
      <c r="EQ36" s="8">
        <v>4.8519413268008783E-3</v>
      </c>
      <c r="ER36" s="8">
        <v>4.5893623529445942E-3</v>
      </c>
      <c r="ES36" s="8">
        <v>5.0231068835045146E-3</v>
      </c>
      <c r="ET36" s="8">
        <v>1.2780957716308217E-2</v>
      </c>
      <c r="EU36" s="8">
        <v>2.6856267246531906E-2</v>
      </c>
      <c r="EV36" s="8">
        <v>2.4103145369238656E-2</v>
      </c>
      <c r="EW36" s="8">
        <v>1.3295063771008402E-2</v>
      </c>
      <c r="EX36" s="8">
        <v>2.5188234443644951E-2</v>
      </c>
      <c r="EY36" s="8">
        <v>3.1998241554913778E-2</v>
      </c>
      <c r="EZ36" s="8">
        <v>1.9619599096619394E-2</v>
      </c>
      <c r="FA36" s="8">
        <v>1.9940015212301168E-2</v>
      </c>
      <c r="FB36" s="8">
        <v>2.9171337118582857E-2</v>
      </c>
      <c r="FC36" s="8">
        <v>1.8569278139423277E-2</v>
      </c>
      <c r="FD36" s="8">
        <v>4.7907832719000711E-2</v>
      </c>
      <c r="FE36" s="7">
        <v>3.3047640415214463E-2</v>
      </c>
      <c r="FF36" s="8">
        <v>1.3971202171227604E-2</v>
      </c>
      <c r="FG36" s="8">
        <v>2.7051820263831797E-2</v>
      </c>
      <c r="FH36" s="8">
        <v>3.2673516115761067E-2</v>
      </c>
      <c r="FI36" s="8">
        <v>4.0989062883450549E-2</v>
      </c>
      <c r="FJ36" s="8">
        <v>4.9166391688810117E-2</v>
      </c>
      <c r="FK36" s="8">
        <v>5.7119451260311545E-2</v>
      </c>
      <c r="FL36" s="8">
        <v>3.8448680536192985E-2</v>
      </c>
      <c r="FM36" s="8">
        <v>3.3613375024022701E-2</v>
      </c>
      <c r="FN36" s="8">
        <v>1.7678993757784787E-2</v>
      </c>
      <c r="FO36" s="8">
        <v>2.9355979233944916E-2</v>
      </c>
      <c r="FP36" s="8">
        <v>2.1555526700792336E-2</v>
      </c>
      <c r="FQ36" s="8">
        <v>1.4768326841415833E-2</v>
      </c>
      <c r="FR36" s="8">
        <v>1.5969068172725781E-2</v>
      </c>
      <c r="FS36" s="8">
        <v>2.246234518235804E-2</v>
      </c>
      <c r="FT36" s="8">
        <v>3.7028226714882241E-2</v>
      </c>
      <c r="FU36" s="8">
        <v>2.9052850445059127E-2</v>
      </c>
      <c r="FV36" s="8">
        <v>1.3853761127726063E-2</v>
      </c>
      <c r="FW36" s="8">
        <v>4.5430463618639696E-3</v>
      </c>
      <c r="FX36" s="8">
        <v>1.7483308052706408E-2</v>
      </c>
      <c r="FY36" s="8">
        <v>1.7294766905772169E-2</v>
      </c>
      <c r="FZ36" s="8">
        <v>1.24568724085189E-2</v>
      </c>
      <c r="GA36" s="8">
        <v>9.5349190815755842E-3</v>
      </c>
      <c r="GB36" s="8">
        <v>9.3115001579383364E-3</v>
      </c>
      <c r="GC36" s="8">
        <v>1.132200811664672E-2</v>
      </c>
      <c r="GD36" s="8">
        <v>1.3889570234992016E-2</v>
      </c>
      <c r="GE36" s="8">
        <v>1.6756554836709837E-2</v>
      </c>
      <c r="GF36" s="8">
        <v>1.2738013220096753E-2</v>
      </c>
      <c r="GG36" s="8">
        <v>2.0989775594361573E-2</v>
      </c>
      <c r="GI36" s="6" t="s">
        <v>329</v>
      </c>
      <c r="GJ36" s="6" t="s">
        <v>154</v>
      </c>
      <c r="GK36" s="8">
        <v>7.3608084936931731E-2</v>
      </c>
      <c r="GL36" s="8">
        <v>6.6865543695225974E-2</v>
      </c>
      <c r="GM36" s="8">
        <v>6.9156626404430224E-2</v>
      </c>
      <c r="GN36" s="8">
        <v>6.5343192868900071E-2</v>
      </c>
      <c r="GO36" s="8">
        <v>6.9261448830346281E-2</v>
      </c>
      <c r="GP36" s="8">
        <v>7.0376050732474826E-2</v>
      </c>
      <c r="GQ36" s="8">
        <v>8.1348100229352197E-2</v>
      </c>
      <c r="GR36" s="8">
        <v>8.4590259393934969E-2</v>
      </c>
      <c r="GS36" s="8">
        <v>9.0309555465416358E-2</v>
      </c>
      <c r="GT36" s="8">
        <v>9.2261687047324833E-2</v>
      </c>
      <c r="GU36" s="8">
        <v>7.4804204131044355E-2</v>
      </c>
      <c r="GV36" s="8">
        <v>6.9959774156404739E-2</v>
      </c>
      <c r="GW36" s="8">
        <v>7.6949118610795258E-2</v>
      </c>
      <c r="GX36" s="8">
        <v>8.7284535243442346E-2</v>
      </c>
      <c r="GY36" s="8">
        <v>9.6056582867687729E-2</v>
      </c>
      <c r="GZ36" s="8">
        <v>9.6381565540626365E-2</v>
      </c>
      <c r="HA36" s="8">
        <v>9.9443492217378124E-2</v>
      </c>
      <c r="HB36" s="7">
        <v>0.10170555320392598</v>
      </c>
      <c r="HC36" s="8">
        <v>9.7108948993804789E-2</v>
      </c>
      <c r="HD36" s="8">
        <v>8.6531213280774483E-2</v>
      </c>
      <c r="HE36" s="8">
        <v>0.12676262074183145</v>
      </c>
      <c r="HF36" s="8">
        <v>0.10430740037991279</v>
      </c>
      <c r="HG36" s="8">
        <v>0.11327613901711349</v>
      </c>
      <c r="HH36" s="8">
        <v>0.12258427371857436</v>
      </c>
      <c r="HI36" s="8">
        <v>0.11508509165451049</v>
      </c>
      <c r="HJ36" s="8">
        <v>0.10171630916297457</v>
      </c>
      <c r="HK36" s="8">
        <v>0.10801115422329913</v>
      </c>
      <c r="HL36" s="7">
        <v>0.10973955384176018</v>
      </c>
      <c r="HM36" s="8">
        <v>0.10676976054161501</v>
      </c>
      <c r="HN36" s="8">
        <v>0.11426283537413839</v>
      </c>
      <c r="HO36" s="8">
        <v>0.14620602573236441</v>
      </c>
      <c r="HP36" s="8">
        <v>0.15124444161830639</v>
      </c>
      <c r="HQ36" s="8">
        <v>0.16108235486637923</v>
      </c>
      <c r="HR36" s="8">
        <v>0.17306408627091721</v>
      </c>
      <c r="HS36" s="8">
        <v>0.15091864238485175</v>
      </c>
      <c r="HT36" s="8">
        <v>0.13521374022842628</v>
      </c>
      <c r="HU36" s="8">
        <v>0.12770122724730001</v>
      </c>
      <c r="HV36" s="8">
        <v>0.11687520463717846</v>
      </c>
      <c r="HW36" s="8">
        <v>0.13882510019492708</v>
      </c>
      <c r="HX36" s="8">
        <v>0.15031231354476537</v>
      </c>
      <c r="HY36" s="8">
        <v>9.6081212090220011E-2</v>
      </c>
      <c r="HZ36" s="8">
        <v>7.8807266348988964E-2</v>
      </c>
      <c r="IA36" s="8">
        <v>8.4197913512919956E-2</v>
      </c>
      <c r="IB36" s="8">
        <v>8.4137432569660581E-2</v>
      </c>
      <c r="IC36" s="8">
        <v>8.3005482151242302E-2</v>
      </c>
      <c r="ID36" s="8">
        <v>9.0937369396292406E-2</v>
      </c>
      <c r="IE36" s="8">
        <v>9.3638851579119928E-2</v>
      </c>
      <c r="IF36" s="8">
        <v>0.10553754880310375</v>
      </c>
      <c r="IG36" s="8">
        <v>0.12178213879321233</v>
      </c>
      <c r="IH36" s="8">
        <v>0.11442923428940283</v>
      </c>
      <c r="II36" s="8">
        <v>8.0945557917172201E-2</v>
      </c>
      <c r="IJ36" s="8">
        <v>8.3111537954870751E-2</v>
      </c>
      <c r="IK36" s="8">
        <v>9.4346120942048681E-2</v>
      </c>
      <c r="IL36" s="8">
        <v>8.7178691519472815E-2</v>
      </c>
      <c r="IM36" s="8">
        <v>7.8127842981898996E-2</v>
      </c>
      <c r="IN36" s="8">
        <v>7.0123833104663913E-2</v>
      </c>
      <c r="IO36" s="8">
        <v>7.0841740913214948E-2</v>
      </c>
      <c r="IP36" s="8">
        <v>7.1917062154787895E-2</v>
      </c>
      <c r="IQ36" s="8">
        <v>8.2036244554232529E-2</v>
      </c>
      <c r="IR36" s="8">
        <v>7.5364023612649447E-2</v>
      </c>
      <c r="JB36" s="6" t="s">
        <v>329</v>
      </c>
      <c r="JC36" s="8">
        <v>0.64073770465880886</v>
      </c>
      <c r="JD36" s="8">
        <v>0.65192009547602536</v>
      </c>
      <c r="JE36" s="8">
        <v>0.64601076789248724</v>
      </c>
      <c r="JF36" s="8">
        <v>0.66420612813249313</v>
      </c>
      <c r="JG36" s="8">
        <v>0.6699175820211507</v>
      </c>
      <c r="JH36" s="8">
        <v>0.67548196437569652</v>
      </c>
      <c r="JI36" s="8">
        <v>0.66413256714711133</v>
      </c>
      <c r="JJ36" s="8">
        <v>0.65105157353626708</v>
      </c>
      <c r="JK36" s="8">
        <v>0.64408583062051983</v>
      </c>
      <c r="JL36" s="8">
        <v>0.63351575284034756</v>
      </c>
      <c r="JM36" s="8">
        <v>0.6509277449938895</v>
      </c>
      <c r="JN36" s="8">
        <v>0.64690951024902976</v>
      </c>
      <c r="JO36" s="8">
        <v>0.64671091485720311</v>
      </c>
      <c r="JP36" s="8">
        <v>0.63361441856829037</v>
      </c>
      <c r="JQ36" s="8">
        <v>0.61402301964632433</v>
      </c>
      <c r="JR36" s="8">
        <v>0.61030224464160177</v>
      </c>
      <c r="JS36" s="8">
        <v>0.61326225602058604</v>
      </c>
      <c r="JT36" s="8">
        <v>0.61545217199054914</v>
      </c>
      <c r="JU36" s="8">
        <v>0.63433282736793184</v>
      </c>
      <c r="JV36" s="7">
        <v>0.64682460312902801</v>
      </c>
      <c r="JW36" s="8">
        <v>0.51207711060674443</v>
      </c>
      <c r="JX36" s="7">
        <v>0.53051220093007623</v>
      </c>
      <c r="JY36" s="8">
        <v>0.53946850827603932</v>
      </c>
      <c r="JZ36" s="8">
        <v>0.54082718467202551</v>
      </c>
      <c r="KA36" s="8">
        <v>0.55683631322887006</v>
      </c>
      <c r="KB36" s="8">
        <v>0.56898459269337842</v>
      </c>
      <c r="KC36" s="8">
        <v>0.57093793133437576</v>
      </c>
      <c r="KD36" s="8">
        <v>0.56146107035331327</v>
      </c>
      <c r="KE36" s="8">
        <v>0.53372047926931698</v>
      </c>
      <c r="KF36" s="8">
        <v>0.51727587549702025</v>
      </c>
      <c r="KG36" s="8">
        <v>0.36861506891089518</v>
      </c>
      <c r="KH36" s="7">
        <v>0.3505594189373637</v>
      </c>
      <c r="KI36" s="8">
        <v>0.34305210801192987</v>
      </c>
      <c r="KJ36" s="8">
        <v>0.34969473674176166</v>
      </c>
      <c r="KK36" s="8">
        <v>0.36487901122757627</v>
      </c>
      <c r="KL36" s="8">
        <v>0.38206309315475689</v>
      </c>
      <c r="KM36" s="8">
        <v>0.38661266908368419</v>
      </c>
      <c r="KN36" s="8">
        <v>0.37655006052164774</v>
      </c>
      <c r="KO36" s="8">
        <v>0.35682163149629609</v>
      </c>
      <c r="KP36" s="8">
        <v>0.36792535799339743</v>
      </c>
      <c r="KQ36" s="8">
        <v>0.54647292238320955</v>
      </c>
      <c r="KR36" s="8">
        <v>0.56317448142566373</v>
      </c>
      <c r="KS36" s="7">
        <v>0.57709398411833657</v>
      </c>
      <c r="KT36" s="8">
        <v>0.58393613300203018</v>
      </c>
      <c r="KU36" s="8">
        <v>0.58404488507828112</v>
      </c>
      <c r="KV36" s="8">
        <v>0.57376641842931075</v>
      </c>
      <c r="KW36" s="8">
        <v>0.56531965289341657</v>
      </c>
      <c r="KX36" s="8">
        <v>0.55084243272264444</v>
      </c>
      <c r="KY36" s="8">
        <v>0.53638381244319855</v>
      </c>
      <c r="KZ36" s="8">
        <v>0.54615510969218206</v>
      </c>
      <c r="LA36" s="8">
        <v>0.65054151577023023</v>
      </c>
      <c r="LB36" s="8">
        <v>0.65264639370027455</v>
      </c>
      <c r="LC36" s="8">
        <v>0.64309480833246513</v>
      </c>
      <c r="LD36" s="8">
        <v>0.65071421025904408</v>
      </c>
      <c r="LE36" s="8">
        <v>0.65771512575622226</v>
      </c>
      <c r="LF36" s="8">
        <v>0.67399028430434615</v>
      </c>
      <c r="LG36" s="8">
        <v>0.67032276717609729</v>
      </c>
      <c r="LH36" s="8">
        <v>0.65940490683963804</v>
      </c>
      <c r="LI36" s="8">
        <v>0.63576486514784458</v>
      </c>
      <c r="LJ36" s="8">
        <v>0.64727542731867427</v>
      </c>
      <c r="LL36" s="6" t="s">
        <v>314</v>
      </c>
      <c r="LM36" s="6" t="s">
        <v>160</v>
      </c>
      <c r="LN36" s="6" t="s">
        <v>161</v>
      </c>
      <c r="LO36" s="8">
        <v>0.64506887548122749</v>
      </c>
    </row>
    <row r="37" spans="2:327" x14ac:dyDescent="0.45">
      <c r="B37" s="3" t="s">
        <v>330</v>
      </c>
      <c r="C37" s="3" t="s">
        <v>151</v>
      </c>
      <c r="D37" s="5">
        <v>0.28370486104544418</v>
      </c>
      <c r="E37" s="5">
        <v>0.27204513584058482</v>
      </c>
      <c r="F37" s="5">
        <v>0.26560658771907752</v>
      </c>
      <c r="G37" s="5">
        <v>0.2798656479187322</v>
      </c>
      <c r="H37" s="5">
        <v>0.27489057992189114</v>
      </c>
      <c r="I37" s="5">
        <v>0.29461553239265487</v>
      </c>
      <c r="J37" s="5">
        <v>0.30755127692359929</v>
      </c>
      <c r="K37" s="5">
        <v>0.29018619760802822</v>
      </c>
      <c r="L37" s="5">
        <v>0.2897421444805699</v>
      </c>
      <c r="M37" s="5">
        <v>0.27638728460951667</v>
      </c>
      <c r="N37" s="5">
        <v>0.24163820731381874</v>
      </c>
      <c r="O37" s="5">
        <v>0.22635824287774287</v>
      </c>
      <c r="P37" s="5">
        <v>0.24122304517297524</v>
      </c>
      <c r="Q37" s="5">
        <v>0.26180741200745983</v>
      </c>
      <c r="R37" s="5">
        <v>0.26243428785628004</v>
      </c>
      <c r="S37" s="5">
        <v>0.25068602378027582</v>
      </c>
      <c r="T37" s="5">
        <v>0.24778828785445253</v>
      </c>
      <c r="U37" s="5">
        <v>0.25303974104189259</v>
      </c>
      <c r="V37" s="5">
        <v>0.25680449628275714</v>
      </c>
      <c r="W37" s="5">
        <v>0.25239315994093575</v>
      </c>
      <c r="X37" s="5">
        <v>0.31363388936794173</v>
      </c>
      <c r="Y37" s="5">
        <v>0.35699372994669015</v>
      </c>
      <c r="Z37" s="5">
        <v>0.37863073470150077</v>
      </c>
      <c r="AA37" s="5">
        <v>0.38815816230349509</v>
      </c>
      <c r="AB37" s="5">
        <v>0.36260860852510857</v>
      </c>
      <c r="AC37" s="5">
        <v>0.33067755303408514</v>
      </c>
      <c r="AD37" s="5">
        <v>0.31757115390357116</v>
      </c>
      <c r="AE37" s="5">
        <v>0.31792476528870606</v>
      </c>
      <c r="AF37" s="5">
        <v>0.30199444806970177</v>
      </c>
      <c r="AG37" s="5">
        <v>0.29650053564057571</v>
      </c>
      <c r="AH37" s="5">
        <v>0.33720809378789629</v>
      </c>
      <c r="AI37" s="5">
        <v>0.35658949004089752</v>
      </c>
      <c r="AJ37" s="5">
        <v>0.37485267046124771</v>
      </c>
      <c r="AK37" s="5">
        <v>0.37059394170726401</v>
      </c>
      <c r="AL37" s="5">
        <v>0.36886686937463814</v>
      </c>
      <c r="AM37" s="5">
        <v>0.36172250473607176</v>
      </c>
      <c r="AN37" s="5">
        <v>0.34311598956695155</v>
      </c>
      <c r="AO37" s="5">
        <v>0.32336133328094097</v>
      </c>
      <c r="AP37" s="5">
        <v>0.30472029036207515</v>
      </c>
      <c r="AQ37" s="5">
        <v>0.31466495132339795</v>
      </c>
      <c r="AR37" s="5">
        <v>0.28155631650177476</v>
      </c>
      <c r="AS37" s="5">
        <v>0.2749883137000057</v>
      </c>
      <c r="AT37" s="5">
        <v>0.28289579342352744</v>
      </c>
      <c r="AU37" s="5">
        <v>0.28212957670361544</v>
      </c>
      <c r="AV37" s="5">
        <v>0.28007626604336516</v>
      </c>
      <c r="AW37" s="5">
        <v>0.27678793846536448</v>
      </c>
      <c r="AX37" s="5">
        <v>0.27522337332631164</v>
      </c>
      <c r="AY37" s="5">
        <v>0.27352433291375028</v>
      </c>
      <c r="AZ37" s="5">
        <v>0.27564747058441963</v>
      </c>
      <c r="BA37" s="5">
        <v>0.28556998730417288</v>
      </c>
      <c r="BB37" s="5">
        <v>0.29071395912452486</v>
      </c>
      <c r="BC37" s="5">
        <v>0.29776356812554361</v>
      </c>
      <c r="BD37" s="5">
        <v>0.29631667759880886</v>
      </c>
      <c r="BE37" s="5">
        <v>0.30480924174360929</v>
      </c>
      <c r="BF37" s="5">
        <v>0.32886678956929039</v>
      </c>
      <c r="BG37" s="5">
        <v>0.32902960804805825</v>
      </c>
      <c r="BH37" s="5">
        <v>0.30787841058537208</v>
      </c>
      <c r="BI37" s="5">
        <v>0.28668041362207664</v>
      </c>
      <c r="BJ37" s="5">
        <v>0.2759318564093548</v>
      </c>
      <c r="BK37" s="5">
        <v>0.26969981631480433</v>
      </c>
      <c r="BM37" s="3" t="s">
        <v>330</v>
      </c>
      <c r="BN37" s="3" t="s">
        <v>152</v>
      </c>
      <c r="BO37" s="5">
        <v>1.1992035973999787E-2</v>
      </c>
      <c r="BP37" s="5">
        <v>6.4026060755276648E-3</v>
      </c>
      <c r="BQ37" s="5">
        <v>9.7282007231102637E-3</v>
      </c>
      <c r="BR37" s="5">
        <v>2.1356594824071862E-2</v>
      </c>
      <c r="BS37" s="5">
        <v>2.3570492746635661E-2</v>
      </c>
      <c r="BT37" s="5">
        <v>1.7874240782309297E-2</v>
      </c>
      <c r="BU37" s="4">
        <v>2.6500883229878539E-2</v>
      </c>
      <c r="BV37" s="5">
        <v>1.229933340768153E-2</v>
      </c>
      <c r="BW37" s="5">
        <v>2.3922754802708284E-3</v>
      </c>
      <c r="BX37" s="5">
        <v>7.600449343262785E-3</v>
      </c>
      <c r="BY37" s="5">
        <v>2.4787006779601824E-2</v>
      </c>
      <c r="BZ37" s="4">
        <v>3.1495587991567184E-3</v>
      </c>
      <c r="CA37" s="5">
        <v>1.158716730857364E-2</v>
      </c>
      <c r="CB37" s="5">
        <v>2.0372535784979499E-2</v>
      </c>
      <c r="CC37" s="5">
        <v>4.3008006757335416E-3</v>
      </c>
      <c r="CD37" s="4">
        <v>6.5564445125598856E-4</v>
      </c>
      <c r="CE37" s="4">
        <v>2.3354261117470849E-3</v>
      </c>
      <c r="CF37" s="4">
        <v>3.1760078375866305E-3</v>
      </c>
      <c r="CG37" s="5">
        <v>6.5762247797493982E-3</v>
      </c>
      <c r="CH37" s="5">
        <v>2.2309464247432399E-2</v>
      </c>
      <c r="CI37" s="5">
        <v>1.8541184947215999E-2</v>
      </c>
      <c r="CJ37" s="5">
        <v>3.3835018477870279E-2</v>
      </c>
      <c r="CK37" s="4">
        <v>2.0218363328371083E-2</v>
      </c>
      <c r="CL37" s="4">
        <v>2.9323460783021862E-2</v>
      </c>
      <c r="CM37" s="5">
        <v>1.0653289664941957E-2</v>
      </c>
      <c r="CN37" s="5">
        <v>2.0871129395345349E-2</v>
      </c>
      <c r="CO37" s="5">
        <v>2.1877524934274847E-2</v>
      </c>
      <c r="CP37" s="5">
        <v>2.139121569089571E-2</v>
      </c>
      <c r="CQ37" s="5">
        <v>4.8473875929813367E-3</v>
      </c>
      <c r="CR37" s="5">
        <v>2.7338243832189E-2</v>
      </c>
      <c r="CS37" s="5">
        <v>1.4710584110706641E-2</v>
      </c>
      <c r="CT37" s="4">
        <v>4.4437140867003566E-2</v>
      </c>
      <c r="CU37" s="5">
        <v>3.5616277125044123E-2</v>
      </c>
      <c r="CV37" s="5">
        <v>4.6426777141586391E-2</v>
      </c>
      <c r="CW37" s="5">
        <v>7.3637860287879206E-2</v>
      </c>
      <c r="CX37" s="5">
        <v>5.4766438739444145E-2</v>
      </c>
      <c r="CY37" s="5">
        <v>2.1791148255083551E-2</v>
      </c>
      <c r="CZ37" s="5">
        <v>2.7138139101201178E-2</v>
      </c>
      <c r="DA37" s="5">
        <v>9.2858849975095276E-3</v>
      </c>
      <c r="DB37" s="4">
        <v>1.289844357428592E-2</v>
      </c>
      <c r="DC37" s="5">
        <v>3.7450342217688233E-2</v>
      </c>
      <c r="DD37" s="5">
        <v>5.7665699977985749E-2</v>
      </c>
      <c r="DE37" s="5">
        <v>3.8493762993835397E-2</v>
      </c>
      <c r="DF37" s="5">
        <v>2.8639199727630404E-2</v>
      </c>
      <c r="DG37" s="5">
        <v>2.7454492421377968E-2</v>
      </c>
      <c r="DH37" s="5">
        <v>7.6005771800980518E-3</v>
      </c>
      <c r="DI37" s="5">
        <v>1.7716690677848032E-3</v>
      </c>
      <c r="DJ37" s="5">
        <v>1.0341232711784314E-2</v>
      </c>
      <c r="DK37" s="5">
        <v>8.1535959545143491E-3</v>
      </c>
      <c r="DL37" s="5">
        <v>1.5129841498067301E-2</v>
      </c>
      <c r="DM37" s="5">
        <v>1.9090682980359756E-2</v>
      </c>
      <c r="DN37" s="5">
        <v>2.0276172237332808E-2</v>
      </c>
      <c r="DO37" s="5">
        <v>2.5982558964367027E-2</v>
      </c>
      <c r="DP37" s="5">
        <v>2.1767997707529269E-2</v>
      </c>
      <c r="DQ37" s="5">
        <v>2.485071322148328E-2</v>
      </c>
      <c r="DR37" s="5">
        <v>2.9114509727401906E-2</v>
      </c>
      <c r="DS37" s="5">
        <v>1.9709022935914686E-2</v>
      </c>
      <c r="DT37" s="5">
        <v>1.3350948820367711E-2</v>
      </c>
      <c r="DU37" s="4">
        <v>1.1786797166718831E-2</v>
      </c>
      <c r="DV37" s="5">
        <v>5.4268149041175068E-3</v>
      </c>
      <c r="DX37" s="3" t="s">
        <v>330</v>
      </c>
      <c r="DY37" s="3" t="s">
        <v>153</v>
      </c>
      <c r="DZ37" s="5">
        <v>8.329674758493541E-3</v>
      </c>
      <c r="EA37" s="5">
        <v>2.5941585726159393E-2</v>
      </c>
      <c r="EB37" s="4">
        <v>6.9340874257623631E-3</v>
      </c>
      <c r="EC37" s="5">
        <v>5.2077126082296183E-3</v>
      </c>
      <c r="ED37" s="5">
        <v>8.227747290499892E-3</v>
      </c>
      <c r="EE37" s="5">
        <v>2.9637005080695122E-2</v>
      </c>
      <c r="EF37" s="4">
        <v>3.4140928395440542E-2</v>
      </c>
      <c r="EG37" s="5">
        <v>4.135119616257845E-2</v>
      </c>
      <c r="EH37" s="5">
        <v>2.8975935474358425E-2</v>
      </c>
      <c r="EI37" s="5">
        <v>1.6925216859853928E-2</v>
      </c>
      <c r="EJ37" s="5">
        <v>1.7191588893993127E-2</v>
      </c>
      <c r="EK37" s="5">
        <v>3.0464246558377473E-2</v>
      </c>
      <c r="EL37" s="5">
        <v>3.0113203280865482E-2</v>
      </c>
      <c r="EM37" s="5">
        <v>2.1056067869239768E-2</v>
      </c>
      <c r="EN37" s="5">
        <v>1.7697454578001346E-2</v>
      </c>
      <c r="EO37" s="5">
        <v>2.4316828493458554E-2</v>
      </c>
      <c r="EP37" s="5">
        <v>1.5746888805156969E-2</v>
      </c>
      <c r="EQ37" s="5">
        <v>3.9041761414466561E-3</v>
      </c>
      <c r="ER37" s="5">
        <v>4.1373781529323818E-3</v>
      </c>
      <c r="ES37" s="5">
        <v>5.2034187558171879E-3</v>
      </c>
      <c r="ET37" s="5">
        <v>3.4492620373472178E-2</v>
      </c>
      <c r="EU37" s="5">
        <v>3.1847739382637581E-2</v>
      </c>
      <c r="EV37" s="5">
        <v>1.908479913558065E-2</v>
      </c>
      <c r="EW37" s="5">
        <v>3.6856869531728738E-2</v>
      </c>
      <c r="EX37" s="5">
        <v>4.9370626895394273E-2</v>
      </c>
      <c r="EY37" s="5">
        <v>2.8375986835369783E-2</v>
      </c>
      <c r="EZ37" s="5">
        <v>1.4044654560053951E-2</v>
      </c>
      <c r="FA37" s="5">
        <v>1.6915736917338359E-2</v>
      </c>
      <c r="FB37" s="5">
        <v>3.5923480807585929E-2</v>
      </c>
      <c r="FC37" s="5">
        <v>2.9813480172236759E-2</v>
      </c>
      <c r="FD37" s="5">
        <v>1.9502963171602963E-2</v>
      </c>
      <c r="FE37" s="4">
        <v>9.2508383969157771E-4</v>
      </c>
      <c r="FF37" s="5">
        <v>1.4388500011919768E-2</v>
      </c>
      <c r="FG37" s="5">
        <v>2.6497870212681195E-2</v>
      </c>
      <c r="FH37" s="5">
        <v>3.7904459792428055E-2</v>
      </c>
      <c r="FI37" s="5">
        <v>4.4313729050591444E-2</v>
      </c>
      <c r="FJ37" s="5">
        <v>7.2186062084527575E-2</v>
      </c>
      <c r="FK37" s="5">
        <v>5.5219016418687698E-2</v>
      </c>
      <c r="FL37" s="5">
        <v>4.3849145437404369E-2</v>
      </c>
      <c r="FM37" s="5">
        <v>5.3321382903443335E-2</v>
      </c>
      <c r="FN37" s="5">
        <v>1.7972042179353286E-2</v>
      </c>
      <c r="FO37" s="5">
        <v>3.4613983233988996E-2</v>
      </c>
      <c r="FP37" s="5">
        <v>5.821279851791767E-2</v>
      </c>
      <c r="FQ37" s="5">
        <v>7.0498670650423478E-2</v>
      </c>
      <c r="FR37" s="5">
        <v>4.5889831862711339E-2</v>
      </c>
      <c r="FS37" s="5">
        <v>3.7896408419383125E-2</v>
      </c>
      <c r="FT37" s="5">
        <v>3.7344830473346621E-2</v>
      </c>
      <c r="FU37" s="5">
        <v>3.0324668158308591E-2</v>
      </c>
      <c r="FV37" s="5">
        <v>7.2881968120659122E-3</v>
      </c>
      <c r="FW37" s="5">
        <v>1.4673370689901422E-2</v>
      </c>
      <c r="FX37" s="5">
        <v>1.205337120368177E-2</v>
      </c>
      <c r="FY37" s="5">
        <v>3.2267027534279159E-2</v>
      </c>
      <c r="FZ37" s="5">
        <v>3.1648937939627558E-2</v>
      </c>
      <c r="GA37" s="5">
        <v>2.3571749515903843E-2</v>
      </c>
      <c r="GB37" s="5">
        <v>3.0349310947935599E-2</v>
      </c>
      <c r="GC37" s="5">
        <v>2.4796047421529851E-2</v>
      </c>
      <c r="GD37" s="5">
        <v>3.0921081076118968E-2</v>
      </c>
      <c r="GE37" s="5">
        <v>3.2514452308202199E-2</v>
      </c>
      <c r="GF37" s="5">
        <v>1.9938617317780117E-2</v>
      </c>
      <c r="GG37" s="5">
        <v>1.0305803061294286E-2</v>
      </c>
      <c r="GI37" s="3" t="s">
        <v>330</v>
      </c>
      <c r="GJ37" s="3" t="s">
        <v>154</v>
      </c>
      <c r="GK37" s="5">
        <v>0.14196966707622272</v>
      </c>
      <c r="GL37" s="5">
        <v>0.11938263641540893</v>
      </c>
      <c r="GM37" s="5">
        <v>0.13149270435549548</v>
      </c>
      <c r="GN37" s="5">
        <v>0.12513470907537094</v>
      </c>
      <c r="GO37" s="5">
        <v>0.11925753391625496</v>
      </c>
      <c r="GP37" s="5">
        <v>0.11819394105642404</v>
      </c>
      <c r="GQ37" s="5">
        <v>0.11211982136580682</v>
      </c>
      <c r="GR37" s="5">
        <v>0.1120548386148618</v>
      </c>
      <c r="GS37" s="5">
        <v>0.13043026858775997</v>
      </c>
      <c r="GT37" s="5">
        <v>0.1334337691848714</v>
      </c>
      <c r="GU37" s="5">
        <v>9.151098963811545E-2</v>
      </c>
      <c r="GV37" s="5">
        <v>8.9654651808831393E-2</v>
      </c>
      <c r="GW37" s="5">
        <v>8.6292112291870435E-2</v>
      </c>
      <c r="GX37" s="5">
        <v>9.9558352669855202E-2</v>
      </c>
      <c r="GY37" s="5">
        <v>0.1318935379998894</v>
      </c>
      <c r="GZ37" s="5">
        <v>0.12972228768938535</v>
      </c>
      <c r="HA37" s="5">
        <v>0.12943626346049858</v>
      </c>
      <c r="HB37" s="4">
        <v>0.13688282672443602</v>
      </c>
      <c r="HC37" s="5">
        <v>0.12958966009835574</v>
      </c>
      <c r="HD37" s="5">
        <v>0.11335197058640459</v>
      </c>
      <c r="HE37" s="5">
        <v>0.14234585877145367</v>
      </c>
      <c r="HF37" s="5">
        <v>0.14610242881009969</v>
      </c>
      <c r="HG37" s="5">
        <v>0.1930183915359209</v>
      </c>
      <c r="HH37" s="5">
        <v>0.17330608824003416</v>
      </c>
      <c r="HI37" s="5">
        <v>0.15657072467067706</v>
      </c>
      <c r="HJ37" s="5">
        <v>0.15084202804820207</v>
      </c>
      <c r="HK37" s="5">
        <v>0.15644777459107065</v>
      </c>
      <c r="HL37" s="4">
        <v>0.14981636671969947</v>
      </c>
      <c r="HM37" s="5">
        <v>0.12574251765771</v>
      </c>
      <c r="HN37" s="5">
        <v>0.11520541434162274</v>
      </c>
      <c r="HO37" s="5">
        <v>0.19937724299096227</v>
      </c>
      <c r="HP37" s="5">
        <v>0.20208051849827444</v>
      </c>
      <c r="HQ37" s="5">
        <v>0.21603752223951567</v>
      </c>
      <c r="HR37" s="5">
        <v>0.18916755467330826</v>
      </c>
      <c r="HS37" s="5">
        <v>0.15095128563916604</v>
      </c>
      <c r="HT37" s="5">
        <v>0.13901655904266286</v>
      </c>
      <c r="HU37" s="5">
        <v>0.12960560684307751</v>
      </c>
      <c r="HV37" s="5">
        <v>0.13622122649473425</v>
      </c>
      <c r="HW37" s="5">
        <v>0.1589835893141493</v>
      </c>
      <c r="HX37" s="5">
        <v>0.15386178462753805</v>
      </c>
      <c r="HY37" s="5">
        <v>0.11224369546579913</v>
      </c>
      <c r="HZ37" s="5">
        <v>6.6945524949645965E-2</v>
      </c>
      <c r="IA37" s="5">
        <v>6.2362620215642518E-2</v>
      </c>
      <c r="IB37" s="5">
        <v>6.8125377201879736E-2</v>
      </c>
      <c r="IC37" s="5">
        <v>8.9358740365750269E-2</v>
      </c>
      <c r="ID37" s="5">
        <v>0.11688695798585616</v>
      </c>
      <c r="IE37" s="5">
        <v>0.12076869651931693</v>
      </c>
      <c r="IF37" s="5">
        <v>0.12335781876751646</v>
      </c>
      <c r="IG37" s="5">
        <v>0.15129594622746353</v>
      </c>
      <c r="IH37" s="5">
        <v>0.14974512228851228</v>
      </c>
      <c r="II37" s="5">
        <v>0.13466735408581618</v>
      </c>
      <c r="IJ37" s="5">
        <v>0.11980609606581037</v>
      </c>
      <c r="IK37" s="5">
        <v>0.11107565478014818</v>
      </c>
      <c r="IL37" s="5">
        <v>0.11918014026492704</v>
      </c>
      <c r="IM37" s="5">
        <v>0.12193834963020256</v>
      </c>
      <c r="IN37" s="5">
        <v>0.1229103808790582</v>
      </c>
      <c r="IO37" s="5">
        <v>0.11051215978441026</v>
      </c>
      <c r="IP37" s="5">
        <v>0.10643465078127935</v>
      </c>
      <c r="IQ37" s="5">
        <v>0.12159952803754581</v>
      </c>
      <c r="IR37" s="5">
        <v>0.13492512489344904</v>
      </c>
      <c r="JB37" s="3" t="s">
        <v>330</v>
      </c>
      <c r="JC37" s="5">
        <v>0.47091191508688562</v>
      </c>
      <c r="JD37" s="5">
        <v>0.46574012044480728</v>
      </c>
      <c r="JE37" s="5">
        <v>0.48538370778164536</v>
      </c>
      <c r="JF37" s="5">
        <v>0.4886868010136185</v>
      </c>
      <c r="JG37" s="5">
        <v>0.51339043418567121</v>
      </c>
      <c r="JH37" s="5">
        <v>0.50708362208198632</v>
      </c>
      <c r="JI37" s="5">
        <v>0.49262474280494301</v>
      </c>
      <c r="JJ37" s="5">
        <v>0.48167983855455127</v>
      </c>
      <c r="JK37" s="5">
        <v>0.4908694701183568</v>
      </c>
      <c r="JL37" s="5">
        <v>0.4976968686630529</v>
      </c>
      <c r="JM37" s="5">
        <v>0.51529704025715972</v>
      </c>
      <c r="JN37" s="5">
        <v>0.5244345156413176</v>
      </c>
      <c r="JO37" s="5">
        <v>0.53391930754007699</v>
      </c>
      <c r="JP37" s="5">
        <v>0.53739843268257659</v>
      </c>
      <c r="JQ37" s="5">
        <v>0.51181640043867493</v>
      </c>
      <c r="JR37" s="5">
        <v>0.49912259701257089</v>
      </c>
      <c r="JS37" s="5">
        <v>0.49411479686880783</v>
      </c>
      <c r="JT37" s="5">
        <v>0.4788972709878121</v>
      </c>
      <c r="JU37" s="5">
        <v>0.48602820563636123</v>
      </c>
      <c r="JV37" s="4">
        <v>0.49674225301557268</v>
      </c>
      <c r="JW37" s="5">
        <v>0.38943357229101172</v>
      </c>
      <c r="JX37" s="4">
        <v>0.37334913161307143</v>
      </c>
      <c r="JY37" s="5">
        <v>0.37716809764475739</v>
      </c>
      <c r="JZ37" s="5">
        <v>0.37293237992437267</v>
      </c>
      <c r="KA37" s="5">
        <v>0.40146177402946198</v>
      </c>
      <c r="KB37" s="5">
        <v>0.42746447883083727</v>
      </c>
      <c r="KC37" s="5">
        <v>0.43117971391429588</v>
      </c>
      <c r="KD37" s="5">
        <v>0.40708079580389595</v>
      </c>
      <c r="KE37" s="5">
        <v>0.40894998105592528</v>
      </c>
      <c r="KF37" s="5">
        <v>0.40658893486697895</v>
      </c>
      <c r="KG37" s="5">
        <v>0.2320478728255134</v>
      </c>
      <c r="KH37" s="4">
        <v>0.23356834076484051</v>
      </c>
      <c r="KI37" s="5">
        <v>0.23375526686311712</v>
      </c>
      <c r="KJ37" s="5">
        <v>0.24280601786213599</v>
      </c>
      <c r="KK37" s="5">
        <v>0.269380855256519</v>
      </c>
      <c r="KL37" s="5">
        <v>0.30259928871755598</v>
      </c>
      <c r="KM37" s="5">
        <v>0.31987686976501772</v>
      </c>
      <c r="KN37" s="5">
        <v>0.29495942252801677</v>
      </c>
      <c r="KO37" s="5">
        <v>0.26601457278855184</v>
      </c>
      <c r="KP37" s="5">
        <v>0.23854831600115503</v>
      </c>
      <c r="KQ37" s="5">
        <v>0.39474803400840869</v>
      </c>
      <c r="KR37" s="5">
        <v>0.42527072695910761</v>
      </c>
      <c r="KS37" s="4">
        <v>0.43380075682169106</v>
      </c>
      <c r="KT37" s="5">
        <v>0.44894847554091599</v>
      </c>
      <c r="KU37" s="5">
        <v>0.4667665020142206</v>
      </c>
      <c r="KV37" s="5">
        <v>0.46739096795012852</v>
      </c>
      <c r="KW37" s="5">
        <v>0.44458051531472792</v>
      </c>
      <c r="KX37" s="5">
        <v>0.42800595800786162</v>
      </c>
      <c r="KY37" s="5">
        <v>0.40959332985070457</v>
      </c>
      <c r="KZ37" s="5">
        <v>0.38591588837662943</v>
      </c>
      <c r="LA37" s="5">
        <v>0.50140315829895155</v>
      </c>
      <c r="LB37" s="5">
        <v>0.51066815652679443</v>
      </c>
      <c r="LC37" s="5">
        <v>0.5133195908165421</v>
      </c>
      <c r="LD37" s="5">
        <v>0.5062957132054029</v>
      </c>
      <c r="LE37" s="5">
        <v>0.49474186999556841</v>
      </c>
      <c r="LF37" s="5">
        <v>0.49748095907338508</v>
      </c>
      <c r="LG37" s="5">
        <v>0.50695083837852439</v>
      </c>
      <c r="LH37" s="5">
        <v>0.51613273366215806</v>
      </c>
      <c r="LI37" s="5">
        <v>0.52072798844388979</v>
      </c>
      <c r="LJ37" s="5">
        <v>0.52410877263978684</v>
      </c>
      <c r="LL37" s="3" t="s">
        <v>316</v>
      </c>
      <c r="LM37" s="3" t="s">
        <v>160</v>
      </c>
      <c r="LN37" s="3" t="s">
        <v>161</v>
      </c>
      <c r="LO37" s="5">
        <v>0.67152655929146199</v>
      </c>
    </row>
    <row r="38" spans="2:327" x14ac:dyDescent="0.45">
      <c r="B38" s="6" t="s">
        <v>331</v>
      </c>
      <c r="C38" s="6" t="s">
        <v>151</v>
      </c>
      <c r="D38" s="8">
        <v>0.2243731127790741</v>
      </c>
      <c r="E38" s="8">
        <v>0.21597185999511379</v>
      </c>
      <c r="F38" s="8">
        <v>0.20720691746005174</v>
      </c>
      <c r="G38" s="8">
        <v>0.22624557494083325</v>
      </c>
      <c r="H38" s="8">
        <v>0.22838067645594542</v>
      </c>
      <c r="I38" s="8">
        <v>0.22646994706290502</v>
      </c>
      <c r="J38" s="8">
        <v>0.2339136713046005</v>
      </c>
      <c r="K38" s="8">
        <v>0.2300309087104726</v>
      </c>
      <c r="L38" s="8">
        <v>0.23178164599267695</v>
      </c>
      <c r="M38" s="8">
        <v>0.23206415968706667</v>
      </c>
      <c r="N38" s="8">
        <v>0.20301409677057242</v>
      </c>
      <c r="O38" s="8">
        <v>0.19199538537350797</v>
      </c>
      <c r="P38" s="8">
        <v>0.19808415534449625</v>
      </c>
      <c r="Q38" s="8">
        <v>0.21596818230397882</v>
      </c>
      <c r="R38" s="8">
        <v>0.22172681068357467</v>
      </c>
      <c r="S38" s="8">
        <v>0.2167466502492455</v>
      </c>
      <c r="T38" s="8">
        <v>0.21603843601305259</v>
      </c>
      <c r="U38" s="8">
        <v>0.22400707167095357</v>
      </c>
      <c r="V38" s="8">
        <v>0.23309467403008349</v>
      </c>
      <c r="W38" s="8">
        <v>0.22846288677279947</v>
      </c>
      <c r="X38" s="8">
        <v>0.26780123289708807</v>
      </c>
      <c r="Y38" s="8">
        <v>0.28169887232789187</v>
      </c>
      <c r="Z38" s="8">
        <v>0.30099805108921185</v>
      </c>
      <c r="AA38" s="8">
        <v>0.3299395801070838</v>
      </c>
      <c r="AB38" s="8">
        <v>0.32255937575863292</v>
      </c>
      <c r="AC38" s="8">
        <v>0.30830806701806657</v>
      </c>
      <c r="AD38" s="8">
        <v>0.29166326081727462</v>
      </c>
      <c r="AE38" s="8">
        <v>0.27593398730539453</v>
      </c>
      <c r="AF38" s="8">
        <v>0.26144110619097666</v>
      </c>
      <c r="AG38" s="8">
        <v>0.25866505528673572</v>
      </c>
      <c r="AH38" s="8">
        <v>0.32531801093101131</v>
      </c>
      <c r="AI38" s="8">
        <v>0.33518204398734991</v>
      </c>
      <c r="AJ38" s="8">
        <v>0.32674768199627369</v>
      </c>
      <c r="AK38" s="8">
        <v>0.34079109780788058</v>
      </c>
      <c r="AL38" s="8">
        <v>0.32778853926862389</v>
      </c>
      <c r="AM38" s="8">
        <v>0.31363241225281963</v>
      </c>
      <c r="AN38" s="8">
        <v>0.30307778325937257</v>
      </c>
      <c r="AO38" s="8">
        <v>0.28945030051957282</v>
      </c>
      <c r="AP38" s="8">
        <v>0.27094490118802222</v>
      </c>
      <c r="AQ38" s="8">
        <v>0.28075533106781364</v>
      </c>
      <c r="AR38" s="8">
        <v>0.25713954852411175</v>
      </c>
      <c r="AS38" s="8">
        <v>0.24622628097619761</v>
      </c>
      <c r="AT38" s="8">
        <v>0.25020621308448387</v>
      </c>
      <c r="AU38" s="8">
        <v>0.26353789123822724</v>
      </c>
      <c r="AV38" s="8">
        <v>0.26167544280418675</v>
      </c>
      <c r="AW38" s="8">
        <v>0.25262002047704935</v>
      </c>
      <c r="AX38" s="8">
        <v>0.24513539377118868</v>
      </c>
      <c r="AY38" s="8">
        <v>0.23786524749584415</v>
      </c>
      <c r="AZ38" s="8">
        <v>0.23933190439244589</v>
      </c>
      <c r="BA38" s="8">
        <v>0.25646614792856232</v>
      </c>
      <c r="BB38" s="8">
        <v>0.25861250283685805</v>
      </c>
      <c r="BC38" s="8">
        <v>0.2612423312523301</v>
      </c>
      <c r="BD38" s="8">
        <v>0.25003546742777222</v>
      </c>
      <c r="BE38" s="8">
        <v>0.24834436495040224</v>
      </c>
      <c r="BF38" s="8">
        <v>0.26285238570237052</v>
      </c>
      <c r="BG38" s="8">
        <v>0.27415665990374344</v>
      </c>
      <c r="BH38" s="8">
        <v>0.26119239056559174</v>
      </c>
      <c r="BI38" s="8">
        <v>0.25930629959002244</v>
      </c>
      <c r="BJ38" s="8">
        <v>0.25850055529109461</v>
      </c>
      <c r="BK38" s="8">
        <v>0.25652220410538329</v>
      </c>
      <c r="BM38" s="6" t="s">
        <v>331</v>
      </c>
      <c r="BN38" s="6" t="s">
        <v>152</v>
      </c>
      <c r="BO38" s="8">
        <v>1.6453506897390266E-2</v>
      </c>
      <c r="BP38" s="8">
        <v>1.4080393848112226E-2</v>
      </c>
      <c r="BQ38" s="8">
        <v>1.8975780920912309E-2</v>
      </c>
      <c r="BR38" s="8">
        <v>1.703803149812505E-2</v>
      </c>
      <c r="BS38" s="8">
        <v>2.2383064540853207E-2</v>
      </c>
      <c r="BT38" s="8">
        <v>1.5627442955919106E-2</v>
      </c>
      <c r="BU38" s="7">
        <v>1.1144215169584032E-2</v>
      </c>
      <c r="BV38" s="8">
        <v>7.3175493326151772E-3</v>
      </c>
      <c r="BW38" s="8">
        <v>7.1635143517369678E-3</v>
      </c>
      <c r="BX38" s="8">
        <v>8.4625115218773753E-3</v>
      </c>
      <c r="BY38" s="8">
        <v>1.1656953405530837E-2</v>
      </c>
      <c r="BZ38" s="7">
        <v>7.9860896867925708E-3</v>
      </c>
      <c r="CA38" s="8">
        <v>1.0398667809472958E-2</v>
      </c>
      <c r="CB38" s="8">
        <v>1.1233808881050189E-2</v>
      </c>
      <c r="CC38" s="8">
        <v>7.6691369553932793E-3</v>
      </c>
      <c r="CD38" s="7">
        <v>0</v>
      </c>
      <c r="CE38" s="7">
        <v>1.2171623637014732E-3</v>
      </c>
      <c r="CF38" s="7">
        <v>5.0767134270889528E-3</v>
      </c>
      <c r="CG38" s="8">
        <v>1.6176348422802023E-2</v>
      </c>
      <c r="CH38" s="8">
        <v>1.8366462240384258E-2</v>
      </c>
      <c r="CI38" s="8">
        <v>1.3762030597261121E-2</v>
      </c>
      <c r="CJ38" s="8">
        <v>2.4788617601114063E-3</v>
      </c>
      <c r="CK38" s="7">
        <v>9.1978304404891093E-3</v>
      </c>
      <c r="CL38" s="7">
        <v>2.8905653404707497E-2</v>
      </c>
      <c r="CM38" s="8">
        <v>2.1692173871456871E-2</v>
      </c>
      <c r="CN38" s="8">
        <v>1.7965049302609181E-2</v>
      </c>
      <c r="CO38" s="8">
        <v>2.3495727269078528E-2</v>
      </c>
      <c r="CP38" s="8">
        <v>1.4206192917991398E-2</v>
      </c>
      <c r="CQ38" s="8">
        <v>1.975984154737224E-3</v>
      </c>
      <c r="CR38" s="8">
        <v>2.0539268228007869E-2</v>
      </c>
      <c r="CS38" s="8">
        <v>2.6297967636504958E-2</v>
      </c>
      <c r="CT38" s="7">
        <v>3.4238347063535901E-2</v>
      </c>
      <c r="CU38" s="8">
        <v>4.9947080563887872E-2</v>
      </c>
      <c r="CV38" s="8">
        <v>5.1752466086785819E-2</v>
      </c>
      <c r="CW38" s="8">
        <v>1.7020423659296905E-2</v>
      </c>
      <c r="CX38" s="8">
        <v>2.1915670503348018E-2</v>
      </c>
      <c r="CY38" s="8">
        <v>2.1470780611735227E-2</v>
      </c>
      <c r="CZ38" s="8">
        <v>1.586354419269935E-2</v>
      </c>
      <c r="DA38" s="8">
        <v>1.9312406574855494E-2</v>
      </c>
      <c r="DB38" s="7">
        <v>1.6147447802865249E-2</v>
      </c>
      <c r="DC38" s="8">
        <v>2.9333943256714755E-2</v>
      </c>
      <c r="DD38" s="8">
        <v>4.0112827805129453E-2</v>
      </c>
      <c r="DE38" s="8">
        <v>3.1051145312880037E-2</v>
      </c>
      <c r="DF38" s="8">
        <v>2.6752600527029012E-2</v>
      </c>
      <c r="DG38" s="8">
        <v>1.3991488097413431E-2</v>
      </c>
      <c r="DH38" s="8">
        <v>6.1486346850353818E-3</v>
      </c>
      <c r="DI38" s="8">
        <v>4.7114787215466608E-3</v>
      </c>
      <c r="DJ38" s="8">
        <v>1.2567889651378526E-2</v>
      </c>
      <c r="DK38" s="8">
        <v>9.5072398242134152E-3</v>
      </c>
      <c r="DL38" s="8">
        <v>9.9987504006404972E-3</v>
      </c>
      <c r="DM38" s="8">
        <v>1.1646884743759408E-2</v>
      </c>
      <c r="DN38" s="8">
        <v>2.2591382967133641E-2</v>
      </c>
      <c r="DO38" s="8">
        <v>1.9243001647018448E-2</v>
      </c>
      <c r="DP38" s="8">
        <v>2.1924499870828975E-2</v>
      </c>
      <c r="DQ38" s="8">
        <v>3.3558009601702757E-2</v>
      </c>
      <c r="DR38" s="8">
        <v>3.1921532178901146E-2</v>
      </c>
      <c r="DS38" s="8">
        <v>2.0455024770860475E-2</v>
      </c>
      <c r="DT38" s="8">
        <v>1.4281622332175326E-2</v>
      </c>
      <c r="DU38" s="7">
        <v>1.1926713474449183E-2</v>
      </c>
      <c r="DV38" s="8">
        <v>6.7089819482568638E-3</v>
      </c>
      <c r="DX38" s="6" t="s">
        <v>331</v>
      </c>
      <c r="DY38" s="6" t="s">
        <v>153</v>
      </c>
      <c r="DZ38" s="8">
        <v>6.8882872666101384E-3</v>
      </c>
      <c r="EA38" s="8">
        <v>1.9487654482616974E-2</v>
      </c>
      <c r="EB38" s="7">
        <v>1.2634331583748474E-2</v>
      </c>
      <c r="EC38" s="8">
        <v>1.7276269662152656E-2</v>
      </c>
      <c r="ED38" s="8">
        <v>1.6879042424680198E-2</v>
      </c>
      <c r="EE38" s="8">
        <v>2.1436151381341775E-2</v>
      </c>
      <c r="EF38" s="7">
        <v>2.4044793778735713E-2</v>
      </c>
      <c r="EG38" s="8">
        <v>2.3111614779038472E-2</v>
      </c>
      <c r="EH38" s="8">
        <v>1.4273244943923968E-2</v>
      </c>
      <c r="EI38" s="8">
        <v>1.2857037916673086E-2</v>
      </c>
      <c r="EJ38" s="8">
        <v>1.5034757660172444E-2</v>
      </c>
      <c r="EK38" s="8">
        <v>1.3379127499282233E-2</v>
      </c>
      <c r="EL38" s="8">
        <v>1.3433321082728687E-2</v>
      </c>
      <c r="EM38" s="8">
        <v>1.3418967191312999E-2</v>
      </c>
      <c r="EN38" s="8">
        <v>1.433617371798155E-2</v>
      </c>
      <c r="EO38" s="8">
        <v>2.076650346532085E-2</v>
      </c>
      <c r="EP38" s="8">
        <v>1.5491089767024466E-2</v>
      </c>
      <c r="EQ38" s="8">
        <v>4.1225073684887205E-3</v>
      </c>
      <c r="ER38" s="8">
        <v>0</v>
      </c>
      <c r="ES38" s="8">
        <v>1.0695870558532146E-2</v>
      </c>
      <c r="ET38" s="8">
        <v>2.6448463987568824E-2</v>
      </c>
      <c r="EU38" s="8">
        <v>3.0864773752420548E-2</v>
      </c>
      <c r="EV38" s="8">
        <v>4.5546627243196001E-3</v>
      </c>
      <c r="EW38" s="8">
        <v>4.547599614822451E-3</v>
      </c>
      <c r="EX38" s="8">
        <v>1.9773260261822918E-2</v>
      </c>
      <c r="EY38" s="8">
        <v>3.1387745069571628E-2</v>
      </c>
      <c r="EZ38" s="8">
        <v>2.321031188214645E-2</v>
      </c>
      <c r="FA38" s="8">
        <v>1.7050900327550519E-2</v>
      </c>
      <c r="FB38" s="8">
        <v>1.9459714507335971E-2</v>
      </c>
      <c r="FC38" s="8">
        <v>1.1506607884344908E-2</v>
      </c>
      <c r="FD38" s="8">
        <v>3.2718060647864942E-2</v>
      </c>
      <c r="FE38" s="7">
        <v>3.1410894359540142E-2</v>
      </c>
      <c r="FF38" s="8">
        <v>3.2306038213533617E-2</v>
      </c>
      <c r="FG38" s="8">
        <v>5.4286010298685558E-2</v>
      </c>
      <c r="FH38" s="8">
        <v>5.334267201666943E-2</v>
      </c>
      <c r="FI38" s="8">
        <v>4.1079180001154895E-2</v>
      </c>
      <c r="FJ38" s="8">
        <v>2.0272826707306214E-2</v>
      </c>
      <c r="FK38" s="8">
        <v>9.396180431238384E-3</v>
      </c>
      <c r="FL38" s="8">
        <v>1.2958621010800244E-2</v>
      </c>
      <c r="FM38" s="8">
        <v>1.8957684129880029E-2</v>
      </c>
      <c r="FN38" s="8">
        <v>1.1666607496550256E-2</v>
      </c>
      <c r="FO38" s="8">
        <v>2.2386480046539287E-2</v>
      </c>
      <c r="FP38" s="8">
        <v>3.1802948097744879E-2</v>
      </c>
      <c r="FQ38" s="8">
        <v>4.146091650832056E-2</v>
      </c>
      <c r="FR38" s="8">
        <v>3.387705763224784E-2</v>
      </c>
      <c r="FS38" s="8">
        <v>2.9266475864888685E-2</v>
      </c>
      <c r="FT38" s="8">
        <v>2.3957047657380846E-2</v>
      </c>
      <c r="FU38" s="8">
        <v>1.1101930088670938E-2</v>
      </c>
      <c r="FV38" s="8">
        <v>5.0413157469850348E-3</v>
      </c>
      <c r="FW38" s="8">
        <v>1.2038116050484552E-2</v>
      </c>
      <c r="FX38" s="8">
        <v>1.4537742711228131E-2</v>
      </c>
      <c r="FY38" s="8">
        <v>1.4951937367659695E-2</v>
      </c>
      <c r="FZ38" s="8">
        <v>1.2076364102911007E-2</v>
      </c>
      <c r="GA38" s="8">
        <v>1.5543233350246675E-2</v>
      </c>
      <c r="GB38" s="8">
        <v>1.2178329122112886E-2</v>
      </c>
      <c r="GC38" s="8">
        <v>1.7638694099764325E-2</v>
      </c>
      <c r="GD38" s="8">
        <v>2.601776878862266E-2</v>
      </c>
      <c r="GE38" s="8">
        <v>3.0072123701080963E-2</v>
      </c>
      <c r="GF38" s="8">
        <v>1.9446002276109896E-2</v>
      </c>
      <c r="GG38" s="8">
        <v>1.9286489284717673E-2</v>
      </c>
      <c r="GI38" s="6" t="s">
        <v>331</v>
      </c>
      <c r="GJ38" s="6" t="s">
        <v>154</v>
      </c>
      <c r="GK38" s="8">
        <v>9.3185428074524276E-2</v>
      </c>
      <c r="GL38" s="8">
        <v>7.7213838565986209E-2</v>
      </c>
      <c r="GM38" s="8">
        <v>7.5197091450005984E-2</v>
      </c>
      <c r="GN38" s="8">
        <v>7.5373618543817619E-2</v>
      </c>
      <c r="GO38" s="8">
        <v>7.0827421256274656E-2</v>
      </c>
      <c r="GP38" s="8">
        <v>7.413606020930652E-2</v>
      </c>
      <c r="GQ38" s="8">
        <v>7.8951587959385852E-2</v>
      </c>
      <c r="GR38" s="8">
        <v>8.4010272988694928E-2</v>
      </c>
      <c r="GS38" s="8">
        <v>9.3519284035844003E-2</v>
      </c>
      <c r="GT38" s="8">
        <v>8.8203390391468073E-2</v>
      </c>
      <c r="GU38" s="8">
        <v>6.8250329682894878E-2</v>
      </c>
      <c r="GV38" s="8">
        <v>6.8271641400755742E-2</v>
      </c>
      <c r="GW38" s="8">
        <v>6.7285250072103966E-2</v>
      </c>
      <c r="GX38" s="8">
        <v>7.4143978472653568E-2</v>
      </c>
      <c r="GY38" s="8">
        <v>9.1688231718842675E-2</v>
      </c>
      <c r="GZ38" s="8">
        <v>9.6605071727057804E-2</v>
      </c>
      <c r="HA38" s="8">
        <v>0.10133660865980923</v>
      </c>
      <c r="HB38" s="7">
        <v>0.10998287450142442</v>
      </c>
      <c r="HC38" s="8">
        <v>9.9870072189210887E-2</v>
      </c>
      <c r="HD38" s="8">
        <v>8.5351401044893541E-2</v>
      </c>
      <c r="HE38" s="8">
        <v>0.11171227757861833</v>
      </c>
      <c r="HF38" s="8">
        <v>0.12519352956075977</v>
      </c>
      <c r="HG38" s="8">
        <v>0.15999673307939172</v>
      </c>
      <c r="HH38" s="8">
        <v>0.15640416903863544</v>
      </c>
      <c r="HI38" s="8">
        <v>0.13963938036404336</v>
      </c>
      <c r="HJ38" s="8">
        <v>0.11813823805138138</v>
      </c>
      <c r="HK38" s="8">
        <v>0.11114468079455103</v>
      </c>
      <c r="HL38" s="7">
        <v>0.11790683950707223</v>
      </c>
      <c r="HM38" s="8">
        <v>0.11483219655748754</v>
      </c>
      <c r="HN38" s="8">
        <v>0.10353175443303704</v>
      </c>
      <c r="HO38" s="8">
        <v>0.14840929510095277</v>
      </c>
      <c r="HP38" s="8">
        <v>0.13300303389819554</v>
      </c>
      <c r="HQ38" s="8">
        <v>0.12516455362050358</v>
      </c>
      <c r="HR38" s="8">
        <v>0.13089046524896622</v>
      </c>
      <c r="HS38" s="8">
        <v>0.14906322037679323</v>
      </c>
      <c r="HT38" s="8">
        <v>0.13695680113286626</v>
      </c>
      <c r="HU38" s="8">
        <v>0.14111349362413794</v>
      </c>
      <c r="HV38" s="8">
        <v>0.13822615211829986</v>
      </c>
      <c r="HW38" s="8">
        <v>0.12849886381774434</v>
      </c>
      <c r="HX38" s="8">
        <v>0.14913902932609163</v>
      </c>
      <c r="HY38" s="8">
        <v>0.10471746398080624</v>
      </c>
      <c r="HZ38" s="8">
        <v>7.532831578713628E-2</v>
      </c>
      <c r="IA38" s="8">
        <v>7.126555552411161E-2</v>
      </c>
      <c r="IB38" s="8">
        <v>7.1934205674865304E-2</v>
      </c>
      <c r="IC38" s="8">
        <v>8.8671597785213926E-2</v>
      </c>
      <c r="ID38" s="8">
        <v>9.4090423646857824E-2</v>
      </c>
      <c r="IE38" s="8">
        <v>9.9489290488488938E-2</v>
      </c>
      <c r="IF38" s="8">
        <v>0.1073514176204671</v>
      </c>
      <c r="IG38" s="8">
        <v>0.11158449119912171</v>
      </c>
      <c r="IH38" s="8">
        <v>0.12230724080216387</v>
      </c>
      <c r="II38" s="8">
        <v>0.10910615647604019</v>
      </c>
      <c r="IJ38" s="8">
        <v>0.10248517249780909</v>
      </c>
      <c r="IK38" s="8">
        <v>0.10350845628708129</v>
      </c>
      <c r="IL38" s="8">
        <v>9.860640364926733E-2</v>
      </c>
      <c r="IM38" s="8">
        <v>8.4650007231171678E-2</v>
      </c>
      <c r="IN38" s="8">
        <v>8.0281665646054573E-2</v>
      </c>
      <c r="IO38" s="8">
        <v>6.7614723357314388E-2</v>
      </c>
      <c r="IP38" s="8">
        <v>6.9858536831475609E-2</v>
      </c>
      <c r="IQ38" s="8">
        <v>8.486649863764846E-2</v>
      </c>
      <c r="IR38" s="8">
        <v>9.0274344913896812E-2</v>
      </c>
      <c r="JB38" s="6" t="s">
        <v>331</v>
      </c>
      <c r="JC38" s="8">
        <v>0.63041520201900758</v>
      </c>
      <c r="JD38" s="8">
        <v>0.63765286399124776</v>
      </c>
      <c r="JE38" s="8">
        <v>0.64719458083804338</v>
      </c>
      <c r="JF38" s="8">
        <v>0.64459420847068727</v>
      </c>
      <c r="JG38" s="8">
        <v>0.65069210520296916</v>
      </c>
      <c r="JH38" s="8">
        <v>0.65182186203439219</v>
      </c>
      <c r="JI38" s="8">
        <v>0.65106221074372173</v>
      </c>
      <c r="JJ38" s="8">
        <v>0.64638932414978523</v>
      </c>
      <c r="JK38" s="8">
        <v>0.64112316760201282</v>
      </c>
      <c r="JL38" s="8">
        <v>0.64806811214548499</v>
      </c>
      <c r="JM38" s="8">
        <v>0.67151850156285897</v>
      </c>
      <c r="JN38" s="8">
        <v>0.69750383546643402</v>
      </c>
      <c r="JO38" s="8">
        <v>0.69382126736155703</v>
      </c>
      <c r="JP38" s="8">
        <v>0.66926728469170049</v>
      </c>
      <c r="JQ38" s="8">
        <v>0.63322385824867822</v>
      </c>
      <c r="JR38" s="8">
        <v>0.61310747412387623</v>
      </c>
      <c r="JS38" s="8">
        <v>0.6087741351011654</v>
      </c>
      <c r="JT38" s="8">
        <v>0.61116069702218168</v>
      </c>
      <c r="JU38" s="8">
        <v>0.62180980516930195</v>
      </c>
      <c r="JV38" s="7">
        <v>0.62892206251468719</v>
      </c>
      <c r="JW38" s="8">
        <v>0.56168121086693124</v>
      </c>
      <c r="JX38" s="7">
        <v>0.53803145293673538</v>
      </c>
      <c r="JY38" s="8">
        <v>0.5204780665405081</v>
      </c>
      <c r="JZ38" s="8">
        <v>0.49890758903979604</v>
      </c>
      <c r="KA38" s="8">
        <v>0.50837382135222697</v>
      </c>
      <c r="KB38" s="8">
        <v>0.52940015275613594</v>
      </c>
      <c r="KC38" s="8">
        <v>0.55017488886082522</v>
      </c>
      <c r="KD38" s="8">
        <v>0.56540362086375573</v>
      </c>
      <c r="KE38" s="8">
        <v>0.58040117884248243</v>
      </c>
      <c r="KF38" s="8">
        <v>0.58367834477476743</v>
      </c>
      <c r="KG38" s="8">
        <v>0.36432452537368676</v>
      </c>
      <c r="KH38" s="7">
        <v>0.35584755681883468</v>
      </c>
      <c r="KI38" s="8">
        <v>0.3572184651026854</v>
      </c>
      <c r="KJ38" s="8">
        <v>0.33962116331704206</v>
      </c>
      <c r="KK38" s="8">
        <v>0.35955486939890158</v>
      </c>
      <c r="KL38" s="8">
        <v>0.39662401022579669</v>
      </c>
      <c r="KM38" s="8">
        <v>0.42870481763948881</v>
      </c>
      <c r="KN38" s="8">
        <v>0.43610409913255049</v>
      </c>
      <c r="KO38" s="8">
        <v>0.42357321025098826</v>
      </c>
      <c r="KP38" s="8">
        <v>0.39399696061262318</v>
      </c>
      <c r="KQ38" s="8">
        <v>0.54801540221882061</v>
      </c>
      <c r="KR38" s="8">
        <v>0.56940588213748755</v>
      </c>
      <c r="KS38" s="7">
        <v>0.58489473144273962</v>
      </c>
      <c r="KT38" s="8">
        <v>0.5862165752280073</v>
      </c>
      <c r="KU38" s="8">
        <v>0.5919694288833981</v>
      </c>
      <c r="KV38" s="8">
        <v>0.6010048689017623</v>
      </c>
      <c r="KW38" s="8">
        <v>0.59861687633745797</v>
      </c>
      <c r="KX38" s="8">
        <v>0.59215043692403391</v>
      </c>
      <c r="KY38" s="8">
        <v>0.57663141426050601</v>
      </c>
      <c r="KZ38" s="8">
        <v>0.54265012343580332</v>
      </c>
      <c r="LA38" s="8">
        <v>0.61635227537225867</v>
      </c>
      <c r="LB38" s="8">
        <v>0.61422341624660293</v>
      </c>
      <c r="LC38" s="8">
        <v>0.61760663027958451</v>
      </c>
      <c r="LD38" s="8">
        <v>0.61044651032496045</v>
      </c>
      <c r="LE38" s="8">
        <v>0.61391757535085645</v>
      </c>
      <c r="LF38" s="8">
        <v>0.61568330345478983</v>
      </c>
      <c r="LG38" s="8">
        <v>0.64431927726798321</v>
      </c>
      <c r="LH38" s="8">
        <v>0.64476692785742273</v>
      </c>
      <c r="LI38" s="8">
        <v>0.63957403195778462</v>
      </c>
      <c r="LJ38" s="8">
        <v>0.64446940804919295</v>
      </c>
      <c r="LL38" s="6" t="s">
        <v>318</v>
      </c>
      <c r="LM38" s="6" t="s">
        <v>160</v>
      </c>
      <c r="LN38" s="6" t="s">
        <v>161</v>
      </c>
      <c r="LO38" s="8">
        <v>0.56205966509301342</v>
      </c>
    </row>
    <row r="39" spans="2:327" x14ac:dyDescent="0.45">
      <c r="B39" s="3" t="s">
        <v>305</v>
      </c>
      <c r="C39" s="3" t="s">
        <v>151</v>
      </c>
      <c r="D39" s="5">
        <v>0.32603373911501787</v>
      </c>
      <c r="E39" s="5">
        <v>0.32331244367574025</v>
      </c>
      <c r="F39" s="5">
        <v>0.32041232468431502</v>
      </c>
      <c r="G39" s="5">
        <v>0.31086159922547024</v>
      </c>
      <c r="H39" s="5">
        <v>0.31393142818484254</v>
      </c>
      <c r="I39" s="5">
        <v>0.29281397401887205</v>
      </c>
      <c r="J39" s="5">
        <v>0.28965415558533897</v>
      </c>
      <c r="K39" s="5">
        <v>0.29802825376827646</v>
      </c>
      <c r="L39" s="5">
        <v>0.30771274872259302</v>
      </c>
      <c r="M39" s="5">
        <v>0.31131132596094335</v>
      </c>
      <c r="N39" s="5">
        <v>0.27480919243176621</v>
      </c>
      <c r="O39" s="5">
        <v>0.27973527240433899</v>
      </c>
      <c r="P39" s="5">
        <v>0.28595408074397277</v>
      </c>
      <c r="Q39" s="5">
        <v>0.28267577710891723</v>
      </c>
      <c r="R39" s="5">
        <v>0.28767031921665481</v>
      </c>
      <c r="S39" s="5">
        <v>0.28185867436187928</v>
      </c>
      <c r="T39" s="5">
        <v>0.27550657627716385</v>
      </c>
      <c r="U39" s="5">
        <v>0.27127615341751121</v>
      </c>
      <c r="V39" s="5">
        <v>0.28565183897748053</v>
      </c>
      <c r="W39" s="5">
        <v>0.27326655561354829</v>
      </c>
      <c r="X39" s="5">
        <v>0.37344884537561035</v>
      </c>
      <c r="Y39" s="5">
        <v>0.37215946619616919</v>
      </c>
      <c r="Z39" s="5">
        <v>0.37323931181892434</v>
      </c>
      <c r="AA39" s="5">
        <v>0.34916384363884811</v>
      </c>
      <c r="AB39" s="5">
        <v>0.33613879790425033</v>
      </c>
      <c r="AC39" s="5">
        <v>0.31899199533697942</v>
      </c>
      <c r="AD39" s="5">
        <v>0.29151888594598013</v>
      </c>
      <c r="AE39" s="5">
        <v>0.2885781183279329</v>
      </c>
      <c r="AF39" s="5">
        <v>0.29755097906886263</v>
      </c>
      <c r="AG39" s="5">
        <v>0.31651687973496356</v>
      </c>
      <c r="AH39" s="5">
        <v>0.38809782181785168</v>
      </c>
      <c r="AI39" s="5">
        <v>0.39423563210714352</v>
      </c>
      <c r="AJ39" s="5">
        <v>0.37996078807860528</v>
      </c>
      <c r="AK39" s="5">
        <v>0.41024611275134171</v>
      </c>
      <c r="AL39" s="5">
        <v>0.39186496076590233</v>
      </c>
      <c r="AM39" s="5">
        <v>0.35331341338559752</v>
      </c>
      <c r="AN39" s="5">
        <v>0.34056534395333626</v>
      </c>
      <c r="AO39" s="5">
        <v>0.32424660105935049</v>
      </c>
      <c r="AP39" s="5">
        <v>0.31027902825170156</v>
      </c>
      <c r="AQ39" s="5">
        <v>0.33539511326068305</v>
      </c>
      <c r="AR39" s="5">
        <v>0.30407184004617233</v>
      </c>
      <c r="AS39" s="5">
        <v>0.30454781114291019</v>
      </c>
      <c r="AT39" s="5">
        <v>0.31089581987568915</v>
      </c>
      <c r="AU39" s="5">
        <v>0.31992269340973001</v>
      </c>
      <c r="AV39" s="5">
        <v>0.31654474164021662</v>
      </c>
      <c r="AW39" s="5">
        <v>0.29090306056280107</v>
      </c>
      <c r="AX39" s="5">
        <v>0.28435733981404188</v>
      </c>
      <c r="AY39" s="5">
        <v>0.29603886105232741</v>
      </c>
      <c r="AZ39" s="5">
        <v>0.30270845755121328</v>
      </c>
      <c r="BA39" s="5">
        <v>0.32525860192457312</v>
      </c>
      <c r="BB39" s="5">
        <v>0.33920650911530775</v>
      </c>
      <c r="BC39" s="5">
        <v>0.34915265288329256</v>
      </c>
      <c r="BD39" s="5">
        <v>0.34743765060272297</v>
      </c>
      <c r="BE39" s="5">
        <v>0.35736958847477585</v>
      </c>
      <c r="BF39" s="5">
        <v>0.38139101954839988</v>
      </c>
      <c r="BG39" s="5">
        <v>0.36280376705193218</v>
      </c>
      <c r="BH39" s="5">
        <v>0.33824217808951845</v>
      </c>
      <c r="BI39" s="5">
        <v>0.32468633549288894</v>
      </c>
      <c r="BJ39" s="5">
        <v>0.32953670807901486</v>
      </c>
      <c r="BK39" s="5">
        <v>0.33149574650576802</v>
      </c>
      <c r="BM39" s="3" t="s">
        <v>305</v>
      </c>
      <c r="BN39" s="3" t="s">
        <v>152</v>
      </c>
      <c r="BO39" s="5">
        <v>3.5036129937531087E-2</v>
      </c>
      <c r="BP39" s="5">
        <v>8.7943586212367066E-3</v>
      </c>
      <c r="BQ39" s="5">
        <v>9.9256089349936318E-3</v>
      </c>
      <c r="BR39" s="5">
        <v>2.1720563167949881E-2</v>
      </c>
      <c r="BS39" s="5">
        <v>3.8948216946099297E-2</v>
      </c>
      <c r="BT39" s="5">
        <v>4.6931332350060251E-2</v>
      </c>
      <c r="BU39" s="4">
        <v>2.6344122359494095E-2</v>
      </c>
      <c r="BV39" s="5">
        <v>2.9090665654899529E-2</v>
      </c>
      <c r="BW39" s="5">
        <v>2.4102261401067349E-2</v>
      </c>
      <c r="BX39" s="5">
        <v>2.6268350224735251E-2</v>
      </c>
      <c r="BY39" s="5">
        <v>2.7588760835897959E-2</v>
      </c>
      <c r="BZ39" s="4">
        <v>8.8548749104362743E-4</v>
      </c>
      <c r="CA39" s="5">
        <v>1.0098527352972507E-2</v>
      </c>
      <c r="CB39" s="5">
        <v>1.5855373626753329E-2</v>
      </c>
      <c r="CC39" s="5">
        <v>1.1366341288214385E-2</v>
      </c>
      <c r="CD39" s="4">
        <v>7.7876639647417659E-3</v>
      </c>
      <c r="CE39" s="4">
        <v>4.4070766405264186E-3</v>
      </c>
      <c r="CF39" s="4">
        <v>1.5188711588789745E-2</v>
      </c>
      <c r="CG39" s="5">
        <v>9.7170007057842157E-3</v>
      </c>
      <c r="CH39" s="5">
        <v>5.5697008322400932E-3</v>
      </c>
      <c r="CI39" s="5">
        <v>4.1840538795891842E-2</v>
      </c>
      <c r="CJ39" s="5">
        <v>3.7967757517299569E-2</v>
      </c>
      <c r="CK39" s="4">
        <v>3.5002975359879174E-2</v>
      </c>
      <c r="CL39" s="4">
        <v>8.5291241921990266E-3</v>
      </c>
      <c r="CM39" s="5">
        <v>2.2171550784492469E-2</v>
      </c>
      <c r="CN39" s="5">
        <v>2.0747587403625353E-2</v>
      </c>
      <c r="CO39" s="5">
        <v>1.470330135631257E-2</v>
      </c>
      <c r="CP39" s="5">
        <v>2.1547691557160527E-2</v>
      </c>
      <c r="CQ39" s="5">
        <v>2.5344489343360359E-2</v>
      </c>
      <c r="CR39" s="5">
        <v>1.5555658174962224E-2</v>
      </c>
      <c r="CS39" s="5">
        <v>3.8037182888547627E-2</v>
      </c>
      <c r="CT39" s="4">
        <v>2.2222408333177117E-2</v>
      </c>
      <c r="CU39" s="5">
        <v>3.2287549222580959E-2</v>
      </c>
      <c r="CV39" s="5">
        <v>4.7716103818852613E-2</v>
      </c>
      <c r="CW39" s="5">
        <v>6.7321543172310178E-2</v>
      </c>
      <c r="CX39" s="5">
        <v>2.6468063870348932E-2</v>
      </c>
      <c r="CY39" s="5">
        <v>2.6479201803569247E-2</v>
      </c>
      <c r="CZ39" s="5">
        <v>2.5277513082741284E-2</v>
      </c>
      <c r="DA39" s="5">
        <v>1.4827107165928813E-2</v>
      </c>
      <c r="DB39" s="4">
        <v>1.9635182237506273E-2</v>
      </c>
      <c r="DC39" s="5">
        <v>4.4221538599316414E-2</v>
      </c>
      <c r="DD39" s="5">
        <v>5.7251374914603748E-2</v>
      </c>
      <c r="DE39" s="5">
        <v>4.0069435068094399E-2</v>
      </c>
      <c r="DF39" s="5">
        <v>5.1853020108224832E-2</v>
      </c>
      <c r="DG39" s="5">
        <v>4.2379028503409751E-2</v>
      </c>
      <c r="DH39" s="5">
        <v>2.2053592817705778E-2</v>
      </c>
      <c r="DI39" s="5">
        <v>2.721903414697165E-2</v>
      </c>
      <c r="DJ39" s="5">
        <v>1.5749475708484881E-2</v>
      </c>
      <c r="DK39" s="5">
        <v>8.7393692920554478E-3</v>
      </c>
      <c r="DL39" s="5">
        <v>1.532458968657756E-2</v>
      </c>
      <c r="DM39" s="5">
        <v>2.092899093673271E-2</v>
      </c>
      <c r="DN39" s="5">
        <v>3.9562580587892825E-2</v>
      </c>
      <c r="DO39" s="5">
        <v>1.5930202815271671E-2</v>
      </c>
      <c r="DP39" s="5">
        <v>1.2425955551101488E-2</v>
      </c>
      <c r="DQ39" s="5">
        <v>2.7275822589305776E-2</v>
      </c>
      <c r="DR39" s="5">
        <v>3.5673546992566377E-2</v>
      </c>
      <c r="DS39" s="5">
        <v>3.1486395379608421E-2</v>
      </c>
      <c r="DT39" s="5">
        <v>2.3720836986590561E-2</v>
      </c>
      <c r="DU39" s="4">
        <v>2.2224259778024849E-2</v>
      </c>
      <c r="DV39" s="5">
        <v>1.345220776300645E-2</v>
      </c>
      <c r="DX39" s="3" t="s">
        <v>305</v>
      </c>
      <c r="DY39" s="3" t="s">
        <v>153</v>
      </c>
      <c r="DZ39" s="5">
        <v>2.9261144372182482E-2</v>
      </c>
      <c r="EA39" s="5">
        <v>5.2361097248304338E-2</v>
      </c>
      <c r="EB39" s="4">
        <v>2.9678674240970159E-2</v>
      </c>
      <c r="EC39" s="5">
        <v>0</v>
      </c>
      <c r="ED39" s="5">
        <v>8.402691947177042E-3</v>
      </c>
      <c r="EE39" s="5">
        <v>1.1663775624554718E-2</v>
      </c>
      <c r="EF39" s="4">
        <v>4.3867398960992093E-2</v>
      </c>
      <c r="EG39" s="5">
        <v>5.8099934503845187E-2</v>
      </c>
      <c r="EH39" s="5">
        <v>5.176948061262255E-2</v>
      </c>
      <c r="EI39" s="5">
        <v>2.9826794474205425E-2</v>
      </c>
      <c r="EJ39" s="5">
        <v>1.2611429215746983E-2</v>
      </c>
      <c r="EK39" s="5">
        <v>6.2675918917922582E-2</v>
      </c>
      <c r="EL39" s="5">
        <v>3.6339512527945567E-2</v>
      </c>
      <c r="EM39" s="5">
        <v>8.942913854278119E-3</v>
      </c>
      <c r="EN39" s="5">
        <v>1.3176230895613806E-2</v>
      </c>
      <c r="EO39" s="5">
        <v>2.1152492520718751E-2</v>
      </c>
      <c r="EP39" s="5">
        <v>1.3410680948826536E-2</v>
      </c>
      <c r="EQ39" s="5">
        <v>8.589336646146804E-3</v>
      </c>
      <c r="ER39" s="5">
        <v>1.2400447331653986E-2</v>
      </c>
      <c r="ES39" s="5">
        <v>1.8747890613056619E-3</v>
      </c>
      <c r="ET39" s="5">
        <v>3.2591320347776551E-2</v>
      </c>
      <c r="EU39" s="5">
        <v>4.2037845271235851E-2</v>
      </c>
      <c r="EV39" s="5">
        <v>7.4852593975913789E-2</v>
      </c>
      <c r="EW39" s="5">
        <v>8.4468250638931652E-2</v>
      </c>
      <c r="EX39" s="5">
        <v>3.1239587921728314E-2</v>
      </c>
      <c r="EY39" s="5">
        <v>2.2104113984152338E-2</v>
      </c>
      <c r="EZ39" s="5">
        <v>1.6462596879730607E-2</v>
      </c>
      <c r="FA39" s="5">
        <v>2.5824322752938732E-2</v>
      </c>
      <c r="FB39" s="5">
        <v>2.8233331967605288E-2</v>
      </c>
      <c r="FC39" s="5">
        <v>3.6170110516630632E-2</v>
      </c>
      <c r="FD39" s="5">
        <v>1.8713316352753091E-2</v>
      </c>
      <c r="FE39" s="4">
        <v>4.6709763285955344E-2</v>
      </c>
      <c r="FF39" s="5">
        <v>7.6640360597022145E-2</v>
      </c>
      <c r="FG39" s="5">
        <v>6.4275588638730063E-2</v>
      </c>
      <c r="FH39" s="5">
        <v>5.2032157796183934E-2</v>
      </c>
      <c r="FI39" s="5">
        <v>6.6996127470526287E-2</v>
      </c>
      <c r="FJ39" s="5">
        <v>6.5905108788128261E-2</v>
      </c>
      <c r="FK39" s="5">
        <v>4.3038553107009839E-2</v>
      </c>
      <c r="FL39" s="5">
        <v>2.2170143771852446E-2</v>
      </c>
      <c r="FM39" s="5">
        <v>2.8174075036046135E-2</v>
      </c>
      <c r="FN39" s="5">
        <v>3.1056358244273972E-2</v>
      </c>
      <c r="FO39" s="5">
        <v>4.8880530558354715E-2</v>
      </c>
      <c r="FP39" s="5">
        <v>7.398015500081194E-2</v>
      </c>
      <c r="FQ39" s="5">
        <v>6.9632081818262234E-2</v>
      </c>
      <c r="FR39" s="5">
        <v>4.9361258573840973E-2</v>
      </c>
      <c r="FS39" s="5">
        <v>3.6645027851007227E-2</v>
      </c>
      <c r="FT39" s="5">
        <v>4.7726972027880121E-2</v>
      </c>
      <c r="FU39" s="5">
        <v>4.8135813739247107E-2</v>
      </c>
      <c r="FV39" s="5">
        <v>4.1698702204141271E-2</v>
      </c>
      <c r="FW39" s="5">
        <v>2.023007750197308E-2</v>
      </c>
      <c r="FX39" s="5">
        <v>1.1284192635638932E-2</v>
      </c>
      <c r="FY39" s="5">
        <v>1.4600873125388106E-2</v>
      </c>
      <c r="FZ39" s="5">
        <v>4.6636383672397169E-2</v>
      </c>
      <c r="GA39" s="5">
        <v>4.7572399786181982E-2</v>
      </c>
      <c r="GB39" s="5">
        <v>2.5673264519099348E-2</v>
      </c>
      <c r="GC39" s="5">
        <v>1.464946681239407E-2</v>
      </c>
      <c r="GD39" s="5">
        <v>2.4855545337607265E-2</v>
      </c>
      <c r="GE39" s="5">
        <v>4.2409660789134822E-2</v>
      </c>
      <c r="GF39" s="5">
        <v>4.8050946521002391E-2</v>
      </c>
      <c r="GG39" s="5">
        <v>2.7931486874235762E-2</v>
      </c>
      <c r="GI39" s="3" t="s">
        <v>305</v>
      </c>
      <c r="GJ39" s="3" t="s">
        <v>154</v>
      </c>
      <c r="GK39" s="5">
        <v>0.13686106610942084</v>
      </c>
      <c r="GL39" s="5">
        <v>0.14510378453925202</v>
      </c>
      <c r="GM39" s="5">
        <v>0.15914137647790541</v>
      </c>
      <c r="GN39" s="5">
        <v>0.16069898595767002</v>
      </c>
      <c r="GO39" s="5">
        <v>0.12122423683126438</v>
      </c>
      <c r="GP39" s="5">
        <v>0.10334154357970274</v>
      </c>
      <c r="GQ39" s="5">
        <v>9.0321996373663324E-2</v>
      </c>
      <c r="GR39" s="5">
        <v>9.6743556751752266E-2</v>
      </c>
      <c r="GS39" s="5">
        <v>0.10181423178219377</v>
      </c>
      <c r="GT39" s="5">
        <v>0.13293546895984143</v>
      </c>
      <c r="GU39" s="5">
        <v>0.12227657206376491</v>
      </c>
      <c r="GV39" s="5">
        <v>0.10374927640547417</v>
      </c>
      <c r="GW39" s="5">
        <v>0.13293726801465044</v>
      </c>
      <c r="GX39" s="5">
        <v>0.15406539523818019</v>
      </c>
      <c r="GY39" s="5">
        <v>0.14671365245760407</v>
      </c>
      <c r="GZ39" s="5">
        <v>0.13759149172500137</v>
      </c>
      <c r="HA39" s="5">
        <v>0.14392342830359955</v>
      </c>
      <c r="HB39" s="4">
        <v>0.13566251630275736</v>
      </c>
      <c r="HC39" s="5">
        <v>0.15088574381468714</v>
      </c>
      <c r="HD39" s="5">
        <v>0.15372361021398054</v>
      </c>
      <c r="HE39" s="5">
        <v>0.15801547688385395</v>
      </c>
      <c r="HF39" s="5">
        <v>0.13745191403303914</v>
      </c>
      <c r="HG39" s="5">
        <v>0.11232401775393164</v>
      </c>
      <c r="HH39" s="5">
        <v>0.1213944521482563</v>
      </c>
      <c r="HI39" s="5">
        <v>0.15506399779595889</v>
      </c>
      <c r="HJ39" s="5">
        <v>0.1566374289947596</v>
      </c>
      <c r="HK39" s="5">
        <v>0.14739076338218018</v>
      </c>
      <c r="HL39" s="4">
        <v>0.12241905869657176</v>
      </c>
      <c r="HM39" s="5">
        <v>0.11717798274817648</v>
      </c>
      <c r="HN39" s="5">
        <v>0.14204887061950641</v>
      </c>
      <c r="HO39" s="5">
        <v>0.21679408263110372</v>
      </c>
      <c r="HP39" s="5">
        <v>0.20867714690452566</v>
      </c>
      <c r="HQ39" s="5">
        <v>0.14968284897597978</v>
      </c>
      <c r="HR39" s="5">
        <v>0.14511503005532106</v>
      </c>
      <c r="HS39" s="5">
        <v>0.1528976786637137</v>
      </c>
      <c r="HT39" s="5">
        <v>0.13508146169692167</v>
      </c>
      <c r="HU39" s="5">
        <v>0.11619207450467825</v>
      </c>
      <c r="HV39" s="5">
        <v>0.13857146507886509</v>
      </c>
      <c r="HW39" s="5">
        <v>0.17450384601205943</v>
      </c>
      <c r="HX39" s="5">
        <v>0.18586461416759395</v>
      </c>
      <c r="HY39" s="5">
        <v>0.12496193473829983</v>
      </c>
      <c r="HZ39" s="5">
        <v>8.8758934740433962E-2</v>
      </c>
      <c r="IA39" s="5">
        <v>9.0186990290224367E-2</v>
      </c>
      <c r="IB39" s="5">
        <v>9.251687660945361E-2</v>
      </c>
      <c r="IC39" s="5">
        <v>0.11238957429768322</v>
      </c>
      <c r="ID39" s="5">
        <v>0.12011393388762136</v>
      </c>
      <c r="IE39" s="5">
        <v>0.10593497106355039</v>
      </c>
      <c r="IF39" s="5">
        <v>0.12998021773366836</v>
      </c>
      <c r="IG39" s="5">
        <v>0.14259464292413027</v>
      </c>
      <c r="IH39" s="5">
        <v>0.17829459732002836</v>
      </c>
      <c r="II39" s="5">
        <v>0.17636866089763556</v>
      </c>
      <c r="IJ39" s="5">
        <v>0.16281703967367059</v>
      </c>
      <c r="IK39" s="5">
        <v>0.14595440825841116</v>
      </c>
      <c r="IL39" s="5">
        <v>0.15944545765493212</v>
      </c>
      <c r="IM39" s="5">
        <v>0.17059517521342818</v>
      </c>
      <c r="IN39" s="5">
        <v>0.15592677574309116</v>
      </c>
      <c r="IO39" s="5">
        <v>0.13860910997094836</v>
      </c>
      <c r="IP39" s="5">
        <v>0.11619804427836078</v>
      </c>
      <c r="IQ39" s="5">
        <v>0.12292249795104558</v>
      </c>
      <c r="IR39" s="5">
        <v>0.16086488869367443</v>
      </c>
      <c r="JB39" s="3" t="s">
        <v>305</v>
      </c>
      <c r="JC39" s="5">
        <v>0.42531373063260214</v>
      </c>
      <c r="JD39" s="5">
        <v>0.41691965373011969</v>
      </c>
      <c r="JE39" s="5">
        <v>0.42791556720069407</v>
      </c>
      <c r="JF39" s="5">
        <v>0.44764292452452797</v>
      </c>
      <c r="JG39" s="5">
        <v>0.4787741153879817</v>
      </c>
      <c r="JH39" s="5">
        <v>0.50525031569690082</v>
      </c>
      <c r="JI39" s="5">
        <v>0.50144593571944129</v>
      </c>
      <c r="JJ39" s="5">
        <v>0.47393546737256947</v>
      </c>
      <c r="JK39" s="5">
        <v>0.45816176217365062</v>
      </c>
      <c r="JL39" s="5">
        <v>0.45120423226248957</v>
      </c>
      <c r="JM39" s="5">
        <v>0.45582197342739733</v>
      </c>
      <c r="JN39" s="5">
        <v>0.44504889754242583</v>
      </c>
      <c r="JO39" s="5">
        <v>0.43784642711159638</v>
      </c>
      <c r="JP39" s="5">
        <v>0.45853020979824372</v>
      </c>
      <c r="JQ39" s="5">
        <v>0.48900533898267895</v>
      </c>
      <c r="JR39" s="5">
        <v>0.49525260001222499</v>
      </c>
      <c r="JS39" s="5">
        <v>0.50006027156334432</v>
      </c>
      <c r="JT39" s="5">
        <v>0.49822148543278699</v>
      </c>
      <c r="JU39" s="5">
        <v>0.46157396122141453</v>
      </c>
      <c r="JV39" s="4">
        <v>0.44894655441224085</v>
      </c>
      <c r="JW39" s="5">
        <v>0.30505928753524042</v>
      </c>
      <c r="JX39" s="4">
        <v>0.30585258599889814</v>
      </c>
      <c r="JY39" s="5">
        <v>0.32121398398026701</v>
      </c>
      <c r="JZ39" s="5">
        <v>0.37503548936353476</v>
      </c>
      <c r="KA39" s="5">
        <v>0.40161518186529271</v>
      </c>
      <c r="KB39" s="5">
        <v>0.43244595456005791</v>
      </c>
      <c r="KC39" s="5">
        <v>0.44960054592992804</v>
      </c>
      <c r="KD39" s="5">
        <v>0.45287100585429457</v>
      </c>
      <c r="KE39" s="5">
        <v>0.42186216796275045</v>
      </c>
      <c r="KF39" s="5">
        <v>0.34658534979177996</v>
      </c>
      <c r="KG39" s="5">
        <v>0.18829389383655884</v>
      </c>
      <c r="KH39" s="4">
        <v>0.17732401106191137</v>
      </c>
      <c r="KI39" s="5">
        <v>0.17019562406705752</v>
      </c>
      <c r="KJ39" s="5">
        <v>0.20541234558913857</v>
      </c>
      <c r="KK39" s="5">
        <v>0.22927227258708538</v>
      </c>
      <c r="KL39" s="5">
        <v>0.25914867052943596</v>
      </c>
      <c r="KM39" s="5">
        <v>0.28130838513419393</v>
      </c>
      <c r="KN39" s="5">
        <v>0.26859910580359642</v>
      </c>
      <c r="KO39" s="5">
        <v>0.2309445576261609</v>
      </c>
      <c r="KP39" s="5">
        <v>0.18612430689565998</v>
      </c>
      <c r="KQ39" s="5">
        <v>0.30643093145727257</v>
      </c>
      <c r="KR39" s="5">
        <v>0.31284014088269629</v>
      </c>
      <c r="KS39" s="4">
        <v>0.32091303353701706</v>
      </c>
      <c r="KT39" s="5">
        <v>0.34348800988318245</v>
      </c>
      <c r="KU39" s="5">
        <v>0.38486571893187577</v>
      </c>
      <c r="KV39" s="5">
        <v>0.41617051421924206</v>
      </c>
      <c r="KW39" s="5">
        <v>0.40699541869145806</v>
      </c>
      <c r="KX39" s="5">
        <v>0.38154434924563546</v>
      </c>
      <c r="KY39" s="5">
        <v>0.32882124026015891</v>
      </c>
      <c r="KZ39" s="5">
        <v>0.30014585492918727</v>
      </c>
      <c r="LA39" s="5">
        <v>0.40556071544463029</v>
      </c>
      <c r="LB39" s="5">
        <v>0.43303503593826881</v>
      </c>
      <c r="LC39" s="5">
        <v>0.44490785552112416</v>
      </c>
      <c r="LD39" s="5">
        <v>0.44340427767210566</v>
      </c>
      <c r="LE39" s="5">
        <v>0.447098809939458</v>
      </c>
      <c r="LF39" s="5">
        <v>0.47257183201336228</v>
      </c>
      <c r="LG39" s="5">
        <v>0.47338592874832819</v>
      </c>
      <c r="LH39" s="5">
        <v>0.46426462156117937</v>
      </c>
      <c r="LI39" s="5">
        <v>0.45766180304077558</v>
      </c>
      <c r="LJ39" s="5">
        <v>0.43730766492605699</v>
      </c>
      <c r="LL39" s="3" t="s">
        <v>320</v>
      </c>
      <c r="LM39" s="3" t="s">
        <v>160</v>
      </c>
      <c r="LN39" s="3" t="s">
        <v>161</v>
      </c>
      <c r="LO39" s="5">
        <v>0.76645080481117578</v>
      </c>
    </row>
    <row r="40" spans="2:327" x14ac:dyDescent="0.45">
      <c r="B40" s="6" t="s">
        <v>307</v>
      </c>
      <c r="C40" s="6" t="s">
        <v>151</v>
      </c>
      <c r="D40" s="8">
        <v>0.29638992102489159</v>
      </c>
      <c r="E40" s="8">
        <v>0.29959421681099802</v>
      </c>
      <c r="F40" s="8">
        <v>0.30678105279182705</v>
      </c>
      <c r="G40" s="8">
        <v>0.28875626639867186</v>
      </c>
      <c r="H40" s="8">
        <v>0.29310562933222462</v>
      </c>
      <c r="I40" s="8">
        <v>0.28821178717738644</v>
      </c>
      <c r="J40" s="8">
        <v>0.28727679556596752</v>
      </c>
      <c r="K40" s="8">
        <v>0.29358830913035749</v>
      </c>
      <c r="L40" s="8">
        <v>0.29966251133945571</v>
      </c>
      <c r="M40" s="8">
        <v>0.29514558123298812</v>
      </c>
      <c r="N40" s="8">
        <v>0.24913139635145359</v>
      </c>
      <c r="O40" s="8">
        <v>0.25341865282629994</v>
      </c>
      <c r="P40" s="8">
        <v>0.25490363421020429</v>
      </c>
      <c r="Q40" s="8">
        <v>0.26368754179972081</v>
      </c>
      <c r="R40" s="8">
        <v>0.26868390125688518</v>
      </c>
      <c r="S40" s="8">
        <v>0.26009091317320715</v>
      </c>
      <c r="T40" s="8">
        <v>0.25879124366206735</v>
      </c>
      <c r="U40" s="8">
        <v>0.26093420055806305</v>
      </c>
      <c r="V40" s="8">
        <v>0.26588508556494989</v>
      </c>
      <c r="W40" s="8">
        <v>0.25401493619392451</v>
      </c>
      <c r="X40" s="8">
        <v>0.33136132700316223</v>
      </c>
      <c r="Y40" s="8">
        <v>0.34882809153470784</v>
      </c>
      <c r="Z40" s="8">
        <v>0.3649977112680462</v>
      </c>
      <c r="AA40" s="8">
        <v>0.36415992824826854</v>
      </c>
      <c r="AB40" s="8">
        <v>0.34784039149719093</v>
      </c>
      <c r="AC40" s="8">
        <v>0.32612582790813538</v>
      </c>
      <c r="AD40" s="8">
        <v>0.3034517870500083</v>
      </c>
      <c r="AE40" s="8">
        <v>0.30255640599357064</v>
      </c>
      <c r="AF40" s="8">
        <v>0.30451387881442721</v>
      </c>
      <c r="AG40" s="8">
        <v>0.30847332083690937</v>
      </c>
      <c r="AH40" s="8">
        <v>0.34462029685476236</v>
      </c>
      <c r="AI40" s="8">
        <v>0.37228364850802959</v>
      </c>
      <c r="AJ40" s="8">
        <v>0.37323581409383683</v>
      </c>
      <c r="AK40" s="8">
        <v>0.39669809575832787</v>
      </c>
      <c r="AL40" s="8">
        <v>0.38962640503415874</v>
      </c>
      <c r="AM40" s="8">
        <v>0.34846243197991339</v>
      </c>
      <c r="AN40" s="8">
        <v>0.34120458612408916</v>
      </c>
      <c r="AO40" s="8">
        <v>0.33327831967934402</v>
      </c>
      <c r="AP40" s="8">
        <v>0.31454627537313801</v>
      </c>
      <c r="AQ40" s="8">
        <v>0.30792182812356184</v>
      </c>
      <c r="AR40" s="8">
        <v>0.28624280050183715</v>
      </c>
      <c r="AS40" s="8">
        <v>0.27473543683721335</v>
      </c>
      <c r="AT40" s="8">
        <v>0.28442615996842324</v>
      </c>
      <c r="AU40" s="8">
        <v>0.28351866800408221</v>
      </c>
      <c r="AV40" s="8">
        <v>0.29426341979291154</v>
      </c>
      <c r="AW40" s="8">
        <v>0.27856922835807102</v>
      </c>
      <c r="AX40" s="8">
        <v>0.26768881215356499</v>
      </c>
      <c r="AY40" s="8">
        <v>0.28029389737313348</v>
      </c>
      <c r="AZ40" s="8">
        <v>0.28161684092818168</v>
      </c>
      <c r="BA40" s="8">
        <v>0.2964444058831231</v>
      </c>
      <c r="BB40" s="8">
        <v>0.31908673736558746</v>
      </c>
      <c r="BC40" s="8">
        <v>0.32472588880499481</v>
      </c>
      <c r="BD40" s="8">
        <v>0.32643679813765059</v>
      </c>
      <c r="BE40" s="8">
        <v>0.32999419228342292</v>
      </c>
      <c r="BF40" s="8">
        <v>0.35472107389766855</v>
      </c>
      <c r="BG40" s="8">
        <v>0.36212899016312422</v>
      </c>
      <c r="BH40" s="8">
        <v>0.3432134199484258</v>
      </c>
      <c r="BI40" s="8">
        <v>0.31883894463113205</v>
      </c>
      <c r="BJ40" s="8">
        <v>0.30522053866535287</v>
      </c>
      <c r="BK40" s="8">
        <v>0.30358331771509578</v>
      </c>
      <c r="BM40" s="6" t="s">
        <v>307</v>
      </c>
      <c r="BN40" s="6" t="s">
        <v>152</v>
      </c>
      <c r="BO40" s="8">
        <v>2.3191134502654712E-2</v>
      </c>
      <c r="BP40" s="8">
        <v>4.4871890348998364E-3</v>
      </c>
      <c r="BQ40" s="8">
        <v>5.1723233047087924E-3</v>
      </c>
      <c r="BR40" s="8">
        <v>8.0438890366246671E-3</v>
      </c>
      <c r="BS40" s="8">
        <v>1.8819690939582908E-2</v>
      </c>
      <c r="BT40" s="8">
        <v>2.8657639917716322E-2</v>
      </c>
      <c r="BU40" s="7">
        <v>3.3535604861825212E-2</v>
      </c>
      <c r="BV40" s="8">
        <v>3.1025884729154522E-2</v>
      </c>
      <c r="BW40" s="8">
        <v>3.2819816039371015E-2</v>
      </c>
      <c r="BX40" s="8">
        <v>2.377401413830426E-2</v>
      </c>
      <c r="BY40" s="8">
        <v>2.4529324593318261E-2</v>
      </c>
      <c r="BZ40" s="7">
        <v>2.2998165256511421E-2</v>
      </c>
      <c r="CA40" s="8">
        <v>9.1473483067998265E-3</v>
      </c>
      <c r="CB40" s="8">
        <v>2.2011691529402615E-2</v>
      </c>
      <c r="CC40" s="8">
        <v>1.4830271009125024E-2</v>
      </c>
      <c r="CD40" s="7">
        <v>2.7731888914826128E-3</v>
      </c>
      <c r="CE40" s="7">
        <v>5.6504922261211806E-4</v>
      </c>
      <c r="CF40" s="7">
        <v>6.7758118267523112E-3</v>
      </c>
      <c r="CG40" s="8">
        <v>7.9047375061813262E-3</v>
      </c>
      <c r="CH40" s="8">
        <v>1.0950356015081878E-2</v>
      </c>
      <c r="CI40" s="8">
        <v>8.9549572364650692E-3</v>
      </c>
      <c r="CJ40" s="8">
        <v>2.9438601276837398E-2</v>
      </c>
      <c r="CK40" s="7">
        <v>5.7485769972083108E-2</v>
      </c>
      <c r="CL40" s="7">
        <v>3.8920322918142861E-2</v>
      </c>
      <c r="CM40" s="8">
        <v>2.7011583867325981E-2</v>
      </c>
      <c r="CN40" s="8">
        <v>1.6712508354820101E-2</v>
      </c>
      <c r="CO40" s="8">
        <v>3.3770020689036406E-3</v>
      </c>
      <c r="CP40" s="8">
        <v>1.0987598133249704E-2</v>
      </c>
      <c r="CQ40" s="8">
        <v>3.4692598906937717E-2</v>
      </c>
      <c r="CR40" s="8">
        <v>2.887593616980828E-2</v>
      </c>
      <c r="CS40" s="8">
        <v>3.5000561744527058E-2</v>
      </c>
      <c r="CT40" s="7">
        <v>3.2814692650596784E-2</v>
      </c>
      <c r="CU40" s="8">
        <v>2.8048722855831165E-2</v>
      </c>
      <c r="CV40" s="8">
        <v>2.1317822204560327E-2</v>
      </c>
      <c r="CW40" s="8">
        <v>7.7582082545098338E-2</v>
      </c>
      <c r="CX40" s="8">
        <v>6.5171079874856888E-2</v>
      </c>
      <c r="CY40" s="8">
        <v>6.6511327018160486E-3</v>
      </c>
      <c r="CZ40" s="8">
        <v>1.1245693257556718E-2</v>
      </c>
      <c r="DA40" s="8">
        <v>2.2377301590360856E-2</v>
      </c>
      <c r="DB40" s="7">
        <v>3.0103408479419152E-2</v>
      </c>
      <c r="DC40" s="8">
        <v>2.1333330477885264E-2</v>
      </c>
      <c r="DD40" s="8">
        <v>6.0253673842332413E-2</v>
      </c>
      <c r="DE40" s="8">
        <v>4.9510754240032699E-2</v>
      </c>
      <c r="DF40" s="8">
        <v>3.6620759686586207E-2</v>
      </c>
      <c r="DG40" s="8">
        <v>5.1446484998417849E-2</v>
      </c>
      <c r="DH40" s="8">
        <v>3.1641959937369284E-2</v>
      </c>
      <c r="DI40" s="8">
        <v>1.0387055527320572E-2</v>
      </c>
      <c r="DJ40" s="8">
        <v>1.2293359660324269E-2</v>
      </c>
      <c r="DK40" s="8">
        <v>1.5095614888898131E-2</v>
      </c>
      <c r="DL40" s="8">
        <v>2.1413826931366831E-2</v>
      </c>
      <c r="DM40" s="8">
        <v>1.5714077047699254E-2</v>
      </c>
      <c r="DN40" s="8">
        <v>5.0269032661336033E-2</v>
      </c>
      <c r="DO40" s="8">
        <v>2.5599123688912109E-2</v>
      </c>
      <c r="DP40" s="8">
        <v>1.4501320639477601E-2</v>
      </c>
      <c r="DQ40" s="8">
        <v>1.602431363567439E-2</v>
      </c>
      <c r="DR40" s="8">
        <v>3.4277819121244786E-2</v>
      </c>
      <c r="DS40" s="8">
        <v>3.7224262772735842E-2</v>
      </c>
      <c r="DT40" s="8">
        <v>1.8263357138922961E-2</v>
      </c>
      <c r="DU40" s="7">
        <v>1.5953206172182693E-2</v>
      </c>
      <c r="DV40" s="8">
        <v>1.4819608011763078E-2</v>
      </c>
      <c r="DX40" s="6" t="s">
        <v>307</v>
      </c>
      <c r="DY40" s="6" t="s">
        <v>153</v>
      </c>
      <c r="DZ40" s="8">
        <v>3.0286676719654081E-2</v>
      </c>
      <c r="EA40" s="8">
        <v>3.9554145095059251E-2</v>
      </c>
      <c r="EB40" s="7">
        <v>2.6141578942622555E-2</v>
      </c>
      <c r="EC40" s="8">
        <v>9.428970877711473E-3</v>
      </c>
      <c r="ED40" s="8">
        <v>2.5469701295629311E-3</v>
      </c>
      <c r="EE40" s="8">
        <v>4.8046945839130854E-3</v>
      </c>
      <c r="EF40" s="7">
        <v>1.7158212206340739E-2</v>
      </c>
      <c r="EG40" s="8">
        <v>4.8074977241684129E-2</v>
      </c>
      <c r="EH40" s="8">
        <v>5.1729660028542707E-2</v>
      </c>
      <c r="EI40" s="8">
        <v>3.6419149850490648E-2</v>
      </c>
      <c r="EJ40" s="8">
        <v>1.0447076136545712E-2</v>
      </c>
      <c r="EK40" s="8">
        <v>1.9987973109052388E-2</v>
      </c>
      <c r="EL40" s="8">
        <v>3.7297693094753531E-2</v>
      </c>
      <c r="EM40" s="8">
        <v>3.8949435442172137E-2</v>
      </c>
      <c r="EN40" s="8">
        <v>2.3128133077248671E-2</v>
      </c>
      <c r="EO40" s="8">
        <v>2.4918982580789239E-2</v>
      </c>
      <c r="EP40" s="8">
        <v>2.2917442271466335E-2</v>
      </c>
      <c r="EQ40" s="8">
        <v>4.4175690490701469E-3</v>
      </c>
      <c r="ER40" s="8">
        <v>6.5473310678531658E-3</v>
      </c>
      <c r="ES40" s="8">
        <v>1.6875334498189362E-3</v>
      </c>
      <c r="ET40" s="8">
        <v>5.2037478877330151E-2</v>
      </c>
      <c r="EU40" s="8">
        <v>1.3846468958764707E-2</v>
      </c>
      <c r="EV40" s="8">
        <v>1.4470217075813583E-2</v>
      </c>
      <c r="EW40" s="8">
        <v>2.5345060242908789E-2</v>
      </c>
      <c r="EX40" s="8">
        <v>6.4164330865495528E-2</v>
      </c>
      <c r="EY40" s="8">
        <v>5.9684388287342238E-2</v>
      </c>
      <c r="EZ40" s="8">
        <v>5.4290879837158981E-2</v>
      </c>
      <c r="FA40" s="8">
        <v>1.6784819859256075E-2</v>
      </c>
      <c r="FB40" s="8">
        <v>9.4681697970294201E-3</v>
      </c>
      <c r="FC40" s="8">
        <v>3.0690923953648318E-2</v>
      </c>
      <c r="FD40" s="8">
        <v>5.2670185041320469E-2</v>
      </c>
      <c r="FE40" s="7">
        <v>3.1651834343789993E-2</v>
      </c>
      <c r="FF40" s="8">
        <v>6.0986685377481642E-2</v>
      </c>
      <c r="FG40" s="8">
        <v>7.1558104109663401E-2</v>
      </c>
      <c r="FH40" s="8">
        <v>3.1644345654882299E-2</v>
      </c>
      <c r="FI40" s="8">
        <v>4.0754100856829643E-2</v>
      </c>
      <c r="FJ40" s="8">
        <v>8.9680522703525653E-2</v>
      </c>
      <c r="FK40" s="8">
        <v>5.8245891102578676E-2</v>
      </c>
      <c r="FL40" s="8">
        <v>1.9359235319790617E-2</v>
      </c>
      <c r="FM40" s="8">
        <v>1.8603458548780729E-2</v>
      </c>
      <c r="FN40" s="8">
        <v>2.8262424150557887E-2</v>
      </c>
      <c r="FO40" s="8">
        <v>2.5387862162789421E-2</v>
      </c>
      <c r="FP40" s="8">
        <v>6.2713994041764393E-2</v>
      </c>
      <c r="FQ40" s="8">
        <v>7.0023606582278838E-2</v>
      </c>
      <c r="FR40" s="8">
        <v>5.3942869679686506E-2</v>
      </c>
      <c r="FS40" s="8">
        <v>3.9958596693656208E-2</v>
      </c>
      <c r="FT40" s="8">
        <v>3.9201931137180068E-2</v>
      </c>
      <c r="FU40" s="8">
        <v>5.0757095592634693E-2</v>
      </c>
      <c r="FV40" s="8">
        <v>3.875383694683885E-2</v>
      </c>
      <c r="FW40" s="8">
        <v>1.1943676782462533E-2</v>
      </c>
      <c r="FX40" s="8">
        <v>1.5085936596994627E-2</v>
      </c>
      <c r="FY40" s="8">
        <v>1.0456457128791714E-2</v>
      </c>
      <c r="FZ40" s="8">
        <v>4.4867614275779399E-2</v>
      </c>
      <c r="GA40" s="8">
        <v>5.2191658226451443E-2</v>
      </c>
      <c r="GB40" s="8">
        <v>3.3947997327139767E-2</v>
      </c>
      <c r="GC40" s="8">
        <v>1.3906093768547477E-2</v>
      </c>
      <c r="GD40" s="8">
        <v>1.501806066480085E-2</v>
      </c>
      <c r="GE40" s="8">
        <v>3.6028779080133112E-2</v>
      </c>
      <c r="GF40" s="8">
        <v>4.4176335884851758E-2</v>
      </c>
      <c r="GG40" s="8">
        <v>2.1552102759736375E-2</v>
      </c>
      <c r="GI40" s="6" t="s">
        <v>307</v>
      </c>
      <c r="GJ40" s="6" t="s">
        <v>154</v>
      </c>
      <c r="GK40" s="8">
        <v>0.12146779651920453</v>
      </c>
      <c r="GL40" s="8">
        <v>0.14662018246185121</v>
      </c>
      <c r="GM40" s="8">
        <v>0.16439279936266554</v>
      </c>
      <c r="GN40" s="8">
        <v>0.1640542167608596</v>
      </c>
      <c r="GO40" s="8">
        <v>0.14223432738229477</v>
      </c>
      <c r="GP40" s="8">
        <v>0.12896640077744331</v>
      </c>
      <c r="GQ40" s="8">
        <v>0.11762343421751763</v>
      </c>
      <c r="GR40" s="8">
        <v>0.10006919729003176</v>
      </c>
      <c r="GS40" s="8">
        <v>9.3831636592954418E-2</v>
      </c>
      <c r="GT40" s="8">
        <v>0.11318084653581463</v>
      </c>
      <c r="GU40" s="8">
        <v>0.11103731359561765</v>
      </c>
      <c r="GV40" s="8">
        <v>0.10445655285611927</v>
      </c>
      <c r="GW40" s="8">
        <v>0.10479032498180416</v>
      </c>
      <c r="GX40" s="8">
        <v>0.10196082669398725</v>
      </c>
      <c r="GY40" s="8">
        <v>0.12201730866902237</v>
      </c>
      <c r="GZ40" s="8">
        <v>0.12821063946327727</v>
      </c>
      <c r="HA40" s="8">
        <v>0.12929112324935085</v>
      </c>
      <c r="HB40" s="7">
        <v>0.13853191253084285</v>
      </c>
      <c r="HC40" s="8">
        <v>0.14913846814303652</v>
      </c>
      <c r="HD40" s="8">
        <v>0.14375895689354704</v>
      </c>
      <c r="HE40" s="8">
        <v>0.14891025204677658</v>
      </c>
      <c r="HF40" s="8">
        <v>0.16692452330453539</v>
      </c>
      <c r="HG40" s="8">
        <v>0.14225028059557537</v>
      </c>
      <c r="HH40" s="8">
        <v>0.15434651097540164</v>
      </c>
      <c r="HI40" s="8">
        <v>0.12551898211394558</v>
      </c>
      <c r="HJ40" s="8">
        <v>0.13081799115836282</v>
      </c>
      <c r="HK40" s="8">
        <v>0.12601018101715747</v>
      </c>
      <c r="HL40" s="7">
        <v>0.14580032954051597</v>
      </c>
      <c r="HM40" s="8">
        <v>0.13335638510276376</v>
      </c>
      <c r="HN40" s="8">
        <v>0.12908864849443366</v>
      </c>
      <c r="HO40" s="8">
        <v>0.15133424640457968</v>
      </c>
      <c r="HP40" s="8">
        <v>0.19567177457839732</v>
      </c>
      <c r="HQ40" s="8">
        <v>0.16777984262282852</v>
      </c>
      <c r="HR40" s="8">
        <v>0.1608240971490415</v>
      </c>
      <c r="HS40" s="8">
        <v>0.15035462244942657</v>
      </c>
      <c r="HT40" s="8">
        <v>0.12304592226740488</v>
      </c>
      <c r="HU40" s="8">
        <v>0.12026342879712233</v>
      </c>
      <c r="HV40" s="8">
        <v>0.13860116841443396</v>
      </c>
      <c r="HW40" s="8">
        <v>0.16859339109460675</v>
      </c>
      <c r="HX40" s="8">
        <v>0.17086395569685803</v>
      </c>
      <c r="HY40" s="8">
        <v>0.12652044728478393</v>
      </c>
      <c r="HZ40" s="8">
        <v>8.3816565926597031E-2</v>
      </c>
      <c r="IA40" s="8">
        <v>6.7309244557294576E-2</v>
      </c>
      <c r="IB40" s="8">
        <v>7.1709749709569059E-2</v>
      </c>
      <c r="IC40" s="8">
        <v>7.8172465887168308E-2</v>
      </c>
      <c r="ID40" s="8">
        <v>0.10222032023315458</v>
      </c>
      <c r="IE40" s="8">
        <v>0.11407162846525515</v>
      </c>
      <c r="IF40" s="8">
        <v>0.1197568321867437</v>
      </c>
      <c r="IG40" s="8">
        <v>0.12161919581194705</v>
      </c>
      <c r="IH40" s="8">
        <v>0.1498547152099643</v>
      </c>
      <c r="II40" s="8">
        <v>0.15994514077589878</v>
      </c>
      <c r="IJ40" s="8">
        <v>0.13313523585038989</v>
      </c>
      <c r="IK40" s="8">
        <v>0.12292215957869795</v>
      </c>
      <c r="IL40" s="8">
        <v>0.12701978377480785</v>
      </c>
      <c r="IM40" s="8">
        <v>0.15580199746990209</v>
      </c>
      <c r="IN40" s="8">
        <v>0.15702154407403762</v>
      </c>
      <c r="IO40" s="8">
        <v>0.13923676896231743</v>
      </c>
      <c r="IP40" s="8">
        <v>0.12421227221386834</v>
      </c>
      <c r="IQ40" s="8">
        <v>0.11659562408519668</v>
      </c>
      <c r="IR40" s="8">
        <v>0.15024712523684056</v>
      </c>
      <c r="JB40" s="6" t="s">
        <v>307</v>
      </c>
      <c r="JC40" s="8">
        <v>0.4508478170788715</v>
      </c>
      <c r="JD40" s="8">
        <v>0.41323328995002412</v>
      </c>
      <c r="JE40" s="8">
        <v>0.41909700884413514</v>
      </c>
      <c r="JF40" s="8">
        <v>0.44379601296422011</v>
      </c>
      <c r="JG40" s="8">
        <v>0.47495640513434384</v>
      </c>
      <c r="JH40" s="8">
        <v>0.5020484280938351</v>
      </c>
      <c r="JI40" s="8">
        <v>0.50310237807680569</v>
      </c>
      <c r="JJ40" s="8">
        <v>0.47225459866574154</v>
      </c>
      <c r="JK40" s="8">
        <v>0.4609170997134156</v>
      </c>
      <c r="JL40" s="8">
        <v>0.46925053120348625</v>
      </c>
      <c r="JM40" s="8">
        <v>0.48015874077221971</v>
      </c>
      <c r="JN40" s="8">
        <v>0.47433752949468205</v>
      </c>
      <c r="JO40" s="8">
        <v>0.46799992500820708</v>
      </c>
      <c r="JP40" s="8">
        <v>0.48028556173157372</v>
      </c>
      <c r="JQ40" s="8">
        <v>0.50984395228791979</v>
      </c>
      <c r="JR40" s="8">
        <v>0.50532189911667569</v>
      </c>
      <c r="JS40" s="8">
        <v>0.50031976824423718</v>
      </c>
      <c r="JT40" s="8">
        <v>0.48986144763115302</v>
      </c>
      <c r="JU40" s="8">
        <v>0.4607871124763962</v>
      </c>
      <c r="JV40" s="7">
        <v>0.46384229873236893</v>
      </c>
      <c r="JW40" s="8">
        <v>0.33916440887739524</v>
      </c>
      <c r="JX40" s="7">
        <v>0.33191422245190494</v>
      </c>
      <c r="JY40" s="8">
        <v>0.33076591854216086</v>
      </c>
      <c r="JZ40" s="8">
        <v>0.36789781847200598</v>
      </c>
      <c r="KA40" s="8">
        <v>0.39293624324119891</v>
      </c>
      <c r="KB40" s="8">
        <v>0.42283784620249543</v>
      </c>
      <c r="KC40" s="8">
        <v>0.44529921738084721</v>
      </c>
      <c r="KD40" s="8">
        <v>0.43714403882342417</v>
      </c>
      <c r="KE40" s="8">
        <v>0.40941273434588671</v>
      </c>
      <c r="KF40" s="8">
        <v>0.36737572816294933</v>
      </c>
      <c r="KG40" s="8">
        <v>0.2017008576838939</v>
      </c>
      <c r="KH40" s="7">
        <v>0.19324257416207433</v>
      </c>
      <c r="KI40" s="8">
        <v>0.19274631792950014</v>
      </c>
      <c r="KJ40" s="8">
        <v>0.20933841123609831</v>
      </c>
      <c r="KK40" s="8">
        <v>0.2351758783538119</v>
      </c>
      <c r="KL40" s="8">
        <v>0.26431450388291206</v>
      </c>
      <c r="KM40" s="8">
        <v>0.28628071885662781</v>
      </c>
      <c r="KN40" s="8">
        <v>0.27997698086573486</v>
      </c>
      <c r="KO40" s="8">
        <v>0.23313368291261766</v>
      </c>
      <c r="KP40" s="8">
        <v>0.20381401899616158</v>
      </c>
      <c r="KQ40" s="8">
        <v>0.33670087569060692</v>
      </c>
      <c r="KR40" s="8">
        <v>0.34616230332901093</v>
      </c>
      <c r="KS40" s="7">
        <v>0.35581187738315245</v>
      </c>
      <c r="KT40" s="8">
        <v>0.37464324617188671</v>
      </c>
      <c r="KU40" s="8">
        <v>0.40898937302945881</v>
      </c>
      <c r="KV40" s="8">
        <v>0.43366315676760936</v>
      </c>
      <c r="KW40" s="8">
        <v>0.41891790430463954</v>
      </c>
      <c r="KX40" s="8">
        <v>0.39468077117899353</v>
      </c>
      <c r="KY40" s="8">
        <v>0.35989155117769162</v>
      </c>
      <c r="KZ40" s="8">
        <v>0.33794878580438908</v>
      </c>
      <c r="LA40" s="8">
        <v>0.44065560815271593</v>
      </c>
      <c r="LB40" s="8">
        <v>0.45339862443287021</v>
      </c>
      <c r="LC40" s="8">
        <v>0.46427353883625605</v>
      </c>
      <c r="LD40" s="8">
        <v>0.46346066722520252</v>
      </c>
      <c r="LE40" s="8">
        <v>0.45464238560467041</v>
      </c>
      <c r="LF40" s="8">
        <v>0.47167832603458781</v>
      </c>
      <c r="LG40" s="8">
        <v>0.47471513434915347</v>
      </c>
      <c r="LH40" s="8">
        <v>0.47148089671950932</v>
      </c>
      <c r="LI40" s="8">
        <v>0.47260495229423261</v>
      </c>
      <c r="LJ40" s="8">
        <v>0.47030524799873819</v>
      </c>
      <c r="LL40" s="6" t="s">
        <v>322</v>
      </c>
      <c r="LM40" s="6" t="s">
        <v>160</v>
      </c>
      <c r="LN40" s="6" t="s">
        <v>161</v>
      </c>
      <c r="LO40" s="8">
        <v>0.78121977150367705</v>
      </c>
    </row>
    <row r="41" spans="2:327" x14ac:dyDescent="0.45">
      <c r="B41" s="3" t="s">
        <v>309</v>
      </c>
      <c r="C41" s="3" t="s">
        <v>151</v>
      </c>
      <c r="D41" s="5">
        <v>0.29029874492096186</v>
      </c>
      <c r="E41" s="5">
        <v>0.2889886120059646</v>
      </c>
      <c r="F41" s="5">
        <v>0.29147511539476045</v>
      </c>
      <c r="G41" s="5">
        <v>0.29231157443912703</v>
      </c>
      <c r="H41" s="5">
        <v>0.30305722550005054</v>
      </c>
      <c r="I41" s="5">
        <v>0.3164891207617786</v>
      </c>
      <c r="J41" s="5">
        <v>0.31013920168214087</v>
      </c>
      <c r="K41" s="5">
        <v>0.31654126796841298</v>
      </c>
      <c r="L41" s="5">
        <v>0.28704648647053654</v>
      </c>
      <c r="M41" s="5">
        <v>0.28985862811672258</v>
      </c>
      <c r="N41" s="5">
        <v>0.2765760575719704</v>
      </c>
      <c r="O41" s="5">
        <v>0.26537537202967804</v>
      </c>
      <c r="P41" s="5">
        <v>0.25409802327980308</v>
      </c>
      <c r="Q41" s="5">
        <v>0.26298209569654646</v>
      </c>
      <c r="R41" s="5">
        <v>0.28831165655689567</v>
      </c>
      <c r="S41" s="5">
        <v>0.29511682820136148</v>
      </c>
      <c r="T41" s="5">
        <v>0.30128082178283366</v>
      </c>
      <c r="U41" s="5">
        <v>0.30193285411740678</v>
      </c>
      <c r="V41" s="5">
        <v>0.30040189204927009</v>
      </c>
      <c r="W41" s="5">
        <v>0.29324958179057381</v>
      </c>
      <c r="X41" s="5">
        <v>0.33007029561956414</v>
      </c>
      <c r="Y41" s="5">
        <v>0.35315468575485054</v>
      </c>
      <c r="Z41" s="5">
        <v>0.38679907575473965</v>
      </c>
      <c r="AA41" s="5">
        <v>0.40102816014157783</v>
      </c>
      <c r="AB41" s="5">
        <v>0.41101393131907665</v>
      </c>
      <c r="AC41" s="5">
        <v>0.36881234065068463</v>
      </c>
      <c r="AD41" s="5">
        <v>0.34399830279783067</v>
      </c>
      <c r="AE41" s="5">
        <v>0.33814358520690924</v>
      </c>
      <c r="AF41" s="5">
        <v>0.34825693344536279</v>
      </c>
      <c r="AG41" s="5">
        <v>0.32678038416111449</v>
      </c>
      <c r="AH41" s="5">
        <v>0.32522118798249761</v>
      </c>
      <c r="AI41" s="5">
        <v>0.34408736239882742</v>
      </c>
      <c r="AJ41" s="5">
        <v>0.4003589538771456</v>
      </c>
      <c r="AK41" s="5">
        <v>0.42710257337184454</v>
      </c>
      <c r="AL41" s="5">
        <v>0.41076745688923294</v>
      </c>
      <c r="AM41" s="5">
        <v>0.39072830400453634</v>
      </c>
      <c r="AN41" s="5">
        <v>0.37980957925621561</v>
      </c>
      <c r="AO41" s="5">
        <v>0.35622706672040833</v>
      </c>
      <c r="AP41" s="5">
        <v>0.34132055900962804</v>
      </c>
      <c r="AQ41" s="5">
        <v>0.31606391700750075</v>
      </c>
      <c r="AR41" s="5">
        <v>0.28204109021142437</v>
      </c>
      <c r="AS41" s="5">
        <v>0.29042098667383909</v>
      </c>
      <c r="AT41" s="5">
        <v>0.29385255783056163</v>
      </c>
      <c r="AU41" s="5">
        <v>0.29538871956613794</v>
      </c>
      <c r="AV41" s="5">
        <v>0.30053128663684919</v>
      </c>
      <c r="AW41" s="5">
        <v>0.28465578261173735</v>
      </c>
      <c r="AX41" s="5">
        <v>0.28012967657399646</v>
      </c>
      <c r="AY41" s="5">
        <v>0.27234077591353539</v>
      </c>
      <c r="AZ41" s="5">
        <v>0.26594947587884027</v>
      </c>
      <c r="BA41" s="5">
        <v>0.27431100102450373</v>
      </c>
      <c r="BB41" s="5">
        <v>0.2757493960413811</v>
      </c>
      <c r="BC41" s="5">
        <v>0.28318732456356216</v>
      </c>
      <c r="BD41" s="5">
        <v>0.29445533093789156</v>
      </c>
      <c r="BE41" s="5">
        <v>0.29639169935843862</v>
      </c>
      <c r="BF41" s="5">
        <v>0.31297005316504511</v>
      </c>
      <c r="BG41" s="5">
        <v>0.32668905389885694</v>
      </c>
      <c r="BH41" s="5">
        <v>0.3344524649513963</v>
      </c>
      <c r="BI41" s="5">
        <v>0.31307087710413795</v>
      </c>
      <c r="BJ41" s="5">
        <v>0.29405336699390833</v>
      </c>
      <c r="BK41" s="5">
        <v>0.27593136424661946</v>
      </c>
      <c r="BM41" s="3" t="s">
        <v>309</v>
      </c>
      <c r="BN41" s="3" t="s">
        <v>152</v>
      </c>
      <c r="BO41" s="5">
        <v>1.1600609034033925E-2</v>
      </c>
      <c r="BP41" s="5">
        <v>8.4932336123551729E-3</v>
      </c>
      <c r="BQ41" s="5">
        <v>1.6238527394338693E-2</v>
      </c>
      <c r="BR41" s="5">
        <v>1.5535819330867612E-2</v>
      </c>
      <c r="BS41" s="5">
        <v>1.1802409126608309E-2</v>
      </c>
      <c r="BT41" s="5">
        <v>1.9309123927988333E-2</v>
      </c>
      <c r="BU41" s="4">
        <v>1.6808268161459479E-2</v>
      </c>
      <c r="BV41" s="5">
        <v>2.9525229661178595E-2</v>
      </c>
      <c r="BW41" s="5">
        <v>2.2830273953327155E-2</v>
      </c>
      <c r="BX41" s="5">
        <v>2.0512718633362497E-2</v>
      </c>
      <c r="BY41" s="5">
        <v>1.9558342539301981E-2</v>
      </c>
      <c r="BZ41" s="4">
        <v>3.3917495414749962E-2</v>
      </c>
      <c r="CA41" s="5">
        <v>1.7157080214253044E-2</v>
      </c>
      <c r="CB41" s="5">
        <v>9.7482522889683152E-3</v>
      </c>
      <c r="CC41" s="5">
        <v>2.4832513053880633E-2</v>
      </c>
      <c r="CD41" s="4">
        <v>3.0858530183464152E-2</v>
      </c>
      <c r="CE41" s="4">
        <v>3.9519148671947214E-3</v>
      </c>
      <c r="CF41" s="4">
        <v>5.4681521310059652E-3</v>
      </c>
      <c r="CG41" s="5">
        <v>1.1087674890196918E-2</v>
      </c>
      <c r="CH41" s="5">
        <v>8.0613503246711963E-3</v>
      </c>
      <c r="CI41" s="5">
        <v>3.9071640426552312E-2</v>
      </c>
      <c r="CJ41" s="5">
        <v>4.0867518698704209E-3</v>
      </c>
      <c r="CK41" s="4">
        <v>3.6921645768847232E-2</v>
      </c>
      <c r="CL41" s="4">
        <v>4.5776951032126187E-2</v>
      </c>
      <c r="CM41" s="5">
        <v>5.0144232514899419E-2</v>
      </c>
      <c r="CN41" s="5">
        <v>1.7797964439804352E-2</v>
      </c>
      <c r="CO41" s="5">
        <v>1.3329219746513712E-2</v>
      </c>
      <c r="CP41" s="5">
        <v>1.3100857276096809E-2</v>
      </c>
      <c r="CQ41" s="5">
        <v>1.9896194315863598E-2</v>
      </c>
      <c r="CR41" s="5">
        <v>2.635085522950812E-2</v>
      </c>
      <c r="CS41" s="5">
        <v>1.9755439159947086E-2</v>
      </c>
      <c r="CT41" s="4">
        <v>4.1074022100767424E-2</v>
      </c>
      <c r="CU41" s="5">
        <v>5.7206328749942574E-2</v>
      </c>
      <c r="CV41" s="5">
        <v>2.9704647120969443E-2</v>
      </c>
      <c r="CW41" s="5">
        <v>2.868056431427362E-2</v>
      </c>
      <c r="CX41" s="5">
        <v>7.14570810581764E-2</v>
      </c>
      <c r="CY41" s="5">
        <v>7.7965656146072995E-2</v>
      </c>
      <c r="CZ41" s="5">
        <v>5.0078495063870326E-2</v>
      </c>
      <c r="DA41" s="5">
        <v>9.626764712048267E-3</v>
      </c>
      <c r="DB41" s="4">
        <v>3.0300514186858429E-2</v>
      </c>
      <c r="DC41" s="5">
        <v>2.0617110371879341E-2</v>
      </c>
      <c r="DD41" s="5">
        <v>5.3614286910628452E-2</v>
      </c>
      <c r="DE41" s="5">
        <v>6.1754707552804489E-2</v>
      </c>
      <c r="DF41" s="5">
        <v>5.7299487677347626E-2</v>
      </c>
      <c r="DG41" s="5">
        <v>4.4308652619846886E-2</v>
      </c>
      <c r="DH41" s="5">
        <v>4.1218039316632975E-2</v>
      </c>
      <c r="DI41" s="5">
        <v>1.325595226559163E-2</v>
      </c>
      <c r="DJ41" s="5">
        <v>1.7766101554202766E-2</v>
      </c>
      <c r="DK41" s="5">
        <v>8.2703623714980266E-3</v>
      </c>
      <c r="DL41" s="5">
        <v>4.5632356811548709E-3</v>
      </c>
      <c r="DM41" s="5">
        <v>1.5369405417331127E-2</v>
      </c>
      <c r="DN41" s="5">
        <v>1.9103788476486791E-2</v>
      </c>
      <c r="DO41" s="5">
        <v>3.4176541816089243E-2</v>
      </c>
      <c r="DP41" s="5">
        <v>2.2564180316842496E-2</v>
      </c>
      <c r="DQ41" s="5">
        <v>1.3333774385503476E-2</v>
      </c>
      <c r="DR41" s="5">
        <v>1.790308803057437E-2</v>
      </c>
      <c r="DS41" s="5">
        <v>2.6209275059732046E-2</v>
      </c>
      <c r="DT41" s="5">
        <v>3.0859527048039067E-2</v>
      </c>
      <c r="DU41" s="4">
        <v>1.487603458184841E-2</v>
      </c>
      <c r="DV41" s="5">
        <v>1.7456353419225606E-2</v>
      </c>
      <c r="DX41" s="3" t="s">
        <v>309</v>
      </c>
      <c r="DY41" s="3" t="s">
        <v>153</v>
      </c>
      <c r="DZ41" s="5">
        <v>2.4025651051071652E-2</v>
      </c>
      <c r="EA41" s="5">
        <v>1.1833100406697597E-2</v>
      </c>
      <c r="EB41" s="4">
        <v>8.5154241016738106E-3</v>
      </c>
      <c r="EC41" s="5">
        <v>6.9756986448016242E-3</v>
      </c>
      <c r="ED41" s="5">
        <v>1.4412460632376728E-2</v>
      </c>
      <c r="EE41" s="5">
        <v>1.7637471785931027E-2</v>
      </c>
      <c r="EF41" s="4">
        <v>2.3102778061775912E-2</v>
      </c>
      <c r="EG41" s="5">
        <v>2.0550076558443372E-2</v>
      </c>
      <c r="EH41" s="5">
        <v>2.6601998883282869E-2</v>
      </c>
      <c r="EI41" s="5">
        <v>2.4438106439071149E-2</v>
      </c>
      <c r="EJ41" s="5">
        <v>9.7025758477718351E-3</v>
      </c>
      <c r="EK41" s="5">
        <v>1.1424422874066737E-2</v>
      </c>
      <c r="EL41" s="5">
        <v>2.4027809818270039E-2</v>
      </c>
      <c r="EM41" s="5">
        <v>2.8403517192423466E-2</v>
      </c>
      <c r="EN41" s="5">
        <v>3.111789342121463E-2</v>
      </c>
      <c r="EO41" s="5">
        <v>6.3897236880303175E-3</v>
      </c>
      <c r="EP41" s="5">
        <v>2.934860968117679E-2</v>
      </c>
      <c r="EQ41" s="5">
        <v>3.1724191129734992E-2</v>
      </c>
      <c r="ER41" s="5">
        <v>1.4391630552501434E-2</v>
      </c>
      <c r="ES41" s="5">
        <v>9.660810800622581E-3</v>
      </c>
      <c r="ET41" s="5">
        <v>3.9438933936109422E-2</v>
      </c>
      <c r="EU41" s="5">
        <v>5.446637660905497E-2</v>
      </c>
      <c r="EV41" s="5">
        <v>3.2371969612474599E-2</v>
      </c>
      <c r="EW41" s="5">
        <v>9.700481856787414E-3</v>
      </c>
      <c r="EX41" s="5">
        <v>4.5046546557807807E-2</v>
      </c>
      <c r="EY41" s="5">
        <v>7.3323576601551213E-2</v>
      </c>
      <c r="EZ41" s="5">
        <v>7.3896460401089839E-2</v>
      </c>
      <c r="FA41" s="5">
        <v>3.2159089352346938E-2</v>
      </c>
      <c r="FB41" s="5">
        <v>1.6972978036005434E-2</v>
      </c>
      <c r="FC41" s="5">
        <v>1.6556738189782538E-2</v>
      </c>
      <c r="FD41" s="5">
        <v>4.9117238839184771E-2</v>
      </c>
      <c r="FE41" s="4">
        <v>4.6369601909909512E-2</v>
      </c>
      <c r="FF41" s="5">
        <v>1.8620698092845039E-2</v>
      </c>
      <c r="FG41" s="5">
        <v>5.151573365685521E-2</v>
      </c>
      <c r="FH41" s="5">
        <v>4.7328159598867083E-2</v>
      </c>
      <c r="FI41" s="5">
        <v>8.6908957304069352E-3</v>
      </c>
      <c r="FJ41" s="5">
        <v>2.6701118960429104E-2</v>
      </c>
      <c r="FK41" s="5">
        <v>7.0264968161205199E-2</v>
      </c>
      <c r="FL41" s="5">
        <v>7.0657915363004906E-2</v>
      </c>
      <c r="FM41" s="5">
        <v>4.504705096802146E-2</v>
      </c>
      <c r="FN41" s="5">
        <v>1.574566493167711E-2</v>
      </c>
      <c r="FO41" s="5">
        <v>2.3104035580498106E-2</v>
      </c>
      <c r="FP41" s="5">
        <v>3.9033678234508679E-2</v>
      </c>
      <c r="FQ41" s="5">
        <v>4.4208409971589362E-2</v>
      </c>
      <c r="FR41" s="5">
        <v>6.8307803992376043E-2</v>
      </c>
      <c r="FS41" s="5">
        <v>5.1745898997027265E-2</v>
      </c>
      <c r="FT41" s="5">
        <v>5.3314887249249605E-2</v>
      </c>
      <c r="FU41" s="5">
        <v>2.4223144259888391E-2</v>
      </c>
      <c r="FV41" s="5">
        <v>4.2571795431240726E-2</v>
      </c>
      <c r="FW41" s="5">
        <v>2.5859943360622948E-2</v>
      </c>
      <c r="FX41" s="5">
        <v>1.5315217193816191E-2</v>
      </c>
      <c r="FY41" s="5">
        <v>2.5285189105290689E-2</v>
      </c>
      <c r="FZ41" s="5">
        <v>3.1466565104200248E-2</v>
      </c>
      <c r="GA41" s="5">
        <v>3.0727705733415496E-2</v>
      </c>
      <c r="GB41" s="5">
        <v>2.7779672999359777E-2</v>
      </c>
      <c r="GC41" s="5">
        <v>2.5131719446452882E-2</v>
      </c>
      <c r="GD41" s="5">
        <v>2.2456063497079327E-2</v>
      </c>
      <c r="GE41" s="5">
        <v>1.725246757117526E-2</v>
      </c>
      <c r="GF41" s="5">
        <v>3.3353018663730881E-2</v>
      </c>
      <c r="GG41" s="5">
        <v>2.4512361973314276E-2</v>
      </c>
      <c r="GI41" s="3" t="s">
        <v>309</v>
      </c>
      <c r="GJ41" s="3" t="s">
        <v>154</v>
      </c>
      <c r="GK41" s="5">
        <v>0.14131787976407648</v>
      </c>
      <c r="GL41" s="5">
        <v>0.14897883343986948</v>
      </c>
      <c r="GM41" s="5">
        <v>0.15214782220303158</v>
      </c>
      <c r="GN41" s="5">
        <v>0.15235426459775825</v>
      </c>
      <c r="GO41" s="5">
        <v>0.14570320282445698</v>
      </c>
      <c r="GP41" s="5">
        <v>0.14206156177329354</v>
      </c>
      <c r="GQ41" s="5">
        <v>0.13327878837248167</v>
      </c>
      <c r="GR41" s="5">
        <v>0.13396653011179513</v>
      </c>
      <c r="GS41" s="5">
        <v>0.12578279606151307</v>
      </c>
      <c r="GT41" s="5">
        <v>0.12904925703739581</v>
      </c>
      <c r="GU41" s="5">
        <v>0.12991492713227687</v>
      </c>
      <c r="GV41" s="5">
        <v>0.11021048237568513</v>
      </c>
      <c r="GW41" s="5">
        <v>0.11028206297438344</v>
      </c>
      <c r="GX41" s="5">
        <v>0.11092831351163254</v>
      </c>
      <c r="GY41" s="5">
        <v>0.10977336605473202</v>
      </c>
      <c r="GZ41" s="5">
        <v>0.14110172491264325</v>
      </c>
      <c r="HA41" s="5">
        <v>0.14120087232881062</v>
      </c>
      <c r="HB41" s="4">
        <v>0.13357156227676406</v>
      </c>
      <c r="HC41" s="5">
        <v>0.15785500495297286</v>
      </c>
      <c r="HD41" s="5">
        <v>0.15680262047638249</v>
      </c>
      <c r="HE41" s="5">
        <v>0.13925347688015954</v>
      </c>
      <c r="HF41" s="5">
        <v>0.17904807516680327</v>
      </c>
      <c r="HG41" s="5">
        <v>0.17180129898857238</v>
      </c>
      <c r="HH41" s="5">
        <v>0.19056195373381687</v>
      </c>
      <c r="HI41" s="5">
        <v>0.16756431078004699</v>
      </c>
      <c r="HJ41" s="5">
        <v>0.14246167561387907</v>
      </c>
      <c r="HK41" s="5">
        <v>0.12022397816574842</v>
      </c>
      <c r="HL41" s="4">
        <v>0.15847687288633314</v>
      </c>
      <c r="HM41" s="5">
        <v>0.18173766541813066</v>
      </c>
      <c r="HN41" s="5">
        <v>0.16215325129048813</v>
      </c>
      <c r="HO41" s="5">
        <v>0.15883955142423314</v>
      </c>
      <c r="HP41" s="5">
        <v>0.16705905049879169</v>
      </c>
      <c r="HQ41" s="5">
        <v>0.21697712441421574</v>
      </c>
      <c r="HR41" s="5">
        <v>0.22854420497833039</v>
      </c>
      <c r="HS41" s="5">
        <v>0.20758482092611835</v>
      </c>
      <c r="HT41" s="5">
        <v>0.16629238579244113</v>
      </c>
      <c r="HU41" s="5">
        <v>0.13891116693191966</v>
      </c>
      <c r="HV41" s="5">
        <v>0.11691979134306175</v>
      </c>
      <c r="HW41" s="5">
        <v>0.15688016949067707</v>
      </c>
      <c r="HX41" s="5">
        <v>0.14373214902695777</v>
      </c>
      <c r="HY41" s="5">
        <v>0.15029522156654571</v>
      </c>
      <c r="HZ41" s="5">
        <v>0.10707695598169324</v>
      </c>
      <c r="IA41" s="5">
        <v>8.4389808584499182E-2</v>
      </c>
      <c r="IB41" s="5">
        <v>7.7713190179222832E-2</v>
      </c>
      <c r="IC41" s="5">
        <v>7.1757304305751002E-2</v>
      </c>
      <c r="ID41" s="5">
        <v>7.7596001886694285E-2</v>
      </c>
      <c r="IE41" s="5">
        <v>9.6210020762397069E-2</v>
      </c>
      <c r="IF41" s="5">
        <v>0.12686506819544374</v>
      </c>
      <c r="IG41" s="5">
        <v>0.12089268012153595</v>
      </c>
      <c r="IH41" s="5">
        <v>0.1480719693091162</v>
      </c>
      <c r="II41" s="5">
        <v>0.12844715783852281</v>
      </c>
      <c r="IJ41" s="5">
        <v>0.12315242060970635</v>
      </c>
      <c r="IK41" s="5">
        <v>0.10820200650705621</v>
      </c>
      <c r="IL41" s="5">
        <v>0.11767684187034173</v>
      </c>
      <c r="IM41" s="5">
        <v>0.12883274760551769</v>
      </c>
      <c r="IN41" s="5">
        <v>0.14077267164009782</v>
      </c>
      <c r="IO41" s="5">
        <v>0.14046128037229116</v>
      </c>
      <c r="IP41" s="5">
        <v>0.12932414572001238</v>
      </c>
      <c r="IQ41" s="5">
        <v>0.12053863874300494</v>
      </c>
      <c r="IR41" s="5">
        <v>0.11078675205427307</v>
      </c>
      <c r="JB41" s="3" t="s">
        <v>309</v>
      </c>
      <c r="JC41" s="5">
        <v>0.4537560725403097</v>
      </c>
      <c r="JD41" s="5">
        <v>0.43428085186771292</v>
      </c>
      <c r="JE41" s="5">
        <v>0.43268867043020615</v>
      </c>
      <c r="JF41" s="5">
        <v>0.45363147806976056</v>
      </c>
      <c r="JG41" s="5">
        <v>0.45147754481630559</v>
      </c>
      <c r="JH41" s="5">
        <v>0.47573528855533925</v>
      </c>
      <c r="JI41" s="5">
        <v>0.48298359614544373</v>
      </c>
      <c r="JJ41" s="5">
        <v>0.46393835559582053</v>
      </c>
      <c r="JK41" s="5">
        <v>0.45039589107194444</v>
      </c>
      <c r="JL41" s="5">
        <v>0.45824190832169381</v>
      </c>
      <c r="JM41" s="5">
        <v>0.45475994881975357</v>
      </c>
      <c r="JN41" s="5">
        <v>0.45729225202173485</v>
      </c>
      <c r="JO41" s="5">
        <v>0.45852346350362555</v>
      </c>
      <c r="JP41" s="5">
        <v>0.4943535230885886</v>
      </c>
      <c r="JQ41" s="5">
        <v>0.50014384643586929</v>
      </c>
      <c r="JR41" s="5">
        <v>0.47647643686256935</v>
      </c>
      <c r="JS41" s="5">
        <v>0.4641424708572201</v>
      </c>
      <c r="JT41" s="5">
        <v>0.45382845545279199</v>
      </c>
      <c r="JU41" s="5">
        <v>0.42703749984502792</v>
      </c>
      <c r="JV41" s="4">
        <v>0.44443598670549078</v>
      </c>
      <c r="JW41" s="5">
        <v>0.34378057994620231</v>
      </c>
      <c r="JX41" s="4">
        <v>0.33196127859944263</v>
      </c>
      <c r="JY41" s="5">
        <v>0.33814761785935366</v>
      </c>
      <c r="JZ41" s="5">
        <v>0.34801520883548454</v>
      </c>
      <c r="KA41" s="5">
        <v>0.33926924176086659</v>
      </c>
      <c r="KB41" s="5">
        <v>0.37230074468267255</v>
      </c>
      <c r="KC41" s="5">
        <v>0.40124184269549662</v>
      </c>
      <c r="KD41" s="5">
        <v>0.4037654227500812</v>
      </c>
      <c r="KE41" s="5">
        <v>0.35872784508850242</v>
      </c>
      <c r="KF41" s="5">
        <v>0.35575644862252831</v>
      </c>
      <c r="KG41" s="5">
        <v>0.20687467196896192</v>
      </c>
      <c r="KH41" s="4">
        <v>0.2053601262084539</v>
      </c>
      <c r="KI41" s="5">
        <v>0.20562294385801519</v>
      </c>
      <c r="KJ41" s="5">
        <v>0.21531724558594906</v>
      </c>
      <c r="KK41" s="5">
        <v>0.22306345185385115</v>
      </c>
      <c r="KL41" s="5">
        <v>0.25721898422606532</v>
      </c>
      <c r="KM41" s="5">
        <v>0.27755011841955202</v>
      </c>
      <c r="KN41" s="5">
        <v>0.28141264333539912</v>
      </c>
      <c r="KO41" s="5">
        <v>0.24457280531585698</v>
      </c>
      <c r="KP41" s="5">
        <v>0.21590964013950958</v>
      </c>
      <c r="KQ41" s="5">
        <v>0.34531061583595563</v>
      </c>
      <c r="KR41" s="5">
        <v>0.36300459274350377</v>
      </c>
      <c r="KS41" s="4">
        <v>0.37516539821737127</v>
      </c>
      <c r="KT41" s="5">
        <v>0.395967697136898</v>
      </c>
      <c r="KU41" s="5">
        <v>0.42303154541210075</v>
      </c>
      <c r="KV41" s="5">
        <v>0.45426064731980687</v>
      </c>
      <c r="KW41" s="5">
        <v>0.45302997040180643</v>
      </c>
      <c r="KX41" s="5">
        <v>0.40739553270586693</v>
      </c>
      <c r="KY41" s="5">
        <v>0.38721611259169264</v>
      </c>
      <c r="KZ41" s="5">
        <v>0.37296831124345137</v>
      </c>
      <c r="LA41" s="5">
        <v>0.51622870299720858</v>
      </c>
      <c r="LB41" s="5">
        <v>0.50549412931346138</v>
      </c>
      <c r="LC41" s="5">
        <v>0.50840573989190774</v>
      </c>
      <c r="LD41" s="5">
        <v>0.51399097729046817</v>
      </c>
      <c r="LE41" s="5">
        <v>0.49651499549843003</v>
      </c>
      <c r="LF41" s="5">
        <v>0.4938630413676261</v>
      </c>
      <c r="LG41" s="5">
        <v>0.49424388493243299</v>
      </c>
      <c r="LH41" s="5">
        <v>0.49312936923787243</v>
      </c>
      <c r="LI41" s="5">
        <v>0.50475661813846373</v>
      </c>
      <c r="LJ41" s="5">
        <v>0.52861491185129506</v>
      </c>
      <c r="LL41" s="3" t="s">
        <v>324</v>
      </c>
      <c r="LM41" s="3" t="s">
        <v>160</v>
      </c>
      <c r="LN41" s="3" t="s">
        <v>161</v>
      </c>
      <c r="LO41" s="5">
        <v>0.72445869309720501</v>
      </c>
    </row>
    <row r="42" spans="2:327" x14ac:dyDescent="0.45">
      <c r="B42" s="6" t="s">
        <v>311</v>
      </c>
      <c r="C42" s="6" t="s">
        <v>151</v>
      </c>
      <c r="D42" s="8">
        <v>0.30779102467363478</v>
      </c>
      <c r="E42" s="8">
        <v>0.31909365071289103</v>
      </c>
      <c r="F42" s="8">
        <v>0.32780743091384179</v>
      </c>
      <c r="G42" s="8">
        <v>0.30858030528848107</v>
      </c>
      <c r="H42" s="8">
        <v>0.31004164713581261</v>
      </c>
      <c r="I42" s="8">
        <v>0.30899293758235996</v>
      </c>
      <c r="J42" s="8">
        <v>0.31700896437880066</v>
      </c>
      <c r="K42" s="8">
        <v>0.32105127185067928</v>
      </c>
      <c r="L42" s="8">
        <v>0.31624013725741357</v>
      </c>
      <c r="M42" s="8">
        <v>0.30312668004048088</v>
      </c>
      <c r="N42" s="8">
        <v>0.28469117452951331</v>
      </c>
      <c r="O42" s="8">
        <v>0.27740755419851015</v>
      </c>
      <c r="P42" s="8">
        <v>0.27759043419779805</v>
      </c>
      <c r="Q42" s="8">
        <v>0.30251526091750602</v>
      </c>
      <c r="R42" s="8">
        <v>0.31530013938848789</v>
      </c>
      <c r="S42" s="8">
        <v>0.30515372926015133</v>
      </c>
      <c r="T42" s="8">
        <v>0.29634374976293687</v>
      </c>
      <c r="U42" s="8">
        <v>0.29546764453380375</v>
      </c>
      <c r="V42" s="8">
        <v>0.30202902355646793</v>
      </c>
      <c r="W42" s="8">
        <v>0.28155119312465937</v>
      </c>
      <c r="X42" s="8">
        <v>0.34509955716034418</v>
      </c>
      <c r="Y42" s="8">
        <v>0.34415634188305638</v>
      </c>
      <c r="Z42" s="8">
        <v>0.36300317298109191</v>
      </c>
      <c r="AA42" s="8">
        <v>0.37534283149139153</v>
      </c>
      <c r="AB42" s="8">
        <v>0.36463489751549893</v>
      </c>
      <c r="AC42" s="8">
        <v>0.35167159030516804</v>
      </c>
      <c r="AD42" s="8">
        <v>0.32897262534358307</v>
      </c>
      <c r="AE42" s="8">
        <v>0.32177417011372234</v>
      </c>
      <c r="AF42" s="8">
        <v>0.32645042513140121</v>
      </c>
      <c r="AG42" s="8">
        <v>0.32543269606862379</v>
      </c>
      <c r="AH42" s="8">
        <v>0.35122747978756286</v>
      </c>
      <c r="AI42" s="8">
        <v>0.3701679161148419</v>
      </c>
      <c r="AJ42" s="8">
        <v>0.36455238065864615</v>
      </c>
      <c r="AK42" s="8">
        <v>0.40617288122466338</v>
      </c>
      <c r="AL42" s="8">
        <v>0.41684146272792377</v>
      </c>
      <c r="AM42" s="8">
        <v>0.38825062435447283</v>
      </c>
      <c r="AN42" s="8">
        <v>0.36544377078794155</v>
      </c>
      <c r="AO42" s="8">
        <v>0.35579119073765914</v>
      </c>
      <c r="AP42" s="8">
        <v>0.34066617876231947</v>
      </c>
      <c r="AQ42" s="8">
        <v>0.30678472065730927</v>
      </c>
      <c r="AR42" s="8">
        <v>0.28223087409071368</v>
      </c>
      <c r="AS42" s="8">
        <v>0.29070404398824029</v>
      </c>
      <c r="AT42" s="8">
        <v>0.29266240266326188</v>
      </c>
      <c r="AU42" s="8">
        <v>0.30176808160214907</v>
      </c>
      <c r="AV42" s="8">
        <v>0.31166612189177584</v>
      </c>
      <c r="AW42" s="8">
        <v>0.30084949572977548</v>
      </c>
      <c r="AX42" s="8">
        <v>0.28310242899751059</v>
      </c>
      <c r="AY42" s="8">
        <v>0.29278824385986812</v>
      </c>
      <c r="AZ42" s="8">
        <v>0.28503004122342018</v>
      </c>
      <c r="BA42" s="8">
        <v>0.27923192685384624</v>
      </c>
      <c r="BB42" s="8">
        <v>0.29857640682369813</v>
      </c>
      <c r="BC42" s="8">
        <v>0.31972867180048847</v>
      </c>
      <c r="BD42" s="8">
        <v>0.31659550398849234</v>
      </c>
      <c r="BE42" s="8">
        <v>0.31800286698047087</v>
      </c>
      <c r="BF42" s="8">
        <v>0.3494716165558438</v>
      </c>
      <c r="BG42" s="8">
        <v>0.34381185146210713</v>
      </c>
      <c r="BH42" s="8">
        <v>0.33144078926002035</v>
      </c>
      <c r="BI42" s="8">
        <v>0.31452613243977051</v>
      </c>
      <c r="BJ42" s="8">
        <v>0.30306553458040275</v>
      </c>
      <c r="BK42" s="8">
        <v>0.30032969073451249</v>
      </c>
      <c r="BM42" s="6" t="s">
        <v>311</v>
      </c>
      <c r="BN42" s="6" t="s">
        <v>152</v>
      </c>
      <c r="BO42" s="8">
        <v>2.6167544523816418E-2</v>
      </c>
      <c r="BP42" s="8">
        <v>1.2019087525982458E-2</v>
      </c>
      <c r="BQ42" s="8">
        <v>1.5000269275436002E-2</v>
      </c>
      <c r="BR42" s="8">
        <v>1.5217568509631008E-2</v>
      </c>
      <c r="BS42" s="8">
        <v>2.1337626664801081E-2</v>
      </c>
      <c r="BT42" s="8">
        <v>3.1044882240689131E-2</v>
      </c>
      <c r="BU42" s="7">
        <v>4.2405925501104232E-2</v>
      </c>
      <c r="BV42" s="8">
        <v>3.314265156329823E-2</v>
      </c>
      <c r="BW42" s="8">
        <v>3.3353625261241096E-2</v>
      </c>
      <c r="BX42" s="8">
        <v>2.9357178413269867E-2</v>
      </c>
      <c r="BY42" s="8">
        <v>3.1447019404712853E-2</v>
      </c>
      <c r="BZ42" s="7">
        <v>3.5415651779817238E-2</v>
      </c>
      <c r="CA42" s="8">
        <v>4.6845535363622542E-3</v>
      </c>
      <c r="CB42" s="8">
        <v>1.4198697516435614E-2</v>
      </c>
      <c r="CC42" s="8">
        <v>2.4099437032197142E-2</v>
      </c>
      <c r="CD42" s="7">
        <v>1.5786061162631832E-2</v>
      </c>
      <c r="CE42" s="7">
        <v>1.7853172833374904E-2</v>
      </c>
      <c r="CF42" s="7">
        <v>9.4382052138118049E-3</v>
      </c>
      <c r="CG42" s="8">
        <v>4.8397912749113814E-3</v>
      </c>
      <c r="CH42" s="8">
        <v>9.8524381002731247E-3</v>
      </c>
      <c r="CI42" s="8">
        <v>1.3323737844736745E-2</v>
      </c>
      <c r="CJ42" s="8">
        <v>5.2069058332693943E-2</v>
      </c>
      <c r="CK42" s="7">
        <v>3.5394628452765996E-2</v>
      </c>
      <c r="CL42" s="7">
        <v>3.0716468004445267E-2</v>
      </c>
      <c r="CM42" s="8">
        <v>1.9173702049378162E-2</v>
      </c>
      <c r="CN42" s="8">
        <v>1.5185918297936725E-2</v>
      </c>
      <c r="CO42" s="8">
        <v>1.3401414580884478E-2</v>
      </c>
      <c r="CP42" s="8">
        <v>3.3360655403726351E-3</v>
      </c>
      <c r="CQ42" s="8">
        <v>3.3545123958250309E-2</v>
      </c>
      <c r="CR42" s="8">
        <v>3.9446318751588591E-2</v>
      </c>
      <c r="CS42" s="8">
        <v>4.3748798256345582E-2</v>
      </c>
      <c r="CT42" s="7">
        <v>2.5265341631422137E-2</v>
      </c>
      <c r="CU42" s="8">
        <v>2.1763146949616546E-2</v>
      </c>
      <c r="CV42" s="8">
        <v>3.1562595037630661E-2</v>
      </c>
      <c r="CW42" s="8">
        <v>6.27072971187142E-2</v>
      </c>
      <c r="CX42" s="8">
        <v>6.4571366800321994E-2</v>
      </c>
      <c r="CY42" s="8">
        <v>1.1190903051070816E-2</v>
      </c>
      <c r="CZ42" s="8">
        <v>1.9792467830085252E-2</v>
      </c>
      <c r="DA42" s="8">
        <v>2.1435954852077957E-2</v>
      </c>
      <c r="DB42" s="7">
        <v>3.2734472241306517E-2</v>
      </c>
      <c r="DC42" s="8">
        <v>3.3449491807674189E-2</v>
      </c>
      <c r="DD42" s="8">
        <v>5.9203265446716793E-2</v>
      </c>
      <c r="DE42" s="8">
        <v>4.0103824862238291E-2</v>
      </c>
      <c r="DF42" s="8">
        <v>2.3259568750840832E-2</v>
      </c>
      <c r="DG42" s="8">
        <v>5.0973545581238941E-2</v>
      </c>
      <c r="DH42" s="8">
        <v>3.869453047822486E-2</v>
      </c>
      <c r="DI42" s="8">
        <v>9.3189682296621491E-3</v>
      </c>
      <c r="DJ42" s="8">
        <v>1.1641311691100676E-2</v>
      </c>
      <c r="DK42" s="8">
        <v>9.2942655678288702E-3</v>
      </c>
      <c r="DL42" s="8">
        <v>1.9789597950154898E-2</v>
      </c>
      <c r="DM42" s="8">
        <v>1.9124005081711384E-2</v>
      </c>
      <c r="DN42" s="8">
        <v>2.4745543290167992E-2</v>
      </c>
      <c r="DO42" s="8">
        <v>2.9696202265420194E-2</v>
      </c>
      <c r="DP42" s="8">
        <v>2.1121208220687613E-2</v>
      </c>
      <c r="DQ42" s="8">
        <v>4.1060849039717635E-2</v>
      </c>
      <c r="DR42" s="8">
        <v>4.1584975109401984E-2</v>
      </c>
      <c r="DS42" s="8">
        <v>1.9653650449255464E-2</v>
      </c>
      <c r="DT42" s="8">
        <v>2.2238699114739437E-2</v>
      </c>
      <c r="DU42" s="7">
        <v>2.4228813207920558E-2</v>
      </c>
      <c r="DV42" s="8">
        <v>1.5863723866862862E-2</v>
      </c>
      <c r="DX42" s="6" t="s">
        <v>311</v>
      </c>
      <c r="DY42" s="6" t="s">
        <v>153</v>
      </c>
      <c r="DZ42" s="8">
        <v>2.9081570340495071E-2</v>
      </c>
      <c r="EA42" s="8">
        <v>3.6576753423430371E-2</v>
      </c>
      <c r="EB42" s="7">
        <v>1.9393579461201377E-2</v>
      </c>
      <c r="EC42" s="8">
        <v>1.5673249307687039E-2</v>
      </c>
      <c r="ED42" s="8">
        <v>1.4993139525453267E-2</v>
      </c>
      <c r="EE42" s="8">
        <v>1.4706409868414596E-2</v>
      </c>
      <c r="EF42" s="7">
        <v>2.1519311230438837E-2</v>
      </c>
      <c r="EG42" s="8">
        <v>4.2034389140157336E-2</v>
      </c>
      <c r="EH42" s="8">
        <v>5.5188703223582679E-2</v>
      </c>
      <c r="EI42" s="8">
        <v>4.0405717838221944E-2</v>
      </c>
      <c r="EJ42" s="8">
        <v>1.2380635121488558E-2</v>
      </c>
      <c r="EK42" s="8">
        <v>1.3406726253132406E-2</v>
      </c>
      <c r="EL42" s="8">
        <v>4.0356853740604944E-2</v>
      </c>
      <c r="EM42" s="8">
        <v>4.5709764186781285E-2</v>
      </c>
      <c r="EN42" s="8">
        <v>2.7390804726378969E-2</v>
      </c>
      <c r="EO42" s="8">
        <v>6.3166464982677877E-3</v>
      </c>
      <c r="EP42" s="8">
        <v>1.2250421773907762E-2</v>
      </c>
      <c r="EQ42" s="8">
        <v>2.6040643988755035E-2</v>
      </c>
      <c r="ER42" s="8">
        <v>2.7700840656753649E-2</v>
      </c>
      <c r="ES42" s="8">
        <v>5.5214063039223972E-3</v>
      </c>
      <c r="ET42" s="8">
        <v>5.1582830711885776E-2</v>
      </c>
      <c r="EU42" s="8">
        <v>2.9427944527814498E-3</v>
      </c>
      <c r="EV42" s="8">
        <v>6.1179888378751643E-2</v>
      </c>
      <c r="EW42" s="8">
        <v>7.7682569823646408E-2</v>
      </c>
      <c r="EX42" s="8">
        <v>7.1413294319168694E-2</v>
      </c>
      <c r="EY42" s="8">
        <v>4.9175866059215506E-2</v>
      </c>
      <c r="EZ42" s="8">
        <v>3.3411904057734226E-2</v>
      </c>
      <c r="FA42" s="8">
        <v>2.4262692766984648E-2</v>
      </c>
      <c r="FB42" s="8">
        <v>7.8492125114321947E-3</v>
      </c>
      <c r="FC42" s="8">
        <v>2.7732106558954001E-2</v>
      </c>
      <c r="FD42" s="8">
        <v>3.6764717318401821E-2</v>
      </c>
      <c r="FE42" s="7">
        <v>7.5805444903255859E-2</v>
      </c>
      <c r="FF42" s="8">
        <v>7.3421508836038082E-2</v>
      </c>
      <c r="FG42" s="8">
        <v>5.9137271854484003E-2</v>
      </c>
      <c r="FH42" s="8">
        <v>5.773002464549027E-2</v>
      </c>
      <c r="FI42" s="8">
        <v>6.0445236723540102E-2</v>
      </c>
      <c r="FJ42" s="8">
        <v>5.8897338510363273E-2</v>
      </c>
      <c r="FK42" s="8">
        <v>5.1587970794052175E-2</v>
      </c>
      <c r="FL42" s="8">
        <v>1.9993843387125489E-2</v>
      </c>
      <c r="FM42" s="8">
        <v>1.1934142636752252E-2</v>
      </c>
      <c r="FN42" s="8">
        <v>2.165776594359959E-2</v>
      </c>
      <c r="FO42" s="8">
        <v>3.3254206411313332E-2</v>
      </c>
      <c r="FP42" s="8">
        <v>7.3629350096635043E-2</v>
      </c>
      <c r="FQ42" s="8">
        <v>0.10198316382287281</v>
      </c>
      <c r="FR42" s="8">
        <v>7.2210653321799628E-2</v>
      </c>
      <c r="FS42" s="8">
        <v>1.5792214558811971E-2</v>
      </c>
      <c r="FT42" s="8">
        <v>3.2090612802169897E-2</v>
      </c>
      <c r="FU42" s="8">
        <v>3.6960468931866088E-2</v>
      </c>
      <c r="FV42" s="8">
        <v>3.4934895437313068E-2</v>
      </c>
      <c r="FW42" s="8">
        <v>8.0175066482946217E-3</v>
      </c>
      <c r="FX42" s="8">
        <v>2.00136267040141E-2</v>
      </c>
      <c r="FY42" s="8">
        <v>3.3841034175501127E-2</v>
      </c>
      <c r="FZ42" s="8">
        <v>3.5788788695439867E-2</v>
      </c>
      <c r="GA42" s="8">
        <v>2.042627659999564E-2</v>
      </c>
      <c r="GB42" s="8">
        <v>2.5775664056242292E-2</v>
      </c>
      <c r="GC42" s="8">
        <v>2.7635486672729939E-2</v>
      </c>
      <c r="GD42" s="8">
        <v>4.3956389969084658E-2</v>
      </c>
      <c r="GE42" s="8">
        <v>5.1723038021086284E-2</v>
      </c>
      <c r="GF42" s="8">
        <v>4.1834029501440766E-2</v>
      </c>
      <c r="GG42" s="8">
        <v>2.7939864942636904E-2</v>
      </c>
      <c r="GI42" s="6" t="s">
        <v>311</v>
      </c>
      <c r="GJ42" s="6" t="s">
        <v>154</v>
      </c>
      <c r="GK42" s="8">
        <v>0.12676516707628907</v>
      </c>
      <c r="GL42" s="8">
        <v>0.14309765873401295</v>
      </c>
      <c r="GM42" s="8">
        <v>0.17186559877167901</v>
      </c>
      <c r="GN42" s="8">
        <v>0.17257756127166812</v>
      </c>
      <c r="GO42" s="8">
        <v>0.14647198861707481</v>
      </c>
      <c r="GP42" s="8">
        <v>0.13326249546350694</v>
      </c>
      <c r="GQ42" s="8">
        <v>0.12316710270023341</v>
      </c>
      <c r="GR42" s="8">
        <v>0.12603351994886855</v>
      </c>
      <c r="GS42" s="8">
        <v>0.10779855977573528</v>
      </c>
      <c r="GT42" s="8">
        <v>0.11776618105917294</v>
      </c>
      <c r="GU42" s="8">
        <v>0.12638282180882435</v>
      </c>
      <c r="GV42" s="8">
        <v>0.11336487639846815</v>
      </c>
      <c r="GW42" s="8">
        <v>0.12400488959230903</v>
      </c>
      <c r="GX42" s="8">
        <v>0.12869407835199478</v>
      </c>
      <c r="GY42" s="8">
        <v>0.13786401940914883</v>
      </c>
      <c r="GZ42" s="8">
        <v>0.15847624632784205</v>
      </c>
      <c r="HA42" s="8">
        <v>0.14554711353239291</v>
      </c>
      <c r="HB42" s="7">
        <v>0.14257988176179143</v>
      </c>
      <c r="HC42" s="8">
        <v>0.16017492651003967</v>
      </c>
      <c r="HD42" s="8">
        <v>0.16421971150771084</v>
      </c>
      <c r="HE42" s="8">
        <v>0.15515125805035471</v>
      </c>
      <c r="HF42" s="8">
        <v>0.16763323023097942</v>
      </c>
      <c r="HG42" s="8">
        <v>0.13064469170212373</v>
      </c>
      <c r="HH42" s="8">
        <v>0.13113347133609796</v>
      </c>
      <c r="HI42" s="8">
        <v>0.13909613897887682</v>
      </c>
      <c r="HJ42" s="8">
        <v>0.15153224236374374</v>
      </c>
      <c r="HK42" s="8">
        <v>0.16353097960310323</v>
      </c>
      <c r="HL42" s="7">
        <v>0.16841791927575678</v>
      </c>
      <c r="HM42" s="8">
        <v>0.16108200248775817</v>
      </c>
      <c r="HN42" s="8">
        <v>0.13805091185938878</v>
      </c>
      <c r="HO42" s="8">
        <v>0.16843354840937202</v>
      </c>
      <c r="HP42" s="8">
        <v>0.15636638616786427</v>
      </c>
      <c r="HQ42" s="8">
        <v>0.16286688134528318</v>
      </c>
      <c r="HR42" s="8">
        <v>0.18073098516722022</v>
      </c>
      <c r="HS42" s="8">
        <v>0.14799119475012693</v>
      </c>
      <c r="HT42" s="8">
        <v>0.12582501878260613</v>
      </c>
      <c r="HU42" s="8">
        <v>0.16375222896371472</v>
      </c>
      <c r="HV42" s="8">
        <v>0.14888850465552014</v>
      </c>
      <c r="HW42" s="8">
        <v>0.19170211666347936</v>
      </c>
      <c r="HX42" s="8">
        <v>0.17877886161478698</v>
      </c>
      <c r="HY42" s="8">
        <v>0.12351888889912921</v>
      </c>
      <c r="HZ42" s="8">
        <v>9.7528756035330039E-2</v>
      </c>
      <c r="IA42" s="8">
        <v>7.845718956866278E-2</v>
      </c>
      <c r="IB42" s="8">
        <v>7.2234004836231408E-2</v>
      </c>
      <c r="IC42" s="8">
        <v>7.4022642852590068E-2</v>
      </c>
      <c r="ID42" s="8">
        <v>0.13485481466592078</v>
      </c>
      <c r="IE42" s="8">
        <v>0.14073358301346309</v>
      </c>
      <c r="IF42" s="8">
        <v>0.1434766544730848</v>
      </c>
      <c r="IG42" s="8">
        <v>0.14092376853296651</v>
      </c>
      <c r="IH42" s="8">
        <v>0.15465144812651502</v>
      </c>
      <c r="II42" s="8">
        <v>0.14928160595399853</v>
      </c>
      <c r="IJ42" s="8">
        <v>0.13560739831562404</v>
      </c>
      <c r="IK42" s="8">
        <v>0.12867288976903157</v>
      </c>
      <c r="IL42" s="8">
        <v>0.14458049387200003</v>
      </c>
      <c r="IM42" s="8">
        <v>0.14067470191307624</v>
      </c>
      <c r="IN42" s="8">
        <v>0.13355152930462588</v>
      </c>
      <c r="IO42" s="8">
        <v>0.12796011362007884</v>
      </c>
      <c r="IP42" s="8">
        <v>0.10713989294586433</v>
      </c>
      <c r="IQ42" s="8">
        <v>0.11365427676780665</v>
      </c>
      <c r="IR42" s="8">
        <v>0.1361310054282289</v>
      </c>
      <c r="JB42" s="6" t="s">
        <v>311</v>
      </c>
      <c r="JC42" s="8">
        <v>0.4188249564845502</v>
      </c>
      <c r="JD42" s="8">
        <v>0.38558318777966344</v>
      </c>
      <c r="JE42" s="8">
        <v>0.38960557110981331</v>
      </c>
      <c r="JF42" s="8">
        <v>0.40585832095260266</v>
      </c>
      <c r="JG42" s="8">
        <v>0.43905609069886853</v>
      </c>
      <c r="JH42" s="8">
        <v>0.46999843983573308</v>
      </c>
      <c r="JI42" s="8">
        <v>0.45571244890001444</v>
      </c>
      <c r="JJ42" s="8">
        <v>0.43028096781384473</v>
      </c>
      <c r="JK42" s="8">
        <v>0.41839031789094833</v>
      </c>
      <c r="JL42" s="8">
        <v>0.43343820042935521</v>
      </c>
      <c r="JM42" s="8">
        <v>0.41387606862074383</v>
      </c>
      <c r="JN42" s="8">
        <v>0.41040451894469859</v>
      </c>
      <c r="JO42" s="8">
        <v>0.40710176948782967</v>
      </c>
      <c r="JP42" s="8">
        <v>0.41422920991182643</v>
      </c>
      <c r="JQ42" s="8">
        <v>0.4547174426902228</v>
      </c>
      <c r="JR42" s="8">
        <v>0.46185941796426006</v>
      </c>
      <c r="JS42" s="8">
        <v>0.46212844236986095</v>
      </c>
      <c r="JT42" s="8">
        <v>0.45042688094377992</v>
      </c>
      <c r="JU42" s="8">
        <v>0.41034984107147737</v>
      </c>
      <c r="JV42" s="7">
        <v>0.40710134863286751</v>
      </c>
      <c r="JW42" s="8">
        <v>0.29147980142374968</v>
      </c>
      <c r="JX42" s="7">
        <v>0.28962826323076435</v>
      </c>
      <c r="JY42" s="8">
        <v>0.28241747516999183</v>
      </c>
      <c r="JZ42" s="8">
        <v>0.32577973944936001</v>
      </c>
      <c r="KA42" s="8">
        <v>0.36139045756434263</v>
      </c>
      <c r="KB42" s="8">
        <v>0.38961376964028804</v>
      </c>
      <c r="KC42" s="8">
        <v>0.40827810953578597</v>
      </c>
      <c r="KD42" s="8">
        <v>0.39614786194150708</v>
      </c>
      <c r="KE42" s="8">
        <v>0.36736590382785672</v>
      </c>
      <c r="KF42" s="8">
        <v>0.31710613543568161</v>
      </c>
      <c r="KG42" s="8">
        <v>0.18751077008648873</v>
      </c>
      <c r="KH42" s="7">
        <v>0.18014096263920348</v>
      </c>
      <c r="KI42" s="8">
        <v>0.17295941206310528</v>
      </c>
      <c r="KJ42" s="8">
        <v>0.18752400496680618</v>
      </c>
      <c r="KK42" s="8">
        <v>0.21756737707856019</v>
      </c>
      <c r="KL42" s="8">
        <v>0.24655366034683443</v>
      </c>
      <c r="KM42" s="8">
        <v>0.26084391977713439</v>
      </c>
      <c r="KN42" s="8">
        <v>0.24984939406281337</v>
      </c>
      <c r="KO42" s="8">
        <v>0.20493056428846199</v>
      </c>
      <c r="KP42" s="8">
        <v>0.18017135311275673</v>
      </c>
      <c r="KQ42" s="8">
        <v>0.29809066779886595</v>
      </c>
      <c r="KR42" s="8">
        <v>0.30335469284307343</v>
      </c>
      <c r="KS42" s="7">
        <v>0.31104553140890817</v>
      </c>
      <c r="KT42" s="8">
        <v>0.3348049059066619</v>
      </c>
      <c r="KU42" s="8">
        <v>0.37724445747134328</v>
      </c>
      <c r="KV42" s="8">
        <v>0.3952390481304171</v>
      </c>
      <c r="KW42" s="8">
        <v>0.3750048841003169</v>
      </c>
      <c r="KX42" s="8">
        <v>0.35322763807297541</v>
      </c>
      <c r="KY42" s="8">
        <v>0.31792328534510461</v>
      </c>
      <c r="KZ42" s="8">
        <v>0.30405155062953743</v>
      </c>
      <c r="LA42" s="8">
        <v>0.43622938458562227</v>
      </c>
      <c r="LB42" s="8">
        <v>0.44392799602389293</v>
      </c>
      <c r="LC42" s="8">
        <v>0.45260507309790926</v>
      </c>
      <c r="LD42" s="8">
        <v>0.45122162105505798</v>
      </c>
      <c r="LE42" s="8">
        <v>0.44644539324559956</v>
      </c>
      <c r="LF42" s="8">
        <v>0.46346964417555764</v>
      </c>
      <c r="LG42" s="8">
        <v>0.46802194161558935</v>
      </c>
      <c r="LH42" s="8">
        <v>0.45861370766536941</v>
      </c>
      <c r="LI42" s="8">
        <v>0.46116972497840797</v>
      </c>
      <c r="LJ42" s="8">
        <v>0.46689442108653023</v>
      </c>
      <c r="LL42" s="6" t="s">
        <v>325</v>
      </c>
      <c r="LM42" s="6" t="s">
        <v>160</v>
      </c>
      <c r="LN42" s="6" t="s">
        <v>161</v>
      </c>
      <c r="LO42" s="8">
        <v>0.79767003909827372</v>
      </c>
    </row>
    <row r="43" spans="2:327" x14ac:dyDescent="0.45">
      <c r="B43" s="3" t="s">
        <v>313</v>
      </c>
      <c r="C43" s="3" t="s">
        <v>151</v>
      </c>
      <c r="D43" s="5">
        <v>0.27491545777112053</v>
      </c>
      <c r="E43" s="5">
        <v>0.28486101502683053</v>
      </c>
      <c r="F43" s="5">
        <v>0.28700148853631308</v>
      </c>
      <c r="G43" s="5">
        <v>0.27899195320359554</v>
      </c>
      <c r="H43" s="5">
        <v>0.27788986666321475</v>
      </c>
      <c r="I43" s="5">
        <v>0.28544777400201532</v>
      </c>
      <c r="J43" s="5">
        <v>0.29426430124802228</v>
      </c>
      <c r="K43" s="5">
        <v>0.28787336459157342</v>
      </c>
      <c r="L43" s="5">
        <v>0.27379577512612713</v>
      </c>
      <c r="M43" s="5">
        <v>0.26699967421126064</v>
      </c>
      <c r="N43" s="5">
        <v>0.28527712044849401</v>
      </c>
      <c r="O43" s="5">
        <v>0.28567107885783344</v>
      </c>
      <c r="P43" s="5">
        <v>0.27992204082066524</v>
      </c>
      <c r="Q43" s="5">
        <v>0.29466405905131732</v>
      </c>
      <c r="R43" s="5">
        <v>0.2898967650579386</v>
      </c>
      <c r="S43" s="5">
        <v>0.28860342039849374</v>
      </c>
      <c r="T43" s="5">
        <v>0.28308519273495902</v>
      </c>
      <c r="U43" s="5">
        <v>0.28759422512106464</v>
      </c>
      <c r="V43" s="5">
        <v>0.29026909370749626</v>
      </c>
      <c r="W43" s="5">
        <v>0.27290068693038988</v>
      </c>
      <c r="X43" s="5">
        <v>0.35928430596080702</v>
      </c>
      <c r="Y43" s="5">
        <v>0.33854178230752224</v>
      </c>
      <c r="Z43" s="5">
        <v>0.32981177339504641</v>
      </c>
      <c r="AA43" s="5">
        <v>0.34547635061914078</v>
      </c>
      <c r="AB43" s="5">
        <v>0.35244007278422668</v>
      </c>
      <c r="AC43" s="5">
        <v>0.34307071298480557</v>
      </c>
      <c r="AD43" s="5">
        <v>0.34440409250897835</v>
      </c>
      <c r="AE43" s="5">
        <v>0.3370135018955388</v>
      </c>
      <c r="AF43" s="5">
        <v>0.34079893316384258</v>
      </c>
      <c r="AG43" s="5">
        <v>0.34955242331898367</v>
      </c>
      <c r="AH43" s="5">
        <v>0.36568524177223261</v>
      </c>
      <c r="AI43" s="5">
        <v>0.37493245581637852</v>
      </c>
      <c r="AJ43" s="5">
        <v>0.38870505203878952</v>
      </c>
      <c r="AK43" s="5">
        <v>0.4010482059205519</v>
      </c>
      <c r="AL43" s="5">
        <v>0.39696787497858443</v>
      </c>
      <c r="AM43" s="5">
        <v>0.37188434627345707</v>
      </c>
      <c r="AN43" s="5">
        <v>0.35683127946964172</v>
      </c>
      <c r="AO43" s="5">
        <v>0.35655181948234815</v>
      </c>
      <c r="AP43" s="5">
        <v>0.34877705594436997</v>
      </c>
      <c r="AQ43" s="5">
        <v>0.33265756337583491</v>
      </c>
      <c r="AR43" s="5">
        <v>0.28433336929731984</v>
      </c>
      <c r="AS43" s="5">
        <v>0.29020885429322713</v>
      </c>
      <c r="AT43" s="5">
        <v>0.3009991024926521</v>
      </c>
      <c r="AU43" s="5">
        <v>0.29410327081202137</v>
      </c>
      <c r="AV43" s="5">
        <v>0.29734506945556038</v>
      </c>
      <c r="AW43" s="5">
        <v>0.30095247614609305</v>
      </c>
      <c r="AX43" s="5">
        <v>0.28958717192582401</v>
      </c>
      <c r="AY43" s="5">
        <v>0.26993962275873779</v>
      </c>
      <c r="AZ43" s="5">
        <v>0.26603395473483094</v>
      </c>
      <c r="BA43" s="5">
        <v>0.27636824959003042</v>
      </c>
      <c r="BB43" s="5">
        <v>0.24982160449925325</v>
      </c>
      <c r="BC43" s="5">
        <v>0.24985487483836366</v>
      </c>
      <c r="BD43" s="5">
        <v>0.24769116484911124</v>
      </c>
      <c r="BE43" s="5">
        <v>0.24535616595276299</v>
      </c>
      <c r="BF43" s="5">
        <v>0.26510979371787352</v>
      </c>
      <c r="BG43" s="5">
        <v>0.25828606274157762</v>
      </c>
      <c r="BH43" s="5">
        <v>0.25803189007160054</v>
      </c>
      <c r="BI43" s="5">
        <v>0.25737256646300133</v>
      </c>
      <c r="BJ43" s="5">
        <v>0.25461121285023391</v>
      </c>
      <c r="BK43" s="5">
        <v>0.25607014863660188</v>
      </c>
      <c r="BM43" s="3" t="s">
        <v>313</v>
      </c>
      <c r="BN43" s="3" t="s">
        <v>152</v>
      </c>
      <c r="BO43" s="5">
        <v>2.5160468981953833E-2</v>
      </c>
      <c r="BP43" s="5">
        <v>1.0483298521917071E-2</v>
      </c>
      <c r="BQ43" s="5">
        <v>1.299764845468095E-2</v>
      </c>
      <c r="BR43" s="5">
        <v>9.0595822529981485E-3</v>
      </c>
      <c r="BS43" s="5">
        <v>5.4949216456497496E-3</v>
      </c>
      <c r="BT43" s="5">
        <v>1.5965512130677449E-2</v>
      </c>
      <c r="BU43" s="4">
        <v>2.3358994209660301E-2</v>
      </c>
      <c r="BV43" s="5">
        <v>1.0125551756334858E-2</v>
      </c>
      <c r="BW43" s="5">
        <v>2.4869017974598312E-2</v>
      </c>
      <c r="BX43" s="5">
        <v>2.0208016830777414E-2</v>
      </c>
      <c r="BY43" s="5">
        <v>1.2475613717463903E-2</v>
      </c>
      <c r="BZ43" s="4">
        <v>2.3168386208506333E-2</v>
      </c>
      <c r="CA43" s="5">
        <v>2.4709126997984453E-2</v>
      </c>
      <c r="CB43" s="5">
        <v>6.7267146373668641E-3</v>
      </c>
      <c r="CC43" s="5">
        <v>1.1625928878130711E-2</v>
      </c>
      <c r="CD43" s="4">
        <v>1.6150709561739571E-2</v>
      </c>
      <c r="CE43" s="4">
        <v>1.2976669844367615E-2</v>
      </c>
      <c r="CF43" s="4">
        <v>4.8242713031461755E-3</v>
      </c>
      <c r="CG43" s="5">
        <v>1.3603278851782434E-2</v>
      </c>
      <c r="CH43" s="5">
        <v>1.0874481114193254E-2</v>
      </c>
      <c r="CI43" s="5">
        <v>9.5090563935145284E-3</v>
      </c>
      <c r="CJ43" s="5">
        <v>2.343031519267896E-2</v>
      </c>
      <c r="CK43" s="4">
        <v>2.4954823069016044E-2</v>
      </c>
      <c r="CL43" s="4">
        <v>3.7044787058936622E-2</v>
      </c>
      <c r="CM43" s="5">
        <v>3.8841677603128885E-2</v>
      </c>
      <c r="CN43" s="5">
        <v>1.9039445128663866E-2</v>
      </c>
      <c r="CO43" s="5">
        <v>2.0553006605309902E-2</v>
      </c>
      <c r="CP43" s="5">
        <v>1.6372979324011803E-2</v>
      </c>
      <c r="CQ43" s="5">
        <v>1.9248394223737576E-2</v>
      </c>
      <c r="CR43" s="5">
        <v>2.9796322358713545E-2</v>
      </c>
      <c r="CS43" s="5">
        <v>3.193556588944587E-2</v>
      </c>
      <c r="CT43" s="4">
        <v>9.7281857071904593E-3</v>
      </c>
      <c r="CU43" s="5">
        <v>9.2950982336778825E-3</v>
      </c>
      <c r="CV43" s="5">
        <v>7.8718929559078096E-3</v>
      </c>
      <c r="CW43" s="5">
        <v>8.627151827901431E-3</v>
      </c>
      <c r="CX43" s="5">
        <v>2.9868336302683606E-2</v>
      </c>
      <c r="CY43" s="5">
        <v>2.127558608911875E-2</v>
      </c>
      <c r="CZ43" s="5">
        <v>1.8944776045415862E-2</v>
      </c>
      <c r="DA43" s="5">
        <v>2.8595312188372725E-2</v>
      </c>
      <c r="DB43" s="4">
        <v>2.3776785825800839E-2</v>
      </c>
      <c r="DC43" s="5">
        <v>2.8849252840571313E-2</v>
      </c>
      <c r="DD43" s="5">
        <v>3.3749007456077181E-2</v>
      </c>
      <c r="DE43" s="5">
        <v>2.7212556689441746E-2</v>
      </c>
      <c r="DF43" s="5">
        <v>2.7859251488072709E-2</v>
      </c>
      <c r="DG43" s="5">
        <v>4.8071206047947457E-2</v>
      </c>
      <c r="DH43" s="5">
        <v>1.8559174124071022E-2</v>
      </c>
      <c r="DI43" s="5">
        <v>7.3862138833903843E-3</v>
      </c>
      <c r="DJ43" s="5">
        <v>4.7198461246283465E-3</v>
      </c>
      <c r="DK43" s="5">
        <v>1.3273623789044444E-2</v>
      </c>
      <c r="DL43" s="5">
        <v>2.8462771079628076E-2</v>
      </c>
      <c r="DM43" s="5">
        <v>1.2732235478154752E-2</v>
      </c>
      <c r="DN43" s="5">
        <v>1.6803910990785258E-2</v>
      </c>
      <c r="DO43" s="5">
        <v>2.059467972466764E-2</v>
      </c>
      <c r="DP43" s="5">
        <v>1.7283865594789859E-2</v>
      </c>
      <c r="DQ43" s="5">
        <v>2.0036138526625037E-2</v>
      </c>
      <c r="DR43" s="5">
        <v>1.7571291392807678E-2</v>
      </c>
      <c r="DS43" s="5">
        <v>1.881868778203194E-2</v>
      </c>
      <c r="DT43" s="5">
        <v>2.2256902138587262E-2</v>
      </c>
      <c r="DU43" s="4">
        <v>2.3974115087801798E-2</v>
      </c>
      <c r="DV43" s="5">
        <v>1.9037333194732331E-2</v>
      </c>
      <c r="DX43" s="3" t="s">
        <v>313</v>
      </c>
      <c r="DY43" s="3" t="s">
        <v>153</v>
      </c>
      <c r="DZ43" s="5">
        <v>2.2128476900371754E-2</v>
      </c>
      <c r="EA43" s="5">
        <v>3.2091377850314039E-2</v>
      </c>
      <c r="EB43" s="4">
        <v>1.5465085350932654E-2</v>
      </c>
      <c r="EC43" s="5">
        <v>1.0772878272865671E-2</v>
      </c>
      <c r="ED43" s="5">
        <v>1.5704520154932587E-2</v>
      </c>
      <c r="EE43" s="5">
        <v>1.1319605509308396E-2</v>
      </c>
      <c r="EF43" s="4">
        <v>1.8987217573375424E-4</v>
      </c>
      <c r="EG43" s="5">
        <v>2.6604323619476681E-2</v>
      </c>
      <c r="EH43" s="5">
        <v>2.8797146846855682E-2</v>
      </c>
      <c r="EI43" s="5">
        <v>3.0058010733340933E-2</v>
      </c>
      <c r="EJ43" s="5">
        <v>1.8023284417400233E-2</v>
      </c>
      <c r="EK43" s="5">
        <v>3.203230925887712E-3</v>
      </c>
      <c r="EL43" s="5">
        <v>7.2266901381405702E-3</v>
      </c>
      <c r="EM43" s="5">
        <v>3.2059906003792271E-2</v>
      </c>
      <c r="EN43" s="5">
        <v>2.9485457207725118E-2</v>
      </c>
      <c r="EO43" s="5">
        <v>1.5371853662863999E-2</v>
      </c>
      <c r="EP43" s="5">
        <v>1.2829517657404633E-2</v>
      </c>
      <c r="EQ43" s="5">
        <v>1.8768736646306398E-2</v>
      </c>
      <c r="ER43" s="5">
        <v>1.5184326525373432E-2</v>
      </c>
      <c r="ES43" s="5">
        <v>1.595589922636383E-2</v>
      </c>
      <c r="ET43" s="5">
        <v>2.7482567113394005E-2</v>
      </c>
      <c r="EU43" s="5">
        <v>1.0758027267852332E-2</v>
      </c>
      <c r="EV43" s="5">
        <v>2.6815965941242453E-2</v>
      </c>
      <c r="EW43" s="5">
        <v>2.8415639805602459E-2</v>
      </c>
      <c r="EX43" s="5">
        <v>4.1391564465114113E-2</v>
      </c>
      <c r="EY43" s="5">
        <v>4.6697030544307891E-2</v>
      </c>
      <c r="EZ43" s="5">
        <v>3.7525256523231722E-2</v>
      </c>
      <c r="FA43" s="5">
        <v>3.003878592244939E-2</v>
      </c>
      <c r="FB43" s="5">
        <v>3.3803503412892691E-2</v>
      </c>
      <c r="FC43" s="5">
        <v>3.0020096641596519E-2</v>
      </c>
      <c r="FD43" s="5">
        <v>4.7243519660126278E-2</v>
      </c>
      <c r="FE43" s="4">
        <v>8.9098228496463761E-2</v>
      </c>
      <c r="FF43" s="5">
        <v>5.8815924738743711E-2</v>
      </c>
      <c r="FG43" s="5">
        <v>3.2822255652196493E-2</v>
      </c>
      <c r="FH43" s="5">
        <v>7.4838482857042211E-3</v>
      </c>
      <c r="FI43" s="5">
        <v>6.4765679928040333E-3</v>
      </c>
      <c r="FJ43" s="5">
        <v>1.7512314164252887E-2</v>
      </c>
      <c r="FK43" s="5">
        <v>3.3738301858725964E-2</v>
      </c>
      <c r="FL43" s="5">
        <v>3.80401847911222E-2</v>
      </c>
      <c r="FM43" s="5">
        <v>3.0521057387297709E-2</v>
      </c>
      <c r="FN43" s="5">
        <v>4.1645830961795735E-2</v>
      </c>
      <c r="FO43" s="5">
        <v>3.263446839033407E-2</v>
      </c>
      <c r="FP43" s="5">
        <v>4.3375660432143963E-2</v>
      </c>
      <c r="FQ43" s="5">
        <v>4.2907851073625464E-2</v>
      </c>
      <c r="FR43" s="5">
        <v>4.6658436676349953E-2</v>
      </c>
      <c r="FS43" s="5">
        <v>5.0383156857960174E-2</v>
      </c>
      <c r="FT43" s="5">
        <v>3.8804790636490151E-2</v>
      </c>
      <c r="FU43" s="5">
        <v>1.8922710960192223E-2</v>
      </c>
      <c r="FV43" s="5">
        <v>9.0389900637292877E-3</v>
      </c>
      <c r="FW43" s="5">
        <v>6.9965389288034439E-3</v>
      </c>
      <c r="FX43" s="5">
        <v>2.5426886850749914E-2</v>
      </c>
      <c r="FY43" s="5">
        <v>2.1879440115656658E-2</v>
      </c>
      <c r="FZ43" s="5">
        <v>1.357267095886394E-2</v>
      </c>
      <c r="GA43" s="5">
        <v>1.2685954326366468E-2</v>
      </c>
      <c r="GB43" s="5">
        <v>1.6246316866553305E-2</v>
      </c>
      <c r="GC43" s="5">
        <v>2.2455013938390351E-2</v>
      </c>
      <c r="GD43" s="5">
        <v>2.146086678420402E-2</v>
      </c>
      <c r="GE43" s="5">
        <v>2.5622190956862721E-2</v>
      </c>
      <c r="GF43" s="5">
        <v>1.7828007601632889E-2</v>
      </c>
      <c r="GG43" s="5">
        <v>2.0065175196242461E-2</v>
      </c>
      <c r="GI43" s="3" t="s">
        <v>313</v>
      </c>
      <c r="GJ43" s="3" t="s">
        <v>154</v>
      </c>
      <c r="GK43" s="5">
        <v>0.11110760330635719</v>
      </c>
      <c r="GL43" s="5">
        <v>0.1234921520358255</v>
      </c>
      <c r="GM43" s="5">
        <v>0.14043019687416064</v>
      </c>
      <c r="GN43" s="5">
        <v>0.14625724326962969</v>
      </c>
      <c r="GO43" s="5">
        <v>0.14385473907193455</v>
      </c>
      <c r="GP43" s="5">
        <v>0.13138636486025618</v>
      </c>
      <c r="GQ43" s="5">
        <v>0.13796895978661505</v>
      </c>
      <c r="GR43" s="5">
        <v>0.13349211221940624</v>
      </c>
      <c r="GS43" s="5">
        <v>0.11945169437107975</v>
      </c>
      <c r="GT43" s="5">
        <v>0.11465381056636084</v>
      </c>
      <c r="GU43" s="5">
        <v>0.13630874060858486</v>
      </c>
      <c r="GV43" s="5">
        <v>0.1305133532703214</v>
      </c>
      <c r="GW43" s="5">
        <v>0.12693977258727512</v>
      </c>
      <c r="GX43" s="5">
        <v>0.12609811357446207</v>
      </c>
      <c r="GY43" s="5">
        <v>0.12200519185323259</v>
      </c>
      <c r="GZ43" s="5">
        <v>0.13351609682563317</v>
      </c>
      <c r="HA43" s="5">
        <v>0.13460722152112273</v>
      </c>
      <c r="HB43" s="4">
        <v>0.13273268157419263</v>
      </c>
      <c r="HC43" s="5">
        <v>0.14080659447299559</v>
      </c>
      <c r="HD43" s="5">
        <v>0.13921346277560562</v>
      </c>
      <c r="HE43" s="5">
        <v>0.19016077817914184</v>
      </c>
      <c r="HF43" s="5">
        <v>0.17262025131839834</v>
      </c>
      <c r="HG43" s="5">
        <v>0.14963324077504439</v>
      </c>
      <c r="HH43" s="5">
        <v>0.13747239534821742</v>
      </c>
      <c r="HI43" s="5">
        <v>0.14113939396781194</v>
      </c>
      <c r="HJ43" s="5">
        <v>0.13332299884788937</v>
      </c>
      <c r="HK43" s="5">
        <v>0.13762329778370905</v>
      </c>
      <c r="HL43" s="4">
        <v>0.15041296836030979</v>
      </c>
      <c r="HM43" s="5">
        <v>0.15933246422259387</v>
      </c>
      <c r="HN43" s="5">
        <v>0.16292213975901873</v>
      </c>
      <c r="HO43" s="5">
        <v>0.16481343899485729</v>
      </c>
      <c r="HP43" s="5">
        <v>0.15328724581001696</v>
      </c>
      <c r="HQ43" s="5">
        <v>0.19477249805429353</v>
      </c>
      <c r="HR43" s="5">
        <v>0.22985868255901404</v>
      </c>
      <c r="HS43" s="5">
        <v>0.24134809723018438</v>
      </c>
      <c r="HT43" s="5">
        <v>0.20203989791034702</v>
      </c>
      <c r="HU43" s="5">
        <v>0.19017591588575353</v>
      </c>
      <c r="HV43" s="5">
        <v>0.17683319459133906</v>
      </c>
      <c r="HW43" s="5">
        <v>0.16383819849582842</v>
      </c>
      <c r="HX43" s="5">
        <v>0.16982299146699251</v>
      </c>
      <c r="HY43" s="5">
        <v>0.10254654042834216</v>
      </c>
      <c r="HZ43" s="5">
        <v>0.11156062116038445</v>
      </c>
      <c r="IA43" s="5">
        <v>0.10566797807100345</v>
      </c>
      <c r="IB43" s="5">
        <v>0.10617695370271296</v>
      </c>
      <c r="IC43" s="5">
        <v>9.0821723011255101E-2</v>
      </c>
      <c r="ID43" s="5">
        <v>0.11061346053467848</v>
      </c>
      <c r="IE43" s="5">
        <v>0.12629520370305553</v>
      </c>
      <c r="IF43" s="5">
        <v>0.14421142414890412</v>
      </c>
      <c r="IG43" s="5">
        <v>0.14155477536423619</v>
      </c>
      <c r="IH43" s="5">
        <v>0.12942100825127908</v>
      </c>
      <c r="II43" s="5">
        <v>0.10271716992604635</v>
      </c>
      <c r="IJ43" s="5">
        <v>0.103289654148364</v>
      </c>
      <c r="IK43" s="5">
        <v>0.10568440955147285</v>
      </c>
      <c r="IL43" s="5">
        <v>0.11147761922413162</v>
      </c>
      <c r="IM43" s="5">
        <v>0.11060410242997076</v>
      </c>
      <c r="IN43" s="5">
        <v>0.10594605231661838</v>
      </c>
      <c r="IO43" s="5">
        <v>0.10024762057288317</v>
      </c>
      <c r="IP43" s="5">
        <v>9.20335730954637E-2</v>
      </c>
      <c r="IQ43" s="5">
        <v>9.2572911326516377E-2</v>
      </c>
      <c r="IR43" s="5">
        <v>9.6882817905448462E-2</v>
      </c>
      <c r="JB43" s="3" t="s">
        <v>313</v>
      </c>
      <c r="JC43" s="5">
        <v>0.46780084931084581</v>
      </c>
      <c r="JD43" s="5">
        <v>0.44605615582437119</v>
      </c>
      <c r="JE43" s="5">
        <v>0.4411721928969648</v>
      </c>
      <c r="JF43" s="5">
        <v>0.45556272626892208</v>
      </c>
      <c r="JG43" s="5">
        <v>0.47268543231554511</v>
      </c>
      <c r="JH43" s="5">
        <v>0.49384265549407286</v>
      </c>
      <c r="JI43" s="5">
        <v>0.4787788126444929</v>
      </c>
      <c r="JJ43" s="5">
        <v>0.46149613637306713</v>
      </c>
      <c r="JK43" s="5">
        <v>0.46232419731417979</v>
      </c>
      <c r="JL43" s="5">
        <v>0.47366236539817064</v>
      </c>
      <c r="JM43" s="5">
        <v>0.44372978029887367</v>
      </c>
      <c r="JN43" s="5">
        <v>0.4414909057492114</v>
      </c>
      <c r="JO43" s="5">
        <v>0.44241648937311046</v>
      </c>
      <c r="JP43" s="5">
        <v>0.45306320428026331</v>
      </c>
      <c r="JQ43" s="5">
        <v>0.49651884977649169</v>
      </c>
      <c r="JR43" s="5">
        <v>0.50646323648424985</v>
      </c>
      <c r="JS43" s="5">
        <v>0.5018221250269822</v>
      </c>
      <c r="JT43" s="5">
        <v>0.49221329221871818</v>
      </c>
      <c r="JU43" s="5">
        <v>0.46130710033993938</v>
      </c>
      <c r="JV43" s="4">
        <v>0.45034280090220202</v>
      </c>
      <c r="JW43" s="5">
        <v>0.32000698774838865</v>
      </c>
      <c r="JX43" s="4">
        <v>0.33858289359813759</v>
      </c>
      <c r="JY43" s="5">
        <v>0.33786664253942067</v>
      </c>
      <c r="JZ43" s="5">
        <v>0.36067200849470826</v>
      </c>
      <c r="KA43" s="5">
        <v>0.37787011387598224</v>
      </c>
      <c r="KB43" s="5">
        <v>0.39010816096215395</v>
      </c>
      <c r="KC43" s="5">
        <v>0.40131984253687286</v>
      </c>
      <c r="KD43" s="5">
        <v>0.39726471566238003</v>
      </c>
      <c r="KE43" s="5">
        <v>0.36851916935491369</v>
      </c>
      <c r="KF43" s="5">
        <v>0.33100463081593823</v>
      </c>
      <c r="KG43" s="5">
        <v>0.23775372880366802</v>
      </c>
      <c r="KH43" s="4">
        <v>0.22768438203092001</v>
      </c>
      <c r="KI43" s="5">
        <v>0.22064169255782309</v>
      </c>
      <c r="KJ43" s="5">
        <v>0.23233755459885727</v>
      </c>
      <c r="KK43" s="5">
        <v>0.24844529200252644</v>
      </c>
      <c r="KL43" s="5">
        <v>0.27066827692391665</v>
      </c>
      <c r="KM43" s="5">
        <v>0.28071568188215451</v>
      </c>
      <c r="KN43" s="5">
        <v>0.26811702883509242</v>
      </c>
      <c r="KO43" s="5">
        <v>0.23780396135182341</v>
      </c>
      <c r="KP43" s="5">
        <v>0.21945170909924058</v>
      </c>
      <c r="KQ43" s="5">
        <v>0.36244292403577333</v>
      </c>
      <c r="KR43" s="5">
        <v>0.37481756644034986</v>
      </c>
      <c r="KS43" s="4">
        <v>0.38321935004131202</v>
      </c>
      <c r="KT43" s="5">
        <v>0.40804215155905516</v>
      </c>
      <c r="KU43" s="5">
        <v>0.4368215623162704</v>
      </c>
      <c r="KV43" s="5">
        <v>0.44539486417996937</v>
      </c>
      <c r="KW43" s="5">
        <v>0.43036438735550087</v>
      </c>
      <c r="KX43" s="5">
        <v>0.39982217966497452</v>
      </c>
      <c r="KY43" s="5">
        <v>0.37407267956921209</v>
      </c>
      <c r="KZ43" s="5">
        <v>0.36784508313006858</v>
      </c>
      <c r="LA43" s="5">
        <v>0.5300047644157716</v>
      </c>
      <c r="LB43" s="5">
        <v>0.52418414448693562</v>
      </c>
      <c r="LC43" s="5">
        <v>0.53119239286816533</v>
      </c>
      <c r="LD43" s="5">
        <v>0.5337306918878536</v>
      </c>
      <c r="LE43" s="5">
        <v>0.52271626322652531</v>
      </c>
      <c r="LF43" s="5">
        <v>0.53462847743979947</v>
      </c>
      <c r="LG43" s="5">
        <v>0.55432016573457665</v>
      </c>
      <c r="LH43" s="5">
        <v>0.55038075113860574</v>
      </c>
      <c r="LI43" s="5">
        <v>0.55133886634291018</v>
      </c>
      <c r="LJ43" s="5">
        <v>0.55909784594981171</v>
      </c>
      <c r="LL43" s="3" t="s">
        <v>326</v>
      </c>
      <c r="LM43" s="3" t="s">
        <v>160</v>
      </c>
      <c r="LN43" s="3" t="s">
        <v>161</v>
      </c>
      <c r="LO43" s="5">
        <v>0.74417731798505182</v>
      </c>
    </row>
    <row r="44" spans="2:327" x14ac:dyDescent="0.45">
      <c r="B44" s="6" t="s">
        <v>315</v>
      </c>
      <c r="C44" s="6" t="s">
        <v>151</v>
      </c>
      <c r="D44" s="8">
        <v>0.29545711931688495</v>
      </c>
      <c r="E44" s="8">
        <v>0.30095798057147266</v>
      </c>
      <c r="F44" s="8">
        <v>0.30789906461086908</v>
      </c>
      <c r="G44" s="8">
        <v>0.30552462282164516</v>
      </c>
      <c r="H44" s="8">
        <v>0.32007717915492173</v>
      </c>
      <c r="I44" s="8">
        <v>0.32214023499599626</v>
      </c>
      <c r="J44" s="8">
        <v>0.33360345089570442</v>
      </c>
      <c r="K44" s="8">
        <v>0.32558516151194916</v>
      </c>
      <c r="L44" s="8">
        <v>0.2946984876317586</v>
      </c>
      <c r="M44" s="8">
        <v>0.29504193305049942</v>
      </c>
      <c r="N44" s="8">
        <v>0.29693641792824427</v>
      </c>
      <c r="O44" s="8">
        <v>0.28270808118811225</v>
      </c>
      <c r="P44" s="8">
        <v>0.27422734106093877</v>
      </c>
      <c r="Q44" s="8">
        <v>0.29575501426656509</v>
      </c>
      <c r="R44" s="8">
        <v>0.29111603629482374</v>
      </c>
      <c r="S44" s="8">
        <v>0.29821951089164961</v>
      </c>
      <c r="T44" s="8">
        <v>0.30933783894133565</v>
      </c>
      <c r="U44" s="8">
        <v>0.31074595662053639</v>
      </c>
      <c r="V44" s="8">
        <v>0.31731301484521324</v>
      </c>
      <c r="W44" s="8">
        <v>0.30434605234489842</v>
      </c>
      <c r="X44" s="8">
        <v>0.35462452319317611</v>
      </c>
      <c r="Y44" s="8">
        <v>0.35526209884140691</v>
      </c>
      <c r="Z44" s="8">
        <v>0.37153264295752036</v>
      </c>
      <c r="AA44" s="8">
        <v>0.39208222697109885</v>
      </c>
      <c r="AB44" s="8">
        <v>0.39744893082059901</v>
      </c>
      <c r="AC44" s="8">
        <v>0.37644609062780404</v>
      </c>
      <c r="AD44" s="8">
        <v>0.36685102336534303</v>
      </c>
      <c r="AE44" s="8">
        <v>0.37023341983568137</v>
      </c>
      <c r="AF44" s="8">
        <v>0.37327068984399098</v>
      </c>
      <c r="AG44" s="8">
        <v>0.35586521485528022</v>
      </c>
      <c r="AH44" s="8">
        <v>0.33126320496345685</v>
      </c>
      <c r="AI44" s="8">
        <v>0.35954185486268814</v>
      </c>
      <c r="AJ44" s="8">
        <v>0.39596447860450379</v>
      </c>
      <c r="AK44" s="8">
        <v>0.44249155323101924</v>
      </c>
      <c r="AL44" s="8">
        <v>0.42964324403105042</v>
      </c>
      <c r="AM44" s="8">
        <v>0.4027683103411841</v>
      </c>
      <c r="AN44" s="8">
        <v>0.3890132175584558</v>
      </c>
      <c r="AO44" s="8">
        <v>0.38357281657939829</v>
      </c>
      <c r="AP44" s="8">
        <v>0.36128451487095609</v>
      </c>
      <c r="AQ44" s="8">
        <v>0.309201837409531</v>
      </c>
      <c r="AR44" s="8">
        <v>0.2666176651175341</v>
      </c>
      <c r="AS44" s="8">
        <v>0.2868927269639272</v>
      </c>
      <c r="AT44" s="8">
        <v>0.28509076694814794</v>
      </c>
      <c r="AU44" s="8">
        <v>0.28081180675097211</v>
      </c>
      <c r="AV44" s="8">
        <v>0.29168038438188681</v>
      </c>
      <c r="AW44" s="8">
        <v>0.29832536005788002</v>
      </c>
      <c r="AX44" s="8">
        <v>0.29082185655600834</v>
      </c>
      <c r="AY44" s="8">
        <v>0.27909447614425303</v>
      </c>
      <c r="AZ44" s="8">
        <v>0.260817838982212</v>
      </c>
      <c r="BA44" s="8">
        <v>0.2649835256565608</v>
      </c>
      <c r="BB44" s="8">
        <v>0.25218237218113748</v>
      </c>
      <c r="BC44" s="8">
        <v>0.26370960836008261</v>
      </c>
      <c r="BD44" s="8">
        <v>0.26547591375017171</v>
      </c>
      <c r="BE44" s="8">
        <v>0.26597680039386895</v>
      </c>
      <c r="BF44" s="8">
        <v>0.28672644056242891</v>
      </c>
      <c r="BG44" s="8">
        <v>0.30731201554076804</v>
      </c>
      <c r="BH44" s="8">
        <v>0.3088350171166756</v>
      </c>
      <c r="BI44" s="8">
        <v>0.29719063026622644</v>
      </c>
      <c r="BJ44" s="8">
        <v>0.27072793506981091</v>
      </c>
      <c r="BK44" s="8">
        <v>0.26584042771708638</v>
      </c>
      <c r="BM44" s="6" t="s">
        <v>315</v>
      </c>
      <c r="BN44" s="6" t="s">
        <v>152</v>
      </c>
      <c r="BO44" s="8">
        <v>1.317677848857334E-2</v>
      </c>
      <c r="BP44" s="8">
        <v>1.1196940907528929E-2</v>
      </c>
      <c r="BQ44" s="8">
        <v>1.58049385604686E-2</v>
      </c>
      <c r="BR44" s="8">
        <v>9.3037255255591991E-3</v>
      </c>
      <c r="BS44" s="8">
        <v>6.5699329852544055E-3</v>
      </c>
      <c r="BT44" s="8">
        <v>1.3398058918585394E-2</v>
      </c>
      <c r="BU44" s="7">
        <v>2.7448967660737369E-2</v>
      </c>
      <c r="BV44" s="8">
        <v>2.2799912613654057E-2</v>
      </c>
      <c r="BW44" s="8">
        <v>1.9539206703413515E-2</v>
      </c>
      <c r="BX44" s="8">
        <v>2.6385075046483086E-2</v>
      </c>
      <c r="BY44" s="8">
        <v>2.0002222864142188E-2</v>
      </c>
      <c r="BZ44" s="7">
        <v>2.0501823416955674E-2</v>
      </c>
      <c r="CA44" s="8">
        <v>2.4250799420000118E-2</v>
      </c>
      <c r="CB44" s="8">
        <v>1.6300955762270516E-2</v>
      </c>
      <c r="CC44" s="8">
        <v>2.1965688103605364E-2</v>
      </c>
      <c r="CD44" s="7">
        <v>2.1511450262592279E-2</v>
      </c>
      <c r="CE44" s="7">
        <v>1.6970728931642521E-2</v>
      </c>
      <c r="CF44" s="7">
        <v>7.1613564373602025E-3</v>
      </c>
      <c r="CG44" s="8">
        <v>5.6570315141651062E-3</v>
      </c>
      <c r="CH44" s="8">
        <v>7.4490260017550762E-3</v>
      </c>
      <c r="CI44" s="8">
        <v>1.7953182216051692E-2</v>
      </c>
      <c r="CJ44" s="8">
        <v>1.5250734592440503E-2</v>
      </c>
      <c r="CK44" s="7">
        <v>1.6206606016395259E-2</v>
      </c>
      <c r="CL44" s="7">
        <v>1.286399239967112E-2</v>
      </c>
      <c r="CM44" s="8">
        <v>4.1453744270361081E-2</v>
      </c>
      <c r="CN44" s="8">
        <v>3.6215020437715933E-2</v>
      </c>
      <c r="CO44" s="8">
        <v>3.1868663186072406E-2</v>
      </c>
      <c r="CP44" s="8">
        <v>2.3311699989493936E-2</v>
      </c>
      <c r="CQ44" s="8">
        <v>1.5914446351461071E-2</v>
      </c>
      <c r="CR44" s="8">
        <v>3.1882709972940529E-2</v>
      </c>
      <c r="CS44" s="8">
        <v>3.7513159044022228E-2</v>
      </c>
      <c r="CT44" s="7">
        <v>2.996125561745026E-2</v>
      </c>
      <c r="CU44" s="8">
        <v>2.7406542741373798E-2</v>
      </c>
      <c r="CV44" s="8">
        <v>3.08889343463545E-2</v>
      </c>
      <c r="CW44" s="8">
        <v>4.0901594183947246E-2</v>
      </c>
      <c r="CX44" s="8">
        <v>4.2958163548064192E-2</v>
      </c>
      <c r="CY44" s="8">
        <v>2.8069941038016355E-2</v>
      </c>
      <c r="CZ44" s="8">
        <v>3.4372236204249611E-2</v>
      </c>
      <c r="DA44" s="8">
        <v>1.1578134201875194E-2</v>
      </c>
      <c r="DB44" s="7">
        <v>2.0962887172393023E-2</v>
      </c>
      <c r="DC44" s="8">
        <v>2.559846975383331E-2</v>
      </c>
      <c r="DD44" s="8">
        <v>4.260506507964238E-2</v>
      </c>
      <c r="DE44" s="8">
        <v>5.6385797464991762E-2</v>
      </c>
      <c r="DF44" s="8">
        <v>4.9201544719910929E-2</v>
      </c>
      <c r="DG44" s="8">
        <v>4.3421903704602034E-2</v>
      </c>
      <c r="DH44" s="8">
        <v>3.6732784373663521E-2</v>
      </c>
      <c r="DI44" s="8">
        <v>1.6248109321537373E-2</v>
      </c>
      <c r="DJ44" s="8">
        <v>1.1729072615188126E-2</v>
      </c>
      <c r="DK44" s="8">
        <v>1.0351225932938078E-2</v>
      </c>
      <c r="DL44" s="8">
        <v>2.0700933790236447E-2</v>
      </c>
      <c r="DM44" s="8">
        <v>1.7029040654906038E-2</v>
      </c>
      <c r="DN44" s="8">
        <v>1.4289395498261085E-2</v>
      </c>
      <c r="DO44" s="8">
        <v>2.9674214505400982E-2</v>
      </c>
      <c r="DP44" s="8">
        <v>2.7306697087150108E-2</v>
      </c>
      <c r="DQ44" s="8">
        <v>9.5834271391941634E-3</v>
      </c>
      <c r="DR44" s="8">
        <v>2.6809143438421085E-2</v>
      </c>
      <c r="DS44" s="8">
        <v>1.5981581602882051E-2</v>
      </c>
      <c r="DT44" s="8">
        <v>1.8269355232082164E-2</v>
      </c>
      <c r="DU44" s="7">
        <v>1.6711875871662125E-2</v>
      </c>
      <c r="DV44" s="8">
        <v>2.1225901288489751E-2</v>
      </c>
      <c r="DX44" s="6" t="s">
        <v>315</v>
      </c>
      <c r="DY44" s="6" t="s">
        <v>153</v>
      </c>
      <c r="DZ44" s="8">
        <v>2.8410888543863803E-2</v>
      </c>
      <c r="EA44" s="8">
        <v>1.0134173818022301E-2</v>
      </c>
      <c r="EB44" s="7">
        <v>6.525180798865023E-3</v>
      </c>
      <c r="EC44" s="8">
        <v>1.0995611982637493E-2</v>
      </c>
      <c r="ED44" s="8">
        <v>1.1224458245486783E-2</v>
      </c>
      <c r="EE44" s="8">
        <v>1.3228507149580581E-2</v>
      </c>
      <c r="EF44" s="7">
        <v>5.1195931649809824E-3</v>
      </c>
      <c r="EG44" s="8">
        <v>1.8086016609812253E-2</v>
      </c>
      <c r="EH44" s="8">
        <v>2.3426437024762974E-2</v>
      </c>
      <c r="EI44" s="8">
        <v>2.9543211800863809E-2</v>
      </c>
      <c r="EJ44" s="8">
        <v>1.1918435858503494E-2</v>
      </c>
      <c r="EK44" s="8">
        <v>1.8624860444004816E-2</v>
      </c>
      <c r="EL44" s="8">
        <v>1.2235334122507321E-2</v>
      </c>
      <c r="EM44" s="8">
        <v>2.8300456236755547E-2</v>
      </c>
      <c r="EN44" s="8">
        <v>2.3599270522044961E-2</v>
      </c>
      <c r="EO44" s="8">
        <v>7.8673310321708562E-3</v>
      </c>
      <c r="EP44" s="8">
        <v>1.0189687372176568E-2</v>
      </c>
      <c r="EQ44" s="8">
        <v>2.4142984758755245E-2</v>
      </c>
      <c r="ER44" s="8">
        <v>4.1663280928229109E-2</v>
      </c>
      <c r="ES44" s="8">
        <v>1.4067063068476783E-2</v>
      </c>
      <c r="ET44" s="8">
        <v>4.7875860492862334E-2</v>
      </c>
      <c r="EU44" s="8">
        <v>3.7109377107434435E-2</v>
      </c>
      <c r="EV44" s="8">
        <v>3.5226284923366762E-2</v>
      </c>
      <c r="EW44" s="8">
        <v>4.9650964700795823E-2</v>
      </c>
      <c r="EX44" s="8">
        <v>3.5485556919170262E-2</v>
      </c>
      <c r="EY44" s="8">
        <v>2.5989790390042858E-2</v>
      </c>
      <c r="EZ44" s="8">
        <v>3.5040189793771721E-2</v>
      </c>
      <c r="FA44" s="8">
        <v>3.6840611457627029E-2</v>
      </c>
      <c r="FB44" s="8">
        <v>3.1721951603916568E-2</v>
      </c>
      <c r="FC44" s="8">
        <v>1.8119405748636939E-2</v>
      </c>
      <c r="FD44" s="8">
        <v>2.6596903870800128E-2</v>
      </c>
      <c r="FE44" s="7">
        <v>7.6199584591369093E-2</v>
      </c>
      <c r="FF44" s="8">
        <v>7.7522564025096774E-2</v>
      </c>
      <c r="FG44" s="8">
        <v>4.2206747482949454E-2</v>
      </c>
      <c r="FH44" s="8">
        <v>4.3774214954435148E-2</v>
      </c>
      <c r="FI44" s="8">
        <v>3.1310182774368103E-2</v>
      </c>
      <c r="FJ44" s="8">
        <v>5.7916271074202663E-2</v>
      </c>
      <c r="FK44" s="8">
        <v>3.90277995144361E-2</v>
      </c>
      <c r="FL44" s="8">
        <v>5.4662634569414441E-2</v>
      </c>
      <c r="FM44" s="8">
        <v>4.5401410569675109E-2</v>
      </c>
      <c r="FN44" s="8">
        <v>2.9704790825247927E-2</v>
      </c>
      <c r="FO44" s="8">
        <v>3.2386960993414968E-2</v>
      </c>
      <c r="FP44" s="8">
        <v>3.9779870908670946E-2</v>
      </c>
      <c r="FQ44" s="8">
        <v>4.6418730174961204E-2</v>
      </c>
      <c r="FR44" s="8">
        <v>6.5086756289203018E-2</v>
      </c>
      <c r="FS44" s="8">
        <v>6.5229226486523378E-2</v>
      </c>
      <c r="FT44" s="8">
        <v>4.2686652861132442E-2</v>
      </c>
      <c r="FU44" s="8">
        <v>1.8628158377208943E-2</v>
      </c>
      <c r="FV44" s="8">
        <v>1.6935068241105928E-2</v>
      </c>
      <c r="FW44" s="8">
        <v>1.1569002395591955E-2</v>
      </c>
      <c r="FX44" s="8">
        <v>1.9423317851192862E-2</v>
      </c>
      <c r="FY44" s="8">
        <v>3.2294399177706185E-2</v>
      </c>
      <c r="FZ44" s="8">
        <v>2.4330898386739828E-2</v>
      </c>
      <c r="GA44" s="8">
        <v>1.1427662736383223E-2</v>
      </c>
      <c r="GB44" s="8">
        <v>2.9230513297706713E-2</v>
      </c>
      <c r="GC44" s="8">
        <v>2.6506034704215198E-2</v>
      </c>
      <c r="GD44" s="8">
        <v>2.9911704488893135E-2</v>
      </c>
      <c r="GE44" s="8">
        <v>2.0916228941124503E-2</v>
      </c>
      <c r="GF44" s="8">
        <v>2.4811205365637495E-2</v>
      </c>
      <c r="GG44" s="8">
        <v>1.6869513594004817E-2</v>
      </c>
      <c r="GI44" s="6" t="s">
        <v>315</v>
      </c>
      <c r="GJ44" s="6" t="s">
        <v>154</v>
      </c>
      <c r="GK44" s="8">
        <v>0.14478017515785774</v>
      </c>
      <c r="GL44" s="8">
        <v>0.16238982985955072</v>
      </c>
      <c r="GM44" s="8">
        <v>0.17111334132109043</v>
      </c>
      <c r="GN44" s="8">
        <v>0.17192427940426594</v>
      </c>
      <c r="GO44" s="8">
        <v>0.17536474341835764</v>
      </c>
      <c r="GP44" s="8">
        <v>0.16122963175240748</v>
      </c>
      <c r="GQ44" s="8">
        <v>0.16003469429460404</v>
      </c>
      <c r="GR44" s="8">
        <v>0.15666579631686856</v>
      </c>
      <c r="GS44" s="8">
        <v>0.14632057905296175</v>
      </c>
      <c r="GT44" s="8">
        <v>0.13569890520494082</v>
      </c>
      <c r="GU44" s="8">
        <v>0.14332202054676005</v>
      </c>
      <c r="GV44" s="8">
        <v>0.12810031784579609</v>
      </c>
      <c r="GW44" s="8">
        <v>0.13005333506545008</v>
      </c>
      <c r="GX44" s="8">
        <v>0.13590874184359455</v>
      </c>
      <c r="GY44" s="8">
        <v>0.13043844149802747</v>
      </c>
      <c r="GZ44" s="8">
        <v>0.15056908235428498</v>
      </c>
      <c r="HA44" s="8">
        <v>0.15161651620640787</v>
      </c>
      <c r="HB44" s="7">
        <v>0.15121068350580688</v>
      </c>
      <c r="HC44" s="8">
        <v>0.15701536461075111</v>
      </c>
      <c r="HD44" s="8">
        <v>0.16927013361515211</v>
      </c>
      <c r="HE44" s="8">
        <v>0.16423811942161498</v>
      </c>
      <c r="HF44" s="8">
        <v>0.18169431158528809</v>
      </c>
      <c r="HG44" s="8">
        <v>0.18550516313956025</v>
      </c>
      <c r="HH44" s="8">
        <v>0.18532398406934034</v>
      </c>
      <c r="HI44" s="8">
        <v>0.18837231759800238</v>
      </c>
      <c r="HJ44" s="8">
        <v>0.17266120548491087</v>
      </c>
      <c r="HK44" s="8">
        <v>0.15848941697073779</v>
      </c>
      <c r="HL44" s="7">
        <v>0.16876420344599616</v>
      </c>
      <c r="HM44" s="8">
        <v>0.18876199294760015</v>
      </c>
      <c r="HN44" s="8">
        <v>0.17833774714615683</v>
      </c>
      <c r="HO44" s="8">
        <v>0.16201027575815513</v>
      </c>
      <c r="HP44" s="8">
        <v>0.1496180143584194</v>
      </c>
      <c r="HQ44" s="8">
        <v>0.17226329610458743</v>
      </c>
      <c r="HR44" s="8">
        <v>0.23837330327700942</v>
      </c>
      <c r="HS44" s="8">
        <v>0.21182126858479977</v>
      </c>
      <c r="HT44" s="8">
        <v>0.18042818166728827</v>
      </c>
      <c r="HU44" s="8">
        <v>0.15485310086350057</v>
      </c>
      <c r="HV44" s="8">
        <v>0.17022175008171797</v>
      </c>
      <c r="HW44" s="8">
        <v>0.17980272036931996</v>
      </c>
      <c r="HX44" s="8">
        <v>0.14269331297731155</v>
      </c>
      <c r="HY44" s="8">
        <v>0.11615684139658419</v>
      </c>
      <c r="HZ44" s="8">
        <v>0.10314673093679133</v>
      </c>
      <c r="IA44" s="8">
        <v>9.04595685028588E-2</v>
      </c>
      <c r="IB44" s="8">
        <v>8.4998167066538635E-2</v>
      </c>
      <c r="IC44" s="8">
        <v>7.3514261687860558E-2</v>
      </c>
      <c r="ID44" s="8">
        <v>8.6968782765114092E-2</v>
      </c>
      <c r="IE44" s="8">
        <v>0.12174879287731689</v>
      </c>
      <c r="IF44" s="8">
        <v>0.14789354902723931</v>
      </c>
      <c r="IG44" s="8">
        <v>0.14370946848615662</v>
      </c>
      <c r="IH44" s="8">
        <v>0.13753059172753818</v>
      </c>
      <c r="II44" s="8">
        <v>0.11104532222929096</v>
      </c>
      <c r="IJ44" s="8">
        <v>0.10885937398296845</v>
      </c>
      <c r="IK44" s="8">
        <v>0.10014433201226887</v>
      </c>
      <c r="IL44" s="8">
        <v>0.11484991575782544</v>
      </c>
      <c r="IM44" s="8">
        <v>0.12553500660791117</v>
      </c>
      <c r="IN44" s="8">
        <v>0.12874691640872823</v>
      </c>
      <c r="IO44" s="8">
        <v>0.13689841874273562</v>
      </c>
      <c r="IP44" s="8">
        <v>0.1340466697412559</v>
      </c>
      <c r="IQ44" s="8">
        <v>0.11171689835499725</v>
      </c>
      <c r="IR44" s="8">
        <v>0.10874594113150345</v>
      </c>
      <c r="JB44" s="6" t="s">
        <v>315</v>
      </c>
      <c r="JC44" s="8">
        <v>0.42364838036989588</v>
      </c>
      <c r="JD44" s="8">
        <v>0.40044872502873929</v>
      </c>
      <c r="JE44" s="8">
        <v>0.39608678967707789</v>
      </c>
      <c r="JF44" s="8">
        <v>0.41319654649868182</v>
      </c>
      <c r="JG44" s="8">
        <v>0.41957645399308924</v>
      </c>
      <c r="JH44" s="8">
        <v>0.43744410600535844</v>
      </c>
      <c r="JI44" s="8">
        <v>0.4324783822309427</v>
      </c>
      <c r="JJ44" s="8">
        <v>0.42175425524249738</v>
      </c>
      <c r="JK44" s="8">
        <v>0.41233400421340832</v>
      </c>
      <c r="JL44" s="8">
        <v>0.4243798433042138</v>
      </c>
      <c r="JM44" s="8">
        <v>0.42322708000610837</v>
      </c>
      <c r="JN44" s="8">
        <v>0.42038153723851535</v>
      </c>
      <c r="JO44" s="8">
        <v>0.4186223226516349</v>
      </c>
      <c r="JP44" s="8">
        <v>0.44478109350830564</v>
      </c>
      <c r="JQ44" s="8">
        <v>0.47573812213439826</v>
      </c>
      <c r="JR44" s="8">
        <v>0.47223114847028069</v>
      </c>
      <c r="JS44" s="8">
        <v>0.46764357529877743</v>
      </c>
      <c r="JT44" s="8">
        <v>0.44691678357083675</v>
      </c>
      <c r="JU44" s="8">
        <v>0.40672584196832717</v>
      </c>
      <c r="JV44" s="7">
        <v>0.41634281291321901</v>
      </c>
      <c r="JW44" s="8">
        <v>0.30124631786910144</v>
      </c>
      <c r="JX44" s="7">
        <v>0.31293445066982978</v>
      </c>
      <c r="JY44" s="8">
        <v>0.31164161269063012</v>
      </c>
      <c r="JZ44" s="8">
        <v>0.3228362084745669</v>
      </c>
      <c r="KA44" s="8">
        <v>0.33020887467697774</v>
      </c>
      <c r="KB44" s="8">
        <v>0.3532535877286565</v>
      </c>
      <c r="KC44" s="8">
        <v>0.36555451979806869</v>
      </c>
      <c r="KD44" s="8">
        <v>0.36757187109560718</v>
      </c>
      <c r="KE44" s="8">
        <v>0.32575518617490318</v>
      </c>
      <c r="KF44" s="8">
        <v>0.30987065730817426</v>
      </c>
      <c r="KG44" s="8">
        <v>0.19857941950319172</v>
      </c>
      <c r="KH44" s="7">
        <v>0.19672187833722179</v>
      </c>
      <c r="KI44" s="8">
        <v>0.19493058670904323</v>
      </c>
      <c r="KJ44" s="8">
        <v>0.2055267203216935</v>
      </c>
      <c r="KK44" s="8">
        <v>0.20906875553498855</v>
      </c>
      <c r="KL44" s="8">
        <v>0.23503086317900759</v>
      </c>
      <c r="KM44" s="8">
        <v>0.24856941388839074</v>
      </c>
      <c r="KN44" s="8">
        <v>0.23603630602424033</v>
      </c>
      <c r="KO44" s="8">
        <v>0.20321797146682108</v>
      </c>
      <c r="KP44" s="8">
        <v>0.19395399057165624</v>
      </c>
      <c r="KQ44" s="8">
        <v>0.32230241952023791</v>
      </c>
      <c r="KR44" s="8">
        <v>0.33179231608708942</v>
      </c>
      <c r="KS44" s="7">
        <v>0.33997748513467774</v>
      </c>
      <c r="KT44" s="8">
        <v>0.36553388958530519</v>
      </c>
      <c r="KU44" s="8">
        <v>0.39576580698541508</v>
      </c>
      <c r="KV44" s="8">
        <v>0.41940500657680035</v>
      </c>
      <c r="KW44" s="8">
        <v>0.40547894305712351</v>
      </c>
      <c r="KX44" s="8">
        <v>0.35377387029107404</v>
      </c>
      <c r="KY44" s="8">
        <v>0.34243699231054553</v>
      </c>
      <c r="KZ44" s="8">
        <v>0.34479659831229958</v>
      </c>
      <c r="LA44" s="8">
        <v>0.51538025053945091</v>
      </c>
      <c r="LB44" s="8">
        <v>0.49865884806929589</v>
      </c>
      <c r="LC44" s="8">
        <v>0.50603300109353255</v>
      </c>
      <c r="LD44" s="8">
        <v>0.50620531261100998</v>
      </c>
      <c r="LE44" s="8">
        <v>0.47643599213980631</v>
      </c>
      <c r="LF44" s="8">
        <v>0.47680945248583251</v>
      </c>
      <c r="LG44" s="8">
        <v>0.49360723452083988</v>
      </c>
      <c r="LH44" s="8">
        <v>0.4930470524321281</v>
      </c>
      <c r="LI44" s="8">
        <v>0.51119779885338734</v>
      </c>
      <c r="LJ44" s="8">
        <v>0.54382572455572686</v>
      </c>
      <c r="LL44" s="6" t="s">
        <v>327</v>
      </c>
      <c r="LM44" s="6" t="s">
        <v>160</v>
      </c>
      <c r="LN44" s="6" t="s">
        <v>161</v>
      </c>
      <c r="LO44" s="8">
        <v>0.72183874634375644</v>
      </c>
    </row>
    <row r="45" spans="2:327" x14ac:dyDescent="0.45">
      <c r="B45" s="3" t="s">
        <v>317</v>
      </c>
      <c r="C45" s="3" t="s">
        <v>151</v>
      </c>
      <c r="D45" s="5">
        <v>0.30369500325296983</v>
      </c>
      <c r="E45" s="5">
        <v>0.31054042091917811</v>
      </c>
      <c r="F45" s="5">
        <v>0.31332083833322977</v>
      </c>
      <c r="G45" s="5">
        <v>0.31612272468272806</v>
      </c>
      <c r="H45" s="5">
        <v>0.32679132455170223</v>
      </c>
      <c r="I45" s="5">
        <v>0.32346608364447715</v>
      </c>
      <c r="J45" s="5">
        <v>0.32861219756313359</v>
      </c>
      <c r="K45" s="5">
        <v>0.32854306100520964</v>
      </c>
      <c r="L45" s="5">
        <v>0.31301164696402439</v>
      </c>
      <c r="M45" s="5">
        <v>0.3076384010827945</v>
      </c>
      <c r="N45" s="5">
        <v>0.31097491840819536</v>
      </c>
      <c r="O45" s="5">
        <v>0.29971236660066275</v>
      </c>
      <c r="P45" s="5">
        <v>0.29600633332238063</v>
      </c>
      <c r="Q45" s="5">
        <v>0.31957670811667316</v>
      </c>
      <c r="R45" s="5">
        <v>0.30159500075685886</v>
      </c>
      <c r="S45" s="5">
        <v>0.3057517224791324</v>
      </c>
      <c r="T45" s="5">
        <v>0.30496900489716594</v>
      </c>
      <c r="U45" s="5">
        <v>0.30305651794409683</v>
      </c>
      <c r="V45" s="5">
        <v>0.3123024072579188</v>
      </c>
      <c r="W45" s="5">
        <v>0.30647284291030052</v>
      </c>
      <c r="X45" s="5">
        <v>0.39371286261029503</v>
      </c>
      <c r="Y45" s="5">
        <v>0.37578599682471142</v>
      </c>
      <c r="Z45" s="5">
        <v>0.37598131167559695</v>
      </c>
      <c r="AA45" s="5">
        <v>0.3840911658437729</v>
      </c>
      <c r="AB45" s="5">
        <v>0.36892587436521901</v>
      </c>
      <c r="AC45" s="5">
        <v>0.3732839169016261</v>
      </c>
      <c r="AD45" s="5">
        <v>0.36921585718637473</v>
      </c>
      <c r="AE45" s="5">
        <v>0.37858498077625219</v>
      </c>
      <c r="AF45" s="5">
        <v>0.375617385422503</v>
      </c>
      <c r="AG45" s="5">
        <v>0.37515101402262163</v>
      </c>
      <c r="AH45" s="5">
        <v>0.38598246886677218</v>
      </c>
      <c r="AI45" s="5">
        <v>0.38322546653058581</v>
      </c>
      <c r="AJ45" s="5">
        <v>0.39999353503184509</v>
      </c>
      <c r="AK45" s="5">
        <v>0.43083697818465899</v>
      </c>
      <c r="AL45" s="5">
        <v>0.41255032598774055</v>
      </c>
      <c r="AM45" s="5">
        <v>0.39976786058147623</v>
      </c>
      <c r="AN45" s="5">
        <v>0.38352574485656155</v>
      </c>
      <c r="AO45" s="5">
        <v>0.38240083341915232</v>
      </c>
      <c r="AP45" s="5">
        <v>0.38128332964215117</v>
      </c>
      <c r="AQ45" s="5">
        <v>0.34354550141249363</v>
      </c>
      <c r="AR45" s="5">
        <v>0.30236165415219679</v>
      </c>
      <c r="AS45" s="5">
        <v>0.30888441011167145</v>
      </c>
      <c r="AT45" s="5">
        <v>0.31223238150394089</v>
      </c>
      <c r="AU45" s="5">
        <v>0.31582454834661461</v>
      </c>
      <c r="AV45" s="5">
        <v>0.30519789709529049</v>
      </c>
      <c r="AW45" s="5">
        <v>0.31396023170792564</v>
      </c>
      <c r="AX45" s="5">
        <v>0.32193262576627391</v>
      </c>
      <c r="AY45" s="5">
        <v>0.30073292532329876</v>
      </c>
      <c r="AZ45" s="5">
        <v>0.27340046309395649</v>
      </c>
      <c r="BA45" s="5">
        <v>0.27814699894436756</v>
      </c>
      <c r="BB45" s="5">
        <v>0.27374820008875417</v>
      </c>
      <c r="BC45" s="5">
        <v>0.26815113013842284</v>
      </c>
      <c r="BD45" s="5">
        <v>0.26598110379332751</v>
      </c>
      <c r="BE45" s="5">
        <v>0.26094894797614193</v>
      </c>
      <c r="BF45" s="5">
        <v>0.27993049830051919</v>
      </c>
      <c r="BG45" s="5">
        <v>0.29014451828707488</v>
      </c>
      <c r="BH45" s="5">
        <v>0.29142326829555276</v>
      </c>
      <c r="BI45" s="5">
        <v>0.28640514619751617</v>
      </c>
      <c r="BJ45" s="5">
        <v>0.27684573306687066</v>
      </c>
      <c r="BK45" s="5">
        <v>0.27850426985624854</v>
      </c>
      <c r="BM45" s="3" t="s">
        <v>317</v>
      </c>
      <c r="BN45" s="3" t="s">
        <v>152</v>
      </c>
      <c r="BO45" s="5">
        <v>1.8863635887285513E-2</v>
      </c>
      <c r="BP45" s="5">
        <v>7.9398661958157771E-3</v>
      </c>
      <c r="BQ45" s="5">
        <v>6.0835531157153845E-3</v>
      </c>
      <c r="BR45" s="5">
        <v>5.6647822494513833E-3</v>
      </c>
      <c r="BS45" s="5">
        <v>1.1579631274310564E-2</v>
      </c>
      <c r="BT45" s="5">
        <v>1.9604697866256519E-2</v>
      </c>
      <c r="BU45" s="4">
        <v>2.1538057047711209E-2</v>
      </c>
      <c r="BV45" s="5">
        <v>2.3695651536229569E-2</v>
      </c>
      <c r="BW45" s="5">
        <v>2.3948568633120247E-2</v>
      </c>
      <c r="BX45" s="5">
        <v>2.8390793691064179E-2</v>
      </c>
      <c r="BY45" s="5">
        <v>1.6331907526447028E-2</v>
      </c>
      <c r="BZ45" s="4">
        <v>2.2363822316182287E-2</v>
      </c>
      <c r="CA45" s="5">
        <v>3.1535524182964778E-2</v>
      </c>
      <c r="CB45" s="5">
        <v>2.9760951604261274E-2</v>
      </c>
      <c r="CC45" s="5">
        <v>2.0870162538370519E-2</v>
      </c>
      <c r="CD45" s="4">
        <v>1.8504503655307366E-2</v>
      </c>
      <c r="CE45" s="4">
        <v>1.0064656895847358E-2</v>
      </c>
      <c r="CF45" s="4">
        <v>7.1164860696223521E-3</v>
      </c>
      <c r="CG45" s="5">
        <v>1.1308044658538364E-2</v>
      </c>
      <c r="CH45" s="5">
        <v>9.9614893193882403E-3</v>
      </c>
      <c r="CI45" s="5">
        <v>3.0186968278842222E-2</v>
      </c>
      <c r="CJ45" s="5">
        <v>1.6229943650014855E-2</v>
      </c>
      <c r="CK45" s="4">
        <v>6.0570395835079427E-3</v>
      </c>
      <c r="CL45" s="4">
        <v>3.045381136399446E-2</v>
      </c>
      <c r="CM45" s="5">
        <v>5.4135814725052814E-2</v>
      </c>
      <c r="CN45" s="5">
        <v>8.2708753729631435E-2</v>
      </c>
      <c r="CO45" s="5">
        <v>2.079717262287514E-2</v>
      </c>
      <c r="CP45" s="5">
        <v>2.8741005363581394E-2</v>
      </c>
      <c r="CQ45" s="5">
        <v>4.5596217314041163E-2</v>
      </c>
      <c r="CR45" s="5">
        <v>4.1074107329530714E-2</v>
      </c>
      <c r="CS45" s="5">
        <v>3.2955916712485274E-2</v>
      </c>
      <c r="CT45" s="4">
        <v>2.906797225690843E-2</v>
      </c>
      <c r="CU45" s="5">
        <v>1.0358621361883249E-2</v>
      </c>
      <c r="CV45" s="5">
        <v>1.8340234600304747E-2</v>
      </c>
      <c r="CW45" s="5">
        <v>1.3232933226190239E-2</v>
      </c>
      <c r="CX45" s="5">
        <v>1.0207897641345621E-2</v>
      </c>
      <c r="CY45" s="5">
        <v>2.111164401119139E-2</v>
      </c>
      <c r="CZ45" s="5">
        <v>2.5191724760460443E-2</v>
      </c>
      <c r="DA45" s="5">
        <v>2.2331547539432749E-2</v>
      </c>
      <c r="DB45" s="4">
        <v>3.1554007621703128E-2</v>
      </c>
      <c r="DC45" s="5">
        <v>3.5065938235363567E-2</v>
      </c>
      <c r="DD45" s="5">
        <v>3.109794572567634E-2</v>
      </c>
      <c r="DE45" s="5">
        <v>4.2857484545349739E-2</v>
      </c>
      <c r="DF45" s="5">
        <v>4.1156765096668532E-2</v>
      </c>
      <c r="DG45" s="5">
        <v>5.1059192219509254E-2</v>
      </c>
      <c r="DH45" s="5">
        <v>5.596585072501551E-2</v>
      </c>
      <c r="DI45" s="5">
        <v>1.9747095584294362E-2</v>
      </c>
      <c r="DJ45" s="5">
        <v>4.3935020255582383E-3</v>
      </c>
      <c r="DK45" s="5">
        <v>1.7405260129220054E-2</v>
      </c>
      <c r="DL45" s="5">
        <v>2.6665339671954655E-2</v>
      </c>
      <c r="DM45" s="5">
        <v>2.6384259486892721E-2</v>
      </c>
      <c r="DN45" s="5">
        <v>1.8286786787167282E-2</v>
      </c>
      <c r="DO45" s="5">
        <v>3.542896072444339E-2</v>
      </c>
      <c r="DP45" s="5">
        <v>3.2692523051408795E-2</v>
      </c>
      <c r="DQ45" s="5">
        <v>1.1900017619339207E-2</v>
      </c>
      <c r="DR45" s="5">
        <v>2.5930248629558391E-2</v>
      </c>
      <c r="DS45" s="5">
        <v>2.7109927168611946E-2</v>
      </c>
      <c r="DT45" s="5">
        <v>2.6289282345705947E-2</v>
      </c>
      <c r="DU45" s="4">
        <v>3.1365470726438763E-2</v>
      </c>
      <c r="DV45" s="5">
        <v>3.4663235064229504E-2</v>
      </c>
      <c r="DX45" s="3" t="s">
        <v>317</v>
      </c>
      <c r="DY45" s="3" t="s">
        <v>153</v>
      </c>
      <c r="DZ45" s="5">
        <v>2.8925898604029044E-2</v>
      </c>
      <c r="EA45" s="5">
        <v>1.3515954345035597E-2</v>
      </c>
      <c r="EB45" s="4">
        <v>1.4754522396711874E-2</v>
      </c>
      <c r="EC45" s="5">
        <v>8.4073456332590286E-3</v>
      </c>
      <c r="ED45" s="5">
        <v>4.2341166289019518E-3</v>
      </c>
      <c r="EE45" s="5">
        <v>2.6456360690470804E-3</v>
      </c>
      <c r="EF45" s="4">
        <v>9.2836185875959914E-3</v>
      </c>
      <c r="EG45" s="5">
        <v>8.6247729336052723E-3</v>
      </c>
      <c r="EH45" s="5">
        <v>2.4746288726522646E-2</v>
      </c>
      <c r="EI45" s="5">
        <v>3.6788871792677022E-2</v>
      </c>
      <c r="EJ45" s="5">
        <v>1.8858570940605734E-2</v>
      </c>
      <c r="EK45" s="5">
        <v>1.6595137832523259E-3</v>
      </c>
      <c r="EL45" s="5">
        <v>3.0876437059017799E-3</v>
      </c>
      <c r="EM45" s="5">
        <v>2.6425409952165798E-2</v>
      </c>
      <c r="EN45" s="5">
        <v>3.3244946280599694E-2</v>
      </c>
      <c r="EO45" s="5">
        <v>3.1585956105127405E-2</v>
      </c>
      <c r="EP45" s="5">
        <v>1.7201657992869535E-2</v>
      </c>
      <c r="EQ45" s="5">
        <v>2.4323742825534959E-2</v>
      </c>
      <c r="ER45" s="5">
        <v>2.0230538522080437E-2</v>
      </c>
      <c r="ES45" s="5">
        <v>1.3964108665053329E-2</v>
      </c>
      <c r="ET45" s="5">
        <v>4.1784303598863905E-2</v>
      </c>
      <c r="EU45" s="5">
        <v>3.9684463074926242E-2</v>
      </c>
      <c r="EV45" s="5">
        <v>3.7819971893920987E-2</v>
      </c>
      <c r="EW45" s="5">
        <v>2.4055447846665485E-2</v>
      </c>
      <c r="EX45" s="5">
        <v>1.0205417898706369E-2</v>
      </c>
      <c r="EY45" s="5">
        <v>1.3793481891471072E-2</v>
      </c>
      <c r="EZ45" s="5">
        <v>7.1041883793787591E-2</v>
      </c>
      <c r="FA45" s="5">
        <v>5.884243991785533E-2</v>
      </c>
      <c r="FB45" s="5">
        <v>2.0570846679702069E-2</v>
      </c>
      <c r="FC45" s="5">
        <v>3.2290364020537657E-2</v>
      </c>
      <c r="FD45" s="5">
        <v>4.4073366544087555E-2</v>
      </c>
      <c r="FE45" s="4">
        <v>7.4120582444319016E-2</v>
      </c>
      <c r="FF45" s="5">
        <v>6.9477006494955432E-2</v>
      </c>
      <c r="FG45" s="5">
        <v>3.9611046324704323E-2</v>
      </c>
      <c r="FH45" s="5">
        <v>3.6415345639522492E-2</v>
      </c>
      <c r="FI45" s="5">
        <v>3.7831410991527654E-2</v>
      </c>
      <c r="FJ45" s="5">
        <v>1.6539001985087516E-2</v>
      </c>
      <c r="FK45" s="5">
        <v>1.1968463829022955E-2</v>
      </c>
      <c r="FL45" s="5">
        <v>3.1930542383087054E-2</v>
      </c>
      <c r="FM45" s="5">
        <v>6.1342460421957228E-2</v>
      </c>
      <c r="FN45" s="5">
        <v>3.8065287382232485E-2</v>
      </c>
      <c r="FO45" s="5">
        <v>4.6965197665408499E-2</v>
      </c>
      <c r="FP45" s="5">
        <v>4.8244857815621725E-2</v>
      </c>
      <c r="FQ45" s="5">
        <v>3.5525619644615862E-2</v>
      </c>
      <c r="FR45" s="5">
        <v>4.2865968812092321E-2</v>
      </c>
      <c r="FS45" s="5">
        <v>4.9834907481541652E-2</v>
      </c>
      <c r="FT45" s="5">
        <v>5.2263596395239663E-2</v>
      </c>
      <c r="FU45" s="5">
        <v>5.0337931249067512E-2</v>
      </c>
      <c r="FV45" s="5">
        <v>2.4438391766584768E-2</v>
      </c>
      <c r="FW45" s="5">
        <v>9.417769476128603E-3</v>
      </c>
      <c r="FX45" s="5">
        <v>3.7884836780719196E-2</v>
      </c>
      <c r="FY45" s="5">
        <v>4.2380902156269384E-2</v>
      </c>
      <c r="FZ45" s="5">
        <v>2.4579250557022515E-2</v>
      </c>
      <c r="GA45" s="5">
        <v>1.6093752393728927E-2</v>
      </c>
      <c r="GB45" s="5">
        <v>3.349751969353424E-2</v>
      </c>
      <c r="GC45" s="5">
        <v>3.3588705799927246E-2</v>
      </c>
      <c r="GD45" s="5">
        <v>2.2446844386682471E-2</v>
      </c>
      <c r="GE45" s="5">
        <v>3.3325516613142453E-2</v>
      </c>
      <c r="GF45" s="5">
        <v>3.6022557928912229E-2</v>
      </c>
      <c r="GG45" s="5">
        <v>2.3122228710110774E-2</v>
      </c>
      <c r="GI45" s="3" t="s">
        <v>317</v>
      </c>
      <c r="GJ45" s="3" t="s">
        <v>154</v>
      </c>
      <c r="GK45" s="5">
        <v>0.13927492117864598</v>
      </c>
      <c r="GL45" s="5">
        <v>0.1671708709904331</v>
      </c>
      <c r="GM45" s="5">
        <v>0.17726094155424588</v>
      </c>
      <c r="GN45" s="5">
        <v>0.18620810960968798</v>
      </c>
      <c r="GO45" s="5">
        <v>0.1961833599359801</v>
      </c>
      <c r="GP45" s="5">
        <v>0.17752207802220124</v>
      </c>
      <c r="GQ45" s="5">
        <v>0.16840705014937812</v>
      </c>
      <c r="GR45" s="5">
        <v>0.17213193252032022</v>
      </c>
      <c r="GS45" s="5">
        <v>0.15415526808026545</v>
      </c>
      <c r="GT45" s="5">
        <v>0.13361712122675576</v>
      </c>
      <c r="GU45" s="5">
        <v>0.15365521250702491</v>
      </c>
      <c r="GV45" s="5">
        <v>0.15217778484358499</v>
      </c>
      <c r="GW45" s="5">
        <v>0.14604089036584425</v>
      </c>
      <c r="GX45" s="5">
        <v>0.13210554905496616</v>
      </c>
      <c r="GY45" s="5">
        <v>0.11971813839239819</v>
      </c>
      <c r="GZ45" s="5">
        <v>0.12411020089629139</v>
      </c>
      <c r="HA45" s="5">
        <v>0.15321756141693621</v>
      </c>
      <c r="HB45" s="4">
        <v>0.14851387907860891</v>
      </c>
      <c r="HC45" s="5">
        <v>0.15712898694514202</v>
      </c>
      <c r="HD45" s="5">
        <v>0.16224484963458846</v>
      </c>
      <c r="HE45" s="5">
        <v>0.18313105016673953</v>
      </c>
      <c r="HF45" s="5">
        <v>0.19018392026515274</v>
      </c>
      <c r="HG45" s="5">
        <v>0.19744953493889905</v>
      </c>
      <c r="HH45" s="5">
        <v>0.18333336542898834</v>
      </c>
      <c r="HI45" s="5">
        <v>0.17351681012275208</v>
      </c>
      <c r="HJ45" s="5">
        <v>0.1472254416430159</v>
      </c>
      <c r="HK45" s="5">
        <v>0.12728752327521192</v>
      </c>
      <c r="HL45" s="4">
        <v>0.13399922034820547</v>
      </c>
      <c r="HM45" s="5">
        <v>0.1657938451966601</v>
      </c>
      <c r="HN45" s="5">
        <v>0.1665724657837421</v>
      </c>
      <c r="HO45" s="5">
        <v>0.19081792378364659</v>
      </c>
      <c r="HP45" s="5">
        <v>0.17109619727970807</v>
      </c>
      <c r="HQ45" s="5">
        <v>0.19478390949152599</v>
      </c>
      <c r="HR45" s="5">
        <v>0.24437341376317562</v>
      </c>
      <c r="HS45" s="5">
        <v>0.23239833267882723</v>
      </c>
      <c r="HT45" s="5">
        <v>0.20901796178862425</v>
      </c>
      <c r="HU45" s="5">
        <v>0.20594211302219059</v>
      </c>
      <c r="HV45" s="5">
        <v>0.21110442430520865</v>
      </c>
      <c r="HW45" s="5">
        <v>0.20500468321264645</v>
      </c>
      <c r="HX45" s="5">
        <v>0.15044060838565829</v>
      </c>
      <c r="HY45" s="5">
        <v>0.12461792838249983</v>
      </c>
      <c r="HZ45" s="5">
        <v>0.12143646967951523</v>
      </c>
      <c r="IA45" s="5">
        <v>0.10592024815932596</v>
      </c>
      <c r="IB45" s="5">
        <v>0.11528636978184367</v>
      </c>
      <c r="IC45" s="5">
        <v>8.7249613343773069E-2</v>
      </c>
      <c r="ID45" s="5">
        <v>8.1927769780784365E-2</v>
      </c>
      <c r="IE45" s="5">
        <v>0.12355965586067909</v>
      </c>
      <c r="IF45" s="5">
        <v>0.13249774045797291</v>
      </c>
      <c r="IG45" s="5">
        <v>0.14151650157583687</v>
      </c>
      <c r="IH45" s="5">
        <v>0.14209151456751962</v>
      </c>
      <c r="II45" s="5">
        <v>9.1767244097846645E-2</v>
      </c>
      <c r="IJ45" s="5">
        <v>9.7689783143375258E-2</v>
      </c>
      <c r="IK45" s="5">
        <v>9.4498145319157123E-2</v>
      </c>
      <c r="IL45" s="5">
        <v>0.10759246100873361</v>
      </c>
      <c r="IM45" s="5">
        <v>0.11866700632064979</v>
      </c>
      <c r="IN45" s="5">
        <v>0.112572365846222</v>
      </c>
      <c r="IO45" s="5">
        <v>0.12066218810533139</v>
      </c>
      <c r="IP45" s="5">
        <v>0.10551017547686575</v>
      </c>
      <c r="IQ45" s="5">
        <v>8.8362238371830257E-2</v>
      </c>
      <c r="IR45" s="5">
        <v>9.3678796619548713E-2</v>
      </c>
      <c r="JB45" s="3" t="s">
        <v>317</v>
      </c>
      <c r="JC45" s="5">
        <v>0.42331794952445534</v>
      </c>
      <c r="JD45" s="5">
        <v>0.40621250845873347</v>
      </c>
      <c r="JE45" s="5">
        <v>0.39167229024584915</v>
      </c>
      <c r="JF45" s="5">
        <v>0.39446120664550571</v>
      </c>
      <c r="JG45" s="5">
        <v>0.40542970946840612</v>
      </c>
      <c r="JH45" s="5">
        <v>0.42483005144742481</v>
      </c>
      <c r="JI45" s="5">
        <v>0.42539865120692621</v>
      </c>
      <c r="JJ45" s="5">
        <v>0.41231526663405593</v>
      </c>
      <c r="JK45" s="5">
        <v>0.41293087916962956</v>
      </c>
      <c r="JL45" s="5">
        <v>0.42288408927879567</v>
      </c>
      <c r="JM45" s="5">
        <v>0.4121912713165598</v>
      </c>
      <c r="JN45" s="5">
        <v>0.40221972773770009</v>
      </c>
      <c r="JO45" s="5">
        <v>0.39631611472050904</v>
      </c>
      <c r="JP45" s="5">
        <v>0.42151364492316645</v>
      </c>
      <c r="JQ45" s="5">
        <v>0.46790865227030076</v>
      </c>
      <c r="JR45" s="5">
        <v>0.47834287354930793</v>
      </c>
      <c r="JS45" s="5">
        <v>0.47478039469572331</v>
      </c>
      <c r="JT45" s="5">
        <v>0.45855259591288206</v>
      </c>
      <c r="JU45" s="5">
        <v>0.41491585721892887</v>
      </c>
      <c r="JV45" s="4">
        <v>0.41536455484395474</v>
      </c>
      <c r="JW45" s="5">
        <v>0.28057498411373966</v>
      </c>
      <c r="JX45" s="4">
        <v>0.30264001810149532</v>
      </c>
      <c r="JY45" s="5">
        <v>0.30566463097188684</v>
      </c>
      <c r="JZ45" s="5">
        <v>0.32839186750883492</v>
      </c>
      <c r="KA45" s="5">
        <v>0.32177444734316779</v>
      </c>
      <c r="KB45" s="5">
        <v>0.33354424209741285</v>
      </c>
      <c r="KC45" s="5">
        <v>0.33786939772346092</v>
      </c>
      <c r="KD45" s="5">
        <v>0.33933715901906364</v>
      </c>
      <c r="KE45" s="5">
        <v>0.3119987994026952</v>
      </c>
      <c r="KF45" s="5">
        <v>0.27934264953522009</v>
      </c>
      <c r="KG45" s="5">
        <v>0.19106395719397573</v>
      </c>
      <c r="KH45" s="4">
        <v>0.19461511689057526</v>
      </c>
      <c r="KI45" s="5">
        <v>0.20044759859303002</v>
      </c>
      <c r="KJ45" s="5">
        <v>0.21630042869372323</v>
      </c>
      <c r="KK45" s="5">
        <v>0.21201479405867857</v>
      </c>
      <c r="KL45" s="5">
        <v>0.22888765099480896</v>
      </c>
      <c r="KM45" s="5">
        <v>0.23240466454857631</v>
      </c>
      <c r="KN45" s="5">
        <v>0.21292171197835238</v>
      </c>
      <c r="KO45" s="5">
        <v>0.18314746897223241</v>
      </c>
      <c r="KP45" s="5">
        <v>0.178858243185162</v>
      </c>
      <c r="KQ45" s="5">
        <v>0.31876494496913088</v>
      </c>
      <c r="KR45" s="5">
        <v>0.3275815985084129</v>
      </c>
      <c r="KS45" s="4">
        <v>0.34158370067662452</v>
      </c>
      <c r="KT45" s="5">
        <v>0.37779773324581273</v>
      </c>
      <c r="KU45" s="5">
        <v>0.41581280109175434</v>
      </c>
      <c r="KV45" s="5">
        <v>0.42076974111679022</v>
      </c>
      <c r="KW45" s="5">
        <v>0.40295745535626104</v>
      </c>
      <c r="KX45" s="5">
        <v>0.35544025214188957</v>
      </c>
      <c r="KY45" s="5">
        <v>0.33144579732488977</v>
      </c>
      <c r="KZ45" s="5">
        <v>0.3245341453046926</v>
      </c>
      <c r="LA45" s="5">
        <v>0.50974928844079526</v>
      </c>
      <c r="LB45" s="5">
        <v>0.49206414708602969</v>
      </c>
      <c r="LC45" s="5">
        <v>0.49903019435707124</v>
      </c>
      <c r="LD45" s="5">
        <v>0.50547387903225371</v>
      </c>
      <c r="LE45" s="5">
        <v>0.47969775309174495</v>
      </c>
      <c r="LF45" s="5">
        <v>0.48933560842476703</v>
      </c>
      <c r="LG45" s="5">
        <v>0.50737844535087762</v>
      </c>
      <c r="LH45" s="5">
        <v>0.50881684527001581</v>
      </c>
      <c r="LI45" s="5">
        <v>0.51697881756101549</v>
      </c>
      <c r="LJ45" s="5">
        <v>0.54256684040336245</v>
      </c>
      <c r="LL45" s="3" t="s">
        <v>328</v>
      </c>
      <c r="LM45" s="3" t="s">
        <v>160</v>
      </c>
      <c r="LN45" s="3" t="s">
        <v>161</v>
      </c>
      <c r="LO45" s="5">
        <v>0.4722134741129369</v>
      </c>
    </row>
    <row r="46" spans="2:327" x14ac:dyDescent="0.45">
      <c r="B46" s="6" t="s">
        <v>319</v>
      </c>
      <c r="C46" s="6" t="s">
        <v>151</v>
      </c>
      <c r="D46" s="8">
        <v>0.28440731314179679</v>
      </c>
      <c r="E46" s="8">
        <v>0.28611426756473107</v>
      </c>
      <c r="F46" s="8">
        <v>0.28487370551381297</v>
      </c>
      <c r="G46" s="8">
        <v>0.28126017426903582</v>
      </c>
      <c r="H46" s="8">
        <v>0.30102123286436733</v>
      </c>
      <c r="I46" s="8">
        <v>0.3139495766775357</v>
      </c>
      <c r="J46" s="8">
        <v>0.3177269459431204</v>
      </c>
      <c r="K46" s="8">
        <v>0.31075456668021878</v>
      </c>
      <c r="L46" s="8">
        <v>0.29146239118695677</v>
      </c>
      <c r="M46" s="8">
        <v>0.2873864287097127</v>
      </c>
      <c r="N46" s="8">
        <v>0.30510823429556688</v>
      </c>
      <c r="O46" s="8">
        <v>0.29329942463206005</v>
      </c>
      <c r="P46" s="8">
        <v>0.28816731110514693</v>
      </c>
      <c r="Q46" s="8">
        <v>0.29765685719358337</v>
      </c>
      <c r="R46" s="8">
        <v>0.28892579052001444</v>
      </c>
      <c r="S46" s="8">
        <v>0.2879409209019389</v>
      </c>
      <c r="T46" s="8">
        <v>0.28958004376845253</v>
      </c>
      <c r="U46" s="8">
        <v>0.28759209611368536</v>
      </c>
      <c r="V46" s="8">
        <v>0.30603867200383428</v>
      </c>
      <c r="W46" s="8">
        <v>0.3020730545706421</v>
      </c>
      <c r="X46" s="8">
        <v>0.39289679033996122</v>
      </c>
      <c r="Y46" s="8">
        <v>0.3860173481657575</v>
      </c>
      <c r="Z46" s="8">
        <v>0.38849687754935108</v>
      </c>
      <c r="AA46" s="8">
        <v>0.37927484041303822</v>
      </c>
      <c r="AB46" s="8">
        <v>0.37141937883856835</v>
      </c>
      <c r="AC46" s="8">
        <v>0.36494423380264346</v>
      </c>
      <c r="AD46" s="8">
        <v>0.36078196978097843</v>
      </c>
      <c r="AE46" s="8">
        <v>0.36078942991096402</v>
      </c>
      <c r="AF46" s="8">
        <v>0.37002566875411863</v>
      </c>
      <c r="AG46" s="8">
        <v>0.37157828823758982</v>
      </c>
      <c r="AH46" s="8">
        <v>0.37790276388918959</v>
      </c>
      <c r="AI46" s="8">
        <v>0.38265637503976907</v>
      </c>
      <c r="AJ46" s="8">
        <v>0.3903266379406003</v>
      </c>
      <c r="AK46" s="8">
        <v>0.41693935187095044</v>
      </c>
      <c r="AL46" s="8">
        <v>0.41089916290535594</v>
      </c>
      <c r="AM46" s="8">
        <v>0.38824566150642553</v>
      </c>
      <c r="AN46" s="8">
        <v>0.36694477536836156</v>
      </c>
      <c r="AO46" s="8">
        <v>0.35611463680999506</v>
      </c>
      <c r="AP46" s="8">
        <v>0.3665610106413405</v>
      </c>
      <c r="AQ46" s="8">
        <v>0.34832445854004429</v>
      </c>
      <c r="AR46" s="8">
        <v>0.28753825759221752</v>
      </c>
      <c r="AS46" s="8">
        <v>0.29661735890243879</v>
      </c>
      <c r="AT46" s="8">
        <v>0.30165111632270952</v>
      </c>
      <c r="AU46" s="8">
        <v>0.30571755584919491</v>
      </c>
      <c r="AV46" s="8">
        <v>0.29855326404766336</v>
      </c>
      <c r="AW46" s="8">
        <v>0.29854285173964484</v>
      </c>
      <c r="AX46" s="8">
        <v>0.30240290640488376</v>
      </c>
      <c r="AY46" s="8">
        <v>0.29477197045541492</v>
      </c>
      <c r="AZ46" s="8">
        <v>0.27365037605657366</v>
      </c>
      <c r="BA46" s="8">
        <v>0.26933465287344649</v>
      </c>
      <c r="BB46" s="8">
        <v>0.25449497298093277</v>
      </c>
      <c r="BC46" s="8">
        <v>0.24568875991489941</v>
      </c>
      <c r="BD46" s="8">
        <v>0.24063410835929996</v>
      </c>
      <c r="BE46" s="8">
        <v>0.23849037462978884</v>
      </c>
      <c r="BF46" s="8">
        <v>0.2593763852534357</v>
      </c>
      <c r="BG46" s="8">
        <v>0.26676712791080232</v>
      </c>
      <c r="BH46" s="8">
        <v>0.27301893146793677</v>
      </c>
      <c r="BI46" s="8">
        <v>0.27160104761832476</v>
      </c>
      <c r="BJ46" s="8">
        <v>0.25744827300059109</v>
      </c>
      <c r="BK46" s="8">
        <v>0.25991530596900703</v>
      </c>
      <c r="BM46" s="6" t="s">
        <v>319</v>
      </c>
      <c r="BN46" s="6" t="s">
        <v>152</v>
      </c>
      <c r="BO46" s="8">
        <v>2.3145800987911774E-2</v>
      </c>
      <c r="BP46" s="8">
        <v>4.4798198710701348E-3</v>
      </c>
      <c r="BQ46" s="8">
        <v>2.0225100379760363E-3</v>
      </c>
      <c r="BR46" s="8">
        <v>6.3052066244552304E-3</v>
      </c>
      <c r="BS46" s="8">
        <v>2.5004636103730427E-2</v>
      </c>
      <c r="BT46" s="8">
        <v>2.8194624382358799E-2</v>
      </c>
      <c r="BU46" s="7">
        <v>2.8765094033420036E-2</v>
      </c>
      <c r="BV46" s="8">
        <v>1.627072651697475E-2</v>
      </c>
      <c r="BW46" s="8">
        <v>1.3335313308879982E-2</v>
      </c>
      <c r="BX46" s="8">
        <v>1.8771280815690836E-2</v>
      </c>
      <c r="BY46" s="8">
        <v>1.1892584678284798E-2</v>
      </c>
      <c r="BZ46" s="7">
        <v>2.0744135142143988E-2</v>
      </c>
      <c r="CA46" s="8">
        <v>3.2775602103208866E-2</v>
      </c>
      <c r="CB46" s="8">
        <v>2.4986482510199446E-2</v>
      </c>
      <c r="CC46" s="8">
        <v>2.0480891401156678E-2</v>
      </c>
      <c r="CD46" s="7">
        <v>1.6864545397443389E-2</v>
      </c>
      <c r="CE46" s="7">
        <v>7.0312018235819005E-3</v>
      </c>
      <c r="CF46" s="7">
        <v>3.0898718704104574E-3</v>
      </c>
      <c r="CG46" s="8">
        <v>1.0339500210683051E-2</v>
      </c>
      <c r="CH46" s="8">
        <v>1.5620650055239386E-2</v>
      </c>
      <c r="CI46" s="8">
        <v>1.6489204755809637E-2</v>
      </c>
      <c r="CJ46" s="8">
        <v>5.7219047981140999E-3</v>
      </c>
      <c r="CK46" s="7">
        <v>4.5696008497792444E-3</v>
      </c>
      <c r="CL46" s="7">
        <v>1.561180658682184E-2</v>
      </c>
      <c r="CM46" s="8">
        <v>4.4382420244587391E-2</v>
      </c>
      <c r="CN46" s="8">
        <v>5.9019638012350092E-2</v>
      </c>
      <c r="CO46" s="8">
        <v>4.8459467471542658E-2</v>
      </c>
      <c r="CP46" s="8">
        <v>1.3456302188484297E-2</v>
      </c>
      <c r="CQ46" s="8">
        <v>2.87038315432664E-2</v>
      </c>
      <c r="CR46" s="8">
        <v>3.736527311157143E-2</v>
      </c>
      <c r="CS46" s="8">
        <v>3.0444239679581767E-2</v>
      </c>
      <c r="CT46" s="7">
        <v>2.8364062054982559E-2</v>
      </c>
      <c r="CU46" s="8">
        <v>2.166000745990173E-2</v>
      </c>
      <c r="CV46" s="8">
        <v>2.0380290258671559E-2</v>
      </c>
      <c r="CW46" s="8">
        <v>7.6551621873034619E-3</v>
      </c>
      <c r="CX46" s="8">
        <v>3.620863662378947E-3</v>
      </c>
      <c r="CY46" s="8">
        <v>1.5169325015649901E-2</v>
      </c>
      <c r="CZ46" s="8">
        <v>2.2238427218078203E-2</v>
      </c>
      <c r="DA46" s="8">
        <v>3.7141603694977522E-2</v>
      </c>
      <c r="DB46" s="7">
        <v>3.6954373733340894E-2</v>
      </c>
      <c r="DC46" s="8">
        <v>2.9517173708128976E-2</v>
      </c>
      <c r="DD46" s="8">
        <v>2.0717206491354601E-2</v>
      </c>
      <c r="DE46" s="8">
        <v>3.7665673584045663E-2</v>
      </c>
      <c r="DF46" s="8">
        <v>5.8732364079154734E-2</v>
      </c>
      <c r="DG46" s="8">
        <v>4.7349223111558716E-2</v>
      </c>
      <c r="DH46" s="8">
        <v>2.9026680143784386E-2</v>
      </c>
      <c r="DI46" s="8">
        <v>1.2081307403404252E-2</v>
      </c>
      <c r="DJ46" s="8">
        <v>6.4194442963460005E-3</v>
      </c>
      <c r="DK46" s="8">
        <v>2.3184856429242667E-3</v>
      </c>
      <c r="DL46" s="8">
        <v>1.2851778719199325E-2</v>
      </c>
      <c r="DM46" s="8">
        <v>1.7182614509102443E-2</v>
      </c>
      <c r="DN46" s="8">
        <v>1.3364153779481148E-2</v>
      </c>
      <c r="DO46" s="8">
        <v>2.6798849138527411E-2</v>
      </c>
      <c r="DP46" s="8">
        <v>3.1888972910689914E-2</v>
      </c>
      <c r="DQ46" s="8">
        <v>1.5757065501453331E-2</v>
      </c>
      <c r="DR46" s="8">
        <v>2.2911803517585757E-2</v>
      </c>
      <c r="DS46" s="8">
        <v>2.660199202858755E-2</v>
      </c>
      <c r="DT46" s="8">
        <v>1.7786890262422157E-2</v>
      </c>
      <c r="DU46" s="7">
        <v>2.0980960863493808E-2</v>
      </c>
      <c r="DV46" s="8">
        <v>2.1068930007751886E-2</v>
      </c>
      <c r="DX46" s="6" t="s">
        <v>319</v>
      </c>
      <c r="DY46" s="6" t="s">
        <v>153</v>
      </c>
      <c r="DZ46" s="8">
        <v>1.6154213918567806E-2</v>
      </c>
      <c r="EA46" s="8">
        <v>3.1171901775842441E-2</v>
      </c>
      <c r="EB46" s="7">
        <v>2.3898958789628191E-2</v>
      </c>
      <c r="EC46" s="8">
        <v>4.6497843464324232E-3</v>
      </c>
      <c r="ED46" s="8">
        <v>0</v>
      </c>
      <c r="EE46" s="8">
        <v>1.3474354350770776E-2</v>
      </c>
      <c r="EF46" s="7">
        <v>1.9801535358390212E-2</v>
      </c>
      <c r="EG46" s="8">
        <v>4.5407861026915249E-2</v>
      </c>
      <c r="EH46" s="8">
        <v>3.004378892579649E-2</v>
      </c>
      <c r="EI46" s="8">
        <v>1.9497652145191457E-2</v>
      </c>
      <c r="EJ46" s="8">
        <v>2.1143151477215044E-2</v>
      </c>
      <c r="EK46" s="8">
        <v>6.2474499880061044E-3</v>
      </c>
      <c r="EL46" s="8">
        <v>2.5108281847586347E-3</v>
      </c>
      <c r="EM46" s="8">
        <v>2.1860949289141614E-2</v>
      </c>
      <c r="EN46" s="8">
        <v>2.6890294851275288E-2</v>
      </c>
      <c r="EO46" s="8">
        <v>2.4546999899614567E-2</v>
      </c>
      <c r="EP46" s="8">
        <v>2.1061650438066799E-2</v>
      </c>
      <c r="EQ46" s="8">
        <v>2.8154622324461084E-2</v>
      </c>
      <c r="ER46" s="8">
        <v>1.2836324102999251E-2</v>
      </c>
      <c r="ES46" s="8">
        <v>5.0476275364319699E-3</v>
      </c>
      <c r="ET46" s="8">
        <v>4.2934590283185421E-2</v>
      </c>
      <c r="EU46" s="8">
        <v>2.9418701999468302E-2</v>
      </c>
      <c r="EV46" s="8">
        <v>3.7676728906682763E-2</v>
      </c>
      <c r="EW46" s="8">
        <v>2.1934934183200951E-2</v>
      </c>
      <c r="EX46" s="8">
        <v>1.2567485857956869E-2</v>
      </c>
      <c r="EY46" s="8">
        <v>1.8604621749807346E-2</v>
      </c>
      <c r="EZ46" s="8">
        <v>3.1540252247734588E-2</v>
      </c>
      <c r="FA46" s="8">
        <v>5.9849407475354249E-2</v>
      </c>
      <c r="FB46" s="8">
        <v>4.3707030488882248E-2</v>
      </c>
      <c r="FC46" s="8">
        <v>3.6694589309842568E-2</v>
      </c>
      <c r="FD46" s="8">
        <v>5.514160020012869E-2</v>
      </c>
      <c r="FE46" s="7">
        <v>6.2488911132966965E-2</v>
      </c>
      <c r="FF46" s="8">
        <v>7.6403081988134891E-2</v>
      </c>
      <c r="FG46" s="8">
        <v>3.9002085490093673E-2</v>
      </c>
      <c r="FH46" s="8">
        <v>5.7129935939653868E-2</v>
      </c>
      <c r="FI46" s="8">
        <v>3.8119702813758843E-2</v>
      </c>
      <c r="FJ46" s="8">
        <v>2.7674767357234873E-2</v>
      </c>
      <c r="FK46" s="8">
        <v>6.1418556462443158E-3</v>
      </c>
      <c r="FL46" s="8">
        <v>2.0684980226266719E-2</v>
      </c>
      <c r="FM46" s="8">
        <v>4.6895017090668491E-2</v>
      </c>
      <c r="FN46" s="8">
        <v>2.4291032247922395E-2</v>
      </c>
      <c r="FO46" s="8">
        <v>4.644419423277367E-2</v>
      </c>
      <c r="FP46" s="8">
        <v>3.963803585214077E-2</v>
      </c>
      <c r="FQ46" s="8">
        <v>1.3339901090149632E-2</v>
      </c>
      <c r="FR46" s="8">
        <v>4.4862558098600271E-2</v>
      </c>
      <c r="FS46" s="8">
        <v>7.4727382096126255E-2</v>
      </c>
      <c r="FT46" s="8">
        <v>7.0823757978862117E-2</v>
      </c>
      <c r="FU46" s="8">
        <v>2.8699507793150961E-2</v>
      </c>
      <c r="FV46" s="8">
        <v>2.6558585585795651E-3</v>
      </c>
      <c r="FW46" s="8">
        <v>2.9372792992930171E-3</v>
      </c>
      <c r="FX46" s="8">
        <v>2.818039087157298E-2</v>
      </c>
      <c r="FY46" s="8">
        <v>3.6026265791190733E-2</v>
      </c>
      <c r="FZ46" s="8">
        <v>2.2449243973458682E-2</v>
      </c>
      <c r="GA46" s="8">
        <v>8.154916299214247E-3</v>
      </c>
      <c r="GB46" s="8">
        <v>2.3970716878382693E-2</v>
      </c>
      <c r="GC46" s="8">
        <v>2.6296897282789673E-2</v>
      </c>
      <c r="GD46" s="8">
        <v>2.4855049075772392E-2</v>
      </c>
      <c r="GE46" s="8">
        <v>2.8959018623122598E-2</v>
      </c>
      <c r="GF46" s="8">
        <v>3.1015622298521082E-2</v>
      </c>
      <c r="GG46" s="8">
        <v>1.9507145777851672E-2</v>
      </c>
      <c r="GI46" s="6" t="s">
        <v>319</v>
      </c>
      <c r="GJ46" s="6" t="s">
        <v>154</v>
      </c>
      <c r="GK46" s="8">
        <v>0.1309261511412497</v>
      </c>
      <c r="GL46" s="8">
        <v>0.14126331053998492</v>
      </c>
      <c r="GM46" s="8">
        <v>0.15456212780731909</v>
      </c>
      <c r="GN46" s="8">
        <v>0.16163845597609491</v>
      </c>
      <c r="GO46" s="8">
        <v>0.1654381336264219</v>
      </c>
      <c r="GP46" s="8">
        <v>0.14865862813908737</v>
      </c>
      <c r="GQ46" s="8">
        <v>0.13698435987780178</v>
      </c>
      <c r="GR46" s="8">
        <v>0.12558988917205399</v>
      </c>
      <c r="GS46" s="8">
        <v>0.14238532056968939</v>
      </c>
      <c r="GT46" s="8">
        <v>0.13827854537966111</v>
      </c>
      <c r="GU46" s="8">
        <v>0.14465644181889192</v>
      </c>
      <c r="GV46" s="8">
        <v>0.14163884133617208</v>
      </c>
      <c r="GW46" s="8">
        <v>0.13385365135344171</v>
      </c>
      <c r="GX46" s="8">
        <v>0.12281831284622211</v>
      </c>
      <c r="GY46" s="8">
        <v>0.11182467947924364</v>
      </c>
      <c r="GZ46" s="8">
        <v>0.11855383136101404</v>
      </c>
      <c r="HA46" s="8">
        <v>0.13842535898482861</v>
      </c>
      <c r="HB46" s="7">
        <v>0.13605994377269984</v>
      </c>
      <c r="HC46" s="8">
        <v>0.15815239841345677</v>
      </c>
      <c r="HD46" s="8">
        <v>0.15676886368988091</v>
      </c>
      <c r="HE46" s="8">
        <v>0.18754937086823162</v>
      </c>
      <c r="HF46" s="8">
        <v>0.20938724563062502</v>
      </c>
      <c r="HG46" s="8">
        <v>0.20854293531131296</v>
      </c>
      <c r="HH46" s="8">
        <v>0.20161134625090252</v>
      </c>
      <c r="HI46" s="8">
        <v>0.18218008156166574</v>
      </c>
      <c r="HJ46" s="8">
        <v>0.15195090526401037</v>
      </c>
      <c r="HK46" s="8">
        <v>0.13912016768791033</v>
      </c>
      <c r="HL46" s="7">
        <v>0.13800815725607471</v>
      </c>
      <c r="HM46" s="8">
        <v>0.15664433655938739</v>
      </c>
      <c r="HN46" s="8">
        <v>0.16225668063175558</v>
      </c>
      <c r="HO46" s="8">
        <v>0.17332465395876742</v>
      </c>
      <c r="HP46" s="8">
        <v>0.17599869452829744</v>
      </c>
      <c r="HQ46" s="8">
        <v>0.1600456406885476</v>
      </c>
      <c r="HR46" s="8">
        <v>0.22913766751690537</v>
      </c>
      <c r="HS46" s="8">
        <v>0.22317659673504953</v>
      </c>
      <c r="HT46" s="8">
        <v>0.22711613858720708</v>
      </c>
      <c r="HU46" s="8">
        <v>0.20102756173310193</v>
      </c>
      <c r="HV46" s="8">
        <v>0.20309394981090606</v>
      </c>
      <c r="HW46" s="8">
        <v>0.18897232814127299</v>
      </c>
      <c r="HX46" s="8">
        <v>0.16133658244964028</v>
      </c>
      <c r="HY46" s="8">
        <v>0.12953770421714197</v>
      </c>
      <c r="HZ46" s="8">
        <v>0.11886366093913149</v>
      </c>
      <c r="IA46" s="8">
        <v>0.10176116914832438</v>
      </c>
      <c r="IB46" s="8">
        <v>0.11256925350927127</v>
      </c>
      <c r="IC46" s="8">
        <v>8.3930748773158953E-2</v>
      </c>
      <c r="ID46" s="8">
        <v>7.2363091016110534E-2</v>
      </c>
      <c r="IE46" s="8">
        <v>0.1007130330113153</v>
      </c>
      <c r="IF46" s="8">
        <v>0.14893784293465995</v>
      </c>
      <c r="IG46" s="8">
        <v>0.16814402411036156</v>
      </c>
      <c r="IH46" s="8">
        <v>0.15363269361432311</v>
      </c>
      <c r="II46" s="8">
        <v>9.1217496927826908E-2</v>
      </c>
      <c r="IJ46" s="8">
        <v>9.0248421129528786E-2</v>
      </c>
      <c r="IK46" s="8">
        <v>8.4672848363494813E-2</v>
      </c>
      <c r="IL46" s="8">
        <v>9.7599203939327722E-2</v>
      </c>
      <c r="IM46" s="8">
        <v>0.11007889342776787</v>
      </c>
      <c r="IN46" s="8">
        <v>0.10369099752579358</v>
      </c>
      <c r="IO46" s="8">
        <v>0.10270011621133886</v>
      </c>
      <c r="IP46" s="8">
        <v>0.10744711918925197</v>
      </c>
      <c r="IQ46" s="8">
        <v>9.0954508532644029E-2</v>
      </c>
      <c r="IR46" s="8">
        <v>9.0536234785862646E-2</v>
      </c>
      <c r="JB46" s="6" t="s">
        <v>319</v>
      </c>
      <c r="JC46" s="8">
        <v>0.46535554853362998</v>
      </c>
      <c r="JD46" s="8">
        <v>0.44925199312101</v>
      </c>
      <c r="JE46" s="8">
        <v>0.4371449125551759</v>
      </c>
      <c r="JF46" s="8">
        <v>0.44230870956366553</v>
      </c>
      <c r="JG46" s="8">
        <v>0.44083064966793806</v>
      </c>
      <c r="JH46" s="8">
        <v>0.45369940159622085</v>
      </c>
      <c r="JI46" s="8">
        <v>0.46158591199953442</v>
      </c>
      <c r="JJ46" s="8">
        <v>0.45298008953059121</v>
      </c>
      <c r="JK46" s="8">
        <v>0.45285326897377703</v>
      </c>
      <c r="JL46" s="8">
        <v>0.46046674701029078</v>
      </c>
      <c r="JM46" s="8">
        <v>0.44432366692405351</v>
      </c>
      <c r="JN46" s="8">
        <v>0.43711143033999778</v>
      </c>
      <c r="JO46" s="8">
        <v>0.43137662872810495</v>
      </c>
      <c r="JP46" s="8">
        <v>0.46244076271508761</v>
      </c>
      <c r="JQ46" s="8">
        <v>0.49295184157270694</v>
      </c>
      <c r="JR46" s="8">
        <v>0.50440066354336854</v>
      </c>
      <c r="JS46" s="8">
        <v>0.50010894337878598</v>
      </c>
      <c r="JT46" s="8">
        <v>0.48802035183184117</v>
      </c>
      <c r="JU46" s="8">
        <v>0.44426710930633745</v>
      </c>
      <c r="JV46" s="7">
        <v>0.44713488911261606</v>
      </c>
      <c r="JW46" s="8">
        <v>0.3032342417394337</v>
      </c>
      <c r="JX46" s="7">
        <v>0.32228727236465499</v>
      </c>
      <c r="JY46" s="8">
        <v>0.32922676082444757</v>
      </c>
      <c r="JZ46" s="8">
        <v>0.35621865833238509</v>
      </c>
      <c r="KA46" s="8">
        <v>0.34651534194920758</v>
      </c>
      <c r="KB46" s="8">
        <v>0.34960365544395433</v>
      </c>
      <c r="KC46" s="8">
        <v>0.35502575340588982</v>
      </c>
      <c r="KD46" s="8">
        <v>0.35263662661316653</v>
      </c>
      <c r="KE46" s="8">
        <v>0.32463557697179218</v>
      </c>
      <c r="KF46" s="8">
        <v>0.30104900840903914</v>
      </c>
      <c r="KG46" s="8">
        <v>0.20038486090551563</v>
      </c>
      <c r="KH46" s="7">
        <v>0.20552401128860034</v>
      </c>
      <c r="KI46" s="8">
        <v>0.21192759468486974</v>
      </c>
      <c r="KJ46" s="8">
        <v>0.23261897210785507</v>
      </c>
      <c r="KK46" s="8">
        <v>0.2299786100117687</v>
      </c>
      <c r="KL46" s="8">
        <v>0.24084870869689817</v>
      </c>
      <c r="KM46" s="8">
        <v>0.2436590996273712</v>
      </c>
      <c r="KN46" s="8">
        <v>0.22527319415213801</v>
      </c>
      <c r="KO46" s="8">
        <v>0.19835196315427647</v>
      </c>
      <c r="KP46" s="8">
        <v>0.18947117667155008</v>
      </c>
      <c r="KQ46" s="8">
        <v>0.35935377100316035</v>
      </c>
      <c r="KR46" s="8">
        <v>0.36683172518860591</v>
      </c>
      <c r="KS46" s="7">
        <v>0.38084475283072977</v>
      </c>
      <c r="KT46" s="8">
        <v>0.40600587328669829</v>
      </c>
      <c r="KU46" s="8">
        <v>0.44507533263715365</v>
      </c>
      <c r="KV46" s="8">
        <v>0.4507681732317651</v>
      </c>
      <c r="KW46" s="8">
        <v>0.43472069024071108</v>
      </c>
      <c r="KX46" s="8">
        <v>0.38971398854502648</v>
      </c>
      <c r="KY46" s="8">
        <v>0.36777265952918203</v>
      </c>
      <c r="KZ46" s="8">
        <v>0.37199612149865213</v>
      </c>
      <c r="LA46" s="8">
        <v>0.55646483412653058</v>
      </c>
      <c r="LB46" s="8">
        <v>0.53617548487804767</v>
      </c>
      <c r="LC46" s="8">
        <v>0.54301470949728103</v>
      </c>
      <c r="LD46" s="8">
        <v>0.54629062076328638</v>
      </c>
      <c r="LE46" s="8">
        <v>0.5178559251837358</v>
      </c>
      <c r="LF46" s="8">
        <v>0.5220056975606272</v>
      </c>
      <c r="LG46" s="8">
        <v>0.53550411894550742</v>
      </c>
      <c r="LH46" s="8">
        <v>0.53858678790800329</v>
      </c>
      <c r="LI46" s="8">
        <v>0.55550664772128</v>
      </c>
      <c r="LJ46" s="8">
        <v>0.5792571387838753</v>
      </c>
      <c r="LL46" s="6" t="s">
        <v>329</v>
      </c>
      <c r="LM46" s="6" t="s">
        <v>160</v>
      </c>
      <c r="LN46" s="6" t="s">
        <v>161</v>
      </c>
      <c r="LO46" s="8">
        <v>0.66062484168454805</v>
      </c>
    </row>
    <row r="47" spans="2:327" x14ac:dyDescent="0.45">
      <c r="B47" s="3" t="s">
        <v>321</v>
      </c>
      <c r="C47" s="3" t="s">
        <v>151</v>
      </c>
      <c r="D47" s="5">
        <v>0.26104741260052716</v>
      </c>
      <c r="E47" s="5">
        <v>0.26831077051039348</v>
      </c>
      <c r="F47" s="5">
        <v>0.26740937793442648</v>
      </c>
      <c r="G47" s="5">
        <v>0.26061419394493129</v>
      </c>
      <c r="H47" s="5">
        <v>0.26270654010713756</v>
      </c>
      <c r="I47" s="5">
        <v>0.26250389349267766</v>
      </c>
      <c r="J47" s="5">
        <v>0.26113283263540604</v>
      </c>
      <c r="K47" s="5">
        <v>0.25195906318110367</v>
      </c>
      <c r="L47" s="5">
        <v>0.2498472252082177</v>
      </c>
      <c r="M47" s="5">
        <v>0.25361101413548304</v>
      </c>
      <c r="N47" s="5">
        <v>0.25301435580311488</v>
      </c>
      <c r="O47" s="5">
        <v>0.2488840984492926</v>
      </c>
      <c r="P47" s="5">
        <v>0.25095410551108638</v>
      </c>
      <c r="Q47" s="5">
        <v>0.26087864677348521</v>
      </c>
      <c r="R47" s="5">
        <v>0.27794881936681715</v>
      </c>
      <c r="S47" s="5">
        <v>0.28025657643293983</v>
      </c>
      <c r="T47" s="5">
        <v>0.2713432346750021</v>
      </c>
      <c r="U47" s="5">
        <v>0.2646969823331537</v>
      </c>
      <c r="V47" s="5">
        <v>0.26894549884173796</v>
      </c>
      <c r="W47" s="5">
        <v>0.24787574047579761</v>
      </c>
      <c r="X47" s="5">
        <v>0.31340923163257123</v>
      </c>
      <c r="Y47" s="5">
        <v>0.29745741071563714</v>
      </c>
      <c r="Z47" s="5">
        <v>0.30571978542067624</v>
      </c>
      <c r="AA47" s="5">
        <v>0.3165661618802138</v>
      </c>
      <c r="AB47" s="5">
        <v>0.31785301939593669</v>
      </c>
      <c r="AC47" s="5">
        <v>0.30520334072596661</v>
      </c>
      <c r="AD47" s="5">
        <v>0.29947889386748988</v>
      </c>
      <c r="AE47" s="5">
        <v>0.29652883400391095</v>
      </c>
      <c r="AF47" s="5">
        <v>0.3038416684287597</v>
      </c>
      <c r="AG47" s="5">
        <v>0.30389355923228867</v>
      </c>
      <c r="AH47" s="5">
        <v>0.35919170706231307</v>
      </c>
      <c r="AI47" s="5">
        <v>0.35395478998705987</v>
      </c>
      <c r="AJ47" s="5">
        <v>0.35425210830132298</v>
      </c>
      <c r="AK47" s="5">
        <v>0.36417675234126362</v>
      </c>
      <c r="AL47" s="5">
        <v>0.37455885577955522</v>
      </c>
      <c r="AM47" s="5">
        <v>0.35762225553353677</v>
      </c>
      <c r="AN47" s="5">
        <v>0.33568183239064298</v>
      </c>
      <c r="AO47" s="5">
        <v>0.32439752067940364</v>
      </c>
      <c r="AP47" s="5">
        <v>0.32176512105531724</v>
      </c>
      <c r="AQ47" s="5">
        <v>0.33375311697469218</v>
      </c>
      <c r="AR47" s="5">
        <v>0.26936498973148409</v>
      </c>
      <c r="AS47" s="5">
        <v>0.25811333658228619</v>
      </c>
      <c r="AT47" s="5">
        <v>0.25826368691485052</v>
      </c>
      <c r="AU47" s="5">
        <v>0.26653556845764642</v>
      </c>
      <c r="AV47" s="5">
        <v>0.2728920035120978</v>
      </c>
      <c r="AW47" s="5">
        <v>0.25971518034080499</v>
      </c>
      <c r="AX47" s="5">
        <v>0.25379453781694056</v>
      </c>
      <c r="AY47" s="5">
        <v>0.26624029830288759</v>
      </c>
      <c r="AZ47" s="5">
        <v>0.27320780953965335</v>
      </c>
      <c r="BA47" s="5">
        <v>0.27317562884007562</v>
      </c>
      <c r="BB47" s="5">
        <v>0.24738980742036612</v>
      </c>
      <c r="BC47" s="5">
        <v>0.26038320049682923</v>
      </c>
      <c r="BD47" s="5">
        <v>0.25896261726877395</v>
      </c>
      <c r="BE47" s="5">
        <v>0.2615620008573567</v>
      </c>
      <c r="BF47" s="5">
        <v>0.27359475967906216</v>
      </c>
      <c r="BG47" s="5">
        <v>0.26357292205240734</v>
      </c>
      <c r="BH47" s="5">
        <v>0.25692308233427869</v>
      </c>
      <c r="BI47" s="5">
        <v>0.24550143865397156</v>
      </c>
      <c r="BJ47" s="5">
        <v>0.25635651729186726</v>
      </c>
      <c r="BK47" s="5">
        <v>0.26214952812169495</v>
      </c>
      <c r="BM47" s="3" t="s">
        <v>321</v>
      </c>
      <c r="BN47" s="3" t="s">
        <v>152</v>
      </c>
      <c r="BO47" s="5">
        <v>1.8641332897091804E-2</v>
      </c>
      <c r="BP47" s="5">
        <v>1.1396431524094306E-2</v>
      </c>
      <c r="BQ47" s="5">
        <v>1.3674045524069705E-2</v>
      </c>
      <c r="BR47" s="5">
        <v>1.4697250150392725E-2</v>
      </c>
      <c r="BS47" s="5">
        <v>1.8770343478497018E-2</v>
      </c>
      <c r="BT47" s="5">
        <v>2.9162372842790475E-2</v>
      </c>
      <c r="BU47" s="4">
        <v>1.8620768142537332E-2</v>
      </c>
      <c r="BV47" s="5">
        <v>1.3959902927303298E-2</v>
      </c>
      <c r="BW47" s="5">
        <v>1.2663809997861659E-2</v>
      </c>
      <c r="BX47" s="5">
        <v>1.9740223514492932E-2</v>
      </c>
      <c r="BY47" s="5">
        <v>1.4729964861035019E-2</v>
      </c>
      <c r="BZ47" s="4">
        <v>2.2274194597114039E-2</v>
      </c>
      <c r="CA47" s="5">
        <v>3.3090905238189294E-3</v>
      </c>
      <c r="CB47" s="5">
        <v>9.4102482945915902E-3</v>
      </c>
      <c r="CC47" s="5">
        <v>1.930065623112626E-2</v>
      </c>
      <c r="CD47" s="4">
        <v>1.9655234746587268E-2</v>
      </c>
      <c r="CE47" s="4">
        <v>1.2865048177448261E-2</v>
      </c>
      <c r="CF47" s="4">
        <v>6.1223206271935899E-4</v>
      </c>
      <c r="CG47" s="5">
        <v>5.435916750987457E-3</v>
      </c>
      <c r="CH47" s="5">
        <v>7.9751694047506729E-3</v>
      </c>
      <c r="CI47" s="5">
        <v>1.8051910171260576E-2</v>
      </c>
      <c r="CJ47" s="5">
        <v>3.3384240413985758E-2</v>
      </c>
      <c r="CK47" s="4">
        <v>1.7941709069635142E-2</v>
      </c>
      <c r="CL47" s="4">
        <v>1.5714602367282601E-2</v>
      </c>
      <c r="CM47" s="5">
        <v>2.558373249505197E-2</v>
      </c>
      <c r="CN47" s="5">
        <v>1.4496062799156086E-2</v>
      </c>
      <c r="CO47" s="5">
        <v>1.3892120643353809E-2</v>
      </c>
      <c r="CP47" s="5">
        <v>1.4876669500365744E-2</v>
      </c>
      <c r="CQ47" s="5">
        <v>1.9069832197659595E-2</v>
      </c>
      <c r="CR47" s="5">
        <v>5.3900504824403034E-3</v>
      </c>
      <c r="CS47" s="5">
        <v>2.6354584326404439E-2</v>
      </c>
      <c r="CT47" s="4">
        <v>1.2192403783973141E-2</v>
      </c>
      <c r="CU47" s="5">
        <v>1.4328254186471436E-2</v>
      </c>
      <c r="CV47" s="5">
        <v>2.779596807887642E-2</v>
      </c>
      <c r="CW47" s="5">
        <v>4.5889749754740701E-2</v>
      </c>
      <c r="CX47" s="5">
        <v>1.2729095048749748E-2</v>
      </c>
      <c r="CY47" s="5">
        <v>3.5346294123789403E-2</v>
      </c>
      <c r="CZ47" s="5">
        <v>2.872727604042118E-2</v>
      </c>
      <c r="DA47" s="5">
        <v>6.8129361311699546E-3</v>
      </c>
      <c r="DB47" s="4">
        <v>3.8291258756207355E-2</v>
      </c>
      <c r="DC47" s="5">
        <v>3.2944500227021264E-2</v>
      </c>
      <c r="DD47" s="5">
        <v>2.8344526183364395E-2</v>
      </c>
      <c r="DE47" s="5">
        <v>1.1233543217054233E-2</v>
      </c>
      <c r="DF47" s="5">
        <v>2.9979821942794627E-2</v>
      </c>
      <c r="DG47" s="5">
        <v>2.6773444695840726E-2</v>
      </c>
      <c r="DH47" s="5">
        <v>1.8123094729339751E-2</v>
      </c>
      <c r="DI47" s="5">
        <v>1.5027962354810645E-2</v>
      </c>
      <c r="DJ47" s="5">
        <v>2.1289840542436076E-2</v>
      </c>
      <c r="DK47" s="5">
        <v>8.9537594411360777E-3</v>
      </c>
      <c r="DL47" s="5">
        <v>5.552436226634083E-3</v>
      </c>
      <c r="DM47" s="5">
        <v>1.5084609061703922E-2</v>
      </c>
      <c r="DN47" s="5">
        <v>2.7370459754302648E-2</v>
      </c>
      <c r="DO47" s="5">
        <v>1.9468359731070726E-2</v>
      </c>
      <c r="DP47" s="5">
        <v>1.1451664967595794E-2</v>
      </c>
      <c r="DQ47" s="5">
        <v>1.8723108854038759E-2</v>
      </c>
      <c r="DR47" s="5">
        <v>1.0535696222978034E-2</v>
      </c>
      <c r="DS47" s="5">
        <v>9.5964331112249057E-3</v>
      </c>
      <c r="DT47" s="5">
        <v>1.054805974697496E-2</v>
      </c>
      <c r="DU47" s="4">
        <v>1.4744093051839026E-2</v>
      </c>
      <c r="DV47" s="5">
        <v>1.7678148728369206E-2</v>
      </c>
      <c r="DX47" s="3" t="s">
        <v>321</v>
      </c>
      <c r="DY47" s="3" t="s">
        <v>153</v>
      </c>
      <c r="DZ47" s="5">
        <v>1.9134113951811131E-2</v>
      </c>
      <c r="EA47" s="5">
        <v>1.9889542350747469E-2</v>
      </c>
      <c r="EB47" s="4">
        <v>1.3796261875944458E-2</v>
      </c>
      <c r="EC47" s="5">
        <v>1.1602043443154542E-2</v>
      </c>
      <c r="ED47" s="5">
        <v>1.7851138286327384E-2</v>
      </c>
      <c r="EE47" s="5">
        <v>1.6092861317967947E-2</v>
      </c>
      <c r="EF47" s="4">
        <v>2.5159865812721005E-2</v>
      </c>
      <c r="EG47" s="5">
        <v>4.0838594252671299E-2</v>
      </c>
      <c r="EH47" s="5">
        <v>3.6497612129205249E-2</v>
      </c>
      <c r="EI47" s="5">
        <v>1.647161344033049E-2</v>
      </c>
      <c r="EJ47" s="5">
        <v>1.4368691879685572E-2</v>
      </c>
      <c r="EK47" s="5">
        <v>1.2678613602730218E-2</v>
      </c>
      <c r="EL47" s="5">
        <v>2.9995231440333545E-2</v>
      </c>
      <c r="EM47" s="5">
        <v>2.4227982136333173E-2</v>
      </c>
      <c r="EN47" s="5">
        <v>7.1534952860156219E-3</v>
      </c>
      <c r="EO47" s="5">
        <v>1.173598390198614E-2</v>
      </c>
      <c r="EP47" s="5">
        <v>2.1594751216916529E-2</v>
      </c>
      <c r="EQ47" s="5">
        <v>3.3962600151519438E-2</v>
      </c>
      <c r="ER47" s="5">
        <v>2.6227725738322178E-2</v>
      </c>
      <c r="ES47" s="5">
        <v>4.7220305888900343E-3</v>
      </c>
      <c r="ET47" s="5">
        <v>1.5551288122762096E-2</v>
      </c>
      <c r="EU47" s="5">
        <v>1.4492874623690985E-2</v>
      </c>
      <c r="EV47" s="5">
        <v>4.3016310050888032E-2</v>
      </c>
      <c r="EW47" s="5">
        <v>5.0156581701997723E-2</v>
      </c>
      <c r="EX47" s="5">
        <v>2.1244339464856328E-2</v>
      </c>
      <c r="EY47" s="5">
        <v>2.1463912399714419E-2</v>
      </c>
      <c r="EZ47" s="5">
        <v>2.9697497949937385E-2</v>
      </c>
      <c r="FA47" s="5">
        <v>3.0394145648127313E-2</v>
      </c>
      <c r="FB47" s="5">
        <v>1.7430738545461556E-2</v>
      </c>
      <c r="FC47" s="5">
        <v>3.4518044776554714E-2</v>
      </c>
      <c r="FD47" s="5">
        <v>5.0062014293687528E-2</v>
      </c>
      <c r="FE47" s="4">
        <v>4.4122743267034741E-2</v>
      </c>
      <c r="FF47" s="5">
        <v>5.0666094237586577E-2</v>
      </c>
      <c r="FG47" s="5">
        <v>3.2244108280291298E-2</v>
      </c>
      <c r="FH47" s="5">
        <v>2.1419924852802471E-2</v>
      </c>
      <c r="FI47" s="5">
        <v>5.9107228762395186E-2</v>
      </c>
      <c r="FJ47" s="5">
        <v>4.1081744580062383E-2</v>
      </c>
      <c r="FK47" s="5">
        <v>4.8719938811728467E-2</v>
      </c>
      <c r="FL47" s="5">
        <v>6.4143233892282853E-2</v>
      </c>
      <c r="FM47" s="5">
        <v>4.7739329104383853E-2</v>
      </c>
      <c r="FN47" s="5">
        <v>1.3101143939272315E-2</v>
      </c>
      <c r="FO47" s="5">
        <v>4.741884065932786E-2</v>
      </c>
      <c r="FP47" s="5">
        <v>6.5916415363796207E-2</v>
      </c>
      <c r="FQ47" s="5">
        <v>2.9620232527149754E-2</v>
      </c>
      <c r="FR47" s="5">
        <v>2.6967129538210542E-2</v>
      </c>
      <c r="FS47" s="5">
        <v>1.8998158704936333E-2</v>
      </c>
      <c r="FT47" s="5">
        <v>2.3983661276408219E-2</v>
      </c>
      <c r="FU47" s="5">
        <v>2.4670390255928182E-2</v>
      </c>
      <c r="FV47" s="5">
        <v>3.3558155267595535E-2</v>
      </c>
      <c r="FW47" s="5">
        <v>4.2195251151866127E-2</v>
      </c>
      <c r="FX47" s="5">
        <v>1.6306927506874243E-2</v>
      </c>
      <c r="FY47" s="5">
        <v>2.0044277810679804E-2</v>
      </c>
      <c r="FZ47" s="5">
        <v>2.0531565389163165E-2</v>
      </c>
      <c r="GA47" s="5">
        <v>2.2378596901115027E-2</v>
      </c>
      <c r="GB47" s="5">
        <v>1.9211032979404977E-2</v>
      </c>
      <c r="GC47" s="5">
        <v>1.5126660383590293E-2</v>
      </c>
      <c r="GD47" s="5">
        <v>1.8181047294999749E-2</v>
      </c>
      <c r="GE47" s="5">
        <v>1.9414317443764165E-2</v>
      </c>
      <c r="GF47" s="5">
        <v>1.1443190102776597E-2</v>
      </c>
      <c r="GG47" s="5">
        <v>7.7211522602266044E-3</v>
      </c>
      <c r="GI47" s="3" t="s">
        <v>321</v>
      </c>
      <c r="GJ47" s="3" t="s">
        <v>154</v>
      </c>
      <c r="GK47" s="5">
        <v>0.10469378916029744</v>
      </c>
      <c r="GL47" s="5">
        <v>0.11991776768490199</v>
      </c>
      <c r="GM47" s="5">
        <v>0.12533394677395385</v>
      </c>
      <c r="GN47" s="5">
        <v>0.11576777164894149</v>
      </c>
      <c r="GO47" s="5">
        <v>9.1830890497305792E-2</v>
      </c>
      <c r="GP47" s="5">
        <v>8.5569697962542351E-2</v>
      </c>
      <c r="GQ47" s="5">
        <v>8.7610960876618946E-2</v>
      </c>
      <c r="GR47" s="5">
        <v>9.0210873310068718E-2</v>
      </c>
      <c r="GS47" s="5">
        <v>9.2458641026454763E-2</v>
      </c>
      <c r="GT47" s="5">
        <v>0.10270068729302978</v>
      </c>
      <c r="GU47" s="5">
        <v>0.10821691507710748</v>
      </c>
      <c r="GV47" s="5">
        <v>0.10330636449036838</v>
      </c>
      <c r="GW47" s="5">
        <v>0.10948685173348949</v>
      </c>
      <c r="GX47" s="5">
        <v>0.11317128097805987</v>
      </c>
      <c r="GY47" s="5">
        <v>0.12015995589075336</v>
      </c>
      <c r="GZ47" s="5">
        <v>0.12049393177698754</v>
      </c>
      <c r="HA47" s="5">
        <v>0.11170376221875301</v>
      </c>
      <c r="HB47" s="4">
        <v>0.11045101687735394</v>
      </c>
      <c r="HC47" s="5">
        <v>0.11759916187168033</v>
      </c>
      <c r="HD47" s="5">
        <v>0.12591830857287789</v>
      </c>
      <c r="HE47" s="5">
        <v>0.15983594361862463</v>
      </c>
      <c r="HF47" s="5">
        <v>0.14417739825992343</v>
      </c>
      <c r="HG47" s="5">
        <v>0.12983817984624205</v>
      </c>
      <c r="HH47" s="5">
        <v>0.12717191573681771</v>
      </c>
      <c r="HI47" s="5">
        <v>0.14123896595630731</v>
      </c>
      <c r="HJ47" s="5">
        <v>0.14178400579716677</v>
      </c>
      <c r="HK47" s="5">
        <v>0.12187978223160538</v>
      </c>
      <c r="HL47" s="4">
        <v>0.11476343254023237</v>
      </c>
      <c r="HM47" s="5">
        <v>0.12811260615826481</v>
      </c>
      <c r="HN47" s="5">
        <v>0.13345247216683426</v>
      </c>
      <c r="HO47" s="5">
        <v>0.15715497550323895</v>
      </c>
      <c r="HP47" s="5">
        <v>0.17156697131212251</v>
      </c>
      <c r="HQ47" s="5">
        <v>0.1639310875643803</v>
      </c>
      <c r="HR47" s="5">
        <v>0.17051130101464976</v>
      </c>
      <c r="HS47" s="5">
        <v>0.16205165139151084</v>
      </c>
      <c r="HT47" s="5">
        <v>0.137368545381336</v>
      </c>
      <c r="HU47" s="5">
        <v>0.12799079889087925</v>
      </c>
      <c r="HV47" s="5">
        <v>0.12600573405974097</v>
      </c>
      <c r="HW47" s="5">
        <v>0.14375690848777703</v>
      </c>
      <c r="HX47" s="5">
        <v>0.13428814152829632</v>
      </c>
      <c r="HY47" s="5">
        <v>0.11416405914957974</v>
      </c>
      <c r="HZ47" s="5">
        <v>8.4124031100796942E-2</v>
      </c>
      <c r="IA47" s="5">
        <v>8.5199938071486708E-2</v>
      </c>
      <c r="IB47" s="5">
        <v>0.10061582191487875</v>
      </c>
      <c r="IC47" s="5">
        <v>0.10220213627531304</v>
      </c>
      <c r="ID47" s="5">
        <v>0.10477007012225616</v>
      </c>
      <c r="IE47" s="5">
        <v>0.10165141086324889</v>
      </c>
      <c r="IF47" s="5">
        <v>0.10826655080278332</v>
      </c>
      <c r="IG47" s="5">
        <v>0.11313968338842757</v>
      </c>
      <c r="IH47" s="5">
        <v>0.10290242671417396</v>
      </c>
      <c r="II47" s="5">
        <v>0.10696207364427959</v>
      </c>
      <c r="IJ47" s="5">
        <v>9.3316041521089188E-2</v>
      </c>
      <c r="IK47" s="5">
        <v>9.4791287612628075E-2</v>
      </c>
      <c r="IL47" s="5">
        <v>0.10865454667526213</v>
      </c>
      <c r="IM47" s="5">
        <v>0.11514111294971222</v>
      </c>
      <c r="IN47" s="5">
        <v>0.11424567367513491</v>
      </c>
      <c r="IO47" s="5">
        <v>0.10708062873812757</v>
      </c>
      <c r="IP47" s="5">
        <v>0.10243794313321022</v>
      </c>
      <c r="IQ47" s="5">
        <v>0.10991862389900491</v>
      </c>
      <c r="IR47" s="5">
        <v>0.11546691119531256</v>
      </c>
      <c r="JB47" s="3" t="s">
        <v>321</v>
      </c>
      <c r="JC47" s="5">
        <v>0.51666778490521392</v>
      </c>
      <c r="JD47" s="5">
        <v>0.50121720135975345</v>
      </c>
      <c r="JE47" s="5">
        <v>0.504518242475544</v>
      </c>
      <c r="JF47" s="5">
        <v>0.51636763730532897</v>
      </c>
      <c r="JG47" s="5">
        <v>0.54409972406732121</v>
      </c>
      <c r="JH47" s="5">
        <v>0.55963828631567536</v>
      </c>
      <c r="JI47" s="5">
        <v>0.55005827022483722</v>
      </c>
      <c r="JJ47" s="5">
        <v>0.5301633165901285</v>
      </c>
      <c r="JK47" s="5">
        <v>0.52231985023892047</v>
      </c>
      <c r="JL47" s="5">
        <v>0.53390486756020406</v>
      </c>
      <c r="JM47" s="5">
        <v>0.50529632555028858</v>
      </c>
      <c r="JN47" s="5">
        <v>0.50404726581105352</v>
      </c>
      <c r="JO47" s="5">
        <v>0.50067263757024449</v>
      </c>
      <c r="JP47" s="5">
        <v>0.50422886562053348</v>
      </c>
      <c r="JQ47" s="5">
        <v>0.53391745149707925</v>
      </c>
      <c r="JR47" s="5">
        <v>0.53638165264862425</v>
      </c>
      <c r="JS47" s="5">
        <v>0.53945124464209693</v>
      </c>
      <c r="JT47" s="5">
        <v>0.53339856046941658</v>
      </c>
      <c r="JU47" s="5">
        <v>0.50024878546972973</v>
      </c>
      <c r="JV47" s="4">
        <v>0.501557674577499</v>
      </c>
      <c r="JW47" s="5">
        <v>0.37046417268242665</v>
      </c>
      <c r="JX47" s="4">
        <v>0.3736616570071396</v>
      </c>
      <c r="JY47" s="5">
        <v>0.38579786475713684</v>
      </c>
      <c r="JZ47" s="5">
        <v>0.42269419697859267</v>
      </c>
      <c r="KA47" s="5">
        <v>0.44898773597998781</v>
      </c>
      <c r="KB47" s="5">
        <v>0.47141913716245742</v>
      </c>
      <c r="KC47" s="5">
        <v>0.48661145152413576</v>
      </c>
      <c r="KD47" s="5">
        <v>0.47967859915229472</v>
      </c>
      <c r="KE47" s="5">
        <v>0.45144269923973834</v>
      </c>
      <c r="KF47" s="5">
        <v>0.39222261616286919</v>
      </c>
      <c r="KG47" s="5">
        <v>0.27187744459798002</v>
      </c>
      <c r="KH47" s="4">
        <v>0.25413055906077658</v>
      </c>
      <c r="KI47" s="5">
        <v>0.24298558109275253</v>
      </c>
      <c r="KJ47" s="5">
        <v>0.26232388076046353</v>
      </c>
      <c r="KK47" s="5">
        <v>0.28619847956873024</v>
      </c>
      <c r="KL47" s="5">
        <v>0.31000285860708027</v>
      </c>
      <c r="KM47" s="5">
        <v>0.32253838913816507</v>
      </c>
      <c r="KN47" s="5">
        <v>0.31367379743584406</v>
      </c>
      <c r="KO47" s="5">
        <v>0.2810331804355532</v>
      </c>
      <c r="KP47" s="5">
        <v>0.25085417551128153</v>
      </c>
      <c r="KQ47" s="5">
        <v>0.39820800777890153</v>
      </c>
      <c r="KR47" s="5">
        <v>0.40519529127377613</v>
      </c>
      <c r="KS47" s="4">
        <v>0.41205414297755133</v>
      </c>
      <c r="KT47" s="5">
        <v>0.43672877610643673</v>
      </c>
      <c r="KU47" s="5">
        <v>0.4626319898574896</v>
      </c>
      <c r="KV47" s="5">
        <v>0.47594669826668523</v>
      </c>
      <c r="KW47" s="5">
        <v>0.46725914992451673</v>
      </c>
      <c r="KX47" s="5">
        <v>0.44653313722006616</v>
      </c>
      <c r="KY47" s="5">
        <v>0.41224730904785983</v>
      </c>
      <c r="KZ47" s="5">
        <v>0.40001395476532764</v>
      </c>
      <c r="LA47" s="5">
        <v>0.5320740281202565</v>
      </c>
      <c r="LB47" s="5">
        <v>0.54399095354903215</v>
      </c>
      <c r="LC47" s="5">
        <v>0.5501702467138222</v>
      </c>
      <c r="LD47" s="5">
        <v>0.54606158274444672</v>
      </c>
      <c r="LE47" s="5">
        <v>0.55200626566182598</v>
      </c>
      <c r="LF47" s="5">
        <v>0.57244996153713468</v>
      </c>
      <c r="LG47" s="5">
        <v>0.57778624805662115</v>
      </c>
      <c r="LH47" s="5">
        <v>0.56865973597327191</v>
      </c>
      <c r="LI47" s="5">
        <v>0.55723463067970525</v>
      </c>
      <c r="LJ47" s="5">
        <v>0.54219562701764001</v>
      </c>
      <c r="LL47" s="3" t="s">
        <v>330</v>
      </c>
      <c r="LM47" s="3" t="s">
        <v>160</v>
      </c>
      <c r="LN47" s="3" t="s">
        <v>161</v>
      </c>
      <c r="LO47" s="5">
        <v>0.53244205932061617</v>
      </c>
    </row>
    <row r="48" spans="2:327" x14ac:dyDescent="0.45">
      <c r="B48" s="6" t="s">
        <v>323</v>
      </c>
      <c r="C48" s="6" t="s">
        <v>151</v>
      </c>
      <c r="D48" s="8">
        <v>0.2955863846634989</v>
      </c>
      <c r="E48" s="8">
        <v>0.30086679979995273</v>
      </c>
      <c r="F48" s="8">
        <v>0.29439916737648231</v>
      </c>
      <c r="G48" s="8">
        <v>0.28457085884845512</v>
      </c>
      <c r="H48" s="8">
        <v>0.30782836708010458</v>
      </c>
      <c r="I48" s="8">
        <v>0.30769761672252022</v>
      </c>
      <c r="J48" s="8">
        <v>0.31730799336509724</v>
      </c>
      <c r="K48" s="8">
        <v>0.32503005043792127</v>
      </c>
      <c r="L48" s="8">
        <v>0.30371879832059262</v>
      </c>
      <c r="M48" s="8">
        <v>0.29783341480526443</v>
      </c>
      <c r="N48" s="8">
        <v>0.26397801359333434</v>
      </c>
      <c r="O48" s="8">
        <v>0.2515250992422689</v>
      </c>
      <c r="P48" s="8">
        <v>0.24201813839232428</v>
      </c>
      <c r="Q48" s="8">
        <v>0.26213356683026318</v>
      </c>
      <c r="R48" s="8">
        <v>0.27791511616390924</v>
      </c>
      <c r="S48" s="8">
        <v>0.27270470806503611</v>
      </c>
      <c r="T48" s="8">
        <v>0.26833866630023706</v>
      </c>
      <c r="U48" s="8">
        <v>0.26952943252824851</v>
      </c>
      <c r="V48" s="8">
        <v>0.27493176286318927</v>
      </c>
      <c r="W48" s="8">
        <v>0.27123961499581867</v>
      </c>
      <c r="X48" s="8">
        <v>0.31967196429000444</v>
      </c>
      <c r="Y48" s="8">
        <v>0.33943918420100366</v>
      </c>
      <c r="Z48" s="8">
        <v>0.36500720621789701</v>
      </c>
      <c r="AA48" s="8">
        <v>0.38424342976047365</v>
      </c>
      <c r="AB48" s="8">
        <v>0.37993748083781775</v>
      </c>
      <c r="AC48" s="8">
        <v>0.3484733283015809</v>
      </c>
      <c r="AD48" s="8">
        <v>0.32790336171224416</v>
      </c>
      <c r="AE48" s="8">
        <v>0.31044167329201178</v>
      </c>
      <c r="AF48" s="8">
        <v>0.3093213329672943</v>
      </c>
      <c r="AG48" s="8">
        <v>0.30580798105181023</v>
      </c>
      <c r="AH48" s="8">
        <v>0.31385960449317374</v>
      </c>
      <c r="AI48" s="8">
        <v>0.34628910340514246</v>
      </c>
      <c r="AJ48" s="8">
        <v>0.37195806050369412</v>
      </c>
      <c r="AK48" s="8">
        <v>0.39628656777253729</v>
      </c>
      <c r="AL48" s="8">
        <v>0.38794718524415117</v>
      </c>
      <c r="AM48" s="8">
        <v>0.37811819282673909</v>
      </c>
      <c r="AN48" s="8">
        <v>0.3699568440295749</v>
      </c>
      <c r="AO48" s="8">
        <v>0.3474034313261441</v>
      </c>
      <c r="AP48" s="8">
        <v>0.32263470412339185</v>
      </c>
      <c r="AQ48" s="8">
        <v>0.29287212484397074</v>
      </c>
      <c r="AR48" s="8">
        <v>0.27433856236300347</v>
      </c>
      <c r="AS48" s="8">
        <v>0.27551371820688064</v>
      </c>
      <c r="AT48" s="8">
        <v>0.27676937367453203</v>
      </c>
      <c r="AU48" s="8">
        <v>0.28662686135866383</v>
      </c>
      <c r="AV48" s="8">
        <v>0.27809424541715749</v>
      </c>
      <c r="AW48" s="8">
        <v>0.27225424130185383</v>
      </c>
      <c r="AX48" s="8">
        <v>0.27327329833168096</v>
      </c>
      <c r="AY48" s="8">
        <v>0.26973326420777266</v>
      </c>
      <c r="AZ48" s="8">
        <v>0.2663309819501592</v>
      </c>
      <c r="BA48" s="8">
        <v>0.2700731582797285</v>
      </c>
      <c r="BB48" s="8">
        <v>0.28443900190806748</v>
      </c>
      <c r="BC48" s="8">
        <v>0.29399764996655892</v>
      </c>
      <c r="BD48" s="8">
        <v>0.30481168013304749</v>
      </c>
      <c r="BE48" s="8">
        <v>0.30450808195391665</v>
      </c>
      <c r="BF48" s="8">
        <v>0.32270107053411751</v>
      </c>
      <c r="BG48" s="8">
        <v>0.34806459775441989</v>
      </c>
      <c r="BH48" s="8">
        <v>0.3402443460551372</v>
      </c>
      <c r="BI48" s="8">
        <v>0.31502451395058162</v>
      </c>
      <c r="BJ48" s="8">
        <v>0.29448768148879828</v>
      </c>
      <c r="BK48" s="8">
        <v>0.2798036967640532</v>
      </c>
      <c r="BM48" s="6" t="s">
        <v>323</v>
      </c>
      <c r="BN48" s="6" t="s">
        <v>152</v>
      </c>
      <c r="BO48" s="8">
        <v>1.5970746599795659E-2</v>
      </c>
      <c r="BP48" s="8">
        <v>1.2212440484170965E-2</v>
      </c>
      <c r="BQ48" s="8">
        <v>1.2046855309623881E-2</v>
      </c>
      <c r="BR48" s="8">
        <v>1.1706794262455933E-2</v>
      </c>
      <c r="BS48" s="8">
        <v>2.6368585901109257E-2</v>
      </c>
      <c r="BT48" s="8">
        <v>1.9146388174321891E-2</v>
      </c>
      <c r="BU48" s="7">
        <v>2.770461373431447E-2</v>
      </c>
      <c r="BV48" s="8">
        <v>3.8464618049216713E-2</v>
      </c>
      <c r="BW48" s="8">
        <v>2.867496113268133E-2</v>
      </c>
      <c r="BX48" s="8">
        <v>2.6687317941977807E-2</v>
      </c>
      <c r="BY48" s="8">
        <v>2.6032195373570207E-2</v>
      </c>
      <c r="BZ48" s="7">
        <v>3.5771138004630297E-2</v>
      </c>
      <c r="CA48" s="8">
        <v>1.2792627655638621E-2</v>
      </c>
      <c r="CB48" s="8">
        <v>7.2043396541575629E-3</v>
      </c>
      <c r="CC48" s="8">
        <v>2.3245384040094932E-2</v>
      </c>
      <c r="CD48" s="7">
        <v>1.6337436518204764E-2</v>
      </c>
      <c r="CE48" s="7">
        <v>2.267308784353076E-3</v>
      </c>
      <c r="CF48" s="7">
        <v>8.0073784410011409E-3</v>
      </c>
      <c r="CG48" s="8">
        <v>9.9157136388485379E-3</v>
      </c>
      <c r="CH48" s="8">
        <v>8.7476659205104335E-3</v>
      </c>
      <c r="CI48" s="8">
        <v>1.8379480119504861E-2</v>
      </c>
      <c r="CJ48" s="8">
        <v>6.85551439056435E-3</v>
      </c>
      <c r="CK48" s="7">
        <v>3.4518326193746326E-2</v>
      </c>
      <c r="CL48" s="7">
        <v>3.9578570625158793E-2</v>
      </c>
      <c r="CM48" s="8">
        <v>3.8520399396009576E-2</v>
      </c>
      <c r="CN48" s="8">
        <v>7.5299217121161622E-3</v>
      </c>
      <c r="CO48" s="8">
        <v>1.3651149045848554E-2</v>
      </c>
      <c r="CP48" s="8">
        <v>8.7398384436149154E-3</v>
      </c>
      <c r="CQ48" s="8">
        <v>1.8911160193393908E-2</v>
      </c>
      <c r="CR48" s="8">
        <v>2.4527092137997322E-2</v>
      </c>
      <c r="CS48" s="8">
        <v>2.482646029377155E-2</v>
      </c>
      <c r="CT48" s="7">
        <v>4.8708342276644445E-2</v>
      </c>
      <c r="CU48" s="8">
        <v>3.8162974813803055E-2</v>
      </c>
      <c r="CV48" s="8">
        <v>1.9573213700511519E-2</v>
      </c>
      <c r="CW48" s="8">
        <v>4.1264794397652002E-2</v>
      </c>
      <c r="CX48" s="8">
        <v>8.0164177366363859E-2</v>
      </c>
      <c r="CY48" s="8">
        <v>5.8708291376343008E-2</v>
      </c>
      <c r="CZ48" s="8">
        <v>9.2515421367426309E-3</v>
      </c>
      <c r="DA48" s="8">
        <v>1.104937373638541E-2</v>
      </c>
      <c r="DB48" s="7">
        <v>3.1556219945408984E-2</v>
      </c>
      <c r="DC48" s="8">
        <v>2.532283952368564E-2</v>
      </c>
      <c r="DD48" s="8">
        <v>5.8994426708139619E-2</v>
      </c>
      <c r="DE48" s="8">
        <v>6.1197750390499912E-2</v>
      </c>
      <c r="DF48" s="8">
        <v>3.6113957365005736E-2</v>
      </c>
      <c r="DG48" s="8">
        <v>3.3401540021054291E-2</v>
      </c>
      <c r="DH48" s="8">
        <v>3.1556347082660648E-2</v>
      </c>
      <c r="DI48" s="8">
        <v>2.7282434241707062E-2</v>
      </c>
      <c r="DJ48" s="8">
        <v>1.230158565326067E-2</v>
      </c>
      <c r="DK48" s="8">
        <v>8.4838728886177037E-3</v>
      </c>
      <c r="DL48" s="8">
        <v>7.3894291867077303E-3</v>
      </c>
      <c r="DM48" s="8">
        <v>1.1374200951907746E-2</v>
      </c>
      <c r="DN48" s="8">
        <v>3.2517231293609845E-2</v>
      </c>
      <c r="DO48" s="8">
        <v>3.4670733397247286E-2</v>
      </c>
      <c r="DP48" s="8">
        <v>1.9073652849081676E-2</v>
      </c>
      <c r="DQ48" s="8">
        <v>6.9725689764240043E-3</v>
      </c>
      <c r="DR48" s="8">
        <v>2.2084319636262138E-2</v>
      </c>
      <c r="DS48" s="8">
        <v>2.8945269007518988E-2</v>
      </c>
      <c r="DT48" s="8">
        <v>3.0923649262077604E-2</v>
      </c>
      <c r="DU48" s="7">
        <v>1.853113885681551E-2</v>
      </c>
      <c r="DV48" s="8">
        <v>1.4765726444441402E-2</v>
      </c>
      <c r="DX48" s="6" t="s">
        <v>323</v>
      </c>
      <c r="DY48" s="6" t="s">
        <v>153</v>
      </c>
      <c r="DZ48" s="8">
        <v>2.9774977965705864E-2</v>
      </c>
      <c r="EA48" s="8">
        <v>3.0446710711142889E-2</v>
      </c>
      <c r="EB48" s="7">
        <v>1.1380828597826177E-2</v>
      </c>
      <c r="EC48" s="8">
        <v>1.2465606547436895E-2</v>
      </c>
      <c r="ED48" s="8">
        <v>6.2298789503428932E-3</v>
      </c>
      <c r="EE48" s="8">
        <v>2.0288442399574794E-2</v>
      </c>
      <c r="EF48" s="7">
        <v>2.1627507317160691E-2</v>
      </c>
      <c r="EG48" s="8">
        <v>3.7068618590777272E-2</v>
      </c>
      <c r="EH48" s="8">
        <v>4.7074385893808891E-2</v>
      </c>
      <c r="EI48" s="8">
        <v>3.1729850195642437E-2</v>
      </c>
      <c r="EJ48" s="8">
        <v>1.0216117494617016E-2</v>
      </c>
      <c r="EK48" s="8">
        <v>1.3620370709610526E-2</v>
      </c>
      <c r="EL48" s="8">
        <v>3.2318356979779833E-2</v>
      </c>
      <c r="EM48" s="8">
        <v>4.4529030795931235E-2</v>
      </c>
      <c r="EN48" s="8">
        <v>3.4358629204225388E-2</v>
      </c>
      <c r="EO48" s="8">
        <v>1.375140044642296E-2</v>
      </c>
      <c r="EP48" s="8">
        <v>1.8511225056515486E-2</v>
      </c>
      <c r="EQ48" s="8">
        <v>1.9705850679983289E-2</v>
      </c>
      <c r="ER48" s="8">
        <v>5.5337373089038222E-3</v>
      </c>
      <c r="ES48" s="8">
        <v>6.0166959052560731E-3</v>
      </c>
      <c r="ET48" s="8">
        <v>3.4261614629775818E-2</v>
      </c>
      <c r="EU48" s="8">
        <v>2.9138545487484697E-2</v>
      </c>
      <c r="EV48" s="8">
        <v>1.6497380661311598E-2</v>
      </c>
      <c r="EW48" s="8">
        <v>1.8464935937835911E-3</v>
      </c>
      <c r="EX48" s="8">
        <v>3.2800584638436187E-2</v>
      </c>
      <c r="EY48" s="8">
        <v>6.8952835895367673E-2</v>
      </c>
      <c r="EZ48" s="8">
        <v>5.0936252312910289E-2</v>
      </c>
      <c r="FA48" s="8">
        <v>1.0037268347692016E-2</v>
      </c>
      <c r="FB48" s="8">
        <v>2.0910676312290944E-3</v>
      </c>
      <c r="FC48" s="8">
        <v>1.5496127865817782E-2</v>
      </c>
      <c r="FD48" s="8">
        <v>4.4636777460464266E-2</v>
      </c>
      <c r="FE48" s="7">
        <v>4.5913663389038344E-2</v>
      </c>
      <c r="FF48" s="8">
        <v>3.2774177295409268E-2</v>
      </c>
      <c r="FG48" s="8">
        <v>5.5730386430186053E-2</v>
      </c>
      <c r="FH48" s="8">
        <v>3.3689496399064725E-2</v>
      </c>
      <c r="FI48" s="8">
        <v>2.3385054077500515E-2</v>
      </c>
      <c r="FJ48" s="8">
        <v>5.0042991097565166E-2</v>
      </c>
      <c r="FK48" s="8">
        <v>9.3360910587340556E-2</v>
      </c>
      <c r="FL48" s="8">
        <v>5.676299683666168E-2</v>
      </c>
      <c r="FM48" s="8">
        <v>1.6756022529902194E-2</v>
      </c>
      <c r="FN48" s="8">
        <v>1.5892510691918268E-2</v>
      </c>
      <c r="FO48" s="8">
        <v>2.3186821800319952E-2</v>
      </c>
      <c r="FP48" s="8">
        <v>3.6353931696762362E-2</v>
      </c>
      <c r="FQ48" s="8">
        <v>6.941793153606729E-2</v>
      </c>
      <c r="FR48" s="8">
        <v>7.8588953267269168E-2</v>
      </c>
      <c r="FS48" s="8">
        <v>6.2881954295404816E-2</v>
      </c>
      <c r="FT48" s="8">
        <v>2.924504045011395E-2</v>
      </c>
      <c r="FU48" s="8">
        <v>3.9017441472709351E-2</v>
      </c>
      <c r="FV48" s="8">
        <v>4.0165743362068546E-2</v>
      </c>
      <c r="FW48" s="8">
        <v>1.4267517284361226E-2</v>
      </c>
      <c r="FX48" s="8">
        <v>1.6309729620025307E-2</v>
      </c>
      <c r="FY48" s="8">
        <v>1.747418656203972E-2</v>
      </c>
      <c r="FZ48" s="8">
        <v>3.8239678810937691E-2</v>
      </c>
      <c r="GA48" s="8">
        <v>4.3375834755560866E-2</v>
      </c>
      <c r="GB48" s="8">
        <v>3.5821733205289787E-2</v>
      </c>
      <c r="GC48" s="8">
        <v>2.231299920048168E-2</v>
      </c>
      <c r="GD48" s="8">
        <v>1.2765228009317049E-2</v>
      </c>
      <c r="GE48" s="8">
        <v>2.2017017578838081E-2</v>
      </c>
      <c r="GF48" s="8">
        <v>3.588738623195456E-2</v>
      </c>
      <c r="GG48" s="8">
        <v>2.6441951529629928E-2</v>
      </c>
      <c r="GI48" s="6" t="s">
        <v>323</v>
      </c>
      <c r="GJ48" s="6" t="s">
        <v>154</v>
      </c>
      <c r="GK48" s="8">
        <v>0.13225000574610107</v>
      </c>
      <c r="GL48" s="8">
        <v>0.13830468469484458</v>
      </c>
      <c r="GM48" s="8">
        <v>0.15496611517961445</v>
      </c>
      <c r="GN48" s="8">
        <v>0.15402493413360738</v>
      </c>
      <c r="GO48" s="8">
        <v>0.14587678912344149</v>
      </c>
      <c r="GP48" s="8">
        <v>0.13703930785394297</v>
      </c>
      <c r="GQ48" s="8">
        <v>0.13708329658117729</v>
      </c>
      <c r="GR48" s="8">
        <v>0.11991487026267289</v>
      </c>
      <c r="GS48" s="8">
        <v>0.11149706217550683</v>
      </c>
      <c r="GT48" s="8">
        <v>0.12406723773623361</v>
      </c>
      <c r="GU48" s="8">
        <v>0.11675386135485474</v>
      </c>
      <c r="GV48" s="8">
        <v>9.3397140465877368E-2</v>
      </c>
      <c r="GW48" s="8">
        <v>9.8070763625214857E-2</v>
      </c>
      <c r="GX48" s="8">
        <v>0.10357149435287609</v>
      </c>
      <c r="GY48" s="8">
        <v>0.10881599175873978</v>
      </c>
      <c r="GZ48" s="8">
        <v>0.13883029491879015</v>
      </c>
      <c r="HA48" s="8">
        <v>0.14638459388564273</v>
      </c>
      <c r="HB48" s="7">
        <v>0.13792155507945292</v>
      </c>
      <c r="HC48" s="8">
        <v>0.15990229013960852</v>
      </c>
      <c r="HD48" s="8">
        <v>0.1498215977092211</v>
      </c>
      <c r="HE48" s="8">
        <v>0.15114887694112089</v>
      </c>
      <c r="HF48" s="8">
        <v>0.17991458731674695</v>
      </c>
      <c r="HG48" s="8">
        <v>0.16996046049350907</v>
      </c>
      <c r="HH48" s="8">
        <v>0.19824036660179753</v>
      </c>
      <c r="HI48" s="8">
        <v>0.16961195685726516</v>
      </c>
      <c r="HJ48" s="8">
        <v>0.14416068093886472</v>
      </c>
      <c r="HK48" s="8">
        <v>0.1353887568350943</v>
      </c>
      <c r="HL48" s="7">
        <v>0.17100572861698765</v>
      </c>
      <c r="HM48" s="8">
        <v>0.17398714620839428</v>
      </c>
      <c r="HN48" s="8">
        <v>0.1451232903520446</v>
      </c>
      <c r="HO48" s="8">
        <v>0.15148135055893405</v>
      </c>
      <c r="HP48" s="8">
        <v>0.1487539429527435</v>
      </c>
      <c r="HQ48" s="8">
        <v>0.18877287135212656</v>
      </c>
      <c r="HR48" s="8">
        <v>0.20139938461220722</v>
      </c>
      <c r="HS48" s="8">
        <v>0.18241737426836516</v>
      </c>
      <c r="HT48" s="8">
        <v>0.13969806885660702</v>
      </c>
      <c r="HU48" s="8">
        <v>0.12736223622685458</v>
      </c>
      <c r="HV48" s="8">
        <v>0.1166722454094949</v>
      </c>
      <c r="HW48" s="8">
        <v>0.14366465845147164</v>
      </c>
      <c r="HX48" s="8">
        <v>0.16061669529435516</v>
      </c>
      <c r="HY48" s="8">
        <v>0.13654777929105169</v>
      </c>
      <c r="HZ48" s="8">
        <v>9.0715463235059107E-2</v>
      </c>
      <c r="IA48" s="8">
        <v>7.593830453513209E-2</v>
      </c>
      <c r="IB48" s="8">
        <v>6.9091019857387734E-2</v>
      </c>
      <c r="IC48" s="8">
        <v>6.4082382210954428E-2</v>
      </c>
      <c r="ID48" s="8">
        <v>7.8774028390164563E-2</v>
      </c>
      <c r="IE48" s="8">
        <v>0.11739228205778104</v>
      </c>
      <c r="IF48" s="8">
        <v>0.12414751626522179</v>
      </c>
      <c r="IG48" s="8">
        <v>0.1258693313679031</v>
      </c>
      <c r="IH48" s="8">
        <v>0.15248636029366175</v>
      </c>
      <c r="II48" s="8">
        <v>0.14210230666730042</v>
      </c>
      <c r="IJ48" s="8">
        <v>0.12394649423520031</v>
      </c>
      <c r="IK48" s="8">
        <v>0.10817429006546057</v>
      </c>
      <c r="IL48" s="8">
        <v>0.11310666132678958</v>
      </c>
      <c r="IM48" s="8">
        <v>0.13828475342034058</v>
      </c>
      <c r="IN48" s="8">
        <v>0.15270323572096781</v>
      </c>
      <c r="IO48" s="8">
        <v>0.14865218885221471</v>
      </c>
      <c r="IP48" s="8">
        <v>0.12846139917184052</v>
      </c>
      <c r="IQ48" s="8">
        <v>0.1142480267130882</v>
      </c>
      <c r="IR48" s="8">
        <v>0.12106420443126492</v>
      </c>
      <c r="JB48" s="6" t="s">
        <v>323</v>
      </c>
      <c r="JC48" s="8">
        <v>0.43433314644981186</v>
      </c>
      <c r="JD48" s="8">
        <v>0.40868366247908278</v>
      </c>
      <c r="JE48" s="8">
        <v>0.41025503094002946</v>
      </c>
      <c r="JF48" s="8">
        <v>0.43098421362963968</v>
      </c>
      <c r="JG48" s="8">
        <v>0.44052263220997717</v>
      </c>
      <c r="JH48" s="8">
        <v>0.47516877400649615</v>
      </c>
      <c r="JI48" s="8">
        <v>0.46663465477958699</v>
      </c>
      <c r="JJ48" s="8">
        <v>0.44238764813805515</v>
      </c>
      <c r="JK48" s="8">
        <v>0.4278776361942172</v>
      </c>
      <c r="JL48" s="8">
        <v>0.44207997983226993</v>
      </c>
      <c r="JM48" s="8">
        <v>0.44258102810849592</v>
      </c>
      <c r="JN48" s="8">
        <v>0.44109175650343513</v>
      </c>
      <c r="JO48" s="8">
        <v>0.44045362756456902</v>
      </c>
      <c r="JP48" s="8">
        <v>0.46243584871636034</v>
      </c>
      <c r="JQ48" s="8">
        <v>0.48637253534521291</v>
      </c>
      <c r="JR48" s="8">
        <v>0.47482521905414099</v>
      </c>
      <c r="JS48" s="8">
        <v>0.46616864483307024</v>
      </c>
      <c r="JT48" s="8">
        <v>0.45569862229966412</v>
      </c>
      <c r="JU48" s="8">
        <v>0.42224578779671823</v>
      </c>
      <c r="JV48" s="7">
        <v>0.43107489613430017</v>
      </c>
      <c r="JW48" s="8">
        <v>0.33789146930387681</v>
      </c>
      <c r="JX48" s="7">
        <v>0.3293090656437086</v>
      </c>
      <c r="JY48" s="8">
        <v>0.32173464375815408</v>
      </c>
      <c r="JZ48" s="8">
        <v>0.34064091565517302</v>
      </c>
      <c r="KA48" s="8">
        <v>0.35190689454119328</v>
      </c>
      <c r="KB48" s="8">
        <v>0.38654997586697909</v>
      </c>
      <c r="KC48" s="8">
        <v>0.41121291926357167</v>
      </c>
      <c r="KD48" s="8">
        <v>0.40865365156749606</v>
      </c>
      <c r="KE48" s="8">
        <v>0.36558736953439458</v>
      </c>
      <c r="KF48" s="8">
        <v>0.35479934108984923</v>
      </c>
      <c r="KG48" s="8">
        <v>0.19699688492093706</v>
      </c>
      <c r="KH48" s="7">
        <v>0.19600809532833691</v>
      </c>
      <c r="KI48" s="8">
        <v>0.19370828915725793</v>
      </c>
      <c r="KJ48" s="8">
        <v>0.20673856482546996</v>
      </c>
      <c r="KK48" s="8">
        <v>0.22207064091894108</v>
      </c>
      <c r="KL48" s="8">
        <v>0.24930562153810934</v>
      </c>
      <c r="KM48" s="8">
        <v>0.27380974617273796</v>
      </c>
      <c r="KN48" s="8">
        <v>0.27531847104139295</v>
      </c>
      <c r="KO48" s="8">
        <v>0.23437288958457175</v>
      </c>
      <c r="KP48" s="8">
        <v>0.20793931355025899</v>
      </c>
      <c r="KQ48" s="8">
        <v>0.32720374544370212</v>
      </c>
      <c r="KR48" s="8">
        <v>0.34784650325251881</v>
      </c>
      <c r="KS48" s="7">
        <v>0.35946496705805153</v>
      </c>
      <c r="KT48" s="8">
        <v>0.37599075883801519</v>
      </c>
      <c r="KU48" s="8">
        <v>0.40416548202413421</v>
      </c>
      <c r="KV48" s="8">
        <v>0.43583648169256811</v>
      </c>
      <c r="KW48" s="8">
        <v>0.42459229391388714</v>
      </c>
      <c r="KX48" s="8">
        <v>0.38817296465273859</v>
      </c>
      <c r="KY48" s="8">
        <v>0.36554535629922946</v>
      </c>
      <c r="KZ48" s="8">
        <v>0.34933766231484087</v>
      </c>
      <c r="LA48" s="8">
        <v>0.47510489917912657</v>
      </c>
      <c r="LB48" s="8">
        <v>0.47419666205684752</v>
      </c>
      <c r="LC48" s="8">
        <v>0.47956840162965697</v>
      </c>
      <c r="LD48" s="8">
        <v>0.48218186647778177</v>
      </c>
      <c r="LE48" s="8">
        <v>0.4683785157684302</v>
      </c>
      <c r="LF48" s="8">
        <v>0.46593936850685091</v>
      </c>
      <c r="LG48" s="8">
        <v>0.46977988283617123</v>
      </c>
      <c r="LH48" s="8">
        <v>0.46781729706373781</v>
      </c>
      <c r="LI48" s="8">
        <v>0.47961909344181475</v>
      </c>
      <c r="LJ48" s="8">
        <v>0.49531815824101288</v>
      </c>
      <c r="LL48" s="6" t="s">
        <v>331</v>
      </c>
      <c r="LM48" s="6" t="s">
        <v>160</v>
      </c>
      <c r="LN48" s="6" t="s">
        <v>161</v>
      </c>
      <c r="LO48" s="8">
        <v>0.67784036672883607</v>
      </c>
    </row>
  </sheetData>
  <mergeCells count="1">
    <mergeCell ref="A1:B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CAC5-D5E8-47F9-B961-6DD7B64F41C3}">
  <dimension ref="A1:S184"/>
  <sheetViews>
    <sheetView workbookViewId="0">
      <selection sqref="A1:H1"/>
    </sheetView>
  </sheetViews>
  <sheetFormatPr defaultRowHeight="14.25" x14ac:dyDescent="0.45"/>
  <cols>
    <col min="3" max="5" width="10.59765625" customWidth="1"/>
    <col min="6" max="6" width="13.06640625" bestFit="1" customWidth="1"/>
    <col min="8" max="8" width="10.59765625" bestFit="1" customWidth="1"/>
    <col min="9" max="10" width="10.59765625" customWidth="1"/>
    <col min="12" max="12" width="10.59765625" bestFit="1" customWidth="1"/>
    <col min="13" max="14" width="10.59765625" customWidth="1"/>
    <col min="16" max="19" width="10.59765625" customWidth="1"/>
  </cols>
  <sheetData>
    <row r="1" spans="1:19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19" ht="14.65" thickBot="1" x14ac:dyDescent="0.5">
      <c r="C9" s="1" t="str">
        <f>IF(A11="x","DeActivated","~TFM_DINS-AT: region=IRL")</f>
        <v>~TFM_DINS-AT: region=IRL</v>
      </c>
      <c r="H9" s="1" t="str">
        <f>IF(A11="x","DeActivated","~TFM_DINS-AT: region=IRL")</f>
        <v>~TFM_DINS-AT: region=IRL</v>
      </c>
      <c r="L9" s="1" t="str">
        <f>IF(A11="x","DeActivated","~TFM_DINS-AT: region=IRL")</f>
        <v>~TFM_DINS-AT: region=IRL</v>
      </c>
      <c r="P9" s="1" t="str">
        <f>IF(A11="x","DeActivated","~TFM_INS-AT: region=IRL")</f>
        <v>~TFM_INS-AT: region=IRL</v>
      </c>
    </row>
    <row r="10" spans="1:19" ht="15.75" thickBot="1" x14ac:dyDescent="0.6">
      <c r="A10" t="s">
        <v>239</v>
      </c>
      <c r="C10" s="2" t="s">
        <v>240</v>
      </c>
      <c r="D10" s="2" t="s">
        <v>3</v>
      </c>
      <c r="E10" s="2" t="s">
        <v>2</v>
      </c>
      <c r="F10" s="2" t="s">
        <v>1</v>
      </c>
      <c r="H10" s="2" t="s">
        <v>1</v>
      </c>
      <c r="I10" s="2" t="s">
        <v>2</v>
      </c>
      <c r="J10" s="2" t="s">
        <v>3</v>
      </c>
      <c r="L10" s="2" t="s">
        <v>1</v>
      </c>
      <c r="M10" s="2" t="s">
        <v>2</v>
      </c>
      <c r="N10" s="2" t="s">
        <v>241</v>
      </c>
      <c r="P10" s="2" t="s">
        <v>242</v>
      </c>
      <c r="Q10" s="2" t="s">
        <v>2</v>
      </c>
      <c r="R10" s="2" t="s">
        <v>243</v>
      </c>
      <c r="S10" s="2" t="s">
        <v>244</v>
      </c>
    </row>
    <row r="11" spans="1:19" x14ac:dyDescent="0.45">
      <c r="C11" s="5">
        <v>3.3675799086757989E-2</v>
      </c>
      <c r="D11" s="5">
        <v>5.2414456074053829E-3</v>
      </c>
      <c r="E11" s="3" t="s">
        <v>6</v>
      </c>
      <c r="F11" s="3" t="s">
        <v>245</v>
      </c>
      <c r="H11" s="3" t="s">
        <v>246</v>
      </c>
      <c r="I11" s="3" t="s">
        <v>6</v>
      </c>
      <c r="J11" s="3"/>
      <c r="L11" s="3" t="s">
        <v>247</v>
      </c>
      <c r="M11" s="3" t="s">
        <v>6</v>
      </c>
      <c r="N11" s="5">
        <v>8.8741788331344384E-2</v>
      </c>
      <c r="P11" s="11">
        <v>2020</v>
      </c>
      <c r="Q11" s="3" t="s">
        <v>248</v>
      </c>
      <c r="R11" s="5">
        <v>0.63919999999999999</v>
      </c>
      <c r="S11" s="3" t="s">
        <v>249</v>
      </c>
    </row>
    <row r="12" spans="1:19" x14ac:dyDescent="0.45">
      <c r="C12" s="8">
        <v>1.3470319634703196E-2</v>
      </c>
      <c r="D12" s="8">
        <v>1.3377420878601798E-2</v>
      </c>
      <c r="E12" s="6" t="s">
        <v>10</v>
      </c>
      <c r="F12" s="6" t="s">
        <v>245</v>
      </c>
      <c r="H12" s="6" t="s">
        <v>246</v>
      </c>
      <c r="I12" s="6" t="s">
        <v>10</v>
      </c>
      <c r="J12" s="6"/>
      <c r="L12" s="6" t="s">
        <v>247</v>
      </c>
      <c r="M12" s="6" t="s">
        <v>10</v>
      </c>
      <c r="N12" s="8">
        <v>0.21171549406444745</v>
      </c>
      <c r="P12" s="12">
        <v>2020</v>
      </c>
      <c r="Q12" s="6" t="s">
        <v>250</v>
      </c>
      <c r="R12" s="8">
        <v>0.42280000000000001</v>
      </c>
      <c r="S12" s="6" t="s">
        <v>249</v>
      </c>
    </row>
    <row r="13" spans="1:19" x14ac:dyDescent="0.45">
      <c r="C13" s="5">
        <v>1.3470319634703196E-2</v>
      </c>
      <c r="D13" s="5">
        <v>1.985099735640471E-2</v>
      </c>
      <c r="E13" s="3" t="s">
        <v>11</v>
      </c>
      <c r="F13" s="3" t="s">
        <v>245</v>
      </c>
      <c r="H13" s="3" t="s">
        <v>246</v>
      </c>
      <c r="I13" s="3" t="s">
        <v>11</v>
      </c>
      <c r="J13" s="3"/>
      <c r="L13" s="3" t="s">
        <v>247</v>
      </c>
      <c r="M13" s="3" t="s">
        <v>11</v>
      </c>
      <c r="N13" s="5">
        <v>0.1495371387463762</v>
      </c>
      <c r="P13" s="11">
        <v>2020</v>
      </c>
      <c r="Q13" s="3" t="s">
        <v>251</v>
      </c>
      <c r="R13" s="5">
        <v>5.6950000000000001E-2</v>
      </c>
      <c r="S13" s="3" t="s">
        <v>249</v>
      </c>
    </row>
    <row r="14" spans="1:19" x14ac:dyDescent="0.45">
      <c r="C14" s="8">
        <v>1.3470319634703196E-2</v>
      </c>
      <c r="D14" s="8">
        <v>1.6839121895432966E-2</v>
      </c>
      <c r="E14" s="6" t="s">
        <v>12</v>
      </c>
      <c r="F14" s="6" t="s">
        <v>245</v>
      </c>
      <c r="H14" s="6" t="s">
        <v>246</v>
      </c>
      <c r="I14" s="6" t="s">
        <v>12</v>
      </c>
      <c r="J14" s="6"/>
      <c r="L14" s="6" t="s">
        <v>247</v>
      </c>
      <c r="M14" s="6" t="s">
        <v>12</v>
      </c>
      <c r="N14" s="8">
        <v>0.10074759700961189</v>
      </c>
      <c r="P14" s="12">
        <v>2020</v>
      </c>
      <c r="Q14" s="6" t="s">
        <v>252</v>
      </c>
      <c r="R14" s="8">
        <v>0.308</v>
      </c>
      <c r="S14" s="6" t="s">
        <v>249</v>
      </c>
    </row>
    <row r="15" spans="1:19" x14ac:dyDescent="0.45">
      <c r="C15" s="5">
        <v>1.3470319634703196E-2</v>
      </c>
      <c r="D15" s="5">
        <v>1.6702218465388795E-2</v>
      </c>
      <c r="E15" s="3" t="s">
        <v>13</v>
      </c>
      <c r="F15" s="3" t="s">
        <v>245</v>
      </c>
      <c r="H15" s="3" t="s">
        <v>246</v>
      </c>
      <c r="I15" s="3" t="s">
        <v>13</v>
      </c>
      <c r="J15" s="3"/>
      <c r="L15" s="3" t="s">
        <v>247</v>
      </c>
      <c r="M15" s="3" t="s">
        <v>13</v>
      </c>
      <c r="N15" s="5">
        <v>9.1878690327258816E-2</v>
      </c>
      <c r="P15" s="11">
        <v>2020</v>
      </c>
      <c r="Q15" s="3" t="s">
        <v>253</v>
      </c>
      <c r="R15" s="5">
        <v>0.39760000000000001</v>
      </c>
      <c r="S15" s="3" t="s">
        <v>249</v>
      </c>
    </row>
    <row r="16" spans="1:19" x14ac:dyDescent="0.45">
      <c r="C16" s="8">
        <v>1.3470319634703196E-2</v>
      </c>
      <c r="D16" s="8">
        <v>1.7660542475697986E-2</v>
      </c>
      <c r="E16" s="6" t="s">
        <v>14</v>
      </c>
      <c r="F16" s="6" t="s">
        <v>245</v>
      </c>
      <c r="H16" s="6" t="s">
        <v>246</v>
      </c>
      <c r="I16" s="6" t="s">
        <v>14</v>
      </c>
      <c r="J16" s="6"/>
      <c r="L16" s="6" t="s">
        <v>247</v>
      </c>
      <c r="M16" s="6" t="s">
        <v>14</v>
      </c>
      <c r="N16" s="8">
        <v>9.8787627345226392E-2</v>
      </c>
      <c r="P16" s="12">
        <v>2020</v>
      </c>
      <c r="Q16" s="6" t="s">
        <v>254</v>
      </c>
      <c r="R16" s="8">
        <v>0.79715000000000003</v>
      </c>
      <c r="S16" s="6" t="s">
        <v>249</v>
      </c>
    </row>
    <row r="17" spans="3:19" x14ac:dyDescent="0.45">
      <c r="C17" s="5">
        <v>1.3470319634703196E-2</v>
      </c>
      <c r="D17" s="5">
        <v>2.3273583107508974E-2</v>
      </c>
      <c r="E17" s="3" t="s">
        <v>15</v>
      </c>
      <c r="F17" s="3" t="s">
        <v>245</v>
      </c>
      <c r="H17" s="3" t="s">
        <v>246</v>
      </c>
      <c r="I17" s="3" t="s">
        <v>15</v>
      </c>
      <c r="J17" s="3"/>
      <c r="L17" s="3" t="s">
        <v>247</v>
      </c>
      <c r="M17" s="3" t="s">
        <v>15</v>
      </c>
      <c r="N17" s="5">
        <v>0.10301362069207309</v>
      </c>
      <c r="P17" s="11">
        <v>2021</v>
      </c>
      <c r="Q17" s="3" t="s">
        <v>248</v>
      </c>
      <c r="R17" s="5">
        <v>0.73599999999999999</v>
      </c>
      <c r="S17" s="3" t="s">
        <v>249</v>
      </c>
    </row>
    <row r="18" spans="3:19" x14ac:dyDescent="0.45">
      <c r="C18" s="8">
        <v>1.3470319634703196E-2</v>
      </c>
      <c r="D18" s="8">
        <v>2.3273583107508974E-2</v>
      </c>
      <c r="E18" s="6" t="s">
        <v>16</v>
      </c>
      <c r="F18" s="6" t="s">
        <v>245</v>
      </c>
      <c r="H18" s="6" t="s">
        <v>246</v>
      </c>
      <c r="I18" s="6" t="s">
        <v>16</v>
      </c>
      <c r="J18" s="6"/>
      <c r="L18" s="6" t="s">
        <v>247</v>
      </c>
      <c r="M18" s="6" t="s">
        <v>16</v>
      </c>
      <c r="N18" s="8">
        <v>8.7098499287940445E-2</v>
      </c>
      <c r="P18" s="12">
        <v>2021</v>
      </c>
      <c r="Q18" s="6" t="s">
        <v>250</v>
      </c>
      <c r="R18" s="8">
        <v>0.36775000000000002</v>
      </c>
      <c r="S18" s="6" t="s">
        <v>249</v>
      </c>
    </row>
    <row r="19" spans="3:19" x14ac:dyDescent="0.45">
      <c r="C19" s="5">
        <v>1.3470319634703196E-2</v>
      </c>
      <c r="D19" s="5">
        <v>1.5646106290762338E-2</v>
      </c>
      <c r="E19" s="3" t="s">
        <v>17</v>
      </c>
      <c r="F19" s="3" t="s">
        <v>245</v>
      </c>
      <c r="H19" s="3" t="s">
        <v>246</v>
      </c>
      <c r="I19" s="3" t="s">
        <v>17</v>
      </c>
      <c r="J19" s="3"/>
      <c r="L19" s="3" t="s">
        <v>247</v>
      </c>
      <c r="M19" s="3" t="s">
        <v>17</v>
      </c>
      <c r="N19" s="5">
        <v>9.196982397317699E-2</v>
      </c>
      <c r="P19" s="11">
        <v>2021</v>
      </c>
      <c r="Q19" s="3" t="s">
        <v>251</v>
      </c>
      <c r="R19" s="5">
        <v>0.14094999999999999</v>
      </c>
      <c r="S19" s="3" t="s">
        <v>249</v>
      </c>
    </row>
    <row r="20" spans="3:19" x14ac:dyDescent="0.45">
      <c r="C20" s="8">
        <v>2.0205479452054795E-2</v>
      </c>
      <c r="D20" s="8">
        <v>9.7788164317264611E-3</v>
      </c>
      <c r="E20" s="6" t="s">
        <v>18</v>
      </c>
      <c r="F20" s="6" t="s">
        <v>245</v>
      </c>
      <c r="H20" s="6" t="s">
        <v>246</v>
      </c>
      <c r="I20" s="6" t="s">
        <v>18</v>
      </c>
      <c r="J20" s="6"/>
      <c r="L20" s="6" t="s">
        <v>247</v>
      </c>
      <c r="M20" s="6" t="s">
        <v>18</v>
      </c>
      <c r="N20" s="8">
        <v>9.1294307557787668E-2</v>
      </c>
      <c r="P20" s="12">
        <v>2021</v>
      </c>
      <c r="Q20" s="6" t="s">
        <v>252</v>
      </c>
      <c r="R20" s="8">
        <v>0.14000000000000001</v>
      </c>
      <c r="S20" s="6" t="s">
        <v>249</v>
      </c>
    </row>
    <row r="21" spans="3:19" x14ac:dyDescent="0.45">
      <c r="C21" s="5">
        <v>3.4817351598173514E-2</v>
      </c>
      <c r="D21" s="5">
        <v>5.4191217296903106E-3</v>
      </c>
      <c r="E21" s="3" t="s">
        <v>19</v>
      </c>
      <c r="F21" s="3" t="s">
        <v>245</v>
      </c>
      <c r="H21" s="3" t="s">
        <v>246</v>
      </c>
      <c r="I21" s="3" t="s">
        <v>19</v>
      </c>
      <c r="J21" s="3"/>
      <c r="L21" s="3" t="s">
        <v>247</v>
      </c>
      <c r="M21" s="3" t="s">
        <v>19</v>
      </c>
      <c r="N21" s="5">
        <v>0.12538939952666617</v>
      </c>
      <c r="P21" s="11">
        <v>2021</v>
      </c>
      <c r="Q21" s="3" t="s">
        <v>253</v>
      </c>
      <c r="R21" s="5">
        <v>0.25385000000000002</v>
      </c>
      <c r="S21" s="3" t="s">
        <v>249</v>
      </c>
    </row>
    <row r="22" spans="3:19" x14ac:dyDescent="0.45">
      <c r="C22" s="8">
        <v>1.3926940639269407E-2</v>
      </c>
      <c r="D22" s="8">
        <v>1.3830892772791687E-2</v>
      </c>
      <c r="E22" s="6" t="s">
        <v>20</v>
      </c>
      <c r="F22" s="6" t="s">
        <v>245</v>
      </c>
      <c r="H22" s="6" t="s">
        <v>246</v>
      </c>
      <c r="I22" s="6" t="s">
        <v>20</v>
      </c>
      <c r="J22" s="6"/>
      <c r="L22" s="6" t="s">
        <v>247</v>
      </c>
      <c r="M22" s="6" t="s">
        <v>20</v>
      </c>
      <c r="N22" s="8">
        <v>0.26628298435432396</v>
      </c>
      <c r="P22" s="12">
        <v>2021</v>
      </c>
      <c r="Q22" s="6" t="s">
        <v>254</v>
      </c>
      <c r="R22" s="8">
        <v>0.48255000000000003</v>
      </c>
      <c r="S22" s="6" t="s">
        <v>249</v>
      </c>
    </row>
    <row r="23" spans="3:19" x14ac:dyDescent="0.45">
      <c r="C23" s="5">
        <v>1.3926940639269407E-2</v>
      </c>
      <c r="D23" s="5">
        <v>2.0523912521028597E-2</v>
      </c>
      <c r="E23" s="3" t="s">
        <v>21</v>
      </c>
      <c r="F23" s="3" t="s">
        <v>245</v>
      </c>
      <c r="H23" s="3" t="s">
        <v>246</v>
      </c>
      <c r="I23" s="3" t="s">
        <v>21</v>
      </c>
      <c r="J23" s="3"/>
      <c r="L23" s="3" t="s">
        <v>247</v>
      </c>
      <c r="M23" s="3" t="s">
        <v>21</v>
      </c>
      <c r="N23" s="5">
        <v>0.15775058478153459</v>
      </c>
      <c r="P23" s="11">
        <v>2022</v>
      </c>
      <c r="Q23" s="3" t="s">
        <v>248</v>
      </c>
      <c r="R23" s="5">
        <v>0.56200000000000006</v>
      </c>
      <c r="S23" s="3" t="s">
        <v>249</v>
      </c>
    </row>
    <row r="24" spans="3:19" x14ac:dyDescent="0.45">
      <c r="C24" s="8">
        <v>1.3926940639269407E-2</v>
      </c>
      <c r="D24" s="8">
        <v>1.7409939586803577E-2</v>
      </c>
      <c r="E24" s="6" t="s">
        <v>22</v>
      </c>
      <c r="F24" s="6" t="s">
        <v>245</v>
      </c>
      <c r="H24" s="6" t="s">
        <v>246</v>
      </c>
      <c r="I24" s="6" t="s">
        <v>22</v>
      </c>
      <c r="J24" s="6"/>
      <c r="L24" s="6" t="s">
        <v>247</v>
      </c>
      <c r="M24" s="6" t="s">
        <v>22</v>
      </c>
      <c r="N24" s="8">
        <v>0.12864158522307778</v>
      </c>
      <c r="P24" s="12">
        <v>2022</v>
      </c>
      <c r="Q24" s="6" t="s">
        <v>250</v>
      </c>
      <c r="R24" s="8">
        <v>0.33879999999999999</v>
      </c>
      <c r="S24" s="6" t="s">
        <v>249</v>
      </c>
    </row>
    <row r="25" spans="3:19" x14ac:dyDescent="0.45">
      <c r="C25" s="5">
        <v>1.3926940639269407E-2</v>
      </c>
      <c r="D25" s="5">
        <v>1.7268395362520613E-2</v>
      </c>
      <c r="E25" s="3" t="s">
        <v>23</v>
      </c>
      <c r="F25" s="3" t="s">
        <v>245</v>
      </c>
      <c r="H25" s="3" t="s">
        <v>246</v>
      </c>
      <c r="I25" s="3" t="s">
        <v>23</v>
      </c>
      <c r="J25" s="3"/>
      <c r="L25" s="3" t="s">
        <v>247</v>
      </c>
      <c r="M25" s="3" t="s">
        <v>23</v>
      </c>
      <c r="N25" s="5">
        <v>0.11731874017219113</v>
      </c>
      <c r="P25" s="11">
        <v>2022</v>
      </c>
      <c r="Q25" s="3" t="s">
        <v>251</v>
      </c>
      <c r="R25" s="5">
        <v>8.4949999999999998E-2</v>
      </c>
      <c r="S25" s="3" t="s">
        <v>249</v>
      </c>
    </row>
    <row r="26" spans="3:19" x14ac:dyDescent="0.45">
      <c r="C26" s="8">
        <v>1.3926940639269407E-2</v>
      </c>
      <c r="D26" s="8">
        <v>1.8259204932501306E-2</v>
      </c>
      <c r="E26" s="6" t="s">
        <v>24</v>
      </c>
      <c r="F26" s="6" t="s">
        <v>245</v>
      </c>
      <c r="H26" s="6" t="s">
        <v>246</v>
      </c>
      <c r="I26" s="6" t="s">
        <v>24</v>
      </c>
      <c r="J26" s="6"/>
      <c r="L26" s="6" t="s">
        <v>247</v>
      </c>
      <c r="M26" s="6" t="s">
        <v>24</v>
      </c>
      <c r="N26" s="8">
        <v>0.12299358573216534</v>
      </c>
      <c r="P26" s="12">
        <v>2022</v>
      </c>
      <c r="Q26" s="6" t="s">
        <v>252</v>
      </c>
      <c r="R26" s="8">
        <v>5.6000000000000001E-2</v>
      </c>
      <c r="S26" s="6" t="s">
        <v>249</v>
      </c>
    </row>
    <row r="27" spans="3:19" x14ac:dyDescent="0.45">
      <c r="C27" s="5">
        <v>1.3926940639269407E-2</v>
      </c>
      <c r="D27" s="5">
        <v>2.4062518128102495E-2</v>
      </c>
      <c r="E27" s="3" t="s">
        <v>25</v>
      </c>
      <c r="F27" s="3" t="s">
        <v>245</v>
      </c>
      <c r="H27" s="3" t="s">
        <v>246</v>
      </c>
      <c r="I27" s="3" t="s">
        <v>25</v>
      </c>
      <c r="J27" s="3"/>
      <c r="L27" s="3" t="s">
        <v>247</v>
      </c>
      <c r="M27" s="3" t="s">
        <v>25</v>
      </c>
      <c r="N27" s="5">
        <v>0.12417184325561625</v>
      </c>
      <c r="P27" s="11">
        <v>2022</v>
      </c>
      <c r="Q27" s="3" t="s">
        <v>253</v>
      </c>
      <c r="R27" s="5">
        <v>0.30985000000000001</v>
      </c>
      <c r="S27" s="3" t="s">
        <v>249</v>
      </c>
    </row>
    <row r="28" spans="3:19" x14ac:dyDescent="0.45">
      <c r="C28" s="8">
        <v>1.3926940639269407E-2</v>
      </c>
      <c r="D28" s="8">
        <v>2.4062518128102495E-2</v>
      </c>
      <c r="E28" s="6" t="s">
        <v>26</v>
      </c>
      <c r="F28" s="6" t="s">
        <v>245</v>
      </c>
      <c r="H28" s="6" t="s">
        <v>246</v>
      </c>
      <c r="I28" s="6" t="s">
        <v>26</v>
      </c>
      <c r="J28" s="6"/>
      <c r="L28" s="6" t="s">
        <v>247</v>
      </c>
      <c r="M28" s="6" t="s">
        <v>26</v>
      </c>
      <c r="N28" s="8">
        <v>0.11200139548881416</v>
      </c>
      <c r="P28" s="12">
        <v>2022</v>
      </c>
      <c r="Q28" s="6" t="s">
        <v>254</v>
      </c>
      <c r="R28" s="8">
        <v>0.59919999999999995</v>
      </c>
      <c r="S28" s="6" t="s">
        <v>249</v>
      </c>
    </row>
    <row r="29" spans="3:19" x14ac:dyDescent="0.45">
      <c r="C29" s="5">
        <v>1.3926940639269407E-2</v>
      </c>
      <c r="D29" s="5">
        <v>1.6176482775194956E-2</v>
      </c>
      <c r="E29" s="3" t="s">
        <v>27</v>
      </c>
      <c r="F29" s="3" t="s">
        <v>245</v>
      </c>
      <c r="H29" s="3" t="s">
        <v>246</v>
      </c>
      <c r="I29" s="3" t="s">
        <v>27</v>
      </c>
      <c r="J29" s="3"/>
      <c r="L29" s="3" t="s">
        <v>247</v>
      </c>
      <c r="M29" s="3" t="s">
        <v>27</v>
      </c>
      <c r="N29" s="5">
        <v>0.12458372503566673</v>
      </c>
      <c r="P29" s="11">
        <v>2025</v>
      </c>
      <c r="Q29" s="3" t="s">
        <v>248</v>
      </c>
      <c r="R29" s="5">
        <v>0.72455000000000003</v>
      </c>
      <c r="S29" s="3" t="s">
        <v>249</v>
      </c>
    </row>
    <row r="30" spans="3:19" x14ac:dyDescent="0.45">
      <c r="C30" s="8">
        <v>2.0890410958904111E-2</v>
      </c>
      <c r="D30" s="8">
        <v>1.0110301734496849E-2</v>
      </c>
      <c r="E30" s="6" t="s">
        <v>28</v>
      </c>
      <c r="F30" s="6" t="s">
        <v>245</v>
      </c>
      <c r="H30" s="6" t="s">
        <v>246</v>
      </c>
      <c r="I30" s="6" t="s">
        <v>28</v>
      </c>
      <c r="J30" s="6"/>
      <c r="L30" s="6" t="s">
        <v>247</v>
      </c>
      <c r="M30" s="6" t="s">
        <v>28</v>
      </c>
      <c r="N30" s="8">
        <v>0.13708301913892762</v>
      </c>
      <c r="P30" s="12">
        <v>2025</v>
      </c>
      <c r="Q30" s="6" t="s">
        <v>250</v>
      </c>
      <c r="R30" s="8">
        <v>0.45710000000000006</v>
      </c>
      <c r="S30" s="6" t="s">
        <v>249</v>
      </c>
    </row>
    <row r="31" spans="3:19" x14ac:dyDescent="0.45">
      <c r="C31" s="5">
        <v>3.4817351598173514E-2</v>
      </c>
      <c r="D31" s="5">
        <v>5.4191217296903106E-3</v>
      </c>
      <c r="E31" s="3" t="s">
        <v>29</v>
      </c>
      <c r="F31" s="3" t="s">
        <v>245</v>
      </c>
      <c r="H31" s="3" t="s">
        <v>246</v>
      </c>
      <c r="I31" s="3" t="s">
        <v>29</v>
      </c>
      <c r="J31" s="3"/>
      <c r="L31" s="3" t="s">
        <v>247</v>
      </c>
      <c r="M31" s="3" t="s">
        <v>29</v>
      </c>
      <c r="N31" s="5">
        <v>9.9931040760771417E-2</v>
      </c>
      <c r="P31" s="11">
        <v>2025</v>
      </c>
      <c r="Q31" s="3" t="s">
        <v>251</v>
      </c>
      <c r="R31" s="5">
        <v>0.11975</v>
      </c>
      <c r="S31" s="3" t="s">
        <v>249</v>
      </c>
    </row>
    <row r="32" spans="3:19" x14ac:dyDescent="0.45">
      <c r="C32" s="8">
        <v>1.3926940639269407E-2</v>
      </c>
      <c r="D32" s="8">
        <v>1.3830892772791687E-2</v>
      </c>
      <c r="E32" s="6" t="s">
        <v>30</v>
      </c>
      <c r="F32" s="6" t="s">
        <v>245</v>
      </c>
      <c r="H32" s="6" t="s">
        <v>246</v>
      </c>
      <c r="I32" s="6" t="s">
        <v>30</v>
      </c>
      <c r="J32" s="6"/>
      <c r="L32" s="6" t="s">
        <v>247</v>
      </c>
      <c r="M32" s="6" t="s">
        <v>30</v>
      </c>
      <c r="N32" s="8">
        <v>0.15677005104391695</v>
      </c>
      <c r="P32" s="12">
        <v>2025</v>
      </c>
      <c r="Q32" s="6" t="s">
        <v>252</v>
      </c>
      <c r="R32" s="8">
        <v>0.21015</v>
      </c>
      <c r="S32" s="6" t="s">
        <v>249</v>
      </c>
    </row>
    <row r="33" spans="3:19" x14ac:dyDescent="0.45">
      <c r="C33" s="5">
        <v>1.3926940639269407E-2</v>
      </c>
      <c r="D33" s="5">
        <v>2.0523912521028597E-2</v>
      </c>
      <c r="E33" s="3" t="s">
        <v>31</v>
      </c>
      <c r="F33" s="3" t="s">
        <v>245</v>
      </c>
      <c r="H33" s="3" t="s">
        <v>246</v>
      </c>
      <c r="I33" s="3" t="s">
        <v>31</v>
      </c>
      <c r="J33" s="3"/>
      <c r="L33" s="3" t="s">
        <v>247</v>
      </c>
      <c r="M33" s="3" t="s">
        <v>31</v>
      </c>
      <c r="N33" s="5">
        <v>0.1733287405210846</v>
      </c>
      <c r="P33" s="11">
        <v>2025</v>
      </c>
      <c r="Q33" s="3" t="s">
        <v>253</v>
      </c>
      <c r="R33" s="5">
        <v>0.28759999999999997</v>
      </c>
      <c r="S33" s="3" t="s">
        <v>249</v>
      </c>
    </row>
    <row r="34" spans="3:19" x14ac:dyDescent="0.45">
      <c r="C34" s="8">
        <v>1.3926940639269407E-2</v>
      </c>
      <c r="D34" s="8">
        <v>1.7409939586803577E-2</v>
      </c>
      <c r="E34" s="6" t="s">
        <v>32</v>
      </c>
      <c r="F34" s="6" t="s">
        <v>245</v>
      </c>
      <c r="H34" s="6" t="s">
        <v>246</v>
      </c>
      <c r="I34" s="6" t="s">
        <v>32</v>
      </c>
      <c r="J34" s="6"/>
      <c r="L34" s="6" t="s">
        <v>247</v>
      </c>
      <c r="M34" s="6" t="s">
        <v>32</v>
      </c>
      <c r="N34" s="8">
        <v>9.806781545302945E-2</v>
      </c>
      <c r="P34" s="12">
        <v>2025</v>
      </c>
      <c r="Q34" s="6" t="s">
        <v>254</v>
      </c>
      <c r="R34" s="8">
        <v>0.60499999999999998</v>
      </c>
      <c r="S34" s="6" t="s">
        <v>249</v>
      </c>
    </row>
    <row r="35" spans="3:19" x14ac:dyDescent="0.45">
      <c r="C35" s="5">
        <v>1.3926940639269407E-2</v>
      </c>
      <c r="D35" s="5">
        <v>1.7268395362520613E-2</v>
      </c>
      <c r="E35" s="3" t="s">
        <v>33</v>
      </c>
      <c r="F35" s="3" t="s">
        <v>245</v>
      </c>
      <c r="H35" s="3" t="s">
        <v>246</v>
      </c>
      <c r="I35" s="3" t="s">
        <v>33</v>
      </c>
      <c r="J35" s="3"/>
      <c r="L35" s="3" t="s">
        <v>247</v>
      </c>
      <c r="M35" s="3" t="s">
        <v>33</v>
      </c>
      <c r="N35" s="5">
        <v>8.5686677887912177E-2</v>
      </c>
      <c r="P35" s="11">
        <v>2026</v>
      </c>
      <c r="Q35" s="3" t="s">
        <v>248</v>
      </c>
      <c r="R35" s="5">
        <v>0.64615</v>
      </c>
      <c r="S35" s="3" t="s">
        <v>249</v>
      </c>
    </row>
    <row r="36" spans="3:19" x14ac:dyDescent="0.45">
      <c r="C36" s="8">
        <v>1.3926940639269407E-2</v>
      </c>
      <c r="D36" s="8">
        <v>1.8259204932501306E-2</v>
      </c>
      <c r="E36" s="6" t="s">
        <v>34</v>
      </c>
      <c r="F36" s="6" t="s">
        <v>245</v>
      </c>
      <c r="H36" s="6" t="s">
        <v>246</v>
      </c>
      <c r="I36" s="6" t="s">
        <v>34</v>
      </c>
      <c r="J36" s="6"/>
      <c r="L36" s="6" t="s">
        <v>247</v>
      </c>
      <c r="M36" s="6" t="s">
        <v>34</v>
      </c>
      <c r="N36" s="8">
        <v>8.8409586349511571E-2</v>
      </c>
      <c r="P36" s="12">
        <v>2026</v>
      </c>
      <c r="Q36" s="6" t="s">
        <v>250</v>
      </c>
      <c r="R36" s="8">
        <v>0.41385000000000005</v>
      </c>
      <c r="S36" s="6" t="s">
        <v>249</v>
      </c>
    </row>
    <row r="37" spans="3:19" x14ac:dyDescent="0.45">
      <c r="C37" s="5">
        <v>1.3926940639269407E-2</v>
      </c>
      <c r="D37" s="5">
        <v>2.4062518128102495E-2</v>
      </c>
      <c r="E37" s="3" t="s">
        <v>35</v>
      </c>
      <c r="F37" s="3" t="s">
        <v>245</v>
      </c>
      <c r="H37" s="3" t="s">
        <v>246</v>
      </c>
      <c r="I37" s="3" t="s">
        <v>35</v>
      </c>
      <c r="J37" s="3"/>
      <c r="L37" s="3" t="s">
        <v>247</v>
      </c>
      <c r="M37" s="3" t="s">
        <v>35</v>
      </c>
      <c r="N37" s="5">
        <v>9.4689212469885264E-2</v>
      </c>
      <c r="P37" s="11">
        <v>2026</v>
      </c>
      <c r="Q37" s="3" t="s">
        <v>251</v>
      </c>
      <c r="R37" s="5">
        <v>8.2350000000000007E-2</v>
      </c>
      <c r="S37" s="3" t="s">
        <v>249</v>
      </c>
    </row>
    <row r="38" spans="3:19" x14ac:dyDescent="0.45">
      <c r="C38" s="8">
        <v>1.3926940639269407E-2</v>
      </c>
      <c r="D38" s="8">
        <v>2.4062518128102495E-2</v>
      </c>
      <c r="E38" s="6" t="s">
        <v>36</v>
      </c>
      <c r="F38" s="6" t="s">
        <v>245</v>
      </c>
      <c r="H38" s="6" t="s">
        <v>246</v>
      </c>
      <c r="I38" s="6" t="s">
        <v>36</v>
      </c>
      <c r="J38" s="6"/>
      <c r="L38" s="6" t="s">
        <v>247</v>
      </c>
      <c r="M38" s="6" t="s">
        <v>36</v>
      </c>
      <c r="N38" s="8">
        <v>9.1697264112930554E-2</v>
      </c>
      <c r="P38" s="12">
        <v>2026</v>
      </c>
      <c r="Q38" s="6" t="s">
        <v>252</v>
      </c>
      <c r="R38" s="8">
        <v>0.14729999999999999</v>
      </c>
      <c r="S38" s="6" t="s">
        <v>249</v>
      </c>
    </row>
    <row r="39" spans="3:19" x14ac:dyDescent="0.45">
      <c r="C39" s="5">
        <v>1.3926940639269407E-2</v>
      </c>
      <c r="D39" s="5">
        <v>1.6176482775194956E-2</v>
      </c>
      <c r="E39" s="3" t="s">
        <v>37</v>
      </c>
      <c r="F39" s="3" t="s">
        <v>245</v>
      </c>
      <c r="H39" s="3" t="s">
        <v>246</v>
      </c>
      <c r="I39" s="3" t="s">
        <v>37</v>
      </c>
      <c r="J39" s="3"/>
      <c r="L39" s="3" t="s">
        <v>247</v>
      </c>
      <c r="M39" s="3" t="s">
        <v>37</v>
      </c>
      <c r="N39" s="5">
        <v>8.5499829717556652E-2</v>
      </c>
      <c r="P39" s="11">
        <v>2026</v>
      </c>
      <c r="Q39" s="3" t="s">
        <v>253</v>
      </c>
      <c r="R39" s="5">
        <v>0.2974</v>
      </c>
      <c r="S39" s="3" t="s">
        <v>249</v>
      </c>
    </row>
    <row r="40" spans="3:19" x14ac:dyDescent="0.45">
      <c r="C40" s="8">
        <v>2.0890410958904111E-2</v>
      </c>
      <c r="D40" s="8">
        <v>1.0110301734496849E-2</v>
      </c>
      <c r="E40" s="6" t="s">
        <v>38</v>
      </c>
      <c r="F40" s="6" t="s">
        <v>245</v>
      </c>
      <c r="H40" s="6" t="s">
        <v>246</v>
      </c>
      <c r="I40" s="6" t="s">
        <v>38</v>
      </c>
      <c r="J40" s="6"/>
      <c r="L40" s="6" t="s">
        <v>247</v>
      </c>
      <c r="M40" s="6" t="s">
        <v>38</v>
      </c>
      <c r="N40" s="8">
        <v>0.11427759662062531</v>
      </c>
      <c r="P40" s="12">
        <v>2026</v>
      </c>
      <c r="Q40" s="6" t="s">
        <v>254</v>
      </c>
      <c r="R40" s="8">
        <v>0.55590000000000006</v>
      </c>
      <c r="S40" s="6" t="s">
        <v>249</v>
      </c>
    </row>
    <row r="41" spans="3:19" x14ac:dyDescent="0.45">
      <c r="C41" s="5">
        <v>3.5388127853881277E-2</v>
      </c>
      <c r="D41" s="5">
        <v>5.5079597908327749E-3</v>
      </c>
      <c r="E41" s="3" t="s">
        <v>39</v>
      </c>
      <c r="F41" s="3" t="s">
        <v>245</v>
      </c>
      <c r="H41" s="3" t="s">
        <v>246</v>
      </c>
      <c r="I41" s="3" t="s">
        <v>39</v>
      </c>
      <c r="J41" s="3"/>
      <c r="L41" s="3" t="s">
        <v>247</v>
      </c>
      <c r="M41" s="3" t="s">
        <v>39</v>
      </c>
      <c r="N41" s="5">
        <v>9.2988579799613946E-2</v>
      </c>
      <c r="P41" s="11">
        <v>2027</v>
      </c>
      <c r="Q41" s="3" t="s">
        <v>248</v>
      </c>
      <c r="R41" s="5">
        <v>0.56120000000000003</v>
      </c>
      <c r="S41" s="3" t="s">
        <v>249</v>
      </c>
    </row>
    <row r="42" spans="3:19" x14ac:dyDescent="0.45">
      <c r="C42" s="8">
        <v>1.4155251141552512E-2</v>
      </c>
      <c r="D42" s="8">
        <v>1.4057628719886634E-2</v>
      </c>
      <c r="E42" s="6" t="s">
        <v>40</v>
      </c>
      <c r="F42" s="6" t="s">
        <v>245</v>
      </c>
      <c r="H42" s="6" t="s">
        <v>246</v>
      </c>
      <c r="I42" s="6" t="s">
        <v>40</v>
      </c>
      <c r="J42" s="6"/>
      <c r="L42" s="6" t="s">
        <v>247</v>
      </c>
      <c r="M42" s="6" t="s">
        <v>40</v>
      </c>
      <c r="N42" s="8">
        <v>8.2287776425664205E-2</v>
      </c>
      <c r="P42" s="12">
        <v>2027</v>
      </c>
      <c r="Q42" s="6" t="s">
        <v>250</v>
      </c>
      <c r="R42" s="8">
        <v>0.30625000000000002</v>
      </c>
      <c r="S42" s="6" t="s">
        <v>249</v>
      </c>
    </row>
    <row r="43" spans="3:19" x14ac:dyDescent="0.45">
      <c r="C43" s="5">
        <v>1.4155251141552512E-2</v>
      </c>
      <c r="D43" s="5">
        <v>2.0860370103340541E-2</v>
      </c>
      <c r="E43" s="3" t="s">
        <v>41</v>
      </c>
      <c r="F43" s="3" t="s">
        <v>245</v>
      </c>
      <c r="H43" s="3" t="s">
        <v>246</v>
      </c>
      <c r="I43" s="3" t="s">
        <v>41</v>
      </c>
      <c r="J43" s="3"/>
      <c r="L43" s="3" t="s">
        <v>247</v>
      </c>
      <c r="M43" s="3" t="s">
        <v>41</v>
      </c>
      <c r="N43" s="5">
        <v>0.11794668325219293</v>
      </c>
      <c r="P43" s="11">
        <v>2027</v>
      </c>
      <c r="Q43" s="3" t="s">
        <v>251</v>
      </c>
      <c r="R43" s="5">
        <v>0.10059999999999999</v>
      </c>
      <c r="S43" s="3" t="s">
        <v>249</v>
      </c>
    </row>
    <row r="44" spans="3:19" x14ac:dyDescent="0.45">
      <c r="C44" s="8">
        <v>1.4155251141552512E-2</v>
      </c>
      <c r="D44" s="8">
        <v>1.7695348432488881E-2</v>
      </c>
      <c r="E44" s="6" t="s">
        <v>42</v>
      </c>
      <c r="F44" s="6" t="s">
        <v>245</v>
      </c>
      <c r="H44" s="6" t="s">
        <v>246</v>
      </c>
      <c r="I44" s="6" t="s">
        <v>42</v>
      </c>
      <c r="J44" s="6"/>
      <c r="L44" s="6" t="s">
        <v>247</v>
      </c>
      <c r="M44" s="6" t="s">
        <v>42</v>
      </c>
      <c r="N44" s="8">
        <v>5.0489284631314746E-2</v>
      </c>
      <c r="P44" s="12">
        <v>2027</v>
      </c>
      <c r="Q44" s="6" t="s">
        <v>252</v>
      </c>
      <c r="R44" s="8">
        <v>0.18990000000000001</v>
      </c>
      <c r="S44" s="6" t="s">
        <v>249</v>
      </c>
    </row>
    <row r="45" spans="3:19" x14ac:dyDescent="0.45">
      <c r="C45" s="5">
        <v>1.4155251141552512E-2</v>
      </c>
      <c r="D45" s="5">
        <v>1.7551483811086524E-2</v>
      </c>
      <c r="E45" s="3" t="s">
        <v>43</v>
      </c>
      <c r="F45" s="3" t="s">
        <v>245</v>
      </c>
      <c r="H45" s="3" t="s">
        <v>246</v>
      </c>
      <c r="I45" s="3" t="s">
        <v>43</v>
      </c>
      <c r="J45" s="3"/>
      <c r="L45" s="3" t="s">
        <v>247</v>
      </c>
      <c r="M45" s="3" t="s">
        <v>43</v>
      </c>
      <c r="N45" s="5">
        <v>5.024734733205638E-2</v>
      </c>
      <c r="P45" s="11">
        <v>2027</v>
      </c>
      <c r="Q45" s="3" t="s">
        <v>253</v>
      </c>
      <c r="R45" s="5">
        <v>0.26769999999999999</v>
      </c>
      <c r="S45" s="3" t="s">
        <v>249</v>
      </c>
    </row>
    <row r="46" spans="3:19" x14ac:dyDescent="0.45">
      <c r="C46" s="8">
        <v>1.4155251141552512E-2</v>
      </c>
      <c r="D46" s="8">
        <v>1.8558536160902969E-2</v>
      </c>
      <c r="E46" s="6" t="s">
        <v>44</v>
      </c>
      <c r="F46" s="6" t="s">
        <v>245</v>
      </c>
      <c r="H46" s="6" t="s">
        <v>246</v>
      </c>
      <c r="I46" s="6" t="s">
        <v>44</v>
      </c>
      <c r="J46" s="6"/>
      <c r="L46" s="6" t="s">
        <v>247</v>
      </c>
      <c r="M46" s="6" t="s">
        <v>44</v>
      </c>
      <c r="N46" s="8">
        <v>4.7972399376668529E-2</v>
      </c>
      <c r="P46" s="12">
        <v>2027</v>
      </c>
      <c r="Q46" s="6" t="s">
        <v>254</v>
      </c>
      <c r="R46" s="8">
        <v>0.49939999999999996</v>
      </c>
      <c r="S46" s="6" t="s">
        <v>249</v>
      </c>
    </row>
    <row r="47" spans="3:19" x14ac:dyDescent="0.45">
      <c r="C47" s="5">
        <v>1.4155251141552512E-2</v>
      </c>
      <c r="D47" s="5">
        <v>2.4456985638399258E-2</v>
      </c>
      <c r="E47" s="3" t="s">
        <v>45</v>
      </c>
      <c r="F47" s="3" t="s">
        <v>245</v>
      </c>
      <c r="H47" s="3" t="s">
        <v>246</v>
      </c>
      <c r="I47" s="3" t="s">
        <v>45</v>
      </c>
      <c r="J47" s="3"/>
      <c r="L47" s="3" t="s">
        <v>247</v>
      </c>
      <c r="M47" s="3" t="s">
        <v>45</v>
      </c>
      <c r="N47" s="5">
        <v>4.6541314307747994E-2</v>
      </c>
      <c r="P47" s="11">
        <v>2028</v>
      </c>
      <c r="Q47" s="3" t="s">
        <v>248</v>
      </c>
      <c r="R47" s="5">
        <v>0.64644999999999997</v>
      </c>
      <c r="S47" s="3" t="s">
        <v>249</v>
      </c>
    </row>
    <row r="48" spans="3:19" x14ac:dyDescent="0.45">
      <c r="C48" s="8">
        <v>1.4155251141552512E-2</v>
      </c>
      <c r="D48" s="8">
        <v>2.4456985638399258E-2</v>
      </c>
      <c r="E48" s="6" t="s">
        <v>46</v>
      </c>
      <c r="F48" s="6" t="s">
        <v>245</v>
      </c>
      <c r="H48" s="6" t="s">
        <v>246</v>
      </c>
      <c r="I48" s="6" t="s">
        <v>46</v>
      </c>
      <c r="J48" s="6"/>
      <c r="L48" s="6" t="s">
        <v>247</v>
      </c>
      <c r="M48" s="6" t="s">
        <v>46</v>
      </c>
      <c r="N48" s="8">
        <v>4.0454065418983332E-2</v>
      </c>
      <c r="P48" s="12">
        <v>2028</v>
      </c>
      <c r="Q48" s="6" t="s">
        <v>250</v>
      </c>
      <c r="R48" s="8">
        <v>0.37924999999999998</v>
      </c>
      <c r="S48" s="6" t="s">
        <v>249</v>
      </c>
    </row>
    <row r="49" spans="3:19" x14ac:dyDescent="0.45">
      <c r="C49" s="5">
        <v>1.4155251141552512E-2</v>
      </c>
      <c r="D49" s="5">
        <v>1.6441671017411268E-2</v>
      </c>
      <c r="E49" s="3" t="s">
        <v>47</v>
      </c>
      <c r="F49" s="3" t="s">
        <v>245</v>
      </c>
      <c r="H49" s="3" t="s">
        <v>246</v>
      </c>
      <c r="I49" s="3" t="s">
        <v>47</v>
      </c>
      <c r="J49" s="3"/>
      <c r="L49" s="3" t="s">
        <v>247</v>
      </c>
      <c r="M49" s="3" t="s">
        <v>47</v>
      </c>
      <c r="N49" s="5">
        <v>3.9823540436247251E-2</v>
      </c>
      <c r="P49" s="11">
        <v>2028</v>
      </c>
      <c r="Q49" s="3" t="s">
        <v>251</v>
      </c>
      <c r="R49" s="5">
        <v>0.15510000000000002</v>
      </c>
      <c r="S49" s="3" t="s">
        <v>249</v>
      </c>
    </row>
    <row r="50" spans="3:19" x14ac:dyDescent="0.45">
      <c r="C50" s="8">
        <v>2.1232876712328767E-2</v>
      </c>
      <c r="D50" s="8">
        <v>1.0276044385882045E-2</v>
      </c>
      <c r="E50" s="6" t="s">
        <v>48</v>
      </c>
      <c r="F50" s="6" t="s">
        <v>245</v>
      </c>
      <c r="H50" s="6" t="s">
        <v>246</v>
      </c>
      <c r="I50" s="6" t="s">
        <v>48</v>
      </c>
      <c r="J50" s="6"/>
      <c r="L50" s="6" t="s">
        <v>247</v>
      </c>
      <c r="M50" s="6" t="s">
        <v>48</v>
      </c>
      <c r="N50" s="8">
        <v>8.3499423056750288E-2</v>
      </c>
      <c r="P50" s="12">
        <v>2028</v>
      </c>
      <c r="Q50" s="6" t="s">
        <v>252</v>
      </c>
      <c r="R50" s="8">
        <v>0.19875000000000001</v>
      </c>
      <c r="S50" s="6" t="s">
        <v>249</v>
      </c>
    </row>
    <row r="51" spans="3:19" x14ac:dyDescent="0.45">
      <c r="C51" s="5">
        <v>3.4817351598173514E-2</v>
      </c>
      <c r="D51" s="5">
        <v>5.4191217296903106E-3</v>
      </c>
      <c r="E51" s="3" t="s">
        <v>49</v>
      </c>
      <c r="F51" s="3" t="s">
        <v>245</v>
      </c>
      <c r="H51" s="3" t="s">
        <v>246</v>
      </c>
      <c r="I51" s="3" t="s">
        <v>49</v>
      </c>
      <c r="J51" s="3"/>
      <c r="L51" s="3" t="s">
        <v>247</v>
      </c>
      <c r="M51" s="3" t="s">
        <v>49</v>
      </c>
      <c r="N51" s="5">
        <v>0.19564684420092604</v>
      </c>
      <c r="P51" s="11">
        <v>2028</v>
      </c>
      <c r="Q51" s="3" t="s">
        <v>253</v>
      </c>
      <c r="R51" s="5">
        <v>0.24380000000000002</v>
      </c>
      <c r="S51" s="3" t="s">
        <v>249</v>
      </c>
    </row>
    <row r="52" spans="3:19" x14ac:dyDescent="0.45">
      <c r="C52" s="8">
        <v>1.3926940639269407E-2</v>
      </c>
      <c r="D52" s="8">
        <v>1.3830892772791687E-2</v>
      </c>
      <c r="E52" s="6" t="s">
        <v>50</v>
      </c>
      <c r="F52" s="6" t="s">
        <v>245</v>
      </c>
      <c r="H52" s="6" t="s">
        <v>246</v>
      </c>
      <c r="I52" s="6" t="s">
        <v>50</v>
      </c>
      <c r="J52" s="6"/>
      <c r="L52" s="6" t="s">
        <v>247</v>
      </c>
      <c r="M52" s="6" t="s">
        <v>50</v>
      </c>
      <c r="N52" s="8">
        <v>9.5459394276703247E-2</v>
      </c>
      <c r="P52" s="12">
        <v>2028</v>
      </c>
      <c r="Q52" s="6" t="s">
        <v>254</v>
      </c>
      <c r="R52" s="8">
        <v>0.56054999999999999</v>
      </c>
      <c r="S52" s="6" t="s">
        <v>249</v>
      </c>
    </row>
    <row r="53" spans="3:19" x14ac:dyDescent="0.45">
      <c r="C53" s="5">
        <v>1.3926940639269407E-2</v>
      </c>
      <c r="D53" s="5">
        <v>2.0523912521028597E-2</v>
      </c>
      <c r="E53" s="3" t="s">
        <v>51</v>
      </c>
      <c r="F53" s="3" t="s">
        <v>245</v>
      </c>
      <c r="H53" s="3" t="s">
        <v>246</v>
      </c>
      <c r="I53" s="3" t="s">
        <v>51</v>
      </c>
      <c r="J53" s="3"/>
      <c r="L53" s="3" t="s">
        <v>247</v>
      </c>
      <c r="M53" s="3" t="s">
        <v>51</v>
      </c>
      <c r="N53" s="5">
        <v>0.18009744695138674</v>
      </c>
      <c r="P53" s="11">
        <v>2029</v>
      </c>
      <c r="Q53" s="3" t="s">
        <v>248</v>
      </c>
      <c r="R53" s="5">
        <v>0.63095000000000001</v>
      </c>
      <c r="S53" s="3" t="s">
        <v>249</v>
      </c>
    </row>
    <row r="54" spans="3:19" x14ac:dyDescent="0.45">
      <c r="C54" s="8">
        <v>1.3926940639269407E-2</v>
      </c>
      <c r="D54" s="8">
        <v>1.7409939586803577E-2</v>
      </c>
      <c r="E54" s="6" t="s">
        <v>52</v>
      </c>
      <c r="F54" s="6" t="s">
        <v>245</v>
      </c>
      <c r="H54" s="6" t="s">
        <v>246</v>
      </c>
      <c r="I54" s="6" t="s">
        <v>52</v>
      </c>
      <c r="J54" s="6"/>
      <c r="L54" s="6" t="s">
        <v>247</v>
      </c>
      <c r="M54" s="6" t="s">
        <v>52</v>
      </c>
      <c r="N54" s="8">
        <v>7.7470395064185515E-2</v>
      </c>
      <c r="P54" s="12">
        <v>2029</v>
      </c>
      <c r="Q54" s="6" t="s">
        <v>250</v>
      </c>
      <c r="R54" s="8">
        <v>0.33294999999999997</v>
      </c>
      <c r="S54" s="6" t="s">
        <v>249</v>
      </c>
    </row>
    <row r="55" spans="3:19" x14ac:dyDescent="0.45">
      <c r="C55" s="5">
        <v>1.3926940639269407E-2</v>
      </c>
      <c r="D55" s="5">
        <v>1.7268395362520613E-2</v>
      </c>
      <c r="E55" s="3" t="s">
        <v>53</v>
      </c>
      <c r="F55" s="3" t="s">
        <v>245</v>
      </c>
      <c r="H55" s="3" t="s">
        <v>246</v>
      </c>
      <c r="I55" s="3" t="s">
        <v>53</v>
      </c>
      <c r="J55" s="3"/>
      <c r="L55" s="3" t="s">
        <v>247</v>
      </c>
      <c r="M55" s="3" t="s">
        <v>53</v>
      </c>
      <c r="N55" s="5">
        <v>6.2090897165061554E-2</v>
      </c>
      <c r="P55" s="11">
        <v>2029</v>
      </c>
      <c r="Q55" s="3" t="s">
        <v>251</v>
      </c>
      <c r="R55" s="5">
        <v>0.13084999999999999</v>
      </c>
      <c r="S55" s="3" t="s">
        <v>249</v>
      </c>
    </row>
    <row r="56" spans="3:19" x14ac:dyDescent="0.45">
      <c r="C56" s="8">
        <v>1.3926940639269407E-2</v>
      </c>
      <c r="D56" s="8">
        <v>1.8259204932501306E-2</v>
      </c>
      <c r="E56" s="6" t="s">
        <v>54</v>
      </c>
      <c r="F56" s="6" t="s">
        <v>245</v>
      </c>
      <c r="H56" s="6" t="s">
        <v>246</v>
      </c>
      <c r="I56" s="6" t="s">
        <v>54</v>
      </c>
      <c r="J56" s="6"/>
      <c r="L56" s="6" t="s">
        <v>247</v>
      </c>
      <c r="M56" s="6" t="s">
        <v>54</v>
      </c>
      <c r="N56" s="8">
        <v>6.0946847937933146E-2</v>
      </c>
      <c r="P56" s="12">
        <v>2029</v>
      </c>
      <c r="Q56" s="6" t="s">
        <v>252</v>
      </c>
      <c r="R56" s="8">
        <v>0.16420000000000001</v>
      </c>
      <c r="S56" s="6" t="s">
        <v>249</v>
      </c>
    </row>
    <row r="57" spans="3:19" x14ac:dyDescent="0.45">
      <c r="C57" s="5">
        <v>1.3926940639269407E-2</v>
      </c>
      <c r="D57" s="5">
        <v>2.4062518128102495E-2</v>
      </c>
      <c r="E57" s="3" t="s">
        <v>55</v>
      </c>
      <c r="F57" s="3" t="s">
        <v>245</v>
      </c>
      <c r="H57" s="3" t="s">
        <v>246</v>
      </c>
      <c r="I57" s="3" t="s">
        <v>55</v>
      </c>
      <c r="J57" s="3"/>
      <c r="L57" s="3" t="s">
        <v>247</v>
      </c>
      <c r="M57" s="3" t="s">
        <v>55</v>
      </c>
      <c r="N57" s="5">
        <v>6.9276762893315524E-2</v>
      </c>
      <c r="P57" s="11">
        <v>2029</v>
      </c>
      <c r="Q57" s="3" t="s">
        <v>253</v>
      </c>
      <c r="R57" s="5">
        <v>0.32995000000000002</v>
      </c>
      <c r="S57" s="3" t="s">
        <v>249</v>
      </c>
    </row>
    <row r="58" spans="3:19" x14ac:dyDescent="0.45">
      <c r="C58" s="8">
        <v>1.3926940639269407E-2</v>
      </c>
      <c r="D58" s="8">
        <v>2.4062518128102495E-2</v>
      </c>
      <c r="E58" s="6" t="s">
        <v>56</v>
      </c>
      <c r="F58" s="6" t="s">
        <v>245</v>
      </c>
      <c r="H58" s="6" t="s">
        <v>246</v>
      </c>
      <c r="I58" s="6" t="s">
        <v>56</v>
      </c>
      <c r="J58" s="6"/>
      <c r="L58" s="6" t="s">
        <v>247</v>
      </c>
      <c r="M58" s="6" t="s">
        <v>56</v>
      </c>
      <c r="N58" s="8">
        <v>6.5392053728518418E-2</v>
      </c>
      <c r="P58" s="12">
        <v>2029</v>
      </c>
      <c r="Q58" s="6" t="s">
        <v>254</v>
      </c>
      <c r="R58" s="8">
        <v>0.49539999999999995</v>
      </c>
      <c r="S58" s="6" t="s">
        <v>249</v>
      </c>
    </row>
    <row r="59" spans="3:19" x14ac:dyDescent="0.45">
      <c r="C59" s="5">
        <v>1.3926940639269407E-2</v>
      </c>
      <c r="D59" s="5">
        <v>1.6176482775194956E-2</v>
      </c>
      <c r="E59" s="3" t="s">
        <v>57</v>
      </c>
      <c r="F59" s="3" t="s">
        <v>245</v>
      </c>
      <c r="H59" s="3" t="s">
        <v>246</v>
      </c>
      <c r="I59" s="3" t="s">
        <v>57</v>
      </c>
      <c r="J59" s="3"/>
      <c r="L59" s="3" t="s">
        <v>247</v>
      </c>
      <c r="M59" s="3" t="s">
        <v>57</v>
      </c>
      <c r="N59" s="5">
        <v>7.3327692272509015E-2</v>
      </c>
      <c r="P59" s="11">
        <v>2030</v>
      </c>
      <c r="Q59" s="3" t="s">
        <v>248</v>
      </c>
      <c r="R59" s="5">
        <v>0.64034999999999997</v>
      </c>
      <c r="S59" s="3" t="s">
        <v>249</v>
      </c>
    </row>
    <row r="60" spans="3:19" x14ac:dyDescent="0.45">
      <c r="C60" s="8">
        <v>2.0890410958904111E-2</v>
      </c>
      <c r="D60" s="8">
        <v>1.0110301734496849E-2</v>
      </c>
      <c r="E60" s="6" t="s">
        <v>58</v>
      </c>
      <c r="F60" s="6" t="s">
        <v>245</v>
      </c>
      <c r="H60" s="6" t="s">
        <v>246</v>
      </c>
      <c r="I60" s="6" t="s">
        <v>58</v>
      </c>
      <c r="J60" s="6"/>
      <c r="L60" s="6" t="s">
        <v>247</v>
      </c>
      <c r="M60" s="6" t="s">
        <v>58</v>
      </c>
      <c r="N60" s="8">
        <v>0.13233937703090737</v>
      </c>
      <c r="P60" s="12">
        <v>2030</v>
      </c>
      <c r="Q60" s="6" t="s">
        <v>250</v>
      </c>
      <c r="R60" s="8">
        <v>0.33084999999999998</v>
      </c>
      <c r="S60" s="6" t="s">
        <v>249</v>
      </c>
    </row>
    <row r="61" spans="3:19" x14ac:dyDescent="0.45">
      <c r="C61" s="5">
        <v>3.4817351598173514E-2</v>
      </c>
      <c r="D61" s="5">
        <v>5.4191217296903106E-3</v>
      </c>
      <c r="E61" s="3" t="s">
        <v>59</v>
      </c>
      <c r="F61" s="3" t="s">
        <v>245</v>
      </c>
      <c r="H61" s="3" t="s">
        <v>246</v>
      </c>
      <c r="I61" s="3" t="s">
        <v>59</v>
      </c>
      <c r="J61" s="3"/>
      <c r="L61" s="3" t="s">
        <v>247</v>
      </c>
      <c r="M61" s="3" t="s">
        <v>59</v>
      </c>
      <c r="N61" s="5">
        <v>9.3879640973295153E-2</v>
      </c>
      <c r="P61" s="11">
        <v>2030</v>
      </c>
      <c r="Q61" s="3" t="s">
        <v>251</v>
      </c>
      <c r="R61" s="5">
        <v>0.12209999999999999</v>
      </c>
      <c r="S61" s="3" t="s">
        <v>249</v>
      </c>
    </row>
    <row r="62" spans="3:19" x14ac:dyDescent="0.45">
      <c r="C62" s="8">
        <v>1.3926940639269407E-2</v>
      </c>
      <c r="D62" s="8">
        <v>1.3830892772791687E-2</v>
      </c>
      <c r="E62" s="6" t="s">
        <v>60</v>
      </c>
      <c r="F62" s="6" t="s">
        <v>245</v>
      </c>
      <c r="H62" s="6" t="s">
        <v>246</v>
      </c>
      <c r="I62" s="6" t="s">
        <v>60</v>
      </c>
      <c r="J62" s="6"/>
      <c r="L62" s="6" t="s">
        <v>247</v>
      </c>
      <c r="M62" s="6" t="s">
        <v>60</v>
      </c>
      <c r="N62" s="8">
        <v>0.16918193684221716</v>
      </c>
      <c r="P62" s="12">
        <v>2030</v>
      </c>
      <c r="Q62" s="6" t="s">
        <v>252</v>
      </c>
      <c r="R62" s="8">
        <v>0.16095000000000001</v>
      </c>
      <c r="S62" s="6" t="s">
        <v>249</v>
      </c>
    </row>
    <row r="63" spans="3:19" x14ac:dyDescent="0.45">
      <c r="C63" s="5">
        <v>1.3926940639269407E-2</v>
      </c>
      <c r="D63" s="5">
        <v>2.0523912521028597E-2</v>
      </c>
      <c r="E63" s="3" t="s">
        <v>61</v>
      </c>
      <c r="F63" s="3" t="s">
        <v>245</v>
      </c>
      <c r="H63" s="3" t="s">
        <v>246</v>
      </c>
      <c r="I63" s="3" t="s">
        <v>61</v>
      </c>
      <c r="J63" s="3"/>
      <c r="L63" s="3" t="s">
        <v>247</v>
      </c>
      <c r="M63" s="3" t="s">
        <v>61</v>
      </c>
      <c r="N63" s="5">
        <v>0.15271175311884444</v>
      </c>
      <c r="P63" s="11">
        <v>2030</v>
      </c>
      <c r="Q63" s="3" t="s">
        <v>253</v>
      </c>
      <c r="R63" s="5">
        <v>0.29869999999999997</v>
      </c>
      <c r="S63" s="3" t="s">
        <v>249</v>
      </c>
    </row>
    <row r="64" spans="3:19" x14ac:dyDescent="0.45">
      <c r="C64" s="8">
        <v>1.3926940639269407E-2</v>
      </c>
      <c r="D64" s="8">
        <v>1.7409939586803577E-2</v>
      </c>
      <c r="E64" s="6" t="s">
        <v>62</v>
      </c>
      <c r="F64" s="6" t="s">
        <v>245</v>
      </c>
      <c r="H64" s="6" t="s">
        <v>246</v>
      </c>
      <c r="I64" s="6" t="s">
        <v>62</v>
      </c>
      <c r="J64" s="6"/>
      <c r="L64" s="6" t="s">
        <v>247</v>
      </c>
      <c r="M64" s="6" t="s">
        <v>62</v>
      </c>
      <c r="N64" s="8">
        <v>0.10612585585367618</v>
      </c>
      <c r="P64" s="12">
        <v>2030</v>
      </c>
      <c r="Q64" s="6" t="s">
        <v>254</v>
      </c>
      <c r="R64" s="8">
        <v>0.56884999999999997</v>
      </c>
      <c r="S64" s="6" t="s">
        <v>249</v>
      </c>
    </row>
    <row r="65" spans="3:19" x14ac:dyDescent="0.45">
      <c r="C65" s="5">
        <v>1.3926940639269407E-2</v>
      </c>
      <c r="D65" s="5">
        <v>1.7268395362520613E-2</v>
      </c>
      <c r="E65" s="3" t="s">
        <v>63</v>
      </c>
      <c r="F65" s="3" t="s">
        <v>245</v>
      </c>
      <c r="H65" s="3" t="s">
        <v>246</v>
      </c>
      <c r="I65" s="3" t="s">
        <v>63</v>
      </c>
      <c r="J65" s="3"/>
      <c r="L65" s="3" t="s">
        <v>247</v>
      </c>
      <c r="M65" s="3" t="s">
        <v>63</v>
      </c>
      <c r="N65" s="5">
        <v>9.0260251024251836E-2</v>
      </c>
      <c r="P65" s="11">
        <v>2031</v>
      </c>
      <c r="Q65" s="3" t="s">
        <v>248</v>
      </c>
      <c r="R65" s="5">
        <v>0.64254999999999995</v>
      </c>
      <c r="S65" s="3" t="s">
        <v>249</v>
      </c>
    </row>
    <row r="66" spans="3:19" x14ac:dyDescent="0.45">
      <c r="C66" s="8">
        <v>1.3926940639269407E-2</v>
      </c>
      <c r="D66" s="8">
        <v>1.8259204932501306E-2</v>
      </c>
      <c r="E66" s="6" t="s">
        <v>64</v>
      </c>
      <c r="F66" s="6" t="s">
        <v>245</v>
      </c>
      <c r="H66" s="6" t="s">
        <v>246</v>
      </c>
      <c r="I66" s="6" t="s">
        <v>64</v>
      </c>
      <c r="J66" s="6"/>
      <c r="L66" s="6" t="s">
        <v>247</v>
      </c>
      <c r="M66" s="6" t="s">
        <v>64</v>
      </c>
      <c r="N66" s="8">
        <v>8.4689090627096064E-2</v>
      </c>
      <c r="P66" s="12">
        <v>2031</v>
      </c>
      <c r="Q66" s="6" t="s">
        <v>250</v>
      </c>
      <c r="R66" s="8">
        <v>0.33989999999999998</v>
      </c>
      <c r="S66" s="6" t="s">
        <v>249</v>
      </c>
    </row>
    <row r="67" spans="3:19" x14ac:dyDescent="0.45">
      <c r="C67" s="5">
        <v>1.3926940639269407E-2</v>
      </c>
      <c r="D67" s="5">
        <v>2.4062518128102495E-2</v>
      </c>
      <c r="E67" s="3" t="s">
        <v>65</v>
      </c>
      <c r="F67" s="3" t="s">
        <v>245</v>
      </c>
      <c r="H67" s="3" t="s">
        <v>246</v>
      </c>
      <c r="I67" s="3" t="s">
        <v>65</v>
      </c>
      <c r="J67" s="3"/>
      <c r="L67" s="3" t="s">
        <v>247</v>
      </c>
      <c r="M67" s="3" t="s">
        <v>65</v>
      </c>
      <c r="N67" s="5">
        <v>9.7537994836921049E-2</v>
      </c>
      <c r="P67" s="11">
        <v>2031</v>
      </c>
      <c r="Q67" s="3" t="s">
        <v>251</v>
      </c>
      <c r="R67" s="5">
        <v>0.17809999999999998</v>
      </c>
      <c r="S67" s="3" t="s">
        <v>249</v>
      </c>
    </row>
    <row r="68" spans="3:19" x14ac:dyDescent="0.45">
      <c r="C68" s="8">
        <v>1.3926940639269407E-2</v>
      </c>
      <c r="D68" s="8">
        <v>2.4062518128102495E-2</v>
      </c>
      <c r="E68" s="6" t="s">
        <v>66</v>
      </c>
      <c r="F68" s="6" t="s">
        <v>245</v>
      </c>
      <c r="H68" s="6" t="s">
        <v>246</v>
      </c>
      <c r="I68" s="6" t="s">
        <v>66</v>
      </c>
      <c r="J68" s="6"/>
      <c r="L68" s="6" t="s">
        <v>247</v>
      </c>
      <c r="M68" s="6" t="s">
        <v>66</v>
      </c>
      <c r="N68" s="8">
        <v>8.6350406365244048E-2</v>
      </c>
      <c r="P68" s="12">
        <v>2031</v>
      </c>
      <c r="Q68" s="6" t="s">
        <v>252</v>
      </c>
      <c r="R68" s="8">
        <v>0.22705</v>
      </c>
      <c r="S68" s="6" t="s">
        <v>249</v>
      </c>
    </row>
    <row r="69" spans="3:19" x14ac:dyDescent="0.45">
      <c r="C69" s="5">
        <v>1.3926940639269407E-2</v>
      </c>
      <c r="D69" s="5">
        <v>1.6176482775194956E-2</v>
      </c>
      <c r="E69" s="3" t="s">
        <v>67</v>
      </c>
      <c r="F69" s="3" t="s">
        <v>245</v>
      </c>
      <c r="H69" s="3" t="s">
        <v>246</v>
      </c>
      <c r="I69" s="3" t="s">
        <v>67</v>
      </c>
      <c r="J69" s="3"/>
      <c r="L69" s="3" t="s">
        <v>247</v>
      </c>
      <c r="M69" s="3" t="s">
        <v>67</v>
      </c>
      <c r="N69" s="5">
        <v>9.3502564699246893E-2</v>
      </c>
      <c r="P69" s="11">
        <v>2031</v>
      </c>
      <c r="Q69" s="3" t="s">
        <v>253</v>
      </c>
      <c r="R69" s="5">
        <v>0.40425</v>
      </c>
      <c r="S69" s="3" t="s">
        <v>249</v>
      </c>
    </row>
    <row r="70" spans="3:19" x14ac:dyDescent="0.45">
      <c r="C70" s="8">
        <v>2.0890410958904111E-2</v>
      </c>
      <c r="D70" s="8">
        <v>1.0110301734496849E-2</v>
      </c>
      <c r="E70" s="6" t="s">
        <v>68</v>
      </c>
      <c r="F70" s="6" t="s">
        <v>245</v>
      </c>
      <c r="H70" s="6" t="s">
        <v>246</v>
      </c>
      <c r="I70" s="6" t="s">
        <v>68</v>
      </c>
      <c r="J70" s="6"/>
      <c r="L70" s="6" t="s">
        <v>247</v>
      </c>
      <c r="M70" s="6" t="s">
        <v>68</v>
      </c>
      <c r="N70" s="8">
        <v>8.6047807778052876E-2</v>
      </c>
      <c r="P70" s="12">
        <v>2031</v>
      </c>
      <c r="Q70" s="6" t="s">
        <v>254</v>
      </c>
      <c r="R70" s="8">
        <v>0.61660000000000004</v>
      </c>
      <c r="S70" s="6" t="s">
        <v>249</v>
      </c>
    </row>
    <row r="71" spans="3:19" x14ac:dyDescent="0.45">
      <c r="H71" s="3" t="s">
        <v>255</v>
      </c>
      <c r="I71" s="3" t="s">
        <v>6</v>
      </c>
      <c r="J71" s="3"/>
      <c r="P71" s="11">
        <v>2032</v>
      </c>
      <c r="Q71" s="3" t="s">
        <v>248</v>
      </c>
      <c r="R71" s="5">
        <v>0.50770000000000004</v>
      </c>
      <c r="S71" s="3" t="s">
        <v>249</v>
      </c>
    </row>
    <row r="72" spans="3:19" x14ac:dyDescent="0.45">
      <c r="H72" s="6" t="s">
        <v>255</v>
      </c>
      <c r="I72" s="6" t="s">
        <v>10</v>
      </c>
      <c r="J72" s="6"/>
      <c r="P72" s="12">
        <v>2032</v>
      </c>
      <c r="Q72" s="6" t="s">
        <v>250</v>
      </c>
      <c r="R72" s="8">
        <v>0.3795</v>
      </c>
      <c r="S72" s="6" t="s">
        <v>249</v>
      </c>
    </row>
    <row r="73" spans="3:19" x14ac:dyDescent="0.45">
      <c r="H73" s="3" t="s">
        <v>255</v>
      </c>
      <c r="I73" s="3" t="s">
        <v>11</v>
      </c>
      <c r="J73" s="3"/>
      <c r="P73" s="11">
        <v>2032</v>
      </c>
      <c r="Q73" s="3" t="s">
        <v>251</v>
      </c>
      <c r="R73" s="5">
        <v>9.8400000000000001E-2</v>
      </c>
      <c r="S73" s="3" t="s">
        <v>249</v>
      </c>
    </row>
    <row r="74" spans="3:19" x14ac:dyDescent="0.45">
      <c r="H74" s="6" t="s">
        <v>255</v>
      </c>
      <c r="I74" s="6" t="s">
        <v>12</v>
      </c>
      <c r="J74" s="6"/>
      <c r="P74" s="12">
        <v>2032</v>
      </c>
      <c r="Q74" s="6" t="s">
        <v>252</v>
      </c>
      <c r="R74" s="8">
        <v>0.25240000000000001</v>
      </c>
      <c r="S74" s="6" t="s">
        <v>249</v>
      </c>
    </row>
    <row r="75" spans="3:19" x14ac:dyDescent="0.45">
      <c r="H75" s="3" t="s">
        <v>255</v>
      </c>
      <c r="I75" s="3" t="s">
        <v>13</v>
      </c>
      <c r="J75" s="3"/>
      <c r="P75" s="11">
        <v>2032</v>
      </c>
      <c r="Q75" s="3" t="s">
        <v>253</v>
      </c>
      <c r="R75" s="5">
        <v>0.28815000000000002</v>
      </c>
      <c r="S75" s="3" t="s">
        <v>249</v>
      </c>
    </row>
    <row r="76" spans="3:19" x14ac:dyDescent="0.45">
      <c r="H76" s="6" t="s">
        <v>255</v>
      </c>
      <c r="I76" s="6" t="s">
        <v>14</v>
      </c>
      <c r="J76" s="6"/>
      <c r="P76" s="12">
        <v>2032</v>
      </c>
      <c r="Q76" s="6" t="s">
        <v>254</v>
      </c>
      <c r="R76" s="8">
        <v>0.58040000000000003</v>
      </c>
      <c r="S76" s="6" t="s">
        <v>249</v>
      </c>
    </row>
    <row r="77" spans="3:19" x14ac:dyDescent="0.45">
      <c r="H77" s="3" t="s">
        <v>255</v>
      </c>
      <c r="I77" s="3" t="s">
        <v>15</v>
      </c>
      <c r="J77" s="3"/>
      <c r="P77" s="11">
        <v>2033</v>
      </c>
      <c r="Q77" s="3" t="s">
        <v>248</v>
      </c>
      <c r="R77" s="5">
        <v>0.58589999999999998</v>
      </c>
      <c r="S77" s="3" t="s">
        <v>249</v>
      </c>
    </row>
    <row r="78" spans="3:19" x14ac:dyDescent="0.45">
      <c r="H78" s="6" t="s">
        <v>255</v>
      </c>
      <c r="I78" s="6" t="s">
        <v>16</v>
      </c>
      <c r="J78" s="6"/>
      <c r="P78" s="12">
        <v>2033</v>
      </c>
      <c r="Q78" s="6" t="s">
        <v>250</v>
      </c>
      <c r="R78" s="8">
        <v>0.37919999999999998</v>
      </c>
      <c r="S78" s="6" t="s">
        <v>249</v>
      </c>
    </row>
    <row r="79" spans="3:19" x14ac:dyDescent="0.45">
      <c r="H79" s="3" t="s">
        <v>255</v>
      </c>
      <c r="I79" s="3" t="s">
        <v>17</v>
      </c>
      <c r="J79" s="3"/>
      <c r="P79" s="11">
        <v>2033</v>
      </c>
      <c r="Q79" s="3" t="s">
        <v>251</v>
      </c>
      <c r="R79" s="5">
        <v>0.16284999999999999</v>
      </c>
      <c r="S79" s="3" t="s">
        <v>249</v>
      </c>
    </row>
    <row r="80" spans="3:19" x14ac:dyDescent="0.45">
      <c r="H80" s="6" t="s">
        <v>255</v>
      </c>
      <c r="I80" s="6" t="s">
        <v>18</v>
      </c>
      <c r="J80" s="6"/>
      <c r="P80" s="12">
        <v>2033</v>
      </c>
      <c r="Q80" s="6" t="s">
        <v>252</v>
      </c>
      <c r="R80" s="8">
        <v>0.1837</v>
      </c>
      <c r="S80" s="6" t="s">
        <v>249</v>
      </c>
    </row>
    <row r="81" spans="8:19" x14ac:dyDescent="0.45">
      <c r="H81" s="3" t="s">
        <v>255</v>
      </c>
      <c r="I81" s="3" t="s">
        <v>19</v>
      </c>
      <c r="J81" s="3"/>
      <c r="P81" s="11">
        <v>2033</v>
      </c>
      <c r="Q81" s="3" t="s">
        <v>253</v>
      </c>
      <c r="R81" s="5">
        <v>0.2838</v>
      </c>
      <c r="S81" s="3" t="s">
        <v>249</v>
      </c>
    </row>
    <row r="82" spans="8:19" x14ac:dyDescent="0.45">
      <c r="H82" s="6" t="s">
        <v>255</v>
      </c>
      <c r="I82" s="6" t="s">
        <v>20</v>
      </c>
      <c r="J82" s="6"/>
      <c r="P82" s="12">
        <v>2033</v>
      </c>
      <c r="Q82" s="6" t="s">
        <v>254</v>
      </c>
      <c r="R82" s="8">
        <v>0.54444999999999999</v>
      </c>
      <c r="S82" s="6" t="s">
        <v>249</v>
      </c>
    </row>
    <row r="83" spans="8:19" x14ac:dyDescent="0.45">
      <c r="H83" s="3" t="s">
        <v>255</v>
      </c>
      <c r="I83" s="3" t="s">
        <v>21</v>
      </c>
      <c r="J83" s="3"/>
      <c r="P83" s="11">
        <v>2034</v>
      </c>
      <c r="Q83" s="3" t="s">
        <v>248</v>
      </c>
      <c r="R83" s="5">
        <v>0.54454999999999998</v>
      </c>
      <c r="S83" s="3" t="s">
        <v>249</v>
      </c>
    </row>
    <row r="84" spans="8:19" x14ac:dyDescent="0.45">
      <c r="H84" s="6" t="s">
        <v>255</v>
      </c>
      <c r="I84" s="6" t="s">
        <v>22</v>
      </c>
      <c r="J84" s="6"/>
      <c r="P84" s="12">
        <v>2034</v>
      </c>
      <c r="Q84" s="6" t="s">
        <v>250</v>
      </c>
      <c r="R84" s="8">
        <v>0.40454999999999997</v>
      </c>
      <c r="S84" s="6" t="s">
        <v>249</v>
      </c>
    </row>
    <row r="85" spans="8:19" x14ac:dyDescent="0.45">
      <c r="H85" s="3" t="s">
        <v>255</v>
      </c>
      <c r="I85" s="3" t="s">
        <v>23</v>
      </c>
      <c r="J85" s="3"/>
      <c r="P85" s="11">
        <v>2034</v>
      </c>
      <c r="Q85" s="3" t="s">
        <v>251</v>
      </c>
      <c r="R85" s="5">
        <v>0.18475</v>
      </c>
      <c r="S85" s="3" t="s">
        <v>249</v>
      </c>
    </row>
    <row r="86" spans="8:19" x14ac:dyDescent="0.45">
      <c r="H86" s="6" t="s">
        <v>255</v>
      </c>
      <c r="I86" s="6" t="s">
        <v>24</v>
      </c>
      <c r="J86" s="6"/>
      <c r="P86" s="12">
        <v>2034</v>
      </c>
      <c r="Q86" s="6" t="s">
        <v>252</v>
      </c>
      <c r="R86" s="8">
        <v>0.1182</v>
      </c>
      <c r="S86" s="6" t="s">
        <v>249</v>
      </c>
    </row>
    <row r="87" spans="8:19" x14ac:dyDescent="0.45">
      <c r="H87" s="3" t="s">
        <v>255</v>
      </c>
      <c r="I87" s="3" t="s">
        <v>25</v>
      </c>
      <c r="J87" s="3"/>
      <c r="P87" s="11">
        <v>2034</v>
      </c>
      <c r="Q87" s="3" t="s">
        <v>253</v>
      </c>
      <c r="R87" s="5">
        <v>0.37940000000000002</v>
      </c>
      <c r="S87" s="3" t="s">
        <v>249</v>
      </c>
    </row>
    <row r="88" spans="8:19" x14ac:dyDescent="0.45">
      <c r="H88" s="6" t="s">
        <v>255</v>
      </c>
      <c r="I88" s="6" t="s">
        <v>26</v>
      </c>
      <c r="J88" s="6"/>
      <c r="P88" s="12">
        <v>2034</v>
      </c>
      <c r="Q88" s="6" t="s">
        <v>254</v>
      </c>
      <c r="R88" s="8">
        <v>0.5716</v>
      </c>
      <c r="S88" s="6" t="s">
        <v>249</v>
      </c>
    </row>
    <row r="89" spans="8:19" x14ac:dyDescent="0.45">
      <c r="H89" s="3" t="s">
        <v>255</v>
      </c>
      <c r="I89" s="3" t="s">
        <v>27</v>
      </c>
      <c r="J89" s="3"/>
      <c r="P89" s="11">
        <v>2035</v>
      </c>
      <c r="Q89" s="3" t="s">
        <v>248</v>
      </c>
      <c r="R89" s="5">
        <v>0.58919999999999995</v>
      </c>
      <c r="S89" s="3" t="s">
        <v>249</v>
      </c>
    </row>
    <row r="90" spans="8:19" x14ac:dyDescent="0.45">
      <c r="H90" s="6" t="s">
        <v>255</v>
      </c>
      <c r="I90" s="6" t="s">
        <v>28</v>
      </c>
      <c r="J90" s="6"/>
      <c r="P90" s="12">
        <v>2035</v>
      </c>
      <c r="Q90" s="6" t="s">
        <v>250</v>
      </c>
      <c r="R90" s="8">
        <v>0.38080000000000003</v>
      </c>
      <c r="S90" s="6" t="s">
        <v>249</v>
      </c>
    </row>
    <row r="91" spans="8:19" x14ac:dyDescent="0.45">
      <c r="H91" s="3" t="s">
        <v>255</v>
      </c>
      <c r="I91" s="3" t="s">
        <v>29</v>
      </c>
      <c r="J91" s="3"/>
      <c r="P91" s="11">
        <v>2035</v>
      </c>
      <c r="Q91" s="3" t="s">
        <v>251</v>
      </c>
      <c r="R91" s="5">
        <v>0.20479999999999998</v>
      </c>
      <c r="S91" s="3" t="s">
        <v>249</v>
      </c>
    </row>
    <row r="92" spans="8:19" x14ac:dyDescent="0.45">
      <c r="H92" s="6" t="s">
        <v>255</v>
      </c>
      <c r="I92" s="6" t="s">
        <v>30</v>
      </c>
      <c r="J92" s="6"/>
      <c r="P92" s="12">
        <v>2035</v>
      </c>
      <c r="Q92" s="6" t="s">
        <v>252</v>
      </c>
      <c r="R92" s="8">
        <v>0.188</v>
      </c>
      <c r="S92" s="6" t="s">
        <v>249</v>
      </c>
    </row>
    <row r="93" spans="8:19" x14ac:dyDescent="0.45">
      <c r="H93" s="3" t="s">
        <v>255</v>
      </c>
      <c r="I93" s="3" t="s">
        <v>31</v>
      </c>
      <c r="J93" s="3"/>
      <c r="P93" s="11">
        <v>2035</v>
      </c>
      <c r="Q93" s="3" t="s">
        <v>253</v>
      </c>
      <c r="R93" s="5">
        <v>0.27344999999999997</v>
      </c>
      <c r="S93" s="3" t="s">
        <v>249</v>
      </c>
    </row>
    <row r="94" spans="8:19" x14ac:dyDescent="0.45">
      <c r="H94" s="6" t="s">
        <v>255</v>
      </c>
      <c r="I94" s="6" t="s">
        <v>32</v>
      </c>
      <c r="J94" s="6"/>
      <c r="P94" s="12">
        <v>2035</v>
      </c>
      <c r="Q94" s="6" t="s">
        <v>254</v>
      </c>
      <c r="R94" s="8">
        <v>0.49545000000000006</v>
      </c>
      <c r="S94" s="6" t="s">
        <v>249</v>
      </c>
    </row>
    <row r="95" spans="8:19" x14ac:dyDescent="0.45">
      <c r="H95" s="3" t="s">
        <v>255</v>
      </c>
      <c r="I95" s="3" t="s">
        <v>33</v>
      </c>
      <c r="J95" s="3"/>
      <c r="P95" s="11">
        <v>2036</v>
      </c>
      <c r="Q95" s="3" t="s">
        <v>248</v>
      </c>
      <c r="R95" s="5">
        <v>0.53800000000000003</v>
      </c>
      <c r="S95" s="3" t="s">
        <v>249</v>
      </c>
    </row>
    <row r="96" spans="8:19" x14ac:dyDescent="0.45">
      <c r="H96" s="6" t="s">
        <v>255</v>
      </c>
      <c r="I96" s="6" t="s">
        <v>34</v>
      </c>
      <c r="J96" s="6"/>
      <c r="P96" s="12">
        <v>2036</v>
      </c>
      <c r="Q96" s="6" t="s">
        <v>250</v>
      </c>
      <c r="R96" s="8">
        <v>0.37519999999999998</v>
      </c>
      <c r="S96" s="6" t="s">
        <v>249</v>
      </c>
    </row>
    <row r="97" spans="8:19" x14ac:dyDescent="0.45">
      <c r="H97" s="3" t="s">
        <v>255</v>
      </c>
      <c r="I97" s="3" t="s">
        <v>35</v>
      </c>
      <c r="J97" s="3"/>
      <c r="P97" s="11">
        <v>2036</v>
      </c>
      <c r="Q97" s="3" t="s">
        <v>251</v>
      </c>
      <c r="R97" s="5">
        <v>0.13830000000000001</v>
      </c>
      <c r="S97" s="3" t="s">
        <v>249</v>
      </c>
    </row>
    <row r="98" spans="8:19" x14ac:dyDescent="0.45">
      <c r="H98" s="6" t="s">
        <v>255</v>
      </c>
      <c r="I98" s="6" t="s">
        <v>36</v>
      </c>
      <c r="J98" s="6"/>
      <c r="P98" s="12">
        <v>2036</v>
      </c>
      <c r="Q98" s="6" t="s">
        <v>252</v>
      </c>
      <c r="R98" s="8">
        <v>0.14180000000000001</v>
      </c>
      <c r="S98" s="6" t="s">
        <v>249</v>
      </c>
    </row>
    <row r="99" spans="8:19" x14ac:dyDescent="0.45">
      <c r="H99" s="3" t="s">
        <v>255</v>
      </c>
      <c r="I99" s="3" t="s">
        <v>37</v>
      </c>
      <c r="J99" s="3"/>
      <c r="P99" s="11">
        <v>2036</v>
      </c>
      <c r="Q99" s="3" t="s">
        <v>253</v>
      </c>
      <c r="R99" s="5">
        <v>0.21249999999999999</v>
      </c>
      <c r="S99" s="3" t="s">
        <v>249</v>
      </c>
    </row>
    <row r="100" spans="8:19" x14ac:dyDescent="0.45">
      <c r="H100" s="6" t="s">
        <v>255</v>
      </c>
      <c r="I100" s="6" t="s">
        <v>38</v>
      </c>
      <c r="J100" s="6"/>
      <c r="P100" s="12">
        <v>2036</v>
      </c>
      <c r="Q100" s="6" t="s">
        <v>254</v>
      </c>
      <c r="R100" s="8">
        <v>0.60715000000000008</v>
      </c>
      <c r="S100" s="6" t="s">
        <v>249</v>
      </c>
    </row>
    <row r="101" spans="8:19" x14ac:dyDescent="0.45">
      <c r="H101" s="3" t="s">
        <v>255</v>
      </c>
      <c r="I101" s="3" t="s">
        <v>39</v>
      </c>
      <c r="J101" s="3"/>
      <c r="P101" s="11">
        <v>2037</v>
      </c>
      <c r="Q101" s="3" t="s">
        <v>248</v>
      </c>
      <c r="R101" s="5">
        <v>0.5615</v>
      </c>
      <c r="S101" s="3" t="s">
        <v>249</v>
      </c>
    </row>
    <row r="102" spans="8:19" x14ac:dyDescent="0.45">
      <c r="H102" s="6" t="s">
        <v>255</v>
      </c>
      <c r="I102" s="6" t="s">
        <v>40</v>
      </c>
      <c r="J102" s="6"/>
      <c r="P102" s="12">
        <v>2037</v>
      </c>
      <c r="Q102" s="6" t="s">
        <v>250</v>
      </c>
      <c r="R102" s="8">
        <v>0.31130000000000002</v>
      </c>
      <c r="S102" s="6" t="s">
        <v>249</v>
      </c>
    </row>
    <row r="103" spans="8:19" x14ac:dyDescent="0.45">
      <c r="H103" s="3" t="s">
        <v>255</v>
      </c>
      <c r="I103" s="3" t="s">
        <v>41</v>
      </c>
      <c r="J103" s="3"/>
      <c r="P103" s="11">
        <v>2037</v>
      </c>
      <c r="Q103" s="3" t="s">
        <v>251</v>
      </c>
      <c r="R103" s="5">
        <v>0.20979999999999999</v>
      </c>
      <c r="S103" s="3" t="s">
        <v>249</v>
      </c>
    </row>
    <row r="104" spans="8:19" x14ac:dyDescent="0.45">
      <c r="H104" s="6" t="s">
        <v>255</v>
      </c>
      <c r="I104" s="6" t="s">
        <v>42</v>
      </c>
      <c r="J104" s="6"/>
      <c r="P104" s="12">
        <v>2037</v>
      </c>
      <c r="Q104" s="6" t="s">
        <v>252</v>
      </c>
      <c r="R104" s="8">
        <v>0.2051</v>
      </c>
      <c r="S104" s="6" t="s">
        <v>249</v>
      </c>
    </row>
    <row r="105" spans="8:19" x14ac:dyDescent="0.45">
      <c r="H105" s="3" t="s">
        <v>255</v>
      </c>
      <c r="I105" s="3" t="s">
        <v>43</v>
      </c>
      <c r="J105" s="3"/>
      <c r="P105" s="11">
        <v>2037</v>
      </c>
      <c r="Q105" s="3" t="s">
        <v>253</v>
      </c>
      <c r="R105" s="5">
        <v>0.38514999999999999</v>
      </c>
      <c r="S105" s="3" t="s">
        <v>249</v>
      </c>
    </row>
    <row r="106" spans="8:19" x14ac:dyDescent="0.45">
      <c r="H106" s="6" t="s">
        <v>255</v>
      </c>
      <c r="I106" s="6" t="s">
        <v>44</v>
      </c>
      <c r="J106" s="6"/>
      <c r="P106" s="12">
        <v>2037</v>
      </c>
      <c r="Q106" s="6" t="s">
        <v>254</v>
      </c>
      <c r="R106" s="8">
        <v>0.52795000000000003</v>
      </c>
      <c r="S106" s="6" t="s">
        <v>249</v>
      </c>
    </row>
    <row r="107" spans="8:19" x14ac:dyDescent="0.45">
      <c r="H107" s="3" t="s">
        <v>255</v>
      </c>
      <c r="I107" s="3" t="s">
        <v>45</v>
      </c>
      <c r="J107" s="3"/>
      <c r="P107" s="11">
        <v>2038</v>
      </c>
      <c r="Q107" s="3" t="s">
        <v>248</v>
      </c>
      <c r="R107" s="5">
        <v>0.59975000000000001</v>
      </c>
      <c r="S107" s="3" t="s">
        <v>249</v>
      </c>
    </row>
    <row r="108" spans="8:19" x14ac:dyDescent="0.45">
      <c r="H108" s="6" t="s">
        <v>255</v>
      </c>
      <c r="I108" s="6" t="s">
        <v>46</v>
      </c>
      <c r="J108" s="6"/>
      <c r="P108" s="12">
        <v>2038</v>
      </c>
      <c r="Q108" s="6" t="s">
        <v>250</v>
      </c>
      <c r="R108" s="8">
        <v>0.36875000000000002</v>
      </c>
      <c r="S108" s="6" t="s">
        <v>249</v>
      </c>
    </row>
    <row r="109" spans="8:19" x14ac:dyDescent="0.45">
      <c r="H109" s="3" t="s">
        <v>255</v>
      </c>
      <c r="I109" s="3" t="s">
        <v>47</v>
      </c>
      <c r="J109" s="3"/>
      <c r="P109" s="11">
        <v>2038</v>
      </c>
      <c r="Q109" s="3" t="s">
        <v>251</v>
      </c>
      <c r="R109" s="5">
        <v>9.3200000000000005E-2</v>
      </c>
      <c r="S109" s="3" t="s">
        <v>249</v>
      </c>
    </row>
    <row r="110" spans="8:19" x14ac:dyDescent="0.45">
      <c r="H110" s="6" t="s">
        <v>255</v>
      </c>
      <c r="I110" s="6" t="s">
        <v>48</v>
      </c>
      <c r="J110" s="6"/>
      <c r="P110" s="12">
        <v>2038</v>
      </c>
      <c r="Q110" s="6" t="s">
        <v>252</v>
      </c>
      <c r="R110" s="8">
        <v>0.24604999999999999</v>
      </c>
      <c r="S110" s="6" t="s">
        <v>249</v>
      </c>
    </row>
    <row r="111" spans="8:19" x14ac:dyDescent="0.45">
      <c r="H111" s="3" t="s">
        <v>255</v>
      </c>
      <c r="I111" s="3" t="s">
        <v>49</v>
      </c>
      <c r="J111" s="3"/>
      <c r="P111" s="11">
        <v>2038</v>
      </c>
      <c r="Q111" s="3" t="s">
        <v>253</v>
      </c>
      <c r="R111" s="5">
        <v>0.25679999999999997</v>
      </c>
      <c r="S111" s="3" t="s">
        <v>249</v>
      </c>
    </row>
    <row r="112" spans="8:19" x14ac:dyDescent="0.45">
      <c r="H112" s="6" t="s">
        <v>255</v>
      </c>
      <c r="I112" s="6" t="s">
        <v>50</v>
      </c>
      <c r="J112" s="6"/>
      <c r="P112" s="12">
        <v>2038</v>
      </c>
      <c r="Q112" s="6" t="s">
        <v>254</v>
      </c>
      <c r="R112" s="8">
        <v>0.60870000000000002</v>
      </c>
      <c r="S112" s="6" t="s">
        <v>249</v>
      </c>
    </row>
    <row r="113" spans="8:19" x14ac:dyDescent="0.45">
      <c r="H113" s="3" t="s">
        <v>255</v>
      </c>
      <c r="I113" s="3" t="s">
        <v>51</v>
      </c>
      <c r="J113" s="3"/>
      <c r="P113" s="11">
        <v>2039</v>
      </c>
      <c r="Q113" s="3" t="s">
        <v>248</v>
      </c>
      <c r="R113" s="5">
        <v>0.60604999999999998</v>
      </c>
      <c r="S113" s="3" t="s">
        <v>249</v>
      </c>
    </row>
    <row r="114" spans="8:19" x14ac:dyDescent="0.45">
      <c r="H114" s="6" t="s">
        <v>255</v>
      </c>
      <c r="I114" s="6" t="s">
        <v>52</v>
      </c>
      <c r="J114" s="6"/>
      <c r="P114" s="12">
        <v>2039</v>
      </c>
      <c r="Q114" s="6" t="s">
        <v>250</v>
      </c>
      <c r="R114" s="8">
        <v>0.36375000000000002</v>
      </c>
      <c r="S114" s="6" t="s">
        <v>249</v>
      </c>
    </row>
    <row r="115" spans="8:19" x14ac:dyDescent="0.45">
      <c r="H115" s="3" t="s">
        <v>255</v>
      </c>
      <c r="I115" s="3" t="s">
        <v>53</v>
      </c>
      <c r="J115" s="3"/>
      <c r="P115" s="11">
        <v>2039</v>
      </c>
      <c r="Q115" s="3" t="s">
        <v>251</v>
      </c>
      <c r="R115" s="5">
        <v>9.9349999999999994E-2</v>
      </c>
      <c r="S115" s="3" t="s">
        <v>249</v>
      </c>
    </row>
    <row r="116" spans="8:19" x14ac:dyDescent="0.45">
      <c r="H116" s="6" t="s">
        <v>255</v>
      </c>
      <c r="I116" s="6" t="s">
        <v>54</v>
      </c>
      <c r="J116" s="6"/>
      <c r="P116" s="12">
        <v>2039</v>
      </c>
      <c r="Q116" s="6" t="s">
        <v>252</v>
      </c>
      <c r="R116" s="8">
        <v>0.127</v>
      </c>
      <c r="S116" s="6" t="s">
        <v>249</v>
      </c>
    </row>
    <row r="117" spans="8:19" x14ac:dyDescent="0.45">
      <c r="H117" s="3" t="s">
        <v>255</v>
      </c>
      <c r="I117" s="3" t="s">
        <v>55</v>
      </c>
      <c r="J117" s="3"/>
      <c r="P117" s="11">
        <v>2039</v>
      </c>
      <c r="Q117" s="3" t="s">
        <v>253</v>
      </c>
      <c r="R117" s="5">
        <v>0.31235000000000002</v>
      </c>
      <c r="S117" s="3" t="s">
        <v>249</v>
      </c>
    </row>
    <row r="118" spans="8:19" x14ac:dyDescent="0.45">
      <c r="H118" s="6" t="s">
        <v>255</v>
      </c>
      <c r="I118" s="6" t="s">
        <v>56</v>
      </c>
      <c r="J118" s="6"/>
      <c r="P118" s="12">
        <v>2039</v>
      </c>
      <c r="Q118" s="6" t="s">
        <v>254</v>
      </c>
      <c r="R118" s="8">
        <v>0.5543499999999999</v>
      </c>
      <c r="S118" s="6" t="s">
        <v>249</v>
      </c>
    </row>
    <row r="119" spans="8:19" x14ac:dyDescent="0.45">
      <c r="H119" s="3" t="s">
        <v>255</v>
      </c>
      <c r="I119" s="3" t="s">
        <v>57</v>
      </c>
      <c r="J119" s="3"/>
      <c r="P119" s="11">
        <v>2040</v>
      </c>
      <c r="Q119" s="3" t="s">
        <v>248</v>
      </c>
      <c r="R119" s="5">
        <v>0.57064999999999999</v>
      </c>
      <c r="S119" s="3" t="s">
        <v>249</v>
      </c>
    </row>
    <row r="120" spans="8:19" x14ac:dyDescent="0.45">
      <c r="H120" s="6" t="s">
        <v>255</v>
      </c>
      <c r="I120" s="6" t="s">
        <v>58</v>
      </c>
      <c r="J120" s="6"/>
      <c r="P120" s="12">
        <v>2040</v>
      </c>
      <c r="Q120" s="6" t="s">
        <v>250</v>
      </c>
      <c r="R120" s="8">
        <v>0.42525000000000002</v>
      </c>
      <c r="S120" s="6" t="s">
        <v>249</v>
      </c>
    </row>
    <row r="121" spans="8:19" x14ac:dyDescent="0.45">
      <c r="H121" s="3" t="s">
        <v>255</v>
      </c>
      <c r="I121" s="3" t="s">
        <v>59</v>
      </c>
      <c r="J121" s="3"/>
      <c r="P121" s="11">
        <v>2040</v>
      </c>
      <c r="Q121" s="3" t="s">
        <v>251</v>
      </c>
      <c r="R121" s="5">
        <v>9.4900000000000012E-2</v>
      </c>
      <c r="S121" s="3" t="s">
        <v>249</v>
      </c>
    </row>
    <row r="122" spans="8:19" x14ac:dyDescent="0.45">
      <c r="H122" s="6" t="s">
        <v>255</v>
      </c>
      <c r="I122" s="6" t="s">
        <v>60</v>
      </c>
      <c r="J122" s="6"/>
      <c r="P122" s="12">
        <v>2040</v>
      </c>
      <c r="Q122" s="6" t="s">
        <v>252</v>
      </c>
      <c r="R122" s="8">
        <v>0.32164999999999999</v>
      </c>
      <c r="S122" s="6" t="s">
        <v>249</v>
      </c>
    </row>
    <row r="123" spans="8:19" x14ac:dyDescent="0.45">
      <c r="H123" s="3" t="s">
        <v>255</v>
      </c>
      <c r="I123" s="3" t="s">
        <v>61</v>
      </c>
      <c r="J123" s="3"/>
      <c r="P123" s="11">
        <v>2040</v>
      </c>
      <c r="Q123" s="3" t="s">
        <v>253</v>
      </c>
      <c r="R123" s="5">
        <v>0.24884999999999999</v>
      </c>
      <c r="S123" s="3" t="s">
        <v>249</v>
      </c>
    </row>
    <row r="124" spans="8:19" x14ac:dyDescent="0.45">
      <c r="H124" s="6" t="s">
        <v>255</v>
      </c>
      <c r="I124" s="6" t="s">
        <v>62</v>
      </c>
      <c r="J124" s="6"/>
      <c r="P124" s="12">
        <v>2040</v>
      </c>
      <c r="Q124" s="6" t="s">
        <v>254</v>
      </c>
      <c r="R124" s="8">
        <v>0.60959999999999992</v>
      </c>
      <c r="S124" s="6" t="s">
        <v>249</v>
      </c>
    </row>
    <row r="125" spans="8:19" x14ac:dyDescent="0.45">
      <c r="H125" s="3" t="s">
        <v>255</v>
      </c>
      <c r="I125" s="3" t="s">
        <v>63</v>
      </c>
      <c r="J125" s="3"/>
      <c r="P125" s="11">
        <v>2041</v>
      </c>
      <c r="Q125" s="3" t="s">
        <v>248</v>
      </c>
      <c r="R125" s="5">
        <v>0.60254999999999992</v>
      </c>
      <c r="S125" s="3" t="s">
        <v>249</v>
      </c>
    </row>
    <row r="126" spans="8:19" x14ac:dyDescent="0.45">
      <c r="H126" s="6" t="s">
        <v>255</v>
      </c>
      <c r="I126" s="6" t="s">
        <v>64</v>
      </c>
      <c r="J126" s="6"/>
      <c r="P126" s="12">
        <v>2041</v>
      </c>
      <c r="Q126" s="6" t="s">
        <v>250</v>
      </c>
      <c r="R126" s="8">
        <v>0.36945</v>
      </c>
      <c r="S126" s="6" t="s">
        <v>249</v>
      </c>
    </row>
    <row r="127" spans="8:19" x14ac:dyDescent="0.45">
      <c r="H127" s="3" t="s">
        <v>255</v>
      </c>
      <c r="I127" s="3" t="s">
        <v>65</v>
      </c>
      <c r="J127" s="3"/>
      <c r="P127" s="11">
        <v>2041</v>
      </c>
      <c r="Q127" s="3" t="s">
        <v>251</v>
      </c>
      <c r="R127" s="5">
        <v>0.11605000000000001</v>
      </c>
      <c r="S127" s="3" t="s">
        <v>249</v>
      </c>
    </row>
    <row r="128" spans="8:19" x14ac:dyDescent="0.45">
      <c r="H128" s="6" t="s">
        <v>255</v>
      </c>
      <c r="I128" s="6" t="s">
        <v>66</v>
      </c>
      <c r="J128" s="6"/>
      <c r="P128" s="12">
        <v>2041</v>
      </c>
      <c r="Q128" s="6" t="s">
        <v>252</v>
      </c>
      <c r="R128" s="8">
        <v>8.6900000000000005E-2</v>
      </c>
      <c r="S128" s="6" t="s">
        <v>249</v>
      </c>
    </row>
    <row r="129" spans="8:19" x14ac:dyDescent="0.45">
      <c r="H129" s="3" t="s">
        <v>255</v>
      </c>
      <c r="I129" s="3" t="s">
        <v>67</v>
      </c>
      <c r="J129" s="3"/>
      <c r="P129" s="11">
        <v>2041</v>
      </c>
      <c r="Q129" s="3" t="s">
        <v>253</v>
      </c>
      <c r="R129" s="5">
        <v>0.22754999999999997</v>
      </c>
      <c r="S129" s="3" t="s">
        <v>249</v>
      </c>
    </row>
    <row r="130" spans="8:19" x14ac:dyDescent="0.45">
      <c r="H130" s="6" t="s">
        <v>255</v>
      </c>
      <c r="I130" s="6" t="s">
        <v>68</v>
      </c>
      <c r="J130" s="6"/>
      <c r="P130" s="12">
        <v>2041</v>
      </c>
      <c r="Q130" s="6" t="s">
        <v>254</v>
      </c>
      <c r="R130" s="8">
        <v>0.57000000000000006</v>
      </c>
      <c r="S130" s="6" t="s">
        <v>249</v>
      </c>
    </row>
    <row r="131" spans="8:19" x14ac:dyDescent="0.45">
      <c r="P131" s="11">
        <v>2042</v>
      </c>
      <c r="Q131" s="3" t="s">
        <v>248</v>
      </c>
      <c r="R131" s="5">
        <v>0.66830000000000001</v>
      </c>
      <c r="S131" s="3" t="s">
        <v>249</v>
      </c>
    </row>
    <row r="132" spans="8:19" x14ac:dyDescent="0.45">
      <c r="P132" s="12">
        <v>2042</v>
      </c>
      <c r="Q132" s="6" t="s">
        <v>250</v>
      </c>
      <c r="R132" s="8">
        <v>0.43864999999999998</v>
      </c>
      <c r="S132" s="6" t="s">
        <v>249</v>
      </c>
    </row>
    <row r="133" spans="8:19" x14ac:dyDescent="0.45">
      <c r="P133" s="11">
        <v>2042</v>
      </c>
      <c r="Q133" s="3" t="s">
        <v>251</v>
      </c>
      <c r="R133" s="5">
        <v>9.9750000000000005E-2</v>
      </c>
      <c r="S133" s="3" t="s">
        <v>249</v>
      </c>
    </row>
    <row r="134" spans="8:19" x14ac:dyDescent="0.45">
      <c r="P134" s="12">
        <v>2042</v>
      </c>
      <c r="Q134" s="6" t="s">
        <v>252</v>
      </c>
      <c r="R134" s="8">
        <v>0.16695000000000002</v>
      </c>
      <c r="S134" s="6" t="s">
        <v>249</v>
      </c>
    </row>
    <row r="135" spans="8:19" x14ac:dyDescent="0.45">
      <c r="P135" s="11">
        <v>2042</v>
      </c>
      <c r="Q135" s="3" t="s">
        <v>253</v>
      </c>
      <c r="R135" s="5">
        <v>0.26539999999999997</v>
      </c>
      <c r="S135" s="3" t="s">
        <v>249</v>
      </c>
    </row>
    <row r="136" spans="8:19" x14ac:dyDescent="0.45">
      <c r="P136" s="12">
        <v>2042</v>
      </c>
      <c r="Q136" s="6" t="s">
        <v>254</v>
      </c>
      <c r="R136" s="8">
        <v>0.63949999999999996</v>
      </c>
      <c r="S136" s="6" t="s">
        <v>249</v>
      </c>
    </row>
    <row r="137" spans="8:19" x14ac:dyDescent="0.45">
      <c r="P137" s="11">
        <v>2043</v>
      </c>
      <c r="Q137" s="3" t="s">
        <v>248</v>
      </c>
      <c r="R137" s="5">
        <v>0.53455000000000008</v>
      </c>
      <c r="S137" s="3" t="s">
        <v>249</v>
      </c>
    </row>
    <row r="138" spans="8:19" x14ac:dyDescent="0.45">
      <c r="P138" s="12">
        <v>2043</v>
      </c>
      <c r="Q138" s="6" t="s">
        <v>250</v>
      </c>
      <c r="R138" s="8">
        <v>0.43390000000000001</v>
      </c>
      <c r="S138" s="6" t="s">
        <v>249</v>
      </c>
    </row>
    <row r="139" spans="8:19" x14ac:dyDescent="0.45">
      <c r="P139" s="11">
        <v>2043</v>
      </c>
      <c r="Q139" s="3" t="s">
        <v>251</v>
      </c>
      <c r="R139" s="5">
        <v>0.17325000000000002</v>
      </c>
      <c r="S139" s="3" t="s">
        <v>249</v>
      </c>
    </row>
    <row r="140" spans="8:19" x14ac:dyDescent="0.45">
      <c r="P140" s="12">
        <v>2043</v>
      </c>
      <c r="Q140" s="6" t="s">
        <v>252</v>
      </c>
      <c r="R140" s="8">
        <v>0.21305000000000002</v>
      </c>
      <c r="S140" s="6" t="s">
        <v>249</v>
      </c>
    </row>
    <row r="141" spans="8:19" x14ac:dyDescent="0.45">
      <c r="P141" s="11">
        <v>2043</v>
      </c>
      <c r="Q141" s="3" t="s">
        <v>253</v>
      </c>
      <c r="R141" s="5">
        <v>0.29470000000000002</v>
      </c>
      <c r="S141" s="3" t="s">
        <v>249</v>
      </c>
    </row>
    <row r="142" spans="8:19" x14ac:dyDescent="0.45">
      <c r="P142" s="12">
        <v>2043</v>
      </c>
      <c r="Q142" s="6" t="s">
        <v>254</v>
      </c>
      <c r="R142" s="8">
        <v>0.54039999999999999</v>
      </c>
      <c r="S142" s="6" t="s">
        <v>249</v>
      </c>
    </row>
    <row r="143" spans="8:19" x14ac:dyDescent="0.45">
      <c r="P143" s="11">
        <v>2044</v>
      </c>
      <c r="Q143" s="3" t="s">
        <v>248</v>
      </c>
      <c r="R143" s="5">
        <v>0.58014999999999994</v>
      </c>
      <c r="S143" s="3" t="s">
        <v>249</v>
      </c>
    </row>
    <row r="144" spans="8:19" x14ac:dyDescent="0.45">
      <c r="P144" s="12">
        <v>2044</v>
      </c>
      <c r="Q144" s="6" t="s">
        <v>250</v>
      </c>
      <c r="R144" s="8">
        <v>0.34145000000000003</v>
      </c>
      <c r="S144" s="6" t="s">
        <v>249</v>
      </c>
    </row>
    <row r="145" spans="16:19" x14ac:dyDescent="0.45">
      <c r="P145" s="11">
        <v>2044</v>
      </c>
      <c r="Q145" s="3" t="s">
        <v>251</v>
      </c>
      <c r="R145" s="5">
        <v>0.14760000000000001</v>
      </c>
      <c r="S145" s="3" t="s">
        <v>249</v>
      </c>
    </row>
    <row r="146" spans="16:19" x14ac:dyDescent="0.45">
      <c r="P146" s="12">
        <v>2044</v>
      </c>
      <c r="Q146" s="6" t="s">
        <v>252</v>
      </c>
      <c r="R146" s="8">
        <v>7.0899999999999991E-2</v>
      </c>
      <c r="S146" s="6" t="s">
        <v>249</v>
      </c>
    </row>
    <row r="147" spans="16:19" x14ac:dyDescent="0.45">
      <c r="P147" s="11">
        <v>2044</v>
      </c>
      <c r="Q147" s="3" t="s">
        <v>253</v>
      </c>
      <c r="R147" s="5">
        <v>0.36180000000000001</v>
      </c>
      <c r="S147" s="3" t="s">
        <v>249</v>
      </c>
    </row>
    <row r="148" spans="16:19" x14ac:dyDescent="0.45">
      <c r="P148" s="12">
        <v>2044</v>
      </c>
      <c r="Q148" s="6" t="s">
        <v>254</v>
      </c>
      <c r="R148" s="8">
        <v>0.58450000000000002</v>
      </c>
      <c r="S148" s="6" t="s">
        <v>249</v>
      </c>
    </row>
    <row r="149" spans="16:19" x14ac:dyDescent="0.45">
      <c r="P149" s="11">
        <v>2045</v>
      </c>
      <c r="Q149" s="3" t="s">
        <v>248</v>
      </c>
      <c r="R149" s="5">
        <v>0.58790000000000009</v>
      </c>
      <c r="S149" s="3" t="s">
        <v>249</v>
      </c>
    </row>
    <row r="150" spans="16:19" x14ac:dyDescent="0.45">
      <c r="P150" s="12">
        <v>2045</v>
      </c>
      <c r="Q150" s="6" t="s">
        <v>250</v>
      </c>
      <c r="R150" s="8">
        <v>0.33674999999999999</v>
      </c>
      <c r="S150" s="6" t="s">
        <v>249</v>
      </c>
    </row>
    <row r="151" spans="16:19" x14ac:dyDescent="0.45">
      <c r="P151" s="11">
        <v>2045</v>
      </c>
      <c r="Q151" s="3" t="s">
        <v>251</v>
      </c>
      <c r="R151" s="5">
        <v>0.1191</v>
      </c>
      <c r="S151" s="3" t="s">
        <v>249</v>
      </c>
    </row>
    <row r="152" spans="16:19" x14ac:dyDescent="0.45">
      <c r="P152" s="12">
        <v>2045</v>
      </c>
      <c r="Q152" s="6" t="s">
        <v>252</v>
      </c>
      <c r="R152" s="8">
        <v>0.14815</v>
      </c>
      <c r="S152" s="6" t="s">
        <v>249</v>
      </c>
    </row>
    <row r="153" spans="16:19" x14ac:dyDescent="0.45">
      <c r="P153" s="11">
        <v>2045</v>
      </c>
      <c r="Q153" s="3" t="s">
        <v>253</v>
      </c>
      <c r="R153" s="5">
        <v>0.28754999999999997</v>
      </c>
      <c r="S153" s="3" t="s">
        <v>249</v>
      </c>
    </row>
    <row r="154" spans="16:19" x14ac:dyDescent="0.45">
      <c r="P154" s="12">
        <v>2045</v>
      </c>
      <c r="Q154" s="6" t="s">
        <v>254</v>
      </c>
      <c r="R154" s="8">
        <v>0.58289999999999997</v>
      </c>
      <c r="S154" s="6" t="s">
        <v>249</v>
      </c>
    </row>
    <row r="155" spans="16:19" x14ac:dyDescent="0.45">
      <c r="P155" s="11">
        <v>2046</v>
      </c>
      <c r="Q155" s="3" t="s">
        <v>248</v>
      </c>
      <c r="R155" s="5">
        <v>0.66569999999999996</v>
      </c>
      <c r="S155" s="3" t="s">
        <v>249</v>
      </c>
    </row>
    <row r="156" spans="16:19" x14ac:dyDescent="0.45">
      <c r="P156" s="12">
        <v>2046</v>
      </c>
      <c r="Q156" s="6" t="s">
        <v>250</v>
      </c>
      <c r="R156" s="8">
        <v>0.3861</v>
      </c>
      <c r="S156" s="6" t="s">
        <v>249</v>
      </c>
    </row>
    <row r="157" spans="16:19" x14ac:dyDescent="0.45">
      <c r="P157" s="11">
        <v>2046</v>
      </c>
      <c r="Q157" s="3" t="s">
        <v>251</v>
      </c>
      <c r="R157" s="5">
        <v>0.17645</v>
      </c>
      <c r="S157" s="3" t="s">
        <v>249</v>
      </c>
    </row>
    <row r="158" spans="16:19" x14ac:dyDescent="0.45">
      <c r="P158" s="12">
        <v>2046</v>
      </c>
      <c r="Q158" s="6" t="s">
        <v>252</v>
      </c>
      <c r="R158" s="8">
        <v>0.11549999999999999</v>
      </c>
      <c r="S158" s="6" t="s">
        <v>249</v>
      </c>
    </row>
    <row r="159" spans="16:19" x14ac:dyDescent="0.45">
      <c r="P159" s="11">
        <v>2046</v>
      </c>
      <c r="Q159" s="3" t="s">
        <v>253</v>
      </c>
      <c r="R159" s="5">
        <v>0.3387</v>
      </c>
      <c r="S159" s="3" t="s">
        <v>249</v>
      </c>
    </row>
    <row r="160" spans="16:19" x14ac:dyDescent="0.45">
      <c r="P160" s="12">
        <v>2046</v>
      </c>
      <c r="Q160" s="6" t="s">
        <v>254</v>
      </c>
      <c r="R160" s="8">
        <v>0.48415000000000002</v>
      </c>
      <c r="S160" s="6" t="s">
        <v>249</v>
      </c>
    </row>
    <row r="161" spans="16:19" x14ac:dyDescent="0.45">
      <c r="P161" s="11">
        <v>2047</v>
      </c>
      <c r="Q161" s="3" t="s">
        <v>248</v>
      </c>
      <c r="R161" s="5">
        <v>0.65074999999999994</v>
      </c>
      <c r="S161" s="3" t="s">
        <v>249</v>
      </c>
    </row>
    <row r="162" spans="16:19" x14ac:dyDescent="0.45">
      <c r="P162" s="12">
        <v>2047</v>
      </c>
      <c r="Q162" s="6" t="s">
        <v>250</v>
      </c>
      <c r="R162" s="8">
        <v>0.41994999999999999</v>
      </c>
      <c r="S162" s="6" t="s">
        <v>249</v>
      </c>
    </row>
    <row r="163" spans="16:19" x14ac:dyDescent="0.45">
      <c r="P163" s="11">
        <v>2047</v>
      </c>
      <c r="Q163" s="3" t="s">
        <v>251</v>
      </c>
      <c r="R163" s="5">
        <v>0.15905</v>
      </c>
      <c r="S163" s="3" t="s">
        <v>249</v>
      </c>
    </row>
    <row r="164" spans="16:19" x14ac:dyDescent="0.45">
      <c r="P164" s="12">
        <v>2047</v>
      </c>
      <c r="Q164" s="6" t="s">
        <v>252</v>
      </c>
      <c r="R164" s="8">
        <v>0.2261</v>
      </c>
      <c r="S164" s="6" t="s">
        <v>249</v>
      </c>
    </row>
    <row r="165" spans="16:19" x14ac:dyDescent="0.45">
      <c r="P165" s="11">
        <v>2047</v>
      </c>
      <c r="Q165" s="3" t="s">
        <v>253</v>
      </c>
      <c r="R165" s="5">
        <v>0.40760000000000002</v>
      </c>
      <c r="S165" s="3" t="s">
        <v>249</v>
      </c>
    </row>
    <row r="166" spans="16:19" x14ac:dyDescent="0.45">
      <c r="P166" s="12">
        <v>2047</v>
      </c>
      <c r="Q166" s="6" t="s">
        <v>254</v>
      </c>
      <c r="R166" s="8">
        <v>0.53380000000000005</v>
      </c>
      <c r="S166" s="6" t="s">
        <v>249</v>
      </c>
    </row>
    <row r="167" spans="16:19" x14ac:dyDescent="0.45">
      <c r="P167" s="11">
        <v>2048</v>
      </c>
      <c r="Q167" s="3" t="s">
        <v>248</v>
      </c>
      <c r="R167" s="5">
        <v>0.59200000000000008</v>
      </c>
      <c r="S167" s="3" t="s">
        <v>249</v>
      </c>
    </row>
    <row r="168" spans="16:19" x14ac:dyDescent="0.45">
      <c r="P168" s="12">
        <v>2048</v>
      </c>
      <c r="Q168" s="6" t="s">
        <v>250</v>
      </c>
      <c r="R168" s="8">
        <v>0.34065000000000001</v>
      </c>
      <c r="S168" s="6" t="s">
        <v>249</v>
      </c>
    </row>
    <row r="169" spans="16:19" x14ac:dyDescent="0.45">
      <c r="P169" s="11">
        <v>2048</v>
      </c>
      <c r="Q169" s="3" t="s">
        <v>251</v>
      </c>
      <c r="R169" s="5">
        <v>0.10139999999999999</v>
      </c>
      <c r="S169" s="3" t="s">
        <v>249</v>
      </c>
    </row>
    <row r="170" spans="16:19" x14ac:dyDescent="0.45">
      <c r="P170" s="12">
        <v>2048</v>
      </c>
      <c r="Q170" s="6" t="s">
        <v>252</v>
      </c>
      <c r="R170" s="8">
        <v>0.23620000000000002</v>
      </c>
      <c r="S170" s="6" t="s">
        <v>249</v>
      </c>
    </row>
    <row r="171" spans="16:19" x14ac:dyDescent="0.45">
      <c r="P171" s="11">
        <v>2048</v>
      </c>
      <c r="Q171" s="3" t="s">
        <v>253</v>
      </c>
      <c r="R171" s="5">
        <v>0.37470000000000003</v>
      </c>
      <c r="S171" s="3" t="s">
        <v>249</v>
      </c>
    </row>
    <row r="172" spans="16:19" x14ac:dyDescent="0.45">
      <c r="P172" s="12">
        <v>2048</v>
      </c>
      <c r="Q172" s="6" t="s">
        <v>254</v>
      </c>
      <c r="R172" s="8">
        <v>0.58875</v>
      </c>
      <c r="S172" s="6" t="s">
        <v>249</v>
      </c>
    </row>
    <row r="173" spans="16:19" x14ac:dyDescent="0.45">
      <c r="P173" s="11">
        <v>2049</v>
      </c>
      <c r="Q173" s="3" t="s">
        <v>248</v>
      </c>
      <c r="R173" s="5">
        <v>0.54790000000000005</v>
      </c>
      <c r="S173" s="3" t="s">
        <v>249</v>
      </c>
    </row>
    <row r="174" spans="16:19" x14ac:dyDescent="0.45">
      <c r="P174" s="12">
        <v>2049</v>
      </c>
      <c r="Q174" s="6" t="s">
        <v>250</v>
      </c>
      <c r="R174" s="8">
        <v>0.34615000000000001</v>
      </c>
      <c r="S174" s="6" t="s">
        <v>249</v>
      </c>
    </row>
    <row r="175" spans="16:19" x14ac:dyDescent="0.45">
      <c r="P175" s="11">
        <v>2049</v>
      </c>
      <c r="Q175" s="3" t="s">
        <v>251</v>
      </c>
      <c r="R175" s="5">
        <v>0.16694999999999999</v>
      </c>
      <c r="S175" s="3" t="s">
        <v>249</v>
      </c>
    </row>
    <row r="176" spans="16:19" x14ac:dyDescent="0.45">
      <c r="P176" s="12">
        <v>2049</v>
      </c>
      <c r="Q176" s="6" t="s">
        <v>252</v>
      </c>
      <c r="R176" s="8">
        <v>0.16120000000000001</v>
      </c>
      <c r="S176" s="6" t="s">
        <v>249</v>
      </c>
    </row>
    <row r="177" spans="16:19" x14ac:dyDescent="0.45">
      <c r="P177" s="11">
        <v>2049</v>
      </c>
      <c r="Q177" s="3" t="s">
        <v>253</v>
      </c>
      <c r="R177" s="5">
        <v>0.34084999999999999</v>
      </c>
      <c r="S177" s="3" t="s">
        <v>249</v>
      </c>
    </row>
    <row r="178" spans="16:19" x14ac:dyDescent="0.45">
      <c r="P178" s="12">
        <v>2049</v>
      </c>
      <c r="Q178" s="6" t="s">
        <v>254</v>
      </c>
      <c r="R178" s="8">
        <v>0.54754999999999998</v>
      </c>
      <c r="S178" s="6" t="s">
        <v>249</v>
      </c>
    </row>
    <row r="179" spans="16:19" x14ac:dyDescent="0.45">
      <c r="P179" s="11">
        <v>2050</v>
      </c>
      <c r="Q179" s="3" t="s">
        <v>248</v>
      </c>
      <c r="R179" s="5">
        <v>0.59904999999999997</v>
      </c>
      <c r="S179" s="3" t="s">
        <v>249</v>
      </c>
    </row>
    <row r="180" spans="16:19" x14ac:dyDescent="0.45">
      <c r="P180" s="12">
        <v>2050</v>
      </c>
      <c r="Q180" s="6" t="s">
        <v>250</v>
      </c>
      <c r="R180" s="8">
        <v>0.34165000000000001</v>
      </c>
      <c r="S180" s="6" t="s">
        <v>249</v>
      </c>
    </row>
    <row r="181" spans="16:19" x14ac:dyDescent="0.45">
      <c r="P181" s="11">
        <v>2050</v>
      </c>
      <c r="Q181" s="3" t="s">
        <v>251</v>
      </c>
      <c r="R181" s="5">
        <v>0.20619999999999999</v>
      </c>
      <c r="S181" s="3" t="s">
        <v>249</v>
      </c>
    </row>
    <row r="182" spans="16:19" x14ac:dyDescent="0.45">
      <c r="P182" s="12">
        <v>2050</v>
      </c>
      <c r="Q182" s="6" t="s">
        <v>252</v>
      </c>
      <c r="R182" s="8">
        <v>0.16914999999999999</v>
      </c>
      <c r="S182" s="6" t="s">
        <v>249</v>
      </c>
    </row>
    <row r="183" spans="16:19" x14ac:dyDescent="0.45">
      <c r="P183" s="11">
        <v>2050</v>
      </c>
      <c r="Q183" s="3" t="s">
        <v>253</v>
      </c>
      <c r="R183" s="5">
        <v>0.28449999999999998</v>
      </c>
      <c r="S183" s="3" t="s">
        <v>249</v>
      </c>
    </row>
    <row r="184" spans="16:19" x14ac:dyDescent="0.45">
      <c r="P184" s="12">
        <v>2050</v>
      </c>
      <c r="Q184" s="6" t="s">
        <v>254</v>
      </c>
      <c r="R184" s="8">
        <v>0.53225</v>
      </c>
      <c r="S184" s="6" t="s">
        <v>249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7424-CD58-4C89-82F3-2B7B0F229F95}">
  <dimension ref="A1:N33"/>
  <sheetViews>
    <sheetView workbookViewId="0">
      <selection activeCell="F32" sqref="F32"/>
    </sheetView>
  </sheetViews>
  <sheetFormatPr defaultRowHeight="14.25" x14ac:dyDescent="0.45"/>
  <cols>
    <col min="3" max="3" width="10.59765625" customWidth="1"/>
    <col min="4" max="4" width="30.59765625" customWidth="1"/>
    <col min="8" max="8" width="9.46484375" bestFit="1" customWidth="1"/>
    <col min="9" max="9" width="10.59765625" bestFit="1" customWidth="1"/>
    <col min="10" max="10" width="9.3984375" bestFit="1" customWidth="1"/>
  </cols>
  <sheetData>
    <row r="1" spans="1:8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8" ht="14.65" thickBot="1" x14ac:dyDescent="0.5"/>
    <row r="10" spans="1:8" ht="15.75" thickBot="1" x14ac:dyDescent="0.6">
      <c r="A10" t="s">
        <v>239</v>
      </c>
      <c r="B10" s="13"/>
      <c r="C10" s="2" t="s">
        <v>332</v>
      </c>
      <c r="D10" s="2" t="s">
        <v>239</v>
      </c>
    </row>
    <row r="11" spans="1:8" x14ac:dyDescent="0.45">
      <c r="B11" s="13"/>
      <c r="C11" s="3" t="s">
        <v>333</v>
      </c>
      <c r="D11" s="3" t="s">
        <v>334</v>
      </c>
    </row>
    <row r="12" spans="1:8" x14ac:dyDescent="0.45">
      <c r="B12" s="13"/>
      <c r="C12" s="14" t="s">
        <v>335</v>
      </c>
      <c r="D12" s="6" t="s">
        <v>336</v>
      </c>
    </row>
    <row r="17" spans="3:14" x14ac:dyDescent="0.45">
      <c r="I17" s="15">
        <v>0.75</v>
      </c>
      <c r="K17" s="16" t="s">
        <v>337</v>
      </c>
    </row>
    <row r="18" spans="3:14" ht="17.649999999999999" thickBot="1" x14ac:dyDescent="0.6">
      <c r="C18" s="17" t="s">
        <v>338</v>
      </c>
    </row>
    <row r="19" spans="3:14" ht="14.65" thickTop="1" x14ac:dyDescent="0.45"/>
    <row r="21" spans="3:14" ht="17.649999999999999" thickBot="1" x14ac:dyDescent="0.6">
      <c r="H21" s="17" t="str">
        <f>IF(H23=H24,"Not Required!","~UC_T: LO")</f>
        <v>~UC_T: LO</v>
      </c>
    </row>
    <row r="22" spans="3:14" ht="15" thickTop="1" thickBot="1" x14ac:dyDescent="0.5">
      <c r="C22" s="18" t="s">
        <v>339</v>
      </c>
      <c r="D22" s="18" t="s">
        <v>340</v>
      </c>
      <c r="E22" s="18" t="s">
        <v>341</v>
      </c>
      <c r="F22" s="18" t="s">
        <v>342</v>
      </c>
      <c r="G22" s="18" t="s">
        <v>343</v>
      </c>
      <c r="H22" s="18" t="s">
        <v>344</v>
      </c>
      <c r="I22" s="18" t="s">
        <v>345</v>
      </c>
      <c r="J22" s="18" t="s">
        <v>346</v>
      </c>
      <c r="K22" s="18" t="s">
        <v>347</v>
      </c>
    </row>
    <row r="23" spans="3:14" x14ac:dyDescent="0.45">
      <c r="C23" t="s">
        <v>348</v>
      </c>
      <c r="D23" t="s">
        <v>247</v>
      </c>
      <c r="E23" t="str">
        <f>G23</f>
        <v>AuxStoIN</v>
      </c>
      <c r="F23" t="s">
        <v>349</v>
      </c>
      <c r="G23" t="s">
        <v>350</v>
      </c>
      <c r="H23" t="str">
        <f>HLOOKUP($A$10,$D$10:$CU$12,3,FALSE)</f>
        <v>S01aH02,S05aH10,S01aH09,S03aH08,S03aH10,S06aH08,S02aH01,S02aH10,S05aH02,S02aH02,S04aH10,S06aH10,S01aH10,S03aH02,S06aH09,S01aH08,S02aH08,S05aH08,S03aH09,S05aH09,S02aH09,S04aH09,S05aH01,S03aH01,S01aH01,S04aH01,S06aH02,S04aH02,S04aH08,S06aH01</v>
      </c>
      <c r="I23">
        <f>1+I24</f>
        <v>0.25</v>
      </c>
      <c r="J23">
        <v>0</v>
      </c>
      <c r="K23">
        <v>3</v>
      </c>
      <c r="M23" t="s">
        <v>351</v>
      </c>
    </row>
    <row r="24" spans="3:14" x14ac:dyDescent="0.45">
      <c r="D24" t="s">
        <v>247</v>
      </c>
      <c r="E24" t="str">
        <f>G24</f>
        <v>AuxStoIN</v>
      </c>
      <c r="F24" t="s">
        <v>349</v>
      </c>
      <c r="G24" t="s">
        <v>350</v>
      </c>
      <c r="H24" t="str">
        <f>HLOOKUP($A$10,$D$10:$CU$12,2,FALSE)</f>
        <v>S01aH05,S01aH08,S02aH08,S03aH06,S03aH07,S06aH05,S01aH04,S01aH07,S02aH07,S02aH04,S02aH05,S06aH07,S04aH03,S03aH03,S04aH02,S04aH06,S05aH04,S06aH02,S06aH03,S01aH02,S04aH04,S04aH05,S04aH08,S02aH06,S03aH05,S03aH08,S04aH07,S05aH05,S06aH04,S06aH08,S03aH04,S02aH02,S06aH06,S01aH03,S05aH02,S05aH03,S05aH06,S01aH06,S02aH03,S05aH07,S03aH02,S05aH08</v>
      </c>
      <c r="I24">
        <f>-$I$17</f>
        <v>-0.75</v>
      </c>
      <c r="M24" t="s">
        <v>352</v>
      </c>
    </row>
    <row r="29" spans="3:14" ht="17.649999999999999" thickBot="1" x14ac:dyDescent="0.6">
      <c r="I29" s="17" t="s">
        <v>353</v>
      </c>
    </row>
    <row r="30" spans="3:14" ht="15" thickTop="1" thickBot="1" x14ac:dyDescent="0.5">
      <c r="C30" s="18" t="s">
        <v>339</v>
      </c>
      <c r="D30" s="18" t="s">
        <v>354</v>
      </c>
      <c r="E30" s="18" t="s">
        <v>355</v>
      </c>
      <c r="F30" s="18" t="s">
        <v>340</v>
      </c>
      <c r="G30" s="18" t="s">
        <v>356</v>
      </c>
      <c r="H30" s="18" t="s">
        <v>343</v>
      </c>
      <c r="I30" s="18" t="s">
        <v>344</v>
      </c>
      <c r="J30" s="18" t="s">
        <v>357</v>
      </c>
      <c r="K30" s="18" t="s">
        <v>358</v>
      </c>
      <c r="L30" s="18" t="s">
        <v>359</v>
      </c>
      <c r="M30" s="18" t="s">
        <v>360</v>
      </c>
      <c r="N30" s="18" t="s">
        <v>361</v>
      </c>
    </row>
    <row r="31" spans="3:14" x14ac:dyDescent="0.45">
      <c r="C31" t="s">
        <v>362</v>
      </c>
      <c r="D31" t="s">
        <v>363</v>
      </c>
      <c r="F31" t="s">
        <v>364</v>
      </c>
      <c r="I31" t="s">
        <v>365</v>
      </c>
      <c r="J31">
        <v>1</v>
      </c>
      <c r="L31">
        <v>0</v>
      </c>
      <c r="M31">
        <v>5</v>
      </c>
      <c r="N31" t="s">
        <v>366</v>
      </c>
    </row>
    <row r="32" spans="3:14" x14ac:dyDescent="0.45">
      <c r="H32" t="s">
        <v>151</v>
      </c>
      <c r="I32" t="s">
        <v>365</v>
      </c>
      <c r="K32">
        <v>-1</v>
      </c>
    </row>
    <row r="33" spans="8:11" x14ac:dyDescent="0.45">
      <c r="H33" t="s">
        <v>367</v>
      </c>
      <c r="I33" t="s">
        <v>365</v>
      </c>
      <c r="K33">
        <v>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6115-5CD2-459C-AC31-9CF16E85798E}">
  <dimension ref="A1:H20"/>
  <sheetViews>
    <sheetView tabSelected="1" workbookViewId="0">
      <selection sqref="A1:H1"/>
    </sheetView>
  </sheetViews>
  <sheetFormatPr defaultRowHeight="14.25" x14ac:dyDescent="0.45"/>
  <cols>
    <col min="3" max="5" width="10.59765625" customWidth="1"/>
    <col min="6" max="6" width="18.1328125" bestFit="1" customWidth="1"/>
    <col min="7" max="7" width="10.59765625" customWidth="1"/>
  </cols>
  <sheetData>
    <row r="1" spans="1:8" ht="22.0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</row>
    <row r="9" spans="1:8" ht="14.65" thickBot="1" x14ac:dyDescent="0.5">
      <c r="C9" s="1" t="str">
        <f>IF(A11="x","DeActivated","~TimeSlices")</f>
        <v>~TimeSlices</v>
      </c>
    </row>
    <row r="10" spans="1:8" ht="15.75" thickBot="1" x14ac:dyDescent="0.6">
      <c r="A10" t="s">
        <v>239</v>
      </c>
      <c r="C10" s="2" t="s">
        <v>368</v>
      </c>
      <c r="D10" s="2" t="s">
        <v>369</v>
      </c>
      <c r="E10" s="2" t="s">
        <v>370</v>
      </c>
      <c r="F10" s="2" t="s">
        <v>371</v>
      </c>
      <c r="G10" s="2" t="s">
        <v>372</v>
      </c>
    </row>
    <row r="11" spans="1:8" x14ac:dyDescent="0.45">
      <c r="C11" s="3" t="s">
        <v>248</v>
      </c>
      <c r="D11" s="3" t="s">
        <v>373</v>
      </c>
      <c r="E11" s="3" t="s">
        <v>374</v>
      </c>
      <c r="F11" s="3" t="s">
        <v>375</v>
      </c>
      <c r="G11" s="3" t="s">
        <v>373</v>
      </c>
    </row>
    <row r="12" spans="1:8" x14ac:dyDescent="0.45">
      <c r="C12" s="6" t="s">
        <v>250</v>
      </c>
      <c r="D12" s="6"/>
      <c r="E12" s="6" t="s">
        <v>376</v>
      </c>
      <c r="F12" s="6"/>
      <c r="G12" s="6" t="s">
        <v>373</v>
      </c>
    </row>
    <row r="13" spans="1:8" x14ac:dyDescent="0.45">
      <c r="C13" s="3" t="s">
        <v>251</v>
      </c>
      <c r="D13" s="3"/>
      <c r="E13" s="3" t="s">
        <v>377</v>
      </c>
      <c r="F13" s="3"/>
      <c r="G13" s="3" t="s">
        <v>373</v>
      </c>
    </row>
    <row r="14" spans="1:8" x14ac:dyDescent="0.45">
      <c r="C14" s="6" t="s">
        <v>252</v>
      </c>
      <c r="D14" s="6"/>
      <c r="E14" s="6" t="s">
        <v>378</v>
      </c>
      <c r="F14" s="6"/>
      <c r="G14" s="6" t="s">
        <v>373</v>
      </c>
    </row>
    <row r="15" spans="1:8" x14ac:dyDescent="0.45">
      <c r="C15" s="3" t="s">
        <v>253</v>
      </c>
      <c r="D15" s="3"/>
      <c r="E15" s="3" t="s">
        <v>379</v>
      </c>
      <c r="F15" s="3"/>
      <c r="G15" s="3" t="s">
        <v>373</v>
      </c>
    </row>
    <row r="16" spans="1:8" x14ac:dyDescent="0.45">
      <c r="C16" s="6" t="s">
        <v>254</v>
      </c>
      <c r="D16" s="6"/>
      <c r="E16" s="6" t="s">
        <v>380</v>
      </c>
      <c r="F16" s="6"/>
      <c r="G16" s="6" t="s">
        <v>373</v>
      </c>
    </row>
    <row r="17" spans="3:7" x14ac:dyDescent="0.45">
      <c r="C17" s="3"/>
      <c r="D17" s="3"/>
      <c r="E17" s="3" t="s">
        <v>381</v>
      </c>
      <c r="F17" s="3"/>
      <c r="G17" s="3" t="s">
        <v>373</v>
      </c>
    </row>
    <row r="18" spans="3:7" x14ac:dyDescent="0.45">
      <c r="C18" s="6"/>
      <c r="D18" s="6"/>
      <c r="E18" s="6" t="s">
        <v>382</v>
      </c>
      <c r="F18" s="6"/>
      <c r="G18" s="6" t="s">
        <v>373</v>
      </c>
    </row>
    <row r="19" spans="3:7" x14ac:dyDescent="0.45">
      <c r="C19" s="3"/>
      <c r="D19" s="3"/>
      <c r="E19" s="3" t="s">
        <v>383</v>
      </c>
      <c r="F19" s="3"/>
      <c r="G19" s="3" t="s">
        <v>373</v>
      </c>
    </row>
    <row r="20" spans="3:7" x14ac:dyDescent="0.45">
      <c r="C20" s="6"/>
      <c r="D20" s="6"/>
      <c r="E20" s="6" t="s">
        <v>384</v>
      </c>
      <c r="F20" s="6"/>
      <c r="G20" s="6" t="s">
        <v>373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resource_profiles_GBR</vt:lpstr>
      <vt:lpstr>firmness_GBR</vt:lpstr>
      <vt:lpstr>load_demand_peak_hydro_GBR</vt:lpstr>
      <vt:lpstr>resource_profiles_IRL</vt:lpstr>
      <vt:lpstr>firmness_IRL</vt:lpstr>
      <vt:lpstr>load_demand_peak_hydro_IRL</vt:lpstr>
      <vt:lpstr>ev_charging_uc</vt:lpstr>
      <vt:lpstr>timeslice_def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2026-09-16T05:36:36Z</dcterms:created>
  <dcterms:modified xsi:type="dcterms:W3CDTF">2026-09-16T05:36:48Z</dcterms:modified>
</cp:coreProperties>
</file>