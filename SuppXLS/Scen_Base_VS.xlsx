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Veda\Veda\Veda_models\vervestacks_models\VS_UoG_IE_UK\SuppXLS\"/>
    </mc:Choice>
  </mc:AlternateContent>
  <xr:revisionPtr revIDLastSave="0" documentId="13_ncr:1_{CBDF672F-068D-428B-B4FC-5F4482CC122F}" xr6:coauthVersionLast="47" xr6:coauthVersionMax="47" xr10:uidLastSave="{00000000-0000-0000-0000-000000000000}"/>
  <bookViews>
    <workbookView xWindow="-98" yWindow="-98" windowWidth="28996" windowHeight="17475" firstSheet="10" activeTab="10" xr2:uid="{23ABA448-1549-4E6C-A82B-8EEF5F85AE37}"/>
  </bookViews>
  <sheets>
    <sheet name="grids_GBR" sheetId="2" r:id="rId1"/>
    <sheet name="Veda_GBR" sheetId="3" r:id="rId2"/>
    <sheet name="buildrates_GBR" sheetId="4" r:id="rId3"/>
    <sheet name="vre agg cap_GBR" sheetId="5" r:id="rId4"/>
    <sheet name="grids_IRL" sheetId="6" r:id="rId5"/>
    <sheet name="Veda_IRL" sheetId="7" r:id="rId6"/>
    <sheet name="buildrates_IRL" sheetId="8" r:id="rId7"/>
    <sheet name="vre agg cap_IRL" sheetId="9" r:id="rId8"/>
    <sheet name="re_targets" sheetId="10" r:id="rId9"/>
    <sheet name="emissions" sheetId="11" r:id="rId10"/>
    <sheet name="grids_crossborder"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9" i="11" l="1"/>
  <c r="E6" i="11"/>
  <c r="E5" i="11"/>
  <c r="E4" i="11"/>
  <c r="G23" i="8"/>
  <c r="F23" i="8"/>
  <c r="C23" i="8"/>
  <c r="B23" i="8"/>
  <c r="G22" i="8"/>
  <c r="F22" i="8"/>
  <c r="C22" i="8"/>
  <c r="B22" i="8"/>
  <c r="G21" i="8"/>
  <c r="F21" i="8"/>
  <c r="C21" i="8"/>
  <c r="B21" i="8"/>
  <c r="G20" i="8"/>
  <c r="F20" i="8"/>
  <c r="C20" i="8"/>
  <c r="B20" i="8"/>
  <c r="AB10" i="7"/>
  <c r="AC10" i="7" s="1"/>
  <c r="AA10" i="7"/>
  <c r="S10" i="7"/>
  <c r="T10" i="7" s="1"/>
  <c r="Q10" i="7"/>
  <c r="AB9" i="7"/>
  <c r="AC9" i="7" s="1"/>
  <c r="AA9" i="7"/>
  <c r="S9" i="7"/>
  <c r="T9" i="7" s="1"/>
  <c r="Q9" i="7"/>
  <c r="P9" i="7"/>
  <c r="P10" i="7" s="1"/>
  <c r="AB8" i="7"/>
  <c r="AC8" i="7" s="1"/>
  <c r="AA8" i="7"/>
  <c r="S8" i="7"/>
  <c r="T8" i="7" s="1"/>
  <c r="Q8" i="7"/>
  <c r="G23" i="4" l="1"/>
  <c r="F23" i="4"/>
  <c r="C23" i="4"/>
  <c r="B23" i="4"/>
  <c r="G22" i="4"/>
  <c r="F22" i="4"/>
  <c r="C22" i="4"/>
  <c r="B22" i="4"/>
  <c r="G21" i="4"/>
  <c r="F21" i="4"/>
  <c r="C21" i="4"/>
  <c r="B21" i="4"/>
  <c r="G20" i="4"/>
  <c r="F20" i="4"/>
  <c r="C20" i="4"/>
  <c r="B20" i="4"/>
  <c r="AB10" i="3"/>
  <c r="AC10" i="3" s="1"/>
  <c r="AA10" i="3"/>
  <c r="S10" i="3"/>
  <c r="T10" i="3" s="1"/>
  <c r="Q10" i="3"/>
  <c r="AB9" i="3"/>
  <c r="AC9" i="3" s="1"/>
  <c r="AA9" i="3"/>
  <c r="S9" i="3"/>
  <c r="T9" i="3" s="1"/>
  <c r="Q9" i="3"/>
  <c r="P9" i="3"/>
  <c r="P10" i="3" s="1"/>
  <c r="AB8" i="3"/>
  <c r="AC8" i="3" s="1"/>
  <c r="AA8" i="3"/>
  <c r="S8" i="3"/>
  <c r="T8" i="3" s="1"/>
  <c r="Q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9" authorId="0" shapeId="0" xr:uid="{61969019-1180-40BC-BB1B-D04D88E8E746}">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<sst xmlns="http://schemas.openxmlformats.org/spreadsheetml/2006/main" count="6858" uniqueCount="1249">
  <si>
    <t>VERVESTACKS - the open USE platform · Powered by data · Shaped by vision · Guided by intuition · Fueled by passion</t>
  </si>
  <si>
    <t>~TFM_DINS-AT</t>
  </si>
  <si>
    <t>~TFM_TOPDINS</t>
  </si>
  <si>
    <t>process</t>
  </si>
  <si>
    <t>pasti</t>
  </si>
  <si>
    <t>ncap_cost</t>
  </si>
  <si>
    <t>efficiency</t>
  </si>
  <si>
    <t>commodity</t>
  </si>
  <si>
    <t>flo_mark</t>
  </si>
  <si>
    <t>lim_type</t>
  </si>
  <si>
    <t>region</t>
  </si>
  <si>
    <t>io</t>
  </si>
  <si>
    <t>g_Ashford_GBR-Reading_GBR</t>
  </si>
  <si>
    <t>e_demand_Peterborough_GBR</t>
  </si>
  <si>
    <t>elc_buildings</t>
  </si>
  <si>
    <t>lo</t>
  </si>
  <si>
    <t>GBR</t>
  </si>
  <si>
    <t>e_Peterborough_GBR</t>
  </si>
  <si>
    <t>IN</t>
  </si>
  <si>
    <t>en_gas_ccgt_Peterborough_GBR</t>
  </si>
  <si>
    <t>OUT</t>
  </si>
  <si>
    <t>limtype</t>
  </si>
  <si>
    <t>flo_bnd</t>
  </si>
  <si>
    <t>stgout_bnd</t>
  </si>
  <si>
    <t>year</t>
  </si>
  <si>
    <t>pset_set</t>
  </si>
  <si>
    <t>top_check</t>
  </si>
  <si>
    <t>g_Basildon_GBR-Ashford_GBR</t>
  </si>
  <si>
    <t>elc_transport</t>
  </si>
  <si>
    <t>e_demand_Basildon_GBR</t>
  </si>
  <si>
    <t>e_Basildon_GBR</t>
  </si>
  <si>
    <t>en_gas_turbine_Peterborough_GBR</t>
  </si>
  <si>
    <t>ELC</t>
  </si>
  <si>
    <t>UP</t>
  </si>
  <si>
    <t>ELE,DMD,PRE</t>
  </si>
  <si>
    <t>all</t>
  </si>
  <si>
    <t>g_Basildon_GBR-Ipswich_GBR</t>
  </si>
  <si>
    <t>elc_roadtransport</t>
  </si>
  <si>
    <t>e_demand_Aberdeen_GBR</t>
  </si>
  <si>
    <t>e_Aberdeen_GBR</t>
  </si>
  <si>
    <t>en_gas_ccs_Peterborough_GBR</t>
  </si>
  <si>
    <t>STG</t>
  </si>
  <si>
    <t>g_Belfast_GBR-Stranraer_GBR</t>
  </si>
  <si>
    <t>e_demand_Wick_GBR</t>
  </si>
  <si>
    <t>e_Wick_GBR</t>
  </si>
  <si>
    <t>en_coal_subcritical_Peterborough_GBR</t>
  </si>
  <si>
    <t>g_Caerdydd_GBR-Manchester_GBR</t>
  </si>
  <si>
    <t>e_demand_Belfast_GBR</t>
  </si>
  <si>
    <t>e_Belfast_GBR</t>
  </si>
  <si>
    <t>en_coal_supercritical_Peterborough_GBR</t>
  </si>
  <si>
    <t>g_Caerdydd_GBR-Reading_GBR</t>
  </si>
  <si>
    <t>e_demand_Stranraer_GBR</t>
  </si>
  <si>
    <t>e_Stranraer_GBR</t>
  </si>
  <si>
    <t>en_coal_ultrasupercritical_Peterborough_GBR</t>
  </si>
  <si>
    <t>g_Derry_GBR-Lisburn_GBR</t>
  </si>
  <si>
    <t>e_demand_Glasgow_GBR</t>
  </si>
  <si>
    <t>e_Glasgow_GBR</t>
  </si>
  <si>
    <t>en_coal_igcc_Peterborough_GBR</t>
  </si>
  <si>
    <t>g_Elgin_GBR-Aberdeen_GBR</t>
  </si>
  <si>
    <t>e_demand_Lisburn_GBR</t>
  </si>
  <si>
    <t>e_Lisburn_GBR</t>
  </si>
  <si>
    <t>en_nuclear_Peterborough_GBR</t>
  </si>
  <si>
    <t>g_Elgin_GBR-Glasgow_GBR</t>
  </si>
  <si>
    <t>e_demand_Ipswich_GBR</t>
  </si>
  <si>
    <t>e_Ipswich_GBR</t>
  </si>
  <si>
    <t>en_nuclear_smr_Peterborough_GBR</t>
  </si>
  <si>
    <t>g_Glasgow_GBR-Aberdeen_GBR</t>
  </si>
  <si>
    <t>e_demand_Paisley_GBR</t>
  </si>
  <si>
    <t>e_Paisley_GBR</t>
  </si>
  <si>
    <t>en_biomass_Peterborough_GBR</t>
  </si>
  <si>
    <t>g_Glasgow_GBR-Newcastle_GBR</t>
  </si>
  <si>
    <t>e_demand_Reading_GBR</t>
  </si>
  <si>
    <t>e_Reading_GBR</t>
  </si>
  <si>
    <t>en_chp_gas_cc_ext_Peterborough_GBR</t>
  </si>
  <si>
    <t>g_Glasgow_GBR-Paisley_GBR</t>
  </si>
  <si>
    <t>e_demand_Plymouth_GBR</t>
  </si>
  <si>
    <t>e_Plymouth_GBR</t>
  </si>
  <si>
    <t>h_Peterborough_GBR</t>
  </si>
  <si>
    <t>g_Glasgow_GBR-Preston_GBR</t>
  </si>
  <si>
    <t>e_demand_Liverpool_GBR</t>
  </si>
  <si>
    <t>e_Liverpool_GBR</t>
  </si>
  <si>
    <t>en_chp_biomass_chips_ext_Peterborough_GBR</t>
  </si>
  <si>
    <t>g_Glasgow_GBR-Wick_GBR</t>
  </si>
  <si>
    <t>e_demand_Derry_GBR</t>
  </si>
  <si>
    <t>e_Derry_GBR</t>
  </si>
  <si>
    <t>g_Lisburn_GBR-Belfast_GBR</t>
  </si>
  <si>
    <t>e_demand_Elgin_GBR</t>
  </si>
  <si>
    <t>e_Elgin_GBR</t>
  </si>
  <si>
    <t>en_chp_gas_cc_ext_ccs_Peterborough_GBR</t>
  </si>
  <si>
    <t>g_Liverpool_GBR-Manchester_GBR</t>
  </si>
  <si>
    <t>e_demand_Portsmouth_GBR</t>
  </si>
  <si>
    <t>e_Portsmouth_GBR</t>
  </si>
  <si>
    <t>g_Liverpool_GBR-Preston_GBR</t>
  </si>
  <si>
    <t>e_demand_Newcastle_GBR</t>
  </si>
  <si>
    <t>e_Newcastle_GBR</t>
  </si>
  <si>
    <t>en_hop_gas_boiler_Peterborough_GBR</t>
  </si>
  <si>
    <t>g_Manchester_GBR-Liverpool_GBR</t>
  </si>
  <si>
    <t>e_demand_Ashford_GBR</t>
  </si>
  <si>
    <t>e_Ashford_GBR</t>
  </si>
  <si>
    <t>en_hop_biomass_chips_Peterborough_GBR</t>
  </si>
  <si>
    <t>g_Manchester_GBR-Peterborough_GBR</t>
  </si>
  <si>
    <t>e_demand_Manchester_GBR</t>
  </si>
  <si>
    <t>e_Manchester_GBR</t>
  </si>
  <si>
    <t>en_hop_electric_boiler_Peterborough_GBR</t>
  </si>
  <si>
    <t>g_Newcastle_GBR-Manchester_GBR</t>
  </si>
  <si>
    <t>e_demand_Preston_GBR</t>
  </si>
  <si>
    <t>e_Preston_GBR</t>
  </si>
  <si>
    <t>g_Paisley_GBR-Liverpool_GBR</t>
  </si>
  <si>
    <t>e_demand_Caerdydd_GBR</t>
  </si>
  <si>
    <t>e_Caerdydd_GBR</t>
  </si>
  <si>
    <t>en_hp_air_10mw_Peterborough_GBR</t>
  </si>
  <si>
    <t>g_Peterborough_GBR-Basildon_GBR</t>
  </si>
  <si>
    <t>ev_battery_Peterborough_GBR</t>
  </si>
  <si>
    <t>g_Peterborough_GBR-Ipswich_GBR</t>
  </si>
  <si>
    <t>ev_battery_Basildon_GBR</t>
  </si>
  <si>
    <t>en_gas_ccgt_Basildon_GBR</t>
  </si>
  <si>
    <t>g_Peterborough_GBR-Newcastle_GBR</t>
  </si>
  <si>
    <t>ev_battery_Aberdeen_GBR</t>
  </si>
  <si>
    <t>en_gas_turbine_Basildon_GBR</t>
  </si>
  <si>
    <t>g_Peterborough_GBR-Reading_GBR</t>
  </si>
  <si>
    <t>ev_battery_Wick_GBR</t>
  </si>
  <si>
    <t>en_gas_ccs_Basildon_GBR</t>
  </si>
  <si>
    <t>g_Plymouth_GBR-Caerdydd_GBR</t>
  </si>
  <si>
    <t>ev_battery_Belfast_GBR</t>
  </si>
  <si>
    <t>en_coal_subcritical_Basildon_GBR</t>
  </si>
  <si>
    <t>g_Portsmouth_GBR-Caerdydd_GBR</t>
  </si>
  <si>
    <t>ev_battery_Stranraer_GBR</t>
  </si>
  <si>
    <t>en_coal_supercritical_Basildon_GBR</t>
  </si>
  <si>
    <t>g_Preston_GBR-Manchester_GBR</t>
  </si>
  <si>
    <t>ev_battery_Glasgow_GBR</t>
  </si>
  <si>
    <t>en_coal_ultrasupercritical_Basildon_GBR</t>
  </si>
  <si>
    <t>g_Preston_GBR-Newcastle_GBR</t>
  </si>
  <si>
    <t>ev_battery_Lisburn_GBR</t>
  </si>
  <si>
    <t>en_coal_igcc_Basildon_GBR</t>
  </si>
  <si>
    <t>g_Reading_GBR-Basildon_GBR</t>
  </si>
  <si>
    <t>ev_battery_Ipswich_GBR</t>
  </si>
  <si>
    <t>en_nuclear_Basildon_GBR</t>
  </si>
  <si>
    <t>g_Reading_GBR-Manchester_GBR</t>
  </si>
  <si>
    <t>ev_battery_Paisley_GBR</t>
  </si>
  <si>
    <t>en_nuclear_smr_Basildon_GBR</t>
  </si>
  <si>
    <t>g_Reading_GBR-Portsmouth_GBR</t>
  </si>
  <si>
    <t>ev_battery_Reading_GBR</t>
  </si>
  <si>
    <t>en_biomass_Basildon_GBR</t>
  </si>
  <si>
    <t>g_Stranraer_GBR-Glasgow_GBR</t>
  </si>
  <si>
    <t>ev_battery_Plymouth_GBR</t>
  </si>
  <si>
    <t>en_chp_gas_cc_ext_Basildon_GBR</t>
  </si>
  <si>
    <t>g_Wick_GBR-Elgin_GBR</t>
  </si>
  <si>
    <t>ev_battery_Liverpool_GBR</t>
  </si>
  <si>
    <t>h_Basildon_GBR</t>
  </si>
  <si>
    <t>g_Wick_GBR-Lerwick_GBR</t>
  </si>
  <si>
    <t>ev_battery_Derry_GBR</t>
  </si>
  <si>
    <t>en_chp_biomass_chips_ext_Basildon_GBR</t>
  </si>
  <si>
    <t>ev_battery_Elgin_GBR</t>
  </si>
  <si>
    <t>ev_battery_Portsmouth_GBR</t>
  </si>
  <si>
    <t>en_chp_gas_cc_ext_ccs_Basildon_GBR</t>
  </si>
  <si>
    <t>ev_battery_Newcastle_GBR</t>
  </si>
  <si>
    <t>ev_battery_Ashford_GBR</t>
  </si>
  <si>
    <t>en_hop_gas_boiler_Basildon_GBR</t>
  </si>
  <si>
    <t>ev_battery_Manchester_GBR</t>
  </si>
  <si>
    <t>en_hop_biomass_chips_Basildon_GBR</t>
  </si>
  <si>
    <t>ev_battery_Preston_GBR</t>
  </si>
  <si>
    <t>en_hop_electric_boiler_Basildon_GBR</t>
  </si>
  <si>
    <t>ev_battery_Caerdydd_GBR</t>
  </si>
  <si>
    <t>H2prd_Elc_PEM_Peterborough_GBR</t>
  </si>
  <si>
    <t>en_hp_air_10mw_Basildon_GBR</t>
  </si>
  <si>
    <t>H2prd_Elc_PEM_Basildon_GBR</t>
  </si>
  <si>
    <t>H2prd_Elc_PEM_Aberdeen_GBR</t>
  </si>
  <si>
    <t>en_gas_ccgt_Aberdeen_GBR</t>
  </si>
  <si>
    <t>H2prd_Elc_PEM_Wick_GBR</t>
  </si>
  <si>
    <t>en_gas_turbine_Aberdeen_GBR</t>
  </si>
  <si>
    <t>H2prd_Elc_PEM_Belfast_GBR</t>
  </si>
  <si>
    <t>en_gas_ccs_Aberdeen_GBR</t>
  </si>
  <si>
    <t>H2prd_Elc_PEM_Stranraer_GBR</t>
  </si>
  <si>
    <t>en_coal_subcritical_Aberdeen_GBR</t>
  </si>
  <si>
    <t>H2prd_Elc_PEM_Glasgow_GBR</t>
  </si>
  <si>
    <t>en_coal_supercritical_Aberdeen_GBR</t>
  </si>
  <si>
    <t>H2prd_Elc_PEM_Lisburn_GBR</t>
  </si>
  <si>
    <t>en_coal_ultrasupercritical_Aberdeen_GBR</t>
  </si>
  <si>
    <t>H2prd_Elc_PEM_Ipswich_GBR</t>
  </si>
  <si>
    <t>en_coal_igcc_Aberdeen_GBR</t>
  </si>
  <si>
    <t>H2prd_Elc_PEM_Paisley_GBR</t>
  </si>
  <si>
    <t>en_nuclear_Aberdeen_GBR</t>
  </si>
  <si>
    <t>H2prd_Elc_PEM_Reading_GBR</t>
  </si>
  <si>
    <t>en_nuclear_smr_Aberdeen_GBR</t>
  </si>
  <si>
    <t>H2prd_Elc_PEM_Plymouth_GBR</t>
  </si>
  <si>
    <t>en_biomass_Aberdeen_GBR</t>
  </si>
  <si>
    <t>H2prd_Elc_PEM_Liverpool_GBR</t>
  </si>
  <si>
    <t>en_chp_gas_cc_ext_Aberdeen_GBR</t>
  </si>
  <si>
    <t>H2prd_Elc_PEM_Derry_GBR</t>
  </si>
  <si>
    <t>h_Aberdeen_GBR</t>
  </si>
  <si>
    <t>H2prd_Elc_PEM_Elgin_GBR</t>
  </si>
  <si>
    <t>en_chp_biomass_chips_ext_Aberdeen_GBR</t>
  </si>
  <si>
    <t>H2prd_Elc_PEM_Portsmouth_GBR</t>
  </si>
  <si>
    <t>H2prd_Elc_PEM_Newcastle_GBR</t>
  </si>
  <si>
    <t>en_chp_gas_cc_ext_ccs_Aberdeen_GBR</t>
  </si>
  <si>
    <t>H2prd_Elc_PEM_Ashford_GBR</t>
  </si>
  <si>
    <t>H2prd_Elc_PEM_Manchester_GBR</t>
  </si>
  <si>
    <t>en_hop_gas_boiler_Aberdeen_GBR</t>
  </si>
  <si>
    <t>H2prd_Elc_PEM_Preston_GBR</t>
  </si>
  <si>
    <t>en_hop_biomass_chips_Aberdeen_GBR</t>
  </si>
  <si>
    <t>H2prd_Elc_PEM_Caerdydd_GBR</t>
  </si>
  <si>
    <t>en_hop_electric_boiler_Aberdeen_GBR</t>
  </si>
  <si>
    <t>H2prd_Elc_ALK_Peterborough_GBR</t>
  </si>
  <si>
    <t>H2prd_Elc_ALK_Basildon_GBR</t>
  </si>
  <si>
    <t>en_hp_air_10mw_Aberdeen_GBR</t>
  </si>
  <si>
    <t>H2prd_Elc_ALK_Aberdeen_GBR</t>
  </si>
  <si>
    <t>H2prd_Elc_ALK_Wick_GBR</t>
  </si>
  <si>
    <t>en_gas_ccgt_Wick_GBR</t>
  </si>
  <si>
    <t>H2prd_Elc_ALK_Belfast_GBR</t>
  </si>
  <si>
    <t>en_gas_turbine_Wick_GBR</t>
  </si>
  <si>
    <t>H2prd_Elc_ALK_Stranraer_GBR</t>
  </si>
  <si>
    <t>en_gas_ccs_Wick_GBR</t>
  </si>
  <si>
    <t>H2prd_Elc_ALK_Glasgow_GBR</t>
  </si>
  <si>
    <t>en_coal_subcritical_Wick_GBR</t>
  </si>
  <si>
    <t>H2prd_Elc_ALK_Lisburn_GBR</t>
  </si>
  <si>
    <t>en_coal_supercritical_Wick_GBR</t>
  </si>
  <si>
    <t>H2prd_Elc_ALK_Ipswich_GBR</t>
  </si>
  <si>
    <t>en_coal_ultrasupercritical_Wick_GBR</t>
  </si>
  <si>
    <t>H2prd_Elc_ALK_Paisley_GBR</t>
  </si>
  <si>
    <t>en_coal_igcc_Wick_GBR</t>
  </si>
  <si>
    <t>H2prd_Elc_ALK_Reading_GBR</t>
  </si>
  <si>
    <t>en_nuclear_Wick_GBR</t>
  </si>
  <si>
    <t>H2prd_Elc_ALK_Plymouth_GBR</t>
  </si>
  <si>
    <t>en_nuclear_smr_Wick_GBR</t>
  </si>
  <si>
    <t>H2prd_Elc_ALK_Liverpool_GBR</t>
  </si>
  <si>
    <t>en_biomass_Wick_GBR</t>
  </si>
  <si>
    <t>H2prd_Elc_ALK_Derry_GBR</t>
  </si>
  <si>
    <t>en_chp_gas_cc_ext_Wick_GBR</t>
  </si>
  <si>
    <t>H2prd_Elc_ALK_Elgin_GBR</t>
  </si>
  <si>
    <t>h_Wick_GBR</t>
  </si>
  <si>
    <t>H2prd_Elc_ALK_Portsmouth_GBR</t>
  </si>
  <si>
    <t>en_chp_biomass_chips_ext_Wick_GBR</t>
  </si>
  <si>
    <t>H2prd_Elc_ALK_Newcastle_GBR</t>
  </si>
  <si>
    <t>H2prd_Elc_ALK_Ashford_GBR</t>
  </si>
  <si>
    <t>en_chp_gas_cc_ext_ccs_Wick_GBR</t>
  </si>
  <si>
    <t>H2prd_Elc_ALK_Manchester_GBR</t>
  </si>
  <si>
    <t>H2prd_Elc_ALK_Preston_GBR</t>
  </si>
  <si>
    <t>en_hop_gas_boiler_Wick_GBR</t>
  </si>
  <si>
    <t>H2prd_Elc_ALK_Caerdydd_GBR</t>
  </si>
  <si>
    <t>en_hop_biomass_chips_Wick_GBR</t>
  </si>
  <si>
    <t>h_demand_Manchester_GBR</t>
  </si>
  <si>
    <t>h_Manchester_GBR</t>
  </si>
  <si>
    <t>en_hop_electric_boiler_Wick_GBR</t>
  </si>
  <si>
    <t>h_demand_Peterborough_GBR</t>
  </si>
  <si>
    <t>h_demand_Newcastle_GBR</t>
  </si>
  <si>
    <t>h_Newcastle_GBR</t>
  </si>
  <si>
    <t>en_hp_air_10mw_Wick_GBR</t>
  </si>
  <si>
    <t>h_demand_Ipswich_GBR</t>
  </si>
  <si>
    <t>h_Ipswich_GBR</t>
  </si>
  <si>
    <t>h_demand_Caerdydd_GBR</t>
  </si>
  <si>
    <t>h_Caerdydd_GBR</t>
  </si>
  <si>
    <t>en_gas_ccgt_Belfast_GBR</t>
  </si>
  <si>
    <t>h_demand_Glasgow_GBR</t>
  </si>
  <si>
    <t>h_Glasgow_GBR</t>
  </si>
  <si>
    <t>en_gas_turbine_Belfast_GBR</t>
  </si>
  <si>
    <t>h_demand_Liverpool_GBR</t>
  </si>
  <si>
    <t>h_Liverpool_GBR</t>
  </si>
  <si>
    <t>en_gas_ccs_Belfast_GBR</t>
  </si>
  <si>
    <t>h_demand_Basildon_GBR</t>
  </si>
  <si>
    <t>en_coal_subcritical_Belfast_GBR</t>
  </si>
  <si>
    <t>h_demand_Reading_GBR</t>
  </si>
  <si>
    <t>h_Reading_GBR</t>
  </si>
  <si>
    <t>en_coal_supercritical_Belfast_GBR</t>
  </si>
  <si>
    <t>h_demand_Preston_GBR</t>
  </si>
  <si>
    <t>h_Preston_GBR</t>
  </si>
  <si>
    <t>en_coal_ultrasupercritical_Belfast_GBR</t>
  </si>
  <si>
    <t>h_demand_Ashford_GBR</t>
  </si>
  <si>
    <t>h_Ashford_GBR</t>
  </si>
  <si>
    <t>en_coal_igcc_Belfast_GBR</t>
  </si>
  <si>
    <t>h_demand_Plymouth_GBR</t>
  </si>
  <si>
    <t>h_Plymouth_GBR</t>
  </si>
  <si>
    <t>en_nuclear_Belfast_GBR</t>
  </si>
  <si>
    <t>h_demand_Belfast_GBR</t>
  </si>
  <si>
    <t>h_Belfast_GBR</t>
  </si>
  <si>
    <t>en_nuclear_smr_Belfast_GBR</t>
  </si>
  <si>
    <t>h_demand_Derry_GBR</t>
  </si>
  <si>
    <t>h_Derry_GBR</t>
  </si>
  <si>
    <t>en_biomass_Belfast_GBR</t>
  </si>
  <si>
    <t>h_demand_Portsmouth_GBR</t>
  </si>
  <si>
    <t>h_Portsmouth_GBR</t>
  </si>
  <si>
    <t>en_chp_gas_cc_ext_Belfast_GBR</t>
  </si>
  <si>
    <t>h_demand_Paisley_GBR</t>
  </si>
  <si>
    <t>h_Paisley_GBR</t>
  </si>
  <si>
    <t>h_demand_Lerwick_GBR</t>
  </si>
  <si>
    <t>h_Lerwick_GBR</t>
  </si>
  <si>
    <t>en_chp_biomass_chips_ext_Belfast_GBR</t>
  </si>
  <si>
    <t>en_chp_gas_cc_ext_ccs_Belfast_GBR</t>
  </si>
  <si>
    <t>en_hop_gas_boiler_Belfast_GBR</t>
  </si>
  <si>
    <t>en_hop_biomass_chips_Belfast_GBR</t>
  </si>
  <si>
    <t>en_hop_electric_boiler_Belfast_GBR</t>
  </si>
  <si>
    <t>en_hp_air_10mw_Belfast_GBR</t>
  </si>
  <si>
    <t>en_gas_ccgt_Stranraer_GBR</t>
  </si>
  <si>
    <t>en_gas_turbine_Stranraer_GBR</t>
  </si>
  <si>
    <t>en_gas_ccs_Stranraer_GBR</t>
  </si>
  <si>
    <t>en_coal_subcritical_Stranraer_GBR</t>
  </si>
  <si>
    <t>en_coal_supercritical_Stranraer_GBR</t>
  </si>
  <si>
    <t>en_coal_ultrasupercritical_Stranraer_GBR</t>
  </si>
  <si>
    <t>en_coal_igcc_Stranraer_GBR</t>
  </si>
  <si>
    <t>en_nuclear_Stranraer_GBR</t>
  </si>
  <si>
    <t>en_nuclear_smr_Stranraer_GBR</t>
  </si>
  <si>
    <t>en_biomass_Stranraer_GBR</t>
  </si>
  <si>
    <t>en_chp_gas_cc_ext_Stranraer_GBR</t>
  </si>
  <si>
    <t>h_Stranraer_GBR</t>
  </si>
  <si>
    <t>en_chp_biomass_chips_ext_Stranraer_GBR</t>
  </si>
  <si>
    <t>en_chp_gas_cc_ext_ccs_Stranraer_GBR</t>
  </si>
  <si>
    <t>en_hop_gas_boiler_Stranraer_GBR</t>
  </si>
  <si>
    <t>en_hop_biomass_chips_Stranraer_GBR</t>
  </si>
  <si>
    <t>en_hop_electric_boiler_Stranraer_GBR</t>
  </si>
  <si>
    <t>en_hp_air_10mw_Stranraer_GBR</t>
  </si>
  <si>
    <t>en_gas_ccgt_Glasgow_GBR</t>
  </si>
  <si>
    <t>en_gas_turbine_Glasgow_GBR</t>
  </si>
  <si>
    <t>en_gas_ccs_Glasgow_GBR</t>
  </si>
  <si>
    <t>en_coal_subcritical_Glasgow_GBR</t>
  </si>
  <si>
    <t>en_coal_supercritical_Glasgow_GBR</t>
  </si>
  <si>
    <t>en_coal_ultrasupercritical_Glasgow_GBR</t>
  </si>
  <si>
    <t>en_coal_igcc_Glasgow_GBR</t>
  </si>
  <si>
    <t>en_nuclear_Glasgow_GBR</t>
  </si>
  <si>
    <t>en_nuclear_smr_Glasgow_GBR</t>
  </si>
  <si>
    <t>en_biomass_Glasgow_GBR</t>
  </si>
  <si>
    <t>en_chp_gas_cc_ext_Glasgow_GBR</t>
  </si>
  <si>
    <t>en_chp_biomass_chips_ext_Glasgow_GBR</t>
  </si>
  <si>
    <t>en_chp_gas_cc_ext_ccs_Glasgow_GBR</t>
  </si>
  <si>
    <t>en_hop_gas_boiler_Glasgow_GBR</t>
  </si>
  <si>
    <t>en_hop_biomass_chips_Glasgow_GBR</t>
  </si>
  <si>
    <t>en_hop_electric_boiler_Glasgow_GBR</t>
  </si>
  <si>
    <t>en_hp_air_10mw_Glasgow_GBR</t>
  </si>
  <si>
    <t>en_gas_ccgt_Lisburn_GBR</t>
  </si>
  <si>
    <t>en_gas_turbine_Lisburn_GBR</t>
  </si>
  <si>
    <t>en_gas_ccs_Lisburn_GBR</t>
  </si>
  <si>
    <t>en_coal_subcritical_Lisburn_GBR</t>
  </si>
  <si>
    <t>en_coal_supercritical_Lisburn_GBR</t>
  </si>
  <si>
    <t>en_coal_ultrasupercritical_Lisburn_GBR</t>
  </si>
  <si>
    <t>en_coal_igcc_Lisburn_GBR</t>
  </si>
  <si>
    <t>en_nuclear_Lisburn_GBR</t>
  </si>
  <si>
    <t>en_nuclear_smr_Lisburn_GBR</t>
  </si>
  <si>
    <t>en_biomass_Lisburn_GBR</t>
  </si>
  <si>
    <t>en_chp_gas_cc_ext_Lisburn_GBR</t>
  </si>
  <si>
    <t>h_Lisburn_GBR</t>
  </si>
  <si>
    <t>en_chp_biomass_chips_ext_Lisburn_GBR</t>
  </si>
  <si>
    <t>en_chp_gas_cc_ext_ccs_Lisburn_GBR</t>
  </si>
  <si>
    <t>en_hop_gas_boiler_Lisburn_GBR</t>
  </si>
  <si>
    <t>en_hop_biomass_chips_Lisburn_GBR</t>
  </si>
  <si>
    <t>en_hop_electric_boiler_Lisburn_GBR</t>
  </si>
  <si>
    <t>en_hp_air_10mw_Lisburn_GBR</t>
  </si>
  <si>
    <t>en_gas_ccgt_Ipswich_GBR</t>
  </si>
  <si>
    <t>en_gas_turbine_Ipswich_GBR</t>
  </si>
  <si>
    <t>en_gas_ccs_Ipswich_GBR</t>
  </si>
  <si>
    <t>en_coal_subcritical_Ipswich_GBR</t>
  </si>
  <si>
    <t>en_coal_supercritical_Ipswich_GBR</t>
  </si>
  <si>
    <t>en_coal_ultrasupercritical_Ipswich_GBR</t>
  </si>
  <si>
    <t>en_coal_igcc_Ipswich_GBR</t>
  </si>
  <si>
    <t>en_nuclear_Ipswich_GBR</t>
  </si>
  <si>
    <t>en_nuclear_smr_Ipswich_GBR</t>
  </si>
  <si>
    <t>en_biomass_Ipswich_GBR</t>
  </si>
  <si>
    <t>en_chp_gas_cc_ext_Ipswich_GBR</t>
  </si>
  <si>
    <t>en_chp_biomass_chips_ext_Ipswich_GBR</t>
  </si>
  <si>
    <t>en_chp_gas_cc_ext_ccs_Ipswich_GBR</t>
  </si>
  <si>
    <t>en_hop_gas_boiler_Ipswich_GBR</t>
  </si>
  <si>
    <t>en_hop_biomass_chips_Ipswich_GBR</t>
  </si>
  <si>
    <t>en_hop_electric_boiler_Ipswich_GBR</t>
  </si>
  <si>
    <t>en_hp_air_10mw_Ipswich_GBR</t>
  </si>
  <si>
    <t>en_gas_ccgt_Paisley_GBR</t>
  </si>
  <si>
    <t>en_gas_turbine_Paisley_GBR</t>
  </si>
  <si>
    <t>en_gas_ccs_Paisley_GBR</t>
  </si>
  <si>
    <t>en_coal_subcritical_Paisley_GBR</t>
  </si>
  <si>
    <t>en_coal_supercritical_Paisley_GBR</t>
  </si>
  <si>
    <t>en_coal_ultrasupercritical_Paisley_GBR</t>
  </si>
  <si>
    <t>en_coal_igcc_Paisley_GBR</t>
  </si>
  <si>
    <t>en_nuclear_Paisley_GBR</t>
  </si>
  <si>
    <t>en_nuclear_smr_Paisley_GBR</t>
  </si>
  <si>
    <t>en_biomass_Paisley_GBR</t>
  </si>
  <si>
    <t>en_chp_gas_cc_ext_Paisley_GBR</t>
  </si>
  <si>
    <t>en_chp_biomass_chips_ext_Paisley_GBR</t>
  </si>
  <si>
    <t>en_chp_gas_cc_ext_ccs_Paisley_GBR</t>
  </si>
  <si>
    <t>en_hop_gas_boiler_Paisley_GBR</t>
  </si>
  <si>
    <t>en_hop_biomass_chips_Paisley_GBR</t>
  </si>
  <si>
    <t>en_hop_electric_boiler_Paisley_GBR</t>
  </si>
  <si>
    <t>en_hp_air_10mw_Paisley_GBR</t>
  </si>
  <si>
    <t>en_gas_ccgt_Reading_GBR</t>
  </si>
  <si>
    <t>en_gas_turbine_Reading_GBR</t>
  </si>
  <si>
    <t>en_gas_ccs_Reading_GBR</t>
  </si>
  <si>
    <t>en_coal_subcritical_Reading_GBR</t>
  </si>
  <si>
    <t>en_coal_supercritical_Reading_GBR</t>
  </si>
  <si>
    <t>en_coal_ultrasupercritical_Reading_GBR</t>
  </si>
  <si>
    <t>en_coal_igcc_Reading_GBR</t>
  </si>
  <si>
    <t>en_nuclear_Reading_GBR</t>
  </si>
  <si>
    <t>en_nuclear_smr_Reading_GBR</t>
  </si>
  <si>
    <t>en_biomass_Reading_GBR</t>
  </si>
  <si>
    <t>en_chp_gas_cc_ext_Reading_GBR</t>
  </si>
  <si>
    <t>en_chp_biomass_chips_ext_Reading_GBR</t>
  </si>
  <si>
    <t>en_chp_gas_cc_ext_ccs_Reading_GBR</t>
  </si>
  <si>
    <t>en_hop_gas_boiler_Reading_GBR</t>
  </si>
  <si>
    <t>en_hop_biomass_chips_Reading_GBR</t>
  </si>
  <si>
    <t>en_hop_electric_boiler_Reading_GBR</t>
  </si>
  <si>
    <t>en_hp_air_10mw_Reading_GBR</t>
  </si>
  <si>
    <t>en_gas_ccgt_Plymouth_GBR</t>
  </si>
  <si>
    <t>en_gas_turbine_Plymouth_GBR</t>
  </si>
  <si>
    <t>en_gas_ccs_Plymouth_GBR</t>
  </si>
  <si>
    <t>en_coal_subcritical_Plymouth_GBR</t>
  </si>
  <si>
    <t>en_coal_supercritical_Plymouth_GBR</t>
  </si>
  <si>
    <t>en_coal_ultrasupercritical_Plymouth_GBR</t>
  </si>
  <si>
    <t>en_coal_igcc_Plymouth_GBR</t>
  </si>
  <si>
    <t>en_nuclear_Plymouth_GBR</t>
  </si>
  <si>
    <t>en_nuclear_smr_Plymouth_GBR</t>
  </si>
  <si>
    <t>en_biomass_Plymouth_GBR</t>
  </si>
  <si>
    <t>elc_industry</t>
  </si>
  <si>
    <t>en_chp_gas_cc_ext_Plymouth_GBR</t>
  </si>
  <si>
    <t>en_chp_biomass_chips_ext_Plymouth_GBR</t>
  </si>
  <si>
    <t>en_chp_gas_cc_ext_ccs_Plymouth_GBR</t>
  </si>
  <si>
    <t>en_hop_gas_boiler_Plymouth_GBR</t>
  </si>
  <si>
    <t>en_hop_biomass_chips_Plymouth_GBR</t>
  </si>
  <si>
    <t>en_hop_electric_boiler_Plymouth_GBR</t>
  </si>
  <si>
    <t>en_hp_air_10mw_Plymouth_GBR</t>
  </si>
  <si>
    <t>en_gas_ccgt_Liverpool_GBR</t>
  </si>
  <si>
    <t>en_gas_turbine_Liverpool_GBR</t>
  </si>
  <si>
    <t>en_gas_ccs_Liverpool_GBR</t>
  </si>
  <si>
    <t>en_coal_subcritical_Liverpool_GBR</t>
  </si>
  <si>
    <t>en_coal_supercritical_Liverpool_GBR</t>
  </si>
  <si>
    <t>en_coal_ultrasupercritical_Liverpool_GBR</t>
  </si>
  <si>
    <t>en_coal_igcc_Liverpool_GBR</t>
  </si>
  <si>
    <t>en_nuclear_Liverpool_GBR</t>
  </si>
  <si>
    <t>en_nuclear_smr_Liverpool_GBR</t>
  </si>
  <si>
    <t>en_biomass_Liverpool_GBR</t>
  </si>
  <si>
    <t>en_chp_gas_cc_ext_Liverpool_GBR</t>
  </si>
  <si>
    <t>en_chp_biomass_chips_ext_Liverpool_GBR</t>
  </si>
  <si>
    <t>en_chp_gas_cc_ext_ccs_Liverpool_GBR</t>
  </si>
  <si>
    <t>en_hop_gas_boiler_Liverpool_GBR</t>
  </si>
  <si>
    <t>en_hop_biomass_chips_Liverpool_GBR</t>
  </si>
  <si>
    <t>en_hop_electric_boiler_Liverpool_GBR</t>
  </si>
  <si>
    <t>en_hp_air_10mw_Liverpool_GBR</t>
  </si>
  <si>
    <t>en_gas_ccgt_Derry_GBR</t>
  </si>
  <si>
    <t>en_gas_turbine_Derry_GBR</t>
  </si>
  <si>
    <t>en_gas_ccs_Derry_GBR</t>
  </si>
  <si>
    <t>en_coal_subcritical_Derry_GBR</t>
  </si>
  <si>
    <t>en_coal_supercritical_Derry_GBR</t>
  </si>
  <si>
    <t>en_coal_ultrasupercritical_Derry_GBR</t>
  </si>
  <si>
    <t>en_coal_igcc_Derry_GBR</t>
  </si>
  <si>
    <t>en_nuclear_Derry_GBR</t>
  </si>
  <si>
    <t>en_nuclear_smr_Derry_GBR</t>
  </si>
  <si>
    <t>en_biomass_Derry_GBR</t>
  </si>
  <si>
    <t>en_chp_gas_cc_ext_Derry_GBR</t>
  </si>
  <si>
    <t>en_chp_biomass_chips_ext_Derry_GBR</t>
  </si>
  <si>
    <t>en_chp_gas_cc_ext_ccs_Derry_GBR</t>
  </si>
  <si>
    <t>en_hop_gas_boiler_Derry_GBR</t>
  </si>
  <si>
    <t>en_hop_biomass_chips_Derry_GBR</t>
  </si>
  <si>
    <t>en_hop_electric_boiler_Derry_GBR</t>
  </si>
  <si>
    <t>en_hp_air_10mw_Derry_GBR</t>
  </si>
  <si>
    <t>en_gas_ccgt_Elgin_GBR</t>
  </si>
  <si>
    <t>en_gas_turbine_Elgin_GBR</t>
  </si>
  <si>
    <t>en_gas_ccs_Elgin_GBR</t>
  </si>
  <si>
    <t>en_coal_subcritical_Elgin_GBR</t>
  </si>
  <si>
    <t>het_buildings</t>
  </si>
  <si>
    <t>en_coal_supercritical_Elgin_GBR</t>
  </si>
  <si>
    <t>het_industry</t>
  </si>
  <si>
    <t>en_coal_ultrasupercritical_Elgin_GBR</t>
  </si>
  <si>
    <t>en_coal_igcc_Elgin_GBR</t>
  </si>
  <si>
    <t>en_nuclear_Elgin_GBR</t>
  </si>
  <si>
    <t>en_nuclear_smr_Elgin_GBR</t>
  </si>
  <si>
    <t>en_biomass_Elgin_GBR</t>
  </si>
  <si>
    <t>en_chp_gas_cc_ext_Elgin_GBR</t>
  </si>
  <si>
    <t>h_Elgin_GBR</t>
  </si>
  <si>
    <t>en_chp_biomass_chips_ext_Elgin_GBR</t>
  </si>
  <si>
    <t>en_chp_gas_cc_ext_ccs_Elgin_GBR</t>
  </si>
  <si>
    <t>en_hop_gas_boiler_Elgin_GBR</t>
  </si>
  <si>
    <t>en_hop_biomass_chips_Elgin_GBR</t>
  </si>
  <si>
    <t>en_hop_electric_boiler_Elgin_GBR</t>
  </si>
  <si>
    <t>en_hp_air_10mw_Elgin_GBR</t>
  </si>
  <si>
    <t>en_gas_ccgt_Portsmouth_GBR</t>
  </si>
  <si>
    <t>en_gas_turbine_Portsmouth_GBR</t>
  </si>
  <si>
    <t>en_gas_ccs_Portsmouth_GBR</t>
  </si>
  <si>
    <t>en_coal_subcritical_Portsmouth_GBR</t>
  </si>
  <si>
    <t>en_coal_supercritical_Portsmouth_GBR</t>
  </si>
  <si>
    <t>en_coal_ultrasupercritical_Portsmouth_GBR</t>
  </si>
  <si>
    <t>en_coal_igcc_Portsmouth_GBR</t>
  </si>
  <si>
    <t>en_nuclear_Portsmouth_GBR</t>
  </si>
  <si>
    <t>en_nuclear_smr_Portsmouth_GBR</t>
  </si>
  <si>
    <t>en_biomass_Portsmouth_GBR</t>
  </si>
  <si>
    <t>en_chp_gas_cc_ext_Portsmouth_GBR</t>
  </si>
  <si>
    <t>en_chp_biomass_chips_ext_Portsmouth_GBR</t>
  </si>
  <si>
    <t>en_chp_gas_cc_ext_ccs_Portsmouth_GBR</t>
  </si>
  <si>
    <t>en_hop_gas_boiler_Portsmouth_GBR</t>
  </si>
  <si>
    <t>en_hop_biomass_chips_Portsmouth_GBR</t>
  </si>
  <si>
    <t>en_hop_electric_boiler_Portsmouth_GBR</t>
  </si>
  <si>
    <t>en_hp_air_10mw_Portsmouth_GBR</t>
  </si>
  <si>
    <t>en_gas_ccgt_Newcastle_GBR</t>
  </si>
  <si>
    <t>en_gas_turbine_Newcastle_GBR</t>
  </si>
  <si>
    <t>en_gas_ccs_Newcastle_GBR</t>
  </si>
  <si>
    <t>en_coal_subcritical_Newcastle_GBR</t>
  </si>
  <si>
    <t>en_coal_supercritical_Newcastle_GBR</t>
  </si>
  <si>
    <t>en_coal_ultrasupercritical_Newcastle_GBR</t>
  </si>
  <si>
    <t>en_coal_igcc_Newcastle_GBR</t>
  </si>
  <si>
    <t>en_nuclear_Newcastle_GBR</t>
  </si>
  <si>
    <t>en_nuclear_smr_Newcastle_GBR</t>
  </si>
  <si>
    <t>en_biomass_Newcastle_GBR</t>
  </si>
  <si>
    <t>en_chp_gas_cc_ext_Newcastle_GBR</t>
  </si>
  <si>
    <t>en_chp_biomass_chips_ext_Newcastle_GBR</t>
  </si>
  <si>
    <t>en_chp_gas_cc_ext_ccs_Newcastle_GBR</t>
  </si>
  <si>
    <t>en_hop_gas_boiler_Newcastle_GBR</t>
  </si>
  <si>
    <t>en_hop_biomass_chips_Newcastle_GBR</t>
  </si>
  <si>
    <t>en_hop_electric_boiler_Newcastle_GBR</t>
  </si>
  <si>
    <t>en_hp_air_10mw_Newcastle_GBR</t>
  </si>
  <si>
    <t>en_gas_ccgt_Ashford_GBR</t>
  </si>
  <si>
    <t>en_gas_turbine_Ashford_GBR</t>
  </si>
  <si>
    <t>en_gas_ccs_Ashford_GBR</t>
  </si>
  <si>
    <t>en_coal_subcritical_Ashford_GBR</t>
  </si>
  <si>
    <t>en_coal_supercritical_Ashford_GBR</t>
  </si>
  <si>
    <t>en_coal_ultrasupercritical_Ashford_GBR</t>
  </si>
  <si>
    <t>en_coal_igcc_Ashford_GBR</t>
  </si>
  <si>
    <t>en_nuclear_Ashford_GBR</t>
  </si>
  <si>
    <t>en_nuclear_smr_Ashford_GBR</t>
  </si>
  <si>
    <t>en_biomass_Ashford_GBR</t>
  </si>
  <si>
    <t>en_chp_gas_cc_ext_Ashford_GBR</t>
  </si>
  <si>
    <t>en_chp_biomass_chips_ext_Ashford_GBR</t>
  </si>
  <si>
    <t>en_chp_gas_cc_ext_ccs_Ashford_GBR</t>
  </si>
  <si>
    <t>en_hop_gas_boiler_Ashford_GBR</t>
  </si>
  <si>
    <t>en_hop_biomass_chips_Ashford_GBR</t>
  </si>
  <si>
    <t>en_hop_electric_boiler_Ashford_GBR</t>
  </si>
  <si>
    <t>en_hp_air_10mw_Ashford_GBR</t>
  </si>
  <si>
    <t>en_gas_ccgt_Manchester_GBR</t>
  </si>
  <si>
    <t>en_gas_turbine_Manchester_GBR</t>
  </si>
  <si>
    <t>en_gas_ccs_Manchester_GBR</t>
  </si>
  <si>
    <t>en_coal_subcritical_Manchester_GBR</t>
  </si>
  <si>
    <t>en_coal_supercritical_Manchester_GBR</t>
  </si>
  <si>
    <t>en_coal_ultrasupercritical_Manchester_GBR</t>
  </si>
  <si>
    <t>en_coal_igcc_Manchester_GBR</t>
  </si>
  <si>
    <t>en_nuclear_Manchester_GBR</t>
  </si>
  <si>
    <t>en_nuclear_smr_Manchester_GBR</t>
  </si>
  <si>
    <t>en_biomass_Manchester_GBR</t>
  </si>
  <si>
    <t>en_chp_gas_cc_ext_Manchester_GBR</t>
  </si>
  <si>
    <t>en_chp_biomass_chips_ext_Manchester_GBR</t>
  </si>
  <si>
    <t>en_chp_gas_cc_ext_ccs_Manchester_GBR</t>
  </si>
  <si>
    <t>en_hop_gas_boiler_Manchester_GBR</t>
  </si>
  <si>
    <t>en_hop_biomass_chips_Manchester_GBR</t>
  </si>
  <si>
    <t>en_hop_electric_boiler_Manchester_GBR</t>
  </si>
  <si>
    <t>en_hp_air_10mw_Manchester_GBR</t>
  </si>
  <si>
    <t>en_gas_ccgt_Preston_GBR</t>
  </si>
  <si>
    <t>en_gas_turbine_Preston_GBR</t>
  </si>
  <si>
    <t>en_gas_ccs_Preston_GBR</t>
  </si>
  <si>
    <t>en_coal_subcritical_Preston_GBR</t>
  </si>
  <si>
    <t>en_coal_supercritical_Preston_GBR</t>
  </si>
  <si>
    <t>en_coal_ultrasupercritical_Preston_GBR</t>
  </si>
  <si>
    <t>en_coal_igcc_Preston_GBR</t>
  </si>
  <si>
    <t>en_nuclear_Preston_GBR</t>
  </si>
  <si>
    <t>en_nuclear_smr_Preston_GBR</t>
  </si>
  <si>
    <t>en_biomass_Preston_GBR</t>
  </si>
  <si>
    <t>en_chp_gas_cc_ext_Preston_GBR</t>
  </si>
  <si>
    <t>en_chp_biomass_chips_ext_Preston_GBR</t>
  </si>
  <si>
    <t>en_chp_gas_cc_ext_ccs_Preston_GBR</t>
  </si>
  <si>
    <t>en_hop_gas_boiler_Preston_GBR</t>
  </si>
  <si>
    <t>en_hop_biomass_chips_Preston_GBR</t>
  </si>
  <si>
    <t>en_hop_electric_boiler_Preston_GBR</t>
  </si>
  <si>
    <t>en_hp_air_10mw_Preston_GBR</t>
  </si>
  <si>
    <t>en_gas_ccgt_Caerdydd_GBR</t>
  </si>
  <si>
    <t>en_gas_turbine_Caerdydd_GBR</t>
  </si>
  <si>
    <t>en_gas_ccs_Caerdydd_GBR</t>
  </si>
  <si>
    <t>en_coal_subcritical_Caerdydd_GBR</t>
  </si>
  <si>
    <t>en_coal_supercritical_Caerdydd_GBR</t>
  </si>
  <si>
    <t>en_coal_ultrasupercritical_Caerdydd_GBR</t>
  </si>
  <si>
    <t>en_coal_igcc_Caerdydd_GBR</t>
  </si>
  <si>
    <t>en_nuclear_Caerdydd_GBR</t>
  </si>
  <si>
    <t>en_nuclear_smr_Caerdydd_GBR</t>
  </si>
  <si>
    <t>en_biomass_Caerdydd_GBR</t>
  </si>
  <si>
    <t>en_chp_gas_cc_ext_Caerdydd_GBR</t>
  </si>
  <si>
    <t>en_chp_biomass_chips_ext_Caerdydd_GBR</t>
  </si>
  <si>
    <t>en_chp_gas_cc_ext_ccs_Caerdydd_GBR</t>
  </si>
  <si>
    <t>en_hop_gas_boiler_Caerdydd_GBR</t>
  </si>
  <si>
    <t>en_hop_biomass_chips_Caerdydd_GBR</t>
  </si>
  <si>
    <t>en_hop_electric_boiler_Caerdydd_GBR</t>
  </si>
  <si>
    <t>en_hp_air_10mw_Caerdydd_GBR</t>
  </si>
  <si>
    <t>en_gas_ccgt_Lerwick_GBR</t>
  </si>
  <si>
    <t>e_Lerwick_GBR</t>
  </si>
  <si>
    <t>en_gas_turbine_Lerwick_GBR</t>
  </si>
  <si>
    <t>en_gas_ccs_Lerwick_GBR</t>
  </si>
  <si>
    <t>en_coal_subcritical_Lerwick_GBR</t>
  </si>
  <si>
    <t>en_coal_supercritical_Lerwick_GBR</t>
  </si>
  <si>
    <t>en_coal_ultrasupercritical_Lerwick_GBR</t>
  </si>
  <si>
    <t>en_coal_igcc_Lerwick_GBR</t>
  </si>
  <si>
    <t>en_nuclear_Lerwick_GBR</t>
  </si>
  <si>
    <t>en_nuclear_smr_Lerwick_GBR</t>
  </si>
  <si>
    <t>en_biomass_Lerwick_GBR</t>
  </si>
  <si>
    <t>en_chp_gas_cc_ext_Lerwick_GBR</t>
  </si>
  <si>
    <t>en_chp_biomass_chips_ext_Lerwick_GBR</t>
  </si>
  <si>
    <t>en_chp_gas_cc_ext_ccs_Lerwick_GBR</t>
  </si>
  <si>
    <t>en_hop_gas_boiler_Lerwick_GBR</t>
  </si>
  <si>
    <t>en_hop_biomass_chips_Lerwick_GBR</t>
  </si>
  <si>
    <t>en_hop_electric_boiler_Lerwick_GBR</t>
  </si>
  <si>
    <t>en_hp_air_10mw_Lerwick_GBR</t>
  </si>
  <si>
    <t>en_battery_4h_Peterborough_GBR</t>
  </si>
  <si>
    <t>en_battery_8h_Peterborough_GBR</t>
  </si>
  <si>
    <t>en_battery_4h_Basildon_GBR</t>
  </si>
  <si>
    <t>en_battery_8h_Basildon_GBR</t>
  </si>
  <si>
    <t>en_battery_4h_Aberdeen_GBR</t>
  </si>
  <si>
    <t>en_battery_8h_Aberdeen_GBR</t>
  </si>
  <si>
    <t>en_battery_4h_Wick_GBR</t>
  </si>
  <si>
    <t>en_battery_8h_Wick_GBR</t>
  </si>
  <si>
    <t>en_battery_4h_Belfast_GBR</t>
  </si>
  <si>
    <t>en_battery_8h_Belfast_GBR</t>
  </si>
  <si>
    <t>en_battery_4h_Stranraer_GBR</t>
  </si>
  <si>
    <t>en_battery_8h_Stranraer_GBR</t>
  </si>
  <si>
    <t>en_battery_4h_Glasgow_GBR</t>
  </si>
  <si>
    <t>en_battery_8h_Glasgow_GBR</t>
  </si>
  <si>
    <t>en_battery_4h_Lisburn_GBR</t>
  </si>
  <si>
    <t>en_battery_8h_Lisburn_GBR</t>
  </si>
  <si>
    <t>en_battery_4h_Ipswich_GBR</t>
  </si>
  <si>
    <t>en_battery_8h_Ipswich_GBR</t>
  </si>
  <si>
    <t>en_battery_4h_Paisley_GBR</t>
  </si>
  <si>
    <t>en_battery_8h_Paisley_GBR</t>
  </si>
  <si>
    <t>en_battery_4h_Reading_GBR</t>
  </si>
  <si>
    <t>en_battery_8h_Reading_GBR</t>
  </si>
  <si>
    <t>en_battery_4h_Plymouth_GBR</t>
  </si>
  <si>
    <t>en_battery_8h_Plymouth_GBR</t>
  </si>
  <si>
    <t>en_battery_4h_Liverpool_GBR</t>
  </si>
  <si>
    <t>en_battery_8h_Liverpool_GBR</t>
  </si>
  <si>
    <t>en_battery_4h_Derry_GBR</t>
  </si>
  <si>
    <t>en_battery_8h_Derry_GBR</t>
  </si>
  <si>
    <t>en_battery_4h_Elgin_GBR</t>
  </si>
  <si>
    <t>en_battery_8h_Elgin_GBR</t>
  </si>
  <si>
    <t>en_battery_4h_Portsmouth_GBR</t>
  </si>
  <si>
    <t>en_battery_8h_Portsmouth_GBR</t>
  </si>
  <si>
    <t>en_battery_4h_Newcastle_GBR</t>
  </si>
  <si>
    <t>en_battery_8h_Newcastle_GBR</t>
  </si>
  <si>
    <t>en_battery_4h_Ashford_GBR</t>
  </si>
  <si>
    <t>en_battery_8h_Ashford_GBR</t>
  </si>
  <si>
    <t>en_battery_4h_Manchester_GBR</t>
  </si>
  <si>
    <t>en_battery_8h_Manchester_GBR</t>
  </si>
  <si>
    <t>en_battery_4h_Preston_GBR</t>
  </si>
  <si>
    <t>en_battery_8h_Preston_GBR</t>
  </si>
  <si>
    <t>en_battery_4h_Caerdydd_GBR</t>
  </si>
  <si>
    <t>en_battery_8h_Caerdydd_GBR</t>
  </si>
  <si>
    <t>en_battery_4h_Lerwick_GBR</t>
  </si>
  <si>
    <t>en_battery_8h_Lerwick_GBR</t>
  </si>
  <si>
    <t>model_fuel</t>
  </si>
  <si>
    <t>ember_min</t>
  </si>
  <si>
    <t>ember_max</t>
  </si>
  <si>
    <t>irena_min</t>
  </si>
  <si>
    <t>irena_max</t>
  </si>
  <si>
    <t>bioenergy</t>
  </si>
  <si>
    <t>~UC_Sets: R_E: AllRegions</t>
  </si>
  <si>
    <t>coal</t>
  </si>
  <si>
    <t>gas</t>
  </si>
  <si>
    <t>hydro</t>
  </si>
  <si>
    <t>~UC_T: UC_CAP~LO</t>
  </si>
  <si>
    <t>~UC_T: UC_CAP~UP</t>
  </si>
  <si>
    <t>nuclear</t>
  </si>
  <si>
    <t>UC_N</t>
  </si>
  <si>
    <t>pset_ci</t>
  </si>
  <si>
    <t>pset_co</t>
  </si>
  <si>
    <t>UC_ACT</t>
  </si>
  <si>
    <t>UC_CAP</t>
  </si>
  <si>
    <t>UC_RHSRT</t>
  </si>
  <si>
    <t>UC_RHSRT~0</t>
  </si>
  <si>
    <t>oil</t>
  </si>
  <si>
    <t>UCE_max coal fleet utilization</t>
  </si>
  <si>
    <t>-CO2Captured,-co2[_]*</t>
  </si>
  <si>
    <t>UCE_min coal fleet utilization</t>
  </si>
  <si>
    <t>solar</t>
  </si>
  <si>
    <t>UCE_max gas fleet utilization</t>
  </si>
  <si>
    <t>UCE_min gas fleet utilization</t>
  </si>
  <si>
    <t>windoff</t>
  </si>
  <si>
    <t>UCE_min oil fleet utilization</t>
  </si>
  <si>
    <t>windon</t>
  </si>
  <si>
    <t>X base-year nuclear capacity</t>
  </si>
  <si>
    <t>BUILD RATE ASSUMPTIONS</t>
  </si>
  <si>
    <t>iso</t>
  </si>
  <si>
    <t>Solar Low</t>
  </si>
  <si>
    <t>Solar High</t>
  </si>
  <si>
    <t>Wind Low</t>
  </si>
  <si>
    <t>Wind High</t>
  </si>
  <si>
    <t>Hydro Low</t>
  </si>
  <si>
    <t>Hydro High</t>
  </si>
  <si>
    <t>Nuclear Low</t>
  </si>
  <si>
    <t>Nuclear High</t>
  </si>
  <si>
    <t>~UC_T: uc_rhsrt</t>
  </si>
  <si>
    <t>*</t>
  </si>
  <si>
    <t>uc_n</t>
  </si>
  <si>
    <t>uc_attr</t>
  </si>
  <si>
    <t>uc_ncap</t>
  </si>
  <si>
    <t>ncap,buildup</t>
  </si>
  <si>
    <t>wind</t>
  </si>
  <si>
    <t>~UC_Sets: R_S: Allregions</t>
  </si>
  <si>
    <t>~UC_T: FX</t>
  </si>
  <si>
    <t>~UC_T</t>
  </si>
  <si>
    <t>uc_cap</t>
  </si>
  <si>
    <t>uc_rhst~0</t>
  </si>
  <si>
    <t>ELE</t>
  </si>
  <si>
    <t>UCE_elcagg_spv_GBR_001</t>
  </si>
  <si>
    <t>elc_spv_GBR_001</t>
  </si>
  <si>
    <t>UCE_elcagg_spv_GBR_002</t>
  </si>
  <si>
    <t>elc_spv_GBR_002</t>
  </si>
  <si>
    <t>UCE_elcagg_spv_GBR_003</t>
  </si>
  <si>
    <t>elc_spv_GBR_003</t>
  </si>
  <si>
    <t>UCE_elcagg_spv_GBR_004</t>
  </si>
  <si>
    <t>elc_spv_GBR_004</t>
  </si>
  <si>
    <t>UCE_elcagg_spv_GBR_005</t>
  </si>
  <si>
    <t>elc_spv_GBR_005</t>
  </si>
  <si>
    <t>UCE_elcagg_spv_GBR_006</t>
  </si>
  <si>
    <t>elc_spv_GBR_006</t>
  </si>
  <si>
    <t>UCE_elcagg_spv_GBR_007</t>
  </si>
  <si>
    <t>elc_spv_GBR_007</t>
  </si>
  <si>
    <t>UCE_elcagg_spv_GBR_008</t>
  </si>
  <si>
    <t>elc_spv_GBR_008</t>
  </si>
  <si>
    <t>UCE_elcagg_spv_GBR_009</t>
  </si>
  <si>
    <t>elc_spv_GBR_009</t>
  </si>
  <si>
    <t>UCE_elcagg_spv_GBR_010</t>
  </si>
  <si>
    <t>elc_spv_GBR_010</t>
  </si>
  <si>
    <t>UCE_elcagg_spv_GBR_011</t>
  </si>
  <si>
    <t>elc_spv_GBR_011</t>
  </si>
  <si>
    <t>UCE_elcagg_spv_GBR_012</t>
  </si>
  <si>
    <t>elc_spv_GBR_012</t>
  </si>
  <si>
    <t>UCE_elcagg_spv_GBR_013</t>
  </si>
  <si>
    <t>elc_spv_GBR_013</t>
  </si>
  <si>
    <t>UCE_elcagg_spv_GBR_014</t>
  </si>
  <si>
    <t>elc_spv_GBR_014</t>
  </si>
  <si>
    <t>UCE_elcagg_spv_GBR_015</t>
  </si>
  <si>
    <t>elc_spv_GBR_015</t>
  </si>
  <si>
    <t>UCE_elcagg_spv_GBR_016</t>
  </si>
  <si>
    <t>elc_spv_GBR_016</t>
  </si>
  <si>
    <t>UCE_elcagg_spv_GBR_017</t>
  </si>
  <si>
    <t>elc_spv_GBR_017</t>
  </si>
  <si>
    <t>UCE_elcagg_spv_GBR_018</t>
  </si>
  <si>
    <t>elc_spv_GBR_018</t>
  </si>
  <si>
    <t>UCE_elcagg_spv_GBR_019</t>
  </si>
  <si>
    <t>elc_spv_GBR_019</t>
  </si>
  <si>
    <t>UCE_elcagg_spv_GBR_020</t>
  </si>
  <si>
    <t>elc_spv_GBR_020</t>
  </si>
  <si>
    <t>UCE_elcagg_spv_GBR_021</t>
  </si>
  <si>
    <t>elc_spv_GBR_021</t>
  </si>
  <si>
    <t>UCE_elcagg_spv_GBR_022</t>
  </si>
  <si>
    <t>elc_spv_GBR_022</t>
  </si>
  <si>
    <t>UCE_elcagg_wof_GBR_001</t>
  </si>
  <si>
    <t>elc_wof_GBR_001</t>
  </si>
  <si>
    <t>UCE_elcagg_wof_GBR_002</t>
  </si>
  <si>
    <t>elc_wof_GBR_002</t>
  </si>
  <si>
    <t>UCE_elcagg_wof_GBR_003</t>
  </si>
  <si>
    <t>elc_wof_GBR_003</t>
  </si>
  <si>
    <t>UCE_elcagg_wof_GBR_004</t>
  </si>
  <si>
    <t>elc_wof_GBR_004</t>
  </si>
  <si>
    <t>UCE_elcagg_wof_GBR_005</t>
  </si>
  <si>
    <t>elc_wof_GBR_005</t>
  </si>
  <si>
    <t>UCE_elcagg_wof_GBR_006</t>
  </si>
  <si>
    <t>elc_wof_GBR_006</t>
  </si>
  <si>
    <t>UCE_elcagg_wof_GBR_007</t>
  </si>
  <si>
    <t>elc_wof_GBR_007</t>
  </si>
  <si>
    <t>UCE_elcagg_wof_GBR_008</t>
  </si>
  <si>
    <t>elc_wof_GBR_008</t>
  </si>
  <si>
    <t>UCE_elcagg_wof_GBR_009</t>
  </si>
  <si>
    <t>elc_wof_GBR_009</t>
  </si>
  <si>
    <t>UCE_elcagg_wof_GBR_010</t>
  </si>
  <si>
    <t>elc_wof_GBR_010</t>
  </si>
  <si>
    <t>UCE_elcagg_wof_GBR_011</t>
  </si>
  <si>
    <t>elc_wof_GBR_011</t>
  </si>
  <si>
    <t>UCE_elcagg_wof_GBR_012</t>
  </si>
  <si>
    <t>elc_wof_GBR_012</t>
  </si>
  <si>
    <t>UCE_elcagg_wof_GBR_013</t>
  </si>
  <si>
    <t>elc_wof_GBR_013</t>
  </si>
  <si>
    <t>UCE_elcagg_wof_GBR_014</t>
  </si>
  <si>
    <t>elc_wof_GBR_014</t>
  </si>
  <si>
    <t>UCE_elcagg_wof_GBR_015</t>
  </si>
  <si>
    <t>elc_wof_GBR_015</t>
  </si>
  <si>
    <t>UCE_elcagg_wof_GBR_016</t>
  </si>
  <si>
    <t>elc_wof_GBR_016</t>
  </si>
  <si>
    <t>UCE_elcagg_wof_GBR_017</t>
  </si>
  <si>
    <t>elc_wof_GBR_017</t>
  </si>
  <si>
    <t>UCE_elcagg_wof_GBR_018</t>
  </si>
  <si>
    <t>elc_wof_GBR_018</t>
  </si>
  <si>
    <t>UCE_elcagg_wof_GBR_019</t>
  </si>
  <si>
    <t>elc_wof_GBR_019</t>
  </si>
  <si>
    <t>UCE_elcagg_wof_GBR_020</t>
  </si>
  <si>
    <t>elc_wof_GBR_020</t>
  </si>
  <si>
    <t>UCE_elcagg_wof_GBR_021</t>
  </si>
  <si>
    <t>elc_wof_GBR_021</t>
  </si>
  <si>
    <t>UCE_elcagg_wof_GBR_022</t>
  </si>
  <si>
    <t>elc_wof_GBR_022</t>
  </si>
  <si>
    <t>UCE_elcagg_wof_GBR_023</t>
  </si>
  <si>
    <t>elc_wof_GBR_023</t>
  </si>
  <si>
    <t>UCE_elcagg_wof_GBR_024</t>
  </si>
  <si>
    <t>elc_wof_GBR_024</t>
  </si>
  <si>
    <t>UCE_elcagg_wof_GBR_025</t>
  </si>
  <si>
    <t>elc_wof_GBR_025</t>
  </si>
  <si>
    <t>UCE_elcagg_wof_GBR_026</t>
  </si>
  <si>
    <t>elc_wof_GBR_026</t>
  </si>
  <si>
    <t>UCE_elcagg_wof_GBR_027</t>
  </si>
  <si>
    <t>elc_wof_GBR_027</t>
  </si>
  <si>
    <t>UCE_elcagg_wof_GBR_028</t>
  </si>
  <si>
    <t>elc_wof_GBR_028</t>
  </si>
  <si>
    <t>UCE_elcagg_wof_GBR_029</t>
  </si>
  <si>
    <t>elc_wof_GBR_029</t>
  </si>
  <si>
    <t>UCE_elcagg_wof_GBR_030</t>
  </si>
  <si>
    <t>elc_wof_GBR_030</t>
  </si>
  <si>
    <t>UCE_elcagg_wof_GBR_031</t>
  </si>
  <si>
    <t>elc_wof_GBR_031</t>
  </si>
  <si>
    <t>UCE_elcagg_wof_GBR_032</t>
  </si>
  <si>
    <t>elc_wof_GBR_032</t>
  </si>
  <si>
    <t>UCE_elcagg_wof_GBR_033</t>
  </si>
  <si>
    <t>elc_wof_GBR_033</t>
  </si>
  <si>
    <t>UCE_elcagg_wof_GBR_034</t>
  </si>
  <si>
    <t>elc_wof_GBR_034</t>
  </si>
  <si>
    <t>UCE_elcagg_won_GBR_001</t>
  </si>
  <si>
    <t>elc_won_GBR_001</t>
  </si>
  <si>
    <t>UCE_elcagg_won_GBR_002</t>
  </si>
  <si>
    <t>elc_won_GBR_002</t>
  </si>
  <si>
    <t>UCE_elcagg_won_GBR_003</t>
  </si>
  <si>
    <t>elc_won_GBR_003</t>
  </si>
  <si>
    <t>UCE_elcagg_won_GBR_004</t>
  </si>
  <si>
    <t>elc_won_GBR_004</t>
  </si>
  <si>
    <t>UCE_elcagg_won_GBR_005</t>
  </si>
  <si>
    <t>elc_won_GBR_005</t>
  </si>
  <si>
    <t>UCE_elcagg_won_GBR_006</t>
  </si>
  <si>
    <t>elc_won_GBR_006</t>
  </si>
  <si>
    <t>UCE_elcagg_won_GBR_007</t>
  </si>
  <si>
    <t>elc_won_GBR_007</t>
  </si>
  <si>
    <t>UCE_elcagg_won_GBR_008</t>
  </si>
  <si>
    <t>elc_won_GBR_008</t>
  </si>
  <si>
    <t>UCE_elcagg_won_GBR_009</t>
  </si>
  <si>
    <t>elc_won_GBR_009</t>
  </si>
  <si>
    <t>UCE_elcagg_won_GBR_010</t>
  </si>
  <si>
    <t>elc_won_GBR_010</t>
  </si>
  <si>
    <t>UCE_elcagg_won_GBR_011</t>
  </si>
  <si>
    <t>elc_won_GBR_011</t>
  </si>
  <si>
    <t>UCE_elcagg_won_GBR_012</t>
  </si>
  <si>
    <t>elc_won_GBR_012</t>
  </si>
  <si>
    <t>UCE_elcagg_won_GBR_013</t>
  </si>
  <si>
    <t>elc_won_GBR_013</t>
  </si>
  <si>
    <t>UCE_elcagg_won_GBR_014</t>
  </si>
  <si>
    <t>elc_won_GBR_014</t>
  </si>
  <si>
    <t>UCE_elcagg_won_GBR_015</t>
  </si>
  <si>
    <t>elc_won_GBR_015</t>
  </si>
  <si>
    <t>UCE_elcagg_won_GBR_016</t>
  </si>
  <si>
    <t>elc_won_GBR_016</t>
  </si>
  <si>
    <t>UCE_elcagg_won_GBR_017</t>
  </si>
  <si>
    <t>elc_won_GBR_017</t>
  </si>
  <si>
    <t>UCE_elcagg_won_GBR_018</t>
  </si>
  <si>
    <t>elc_won_GBR_018</t>
  </si>
  <si>
    <t>UCE_elcagg_won_GBR_019</t>
  </si>
  <si>
    <t>elc_won_GBR_019</t>
  </si>
  <si>
    <t>UCE_elcagg_won_GBR_020</t>
  </si>
  <si>
    <t>elc_won_GBR_020</t>
  </si>
  <si>
    <t>UCE_elcagg_won_GBR_021</t>
  </si>
  <si>
    <t>elc_won_GBR_021</t>
  </si>
  <si>
    <t>UCE_elcagg_won_GBR_022</t>
  </si>
  <si>
    <t>elc_won_GBR_022</t>
  </si>
  <si>
    <t>g_Ballincollig_IRL-Cork_IRL</t>
  </si>
  <si>
    <t>e_demand_Ballincollig_IRL</t>
  </si>
  <si>
    <t>IRL</t>
  </si>
  <si>
    <t>e_Ballincollig_IRL</t>
  </si>
  <si>
    <t>en_gas_ccgt_Ballincollig_IRL</t>
  </si>
  <si>
    <t>g_Cork_IRL-Waterford_IRL</t>
  </si>
  <si>
    <t>e_demand_Cork_IRL</t>
  </si>
  <si>
    <t>e_Cork_IRL</t>
  </si>
  <si>
    <t>en_gas_turbine_Ballincollig_IRL</t>
  </si>
  <si>
    <t>g_Drogheda_IRL-DunDealgan_IRL</t>
  </si>
  <si>
    <t>e_demand_Greystones_IRL</t>
  </si>
  <si>
    <t>e_Greystones_IRL</t>
  </si>
  <si>
    <t>en_gas_ccs_Ballincollig_IRL</t>
  </si>
  <si>
    <t>g_Dublin_IRL-Drogheda_IRL</t>
  </si>
  <si>
    <t>e_demand_Limerick_IRL</t>
  </si>
  <si>
    <t>e_Limerick_IRL</t>
  </si>
  <si>
    <t>en_coal_subcritical_Ballincollig_IRL</t>
  </si>
  <si>
    <t>g_Dublin_IRL-Greystones_IRL</t>
  </si>
  <si>
    <t>e_demand_Longford_IRL</t>
  </si>
  <si>
    <t>e_Longford_IRL</t>
  </si>
  <si>
    <t>en_coal_supercritical_Ballincollig_IRL</t>
  </si>
  <si>
    <t>g_Dublin_IRL-Waterford_IRL</t>
  </si>
  <si>
    <t>e_demand_Dublin_IRL</t>
  </si>
  <si>
    <t>e_Dublin_IRL</t>
  </si>
  <si>
    <t>en_coal_ultrasupercritical_Ballincollig_IRL</t>
  </si>
  <si>
    <t>g_Greystones_IRL-Waterford_IRL</t>
  </si>
  <si>
    <t>e_demand_Drogheda_IRL</t>
  </si>
  <si>
    <t>e_Drogheda_IRL</t>
  </si>
  <si>
    <t>en_coal_igcc_Ballincollig_IRL</t>
  </si>
  <si>
    <t>g_Limerick_IRL-Cork_IRL</t>
  </si>
  <si>
    <t>e_demand_DunDealgan_IRL</t>
  </si>
  <si>
    <t>e_DunDealgan_IRL</t>
  </si>
  <si>
    <t>en_nuclear_Ballincollig_IRL</t>
  </si>
  <si>
    <t>g_Limerick_IRL-Dublin_IRL</t>
  </si>
  <si>
    <t>e_demand_Shannon_IRL</t>
  </si>
  <si>
    <t>e_Shannon_IRL</t>
  </si>
  <si>
    <t>en_nuclear_smr_Ballincollig_IRL</t>
  </si>
  <si>
    <t>g_Longford_IRL-Drogheda_IRL</t>
  </si>
  <si>
    <t>e_demand_Waterford_IRL</t>
  </si>
  <si>
    <t>e_Waterford_IRL</t>
  </si>
  <si>
    <t>en_biomass_Ballincollig_IRL</t>
  </si>
  <si>
    <t>g_Longford_IRL-Dublin_IRL</t>
  </si>
  <si>
    <t>ev_battery_Ballincollig_IRL</t>
  </si>
  <si>
    <t>en_chp_gas_cc_ext_Ballincollig_IRL</t>
  </si>
  <si>
    <t>g_Longford_IRL-Limerick_IRL</t>
  </si>
  <si>
    <t>ev_battery_Cork_IRL</t>
  </si>
  <si>
    <t>h_Ballincollig_IRL</t>
  </si>
  <si>
    <t>g_Shannon_IRL-Ballincollig_IRL</t>
  </si>
  <si>
    <t>ev_battery_Greystones_IRL</t>
  </si>
  <si>
    <t>en_chp_biomass_chips_ext_Ballincollig_IRL</t>
  </si>
  <si>
    <t>g_Shannon_IRL-Dublin_IRL</t>
  </si>
  <si>
    <t>ev_battery_Limerick_IRL</t>
  </si>
  <si>
    <t>g_Shannon_IRL-Limerick_IRL</t>
  </si>
  <si>
    <t>ev_battery_Longford_IRL</t>
  </si>
  <si>
    <t>en_chp_gas_cc_ext_ccs_Ballincollig_IRL</t>
  </si>
  <si>
    <t>ev_battery_Dublin_IRL</t>
  </si>
  <si>
    <t>ev_battery_Drogheda_IRL</t>
  </si>
  <si>
    <t>en_hop_gas_boiler_Ballincollig_IRL</t>
  </si>
  <si>
    <t>ev_battery_DunDealgan_IRL</t>
  </si>
  <si>
    <t>en_hop_biomass_chips_Ballincollig_IRL</t>
  </si>
  <si>
    <t>ev_battery_Shannon_IRL</t>
  </si>
  <si>
    <t>en_hop_electric_boiler_Ballincollig_IRL</t>
  </si>
  <si>
    <t>ev_battery_Waterford_IRL</t>
  </si>
  <si>
    <t>H2prd_Elc_PEM_Ballincollig_IRL</t>
  </si>
  <si>
    <t>en_hp_air_10mw_Ballincollig_IRL</t>
  </si>
  <si>
    <t>H2prd_Elc_PEM_Cork_IRL</t>
  </si>
  <si>
    <t>H2prd_Elc_PEM_Greystones_IRL</t>
  </si>
  <si>
    <t>en_gas_ccgt_Cork_IRL</t>
  </si>
  <si>
    <t>H2prd_Elc_PEM_Limerick_IRL</t>
  </si>
  <si>
    <t>en_gas_turbine_Cork_IRL</t>
  </si>
  <si>
    <t>H2prd_Elc_PEM_Longford_IRL</t>
  </si>
  <si>
    <t>en_gas_ccs_Cork_IRL</t>
  </si>
  <si>
    <t>H2prd_Elc_PEM_Dublin_IRL</t>
  </si>
  <si>
    <t>en_coal_subcritical_Cork_IRL</t>
  </si>
  <si>
    <t>H2prd_Elc_PEM_Drogheda_IRL</t>
  </si>
  <si>
    <t>en_coal_supercritical_Cork_IRL</t>
  </si>
  <si>
    <t>H2prd_Elc_PEM_DunDealgan_IRL</t>
  </si>
  <si>
    <t>en_coal_ultrasupercritical_Cork_IRL</t>
  </si>
  <si>
    <t>H2prd_Elc_PEM_Shannon_IRL</t>
  </si>
  <si>
    <t>en_coal_igcc_Cork_IRL</t>
  </si>
  <si>
    <t>H2prd_Elc_PEM_Waterford_IRL</t>
  </si>
  <si>
    <t>en_nuclear_Cork_IRL</t>
  </si>
  <si>
    <t>H2prd_Elc_ALK_Ballincollig_IRL</t>
  </si>
  <si>
    <t>en_nuclear_smr_Cork_IRL</t>
  </si>
  <si>
    <t>H2prd_Elc_ALK_Cork_IRL</t>
  </si>
  <si>
    <t>en_biomass_Cork_IRL</t>
  </si>
  <si>
    <t>H2prd_Elc_ALK_Greystones_IRL</t>
  </si>
  <si>
    <t>en_chp_gas_cc_ext_Cork_IRL</t>
  </si>
  <si>
    <t>H2prd_Elc_ALK_Limerick_IRL</t>
  </si>
  <si>
    <t>h_Cork_IRL</t>
  </si>
  <si>
    <t>H2prd_Elc_ALK_Longford_IRL</t>
  </si>
  <si>
    <t>en_chp_biomass_chips_ext_Cork_IRL</t>
  </si>
  <si>
    <t>H2prd_Elc_ALK_Dublin_IRL</t>
  </si>
  <si>
    <t>H2prd_Elc_ALK_Drogheda_IRL</t>
  </si>
  <si>
    <t>en_chp_gas_cc_ext_ccs_Cork_IRL</t>
  </si>
  <si>
    <t>H2prd_Elc_ALK_DunDealgan_IRL</t>
  </si>
  <si>
    <t>H2prd_Elc_ALK_Shannon_IRL</t>
  </si>
  <si>
    <t>en_hop_gas_boiler_Cork_IRL</t>
  </si>
  <si>
    <t>H2prd_Elc_ALK_Waterford_IRL</t>
  </si>
  <si>
    <t>en_hop_biomass_chips_Cork_IRL</t>
  </si>
  <si>
    <t>h_demand_Dublin_IRL</t>
  </si>
  <si>
    <t>h_Dublin_IRL</t>
  </si>
  <si>
    <t>en_hop_electric_boiler_Cork_IRL</t>
  </si>
  <si>
    <t>h_demand_Shannon_IRL</t>
  </si>
  <si>
    <t>h_Shannon_IRL</t>
  </si>
  <si>
    <t>h_demand_Limerick_IRL</t>
  </si>
  <si>
    <t>h_Limerick_IRL</t>
  </si>
  <si>
    <t>en_hp_air_10mw_Cork_IRL</t>
  </si>
  <si>
    <t>h_demand_DunDealgan_IRL</t>
  </si>
  <si>
    <t>h_DunDealgan_IRL</t>
  </si>
  <si>
    <t>en_gas_ccgt_Greystones_IRL</t>
  </si>
  <si>
    <t>en_gas_turbine_Greystones_IRL</t>
  </si>
  <si>
    <t>en_gas_ccs_Greystones_IRL</t>
  </si>
  <si>
    <t>en_coal_subcritical_Greystones_IRL</t>
  </si>
  <si>
    <t>en_coal_supercritical_Greystones_IRL</t>
  </si>
  <si>
    <t>en_coal_ultrasupercritical_Greystones_IRL</t>
  </si>
  <si>
    <t>en_coal_igcc_Greystones_IRL</t>
  </si>
  <si>
    <t>en_nuclear_Greystones_IRL</t>
  </si>
  <si>
    <t>en_nuclear_smr_Greystones_IRL</t>
  </si>
  <si>
    <t>en_biomass_Greystones_IRL</t>
  </si>
  <si>
    <t>en_chp_gas_cc_ext_Greystones_IRL</t>
  </si>
  <si>
    <t>h_Greystones_IRL</t>
  </si>
  <si>
    <t>en_chp_biomass_chips_ext_Greystones_IRL</t>
  </si>
  <si>
    <t>en_chp_gas_cc_ext_ccs_Greystones_IRL</t>
  </si>
  <si>
    <t>en_hop_gas_boiler_Greystones_IRL</t>
  </si>
  <si>
    <t>en_hop_biomass_chips_Greystones_IRL</t>
  </si>
  <si>
    <t>en_hop_electric_boiler_Greystones_IRL</t>
  </si>
  <si>
    <t>en_hp_air_10mw_Greystones_IRL</t>
  </si>
  <si>
    <t>en_gas_ccgt_Limerick_IRL</t>
  </si>
  <si>
    <t>en_gas_turbine_Limerick_IRL</t>
  </si>
  <si>
    <t>en_gas_ccs_Limerick_IRL</t>
  </si>
  <si>
    <t>en_coal_subcritical_Limerick_IRL</t>
  </si>
  <si>
    <t>en_coal_supercritical_Limerick_IRL</t>
  </si>
  <si>
    <t>en_coal_ultrasupercritical_Limerick_IRL</t>
  </si>
  <si>
    <t>en_coal_igcc_Limerick_IRL</t>
  </si>
  <si>
    <t>en_nuclear_Limerick_IRL</t>
  </si>
  <si>
    <t>en_nuclear_smr_Limerick_IRL</t>
  </si>
  <si>
    <t>en_biomass_Limerick_IRL</t>
  </si>
  <si>
    <t>en_chp_gas_cc_ext_Limerick_IRL</t>
  </si>
  <si>
    <t>en_chp_biomass_chips_ext_Limerick_IRL</t>
  </si>
  <si>
    <t>en_chp_gas_cc_ext_ccs_Limerick_IRL</t>
  </si>
  <si>
    <t>en_hop_gas_boiler_Limerick_IRL</t>
  </si>
  <si>
    <t>en_hop_biomass_chips_Limerick_IRL</t>
  </si>
  <si>
    <t>en_hop_electric_boiler_Limerick_IRL</t>
  </si>
  <si>
    <t>en_hp_air_10mw_Limerick_IRL</t>
  </si>
  <si>
    <t>en_gas_ccgt_Longford_IRL</t>
  </si>
  <si>
    <t>en_gas_turbine_Longford_IRL</t>
  </si>
  <si>
    <t>en_gas_ccs_Longford_IRL</t>
  </si>
  <si>
    <t>en_coal_subcritical_Longford_IRL</t>
  </si>
  <si>
    <t>en_coal_supercritical_Longford_IRL</t>
  </si>
  <si>
    <t>en_coal_ultrasupercritical_Longford_IRL</t>
  </si>
  <si>
    <t>en_coal_igcc_Longford_IRL</t>
  </si>
  <si>
    <t>en_nuclear_Longford_IRL</t>
  </si>
  <si>
    <t>en_nuclear_smr_Longford_IRL</t>
  </si>
  <si>
    <t>en_biomass_Longford_IRL</t>
  </si>
  <si>
    <t>en_chp_gas_cc_ext_Longford_IRL</t>
  </si>
  <si>
    <t>h_Longford_IRL</t>
  </si>
  <si>
    <t>en_chp_biomass_chips_ext_Longford_IRL</t>
  </si>
  <si>
    <t>en_chp_gas_cc_ext_ccs_Longford_IRL</t>
  </si>
  <si>
    <t>en_hop_gas_boiler_Longford_IRL</t>
  </si>
  <si>
    <t>en_hop_biomass_chips_Longford_IRL</t>
  </si>
  <si>
    <t>en_hop_electric_boiler_Longford_IRL</t>
  </si>
  <si>
    <t>en_hp_air_10mw_Longford_IRL</t>
  </si>
  <si>
    <t>en_gas_ccgt_Dublin_IRL</t>
  </si>
  <si>
    <t>en_gas_turbine_Dublin_IRL</t>
  </si>
  <si>
    <t>en_gas_ccs_Dublin_IRL</t>
  </si>
  <si>
    <t>en_coal_subcritical_Dublin_IRL</t>
  </si>
  <si>
    <t>en_coal_supercritical_Dublin_IRL</t>
  </si>
  <si>
    <t>en_coal_ultrasupercritical_Dublin_IRL</t>
  </si>
  <si>
    <t>en_coal_igcc_Dublin_IRL</t>
  </si>
  <si>
    <t>en_nuclear_Dublin_IRL</t>
  </si>
  <si>
    <t>en_nuclear_smr_Dublin_IRL</t>
  </si>
  <si>
    <t>en_biomass_Dublin_IRL</t>
  </si>
  <si>
    <t>en_chp_gas_cc_ext_Dublin_IRL</t>
  </si>
  <si>
    <t>en_chp_biomass_chips_ext_Dublin_IRL</t>
  </si>
  <si>
    <t>en_chp_gas_cc_ext_ccs_Dublin_IRL</t>
  </si>
  <si>
    <t>en_hop_gas_boiler_Dublin_IRL</t>
  </si>
  <si>
    <t>en_hop_biomass_chips_Dublin_IRL</t>
  </si>
  <si>
    <t>en_hop_electric_boiler_Dublin_IRL</t>
  </si>
  <si>
    <t>en_hp_air_10mw_Dublin_IRL</t>
  </si>
  <si>
    <t>en_gas_ccgt_Drogheda_IRL</t>
  </si>
  <si>
    <t>en_gas_turbine_Drogheda_IRL</t>
  </si>
  <si>
    <t>en_gas_ccs_Drogheda_IRL</t>
  </si>
  <si>
    <t>en_coal_subcritical_Drogheda_IRL</t>
  </si>
  <si>
    <t>en_coal_supercritical_Drogheda_IRL</t>
  </si>
  <si>
    <t>en_coal_ultrasupercritical_Drogheda_IRL</t>
  </si>
  <si>
    <t>en_coal_igcc_Drogheda_IRL</t>
  </si>
  <si>
    <t>en_nuclear_Drogheda_IRL</t>
  </si>
  <si>
    <t>en_nuclear_smr_Drogheda_IRL</t>
  </si>
  <si>
    <t>en_biomass_Drogheda_IRL</t>
  </si>
  <si>
    <t>en_chp_gas_cc_ext_Drogheda_IRL</t>
  </si>
  <si>
    <t>h_Drogheda_IRL</t>
  </si>
  <si>
    <t>en_chp_biomass_chips_ext_Drogheda_IRL</t>
  </si>
  <si>
    <t>en_chp_gas_cc_ext_ccs_Drogheda_IRL</t>
  </si>
  <si>
    <t>en_hop_gas_boiler_Drogheda_IRL</t>
  </si>
  <si>
    <t>en_hop_biomass_chips_Drogheda_IRL</t>
  </si>
  <si>
    <t>en_hop_electric_boiler_Drogheda_IRL</t>
  </si>
  <si>
    <t>en_hp_air_10mw_Drogheda_IRL</t>
  </si>
  <si>
    <t>en_gas_ccgt_DunDealgan_IRL</t>
  </si>
  <si>
    <t>en_gas_turbine_DunDealgan_IRL</t>
  </si>
  <si>
    <t>en_gas_ccs_DunDealgan_IRL</t>
  </si>
  <si>
    <t>en_coal_subcritical_DunDealgan_IRL</t>
  </si>
  <si>
    <t>en_coal_supercritical_DunDealgan_IRL</t>
  </si>
  <si>
    <t>en_coal_ultrasupercritical_DunDealgan_IRL</t>
  </si>
  <si>
    <t>en_coal_igcc_DunDealgan_IRL</t>
  </si>
  <si>
    <t>en_nuclear_DunDealgan_IRL</t>
  </si>
  <si>
    <t>en_nuclear_smr_DunDealgan_IRL</t>
  </si>
  <si>
    <t>en_biomass_DunDealgan_IRL</t>
  </si>
  <si>
    <t>en_chp_gas_cc_ext_DunDealgan_IRL</t>
  </si>
  <si>
    <t>en_chp_biomass_chips_ext_DunDealgan_IRL</t>
  </si>
  <si>
    <t>en_chp_gas_cc_ext_ccs_DunDealgan_IRL</t>
  </si>
  <si>
    <t>en_hop_gas_boiler_DunDealgan_IRL</t>
  </si>
  <si>
    <t>en_hop_biomass_chips_DunDealgan_IRL</t>
  </si>
  <si>
    <t>en_hop_electric_boiler_DunDealgan_IRL</t>
  </si>
  <si>
    <t>en_hp_air_10mw_DunDealgan_IRL</t>
  </si>
  <si>
    <t>en_gas_ccgt_Shannon_IRL</t>
  </si>
  <si>
    <t>en_gas_turbine_Shannon_IRL</t>
  </si>
  <si>
    <t>en_gas_ccs_Shannon_IRL</t>
  </si>
  <si>
    <t>en_coal_subcritical_Shannon_IRL</t>
  </si>
  <si>
    <t>en_coal_supercritical_Shannon_IRL</t>
  </si>
  <si>
    <t>en_coal_ultrasupercritical_Shannon_IRL</t>
  </si>
  <si>
    <t>en_coal_igcc_Shannon_IRL</t>
  </si>
  <si>
    <t>en_nuclear_Shannon_IRL</t>
  </si>
  <si>
    <t>en_nuclear_smr_Shannon_IRL</t>
  </si>
  <si>
    <t>en_biomass_Shannon_IRL</t>
  </si>
  <si>
    <t>en_chp_gas_cc_ext_Shannon_IRL</t>
  </si>
  <si>
    <t>en_chp_biomass_chips_ext_Shannon_IRL</t>
  </si>
  <si>
    <t>en_chp_gas_cc_ext_ccs_Shannon_IRL</t>
  </si>
  <si>
    <t>en_hop_gas_boiler_Shannon_IRL</t>
  </si>
  <si>
    <t>en_hop_biomass_chips_Shannon_IRL</t>
  </si>
  <si>
    <t>en_hop_electric_boiler_Shannon_IRL</t>
  </si>
  <si>
    <t>en_hp_air_10mw_Shannon_IRL</t>
  </si>
  <si>
    <t>en_gas_ccgt_Waterford_IRL</t>
  </si>
  <si>
    <t>en_gas_turbine_Waterford_IRL</t>
  </si>
  <si>
    <t>en_gas_ccs_Waterford_IRL</t>
  </si>
  <si>
    <t>en_coal_subcritical_Waterford_IRL</t>
  </si>
  <si>
    <t>en_coal_supercritical_Waterford_IRL</t>
  </si>
  <si>
    <t>en_coal_ultrasupercritical_Waterford_IRL</t>
  </si>
  <si>
    <t>en_coal_igcc_Waterford_IRL</t>
  </si>
  <si>
    <t>en_nuclear_Waterford_IRL</t>
  </si>
  <si>
    <t>en_nuclear_smr_Waterford_IRL</t>
  </si>
  <si>
    <t>en_biomass_Waterford_IRL</t>
  </si>
  <si>
    <t>en_chp_gas_cc_ext_Waterford_IRL</t>
  </si>
  <si>
    <t>h_Waterford_IRL</t>
  </si>
  <si>
    <t>en_chp_biomass_chips_ext_Waterford_IRL</t>
  </si>
  <si>
    <t>en_chp_gas_cc_ext_ccs_Waterford_IRL</t>
  </si>
  <si>
    <t>en_hop_gas_boiler_Waterford_IRL</t>
  </si>
  <si>
    <t>en_hop_biomass_chips_Waterford_IRL</t>
  </si>
  <si>
    <t>en_hop_electric_boiler_Waterford_IRL</t>
  </si>
  <si>
    <t>en_hp_air_10mw_Waterford_IRL</t>
  </si>
  <si>
    <t>en_battery_4h_Ballincollig_IRL</t>
  </si>
  <si>
    <t>en_battery_8h_Ballincollig_IRL</t>
  </si>
  <si>
    <t>en_battery_4h_Cork_IRL</t>
  </si>
  <si>
    <t>en_battery_8h_Cork_IRL</t>
  </si>
  <si>
    <t>en_battery_4h_Greystones_IRL</t>
  </si>
  <si>
    <t>en_battery_8h_Greystones_IRL</t>
  </si>
  <si>
    <t>en_battery_4h_Limerick_IRL</t>
  </si>
  <si>
    <t>en_battery_8h_Limerick_IRL</t>
  </si>
  <si>
    <t>en_battery_4h_Longford_IRL</t>
  </si>
  <si>
    <t>en_battery_8h_Longford_IRL</t>
  </si>
  <si>
    <t>en_battery_4h_Dublin_IRL</t>
  </si>
  <si>
    <t>en_battery_8h_Dublin_IRL</t>
  </si>
  <si>
    <t>en_battery_4h_Drogheda_IRL</t>
  </si>
  <si>
    <t>en_battery_8h_Drogheda_IRL</t>
  </si>
  <si>
    <t>en_battery_4h_DunDealgan_IRL</t>
  </si>
  <si>
    <t>en_battery_8h_DunDealgan_IRL</t>
  </si>
  <si>
    <t>en_battery_4h_Shannon_IRL</t>
  </si>
  <si>
    <t>en_battery_8h_Shannon_IRL</t>
  </si>
  <si>
    <t>en_battery_4h_Waterford_IRL</t>
  </si>
  <si>
    <t>en_battery_8h_Waterford_IRL</t>
  </si>
  <si>
    <t>UCE_elcagg_spv_IRL_001</t>
  </si>
  <si>
    <t>elc_spv_IRL_001</t>
  </si>
  <si>
    <t>UCE_elcagg_spv_IRL_002</t>
  </si>
  <si>
    <t>elc_spv_IRL_002</t>
  </si>
  <si>
    <t>UCE_elcagg_spv_IRL_003</t>
  </si>
  <si>
    <t>elc_spv_IRL_003</t>
  </si>
  <si>
    <t>UCE_elcagg_spv_IRL_004</t>
  </si>
  <si>
    <t>elc_spv_IRL_004</t>
  </si>
  <si>
    <t>UCE_elcagg_spv_IRL_005</t>
  </si>
  <si>
    <t>elc_spv_IRL_005</t>
  </si>
  <si>
    <t>UCE_elcagg_spv_IRL_006</t>
  </si>
  <si>
    <t>elc_spv_IRL_006</t>
  </si>
  <si>
    <t>UCE_elcagg_spv_IRL_007</t>
  </si>
  <si>
    <t>elc_spv_IRL_007</t>
  </si>
  <si>
    <t>UCE_elcagg_spv_IRL_008</t>
  </si>
  <si>
    <t>elc_spv_IRL_008</t>
  </si>
  <si>
    <t>UCE_elcagg_spv_IRL_009</t>
  </si>
  <si>
    <t>elc_spv_IRL_009</t>
  </si>
  <si>
    <t>UCE_elcagg_spv_IRL_010</t>
  </si>
  <si>
    <t>elc_spv_IRL_010</t>
  </si>
  <si>
    <t>UCE_elcagg_wof_IRL_001</t>
  </si>
  <si>
    <t>elc_wof_IRL_001</t>
  </si>
  <si>
    <t>UCE_elcagg_wof_IRL_002</t>
  </si>
  <si>
    <t>elc_wof_IRL_002</t>
  </si>
  <si>
    <t>UCE_elcagg_wof_IRL_003</t>
  </si>
  <si>
    <t>elc_wof_IRL_003</t>
  </si>
  <si>
    <t>UCE_elcagg_wof_IRL_004</t>
  </si>
  <si>
    <t>elc_wof_IRL_004</t>
  </si>
  <si>
    <t>UCE_elcagg_wof_IRL_005</t>
  </si>
  <si>
    <t>elc_wof_IRL_005</t>
  </si>
  <si>
    <t>UCE_elcagg_wof_IRL_006</t>
  </si>
  <si>
    <t>elc_wof_IRL_006</t>
  </si>
  <si>
    <t>UCE_elcagg_wof_IRL_007</t>
  </si>
  <si>
    <t>elc_wof_IRL_007</t>
  </si>
  <si>
    <t>UCE_elcagg_wof_IRL_008</t>
  </si>
  <si>
    <t>elc_wof_IRL_008</t>
  </si>
  <si>
    <t>UCE_elcagg_wof_IRL_009</t>
  </si>
  <si>
    <t>elc_wof_IRL_009</t>
  </si>
  <si>
    <t>UCE_elcagg_wof_IRL_010</t>
  </si>
  <si>
    <t>elc_wof_IRL_010</t>
  </si>
  <si>
    <t>UCE_elcagg_wof_IRL_011</t>
  </si>
  <si>
    <t>elc_wof_IRL_011</t>
  </si>
  <si>
    <t>UCE_elcagg_wof_IRL_012</t>
  </si>
  <si>
    <t>elc_wof_IRL_012</t>
  </si>
  <si>
    <t>UCE_elcagg_wof_IRL_013</t>
  </si>
  <si>
    <t>elc_wof_IRL_013</t>
  </si>
  <si>
    <t>UCE_elcagg_wof_IRL_014</t>
  </si>
  <si>
    <t>elc_wof_IRL_014</t>
  </si>
  <si>
    <t>UCE_elcagg_wof_IRL_015</t>
  </si>
  <si>
    <t>elc_wof_IRL_015</t>
  </si>
  <si>
    <t>UCE_elcagg_wof_IRL_016</t>
  </si>
  <si>
    <t>elc_wof_IRL_016</t>
  </si>
  <si>
    <t>UCE_elcagg_wof_IRL_017</t>
  </si>
  <si>
    <t>elc_wof_IRL_017</t>
  </si>
  <si>
    <t>UCE_elcagg_wof_IRL_018</t>
  </si>
  <si>
    <t>elc_wof_IRL_018</t>
  </si>
  <si>
    <t>UCE_elcagg_won_IRL_001</t>
  </si>
  <si>
    <t>elc_won_IRL_001</t>
  </si>
  <si>
    <t>UCE_elcagg_won_IRL_002</t>
  </si>
  <si>
    <t>elc_won_IRL_002</t>
  </si>
  <si>
    <t>UCE_elcagg_won_IRL_003</t>
  </si>
  <si>
    <t>elc_won_IRL_003</t>
  </si>
  <si>
    <t>UCE_elcagg_won_IRL_004</t>
  </si>
  <si>
    <t>elc_won_IRL_004</t>
  </si>
  <si>
    <t>UCE_elcagg_won_IRL_005</t>
  </si>
  <si>
    <t>elc_won_IRL_005</t>
  </si>
  <si>
    <t>UCE_elcagg_won_IRL_006</t>
  </si>
  <si>
    <t>elc_won_IRL_006</t>
  </si>
  <si>
    <t>UCE_elcagg_won_IRL_007</t>
  </si>
  <si>
    <t>elc_won_IRL_007</t>
  </si>
  <si>
    <t>UCE_elcagg_won_IRL_008</t>
  </si>
  <si>
    <t>elc_won_IRL_008</t>
  </si>
  <si>
    <t>UCE_elcagg_won_IRL_009</t>
  </si>
  <si>
    <t>elc_won_IRL_009</t>
  </si>
  <si>
    <t>UCE_elcagg_won_IRL_010</t>
  </si>
  <si>
    <t>elc_won_IRL_010</t>
  </si>
  <si>
    <t>~UC_Sets: R_E: GBR</t>
  </si>
  <si>
    <t>~tfm_ins-at: region=GBR</t>
  </si>
  <si>
    <t>~UC_Sets: R_E: IRL</t>
  </si>
  <si>
    <t>~tfm_ins-at: region=IRL</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</si>
  <si>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</si>
  <si>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</si>
  <si>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</si>
  <si>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</si>
  <si>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</si>
  <si>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</si>
  <si>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</si>
  <si>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</si>
  <si>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</si>
  <si>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</si>
  <si>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</si>
  <si>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</si>
  <si>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</si>
  <si>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</si>
  <si>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</si>
  <si>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Clean Power 2030 Action Plan: A new era of clean electricity</t>
  </si>
  <si>
    <t>The Department for Energy Security and Net Zero</t>
  </si>
  <si>
    <t>https://www.gov.uk/government/publications/clean-power-2030-action-plan</t>
  </si>
  <si>
    <t>The UK Clean Power Action Plan 2030 outlines the government's strategy to decarbonize the power sector by 2035, with key milestones by 2030. The plan focuses on accelerating the transition to clean energy sources to meet the UK's net zero targets. The plan underpins the UK’s goal of a fully decarbonized electricity system by 2035, crucial for achieving overall net zero emissions by 2050.</t>
  </si>
  <si>
    <t>p. 32 Table 1 "Installed capacity in 2030 in the NESO ‘Further Flex and Renewables’ and ‘New Dispatch’ scenarios, and the D E S N Z ‘Clean Power Capacity Range’, compared to current installed capacity (GW)".
Capacity data from "DESNZ 'clean power capacity range' column.
p. 34 Figure 7 "Generation in 2030 in the NESO ‘Further Flex and Renewables’ and ‘New_x000D_
Dispatch’ scenarios, compared to current generation (TWh)".
Generation data from "NESO 'further flex and renewables' scenario" Column.</t>
  </si>
  <si>
    <t>Coal</t>
  </si>
  <si>
    <t>Gas</t>
  </si>
  <si>
    <t>Nuclear</t>
  </si>
  <si>
    <t>Offshore Wind</t>
  </si>
  <si>
    <t>British energy security strategy</t>
  </si>
  <si>
    <t>https://www.gov.uk/government/publications/british-energy-security-strategy/british-energy-security-strategy</t>
  </si>
  <si>
    <t>In 2022, the British government announced the ambition to reach 95% of low-carbon grid by 2030, and 100% clean by 2050 in the British Energy Security Strategy. To reach this goal, they set the following targets for renewable capacity: Offshore wind: "Up to 50GW offshore – Including up to 5GW floating offshore wind capacity" - Nuclear: "up to 24 gigawatts by 2050, around 25% of our their 2050 electricity demand." - 70 gigawatts of ground and rooftop capacity together by 2035.</t>
  </si>
  <si>
    <t>Onshore Wind</t>
  </si>
  <si>
    <t>Rest of renewables</t>
  </si>
  <si>
    <t>Solar</t>
  </si>
  <si>
    <t>generation_twh</t>
  </si>
  <si>
    <t>Other Fossil</t>
  </si>
  <si>
    <t>Renewables</t>
  </si>
  <si>
    <t>share_of_generation_pct</t>
  </si>
  <si>
    <t>Official projections</t>
  </si>
  <si>
    <t>Energy and emissions projections: 2021 to 2040</t>
  </si>
  <si>
    <t>https://www.gov.uk/government/publications/energy-and-emissions-projections-2021-to-2040</t>
  </si>
  <si>
    <t>Energy and emissions projections conducted by the Department for Energy Security and Net Zero forecasts the UK's power sector development based on current policies announced until July 2022, including the Climate Change Act, Net Zero Strategy and the British Energy Security Strategy. For this analysis, we have taken projections in the net-zero scenario, namely "Annex O supplementary data: Total electricity generating capacity (Net Zero scenarios in Annex L format)". Storage capacity includes both pumped hydro storage and battery storage.</t>
  </si>
  <si>
    <t>Demand is the sum of "Electricity Total Supplied (net of storage&amp;imports)" and "Net imports".
Data includes storage for battery and pumped storage. Hydrogen projections are also provided.
Annex O Net Zero Scenario Higher Demand - Annex L - Annex O: Total electricity generation capacity, All Power Producers' (APP)</t>
  </si>
  <si>
    <t>Demand</t>
  </si>
  <si>
    <t>demand_twh</t>
  </si>
  <si>
    <t>~TFM_INS</t>
  </si>
  <si>
    <t>attribute</t>
  </si>
  <si>
    <t>cset_cn</t>
  </si>
  <si>
    <t>other_indexes</t>
  </si>
  <si>
    <t>value</t>
  </si>
  <si>
    <t>VDA_EMCB</t>
  </si>
  <si>
    <t>CO2</t>
  </si>
  <si>
    <t>COM_AGG</t>
  </si>
  <si>
    <t>co2</t>
  </si>
  <si>
    <t>co2net</t>
  </si>
  <si>
    <t>co2captured,co2[_]*</t>
  </si>
  <si>
    <t>flo_cost</t>
  </si>
  <si>
    <t>co2captured</t>
  </si>
  <si>
    <t>life</t>
  </si>
  <si>
    <t>g[_]*,distr*</t>
  </si>
  <si>
    <t>prc_capact</t>
  </si>
  <si>
    <t>g_Lisburn_GBR-DunDealgan_IRL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</si>
</sst>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
    <numFmt numFmtId="167" formatCode="0.0%"/>
    <numFmt numFmtId="168" formatCode="0.00000"/>
    <numFmt numFmtId="169" formatCode="0."/>
  </numFmts>
  <fonts count="12" x14ac:knownFonts="1">
    <font>
      <sz val="11"/>
      <color theme="1"/>
      <name val="Aptos Narrow"/>
      <family val="2"/>
      <scheme val="minor"/>
    </font>
    <font>
      <b/>
      <sz val="11"/>
      <color theme="3"/>
      <name val="Aptos Narrow"/>
      <family val="2"/>
      <scheme val="minor"/>
    </font>
    <font>
      <sz val="11"/>
      <color rgb="FF9C5700"/>
      <name val="Aptos Narrow"/>
      <family val="2"/>
      <scheme val="minor"/>
    </font>
    <font>
      <b/>
      <sz val="9"/>
      <color rgb="FFFFFFFF"/>
      <name val="Segoe UI"/>
      <family val="2"/>
    </font>
    <font>
      <i/>
      <sz val="7"/>
      <color rgb="FF969696"/>
      <name val="Consolas"/>
      <family val="3"/>
    </font>
    <font>
      <b/>
      <sz val="10"/>
      <color rgb="FFFFFFFF"/>
      <name val="Segoe UI"/>
      <family val="2"/>
    </font>
    <font>
      <sz val="9"/>
      <color theme="1"/>
      <name val="Segoe UI"/>
      <family val="2"/>
    </font>
    <font>
      <b/>
      <sz val="11"/>
      <name val="Aptos Narrow"/>
      <family val="2"/>
    </font>
    <font>
      <b/>
      <i/>
      <sz val="11"/>
      <color theme="1"/>
      <name val="Aptos Narrow"/>
      <family val="2"/>
      <scheme val="minor"/>
    </font>
    <font>
      <b/>
      <sz val="11"/>
      <color theme="0" tint="-0.14999847407452621"/>
      <name val="Aptos Narrow"/>
      <family val="2"/>
      <scheme val="minor"/>
    </font>
    <font>
      <b/>
      <sz val="9"/>
      <color indexed="81"/>
      <name val="Tahoma"/>
      <charset val="1"/>
    </font>
    <font>
      <sz val="9"/>
      <color indexed="81"/>
      <name val="Tahoma"/>
      <charset val="1"/>
    </font>
  </fonts>
  <fills count="7">
    <fill>
      <patternFill patternType="none"/>
    </fill>
    <fill>
      <patternFill patternType="gray125"/>
    </fill>
    <fill>
      <patternFill patternType="solid">
        <fgColor rgb="FFFFEB9C"/>
      </patternFill>
    </fill>
    <fill>
      <patternFill patternType="solid">
        <fgColor rgb="FF19375F"/>
        <bgColor indexed="64"/>
      </patternFill>
    </fill>
    <fill>
      <patternFill patternType="solid">
        <fgColor rgb="FF4F81BD"/>
        <bgColor indexed="64"/>
      </patternFill>
    </fill>
    <fill>
      <patternFill patternType="solid">
        <fgColor rgb="FFF7F9FC"/>
        <bgColor indexed="64"/>
      </patternFill>
    </fill>
    <fill>
      <patternFill patternType="solid">
        <fgColor rgb="FFDCE6F1"/>
        <bgColor rgb="FFDCE6F1"/>
      </patternFill>
    </fill>
  </fills>
  <borders count="5">
    <border>
      <left/>
      <right/>
      <top/>
      <bottom/>
      <diagonal/>
    </border>
    <border>
      <left/>
      <right/>
      <top/>
      <bottom style="thick">
        <color theme="4" tint="0.499984740745262"/>
      </bottom>
      <diagonal/>
    </border>
    <border>
      <left/>
      <right/>
      <top/>
      <bottom style="medium">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2" applyNumberFormat="0" applyFill="0" applyAlignment="0" applyProtection="0"/>
    <xf numFmtId="0" fontId="1" fillId="0" borderId="0" applyNumberFormat="0" applyFill="0" applyBorder="0" applyAlignment="0" applyProtection="0"/>
    <xf numFmtId="0" fontId="2" fillId="2" borderId="0" applyNumberFormat="0" applyBorder="0" applyAlignment="0" applyProtection="0"/>
  </cellStyleXfs>
  <cellXfs count="33">
    <xf numFmtId="0" fontId="0" fillId="0" borderId="0" xfId="0"/>
    <xf numFmtId="0" fontId="4" fillId="0" borderId="0" xfId="0" applyFont="1"/>
    <xf numFmtId="0" fontId="5" fillId="4" borderId="4" xfId="0" applyFont="1" applyFill="1" applyBorder="1"/>
    <xf numFmtId="0" fontId="6" fillId="5" borderId="3" xfId="0" applyFont="1" applyFill="1" applyBorder="1"/>
    <xf numFmtId="2" fontId="6" fillId="5" borderId="3" xfId="0" applyNumberFormat="1" applyFont="1" applyFill="1" applyBorder="1"/>
    <xf numFmtId="164" fontId="6" fillId="5" borderId="3" xfId="0" applyNumberFormat="1" applyFont="1" applyFill="1" applyBorder="1"/>
    <xf numFmtId="165" fontId="6" fillId="5" borderId="3" xfId="0" applyNumberFormat="1" applyFont="1" applyFill="1" applyBorder="1"/>
    <xf numFmtId="166" fontId="6" fillId="5" borderId="3" xfId="0" applyNumberFormat="1" applyFont="1" applyFill="1" applyBorder="1"/>
    <xf numFmtId="0" fontId="6" fillId="0" borderId="3" xfId="0" applyFont="1" applyBorder="1"/>
    <xf numFmtId="2" fontId="6" fillId="0" borderId="3" xfId="0" applyNumberFormat="1" applyFont="1" applyBorder="1"/>
    <xf numFmtId="164" fontId="6" fillId="0" borderId="3" xfId="0" applyNumberFormat="1" applyFont="1" applyBorder="1"/>
    <xf numFmtId="165" fontId="6" fillId="0" borderId="3" xfId="0" applyNumberFormat="1" applyFont="1" applyBorder="1"/>
    <xf numFmtId="166" fontId="6" fillId="0" borderId="3" xfId="0" applyNumberFormat="1" applyFont="1" applyBorder="1"/>
    <xf numFmtId="0" fontId="7" fillId="6" borderId="0" xfId="0" applyFont="1" applyFill="1"/>
    <xf numFmtId="167" fontId="0" fillId="0" borderId="0" xfId="0" applyNumberFormat="1"/>
    <xf numFmtId="0" fontId="0" fillId="0" borderId="0" xfId="0" quotePrefix="1"/>
    <xf numFmtId="2" fontId="0" fillId="0" borderId="0" xfId="0" applyNumberFormat="1"/>
    <xf numFmtId="165" fontId="0" fillId="0" borderId="0" xfId="0" applyNumberFormat="1"/>
    <xf numFmtId="0" fontId="2" fillId="2" borderId="0" xfId="3"/>
    <xf numFmtId="0" fontId="8" fillId="0" borderId="0" xfId="0" applyFont="1"/>
    <xf numFmtId="0" fontId="9" fillId="0" borderId="1" xfId="2" applyFont="1" applyBorder="1"/>
    <xf numFmtId="0" fontId="1" fillId="0" borderId="2" xfId="1"/>
    <xf numFmtId="168" fontId="6" fillId="5" borderId="3" xfId="0" applyNumberFormat="1" applyFont="1" applyFill="1" applyBorder="1"/>
    <xf numFmtId="169" fontId="6" fillId="5" borderId="3" xfId="0" applyNumberFormat="1" applyFont="1" applyFill="1" applyBorder="1"/>
    <xf numFmtId="14" fontId="6" fillId="5" borderId="3" xfId="0" applyNumberFormat="1" applyFont="1" applyFill="1" applyBorder="1"/>
    <xf numFmtId="169" fontId="6" fillId="0" borderId="3" xfId="0" applyNumberFormat="1" applyFont="1" applyBorder="1"/>
    <xf numFmtId="14" fontId="6" fillId="0" borderId="3" xfId="0" applyNumberFormat="1" applyFont="1" applyBorder="1"/>
    <xf numFmtId="0" fontId="3" fillId="3" borderId="3" xfId="0" applyFont="1" applyFill="1" applyBorder="1" applyAlignment="1">
      <alignment horizontal="left" vertical="center"/>
    </xf>
    <xf numFmtId="0" fontId="5" fillId="4" borderId="4" xfId="0" applyFont="1" applyFill="1" applyBorder="1" applyAlignment="1"/>
    <xf numFmtId="0" fontId="6" fillId="5" borderId="3" xfId="0" applyFont="1" applyFill="1" applyBorder="1" applyAlignment="1"/>
    <xf numFmtId="2" fontId="6" fillId="5" borderId="3" xfId="0" applyNumberFormat="1" applyFont="1" applyFill="1" applyBorder="1" applyAlignment="1"/>
    <xf numFmtId="164" fontId="6" fillId="5" borderId="3" xfId="0" applyNumberFormat="1" applyFont="1" applyFill="1" applyBorder="1" applyAlignment="1"/>
    <xf numFmtId="165" fontId="6" fillId="5" borderId="3" xfId="0" applyNumberFormat="1" applyFont="1" applyFill="1" applyBorder="1" applyAlignment="1"/>
  </cellXfs>
  <cellStyles count="4">
    <cellStyle name="Heading 3" xfId="1" builtinId="18"/>
    <cellStyle name="Heading 4" xfId="2" builtinId="19"/>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120650</xdr:colOff>
      <xdr:row>0</xdr:row>
      <xdr:rowOff>266700</xdr:rowOff>
    </xdr:to>
    <xdr:pic>
      <xdr:nvPicPr>
        <xdr:cNvPr id="2" name="Picture 1">
          <a:extLst>
            <a:ext uri="{FF2B5EF4-FFF2-40B4-BE49-F238E27FC236}">
              <a16:creationId xmlns:a16="http://schemas.microsoft.com/office/drawing/2014/main" id="{86E4A26D-4508-4D81-9A04-94DA5225ADF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69275"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244475</xdr:colOff>
      <xdr:row>0</xdr:row>
      <xdr:rowOff>266700</xdr:rowOff>
    </xdr:to>
    <xdr:pic>
      <xdr:nvPicPr>
        <xdr:cNvPr id="2" name="Picture 1">
          <a:extLst>
            <a:ext uri="{FF2B5EF4-FFF2-40B4-BE49-F238E27FC236}">
              <a16:creationId xmlns:a16="http://schemas.microsoft.com/office/drawing/2014/main" id="{8BAF4BDB-8C73-4E13-8784-517755D3B48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5175"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120650</xdr:colOff>
      <xdr:row>0</xdr:row>
      <xdr:rowOff>266700</xdr:rowOff>
    </xdr:to>
    <xdr:pic>
      <xdr:nvPicPr>
        <xdr:cNvPr id="2" name="Picture 1">
          <a:extLst>
            <a:ext uri="{FF2B5EF4-FFF2-40B4-BE49-F238E27FC236}">
              <a16:creationId xmlns:a16="http://schemas.microsoft.com/office/drawing/2014/main" id="{983BC41C-CD36-4403-8AE7-A371D9398BA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50175" y="12700"/>
          <a:ext cx="990600" cy="254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244475</xdr:colOff>
      <xdr:row>0</xdr:row>
      <xdr:rowOff>266700</xdr:rowOff>
    </xdr:to>
    <xdr:pic>
      <xdr:nvPicPr>
        <xdr:cNvPr id="2" name="Picture 1">
          <a:extLst>
            <a:ext uri="{FF2B5EF4-FFF2-40B4-BE49-F238E27FC236}">
              <a16:creationId xmlns:a16="http://schemas.microsoft.com/office/drawing/2014/main" id="{D55C7611-369F-46AD-BF50-DF99FF55807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45175" y="12700"/>
          <a:ext cx="990600" cy="254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63500</xdr:colOff>
      <xdr:row>0</xdr:row>
      <xdr:rowOff>12700</xdr:rowOff>
    </xdr:from>
    <xdr:to>
      <xdr:col>9</xdr:col>
      <xdr:colOff>1054100</xdr:colOff>
      <xdr:row>0</xdr:row>
      <xdr:rowOff>266700</xdr:rowOff>
    </xdr:to>
    <xdr:pic>
      <xdr:nvPicPr>
        <xdr:cNvPr id="2" name="Picture 1">
          <a:extLst>
            <a:ext uri="{FF2B5EF4-FFF2-40B4-BE49-F238E27FC236}">
              <a16:creationId xmlns:a16="http://schemas.microsoft.com/office/drawing/2014/main" id="{E1FF2A59-37B2-49BC-9B99-26936322240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612688" y="12700"/>
          <a:ext cx="990600" cy="254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35DE74A7-5742-C15E-CE59-A37CDAE69A8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41A43-EFC6-44BE-80B8-C12992DFEA4C}">
  <dimension ref="A1:AG575"/>
  <sheetViews>
    <sheetView workbookViewId="0">
      <selection sqref="A1:H1"/>
    </sheetView>
  </sheetViews>
  <sheetFormatPr defaultRowHeight="14.25" x14ac:dyDescent="0.45"/>
  <cols>
    <col min="2" max="2" width="28.59765625" bestFit="1" customWidth="1"/>
    <col min="3" max="5" width="10.59765625" customWidth="1"/>
    <col min="8" max="8" width="25.86328125" bestFit="1" customWidth="1"/>
    <col min="9" max="9" width="13.06640625" bestFit="1" customWidth="1"/>
    <col min="10" max="11" width="10.59765625" customWidth="1"/>
    <col min="16" max="16" width="10.59765625" customWidth="1"/>
    <col min="17" max="17" width="25.86328125" bestFit="1" customWidth="1"/>
    <col min="18" max="18" width="15.796875" bestFit="1" customWidth="1"/>
    <col min="19" max="19" width="10.59765625" customWidth="1"/>
    <col min="21" max="21" width="10.59765625" customWidth="1"/>
    <col min="22" max="22" width="30.59765625" customWidth="1"/>
    <col min="23" max="23" width="15.796875" bestFit="1" customWidth="1"/>
    <col min="24" max="24" width="10.59765625" customWidth="1"/>
  </cols>
  <sheetData>
    <row r="1" spans="1:33" ht="22.05" customHeight="1" x14ac:dyDescent="0.45">
      <c r="A1" s="27" t="s">
        <v>0</v>
      </c>
      <c r="B1" s="27"/>
      <c r="C1" s="27"/>
      <c r="D1" s="27"/>
      <c r="E1" s="27"/>
      <c r="F1" s="27"/>
      <c r="G1" s="27"/>
      <c r="H1" s="27"/>
    </row>
    <row r="2" spans="1:33" ht="14.65" thickBot="1" x14ac:dyDescent="0.5">
      <c r="B2" s="1" t="s">
        <v>1</v>
      </c>
      <c r="H2" s="1" t="s">
        <v>1</v>
      </c>
      <c r="P2" s="1" t="s">
        <v>2</v>
      </c>
      <c r="U2" s="1" t="s">
        <v>2</v>
      </c>
    </row>
    <row r="3" spans="1:33" ht="15.75" thickBot="1" x14ac:dyDescent="0.6">
      <c r="B3" s="2" t="s">
        <v>3</v>
      </c>
      <c r="C3" s="2" t="s">
        <v>4</v>
      </c>
      <c r="D3" s="2" t="s">
        <v>5</v>
      </c>
      <c r="E3" s="2" t="s">
        <v>6</v>
      </c>
      <c r="H3" s="2" t="s">
        <v>3</v>
      </c>
      <c r="I3" s="2" t="s">
        <v>7</v>
      </c>
      <c r="J3" s="2" t="s">
        <v>8</v>
      </c>
      <c r="K3" s="2" t="s">
        <v>9</v>
      </c>
      <c r="P3" s="2" t="s">
        <v>10</v>
      </c>
      <c r="Q3" s="2" t="s">
        <v>3</v>
      </c>
      <c r="R3" s="2" t="s">
        <v>7</v>
      </c>
      <c r="S3" s="2" t="s">
        <v>11</v>
      </c>
      <c r="U3" s="2" t="s">
        <v>10</v>
      </c>
      <c r="V3" s="2" t="s">
        <v>3</v>
      </c>
      <c r="W3" s="2" t="s">
        <v>7</v>
      </c>
      <c r="X3" s="2" t="s">
        <v>11</v>
      </c>
      <c r="AA3" t="s">
        <v>1188</v>
      </c>
    </row>
    <row r="4" spans="1:33" x14ac:dyDescent="0.45">
      <c r="B4" s="3" t="s">
        <v>12</v>
      </c>
      <c r="C4" s="4">
        <v>2.5024670999999996</v>
      </c>
      <c r="D4" s="5">
        <v>57.2</v>
      </c>
      <c r="E4" s="6">
        <v>0.99687999999999999</v>
      </c>
      <c r="H4" s="3" t="s">
        <v>13</v>
      </c>
      <c r="I4" s="3" t="s">
        <v>14</v>
      </c>
      <c r="J4" s="7">
        <v>7.0613481965039332E-2</v>
      </c>
      <c r="K4" s="3" t="s">
        <v>15</v>
      </c>
      <c r="P4" s="3" t="s">
        <v>16</v>
      </c>
      <c r="Q4" s="3" t="s">
        <v>13</v>
      </c>
      <c r="R4" s="3" t="s">
        <v>17</v>
      </c>
      <c r="S4" s="3" t="s">
        <v>18</v>
      </c>
      <c r="U4" s="3" t="s">
        <v>16</v>
      </c>
      <c r="V4" s="3" t="s">
        <v>19</v>
      </c>
      <c r="W4" s="3" t="s">
        <v>17</v>
      </c>
      <c r="X4" s="3" t="s">
        <v>20</v>
      </c>
      <c r="AA4" t="s">
        <v>7</v>
      </c>
      <c r="AB4" t="s">
        <v>21</v>
      </c>
      <c r="AC4" t="s">
        <v>22</v>
      </c>
      <c r="AD4" t="s">
        <v>23</v>
      </c>
      <c r="AE4" t="s">
        <v>24</v>
      </c>
      <c r="AF4" t="s">
        <v>25</v>
      </c>
      <c r="AG4" t="s">
        <v>26</v>
      </c>
    </row>
    <row r="5" spans="1:33" x14ac:dyDescent="0.45">
      <c r="B5" s="8" t="s">
        <v>27</v>
      </c>
      <c r="C5" s="9">
        <v>2.5024663999999999</v>
      </c>
      <c r="D5" s="10">
        <v>31.900000000000002</v>
      </c>
      <c r="E5" s="11">
        <v>0.99826000000000004</v>
      </c>
      <c r="H5" s="8" t="s">
        <v>13</v>
      </c>
      <c r="I5" s="8" t="s">
        <v>28</v>
      </c>
      <c r="J5" s="12">
        <v>7.0613481965039332E-2</v>
      </c>
      <c r="K5" s="8" t="s">
        <v>15</v>
      </c>
      <c r="P5" s="8" t="s">
        <v>16</v>
      </c>
      <c r="Q5" s="8" t="s">
        <v>29</v>
      </c>
      <c r="R5" s="8" t="s">
        <v>30</v>
      </c>
      <c r="S5" s="8" t="s">
        <v>18</v>
      </c>
      <c r="U5" s="8" t="s">
        <v>16</v>
      </c>
      <c r="V5" s="8" t="s">
        <v>31</v>
      </c>
      <c r="W5" s="8" t="s">
        <v>17</v>
      </c>
      <c r="X5" s="8" t="s">
        <v>20</v>
      </c>
      <c r="AA5" t="s">
        <v>32</v>
      </c>
      <c r="AB5" t="s">
        <v>33</v>
      </c>
      <c r="AC5">
        <v>2</v>
      </c>
      <c r="AE5">
        <v>0</v>
      </c>
      <c r="AF5" t="s">
        <v>34</v>
      </c>
      <c r="AG5" t="s">
        <v>35</v>
      </c>
    </row>
    <row r="6" spans="1:33" x14ac:dyDescent="0.45">
      <c r="B6" s="3" t="s">
        <v>36</v>
      </c>
      <c r="C6" s="4">
        <v>7.5074012999999997</v>
      </c>
      <c r="D6" s="5">
        <v>39.6</v>
      </c>
      <c r="E6" s="6">
        <v>0.99783999999999995</v>
      </c>
      <c r="H6" s="3" t="s">
        <v>13</v>
      </c>
      <c r="I6" s="3" t="s">
        <v>37</v>
      </c>
      <c r="J6" s="7">
        <v>7.0613481965039332E-2</v>
      </c>
      <c r="K6" s="3" t="s">
        <v>15</v>
      </c>
      <c r="P6" s="3" t="s">
        <v>16</v>
      </c>
      <c r="Q6" s="3" t="s">
        <v>38</v>
      </c>
      <c r="R6" s="3" t="s">
        <v>39</v>
      </c>
      <c r="S6" s="3" t="s">
        <v>18</v>
      </c>
      <c r="U6" s="3" t="s">
        <v>16</v>
      </c>
      <c r="V6" s="3" t="s">
        <v>40</v>
      </c>
      <c r="W6" s="3" t="s">
        <v>17</v>
      </c>
      <c r="X6" s="3" t="s">
        <v>20</v>
      </c>
      <c r="AA6" t="s">
        <v>32</v>
      </c>
      <c r="AB6" t="s">
        <v>33</v>
      </c>
      <c r="AD6">
        <v>2</v>
      </c>
      <c r="AE6">
        <v>0</v>
      </c>
      <c r="AF6" t="s">
        <v>41</v>
      </c>
    </row>
    <row r="7" spans="1:33" x14ac:dyDescent="0.45">
      <c r="B7" s="8" t="s">
        <v>42</v>
      </c>
      <c r="C7" s="9">
        <v>0.35</v>
      </c>
      <c r="D7" s="10">
        <v>67.100000000000009</v>
      </c>
      <c r="E7" s="11">
        <v>0.99634</v>
      </c>
      <c r="H7" s="8" t="s">
        <v>29</v>
      </c>
      <c r="I7" s="8" t="s">
        <v>14</v>
      </c>
      <c r="J7" s="12">
        <v>0.176595456911018</v>
      </c>
      <c r="K7" s="8" t="s">
        <v>15</v>
      </c>
      <c r="P7" s="8" t="s">
        <v>16</v>
      </c>
      <c r="Q7" s="8" t="s">
        <v>43</v>
      </c>
      <c r="R7" s="8" t="s">
        <v>44</v>
      </c>
      <c r="S7" s="8" t="s">
        <v>18</v>
      </c>
      <c r="U7" s="8" t="s">
        <v>16</v>
      </c>
      <c r="V7" s="8" t="s">
        <v>45</v>
      </c>
      <c r="W7" s="8" t="s">
        <v>17</v>
      </c>
      <c r="X7" s="8" t="s">
        <v>20</v>
      </c>
    </row>
    <row r="8" spans="1:33" x14ac:dyDescent="0.45">
      <c r="B8" s="3" t="s">
        <v>46</v>
      </c>
      <c r="C8" s="4">
        <v>1.2512331999999999</v>
      </c>
      <c r="D8" s="5">
        <v>74.800000000000011</v>
      </c>
      <c r="E8" s="6">
        <v>0.99592000000000003</v>
      </c>
      <c r="H8" s="3" t="s">
        <v>29</v>
      </c>
      <c r="I8" s="3" t="s">
        <v>28</v>
      </c>
      <c r="J8" s="7">
        <v>0.176595456911018</v>
      </c>
      <c r="K8" s="3" t="s">
        <v>15</v>
      </c>
      <c r="P8" s="3" t="s">
        <v>16</v>
      </c>
      <c r="Q8" s="3" t="s">
        <v>47</v>
      </c>
      <c r="R8" s="3" t="s">
        <v>48</v>
      </c>
      <c r="S8" s="3" t="s">
        <v>18</v>
      </c>
      <c r="U8" s="3" t="s">
        <v>16</v>
      </c>
      <c r="V8" s="3" t="s">
        <v>49</v>
      </c>
      <c r="W8" s="3" t="s">
        <v>17</v>
      </c>
      <c r="X8" s="3" t="s">
        <v>20</v>
      </c>
    </row>
    <row r="9" spans="1:33" x14ac:dyDescent="0.45">
      <c r="B9" s="8" t="s">
        <v>50</v>
      </c>
      <c r="C9" s="9">
        <v>7.5465025999999993</v>
      </c>
      <c r="D9" s="10">
        <v>67.100000000000009</v>
      </c>
      <c r="E9" s="11">
        <v>0.99634</v>
      </c>
      <c r="H9" s="8" t="s">
        <v>29</v>
      </c>
      <c r="I9" s="8" t="s">
        <v>37</v>
      </c>
      <c r="J9" s="12">
        <v>0.176595456911018</v>
      </c>
      <c r="K9" s="8" t="s">
        <v>15</v>
      </c>
      <c r="P9" s="8" t="s">
        <v>16</v>
      </c>
      <c r="Q9" s="8" t="s">
        <v>51</v>
      </c>
      <c r="R9" s="8" t="s">
        <v>52</v>
      </c>
      <c r="S9" s="8" t="s">
        <v>18</v>
      </c>
      <c r="U9" s="8" t="s">
        <v>16</v>
      </c>
      <c r="V9" s="8" t="s">
        <v>53</v>
      </c>
      <c r="W9" s="8" t="s">
        <v>17</v>
      </c>
      <c r="X9" s="8" t="s">
        <v>20</v>
      </c>
    </row>
    <row r="10" spans="1:33" x14ac:dyDescent="0.45">
      <c r="B10" s="3" t="s">
        <v>54</v>
      </c>
      <c r="C10" s="4">
        <v>1.2903351999999999</v>
      </c>
      <c r="D10" s="5">
        <v>61.600000000000009</v>
      </c>
      <c r="E10" s="6">
        <v>0.99663999999999997</v>
      </c>
      <c r="H10" s="3" t="s">
        <v>38</v>
      </c>
      <c r="I10" s="3" t="s">
        <v>14</v>
      </c>
      <c r="J10" s="7">
        <v>7.6856558478246399E-3</v>
      </c>
      <c r="K10" s="3" t="s">
        <v>15</v>
      </c>
      <c r="P10" s="3" t="s">
        <v>16</v>
      </c>
      <c r="Q10" s="3" t="s">
        <v>55</v>
      </c>
      <c r="R10" s="3" t="s">
        <v>56</v>
      </c>
      <c r="S10" s="3" t="s">
        <v>18</v>
      </c>
      <c r="U10" s="3" t="s">
        <v>16</v>
      </c>
      <c r="V10" s="3" t="s">
        <v>57</v>
      </c>
      <c r="W10" s="3" t="s">
        <v>17</v>
      </c>
      <c r="X10" s="3" t="s">
        <v>20</v>
      </c>
    </row>
    <row r="11" spans="1:33" x14ac:dyDescent="0.45">
      <c r="B11" s="8" t="s">
        <v>58</v>
      </c>
      <c r="C11" s="9">
        <v>7.4057382</v>
      </c>
      <c r="D11" s="10">
        <v>49.500000000000007</v>
      </c>
      <c r="E11" s="11">
        <v>0.99729999999999996</v>
      </c>
      <c r="H11" s="8" t="s">
        <v>38</v>
      </c>
      <c r="I11" s="8" t="s">
        <v>28</v>
      </c>
      <c r="J11" s="12">
        <v>7.6856558478246399E-3</v>
      </c>
      <c r="K11" s="8" t="s">
        <v>15</v>
      </c>
      <c r="P11" s="8" t="s">
        <v>16</v>
      </c>
      <c r="Q11" s="8" t="s">
        <v>59</v>
      </c>
      <c r="R11" s="8" t="s">
        <v>60</v>
      </c>
      <c r="S11" s="8" t="s">
        <v>18</v>
      </c>
      <c r="U11" s="8" t="s">
        <v>16</v>
      </c>
      <c r="V11" s="8" t="s">
        <v>61</v>
      </c>
      <c r="W11" s="8" t="s">
        <v>17</v>
      </c>
      <c r="X11" s="8" t="s">
        <v>20</v>
      </c>
    </row>
    <row r="12" spans="1:33" x14ac:dyDescent="0.45">
      <c r="B12" s="3" t="s">
        <v>62</v>
      </c>
      <c r="C12" s="4">
        <v>2.5806689999999999</v>
      </c>
      <c r="D12" s="5">
        <v>51.7</v>
      </c>
      <c r="E12" s="6">
        <v>0.99717999999999996</v>
      </c>
      <c r="H12" s="3" t="s">
        <v>38</v>
      </c>
      <c r="I12" s="3" t="s">
        <v>37</v>
      </c>
      <c r="J12" s="7">
        <v>7.6856558478246399E-3</v>
      </c>
      <c r="K12" s="3" t="s">
        <v>15</v>
      </c>
      <c r="P12" s="3" t="s">
        <v>16</v>
      </c>
      <c r="Q12" s="3" t="s">
        <v>63</v>
      </c>
      <c r="R12" s="3" t="s">
        <v>64</v>
      </c>
      <c r="S12" s="3" t="s">
        <v>18</v>
      </c>
      <c r="U12" s="3" t="s">
        <v>16</v>
      </c>
      <c r="V12" s="3" t="s">
        <v>65</v>
      </c>
      <c r="W12" s="3" t="s">
        <v>17</v>
      </c>
      <c r="X12" s="3" t="s">
        <v>20</v>
      </c>
    </row>
    <row r="13" spans="1:33" x14ac:dyDescent="0.45">
      <c r="B13" s="8" t="s">
        <v>66</v>
      </c>
      <c r="C13" s="9">
        <v>1.2903351999999999</v>
      </c>
      <c r="D13" s="10">
        <v>62.7</v>
      </c>
      <c r="E13" s="11">
        <v>0.99658000000000002</v>
      </c>
      <c r="H13" s="8" t="s">
        <v>43</v>
      </c>
      <c r="I13" s="8" t="s">
        <v>14</v>
      </c>
      <c r="J13" s="12">
        <v>4.6514642828481501E-5</v>
      </c>
      <c r="K13" s="8" t="s">
        <v>15</v>
      </c>
      <c r="P13" s="8" t="s">
        <v>16</v>
      </c>
      <c r="Q13" s="8" t="s">
        <v>67</v>
      </c>
      <c r="R13" s="8" t="s">
        <v>68</v>
      </c>
      <c r="S13" s="8" t="s">
        <v>18</v>
      </c>
      <c r="U13" s="8" t="s">
        <v>16</v>
      </c>
      <c r="V13" s="8" t="s">
        <v>69</v>
      </c>
      <c r="W13" s="8" t="s">
        <v>17</v>
      </c>
      <c r="X13" s="8" t="s">
        <v>20</v>
      </c>
    </row>
    <row r="14" spans="1:33" x14ac:dyDescent="0.45">
      <c r="B14" s="3" t="s">
        <v>70</v>
      </c>
      <c r="C14" s="4">
        <v>5.0049341999999992</v>
      </c>
      <c r="D14" s="5">
        <v>47.300000000000004</v>
      </c>
      <c r="E14" s="6">
        <v>0.99741999999999997</v>
      </c>
      <c r="H14" s="3" t="s">
        <v>43</v>
      </c>
      <c r="I14" s="3" t="s">
        <v>28</v>
      </c>
      <c r="J14" s="7">
        <v>4.6514642828481501E-5</v>
      </c>
      <c r="K14" s="3" t="s">
        <v>15</v>
      </c>
      <c r="P14" s="3" t="s">
        <v>16</v>
      </c>
      <c r="Q14" s="3" t="s">
        <v>71</v>
      </c>
      <c r="R14" s="3" t="s">
        <v>72</v>
      </c>
      <c r="S14" s="3" t="s">
        <v>18</v>
      </c>
      <c r="U14" s="3" t="s">
        <v>16</v>
      </c>
      <c r="V14" s="3" t="s">
        <v>73</v>
      </c>
      <c r="W14" s="3" t="s">
        <v>17</v>
      </c>
      <c r="X14" s="3" t="s">
        <v>20</v>
      </c>
    </row>
    <row r="15" spans="1:33" x14ac:dyDescent="0.45">
      <c r="B15" s="8" t="s">
        <v>74</v>
      </c>
      <c r="C15" s="9">
        <v>10.088069599999999</v>
      </c>
      <c r="D15" s="10">
        <v>37.400000000000006</v>
      </c>
      <c r="E15" s="11">
        <v>0.99795999999999996</v>
      </c>
      <c r="H15" s="8" t="s">
        <v>43</v>
      </c>
      <c r="I15" s="8" t="s">
        <v>37</v>
      </c>
      <c r="J15" s="12">
        <v>4.6514642828481501E-5</v>
      </c>
      <c r="K15" s="8" t="s">
        <v>15</v>
      </c>
      <c r="P15" s="8" t="s">
        <v>16</v>
      </c>
      <c r="Q15" s="8" t="s">
        <v>75</v>
      </c>
      <c r="R15" s="8" t="s">
        <v>76</v>
      </c>
      <c r="S15" s="8" t="s">
        <v>18</v>
      </c>
      <c r="U15" s="8" t="s">
        <v>16</v>
      </c>
      <c r="V15" s="8" t="s">
        <v>73</v>
      </c>
      <c r="W15" s="8" t="s">
        <v>77</v>
      </c>
      <c r="X15" s="8" t="s">
        <v>20</v>
      </c>
    </row>
    <row r="16" spans="1:33" x14ac:dyDescent="0.45">
      <c r="B16" s="3" t="s">
        <v>78</v>
      </c>
      <c r="C16" s="4">
        <v>2.5024670999999996</v>
      </c>
      <c r="D16" s="5">
        <v>46.2</v>
      </c>
      <c r="E16" s="6">
        <v>0.99748000000000003</v>
      </c>
      <c r="H16" s="3" t="s">
        <v>47</v>
      </c>
      <c r="I16" s="3" t="s">
        <v>14</v>
      </c>
      <c r="J16" s="7">
        <v>6.3504675850455565E-3</v>
      </c>
      <c r="K16" s="3" t="s">
        <v>15</v>
      </c>
      <c r="P16" s="3" t="s">
        <v>16</v>
      </c>
      <c r="Q16" s="3" t="s">
        <v>79</v>
      </c>
      <c r="R16" s="3" t="s">
        <v>80</v>
      </c>
      <c r="S16" s="3" t="s">
        <v>18</v>
      </c>
      <c r="U16" s="3" t="s">
        <v>16</v>
      </c>
      <c r="V16" s="3" t="s">
        <v>81</v>
      </c>
      <c r="W16" s="3" t="s">
        <v>17</v>
      </c>
      <c r="X16" s="3" t="s">
        <v>20</v>
      </c>
    </row>
    <row r="17" spans="2:24" x14ac:dyDescent="0.45">
      <c r="B17" s="8" t="s">
        <v>82</v>
      </c>
      <c r="C17" s="9">
        <v>2.5024663999999999</v>
      </c>
      <c r="D17" s="10">
        <v>40.700000000000003</v>
      </c>
      <c r="E17" s="11">
        <v>0.99778</v>
      </c>
      <c r="H17" s="8" t="s">
        <v>47</v>
      </c>
      <c r="I17" s="8" t="s">
        <v>28</v>
      </c>
      <c r="J17" s="12">
        <v>6.3504675850455565E-3</v>
      </c>
      <c r="K17" s="8" t="s">
        <v>15</v>
      </c>
      <c r="P17" s="8" t="s">
        <v>16</v>
      </c>
      <c r="Q17" s="8" t="s">
        <v>83</v>
      </c>
      <c r="R17" s="8" t="s">
        <v>84</v>
      </c>
      <c r="S17" s="8" t="s">
        <v>18</v>
      </c>
      <c r="U17" s="8" t="s">
        <v>16</v>
      </c>
      <c r="V17" s="8" t="s">
        <v>81</v>
      </c>
      <c r="W17" s="8" t="s">
        <v>77</v>
      </c>
      <c r="X17" s="8" t="s">
        <v>20</v>
      </c>
    </row>
    <row r="18" spans="2:24" x14ac:dyDescent="0.45">
      <c r="B18" s="3" t="s">
        <v>85</v>
      </c>
      <c r="C18" s="4">
        <v>2.5806703999999998</v>
      </c>
      <c r="D18" s="5">
        <v>61.600000000000009</v>
      </c>
      <c r="E18" s="6">
        <v>0.99663999999999997</v>
      </c>
      <c r="H18" s="3" t="s">
        <v>47</v>
      </c>
      <c r="I18" s="3" t="s">
        <v>37</v>
      </c>
      <c r="J18" s="7">
        <v>6.3504675850455565E-3</v>
      </c>
      <c r="K18" s="3" t="s">
        <v>15</v>
      </c>
      <c r="P18" s="3" t="s">
        <v>16</v>
      </c>
      <c r="Q18" s="3" t="s">
        <v>86</v>
      </c>
      <c r="R18" s="3" t="s">
        <v>87</v>
      </c>
      <c r="S18" s="3" t="s">
        <v>18</v>
      </c>
      <c r="U18" s="3" t="s">
        <v>16</v>
      </c>
      <c r="V18" s="3" t="s">
        <v>88</v>
      </c>
      <c r="W18" s="3" t="s">
        <v>17</v>
      </c>
      <c r="X18" s="3" t="s">
        <v>20</v>
      </c>
    </row>
    <row r="19" spans="2:24" x14ac:dyDescent="0.45">
      <c r="B19" s="8" t="s">
        <v>89</v>
      </c>
      <c r="C19" s="9">
        <v>1.2512331999999999</v>
      </c>
      <c r="D19" s="10">
        <v>66</v>
      </c>
      <c r="E19" s="11">
        <v>0.99639999999999995</v>
      </c>
      <c r="H19" s="8" t="s">
        <v>51</v>
      </c>
      <c r="I19" s="8" t="s">
        <v>14</v>
      </c>
      <c r="J19" s="12">
        <v>2.0941298810488E-3</v>
      </c>
      <c r="K19" s="8" t="s">
        <v>15</v>
      </c>
      <c r="P19" s="8" t="s">
        <v>16</v>
      </c>
      <c r="Q19" s="8" t="s">
        <v>90</v>
      </c>
      <c r="R19" s="8" t="s">
        <v>91</v>
      </c>
      <c r="S19" s="8" t="s">
        <v>18</v>
      </c>
      <c r="U19" s="8" t="s">
        <v>16</v>
      </c>
      <c r="V19" s="8" t="s">
        <v>88</v>
      </c>
      <c r="W19" s="8" t="s">
        <v>77</v>
      </c>
      <c r="X19" s="8" t="s">
        <v>20</v>
      </c>
    </row>
    <row r="20" spans="2:24" x14ac:dyDescent="0.45">
      <c r="B20" s="3" t="s">
        <v>92</v>
      </c>
      <c r="C20" s="4">
        <v>1.2903344999999999</v>
      </c>
      <c r="D20" s="5">
        <v>26.400000000000002</v>
      </c>
      <c r="E20" s="6">
        <v>0.99856</v>
      </c>
      <c r="H20" s="3" t="s">
        <v>51</v>
      </c>
      <c r="I20" s="3" t="s">
        <v>28</v>
      </c>
      <c r="J20" s="7">
        <v>2.0941298810488E-3</v>
      </c>
      <c r="K20" s="3" t="s">
        <v>15</v>
      </c>
      <c r="P20" s="3" t="s">
        <v>16</v>
      </c>
      <c r="Q20" s="3" t="s">
        <v>93</v>
      </c>
      <c r="R20" s="3" t="s">
        <v>94</v>
      </c>
      <c r="S20" s="3" t="s">
        <v>18</v>
      </c>
      <c r="U20" s="3" t="s">
        <v>16</v>
      </c>
      <c r="V20" s="3" t="s">
        <v>95</v>
      </c>
      <c r="W20" s="3" t="s">
        <v>77</v>
      </c>
      <c r="X20" s="3" t="s">
        <v>20</v>
      </c>
    </row>
    <row r="21" spans="2:24" x14ac:dyDescent="0.45">
      <c r="B21" s="8" t="s">
        <v>96</v>
      </c>
      <c r="C21" s="9">
        <v>7.585604599999999</v>
      </c>
      <c r="D21" s="10">
        <v>19.8</v>
      </c>
      <c r="E21" s="11">
        <v>0.99892000000000003</v>
      </c>
      <c r="H21" s="8" t="s">
        <v>51</v>
      </c>
      <c r="I21" s="8" t="s">
        <v>37</v>
      </c>
      <c r="J21" s="12">
        <v>2.0941298810488E-3</v>
      </c>
      <c r="K21" s="8" t="s">
        <v>15</v>
      </c>
      <c r="P21" s="8" t="s">
        <v>16</v>
      </c>
      <c r="Q21" s="8" t="s">
        <v>97</v>
      </c>
      <c r="R21" s="8" t="s">
        <v>98</v>
      </c>
      <c r="S21" s="8" t="s">
        <v>18</v>
      </c>
      <c r="U21" s="8" t="s">
        <v>16</v>
      </c>
      <c r="V21" s="8" t="s">
        <v>99</v>
      </c>
      <c r="W21" s="8" t="s">
        <v>77</v>
      </c>
      <c r="X21" s="8" t="s">
        <v>20</v>
      </c>
    </row>
    <row r="22" spans="2:24" x14ac:dyDescent="0.45">
      <c r="B22" s="3" t="s">
        <v>100</v>
      </c>
      <c r="C22" s="4">
        <v>19.491873099999999</v>
      </c>
      <c r="D22" s="5">
        <v>23.1</v>
      </c>
      <c r="E22" s="6">
        <v>0.99873999999999996</v>
      </c>
      <c r="H22" s="3" t="s">
        <v>55</v>
      </c>
      <c r="I22" s="3" t="s">
        <v>14</v>
      </c>
      <c r="J22" s="7">
        <v>4.1390958344440273E-2</v>
      </c>
      <c r="K22" s="3" t="s">
        <v>15</v>
      </c>
      <c r="P22" s="3" t="s">
        <v>16</v>
      </c>
      <c r="Q22" s="3" t="s">
        <v>101</v>
      </c>
      <c r="R22" s="3" t="s">
        <v>102</v>
      </c>
      <c r="S22" s="3" t="s">
        <v>18</v>
      </c>
      <c r="U22" s="3" t="s">
        <v>16</v>
      </c>
      <c r="V22" s="3" t="s">
        <v>103</v>
      </c>
      <c r="W22" s="3" t="s">
        <v>77</v>
      </c>
      <c r="X22" s="3" t="s">
        <v>20</v>
      </c>
    </row>
    <row r="23" spans="2:24" x14ac:dyDescent="0.45">
      <c r="B23" s="8" t="s">
        <v>104</v>
      </c>
      <c r="C23" s="9">
        <v>1.2903344999999999</v>
      </c>
      <c r="D23" s="10">
        <v>26.400000000000002</v>
      </c>
      <c r="E23" s="11">
        <v>0.99856</v>
      </c>
      <c r="H23" s="8" t="s">
        <v>55</v>
      </c>
      <c r="I23" s="8" t="s">
        <v>28</v>
      </c>
      <c r="J23" s="12">
        <v>4.1390958344440273E-2</v>
      </c>
      <c r="K23" s="8" t="s">
        <v>15</v>
      </c>
      <c r="P23" s="8" t="s">
        <v>16</v>
      </c>
      <c r="Q23" s="8" t="s">
        <v>105</v>
      </c>
      <c r="R23" s="8" t="s">
        <v>106</v>
      </c>
      <c r="S23" s="8" t="s">
        <v>18</v>
      </c>
      <c r="U23" s="8" t="s">
        <v>16</v>
      </c>
      <c r="V23" s="8" t="s">
        <v>103</v>
      </c>
      <c r="W23" s="8" t="s">
        <v>17</v>
      </c>
      <c r="X23" s="8" t="s">
        <v>18</v>
      </c>
    </row>
    <row r="24" spans="2:24" x14ac:dyDescent="0.45">
      <c r="B24" s="3" t="s">
        <v>107</v>
      </c>
      <c r="C24" s="4">
        <v>1.575</v>
      </c>
      <c r="D24" s="5">
        <v>437.8</v>
      </c>
      <c r="E24" s="6">
        <v>0.97611999999999999</v>
      </c>
      <c r="H24" s="3" t="s">
        <v>55</v>
      </c>
      <c r="I24" s="3" t="s">
        <v>37</v>
      </c>
      <c r="J24" s="7">
        <v>4.1390958344440273E-2</v>
      </c>
      <c r="K24" s="3" t="s">
        <v>15</v>
      </c>
      <c r="P24" s="3" t="s">
        <v>16</v>
      </c>
      <c r="Q24" s="3" t="s">
        <v>108</v>
      </c>
      <c r="R24" s="3" t="s">
        <v>109</v>
      </c>
      <c r="S24" s="3" t="s">
        <v>18</v>
      </c>
      <c r="U24" s="3" t="s">
        <v>16</v>
      </c>
      <c r="V24" s="3" t="s">
        <v>110</v>
      </c>
      <c r="W24" s="3" t="s">
        <v>77</v>
      </c>
      <c r="X24" s="3" t="s">
        <v>20</v>
      </c>
    </row>
    <row r="25" spans="2:24" x14ac:dyDescent="0.45">
      <c r="B25" s="8" t="s">
        <v>111</v>
      </c>
      <c r="C25" s="9">
        <v>2.5024670999999996</v>
      </c>
      <c r="D25" s="10">
        <v>29.700000000000003</v>
      </c>
      <c r="E25" s="11">
        <v>0.99838000000000005</v>
      </c>
      <c r="H25" s="8" t="s">
        <v>59</v>
      </c>
      <c r="I25" s="8" t="s">
        <v>14</v>
      </c>
      <c r="J25" s="12">
        <v>4.4691817433857584E-3</v>
      </c>
      <c r="K25" s="8" t="s">
        <v>15</v>
      </c>
      <c r="P25" s="8" t="s">
        <v>16</v>
      </c>
      <c r="Q25" s="8" t="s">
        <v>112</v>
      </c>
      <c r="R25" s="8" t="s">
        <v>17</v>
      </c>
      <c r="S25" s="8" t="s">
        <v>18</v>
      </c>
      <c r="U25" s="8" t="s">
        <v>16</v>
      </c>
      <c r="V25" s="8" t="s">
        <v>110</v>
      </c>
      <c r="W25" s="8" t="s">
        <v>17</v>
      </c>
      <c r="X25" s="8" t="s">
        <v>18</v>
      </c>
    </row>
    <row r="26" spans="2:24" x14ac:dyDescent="0.45">
      <c r="B26" s="3" t="s">
        <v>113</v>
      </c>
      <c r="C26" s="4">
        <v>7.0694694</v>
      </c>
      <c r="D26" s="5">
        <v>99.000000000000014</v>
      </c>
      <c r="E26" s="6">
        <v>0.99460000000000004</v>
      </c>
      <c r="H26" s="3" t="s">
        <v>59</v>
      </c>
      <c r="I26" s="3" t="s">
        <v>28</v>
      </c>
      <c r="J26" s="7">
        <v>4.4691817433857584E-3</v>
      </c>
      <c r="K26" s="3" t="s">
        <v>15</v>
      </c>
      <c r="P26" s="3" t="s">
        <v>16</v>
      </c>
      <c r="Q26" s="3" t="s">
        <v>114</v>
      </c>
      <c r="R26" s="3" t="s">
        <v>30</v>
      </c>
      <c r="S26" s="3" t="s">
        <v>18</v>
      </c>
      <c r="U26" s="3" t="s">
        <v>16</v>
      </c>
      <c r="V26" s="3" t="s">
        <v>115</v>
      </c>
      <c r="W26" s="3" t="s">
        <v>30</v>
      </c>
      <c r="X26" s="3" t="s">
        <v>20</v>
      </c>
    </row>
    <row r="27" spans="2:24" x14ac:dyDescent="0.45">
      <c r="B27" s="8" t="s">
        <v>116</v>
      </c>
      <c r="C27" s="9">
        <v>5.0049341999999992</v>
      </c>
      <c r="D27" s="10">
        <v>57.2</v>
      </c>
      <c r="E27" s="11">
        <v>0.99687999999999999</v>
      </c>
      <c r="H27" s="8" t="s">
        <v>59</v>
      </c>
      <c r="I27" s="8" t="s">
        <v>37</v>
      </c>
      <c r="J27" s="12">
        <v>4.4691817433857584E-3</v>
      </c>
      <c r="K27" s="8" t="s">
        <v>15</v>
      </c>
      <c r="P27" s="8" t="s">
        <v>16</v>
      </c>
      <c r="Q27" s="8" t="s">
        <v>117</v>
      </c>
      <c r="R27" s="8" t="s">
        <v>39</v>
      </c>
      <c r="S27" s="8" t="s">
        <v>18</v>
      </c>
      <c r="U27" s="8" t="s">
        <v>16</v>
      </c>
      <c r="V27" s="8" t="s">
        <v>118</v>
      </c>
      <c r="W27" s="8" t="s">
        <v>30</v>
      </c>
      <c r="X27" s="8" t="s">
        <v>20</v>
      </c>
    </row>
    <row r="28" spans="2:24" x14ac:dyDescent="0.45">
      <c r="B28" s="3" t="s">
        <v>119</v>
      </c>
      <c r="C28" s="4">
        <v>8.1525689000000003</v>
      </c>
      <c r="D28" s="5">
        <v>53.900000000000006</v>
      </c>
      <c r="E28" s="6">
        <v>0.99705999999999995</v>
      </c>
      <c r="H28" s="3" t="s">
        <v>63</v>
      </c>
      <c r="I28" s="3" t="s">
        <v>14</v>
      </c>
      <c r="J28" s="7">
        <v>2.9193659783325686E-2</v>
      </c>
      <c r="K28" s="3" t="s">
        <v>15</v>
      </c>
      <c r="P28" s="3" t="s">
        <v>16</v>
      </c>
      <c r="Q28" s="3" t="s">
        <v>120</v>
      </c>
      <c r="R28" s="3" t="s">
        <v>44</v>
      </c>
      <c r="S28" s="3" t="s">
        <v>18</v>
      </c>
      <c r="U28" s="3" t="s">
        <v>16</v>
      </c>
      <c r="V28" s="3" t="s">
        <v>121</v>
      </c>
      <c r="W28" s="3" t="s">
        <v>30</v>
      </c>
      <c r="X28" s="3" t="s">
        <v>20</v>
      </c>
    </row>
    <row r="29" spans="2:24" x14ac:dyDescent="0.45">
      <c r="B29" s="8" t="s">
        <v>122</v>
      </c>
      <c r="C29" s="9">
        <v>10.009867699999999</v>
      </c>
      <c r="D29" s="10">
        <v>84.7</v>
      </c>
      <c r="E29" s="11">
        <v>0.99538000000000004</v>
      </c>
      <c r="H29" s="8" t="s">
        <v>63</v>
      </c>
      <c r="I29" s="8" t="s">
        <v>28</v>
      </c>
      <c r="J29" s="12">
        <v>2.9193659783325686E-2</v>
      </c>
      <c r="K29" s="8" t="s">
        <v>15</v>
      </c>
      <c r="P29" s="8" t="s">
        <v>16</v>
      </c>
      <c r="Q29" s="8" t="s">
        <v>123</v>
      </c>
      <c r="R29" s="8" t="s">
        <v>48</v>
      </c>
      <c r="S29" s="8" t="s">
        <v>18</v>
      </c>
      <c r="U29" s="8" t="s">
        <v>16</v>
      </c>
      <c r="V29" s="8" t="s">
        <v>124</v>
      </c>
      <c r="W29" s="8" t="s">
        <v>30</v>
      </c>
      <c r="X29" s="8" t="s">
        <v>20</v>
      </c>
    </row>
    <row r="30" spans="2:24" x14ac:dyDescent="0.45">
      <c r="B30" s="3" t="s">
        <v>125</v>
      </c>
      <c r="C30" s="4">
        <v>2.5024670999999996</v>
      </c>
      <c r="D30" s="5">
        <v>59.400000000000006</v>
      </c>
      <c r="E30" s="6">
        <v>0.99675999999999998</v>
      </c>
      <c r="H30" s="3" t="s">
        <v>63</v>
      </c>
      <c r="I30" s="3" t="s">
        <v>37</v>
      </c>
      <c r="J30" s="7">
        <v>2.9193659783325686E-2</v>
      </c>
      <c r="K30" s="3" t="s">
        <v>15</v>
      </c>
      <c r="P30" s="3" t="s">
        <v>16</v>
      </c>
      <c r="Q30" s="3" t="s">
        <v>126</v>
      </c>
      <c r="R30" s="3" t="s">
        <v>52</v>
      </c>
      <c r="S30" s="3" t="s">
        <v>18</v>
      </c>
      <c r="U30" s="3" t="s">
        <v>16</v>
      </c>
      <c r="V30" s="3" t="s">
        <v>127</v>
      </c>
      <c r="W30" s="3" t="s">
        <v>30</v>
      </c>
      <c r="X30" s="3" t="s">
        <v>20</v>
      </c>
    </row>
    <row r="31" spans="2:24" x14ac:dyDescent="0.45">
      <c r="B31" s="8" t="s">
        <v>128</v>
      </c>
      <c r="C31" s="9">
        <v>2.5024670999999996</v>
      </c>
      <c r="D31" s="10">
        <v>23.1</v>
      </c>
      <c r="E31" s="11">
        <v>0.99873999999999996</v>
      </c>
      <c r="H31" s="8" t="s">
        <v>67</v>
      </c>
      <c r="I31" s="8" t="s">
        <v>14</v>
      </c>
      <c r="J31" s="12">
        <v>5.5052844337008834E-3</v>
      </c>
      <c r="K31" s="8" t="s">
        <v>15</v>
      </c>
      <c r="P31" s="8" t="s">
        <v>16</v>
      </c>
      <c r="Q31" s="8" t="s">
        <v>129</v>
      </c>
      <c r="R31" s="8" t="s">
        <v>56</v>
      </c>
      <c r="S31" s="8" t="s">
        <v>18</v>
      </c>
      <c r="U31" s="8" t="s">
        <v>16</v>
      </c>
      <c r="V31" s="8" t="s">
        <v>130</v>
      </c>
      <c r="W31" s="8" t="s">
        <v>30</v>
      </c>
      <c r="X31" s="8" t="s">
        <v>20</v>
      </c>
    </row>
    <row r="32" spans="2:24" x14ac:dyDescent="0.45">
      <c r="B32" s="3" t="s">
        <v>131</v>
      </c>
      <c r="C32" s="4">
        <v>1.2903351999999999</v>
      </c>
      <c r="D32" s="5">
        <v>77</v>
      </c>
      <c r="E32" s="6">
        <v>0.99580000000000002</v>
      </c>
      <c r="H32" s="3" t="s">
        <v>67</v>
      </c>
      <c r="I32" s="3" t="s">
        <v>28</v>
      </c>
      <c r="J32" s="7">
        <v>5.5052844337008834E-3</v>
      </c>
      <c r="K32" s="3" t="s">
        <v>15</v>
      </c>
      <c r="P32" s="3" t="s">
        <v>16</v>
      </c>
      <c r="Q32" s="3" t="s">
        <v>132</v>
      </c>
      <c r="R32" s="3" t="s">
        <v>60</v>
      </c>
      <c r="S32" s="3" t="s">
        <v>18</v>
      </c>
      <c r="U32" s="3" t="s">
        <v>16</v>
      </c>
      <c r="V32" s="3" t="s">
        <v>133</v>
      </c>
      <c r="W32" s="3" t="s">
        <v>30</v>
      </c>
      <c r="X32" s="3" t="s">
        <v>20</v>
      </c>
    </row>
    <row r="33" spans="2:24" x14ac:dyDescent="0.45">
      <c r="B33" s="8" t="s">
        <v>134</v>
      </c>
      <c r="C33" s="9">
        <v>7.6638050999999994</v>
      </c>
      <c r="D33" s="10">
        <v>16.5</v>
      </c>
      <c r="E33" s="11">
        <v>0.99909999999999999</v>
      </c>
      <c r="H33" s="8" t="s">
        <v>67</v>
      </c>
      <c r="I33" s="8" t="s">
        <v>37</v>
      </c>
      <c r="J33" s="12">
        <v>5.5052844337008834E-3</v>
      </c>
      <c r="K33" s="8" t="s">
        <v>15</v>
      </c>
      <c r="P33" s="8" t="s">
        <v>16</v>
      </c>
      <c r="Q33" s="8" t="s">
        <v>135</v>
      </c>
      <c r="R33" s="8" t="s">
        <v>64</v>
      </c>
      <c r="S33" s="8" t="s">
        <v>18</v>
      </c>
      <c r="U33" s="8" t="s">
        <v>16</v>
      </c>
      <c r="V33" s="8" t="s">
        <v>136</v>
      </c>
      <c r="W33" s="8" t="s">
        <v>30</v>
      </c>
      <c r="X33" s="8" t="s">
        <v>20</v>
      </c>
    </row>
    <row r="34" spans="2:24" x14ac:dyDescent="0.45">
      <c r="B34" s="3" t="s">
        <v>137</v>
      </c>
      <c r="C34" s="4">
        <v>3.1867352999999996</v>
      </c>
      <c r="D34" s="5">
        <v>41.800000000000004</v>
      </c>
      <c r="E34" s="6">
        <v>0.99772000000000005</v>
      </c>
      <c r="H34" s="3" t="s">
        <v>71</v>
      </c>
      <c r="I34" s="3" t="s">
        <v>14</v>
      </c>
      <c r="J34" s="7">
        <v>0.17769762484678206</v>
      </c>
      <c r="K34" s="3" t="s">
        <v>15</v>
      </c>
      <c r="P34" s="3" t="s">
        <v>16</v>
      </c>
      <c r="Q34" s="3" t="s">
        <v>138</v>
      </c>
      <c r="R34" s="3" t="s">
        <v>68</v>
      </c>
      <c r="S34" s="3" t="s">
        <v>18</v>
      </c>
      <c r="U34" s="3" t="s">
        <v>16</v>
      </c>
      <c r="V34" s="3" t="s">
        <v>139</v>
      </c>
      <c r="W34" s="3" t="s">
        <v>30</v>
      </c>
      <c r="X34" s="3" t="s">
        <v>20</v>
      </c>
    </row>
    <row r="35" spans="2:24" x14ac:dyDescent="0.45">
      <c r="B35" s="8" t="s">
        <v>140</v>
      </c>
      <c r="C35" s="9">
        <v>5.0049341999999992</v>
      </c>
      <c r="D35" s="10">
        <v>58.300000000000004</v>
      </c>
      <c r="E35" s="11">
        <v>0.99682000000000004</v>
      </c>
      <c r="H35" s="8" t="s">
        <v>71</v>
      </c>
      <c r="I35" s="8" t="s">
        <v>28</v>
      </c>
      <c r="J35" s="12">
        <v>0.17769762484678206</v>
      </c>
      <c r="K35" s="8" t="s">
        <v>15</v>
      </c>
      <c r="P35" s="8" t="s">
        <v>16</v>
      </c>
      <c r="Q35" s="8" t="s">
        <v>141</v>
      </c>
      <c r="R35" s="8" t="s">
        <v>72</v>
      </c>
      <c r="S35" s="8" t="s">
        <v>18</v>
      </c>
      <c r="U35" s="8" t="s">
        <v>16</v>
      </c>
      <c r="V35" s="8" t="s">
        <v>142</v>
      </c>
      <c r="W35" s="8" t="s">
        <v>30</v>
      </c>
      <c r="X35" s="8" t="s">
        <v>20</v>
      </c>
    </row>
    <row r="36" spans="2:24" x14ac:dyDescent="0.45">
      <c r="B36" s="3" t="s">
        <v>143</v>
      </c>
      <c r="C36" s="4">
        <v>0.64516759999999995</v>
      </c>
      <c r="D36" s="5">
        <v>52.800000000000004</v>
      </c>
      <c r="E36" s="6">
        <v>0.99712000000000001</v>
      </c>
      <c r="H36" s="3" t="s">
        <v>71</v>
      </c>
      <c r="I36" s="3" t="s">
        <v>37</v>
      </c>
      <c r="J36" s="7">
        <v>0.17769762484678206</v>
      </c>
      <c r="K36" s="3" t="s">
        <v>15</v>
      </c>
      <c r="P36" s="3" t="s">
        <v>16</v>
      </c>
      <c r="Q36" s="3" t="s">
        <v>144</v>
      </c>
      <c r="R36" s="3" t="s">
        <v>76</v>
      </c>
      <c r="S36" s="3" t="s">
        <v>18</v>
      </c>
      <c r="U36" s="3" t="s">
        <v>16</v>
      </c>
      <c r="V36" s="3" t="s">
        <v>145</v>
      </c>
      <c r="W36" s="3" t="s">
        <v>30</v>
      </c>
      <c r="X36" s="3" t="s">
        <v>20</v>
      </c>
    </row>
    <row r="37" spans="2:24" x14ac:dyDescent="0.45">
      <c r="B37" s="8" t="s">
        <v>146</v>
      </c>
      <c r="C37" s="9">
        <v>2.8185129</v>
      </c>
      <c r="D37" s="10">
        <v>177.10000000000002</v>
      </c>
      <c r="E37" s="11">
        <v>0.99034</v>
      </c>
      <c r="H37" s="8" t="s">
        <v>75</v>
      </c>
      <c r="I37" s="8" t="s">
        <v>14</v>
      </c>
      <c r="J37" s="12">
        <v>1.6858934962827539E-2</v>
      </c>
      <c r="K37" s="8" t="s">
        <v>15</v>
      </c>
      <c r="P37" s="8" t="s">
        <v>16</v>
      </c>
      <c r="Q37" s="8" t="s">
        <v>147</v>
      </c>
      <c r="R37" s="8" t="s">
        <v>80</v>
      </c>
      <c r="S37" s="8" t="s">
        <v>18</v>
      </c>
      <c r="U37" s="8" t="s">
        <v>16</v>
      </c>
      <c r="V37" s="8" t="s">
        <v>145</v>
      </c>
      <c r="W37" s="8" t="s">
        <v>148</v>
      </c>
      <c r="X37" s="8" t="s">
        <v>20</v>
      </c>
    </row>
    <row r="38" spans="2:24" x14ac:dyDescent="0.45">
      <c r="B38" s="3" t="s">
        <v>149</v>
      </c>
      <c r="C38" s="4">
        <v>0.42</v>
      </c>
      <c r="D38" s="5">
        <v>310.20000000000005</v>
      </c>
      <c r="E38" s="6">
        <v>0.98307999999999995</v>
      </c>
      <c r="H38" s="3" t="s">
        <v>75</v>
      </c>
      <c r="I38" s="3" t="s">
        <v>28</v>
      </c>
      <c r="J38" s="7">
        <v>1.6858934962827539E-2</v>
      </c>
      <c r="K38" s="3" t="s">
        <v>15</v>
      </c>
      <c r="P38" s="3" t="s">
        <v>16</v>
      </c>
      <c r="Q38" s="3" t="s">
        <v>150</v>
      </c>
      <c r="R38" s="3" t="s">
        <v>84</v>
      </c>
      <c r="S38" s="3" t="s">
        <v>18</v>
      </c>
      <c r="U38" s="3" t="s">
        <v>16</v>
      </c>
      <c r="V38" s="3" t="s">
        <v>151</v>
      </c>
      <c r="W38" s="3" t="s">
        <v>30</v>
      </c>
      <c r="X38" s="3" t="s">
        <v>20</v>
      </c>
    </row>
    <row r="39" spans="2:24" x14ac:dyDescent="0.45">
      <c r="H39" s="8" t="s">
        <v>75</v>
      </c>
      <c r="I39" s="8" t="s">
        <v>37</v>
      </c>
      <c r="J39" s="12">
        <v>1.6858934962827539E-2</v>
      </c>
      <c r="K39" s="8" t="s">
        <v>15</v>
      </c>
      <c r="P39" s="8" t="s">
        <v>16</v>
      </c>
      <c r="Q39" s="8" t="s">
        <v>152</v>
      </c>
      <c r="R39" s="8" t="s">
        <v>87</v>
      </c>
      <c r="S39" s="8" t="s">
        <v>18</v>
      </c>
      <c r="U39" s="8" t="s">
        <v>16</v>
      </c>
      <c r="V39" s="8" t="s">
        <v>151</v>
      </c>
      <c r="W39" s="8" t="s">
        <v>148</v>
      </c>
      <c r="X39" s="8" t="s">
        <v>20</v>
      </c>
    </row>
    <row r="40" spans="2:24" x14ac:dyDescent="0.45">
      <c r="H40" s="3" t="s">
        <v>79</v>
      </c>
      <c r="I40" s="3" t="s">
        <v>14</v>
      </c>
      <c r="J40" s="7">
        <v>4.7020496125827031E-2</v>
      </c>
      <c r="K40" s="3" t="s">
        <v>15</v>
      </c>
      <c r="P40" s="3" t="s">
        <v>16</v>
      </c>
      <c r="Q40" s="3" t="s">
        <v>153</v>
      </c>
      <c r="R40" s="3" t="s">
        <v>91</v>
      </c>
      <c r="S40" s="3" t="s">
        <v>18</v>
      </c>
      <c r="U40" s="3" t="s">
        <v>16</v>
      </c>
      <c r="V40" s="3" t="s">
        <v>154</v>
      </c>
      <c r="W40" s="3" t="s">
        <v>30</v>
      </c>
      <c r="X40" s="3" t="s">
        <v>20</v>
      </c>
    </row>
    <row r="41" spans="2:24" x14ac:dyDescent="0.45">
      <c r="H41" s="8" t="s">
        <v>79</v>
      </c>
      <c r="I41" s="8" t="s">
        <v>28</v>
      </c>
      <c r="J41" s="12">
        <v>4.7020496125827031E-2</v>
      </c>
      <c r="K41" s="8" t="s">
        <v>15</v>
      </c>
      <c r="P41" s="8" t="s">
        <v>16</v>
      </c>
      <c r="Q41" s="8" t="s">
        <v>155</v>
      </c>
      <c r="R41" s="8" t="s">
        <v>94</v>
      </c>
      <c r="S41" s="8" t="s">
        <v>18</v>
      </c>
      <c r="U41" s="8" t="s">
        <v>16</v>
      </c>
      <c r="V41" s="8" t="s">
        <v>154</v>
      </c>
      <c r="W41" s="8" t="s">
        <v>148</v>
      </c>
      <c r="X41" s="8" t="s">
        <v>20</v>
      </c>
    </row>
    <row r="42" spans="2:24" x14ac:dyDescent="0.45">
      <c r="H42" s="3" t="s">
        <v>79</v>
      </c>
      <c r="I42" s="3" t="s">
        <v>37</v>
      </c>
      <c r="J42" s="7">
        <v>4.7020496125827031E-2</v>
      </c>
      <c r="K42" s="3" t="s">
        <v>15</v>
      </c>
      <c r="P42" s="3" t="s">
        <v>16</v>
      </c>
      <c r="Q42" s="3" t="s">
        <v>156</v>
      </c>
      <c r="R42" s="3" t="s">
        <v>98</v>
      </c>
      <c r="S42" s="3" t="s">
        <v>18</v>
      </c>
      <c r="U42" s="3" t="s">
        <v>16</v>
      </c>
      <c r="V42" s="3" t="s">
        <v>157</v>
      </c>
      <c r="W42" s="3" t="s">
        <v>148</v>
      </c>
      <c r="X42" s="3" t="s">
        <v>20</v>
      </c>
    </row>
    <row r="43" spans="2:24" x14ac:dyDescent="0.45">
      <c r="H43" s="8" t="s">
        <v>83</v>
      </c>
      <c r="I43" s="8" t="s">
        <v>14</v>
      </c>
      <c r="J43" s="12">
        <v>2.746055043863712E-3</v>
      </c>
      <c r="K43" s="8" t="s">
        <v>15</v>
      </c>
      <c r="P43" s="8" t="s">
        <v>16</v>
      </c>
      <c r="Q43" s="8" t="s">
        <v>158</v>
      </c>
      <c r="R43" s="8" t="s">
        <v>102</v>
      </c>
      <c r="S43" s="8" t="s">
        <v>18</v>
      </c>
      <c r="U43" s="8" t="s">
        <v>16</v>
      </c>
      <c r="V43" s="8" t="s">
        <v>159</v>
      </c>
      <c r="W43" s="8" t="s">
        <v>148</v>
      </c>
      <c r="X43" s="8" t="s">
        <v>20</v>
      </c>
    </row>
    <row r="44" spans="2:24" x14ac:dyDescent="0.45">
      <c r="H44" s="3" t="s">
        <v>83</v>
      </c>
      <c r="I44" s="3" t="s">
        <v>28</v>
      </c>
      <c r="J44" s="7">
        <v>2.746055043863712E-3</v>
      </c>
      <c r="K44" s="3" t="s">
        <v>15</v>
      </c>
      <c r="P44" s="3" t="s">
        <v>16</v>
      </c>
      <c r="Q44" s="3" t="s">
        <v>160</v>
      </c>
      <c r="R44" s="3" t="s">
        <v>106</v>
      </c>
      <c r="S44" s="3" t="s">
        <v>18</v>
      </c>
      <c r="U44" s="3" t="s">
        <v>16</v>
      </c>
      <c r="V44" s="3" t="s">
        <v>161</v>
      </c>
      <c r="W44" s="3" t="s">
        <v>148</v>
      </c>
      <c r="X44" s="3" t="s">
        <v>20</v>
      </c>
    </row>
    <row r="45" spans="2:24" x14ac:dyDescent="0.45">
      <c r="H45" s="8" t="s">
        <v>83</v>
      </c>
      <c r="I45" s="8" t="s">
        <v>37</v>
      </c>
      <c r="J45" s="12">
        <v>2.746055043863712E-3</v>
      </c>
      <c r="K45" s="8" t="s">
        <v>15</v>
      </c>
      <c r="P45" s="8" t="s">
        <v>16</v>
      </c>
      <c r="Q45" s="8" t="s">
        <v>162</v>
      </c>
      <c r="R45" s="8" t="s">
        <v>109</v>
      </c>
      <c r="S45" s="8" t="s">
        <v>18</v>
      </c>
      <c r="U45" s="8" t="s">
        <v>16</v>
      </c>
      <c r="V45" s="8" t="s">
        <v>161</v>
      </c>
      <c r="W45" s="8" t="s">
        <v>30</v>
      </c>
      <c r="X45" s="8" t="s">
        <v>18</v>
      </c>
    </row>
    <row r="46" spans="2:24" x14ac:dyDescent="0.45">
      <c r="H46" s="3" t="s">
        <v>86</v>
      </c>
      <c r="I46" s="3" t="s">
        <v>14</v>
      </c>
      <c r="J46" s="7">
        <v>1.8829813028415901E-3</v>
      </c>
      <c r="K46" s="3" t="s">
        <v>15</v>
      </c>
      <c r="P46" s="3" t="s">
        <v>16</v>
      </c>
      <c r="Q46" s="3" t="s">
        <v>163</v>
      </c>
      <c r="R46" s="3" t="s">
        <v>17</v>
      </c>
      <c r="S46" s="3" t="s">
        <v>18</v>
      </c>
      <c r="U46" s="3" t="s">
        <v>16</v>
      </c>
      <c r="V46" s="3" t="s">
        <v>164</v>
      </c>
      <c r="W46" s="3" t="s">
        <v>148</v>
      </c>
      <c r="X46" s="3" t="s">
        <v>20</v>
      </c>
    </row>
    <row r="47" spans="2:24" x14ac:dyDescent="0.45">
      <c r="H47" s="8" t="s">
        <v>86</v>
      </c>
      <c r="I47" s="8" t="s">
        <v>28</v>
      </c>
      <c r="J47" s="12">
        <v>1.8829813028415901E-3</v>
      </c>
      <c r="K47" s="8" t="s">
        <v>15</v>
      </c>
      <c r="P47" s="8" t="s">
        <v>16</v>
      </c>
      <c r="Q47" s="8" t="s">
        <v>165</v>
      </c>
      <c r="R47" s="8" t="s">
        <v>30</v>
      </c>
      <c r="S47" s="8" t="s">
        <v>18</v>
      </c>
      <c r="U47" s="8" t="s">
        <v>16</v>
      </c>
      <c r="V47" s="8" t="s">
        <v>164</v>
      </c>
      <c r="W47" s="8" t="s">
        <v>30</v>
      </c>
      <c r="X47" s="8" t="s">
        <v>18</v>
      </c>
    </row>
    <row r="48" spans="2:24" x14ac:dyDescent="0.45">
      <c r="H48" s="3" t="s">
        <v>86</v>
      </c>
      <c r="I48" s="3" t="s">
        <v>37</v>
      </c>
      <c r="J48" s="7">
        <v>1.8829813028415901E-3</v>
      </c>
      <c r="K48" s="3" t="s">
        <v>15</v>
      </c>
      <c r="P48" s="3" t="s">
        <v>16</v>
      </c>
      <c r="Q48" s="3" t="s">
        <v>166</v>
      </c>
      <c r="R48" s="3" t="s">
        <v>39</v>
      </c>
      <c r="S48" s="3" t="s">
        <v>18</v>
      </c>
      <c r="U48" s="3" t="s">
        <v>16</v>
      </c>
      <c r="V48" s="3" t="s">
        <v>167</v>
      </c>
      <c r="W48" s="3" t="s">
        <v>39</v>
      </c>
      <c r="X48" s="3" t="s">
        <v>20</v>
      </c>
    </row>
    <row r="49" spans="8:24" x14ac:dyDescent="0.45">
      <c r="H49" s="8" t="s">
        <v>90</v>
      </c>
      <c r="I49" s="8" t="s">
        <v>14</v>
      </c>
      <c r="J49" s="12">
        <v>6.6168639227788456E-2</v>
      </c>
      <c r="K49" s="8" t="s">
        <v>15</v>
      </c>
      <c r="P49" s="8" t="s">
        <v>16</v>
      </c>
      <c r="Q49" s="8" t="s">
        <v>168</v>
      </c>
      <c r="R49" s="8" t="s">
        <v>44</v>
      </c>
      <c r="S49" s="8" t="s">
        <v>18</v>
      </c>
      <c r="U49" s="8" t="s">
        <v>16</v>
      </c>
      <c r="V49" s="8" t="s">
        <v>169</v>
      </c>
      <c r="W49" s="8" t="s">
        <v>39</v>
      </c>
      <c r="X49" s="8" t="s">
        <v>20</v>
      </c>
    </row>
    <row r="50" spans="8:24" x14ac:dyDescent="0.45">
      <c r="H50" s="3" t="s">
        <v>90</v>
      </c>
      <c r="I50" s="3" t="s">
        <v>28</v>
      </c>
      <c r="J50" s="7">
        <v>6.6168639227788456E-2</v>
      </c>
      <c r="K50" s="3" t="s">
        <v>15</v>
      </c>
      <c r="P50" s="3" t="s">
        <v>16</v>
      </c>
      <c r="Q50" s="3" t="s">
        <v>170</v>
      </c>
      <c r="R50" s="3" t="s">
        <v>48</v>
      </c>
      <c r="S50" s="3" t="s">
        <v>18</v>
      </c>
      <c r="U50" s="3" t="s">
        <v>16</v>
      </c>
      <c r="V50" s="3" t="s">
        <v>171</v>
      </c>
      <c r="W50" s="3" t="s">
        <v>39</v>
      </c>
      <c r="X50" s="3" t="s">
        <v>20</v>
      </c>
    </row>
    <row r="51" spans="8:24" x14ac:dyDescent="0.45">
      <c r="H51" s="8" t="s">
        <v>90</v>
      </c>
      <c r="I51" s="8" t="s">
        <v>37</v>
      </c>
      <c r="J51" s="12">
        <v>6.6168639227788456E-2</v>
      </c>
      <c r="K51" s="8" t="s">
        <v>15</v>
      </c>
      <c r="P51" s="8" t="s">
        <v>16</v>
      </c>
      <c r="Q51" s="8" t="s">
        <v>172</v>
      </c>
      <c r="R51" s="8" t="s">
        <v>52</v>
      </c>
      <c r="S51" s="8" t="s">
        <v>18</v>
      </c>
      <c r="U51" s="8" t="s">
        <v>16</v>
      </c>
      <c r="V51" s="8" t="s">
        <v>173</v>
      </c>
      <c r="W51" s="8" t="s">
        <v>39</v>
      </c>
      <c r="X51" s="8" t="s">
        <v>20</v>
      </c>
    </row>
    <row r="52" spans="8:24" x14ac:dyDescent="0.45">
      <c r="H52" s="3" t="s">
        <v>93</v>
      </c>
      <c r="I52" s="3" t="s">
        <v>14</v>
      </c>
      <c r="J52" s="7">
        <v>3.9298724255030684E-2</v>
      </c>
      <c r="K52" s="3" t="s">
        <v>15</v>
      </c>
      <c r="P52" s="3" t="s">
        <v>16</v>
      </c>
      <c r="Q52" s="3" t="s">
        <v>174</v>
      </c>
      <c r="R52" s="3" t="s">
        <v>56</v>
      </c>
      <c r="S52" s="3" t="s">
        <v>18</v>
      </c>
      <c r="U52" s="3" t="s">
        <v>16</v>
      </c>
      <c r="V52" s="3" t="s">
        <v>175</v>
      </c>
      <c r="W52" s="3" t="s">
        <v>39</v>
      </c>
      <c r="X52" s="3" t="s">
        <v>20</v>
      </c>
    </row>
    <row r="53" spans="8:24" x14ac:dyDescent="0.45">
      <c r="H53" s="8" t="s">
        <v>93</v>
      </c>
      <c r="I53" s="8" t="s">
        <v>28</v>
      </c>
      <c r="J53" s="12">
        <v>3.9298724255030684E-2</v>
      </c>
      <c r="K53" s="8" t="s">
        <v>15</v>
      </c>
      <c r="P53" s="8" t="s">
        <v>16</v>
      </c>
      <c r="Q53" s="8" t="s">
        <v>176</v>
      </c>
      <c r="R53" s="8" t="s">
        <v>60</v>
      </c>
      <c r="S53" s="8" t="s">
        <v>18</v>
      </c>
      <c r="U53" s="8" t="s">
        <v>16</v>
      </c>
      <c r="V53" s="8" t="s">
        <v>177</v>
      </c>
      <c r="W53" s="8" t="s">
        <v>39</v>
      </c>
      <c r="X53" s="8" t="s">
        <v>20</v>
      </c>
    </row>
    <row r="54" spans="8:24" x14ac:dyDescent="0.45">
      <c r="H54" s="3" t="s">
        <v>93</v>
      </c>
      <c r="I54" s="3" t="s">
        <v>37</v>
      </c>
      <c r="J54" s="7">
        <v>3.9298724255030684E-2</v>
      </c>
      <c r="K54" s="3" t="s">
        <v>15</v>
      </c>
      <c r="P54" s="3" t="s">
        <v>16</v>
      </c>
      <c r="Q54" s="3" t="s">
        <v>178</v>
      </c>
      <c r="R54" s="3" t="s">
        <v>64</v>
      </c>
      <c r="S54" s="3" t="s">
        <v>18</v>
      </c>
      <c r="U54" s="3" t="s">
        <v>16</v>
      </c>
      <c r="V54" s="3" t="s">
        <v>179</v>
      </c>
      <c r="W54" s="3" t="s">
        <v>39</v>
      </c>
      <c r="X54" s="3" t="s">
        <v>20</v>
      </c>
    </row>
    <row r="55" spans="8:24" x14ac:dyDescent="0.45">
      <c r="H55" s="8" t="s">
        <v>97</v>
      </c>
      <c r="I55" s="8" t="s">
        <v>14</v>
      </c>
      <c r="J55" s="12">
        <v>5.2418472177511242E-2</v>
      </c>
      <c r="K55" s="8" t="s">
        <v>15</v>
      </c>
      <c r="P55" s="8" t="s">
        <v>16</v>
      </c>
      <c r="Q55" s="8" t="s">
        <v>180</v>
      </c>
      <c r="R55" s="8" t="s">
        <v>68</v>
      </c>
      <c r="S55" s="8" t="s">
        <v>18</v>
      </c>
      <c r="U55" s="8" t="s">
        <v>16</v>
      </c>
      <c r="V55" s="8" t="s">
        <v>181</v>
      </c>
      <c r="W55" s="8" t="s">
        <v>39</v>
      </c>
      <c r="X55" s="8" t="s">
        <v>20</v>
      </c>
    </row>
    <row r="56" spans="8:24" x14ac:dyDescent="0.45">
      <c r="H56" s="3" t="s">
        <v>97</v>
      </c>
      <c r="I56" s="3" t="s">
        <v>28</v>
      </c>
      <c r="J56" s="7">
        <v>5.2418472177511242E-2</v>
      </c>
      <c r="K56" s="3" t="s">
        <v>15</v>
      </c>
      <c r="P56" s="3" t="s">
        <v>16</v>
      </c>
      <c r="Q56" s="3" t="s">
        <v>182</v>
      </c>
      <c r="R56" s="3" t="s">
        <v>72</v>
      </c>
      <c r="S56" s="3" t="s">
        <v>18</v>
      </c>
      <c r="U56" s="3" t="s">
        <v>16</v>
      </c>
      <c r="V56" s="3" t="s">
        <v>183</v>
      </c>
      <c r="W56" s="3" t="s">
        <v>39</v>
      </c>
      <c r="X56" s="3" t="s">
        <v>20</v>
      </c>
    </row>
    <row r="57" spans="8:24" x14ac:dyDescent="0.45">
      <c r="H57" s="8" t="s">
        <v>97</v>
      </c>
      <c r="I57" s="8" t="s">
        <v>37</v>
      </c>
      <c r="J57" s="12">
        <v>5.2418472177511242E-2</v>
      </c>
      <c r="K57" s="8" t="s">
        <v>15</v>
      </c>
      <c r="P57" s="8" t="s">
        <v>16</v>
      </c>
      <c r="Q57" s="8" t="s">
        <v>184</v>
      </c>
      <c r="R57" s="8" t="s">
        <v>76</v>
      </c>
      <c r="S57" s="8" t="s">
        <v>18</v>
      </c>
      <c r="U57" s="8" t="s">
        <v>16</v>
      </c>
      <c r="V57" s="8" t="s">
        <v>185</v>
      </c>
      <c r="W57" s="8" t="s">
        <v>39</v>
      </c>
      <c r="X57" s="8" t="s">
        <v>20</v>
      </c>
    </row>
    <row r="58" spans="8:24" x14ac:dyDescent="0.45">
      <c r="H58" s="3" t="s">
        <v>101</v>
      </c>
      <c r="I58" s="3" t="s">
        <v>14</v>
      </c>
      <c r="J58" s="7">
        <v>0.14451967737988994</v>
      </c>
      <c r="K58" s="3" t="s">
        <v>15</v>
      </c>
      <c r="P58" s="3" t="s">
        <v>16</v>
      </c>
      <c r="Q58" s="3" t="s">
        <v>186</v>
      </c>
      <c r="R58" s="3" t="s">
        <v>80</v>
      </c>
      <c r="S58" s="3" t="s">
        <v>18</v>
      </c>
      <c r="U58" s="3" t="s">
        <v>16</v>
      </c>
      <c r="V58" s="3" t="s">
        <v>187</v>
      </c>
      <c r="W58" s="3" t="s">
        <v>39</v>
      </c>
      <c r="X58" s="3" t="s">
        <v>20</v>
      </c>
    </row>
    <row r="59" spans="8:24" x14ac:dyDescent="0.45">
      <c r="H59" s="8" t="s">
        <v>101</v>
      </c>
      <c r="I59" s="8" t="s">
        <v>28</v>
      </c>
      <c r="J59" s="12">
        <v>0.14451967737988994</v>
      </c>
      <c r="K59" s="8" t="s">
        <v>15</v>
      </c>
      <c r="P59" s="8" t="s">
        <v>16</v>
      </c>
      <c r="Q59" s="8" t="s">
        <v>188</v>
      </c>
      <c r="R59" s="8" t="s">
        <v>84</v>
      </c>
      <c r="S59" s="8" t="s">
        <v>18</v>
      </c>
      <c r="U59" s="8" t="s">
        <v>16</v>
      </c>
      <c r="V59" s="8" t="s">
        <v>187</v>
      </c>
      <c r="W59" s="8" t="s">
        <v>189</v>
      </c>
      <c r="X59" s="8" t="s">
        <v>20</v>
      </c>
    </row>
    <row r="60" spans="8:24" x14ac:dyDescent="0.45">
      <c r="H60" s="3" t="s">
        <v>101</v>
      </c>
      <c r="I60" s="3" t="s">
        <v>37</v>
      </c>
      <c r="J60" s="7">
        <v>0.14451967737988994</v>
      </c>
      <c r="K60" s="3" t="s">
        <v>15</v>
      </c>
      <c r="P60" s="3" t="s">
        <v>16</v>
      </c>
      <c r="Q60" s="3" t="s">
        <v>190</v>
      </c>
      <c r="R60" s="3" t="s">
        <v>87</v>
      </c>
      <c r="S60" s="3" t="s">
        <v>18</v>
      </c>
      <c r="U60" s="3" t="s">
        <v>16</v>
      </c>
      <c r="V60" s="3" t="s">
        <v>191</v>
      </c>
      <c r="W60" s="3" t="s">
        <v>39</v>
      </c>
      <c r="X60" s="3" t="s">
        <v>20</v>
      </c>
    </row>
    <row r="61" spans="8:24" x14ac:dyDescent="0.45">
      <c r="H61" s="8" t="s">
        <v>105</v>
      </c>
      <c r="I61" s="8" t="s">
        <v>14</v>
      </c>
      <c r="J61" s="12">
        <v>3.1140610011876398E-2</v>
      </c>
      <c r="K61" s="8" t="s">
        <v>15</v>
      </c>
      <c r="P61" s="8" t="s">
        <v>16</v>
      </c>
      <c r="Q61" s="8" t="s">
        <v>192</v>
      </c>
      <c r="R61" s="8" t="s">
        <v>91</v>
      </c>
      <c r="S61" s="8" t="s">
        <v>18</v>
      </c>
      <c r="U61" s="8" t="s">
        <v>16</v>
      </c>
      <c r="V61" s="8" t="s">
        <v>191</v>
      </c>
      <c r="W61" s="8" t="s">
        <v>189</v>
      </c>
      <c r="X61" s="8" t="s">
        <v>20</v>
      </c>
    </row>
    <row r="62" spans="8:24" x14ac:dyDescent="0.45">
      <c r="H62" s="3" t="s">
        <v>105</v>
      </c>
      <c r="I62" s="3" t="s">
        <v>28</v>
      </c>
      <c r="J62" s="7">
        <v>3.1140610011876398E-2</v>
      </c>
      <c r="K62" s="3" t="s">
        <v>15</v>
      </c>
      <c r="P62" s="3" t="s">
        <v>16</v>
      </c>
      <c r="Q62" s="3" t="s">
        <v>193</v>
      </c>
      <c r="R62" s="3" t="s">
        <v>94</v>
      </c>
      <c r="S62" s="3" t="s">
        <v>18</v>
      </c>
      <c r="U62" s="3" t="s">
        <v>16</v>
      </c>
      <c r="V62" s="3" t="s">
        <v>194</v>
      </c>
      <c r="W62" s="3" t="s">
        <v>39</v>
      </c>
      <c r="X62" s="3" t="s">
        <v>20</v>
      </c>
    </row>
    <row r="63" spans="8:24" x14ac:dyDescent="0.45">
      <c r="H63" s="8" t="s">
        <v>105</v>
      </c>
      <c r="I63" s="8" t="s">
        <v>37</v>
      </c>
      <c r="J63" s="12">
        <v>3.1140610011876398E-2</v>
      </c>
      <c r="K63" s="8" t="s">
        <v>15</v>
      </c>
      <c r="P63" s="8" t="s">
        <v>16</v>
      </c>
      <c r="Q63" s="8" t="s">
        <v>195</v>
      </c>
      <c r="R63" s="8" t="s">
        <v>98</v>
      </c>
      <c r="S63" s="8" t="s">
        <v>18</v>
      </c>
      <c r="U63" s="8" t="s">
        <v>16</v>
      </c>
      <c r="V63" s="8" t="s">
        <v>194</v>
      </c>
      <c r="W63" s="8" t="s">
        <v>189</v>
      </c>
      <c r="X63" s="8" t="s">
        <v>20</v>
      </c>
    </row>
    <row r="64" spans="8:24" x14ac:dyDescent="0.45">
      <c r="H64" s="3" t="s">
        <v>108</v>
      </c>
      <c r="I64" s="3" t="s">
        <v>14</v>
      </c>
      <c r="J64" s="7">
        <v>5.6302993528103099E-2</v>
      </c>
      <c r="K64" s="3" t="s">
        <v>15</v>
      </c>
      <c r="P64" s="3" t="s">
        <v>16</v>
      </c>
      <c r="Q64" s="3" t="s">
        <v>196</v>
      </c>
      <c r="R64" s="3" t="s">
        <v>102</v>
      </c>
      <c r="S64" s="3" t="s">
        <v>18</v>
      </c>
      <c r="U64" s="3" t="s">
        <v>16</v>
      </c>
      <c r="V64" s="3" t="s">
        <v>197</v>
      </c>
      <c r="W64" s="3" t="s">
        <v>189</v>
      </c>
      <c r="X64" s="3" t="s">
        <v>20</v>
      </c>
    </row>
    <row r="65" spans="8:24" x14ac:dyDescent="0.45">
      <c r="H65" s="8" t="s">
        <v>108</v>
      </c>
      <c r="I65" s="8" t="s">
        <v>28</v>
      </c>
      <c r="J65" s="12">
        <v>5.6302993528103099E-2</v>
      </c>
      <c r="K65" s="8" t="s">
        <v>15</v>
      </c>
      <c r="P65" s="8" t="s">
        <v>16</v>
      </c>
      <c r="Q65" s="8" t="s">
        <v>198</v>
      </c>
      <c r="R65" s="8" t="s">
        <v>106</v>
      </c>
      <c r="S65" s="8" t="s">
        <v>18</v>
      </c>
      <c r="U65" s="8" t="s">
        <v>16</v>
      </c>
      <c r="V65" s="8" t="s">
        <v>199</v>
      </c>
      <c r="W65" s="8" t="s">
        <v>189</v>
      </c>
      <c r="X65" s="8" t="s">
        <v>20</v>
      </c>
    </row>
    <row r="66" spans="8:24" x14ac:dyDescent="0.45">
      <c r="H66" s="3" t="s">
        <v>108</v>
      </c>
      <c r="I66" s="3" t="s">
        <v>37</v>
      </c>
      <c r="J66" s="7">
        <v>5.6302993528103099E-2</v>
      </c>
      <c r="K66" s="3" t="s">
        <v>15</v>
      </c>
      <c r="P66" s="3" t="s">
        <v>16</v>
      </c>
      <c r="Q66" s="3" t="s">
        <v>200</v>
      </c>
      <c r="R66" s="3" t="s">
        <v>109</v>
      </c>
      <c r="S66" s="3" t="s">
        <v>18</v>
      </c>
      <c r="U66" s="3" t="s">
        <v>16</v>
      </c>
      <c r="V66" s="3" t="s">
        <v>201</v>
      </c>
      <c r="W66" s="3" t="s">
        <v>189</v>
      </c>
      <c r="X66" s="3" t="s">
        <v>20</v>
      </c>
    </row>
    <row r="67" spans="8:24" x14ac:dyDescent="0.45">
      <c r="H67" s="8" t="s">
        <v>112</v>
      </c>
      <c r="I67" s="8" t="s">
        <v>14</v>
      </c>
      <c r="J67" s="12">
        <v>7.0613481965039332E-2</v>
      </c>
      <c r="K67" s="8" t="s">
        <v>15</v>
      </c>
      <c r="P67" s="8" t="s">
        <v>16</v>
      </c>
      <c r="Q67" s="8" t="s">
        <v>202</v>
      </c>
      <c r="R67" s="8" t="s">
        <v>17</v>
      </c>
      <c r="S67" s="8" t="s">
        <v>18</v>
      </c>
      <c r="U67" s="8" t="s">
        <v>16</v>
      </c>
      <c r="V67" s="8" t="s">
        <v>201</v>
      </c>
      <c r="W67" s="8" t="s">
        <v>39</v>
      </c>
      <c r="X67" s="8" t="s">
        <v>18</v>
      </c>
    </row>
    <row r="68" spans="8:24" x14ac:dyDescent="0.45">
      <c r="H68" s="3" t="s">
        <v>112</v>
      </c>
      <c r="I68" s="3" t="s">
        <v>28</v>
      </c>
      <c r="J68" s="7">
        <v>7.0613481965039332E-2</v>
      </c>
      <c r="K68" s="3" t="s">
        <v>15</v>
      </c>
      <c r="P68" s="3" t="s">
        <v>16</v>
      </c>
      <c r="Q68" s="3" t="s">
        <v>203</v>
      </c>
      <c r="R68" s="3" t="s">
        <v>30</v>
      </c>
      <c r="S68" s="3" t="s">
        <v>18</v>
      </c>
      <c r="U68" s="3" t="s">
        <v>16</v>
      </c>
      <c r="V68" s="3" t="s">
        <v>204</v>
      </c>
      <c r="W68" s="3" t="s">
        <v>189</v>
      </c>
      <c r="X68" s="3" t="s">
        <v>20</v>
      </c>
    </row>
    <row r="69" spans="8:24" x14ac:dyDescent="0.45">
      <c r="H69" s="8" t="s">
        <v>112</v>
      </c>
      <c r="I69" s="8" t="s">
        <v>37</v>
      </c>
      <c r="J69" s="12">
        <v>7.0613481965039332E-2</v>
      </c>
      <c r="K69" s="8" t="s">
        <v>15</v>
      </c>
      <c r="P69" s="8" t="s">
        <v>16</v>
      </c>
      <c r="Q69" s="8" t="s">
        <v>205</v>
      </c>
      <c r="R69" s="8" t="s">
        <v>39</v>
      </c>
      <c r="S69" s="8" t="s">
        <v>18</v>
      </c>
      <c r="U69" s="8" t="s">
        <v>16</v>
      </c>
      <c r="V69" s="8" t="s">
        <v>204</v>
      </c>
      <c r="W69" s="8" t="s">
        <v>39</v>
      </c>
      <c r="X69" s="8" t="s">
        <v>18</v>
      </c>
    </row>
    <row r="70" spans="8:24" x14ac:dyDescent="0.45">
      <c r="H70" s="3" t="s">
        <v>114</v>
      </c>
      <c r="I70" s="3" t="s">
        <v>14</v>
      </c>
      <c r="J70" s="7">
        <v>0.176595456911018</v>
      </c>
      <c r="K70" s="3" t="s">
        <v>15</v>
      </c>
      <c r="P70" s="3" t="s">
        <v>16</v>
      </c>
      <c r="Q70" s="3" t="s">
        <v>206</v>
      </c>
      <c r="R70" s="3" t="s">
        <v>44</v>
      </c>
      <c r="S70" s="3" t="s">
        <v>18</v>
      </c>
      <c r="U70" s="3" t="s">
        <v>16</v>
      </c>
      <c r="V70" s="3" t="s">
        <v>207</v>
      </c>
      <c r="W70" s="3" t="s">
        <v>44</v>
      </c>
      <c r="X70" s="3" t="s">
        <v>20</v>
      </c>
    </row>
    <row r="71" spans="8:24" x14ac:dyDescent="0.45">
      <c r="H71" s="8" t="s">
        <v>114</v>
      </c>
      <c r="I71" s="8" t="s">
        <v>28</v>
      </c>
      <c r="J71" s="12">
        <v>0.176595456911018</v>
      </c>
      <c r="K71" s="8" t="s">
        <v>15</v>
      </c>
      <c r="P71" s="8" t="s">
        <v>16</v>
      </c>
      <c r="Q71" s="8" t="s">
        <v>208</v>
      </c>
      <c r="R71" s="8" t="s">
        <v>48</v>
      </c>
      <c r="S71" s="8" t="s">
        <v>18</v>
      </c>
      <c r="U71" s="8" t="s">
        <v>16</v>
      </c>
      <c r="V71" s="8" t="s">
        <v>209</v>
      </c>
      <c r="W71" s="8" t="s">
        <v>44</v>
      </c>
      <c r="X71" s="8" t="s">
        <v>20</v>
      </c>
    </row>
    <row r="72" spans="8:24" x14ac:dyDescent="0.45">
      <c r="H72" s="3" t="s">
        <v>114</v>
      </c>
      <c r="I72" s="3" t="s">
        <v>37</v>
      </c>
      <c r="J72" s="7">
        <v>0.176595456911018</v>
      </c>
      <c r="K72" s="3" t="s">
        <v>15</v>
      </c>
      <c r="P72" s="3" t="s">
        <v>16</v>
      </c>
      <c r="Q72" s="3" t="s">
        <v>210</v>
      </c>
      <c r="R72" s="3" t="s">
        <v>52</v>
      </c>
      <c r="S72" s="3" t="s">
        <v>18</v>
      </c>
      <c r="U72" s="3" t="s">
        <v>16</v>
      </c>
      <c r="V72" s="3" t="s">
        <v>211</v>
      </c>
      <c r="W72" s="3" t="s">
        <v>44</v>
      </c>
      <c r="X72" s="3" t="s">
        <v>20</v>
      </c>
    </row>
    <row r="73" spans="8:24" x14ac:dyDescent="0.45">
      <c r="H73" s="8" t="s">
        <v>117</v>
      </c>
      <c r="I73" s="8" t="s">
        <v>14</v>
      </c>
      <c r="J73" s="12">
        <v>7.6856558478246399E-3</v>
      </c>
      <c r="K73" s="8" t="s">
        <v>15</v>
      </c>
      <c r="P73" s="8" t="s">
        <v>16</v>
      </c>
      <c r="Q73" s="8" t="s">
        <v>212</v>
      </c>
      <c r="R73" s="8" t="s">
        <v>56</v>
      </c>
      <c r="S73" s="8" t="s">
        <v>18</v>
      </c>
      <c r="U73" s="8" t="s">
        <v>16</v>
      </c>
      <c r="V73" s="8" t="s">
        <v>213</v>
      </c>
      <c r="W73" s="8" t="s">
        <v>44</v>
      </c>
      <c r="X73" s="8" t="s">
        <v>20</v>
      </c>
    </row>
    <row r="74" spans="8:24" x14ac:dyDescent="0.45">
      <c r="H74" s="3" t="s">
        <v>117</v>
      </c>
      <c r="I74" s="3" t="s">
        <v>28</v>
      </c>
      <c r="J74" s="7">
        <v>7.6856558478246399E-3</v>
      </c>
      <c r="K74" s="3" t="s">
        <v>15</v>
      </c>
      <c r="P74" s="3" t="s">
        <v>16</v>
      </c>
      <c r="Q74" s="3" t="s">
        <v>214</v>
      </c>
      <c r="R74" s="3" t="s">
        <v>60</v>
      </c>
      <c r="S74" s="3" t="s">
        <v>18</v>
      </c>
      <c r="U74" s="3" t="s">
        <v>16</v>
      </c>
      <c r="V74" s="3" t="s">
        <v>215</v>
      </c>
      <c r="W74" s="3" t="s">
        <v>44</v>
      </c>
      <c r="X74" s="3" t="s">
        <v>20</v>
      </c>
    </row>
    <row r="75" spans="8:24" x14ac:dyDescent="0.45">
      <c r="H75" s="8" t="s">
        <v>117</v>
      </c>
      <c r="I75" s="8" t="s">
        <v>37</v>
      </c>
      <c r="J75" s="12">
        <v>7.6856558478246399E-3</v>
      </c>
      <c r="K75" s="8" t="s">
        <v>15</v>
      </c>
      <c r="P75" s="8" t="s">
        <v>16</v>
      </c>
      <c r="Q75" s="8" t="s">
        <v>216</v>
      </c>
      <c r="R75" s="8" t="s">
        <v>64</v>
      </c>
      <c r="S75" s="8" t="s">
        <v>18</v>
      </c>
      <c r="U75" s="8" t="s">
        <v>16</v>
      </c>
      <c r="V75" s="8" t="s">
        <v>217</v>
      </c>
      <c r="W75" s="8" t="s">
        <v>44</v>
      </c>
      <c r="X75" s="8" t="s">
        <v>20</v>
      </c>
    </row>
    <row r="76" spans="8:24" x14ac:dyDescent="0.45">
      <c r="H76" s="3" t="s">
        <v>120</v>
      </c>
      <c r="I76" s="3" t="s">
        <v>14</v>
      </c>
      <c r="J76" s="7">
        <v>4.6514642828481501E-5</v>
      </c>
      <c r="K76" s="3" t="s">
        <v>15</v>
      </c>
      <c r="P76" s="3" t="s">
        <v>16</v>
      </c>
      <c r="Q76" s="3" t="s">
        <v>218</v>
      </c>
      <c r="R76" s="3" t="s">
        <v>68</v>
      </c>
      <c r="S76" s="3" t="s">
        <v>18</v>
      </c>
      <c r="U76" s="3" t="s">
        <v>16</v>
      </c>
      <c r="V76" s="3" t="s">
        <v>219</v>
      </c>
      <c r="W76" s="3" t="s">
        <v>44</v>
      </c>
      <c r="X76" s="3" t="s">
        <v>20</v>
      </c>
    </row>
    <row r="77" spans="8:24" x14ac:dyDescent="0.45">
      <c r="H77" s="8" t="s">
        <v>120</v>
      </c>
      <c r="I77" s="8" t="s">
        <v>28</v>
      </c>
      <c r="J77" s="12">
        <v>4.6514642828481501E-5</v>
      </c>
      <c r="K77" s="8" t="s">
        <v>15</v>
      </c>
      <c r="P77" s="8" t="s">
        <v>16</v>
      </c>
      <c r="Q77" s="8" t="s">
        <v>220</v>
      </c>
      <c r="R77" s="8" t="s">
        <v>72</v>
      </c>
      <c r="S77" s="8" t="s">
        <v>18</v>
      </c>
      <c r="U77" s="8" t="s">
        <v>16</v>
      </c>
      <c r="V77" s="8" t="s">
        <v>221</v>
      </c>
      <c r="W77" s="8" t="s">
        <v>44</v>
      </c>
      <c r="X77" s="8" t="s">
        <v>20</v>
      </c>
    </row>
    <row r="78" spans="8:24" x14ac:dyDescent="0.45">
      <c r="H78" s="3" t="s">
        <v>120</v>
      </c>
      <c r="I78" s="3" t="s">
        <v>37</v>
      </c>
      <c r="J78" s="7">
        <v>4.6514642828481501E-5</v>
      </c>
      <c r="K78" s="3" t="s">
        <v>15</v>
      </c>
      <c r="P78" s="3" t="s">
        <v>16</v>
      </c>
      <c r="Q78" s="3" t="s">
        <v>222</v>
      </c>
      <c r="R78" s="3" t="s">
        <v>76</v>
      </c>
      <c r="S78" s="3" t="s">
        <v>18</v>
      </c>
      <c r="U78" s="3" t="s">
        <v>16</v>
      </c>
      <c r="V78" s="3" t="s">
        <v>223</v>
      </c>
      <c r="W78" s="3" t="s">
        <v>44</v>
      </c>
      <c r="X78" s="3" t="s">
        <v>20</v>
      </c>
    </row>
    <row r="79" spans="8:24" x14ac:dyDescent="0.45">
      <c r="H79" s="8" t="s">
        <v>123</v>
      </c>
      <c r="I79" s="8" t="s">
        <v>14</v>
      </c>
      <c r="J79" s="12">
        <v>6.3504675850455565E-3</v>
      </c>
      <c r="K79" s="8" t="s">
        <v>15</v>
      </c>
      <c r="P79" s="8" t="s">
        <v>16</v>
      </c>
      <c r="Q79" s="8" t="s">
        <v>224</v>
      </c>
      <c r="R79" s="8" t="s">
        <v>80</v>
      </c>
      <c r="S79" s="8" t="s">
        <v>18</v>
      </c>
      <c r="U79" s="8" t="s">
        <v>16</v>
      </c>
      <c r="V79" s="8" t="s">
        <v>225</v>
      </c>
      <c r="W79" s="8" t="s">
        <v>44</v>
      </c>
      <c r="X79" s="8" t="s">
        <v>20</v>
      </c>
    </row>
    <row r="80" spans="8:24" x14ac:dyDescent="0.45">
      <c r="H80" s="3" t="s">
        <v>123</v>
      </c>
      <c r="I80" s="3" t="s">
        <v>28</v>
      </c>
      <c r="J80" s="7">
        <v>6.3504675850455565E-3</v>
      </c>
      <c r="K80" s="3" t="s">
        <v>15</v>
      </c>
      <c r="P80" s="3" t="s">
        <v>16</v>
      </c>
      <c r="Q80" s="3" t="s">
        <v>226</v>
      </c>
      <c r="R80" s="3" t="s">
        <v>84</v>
      </c>
      <c r="S80" s="3" t="s">
        <v>18</v>
      </c>
      <c r="U80" s="3" t="s">
        <v>16</v>
      </c>
      <c r="V80" s="3" t="s">
        <v>227</v>
      </c>
      <c r="W80" s="3" t="s">
        <v>44</v>
      </c>
      <c r="X80" s="3" t="s">
        <v>20</v>
      </c>
    </row>
    <row r="81" spans="8:24" x14ac:dyDescent="0.45">
      <c r="H81" s="8" t="s">
        <v>123</v>
      </c>
      <c r="I81" s="8" t="s">
        <v>37</v>
      </c>
      <c r="J81" s="12">
        <v>6.3504675850455565E-3</v>
      </c>
      <c r="K81" s="8" t="s">
        <v>15</v>
      </c>
      <c r="P81" s="8" t="s">
        <v>16</v>
      </c>
      <c r="Q81" s="8" t="s">
        <v>228</v>
      </c>
      <c r="R81" s="8" t="s">
        <v>87</v>
      </c>
      <c r="S81" s="8" t="s">
        <v>18</v>
      </c>
      <c r="U81" s="8" t="s">
        <v>16</v>
      </c>
      <c r="V81" s="8" t="s">
        <v>227</v>
      </c>
      <c r="W81" s="8" t="s">
        <v>229</v>
      </c>
      <c r="X81" s="8" t="s">
        <v>20</v>
      </c>
    </row>
    <row r="82" spans="8:24" x14ac:dyDescent="0.45">
      <c r="H82" s="3" t="s">
        <v>126</v>
      </c>
      <c r="I82" s="3" t="s">
        <v>14</v>
      </c>
      <c r="J82" s="7">
        <v>2.0941298810488E-3</v>
      </c>
      <c r="K82" s="3" t="s">
        <v>15</v>
      </c>
      <c r="P82" s="3" t="s">
        <v>16</v>
      </c>
      <c r="Q82" s="3" t="s">
        <v>230</v>
      </c>
      <c r="R82" s="3" t="s">
        <v>91</v>
      </c>
      <c r="S82" s="3" t="s">
        <v>18</v>
      </c>
      <c r="U82" s="3" t="s">
        <v>16</v>
      </c>
      <c r="V82" s="3" t="s">
        <v>231</v>
      </c>
      <c r="W82" s="3" t="s">
        <v>44</v>
      </c>
      <c r="X82" s="3" t="s">
        <v>20</v>
      </c>
    </row>
    <row r="83" spans="8:24" x14ac:dyDescent="0.45">
      <c r="H83" s="8" t="s">
        <v>126</v>
      </c>
      <c r="I83" s="8" t="s">
        <v>28</v>
      </c>
      <c r="J83" s="12">
        <v>2.0941298810488E-3</v>
      </c>
      <c r="K83" s="8" t="s">
        <v>15</v>
      </c>
      <c r="P83" s="8" t="s">
        <v>16</v>
      </c>
      <c r="Q83" s="8" t="s">
        <v>232</v>
      </c>
      <c r="R83" s="8" t="s">
        <v>94</v>
      </c>
      <c r="S83" s="8" t="s">
        <v>18</v>
      </c>
      <c r="U83" s="8" t="s">
        <v>16</v>
      </c>
      <c r="V83" s="8" t="s">
        <v>231</v>
      </c>
      <c r="W83" s="8" t="s">
        <v>229</v>
      </c>
      <c r="X83" s="8" t="s">
        <v>20</v>
      </c>
    </row>
    <row r="84" spans="8:24" x14ac:dyDescent="0.45">
      <c r="H84" s="3" t="s">
        <v>126</v>
      </c>
      <c r="I84" s="3" t="s">
        <v>37</v>
      </c>
      <c r="J84" s="7">
        <v>2.0941298810488E-3</v>
      </c>
      <c r="K84" s="3" t="s">
        <v>15</v>
      </c>
      <c r="P84" s="3" t="s">
        <v>16</v>
      </c>
      <c r="Q84" s="3" t="s">
        <v>233</v>
      </c>
      <c r="R84" s="3" t="s">
        <v>98</v>
      </c>
      <c r="S84" s="3" t="s">
        <v>18</v>
      </c>
      <c r="U84" s="3" t="s">
        <v>16</v>
      </c>
      <c r="V84" s="3" t="s">
        <v>234</v>
      </c>
      <c r="W84" s="3" t="s">
        <v>44</v>
      </c>
      <c r="X84" s="3" t="s">
        <v>20</v>
      </c>
    </row>
    <row r="85" spans="8:24" x14ac:dyDescent="0.45">
      <c r="H85" s="8" t="s">
        <v>129</v>
      </c>
      <c r="I85" s="8" t="s">
        <v>14</v>
      </c>
      <c r="J85" s="12">
        <v>4.1390958344440273E-2</v>
      </c>
      <c r="K85" s="8" t="s">
        <v>15</v>
      </c>
      <c r="P85" s="8" t="s">
        <v>16</v>
      </c>
      <c r="Q85" s="8" t="s">
        <v>235</v>
      </c>
      <c r="R85" s="8" t="s">
        <v>102</v>
      </c>
      <c r="S85" s="8" t="s">
        <v>18</v>
      </c>
      <c r="U85" s="8" t="s">
        <v>16</v>
      </c>
      <c r="V85" s="8" t="s">
        <v>234</v>
      </c>
      <c r="W85" s="8" t="s">
        <v>229</v>
      </c>
      <c r="X85" s="8" t="s">
        <v>20</v>
      </c>
    </row>
    <row r="86" spans="8:24" x14ac:dyDescent="0.45">
      <c r="H86" s="3" t="s">
        <v>129</v>
      </c>
      <c r="I86" s="3" t="s">
        <v>28</v>
      </c>
      <c r="J86" s="7">
        <v>4.1390958344440273E-2</v>
      </c>
      <c r="K86" s="3" t="s">
        <v>15</v>
      </c>
      <c r="P86" s="3" t="s">
        <v>16</v>
      </c>
      <c r="Q86" s="3" t="s">
        <v>236</v>
      </c>
      <c r="R86" s="3" t="s">
        <v>106</v>
      </c>
      <c r="S86" s="3" t="s">
        <v>18</v>
      </c>
      <c r="U86" s="3" t="s">
        <v>16</v>
      </c>
      <c r="V86" s="3" t="s">
        <v>237</v>
      </c>
      <c r="W86" s="3" t="s">
        <v>229</v>
      </c>
      <c r="X86" s="3" t="s">
        <v>20</v>
      </c>
    </row>
    <row r="87" spans="8:24" x14ac:dyDescent="0.45">
      <c r="H87" s="8" t="s">
        <v>129</v>
      </c>
      <c r="I87" s="8" t="s">
        <v>37</v>
      </c>
      <c r="J87" s="12">
        <v>4.1390958344440273E-2</v>
      </c>
      <c r="K87" s="8" t="s">
        <v>15</v>
      </c>
      <c r="P87" s="8" t="s">
        <v>16</v>
      </c>
      <c r="Q87" s="8" t="s">
        <v>238</v>
      </c>
      <c r="R87" s="8" t="s">
        <v>109</v>
      </c>
      <c r="S87" s="8" t="s">
        <v>18</v>
      </c>
      <c r="U87" s="8" t="s">
        <v>16</v>
      </c>
      <c r="V87" s="8" t="s">
        <v>239</v>
      </c>
      <c r="W87" s="8" t="s">
        <v>229</v>
      </c>
      <c r="X87" s="8" t="s">
        <v>20</v>
      </c>
    </row>
    <row r="88" spans="8:24" x14ac:dyDescent="0.45">
      <c r="H88" s="3" t="s">
        <v>132</v>
      </c>
      <c r="I88" s="3" t="s">
        <v>14</v>
      </c>
      <c r="J88" s="7">
        <v>4.4691817433857584E-3</v>
      </c>
      <c r="K88" s="3" t="s">
        <v>15</v>
      </c>
      <c r="P88" s="3" t="s">
        <v>16</v>
      </c>
      <c r="Q88" s="3" t="s">
        <v>240</v>
      </c>
      <c r="R88" s="3" t="s">
        <v>241</v>
      </c>
      <c r="S88" s="3" t="s">
        <v>18</v>
      </c>
      <c r="U88" s="3" t="s">
        <v>16</v>
      </c>
      <c r="V88" s="3" t="s">
        <v>242</v>
      </c>
      <c r="W88" s="3" t="s">
        <v>229</v>
      </c>
      <c r="X88" s="3" t="s">
        <v>20</v>
      </c>
    </row>
    <row r="89" spans="8:24" x14ac:dyDescent="0.45">
      <c r="H89" s="8" t="s">
        <v>132</v>
      </c>
      <c r="I89" s="8" t="s">
        <v>28</v>
      </c>
      <c r="J89" s="12">
        <v>4.4691817433857584E-3</v>
      </c>
      <c r="K89" s="8" t="s">
        <v>15</v>
      </c>
      <c r="P89" s="8" t="s">
        <v>16</v>
      </c>
      <c r="Q89" s="8" t="s">
        <v>243</v>
      </c>
      <c r="R89" s="8" t="s">
        <v>77</v>
      </c>
      <c r="S89" s="8" t="s">
        <v>18</v>
      </c>
      <c r="U89" s="8" t="s">
        <v>16</v>
      </c>
      <c r="V89" s="8" t="s">
        <v>242</v>
      </c>
      <c r="W89" s="8" t="s">
        <v>44</v>
      </c>
      <c r="X89" s="8" t="s">
        <v>18</v>
      </c>
    </row>
    <row r="90" spans="8:24" x14ac:dyDescent="0.45">
      <c r="H90" s="3" t="s">
        <v>132</v>
      </c>
      <c r="I90" s="3" t="s">
        <v>37</v>
      </c>
      <c r="J90" s="7">
        <v>4.4691817433857584E-3</v>
      </c>
      <c r="K90" s="3" t="s">
        <v>15</v>
      </c>
      <c r="P90" s="3" t="s">
        <v>16</v>
      </c>
      <c r="Q90" s="3" t="s">
        <v>244</v>
      </c>
      <c r="R90" s="3" t="s">
        <v>245</v>
      </c>
      <c r="S90" s="3" t="s">
        <v>18</v>
      </c>
      <c r="U90" s="3" t="s">
        <v>16</v>
      </c>
      <c r="V90" s="3" t="s">
        <v>246</v>
      </c>
      <c r="W90" s="3" t="s">
        <v>229</v>
      </c>
      <c r="X90" s="3" t="s">
        <v>20</v>
      </c>
    </row>
    <row r="91" spans="8:24" x14ac:dyDescent="0.45">
      <c r="H91" s="8" t="s">
        <v>135</v>
      </c>
      <c r="I91" s="8" t="s">
        <v>14</v>
      </c>
      <c r="J91" s="12">
        <v>2.9193659783325686E-2</v>
      </c>
      <c r="K91" s="8" t="s">
        <v>15</v>
      </c>
      <c r="P91" s="8" t="s">
        <v>16</v>
      </c>
      <c r="Q91" s="8" t="s">
        <v>247</v>
      </c>
      <c r="R91" s="8" t="s">
        <v>248</v>
      </c>
      <c r="S91" s="8" t="s">
        <v>18</v>
      </c>
      <c r="U91" s="8" t="s">
        <v>16</v>
      </c>
      <c r="V91" s="8" t="s">
        <v>246</v>
      </c>
      <c r="W91" s="8" t="s">
        <v>44</v>
      </c>
      <c r="X91" s="8" t="s">
        <v>18</v>
      </c>
    </row>
    <row r="92" spans="8:24" x14ac:dyDescent="0.45">
      <c r="H92" s="3" t="s">
        <v>135</v>
      </c>
      <c r="I92" s="3" t="s">
        <v>28</v>
      </c>
      <c r="J92" s="7">
        <v>2.9193659783325686E-2</v>
      </c>
      <c r="K92" s="3" t="s">
        <v>15</v>
      </c>
      <c r="P92" s="3" t="s">
        <v>16</v>
      </c>
      <c r="Q92" s="3" t="s">
        <v>249</v>
      </c>
      <c r="R92" s="3" t="s">
        <v>250</v>
      </c>
      <c r="S92" s="3" t="s">
        <v>18</v>
      </c>
      <c r="U92" s="3" t="s">
        <v>16</v>
      </c>
      <c r="V92" s="3" t="s">
        <v>251</v>
      </c>
      <c r="W92" s="3" t="s">
        <v>48</v>
      </c>
      <c r="X92" s="3" t="s">
        <v>20</v>
      </c>
    </row>
    <row r="93" spans="8:24" x14ac:dyDescent="0.45">
      <c r="H93" s="8" t="s">
        <v>135</v>
      </c>
      <c r="I93" s="8" t="s">
        <v>37</v>
      </c>
      <c r="J93" s="12">
        <v>2.9193659783325686E-2</v>
      </c>
      <c r="K93" s="8" t="s">
        <v>15</v>
      </c>
      <c r="P93" s="8" t="s">
        <v>16</v>
      </c>
      <c r="Q93" s="8" t="s">
        <v>252</v>
      </c>
      <c r="R93" s="8" t="s">
        <v>253</v>
      </c>
      <c r="S93" s="8" t="s">
        <v>18</v>
      </c>
      <c r="U93" s="8" t="s">
        <v>16</v>
      </c>
      <c r="V93" s="8" t="s">
        <v>254</v>
      </c>
      <c r="W93" s="8" t="s">
        <v>48</v>
      </c>
      <c r="X93" s="8" t="s">
        <v>20</v>
      </c>
    </row>
    <row r="94" spans="8:24" x14ac:dyDescent="0.45">
      <c r="H94" s="3" t="s">
        <v>138</v>
      </c>
      <c r="I94" s="3" t="s">
        <v>14</v>
      </c>
      <c r="J94" s="7">
        <v>5.5052844337008834E-3</v>
      </c>
      <c r="K94" s="3" t="s">
        <v>15</v>
      </c>
      <c r="P94" s="3" t="s">
        <v>16</v>
      </c>
      <c r="Q94" s="3" t="s">
        <v>255</v>
      </c>
      <c r="R94" s="3" t="s">
        <v>256</v>
      </c>
      <c r="S94" s="3" t="s">
        <v>18</v>
      </c>
      <c r="U94" s="3" t="s">
        <v>16</v>
      </c>
      <c r="V94" s="3" t="s">
        <v>257</v>
      </c>
      <c r="W94" s="3" t="s">
        <v>48</v>
      </c>
      <c r="X94" s="3" t="s">
        <v>20</v>
      </c>
    </row>
    <row r="95" spans="8:24" x14ac:dyDescent="0.45">
      <c r="H95" s="8" t="s">
        <v>138</v>
      </c>
      <c r="I95" s="8" t="s">
        <v>28</v>
      </c>
      <c r="J95" s="12">
        <v>5.5052844337008834E-3</v>
      </c>
      <c r="K95" s="8" t="s">
        <v>15</v>
      </c>
      <c r="P95" s="8" t="s">
        <v>16</v>
      </c>
      <c r="Q95" s="8" t="s">
        <v>258</v>
      </c>
      <c r="R95" s="8" t="s">
        <v>148</v>
      </c>
      <c r="S95" s="8" t="s">
        <v>18</v>
      </c>
      <c r="U95" s="8" t="s">
        <v>16</v>
      </c>
      <c r="V95" s="8" t="s">
        <v>259</v>
      </c>
      <c r="W95" s="8" t="s">
        <v>48</v>
      </c>
      <c r="X95" s="8" t="s">
        <v>20</v>
      </c>
    </row>
    <row r="96" spans="8:24" x14ac:dyDescent="0.45">
      <c r="H96" s="3" t="s">
        <v>138</v>
      </c>
      <c r="I96" s="3" t="s">
        <v>37</v>
      </c>
      <c r="J96" s="7">
        <v>5.5052844337008834E-3</v>
      </c>
      <c r="K96" s="3" t="s">
        <v>15</v>
      </c>
      <c r="P96" s="3" t="s">
        <v>16</v>
      </c>
      <c r="Q96" s="3" t="s">
        <v>260</v>
      </c>
      <c r="R96" s="3" t="s">
        <v>261</v>
      </c>
      <c r="S96" s="3" t="s">
        <v>18</v>
      </c>
      <c r="U96" s="3" t="s">
        <v>16</v>
      </c>
      <c r="V96" s="3" t="s">
        <v>262</v>
      </c>
      <c r="W96" s="3" t="s">
        <v>48</v>
      </c>
      <c r="X96" s="3" t="s">
        <v>20</v>
      </c>
    </row>
    <row r="97" spans="8:24" x14ac:dyDescent="0.45">
      <c r="H97" s="8" t="s">
        <v>141</v>
      </c>
      <c r="I97" s="8" t="s">
        <v>14</v>
      </c>
      <c r="J97" s="12">
        <v>0.17769762484678206</v>
      </c>
      <c r="K97" s="8" t="s">
        <v>15</v>
      </c>
      <c r="P97" s="8" t="s">
        <v>16</v>
      </c>
      <c r="Q97" s="8" t="s">
        <v>263</v>
      </c>
      <c r="R97" s="8" t="s">
        <v>264</v>
      </c>
      <c r="S97" s="8" t="s">
        <v>18</v>
      </c>
      <c r="U97" s="8" t="s">
        <v>16</v>
      </c>
      <c r="V97" s="8" t="s">
        <v>265</v>
      </c>
      <c r="W97" s="8" t="s">
        <v>48</v>
      </c>
      <c r="X97" s="8" t="s">
        <v>20</v>
      </c>
    </row>
    <row r="98" spans="8:24" x14ac:dyDescent="0.45">
      <c r="H98" s="3" t="s">
        <v>141</v>
      </c>
      <c r="I98" s="3" t="s">
        <v>28</v>
      </c>
      <c r="J98" s="7">
        <v>0.17769762484678206</v>
      </c>
      <c r="K98" s="3" t="s">
        <v>15</v>
      </c>
      <c r="P98" s="3" t="s">
        <v>16</v>
      </c>
      <c r="Q98" s="3" t="s">
        <v>266</v>
      </c>
      <c r="R98" s="3" t="s">
        <v>267</v>
      </c>
      <c r="S98" s="3" t="s">
        <v>18</v>
      </c>
      <c r="U98" s="3" t="s">
        <v>16</v>
      </c>
      <c r="V98" s="3" t="s">
        <v>268</v>
      </c>
      <c r="W98" s="3" t="s">
        <v>48</v>
      </c>
      <c r="X98" s="3" t="s">
        <v>20</v>
      </c>
    </row>
    <row r="99" spans="8:24" x14ac:dyDescent="0.45">
      <c r="H99" s="8" t="s">
        <v>141</v>
      </c>
      <c r="I99" s="8" t="s">
        <v>37</v>
      </c>
      <c r="J99" s="12">
        <v>0.17769762484678206</v>
      </c>
      <c r="K99" s="8" t="s">
        <v>15</v>
      </c>
      <c r="P99" s="8" t="s">
        <v>16</v>
      </c>
      <c r="Q99" s="8" t="s">
        <v>269</v>
      </c>
      <c r="R99" s="8" t="s">
        <v>270</v>
      </c>
      <c r="S99" s="8" t="s">
        <v>18</v>
      </c>
      <c r="U99" s="8" t="s">
        <v>16</v>
      </c>
      <c r="V99" s="8" t="s">
        <v>271</v>
      </c>
      <c r="W99" s="8" t="s">
        <v>48</v>
      </c>
      <c r="X99" s="8" t="s">
        <v>20</v>
      </c>
    </row>
    <row r="100" spans="8:24" x14ac:dyDescent="0.45">
      <c r="H100" s="3" t="s">
        <v>144</v>
      </c>
      <c r="I100" s="3" t="s">
        <v>14</v>
      </c>
      <c r="J100" s="7">
        <v>1.6858934962827539E-2</v>
      </c>
      <c r="K100" s="3" t="s">
        <v>15</v>
      </c>
      <c r="P100" s="3" t="s">
        <v>16</v>
      </c>
      <c r="Q100" s="3" t="s">
        <v>272</v>
      </c>
      <c r="R100" s="3" t="s">
        <v>273</v>
      </c>
      <c r="S100" s="3" t="s">
        <v>18</v>
      </c>
      <c r="U100" s="3" t="s">
        <v>16</v>
      </c>
      <c r="V100" s="3" t="s">
        <v>274</v>
      </c>
      <c r="W100" s="3" t="s">
        <v>48</v>
      </c>
      <c r="X100" s="3" t="s">
        <v>20</v>
      </c>
    </row>
    <row r="101" spans="8:24" x14ac:dyDescent="0.45">
      <c r="H101" s="8" t="s">
        <v>144</v>
      </c>
      <c r="I101" s="8" t="s">
        <v>28</v>
      </c>
      <c r="J101" s="12">
        <v>1.6858934962827539E-2</v>
      </c>
      <c r="K101" s="8" t="s">
        <v>15</v>
      </c>
      <c r="P101" s="8" t="s">
        <v>16</v>
      </c>
      <c r="Q101" s="8" t="s">
        <v>275</v>
      </c>
      <c r="R101" s="8" t="s">
        <v>276</v>
      </c>
      <c r="S101" s="8" t="s">
        <v>18</v>
      </c>
      <c r="U101" s="8" t="s">
        <v>16</v>
      </c>
      <c r="V101" s="8" t="s">
        <v>277</v>
      </c>
      <c r="W101" s="8" t="s">
        <v>48</v>
      </c>
      <c r="X101" s="8" t="s">
        <v>20</v>
      </c>
    </row>
    <row r="102" spans="8:24" x14ac:dyDescent="0.45">
      <c r="H102" s="3" t="s">
        <v>144</v>
      </c>
      <c r="I102" s="3" t="s">
        <v>37</v>
      </c>
      <c r="J102" s="7">
        <v>1.6858934962827539E-2</v>
      </c>
      <c r="K102" s="3" t="s">
        <v>15</v>
      </c>
      <c r="P102" s="3" t="s">
        <v>16</v>
      </c>
      <c r="Q102" s="3" t="s">
        <v>278</v>
      </c>
      <c r="R102" s="3" t="s">
        <v>279</v>
      </c>
      <c r="S102" s="3" t="s">
        <v>18</v>
      </c>
      <c r="U102" s="3" t="s">
        <v>16</v>
      </c>
      <c r="V102" s="3" t="s">
        <v>280</v>
      </c>
      <c r="W102" s="3" t="s">
        <v>48</v>
      </c>
      <c r="X102" s="3" t="s">
        <v>20</v>
      </c>
    </row>
    <row r="103" spans="8:24" x14ac:dyDescent="0.45">
      <c r="H103" s="8" t="s">
        <v>147</v>
      </c>
      <c r="I103" s="8" t="s">
        <v>14</v>
      </c>
      <c r="J103" s="12">
        <v>4.7020496125827031E-2</v>
      </c>
      <c r="K103" s="8" t="s">
        <v>15</v>
      </c>
      <c r="P103" s="8" t="s">
        <v>16</v>
      </c>
      <c r="Q103" s="8" t="s">
        <v>281</v>
      </c>
      <c r="R103" s="8" t="s">
        <v>282</v>
      </c>
      <c r="S103" s="8" t="s">
        <v>18</v>
      </c>
      <c r="U103" s="8" t="s">
        <v>16</v>
      </c>
      <c r="V103" s="8" t="s">
        <v>280</v>
      </c>
      <c r="W103" s="8" t="s">
        <v>273</v>
      </c>
      <c r="X103" s="8" t="s">
        <v>20</v>
      </c>
    </row>
    <row r="104" spans="8:24" x14ac:dyDescent="0.45">
      <c r="H104" s="3" t="s">
        <v>147</v>
      </c>
      <c r="I104" s="3" t="s">
        <v>28</v>
      </c>
      <c r="J104" s="7">
        <v>4.7020496125827031E-2</v>
      </c>
      <c r="K104" s="3" t="s">
        <v>15</v>
      </c>
      <c r="P104" s="3" t="s">
        <v>16</v>
      </c>
      <c r="Q104" s="3" t="s">
        <v>283</v>
      </c>
      <c r="R104" s="3" t="s">
        <v>284</v>
      </c>
      <c r="S104" s="3" t="s">
        <v>18</v>
      </c>
      <c r="U104" s="3" t="s">
        <v>16</v>
      </c>
      <c r="V104" s="3" t="s">
        <v>285</v>
      </c>
      <c r="W104" s="3" t="s">
        <v>48</v>
      </c>
      <c r="X104" s="3" t="s">
        <v>20</v>
      </c>
    </row>
    <row r="105" spans="8:24" x14ac:dyDescent="0.45">
      <c r="H105" s="8" t="s">
        <v>147</v>
      </c>
      <c r="I105" s="8" t="s">
        <v>37</v>
      </c>
      <c r="J105" s="12">
        <v>4.7020496125827031E-2</v>
      </c>
      <c r="K105" s="8" t="s">
        <v>15</v>
      </c>
      <c r="U105" s="8" t="s">
        <v>16</v>
      </c>
      <c r="V105" s="8" t="s">
        <v>285</v>
      </c>
      <c r="W105" s="8" t="s">
        <v>273</v>
      </c>
      <c r="X105" s="8" t="s">
        <v>20</v>
      </c>
    </row>
    <row r="106" spans="8:24" x14ac:dyDescent="0.45">
      <c r="H106" s="3" t="s">
        <v>150</v>
      </c>
      <c r="I106" s="3" t="s">
        <v>14</v>
      </c>
      <c r="J106" s="7">
        <v>2.746055043863712E-3</v>
      </c>
      <c r="K106" s="3" t="s">
        <v>15</v>
      </c>
      <c r="U106" s="3" t="s">
        <v>16</v>
      </c>
      <c r="V106" s="3" t="s">
        <v>286</v>
      </c>
      <c r="W106" s="3" t="s">
        <v>48</v>
      </c>
      <c r="X106" s="3" t="s">
        <v>20</v>
      </c>
    </row>
    <row r="107" spans="8:24" x14ac:dyDescent="0.45">
      <c r="H107" s="8" t="s">
        <v>150</v>
      </c>
      <c r="I107" s="8" t="s">
        <v>28</v>
      </c>
      <c r="J107" s="12">
        <v>2.746055043863712E-3</v>
      </c>
      <c r="K107" s="8" t="s">
        <v>15</v>
      </c>
      <c r="U107" s="8" t="s">
        <v>16</v>
      </c>
      <c r="V107" s="8" t="s">
        <v>286</v>
      </c>
      <c r="W107" s="8" t="s">
        <v>273</v>
      </c>
      <c r="X107" s="8" t="s">
        <v>20</v>
      </c>
    </row>
    <row r="108" spans="8:24" x14ac:dyDescent="0.45">
      <c r="H108" s="3" t="s">
        <v>150</v>
      </c>
      <c r="I108" s="3" t="s">
        <v>37</v>
      </c>
      <c r="J108" s="7">
        <v>2.746055043863712E-3</v>
      </c>
      <c r="K108" s="3" t="s">
        <v>15</v>
      </c>
      <c r="U108" s="3" t="s">
        <v>16</v>
      </c>
      <c r="V108" s="3" t="s">
        <v>287</v>
      </c>
      <c r="W108" s="3" t="s">
        <v>273</v>
      </c>
      <c r="X108" s="3" t="s">
        <v>20</v>
      </c>
    </row>
    <row r="109" spans="8:24" x14ac:dyDescent="0.45">
      <c r="H109" s="8" t="s">
        <v>152</v>
      </c>
      <c r="I109" s="8" t="s">
        <v>14</v>
      </c>
      <c r="J109" s="12">
        <v>1.8829813028415901E-3</v>
      </c>
      <c r="K109" s="8" t="s">
        <v>15</v>
      </c>
      <c r="U109" s="8" t="s">
        <v>16</v>
      </c>
      <c r="V109" s="8" t="s">
        <v>288</v>
      </c>
      <c r="W109" s="8" t="s">
        <v>273</v>
      </c>
      <c r="X109" s="8" t="s">
        <v>20</v>
      </c>
    </row>
    <row r="110" spans="8:24" x14ac:dyDescent="0.45">
      <c r="H110" s="3" t="s">
        <v>152</v>
      </c>
      <c r="I110" s="3" t="s">
        <v>28</v>
      </c>
      <c r="J110" s="7">
        <v>1.8829813028415901E-3</v>
      </c>
      <c r="K110" s="3" t="s">
        <v>15</v>
      </c>
      <c r="U110" s="3" t="s">
        <v>16</v>
      </c>
      <c r="V110" s="3" t="s">
        <v>289</v>
      </c>
      <c r="W110" s="3" t="s">
        <v>273</v>
      </c>
      <c r="X110" s="3" t="s">
        <v>20</v>
      </c>
    </row>
    <row r="111" spans="8:24" x14ac:dyDescent="0.45">
      <c r="H111" s="8" t="s">
        <v>152</v>
      </c>
      <c r="I111" s="8" t="s">
        <v>37</v>
      </c>
      <c r="J111" s="12">
        <v>1.8829813028415901E-3</v>
      </c>
      <c r="K111" s="8" t="s">
        <v>15</v>
      </c>
      <c r="U111" s="8" t="s">
        <v>16</v>
      </c>
      <c r="V111" s="8" t="s">
        <v>289</v>
      </c>
      <c r="W111" s="8" t="s">
        <v>48</v>
      </c>
      <c r="X111" s="8" t="s">
        <v>18</v>
      </c>
    </row>
    <row r="112" spans="8:24" x14ac:dyDescent="0.45">
      <c r="H112" s="3" t="s">
        <v>153</v>
      </c>
      <c r="I112" s="3" t="s">
        <v>14</v>
      </c>
      <c r="J112" s="7">
        <v>6.6168639227788456E-2</v>
      </c>
      <c r="K112" s="3" t="s">
        <v>15</v>
      </c>
      <c r="U112" s="3" t="s">
        <v>16</v>
      </c>
      <c r="V112" s="3" t="s">
        <v>290</v>
      </c>
      <c r="W112" s="3" t="s">
        <v>273</v>
      </c>
      <c r="X112" s="3" t="s">
        <v>20</v>
      </c>
    </row>
    <row r="113" spans="8:24" x14ac:dyDescent="0.45">
      <c r="H113" s="8" t="s">
        <v>153</v>
      </c>
      <c r="I113" s="8" t="s">
        <v>28</v>
      </c>
      <c r="J113" s="12">
        <v>6.6168639227788456E-2</v>
      </c>
      <c r="K113" s="8" t="s">
        <v>15</v>
      </c>
      <c r="U113" s="8" t="s">
        <v>16</v>
      </c>
      <c r="V113" s="8" t="s">
        <v>290</v>
      </c>
      <c r="W113" s="8" t="s">
        <v>48</v>
      </c>
      <c r="X113" s="8" t="s">
        <v>18</v>
      </c>
    </row>
    <row r="114" spans="8:24" x14ac:dyDescent="0.45">
      <c r="H114" s="3" t="s">
        <v>153</v>
      </c>
      <c r="I114" s="3" t="s">
        <v>37</v>
      </c>
      <c r="J114" s="7">
        <v>6.6168639227788456E-2</v>
      </c>
      <c r="K114" s="3" t="s">
        <v>15</v>
      </c>
      <c r="U114" s="3" t="s">
        <v>16</v>
      </c>
      <c r="V114" s="3" t="s">
        <v>291</v>
      </c>
      <c r="W114" s="3" t="s">
        <v>52</v>
      </c>
      <c r="X114" s="3" t="s">
        <v>20</v>
      </c>
    </row>
    <row r="115" spans="8:24" x14ac:dyDescent="0.45">
      <c r="H115" s="8" t="s">
        <v>155</v>
      </c>
      <c r="I115" s="8" t="s">
        <v>14</v>
      </c>
      <c r="J115" s="12">
        <v>3.9298724255030684E-2</v>
      </c>
      <c r="K115" s="8" t="s">
        <v>15</v>
      </c>
      <c r="U115" s="8" t="s">
        <v>16</v>
      </c>
      <c r="V115" s="8" t="s">
        <v>292</v>
      </c>
      <c r="W115" s="8" t="s">
        <v>52</v>
      </c>
      <c r="X115" s="8" t="s">
        <v>20</v>
      </c>
    </row>
    <row r="116" spans="8:24" x14ac:dyDescent="0.45">
      <c r="H116" s="3" t="s">
        <v>155</v>
      </c>
      <c r="I116" s="3" t="s">
        <v>28</v>
      </c>
      <c r="J116" s="7">
        <v>3.9298724255030684E-2</v>
      </c>
      <c r="K116" s="3" t="s">
        <v>15</v>
      </c>
      <c r="U116" s="3" t="s">
        <v>16</v>
      </c>
      <c r="V116" s="3" t="s">
        <v>293</v>
      </c>
      <c r="W116" s="3" t="s">
        <v>52</v>
      </c>
      <c r="X116" s="3" t="s">
        <v>20</v>
      </c>
    </row>
    <row r="117" spans="8:24" x14ac:dyDescent="0.45">
      <c r="H117" s="8" t="s">
        <v>155</v>
      </c>
      <c r="I117" s="8" t="s">
        <v>37</v>
      </c>
      <c r="J117" s="12">
        <v>3.9298724255030684E-2</v>
      </c>
      <c r="K117" s="8" t="s">
        <v>15</v>
      </c>
      <c r="U117" s="8" t="s">
        <v>16</v>
      </c>
      <c r="V117" s="8" t="s">
        <v>294</v>
      </c>
      <c r="W117" s="8" t="s">
        <v>52</v>
      </c>
      <c r="X117" s="8" t="s">
        <v>20</v>
      </c>
    </row>
    <row r="118" spans="8:24" x14ac:dyDescent="0.45">
      <c r="H118" s="3" t="s">
        <v>156</v>
      </c>
      <c r="I118" s="3" t="s">
        <v>14</v>
      </c>
      <c r="J118" s="7">
        <v>5.2418472177511242E-2</v>
      </c>
      <c r="K118" s="3" t="s">
        <v>15</v>
      </c>
      <c r="U118" s="3" t="s">
        <v>16</v>
      </c>
      <c r="V118" s="3" t="s">
        <v>295</v>
      </c>
      <c r="W118" s="3" t="s">
        <v>52</v>
      </c>
      <c r="X118" s="3" t="s">
        <v>20</v>
      </c>
    </row>
    <row r="119" spans="8:24" x14ac:dyDescent="0.45">
      <c r="H119" s="8" t="s">
        <v>156</v>
      </c>
      <c r="I119" s="8" t="s">
        <v>28</v>
      </c>
      <c r="J119" s="12">
        <v>5.2418472177511242E-2</v>
      </c>
      <c r="K119" s="8" t="s">
        <v>15</v>
      </c>
      <c r="U119" s="8" t="s">
        <v>16</v>
      </c>
      <c r="V119" s="8" t="s">
        <v>296</v>
      </c>
      <c r="W119" s="8" t="s">
        <v>52</v>
      </c>
      <c r="X119" s="8" t="s">
        <v>20</v>
      </c>
    </row>
    <row r="120" spans="8:24" x14ac:dyDescent="0.45">
      <c r="H120" s="3" t="s">
        <v>156</v>
      </c>
      <c r="I120" s="3" t="s">
        <v>37</v>
      </c>
      <c r="J120" s="7">
        <v>5.2418472177511242E-2</v>
      </c>
      <c r="K120" s="3" t="s">
        <v>15</v>
      </c>
      <c r="U120" s="3" t="s">
        <v>16</v>
      </c>
      <c r="V120" s="3" t="s">
        <v>297</v>
      </c>
      <c r="W120" s="3" t="s">
        <v>52</v>
      </c>
      <c r="X120" s="3" t="s">
        <v>20</v>
      </c>
    </row>
    <row r="121" spans="8:24" x14ac:dyDescent="0.45">
      <c r="H121" s="8" t="s">
        <v>158</v>
      </c>
      <c r="I121" s="8" t="s">
        <v>14</v>
      </c>
      <c r="J121" s="12">
        <v>0.14451967737988994</v>
      </c>
      <c r="K121" s="8" t="s">
        <v>15</v>
      </c>
      <c r="U121" s="8" t="s">
        <v>16</v>
      </c>
      <c r="V121" s="8" t="s">
        <v>298</v>
      </c>
      <c r="W121" s="8" t="s">
        <v>52</v>
      </c>
      <c r="X121" s="8" t="s">
        <v>20</v>
      </c>
    </row>
    <row r="122" spans="8:24" x14ac:dyDescent="0.45">
      <c r="H122" s="3" t="s">
        <v>158</v>
      </c>
      <c r="I122" s="3" t="s">
        <v>28</v>
      </c>
      <c r="J122" s="7">
        <v>0.14451967737988994</v>
      </c>
      <c r="K122" s="3" t="s">
        <v>15</v>
      </c>
      <c r="U122" s="3" t="s">
        <v>16</v>
      </c>
      <c r="V122" s="3" t="s">
        <v>299</v>
      </c>
      <c r="W122" s="3" t="s">
        <v>52</v>
      </c>
      <c r="X122" s="3" t="s">
        <v>20</v>
      </c>
    </row>
    <row r="123" spans="8:24" x14ac:dyDescent="0.45">
      <c r="H123" s="8" t="s">
        <v>158</v>
      </c>
      <c r="I123" s="8" t="s">
        <v>37</v>
      </c>
      <c r="J123" s="12">
        <v>0.14451967737988994</v>
      </c>
      <c r="K123" s="8" t="s">
        <v>15</v>
      </c>
      <c r="U123" s="8" t="s">
        <v>16</v>
      </c>
      <c r="V123" s="8" t="s">
        <v>300</v>
      </c>
      <c r="W123" s="8" t="s">
        <v>52</v>
      </c>
      <c r="X123" s="8" t="s">
        <v>20</v>
      </c>
    </row>
    <row r="124" spans="8:24" x14ac:dyDescent="0.45">
      <c r="H124" s="3" t="s">
        <v>160</v>
      </c>
      <c r="I124" s="3" t="s">
        <v>14</v>
      </c>
      <c r="J124" s="7">
        <v>3.1140610011876398E-2</v>
      </c>
      <c r="K124" s="3" t="s">
        <v>15</v>
      </c>
      <c r="U124" s="3" t="s">
        <v>16</v>
      </c>
      <c r="V124" s="3" t="s">
        <v>301</v>
      </c>
      <c r="W124" s="3" t="s">
        <v>52</v>
      </c>
      <c r="X124" s="3" t="s">
        <v>20</v>
      </c>
    </row>
    <row r="125" spans="8:24" x14ac:dyDescent="0.45">
      <c r="H125" s="8" t="s">
        <v>160</v>
      </c>
      <c r="I125" s="8" t="s">
        <v>28</v>
      </c>
      <c r="J125" s="12">
        <v>3.1140610011876398E-2</v>
      </c>
      <c r="K125" s="8" t="s">
        <v>15</v>
      </c>
      <c r="U125" s="8" t="s">
        <v>16</v>
      </c>
      <c r="V125" s="8" t="s">
        <v>301</v>
      </c>
      <c r="W125" s="8" t="s">
        <v>302</v>
      </c>
      <c r="X125" s="8" t="s">
        <v>20</v>
      </c>
    </row>
    <row r="126" spans="8:24" x14ac:dyDescent="0.45">
      <c r="H126" s="3" t="s">
        <v>160</v>
      </c>
      <c r="I126" s="3" t="s">
        <v>37</v>
      </c>
      <c r="J126" s="7">
        <v>3.1140610011876398E-2</v>
      </c>
      <c r="K126" s="3" t="s">
        <v>15</v>
      </c>
      <c r="U126" s="3" t="s">
        <v>16</v>
      </c>
      <c r="V126" s="3" t="s">
        <v>303</v>
      </c>
      <c r="W126" s="3" t="s">
        <v>52</v>
      </c>
      <c r="X126" s="3" t="s">
        <v>20</v>
      </c>
    </row>
    <row r="127" spans="8:24" x14ac:dyDescent="0.45">
      <c r="H127" s="8" t="s">
        <v>162</v>
      </c>
      <c r="I127" s="8" t="s">
        <v>14</v>
      </c>
      <c r="J127" s="12">
        <v>5.6302993528103099E-2</v>
      </c>
      <c r="K127" s="8" t="s">
        <v>15</v>
      </c>
      <c r="U127" s="8" t="s">
        <v>16</v>
      </c>
      <c r="V127" s="8" t="s">
        <v>303</v>
      </c>
      <c r="W127" s="8" t="s">
        <v>302</v>
      </c>
      <c r="X127" s="8" t="s">
        <v>20</v>
      </c>
    </row>
    <row r="128" spans="8:24" x14ac:dyDescent="0.45">
      <c r="H128" s="3" t="s">
        <v>162</v>
      </c>
      <c r="I128" s="3" t="s">
        <v>28</v>
      </c>
      <c r="J128" s="7">
        <v>5.6302993528103099E-2</v>
      </c>
      <c r="K128" s="3" t="s">
        <v>15</v>
      </c>
      <c r="U128" s="3" t="s">
        <v>16</v>
      </c>
      <c r="V128" s="3" t="s">
        <v>304</v>
      </c>
      <c r="W128" s="3" t="s">
        <v>52</v>
      </c>
      <c r="X128" s="3" t="s">
        <v>20</v>
      </c>
    </row>
    <row r="129" spans="8:24" x14ac:dyDescent="0.45">
      <c r="H129" s="8" t="s">
        <v>162</v>
      </c>
      <c r="I129" s="8" t="s">
        <v>37</v>
      </c>
      <c r="J129" s="12">
        <v>5.6302993528103099E-2</v>
      </c>
      <c r="K129" s="8" t="s">
        <v>15</v>
      </c>
      <c r="U129" s="8" t="s">
        <v>16</v>
      </c>
      <c r="V129" s="8" t="s">
        <v>304</v>
      </c>
      <c r="W129" s="8" t="s">
        <v>302</v>
      </c>
      <c r="X129" s="8" t="s">
        <v>20</v>
      </c>
    </row>
    <row r="130" spans="8:24" x14ac:dyDescent="0.45">
      <c r="H130" s="3" t="s">
        <v>163</v>
      </c>
      <c r="I130" s="3" t="s">
        <v>14</v>
      </c>
      <c r="J130" s="7">
        <v>7.0613481965039332E-2</v>
      </c>
      <c r="K130" s="3" t="s">
        <v>15</v>
      </c>
      <c r="U130" s="3" t="s">
        <v>16</v>
      </c>
      <c r="V130" s="3" t="s">
        <v>305</v>
      </c>
      <c r="W130" s="3" t="s">
        <v>302</v>
      </c>
      <c r="X130" s="3" t="s">
        <v>20</v>
      </c>
    </row>
    <row r="131" spans="8:24" x14ac:dyDescent="0.45">
      <c r="H131" s="8" t="s">
        <v>163</v>
      </c>
      <c r="I131" s="8" t="s">
        <v>28</v>
      </c>
      <c r="J131" s="12">
        <v>7.0613481965039332E-2</v>
      </c>
      <c r="K131" s="8" t="s">
        <v>15</v>
      </c>
      <c r="U131" s="8" t="s">
        <v>16</v>
      </c>
      <c r="V131" s="8" t="s">
        <v>306</v>
      </c>
      <c r="W131" s="8" t="s">
        <v>302</v>
      </c>
      <c r="X131" s="8" t="s">
        <v>20</v>
      </c>
    </row>
    <row r="132" spans="8:24" x14ac:dyDescent="0.45">
      <c r="H132" s="3" t="s">
        <v>163</v>
      </c>
      <c r="I132" s="3" t="s">
        <v>37</v>
      </c>
      <c r="J132" s="7">
        <v>7.0613481965039332E-2</v>
      </c>
      <c r="K132" s="3" t="s">
        <v>15</v>
      </c>
      <c r="U132" s="3" t="s">
        <v>16</v>
      </c>
      <c r="V132" s="3" t="s">
        <v>307</v>
      </c>
      <c r="W132" s="3" t="s">
        <v>302</v>
      </c>
      <c r="X132" s="3" t="s">
        <v>20</v>
      </c>
    </row>
    <row r="133" spans="8:24" x14ac:dyDescent="0.45">
      <c r="H133" s="8" t="s">
        <v>165</v>
      </c>
      <c r="I133" s="8" t="s">
        <v>14</v>
      </c>
      <c r="J133" s="12">
        <v>0.176595456911018</v>
      </c>
      <c r="K133" s="8" t="s">
        <v>15</v>
      </c>
      <c r="U133" s="8" t="s">
        <v>16</v>
      </c>
      <c r="V133" s="8" t="s">
        <v>307</v>
      </c>
      <c r="W133" s="8" t="s">
        <v>52</v>
      </c>
      <c r="X133" s="8" t="s">
        <v>18</v>
      </c>
    </row>
    <row r="134" spans="8:24" x14ac:dyDescent="0.45">
      <c r="H134" s="3" t="s">
        <v>165</v>
      </c>
      <c r="I134" s="3" t="s">
        <v>28</v>
      </c>
      <c r="J134" s="7">
        <v>0.176595456911018</v>
      </c>
      <c r="K134" s="3" t="s">
        <v>15</v>
      </c>
      <c r="U134" s="3" t="s">
        <v>16</v>
      </c>
      <c r="V134" s="3" t="s">
        <v>308</v>
      </c>
      <c r="W134" s="3" t="s">
        <v>302</v>
      </c>
      <c r="X134" s="3" t="s">
        <v>20</v>
      </c>
    </row>
    <row r="135" spans="8:24" x14ac:dyDescent="0.45">
      <c r="H135" s="8" t="s">
        <v>165</v>
      </c>
      <c r="I135" s="8" t="s">
        <v>37</v>
      </c>
      <c r="J135" s="12">
        <v>0.176595456911018</v>
      </c>
      <c r="K135" s="8" t="s">
        <v>15</v>
      </c>
      <c r="U135" s="8" t="s">
        <v>16</v>
      </c>
      <c r="V135" s="8" t="s">
        <v>308</v>
      </c>
      <c r="W135" s="8" t="s">
        <v>52</v>
      </c>
      <c r="X135" s="8" t="s">
        <v>18</v>
      </c>
    </row>
    <row r="136" spans="8:24" x14ac:dyDescent="0.45">
      <c r="H136" s="3" t="s">
        <v>166</v>
      </c>
      <c r="I136" s="3" t="s">
        <v>14</v>
      </c>
      <c r="J136" s="7">
        <v>7.6856558478246399E-3</v>
      </c>
      <c r="K136" s="3" t="s">
        <v>15</v>
      </c>
      <c r="U136" s="3" t="s">
        <v>16</v>
      </c>
      <c r="V136" s="3" t="s">
        <v>309</v>
      </c>
      <c r="W136" s="3" t="s">
        <v>56</v>
      </c>
      <c r="X136" s="3" t="s">
        <v>20</v>
      </c>
    </row>
    <row r="137" spans="8:24" x14ac:dyDescent="0.45">
      <c r="H137" s="8" t="s">
        <v>166</v>
      </c>
      <c r="I137" s="8" t="s">
        <v>28</v>
      </c>
      <c r="J137" s="12">
        <v>7.6856558478246399E-3</v>
      </c>
      <c r="K137" s="8" t="s">
        <v>15</v>
      </c>
      <c r="U137" s="8" t="s">
        <v>16</v>
      </c>
      <c r="V137" s="8" t="s">
        <v>310</v>
      </c>
      <c r="W137" s="8" t="s">
        <v>56</v>
      </c>
      <c r="X137" s="8" t="s">
        <v>20</v>
      </c>
    </row>
    <row r="138" spans="8:24" x14ac:dyDescent="0.45">
      <c r="H138" s="3" t="s">
        <v>166</v>
      </c>
      <c r="I138" s="3" t="s">
        <v>37</v>
      </c>
      <c r="J138" s="7">
        <v>7.6856558478246399E-3</v>
      </c>
      <c r="K138" s="3" t="s">
        <v>15</v>
      </c>
      <c r="U138" s="3" t="s">
        <v>16</v>
      </c>
      <c r="V138" s="3" t="s">
        <v>311</v>
      </c>
      <c r="W138" s="3" t="s">
        <v>56</v>
      </c>
      <c r="X138" s="3" t="s">
        <v>20</v>
      </c>
    </row>
    <row r="139" spans="8:24" x14ac:dyDescent="0.45">
      <c r="H139" s="8" t="s">
        <v>168</v>
      </c>
      <c r="I139" s="8" t="s">
        <v>14</v>
      </c>
      <c r="J139" s="12">
        <v>4.6514642828481501E-5</v>
      </c>
      <c r="K139" s="8" t="s">
        <v>15</v>
      </c>
      <c r="U139" s="8" t="s">
        <v>16</v>
      </c>
      <c r="V139" s="8" t="s">
        <v>312</v>
      </c>
      <c r="W139" s="8" t="s">
        <v>56</v>
      </c>
      <c r="X139" s="8" t="s">
        <v>20</v>
      </c>
    </row>
    <row r="140" spans="8:24" x14ac:dyDescent="0.45">
      <c r="H140" s="3" t="s">
        <v>168</v>
      </c>
      <c r="I140" s="3" t="s">
        <v>28</v>
      </c>
      <c r="J140" s="7">
        <v>4.6514642828481501E-5</v>
      </c>
      <c r="K140" s="3" t="s">
        <v>15</v>
      </c>
      <c r="U140" s="3" t="s">
        <v>16</v>
      </c>
      <c r="V140" s="3" t="s">
        <v>313</v>
      </c>
      <c r="W140" s="3" t="s">
        <v>56</v>
      </c>
      <c r="X140" s="3" t="s">
        <v>20</v>
      </c>
    </row>
    <row r="141" spans="8:24" x14ac:dyDescent="0.45">
      <c r="H141" s="8" t="s">
        <v>168</v>
      </c>
      <c r="I141" s="8" t="s">
        <v>37</v>
      </c>
      <c r="J141" s="12">
        <v>4.6514642828481501E-5</v>
      </c>
      <c r="K141" s="8" t="s">
        <v>15</v>
      </c>
      <c r="U141" s="8" t="s">
        <v>16</v>
      </c>
      <c r="V141" s="8" t="s">
        <v>314</v>
      </c>
      <c r="W141" s="8" t="s">
        <v>56</v>
      </c>
      <c r="X141" s="8" t="s">
        <v>20</v>
      </c>
    </row>
    <row r="142" spans="8:24" x14ac:dyDescent="0.45">
      <c r="H142" s="3" t="s">
        <v>170</v>
      </c>
      <c r="I142" s="3" t="s">
        <v>14</v>
      </c>
      <c r="J142" s="7">
        <v>6.3504675850455565E-3</v>
      </c>
      <c r="K142" s="3" t="s">
        <v>15</v>
      </c>
      <c r="U142" s="3" t="s">
        <v>16</v>
      </c>
      <c r="V142" s="3" t="s">
        <v>315</v>
      </c>
      <c r="W142" s="3" t="s">
        <v>56</v>
      </c>
      <c r="X142" s="3" t="s">
        <v>20</v>
      </c>
    </row>
    <row r="143" spans="8:24" x14ac:dyDescent="0.45">
      <c r="H143" s="8" t="s">
        <v>170</v>
      </c>
      <c r="I143" s="8" t="s">
        <v>28</v>
      </c>
      <c r="J143" s="12">
        <v>6.3504675850455565E-3</v>
      </c>
      <c r="K143" s="8" t="s">
        <v>15</v>
      </c>
      <c r="U143" s="8" t="s">
        <v>16</v>
      </c>
      <c r="V143" s="8" t="s">
        <v>316</v>
      </c>
      <c r="W143" s="8" t="s">
        <v>56</v>
      </c>
      <c r="X143" s="8" t="s">
        <v>20</v>
      </c>
    </row>
    <row r="144" spans="8:24" x14ac:dyDescent="0.45">
      <c r="H144" s="3" t="s">
        <v>170</v>
      </c>
      <c r="I144" s="3" t="s">
        <v>37</v>
      </c>
      <c r="J144" s="7">
        <v>6.3504675850455565E-3</v>
      </c>
      <c r="K144" s="3" t="s">
        <v>15</v>
      </c>
      <c r="U144" s="3" t="s">
        <v>16</v>
      </c>
      <c r="V144" s="3" t="s">
        <v>317</v>
      </c>
      <c r="W144" s="3" t="s">
        <v>56</v>
      </c>
      <c r="X144" s="3" t="s">
        <v>20</v>
      </c>
    </row>
    <row r="145" spans="8:24" x14ac:dyDescent="0.45">
      <c r="H145" s="8" t="s">
        <v>172</v>
      </c>
      <c r="I145" s="8" t="s">
        <v>14</v>
      </c>
      <c r="J145" s="12">
        <v>2.0941298810488E-3</v>
      </c>
      <c r="K145" s="8" t="s">
        <v>15</v>
      </c>
      <c r="U145" s="8" t="s">
        <v>16</v>
      </c>
      <c r="V145" s="8" t="s">
        <v>318</v>
      </c>
      <c r="W145" s="8" t="s">
        <v>56</v>
      </c>
      <c r="X145" s="8" t="s">
        <v>20</v>
      </c>
    </row>
    <row r="146" spans="8:24" x14ac:dyDescent="0.45">
      <c r="H146" s="3" t="s">
        <v>172</v>
      </c>
      <c r="I146" s="3" t="s">
        <v>28</v>
      </c>
      <c r="J146" s="7">
        <v>2.0941298810488E-3</v>
      </c>
      <c r="K146" s="3" t="s">
        <v>15</v>
      </c>
      <c r="U146" s="3" t="s">
        <v>16</v>
      </c>
      <c r="V146" s="3" t="s">
        <v>319</v>
      </c>
      <c r="W146" s="3" t="s">
        <v>56</v>
      </c>
      <c r="X146" s="3" t="s">
        <v>20</v>
      </c>
    </row>
    <row r="147" spans="8:24" x14ac:dyDescent="0.45">
      <c r="H147" s="8" t="s">
        <v>172</v>
      </c>
      <c r="I147" s="8" t="s">
        <v>37</v>
      </c>
      <c r="J147" s="12">
        <v>2.0941298810488E-3</v>
      </c>
      <c r="K147" s="8" t="s">
        <v>15</v>
      </c>
      <c r="U147" s="8" t="s">
        <v>16</v>
      </c>
      <c r="V147" s="8" t="s">
        <v>319</v>
      </c>
      <c r="W147" s="8" t="s">
        <v>253</v>
      </c>
      <c r="X147" s="8" t="s">
        <v>20</v>
      </c>
    </row>
    <row r="148" spans="8:24" x14ac:dyDescent="0.45">
      <c r="H148" s="3" t="s">
        <v>174</v>
      </c>
      <c r="I148" s="3" t="s">
        <v>14</v>
      </c>
      <c r="J148" s="7">
        <v>4.1390958344440273E-2</v>
      </c>
      <c r="K148" s="3" t="s">
        <v>15</v>
      </c>
      <c r="U148" s="3" t="s">
        <v>16</v>
      </c>
      <c r="V148" s="3" t="s">
        <v>320</v>
      </c>
      <c r="W148" s="3" t="s">
        <v>56</v>
      </c>
      <c r="X148" s="3" t="s">
        <v>20</v>
      </c>
    </row>
    <row r="149" spans="8:24" x14ac:dyDescent="0.45">
      <c r="H149" s="8" t="s">
        <v>174</v>
      </c>
      <c r="I149" s="8" t="s">
        <v>28</v>
      </c>
      <c r="J149" s="12">
        <v>4.1390958344440273E-2</v>
      </c>
      <c r="K149" s="8" t="s">
        <v>15</v>
      </c>
      <c r="U149" s="8" t="s">
        <v>16</v>
      </c>
      <c r="V149" s="8" t="s">
        <v>320</v>
      </c>
      <c r="W149" s="8" t="s">
        <v>253</v>
      </c>
      <c r="X149" s="8" t="s">
        <v>20</v>
      </c>
    </row>
    <row r="150" spans="8:24" x14ac:dyDescent="0.45">
      <c r="H150" s="3" t="s">
        <v>174</v>
      </c>
      <c r="I150" s="3" t="s">
        <v>37</v>
      </c>
      <c r="J150" s="7">
        <v>4.1390958344440273E-2</v>
      </c>
      <c r="K150" s="3" t="s">
        <v>15</v>
      </c>
      <c r="U150" s="3" t="s">
        <v>16</v>
      </c>
      <c r="V150" s="3" t="s">
        <v>321</v>
      </c>
      <c r="W150" s="3" t="s">
        <v>56</v>
      </c>
      <c r="X150" s="3" t="s">
        <v>20</v>
      </c>
    </row>
    <row r="151" spans="8:24" x14ac:dyDescent="0.45">
      <c r="H151" s="8" t="s">
        <v>176</v>
      </c>
      <c r="I151" s="8" t="s">
        <v>14</v>
      </c>
      <c r="J151" s="12">
        <v>4.4691817433857584E-3</v>
      </c>
      <c r="K151" s="8" t="s">
        <v>15</v>
      </c>
      <c r="U151" s="8" t="s">
        <v>16</v>
      </c>
      <c r="V151" s="8" t="s">
        <v>321</v>
      </c>
      <c r="W151" s="8" t="s">
        <v>253</v>
      </c>
      <c r="X151" s="8" t="s">
        <v>20</v>
      </c>
    </row>
    <row r="152" spans="8:24" x14ac:dyDescent="0.45">
      <c r="H152" s="3" t="s">
        <v>176</v>
      </c>
      <c r="I152" s="3" t="s">
        <v>28</v>
      </c>
      <c r="J152" s="7">
        <v>4.4691817433857584E-3</v>
      </c>
      <c r="K152" s="3" t="s">
        <v>15</v>
      </c>
      <c r="U152" s="3" t="s">
        <v>16</v>
      </c>
      <c r="V152" s="3" t="s">
        <v>322</v>
      </c>
      <c r="W152" s="3" t="s">
        <v>253</v>
      </c>
      <c r="X152" s="3" t="s">
        <v>20</v>
      </c>
    </row>
    <row r="153" spans="8:24" x14ac:dyDescent="0.45">
      <c r="H153" s="8" t="s">
        <v>176</v>
      </c>
      <c r="I153" s="8" t="s">
        <v>37</v>
      </c>
      <c r="J153" s="12">
        <v>4.4691817433857584E-3</v>
      </c>
      <c r="K153" s="8" t="s">
        <v>15</v>
      </c>
      <c r="U153" s="8" t="s">
        <v>16</v>
      </c>
      <c r="V153" s="8" t="s">
        <v>323</v>
      </c>
      <c r="W153" s="8" t="s">
        <v>253</v>
      </c>
      <c r="X153" s="8" t="s">
        <v>20</v>
      </c>
    </row>
    <row r="154" spans="8:24" x14ac:dyDescent="0.45">
      <c r="H154" s="3" t="s">
        <v>178</v>
      </c>
      <c r="I154" s="3" t="s">
        <v>14</v>
      </c>
      <c r="J154" s="7">
        <v>2.9193659783325686E-2</v>
      </c>
      <c r="K154" s="3" t="s">
        <v>15</v>
      </c>
      <c r="U154" s="3" t="s">
        <v>16</v>
      </c>
      <c r="V154" s="3" t="s">
        <v>324</v>
      </c>
      <c r="W154" s="3" t="s">
        <v>253</v>
      </c>
      <c r="X154" s="3" t="s">
        <v>20</v>
      </c>
    </row>
    <row r="155" spans="8:24" x14ac:dyDescent="0.45">
      <c r="H155" s="8" t="s">
        <v>178</v>
      </c>
      <c r="I155" s="8" t="s">
        <v>28</v>
      </c>
      <c r="J155" s="12">
        <v>2.9193659783325686E-2</v>
      </c>
      <c r="K155" s="8" t="s">
        <v>15</v>
      </c>
      <c r="U155" s="8" t="s">
        <v>16</v>
      </c>
      <c r="V155" s="8" t="s">
        <v>324</v>
      </c>
      <c r="W155" s="8" t="s">
        <v>56</v>
      </c>
      <c r="X155" s="8" t="s">
        <v>18</v>
      </c>
    </row>
    <row r="156" spans="8:24" x14ac:dyDescent="0.45">
      <c r="H156" s="3" t="s">
        <v>178</v>
      </c>
      <c r="I156" s="3" t="s">
        <v>37</v>
      </c>
      <c r="J156" s="7">
        <v>2.9193659783325686E-2</v>
      </c>
      <c r="K156" s="3" t="s">
        <v>15</v>
      </c>
      <c r="U156" s="3" t="s">
        <v>16</v>
      </c>
      <c r="V156" s="3" t="s">
        <v>325</v>
      </c>
      <c r="W156" s="3" t="s">
        <v>253</v>
      </c>
      <c r="X156" s="3" t="s">
        <v>20</v>
      </c>
    </row>
    <row r="157" spans="8:24" x14ac:dyDescent="0.45">
      <c r="H157" s="8" t="s">
        <v>180</v>
      </c>
      <c r="I157" s="8" t="s">
        <v>14</v>
      </c>
      <c r="J157" s="12">
        <v>5.5052844337008834E-3</v>
      </c>
      <c r="K157" s="8" t="s">
        <v>15</v>
      </c>
      <c r="U157" s="8" t="s">
        <v>16</v>
      </c>
      <c r="V157" s="8" t="s">
        <v>325</v>
      </c>
      <c r="W157" s="8" t="s">
        <v>56</v>
      </c>
      <c r="X157" s="8" t="s">
        <v>18</v>
      </c>
    </row>
    <row r="158" spans="8:24" x14ac:dyDescent="0.45">
      <c r="H158" s="3" t="s">
        <v>180</v>
      </c>
      <c r="I158" s="3" t="s">
        <v>28</v>
      </c>
      <c r="J158" s="7">
        <v>5.5052844337008834E-3</v>
      </c>
      <c r="K158" s="3" t="s">
        <v>15</v>
      </c>
      <c r="U158" s="3" t="s">
        <v>16</v>
      </c>
      <c r="V158" s="3" t="s">
        <v>326</v>
      </c>
      <c r="W158" s="3" t="s">
        <v>60</v>
      </c>
      <c r="X158" s="3" t="s">
        <v>20</v>
      </c>
    </row>
    <row r="159" spans="8:24" x14ac:dyDescent="0.45">
      <c r="H159" s="8" t="s">
        <v>180</v>
      </c>
      <c r="I159" s="8" t="s">
        <v>37</v>
      </c>
      <c r="J159" s="12">
        <v>5.5052844337008834E-3</v>
      </c>
      <c r="K159" s="8" t="s">
        <v>15</v>
      </c>
      <c r="U159" s="8" t="s">
        <v>16</v>
      </c>
      <c r="V159" s="8" t="s">
        <v>327</v>
      </c>
      <c r="W159" s="8" t="s">
        <v>60</v>
      </c>
      <c r="X159" s="8" t="s">
        <v>20</v>
      </c>
    </row>
    <row r="160" spans="8:24" x14ac:dyDescent="0.45">
      <c r="H160" s="3" t="s">
        <v>182</v>
      </c>
      <c r="I160" s="3" t="s">
        <v>14</v>
      </c>
      <c r="J160" s="7">
        <v>0.17769762484678206</v>
      </c>
      <c r="K160" s="3" t="s">
        <v>15</v>
      </c>
      <c r="U160" s="3" t="s">
        <v>16</v>
      </c>
      <c r="V160" s="3" t="s">
        <v>328</v>
      </c>
      <c r="W160" s="3" t="s">
        <v>60</v>
      </c>
      <c r="X160" s="3" t="s">
        <v>20</v>
      </c>
    </row>
    <row r="161" spans="8:24" x14ac:dyDescent="0.45">
      <c r="H161" s="8" t="s">
        <v>182</v>
      </c>
      <c r="I161" s="8" t="s">
        <v>28</v>
      </c>
      <c r="J161" s="12">
        <v>0.17769762484678206</v>
      </c>
      <c r="K161" s="8" t="s">
        <v>15</v>
      </c>
      <c r="U161" s="8" t="s">
        <v>16</v>
      </c>
      <c r="V161" s="8" t="s">
        <v>329</v>
      </c>
      <c r="W161" s="8" t="s">
        <v>60</v>
      </c>
      <c r="X161" s="8" t="s">
        <v>20</v>
      </c>
    </row>
    <row r="162" spans="8:24" x14ac:dyDescent="0.45">
      <c r="H162" s="3" t="s">
        <v>182</v>
      </c>
      <c r="I162" s="3" t="s">
        <v>37</v>
      </c>
      <c r="J162" s="7">
        <v>0.17769762484678206</v>
      </c>
      <c r="K162" s="3" t="s">
        <v>15</v>
      </c>
      <c r="U162" s="3" t="s">
        <v>16</v>
      </c>
      <c r="V162" s="3" t="s">
        <v>330</v>
      </c>
      <c r="W162" s="3" t="s">
        <v>60</v>
      </c>
      <c r="X162" s="3" t="s">
        <v>20</v>
      </c>
    </row>
    <row r="163" spans="8:24" x14ac:dyDescent="0.45">
      <c r="H163" s="8" t="s">
        <v>184</v>
      </c>
      <c r="I163" s="8" t="s">
        <v>14</v>
      </c>
      <c r="J163" s="12">
        <v>1.6858934962827539E-2</v>
      </c>
      <c r="K163" s="8" t="s">
        <v>15</v>
      </c>
      <c r="U163" s="8" t="s">
        <v>16</v>
      </c>
      <c r="V163" s="8" t="s">
        <v>331</v>
      </c>
      <c r="W163" s="8" t="s">
        <v>60</v>
      </c>
      <c r="X163" s="8" t="s">
        <v>20</v>
      </c>
    </row>
    <row r="164" spans="8:24" x14ac:dyDescent="0.45">
      <c r="H164" s="3" t="s">
        <v>184</v>
      </c>
      <c r="I164" s="3" t="s">
        <v>28</v>
      </c>
      <c r="J164" s="7">
        <v>1.6858934962827539E-2</v>
      </c>
      <c r="K164" s="3" t="s">
        <v>15</v>
      </c>
      <c r="U164" s="3" t="s">
        <v>16</v>
      </c>
      <c r="V164" s="3" t="s">
        <v>332</v>
      </c>
      <c r="W164" s="3" t="s">
        <v>60</v>
      </c>
      <c r="X164" s="3" t="s">
        <v>20</v>
      </c>
    </row>
    <row r="165" spans="8:24" x14ac:dyDescent="0.45">
      <c r="H165" s="8" t="s">
        <v>184</v>
      </c>
      <c r="I165" s="8" t="s">
        <v>37</v>
      </c>
      <c r="J165" s="12">
        <v>1.6858934962827539E-2</v>
      </c>
      <c r="K165" s="8" t="s">
        <v>15</v>
      </c>
      <c r="U165" s="8" t="s">
        <v>16</v>
      </c>
      <c r="V165" s="8" t="s">
        <v>333</v>
      </c>
      <c r="W165" s="8" t="s">
        <v>60</v>
      </c>
      <c r="X165" s="8" t="s">
        <v>20</v>
      </c>
    </row>
    <row r="166" spans="8:24" x14ac:dyDescent="0.45">
      <c r="H166" s="3" t="s">
        <v>186</v>
      </c>
      <c r="I166" s="3" t="s">
        <v>14</v>
      </c>
      <c r="J166" s="7">
        <v>4.7020496125827031E-2</v>
      </c>
      <c r="K166" s="3" t="s">
        <v>15</v>
      </c>
      <c r="U166" s="3" t="s">
        <v>16</v>
      </c>
      <c r="V166" s="3" t="s">
        <v>334</v>
      </c>
      <c r="W166" s="3" t="s">
        <v>60</v>
      </c>
      <c r="X166" s="3" t="s">
        <v>20</v>
      </c>
    </row>
    <row r="167" spans="8:24" x14ac:dyDescent="0.45">
      <c r="H167" s="8" t="s">
        <v>186</v>
      </c>
      <c r="I167" s="8" t="s">
        <v>28</v>
      </c>
      <c r="J167" s="12">
        <v>4.7020496125827031E-2</v>
      </c>
      <c r="K167" s="8" t="s">
        <v>15</v>
      </c>
      <c r="U167" s="8" t="s">
        <v>16</v>
      </c>
      <c r="V167" s="8" t="s">
        <v>335</v>
      </c>
      <c r="W167" s="8" t="s">
        <v>60</v>
      </c>
      <c r="X167" s="8" t="s">
        <v>20</v>
      </c>
    </row>
    <row r="168" spans="8:24" x14ac:dyDescent="0.45">
      <c r="H168" s="3" t="s">
        <v>186</v>
      </c>
      <c r="I168" s="3" t="s">
        <v>37</v>
      </c>
      <c r="J168" s="7">
        <v>4.7020496125827031E-2</v>
      </c>
      <c r="K168" s="3" t="s">
        <v>15</v>
      </c>
      <c r="U168" s="3" t="s">
        <v>16</v>
      </c>
      <c r="V168" s="3" t="s">
        <v>336</v>
      </c>
      <c r="W168" s="3" t="s">
        <v>60</v>
      </c>
      <c r="X168" s="3" t="s">
        <v>20</v>
      </c>
    </row>
    <row r="169" spans="8:24" x14ac:dyDescent="0.45">
      <c r="H169" s="8" t="s">
        <v>188</v>
      </c>
      <c r="I169" s="8" t="s">
        <v>14</v>
      </c>
      <c r="J169" s="12">
        <v>2.746055043863712E-3</v>
      </c>
      <c r="K169" s="8" t="s">
        <v>15</v>
      </c>
      <c r="U169" s="8" t="s">
        <v>16</v>
      </c>
      <c r="V169" s="8" t="s">
        <v>336</v>
      </c>
      <c r="W169" s="8" t="s">
        <v>337</v>
      </c>
      <c r="X169" s="8" t="s">
        <v>20</v>
      </c>
    </row>
    <row r="170" spans="8:24" x14ac:dyDescent="0.45">
      <c r="H170" s="3" t="s">
        <v>188</v>
      </c>
      <c r="I170" s="3" t="s">
        <v>28</v>
      </c>
      <c r="J170" s="7">
        <v>2.746055043863712E-3</v>
      </c>
      <c r="K170" s="3" t="s">
        <v>15</v>
      </c>
      <c r="U170" s="3" t="s">
        <v>16</v>
      </c>
      <c r="V170" s="3" t="s">
        <v>338</v>
      </c>
      <c r="W170" s="3" t="s">
        <v>60</v>
      </c>
      <c r="X170" s="3" t="s">
        <v>20</v>
      </c>
    </row>
    <row r="171" spans="8:24" x14ac:dyDescent="0.45">
      <c r="H171" s="8" t="s">
        <v>188</v>
      </c>
      <c r="I171" s="8" t="s">
        <v>37</v>
      </c>
      <c r="J171" s="12">
        <v>2.746055043863712E-3</v>
      </c>
      <c r="K171" s="8" t="s">
        <v>15</v>
      </c>
      <c r="U171" s="8" t="s">
        <v>16</v>
      </c>
      <c r="V171" s="8" t="s">
        <v>338</v>
      </c>
      <c r="W171" s="8" t="s">
        <v>337</v>
      </c>
      <c r="X171" s="8" t="s">
        <v>20</v>
      </c>
    </row>
    <row r="172" spans="8:24" x14ac:dyDescent="0.45">
      <c r="H172" s="3" t="s">
        <v>190</v>
      </c>
      <c r="I172" s="3" t="s">
        <v>14</v>
      </c>
      <c r="J172" s="7">
        <v>1.8829813028415901E-3</v>
      </c>
      <c r="K172" s="3" t="s">
        <v>15</v>
      </c>
      <c r="U172" s="3" t="s">
        <v>16</v>
      </c>
      <c r="V172" s="3" t="s">
        <v>339</v>
      </c>
      <c r="W172" s="3" t="s">
        <v>60</v>
      </c>
      <c r="X172" s="3" t="s">
        <v>20</v>
      </c>
    </row>
    <row r="173" spans="8:24" x14ac:dyDescent="0.45">
      <c r="H173" s="8" t="s">
        <v>190</v>
      </c>
      <c r="I173" s="8" t="s">
        <v>28</v>
      </c>
      <c r="J173" s="12">
        <v>1.8829813028415901E-3</v>
      </c>
      <c r="K173" s="8" t="s">
        <v>15</v>
      </c>
      <c r="U173" s="8" t="s">
        <v>16</v>
      </c>
      <c r="V173" s="8" t="s">
        <v>339</v>
      </c>
      <c r="W173" s="8" t="s">
        <v>337</v>
      </c>
      <c r="X173" s="8" t="s">
        <v>20</v>
      </c>
    </row>
    <row r="174" spans="8:24" x14ac:dyDescent="0.45">
      <c r="H174" s="3" t="s">
        <v>190</v>
      </c>
      <c r="I174" s="3" t="s">
        <v>37</v>
      </c>
      <c r="J174" s="7">
        <v>1.8829813028415901E-3</v>
      </c>
      <c r="K174" s="3" t="s">
        <v>15</v>
      </c>
      <c r="U174" s="3" t="s">
        <v>16</v>
      </c>
      <c r="V174" s="3" t="s">
        <v>340</v>
      </c>
      <c r="W174" s="3" t="s">
        <v>337</v>
      </c>
      <c r="X174" s="3" t="s">
        <v>20</v>
      </c>
    </row>
    <row r="175" spans="8:24" x14ac:dyDescent="0.45">
      <c r="H175" s="8" t="s">
        <v>192</v>
      </c>
      <c r="I175" s="8" t="s">
        <v>14</v>
      </c>
      <c r="J175" s="12">
        <v>6.6168639227788456E-2</v>
      </c>
      <c r="K175" s="8" t="s">
        <v>15</v>
      </c>
      <c r="U175" s="8" t="s">
        <v>16</v>
      </c>
      <c r="V175" s="8" t="s">
        <v>341</v>
      </c>
      <c r="W175" s="8" t="s">
        <v>337</v>
      </c>
      <c r="X175" s="8" t="s">
        <v>20</v>
      </c>
    </row>
    <row r="176" spans="8:24" x14ac:dyDescent="0.45">
      <c r="H176" s="3" t="s">
        <v>192</v>
      </c>
      <c r="I176" s="3" t="s">
        <v>28</v>
      </c>
      <c r="J176" s="7">
        <v>6.6168639227788456E-2</v>
      </c>
      <c r="K176" s="3" t="s">
        <v>15</v>
      </c>
      <c r="U176" s="3" t="s">
        <v>16</v>
      </c>
      <c r="V176" s="3" t="s">
        <v>342</v>
      </c>
      <c r="W176" s="3" t="s">
        <v>337</v>
      </c>
      <c r="X176" s="3" t="s">
        <v>20</v>
      </c>
    </row>
    <row r="177" spans="8:24" x14ac:dyDescent="0.45">
      <c r="H177" s="8" t="s">
        <v>192</v>
      </c>
      <c r="I177" s="8" t="s">
        <v>37</v>
      </c>
      <c r="J177" s="12">
        <v>6.6168639227788456E-2</v>
      </c>
      <c r="K177" s="8" t="s">
        <v>15</v>
      </c>
      <c r="U177" s="8" t="s">
        <v>16</v>
      </c>
      <c r="V177" s="8" t="s">
        <v>342</v>
      </c>
      <c r="W177" s="8" t="s">
        <v>60</v>
      </c>
      <c r="X177" s="8" t="s">
        <v>18</v>
      </c>
    </row>
    <row r="178" spans="8:24" x14ac:dyDescent="0.45">
      <c r="H178" s="3" t="s">
        <v>193</v>
      </c>
      <c r="I178" s="3" t="s">
        <v>14</v>
      </c>
      <c r="J178" s="7">
        <v>3.9298724255030684E-2</v>
      </c>
      <c r="K178" s="3" t="s">
        <v>15</v>
      </c>
      <c r="U178" s="3" t="s">
        <v>16</v>
      </c>
      <c r="V178" s="3" t="s">
        <v>343</v>
      </c>
      <c r="W178" s="3" t="s">
        <v>337</v>
      </c>
      <c r="X178" s="3" t="s">
        <v>20</v>
      </c>
    </row>
    <row r="179" spans="8:24" x14ac:dyDescent="0.45">
      <c r="H179" s="8" t="s">
        <v>193</v>
      </c>
      <c r="I179" s="8" t="s">
        <v>28</v>
      </c>
      <c r="J179" s="12">
        <v>3.9298724255030684E-2</v>
      </c>
      <c r="K179" s="8" t="s">
        <v>15</v>
      </c>
      <c r="U179" s="8" t="s">
        <v>16</v>
      </c>
      <c r="V179" s="8" t="s">
        <v>343</v>
      </c>
      <c r="W179" s="8" t="s">
        <v>60</v>
      </c>
      <c r="X179" s="8" t="s">
        <v>18</v>
      </c>
    </row>
    <row r="180" spans="8:24" x14ac:dyDescent="0.45">
      <c r="H180" s="3" t="s">
        <v>193</v>
      </c>
      <c r="I180" s="3" t="s">
        <v>37</v>
      </c>
      <c r="J180" s="7">
        <v>3.9298724255030684E-2</v>
      </c>
      <c r="K180" s="3" t="s">
        <v>15</v>
      </c>
      <c r="U180" s="3" t="s">
        <v>16</v>
      </c>
      <c r="V180" s="3" t="s">
        <v>344</v>
      </c>
      <c r="W180" s="3" t="s">
        <v>64</v>
      </c>
      <c r="X180" s="3" t="s">
        <v>20</v>
      </c>
    </row>
    <row r="181" spans="8:24" x14ac:dyDescent="0.45">
      <c r="H181" s="8" t="s">
        <v>195</v>
      </c>
      <c r="I181" s="8" t="s">
        <v>14</v>
      </c>
      <c r="J181" s="12">
        <v>5.2418472177511242E-2</v>
      </c>
      <c r="K181" s="8" t="s">
        <v>15</v>
      </c>
      <c r="U181" s="8" t="s">
        <v>16</v>
      </c>
      <c r="V181" s="8" t="s">
        <v>345</v>
      </c>
      <c r="W181" s="8" t="s">
        <v>64</v>
      </c>
      <c r="X181" s="8" t="s">
        <v>20</v>
      </c>
    </row>
    <row r="182" spans="8:24" x14ac:dyDescent="0.45">
      <c r="H182" s="3" t="s">
        <v>195</v>
      </c>
      <c r="I182" s="3" t="s">
        <v>28</v>
      </c>
      <c r="J182" s="7">
        <v>5.2418472177511242E-2</v>
      </c>
      <c r="K182" s="3" t="s">
        <v>15</v>
      </c>
      <c r="U182" s="3" t="s">
        <v>16</v>
      </c>
      <c r="V182" s="3" t="s">
        <v>346</v>
      </c>
      <c r="W182" s="3" t="s">
        <v>64</v>
      </c>
      <c r="X182" s="3" t="s">
        <v>20</v>
      </c>
    </row>
    <row r="183" spans="8:24" x14ac:dyDescent="0.45">
      <c r="H183" s="8" t="s">
        <v>195</v>
      </c>
      <c r="I183" s="8" t="s">
        <v>37</v>
      </c>
      <c r="J183" s="12">
        <v>5.2418472177511242E-2</v>
      </c>
      <c r="K183" s="8" t="s">
        <v>15</v>
      </c>
      <c r="U183" s="8" t="s">
        <v>16</v>
      </c>
      <c r="V183" s="8" t="s">
        <v>347</v>
      </c>
      <c r="W183" s="8" t="s">
        <v>64</v>
      </c>
      <c r="X183" s="8" t="s">
        <v>20</v>
      </c>
    </row>
    <row r="184" spans="8:24" x14ac:dyDescent="0.45">
      <c r="H184" s="3" t="s">
        <v>196</v>
      </c>
      <c r="I184" s="3" t="s">
        <v>14</v>
      </c>
      <c r="J184" s="7">
        <v>0.14451967737988994</v>
      </c>
      <c r="K184" s="3" t="s">
        <v>15</v>
      </c>
      <c r="U184" s="3" t="s">
        <v>16</v>
      </c>
      <c r="V184" s="3" t="s">
        <v>348</v>
      </c>
      <c r="W184" s="3" t="s">
        <v>64</v>
      </c>
      <c r="X184" s="3" t="s">
        <v>20</v>
      </c>
    </row>
    <row r="185" spans="8:24" x14ac:dyDescent="0.45">
      <c r="H185" s="8" t="s">
        <v>196</v>
      </c>
      <c r="I185" s="8" t="s">
        <v>28</v>
      </c>
      <c r="J185" s="12">
        <v>0.14451967737988994</v>
      </c>
      <c r="K185" s="8" t="s">
        <v>15</v>
      </c>
      <c r="U185" s="8" t="s">
        <v>16</v>
      </c>
      <c r="V185" s="8" t="s">
        <v>349</v>
      </c>
      <c r="W185" s="8" t="s">
        <v>64</v>
      </c>
      <c r="X185" s="8" t="s">
        <v>20</v>
      </c>
    </row>
    <row r="186" spans="8:24" x14ac:dyDescent="0.45">
      <c r="H186" s="3" t="s">
        <v>196</v>
      </c>
      <c r="I186" s="3" t="s">
        <v>37</v>
      </c>
      <c r="J186" s="7">
        <v>0.14451967737988994</v>
      </c>
      <c r="K186" s="3" t="s">
        <v>15</v>
      </c>
      <c r="U186" s="3" t="s">
        <v>16</v>
      </c>
      <c r="V186" s="3" t="s">
        <v>350</v>
      </c>
      <c r="W186" s="3" t="s">
        <v>64</v>
      </c>
      <c r="X186" s="3" t="s">
        <v>20</v>
      </c>
    </row>
    <row r="187" spans="8:24" x14ac:dyDescent="0.45">
      <c r="H187" s="8" t="s">
        <v>198</v>
      </c>
      <c r="I187" s="8" t="s">
        <v>14</v>
      </c>
      <c r="J187" s="12">
        <v>3.1140610011876398E-2</v>
      </c>
      <c r="K187" s="8" t="s">
        <v>15</v>
      </c>
      <c r="U187" s="8" t="s">
        <v>16</v>
      </c>
      <c r="V187" s="8" t="s">
        <v>351</v>
      </c>
      <c r="W187" s="8" t="s">
        <v>64</v>
      </c>
      <c r="X187" s="8" t="s">
        <v>20</v>
      </c>
    </row>
    <row r="188" spans="8:24" x14ac:dyDescent="0.45">
      <c r="H188" s="3" t="s">
        <v>198</v>
      </c>
      <c r="I188" s="3" t="s">
        <v>28</v>
      </c>
      <c r="J188" s="7">
        <v>3.1140610011876398E-2</v>
      </c>
      <c r="K188" s="3" t="s">
        <v>15</v>
      </c>
      <c r="U188" s="3" t="s">
        <v>16</v>
      </c>
      <c r="V188" s="3" t="s">
        <v>352</v>
      </c>
      <c r="W188" s="3" t="s">
        <v>64</v>
      </c>
      <c r="X188" s="3" t="s">
        <v>20</v>
      </c>
    </row>
    <row r="189" spans="8:24" x14ac:dyDescent="0.45">
      <c r="H189" s="8" t="s">
        <v>198</v>
      </c>
      <c r="I189" s="8" t="s">
        <v>37</v>
      </c>
      <c r="J189" s="12">
        <v>3.1140610011876398E-2</v>
      </c>
      <c r="K189" s="8" t="s">
        <v>15</v>
      </c>
      <c r="U189" s="8" t="s">
        <v>16</v>
      </c>
      <c r="V189" s="8" t="s">
        <v>353</v>
      </c>
      <c r="W189" s="8" t="s">
        <v>64</v>
      </c>
      <c r="X189" s="8" t="s">
        <v>20</v>
      </c>
    </row>
    <row r="190" spans="8:24" x14ac:dyDescent="0.45">
      <c r="H190" s="3" t="s">
        <v>200</v>
      </c>
      <c r="I190" s="3" t="s">
        <v>14</v>
      </c>
      <c r="J190" s="7">
        <v>5.6302993528103099E-2</v>
      </c>
      <c r="K190" s="3" t="s">
        <v>15</v>
      </c>
      <c r="U190" s="3" t="s">
        <v>16</v>
      </c>
      <c r="V190" s="3" t="s">
        <v>354</v>
      </c>
      <c r="W190" s="3" t="s">
        <v>64</v>
      </c>
      <c r="X190" s="3" t="s">
        <v>20</v>
      </c>
    </row>
    <row r="191" spans="8:24" x14ac:dyDescent="0.45">
      <c r="H191" s="8" t="s">
        <v>200</v>
      </c>
      <c r="I191" s="8" t="s">
        <v>28</v>
      </c>
      <c r="J191" s="12">
        <v>5.6302993528103099E-2</v>
      </c>
      <c r="K191" s="8" t="s">
        <v>15</v>
      </c>
      <c r="U191" s="8" t="s">
        <v>16</v>
      </c>
      <c r="V191" s="8" t="s">
        <v>354</v>
      </c>
      <c r="W191" s="8" t="s">
        <v>248</v>
      </c>
      <c r="X191" s="8" t="s">
        <v>20</v>
      </c>
    </row>
    <row r="192" spans="8:24" x14ac:dyDescent="0.45">
      <c r="H192" s="3" t="s">
        <v>200</v>
      </c>
      <c r="I192" s="3" t="s">
        <v>37</v>
      </c>
      <c r="J192" s="7">
        <v>5.6302993528103099E-2</v>
      </c>
      <c r="K192" s="3" t="s">
        <v>15</v>
      </c>
      <c r="U192" s="3" t="s">
        <v>16</v>
      </c>
      <c r="V192" s="3" t="s">
        <v>355</v>
      </c>
      <c r="W192" s="3" t="s">
        <v>64</v>
      </c>
      <c r="X192" s="3" t="s">
        <v>20</v>
      </c>
    </row>
    <row r="193" spans="8:24" x14ac:dyDescent="0.45">
      <c r="H193" s="8" t="s">
        <v>202</v>
      </c>
      <c r="I193" s="8" t="s">
        <v>14</v>
      </c>
      <c r="J193" s="12">
        <v>7.0613481965039332E-2</v>
      </c>
      <c r="K193" s="8" t="s">
        <v>15</v>
      </c>
      <c r="U193" s="8" t="s">
        <v>16</v>
      </c>
      <c r="V193" s="8" t="s">
        <v>355</v>
      </c>
      <c r="W193" s="8" t="s">
        <v>248</v>
      </c>
      <c r="X193" s="8" t="s">
        <v>20</v>
      </c>
    </row>
    <row r="194" spans="8:24" x14ac:dyDescent="0.45">
      <c r="H194" s="3" t="s">
        <v>202</v>
      </c>
      <c r="I194" s="3" t="s">
        <v>28</v>
      </c>
      <c r="J194" s="7">
        <v>7.0613481965039332E-2</v>
      </c>
      <c r="K194" s="3" t="s">
        <v>15</v>
      </c>
      <c r="U194" s="3" t="s">
        <v>16</v>
      </c>
      <c r="V194" s="3" t="s">
        <v>356</v>
      </c>
      <c r="W194" s="3" t="s">
        <v>64</v>
      </c>
      <c r="X194" s="3" t="s">
        <v>20</v>
      </c>
    </row>
    <row r="195" spans="8:24" x14ac:dyDescent="0.45">
      <c r="H195" s="8" t="s">
        <v>202</v>
      </c>
      <c r="I195" s="8" t="s">
        <v>37</v>
      </c>
      <c r="J195" s="12">
        <v>7.0613481965039332E-2</v>
      </c>
      <c r="K195" s="8" t="s">
        <v>15</v>
      </c>
      <c r="U195" s="8" t="s">
        <v>16</v>
      </c>
      <c r="V195" s="8" t="s">
        <v>356</v>
      </c>
      <c r="W195" s="8" t="s">
        <v>248</v>
      </c>
      <c r="X195" s="8" t="s">
        <v>20</v>
      </c>
    </row>
    <row r="196" spans="8:24" x14ac:dyDescent="0.45">
      <c r="H196" s="3" t="s">
        <v>203</v>
      </c>
      <c r="I196" s="3" t="s">
        <v>14</v>
      </c>
      <c r="J196" s="7">
        <v>0.176595456911018</v>
      </c>
      <c r="K196" s="3" t="s">
        <v>15</v>
      </c>
      <c r="U196" s="3" t="s">
        <v>16</v>
      </c>
      <c r="V196" s="3" t="s">
        <v>357</v>
      </c>
      <c r="W196" s="3" t="s">
        <v>248</v>
      </c>
      <c r="X196" s="3" t="s">
        <v>20</v>
      </c>
    </row>
    <row r="197" spans="8:24" x14ac:dyDescent="0.45">
      <c r="H197" s="8" t="s">
        <v>203</v>
      </c>
      <c r="I197" s="8" t="s">
        <v>28</v>
      </c>
      <c r="J197" s="12">
        <v>0.176595456911018</v>
      </c>
      <c r="K197" s="8" t="s">
        <v>15</v>
      </c>
      <c r="U197" s="8" t="s">
        <v>16</v>
      </c>
      <c r="V197" s="8" t="s">
        <v>358</v>
      </c>
      <c r="W197" s="8" t="s">
        <v>248</v>
      </c>
      <c r="X197" s="8" t="s">
        <v>20</v>
      </c>
    </row>
    <row r="198" spans="8:24" x14ac:dyDescent="0.45">
      <c r="H198" s="3" t="s">
        <v>203</v>
      </c>
      <c r="I198" s="3" t="s">
        <v>37</v>
      </c>
      <c r="J198" s="7">
        <v>0.176595456911018</v>
      </c>
      <c r="K198" s="3" t="s">
        <v>15</v>
      </c>
      <c r="U198" s="3" t="s">
        <v>16</v>
      </c>
      <c r="V198" s="3" t="s">
        <v>359</v>
      </c>
      <c r="W198" s="3" t="s">
        <v>248</v>
      </c>
      <c r="X198" s="3" t="s">
        <v>20</v>
      </c>
    </row>
    <row r="199" spans="8:24" x14ac:dyDescent="0.45">
      <c r="H199" s="8" t="s">
        <v>205</v>
      </c>
      <c r="I199" s="8" t="s">
        <v>14</v>
      </c>
      <c r="J199" s="12">
        <v>7.6856558478246399E-3</v>
      </c>
      <c r="K199" s="8" t="s">
        <v>15</v>
      </c>
      <c r="U199" s="8" t="s">
        <v>16</v>
      </c>
      <c r="V199" s="8" t="s">
        <v>359</v>
      </c>
      <c r="W199" s="8" t="s">
        <v>64</v>
      </c>
      <c r="X199" s="8" t="s">
        <v>18</v>
      </c>
    </row>
    <row r="200" spans="8:24" x14ac:dyDescent="0.45">
      <c r="H200" s="3" t="s">
        <v>205</v>
      </c>
      <c r="I200" s="3" t="s">
        <v>28</v>
      </c>
      <c r="J200" s="7">
        <v>7.6856558478246399E-3</v>
      </c>
      <c r="K200" s="3" t="s">
        <v>15</v>
      </c>
      <c r="U200" s="3" t="s">
        <v>16</v>
      </c>
      <c r="V200" s="3" t="s">
        <v>360</v>
      </c>
      <c r="W200" s="3" t="s">
        <v>248</v>
      </c>
      <c r="X200" s="3" t="s">
        <v>20</v>
      </c>
    </row>
    <row r="201" spans="8:24" x14ac:dyDescent="0.45">
      <c r="H201" s="8" t="s">
        <v>205</v>
      </c>
      <c r="I201" s="8" t="s">
        <v>37</v>
      </c>
      <c r="J201" s="12">
        <v>7.6856558478246399E-3</v>
      </c>
      <c r="K201" s="8" t="s">
        <v>15</v>
      </c>
      <c r="U201" s="8" t="s">
        <v>16</v>
      </c>
      <c r="V201" s="8" t="s">
        <v>360</v>
      </c>
      <c r="W201" s="8" t="s">
        <v>64</v>
      </c>
      <c r="X201" s="8" t="s">
        <v>18</v>
      </c>
    </row>
    <row r="202" spans="8:24" x14ac:dyDescent="0.45">
      <c r="H202" s="3" t="s">
        <v>206</v>
      </c>
      <c r="I202" s="3" t="s">
        <v>14</v>
      </c>
      <c r="J202" s="7">
        <v>4.6514642828481501E-5</v>
      </c>
      <c r="K202" s="3" t="s">
        <v>15</v>
      </c>
      <c r="U202" s="3" t="s">
        <v>16</v>
      </c>
      <c r="V202" s="3" t="s">
        <v>361</v>
      </c>
      <c r="W202" s="3" t="s">
        <v>68</v>
      </c>
      <c r="X202" s="3" t="s">
        <v>20</v>
      </c>
    </row>
    <row r="203" spans="8:24" x14ac:dyDescent="0.45">
      <c r="H203" s="8" t="s">
        <v>206</v>
      </c>
      <c r="I203" s="8" t="s">
        <v>28</v>
      </c>
      <c r="J203" s="12">
        <v>4.6514642828481501E-5</v>
      </c>
      <c r="K203" s="8" t="s">
        <v>15</v>
      </c>
      <c r="U203" s="8" t="s">
        <v>16</v>
      </c>
      <c r="V203" s="8" t="s">
        <v>362</v>
      </c>
      <c r="W203" s="8" t="s">
        <v>68</v>
      </c>
      <c r="X203" s="8" t="s">
        <v>20</v>
      </c>
    </row>
    <row r="204" spans="8:24" x14ac:dyDescent="0.45">
      <c r="H204" s="3" t="s">
        <v>206</v>
      </c>
      <c r="I204" s="3" t="s">
        <v>37</v>
      </c>
      <c r="J204" s="7">
        <v>4.6514642828481501E-5</v>
      </c>
      <c r="K204" s="3" t="s">
        <v>15</v>
      </c>
      <c r="U204" s="3" t="s">
        <v>16</v>
      </c>
      <c r="V204" s="3" t="s">
        <v>363</v>
      </c>
      <c r="W204" s="3" t="s">
        <v>68</v>
      </c>
      <c r="X204" s="3" t="s">
        <v>20</v>
      </c>
    </row>
    <row r="205" spans="8:24" x14ac:dyDescent="0.45">
      <c r="H205" s="8" t="s">
        <v>208</v>
      </c>
      <c r="I205" s="8" t="s">
        <v>14</v>
      </c>
      <c r="J205" s="12">
        <v>6.3504675850455565E-3</v>
      </c>
      <c r="K205" s="8" t="s">
        <v>15</v>
      </c>
      <c r="U205" s="8" t="s">
        <v>16</v>
      </c>
      <c r="V205" s="8" t="s">
        <v>364</v>
      </c>
      <c r="W205" s="8" t="s">
        <v>68</v>
      </c>
      <c r="X205" s="8" t="s">
        <v>20</v>
      </c>
    </row>
    <row r="206" spans="8:24" x14ac:dyDescent="0.45">
      <c r="H206" s="3" t="s">
        <v>208</v>
      </c>
      <c r="I206" s="3" t="s">
        <v>28</v>
      </c>
      <c r="J206" s="7">
        <v>6.3504675850455565E-3</v>
      </c>
      <c r="K206" s="3" t="s">
        <v>15</v>
      </c>
      <c r="U206" s="3" t="s">
        <v>16</v>
      </c>
      <c r="V206" s="3" t="s">
        <v>365</v>
      </c>
      <c r="W206" s="3" t="s">
        <v>68</v>
      </c>
      <c r="X206" s="3" t="s">
        <v>20</v>
      </c>
    </row>
    <row r="207" spans="8:24" x14ac:dyDescent="0.45">
      <c r="H207" s="8" t="s">
        <v>208</v>
      </c>
      <c r="I207" s="8" t="s">
        <v>37</v>
      </c>
      <c r="J207" s="12">
        <v>6.3504675850455565E-3</v>
      </c>
      <c r="K207" s="8" t="s">
        <v>15</v>
      </c>
      <c r="U207" s="8" t="s">
        <v>16</v>
      </c>
      <c r="V207" s="8" t="s">
        <v>366</v>
      </c>
      <c r="W207" s="8" t="s">
        <v>68</v>
      </c>
      <c r="X207" s="8" t="s">
        <v>20</v>
      </c>
    </row>
    <row r="208" spans="8:24" x14ac:dyDescent="0.45">
      <c r="H208" s="3" t="s">
        <v>210</v>
      </c>
      <c r="I208" s="3" t="s">
        <v>14</v>
      </c>
      <c r="J208" s="7">
        <v>2.0941298810488E-3</v>
      </c>
      <c r="K208" s="3" t="s">
        <v>15</v>
      </c>
      <c r="U208" s="3" t="s">
        <v>16</v>
      </c>
      <c r="V208" s="3" t="s">
        <v>367</v>
      </c>
      <c r="W208" s="3" t="s">
        <v>68</v>
      </c>
      <c r="X208" s="3" t="s">
        <v>20</v>
      </c>
    </row>
    <row r="209" spans="8:24" x14ac:dyDescent="0.45">
      <c r="H209" s="8" t="s">
        <v>210</v>
      </c>
      <c r="I209" s="8" t="s">
        <v>28</v>
      </c>
      <c r="J209" s="12">
        <v>2.0941298810488E-3</v>
      </c>
      <c r="K209" s="8" t="s">
        <v>15</v>
      </c>
      <c r="U209" s="8" t="s">
        <v>16</v>
      </c>
      <c r="V209" s="8" t="s">
        <v>368</v>
      </c>
      <c r="W209" s="8" t="s">
        <v>68</v>
      </c>
      <c r="X209" s="8" t="s">
        <v>20</v>
      </c>
    </row>
    <row r="210" spans="8:24" x14ac:dyDescent="0.45">
      <c r="H210" s="3" t="s">
        <v>210</v>
      </c>
      <c r="I210" s="3" t="s">
        <v>37</v>
      </c>
      <c r="J210" s="7">
        <v>2.0941298810488E-3</v>
      </c>
      <c r="K210" s="3" t="s">
        <v>15</v>
      </c>
      <c r="U210" s="3" t="s">
        <v>16</v>
      </c>
      <c r="V210" s="3" t="s">
        <v>369</v>
      </c>
      <c r="W210" s="3" t="s">
        <v>68</v>
      </c>
      <c r="X210" s="3" t="s">
        <v>20</v>
      </c>
    </row>
    <row r="211" spans="8:24" x14ac:dyDescent="0.45">
      <c r="H211" s="8" t="s">
        <v>212</v>
      </c>
      <c r="I211" s="8" t="s">
        <v>14</v>
      </c>
      <c r="J211" s="12">
        <v>4.1390958344440273E-2</v>
      </c>
      <c r="K211" s="8" t="s">
        <v>15</v>
      </c>
      <c r="U211" s="8" t="s">
        <v>16</v>
      </c>
      <c r="V211" s="8" t="s">
        <v>370</v>
      </c>
      <c r="W211" s="8" t="s">
        <v>68</v>
      </c>
      <c r="X211" s="8" t="s">
        <v>20</v>
      </c>
    </row>
    <row r="212" spans="8:24" x14ac:dyDescent="0.45">
      <c r="H212" s="3" t="s">
        <v>212</v>
      </c>
      <c r="I212" s="3" t="s">
        <v>28</v>
      </c>
      <c r="J212" s="7">
        <v>4.1390958344440273E-2</v>
      </c>
      <c r="K212" s="3" t="s">
        <v>15</v>
      </c>
      <c r="U212" s="3" t="s">
        <v>16</v>
      </c>
      <c r="V212" s="3" t="s">
        <v>371</v>
      </c>
      <c r="W212" s="3" t="s">
        <v>68</v>
      </c>
      <c r="X212" s="3" t="s">
        <v>20</v>
      </c>
    </row>
    <row r="213" spans="8:24" x14ac:dyDescent="0.45">
      <c r="H213" s="8" t="s">
        <v>212</v>
      </c>
      <c r="I213" s="8" t="s">
        <v>37</v>
      </c>
      <c r="J213" s="12">
        <v>4.1390958344440273E-2</v>
      </c>
      <c r="K213" s="8" t="s">
        <v>15</v>
      </c>
      <c r="U213" s="8" t="s">
        <v>16</v>
      </c>
      <c r="V213" s="8" t="s">
        <v>371</v>
      </c>
      <c r="W213" s="8" t="s">
        <v>282</v>
      </c>
      <c r="X213" s="8" t="s">
        <v>20</v>
      </c>
    </row>
    <row r="214" spans="8:24" x14ac:dyDescent="0.45">
      <c r="H214" s="3" t="s">
        <v>214</v>
      </c>
      <c r="I214" s="3" t="s">
        <v>14</v>
      </c>
      <c r="J214" s="7">
        <v>4.4691817433857584E-3</v>
      </c>
      <c r="K214" s="3" t="s">
        <v>15</v>
      </c>
      <c r="U214" s="3" t="s">
        <v>16</v>
      </c>
      <c r="V214" s="3" t="s">
        <v>372</v>
      </c>
      <c r="W214" s="3" t="s">
        <v>68</v>
      </c>
      <c r="X214" s="3" t="s">
        <v>20</v>
      </c>
    </row>
    <row r="215" spans="8:24" x14ac:dyDescent="0.45">
      <c r="H215" s="8" t="s">
        <v>214</v>
      </c>
      <c r="I215" s="8" t="s">
        <v>28</v>
      </c>
      <c r="J215" s="12">
        <v>4.4691817433857584E-3</v>
      </c>
      <c r="K215" s="8" t="s">
        <v>15</v>
      </c>
      <c r="U215" s="8" t="s">
        <v>16</v>
      </c>
      <c r="V215" s="8" t="s">
        <v>372</v>
      </c>
      <c r="W215" s="8" t="s">
        <v>282</v>
      </c>
      <c r="X215" s="8" t="s">
        <v>20</v>
      </c>
    </row>
    <row r="216" spans="8:24" x14ac:dyDescent="0.45">
      <c r="H216" s="3" t="s">
        <v>214</v>
      </c>
      <c r="I216" s="3" t="s">
        <v>37</v>
      </c>
      <c r="J216" s="7">
        <v>4.4691817433857584E-3</v>
      </c>
      <c r="K216" s="3" t="s">
        <v>15</v>
      </c>
      <c r="U216" s="3" t="s">
        <v>16</v>
      </c>
      <c r="V216" s="3" t="s">
        <v>373</v>
      </c>
      <c r="W216" s="3" t="s">
        <v>68</v>
      </c>
      <c r="X216" s="3" t="s">
        <v>20</v>
      </c>
    </row>
    <row r="217" spans="8:24" x14ac:dyDescent="0.45">
      <c r="H217" s="8" t="s">
        <v>216</v>
      </c>
      <c r="I217" s="8" t="s">
        <v>14</v>
      </c>
      <c r="J217" s="12">
        <v>2.9193659783325686E-2</v>
      </c>
      <c r="K217" s="8" t="s">
        <v>15</v>
      </c>
      <c r="U217" s="8" t="s">
        <v>16</v>
      </c>
      <c r="V217" s="8" t="s">
        <v>373</v>
      </c>
      <c r="W217" s="8" t="s">
        <v>282</v>
      </c>
      <c r="X217" s="8" t="s">
        <v>20</v>
      </c>
    </row>
    <row r="218" spans="8:24" x14ac:dyDescent="0.45">
      <c r="H218" s="3" t="s">
        <v>216</v>
      </c>
      <c r="I218" s="3" t="s">
        <v>28</v>
      </c>
      <c r="J218" s="7">
        <v>2.9193659783325686E-2</v>
      </c>
      <c r="K218" s="3" t="s">
        <v>15</v>
      </c>
      <c r="U218" s="3" t="s">
        <v>16</v>
      </c>
      <c r="V218" s="3" t="s">
        <v>374</v>
      </c>
      <c r="W218" s="3" t="s">
        <v>282</v>
      </c>
      <c r="X218" s="3" t="s">
        <v>20</v>
      </c>
    </row>
    <row r="219" spans="8:24" x14ac:dyDescent="0.45">
      <c r="H219" s="8" t="s">
        <v>216</v>
      </c>
      <c r="I219" s="8" t="s">
        <v>37</v>
      </c>
      <c r="J219" s="12">
        <v>2.9193659783325686E-2</v>
      </c>
      <c r="K219" s="8" t="s">
        <v>15</v>
      </c>
      <c r="U219" s="8" t="s">
        <v>16</v>
      </c>
      <c r="V219" s="8" t="s">
        <v>375</v>
      </c>
      <c r="W219" s="8" t="s">
        <v>282</v>
      </c>
      <c r="X219" s="8" t="s">
        <v>20</v>
      </c>
    </row>
    <row r="220" spans="8:24" x14ac:dyDescent="0.45">
      <c r="H220" s="3" t="s">
        <v>218</v>
      </c>
      <c r="I220" s="3" t="s">
        <v>14</v>
      </c>
      <c r="J220" s="7">
        <v>5.5052844337008834E-3</v>
      </c>
      <c r="K220" s="3" t="s">
        <v>15</v>
      </c>
      <c r="U220" s="3" t="s">
        <v>16</v>
      </c>
      <c r="V220" s="3" t="s">
        <v>376</v>
      </c>
      <c r="W220" s="3" t="s">
        <v>282</v>
      </c>
      <c r="X220" s="3" t="s">
        <v>20</v>
      </c>
    </row>
    <row r="221" spans="8:24" x14ac:dyDescent="0.45">
      <c r="H221" s="8" t="s">
        <v>218</v>
      </c>
      <c r="I221" s="8" t="s">
        <v>28</v>
      </c>
      <c r="J221" s="12">
        <v>5.5052844337008834E-3</v>
      </c>
      <c r="K221" s="8" t="s">
        <v>15</v>
      </c>
      <c r="U221" s="8" t="s">
        <v>16</v>
      </c>
      <c r="V221" s="8" t="s">
        <v>376</v>
      </c>
      <c r="W221" s="8" t="s">
        <v>68</v>
      </c>
      <c r="X221" s="8" t="s">
        <v>18</v>
      </c>
    </row>
    <row r="222" spans="8:24" x14ac:dyDescent="0.45">
      <c r="H222" s="3" t="s">
        <v>218</v>
      </c>
      <c r="I222" s="3" t="s">
        <v>37</v>
      </c>
      <c r="J222" s="7">
        <v>5.5052844337008834E-3</v>
      </c>
      <c r="K222" s="3" t="s">
        <v>15</v>
      </c>
      <c r="U222" s="3" t="s">
        <v>16</v>
      </c>
      <c r="V222" s="3" t="s">
        <v>377</v>
      </c>
      <c r="W222" s="3" t="s">
        <v>282</v>
      </c>
      <c r="X222" s="3" t="s">
        <v>20</v>
      </c>
    </row>
    <row r="223" spans="8:24" x14ac:dyDescent="0.45">
      <c r="H223" s="8" t="s">
        <v>220</v>
      </c>
      <c r="I223" s="8" t="s">
        <v>14</v>
      </c>
      <c r="J223" s="12">
        <v>0.17769762484678206</v>
      </c>
      <c r="K223" s="8" t="s">
        <v>15</v>
      </c>
      <c r="U223" s="8" t="s">
        <v>16</v>
      </c>
      <c r="V223" s="8" t="s">
        <v>377</v>
      </c>
      <c r="W223" s="8" t="s">
        <v>68</v>
      </c>
      <c r="X223" s="8" t="s">
        <v>18</v>
      </c>
    </row>
    <row r="224" spans="8:24" x14ac:dyDescent="0.45">
      <c r="H224" s="3" t="s">
        <v>220</v>
      </c>
      <c r="I224" s="3" t="s">
        <v>28</v>
      </c>
      <c r="J224" s="7">
        <v>0.17769762484678206</v>
      </c>
      <c r="K224" s="3" t="s">
        <v>15</v>
      </c>
      <c r="U224" s="3" t="s">
        <v>16</v>
      </c>
      <c r="V224" s="3" t="s">
        <v>378</v>
      </c>
      <c r="W224" s="3" t="s">
        <v>72</v>
      </c>
      <c r="X224" s="3" t="s">
        <v>20</v>
      </c>
    </row>
    <row r="225" spans="8:24" x14ac:dyDescent="0.45">
      <c r="H225" s="8" t="s">
        <v>220</v>
      </c>
      <c r="I225" s="8" t="s">
        <v>37</v>
      </c>
      <c r="J225" s="12">
        <v>0.17769762484678206</v>
      </c>
      <c r="K225" s="8" t="s">
        <v>15</v>
      </c>
      <c r="U225" s="8" t="s">
        <v>16</v>
      </c>
      <c r="V225" s="8" t="s">
        <v>379</v>
      </c>
      <c r="W225" s="8" t="s">
        <v>72</v>
      </c>
      <c r="X225" s="8" t="s">
        <v>20</v>
      </c>
    </row>
    <row r="226" spans="8:24" x14ac:dyDescent="0.45">
      <c r="H226" s="3" t="s">
        <v>222</v>
      </c>
      <c r="I226" s="3" t="s">
        <v>14</v>
      </c>
      <c r="J226" s="7">
        <v>1.6858934962827539E-2</v>
      </c>
      <c r="K226" s="3" t="s">
        <v>15</v>
      </c>
      <c r="U226" s="3" t="s">
        <v>16</v>
      </c>
      <c r="V226" s="3" t="s">
        <v>380</v>
      </c>
      <c r="W226" s="3" t="s">
        <v>72</v>
      </c>
      <c r="X226" s="3" t="s">
        <v>20</v>
      </c>
    </row>
    <row r="227" spans="8:24" x14ac:dyDescent="0.45">
      <c r="H227" s="8" t="s">
        <v>222</v>
      </c>
      <c r="I227" s="8" t="s">
        <v>28</v>
      </c>
      <c r="J227" s="12">
        <v>1.6858934962827539E-2</v>
      </c>
      <c r="K227" s="8" t="s">
        <v>15</v>
      </c>
      <c r="U227" s="8" t="s">
        <v>16</v>
      </c>
      <c r="V227" s="8" t="s">
        <v>381</v>
      </c>
      <c r="W227" s="8" t="s">
        <v>72</v>
      </c>
      <c r="X227" s="8" t="s">
        <v>20</v>
      </c>
    </row>
    <row r="228" spans="8:24" x14ac:dyDescent="0.45">
      <c r="H228" s="3" t="s">
        <v>222</v>
      </c>
      <c r="I228" s="3" t="s">
        <v>37</v>
      </c>
      <c r="J228" s="7">
        <v>1.6858934962827539E-2</v>
      </c>
      <c r="K228" s="3" t="s">
        <v>15</v>
      </c>
      <c r="U228" s="3" t="s">
        <v>16</v>
      </c>
      <c r="V228" s="3" t="s">
        <v>382</v>
      </c>
      <c r="W228" s="3" t="s">
        <v>72</v>
      </c>
      <c r="X228" s="3" t="s">
        <v>20</v>
      </c>
    </row>
    <row r="229" spans="8:24" x14ac:dyDescent="0.45">
      <c r="H229" s="8" t="s">
        <v>224</v>
      </c>
      <c r="I229" s="8" t="s">
        <v>14</v>
      </c>
      <c r="J229" s="12">
        <v>4.7020496125827031E-2</v>
      </c>
      <c r="K229" s="8" t="s">
        <v>15</v>
      </c>
      <c r="U229" s="8" t="s">
        <v>16</v>
      </c>
      <c r="V229" s="8" t="s">
        <v>383</v>
      </c>
      <c r="W229" s="8" t="s">
        <v>72</v>
      </c>
      <c r="X229" s="8" t="s">
        <v>20</v>
      </c>
    </row>
    <row r="230" spans="8:24" x14ac:dyDescent="0.45">
      <c r="H230" s="3" t="s">
        <v>224</v>
      </c>
      <c r="I230" s="3" t="s">
        <v>28</v>
      </c>
      <c r="J230" s="7">
        <v>4.7020496125827031E-2</v>
      </c>
      <c r="K230" s="3" t="s">
        <v>15</v>
      </c>
      <c r="U230" s="3" t="s">
        <v>16</v>
      </c>
      <c r="V230" s="3" t="s">
        <v>384</v>
      </c>
      <c r="W230" s="3" t="s">
        <v>72</v>
      </c>
      <c r="X230" s="3" t="s">
        <v>20</v>
      </c>
    </row>
    <row r="231" spans="8:24" x14ac:dyDescent="0.45">
      <c r="H231" s="8" t="s">
        <v>224</v>
      </c>
      <c r="I231" s="8" t="s">
        <v>37</v>
      </c>
      <c r="J231" s="12">
        <v>4.7020496125827031E-2</v>
      </c>
      <c r="K231" s="8" t="s">
        <v>15</v>
      </c>
      <c r="U231" s="8" t="s">
        <v>16</v>
      </c>
      <c r="V231" s="8" t="s">
        <v>385</v>
      </c>
      <c r="W231" s="8" t="s">
        <v>72</v>
      </c>
      <c r="X231" s="8" t="s">
        <v>20</v>
      </c>
    </row>
    <row r="232" spans="8:24" x14ac:dyDescent="0.45">
      <c r="H232" s="3" t="s">
        <v>226</v>
      </c>
      <c r="I232" s="3" t="s">
        <v>14</v>
      </c>
      <c r="J232" s="7">
        <v>2.746055043863712E-3</v>
      </c>
      <c r="K232" s="3" t="s">
        <v>15</v>
      </c>
      <c r="U232" s="3" t="s">
        <v>16</v>
      </c>
      <c r="V232" s="3" t="s">
        <v>386</v>
      </c>
      <c r="W232" s="3" t="s">
        <v>72</v>
      </c>
      <c r="X232" s="3" t="s">
        <v>20</v>
      </c>
    </row>
    <row r="233" spans="8:24" x14ac:dyDescent="0.45">
      <c r="H233" s="8" t="s">
        <v>226</v>
      </c>
      <c r="I233" s="8" t="s">
        <v>28</v>
      </c>
      <c r="J233" s="12">
        <v>2.746055043863712E-3</v>
      </c>
      <c r="K233" s="8" t="s">
        <v>15</v>
      </c>
      <c r="U233" s="8" t="s">
        <v>16</v>
      </c>
      <c r="V233" s="8" t="s">
        <v>387</v>
      </c>
      <c r="W233" s="8" t="s">
        <v>72</v>
      </c>
      <c r="X233" s="8" t="s">
        <v>20</v>
      </c>
    </row>
    <row r="234" spans="8:24" x14ac:dyDescent="0.45">
      <c r="H234" s="3" t="s">
        <v>226</v>
      </c>
      <c r="I234" s="3" t="s">
        <v>37</v>
      </c>
      <c r="J234" s="7">
        <v>2.746055043863712E-3</v>
      </c>
      <c r="K234" s="3" t="s">
        <v>15</v>
      </c>
      <c r="U234" s="3" t="s">
        <v>16</v>
      </c>
      <c r="V234" s="3" t="s">
        <v>388</v>
      </c>
      <c r="W234" s="3" t="s">
        <v>72</v>
      </c>
      <c r="X234" s="3" t="s">
        <v>20</v>
      </c>
    </row>
    <row r="235" spans="8:24" x14ac:dyDescent="0.45">
      <c r="H235" s="8" t="s">
        <v>228</v>
      </c>
      <c r="I235" s="8" t="s">
        <v>14</v>
      </c>
      <c r="J235" s="12">
        <v>1.8829813028415901E-3</v>
      </c>
      <c r="K235" s="8" t="s">
        <v>15</v>
      </c>
      <c r="U235" s="8" t="s">
        <v>16</v>
      </c>
      <c r="V235" s="8" t="s">
        <v>388</v>
      </c>
      <c r="W235" s="8" t="s">
        <v>261</v>
      </c>
      <c r="X235" s="8" t="s">
        <v>20</v>
      </c>
    </row>
    <row r="236" spans="8:24" x14ac:dyDescent="0.45">
      <c r="H236" s="3" t="s">
        <v>228</v>
      </c>
      <c r="I236" s="3" t="s">
        <v>28</v>
      </c>
      <c r="J236" s="7">
        <v>1.8829813028415901E-3</v>
      </c>
      <c r="K236" s="3" t="s">
        <v>15</v>
      </c>
      <c r="U236" s="3" t="s">
        <v>16</v>
      </c>
      <c r="V236" s="3" t="s">
        <v>389</v>
      </c>
      <c r="W236" s="3" t="s">
        <v>72</v>
      </c>
      <c r="X236" s="3" t="s">
        <v>20</v>
      </c>
    </row>
    <row r="237" spans="8:24" x14ac:dyDescent="0.45">
      <c r="H237" s="8" t="s">
        <v>228</v>
      </c>
      <c r="I237" s="8" t="s">
        <v>37</v>
      </c>
      <c r="J237" s="12">
        <v>1.8829813028415901E-3</v>
      </c>
      <c r="K237" s="8" t="s">
        <v>15</v>
      </c>
      <c r="U237" s="8" t="s">
        <v>16</v>
      </c>
      <c r="V237" s="8" t="s">
        <v>389</v>
      </c>
      <c r="W237" s="8" t="s">
        <v>261</v>
      </c>
      <c r="X237" s="8" t="s">
        <v>20</v>
      </c>
    </row>
    <row r="238" spans="8:24" x14ac:dyDescent="0.45">
      <c r="H238" s="3" t="s">
        <v>230</v>
      </c>
      <c r="I238" s="3" t="s">
        <v>14</v>
      </c>
      <c r="J238" s="7">
        <v>6.6168639227788456E-2</v>
      </c>
      <c r="K238" s="3" t="s">
        <v>15</v>
      </c>
      <c r="U238" s="3" t="s">
        <v>16</v>
      </c>
      <c r="V238" s="3" t="s">
        <v>390</v>
      </c>
      <c r="W238" s="3" t="s">
        <v>72</v>
      </c>
      <c r="X238" s="3" t="s">
        <v>20</v>
      </c>
    </row>
    <row r="239" spans="8:24" x14ac:dyDescent="0.45">
      <c r="H239" s="8" t="s">
        <v>230</v>
      </c>
      <c r="I239" s="8" t="s">
        <v>28</v>
      </c>
      <c r="J239" s="12">
        <v>6.6168639227788456E-2</v>
      </c>
      <c r="K239" s="8" t="s">
        <v>15</v>
      </c>
      <c r="U239" s="8" t="s">
        <v>16</v>
      </c>
      <c r="V239" s="8" t="s">
        <v>390</v>
      </c>
      <c r="W239" s="8" t="s">
        <v>261</v>
      </c>
      <c r="X239" s="8" t="s">
        <v>20</v>
      </c>
    </row>
    <row r="240" spans="8:24" x14ac:dyDescent="0.45">
      <c r="H240" s="3" t="s">
        <v>230</v>
      </c>
      <c r="I240" s="3" t="s">
        <v>37</v>
      </c>
      <c r="J240" s="7">
        <v>6.6168639227788456E-2</v>
      </c>
      <c r="K240" s="3" t="s">
        <v>15</v>
      </c>
      <c r="U240" s="3" t="s">
        <v>16</v>
      </c>
      <c r="V240" s="3" t="s">
        <v>391</v>
      </c>
      <c r="W240" s="3" t="s">
        <v>261</v>
      </c>
      <c r="X240" s="3" t="s">
        <v>20</v>
      </c>
    </row>
    <row r="241" spans="8:24" x14ac:dyDescent="0.45">
      <c r="H241" s="8" t="s">
        <v>232</v>
      </c>
      <c r="I241" s="8" t="s">
        <v>14</v>
      </c>
      <c r="J241" s="12">
        <v>3.9298724255030684E-2</v>
      </c>
      <c r="K241" s="8" t="s">
        <v>15</v>
      </c>
      <c r="U241" s="8" t="s">
        <v>16</v>
      </c>
      <c r="V241" s="8" t="s">
        <v>392</v>
      </c>
      <c r="W241" s="8" t="s">
        <v>261</v>
      </c>
      <c r="X241" s="8" t="s">
        <v>20</v>
      </c>
    </row>
    <row r="242" spans="8:24" x14ac:dyDescent="0.45">
      <c r="H242" s="3" t="s">
        <v>232</v>
      </c>
      <c r="I242" s="3" t="s">
        <v>28</v>
      </c>
      <c r="J242" s="7">
        <v>3.9298724255030684E-2</v>
      </c>
      <c r="K242" s="3" t="s">
        <v>15</v>
      </c>
      <c r="U242" s="3" t="s">
        <v>16</v>
      </c>
      <c r="V242" s="3" t="s">
        <v>393</v>
      </c>
      <c r="W242" s="3" t="s">
        <v>261</v>
      </c>
      <c r="X242" s="3" t="s">
        <v>20</v>
      </c>
    </row>
    <row r="243" spans="8:24" x14ac:dyDescent="0.45">
      <c r="H243" s="8" t="s">
        <v>232</v>
      </c>
      <c r="I243" s="8" t="s">
        <v>37</v>
      </c>
      <c r="J243" s="12">
        <v>3.9298724255030684E-2</v>
      </c>
      <c r="K243" s="8" t="s">
        <v>15</v>
      </c>
      <c r="U243" s="8" t="s">
        <v>16</v>
      </c>
      <c r="V243" s="8" t="s">
        <v>393</v>
      </c>
      <c r="W243" s="8" t="s">
        <v>72</v>
      </c>
      <c r="X243" s="8" t="s">
        <v>18</v>
      </c>
    </row>
    <row r="244" spans="8:24" x14ac:dyDescent="0.45">
      <c r="H244" s="3" t="s">
        <v>233</v>
      </c>
      <c r="I244" s="3" t="s">
        <v>14</v>
      </c>
      <c r="J244" s="7">
        <v>5.2418472177511242E-2</v>
      </c>
      <c r="K244" s="3" t="s">
        <v>15</v>
      </c>
      <c r="U244" s="3" t="s">
        <v>16</v>
      </c>
      <c r="V244" s="3" t="s">
        <v>394</v>
      </c>
      <c r="W244" s="3" t="s">
        <v>261</v>
      </c>
      <c r="X244" s="3" t="s">
        <v>20</v>
      </c>
    </row>
    <row r="245" spans="8:24" x14ac:dyDescent="0.45">
      <c r="H245" s="8" t="s">
        <v>233</v>
      </c>
      <c r="I245" s="8" t="s">
        <v>28</v>
      </c>
      <c r="J245" s="12">
        <v>5.2418472177511242E-2</v>
      </c>
      <c r="K245" s="8" t="s">
        <v>15</v>
      </c>
      <c r="U245" s="8" t="s">
        <v>16</v>
      </c>
      <c r="V245" s="8" t="s">
        <v>394</v>
      </c>
      <c r="W245" s="8" t="s">
        <v>72</v>
      </c>
      <c r="X245" s="8" t="s">
        <v>18</v>
      </c>
    </row>
    <row r="246" spans="8:24" x14ac:dyDescent="0.45">
      <c r="H246" s="3" t="s">
        <v>233</v>
      </c>
      <c r="I246" s="3" t="s">
        <v>37</v>
      </c>
      <c r="J246" s="7">
        <v>5.2418472177511242E-2</v>
      </c>
      <c r="K246" s="3" t="s">
        <v>15</v>
      </c>
      <c r="U246" s="3" t="s">
        <v>16</v>
      </c>
      <c r="V246" s="3" t="s">
        <v>395</v>
      </c>
      <c r="W246" s="3" t="s">
        <v>76</v>
      </c>
      <c r="X246" s="3" t="s">
        <v>20</v>
      </c>
    </row>
    <row r="247" spans="8:24" x14ac:dyDescent="0.45">
      <c r="H247" s="8" t="s">
        <v>235</v>
      </c>
      <c r="I247" s="8" t="s">
        <v>14</v>
      </c>
      <c r="J247" s="12">
        <v>0.14451967737988994</v>
      </c>
      <c r="K247" s="8" t="s">
        <v>15</v>
      </c>
      <c r="U247" s="8" t="s">
        <v>16</v>
      </c>
      <c r="V247" s="8" t="s">
        <v>396</v>
      </c>
      <c r="W247" s="8" t="s">
        <v>76</v>
      </c>
      <c r="X247" s="8" t="s">
        <v>20</v>
      </c>
    </row>
    <row r="248" spans="8:24" x14ac:dyDescent="0.45">
      <c r="H248" s="3" t="s">
        <v>235</v>
      </c>
      <c r="I248" s="3" t="s">
        <v>28</v>
      </c>
      <c r="J248" s="7">
        <v>0.14451967737988994</v>
      </c>
      <c r="K248" s="3" t="s">
        <v>15</v>
      </c>
      <c r="U248" s="3" t="s">
        <v>16</v>
      </c>
      <c r="V248" s="3" t="s">
        <v>397</v>
      </c>
      <c r="W248" s="3" t="s">
        <v>76</v>
      </c>
      <c r="X248" s="3" t="s">
        <v>20</v>
      </c>
    </row>
    <row r="249" spans="8:24" x14ac:dyDescent="0.45">
      <c r="H249" s="8" t="s">
        <v>235</v>
      </c>
      <c r="I249" s="8" t="s">
        <v>37</v>
      </c>
      <c r="J249" s="12">
        <v>0.14451967737988994</v>
      </c>
      <c r="K249" s="8" t="s">
        <v>15</v>
      </c>
      <c r="U249" s="8" t="s">
        <v>16</v>
      </c>
      <c r="V249" s="8" t="s">
        <v>398</v>
      </c>
      <c r="W249" s="8" t="s">
        <v>76</v>
      </c>
      <c r="X249" s="8" t="s">
        <v>20</v>
      </c>
    </row>
    <row r="250" spans="8:24" x14ac:dyDescent="0.45">
      <c r="H250" s="3" t="s">
        <v>236</v>
      </c>
      <c r="I250" s="3" t="s">
        <v>14</v>
      </c>
      <c r="J250" s="7">
        <v>3.1140610011876398E-2</v>
      </c>
      <c r="K250" s="3" t="s">
        <v>15</v>
      </c>
      <c r="U250" s="3" t="s">
        <v>16</v>
      </c>
      <c r="V250" s="3" t="s">
        <v>399</v>
      </c>
      <c r="W250" s="3" t="s">
        <v>76</v>
      </c>
      <c r="X250" s="3" t="s">
        <v>20</v>
      </c>
    </row>
    <row r="251" spans="8:24" x14ac:dyDescent="0.45">
      <c r="H251" s="8" t="s">
        <v>236</v>
      </c>
      <c r="I251" s="8" t="s">
        <v>28</v>
      </c>
      <c r="J251" s="12">
        <v>3.1140610011876398E-2</v>
      </c>
      <c r="K251" s="8" t="s">
        <v>15</v>
      </c>
      <c r="U251" s="8" t="s">
        <v>16</v>
      </c>
      <c r="V251" s="8" t="s">
        <v>400</v>
      </c>
      <c r="W251" s="8" t="s">
        <v>76</v>
      </c>
      <c r="X251" s="8" t="s">
        <v>20</v>
      </c>
    </row>
    <row r="252" spans="8:24" x14ac:dyDescent="0.45">
      <c r="H252" s="3" t="s">
        <v>236</v>
      </c>
      <c r="I252" s="3" t="s">
        <v>37</v>
      </c>
      <c r="J252" s="7">
        <v>3.1140610011876398E-2</v>
      </c>
      <c r="K252" s="3" t="s">
        <v>15</v>
      </c>
      <c r="U252" s="3" t="s">
        <v>16</v>
      </c>
      <c r="V252" s="3" t="s">
        <v>401</v>
      </c>
      <c r="W252" s="3" t="s">
        <v>76</v>
      </c>
      <c r="X252" s="3" t="s">
        <v>20</v>
      </c>
    </row>
    <row r="253" spans="8:24" x14ac:dyDescent="0.45">
      <c r="H253" s="8" t="s">
        <v>238</v>
      </c>
      <c r="I253" s="8" t="s">
        <v>14</v>
      </c>
      <c r="J253" s="12">
        <v>5.6302993528103099E-2</v>
      </c>
      <c r="K253" s="8" t="s">
        <v>15</v>
      </c>
      <c r="U253" s="8" t="s">
        <v>16</v>
      </c>
      <c r="V253" s="8" t="s">
        <v>402</v>
      </c>
      <c r="W253" s="8" t="s">
        <v>76</v>
      </c>
      <c r="X253" s="8" t="s">
        <v>20</v>
      </c>
    </row>
    <row r="254" spans="8:24" x14ac:dyDescent="0.45">
      <c r="H254" s="3" t="s">
        <v>238</v>
      </c>
      <c r="I254" s="3" t="s">
        <v>28</v>
      </c>
      <c r="J254" s="7">
        <v>5.6302993528103099E-2</v>
      </c>
      <c r="K254" s="3" t="s">
        <v>15</v>
      </c>
      <c r="U254" s="3" t="s">
        <v>16</v>
      </c>
      <c r="V254" s="3" t="s">
        <v>403</v>
      </c>
      <c r="W254" s="3" t="s">
        <v>76</v>
      </c>
      <c r="X254" s="3" t="s">
        <v>20</v>
      </c>
    </row>
    <row r="255" spans="8:24" x14ac:dyDescent="0.45">
      <c r="H255" s="8" t="s">
        <v>238</v>
      </c>
      <c r="I255" s="8" t="s">
        <v>37</v>
      </c>
      <c r="J255" s="12">
        <v>5.6302993528103099E-2</v>
      </c>
      <c r="K255" s="8" t="s">
        <v>15</v>
      </c>
      <c r="U255" s="8" t="s">
        <v>16</v>
      </c>
      <c r="V255" s="8" t="s">
        <v>404</v>
      </c>
      <c r="W255" s="8" t="s">
        <v>76</v>
      </c>
      <c r="X255" s="8" t="s">
        <v>20</v>
      </c>
    </row>
    <row r="256" spans="8:24" x14ac:dyDescent="0.45">
      <c r="H256" s="3" t="s">
        <v>13</v>
      </c>
      <c r="I256" s="3" t="s">
        <v>405</v>
      </c>
      <c r="J256" s="7">
        <v>9.1351104383520093E-2</v>
      </c>
      <c r="K256" s="3" t="s">
        <v>15</v>
      </c>
      <c r="U256" s="3" t="s">
        <v>16</v>
      </c>
      <c r="V256" s="3" t="s">
        <v>406</v>
      </c>
      <c r="W256" s="3" t="s">
        <v>76</v>
      </c>
      <c r="X256" s="3" t="s">
        <v>20</v>
      </c>
    </row>
    <row r="257" spans="8:24" x14ac:dyDescent="0.45">
      <c r="H257" s="8" t="s">
        <v>29</v>
      </c>
      <c r="I257" s="8" t="s">
        <v>405</v>
      </c>
      <c r="J257" s="12">
        <v>0.18529049565836167</v>
      </c>
      <c r="K257" s="8" t="s">
        <v>15</v>
      </c>
      <c r="U257" s="8" t="s">
        <v>16</v>
      </c>
      <c r="V257" s="8" t="s">
        <v>406</v>
      </c>
      <c r="W257" s="8" t="s">
        <v>270</v>
      </c>
      <c r="X257" s="8" t="s">
        <v>20</v>
      </c>
    </row>
    <row r="258" spans="8:24" x14ac:dyDescent="0.45">
      <c r="H258" s="3" t="s">
        <v>38</v>
      </c>
      <c r="I258" s="3" t="s">
        <v>405</v>
      </c>
      <c r="J258" s="7">
        <v>6.7123923887848797E-4</v>
      </c>
      <c r="K258" s="3" t="s">
        <v>15</v>
      </c>
      <c r="U258" s="3" t="s">
        <v>16</v>
      </c>
      <c r="V258" s="3" t="s">
        <v>407</v>
      </c>
      <c r="W258" s="3" t="s">
        <v>76</v>
      </c>
      <c r="X258" s="3" t="s">
        <v>20</v>
      </c>
    </row>
    <row r="259" spans="8:24" x14ac:dyDescent="0.45">
      <c r="H259" s="8" t="s">
        <v>55</v>
      </c>
      <c r="I259" s="8" t="s">
        <v>405</v>
      </c>
      <c r="J259" s="12">
        <v>2.922416433685375E-2</v>
      </c>
      <c r="K259" s="8" t="s">
        <v>15</v>
      </c>
      <c r="U259" s="8" t="s">
        <v>16</v>
      </c>
      <c r="V259" s="8" t="s">
        <v>407</v>
      </c>
      <c r="W259" s="8" t="s">
        <v>270</v>
      </c>
      <c r="X259" s="8" t="s">
        <v>20</v>
      </c>
    </row>
    <row r="260" spans="8:24" x14ac:dyDescent="0.45">
      <c r="H260" s="3" t="s">
        <v>59</v>
      </c>
      <c r="I260" s="3" t="s">
        <v>405</v>
      </c>
      <c r="J260" s="7">
        <v>1.6818410458075382E-7</v>
      </c>
      <c r="K260" s="3" t="s">
        <v>15</v>
      </c>
      <c r="U260" s="3" t="s">
        <v>16</v>
      </c>
      <c r="V260" s="3" t="s">
        <v>408</v>
      </c>
      <c r="W260" s="3" t="s">
        <v>76</v>
      </c>
      <c r="X260" s="3" t="s">
        <v>20</v>
      </c>
    </row>
    <row r="261" spans="8:24" x14ac:dyDescent="0.45">
      <c r="H261" s="8" t="s">
        <v>63</v>
      </c>
      <c r="I261" s="8" t="s">
        <v>405</v>
      </c>
      <c r="J261" s="12">
        <v>3.7591022399285603E-4</v>
      </c>
      <c r="K261" s="8" t="s">
        <v>15</v>
      </c>
      <c r="U261" s="8" t="s">
        <v>16</v>
      </c>
      <c r="V261" s="8" t="s">
        <v>408</v>
      </c>
      <c r="W261" s="8" t="s">
        <v>270</v>
      </c>
      <c r="X261" s="8" t="s">
        <v>20</v>
      </c>
    </row>
    <row r="262" spans="8:24" x14ac:dyDescent="0.45">
      <c r="H262" s="3" t="s">
        <v>67</v>
      </c>
      <c r="I262" s="3" t="s">
        <v>405</v>
      </c>
      <c r="J262" s="7">
        <v>1.6867530444023839E-3</v>
      </c>
      <c r="K262" s="3" t="s">
        <v>15</v>
      </c>
      <c r="U262" s="3" t="s">
        <v>16</v>
      </c>
      <c r="V262" s="3" t="s">
        <v>409</v>
      </c>
      <c r="W262" s="3" t="s">
        <v>270</v>
      </c>
      <c r="X262" s="3" t="s">
        <v>20</v>
      </c>
    </row>
    <row r="263" spans="8:24" x14ac:dyDescent="0.45">
      <c r="H263" s="8" t="s">
        <v>71</v>
      </c>
      <c r="I263" s="8" t="s">
        <v>405</v>
      </c>
      <c r="J263" s="12">
        <v>2.5378266030601705E-2</v>
      </c>
      <c r="K263" s="8" t="s">
        <v>15</v>
      </c>
      <c r="U263" s="8" t="s">
        <v>16</v>
      </c>
      <c r="V263" s="8" t="s">
        <v>410</v>
      </c>
      <c r="W263" s="8" t="s">
        <v>270</v>
      </c>
      <c r="X263" s="8" t="s">
        <v>20</v>
      </c>
    </row>
    <row r="264" spans="8:24" x14ac:dyDescent="0.45">
      <c r="H264" s="3" t="s">
        <v>75</v>
      </c>
      <c r="I264" s="3" t="s">
        <v>405</v>
      </c>
      <c r="J264" s="7">
        <v>7.9860460672581408E-4</v>
      </c>
      <c r="K264" s="3" t="s">
        <v>15</v>
      </c>
      <c r="U264" s="3" t="s">
        <v>16</v>
      </c>
      <c r="V264" s="3" t="s">
        <v>411</v>
      </c>
      <c r="W264" s="3" t="s">
        <v>270</v>
      </c>
      <c r="X264" s="3" t="s">
        <v>20</v>
      </c>
    </row>
    <row r="265" spans="8:24" x14ac:dyDescent="0.45">
      <c r="H265" s="8" t="s">
        <v>79</v>
      </c>
      <c r="I265" s="8" t="s">
        <v>405</v>
      </c>
      <c r="J265" s="12">
        <v>3.0690002446182659E-3</v>
      </c>
      <c r="K265" s="8" t="s">
        <v>15</v>
      </c>
      <c r="U265" s="8" t="s">
        <v>16</v>
      </c>
      <c r="V265" s="8" t="s">
        <v>411</v>
      </c>
      <c r="W265" s="8" t="s">
        <v>76</v>
      </c>
      <c r="X265" s="8" t="s">
        <v>18</v>
      </c>
    </row>
    <row r="266" spans="8:24" x14ac:dyDescent="0.45">
      <c r="H266" s="3" t="s">
        <v>90</v>
      </c>
      <c r="I266" s="3" t="s">
        <v>405</v>
      </c>
      <c r="J266" s="7">
        <v>3.0990999719945102E-2</v>
      </c>
      <c r="K266" s="3" t="s">
        <v>15</v>
      </c>
      <c r="U266" s="3" t="s">
        <v>16</v>
      </c>
      <c r="V266" s="3" t="s">
        <v>412</v>
      </c>
      <c r="W266" s="3" t="s">
        <v>270</v>
      </c>
      <c r="X266" s="3" t="s">
        <v>20</v>
      </c>
    </row>
    <row r="267" spans="8:24" x14ac:dyDescent="0.45">
      <c r="H267" s="8" t="s">
        <v>93</v>
      </c>
      <c r="I267" s="8" t="s">
        <v>405</v>
      </c>
      <c r="J267" s="12">
        <v>0.20694127976526427</v>
      </c>
      <c r="K267" s="8" t="s">
        <v>15</v>
      </c>
      <c r="U267" s="8" t="s">
        <v>16</v>
      </c>
      <c r="V267" s="8" t="s">
        <v>412</v>
      </c>
      <c r="W267" s="8" t="s">
        <v>76</v>
      </c>
      <c r="X267" s="8" t="s">
        <v>18</v>
      </c>
    </row>
    <row r="268" spans="8:24" x14ac:dyDescent="0.45">
      <c r="H268" s="3" t="s">
        <v>101</v>
      </c>
      <c r="I268" s="3" t="s">
        <v>405</v>
      </c>
      <c r="J268" s="7">
        <v>0.3934399628712022</v>
      </c>
      <c r="K268" s="3" t="s">
        <v>15</v>
      </c>
      <c r="U268" s="3" t="s">
        <v>16</v>
      </c>
      <c r="V268" s="3" t="s">
        <v>413</v>
      </c>
      <c r="W268" s="3" t="s">
        <v>80</v>
      </c>
      <c r="X268" s="3" t="s">
        <v>20</v>
      </c>
    </row>
    <row r="269" spans="8:24" x14ac:dyDescent="0.45">
      <c r="H269" s="8" t="s">
        <v>105</v>
      </c>
      <c r="I269" s="8" t="s">
        <v>405</v>
      </c>
      <c r="J269" s="12">
        <v>1.3488081092596598E-4</v>
      </c>
      <c r="K269" s="8" t="s">
        <v>15</v>
      </c>
      <c r="U269" s="8" t="s">
        <v>16</v>
      </c>
      <c r="V269" s="8" t="s">
        <v>414</v>
      </c>
      <c r="W269" s="8" t="s">
        <v>80</v>
      </c>
      <c r="X269" s="8" t="s">
        <v>20</v>
      </c>
    </row>
    <row r="270" spans="8:24" x14ac:dyDescent="0.45">
      <c r="H270" s="3" t="s">
        <v>108</v>
      </c>
      <c r="I270" s="3" t="s">
        <v>405</v>
      </c>
      <c r="J270" s="7">
        <v>1.064716235775913E-2</v>
      </c>
      <c r="K270" s="3" t="s">
        <v>15</v>
      </c>
      <c r="U270" s="3" t="s">
        <v>16</v>
      </c>
      <c r="V270" s="3" t="s">
        <v>415</v>
      </c>
      <c r="W270" s="3" t="s">
        <v>80</v>
      </c>
      <c r="X270" s="3" t="s">
        <v>20</v>
      </c>
    </row>
    <row r="271" spans="8:24" x14ac:dyDescent="0.45">
      <c r="H271" s="8" t="s">
        <v>112</v>
      </c>
      <c r="I271" s="8" t="s">
        <v>405</v>
      </c>
      <c r="J271" s="12">
        <v>9.1351104383520093E-2</v>
      </c>
      <c r="K271" s="8" t="s">
        <v>15</v>
      </c>
      <c r="U271" s="8" t="s">
        <v>16</v>
      </c>
      <c r="V271" s="8" t="s">
        <v>416</v>
      </c>
      <c r="W271" s="8" t="s">
        <v>80</v>
      </c>
      <c r="X271" s="8" t="s">
        <v>20</v>
      </c>
    </row>
    <row r="272" spans="8:24" x14ac:dyDescent="0.45">
      <c r="H272" s="3" t="s">
        <v>114</v>
      </c>
      <c r="I272" s="3" t="s">
        <v>405</v>
      </c>
      <c r="J272" s="7">
        <v>0.18529049565836167</v>
      </c>
      <c r="K272" s="3" t="s">
        <v>15</v>
      </c>
      <c r="U272" s="3" t="s">
        <v>16</v>
      </c>
      <c r="V272" s="3" t="s">
        <v>417</v>
      </c>
      <c r="W272" s="3" t="s">
        <v>80</v>
      </c>
      <c r="X272" s="3" t="s">
        <v>20</v>
      </c>
    </row>
    <row r="273" spans="8:24" x14ac:dyDescent="0.45">
      <c r="H273" s="8" t="s">
        <v>117</v>
      </c>
      <c r="I273" s="8" t="s">
        <v>405</v>
      </c>
      <c r="J273" s="12">
        <v>6.7123923887848797E-4</v>
      </c>
      <c r="K273" s="8" t="s">
        <v>15</v>
      </c>
      <c r="U273" s="8" t="s">
        <v>16</v>
      </c>
      <c r="V273" s="8" t="s">
        <v>418</v>
      </c>
      <c r="W273" s="8" t="s">
        <v>80</v>
      </c>
      <c r="X273" s="8" t="s">
        <v>20</v>
      </c>
    </row>
    <row r="274" spans="8:24" x14ac:dyDescent="0.45">
      <c r="H274" s="3" t="s">
        <v>129</v>
      </c>
      <c r="I274" s="3" t="s">
        <v>405</v>
      </c>
      <c r="J274" s="7">
        <v>2.922416433685375E-2</v>
      </c>
      <c r="K274" s="3" t="s">
        <v>15</v>
      </c>
      <c r="U274" s="3" t="s">
        <v>16</v>
      </c>
      <c r="V274" s="3" t="s">
        <v>419</v>
      </c>
      <c r="W274" s="3" t="s">
        <v>80</v>
      </c>
      <c r="X274" s="3" t="s">
        <v>20</v>
      </c>
    </row>
    <row r="275" spans="8:24" x14ac:dyDescent="0.45">
      <c r="H275" s="8" t="s">
        <v>132</v>
      </c>
      <c r="I275" s="8" t="s">
        <v>405</v>
      </c>
      <c r="J275" s="12">
        <v>1.6818410458075382E-7</v>
      </c>
      <c r="K275" s="8" t="s">
        <v>15</v>
      </c>
      <c r="U275" s="8" t="s">
        <v>16</v>
      </c>
      <c r="V275" s="8" t="s">
        <v>420</v>
      </c>
      <c r="W275" s="8" t="s">
        <v>80</v>
      </c>
      <c r="X275" s="8" t="s">
        <v>20</v>
      </c>
    </row>
    <row r="276" spans="8:24" x14ac:dyDescent="0.45">
      <c r="H276" s="3" t="s">
        <v>135</v>
      </c>
      <c r="I276" s="3" t="s">
        <v>405</v>
      </c>
      <c r="J276" s="7">
        <v>3.7591022399285603E-4</v>
      </c>
      <c r="K276" s="3" t="s">
        <v>15</v>
      </c>
      <c r="U276" s="3" t="s">
        <v>16</v>
      </c>
      <c r="V276" s="3" t="s">
        <v>421</v>
      </c>
      <c r="W276" s="3" t="s">
        <v>80</v>
      </c>
      <c r="X276" s="3" t="s">
        <v>20</v>
      </c>
    </row>
    <row r="277" spans="8:24" x14ac:dyDescent="0.45">
      <c r="H277" s="8" t="s">
        <v>138</v>
      </c>
      <c r="I277" s="8" t="s">
        <v>405</v>
      </c>
      <c r="J277" s="12">
        <v>1.6867530444023839E-3</v>
      </c>
      <c r="K277" s="8" t="s">
        <v>15</v>
      </c>
      <c r="U277" s="8" t="s">
        <v>16</v>
      </c>
      <c r="V277" s="8" t="s">
        <v>422</v>
      </c>
      <c r="W277" s="8" t="s">
        <v>80</v>
      </c>
      <c r="X277" s="8" t="s">
        <v>20</v>
      </c>
    </row>
    <row r="278" spans="8:24" x14ac:dyDescent="0.45">
      <c r="H278" s="3" t="s">
        <v>141</v>
      </c>
      <c r="I278" s="3" t="s">
        <v>405</v>
      </c>
      <c r="J278" s="7">
        <v>2.5378266030601705E-2</v>
      </c>
      <c r="K278" s="3" t="s">
        <v>15</v>
      </c>
      <c r="U278" s="3" t="s">
        <v>16</v>
      </c>
      <c r="V278" s="3" t="s">
        <v>423</v>
      </c>
      <c r="W278" s="3" t="s">
        <v>80</v>
      </c>
      <c r="X278" s="3" t="s">
        <v>20</v>
      </c>
    </row>
    <row r="279" spans="8:24" x14ac:dyDescent="0.45">
      <c r="H279" s="8" t="s">
        <v>144</v>
      </c>
      <c r="I279" s="8" t="s">
        <v>405</v>
      </c>
      <c r="J279" s="12">
        <v>7.9860460672581408E-4</v>
      </c>
      <c r="K279" s="8" t="s">
        <v>15</v>
      </c>
      <c r="U279" s="8" t="s">
        <v>16</v>
      </c>
      <c r="V279" s="8" t="s">
        <v>423</v>
      </c>
      <c r="W279" s="8" t="s">
        <v>256</v>
      </c>
      <c r="X279" s="8" t="s">
        <v>20</v>
      </c>
    </row>
    <row r="280" spans="8:24" x14ac:dyDescent="0.45">
      <c r="H280" s="3" t="s">
        <v>147</v>
      </c>
      <c r="I280" s="3" t="s">
        <v>405</v>
      </c>
      <c r="J280" s="7">
        <v>3.0690002446182659E-3</v>
      </c>
      <c r="K280" s="3" t="s">
        <v>15</v>
      </c>
      <c r="U280" s="3" t="s">
        <v>16</v>
      </c>
      <c r="V280" s="3" t="s">
        <v>424</v>
      </c>
      <c r="W280" s="3" t="s">
        <v>80</v>
      </c>
      <c r="X280" s="3" t="s">
        <v>20</v>
      </c>
    </row>
    <row r="281" spans="8:24" x14ac:dyDescent="0.45">
      <c r="H281" s="8" t="s">
        <v>153</v>
      </c>
      <c r="I281" s="8" t="s">
        <v>405</v>
      </c>
      <c r="J281" s="12">
        <v>3.0990999719945102E-2</v>
      </c>
      <c r="K281" s="8" t="s">
        <v>15</v>
      </c>
      <c r="U281" s="8" t="s">
        <v>16</v>
      </c>
      <c r="V281" s="8" t="s">
        <v>424</v>
      </c>
      <c r="W281" s="8" t="s">
        <v>256</v>
      </c>
      <c r="X281" s="8" t="s">
        <v>20</v>
      </c>
    </row>
    <row r="282" spans="8:24" x14ac:dyDescent="0.45">
      <c r="H282" s="3" t="s">
        <v>155</v>
      </c>
      <c r="I282" s="3" t="s">
        <v>405</v>
      </c>
      <c r="J282" s="7">
        <v>0.20694127976526427</v>
      </c>
      <c r="K282" s="3" t="s">
        <v>15</v>
      </c>
      <c r="U282" s="3" t="s">
        <v>16</v>
      </c>
      <c r="V282" s="3" t="s">
        <v>425</v>
      </c>
      <c r="W282" s="3" t="s">
        <v>80</v>
      </c>
      <c r="X282" s="3" t="s">
        <v>20</v>
      </c>
    </row>
    <row r="283" spans="8:24" x14ac:dyDescent="0.45">
      <c r="H283" s="8" t="s">
        <v>158</v>
      </c>
      <c r="I283" s="8" t="s">
        <v>405</v>
      </c>
      <c r="J283" s="12">
        <v>0.3934399628712022</v>
      </c>
      <c r="K283" s="8" t="s">
        <v>15</v>
      </c>
      <c r="U283" s="8" t="s">
        <v>16</v>
      </c>
      <c r="V283" s="8" t="s">
        <v>425</v>
      </c>
      <c r="W283" s="8" t="s">
        <v>256</v>
      </c>
      <c r="X283" s="8" t="s">
        <v>20</v>
      </c>
    </row>
    <row r="284" spans="8:24" x14ac:dyDescent="0.45">
      <c r="H284" s="3" t="s">
        <v>160</v>
      </c>
      <c r="I284" s="3" t="s">
        <v>405</v>
      </c>
      <c r="J284" s="7">
        <v>1.3488081092596598E-4</v>
      </c>
      <c r="K284" s="3" t="s">
        <v>15</v>
      </c>
      <c r="U284" s="3" t="s">
        <v>16</v>
      </c>
      <c r="V284" s="3" t="s">
        <v>426</v>
      </c>
      <c r="W284" s="3" t="s">
        <v>256</v>
      </c>
      <c r="X284" s="3" t="s">
        <v>20</v>
      </c>
    </row>
    <row r="285" spans="8:24" x14ac:dyDescent="0.45">
      <c r="H285" s="8" t="s">
        <v>162</v>
      </c>
      <c r="I285" s="8" t="s">
        <v>405</v>
      </c>
      <c r="J285" s="12">
        <v>1.064716235775913E-2</v>
      </c>
      <c r="K285" s="8" t="s">
        <v>15</v>
      </c>
      <c r="U285" s="8" t="s">
        <v>16</v>
      </c>
      <c r="V285" s="8" t="s">
        <v>427</v>
      </c>
      <c r="W285" s="8" t="s">
        <v>256</v>
      </c>
      <c r="X285" s="8" t="s">
        <v>20</v>
      </c>
    </row>
    <row r="286" spans="8:24" x14ac:dyDescent="0.45">
      <c r="H286" s="3" t="s">
        <v>163</v>
      </c>
      <c r="I286" s="3" t="s">
        <v>405</v>
      </c>
      <c r="J286" s="7">
        <v>9.1351104383520093E-2</v>
      </c>
      <c r="K286" s="3" t="s">
        <v>15</v>
      </c>
      <c r="U286" s="3" t="s">
        <v>16</v>
      </c>
      <c r="V286" s="3" t="s">
        <v>428</v>
      </c>
      <c r="W286" s="3" t="s">
        <v>256</v>
      </c>
      <c r="X286" s="3" t="s">
        <v>20</v>
      </c>
    </row>
    <row r="287" spans="8:24" x14ac:dyDescent="0.45">
      <c r="H287" s="8" t="s">
        <v>165</v>
      </c>
      <c r="I287" s="8" t="s">
        <v>405</v>
      </c>
      <c r="J287" s="12">
        <v>0.18529049565836167</v>
      </c>
      <c r="K287" s="8" t="s">
        <v>15</v>
      </c>
      <c r="U287" s="8" t="s">
        <v>16</v>
      </c>
      <c r="V287" s="8" t="s">
        <v>428</v>
      </c>
      <c r="W287" s="8" t="s">
        <v>80</v>
      </c>
      <c r="X287" s="8" t="s">
        <v>18</v>
      </c>
    </row>
    <row r="288" spans="8:24" x14ac:dyDescent="0.45">
      <c r="H288" s="3" t="s">
        <v>166</v>
      </c>
      <c r="I288" s="3" t="s">
        <v>405</v>
      </c>
      <c r="J288" s="7">
        <v>6.7123923887848797E-4</v>
      </c>
      <c r="K288" s="3" t="s">
        <v>15</v>
      </c>
      <c r="U288" s="3" t="s">
        <v>16</v>
      </c>
      <c r="V288" s="3" t="s">
        <v>429</v>
      </c>
      <c r="W288" s="3" t="s">
        <v>256</v>
      </c>
      <c r="X288" s="3" t="s">
        <v>20</v>
      </c>
    </row>
    <row r="289" spans="8:24" x14ac:dyDescent="0.45">
      <c r="H289" s="8" t="s">
        <v>174</v>
      </c>
      <c r="I289" s="8" t="s">
        <v>405</v>
      </c>
      <c r="J289" s="12">
        <v>2.922416433685375E-2</v>
      </c>
      <c r="K289" s="8" t="s">
        <v>15</v>
      </c>
      <c r="U289" s="8" t="s">
        <v>16</v>
      </c>
      <c r="V289" s="8" t="s">
        <v>429</v>
      </c>
      <c r="W289" s="8" t="s">
        <v>80</v>
      </c>
      <c r="X289" s="8" t="s">
        <v>18</v>
      </c>
    </row>
    <row r="290" spans="8:24" x14ac:dyDescent="0.45">
      <c r="H290" s="3" t="s">
        <v>176</v>
      </c>
      <c r="I290" s="3" t="s">
        <v>405</v>
      </c>
      <c r="J290" s="7">
        <v>1.6818410458075382E-7</v>
      </c>
      <c r="K290" s="3" t="s">
        <v>15</v>
      </c>
      <c r="U290" s="3" t="s">
        <v>16</v>
      </c>
      <c r="V290" s="3" t="s">
        <v>430</v>
      </c>
      <c r="W290" s="3" t="s">
        <v>84</v>
      </c>
      <c r="X290" s="3" t="s">
        <v>20</v>
      </c>
    </row>
    <row r="291" spans="8:24" x14ac:dyDescent="0.45">
      <c r="H291" s="8" t="s">
        <v>178</v>
      </c>
      <c r="I291" s="8" t="s">
        <v>405</v>
      </c>
      <c r="J291" s="12">
        <v>3.7591022399285603E-4</v>
      </c>
      <c r="K291" s="8" t="s">
        <v>15</v>
      </c>
      <c r="U291" s="8" t="s">
        <v>16</v>
      </c>
      <c r="V291" s="8" t="s">
        <v>431</v>
      </c>
      <c r="W291" s="8" t="s">
        <v>84</v>
      </c>
      <c r="X291" s="8" t="s">
        <v>20</v>
      </c>
    </row>
    <row r="292" spans="8:24" x14ac:dyDescent="0.45">
      <c r="H292" s="3" t="s">
        <v>180</v>
      </c>
      <c r="I292" s="3" t="s">
        <v>405</v>
      </c>
      <c r="J292" s="7">
        <v>1.6867530444023839E-3</v>
      </c>
      <c r="K292" s="3" t="s">
        <v>15</v>
      </c>
      <c r="U292" s="3" t="s">
        <v>16</v>
      </c>
      <c r="V292" s="3" t="s">
        <v>432</v>
      </c>
      <c r="W292" s="3" t="s">
        <v>84</v>
      </c>
      <c r="X292" s="3" t="s">
        <v>20</v>
      </c>
    </row>
    <row r="293" spans="8:24" x14ac:dyDescent="0.45">
      <c r="H293" s="8" t="s">
        <v>182</v>
      </c>
      <c r="I293" s="8" t="s">
        <v>405</v>
      </c>
      <c r="J293" s="12">
        <v>2.5378266030601705E-2</v>
      </c>
      <c r="K293" s="8" t="s">
        <v>15</v>
      </c>
      <c r="U293" s="8" t="s">
        <v>16</v>
      </c>
      <c r="V293" s="8" t="s">
        <v>433</v>
      </c>
      <c r="W293" s="8" t="s">
        <v>84</v>
      </c>
      <c r="X293" s="8" t="s">
        <v>20</v>
      </c>
    </row>
    <row r="294" spans="8:24" x14ac:dyDescent="0.45">
      <c r="H294" s="3" t="s">
        <v>184</v>
      </c>
      <c r="I294" s="3" t="s">
        <v>405</v>
      </c>
      <c r="J294" s="7">
        <v>7.9860460672581408E-4</v>
      </c>
      <c r="K294" s="3" t="s">
        <v>15</v>
      </c>
      <c r="U294" s="3" t="s">
        <v>16</v>
      </c>
      <c r="V294" s="3" t="s">
        <v>434</v>
      </c>
      <c r="W294" s="3" t="s">
        <v>84</v>
      </c>
      <c r="X294" s="3" t="s">
        <v>20</v>
      </c>
    </row>
    <row r="295" spans="8:24" x14ac:dyDescent="0.45">
      <c r="H295" s="8" t="s">
        <v>186</v>
      </c>
      <c r="I295" s="8" t="s">
        <v>405</v>
      </c>
      <c r="J295" s="12">
        <v>3.0690002446182659E-3</v>
      </c>
      <c r="K295" s="8" t="s">
        <v>15</v>
      </c>
      <c r="U295" s="8" t="s">
        <v>16</v>
      </c>
      <c r="V295" s="8" t="s">
        <v>435</v>
      </c>
      <c r="W295" s="8" t="s">
        <v>84</v>
      </c>
      <c r="X295" s="8" t="s">
        <v>20</v>
      </c>
    </row>
    <row r="296" spans="8:24" x14ac:dyDescent="0.45">
      <c r="H296" s="3" t="s">
        <v>192</v>
      </c>
      <c r="I296" s="3" t="s">
        <v>405</v>
      </c>
      <c r="J296" s="7">
        <v>3.0990999719945102E-2</v>
      </c>
      <c r="K296" s="3" t="s">
        <v>15</v>
      </c>
      <c r="U296" s="3" t="s">
        <v>16</v>
      </c>
      <c r="V296" s="3" t="s">
        <v>436</v>
      </c>
      <c r="W296" s="3" t="s">
        <v>84</v>
      </c>
      <c r="X296" s="3" t="s">
        <v>20</v>
      </c>
    </row>
    <row r="297" spans="8:24" x14ac:dyDescent="0.45">
      <c r="H297" s="8" t="s">
        <v>193</v>
      </c>
      <c r="I297" s="8" t="s">
        <v>405</v>
      </c>
      <c r="J297" s="12">
        <v>0.20694127976526427</v>
      </c>
      <c r="K297" s="8" t="s">
        <v>15</v>
      </c>
      <c r="U297" s="8" t="s">
        <v>16</v>
      </c>
      <c r="V297" s="8" t="s">
        <v>437</v>
      </c>
      <c r="W297" s="8" t="s">
        <v>84</v>
      </c>
      <c r="X297" s="8" t="s">
        <v>20</v>
      </c>
    </row>
    <row r="298" spans="8:24" x14ac:dyDescent="0.45">
      <c r="H298" s="3" t="s">
        <v>196</v>
      </c>
      <c r="I298" s="3" t="s">
        <v>405</v>
      </c>
      <c r="J298" s="7">
        <v>0.3934399628712022</v>
      </c>
      <c r="K298" s="3" t="s">
        <v>15</v>
      </c>
      <c r="U298" s="3" t="s">
        <v>16</v>
      </c>
      <c r="V298" s="3" t="s">
        <v>438</v>
      </c>
      <c r="W298" s="3" t="s">
        <v>84</v>
      </c>
      <c r="X298" s="3" t="s">
        <v>20</v>
      </c>
    </row>
    <row r="299" spans="8:24" x14ac:dyDescent="0.45">
      <c r="H299" s="8" t="s">
        <v>198</v>
      </c>
      <c r="I299" s="8" t="s">
        <v>405</v>
      </c>
      <c r="J299" s="12">
        <v>1.3488081092596598E-4</v>
      </c>
      <c r="K299" s="8" t="s">
        <v>15</v>
      </c>
      <c r="U299" s="8" t="s">
        <v>16</v>
      </c>
      <c r="V299" s="8" t="s">
        <v>439</v>
      </c>
      <c r="W299" s="8" t="s">
        <v>84</v>
      </c>
      <c r="X299" s="8" t="s">
        <v>20</v>
      </c>
    </row>
    <row r="300" spans="8:24" x14ac:dyDescent="0.45">
      <c r="H300" s="3" t="s">
        <v>200</v>
      </c>
      <c r="I300" s="3" t="s">
        <v>405</v>
      </c>
      <c r="J300" s="7">
        <v>1.064716235775913E-2</v>
      </c>
      <c r="K300" s="3" t="s">
        <v>15</v>
      </c>
      <c r="U300" s="3" t="s">
        <v>16</v>
      </c>
      <c r="V300" s="3" t="s">
        <v>440</v>
      </c>
      <c r="W300" s="3" t="s">
        <v>84</v>
      </c>
      <c r="X300" s="3" t="s">
        <v>20</v>
      </c>
    </row>
    <row r="301" spans="8:24" x14ac:dyDescent="0.45">
      <c r="H301" s="8" t="s">
        <v>202</v>
      </c>
      <c r="I301" s="8" t="s">
        <v>405</v>
      </c>
      <c r="J301" s="12">
        <v>9.1351104383520093E-2</v>
      </c>
      <c r="K301" s="8" t="s">
        <v>15</v>
      </c>
      <c r="U301" s="8" t="s">
        <v>16</v>
      </c>
      <c r="V301" s="8" t="s">
        <v>440</v>
      </c>
      <c r="W301" s="8" t="s">
        <v>276</v>
      </c>
      <c r="X301" s="8" t="s">
        <v>20</v>
      </c>
    </row>
    <row r="302" spans="8:24" x14ac:dyDescent="0.45">
      <c r="H302" s="3" t="s">
        <v>203</v>
      </c>
      <c r="I302" s="3" t="s">
        <v>405</v>
      </c>
      <c r="J302" s="7">
        <v>0.18529049565836167</v>
      </c>
      <c r="K302" s="3" t="s">
        <v>15</v>
      </c>
      <c r="U302" s="3" t="s">
        <v>16</v>
      </c>
      <c r="V302" s="3" t="s">
        <v>441</v>
      </c>
      <c r="W302" s="3" t="s">
        <v>84</v>
      </c>
      <c r="X302" s="3" t="s">
        <v>20</v>
      </c>
    </row>
    <row r="303" spans="8:24" x14ac:dyDescent="0.45">
      <c r="H303" s="8" t="s">
        <v>205</v>
      </c>
      <c r="I303" s="8" t="s">
        <v>405</v>
      </c>
      <c r="J303" s="12">
        <v>6.7123923887848797E-4</v>
      </c>
      <c r="K303" s="8" t="s">
        <v>15</v>
      </c>
      <c r="U303" s="8" t="s">
        <v>16</v>
      </c>
      <c r="V303" s="8" t="s">
        <v>441</v>
      </c>
      <c r="W303" s="8" t="s">
        <v>276</v>
      </c>
      <c r="X303" s="8" t="s">
        <v>20</v>
      </c>
    </row>
    <row r="304" spans="8:24" x14ac:dyDescent="0.45">
      <c r="H304" s="3" t="s">
        <v>212</v>
      </c>
      <c r="I304" s="3" t="s">
        <v>405</v>
      </c>
      <c r="J304" s="7">
        <v>2.922416433685375E-2</v>
      </c>
      <c r="K304" s="3" t="s">
        <v>15</v>
      </c>
      <c r="U304" s="3" t="s">
        <v>16</v>
      </c>
      <c r="V304" s="3" t="s">
        <v>442</v>
      </c>
      <c r="W304" s="3" t="s">
        <v>84</v>
      </c>
      <c r="X304" s="3" t="s">
        <v>20</v>
      </c>
    </row>
    <row r="305" spans="8:24" x14ac:dyDescent="0.45">
      <c r="H305" s="8" t="s">
        <v>214</v>
      </c>
      <c r="I305" s="8" t="s">
        <v>405</v>
      </c>
      <c r="J305" s="12">
        <v>1.6818410458075382E-7</v>
      </c>
      <c r="K305" s="8" t="s">
        <v>15</v>
      </c>
      <c r="U305" s="8" t="s">
        <v>16</v>
      </c>
      <c r="V305" s="8" t="s">
        <v>442</v>
      </c>
      <c r="W305" s="8" t="s">
        <v>276</v>
      </c>
      <c r="X305" s="8" t="s">
        <v>20</v>
      </c>
    </row>
    <row r="306" spans="8:24" x14ac:dyDescent="0.45">
      <c r="H306" s="3" t="s">
        <v>216</v>
      </c>
      <c r="I306" s="3" t="s">
        <v>405</v>
      </c>
      <c r="J306" s="7">
        <v>3.7591022399285603E-4</v>
      </c>
      <c r="K306" s="3" t="s">
        <v>15</v>
      </c>
      <c r="U306" s="3" t="s">
        <v>16</v>
      </c>
      <c r="V306" s="3" t="s">
        <v>443</v>
      </c>
      <c r="W306" s="3" t="s">
        <v>276</v>
      </c>
      <c r="X306" s="3" t="s">
        <v>20</v>
      </c>
    </row>
    <row r="307" spans="8:24" x14ac:dyDescent="0.45">
      <c r="H307" s="8" t="s">
        <v>218</v>
      </c>
      <c r="I307" s="8" t="s">
        <v>405</v>
      </c>
      <c r="J307" s="12">
        <v>1.6867530444023839E-3</v>
      </c>
      <c r="K307" s="8" t="s">
        <v>15</v>
      </c>
      <c r="U307" s="8" t="s">
        <v>16</v>
      </c>
      <c r="V307" s="8" t="s">
        <v>444</v>
      </c>
      <c r="W307" s="8" t="s">
        <v>276</v>
      </c>
      <c r="X307" s="8" t="s">
        <v>20</v>
      </c>
    </row>
    <row r="308" spans="8:24" x14ac:dyDescent="0.45">
      <c r="H308" s="3" t="s">
        <v>220</v>
      </c>
      <c r="I308" s="3" t="s">
        <v>405</v>
      </c>
      <c r="J308" s="7">
        <v>2.5378266030601705E-2</v>
      </c>
      <c r="K308" s="3" t="s">
        <v>15</v>
      </c>
      <c r="U308" s="3" t="s">
        <v>16</v>
      </c>
      <c r="V308" s="3" t="s">
        <v>445</v>
      </c>
      <c r="W308" s="3" t="s">
        <v>276</v>
      </c>
      <c r="X308" s="3" t="s">
        <v>20</v>
      </c>
    </row>
    <row r="309" spans="8:24" x14ac:dyDescent="0.45">
      <c r="H309" s="8" t="s">
        <v>222</v>
      </c>
      <c r="I309" s="8" t="s">
        <v>405</v>
      </c>
      <c r="J309" s="12">
        <v>7.9860460672581408E-4</v>
      </c>
      <c r="K309" s="8" t="s">
        <v>15</v>
      </c>
      <c r="U309" s="8" t="s">
        <v>16</v>
      </c>
      <c r="V309" s="8" t="s">
        <v>445</v>
      </c>
      <c r="W309" s="8" t="s">
        <v>84</v>
      </c>
      <c r="X309" s="8" t="s">
        <v>18</v>
      </c>
    </row>
    <row r="310" spans="8:24" x14ac:dyDescent="0.45">
      <c r="H310" s="3" t="s">
        <v>224</v>
      </c>
      <c r="I310" s="3" t="s">
        <v>405</v>
      </c>
      <c r="J310" s="7">
        <v>3.0690002446182659E-3</v>
      </c>
      <c r="K310" s="3" t="s">
        <v>15</v>
      </c>
      <c r="U310" s="3" t="s">
        <v>16</v>
      </c>
      <c r="V310" s="3" t="s">
        <v>446</v>
      </c>
      <c r="W310" s="3" t="s">
        <v>276</v>
      </c>
      <c r="X310" s="3" t="s">
        <v>20</v>
      </c>
    </row>
    <row r="311" spans="8:24" x14ac:dyDescent="0.45">
      <c r="H311" s="8" t="s">
        <v>230</v>
      </c>
      <c r="I311" s="8" t="s">
        <v>405</v>
      </c>
      <c r="J311" s="12">
        <v>3.0990999719945102E-2</v>
      </c>
      <c r="K311" s="8" t="s">
        <v>15</v>
      </c>
      <c r="U311" s="8" t="s">
        <v>16</v>
      </c>
      <c r="V311" s="8" t="s">
        <v>446</v>
      </c>
      <c r="W311" s="8" t="s">
        <v>84</v>
      </c>
      <c r="X311" s="8" t="s">
        <v>18</v>
      </c>
    </row>
    <row r="312" spans="8:24" x14ac:dyDescent="0.45">
      <c r="H312" s="3" t="s">
        <v>232</v>
      </c>
      <c r="I312" s="3" t="s">
        <v>405</v>
      </c>
      <c r="J312" s="7">
        <v>0.20694127976526427</v>
      </c>
      <c r="K312" s="3" t="s">
        <v>15</v>
      </c>
      <c r="U312" s="3" t="s">
        <v>16</v>
      </c>
      <c r="V312" s="3" t="s">
        <v>447</v>
      </c>
      <c r="W312" s="3" t="s">
        <v>87</v>
      </c>
      <c r="X312" s="3" t="s">
        <v>20</v>
      </c>
    </row>
    <row r="313" spans="8:24" x14ac:dyDescent="0.45">
      <c r="H313" s="8" t="s">
        <v>235</v>
      </c>
      <c r="I313" s="8" t="s">
        <v>405</v>
      </c>
      <c r="J313" s="12">
        <v>0.3934399628712022</v>
      </c>
      <c r="K313" s="8" t="s">
        <v>15</v>
      </c>
      <c r="U313" s="8" t="s">
        <v>16</v>
      </c>
      <c r="V313" s="8" t="s">
        <v>448</v>
      </c>
      <c r="W313" s="8" t="s">
        <v>87</v>
      </c>
      <c r="X313" s="8" t="s">
        <v>20</v>
      </c>
    </row>
    <row r="314" spans="8:24" x14ac:dyDescent="0.45">
      <c r="H314" s="3" t="s">
        <v>236</v>
      </c>
      <c r="I314" s="3" t="s">
        <v>405</v>
      </c>
      <c r="J314" s="7">
        <v>1.3488081092596598E-4</v>
      </c>
      <c r="K314" s="3" t="s">
        <v>15</v>
      </c>
      <c r="U314" s="3" t="s">
        <v>16</v>
      </c>
      <c r="V314" s="3" t="s">
        <v>449</v>
      </c>
      <c r="W314" s="3" t="s">
        <v>87</v>
      </c>
      <c r="X314" s="3" t="s">
        <v>20</v>
      </c>
    </row>
    <row r="315" spans="8:24" x14ac:dyDescent="0.45">
      <c r="H315" s="8" t="s">
        <v>238</v>
      </c>
      <c r="I315" s="8" t="s">
        <v>405</v>
      </c>
      <c r="J315" s="12">
        <v>1.064716235775913E-2</v>
      </c>
      <c r="K315" s="8" t="s">
        <v>15</v>
      </c>
      <c r="U315" s="8" t="s">
        <v>16</v>
      </c>
      <c r="V315" s="8" t="s">
        <v>450</v>
      </c>
      <c r="W315" s="8" t="s">
        <v>87</v>
      </c>
      <c r="X315" s="8" t="s">
        <v>20</v>
      </c>
    </row>
    <row r="316" spans="8:24" x14ac:dyDescent="0.45">
      <c r="H316" s="3" t="s">
        <v>240</v>
      </c>
      <c r="I316" s="3" t="s">
        <v>451</v>
      </c>
      <c r="J316" s="7">
        <v>0.25272038749497988</v>
      </c>
      <c r="K316" s="3" t="s">
        <v>15</v>
      </c>
      <c r="U316" s="3" t="s">
        <v>16</v>
      </c>
      <c r="V316" s="3" t="s">
        <v>452</v>
      </c>
      <c r="W316" s="3" t="s">
        <v>87</v>
      </c>
      <c r="X316" s="3" t="s">
        <v>20</v>
      </c>
    </row>
    <row r="317" spans="8:24" x14ac:dyDescent="0.45">
      <c r="H317" s="8" t="s">
        <v>240</v>
      </c>
      <c r="I317" s="8" t="s">
        <v>453</v>
      </c>
      <c r="J317" s="12">
        <v>0.47996671945868458</v>
      </c>
      <c r="K317" s="8" t="s">
        <v>15</v>
      </c>
      <c r="U317" s="8" t="s">
        <v>16</v>
      </c>
      <c r="V317" s="8" t="s">
        <v>454</v>
      </c>
      <c r="W317" s="8" t="s">
        <v>87</v>
      </c>
      <c r="X317" s="8" t="s">
        <v>20</v>
      </c>
    </row>
    <row r="318" spans="8:24" x14ac:dyDescent="0.45">
      <c r="H318" s="3" t="s">
        <v>243</v>
      </c>
      <c r="I318" s="3" t="s">
        <v>451</v>
      </c>
      <c r="J318" s="7">
        <v>0.2255336833723231</v>
      </c>
      <c r="K318" s="3" t="s">
        <v>15</v>
      </c>
      <c r="U318" s="3" t="s">
        <v>16</v>
      </c>
      <c r="V318" s="3" t="s">
        <v>455</v>
      </c>
      <c r="W318" s="3" t="s">
        <v>87</v>
      </c>
      <c r="X318" s="3" t="s">
        <v>20</v>
      </c>
    </row>
    <row r="319" spans="8:24" x14ac:dyDescent="0.45">
      <c r="H319" s="8" t="s">
        <v>243</v>
      </c>
      <c r="I319" s="8" t="s">
        <v>453</v>
      </c>
      <c r="J319" s="12">
        <v>0.2035433634086922</v>
      </c>
      <c r="K319" s="8" t="s">
        <v>15</v>
      </c>
      <c r="U319" s="8" t="s">
        <v>16</v>
      </c>
      <c r="V319" s="8" t="s">
        <v>456</v>
      </c>
      <c r="W319" s="8" t="s">
        <v>87</v>
      </c>
      <c r="X319" s="8" t="s">
        <v>20</v>
      </c>
    </row>
    <row r="320" spans="8:24" x14ac:dyDescent="0.45">
      <c r="H320" s="3" t="s">
        <v>244</v>
      </c>
      <c r="I320" s="3" t="s">
        <v>451</v>
      </c>
      <c r="J320" s="7">
        <v>2.1640056288085199E-2</v>
      </c>
      <c r="K320" s="3" t="s">
        <v>15</v>
      </c>
      <c r="U320" s="3" t="s">
        <v>16</v>
      </c>
      <c r="V320" s="3" t="s">
        <v>457</v>
      </c>
      <c r="W320" s="3" t="s">
        <v>87</v>
      </c>
      <c r="X320" s="3" t="s">
        <v>20</v>
      </c>
    </row>
    <row r="321" spans="8:24" x14ac:dyDescent="0.45">
      <c r="H321" s="8" t="s">
        <v>244</v>
      </c>
      <c r="I321" s="8" t="s">
        <v>453</v>
      </c>
      <c r="J321" s="12">
        <v>7.9496209867735299E-2</v>
      </c>
      <c r="K321" s="8" t="s">
        <v>15</v>
      </c>
      <c r="U321" s="8" t="s">
        <v>16</v>
      </c>
      <c r="V321" s="8" t="s">
        <v>458</v>
      </c>
      <c r="W321" s="8" t="s">
        <v>87</v>
      </c>
      <c r="X321" s="8" t="s">
        <v>20</v>
      </c>
    </row>
    <row r="322" spans="8:24" x14ac:dyDescent="0.45">
      <c r="H322" s="3" t="s">
        <v>247</v>
      </c>
      <c r="I322" s="3" t="s">
        <v>451</v>
      </c>
      <c r="J322" s="7">
        <v>4.9277906043363002E-3</v>
      </c>
      <c r="K322" s="3" t="s">
        <v>15</v>
      </c>
      <c r="U322" s="3" t="s">
        <v>16</v>
      </c>
      <c r="V322" s="3" t="s">
        <v>459</v>
      </c>
      <c r="W322" s="3" t="s">
        <v>87</v>
      </c>
      <c r="X322" s="3" t="s">
        <v>20</v>
      </c>
    </row>
    <row r="323" spans="8:24" x14ac:dyDescent="0.45">
      <c r="H323" s="8" t="s">
        <v>247</v>
      </c>
      <c r="I323" s="8" t="s">
        <v>453</v>
      </c>
      <c r="J323" s="12">
        <v>4.4265686035177394E-5</v>
      </c>
      <c r="K323" s="8" t="s">
        <v>15</v>
      </c>
      <c r="U323" s="8" t="s">
        <v>16</v>
      </c>
      <c r="V323" s="8" t="s">
        <v>459</v>
      </c>
      <c r="W323" s="8" t="s">
        <v>460</v>
      </c>
      <c r="X323" s="8" t="s">
        <v>20</v>
      </c>
    </row>
    <row r="324" spans="8:24" x14ac:dyDescent="0.45">
      <c r="H324" s="3" t="s">
        <v>249</v>
      </c>
      <c r="I324" s="3" t="s">
        <v>451</v>
      </c>
      <c r="J324" s="7">
        <v>2.2192705677778899E-2</v>
      </c>
      <c r="K324" s="3" t="s">
        <v>15</v>
      </c>
      <c r="U324" s="3" t="s">
        <v>16</v>
      </c>
      <c r="V324" s="3" t="s">
        <v>461</v>
      </c>
      <c r="W324" s="3" t="s">
        <v>87</v>
      </c>
      <c r="X324" s="3" t="s">
        <v>20</v>
      </c>
    </row>
    <row r="325" spans="8:24" x14ac:dyDescent="0.45">
      <c r="H325" s="8" t="s">
        <v>249</v>
      </c>
      <c r="I325" s="8" t="s">
        <v>453</v>
      </c>
      <c r="J325" s="12">
        <v>2.9277366072370998E-3</v>
      </c>
      <c r="K325" s="8" t="s">
        <v>15</v>
      </c>
      <c r="U325" s="8" t="s">
        <v>16</v>
      </c>
      <c r="V325" s="8" t="s">
        <v>461</v>
      </c>
      <c r="W325" s="8" t="s">
        <v>460</v>
      </c>
      <c r="X325" s="8" t="s">
        <v>20</v>
      </c>
    </row>
    <row r="326" spans="8:24" x14ac:dyDescent="0.45">
      <c r="H326" s="3" t="s">
        <v>252</v>
      </c>
      <c r="I326" s="3" t="s">
        <v>451</v>
      </c>
      <c r="J326" s="7">
        <v>1.8942298757971099E-2</v>
      </c>
      <c r="K326" s="3" t="s">
        <v>15</v>
      </c>
      <c r="U326" s="3" t="s">
        <v>16</v>
      </c>
      <c r="V326" s="3" t="s">
        <v>462</v>
      </c>
      <c r="W326" s="3" t="s">
        <v>87</v>
      </c>
      <c r="X326" s="3" t="s">
        <v>20</v>
      </c>
    </row>
    <row r="327" spans="8:24" x14ac:dyDescent="0.45">
      <c r="H327" s="8" t="s">
        <v>252</v>
      </c>
      <c r="I327" s="8" t="s">
        <v>453</v>
      </c>
      <c r="J327" s="12">
        <v>9.3301507410659002E-3</v>
      </c>
      <c r="K327" s="8" t="s">
        <v>15</v>
      </c>
      <c r="U327" s="8" t="s">
        <v>16</v>
      </c>
      <c r="V327" s="8" t="s">
        <v>462</v>
      </c>
      <c r="W327" s="8" t="s">
        <v>460</v>
      </c>
      <c r="X327" s="8" t="s">
        <v>20</v>
      </c>
    </row>
    <row r="328" spans="8:24" x14ac:dyDescent="0.45">
      <c r="H328" s="3" t="s">
        <v>255</v>
      </c>
      <c r="I328" s="3" t="s">
        <v>451</v>
      </c>
      <c r="J328" s="7">
        <v>3.7043677018732402E-2</v>
      </c>
      <c r="K328" s="3" t="s">
        <v>15</v>
      </c>
      <c r="U328" s="3" t="s">
        <v>16</v>
      </c>
      <c r="V328" s="3" t="s">
        <v>463</v>
      </c>
      <c r="W328" s="3" t="s">
        <v>460</v>
      </c>
      <c r="X328" s="3" t="s">
        <v>20</v>
      </c>
    </row>
    <row r="329" spans="8:24" x14ac:dyDescent="0.45">
      <c r="H329" s="8" t="s">
        <v>255</v>
      </c>
      <c r="I329" s="8" t="s">
        <v>453</v>
      </c>
      <c r="J329" s="12">
        <v>1.6867206573291001E-3</v>
      </c>
      <c r="K329" s="8" t="s">
        <v>15</v>
      </c>
      <c r="U329" s="8" t="s">
        <v>16</v>
      </c>
      <c r="V329" s="8" t="s">
        <v>464</v>
      </c>
      <c r="W329" s="8" t="s">
        <v>460</v>
      </c>
      <c r="X329" s="8" t="s">
        <v>20</v>
      </c>
    </row>
    <row r="330" spans="8:24" x14ac:dyDescent="0.45">
      <c r="H330" s="3" t="s">
        <v>258</v>
      </c>
      <c r="I330" s="3" t="s">
        <v>451</v>
      </c>
      <c r="J330" s="7">
        <v>0.25570456206432518</v>
      </c>
      <c r="K330" s="3" t="s">
        <v>15</v>
      </c>
      <c r="U330" s="3" t="s">
        <v>16</v>
      </c>
      <c r="V330" s="3" t="s">
        <v>465</v>
      </c>
      <c r="W330" s="3" t="s">
        <v>460</v>
      </c>
      <c r="X330" s="3" t="s">
        <v>20</v>
      </c>
    </row>
    <row r="331" spans="8:24" x14ac:dyDescent="0.45">
      <c r="H331" s="8" t="s">
        <v>258</v>
      </c>
      <c r="I331" s="8" t="s">
        <v>453</v>
      </c>
      <c r="J331" s="12">
        <v>0.1871679362163492</v>
      </c>
      <c r="K331" s="8" t="s">
        <v>15</v>
      </c>
      <c r="U331" s="8" t="s">
        <v>16</v>
      </c>
      <c r="V331" s="8" t="s">
        <v>465</v>
      </c>
      <c r="W331" s="8" t="s">
        <v>87</v>
      </c>
      <c r="X331" s="8" t="s">
        <v>18</v>
      </c>
    </row>
    <row r="332" spans="8:24" x14ac:dyDescent="0.45">
      <c r="H332" s="3" t="s">
        <v>260</v>
      </c>
      <c r="I332" s="3" t="s">
        <v>451</v>
      </c>
      <c r="J332" s="7">
        <v>8.0769513925241995E-2</v>
      </c>
      <c r="K332" s="3" t="s">
        <v>15</v>
      </c>
      <c r="U332" s="3" t="s">
        <v>16</v>
      </c>
      <c r="V332" s="3" t="s">
        <v>466</v>
      </c>
      <c r="W332" s="3" t="s">
        <v>460</v>
      </c>
      <c r="X332" s="3" t="s">
        <v>20</v>
      </c>
    </row>
    <row r="333" spans="8:24" x14ac:dyDescent="0.45">
      <c r="H333" s="8" t="s">
        <v>260</v>
      </c>
      <c r="I333" s="8" t="s">
        <v>453</v>
      </c>
      <c r="J333" s="12">
        <v>8.0472436506633001E-3</v>
      </c>
      <c r="K333" s="8" t="s">
        <v>15</v>
      </c>
      <c r="U333" s="8" t="s">
        <v>16</v>
      </c>
      <c r="V333" s="8" t="s">
        <v>466</v>
      </c>
      <c r="W333" s="8" t="s">
        <v>87</v>
      </c>
      <c r="X333" s="8" t="s">
        <v>18</v>
      </c>
    </row>
    <row r="334" spans="8:24" x14ac:dyDescent="0.45">
      <c r="H334" s="3" t="s">
        <v>263</v>
      </c>
      <c r="I334" s="3" t="s">
        <v>451</v>
      </c>
      <c r="J334" s="7">
        <v>6.6963722158007001E-3</v>
      </c>
      <c r="K334" s="3" t="s">
        <v>15</v>
      </c>
      <c r="U334" s="3" t="s">
        <v>16</v>
      </c>
      <c r="V334" s="3" t="s">
        <v>467</v>
      </c>
      <c r="W334" s="3" t="s">
        <v>91</v>
      </c>
      <c r="X334" s="3" t="s">
        <v>20</v>
      </c>
    </row>
    <row r="335" spans="8:24" x14ac:dyDescent="0.45">
      <c r="H335" s="8" t="s">
        <v>263</v>
      </c>
      <c r="I335" s="8" t="s">
        <v>453</v>
      </c>
      <c r="J335" s="12">
        <v>2.0234011727669789E-5</v>
      </c>
      <c r="K335" s="8" t="s">
        <v>15</v>
      </c>
      <c r="U335" s="8" t="s">
        <v>16</v>
      </c>
      <c r="V335" s="8" t="s">
        <v>468</v>
      </c>
      <c r="W335" s="8" t="s">
        <v>91</v>
      </c>
      <c r="X335" s="8" t="s">
        <v>20</v>
      </c>
    </row>
    <row r="336" spans="8:24" x14ac:dyDescent="0.45">
      <c r="H336" s="3" t="s">
        <v>266</v>
      </c>
      <c r="I336" s="3" t="s">
        <v>451</v>
      </c>
      <c r="J336" s="7">
        <v>3.3300880532205002E-3</v>
      </c>
      <c r="K336" s="3" t="s">
        <v>15</v>
      </c>
      <c r="U336" s="3" t="s">
        <v>16</v>
      </c>
      <c r="V336" s="3" t="s">
        <v>469</v>
      </c>
      <c r="W336" s="3" t="s">
        <v>91</v>
      </c>
      <c r="X336" s="3" t="s">
        <v>20</v>
      </c>
    </row>
    <row r="337" spans="8:24" x14ac:dyDescent="0.45">
      <c r="H337" s="8" t="s">
        <v>269</v>
      </c>
      <c r="I337" s="8" t="s">
        <v>451</v>
      </c>
      <c r="J337" s="12">
        <v>2.1545632693407101E-2</v>
      </c>
      <c r="K337" s="8" t="s">
        <v>15</v>
      </c>
      <c r="U337" s="8" t="s">
        <v>16</v>
      </c>
      <c r="V337" s="8" t="s">
        <v>470</v>
      </c>
      <c r="W337" s="8" t="s">
        <v>91</v>
      </c>
      <c r="X337" s="8" t="s">
        <v>20</v>
      </c>
    </row>
    <row r="338" spans="8:24" x14ac:dyDescent="0.45">
      <c r="H338" s="3" t="s">
        <v>269</v>
      </c>
      <c r="I338" s="3" t="s">
        <v>453</v>
      </c>
      <c r="J338" s="7">
        <v>7.1200048019510001E-4</v>
      </c>
      <c r="K338" s="3" t="s">
        <v>15</v>
      </c>
      <c r="U338" s="3" t="s">
        <v>16</v>
      </c>
      <c r="V338" s="3" t="s">
        <v>471</v>
      </c>
      <c r="W338" s="3" t="s">
        <v>91</v>
      </c>
      <c r="X338" s="3" t="s">
        <v>20</v>
      </c>
    </row>
    <row r="339" spans="8:24" x14ac:dyDescent="0.45">
      <c r="H339" s="8" t="s">
        <v>272</v>
      </c>
      <c r="I339" s="8" t="s">
        <v>451</v>
      </c>
      <c r="J339" s="12">
        <v>7.1462490442539004E-3</v>
      </c>
      <c r="K339" s="8" t="s">
        <v>15</v>
      </c>
      <c r="U339" s="8" t="s">
        <v>16</v>
      </c>
      <c r="V339" s="8" t="s">
        <v>472</v>
      </c>
      <c r="W339" s="8" t="s">
        <v>91</v>
      </c>
      <c r="X339" s="8" t="s">
        <v>20</v>
      </c>
    </row>
    <row r="340" spans="8:24" x14ac:dyDescent="0.45">
      <c r="H340" s="3" t="s">
        <v>275</v>
      </c>
      <c r="I340" s="3" t="s">
        <v>451</v>
      </c>
      <c r="J340" s="7">
        <v>1.6855445942179999E-4</v>
      </c>
      <c r="K340" s="3" t="s">
        <v>15</v>
      </c>
      <c r="U340" s="3" t="s">
        <v>16</v>
      </c>
      <c r="V340" s="3" t="s">
        <v>473</v>
      </c>
      <c r="W340" s="3" t="s">
        <v>91</v>
      </c>
      <c r="X340" s="3" t="s">
        <v>20</v>
      </c>
    </row>
    <row r="341" spans="8:24" x14ac:dyDescent="0.45">
      <c r="H341" s="8" t="s">
        <v>278</v>
      </c>
      <c r="I341" s="8" t="s">
        <v>451</v>
      </c>
      <c r="J341" s="12">
        <v>2.15257891408282E-2</v>
      </c>
      <c r="K341" s="8" t="s">
        <v>15</v>
      </c>
      <c r="U341" s="8" t="s">
        <v>16</v>
      </c>
      <c r="V341" s="8" t="s">
        <v>474</v>
      </c>
      <c r="W341" s="8" t="s">
        <v>91</v>
      </c>
      <c r="X341" s="8" t="s">
        <v>20</v>
      </c>
    </row>
    <row r="342" spans="8:24" x14ac:dyDescent="0.45">
      <c r="H342" s="3" t="s">
        <v>278</v>
      </c>
      <c r="I342" s="3" t="s">
        <v>453</v>
      </c>
      <c r="J342" s="7">
        <v>7.0333434204524004E-3</v>
      </c>
      <c r="K342" s="3" t="s">
        <v>15</v>
      </c>
      <c r="U342" s="3" t="s">
        <v>16</v>
      </c>
      <c r="V342" s="3" t="s">
        <v>475</v>
      </c>
      <c r="W342" s="3" t="s">
        <v>91</v>
      </c>
      <c r="X342" s="3" t="s">
        <v>20</v>
      </c>
    </row>
    <row r="343" spans="8:24" x14ac:dyDescent="0.45">
      <c r="H343" s="8" t="s">
        <v>281</v>
      </c>
      <c r="I343" s="8" t="s">
        <v>451</v>
      </c>
      <c r="J343" s="12">
        <v>1.126391892932E-4</v>
      </c>
      <c r="K343" s="8" t="s">
        <v>15</v>
      </c>
      <c r="U343" s="8" t="s">
        <v>16</v>
      </c>
      <c r="V343" s="8" t="s">
        <v>476</v>
      </c>
      <c r="W343" s="8" t="s">
        <v>91</v>
      </c>
      <c r="X343" s="8" t="s">
        <v>20</v>
      </c>
    </row>
    <row r="344" spans="8:24" x14ac:dyDescent="0.45">
      <c r="H344" s="3" t="s">
        <v>281</v>
      </c>
      <c r="I344" s="3" t="s">
        <v>453</v>
      </c>
      <c r="J344" s="7">
        <v>2.4075793832581632E-5</v>
      </c>
      <c r="K344" s="3" t="s">
        <v>15</v>
      </c>
      <c r="U344" s="3" t="s">
        <v>16</v>
      </c>
      <c r="V344" s="3" t="s">
        <v>477</v>
      </c>
      <c r="W344" s="3" t="s">
        <v>91</v>
      </c>
      <c r="X344" s="3" t="s">
        <v>20</v>
      </c>
    </row>
    <row r="345" spans="8:24" x14ac:dyDescent="0.45">
      <c r="U345" s="8" t="s">
        <v>16</v>
      </c>
      <c r="V345" s="8" t="s">
        <v>477</v>
      </c>
      <c r="W345" s="8" t="s">
        <v>279</v>
      </c>
      <c r="X345" s="8" t="s">
        <v>20</v>
      </c>
    </row>
    <row r="346" spans="8:24" x14ac:dyDescent="0.45">
      <c r="U346" s="3" t="s">
        <v>16</v>
      </c>
      <c r="V346" s="3" t="s">
        <v>478</v>
      </c>
      <c r="W346" s="3" t="s">
        <v>91</v>
      </c>
      <c r="X346" s="3" t="s">
        <v>20</v>
      </c>
    </row>
    <row r="347" spans="8:24" x14ac:dyDescent="0.45">
      <c r="U347" s="8" t="s">
        <v>16</v>
      </c>
      <c r="V347" s="8" t="s">
        <v>478</v>
      </c>
      <c r="W347" s="8" t="s">
        <v>279</v>
      </c>
      <c r="X347" s="8" t="s">
        <v>20</v>
      </c>
    </row>
    <row r="348" spans="8:24" x14ac:dyDescent="0.45">
      <c r="U348" s="3" t="s">
        <v>16</v>
      </c>
      <c r="V348" s="3" t="s">
        <v>479</v>
      </c>
      <c r="W348" s="3" t="s">
        <v>91</v>
      </c>
      <c r="X348" s="3" t="s">
        <v>20</v>
      </c>
    </row>
    <row r="349" spans="8:24" x14ac:dyDescent="0.45">
      <c r="U349" s="8" t="s">
        <v>16</v>
      </c>
      <c r="V349" s="8" t="s">
        <v>479</v>
      </c>
      <c r="W349" s="8" t="s">
        <v>279</v>
      </c>
      <c r="X349" s="8" t="s">
        <v>20</v>
      </c>
    </row>
    <row r="350" spans="8:24" x14ac:dyDescent="0.45">
      <c r="U350" s="3" t="s">
        <v>16</v>
      </c>
      <c r="V350" s="3" t="s">
        <v>480</v>
      </c>
      <c r="W350" s="3" t="s">
        <v>279</v>
      </c>
      <c r="X350" s="3" t="s">
        <v>20</v>
      </c>
    </row>
    <row r="351" spans="8:24" x14ac:dyDescent="0.45">
      <c r="U351" s="8" t="s">
        <v>16</v>
      </c>
      <c r="V351" s="8" t="s">
        <v>481</v>
      </c>
      <c r="W351" s="8" t="s">
        <v>279</v>
      </c>
      <c r="X351" s="8" t="s">
        <v>20</v>
      </c>
    </row>
    <row r="352" spans="8:24" x14ac:dyDescent="0.45">
      <c r="U352" s="3" t="s">
        <v>16</v>
      </c>
      <c r="V352" s="3" t="s">
        <v>482</v>
      </c>
      <c r="W352" s="3" t="s">
        <v>279</v>
      </c>
      <c r="X352" s="3" t="s">
        <v>20</v>
      </c>
    </row>
    <row r="353" spans="21:24" x14ac:dyDescent="0.45">
      <c r="U353" s="8" t="s">
        <v>16</v>
      </c>
      <c r="V353" s="8" t="s">
        <v>482</v>
      </c>
      <c r="W353" s="8" t="s">
        <v>91</v>
      </c>
      <c r="X353" s="8" t="s">
        <v>18</v>
      </c>
    </row>
    <row r="354" spans="21:24" x14ac:dyDescent="0.45">
      <c r="U354" s="3" t="s">
        <v>16</v>
      </c>
      <c r="V354" s="3" t="s">
        <v>483</v>
      </c>
      <c r="W354" s="3" t="s">
        <v>279</v>
      </c>
      <c r="X354" s="3" t="s">
        <v>20</v>
      </c>
    </row>
    <row r="355" spans="21:24" x14ac:dyDescent="0.45">
      <c r="U355" s="8" t="s">
        <v>16</v>
      </c>
      <c r="V355" s="8" t="s">
        <v>483</v>
      </c>
      <c r="W355" s="8" t="s">
        <v>91</v>
      </c>
      <c r="X355" s="8" t="s">
        <v>18</v>
      </c>
    </row>
    <row r="356" spans="21:24" x14ac:dyDescent="0.45">
      <c r="U356" s="3" t="s">
        <v>16</v>
      </c>
      <c r="V356" s="3" t="s">
        <v>484</v>
      </c>
      <c r="W356" s="3" t="s">
        <v>94</v>
      </c>
      <c r="X356" s="3" t="s">
        <v>20</v>
      </c>
    </row>
    <row r="357" spans="21:24" x14ac:dyDescent="0.45">
      <c r="U357" s="8" t="s">
        <v>16</v>
      </c>
      <c r="V357" s="8" t="s">
        <v>485</v>
      </c>
      <c r="W357" s="8" t="s">
        <v>94</v>
      </c>
      <c r="X357" s="8" t="s">
        <v>20</v>
      </c>
    </row>
    <row r="358" spans="21:24" x14ac:dyDescent="0.45">
      <c r="U358" s="3" t="s">
        <v>16</v>
      </c>
      <c r="V358" s="3" t="s">
        <v>486</v>
      </c>
      <c r="W358" s="3" t="s">
        <v>94</v>
      </c>
      <c r="X358" s="3" t="s">
        <v>20</v>
      </c>
    </row>
    <row r="359" spans="21:24" x14ac:dyDescent="0.45">
      <c r="U359" s="8" t="s">
        <v>16</v>
      </c>
      <c r="V359" s="8" t="s">
        <v>487</v>
      </c>
      <c r="W359" s="8" t="s">
        <v>94</v>
      </c>
      <c r="X359" s="8" t="s">
        <v>20</v>
      </c>
    </row>
    <row r="360" spans="21:24" x14ac:dyDescent="0.45">
      <c r="U360" s="3" t="s">
        <v>16</v>
      </c>
      <c r="V360" s="3" t="s">
        <v>488</v>
      </c>
      <c r="W360" s="3" t="s">
        <v>94</v>
      </c>
      <c r="X360" s="3" t="s">
        <v>20</v>
      </c>
    </row>
    <row r="361" spans="21:24" x14ac:dyDescent="0.45">
      <c r="U361" s="8" t="s">
        <v>16</v>
      </c>
      <c r="V361" s="8" t="s">
        <v>489</v>
      </c>
      <c r="W361" s="8" t="s">
        <v>94</v>
      </c>
      <c r="X361" s="8" t="s">
        <v>20</v>
      </c>
    </row>
    <row r="362" spans="21:24" x14ac:dyDescent="0.45">
      <c r="U362" s="3" t="s">
        <v>16</v>
      </c>
      <c r="V362" s="3" t="s">
        <v>490</v>
      </c>
      <c r="W362" s="3" t="s">
        <v>94</v>
      </c>
      <c r="X362" s="3" t="s">
        <v>20</v>
      </c>
    </row>
    <row r="363" spans="21:24" x14ac:dyDescent="0.45">
      <c r="U363" s="8" t="s">
        <v>16</v>
      </c>
      <c r="V363" s="8" t="s">
        <v>491</v>
      </c>
      <c r="W363" s="8" t="s">
        <v>94</v>
      </c>
      <c r="X363" s="8" t="s">
        <v>20</v>
      </c>
    </row>
    <row r="364" spans="21:24" x14ac:dyDescent="0.45">
      <c r="U364" s="3" t="s">
        <v>16</v>
      </c>
      <c r="V364" s="3" t="s">
        <v>492</v>
      </c>
      <c r="W364" s="3" t="s">
        <v>94</v>
      </c>
      <c r="X364" s="3" t="s">
        <v>20</v>
      </c>
    </row>
    <row r="365" spans="21:24" x14ac:dyDescent="0.45">
      <c r="U365" s="8" t="s">
        <v>16</v>
      </c>
      <c r="V365" s="8" t="s">
        <v>493</v>
      </c>
      <c r="W365" s="8" t="s">
        <v>94</v>
      </c>
      <c r="X365" s="8" t="s">
        <v>20</v>
      </c>
    </row>
    <row r="366" spans="21:24" x14ac:dyDescent="0.45">
      <c r="U366" s="3" t="s">
        <v>16</v>
      </c>
      <c r="V366" s="3" t="s">
        <v>494</v>
      </c>
      <c r="W366" s="3" t="s">
        <v>94</v>
      </c>
      <c r="X366" s="3" t="s">
        <v>20</v>
      </c>
    </row>
    <row r="367" spans="21:24" x14ac:dyDescent="0.45">
      <c r="U367" s="8" t="s">
        <v>16</v>
      </c>
      <c r="V367" s="8" t="s">
        <v>494</v>
      </c>
      <c r="W367" s="8" t="s">
        <v>245</v>
      </c>
      <c r="X367" s="8" t="s">
        <v>20</v>
      </c>
    </row>
    <row r="368" spans="21:24" x14ac:dyDescent="0.45">
      <c r="U368" s="3" t="s">
        <v>16</v>
      </c>
      <c r="V368" s="3" t="s">
        <v>495</v>
      </c>
      <c r="W368" s="3" t="s">
        <v>94</v>
      </c>
      <c r="X368" s="3" t="s">
        <v>20</v>
      </c>
    </row>
    <row r="369" spans="21:24" x14ac:dyDescent="0.45">
      <c r="U369" s="8" t="s">
        <v>16</v>
      </c>
      <c r="V369" s="8" t="s">
        <v>495</v>
      </c>
      <c r="W369" s="8" t="s">
        <v>245</v>
      </c>
      <c r="X369" s="8" t="s">
        <v>20</v>
      </c>
    </row>
    <row r="370" spans="21:24" x14ac:dyDescent="0.45">
      <c r="U370" s="3" t="s">
        <v>16</v>
      </c>
      <c r="V370" s="3" t="s">
        <v>496</v>
      </c>
      <c r="W370" s="3" t="s">
        <v>94</v>
      </c>
      <c r="X370" s="3" t="s">
        <v>20</v>
      </c>
    </row>
    <row r="371" spans="21:24" x14ac:dyDescent="0.45">
      <c r="U371" s="8" t="s">
        <v>16</v>
      </c>
      <c r="V371" s="8" t="s">
        <v>496</v>
      </c>
      <c r="W371" s="8" t="s">
        <v>245</v>
      </c>
      <c r="X371" s="8" t="s">
        <v>20</v>
      </c>
    </row>
    <row r="372" spans="21:24" x14ac:dyDescent="0.45">
      <c r="U372" s="3" t="s">
        <v>16</v>
      </c>
      <c r="V372" s="3" t="s">
        <v>497</v>
      </c>
      <c r="W372" s="3" t="s">
        <v>245</v>
      </c>
      <c r="X372" s="3" t="s">
        <v>20</v>
      </c>
    </row>
    <row r="373" spans="21:24" x14ac:dyDescent="0.45">
      <c r="U373" s="8" t="s">
        <v>16</v>
      </c>
      <c r="V373" s="8" t="s">
        <v>498</v>
      </c>
      <c r="W373" s="8" t="s">
        <v>245</v>
      </c>
      <c r="X373" s="8" t="s">
        <v>20</v>
      </c>
    </row>
    <row r="374" spans="21:24" x14ac:dyDescent="0.45">
      <c r="U374" s="3" t="s">
        <v>16</v>
      </c>
      <c r="V374" s="3" t="s">
        <v>499</v>
      </c>
      <c r="W374" s="3" t="s">
        <v>245</v>
      </c>
      <c r="X374" s="3" t="s">
        <v>20</v>
      </c>
    </row>
    <row r="375" spans="21:24" x14ac:dyDescent="0.45">
      <c r="U375" s="8" t="s">
        <v>16</v>
      </c>
      <c r="V375" s="8" t="s">
        <v>499</v>
      </c>
      <c r="W375" s="8" t="s">
        <v>94</v>
      </c>
      <c r="X375" s="8" t="s">
        <v>18</v>
      </c>
    </row>
    <row r="376" spans="21:24" x14ac:dyDescent="0.45">
      <c r="U376" s="3" t="s">
        <v>16</v>
      </c>
      <c r="V376" s="3" t="s">
        <v>500</v>
      </c>
      <c r="W376" s="3" t="s">
        <v>245</v>
      </c>
      <c r="X376" s="3" t="s">
        <v>20</v>
      </c>
    </row>
    <row r="377" spans="21:24" x14ac:dyDescent="0.45">
      <c r="U377" s="8" t="s">
        <v>16</v>
      </c>
      <c r="V377" s="8" t="s">
        <v>500</v>
      </c>
      <c r="W377" s="8" t="s">
        <v>94</v>
      </c>
      <c r="X377" s="8" t="s">
        <v>18</v>
      </c>
    </row>
    <row r="378" spans="21:24" x14ac:dyDescent="0.45">
      <c r="U378" s="3" t="s">
        <v>16</v>
      </c>
      <c r="V378" s="3" t="s">
        <v>501</v>
      </c>
      <c r="W378" s="3" t="s">
        <v>98</v>
      </c>
      <c r="X378" s="3" t="s">
        <v>20</v>
      </c>
    </row>
    <row r="379" spans="21:24" x14ac:dyDescent="0.45">
      <c r="U379" s="8" t="s">
        <v>16</v>
      </c>
      <c r="V379" s="8" t="s">
        <v>502</v>
      </c>
      <c r="W379" s="8" t="s">
        <v>98</v>
      </c>
      <c r="X379" s="8" t="s">
        <v>20</v>
      </c>
    </row>
    <row r="380" spans="21:24" x14ac:dyDescent="0.45">
      <c r="U380" s="3" t="s">
        <v>16</v>
      </c>
      <c r="V380" s="3" t="s">
        <v>503</v>
      </c>
      <c r="W380" s="3" t="s">
        <v>98</v>
      </c>
      <c r="X380" s="3" t="s">
        <v>20</v>
      </c>
    </row>
    <row r="381" spans="21:24" x14ac:dyDescent="0.45">
      <c r="U381" s="8" t="s">
        <v>16</v>
      </c>
      <c r="V381" s="8" t="s">
        <v>504</v>
      </c>
      <c r="W381" s="8" t="s">
        <v>98</v>
      </c>
      <c r="X381" s="8" t="s">
        <v>20</v>
      </c>
    </row>
    <row r="382" spans="21:24" x14ac:dyDescent="0.45">
      <c r="U382" s="3" t="s">
        <v>16</v>
      </c>
      <c r="V382" s="3" t="s">
        <v>505</v>
      </c>
      <c r="W382" s="3" t="s">
        <v>98</v>
      </c>
      <c r="X382" s="3" t="s">
        <v>20</v>
      </c>
    </row>
    <row r="383" spans="21:24" x14ac:dyDescent="0.45">
      <c r="U383" s="8" t="s">
        <v>16</v>
      </c>
      <c r="V383" s="8" t="s">
        <v>506</v>
      </c>
      <c r="W383" s="8" t="s">
        <v>98</v>
      </c>
      <c r="X383" s="8" t="s">
        <v>20</v>
      </c>
    </row>
    <row r="384" spans="21:24" x14ac:dyDescent="0.45">
      <c r="U384" s="3" t="s">
        <v>16</v>
      </c>
      <c r="V384" s="3" t="s">
        <v>507</v>
      </c>
      <c r="W384" s="3" t="s">
        <v>98</v>
      </c>
      <c r="X384" s="3" t="s">
        <v>20</v>
      </c>
    </row>
    <row r="385" spans="21:24" x14ac:dyDescent="0.45">
      <c r="U385" s="8" t="s">
        <v>16</v>
      </c>
      <c r="V385" s="8" t="s">
        <v>508</v>
      </c>
      <c r="W385" s="8" t="s">
        <v>98</v>
      </c>
      <c r="X385" s="8" t="s">
        <v>20</v>
      </c>
    </row>
    <row r="386" spans="21:24" x14ac:dyDescent="0.45">
      <c r="U386" s="3" t="s">
        <v>16</v>
      </c>
      <c r="V386" s="3" t="s">
        <v>509</v>
      </c>
      <c r="W386" s="3" t="s">
        <v>98</v>
      </c>
      <c r="X386" s="3" t="s">
        <v>20</v>
      </c>
    </row>
    <row r="387" spans="21:24" x14ac:dyDescent="0.45">
      <c r="U387" s="8" t="s">
        <v>16</v>
      </c>
      <c r="V387" s="8" t="s">
        <v>510</v>
      </c>
      <c r="W387" s="8" t="s">
        <v>98</v>
      </c>
      <c r="X387" s="8" t="s">
        <v>20</v>
      </c>
    </row>
    <row r="388" spans="21:24" x14ac:dyDescent="0.45">
      <c r="U388" s="3" t="s">
        <v>16</v>
      </c>
      <c r="V388" s="3" t="s">
        <v>511</v>
      </c>
      <c r="W388" s="3" t="s">
        <v>98</v>
      </c>
      <c r="X388" s="3" t="s">
        <v>20</v>
      </c>
    </row>
    <row r="389" spans="21:24" x14ac:dyDescent="0.45">
      <c r="U389" s="8" t="s">
        <v>16</v>
      </c>
      <c r="V389" s="8" t="s">
        <v>511</v>
      </c>
      <c r="W389" s="8" t="s">
        <v>267</v>
      </c>
      <c r="X389" s="8" t="s">
        <v>20</v>
      </c>
    </row>
    <row r="390" spans="21:24" x14ac:dyDescent="0.45">
      <c r="U390" s="3" t="s">
        <v>16</v>
      </c>
      <c r="V390" s="3" t="s">
        <v>512</v>
      </c>
      <c r="W390" s="3" t="s">
        <v>98</v>
      </c>
      <c r="X390" s="3" t="s">
        <v>20</v>
      </c>
    </row>
    <row r="391" spans="21:24" x14ac:dyDescent="0.45">
      <c r="U391" s="8" t="s">
        <v>16</v>
      </c>
      <c r="V391" s="8" t="s">
        <v>512</v>
      </c>
      <c r="W391" s="8" t="s">
        <v>267</v>
      </c>
      <c r="X391" s="8" t="s">
        <v>20</v>
      </c>
    </row>
    <row r="392" spans="21:24" x14ac:dyDescent="0.45">
      <c r="U392" s="3" t="s">
        <v>16</v>
      </c>
      <c r="V392" s="3" t="s">
        <v>513</v>
      </c>
      <c r="W392" s="3" t="s">
        <v>98</v>
      </c>
      <c r="X392" s="3" t="s">
        <v>20</v>
      </c>
    </row>
    <row r="393" spans="21:24" x14ac:dyDescent="0.45">
      <c r="U393" s="8" t="s">
        <v>16</v>
      </c>
      <c r="V393" s="8" t="s">
        <v>513</v>
      </c>
      <c r="W393" s="8" t="s">
        <v>267</v>
      </c>
      <c r="X393" s="8" t="s">
        <v>20</v>
      </c>
    </row>
    <row r="394" spans="21:24" x14ac:dyDescent="0.45">
      <c r="U394" s="3" t="s">
        <v>16</v>
      </c>
      <c r="V394" s="3" t="s">
        <v>514</v>
      </c>
      <c r="W394" s="3" t="s">
        <v>267</v>
      </c>
      <c r="X394" s="3" t="s">
        <v>20</v>
      </c>
    </row>
    <row r="395" spans="21:24" x14ac:dyDescent="0.45">
      <c r="U395" s="8" t="s">
        <v>16</v>
      </c>
      <c r="V395" s="8" t="s">
        <v>515</v>
      </c>
      <c r="W395" s="8" t="s">
        <v>267</v>
      </c>
      <c r="X395" s="8" t="s">
        <v>20</v>
      </c>
    </row>
    <row r="396" spans="21:24" x14ac:dyDescent="0.45">
      <c r="U396" s="3" t="s">
        <v>16</v>
      </c>
      <c r="V396" s="3" t="s">
        <v>516</v>
      </c>
      <c r="W396" s="3" t="s">
        <v>267</v>
      </c>
      <c r="X396" s="3" t="s">
        <v>20</v>
      </c>
    </row>
    <row r="397" spans="21:24" x14ac:dyDescent="0.45">
      <c r="U397" s="8" t="s">
        <v>16</v>
      </c>
      <c r="V397" s="8" t="s">
        <v>516</v>
      </c>
      <c r="W397" s="8" t="s">
        <v>98</v>
      </c>
      <c r="X397" s="8" t="s">
        <v>18</v>
      </c>
    </row>
    <row r="398" spans="21:24" x14ac:dyDescent="0.45">
      <c r="U398" s="3" t="s">
        <v>16</v>
      </c>
      <c r="V398" s="3" t="s">
        <v>517</v>
      </c>
      <c r="W398" s="3" t="s">
        <v>267</v>
      </c>
      <c r="X398" s="3" t="s">
        <v>20</v>
      </c>
    </row>
    <row r="399" spans="21:24" x14ac:dyDescent="0.45">
      <c r="U399" s="8" t="s">
        <v>16</v>
      </c>
      <c r="V399" s="8" t="s">
        <v>517</v>
      </c>
      <c r="W399" s="8" t="s">
        <v>98</v>
      </c>
      <c r="X399" s="8" t="s">
        <v>18</v>
      </c>
    </row>
    <row r="400" spans="21:24" x14ac:dyDescent="0.45">
      <c r="U400" s="3" t="s">
        <v>16</v>
      </c>
      <c r="V400" s="3" t="s">
        <v>518</v>
      </c>
      <c r="W400" s="3" t="s">
        <v>102</v>
      </c>
      <c r="X400" s="3" t="s">
        <v>20</v>
      </c>
    </row>
    <row r="401" spans="21:24" x14ac:dyDescent="0.45">
      <c r="U401" s="8" t="s">
        <v>16</v>
      </c>
      <c r="V401" s="8" t="s">
        <v>519</v>
      </c>
      <c r="W401" s="8" t="s">
        <v>102</v>
      </c>
      <c r="X401" s="8" t="s">
        <v>20</v>
      </c>
    </row>
    <row r="402" spans="21:24" x14ac:dyDescent="0.45">
      <c r="U402" s="3" t="s">
        <v>16</v>
      </c>
      <c r="V402" s="3" t="s">
        <v>520</v>
      </c>
      <c r="W402" s="3" t="s">
        <v>102</v>
      </c>
      <c r="X402" s="3" t="s">
        <v>20</v>
      </c>
    </row>
    <row r="403" spans="21:24" x14ac:dyDescent="0.45">
      <c r="U403" s="8" t="s">
        <v>16</v>
      </c>
      <c r="V403" s="8" t="s">
        <v>521</v>
      </c>
      <c r="W403" s="8" t="s">
        <v>102</v>
      </c>
      <c r="X403" s="8" t="s">
        <v>20</v>
      </c>
    </row>
    <row r="404" spans="21:24" x14ac:dyDescent="0.45">
      <c r="U404" s="3" t="s">
        <v>16</v>
      </c>
      <c r="V404" s="3" t="s">
        <v>522</v>
      </c>
      <c r="W404" s="3" t="s">
        <v>102</v>
      </c>
      <c r="X404" s="3" t="s">
        <v>20</v>
      </c>
    </row>
    <row r="405" spans="21:24" x14ac:dyDescent="0.45">
      <c r="U405" s="8" t="s">
        <v>16</v>
      </c>
      <c r="V405" s="8" t="s">
        <v>523</v>
      </c>
      <c r="W405" s="8" t="s">
        <v>102</v>
      </c>
      <c r="X405" s="8" t="s">
        <v>20</v>
      </c>
    </row>
    <row r="406" spans="21:24" x14ac:dyDescent="0.45">
      <c r="U406" s="3" t="s">
        <v>16</v>
      </c>
      <c r="V406" s="3" t="s">
        <v>524</v>
      </c>
      <c r="W406" s="3" t="s">
        <v>102</v>
      </c>
      <c r="X406" s="3" t="s">
        <v>20</v>
      </c>
    </row>
    <row r="407" spans="21:24" x14ac:dyDescent="0.45">
      <c r="U407" s="8" t="s">
        <v>16</v>
      </c>
      <c r="V407" s="8" t="s">
        <v>525</v>
      </c>
      <c r="W407" s="8" t="s">
        <v>102</v>
      </c>
      <c r="X407" s="8" t="s">
        <v>20</v>
      </c>
    </row>
    <row r="408" spans="21:24" x14ac:dyDescent="0.45">
      <c r="U408" s="3" t="s">
        <v>16</v>
      </c>
      <c r="V408" s="3" t="s">
        <v>526</v>
      </c>
      <c r="W408" s="3" t="s">
        <v>102</v>
      </c>
      <c r="X408" s="3" t="s">
        <v>20</v>
      </c>
    </row>
    <row r="409" spans="21:24" x14ac:dyDescent="0.45">
      <c r="U409" s="8" t="s">
        <v>16</v>
      </c>
      <c r="V409" s="8" t="s">
        <v>527</v>
      </c>
      <c r="W409" s="8" t="s">
        <v>102</v>
      </c>
      <c r="X409" s="8" t="s">
        <v>20</v>
      </c>
    </row>
    <row r="410" spans="21:24" x14ac:dyDescent="0.45">
      <c r="U410" s="3" t="s">
        <v>16</v>
      </c>
      <c r="V410" s="3" t="s">
        <v>528</v>
      </c>
      <c r="W410" s="3" t="s">
        <v>102</v>
      </c>
      <c r="X410" s="3" t="s">
        <v>20</v>
      </c>
    </row>
    <row r="411" spans="21:24" x14ac:dyDescent="0.45">
      <c r="U411" s="8" t="s">
        <v>16</v>
      </c>
      <c r="V411" s="8" t="s">
        <v>528</v>
      </c>
      <c r="W411" s="8" t="s">
        <v>241</v>
      </c>
      <c r="X411" s="8" t="s">
        <v>20</v>
      </c>
    </row>
    <row r="412" spans="21:24" x14ac:dyDescent="0.45">
      <c r="U412" s="3" t="s">
        <v>16</v>
      </c>
      <c r="V412" s="3" t="s">
        <v>529</v>
      </c>
      <c r="W412" s="3" t="s">
        <v>102</v>
      </c>
      <c r="X412" s="3" t="s">
        <v>20</v>
      </c>
    </row>
    <row r="413" spans="21:24" x14ac:dyDescent="0.45">
      <c r="U413" s="8" t="s">
        <v>16</v>
      </c>
      <c r="V413" s="8" t="s">
        <v>529</v>
      </c>
      <c r="W413" s="8" t="s">
        <v>241</v>
      </c>
      <c r="X413" s="8" t="s">
        <v>20</v>
      </c>
    </row>
    <row r="414" spans="21:24" x14ac:dyDescent="0.45">
      <c r="U414" s="3" t="s">
        <v>16</v>
      </c>
      <c r="V414" s="3" t="s">
        <v>530</v>
      </c>
      <c r="W414" s="3" t="s">
        <v>102</v>
      </c>
      <c r="X414" s="3" t="s">
        <v>20</v>
      </c>
    </row>
    <row r="415" spans="21:24" x14ac:dyDescent="0.45">
      <c r="U415" s="8" t="s">
        <v>16</v>
      </c>
      <c r="V415" s="8" t="s">
        <v>530</v>
      </c>
      <c r="W415" s="8" t="s">
        <v>241</v>
      </c>
      <c r="X415" s="8" t="s">
        <v>20</v>
      </c>
    </row>
    <row r="416" spans="21:24" x14ac:dyDescent="0.45">
      <c r="U416" s="3" t="s">
        <v>16</v>
      </c>
      <c r="V416" s="3" t="s">
        <v>531</v>
      </c>
      <c r="W416" s="3" t="s">
        <v>241</v>
      </c>
      <c r="X416" s="3" t="s">
        <v>20</v>
      </c>
    </row>
    <row r="417" spans="21:24" x14ac:dyDescent="0.45">
      <c r="U417" s="8" t="s">
        <v>16</v>
      </c>
      <c r="V417" s="8" t="s">
        <v>532</v>
      </c>
      <c r="W417" s="8" t="s">
        <v>241</v>
      </c>
      <c r="X417" s="8" t="s">
        <v>20</v>
      </c>
    </row>
    <row r="418" spans="21:24" x14ac:dyDescent="0.45">
      <c r="U418" s="3" t="s">
        <v>16</v>
      </c>
      <c r="V418" s="3" t="s">
        <v>533</v>
      </c>
      <c r="W418" s="3" t="s">
        <v>241</v>
      </c>
      <c r="X418" s="3" t="s">
        <v>20</v>
      </c>
    </row>
    <row r="419" spans="21:24" x14ac:dyDescent="0.45">
      <c r="U419" s="8" t="s">
        <v>16</v>
      </c>
      <c r="V419" s="8" t="s">
        <v>533</v>
      </c>
      <c r="W419" s="8" t="s">
        <v>102</v>
      </c>
      <c r="X419" s="8" t="s">
        <v>18</v>
      </c>
    </row>
    <row r="420" spans="21:24" x14ac:dyDescent="0.45">
      <c r="U420" s="3" t="s">
        <v>16</v>
      </c>
      <c r="V420" s="3" t="s">
        <v>534</v>
      </c>
      <c r="W420" s="3" t="s">
        <v>241</v>
      </c>
      <c r="X420" s="3" t="s">
        <v>20</v>
      </c>
    </row>
    <row r="421" spans="21:24" x14ac:dyDescent="0.45">
      <c r="U421" s="8" t="s">
        <v>16</v>
      </c>
      <c r="V421" s="8" t="s">
        <v>534</v>
      </c>
      <c r="W421" s="8" t="s">
        <v>102</v>
      </c>
      <c r="X421" s="8" t="s">
        <v>18</v>
      </c>
    </row>
    <row r="422" spans="21:24" x14ac:dyDescent="0.45">
      <c r="U422" s="3" t="s">
        <v>16</v>
      </c>
      <c r="V422" s="3" t="s">
        <v>535</v>
      </c>
      <c r="W422" s="3" t="s">
        <v>106</v>
      </c>
      <c r="X422" s="3" t="s">
        <v>20</v>
      </c>
    </row>
    <row r="423" spans="21:24" x14ac:dyDescent="0.45">
      <c r="U423" s="8" t="s">
        <v>16</v>
      </c>
      <c r="V423" s="8" t="s">
        <v>536</v>
      </c>
      <c r="W423" s="8" t="s">
        <v>106</v>
      </c>
      <c r="X423" s="8" t="s">
        <v>20</v>
      </c>
    </row>
    <row r="424" spans="21:24" x14ac:dyDescent="0.45">
      <c r="U424" s="3" t="s">
        <v>16</v>
      </c>
      <c r="V424" s="3" t="s">
        <v>537</v>
      </c>
      <c r="W424" s="3" t="s">
        <v>106</v>
      </c>
      <c r="X424" s="3" t="s">
        <v>20</v>
      </c>
    </row>
    <row r="425" spans="21:24" x14ac:dyDescent="0.45">
      <c r="U425" s="8" t="s">
        <v>16</v>
      </c>
      <c r="V425" s="8" t="s">
        <v>538</v>
      </c>
      <c r="W425" s="8" t="s">
        <v>106</v>
      </c>
      <c r="X425" s="8" t="s">
        <v>20</v>
      </c>
    </row>
    <row r="426" spans="21:24" x14ac:dyDescent="0.45">
      <c r="U426" s="3" t="s">
        <v>16</v>
      </c>
      <c r="V426" s="3" t="s">
        <v>539</v>
      </c>
      <c r="W426" s="3" t="s">
        <v>106</v>
      </c>
      <c r="X426" s="3" t="s">
        <v>20</v>
      </c>
    </row>
    <row r="427" spans="21:24" x14ac:dyDescent="0.45">
      <c r="U427" s="8" t="s">
        <v>16</v>
      </c>
      <c r="V427" s="8" t="s">
        <v>540</v>
      </c>
      <c r="W427" s="8" t="s">
        <v>106</v>
      </c>
      <c r="X427" s="8" t="s">
        <v>20</v>
      </c>
    </row>
    <row r="428" spans="21:24" x14ac:dyDescent="0.45">
      <c r="U428" s="3" t="s">
        <v>16</v>
      </c>
      <c r="V428" s="3" t="s">
        <v>541</v>
      </c>
      <c r="W428" s="3" t="s">
        <v>106</v>
      </c>
      <c r="X428" s="3" t="s">
        <v>20</v>
      </c>
    </row>
    <row r="429" spans="21:24" x14ac:dyDescent="0.45">
      <c r="U429" s="8" t="s">
        <v>16</v>
      </c>
      <c r="V429" s="8" t="s">
        <v>542</v>
      </c>
      <c r="W429" s="8" t="s">
        <v>106</v>
      </c>
      <c r="X429" s="8" t="s">
        <v>20</v>
      </c>
    </row>
    <row r="430" spans="21:24" x14ac:dyDescent="0.45">
      <c r="U430" s="3" t="s">
        <v>16</v>
      </c>
      <c r="V430" s="3" t="s">
        <v>543</v>
      </c>
      <c r="W430" s="3" t="s">
        <v>106</v>
      </c>
      <c r="X430" s="3" t="s">
        <v>20</v>
      </c>
    </row>
    <row r="431" spans="21:24" x14ac:dyDescent="0.45">
      <c r="U431" s="8" t="s">
        <v>16</v>
      </c>
      <c r="V431" s="8" t="s">
        <v>544</v>
      </c>
      <c r="W431" s="8" t="s">
        <v>106</v>
      </c>
      <c r="X431" s="8" t="s">
        <v>20</v>
      </c>
    </row>
    <row r="432" spans="21:24" x14ac:dyDescent="0.45">
      <c r="U432" s="3" t="s">
        <v>16</v>
      </c>
      <c r="V432" s="3" t="s">
        <v>545</v>
      </c>
      <c r="W432" s="3" t="s">
        <v>106</v>
      </c>
      <c r="X432" s="3" t="s">
        <v>20</v>
      </c>
    </row>
    <row r="433" spans="21:24" x14ac:dyDescent="0.45">
      <c r="U433" s="8" t="s">
        <v>16</v>
      </c>
      <c r="V433" s="8" t="s">
        <v>545</v>
      </c>
      <c r="W433" s="8" t="s">
        <v>264</v>
      </c>
      <c r="X433" s="8" t="s">
        <v>20</v>
      </c>
    </row>
    <row r="434" spans="21:24" x14ac:dyDescent="0.45">
      <c r="U434" s="3" t="s">
        <v>16</v>
      </c>
      <c r="V434" s="3" t="s">
        <v>546</v>
      </c>
      <c r="W434" s="3" t="s">
        <v>106</v>
      </c>
      <c r="X434" s="3" t="s">
        <v>20</v>
      </c>
    </row>
    <row r="435" spans="21:24" x14ac:dyDescent="0.45">
      <c r="U435" s="8" t="s">
        <v>16</v>
      </c>
      <c r="V435" s="8" t="s">
        <v>546</v>
      </c>
      <c r="W435" s="8" t="s">
        <v>264</v>
      </c>
      <c r="X435" s="8" t="s">
        <v>20</v>
      </c>
    </row>
    <row r="436" spans="21:24" x14ac:dyDescent="0.45">
      <c r="U436" s="3" t="s">
        <v>16</v>
      </c>
      <c r="V436" s="3" t="s">
        <v>547</v>
      </c>
      <c r="W436" s="3" t="s">
        <v>106</v>
      </c>
      <c r="X436" s="3" t="s">
        <v>20</v>
      </c>
    </row>
    <row r="437" spans="21:24" x14ac:dyDescent="0.45">
      <c r="U437" s="8" t="s">
        <v>16</v>
      </c>
      <c r="V437" s="8" t="s">
        <v>547</v>
      </c>
      <c r="W437" s="8" t="s">
        <v>264</v>
      </c>
      <c r="X437" s="8" t="s">
        <v>20</v>
      </c>
    </row>
    <row r="438" spans="21:24" x14ac:dyDescent="0.45">
      <c r="U438" s="3" t="s">
        <v>16</v>
      </c>
      <c r="V438" s="3" t="s">
        <v>548</v>
      </c>
      <c r="W438" s="3" t="s">
        <v>264</v>
      </c>
      <c r="X438" s="3" t="s">
        <v>20</v>
      </c>
    </row>
    <row r="439" spans="21:24" x14ac:dyDescent="0.45">
      <c r="U439" s="8" t="s">
        <v>16</v>
      </c>
      <c r="V439" s="8" t="s">
        <v>549</v>
      </c>
      <c r="W439" s="8" t="s">
        <v>264</v>
      </c>
      <c r="X439" s="8" t="s">
        <v>20</v>
      </c>
    </row>
    <row r="440" spans="21:24" x14ac:dyDescent="0.45">
      <c r="U440" s="3" t="s">
        <v>16</v>
      </c>
      <c r="V440" s="3" t="s">
        <v>550</v>
      </c>
      <c r="W440" s="3" t="s">
        <v>264</v>
      </c>
      <c r="X440" s="3" t="s">
        <v>20</v>
      </c>
    </row>
    <row r="441" spans="21:24" x14ac:dyDescent="0.45">
      <c r="U441" s="8" t="s">
        <v>16</v>
      </c>
      <c r="V441" s="8" t="s">
        <v>550</v>
      </c>
      <c r="W441" s="8" t="s">
        <v>106</v>
      </c>
      <c r="X441" s="8" t="s">
        <v>18</v>
      </c>
    </row>
    <row r="442" spans="21:24" x14ac:dyDescent="0.45">
      <c r="U442" s="3" t="s">
        <v>16</v>
      </c>
      <c r="V442" s="3" t="s">
        <v>551</v>
      </c>
      <c r="W442" s="3" t="s">
        <v>264</v>
      </c>
      <c r="X442" s="3" t="s">
        <v>20</v>
      </c>
    </row>
    <row r="443" spans="21:24" x14ac:dyDescent="0.45">
      <c r="U443" s="8" t="s">
        <v>16</v>
      </c>
      <c r="V443" s="8" t="s">
        <v>551</v>
      </c>
      <c r="W443" s="8" t="s">
        <v>106</v>
      </c>
      <c r="X443" s="8" t="s">
        <v>18</v>
      </c>
    </row>
    <row r="444" spans="21:24" x14ac:dyDescent="0.45">
      <c r="U444" s="3" t="s">
        <v>16</v>
      </c>
      <c r="V444" s="3" t="s">
        <v>552</v>
      </c>
      <c r="W444" s="3" t="s">
        <v>109</v>
      </c>
      <c r="X444" s="3" t="s">
        <v>20</v>
      </c>
    </row>
    <row r="445" spans="21:24" x14ac:dyDescent="0.45">
      <c r="U445" s="8" t="s">
        <v>16</v>
      </c>
      <c r="V445" s="8" t="s">
        <v>553</v>
      </c>
      <c r="W445" s="8" t="s">
        <v>109</v>
      </c>
      <c r="X445" s="8" t="s">
        <v>20</v>
      </c>
    </row>
    <row r="446" spans="21:24" x14ac:dyDescent="0.45">
      <c r="U446" s="3" t="s">
        <v>16</v>
      </c>
      <c r="V446" s="3" t="s">
        <v>554</v>
      </c>
      <c r="W446" s="3" t="s">
        <v>109</v>
      </c>
      <c r="X446" s="3" t="s">
        <v>20</v>
      </c>
    </row>
    <row r="447" spans="21:24" x14ac:dyDescent="0.45">
      <c r="U447" s="8" t="s">
        <v>16</v>
      </c>
      <c r="V447" s="8" t="s">
        <v>555</v>
      </c>
      <c r="W447" s="8" t="s">
        <v>109</v>
      </c>
      <c r="X447" s="8" t="s">
        <v>20</v>
      </c>
    </row>
    <row r="448" spans="21:24" x14ac:dyDescent="0.45">
      <c r="U448" s="3" t="s">
        <v>16</v>
      </c>
      <c r="V448" s="3" t="s">
        <v>556</v>
      </c>
      <c r="W448" s="3" t="s">
        <v>109</v>
      </c>
      <c r="X448" s="3" t="s">
        <v>20</v>
      </c>
    </row>
    <row r="449" spans="21:24" x14ac:dyDescent="0.45">
      <c r="U449" s="8" t="s">
        <v>16</v>
      </c>
      <c r="V449" s="8" t="s">
        <v>557</v>
      </c>
      <c r="W449" s="8" t="s">
        <v>109</v>
      </c>
      <c r="X449" s="8" t="s">
        <v>20</v>
      </c>
    </row>
    <row r="450" spans="21:24" x14ac:dyDescent="0.45">
      <c r="U450" s="3" t="s">
        <v>16</v>
      </c>
      <c r="V450" s="3" t="s">
        <v>558</v>
      </c>
      <c r="W450" s="3" t="s">
        <v>109</v>
      </c>
      <c r="X450" s="3" t="s">
        <v>20</v>
      </c>
    </row>
    <row r="451" spans="21:24" x14ac:dyDescent="0.45">
      <c r="U451" s="8" t="s">
        <v>16</v>
      </c>
      <c r="V451" s="8" t="s">
        <v>559</v>
      </c>
      <c r="W451" s="8" t="s">
        <v>109</v>
      </c>
      <c r="X451" s="8" t="s">
        <v>20</v>
      </c>
    </row>
    <row r="452" spans="21:24" x14ac:dyDescent="0.45">
      <c r="U452" s="3" t="s">
        <v>16</v>
      </c>
      <c r="V452" s="3" t="s">
        <v>560</v>
      </c>
      <c r="W452" s="3" t="s">
        <v>109</v>
      </c>
      <c r="X452" s="3" t="s">
        <v>20</v>
      </c>
    </row>
    <row r="453" spans="21:24" x14ac:dyDescent="0.45">
      <c r="U453" s="8" t="s">
        <v>16</v>
      </c>
      <c r="V453" s="8" t="s">
        <v>561</v>
      </c>
      <c r="W453" s="8" t="s">
        <v>109</v>
      </c>
      <c r="X453" s="8" t="s">
        <v>20</v>
      </c>
    </row>
    <row r="454" spans="21:24" x14ac:dyDescent="0.45">
      <c r="U454" s="3" t="s">
        <v>16</v>
      </c>
      <c r="V454" s="3" t="s">
        <v>562</v>
      </c>
      <c r="W454" s="3" t="s">
        <v>109</v>
      </c>
      <c r="X454" s="3" t="s">
        <v>20</v>
      </c>
    </row>
    <row r="455" spans="21:24" x14ac:dyDescent="0.45">
      <c r="U455" s="8" t="s">
        <v>16</v>
      </c>
      <c r="V455" s="8" t="s">
        <v>562</v>
      </c>
      <c r="W455" s="8" t="s">
        <v>250</v>
      </c>
      <c r="X455" s="8" t="s">
        <v>20</v>
      </c>
    </row>
    <row r="456" spans="21:24" x14ac:dyDescent="0.45">
      <c r="U456" s="3" t="s">
        <v>16</v>
      </c>
      <c r="V456" s="3" t="s">
        <v>563</v>
      </c>
      <c r="W456" s="3" t="s">
        <v>109</v>
      </c>
      <c r="X456" s="3" t="s">
        <v>20</v>
      </c>
    </row>
    <row r="457" spans="21:24" x14ac:dyDescent="0.45">
      <c r="U457" s="8" t="s">
        <v>16</v>
      </c>
      <c r="V457" s="8" t="s">
        <v>563</v>
      </c>
      <c r="W457" s="8" t="s">
        <v>250</v>
      </c>
      <c r="X457" s="8" t="s">
        <v>20</v>
      </c>
    </row>
    <row r="458" spans="21:24" x14ac:dyDescent="0.45">
      <c r="U458" s="3" t="s">
        <v>16</v>
      </c>
      <c r="V458" s="3" t="s">
        <v>564</v>
      </c>
      <c r="W458" s="3" t="s">
        <v>109</v>
      </c>
      <c r="X458" s="3" t="s">
        <v>20</v>
      </c>
    </row>
    <row r="459" spans="21:24" x14ac:dyDescent="0.45">
      <c r="U459" s="8" t="s">
        <v>16</v>
      </c>
      <c r="V459" s="8" t="s">
        <v>564</v>
      </c>
      <c r="W459" s="8" t="s">
        <v>250</v>
      </c>
      <c r="X459" s="8" t="s">
        <v>20</v>
      </c>
    </row>
    <row r="460" spans="21:24" x14ac:dyDescent="0.45">
      <c r="U460" s="3" t="s">
        <v>16</v>
      </c>
      <c r="V460" s="3" t="s">
        <v>565</v>
      </c>
      <c r="W460" s="3" t="s">
        <v>250</v>
      </c>
      <c r="X460" s="3" t="s">
        <v>20</v>
      </c>
    </row>
    <row r="461" spans="21:24" x14ac:dyDescent="0.45">
      <c r="U461" s="8" t="s">
        <v>16</v>
      </c>
      <c r="V461" s="8" t="s">
        <v>566</v>
      </c>
      <c r="W461" s="8" t="s">
        <v>250</v>
      </c>
      <c r="X461" s="8" t="s">
        <v>20</v>
      </c>
    </row>
    <row r="462" spans="21:24" x14ac:dyDescent="0.45">
      <c r="U462" s="3" t="s">
        <v>16</v>
      </c>
      <c r="V462" s="3" t="s">
        <v>567</v>
      </c>
      <c r="W462" s="3" t="s">
        <v>250</v>
      </c>
      <c r="X462" s="3" t="s">
        <v>20</v>
      </c>
    </row>
    <row r="463" spans="21:24" x14ac:dyDescent="0.45">
      <c r="U463" s="8" t="s">
        <v>16</v>
      </c>
      <c r="V463" s="8" t="s">
        <v>567</v>
      </c>
      <c r="W463" s="8" t="s">
        <v>109</v>
      </c>
      <c r="X463" s="8" t="s">
        <v>18</v>
      </c>
    </row>
    <row r="464" spans="21:24" x14ac:dyDescent="0.45">
      <c r="U464" s="3" t="s">
        <v>16</v>
      </c>
      <c r="V464" s="3" t="s">
        <v>568</v>
      </c>
      <c r="W464" s="3" t="s">
        <v>250</v>
      </c>
      <c r="X464" s="3" t="s">
        <v>20</v>
      </c>
    </row>
    <row r="465" spans="21:24" x14ac:dyDescent="0.45">
      <c r="U465" s="8" t="s">
        <v>16</v>
      </c>
      <c r="V465" s="8" t="s">
        <v>568</v>
      </c>
      <c r="W465" s="8" t="s">
        <v>109</v>
      </c>
      <c r="X465" s="8" t="s">
        <v>18</v>
      </c>
    </row>
    <row r="466" spans="21:24" x14ac:dyDescent="0.45">
      <c r="U466" s="3" t="s">
        <v>16</v>
      </c>
      <c r="V466" s="3" t="s">
        <v>569</v>
      </c>
      <c r="W466" s="3" t="s">
        <v>570</v>
      </c>
      <c r="X466" s="3" t="s">
        <v>20</v>
      </c>
    </row>
    <row r="467" spans="21:24" x14ac:dyDescent="0.45">
      <c r="U467" s="8" t="s">
        <v>16</v>
      </c>
      <c r="V467" s="8" t="s">
        <v>571</v>
      </c>
      <c r="W467" s="8" t="s">
        <v>570</v>
      </c>
      <c r="X467" s="8" t="s">
        <v>20</v>
      </c>
    </row>
    <row r="468" spans="21:24" x14ac:dyDescent="0.45">
      <c r="U468" s="3" t="s">
        <v>16</v>
      </c>
      <c r="V468" s="3" t="s">
        <v>572</v>
      </c>
      <c r="W468" s="3" t="s">
        <v>570</v>
      </c>
      <c r="X468" s="3" t="s">
        <v>20</v>
      </c>
    </row>
    <row r="469" spans="21:24" x14ac:dyDescent="0.45">
      <c r="U469" s="8" t="s">
        <v>16</v>
      </c>
      <c r="V469" s="8" t="s">
        <v>573</v>
      </c>
      <c r="W469" s="8" t="s">
        <v>570</v>
      </c>
      <c r="X469" s="8" t="s">
        <v>20</v>
      </c>
    </row>
    <row r="470" spans="21:24" x14ac:dyDescent="0.45">
      <c r="U470" s="3" t="s">
        <v>16</v>
      </c>
      <c r="V470" s="3" t="s">
        <v>574</v>
      </c>
      <c r="W470" s="3" t="s">
        <v>570</v>
      </c>
      <c r="X470" s="3" t="s">
        <v>20</v>
      </c>
    </row>
    <row r="471" spans="21:24" x14ac:dyDescent="0.45">
      <c r="U471" s="8" t="s">
        <v>16</v>
      </c>
      <c r="V471" s="8" t="s">
        <v>575</v>
      </c>
      <c r="W471" s="8" t="s">
        <v>570</v>
      </c>
      <c r="X471" s="8" t="s">
        <v>20</v>
      </c>
    </row>
    <row r="472" spans="21:24" x14ac:dyDescent="0.45">
      <c r="U472" s="3" t="s">
        <v>16</v>
      </c>
      <c r="V472" s="3" t="s">
        <v>576</v>
      </c>
      <c r="W472" s="3" t="s">
        <v>570</v>
      </c>
      <c r="X472" s="3" t="s">
        <v>20</v>
      </c>
    </row>
    <row r="473" spans="21:24" x14ac:dyDescent="0.45">
      <c r="U473" s="8" t="s">
        <v>16</v>
      </c>
      <c r="V473" s="8" t="s">
        <v>577</v>
      </c>
      <c r="W473" s="8" t="s">
        <v>570</v>
      </c>
      <c r="X473" s="8" t="s">
        <v>20</v>
      </c>
    </row>
    <row r="474" spans="21:24" x14ac:dyDescent="0.45">
      <c r="U474" s="3" t="s">
        <v>16</v>
      </c>
      <c r="V474" s="3" t="s">
        <v>578</v>
      </c>
      <c r="W474" s="3" t="s">
        <v>570</v>
      </c>
      <c r="X474" s="3" t="s">
        <v>20</v>
      </c>
    </row>
    <row r="475" spans="21:24" x14ac:dyDescent="0.45">
      <c r="U475" s="8" t="s">
        <v>16</v>
      </c>
      <c r="V475" s="8" t="s">
        <v>579</v>
      </c>
      <c r="W475" s="8" t="s">
        <v>570</v>
      </c>
      <c r="X475" s="8" t="s">
        <v>20</v>
      </c>
    </row>
    <row r="476" spans="21:24" x14ac:dyDescent="0.45">
      <c r="U476" s="3" t="s">
        <v>16</v>
      </c>
      <c r="V476" s="3" t="s">
        <v>580</v>
      </c>
      <c r="W476" s="3" t="s">
        <v>570</v>
      </c>
      <c r="X476" s="3" t="s">
        <v>20</v>
      </c>
    </row>
    <row r="477" spans="21:24" x14ac:dyDescent="0.45">
      <c r="U477" s="8" t="s">
        <v>16</v>
      </c>
      <c r="V477" s="8" t="s">
        <v>580</v>
      </c>
      <c r="W477" s="8" t="s">
        <v>284</v>
      </c>
      <c r="X477" s="8" t="s">
        <v>20</v>
      </c>
    </row>
    <row r="478" spans="21:24" x14ac:dyDescent="0.45">
      <c r="U478" s="3" t="s">
        <v>16</v>
      </c>
      <c r="V478" s="3" t="s">
        <v>581</v>
      </c>
      <c r="W478" s="3" t="s">
        <v>570</v>
      </c>
      <c r="X478" s="3" t="s">
        <v>20</v>
      </c>
    </row>
    <row r="479" spans="21:24" x14ac:dyDescent="0.45">
      <c r="U479" s="8" t="s">
        <v>16</v>
      </c>
      <c r="V479" s="8" t="s">
        <v>581</v>
      </c>
      <c r="W479" s="8" t="s">
        <v>284</v>
      </c>
      <c r="X479" s="8" t="s">
        <v>20</v>
      </c>
    </row>
    <row r="480" spans="21:24" x14ac:dyDescent="0.45">
      <c r="U480" s="3" t="s">
        <v>16</v>
      </c>
      <c r="V480" s="3" t="s">
        <v>582</v>
      </c>
      <c r="W480" s="3" t="s">
        <v>570</v>
      </c>
      <c r="X480" s="3" t="s">
        <v>20</v>
      </c>
    </row>
    <row r="481" spans="21:24" x14ac:dyDescent="0.45">
      <c r="U481" s="8" t="s">
        <v>16</v>
      </c>
      <c r="V481" s="8" t="s">
        <v>582</v>
      </c>
      <c r="W481" s="8" t="s">
        <v>284</v>
      </c>
      <c r="X481" s="8" t="s">
        <v>20</v>
      </c>
    </row>
    <row r="482" spans="21:24" x14ac:dyDescent="0.45">
      <c r="U482" s="3" t="s">
        <v>16</v>
      </c>
      <c r="V482" s="3" t="s">
        <v>583</v>
      </c>
      <c r="W482" s="3" t="s">
        <v>284</v>
      </c>
      <c r="X482" s="3" t="s">
        <v>20</v>
      </c>
    </row>
    <row r="483" spans="21:24" x14ac:dyDescent="0.45">
      <c r="U483" s="8" t="s">
        <v>16</v>
      </c>
      <c r="V483" s="8" t="s">
        <v>584</v>
      </c>
      <c r="W483" s="8" t="s">
        <v>284</v>
      </c>
      <c r="X483" s="8" t="s">
        <v>20</v>
      </c>
    </row>
    <row r="484" spans="21:24" x14ac:dyDescent="0.45">
      <c r="U484" s="3" t="s">
        <v>16</v>
      </c>
      <c r="V484" s="3" t="s">
        <v>585</v>
      </c>
      <c r="W484" s="3" t="s">
        <v>284</v>
      </c>
      <c r="X484" s="3" t="s">
        <v>20</v>
      </c>
    </row>
    <row r="485" spans="21:24" x14ac:dyDescent="0.45">
      <c r="U485" s="8" t="s">
        <v>16</v>
      </c>
      <c r="V485" s="8" t="s">
        <v>585</v>
      </c>
      <c r="W485" s="8" t="s">
        <v>570</v>
      </c>
      <c r="X485" s="8" t="s">
        <v>18</v>
      </c>
    </row>
    <row r="486" spans="21:24" x14ac:dyDescent="0.45">
      <c r="U486" s="3" t="s">
        <v>16</v>
      </c>
      <c r="V486" s="3" t="s">
        <v>586</v>
      </c>
      <c r="W486" s="3" t="s">
        <v>284</v>
      </c>
      <c r="X486" s="3" t="s">
        <v>20</v>
      </c>
    </row>
    <row r="487" spans="21:24" x14ac:dyDescent="0.45">
      <c r="U487" s="8" t="s">
        <v>16</v>
      </c>
      <c r="V487" s="8" t="s">
        <v>586</v>
      </c>
      <c r="W487" s="8" t="s">
        <v>570</v>
      </c>
      <c r="X487" s="8" t="s">
        <v>18</v>
      </c>
    </row>
    <row r="488" spans="21:24" x14ac:dyDescent="0.45">
      <c r="U488" s="3" t="s">
        <v>16</v>
      </c>
      <c r="V488" s="3" t="s">
        <v>587</v>
      </c>
      <c r="W488" s="3" t="s">
        <v>17</v>
      </c>
      <c r="X488" s="3" t="s">
        <v>20</v>
      </c>
    </row>
    <row r="489" spans="21:24" x14ac:dyDescent="0.45">
      <c r="U489" s="8" t="s">
        <v>16</v>
      </c>
      <c r="V489" s="8" t="s">
        <v>587</v>
      </c>
      <c r="W489" s="8" t="s">
        <v>17</v>
      </c>
      <c r="X489" s="8" t="s">
        <v>18</v>
      </c>
    </row>
    <row r="490" spans="21:24" x14ac:dyDescent="0.45">
      <c r="U490" s="3" t="s">
        <v>16</v>
      </c>
      <c r="V490" s="3" t="s">
        <v>588</v>
      </c>
      <c r="W490" s="3" t="s">
        <v>17</v>
      </c>
      <c r="X490" s="3" t="s">
        <v>20</v>
      </c>
    </row>
    <row r="491" spans="21:24" x14ac:dyDescent="0.45">
      <c r="U491" s="8" t="s">
        <v>16</v>
      </c>
      <c r="V491" s="8" t="s">
        <v>588</v>
      </c>
      <c r="W491" s="8" t="s">
        <v>17</v>
      </c>
      <c r="X491" s="8" t="s">
        <v>18</v>
      </c>
    </row>
    <row r="492" spans="21:24" x14ac:dyDescent="0.45">
      <c r="U492" s="3" t="s">
        <v>16</v>
      </c>
      <c r="V492" s="3" t="s">
        <v>589</v>
      </c>
      <c r="W492" s="3" t="s">
        <v>30</v>
      </c>
      <c r="X492" s="3" t="s">
        <v>20</v>
      </c>
    </row>
    <row r="493" spans="21:24" x14ac:dyDescent="0.45">
      <c r="U493" s="8" t="s">
        <v>16</v>
      </c>
      <c r="V493" s="8" t="s">
        <v>589</v>
      </c>
      <c r="W493" s="8" t="s">
        <v>30</v>
      </c>
      <c r="X493" s="8" t="s">
        <v>18</v>
      </c>
    </row>
    <row r="494" spans="21:24" x14ac:dyDescent="0.45">
      <c r="U494" s="3" t="s">
        <v>16</v>
      </c>
      <c r="V494" s="3" t="s">
        <v>590</v>
      </c>
      <c r="W494" s="3" t="s">
        <v>30</v>
      </c>
      <c r="X494" s="3" t="s">
        <v>20</v>
      </c>
    </row>
    <row r="495" spans="21:24" x14ac:dyDescent="0.45">
      <c r="U495" s="8" t="s">
        <v>16</v>
      </c>
      <c r="V495" s="8" t="s">
        <v>590</v>
      </c>
      <c r="W495" s="8" t="s">
        <v>30</v>
      </c>
      <c r="X495" s="8" t="s">
        <v>18</v>
      </c>
    </row>
    <row r="496" spans="21:24" x14ac:dyDescent="0.45">
      <c r="U496" s="3" t="s">
        <v>16</v>
      </c>
      <c r="V496" s="3" t="s">
        <v>591</v>
      </c>
      <c r="W496" s="3" t="s">
        <v>39</v>
      </c>
      <c r="X496" s="3" t="s">
        <v>20</v>
      </c>
    </row>
    <row r="497" spans="21:24" x14ac:dyDescent="0.45">
      <c r="U497" s="8" t="s">
        <v>16</v>
      </c>
      <c r="V497" s="8" t="s">
        <v>591</v>
      </c>
      <c r="W497" s="8" t="s">
        <v>39</v>
      </c>
      <c r="X497" s="8" t="s">
        <v>18</v>
      </c>
    </row>
    <row r="498" spans="21:24" x14ac:dyDescent="0.45">
      <c r="U498" s="3" t="s">
        <v>16</v>
      </c>
      <c r="V498" s="3" t="s">
        <v>592</v>
      </c>
      <c r="W498" s="3" t="s">
        <v>39</v>
      </c>
      <c r="X498" s="3" t="s">
        <v>20</v>
      </c>
    </row>
    <row r="499" spans="21:24" x14ac:dyDescent="0.45">
      <c r="U499" s="8" t="s">
        <v>16</v>
      </c>
      <c r="V499" s="8" t="s">
        <v>592</v>
      </c>
      <c r="W499" s="8" t="s">
        <v>39</v>
      </c>
      <c r="X499" s="8" t="s">
        <v>18</v>
      </c>
    </row>
    <row r="500" spans="21:24" x14ac:dyDescent="0.45">
      <c r="U500" s="3" t="s">
        <v>16</v>
      </c>
      <c r="V500" s="3" t="s">
        <v>593</v>
      </c>
      <c r="W500" s="3" t="s">
        <v>44</v>
      </c>
      <c r="X500" s="3" t="s">
        <v>20</v>
      </c>
    </row>
    <row r="501" spans="21:24" x14ac:dyDescent="0.45">
      <c r="U501" s="8" t="s">
        <v>16</v>
      </c>
      <c r="V501" s="8" t="s">
        <v>593</v>
      </c>
      <c r="W501" s="8" t="s">
        <v>44</v>
      </c>
      <c r="X501" s="8" t="s">
        <v>18</v>
      </c>
    </row>
    <row r="502" spans="21:24" x14ac:dyDescent="0.45">
      <c r="U502" s="3" t="s">
        <v>16</v>
      </c>
      <c r="V502" s="3" t="s">
        <v>594</v>
      </c>
      <c r="W502" s="3" t="s">
        <v>44</v>
      </c>
      <c r="X502" s="3" t="s">
        <v>20</v>
      </c>
    </row>
    <row r="503" spans="21:24" x14ac:dyDescent="0.45">
      <c r="U503" s="8" t="s">
        <v>16</v>
      </c>
      <c r="V503" s="8" t="s">
        <v>594</v>
      </c>
      <c r="W503" s="8" t="s">
        <v>44</v>
      </c>
      <c r="X503" s="8" t="s">
        <v>18</v>
      </c>
    </row>
    <row r="504" spans="21:24" x14ac:dyDescent="0.45">
      <c r="U504" s="3" t="s">
        <v>16</v>
      </c>
      <c r="V504" s="3" t="s">
        <v>595</v>
      </c>
      <c r="W504" s="3" t="s">
        <v>48</v>
      </c>
      <c r="X504" s="3" t="s">
        <v>20</v>
      </c>
    </row>
    <row r="505" spans="21:24" x14ac:dyDescent="0.45">
      <c r="U505" s="8" t="s">
        <v>16</v>
      </c>
      <c r="V505" s="8" t="s">
        <v>595</v>
      </c>
      <c r="W505" s="8" t="s">
        <v>48</v>
      </c>
      <c r="X505" s="8" t="s">
        <v>18</v>
      </c>
    </row>
    <row r="506" spans="21:24" x14ac:dyDescent="0.45">
      <c r="U506" s="3" t="s">
        <v>16</v>
      </c>
      <c r="V506" s="3" t="s">
        <v>596</v>
      </c>
      <c r="W506" s="3" t="s">
        <v>48</v>
      </c>
      <c r="X506" s="3" t="s">
        <v>20</v>
      </c>
    </row>
    <row r="507" spans="21:24" x14ac:dyDescent="0.45">
      <c r="U507" s="8" t="s">
        <v>16</v>
      </c>
      <c r="V507" s="8" t="s">
        <v>596</v>
      </c>
      <c r="W507" s="8" t="s">
        <v>48</v>
      </c>
      <c r="X507" s="8" t="s">
        <v>18</v>
      </c>
    </row>
    <row r="508" spans="21:24" x14ac:dyDescent="0.45">
      <c r="U508" s="3" t="s">
        <v>16</v>
      </c>
      <c r="V508" s="3" t="s">
        <v>597</v>
      </c>
      <c r="W508" s="3" t="s">
        <v>52</v>
      </c>
      <c r="X508" s="3" t="s">
        <v>20</v>
      </c>
    </row>
    <row r="509" spans="21:24" x14ac:dyDescent="0.45">
      <c r="U509" s="8" t="s">
        <v>16</v>
      </c>
      <c r="V509" s="8" t="s">
        <v>597</v>
      </c>
      <c r="W509" s="8" t="s">
        <v>52</v>
      </c>
      <c r="X509" s="8" t="s">
        <v>18</v>
      </c>
    </row>
    <row r="510" spans="21:24" x14ac:dyDescent="0.45">
      <c r="U510" s="3" t="s">
        <v>16</v>
      </c>
      <c r="V510" s="3" t="s">
        <v>598</v>
      </c>
      <c r="W510" s="3" t="s">
        <v>52</v>
      </c>
      <c r="X510" s="3" t="s">
        <v>20</v>
      </c>
    </row>
    <row r="511" spans="21:24" x14ac:dyDescent="0.45">
      <c r="U511" s="8" t="s">
        <v>16</v>
      </c>
      <c r="V511" s="8" t="s">
        <v>598</v>
      </c>
      <c r="W511" s="8" t="s">
        <v>52</v>
      </c>
      <c r="X511" s="8" t="s">
        <v>18</v>
      </c>
    </row>
    <row r="512" spans="21:24" x14ac:dyDescent="0.45">
      <c r="U512" s="3" t="s">
        <v>16</v>
      </c>
      <c r="V512" s="3" t="s">
        <v>599</v>
      </c>
      <c r="W512" s="3" t="s">
        <v>56</v>
      </c>
      <c r="X512" s="3" t="s">
        <v>20</v>
      </c>
    </row>
    <row r="513" spans="21:24" x14ac:dyDescent="0.45">
      <c r="U513" s="8" t="s">
        <v>16</v>
      </c>
      <c r="V513" s="8" t="s">
        <v>599</v>
      </c>
      <c r="W513" s="8" t="s">
        <v>56</v>
      </c>
      <c r="X513" s="8" t="s">
        <v>18</v>
      </c>
    </row>
    <row r="514" spans="21:24" x14ac:dyDescent="0.45">
      <c r="U514" s="3" t="s">
        <v>16</v>
      </c>
      <c r="V514" s="3" t="s">
        <v>600</v>
      </c>
      <c r="W514" s="3" t="s">
        <v>56</v>
      </c>
      <c r="X514" s="3" t="s">
        <v>20</v>
      </c>
    </row>
    <row r="515" spans="21:24" x14ac:dyDescent="0.45">
      <c r="U515" s="8" t="s">
        <v>16</v>
      </c>
      <c r="V515" s="8" t="s">
        <v>600</v>
      </c>
      <c r="W515" s="8" t="s">
        <v>56</v>
      </c>
      <c r="X515" s="8" t="s">
        <v>18</v>
      </c>
    </row>
    <row r="516" spans="21:24" x14ac:dyDescent="0.45">
      <c r="U516" s="3" t="s">
        <v>16</v>
      </c>
      <c r="V516" s="3" t="s">
        <v>601</v>
      </c>
      <c r="W516" s="3" t="s">
        <v>60</v>
      </c>
      <c r="X516" s="3" t="s">
        <v>20</v>
      </c>
    </row>
    <row r="517" spans="21:24" x14ac:dyDescent="0.45">
      <c r="U517" s="8" t="s">
        <v>16</v>
      </c>
      <c r="V517" s="8" t="s">
        <v>601</v>
      </c>
      <c r="W517" s="8" t="s">
        <v>60</v>
      </c>
      <c r="X517" s="8" t="s">
        <v>18</v>
      </c>
    </row>
    <row r="518" spans="21:24" x14ac:dyDescent="0.45">
      <c r="U518" s="3" t="s">
        <v>16</v>
      </c>
      <c r="V518" s="3" t="s">
        <v>602</v>
      </c>
      <c r="W518" s="3" t="s">
        <v>60</v>
      </c>
      <c r="X518" s="3" t="s">
        <v>20</v>
      </c>
    </row>
    <row r="519" spans="21:24" x14ac:dyDescent="0.45">
      <c r="U519" s="8" t="s">
        <v>16</v>
      </c>
      <c r="V519" s="8" t="s">
        <v>602</v>
      </c>
      <c r="W519" s="8" t="s">
        <v>60</v>
      </c>
      <c r="X519" s="8" t="s">
        <v>18</v>
      </c>
    </row>
    <row r="520" spans="21:24" x14ac:dyDescent="0.45">
      <c r="U520" s="3" t="s">
        <v>16</v>
      </c>
      <c r="V520" s="3" t="s">
        <v>603</v>
      </c>
      <c r="W520" s="3" t="s">
        <v>64</v>
      </c>
      <c r="X520" s="3" t="s">
        <v>20</v>
      </c>
    </row>
    <row r="521" spans="21:24" x14ac:dyDescent="0.45">
      <c r="U521" s="8" t="s">
        <v>16</v>
      </c>
      <c r="V521" s="8" t="s">
        <v>603</v>
      </c>
      <c r="W521" s="8" t="s">
        <v>64</v>
      </c>
      <c r="X521" s="8" t="s">
        <v>18</v>
      </c>
    </row>
    <row r="522" spans="21:24" x14ac:dyDescent="0.45">
      <c r="U522" s="3" t="s">
        <v>16</v>
      </c>
      <c r="V522" s="3" t="s">
        <v>604</v>
      </c>
      <c r="W522" s="3" t="s">
        <v>64</v>
      </c>
      <c r="X522" s="3" t="s">
        <v>20</v>
      </c>
    </row>
    <row r="523" spans="21:24" x14ac:dyDescent="0.45">
      <c r="U523" s="8" t="s">
        <v>16</v>
      </c>
      <c r="V523" s="8" t="s">
        <v>604</v>
      </c>
      <c r="W523" s="8" t="s">
        <v>64</v>
      </c>
      <c r="X523" s="8" t="s">
        <v>18</v>
      </c>
    </row>
    <row r="524" spans="21:24" x14ac:dyDescent="0.45">
      <c r="U524" s="3" t="s">
        <v>16</v>
      </c>
      <c r="V524" s="3" t="s">
        <v>605</v>
      </c>
      <c r="W524" s="3" t="s">
        <v>68</v>
      </c>
      <c r="X524" s="3" t="s">
        <v>20</v>
      </c>
    </row>
    <row r="525" spans="21:24" x14ac:dyDescent="0.45">
      <c r="U525" s="8" t="s">
        <v>16</v>
      </c>
      <c r="V525" s="8" t="s">
        <v>605</v>
      </c>
      <c r="W525" s="8" t="s">
        <v>68</v>
      </c>
      <c r="X525" s="8" t="s">
        <v>18</v>
      </c>
    </row>
    <row r="526" spans="21:24" x14ac:dyDescent="0.45">
      <c r="U526" s="3" t="s">
        <v>16</v>
      </c>
      <c r="V526" s="3" t="s">
        <v>606</v>
      </c>
      <c r="W526" s="3" t="s">
        <v>68</v>
      </c>
      <c r="X526" s="3" t="s">
        <v>20</v>
      </c>
    </row>
    <row r="527" spans="21:24" x14ac:dyDescent="0.45">
      <c r="U527" s="8" t="s">
        <v>16</v>
      </c>
      <c r="V527" s="8" t="s">
        <v>606</v>
      </c>
      <c r="W527" s="8" t="s">
        <v>68</v>
      </c>
      <c r="X527" s="8" t="s">
        <v>18</v>
      </c>
    </row>
    <row r="528" spans="21:24" x14ac:dyDescent="0.45">
      <c r="U528" s="3" t="s">
        <v>16</v>
      </c>
      <c r="V528" s="3" t="s">
        <v>607</v>
      </c>
      <c r="W528" s="3" t="s">
        <v>72</v>
      </c>
      <c r="X528" s="3" t="s">
        <v>20</v>
      </c>
    </row>
    <row r="529" spans="21:24" x14ac:dyDescent="0.45">
      <c r="U529" s="8" t="s">
        <v>16</v>
      </c>
      <c r="V529" s="8" t="s">
        <v>607</v>
      </c>
      <c r="W529" s="8" t="s">
        <v>72</v>
      </c>
      <c r="X529" s="8" t="s">
        <v>18</v>
      </c>
    </row>
    <row r="530" spans="21:24" x14ac:dyDescent="0.45">
      <c r="U530" s="3" t="s">
        <v>16</v>
      </c>
      <c r="V530" s="3" t="s">
        <v>608</v>
      </c>
      <c r="W530" s="3" t="s">
        <v>72</v>
      </c>
      <c r="X530" s="3" t="s">
        <v>20</v>
      </c>
    </row>
    <row r="531" spans="21:24" x14ac:dyDescent="0.45">
      <c r="U531" s="8" t="s">
        <v>16</v>
      </c>
      <c r="V531" s="8" t="s">
        <v>608</v>
      </c>
      <c r="W531" s="8" t="s">
        <v>72</v>
      </c>
      <c r="X531" s="8" t="s">
        <v>18</v>
      </c>
    </row>
    <row r="532" spans="21:24" x14ac:dyDescent="0.45">
      <c r="U532" s="3" t="s">
        <v>16</v>
      </c>
      <c r="V532" s="3" t="s">
        <v>609</v>
      </c>
      <c r="W532" s="3" t="s">
        <v>76</v>
      </c>
      <c r="X532" s="3" t="s">
        <v>20</v>
      </c>
    </row>
    <row r="533" spans="21:24" x14ac:dyDescent="0.45">
      <c r="U533" s="8" t="s">
        <v>16</v>
      </c>
      <c r="V533" s="8" t="s">
        <v>609</v>
      </c>
      <c r="W533" s="8" t="s">
        <v>76</v>
      </c>
      <c r="X533" s="8" t="s">
        <v>18</v>
      </c>
    </row>
    <row r="534" spans="21:24" x14ac:dyDescent="0.45">
      <c r="U534" s="3" t="s">
        <v>16</v>
      </c>
      <c r="V534" s="3" t="s">
        <v>610</v>
      </c>
      <c r="W534" s="3" t="s">
        <v>76</v>
      </c>
      <c r="X534" s="3" t="s">
        <v>20</v>
      </c>
    </row>
    <row r="535" spans="21:24" x14ac:dyDescent="0.45">
      <c r="U535" s="8" t="s">
        <v>16</v>
      </c>
      <c r="V535" s="8" t="s">
        <v>610</v>
      </c>
      <c r="W535" s="8" t="s">
        <v>76</v>
      </c>
      <c r="X535" s="8" t="s">
        <v>18</v>
      </c>
    </row>
    <row r="536" spans="21:24" x14ac:dyDescent="0.45">
      <c r="U536" s="3" t="s">
        <v>16</v>
      </c>
      <c r="V536" s="3" t="s">
        <v>611</v>
      </c>
      <c r="W536" s="3" t="s">
        <v>80</v>
      </c>
      <c r="X536" s="3" t="s">
        <v>20</v>
      </c>
    </row>
    <row r="537" spans="21:24" x14ac:dyDescent="0.45">
      <c r="U537" s="8" t="s">
        <v>16</v>
      </c>
      <c r="V537" s="8" t="s">
        <v>611</v>
      </c>
      <c r="W537" s="8" t="s">
        <v>80</v>
      </c>
      <c r="X537" s="8" t="s">
        <v>18</v>
      </c>
    </row>
    <row r="538" spans="21:24" x14ac:dyDescent="0.45">
      <c r="U538" s="3" t="s">
        <v>16</v>
      </c>
      <c r="V538" s="3" t="s">
        <v>612</v>
      </c>
      <c r="W538" s="3" t="s">
        <v>80</v>
      </c>
      <c r="X538" s="3" t="s">
        <v>20</v>
      </c>
    </row>
    <row r="539" spans="21:24" x14ac:dyDescent="0.45">
      <c r="U539" s="8" t="s">
        <v>16</v>
      </c>
      <c r="V539" s="8" t="s">
        <v>612</v>
      </c>
      <c r="W539" s="8" t="s">
        <v>80</v>
      </c>
      <c r="X539" s="8" t="s">
        <v>18</v>
      </c>
    </row>
    <row r="540" spans="21:24" x14ac:dyDescent="0.45">
      <c r="U540" s="3" t="s">
        <v>16</v>
      </c>
      <c r="V540" s="3" t="s">
        <v>613</v>
      </c>
      <c r="W540" s="3" t="s">
        <v>84</v>
      </c>
      <c r="X540" s="3" t="s">
        <v>20</v>
      </c>
    </row>
    <row r="541" spans="21:24" x14ac:dyDescent="0.45">
      <c r="U541" s="8" t="s">
        <v>16</v>
      </c>
      <c r="V541" s="8" t="s">
        <v>613</v>
      </c>
      <c r="W541" s="8" t="s">
        <v>84</v>
      </c>
      <c r="X541" s="8" t="s">
        <v>18</v>
      </c>
    </row>
    <row r="542" spans="21:24" x14ac:dyDescent="0.45">
      <c r="U542" s="3" t="s">
        <v>16</v>
      </c>
      <c r="V542" s="3" t="s">
        <v>614</v>
      </c>
      <c r="W542" s="3" t="s">
        <v>84</v>
      </c>
      <c r="X542" s="3" t="s">
        <v>20</v>
      </c>
    </row>
    <row r="543" spans="21:24" x14ac:dyDescent="0.45">
      <c r="U543" s="8" t="s">
        <v>16</v>
      </c>
      <c r="V543" s="8" t="s">
        <v>614</v>
      </c>
      <c r="W543" s="8" t="s">
        <v>84</v>
      </c>
      <c r="X543" s="8" t="s">
        <v>18</v>
      </c>
    </row>
    <row r="544" spans="21:24" x14ac:dyDescent="0.45">
      <c r="U544" s="3" t="s">
        <v>16</v>
      </c>
      <c r="V544" s="3" t="s">
        <v>615</v>
      </c>
      <c r="W544" s="3" t="s">
        <v>87</v>
      </c>
      <c r="X544" s="3" t="s">
        <v>20</v>
      </c>
    </row>
    <row r="545" spans="21:24" x14ac:dyDescent="0.45">
      <c r="U545" s="8" t="s">
        <v>16</v>
      </c>
      <c r="V545" s="8" t="s">
        <v>615</v>
      </c>
      <c r="W545" s="8" t="s">
        <v>87</v>
      </c>
      <c r="X545" s="8" t="s">
        <v>18</v>
      </c>
    </row>
    <row r="546" spans="21:24" x14ac:dyDescent="0.45">
      <c r="U546" s="3" t="s">
        <v>16</v>
      </c>
      <c r="V546" s="3" t="s">
        <v>616</v>
      </c>
      <c r="W546" s="3" t="s">
        <v>87</v>
      </c>
      <c r="X546" s="3" t="s">
        <v>20</v>
      </c>
    </row>
    <row r="547" spans="21:24" x14ac:dyDescent="0.45">
      <c r="U547" s="8" t="s">
        <v>16</v>
      </c>
      <c r="V547" s="8" t="s">
        <v>616</v>
      </c>
      <c r="W547" s="8" t="s">
        <v>87</v>
      </c>
      <c r="X547" s="8" t="s">
        <v>18</v>
      </c>
    </row>
    <row r="548" spans="21:24" x14ac:dyDescent="0.45">
      <c r="U548" s="3" t="s">
        <v>16</v>
      </c>
      <c r="V548" s="3" t="s">
        <v>617</v>
      </c>
      <c r="W548" s="3" t="s">
        <v>91</v>
      </c>
      <c r="X548" s="3" t="s">
        <v>20</v>
      </c>
    </row>
    <row r="549" spans="21:24" x14ac:dyDescent="0.45">
      <c r="U549" s="8" t="s">
        <v>16</v>
      </c>
      <c r="V549" s="8" t="s">
        <v>617</v>
      </c>
      <c r="W549" s="8" t="s">
        <v>91</v>
      </c>
      <c r="X549" s="8" t="s">
        <v>18</v>
      </c>
    </row>
    <row r="550" spans="21:24" x14ac:dyDescent="0.45">
      <c r="U550" s="3" t="s">
        <v>16</v>
      </c>
      <c r="V550" s="3" t="s">
        <v>618</v>
      </c>
      <c r="W550" s="3" t="s">
        <v>91</v>
      </c>
      <c r="X550" s="3" t="s">
        <v>20</v>
      </c>
    </row>
    <row r="551" spans="21:24" x14ac:dyDescent="0.45">
      <c r="U551" s="8" t="s">
        <v>16</v>
      </c>
      <c r="V551" s="8" t="s">
        <v>618</v>
      </c>
      <c r="W551" s="8" t="s">
        <v>91</v>
      </c>
      <c r="X551" s="8" t="s">
        <v>18</v>
      </c>
    </row>
    <row r="552" spans="21:24" x14ac:dyDescent="0.45">
      <c r="U552" s="3" t="s">
        <v>16</v>
      </c>
      <c r="V552" s="3" t="s">
        <v>619</v>
      </c>
      <c r="W552" s="3" t="s">
        <v>94</v>
      </c>
      <c r="X552" s="3" t="s">
        <v>20</v>
      </c>
    </row>
    <row r="553" spans="21:24" x14ac:dyDescent="0.45">
      <c r="U553" s="8" t="s">
        <v>16</v>
      </c>
      <c r="V553" s="8" t="s">
        <v>619</v>
      </c>
      <c r="W553" s="8" t="s">
        <v>94</v>
      </c>
      <c r="X553" s="8" t="s">
        <v>18</v>
      </c>
    </row>
    <row r="554" spans="21:24" x14ac:dyDescent="0.45">
      <c r="U554" s="3" t="s">
        <v>16</v>
      </c>
      <c r="V554" s="3" t="s">
        <v>620</v>
      </c>
      <c r="W554" s="3" t="s">
        <v>94</v>
      </c>
      <c r="X554" s="3" t="s">
        <v>20</v>
      </c>
    </row>
    <row r="555" spans="21:24" x14ac:dyDescent="0.45">
      <c r="U555" s="8" t="s">
        <v>16</v>
      </c>
      <c r="V555" s="8" t="s">
        <v>620</v>
      </c>
      <c r="W555" s="8" t="s">
        <v>94</v>
      </c>
      <c r="X555" s="8" t="s">
        <v>18</v>
      </c>
    </row>
    <row r="556" spans="21:24" x14ac:dyDescent="0.45">
      <c r="U556" s="3" t="s">
        <v>16</v>
      </c>
      <c r="V556" s="3" t="s">
        <v>621</v>
      </c>
      <c r="W556" s="3" t="s">
        <v>98</v>
      </c>
      <c r="X556" s="3" t="s">
        <v>20</v>
      </c>
    </row>
    <row r="557" spans="21:24" x14ac:dyDescent="0.45">
      <c r="U557" s="8" t="s">
        <v>16</v>
      </c>
      <c r="V557" s="8" t="s">
        <v>621</v>
      </c>
      <c r="W557" s="8" t="s">
        <v>98</v>
      </c>
      <c r="X557" s="8" t="s">
        <v>18</v>
      </c>
    </row>
    <row r="558" spans="21:24" x14ac:dyDescent="0.45">
      <c r="U558" s="3" t="s">
        <v>16</v>
      </c>
      <c r="V558" s="3" t="s">
        <v>622</v>
      </c>
      <c r="W558" s="3" t="s">
        <v>98</v>
      </c>
      <c r="X558" s="3" t="s">
        <v>20</v>
      </c>
    </row>
    <row r="559" spans="21:24" x14ac:dyDescent="0.45">
      <c r="U559" s="8" t="s">
        <v>16</v>
      </c>
      <c r="V559" s="8" t="s">
        <v>622</v>
      </c>
      <c r="W559" s="8" t="s">
        <v>98</v>
      </c>
      <c r="X559" s="8" t="s">
        <v>18</v>
      </c>
    </row>
    <row r="560" spans="21:24" x14ac:dyDescent="0.45">
      <c r="U560" s="3" t="s">
        <v>16</v>
      </c>
      <c r="V560" s="3" t="s">
        <v>623</v>
      </c>
      <c r="W560" s="3" t="s">
        <v>102</v>
      </c>
      <c r="X560" s="3" t="s">
        <v>20</v>
      </c>
    </row>
    <row r="561" spans="21:24" x14ac:dyDescent="0.45">
      <c r="U561" s="8" t="s">
        <v>16</v>
      </c>
      <c r="V561" s="8" t="s">
        <v>623</v>
      </c>
      <c r="W561" s="8" t="s">
        <v>102</v>
      </c>
      <c r="X561" s="8" t="s">
        <v>18</v>
      </c>
    </row>
    <row r="562" spans="21:24" x14ac:dyDescent="0.45">
      <c r="U562" s="3" t="s">
        <v>16</v>
      </c>
      <c r="V562" s="3" t="s">
        <v>624</v>
      </c>
      <c r="W562" s="3" t="s">
        <v>102</v>
      </c>
      <c r="X562" s="3" t="s">
        <v>20</v>
      </c>
    </row>
    <row r="563" spans="21:24" x14ac:dyDescent="0.45">
      <c r="U563" s="8" t="s">
        <v>16</v>
      </c>
      <c r="V563" s="8" t="s">
        <v>624</v>
      </c>
      <c r="W563" s="8" t="s">
        <v>102</v>
      </c>
      <c r="X563" s="8" t="s">
        <v>18</v>
      </c>
    </row>
    <row r="564" spans="21:24" x14ac:dyDescent="0.45">
      <c r="U564" s="3" t="s">
        <v>16</v>
      </c>
      <c r="V564" s="3" t="s">
        <v>625</v>
      </c>
      <c r="W564" s="3" t="s">
        <v>106</v>
      </c>
      <c r="X564" s="3" t="s">
        <v>20</v>
      </c>
    </row>
    <row r="565" spans="21:24" x14ac:dyDescent="0.45">
      <c r="U565" s="8" t="s">
        <v>16</v>
      </c>
      <c r="V565" s="8" t="s">
        <v>625</v>
      </c>
      <c r="W565" s="8" t="s">
        <v>106</v>
      </c>
      <c r="X565" s="8" t="s">
        <v>18</v>
      </c>
    </row>
    <row r="566" spans="21:24" x14ac:dyDescent="0.45">
      <c r="U566" s="3" t="s">
        <v>16</v>
      </c>
      <c r="V566" s="3" t="s">
        <v>626</v>
      </c>
      <c r="W566" s="3" t="s">
        <v>106</v>
      </c>
      <c r="X566" s="3" t="s">
        <v>20</v>
      </c>
    </row>
    <row r="567" spans="21:24" x14ac:dyDescent="0.45">
      <c r="U567" s="8" t="s">
        <v>16</v>
      </c>
      <c r="V567" s="8" t="s">
        <v>626</v>
      </c>
      <c r="W567" s="8" t="s">
        <v>106</v>
      </c>
      <c r="X567" s="8" t="s">
        <v>18</v>
      </c>
    </row>
    <row r="568" spans="21:24" x14ac:dyDescent="0.45">
      <c r="U568" s="3" t="s">
        <v>16</v>
      </c>
      <c r="V568" s="3" t="s">
        <v>627</v>
      </c>
      <c r="W568" s="3" t="s">
        <v>109</v>
      </c>
      <c r="X568" s="3" t="s">
        <v>20</v>
      </c>
    </row>
    <row r="569" spans="21:24" x14ac:dyDescent="0.45">
      <c r="U569" s="8" t="s">
        <v>16</v>
      </c>
      <c r="V569" s="8" t="s">
        <v>627</v>
      </c>
      <c r="W569" s="8" t="s">
        <v>109</v>
      </c>
      <c r="X569" s="8" t="s">
        <v>18</v>
      </c>
    </row>
    <row r="570" spans="21:24" x14ac:dyDescent="0.45">
      <c r="U570" s="3" t="s">
        <v>16</v>
      </c>
      <c r="V570" s="3" t="s">
        <v>628</v>
      </c>
      <c r="W570" s="3" t="s">
        <v>109</v>
      </c>
      <c r="X570" s="3" t="s">
        <v>20</v>
      </c>
    </row>
    <row r="571" spans="21:24" x14ac:dyDescent="0.45">
      <c r="U571" s="8" t="s">
        <v>16</v>
      </c>
      <c r="V571" s="8" t="s">
        <v>628</v>
      </c>
      <c r="W571" s="8" t="s">
        <v>109</v>
      </c>
      <c r="X571" s="8" t="s">
        <v>18</v>
      </c>
    </row>
    <row r="572" spans="21:24" x14ac:dyDescent="0.45">
      <c r="U572" s="3" t="s">
        <v>16</v>
      </c>
      <c r="V572" s="3" t="s">
        <v>629</v>
      </c>
      <c r="W572" s="3" t="s">
        <v>570</v>
      </c>
      <c r="X572" s="3" t="s">
        <v>20</v>
      </c>
    </row>
    <row r="573" spans="21:24" x14ac:dyDescent="0.45">
      <c r="U573" s="8" t="s">
        <v>16</v>
      </c>
      <c r="V573" s="8" t="s">
        <v>629</v>
      </c>
      <c r="W573" s="8" t="s">
        <v>570</v>
      </c>
      <c r="X573" s="8" t="s">
        <v>18</v>
      </c>
    </row>
    <row r="574" spans="21:24" x14ac:dyDescent="0.45">
      <c r="U574" s="3" t="s">
        <v>16</v>
      </c>
      <c r="V574" s="3" t="s">
        <v>630</v>
      </c>
      <c r="W574" s="3" t="s">
        <v>570</v>
      </c>
      <c r="X574" s="3" t="s">
        <v>20</v>
      </c>
    </row>
    <row r="575" spans="21:24" x14ac:dyDescent="0.45">
      <c r="U575" s="8" t="s">
        <v>16</v>
      </c>
      <c r="V575" s="8" t="s">
        <v>630</v>
      </c>
      <c r="W575" s="8" t="s">
        <v>570</v>
      </c>
      <c r="X575" s="8" t="s">
        <v>18</v>
      </c>
    </row>
  </sheetData>
  <mergeCells count="1">
    <mergeCell ref="A1:H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8F9DF-9850-4235-A510-94AD0C241BAF}">
  <dimension ref="F1:AE15"/>
  <sheetViews>
    <sheetView topLeftCell="F1" workbookViewId="0">
      <selection activeCell="P9" sqref="P9"/>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8.464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1.5</v>
      </c>
      <c r="W1">
        <v>0.2</v>
      </c>
    </row>
    <row r="2" spans="6:31" x14ac:dyDescent="0.45">
      <c r="F2" s="13" t="s">
        <v>631</v>
      </c>
      <c r="G2" s="13" t="s">
        <v>632</v>
      </c>
      <c r="H2" s="13" t="s">
        <v>633</v>
      </c>
      <c r="I2" s="13" t="s">
        <v>634</v>
      </c>
      <c r="J2" s="13" t="s">
        <v>635</v>
      </c>
    </row>
    <row r="3" spans="6:31" x14ac:dyDescent="0.45">
      <c r="F3" t="s">
        <v>636</v>
      </c>
      <c r="G3" s="14">
        <v>0.47481449771689499</v>
      </c>
      <c r="H3" s="14">
        <v>0.69442466702740679</v>
      </c>
      <c r="I3" s="14">
        <v>0.47418609158643016</v>
      </c>
      <c r="J3" s="14">
        <v>0.6946852572712876</v>
      </c>
      <c r="O3" t="s">
        <v>637</v>
      </c>
    </row>
    <row r="4" spans="6:31" x14ac:dyDescent="0.45">
      <c r="F4" t="s">
        <v>638</v>
      </c>
      <c r="G4" s="14">
        <v>8.1860553150211748E-2</v>
      </c>
      <c r="H4" s="14" t="e">
        <v>#NUM!</v>
      </c>
      <c r="I4" s="14">
        <v>0.13301098573063247</v>
      </c>
      <c r="J4" s="14">
        <v>0.72295282992217591</v>
      </c>
    </row>
    <row r="5" spans="6:31" x14ac:dyDescent="0.45">
      <c r="F5" t="s">
        <v>639</v>
      </c>
      <c r="G5" s="14">
        <v>0.25843646835036677</v>
      </c>
      <c r="H5" s="14">
        <v>0.87767962559922619</v>
      </c>
      <c r="I5" s="14">
        <v>0.31374689536475731</v>
      </c>
      <c r="J5" s="14">
        <v>0.79968621077148594</v>
      </c>
    </row>
    <row r="6" spans="6:31" x14ac:dyDescent="0.45">
      <c r="F6" t="s">
        <v>640</v>
      </c>
      <c r="G6" s="14">
        <v>0.20714688830742392</v>
      </c>
      <c r="H6" s="14">
        <v>0.35862471591501427</v>
      </c>
      <c r="I6" s="14">
        <v>0.15925098339686278</v>
      </c>
      <c r="J6" s="14">
        <v>0.24100022141732155</v>
      </c>
      <c r="N6" t="s">
        <v>641</v>
      </c>
      <c r="Y6" t="s">
        <v>642</v>
      </c>
    </row>
    <row r="7" spans="6:31" x14ac:dyDescent="0.45">
      <c r="F7" t="s">
        <v>643</v>
      </c>
      <c r="G7" s="14">
        <v>0.54572032171403384</v>
      </c>
      <c r="H7" s="14">
        <v>0.9202311061410865</v>
      </c>
      <c r="I7" s="14">
        <v>0.54572843714505193</v>
      </c>
      <c r="J7" s="14">
        <v>0.91976991206766345</v>
      </c>
      <c r="N7" t="s">
        <v>644</v>
      </c>
      <c r="O7" t="s">
        <v>645</v>
      </c>
      <c r="P7" t="s">
        <v>646</v>
      </c>
      <c r="Q7" t="s">
        <v>647</v>
      </c>
      <c r="R7" t="s">
        <v>648</v>
      </c>
      <c r="S7">
        <v>2022</v>
      </c>
      <c r="T7">
        <v>2030</v>
      </c>
      <c r="U7" t="s">
        <v>649</v>
      </c>
      <c r="V7" t="s">
        <v>650</v>
      </c>
      <c r="Y7" t="s">
        <v>644</v>
      </c>
      <c r="Z7" t="s">
        <v>645</v>
      </c>
      <c r="AA7" t="s">
        <v>647</v>
      </c>
      <c r="AB7" t="s">
        <v>648</v>
      </c>
      <c r="AC7">
        <v>2050</v>
      </c>
      <c r="AD7" t="s">
        <v>649</v>
      </c>
      <c r="AE7" t="s">
        <v>650</v>
      </c>
    </row>
    <row r="8" spans="6:31" x14ac:dyDescent="0.45">
      <c r="F8" t="s">
        <v>651</v>
      </c>
      <c r="G8" s="14">
        <v>0.15169278867909006</v>
      </c>
      <c r="H8" s="14">
        <v>0.65962106655096175</v>
      </c>
      <c r="I8" s="14">
        <v>4.8332019032958251E-2</v>
      </c>
      <c r="J8" s="14">
        <v>0.38817248336251431</v>
      </c>
      <c r="N8" t="s">
        <v>652</v>
      </c>
      <c r="O8" t="s">
        <v>638</v>
      </c>
      <c r="P8" s="15" t="s">
        <v>653</v>
      </c>
      <c r="Q8" s="16">
        <f>-1/8.76</f>
        <v>-0.11415525114155252</v>
      </c>
      <c r="S8" s="16" t="e">
        <f>VLOOKUP(O8,$F$3:$J$11,3,FALSE)</f>
        <v>#NUM!</v>
      </c>
      <c r="T8" s="16" t="e">
        <f>MIN(S8*$U$1,0.95)</f>
        <v>#NUM!</v>
      </c>
      <c r="U8">
        <v>0</v>
      </c>
      <c r="V8">
        <v>3</v>
      </c>
      <c r="Y8" t="s">
        <v>654</v>
      </c>
      <c r="Z8" t="s">
        <v>638</v>
      </c>
      <c r="AA8">
        <f>-1/8.76</f>
        <v>-0.11415525114155252</v>
      </c>
      <c r="AB8" s="16">
        <f>VLOOKUP(Z8,$F$3:$J$11,2,FALSE)</f>
        <v>8.1860553150211748E-2</v>
      </c>
      <c r="AC8">
        <f>AB8*$W$1</f>
        <v>1.637211063004235E-2</v>
      </c>
      <c r="AD8">
        <v>0</v>
      </c>
      <c r="AE8">
        <v>3</v>
      </c>
    </row>
    <row r="9" spans="6:31" x14ac:dyDescent="0.45">
      <c r="F9" t="s">
        <v>655</v>
      </c>
      <c r="G9" s="14">
        <v>0</v>
      </c>
      <c r="H9" s="14">
        <v>0.11415525114155252</v>
      </c>
      <c r="I9" s="14">
        <v>2.7853881278538814E-2</v>
      </c>
      <c r="J9" s="14">
        <v>0.11073225436517092</v>
      </c>
      <c r="N9" t="s">
        <v>656</v>
      </c>
      <c r="O9" t="s">
        <v>639</v>
      </c>
      <c r="P9" s="15" t="str">
        <f>P8</f>
        <v>-CO2Captured,-co2[_]*</v>
      </c>
      <c r="Q9" s="16">
        <f>-1/8.76</f>
        <v>-0.11415525114155252</v>
      </c>
      <c r="S9" s="16">
        <f>VLOOKUP(O9,$F$3:$J$11,3,FALSE)</f>
        <v>0.87767962559922619</v>
      </c>
      <c r="T9" s="16">
        <f>MIN(S9*$U$1,0.95)</f>
        <v>0.95</v>
      </c>
      <c r="U9">
        <v>0</v>
      </c>
      <c r="V9">
        <v>3</v>
      </c>
      <c r="Y9" t="s">
        <v>657</v>
      </c>
      <c r="Z9" t="s">
        <v>639</v>
      </c>
      <c r="AA9">
        <f>-1/8.76</f>
        <v>-0.11415525114155252</v>
      </c>
      <c r="AB9" s="16">
        <f>VLOOKUP(Z9,$F$3:$J$11,2,FALSE)</f>
        <v>0.25843646835036677</v>
      </c>
      <c r="AC9">
        <f>AB9*$W$1</f>
        <v>5.1687293670073353E-2</v>
      </c>
      <c r="AD9">
        <v>0</v>
      </c>
      <c r="AE9">
        <v>3</v>
      </c>
    </row>
    <row r="10" spans="6:31" ht="14.65" customHeight="1" x14ac:dyDescent="0.45">
      <c r="F10" t="s">
        <v>658</v>
      </c>
      <c r="G10" s="14"/>
      <c r="H10" s="14"/>
      <c r="I10" s="14">
        <v>1.7836757990867581E-2</v>
      </c>
      <c r="J10" s="14">
        <v>0.44727218881733821</v>
      </c>
      <c r="N10" t="s">
        <v>656</v>
      </c>
      <c r="O10" t="s">
        <v>643</v>
      </c>
      <c r="P10" s="15" t="str">
        <f>P9</f>
        <v>-CO2Captured,-co2[_]*</v>
      </c>
      <c r="Q10" s="16">
        <f>-1/8.76</f>
        <v>-0.11415525114155252</v>
      </c>
      <c r="S10" s="16">
        <f>VLOOKUP(O10,$F$3:$J$11,3,FALSE)</f>
        <v>0.9202311061410865</v>
      </c>
      <c r="T10" s="16">
        <f>MIN(S10*$U$1,0.95)</f>
        <v>0.95</v>
      </c>
      <c r="U10">
        <v>0</v>
      </c>
      <c r="V10">
        <v>3</v>
      </c>
      <c r="Y10" t="s">
        <v>659</v>
      </c>
      <c r="Z10" t="s">
        <v>651</v>
      </c>
      <c r="AA10">
        <f>-1/8.76</f>
        <v>-0.11415525114155252</v>
      </c>
      <c r="AB10" s="16">
        <f>VLOOKUP(Z10,$F$3:$J$11,2,FALSE)</f>
        <v>0.15169278867909006</v>
      </c>
      <c r="AC10" s="17">
        <f>AB10*$W$1</f>
        <v>3.0338557735818013E-2</v>
      </c>
      <c r="AD10">
        <v>0</v>
      </c>
      <c r="AE10">
        <v>3</v>
      </c>
    </row>
    <row r="11" spans="6:31" ht="14.65" customHeight="1" x14ac:dyDescent="0.45">
      <c r="F11" t="s">
        <v>660</v>
      </c>
      <c r="G11" s="14">
        <v>0.19900037023324696</v>
      </c>
      <c r="H11" s="14">
        <v>0.35291987290777604</v>
      </c>
      <c r="I11" s="14">
        <v>0.20218713627003312</v>
      </c>
      <c r="J11" s="14">
        <v>0.28339603823494158</v>
      </c>
    </row>
    <row r="15" spans="6:31" x14ac:dyDescent="0.45">
      <c r="X15" s="18">
        <v>2.5</v>
      </c>
      <c r="Y15" s="19" t="s">
        <v>661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32F9-6EBE-4174-898E-BB6C9EC22683}">
  <dimension ref="A1:J23"/>
  <sheetViews>
    <sheetView workbookViewId="0">
      <selection sqref="A1:H1"/>
    </sheetView>
  </sheetViews>
  <sheetFormatPr defaultColWidth="9.1328125" defaultRowHeight="14.25" x14ac:dyDescent="0.45"/>
  <cols>
    <col min="1" max="1" width="6.59765625" bestFit="1" customWidth="1"/>
    <col min="2" max="7" width="10.59765625" customWidth="1"/>
    <col min="8" max="8" width="10.73046875" bestFit="1" customWidth="1"/>
    <col min="9" max="9" width="11.33203125" bestFit="1" customWidth="1"/>
    <col min="10" max="10" width="11.9296875" bestFit="1" customWidth="1"/>
  </cols>
  <sheetData>
    <row r="1" spans="1:10" ht="22.05" customHeight="1" x14ac:dyDescent="0.45">
      <c r="A1" s="27" t="s">
        <v>0</v>
      </c>
      <c r="B1" s="27"/>
      <c r="C1" s="27"/>
      <c r="D1" s="27"/>
      <c r="E1" s="27"/>
      <c r="F1" s="27"/>
      <c r="G1" s="27"/>
      <c r="H1" s="27"/>
    </row>
    <row r="9" spans="1:10" ht="14.65" thickBot="1" x14ac:dyDescent="0.5">
      <c r="B9" t="s">
        <v>662</v>
      </c>
    </row>
    <row r="10" spans="1:10" ht="15.75" thickBot="1" x14ac:dyDescent="0.6">
      <c r="B10" s="2" t="s">
        <v>663</v>
      </c>
      <c r="C10" s="2" t="s">
        <v>664</v>
      </c>
      <c r="D10" s="2" t="s">
        <v>665</v>
      </c>
      <c r="E10" s="2" t="s">
        <v>666</v>
      </c>
      <c r="F10" s="2" t="s">
        <v>667</v>
      </c>
      <c r="G10" s="2" t="s">
        <v>668</v>
      </c>
      <c r="H10" s="2" t="s">
        <v>669</v>
      </c>
      <c r="I10" s="2" t="s">
        <v>670</v>
      </c>
      <c r="J10" s="2" t="s">
        <v>671</v>
      </c>
    </row>
    <row r="11" spans="1:10" x14ac:dyDescent="0.45">
      <c r="B11" s="3" t="s">
        <v>16</v>
      </c>
      <c r="C11" s="5">
        <v>10</v>
      </c>
      <c r="D11" s="5">
        <v>18</v>
      </c>
      <c r="E11" s="4">
        <v>8</v>
      </c>
      <c r="F11" s="5">
        <v>15</v>
      </c>
      <c r="G11" s="6">
        <v>0.1</v>
      </c>
      <c r="H11" s="6">
        <v>0.3</v>
      </c>
      <c r="I11" s="4">
        <v>2</v>
      </c>
      <c r="J11" s="4">
        <v>4</v>
      </c>
    </row>
    <row r="14" spans="1:10" x14ac:dyDescent="0.45">
      <c r="B14" t="s">
        <v>1187</v>
      </c>
    </row>
    <row r="18" spans="1:8" ht="14.65" thickBot="1" x14ac:dyDescent="0.5">
      <c r="B18" s="20" t="s">
        <v>672</v>
      </c>
    </row>
    <row r="19" spans="1:8" ht="15" thickTop="1" thickBot="1" x14ac:dyDescent="0.5">
      <c r="A19" s="21" t="s">
        <v>673</v>
      </c>
      <c r="B19" s="21" t="s">
        <v>674</v>
      </c>
      <c r="C19" s="21" t="s">
        <v>645</v>
      </c>
      <c r="D19" s="21" t="s">
        <v>675</v>
      </c>
      <c r="E19" s="21" t="s">
        <v>676</v>
      </c>
      <c r="F19" s="21">
        <v>2025</v>
      </c>
      <c r="G19" s="21">
        <v>2040</v>
      </c>
      <c r="H19" s="21">
        <v>0</v>
      </c>
    </row>
    <row r="20" spans="1:8" x14ac:dyDescent="0.45">
      <c r="A20" t="s">
        <v>655</v>
      </c>
      <c r="B20" t="str">
        <f>"uce_buildrate_"&amp;A20</f>
        <v>uce_buildrate_solar</v>
      </c>
      <c r="C20" t="str">
        <f>A20</f>
        <v>solar</v>
      </c>
      <c r="D20" t="s">
        <v>677</v>
      </c>
      <c r="E20">
        <v>1</v>
      </c>
      <c r="F20">
        <f>C11</f>
        <v>10</v>
      </c>
      <c r="G20">
        <f>D11</f>
        <v>18</v>
      </c>
      <c r="H20">
        <v>4</v>
      </c>
    </row>
    <row r="21" spans="1:8" x14ac:dyDescent="0.45">
      <c r="A21" t="s">
        <v>678</v>
      </c>
      <c r="B21" t="str">
        <f t="shared" ref="B21:B23" si="0">"uce_buildrate_"&amp;A21</f>
        <v>uce_buildrate_wind</v>
      </c>
      <c r="C21" t="str">
        <f>A21&amp;"*"</f>
        <v>wind*</v>
      </c>
      <c r="D21" t="s">
        <v>677</v>
      </c>
      <c r="E21">
        <v>1</v>
      </c>
      <c r="F21">
        <f>E11</f>
        <v>8</v>
      </c>
      <c r="G21">
        <f>F11</f>
        <v>15</v>
      </c>
      <c r="H21">
        <v>4</v>
      </c>
    </row>
    <row r="22" spans="1:8" x14ac:dyDescent="0.45">
      <c r="A22" t="s">
        <v>640</v>
      </c>
      <c r="B22" t="str">
        <f t="shared" si="0"/>
        <v>uce_buildrate_hydro</v>
      </c>
      <c r="C22" t="str">
        <f t="shared" ref="C22:C23" si="1">A22</f>
        <v>hydro</v>
      </c>
      <c r="D22" t="s">
        <v>677</v>
      </c>
      <c r="E22">
        <v>1</v>
      </c>
      <c r="F22">
        <f>G11</f>
        <v>0.1</v>
      </c>
      <c r="G22">
        <f>H11</f>
        <v>0.3</v>
      </c>
      <c r="H22">
        <v>4</v>
      </c>
    </row>
    <row r="23" spans="1:8" x14ac:dyDescent="0.45">
      <c r="A23" t="s">
        <v>643</v>
      </c>
      <c r="B23" t="str">
        <f t="shared" si="0"/>
        <v>uce_buildrate_nuclear</v>
      </c>
      <c r="C23" t="str">
        <f t="shared" si="1"/>
        <v>nuclear</v>
      </c>
      <c r="D23" t="s">
        <v>677</v>
      </c>
      <c r="E23">
        <v>1</v>
      </c>
      <c r="F23">
        <f>I11</f>
        <v>2</v>
      </c>
      <c r="G23">
        <f>J11</f>
        <v>4</v>
      </c>
      <c r="H23">
        <v>4</v>
      </c>
    </row>
  </sheetData>
  <mergeCells count="1">
    <mergeCell ref="A1:H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7E387-3FA9-47D9-B810-C8BA617578D1}">
  <dimension ref="A1:I82"/>
  <sheetViews>
    <sheetView workbookViewId="0"/>
  </sheetViews>
  <sheetFormatPr defaultRowHeight="14.25" x14ac:dyDescent="0.45"/>
  <sheetData>
    <row r="1" spans="1:9" x14ac:dyDescent="0.45">
      <c r="C1" t="s">
        <v>679</v>
      </c>
    </row>
    <row r="3" spans="1:9" x14ac:dyDescent="0.45">
      <c r="C3" t="s">
        <v>680</v>
      </c>
      <c r="G3" t="s">
        <v>681</v>
      </c>
    </row>
    <row r="4" spans="1:9" x14ac:dyDescent="0.45">
      <c r="A4" t="s">
        <v>25</v>
      </c>
      <c r="B4" t="s">
        <v>674</v>
      </c>
      <c r="C4" t="s">
        <v>646</v>
      </c>
      <c r="D4" t="s">
        <v>682</v>
      </c>
      <c r="E4" t="s">
        <v>683</v>
      </c>
      <c r="G4" t="s">
        <v>674</v>
      </c>
      <c r="H4" t="s">
        <v>645</v>
      </c>
      <c r="I4" t="s">
        <v>682</v>
      </c>
    </row>
    <row r="5" spans="1:9" x14ac:dyDescent="0.45">
      <c r="A5" t="s">
        <v>684</v>
      </c>
      <c r="B5" t="s">
        <v>685</v>
      </c>
      <c r="C5" t="s">
        <v>686</v>
      </c>
      <c r="D5">
        <v>1</v>
      </c>
      <c r="E5">
        <v>2</v>
      </c>
      <c r="G5" t="s">
        <v>685</v>
      </c>
      <c r="H5" t="s">
        <v>686</v>
      </c>
      <c r="I5">
        <v>-1</v>
      </c>
    </row>
    <row r="6" spans="1:9" x14ac:dyDescent="0.45">
      <c r="A6" t="s">
        <v>684</v>
      </c>
      <c r="B6" t="s">
        <v>687</v>
      </c>
      <c r="C6" t="s">
        <v>688</v>
      </c>
      <c r="D6">
        <v>1</v>
      </c>
      <c r="E6">
        <v>2</v>
      </c>
      <c r="G6" t="s">
        <v>687</v>
      </c>
      <c r="H6" t="s">
        <v>688</v>
      </c>
      <c r="I6">
        <v>-1</v>
      </c>
    </row>
    <row r="7" spans="1:9" x14ac:dyDescent="0.45">
      <c r="A7" t="s">
        <v>684</v>
      </c>
      <c r="B7" t="s">
        <v>689</v>
      </c>
      <c r="C7" t="s">
        <v>690</v>
      </c>
      <c r="D7">
        <v>1</v>
      </c>
      <c r="E7">
        <v>2</v>
      </c>
      <c r="G7" t="s">
        <v>689</v>
      </c>
      <c r="H7" t="s">
        <v>690</v>
      </c>
      <c r="I7">
        <v>-1</v>
      </c>
    </row>
    <row r="8" spans="1:9" x14ac:dyDescent="0.45">
      <c r="A8" t="s">
        <v>684</v>
      </c>
      <c r="B8" t="s">
        <v>691</v>
      </c>
      <c r="C8" t="s">
        <v>692</v>
      </c>
      <c r="D8">
        <v>1</v>
      </c>
      <c r="E8">
        <v>2</v>
      </c>
      <c r="G8" t="s">
        <v>691</v>
      </c>
      <c r="H8" t="s">
        <v>692</v>
      </c>
      <c r="I8">
        <v>-1</v>
      </c>
    </row>
    <row r="9" spans="1:9" x14ac:dyDescent="0.45">
      <c r="A9" t="s">
        <v>684</v>
      </c>
      <c r="B9" t="s">
        <v>693</v>
      </c>
      <c r="C9" t="s">
        <v>694</v>
      </c>
      <c r="D9">
        <v>1</v>
      </c>
      <c r="E9">
        <v>2</v>
      </c>
      <c r="G9" t="s">
        <v>693</v>
      </c>
      <c r="H9" t="s">
        <v>694</v>
      </c>
      <c r="I9">
        <v>-1</v>
      </c>
    </row>
    <row r="10" spans="1:9" x14ac:dyDescent="0.45">
      <c r="A10" t="s">
        <v>684</v>
      </c>
      <c r="B10" t="s">
        <v>695</v>
      </c>
      <c r="C10" t="s">
        <v>696</v>
      </c>
      <c r="D10">
        <v>1</v>
      </c>
      <c r="E10">
        <v>2</v>
      </c>
      <c r="G10" t="s">
        <v>695</v>
      </c>
      <c r="H10" t="s">
        <v>696</v>
      </c>
      <c r="I10">
        <v>-1</v>
      </c>
    </row>
    <row r="11" spans="1:9" x14ac:dyDescent="0.45">
      <c r="A11" t="s">
        <v>684</v>
      </c>
      <c r="B11" t="s">
        <v>697</v>
      </c>
      <c r="C11" t="s">
        <v>698</v>
      </c>
      <c r="D11">
        <v>1</v>
      </c>
      <c r="E11">
        <v>2</v>
      </c>
      <c r="G11" t="s">
        <v>697</v>
      </c>
      <c r="H11" t="s">
        <v>698</v>
      </c>
      <c r="I11">
        <v>-1</v>
      </c>
    </row>
    <row r="12" spans="1:9" x14ac:dyDescent="0.45">
      <c r="A12" t="s">
        <v>684</v>
      </c>
      <c r="B12" t="s">
        <v>699</v>
      </c>
      <c r="C12" t="s">
        <v>700</v>
      </c>
      <c r="D12">
        <v>1</v>
      </c>
      <c r="E12">
        <v>2</v>
      </c>
      <c r="G12" t="s">
        <v>699</v>
      </c>
      <c r="H12" t="s">
        <v>700</v>
      </c>
      <c r="I12">
        <v>-1</v>
      </c>
    </row>
    <row r="13" spans="1:9" x14ac:dyDescent="0.45">
      <c r="A13" t="s">
        <v>684</v>
      </c>
      <c r="B13" t="s">
        <v>701</v>
      </c>
      <c r="C13" t="s">
        <v>702</v>
      </c>
      <c r="D13">
        <v>1</v>
      </c>
      <c r="E13">
        <v>2</v>
      </c>
      <c r="G13" t="s">
        <v>701</v>
      </c>
      <c r="H13" t="s">
        <v>702</v>
      </c>
      <c r="I13">
        <v>-1</v>
      </c>
    </row>
    <row r="14" spans="1:9" x14ac:dyDescent="0.45">
      <c r="A14" t="s">
        <v>684</v>
      </c>
      <c r="B14" t="s">
        <v>703</v>
      </c>
      <c r="C14" t="s">
        <v>704</v>
      </c>
      <c r="D14">
        <v>1</v>
      </c>
      <c r="E14">
        <v>2</v>
      </c>
      <c r="G14" t="s">
        <v>703</v>
      </c>
      <c r="H14" t="s">
        <v>704</v>
      </c>
      <c r="I14">
        <v>-1</v>
      </c>
    </row>
    <row r="15" spans="1:9" x14ac:dyDescent="0.45">
      <c r="A15" t="s">
        <v>684</v>
      </c>
      <c r="B15" t="s">
        <v>705</v>
      </c>
      <c r="C15" t="s">
        <v>706</v>
      </c>
      <c r="D15">
        <v>1</v>
      </c>
      <c r="E15">
        <v>2</v>
      </c>
      <c r="G15" t="s">
        <v>705</v>
      </c>
      <c r="H15" t="s">
        <v>706</v>
      </c>
      <c r="I15">
        <v>-1</v>
      </c>
    </row>
    <row r="16" spans="1:9" x14ac:dyDescent="0.45">
      <c r="A16" t="s">
        <v>684</v>
      </c>
      <c r="B16" t="s">
        <v>707</v>
      </c>
      <c r="C16" t="s">
        <v>708</v>
      </c>
      <c r="D16">
        <v>1</v>
      </c>
      <c r="E16">
        <v>2</v>
      </c>
      <c r="G16" t="s">
        <v>707</v>
      </c>
      <c r="H16" t="s">
        <v>708</v>
      </c>
      <c r="I16">
        <v>-1</v>
      </c>
    </row>
    <row r="17" spans="1:9" x14ac:dyDescent="0.45">
      <c r="A17" t="s">
        <v>684</v>
      </c>
      <c r="B17" t="s">
        <v>709</v>
      </c>
      <c r="C17" t="s">
        <v>710</v>
      </c>
      <c r="D17">
        <v>1</v>
      </c>
      <c r="E17">
        <v>2</v>
      </c>
      <c r="G17" t="s">
        <v>709</v>
      </c>
      <c r="H17" t="s">
        <v>710</v>
      </c>
      <c r="I17">
        <v>-1</v>
      </c>
    </row>
    <row r="18" spans="1:9" x14ac:dyDescent="0.45">
      <c r="A18" t="s">
        <v>684</v>
      </c>
      <c r="B18" t="s">
        <v>711</v>
      </c>
      <c r="C18" t="s">
        <v>712</v>
      </c>
      <c r="D18">
        <v>1</v>
      </c>
      <c r="E18">
        <v>2</v>
      </c>
      <c r="G18" t="s">
        <v>711</v>
      </c>
      <c r="H18" t="s">
        <v>712</v>
      </c>
      <c r="I18">
        <v>-1</v>
      </c>
    </row>
    <row r="19" spans="1:9" x14ac:dyDescent="0.45">
      <c r="A19" t="s">
        <v>684</v>
      </c>
      <c r="B19" t="s">
        <v>713</v>
      </c>
      <c r="C19" t="s">
        <v>714</v>
      </c>
      <c r="D19">
        <v>1</v>
      </c>
      <c r="E19">
        <v>2</v>
      </c>
      <c r="G19" t="s">
        <v>713</v>
      </c>
      <c r="H19" t="s">
        <v>714</v>
      </c>
      <c r="I19">
        <v>-1</v>
      </c>
    </row>
    <row r="20" spans="1:9" x14ac:dyDescent="0.45">
      <c r="A20" t="s">
        <v>684</v>
      </c>
      <c r="B20" t="s">
        <v>715</v>
      </c>
      <c r="C20" t="s">
        <v>716</v>
      </c>
      <c r="D20">
        <v>1</v>
      </c>
      <c r="E20">
        <v>2</v>
      </c>
      <c r="G20" t="s">
        <v>715</v>
      </c>
      <c r="H20" t="s">
        <v>716</v>
      </c>
      <c r="I20">
        <v>-1</v>
      </c>
    </row>
    <row r="21" spans="1:9" x14ac:dyDescent="0.45">
      <c r="A21" t="s">
        <v>684</v>
      </c>
      <c r="B21" t="s">
        <v>717</v>
      </c>
      <c r="C21" t="s">
        <v>718</v>
      </c>
      <c r="D21">
        <v>1</v>
      </c>
      <c r="E21">
        <v>2</v>
      </c>
      <c r="G21" t="s">
        <v>717</v>
      </c>
      <c r="H21" t="s">
        <v>718</v>
      </c>
      <c r="I21">
        <v>-1</v>
      </c>
    </row>
    <row r="22" spans="1:9" x14ac:dyDescent="0.45">
      <c r="A22" t="s">
        <v>684</v>
      </c>
      <c r="B22" t="s">
        <v>719</v>
      </c>
      <c r="C22" t="s">
        <v>720</v>
      </c>
      <c r="D22">
        <v>1</v>
      </c>
      <c r="E22">
        <v>2</v>
      </c>
      <c r="G22" t="s">
        <v>719</v>
      </c>
      <c r="H22" t="s">
        <v>720</v>
      </c>
      <c r="I22">
        <v>-1</v>
      </c>
    </row>
    <row r="23" spans="1:9" x14ac:dyDescent="0.45">
      <c r="A23" t="s">
        <v>684</v>
      </c>
      <c r="B23" t="s">
        <v>721</v>
      </c>
      <c r="C23" t="s">
        <v>722</v>
      </c>
      <c r="D23">
        <v>1</v>
      </c>
      <c r="E23">
        <v>2</v>
      </c>
      <c r="G23" t="s">
        <v>721</v>
      </c>
      <c r="H23" t="s">
        <v>722</v>
      </c>
      <c r="I23">
        <v>-1</v>
      </c>
    </row>
    <row r="24" spans="1:9" x14ac:dyDescent="0.45">
      <c r="A24" t="s">
        <v>684</v>
      </c>
      <c r="B24" t="s">
        <v>723</v>
      </c>
      <c r="C24" t="s">
        <v>724</v>
      </c>
      <c r="D24">
        <v>1</v>
      </c>
      <c r="E24">
        <v>2</v>
      </c>
      <c r="G24" t="s">
        <v>723</v>
      </c>
      <c r="H24" t="s">
        <v>724</v>
      </c>
      <c r="I24">
        <v>-1</v>
      </c>
    </row>
    <row r="25" spans="1:9" x14ac:dyDescent="0.45">
      <c r="A25" t="s">
        <v>684</v>
      </c>
      <c r="B25" t="s">
        <v>725</v>
      </c>
      <c r="C25" t="s">
        <v>726</v>
      </c>
      <c r="D25">
        <v>1</v>
      </c>
      <c r="E25">
        <v>2</v>
      </c>
      <c r="G25" t="s">
        <v>725</v>
      </c>
      <c r="H25" t="s">
        <v>726</v>
      </c>
      <c r="I25">
        <v>-1</v>
      </c>
    </row>
    <row r="26" spans="1:9" x14ac:dyDescent="0.45">
      <c r="A26" t="s">
        <v>684</v>
      </c>
      <c r="B26" t="s">
        <v>727</v>
      </c>
      <c r="C26" t="s">
        <v>728</v>
      </c>
      <c r="D26">
        <v>1</v>
      </c>
      <c r="E26">
        <v>2</v>
      </c>
      <c r="G26" t="s">
        <v>727</v>
      </c>
      <c r="H26" t="s">
        <v>728</v>
      </c>
      <c r="I26">
        <v>-1</v>
      </c>
    </row>
    <row r="27" spans="1:9" x14ac:dyDescent="0.45">
      <c r="A27" t="s">
        <v>684</v>
      </c>
      <c r="B27" t="s">
        <v>729</v>
      </c>
      <c r="C27" t="s">
        <v>730</v>
      </c>
      <c r="D27">
        <v>1</v>
      </c>
      <c r="E27">
        <v>2</v>
      </c>
      <c r="G27" t="s">
        <v>729</v>
      </c>
      <c r="H27" t="s">
        <v>730</v>
      </c>
      <c r="I27">
        <v>-1</v>
      </c>
    </row>
    <row r="28" spans="1:9" x14ac:dyDescent="0.45">
      <c r="A28" t="s">
        <v>684</v>
      </c>
      <c r="B28" t="s">
        <v>731</v>
      </c>
      <c r="C28" t="s">
        <v>732</v>
      </c>
      <c r="D28">
        <v>1</v>
      </c>
      <c r="E28">
        <v>2</v>
      </c>
      <c r="G28" t="s">
        <v>731</v>
      </c>
      <c r="H28" t="s">
        <v>732</v>
      </c>
      <c r="I28">
        <v>-1</v>
      </c>
    </row>
    <row r="29" spans="1:9" x14ac:dyDescent="0.45">
      <c r="A29" t="s">
        <v>684</v>
      </c>
      <c r="B29" t="s">
        <v>733</v>
      </c>
      <c r="C29" t="s">
        <v>734</v>
      </c>
      <c r="D29">
        <v>1</v>
      </c>
      <c r="E29">
        <v>2</v>
      </c>
      <c r="G29" t="s">
        <v>733</v>
      </c>
      <c r="H29" t="s">
        <v>734</v>
      </c>
      <c r="I29">
        <v>-1</v>
      </c>
    </row>
    <row r="30" spans="1:9" x14ac:dyDescent="0.45">
      <c r="A30" t="s">
        <v>684</v>
      </c>
      <c r="B30" t="s">
        <v>735</v>
      </c>
      <c r="C30" t="s">
        <v>736</v>
      </c>
      <c r="D30">
        <v>1</v>
      </c>
      <c r="E30">
        <v>2</v>
      </c>
      <c r="G30" t="s">
        <v>735</v>
      </c>
      <c r="H30" t="s">
        <v>736</v>
      </c>
      <c r="I30">
        <v>-1</v>
      </c>
    </row>
    <row r="31" spans="1:9" x14ac:dyDescent="0.45">
      <c r="A31" t="s">
        <v>684</v>
      </c>
      <c r="B31" t="s">
        <v>737</v>
      </c>
      <c r="C31" t="s">
        <v>738</v>
      </c>
      <c r="D31">
        <v>1</v>
      </c>
      <c r="E31">
        <v>2</v>
      </c>
      <c r="G31" t="s">
        <v>737</v>
      </c>
      <c r="H31" t="s">
        <v>738</v>
      </c>
      <c r="I31">
        <v>-1</v>
      </c>
    </row>
    <row r="32" spans="1:9" x14ac:dyDescent="0.45">
      <c r="A32" t="s">
        <v>684</v>
      </c>
      <c r="B32" t="s">
        <v>739</v>
      </c>
      <c r="C32" t="s">
        <v>740</v>
      </c>
      <c r="D32">
        <v>1</v>
      </c>
      <c r="E32">
        <v>2</v>
      </c>
      <c r="G32" t="s">
        <v>739</v>
      </c>
      <c r="H32" t="s">
        <v>740</v>
      </c>
      <c r="I32">
        <v>-1</v>
      </c>
    </row>
    <row r="33" spans="1:9" x14ac:dyDescent="0.45">
      <c r="A33" t="s">
        <v>684</v>
      </c>
      <c r="B33" t="s">
        <v>741</v>
      </c>
      <c r="C33" t="s">
        <v>742</v>
      </c>
      <c r="D33">
        <v>1</v>
      </c>
      <c r="E33">
        <v>2</v>
      </c>
      <c r="G33" t="s">
        <v>741</v>
      </c>
      <c r="H33" t="s">
        <v>742</v>
      </c>
      <c r="I33">
        <v>-1</v>
      </c>
    </row>
    <row r="34" spans="1:9" x14ac:dyDescent="0.45">
      <c r="A34" t="s">
        <v>684</v>
      </c>
      <c r="B34" t="s">
        <v>743</v>
      </c>
      <c r="C34" t="s">
        <v>744</v>
      </c>
      <c r="D34">
        <v>1</v>
      </c>
      <c r="E34">
        <v>2</v>
      </c>
      <c r="G34" t="s">
        <v>743</v>
      </c>
      <c r="H34" t="s">
        <v>744</v>
      </c>
      <c r="I34">
        <v>-1</v>
      </c>
    </row>
    <row r="35" spans="1:9" x14ac:dyDescent="0.45">
      <c r="A35" t="s">
        <v>684</v>
      </c>
      <c r="B35" t="s">
        <v>745</v>
      </c>
      <c r="C35" t="s">
        <v>746</v>
      </c>
      <c r="D35">
        <v>1</v>
      </c>
      <c r="E35">
        <v>2</v>
      </c>
      <c r="G35" t="s">
        <v>745</v>
      </c>
      <c r="H35" t="s">
        <v>746</v>
      </c>
      <c r="I35">
        <v>-1</v>
      </c>
    </row>
    <row r="36" spans="1:9" x14ac:dyDescent="0.45">
      <c r="A36" t="s">
        <v>684</v>
      </c>
      <c r="B36" t="s">
        <v>747</v>
      </c>
      <c r="C36" t="s">
        <v>748</v>
      </c>
      <c r="D36">
        <v>1</v>
      </c>
      <c r="E36">
        <v>2</v>
      </c>
      <c r="G36" t="s">
        <v>747</v>
      </c>
      <c r="H36" t="s">
        <v>748</v>
      </c>
      <c r="I36">
        <v>-1</v>
      </c>
    </row>
    <row r="37" spans="1:9" x14ac:dyDescent="0.45">
      <c r="A37" t="s">
        <v>684</v>
      </c>
      <c r="B37" t="s">
        <v>749</v>
      </c>
      <c r="C37" t="s">
        <v>750</v>
      </c>
      <c r="D37">
        <v>1</v>
      </c>
      <c r="E37">
        <v>2</v>
      </c>
      <c r="G37" t="s">
        <v>749</v>
      </c>
      <c r="H37" t="s">
        <v>750</v>
      </c>
      <c r="I37">
        <v>-1</v>
      </c>
    </row>
    <row r="38" spans="1:9" x14ac:dyDescent="0.45">
      <c r="A38" t="s">
        <v>684</v>
      </c>
      <c r="B38" t="s">
        <v>751</v>
      </c>
      <c r="C38" t="s">
        <v>752</v>
      </c>
      <c r="D38">
        <v>1</v>
      </c>
      <c r="E38">
        <v>2</v>
      </c>
      <c r="G38" t="s">
        <v>751</v>
      </c>
      <c r="H38" t="s">
        <v>752</v>
      </c>
      <c r="I38">
        <v>-1</v>
      </c>
    </row>
    <row r="39" spans="1:9" x14ac:dyDescent="0.45">
      <c r="A39" t="s">
        <v>684</v>
      </c>
      <c r="B39" t="s">
        <v>753</v>
      </c>
      <c r="C39" t="s">
        <v>754</v>
      </c>
      <c r="D39">
        <v>1</v>
      </c>
      <c r="E39">
        <v>2</v>
      </c>
      <c r="G39" t="s">
        <v>753</v>
      </c>
      <c r="H39" t="s">
        <v>754</v>
      </c>
      <c r="I39">
        <v>-1</v>
      </c>
    </row>
    <row r="40" spans="1:9" x14ac:dyDescent="0.45">
      <c r="A40" t="s">
        <v>684</v>
      </c>
      <c r="B40" t="s">
        <v>755</v>
      </c>
      <c r="C40" t="s">
        <v>756</v>
      </c>
      <c r="D40">
        <v>1</v>
      </c>
      <c r="E40">
        <v>2</v>
      </c>
      <c r="G40" t="s">
        <v>755</v>
      </c>
      <c r="H40" t="s">
        <v>756</v>
      </c>
      <c r="I40">
        <v>-1</v>
      </c>
    </row>
    <row r="41" spans="1:9" x14ac:dyDescent="0.45">
      <c r="A41" t="s">
        <v>684</v>
      </c>
      <c r="B41" t="s">
        <v>757</v>
      </c>
      <c r="C41" t="s">
        <v>758</v>
      </c>
      <c r="D41">
        <v>1</v>
      </c>
      <c r="E41">
        <v>2</v>
      </c>
      <c r="G41" t="s">
        <v>757</v>
      </c>
      <c r="H41" t="s">
        <v>758</v>
      </c>
      <c r="I41">
        <v>-1</v>
      </c>
    </row>
    <row r="42" spans="1:9" x14ac:dyDescent="0.45">
      <c r="A42" t="s">
        <v>684</v>
      </c>
      <c r="B42" t="s">
        <v>759</v>
      </c>
      <c r="C42" t="s">
        <v>760</v>
      </c>
      <c r="D42">
        <v>1</v>
      </c>
      <c r="E42">
        <v>2</v>
      </c>
      <c r="G42" t="s">
        <v>759</v>
      </c>
      <c r="H42" t="s">
        <v>760</v>
      </c>
      <c r="I42">
        <v>-1</v>
      </c>
    </row>
    <row r="43" spans="1:9" x14ac:dyDescent="0.45">
      <c r="A43" t="s">
        <v>684</v>
      </c>
      <c r="B43" t="s">
        <v>761</v>
      </c>
      <c r="C43" t="s">
        <v>762</v>
      </c>
      <c r="D43">
        <v>1</v>
      </c>
      <c r="E43">
        <v>2</v>
      </c>
      <c r="G43" t="s">
        <v>761</v>
      </c>
      <c r="H43" t="s">
        <v>762</v>
      </c>
      <c r="I43">
        <v>-1</v>
      </c>
    </row>
    <row r="44" spans="1:9" x14ac:dyDescent="0.45">
      <c r="A44" t="s">
        <v>684</v>
      </c>
      <c r="B44" t="s">
        <v>763</v>
      </c>
      <c r="C44" t="s">
        <v>764</v>
      </c>
      <c r="D44">
        <v>1</v>
      </c>
      <c r="E44">
        <v>2</v>
      </c>
      <c r="G44" t="s">
        <v>763</v>
      </c>
      <c r="H44" t="s">
        <v>764</v>
      </c>
      <c r="I44">
        <v>-1</v>
      </c>
    </row>
    <row r="45" spans="1:9" x14ac:dyDescent="0.45">
      <c r="A45" t="s">
        <v>684</v>
      </c>
      <c r="B45" t="s">
        <v>765</v>
      </c>
      <c r="C45" t="s">
        <v>766</v>
      </c>
      <c r="D45">
        <v>1</v>
      </c>
      <c r="E45">
        <v>2</v>
      </c>
      <c r="G45" t="s">
        <v>765</v>
      </c>
      <c r="H45" t="s">
        <v>766</v>
      </c>
      <c r="I45">
        <v>-1</v>
      </c>
    </row>
    <row r="46" spans="1:9" x14ac:dyDescent="0.45">
      <c r="A46" t="s">
        <v>684</v>
      </c>
      <c r="B46" t="s">
        <v>767</v>
      </c>
      <c r="C46" t="s">
        <v>768</v>
      </c>
      <c r="D46">
        <v>1</v>
      </c>
      <c r="E46">
        <v>2</v>
      </c>
      <c r="G46" t="s">
        <v>767</v>
      </c>
      <c r="H46" t="s">
        <v>768</v>
      </c>
      <c r="I46">
        <v>-1</v>
      </c>
    </row>
    <row r="47" spans="1:9" x14ac:dyDescent="0.45">
      <c r="A47" t="s">
        <v>684</v>
      </c>
      <c r="B47" t="s">
        <v>769</v>
      </c>
      <c r="C47" t="s">
        <v>770</v>
      </c>
      <c r="D47">
        <v>1</v>
      </c>
      <c r="E47">
        <v>2</v>
      </c>
      <c r="G47" t="s">
        <v>769</v>
      </c>
      <c r="H47" t="s">
        <v>770</v>
      </c>
      <c r="I47">
        <v>-1</v>
      </c>
    </row>
    <row r="48" spans="1:9" x14ac:dyDescent="0.45">
      <c r="A48" t="s">
        <v>684</v>
      </c>
      <c r="B48" t="s">
        <v>771</v>
      </c>
      <c r="C48" t="s">
        <v>772</v>
      </c>
      <c r="D48">
        <v>1</v>
      </c>
      <c r="E48">
        <v>2</v>
      </c>
      <c r="G48" t="s">
        <v>771</v>
      </c>
      <c r="H48" t="s">
        <v>772</v>
      </c>
      <c r="I48">
        <v>-1</v>
      </c>
    </row>
    <row r="49" spans="1:9" x14ac:dyDescent="0.45">
      <c r="A49" t="s">
        <v>684</v>
      </c>
      <c r="B49" t="s">
        <v>773</v>
      </c>
      <c r="C49" t="s">
        <v>774</v>
      </c>
      <c r="D49">
        <v>1</v>
      </c>
      <c r="E49">
        <v>2</v>
      </c>
      <c r="G49" t="s">
        <v>773</v>
      </c>
      <c r="H49" t="s">
        <v>774</v>
      </c>
      <c r="I49">
        <v>-1</v>
      </c>
    </row>
    <row r="50" spans="1:9" x14ac:dyDescent="0.45">
      <c r="A50" t="s">
        <v>684</v>
      </c>
      <c r="B50" t="s">
        <v>775</v>
      </c>
      <c r="C50" t="s">
        <v>776</v>
      </c>
      <c r="D50">
        <v>1</v>
      </c>
      <c r="E50">
        <v>2</v>
      </c>
      <c r="G50" t="s">
        <v>775</v>
      </c>
      <c r="H50" t="s">
        <v>776</v>
      </c>
      <c r="I50">
        <v>-1</v>
      </c>
    </row>
    <row r="51" spans="1:9" x14ac:dyDescent="0.45">
      <c r="A51" t="s">
        <v>684</v>
      </c>
      <c r="B51" t="s">
        <v>777</v>
      </c>
      <c r="C51" t="s">
        <v>778</v>
      </c>
      <c r="D51">
        <v>1</v>
      </c>
      <c r="E51">
        <v>2</v>
      </c>
      <c r="G51" t="s">
        <v>777</v>
      </c>
      <c r="H51" t="s">
        <v>778</v>
      </c>
      <c r="I51">
        <v>-1</v>
      </c>
    </row>
    <row r="52" spans="1:9" x14ac:dyDescent="0.45">
      <c r="A52" t="s">
        <v>684</v>
      </c>
      <c r="B52" t="s">
        <v>779</v>
      </c>
      <c r="C52" t="s">
        <v>780</v>
      </c>
      <c r="D52">
        <v>1</v>
      </c>
      <c r="E52">
        <v>2</v>
      </c>
      <c r="G52" t="s">
        <v>779</v>
      </c>
      <c r="H52" t="s">
        <v>780</v>
      </c>
      <c r="I52">
        <v>-1</v>
      </c>
    </row>
    <row r="53" spans="1:9" x14ac:dyDescent="0.45">
      <c r="A53" t="s">
        <v>684</v>
      </c>
      <c r="B53" t="s">
        <v>781</v>
      </c>
      <c r="C53" t="s">
        <v>782</v>
      </c>
      <c r="D53">
        <v>1</v>
      </c>
      <c r="E53">
        <v>2</v>
      </c>
      <c r="G53" t="s">
        <v>781</v>
      </c>
      <c r="H53" t="s">
        <v>782</v>
      </c>
      <c r="I53">
        <v>-1</v>
      </c>
    </row>
    <row r="54" spans="1:9" x14ac:dyDescent="0.45">
      <c r="A54" t="s">
        <v>684</v>
      </c>
      <c r="B54" t="s">
        <v>783</v>
      </c>
      <c r="C54" t="s">
        <v>784</v>
      </c>
      <c r="D54">
        <v>1</v>
      </c>
      <c r="E54">
        <v>2</v>
      </c>
      <c r="G54" t="s">
        <v>783</v>
      </c>
      <c r="H54" t="s">
        <v>784</v>
      </c>
      <c r="I54">
        <v>-1</v>
      </c>
    </row>
    <row r="55" spans="1:9" x14ac:dyDescent="0.45">
      <c r="A55" t="s">
        <v>684</v>
      </c>
      <c r="B55" t="s">
        <v>785</v>
      </c>
      <c r="C55" t="s">
        <v>786</v>
      </c>
      <c r="D55">
        <v>1</v>
      </c>
      <c r="E55">
        <v>2</v>
      </c>
      <c r="G55" t="s">
        <v>785</v>
      </c>
      <c r="H55" t="s">
        <v>786</v>
      </c>
      <c r="I55">
        <v>-1</v>
      </c>
    </row>
    <row r="56" spans="1:9" x14ac:dyDescent="0.45">
      <c r="A56" t="s">
        <v>684</v>
      </c>
      <c r="B56" t="s">
        <v>787</v>
      </c>
      <c r="C56" t="s">
        <v>788</v>
      </c>
      <c r="D56">
        <v>1</v>
      </c>
      <c r="E56">
        <v>2</v>
      </c>
      <c r="G56" t="s">
        <v>787</v>
      </c>
      <c r="H56" t="s">
        <v>788</v>
      </c>
      <c r="I56">
        <v>-1</v>
      </c>
    </row>
    <row r="57" spans="1:9" x14ac:dyDescent="0.45">
      <c r="A57" t="s">
        <v>684</v>
      </c>
      <c r="B57" t="s">
        <v>789</v>
      </c>
      <c r="C57" t="s">
        <v>790</v>
      </c>
      <c r="D57">
        <v>1</v>
      </c>
      <c r="E57">
        <v>2</v>
      </c>
      <c r="G57" t="s">
        <v>789</v>
      </c>
      <c r="H57" t="s">
        <v>790</v>
      </c>
      <c r="I57">
        <v>-1</v>
      </c>
    </row>
    <row r="58" spans="1:9" x14ac:dyDescent="0.45">
      <c r="A58" t="s">
        <v>684</v>
      </c>
      <c r="B58" t="s">
        <v>791</v>
      </c>
      <c r="C58" t="s">
        <v>792</v>
      </c>
      <c r="D58">
        <v>1</v>
      </c>
      <c r="E58">
        <v>2</v>
      </c>
      <c r="G58" t="s">
        <v>791</v>
      </c>
      <c r="H58" t="s">
        <v>792</v>
      </c>
      <c r="I58">
        <v>-1</v>
      </c>
    </row>
    <row r="59" spans="1:9" x14ac:dyDescent="0.45">
      <c r="A59" t="s">
        <v>684</v>
      </c>
      <c r="B59" t="s">
        <v>793</v>
      </c>
      <c r="C59" t="s">
        <v>794</v>
      </c>
      <c r="D59">
        <v>1</v>
      </c>
      <c r="E59">
        <v>2</v>
      </c>
      <c r="G59" t="s">
        <v>793</v>
      </c>
      <c r="H59" t="s">
        <v>794</v>
      </c>
      <c r="I59">
        <v>-1</v>
      </c>
    </row>
    <row r="60" spans="1:9" x14ac:dyDescent="0.45">
      <c r="A60" t="s">
        <v>684</v>
      </c>
      <c r="B60" t="s">
        <v>795</v>
      </c>
      <c r="C60" t="s">
        <v>796</v>
      </c>
      <c r="D60">
        <v>1</v>
      </c>
      <c r="E60">
        <v>2</v>
      </c>
      <c r="G60" t="s">
        <v>795</v>
      </c>
      <c r="H60" t="s">
        <v>796</v>
      </c>
      <c r="I60">
        <v>-1</v>
      </c>
    </row>
    <row r="61" spans="1:9" x14ac:dyDescent="0.45">
      <c r="A61" t="s">
        <v>684</v>
      </c>
      <c r="B61" t="s">
        <v>797</v>
      </c>
      <c r="C61" t="s">
        <v>798</v>
      </c>
      <c r="D61">
        <v>1</v>
      </c>
      <c r="E61">
        <v>2</v>
      </c>
      <c r="G61" t="s">
        <v>797</v>
      </c>
      <c r="H61" t="s">
        <v>798</v>
      </c>
      <c r="I61">
        <v>-1</v>
      </c>
    </row>
    <row r="62" spans="1:9" x14ac:dyDescent="0.45">
      <c r="A62" t="s">
        <v>684</v>
      </c>
      <c r="B62" t="s">
        <v>799</v>
      </c>
      <c r="C62" t="s">
        <v>800</v>
      </c>
      <c r="D62">
        <v>1</v>
      </c>
      <c r="E62">
        <v>2</v>
      </c>
      <c r="G62" t="s">
        <v>799</v>
      </c>
      <c r="H62" t="s">
        <v>800</v>
      </c>
      <c r="I62">
        <v>-1</v>
      </c>
    </row>
    <row r="63" spans="1:9" x14ac:dyDescent="0.45">
      <c r="A63" t="s">
        <v>684</v>
      </c>
      <c r="B63" t="s">
        <v>801</v>
      </c>
      <c r="C63" t="s">
        <v>802</v>
      </c>
      <c r="D63">
        <v>1</v>
      </c>
      <c r="E63">
        <v>2</v>
      </c>
      <c r="G63" t="s">
        <v>801</v>
      </c>
      <c r="H63" t="s">
        <v>802</v>
      </c>
      <c r="I63">
        <v>-1</v>
      </c>
    </row>
    <row r="64" spans="1:9" x14ac:dyDescent="0.45">
      <c r="A64" t="s">
        <v>684</v>
      </c>
      <c r="B64" t="s">
        <v>803</v>
      </c>
      <c r="C64" t="s">
        <v>804</v>
      </c>
      <c r="D64">
        <v>1</v>
      </c>
      <c r="E64">
        <v>2</v>
      </c>
      <c r="G64" t="s">
        <v>803</v>
      </c>
      <c r="H64" t="s">
        <v>804</v>
      </c>
      <c r="I64">
        <v>-1</v>
      </c>
    </row>
    <row r="65" spans="1:9" x14ac:dyDescent="0.45">
      <c r="A65" t="s">
        <v>684</v>
      </c>
      <c r="B65" t="s">
        <v>805</v>
      </c>
      <c r="C65" t="s">
        <v>806</v>
      </c>
      <c r="D65">
        <v>1</v>
      </c>
      <c r="E65">
        <v>2</v>
      </c>
      <c r="G65" t="s">
        <v>805</v>
      </c>
      <c r="H65" t="s">
        <v>806</v>
      </c>
      <c r="I65">
        <v>-1</v>
      </c>
    </row>
    <row r="66" spans="1:9" x14ac:dyDescent="0.45">
      <c r="A66" t="s">
        <v>684</v>
      </c>
      <c r="B66" t="s">
        <v>807</v>
      </c>
      <c r="C66" t="s">
        <v>808</v>
      </c>
      <c r="D66">
        <v>1</v>
      </c>
      <c r="E66">
        <v>2</v>
      </c>
      <c r="G66" t="s">
        <v>807</v>
      </c>
      <c r="H66" t="s">
        <v>808</v>
      </c>
      <c r="I66">
        <v>-1</v>
      </c>
    </row>
    <row r="67" spans="1:9" x14ac:dyDescent="0.45">
      <c r="A67" t="s">
        <v>684</v>
      </c>
      <c r="B67" t="s">
        <v>809</v>
      </c>
      <c r="C67" t="s">
        <v>810</v>
      </c>
      <c r="D67">
        <v>1</v>
      </c>
      <c r="E67">
        <v>2</v>
      </c>
      <c r="G67" t="s">
        <v>809</v>
      </c>
      <c r="H67" t="s">
        <v>810</v>
      </c>
      <c r="I67">
        <v>-1</v>
      </c>
    </row>
    <row r="68" spans="1:9" x14ac:dyDescent="0.45">
      <c r="A68" t="s">
        <v>684</v>
      </c>
      <c r="B68" t="s">
        <v>811</v>
      </c>
      <c r="C68" t="s">
        <v>812</v>
      </c>
      <c r="D68">
        <v>1</v>
      </c>
      <c r="E68">
        <v>2</v>
      </c>
      <c r="G68" t="s">
        <v>811</v>
      </c>
      <c r="H68" t="s">
        <v>812</v>
      </c>
      <c r="I68">
        <v>-1</v>
      </c>
    </row>
    <row r="69" spans="1:9" x14ac:dyDescent="0.45">
      <c r="A69" t="s">
        <v>684</v>
      </c>
      <c r="B69" t="s">
        <v>813</v>
      </c>
      <c r="C69" t="s">
        <v>814</v>
      </c>
      <c r="D69">
        <v>1</v>
      </c>
      <c r="E69">
        <v>2</v>
      </c>
      <c r="G69" t="s">
        <v>813</v>
      </c>
      <c r="H69" t="s">
        <v>814</v>
      </c>
      <c r="I69">
        <v>-1</v>
      </c>
    </row>
    <row r="70" spans="1:9" x14ac:dyDescent="0.45">
      <c r="A70" t="s">
        <v>684</v>
      </c>
      <c r="B70" t="s">
        <v>815</v>
      </c>
      <c r="C70" t="s">
        <v>816</v>
      </c>
      <c r="D70">
        <v>1</v>
      </c>
      <c r="E70">
        <v>2</v>
      </c>
      <c r="G70" t="s">
        <v>815</v>
      </c>
      <c r="H70" t="s">
        <v>816</v>
      </c>
      <c r="I70">
        <v>-1</v>
      </c>
    </row>
    <row r="71" spans="1:9" x14ac:dyDescent="0.45">
      <c r="A71" t="s">
        <v>684</v>
      </c>
      <c r="B71" t="s">
        <v>817</v>
      </c>
      <c r="C71" t="s">
        <v>818</v>
      </c>
      <c r="D71">
        <v>1</v>
      </c>
      <c r="E71">
        <v>2</v>
      </c>
      <c r="G71" t="s">
        <v>817</v>
      </c>
      <c r="H71" t="s">
        <v>818</v>
      </c>
      <c r="I71">
        <v>-1</v>
      </c>
    </row>
    <row r="72" spans="1:9" x14ac:dyDescent="0.45">
      <c r="A72" t="s">
        <v>684</v>
      </c>
      <c r="B72" t="s">
        <v>819</v>
      </c>
      <c r="C72" t="s">
        <v>820</v>
      </c>
      <c r="D72">
        <v>1</v>
      </c>
      <c r="E72">
        <v>2</v>
      </c>
      <c r="G72" t="s">
        <v>819</v>
      </c>
      <c r="H72" t="s">
        <v>820</v>
      </c>
      <c r="I72">
        <v>-1</v>
      </c>
    </row>
    <row r="73" spans="1:9" x14ac:dyDescent="0.45">
      <c r="A73" t="s">
        <v>684</v>
      </c>
      <c r="B73" t="s">
        <v>821</v>
      </c>
      <c r="C73" t="s">
        <v>822</v>
      </c>
      <c r="D73">
        <v>1</v>
      </c>
      <c r="E73">
        <v>2</v>
      </c>
      <c r="G73" t="s">
        <v>821</v>
      </c>
      <c r="H73" t="s">
        <v>822</v>
      </c>
      <c r="I73">
        <v>-1</v>
      </c>
    </row>
    <row r="74" spans="1:9" x14ac:dyDescent="0.45">
      <c r="A74" t="s">
        <v>684</v>
      </c>
      <c r="B74" t="s">
        <v>823</v>
      </c>
      <c r="C74" t="s">
        <v>824</v>
      </c>
      <c r="D74">
        <v>1</v>
      </c>
      <c r="E74">
        <v>2</v>
      </c>
      <c r="G74" t="s">
        <v>823</v>
      </c>
      <c r="H74" t="s">
        <v>824</v>
      </c>
      <c r="I74">
        <v>-1</v>
      </c>
    </row>
    <row r="75" spans="1:9" x14ac:dyDescent="0.45">
      <c r="A75" t="s">
        <v>684</v>
      </c>
      <c r="B75" t="s">
        <v>825</v>
      </c>
      <c r="C75" t="s">
        <v>826</v>
      </c>
      <c r="D75">
        <v>1</v>
      </c>
      <c r="E75">
        <v>2</v>
      </c>
      <c r="G75" t="s">
        <v>825</v>
      </c>
      <c r="H75" t="s">
        <v>826</v>
      </c>
      <c r="I75">
        <v>-1</v>
      </c>
    </row>
    <row r="76" spans="1:9" x14ac:dyDescent="0.45">
      <c r="A76" t="s">
        <v>684</v>
      </c>
      <c r="B76" t="s">
        <v>827</v>
      </c>
      <c r="C76" t="s">
        <v>828</v>
      </c>
      <c r="D76">
        <v>1</v>
      </c>
      <c r="E76">
        <v>2</v>
      </c>
      <c r="G76" t="s">
        <v>827</v>
      </c>
      <c r="H76" t="s">
        <v>828</v>
      </c>
      <c r="I76">
        <v>-1</v>
      </c>
    </row>
    <row r="77" spans="1:9" x14ac:dyDescent="0.45">
      <c r="A77" t="s">
        <v>684</v>
      </c>
      <c r="B77" t="s">
        <v>829</v>
      </c>
      <c r="C77" t="s">
        <v>830</v>
      </c>
      <c r="D77">
        <v>1</v>
      </c>
      <c r="E77">
        <v>2</v>
      </c>
      <c r="G77" t="s">
        <v>829</v>
      </c>
      <c r="H77" t="s">
        <v>830</v>
      </c>
      <c r="I77">
        <v>-1</v>
      </c>
    </row>
    <row r="78" spans="1:9" x14ac:dyDescent="0.45">
      <c r="A78" t="s">
        <v>684</v>
      </c>
      <c r="B78" t="s">
        <v>831</v>
      </c>
      <c r="C78" t="s">
        <v>832</v>
      </c>
      <c r="D78">
        <v>1</v>
      </c>
      <c r="E78">
        <v>2</v>
      </c>
      <c r="G78" t="s">
        <v>831</v>
      </c>
      <c r="H78" t="s">
        <v>832</v>
      </c>
      <c r="I78">
        <v>-1</v>
      </c>
    </row>
    <row r="79" spans="1:9" x14ac:dyDescent="0.45">
      <c r="A79" t="s">
        <v>684</v>
      </c>
      <c r="B79" t="s">
        <v>833</v>
      </c>
      <c r="C79" t="s">
        <v>834</v>
      </c>
      <c r="D79">
        <v>1</v>
      </c>
      <c r="E79">
        <v>2</v>
      </c>
      <c r="G79" t="s">
        <v>833</v>
      </c>
      <c r="H79" t="s">
        <v>834</v>
      </c>
      <c r="I79">
        <v>-1</v>
      </c>
    </row>
    <row r="80" spans="1:9" x14ac:dyDescent="0.45">
      <c r="A80" t="s">
        <v>684</v>
      </c>
      <c r="B80" t="s">
        <v>835</v>
      </c>
      <c r="C80" t="s">
        <v>836</v>
      </c>
      <c r="D80">
        <v>1</v>
      </c>
      <c r="E80">
        <v>2</v>
      </c>
      <c r="G80" t="s">
        <v>835</v>
      </c>
      <c r="H80" t="s">
        <v>836</v>
      </c>
      <c r="I80">
        <v>-1</v>
      </c>
    </row>
    <row r="81" spans="1:9" x14ac:dyDescent="0.45">
      <c r="A81" t="s">
        <v>684</v>
      </c>
      <c r="B81" t="s">
        <v>837</v>
      </c>
      <c r="C81" t="s">
        <v>838</v>
      </c>
      <c r="D81">
        <v>1</v>
      </c>
      <c r="E81">
        <v>2</v>
      </c>
      <c r="G81" t="s">
        <v>837</v>
      </c>
      <c r="H81" t="s">
        <v>838</v>
      </c>
      <c r="I81">
        <v>-1</v>
      </c>
    </row>
    <row r="82" spans="1:9" x14ac:dyDescent="0.45">
      <c r="A82" t="s">
        <v>684</v>
      </c>
      <c r="B82" t="s">
        <v>839</v>
      </c>
      <c r="C82" t="s">
        <v>840</v>
      </c>
      <c r="D82">
        <v>1</v>
      </c>
      <c r="E82">
        <v>2</v>
      </c>
      <c r="G82" t="s">
        <v>839</v>
      </c>
      <c r="H82" t="s">
        <v>840</v>
      </c>
      <c r="I82">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4A07D-D413-4385-AEF1-0465DAFC0594}">
  <dimension ref="A1:AG263"/>
  <sheetViews>
    <sheetView workbookViewId="0">
      <selection sqref="A1:H1"/>
    </sheetView>
  </sheetViews>
  <sheetFormatPr defaultRowHeight="14.25" x14ac:dyDescent="0.45"/>
  <cols>
    <col min="2" max="2" width="24.59765625" bestFit="1" customWidth="1"/>
    <col min="3" max="5" width="10.59765625" customWidth="1"/>
    <col min="8" max="8" width="24" bestFit="1" customWidth="1"/>
    <col min="9" max="9" width="13.06640625" bestFit="1" customWidth="1"/>
    <col min="10" max="11" width="10.59765625" customWidth="1"/>
    <col min="16" max="16" width="10.59765625" customWidth="1"/>
    <col min="17" max="17" width="24" bestFit="1" customWidth="1"/>
    <col min="18" max="18" width="14" bestFit="1" customWidth="1"/>
    <col min="19" max="19" width="10.59765625" customWidth="1"/>
    <col min="21" max="21" width="10.59765625" customWidth="1"/>
    <col min="22" max="22" width="30.59765625" customWidth="1"/>
    <col min="23" max="23" width="14" bestFit="1" customWidth="1"/>
    <col min="24" max="24" width="10.59765625" customWidth="1"/>
  </cols>
  <sheetData>
    <row r="1" spans="1:33" ht="22.05" customHeight="1" x14ac:dyDescent="0.45">
      <c r="A1" s="27" t="s">
        <v>0</v>
      </c>
      <c r="B1" s="27"/>
      <c r="C1" s="27"/>
      <c r="D1" s="27"/>
      <c r="E1" s="27"/>
      <c r="F1" s="27"/>
      <c r="G1" s="27"/>
      <c r="H1" s="27"/>
    </row>
    <row r="2" spans="1:33" ht="14.65" thickBot="1" x14ac:dyDescent="0.5">
      <c r="B2" s="1" t="s">
        <v>1</v>
      </c>
      <c r="H2" s="1" t="s">
        <v>1</v>
      </c>
      <c r="P2" s="1" t="s">
        <v>2</v>
      </c>
      <c r="U2" s="1" t="s">
        <v>2</v>
      </c>
    </row>
    <row r="3" spans="1:33" ht="15.75" thickBot="1" x14ac:dyDescent="0.6">
      <c r="B3" s="2" t="s">
        <v>3</v>
      </c>
      <c r="C3" s="2" t="s">
        <v>4</v>
      </c>
      <c r="D3" s="2" t="s">
        <v>5</v>
      </c>
      <c r="E3" s="2" t="s">
        <v>6</v>
      </c>
      <c r="H3" s="2" t="s">
        <v>3</v>
      </c>
      <c r="I3" s="2" t="s">
        <v>7</v>
      </c>
      <c r="J3" s="2" t="s">
        <v>8</v>
      </c>
      <c r="K3" s="2" t="s">
        <v>9</v>
      </c>
      <c r="P3" s="2" t="s">
        <v>10</v>
      </c>
      <c r="Q3" s="2" t="s">
        <v>3</v>
      </c>
      <c r="R3" s="2" t="s">
        <v>7</v>
      </c>
      <c r="S3" s="2" t="s">
        <v>11</v>
      </c>
      <c r="U3" s="2" t="s">
        <v>10</v>
      </c>
      <c r="V3" s="2" t="s">
        <v>3</v>
      </c>
      <c r="W3" s="2" t="s">
        <v>7</v>
      </c>
      <c r="X3" s="2" t="s">
        <v>11</v>
      </c>
      <c r="AA3" t="s">
        <v>1190</v>
      </c>
    </row>
    <row r="4" spans="1:33" x14ac:dyDescent="0.45">
      <c r="B4" s="3" t="s">
        <v>841</v>
      </c>
      <c r="C4" s="4">
        <v>0.34408919999999998</v>
      </c>
      <c r="D4" s="5">
        <v>47.300000000000004</v>
      </c>
      <c r="E4" s="4">
        <v>0.99741999999999997</v>
      </c>
      <c r="H4" s="3" t="s">
        <v>842</v>
      </c>
      <c r="I4" s="3" t="s">
        <v>14</v>
      </c>
      <c r="J4" s="7">
        <v>1.860796153777642E-2</v>
      </c>
      <c r="K4" s="3" t="s">
        <v>15</v>
      </c>
      <c r="P4" s="3" t="s">
        <v>843</v>
      </c>
      <c r="Q4" s="3" t="s">
        <v>842</v>
      </c>
      <c r="R4" s="3" t="s">
        <v>844</v>
      </c>
      <c r="S4" s="3" t="s">
        <v>18</v>
      </c>
      <c r="U4" s="3" t="s">
        <v>843</v>
      </c>
      <c r="V4" s="3" t="s">
        <v>845</v>
      </c>
      <c r="W4" s="3" t="s">
        <v>844</v>
      </c>
      <c r="X4" s="3" t="s">
        <v>20</v>
      </c>
      <c r="AA4" t="s">
        <v>7</v>
      </c>
      <c r="AB4" t="s">
        <v>21</v>
      </c>
      <c r="AC4" t="s">
        <v>22</v>
      </c>
      <c r="AD4" t="s">
        <v>23</v>
      </c>
      <c r="AE4" t="s">
        <v>24</v>
      </c>
      <c r="AF4" t="s">
        <v>25</v>
      </c>
      <c r="AG4" t="s">
        <v>26</v>
      </c>
    </row>
    <row r="5" spans="1:33" x14ac:dyDescent="0.45">
      <c r="B5" s="8" t="s">
        <v>846</v>
      </c>
      <c r="C5" s="9">
        <v>0.34408919999999998</v>
      </c>
      <c r="D5" s="10">
        <v>94.600000000000009</v>
      </c>
      <c r="E5" s="9">
        <v>0.99483999999999995</v>
      </c>
      <c r="H5" s="8" t="s">
        <v>842</v>
      </c>
      <c r="I5" s="8" t="s">
        <v>28</v>
      </c>
      <c r="J5" s="12">
        <v>1.860796153777642E-2</v>
      </c>
      <c r="K5" s="8" t="s">
        <v>15</v>
      </c>
      <c r="P5" s="8" t="s">
        <v>843</v>
      </c>
      <c r="Q5" s="8" t="s">
        <v>847</v>
      </c>
      <c r="R5" s="8" t="s">
        <v>848</v>
      </c>
      <c r="S5" s="8" t="s">
        <v>18</v>
      </c>
      <c r="U5" s="8" t="s">
        <v>843</v>
      </c>
      <c r="V5" s="8" t="s">
        <v>849</v>
      </c>
      <c r="W5" s="8" t="s">
        <v>844</v>
      </c>
      <c r="X5" s="8" t="s">
        <v>20</v>
      </c>
      <c r="AA5" t="s">
        <v>32</v>
      </c>
      <c r="AB5" t="s">
        <v>33</v>
      </c>
      <c r="AC5">
        <v>2</v>
      </c>
      <c r="AE5">
        <v>0</v>
      </c>
      <c r="AF5" t="s">
        <v>34</v>
      </c>
      <c r="AG5" t="s">
        <v>35</v>
      </c>
    </row>
    <row r="6" spans="1:33" x14ac:dyDescent="0.45">
      <c r="B6" s="3" t="s">
        <v>850</v>
      </c>
      <c r="C6" s="4">
        <v>1.2907999999999999</v>
      </c>
      <c r="D6" s="5">
        <v>0</v>
      </c>
      <c r="E6" s="4">
        <v>1</v>
      </c>
      <c r="H6" s="3" t="s">
        <v>842</v>
      </c>
      <c r="I6" s="3" t="s">
        <v>37</v>
      </c>
      <c r="J6" s="7">
        <v>1.860796153777642E-2</v>
      </c>
      <c r="K6" s="3" t="s">
        <v>15</v>
      </c>
      <c r="P6" s="3" t="s">
        <v>843</v>
      </c>
      <c r="Q6" s="3" t="s">
        <v>851</v>
      </c>
      <c r="R6" s="3" t="s">
        <v>852</v>
      </c>
      <c r="S6" s="3" t="s">
        <v>18</v>
      </c>
      <c r="U6" s="3" t="s">
        <v>843</v>
      </c>
      <c r="V6" s="3" t="s">
        <v>853</v>
      </c>
      <c r="W6" s="3" t="s">
        <v>844</v>
      </c>
      <c r="X6" s="3" t="s">
        <v>20</v>
      </c>
      <c r="AA6" t="s">
        <v>32</v>
      </c>
      <c r="AB6" t="s">
        <v>33</v>
      </c>
      <c r="AD6">
        <v>2</v>
      </c>
      <c r="AE6">
        <v>0</v>
      </c>
      <c r="AF6" t="s">
        <v>41</v>
      </c>
    </row>
    <row r="7" spans="1:33" x14ac:dyDescent="0.45">
      <c r="B7" s="8" t="s">
        <v>854</v>
      </c>
      <c r="C7" s="9">
        <v>0.68817839999999997</v>
      </c>
      <c r="D7" s="10">
        <v>51.7</v>
      </c>
      <c r="E7" s="9">
        <v>0.99717999999999996</v>
      </c>
      <c r="H7" s="8" t="s">
        <v>847</v>
      </c>
      <c r="I7" s="8" t="s">
        <v>14</v>
      </c>
      <c r="J7" s="12">
        <v>0.11231894742556307</v>
      </c>
      <c r="K7" s="8" t="s">
        <v>15</v>
      </c>
      <c r="P7" s="8" t="s">
        <v>843</v>
      </c>
      <c r="Q7" s="8" t="s">
        <v>855</v>
      </c>
      <c r="R7" s="8" t="s">
        <v>856</v>
      </c>
      <c r="S7" s="8" t="s">
        <v>18</v>
      </c>
      <c r="U7" s="8" t="s">
        <v>843</v>
      </c>
      <c r="V7" s="8" t="s">
        <v>857</v>
      </c>
      <c r="W7" s="8" t="s">
        <v>844</v>
      </c>
      <c r="X7" s="8" t="s">
        <v>20</v>
      </c>
    </row>
    <row r="8" spans="1:33" x14ac:dyDescent="0.45">
      <c r="B8" s="3" t="s">
        <v>858</v>
      </c>
      <c r="C8" s="4">
        <v>0.34408919999999998</v>
      </c>
      <c r="D8" s="5">
        <v>59.400000000000006</v>
      </c>
      <c r="E8" s="4">
        <v>0.99675999999999998</v>
      </c>
      <c r="H8" s="3" t="s">
        <v>847</v>
      </c>
      <c r="I8" s="3" t="s">
        <v>28</v>
      </c>
      <c r="J8" s="7">
        <v>0.11231894742556307</v>
      </c>
      <c r="K8" s="3" t="s">
        <v>15</v>
      </c>
      <c r="P8" s="3" t="s">
        <v>843</v>
      </c>
      <c r="Q8" s="3" t="s">
        <v>859</v>
      </c>
      <c r="R8" s="3" t="s">
        <v>860</v>
      </c>
      <c r="S8" s="3" t="s">
        <v>18</v>
      </c>
      <c r="U8" s="3" t="s">
        <v>843</v>
      </c>
      <c r="V8" s="3" t="s">
        <v>861</v>
      </c>
      <c r="W8" s="3" t="s">
        <v>844</v>
      </c>
      <c r="X8" s="3" t="s">
        <v>20</v>
      </c>
    </row>
    <row r="9" spans="1:33" x14ac:dyDescent="0.45">
      <c r="B9" s="8" t="s">
        <v>862</v>
      </c>
      <c r="C9" s="9">
        <v>0.34408919999999998</v>
      </c>
      <c r="D9" s="10">
        <v>77</v>
      </c>
      <c r="E9" s="9">
        <v>0.99580000000000002</v>
      </c>
      <c r="H9" s="8" t="s">
        <v>847</v>
      </c>
      <c r="I9" s="8" t="s">
        <v>37</v>
      </c>
      <c r="J9" s="12">
        <v>0.11231894742556307</v>
      </c>
      <c r="K9" s="8" t="s">
        <v>15</v>
      </c>
      <c r="P9" s="8" t="s">
        <v>843</v>
      </c>
      <c r="Q9" s="8" t="s">
        <v>863</v>
      </c>
      <c r="R9" s="8" t="s">
        <v>864</v>
      </c>
      <c r="S9" s="8" t="s">
        <v>18</v>
      </c>
      <c r="U9" s="8" t="s">
        <v>843</v>
      </c>
      <c r="V9" s="8" t="s">
        <v>865</v>
      </c>
      <c r="W9" s="8" t="s">
        <v>844</v>
      </c>
      <c r="X9" s="8" t="s">
        <v>20</v>
      </c>
    </row>
    <row r="10" spans="1:33" x14ac:dyDescent="0.45">
      <c r="B10" s="3" t="s">
        <v>866</v>
      </c>
      <c r="C10" s="4">
        <v>0.34408919999999998</v>
      </c>
      <c r="D10" s="5">
        <v>52.800000000000004</v>
      </c>
      <c r="E10" s="4">
        <v>0.99712000000000001</v>
      </c>
      <c r="H10" s="3" t="s">
        <v>851</v>
      </c>
      <c r="I10" s="3" t="s">
        <v>14</v>
      </c>
      <c r="J10" s="7">
        <v>9.5826749069202299E-2</v>
      </c>
      <c r="K10" s="3" t="s">
        <v>15</v>
      </c>
      <c r="P10" s="3" t="s">
        <v>843</v>
      </c>
      <c r="Q10" s="3" t="s">
        <v>867</v>
      </c>
      <c r="R10" s="3" t="s">
        <v>868</v>
      </c>
      <c r="S10" s="3" t="s">
        <v>18</v>
      </c>
      <c r="U10" s="3" t="s">
        <v>843</v>
      </c>
      <c r="V10" s="3" t="s">
        <v>869</v>
      </c>
      <c r="W10" s="3" t="s">
        <v>844</v>
      </c>
      <c r="X10" s="3" t="s">
        <v>20</v>
      </c>
    </row>
    <row r="11" spans="1:33" x14ac:dyDescent="0.45">
      <c r="B11" s="8" t="s">
        <v>870</v>
      </c>
      <c r="C11" s="9">
        <v>0.34408919999999998</v>
      </c>
      <c r="D11" s="10">
        <v>91.300000000000011</v>
      </c>
      <c r="E11" s="9">
        <v>0.99502000000000002</v>
      </c>
      <c r="H11" s="8" t="s">
        <v>851</v>
      </c>
      <c r="I11" s="8" t="s">
        <v>28</v>
      </c>
      <c r="J11" s="12">
        <v>9.5826749069202299E-2</v>
      </c>
      <c r="K11" s="8" t="s">
        <v>15</v>
      </c>
      <c r="P11" s="8" t="s">
        <v>843</v>
      </c>
      <c r="Q11" s="8" t="s">
        <v>871</v>
      </c>
      <c r="R11" s="8" t="s">
        <v>872</v>
      </c>
      <c r="S11" s="8" t="s">
        <v>18</v>
      </c>
      <c r="U11" s="8" t="s">
        <v>843</v>
      </c>
      <c r="V11" s="8" t="s">
        <v>873</v>
      </c>
      <c r="W11" s="8" t="s">
        <v>844</v>
      </c>
      <c r="X11" s="8" t="s">
        <v>20</v>
      </c>
    </row>
    <row r="12" spans="1:33" x14ac:dyDescent="0.45">
      <c r="B12" s="3" t="s">
        <v>874</v>
      </c>
      <c r="C12" s="4">
        <v>1.2512331999999999</v>
      </c>
      <c r="D12" s="5">
        <v>138.60000000000002</v>
      </c>
      <c r="E12" s="4">
        <v>0.99243999999999999</v>
      </c>
      <c r="H12" s="3" t="s">
        <v>851</v>
      </c>
      <c r="I12" s="3" t="s">
        <v>37</v>
      </c>
      <c r="J12" s="7">
        <v>9.5826749069202299E-2</v>
      </c>
      <c r="K12" s="3" t="s">
        <v>15</v>
      </c>
      <c r="P12" s="3" t="s">
        <v>843</v>
      </c>
      <c r="Q12" s="3" t="s">
        <v>875</v>
      </c>
      <c r="R12" s="3" t="s">
        <v>876</v>
      </c>
      <c r="S12" s="3" t="s">
        <v>18</v>
      </c>
      <c r="U12" s="3" t="s">
        <v>843</v>
      </c>
      <c r="V12" s="3" t="s">
        <v>877</v>
      </c>
      <c r="W12" s="3" t="s">
        <v>844</v>
      </c>
      <c r="X12" s="3" t="s">
        <v>20</v>
      </c>
    </row>
    <row r="13" spans="1:33" x14ac:dyDescent="0.45">
      <c r="B13" s="8" t="s">
        <v>878</v>
      </c>
      <c r="C13" s="9">
        <v>0.34408919999999998</v>
      </c>
      <c r="D13" s="10">
        <v>121.00000000000001</v>
      </c>
      <c r="E13" s="9">
        <v>0.99339999999999995</v>
      </c>
      <c r="H13" s="8" t="s">
        <v>855</v>
      </c>
      <c r="I13" s="8" t="s">
        <v>14</v>
      </c>
      <c r="J13" s="12">
        <v>5.3139281367051566E-2</v>
      </c>
      <c r="K13" s="8" t="s">
        <v>15</v>
      </c>
      <c r="P13" s="8" t="s">
        <v>843</v>
      </c>
      <c r="Q13" s="8" t="s">
        <v>879</v>
      </c>
      <c r="R13" s="8" t="s">
        <v>880</v>
      </c>
      <c r="S13" s="8" t="s">
        <v>18</v>
      </c>
      <c r="U13" s="8" t="s">
        <v>843</v>
      </c>
      <c r="V13" s="8" t="s">
        <v>881</v>
      </c>
      <c r="W13" s="8" t="s">
        <v>844</v>
      </c>
      <c r="X13" s="8" t="s">
        <v>20</v>
      </c>
    </row>
    <row r="14" spans="1:33" x14ac:dyDescent="0.45">
      <c r="B14" s="3" t="s">
        <v>882</v>
      </c>
      <c r="C14" s="4">
        <v>0.34408919999999998</v>
      </c>
      <c r="D14" s="5">
        <v>115.50000000000001</v>
      </c>
      <c r="E14" s="4">
        <v>0.99370000000000003</v>
      </c>
      <c r="H14" s="3" t="s">
        <v>855</v>
      </c>
      <c r="I14" s="3" t="s">
        <v>28</v>
      </c>
      <c r="J14" s="7">
        <v>5.3139281367051566E-2</v>
      </c>
      <c r="K14" s="3" t="s">
        <v>15</v>
      </c>
      <c r="P14" s="3" t="s">
        <v>843</v>
      </c>
      <c r="Q14" s="3" t="s">
        <v>883</v>
      </c>
      <c r="R14" s="3" t="s">
        <v>844</v>
      </c>
      <c r="S14" s="3" t="s">
        <v>18</v>
      </c>
      <c r="U14" s="3" t="s">
        <v>843</v>
      </c>
      <c r="V14" s="3" t="s">
        <v>884</v>
      </c>
      <c r="W14" s="3" t="s">
        <v>844</v>
      </c>
      <c r="X14" s="3" t="s">
        <v>20</v>
      </c>
    </row>
    <row r="15" spans="1:33" x14ac:dyDescent="0.45">
      <c r="B15" s="8" t="s">
        <v>885</v>
      </c>
      <c r="C15" s="9">
        <v>0.68817839999999997</v>
      </c>
      <c r="D15" s="10">
        <v>97.9</v>
      </c>
      <c r="E15" s="9">
        <v>0.99465999999999999</v>
      </c>
      <c r="H15" s="8" t="s">
        <v>855</v>
      </c>
      <c r="I15" s="8" t="s">
        <v>37</v>
      </c>
      <c r="J15" s="12">
        <v>5.3139281367051566E-2</v>
      </c>
      <c r="K15" s="8" t="s">
        <v>15</v>
      </c>
      <c r="P15" s="8" t="s">
        <v>843</v>
      </c>
      <c r="Q15" s="8" t="s">
        <v>886</v>
      </c>
      <c r="R15" s="8" t="s">
        <v>848</v>
      </c>
      <c r="S15" s="8" t="s">
        <v>18</v>
      </c>
      <c r="U15" s="8" t="s">
        <v>843</v>
      </c>
      <c r="V15" s="8" t="s">
        <v>884</v>
      </c>
      <c r="W15" s="8" t="s">
        <v>887</v>
      </c>
      <c r="X15" s="8" t="s">
        <v>20</v>
      </c>
    </row>
    <row r="16" spans="1:33" x14ac:dyDescent="0.45">
      <c r="B16" s="3" t="s">
        <v>888</v>
      </c>
      <c r="C16" s="4">
        <v>0.34408919999999998</v>
      </c>
      <c r="D16" s="5">
        <v>41.800000000000004</v>
      </c>
      <c r="E16" s="4">
        <v>0.99772000000000005</v>
      </c>
      <c r="H16" s="3" t="s">
        <v>859</v>
      </c>
      <c r="I16" s="3" t="s">
        <v>14</v>
      </c>
      <c r="J16" s="7">
        <v>3.4958751429473058E-2</v>
      </c>
      <c r="K16" s="3" t="s">
        <v>15</v>
      </c>
      <c r="P16" s="3" t="s">
        <v>843</v>
      </c>
      <c r="Q16" s="3" t="s">
        <v>889</v>
      </c>
      <c r="R16" s="3" t="s">
        <v>852</v>
      </c>
      <c r="S16" s="3" t="s">
        <v>18</v>
      </c>
      <c r="U16" s="3" t="s">
        <v>843</v>
      </c>
      <c r="V16" s="3" t="s">
        <v>890</v>
      </c>
      <c r="W16" s="3" t="s">
        <v>844</v>
      </c>
      <c r="X16" s="3" t="s">
        <v>20</v>
      </c>
    </row>
    <row r="17" spans="2:24" x14ac:dyDescent="0.45">
      <c r="B17" s="8" t="s">
        <v>891</v>
      </c>
      <c r="C17" s="9">
        <v>1.2512331999999999</v>
      </c>
      <c r="D17" s="10">
        <v>228.8</v>
      </c>
      <c r="E17" s="9">
        <v>0.98751999999999995</v>
      </c>
      <c r="H17" s="8" t="s">
        <v>859</v>
      </c>
      <c r="I17" s="8" t="s">
        <v>28</v>
      </c>
      <c r="J17" s="12">
        <v>3.4958751429473058E-2</v>
      </c>
      <c r="K17" s="8" t="s">
        <v>15</v>
      </c>
      <c r="P17" s="8" t="s">
        <v>843</v>
      </c>
      <c r="Q17" s="8" t="s">
        <v>892</v>
      </c>
      <c r="R17" s="8" t="s">
        <v>856</v>
      </c>
      <c r="S17" s="8" t="s">
        <v>18</v>
      </c>
      <c r="U17" s="8" t="s">
        <v>843</v>
      </c>
      <c r="V17" s="8" t="s">
        <v>890</v>
      </c>
      <c r="W17" s="8" t="s">
        <v>887</v>
      </c>
      <c r="X17" s="8" t="s">
        <v>20</v>
      </c>
    </row>
    <row r="18" spans="2:24" x14ac:dyDescent="0.45">
      <c r="B18" s="3" t="s">
        <v>893</v>
      </c>
      <c r="C18" s="4">
        <v>1.9394115999999999</v>
      </c>
      <c r="D18" s="5">
        <v>103.4</v>
      </c>
      <c r="E18" s="4">
        <v>0.99436000000000002</v>
      </c>
      <c r="H18" s="3" t="s">
        <v>859</v>
      </c>
      <c r="I18" s="3" t="s">
        <v>37</v>
      </c>
      <c r="J18" s="7">
        <v>3.4958751429473058E-2</v>
      </c>
      <c r="K18" s="3" t="s">
        <v>15</v>
      </c>
      <c r="P18" s="3" t="s">
        <v>843</v>
      </c>
      <c r="Q18" s="3" t="s">
        <v>894</v>
      </c>
      <c r="R18" s="3" t="s">
        <v>860</v>
      </c>
      <c r="S18" s="3" t="s">
        <v>18</v>
      </c>
      <c r="U18" s="3" t="s">
        <v>843</v>
      </c>
      <c r="V18" s="3" t="s">
        <v>895</v>
      </c>
      <c r="W18" s="3" t="s">
        <v>844</v>
      </c>
      <c r="X18" s="3" t="s">
        <v>20</v>
      </c>
    </row>
    <row r="19" spans="2:24" x14ac:dyDescent="0.45">
      <c r="H19" s="8" t="s">
        <v>863</v>
      </c>
      <c r="I19" s="8" t="s">
        <v>14</v>
      </c>
      <c r="J19" s="12">
        <v>0.45656901972071517</v>
      </c>
      <c r="K19" s="8" t="s">
        <v>15</v>
      </c>
      <c r="P19" s="8" t="s">
        <v>843</v>
      </c>
      <c r="Q19" s="8" t="s">
        <v>896</v>
      </c>
      <c r="R19" s="8" t="s">
        <v>864</v>
      </c>
      <c r="S19" s="8" t="s">
        <v>18</v>
      </c>
      <c r="U19" s="8" t="s">
        <v>843</v>
      </c>
      <c r="V19" s="8" t="s">
        <v>895</v>
      </c>
      <c r="W19" s="8" t="s">
        <v>887</v>
      </c>
      <c r="X19" s="8" t="s">
        <v>20</v>
      </c>
    </row>
    <row r="20" spans="2:24" x14ac:dyDescent="0.45">
      <c r="H20" s="3" t="s">
        <v>863</v>
      </c>
      <c r="I20" s="3" t="s">
        <v>28</v>
      </c>
      <c r="J20" s="7">
        <v>0.45656901972071517</v>
      </c>
      <c r="K20" s="3" t="s">
        <v>15</v>
      </c>
      <c r="P20" s="3" t="s">
        <v>843</v>
      </c>
      <c r="Q20" s="3" t="s">
        <v>897</v>
      </c>
      <c r="R20" s="3" t="s">
        <v>868</v>
      </c>
      <c r="S20" s="3" t="s">
        <v>18</v>
      </c>
      <c r="U20" s="3" t="s">
        <v>843</v>
      </c>
      <c r="V20" s="3" t="s">
        <v>898</v>
      </c>
      <c r="W20" s="3" t="s">
        <v>887</v>
      </c>
      <c r="X20" s="3" t="s">
        <v>20</v>
      </c>
    </row>
    <row r="21" spans="2:24" x14ac:dyDescent="0.45">
      <c r="H21" s="8" t="s">
        <v>863</v>
      </c>
      <c r="I21" s="8" t="s">
        <v>37</v>
      </c>
      <c r="J21" s="12">
        <v>0.45656901972071517</v>
      </c>
      <c r="K21" s="8" t="s">
        <v>15</v>
      </c>
      <c r="P21" s="8" t="s">
        <v>843</v>
      </c>
      <c r="Q21" s="8" t="s">
        <v>899</v>
      </c>
      <c r="R21" s="8" t="s">
        <v>872</v>
      </c>
      <c r="S21" s="8" t="s">
        <v>18</v>
      </c>
      <c r="U21" s="8" t="s">
        <v>843</v>
      </c>
      <c r="V21" s="8" t="s">
        <v>900</v>
      </c>
      <c r="W21" s="8" t="s">
        <v>887</v>
      </c>
      <c r="X21" s="8" t="s">
        <v>20</v>
      </c>
    </row>
    <row r="22" spans="2:24" x14ac:dyDescent="0.45">
      <c r="H22" s="3" t="s">
        <v>867</v>
      </c>
      <c r="I22" s="3" t="s">
        <v>14</v>
      </c>
      <c r="J22" s="7">
        <v>6.9019068705580527E-2</v>
      </c>
      <c r="K22" s="3" t="s">
        <v>15</v>
      </c>
      <c r="P22" s="3" t="s">
        <v>843</v>
      </c>
      <c r="Q22" s="3" t="s">
        <v>901</v>
      </c>
      <c r="R22" s="3" t="s">
        <v>876</v>
      </c>
      <c r="S22" s="3" t="s">
        <v>18</v>
      </c>
      <c r="U22" s="3" t="s">
        <v>843</v>
      </c>
      <c r="V22" s="3" t="s">
        <v>902</v>
      </c>
      <c r="W22" s="3" t="s">
        <v>887</v>
      </c>
      <c r="X22" s="3" t="s">
        <v>20</v>
      </c>
    </row>
    <row r="23" spans="2:24" x14ac:dyDescent="0.45">
      <c r="H23" s="8" t="s">
        <v>867</v>
      </c>
      <c r="I23" s="8" t="s">
        <v>28</v>
      </c>
      <c r="J23" s="12">
        <v>6.9019068705580527E-2</v>
      </c>
      <c r="K23" s="8" t="s">
        <v>15</v>
      </c>
      <c r="P23" s="8" t="s">
        <v>843</v>
      </c>
      <c r="Q23" s="8" t="s">
        <v>903</v>
      </c>
      <c r="R23" s="8" t="s">
        <v>880</v>
      </c>
      <c r="S23" s="8" t="s">
        <v>18</v>
      </c>
      <c r="U23" s="8" t="s">
        <v>843</v>
      </c>
      <c r="V23" s="8" t="s">
        <v>902</v>
      </c>
      <c r="W23" s="8" t="s">
        <v>844</v>
      </c>
      <c r="X23" s="8" t="s">
        <v>18</v>
      </c>
    </row>
    <row r="24" spans="2:24" x14ac:dyDescent="0.45">
      <c r="H24" s="3" t="s">
        <v>867</v>
      </c>
      <c r="I24" s="3" t="s">
        <v>37</v>
      </c>
      <c r="J24" s="7">
        <v>6.9019068705580527E-2</v>
      </c>
      <c r="K24" s="3" t="s">
        <v>15</v>
      </c>
      <c r="P24" s="3" t="s">
        <v>843</v>
      </c>
      <c r="Q24" s="3" t="s">
        <v>904</v>
      </c>
      <c r="R24" s="3" t="s">
        <v>844</v>
      </c>
      <c r="S24" s="3" t="s">
        <v>18</v>
      </c>
      <c r="U24" s="3" t="s">
        <v>843</v>
      </c>
      <c r="V24" s="3" t="s">
        <v>905</v>
      </c>
      <c r="W24" s="3" t="s">
        <v>887</v>
      </c>
      <c r="X24" s="3" t="s">
        <v>20</v>
      </c>
    </row>
    <row r="25" spans="2:24" x14ac:dyDescent="0.45">
      <c r="H25" s="8" t="s">
        <v>871</v>
      </c>
      <c r="I25" s="8" t="s">
        <v>14</v>
      </c>
      <c r="J25" s="12">
        <v>6.900960501246306E-2</v>
      </c>
      <c r="K25" s="8" t="s">
        <v>15</v>
      </c>
      <c r="P25" s="8" t="s">
        <v>843</v>
      </c>
      <c r="Q25" s="8" t="s">
        <v>906</v>
      </c>
      <c r="R25" s="8" t="s">
        <v>848</v>
      </c>
      <c r="S25" s="8" t="s">
        <v>18</v>
      </c>
      <c r="U25" s="8" t="s">
        <v>843</v>
      </c>
      <c r="V25" s="8" t="s">
        <v>905</v>
      </c>
      <c r="W25" s="8" t="s">
        <v>844</v>
      </c>
      <c r="X25" s="8" t="s">
        <v>18</v>
      </c>
    </row>
    <row r="26" spans="2:24" x14ac:dyDescent="0.45">
      <c r="H26" s="3" t="s">
        <v>871</v>
      </c>
      <c r="I26" s="3" t="s">
        <v>28</v>
      </c>
      <c r="J26" s="7">
        <v>6.900960501246306E-2</v>
      </c>
      <c r="K26" s="3" t="s">
        <v>15</v>
      </c>
      <c r="P26" s="3" t="s">
        <v>843</v>
      </c>
      <c r="Q26" s="3" t="s">
        <v>907</v>
      </c>
      <c r="R26" s="3" t="s">
        <v>852</v>
      </c>
      <c r="S26" s="3" t="s">
        <v>18</v>
      </c>
      <c r="U26" s="3" t="s">
        <v>843</v>
      </c>
      <c r="V26" s="3" t="s">
        <v>908</v>
      </c>
      <c r="W26" s="3" t="s">
        <v>848</v>
      </c>
      <c r="X26" s="3" t="s">
        <v>20</v>
      </c>
    </row>
    <row r="27" spans="2:24" x14ac:dyDescent="0.45">
      <c r="H27" s="8" t="s">
        <v>871</v>
      </c>
      <c r="I27" s="8" t="s">
        <v>37</v>
      </c>
      <c r="J27" s="12">
        <v>6.900960501246306E-2</v>
      </c>
      <c r="K27" s="8" t="s">
        <v>15</v>
      </c>
      <c r="P27" s="8" t="s">
        <v>843</v>
      </c>
      <c r="Q27" s="8" t="s">
        <v>909</v>
      </c>
      <c r="R27" s="8" t="s">
        <v>856</v>
      </c>
      <c r="S27" s="8" t="s">
        <v>18</v>
      </c>
      <c r="U27" s="8" t="s">
        <v>843</v>
      </c>
      <c r="V27" s="8" t="s">
        <v>910</v>
      </c>
      <c r="W27" s="8" t="s">
        <v>848</v>
      </c>
      <c r="X27" s="8" t="s">
        <v>20</v>
      </c>
    </row>
    <row r="28" spans="2:24" x14ac:dyDescent="0.45">
      <c r="H28" s="3" t="s">
        <v>875</v>
      </c>
      <c r="I28" s="3" t="s">
        <v>14</v>
      </c>
      <c r="J28" s="7">
        <v>2.4148027413959428E-2</v>
      </c>
      <c r="K28" s="3" t="s">
        <v>15</v>
      </c>
      <c r="P28" s="3" t="s">
        <v>843</v>
      </c>
      <c r="Q28" s="3" t="s">
        <v>911</v>
      </c>
      <c r="R28" s="3" t="s">
        <v>860</v>
      </c>
      <c r="S28" s="3" t="s">
        <v>18</v>
      </c>
      <c r="U28" s="3" t="s">
        <v>843</v>
      </c>
      <c r="V28" s="3" t="s">
        <v>912</v>
      </c>
      <c r="W28" s="3" t="s">
        <v>848</v>
      </c>
      <c r="X28" s="3" t="s">
        <v>20</v>
      </c>
    </row>
    <row r="29" spans="2:24" x14ac:dyDescent="0.45">
      <c r="H29" s="8" t="s">
        <v>875</v>
      </c>
      <c r="I29" s="8" t="s">
        <v>28</v>
      </c>
      <c r="J29" s="12">
        <v>2.4148027413959428E-2</v>
      </c>
      <c r="K29" s="8" t="s">
        <v>15</v>
      </c>
      <c r="P29" s="8" t="s">
        <v>843</v>
      </c>
      <c r="Q29" s="8" t="s">
        <v>913</v>
      </c>
      <c r="R29" s="8" t="s">
        <v>864</v>
      </c>
      <c r="S29" s="8" t="s">
        <v>18</v>
      </c>
      <c r="U29" s="8" t="s">
        <v>843</v>
      </c>
      <c r="V29" s="8" t="s">
        <v>914</v>
      </c>
      <c r="W29" s="8" t="s">
        <v>848</v>
      </c>
      <c r="X29" s="8" t="s">
        <v>20</v>
      </c>
    </row>
    <row r="30" spans="2:24" x14ac:dyDescent="0.45">
      <c r="H30" s="3" t="s">
        <v>875</v>
      </c>
      <c r="I30" s="3" t="s">
        <v>37</v>
      </c>
      <c r="J30" s="7">
        <v>2.4148027413959428E-2</v>
      </c>
      <c r="K30" s="3" t="s">
        <v>15</v>
      </c>
      <c r="P30" s="3" t="s">
        <v>843</v>
      </c>
      <c r="Q30" s="3" t="s">
        <v>915</v>
      </c>
      <c r="R30" s="3" t="s">
        <v>868</v>
      </c>
      <c r="S30" s="3" t="s">
        <v>18</v>
      </c>
      <c r="U30" s="3" t="s">
        <v>843</v>
      </c>
      <c r="V30" s="3" t="s">
        <v>916</v>
      </c>
      <c r="W30" s="3" t="s">
        <v>848</v>
      </c>
      <c r="X30" s="3" t="s">
        <v>20</v>
      </c>
    </row>
    <row r="31" spans="2:24" x14ac:dyDescent="0.45">
      <c r="H31" s="8" t="s">
        <v>879</v>
      </c>
      <c r="I31" s="8" t="s">
        <v>14</v>
      </c>
      <c r="J31" s="12">
        <v>4.6402588318214887E-2</v>
      </c>
      <c r="K31" s="8" t="s">
        <v>15</v>
      </c>
      <c r="P31" s="8" t="s">
        <v>843</v>
      </c>
      <c r="Q31" s="8" t="s">
        <v>917</v>
      </c>
      <c r="R31" s="8" t="s">
        <v>872</v>
      </c>
      <c r="S31" s="8" t="s">
        <v>18</v>
      </c>
      <c r="U31" s="8" t="s">
        <v>843</v>
      </c>
      <c r="V31" s="8" t="s">
        <v>918</v>
      </c>
      <c r="W31" s="8" t="s">
        <v>848</v>
      </c>
      <c r="X31" s="8" t="s">
        <v>20</v>
      </c>
    </row>
    <row r="32" spans="2:24" x14ac:dyDescent="0.45">
      <c r="H32" s="3" t="s">
        <v>879</v>
      </c>
      <c r="I32" s="3" t="s">
        <v>28</v>
      </c>
      <c r="J32" s="7">
        <v>4.6402588318214887E-2</v>
      </c>
      <c r="K32" s="3" t="s">
        <v>15</v>
      </c>
      <c r="P32" s="3" t="s">
        <v>843</v>
      </c>
      <c r="Q32" s="3" t="s">
        <v>919</v>
      </c>
      <c r="R32" s="3" t="s">
        <v>876</v>
      </c>
      <c r="S32" s="3" t="s">
        <v>18</v>
      </c>
      <c r="U32" s="3" t="s">
        <v>843</v>
      </c>
      <c r="V32" s="3" t="s">
        <v>920</v>
      </c>
      <c r="W32" s="3" t="s">
        <v>848</v>
      </c>
      <c r="X32" s="3" t="s">
        <v>20</v>
      </c>
    </row>
    <row r="33" spans="8:24" x14ac:dyDescent="0.45">
      <c r="H33" s="8" t="s">
        <v>879</v>
      </c>
      <c r="I33" s="8" t="s">
        <v>37</v>
      </c>
      <c r="J33" s="12">
        <v>4.6402588318214887E-2</v>
      </c>
      <c r="K33" s="8" t="s">
        <v>15</v>
      </c>
      <c r="P33" s="8" t="s">
        <v>843</v>
      </c>
      <c r="Q33" s="8" t="s">
        <v>921</v>
      </c>
      <c r="R33" s="8" t="s">
        <v>880</v>
      </c>
      <c r="S33" s="8" t="s">
        <v>18</v>
      </c>
      <c r="U33" s="8" t="s">
        <v>843</v>
      </c>
      <c r="V33" s="8" t="s">
        <v>922</v>
      </c>
      <c r="W33" s="8" t="s">
        <v>848</v>
      </c>
      <c r="X33" s="8" t="s">
        <v>20</v>
      </c>
    </row>
    <row r="34" spans="8:24" x14ac:dyDescent="0.45">
      <c r="H34" s="3" t="s">
        <v>883</v>
      </c>
      <c r="I34" s="3" t="s">
        <v>14</v>
      </c>
      <c r="J34" s="7">
        <v>1.860796153777642E-2</v>
      </c>
      <c r="K34" s="3" t="s">
        <v>15</v>
      </c>
      <c r="P34" s="3" t="s">
        <v>843</v>
      </c>
      <c r="Q34" s="3" t="s">
        <v>923</v>
      </c>
      <c r="R34" s="3" t="s">
        <v>844</v>
      </c>
      <c r="S34" s="3" t="s">
        <v>18</v>
      </c>
      <c r="U34" s="3" t="s">
        <v>843</v>
      </c>
      <c r="V34" s="3" t="s">
        <v>924</v>
      </c>
      <c r="W34" s="3" t="s">
        <v>848</v>
      </c>
      <c r="X34" s="3" t="s">
        <v>20</v>
      </c>
    </row>
    <row r="35" spans="8:24" x14ac:dyDescent="0.45">
      <c r="H35" s="8" t="s">
        <v>883</v>
      </c>
      <c r="I35" s="8" t="s">
        <v>28</v>
      </c>
      <c r="J35" s="12">
        <v>1.860796153777642E-2</v>
      </c>
      <c r="K35" s="8" t="s">
        <v>15</v>
      </c>
      <c r="P35" s="8" t="s">
        <v>843</v>
      </c>
      <c r="Q35" s="8" t="s">
        <v>925</v>
      </c>
      <c r="R35" s="8" t="s">
        <v>848</v>
      </c>
      <c r="S35" s="8" t="s">
        <v>18</v>
      </c>
      <c r="U35" s="8" t="s">
        <v>843</v>
      </c>
      <c r="V35" s="8" t="s">
        <v>926</v>
      </c>
      <c r="W35" s="8" t="s">
        <v>848</v>
      </c>
      <c r="X35" s="8" t="s">
        <v>20</v>
      </c>
    </row>
    <row r="36" spans="8:24" x14ac:dyDescent="0.45">
      <c r="H36" s="3" t="s">
        <v>883</v>
      </c>
      <c r="I36" s="3" t="s">
        <v>37</v>
      </c>
      <c r="J36" s="7">
        <v>1.860796153777642E-2</v>
      </c>
      <c r="K36" s="3" t="s">
        <v>15</v>
      </c>
      <c r="P36" s="3" t="s">
        <v>843</v>
      </c>
      <c r="Q36" s="3" t="s">
        <v>927</v>
      </c>
      <c r="R36" s="3" t="s">
        <v>852</v>
      </c>
      <c r="S36" s="3" t="s">
        <v>18</v>
      </c>
      <c r="U36" s="3" t="s">
        <v>843</v>
      </c>
      <c r="V36" s="3" t="s">
        <v>928</v>
      </c>
      <c r="W36" s="3" t="s">
        <v>848</v>
      </c>
      <c r="X36" s="3" t="s">
        <v>20</v>
      </c>
    </row>
    <row r="37" spans="8:24" x14ac:dyDescent="0.45">
      <c r="H37" s="8" t="s">
        <v>886</v>
      </c>
      <c r="I37" s="8" t="s">
        <v>14</v>
      </c>
      <c r="J37" s="12">
        <v>0.11231894742556307</v>
      </c>
      <c r="K37" s="8" t="s">
        <v>15</v>
      </c>
      <c r="P37" s="8" t="s">
        <v>843</v>
      </c>
      <c r="Q37" s="8" t="s">
        <v>929</v>
      </c>
      <c r="R37" s="8" t="s">
        <v>856</v>
      </c>
      <c r="S37" s="8" t="s">
        <v>18</v>
      </c>
      <c r="U37" s="8" t="s">
        <v>843</v>
      </c>
      <c r="V37" s="8" t="s">
        <v>928</v>
      </c>
      <c r="W37" s="8" t="s">
        <v>930</v>
      </c>
      <c r="X37" s="8" t="s">
        <v>20</v>
      </c>
    </row>
    <row r="38" spans="8:24" x14ac:dyDescent="0.45">
      <c r="H38" s="3" t="s">
        <v>886</v>
      </c>
      <c r="I38" s="3" t="s">
        <v>28</v>
      </c>
      <c r="J38" s="7">
        <v>0.11231894742556307</v>
      </c>
      <c r="K38" s="3" t="s">
        <v>15</v>
      </c>
      <c r="P38" s="3" t="s">
        <v>843</v>
      </c>
      <c r="Q38" s="3" t="s">
        <v>931</v>
      </c>
      <c r="R38" s="3" t="s">
        <v>860</v>
      </c>
      <c r="S38" s="3" t="s">
        <v>18</v>
      </c>
      <c r="U38" s="3" t="s">
        <v>843</v>
      </c>
      <c r="V38" s="3" t="s">
        <v>932</v>
      </c>
      <c r="W38" s="3" t="s">
        <v>848</v>
      </c>
      <c r="X38" s="3" t="s">
        <v>20</v>
      </c>
    </row>
    <row r="39" spans="8:24" x14ac:dyDescent="0.45">
      <c r="H39" s="8" t="s">
        <v>886</v>
      </c>
      <c r="I39" s="8" t="s">
        <v>37</v>
      </c>
      <c r="J39" s="12">
        <v>0.11231894742556307</v>
      </c>
      <c r="K39" s="8" t="s">
        <v>15</v>
      </c>
      <c r="P39" s="8" t="s">
        <v>843</v>
      </c>
      <c r="Q39" s="8" t="s">
        <v>933</v>
      </c>
      <c r="R39" s="8" t="s">
        <v>864</v>
      </c>
      <c r="S39" s="8" t="s">
        <v>18</v>
      </c>
      <c r="U39" s="8" t="s">
        <v>843</v>
      </c>
      <c r="V39" s="8" t="s">
        <v>932</v>
      </c>
      <c r="W39" s="8" t="s">
        <v>930</v>
      </c>
      <c r="X39" s="8" t="s">
        <v>20</v>
      </c>
    </row>
    <row r="40" spans="8:24" x14ac:dyDescent="0.45">
      <c r="H40" s="3" t="s">
        <v>889</v>
      </c>
      <c r="I40" s="3" t="s">
        <v>14</v>
      </c>
      <c r="J40" s="7">
        <v>9.5826749069202299E-2</v>
      </c>
      <c r="K40" s="3" t="s">
        <v>15</v>
      </c>
      <c r="P40" s="3" t="s">
        <v>843</v>
      </c>
      <c r="Q40" s="3" t="s">
        <v>934</v>
      </c>
      <c r="R40" s="3" t="s">
        <v>868</v>
      </c>
      <c r="S40" s="3" t="s">
        <v>18</v>
      </c>
      <c r="U40" s="3" t="s">
        <v>843</v>
      </c>
      <c r="V40" s="3" t="s">
        <v>935</v>
      </c>
      <c r="W40" s="3" t="s">
        <v>848</v>
      </c>
      <c r="X40" s="3" t="s">
        <v>20</v>
      </c>
    </row>
    <row r="41" spans="8:24" x14ac:dyDescent="0.45">
      <c r="H41" s="8" t="s">
        <v>889</v>
      </c>
      <c r="I41" s="8" t="s">
        <v>28</v>
      </c>
      <c r="J41" s="12">
        <v>9.5826749069202299E-2</v>
      </c>
      <c r="K41" s="8" t="s">
        <v>15</v>
      </c>
      <c r="P41" s="8" t="s">
        <v>843</v>
      </c>
      <c r="Q41" s="8" t="s">
        <v>936</v>
      </c>
      <c r="R41" s="8" t="s">
        <v>872</v>
      </c>
      <c r="S41" s="8" t="s">
        <v>18</v>
      </c>
      <c r="U41" s="8" t="s">
        <v>843</v>
      </c>
      <c r="V41" s="8" t="s">
        <v>935</v>
      </c>
      <c r="W41" s="8" t="s">
        <v>930</v>
      </c>
      <c r="X41" s="8" t="s">
        <v>20</v>
      </c>
    </row>
    <row r="42" spans="8:24" x14ac:dyDescent="0.45">
      <c r="H42" s="3" t="s">
        <v>889</v>
      </c>
      <c r="I42" s="3" t="s">
        <v>37</v>
      </c>
      <c r="J42" s="7">
        <v>9.5826749069202299E-2</v>
      </c>
      <c r="K42" s="3" t="s">
        <v>15</v>
      </c>
      <c r="P42" s="3" t="s">
        <v>843</v>
      </c>
      <c r="Q42" s="3" t="s">
        <v>937</v>
      </c>
      <c r="R42" s="3" t="s">
        <v>876</v>
      </c>
      <c r="S42" s="3" t="s">
        <v>18</v>
      </c>
      <c r="U42" s="3" t="s">
        <v>843</v>
      </c>
      <c r="V42" s="3" t="s">
        <v>938</v>
      </c>
      <c r="W42" s="3" t="s">
        <v>930</v>
      </c>
      <c r="X42" s="3" t="s">
        <v>20</v>
      </c>
    </row>
    <row r="43" spans="8:24" x14ac:dyDescent="0.45">
      <c r="H43" s="8" t="s">
        <v>892</v>
      </c>
      <c r="I43" s="8" t="s">
        <v>14</v>
      </c>
      <c r="J43" s="12">
        <v>5.3139281367051566E-2</v>
      </c>
      <c r="K43" s="8" t="s">
        <v>15</v>
      </c>
      <c r="P43" s="8" t="s">
        <v>843</v>
      </c>
      <c r="Q43" s="8" t="s">
        <v>939</v>
      </c>
      <c r="R43" s="8" t="s">
        <v>880</v>
      </c>
      <c r="S43" s="8" t="s">
        <v>18</v>
      </c>
      <c r="U43" s="8" t="s">
        <v>843</v>
      </c>
      <c r="V43" s="8" t="s">
        <v>940</v>
      </c>
      <c r="W43" s="8" t="s">
        <v>930</v>
      </c>
      <c r="X43" s="8" t="s">
        <v>20</v>
      </c>
    </row>
    <row r="44" spans="8:24" x14ac:dyDescent="0.45">
      <c r="H44" s="3" t="s">
        <v>892</v>
      </c>
      <c r="I44" s="3" t="s">
        <v>28</v>
      </c>
      <c r="J44" s="7">
        <v>5.3139281367051566E-2</v>
      </c>
      <c r="K44" s="3" t="s">
        <v>15</v>
      </c>
      <c r="P44" s="3" t="s">
        <v>843</v>
      </c>
      <c r="Q44" s="3" t="s">
        <v>941</v>
      </c>
      <c r="R44" s="3" t="s">
        <v>942</v>
      </c>
      <c r="S44" s="3" t="s">
        <v>18</v>
      </c>
      <c r="U44" s="3" t="s">
        <v>843</v>
      </c>
      <c r="V44" s="3" t="s">
        <v>943</v>
      </c>
      <c r="W44" s="3" t="s">
        <v>930</v>
      </c>
      <c r="X44" s="3" t="s">
        <v>20</v>
      </c>
    </row>
    <row r="45" spans="8:24" x14ac:dyDescent="0.45">
      <c r="H45" s="8" t="s">
        <v>892</v>
      </c>
      <c r="I45" s="8" t="s">
        <v>37</v>
      </c>
      <c r="J45" s="12">
        <v>5.3139281367051566E-2</v>
      </c>
      <c r="K45" s="8" t="s">
        <v>15</v>
      </c>
      <c r="P45" s="8" t="s">
        <v>843</v>
      </c>
      <c r="Q45" s="8" t="s">
        <v>944</v>
      </c>
      <c r="R45" s="8" t="s">
        <v>945</v>
      </c>
      <c r="S45" s="8" t="s">
        <v>18</v>
      </c>
      <c r="U45" s="8" t="s">
        <v>843</v>
      </c>
      <c r="V45" s="8" t="s">
        <v>943</v>
      </c>
      <c r="W45" s="8" t="s">
        <v>848</v>
      </c>
      <c r="X45" s="8" t="s">
        <v>18</v>
      </c>
    </row>
    <row r="46" spans="8:24" x14ac:dyDescent="0.45">
      <c r="H46" s="3" t="s">
        <v>894</v>
      </c>
      <c r="I46" s="3" t="s">
        <v>14</v>
      </c>
      <c r="J46" s="7">
        <v>3.4958751429473058E-2</v>
      </c>
      <c r="K46" s="3" t="s">
        <v>15</v>
      </c>
      <c r="P46" s="3" t="s">
        <v>843</v>
      </c>
      <c r="Q46" s="3" t="s">
        <v>946</v>
      </c>
      <c r="R46" s="3" t="s">
        <v>947</v>
      </c>
      <c r="S46" s="3" t="s">
        <v>18</v>
      </c>
      <c r="U46" s="3" t="s">
        <v>843</v>
      </c>
      <c r="V46" s="3" t="s">
        <v>948</v>
      </c>
      <c r="W46" s="3" t="s">
        <v>930</v>
      </c>
      <c r="X46" s="3" t="s">
        <v>20</v>
      </c>
    </row>
    <row r="47" spans="8:24" x14ac:dyDescent="0.45">
      <c r="H47" s="8" t="s">
        <v>894</v>
      </c>
      <c r="I47" s="8" t="s">
        <v>28</v>
      </c>
      <c r="J47" s="12">
        <v>3.4958751429473058E-2</v>
      </c>
      <c r="K47" s="8" t="s">
        <v>15</v>
      </c>
      <c r="P47" s="8" t="s">
        <v>843</v>
      </c>
      <c r="Q47" s="8" t="s">
        <v>949</v>
      </c>
      <c r="R47" s="8" t="s">
        <v>950</v>
      </c>
      <c r="S47" s="8" t="s">
        <v>18</v>
      </c>
      <c r="U47" s="8" t="s">
        <v>843</v>
      </c>
      <c r="V47" s="8" t="s">
        <v>948</v>
      </c>
      <c r="W47" s="8" t="s">
        <v>848</v>
      </c>
      <c r="X47" s="8" t="s">
        <v>18</v>
      </c>
    </row>
    <row r="48" spans="8:24" x14ac:dyDescent="0.45">
      <c r="H48" s="3" t="s">
        <v>894</v>
      </c>
      <c r="I48" s="3" t="s">
        <v>37</v>
      </c>
      <c r="J48" s="7">
        <v>3.4958751429473058E-2</v>
      </c>
      <c r="K48" s="3" t="s">
        <v>15</v>
      </c>
      <c r="U48" s="3" t="s">
        <v>843</v>
      </c>
      <c r="V48" s="3" t="s">
        <v>951</v>
      </c>
      <c r="W48" s="3" t="s">
        <v>852</v>
      </c>
      <c r="X48" s="3" t="s">
        <v>20</v>
      </c>
    </row>
    <row r="49" spans="8:24" x14ac:dyDescent="0.45">
      <c r="H49" s="8" t="s">
        <v>896</v>
      </c>
      <c r="I49" s="8" t="s">
        <v>14</v>
      </c>
      <c r="J49" s="12">
        <v>0.45656901972071517</v>
      </c>
      <c r="K49" s="8" t="s">
        <v>15</v>
      </c>
      <c r="U49" s="8" t="s">
        <v>843</v>
      </c>
      <c r="V49" s="8" t="s">
        <v>952</v>
      </c>
      <c r="W49" s="8" t="s">
        <v>852</v>
      </c>
      <c r="X49" s="8" t="s">
        <v>20</v>
      </c>
    </row>
    <row r="50" spans="8:24" x14ac:dyDescent="0.45">
      <c r="H50" s="3" t="s">
        <v>896</v>
      </c>
      <c r="I50" s="3" t="s">
        <v>28</v>
      </c>
      <c r="J50" s="7">
        <v>0.45656901972071517</v>
      </c>
      <c r="K50" s="3" t="s">
        <v>15</v>
      </c>
      <c r="U50" s="3" t="s">
        <v>843</v>
      </c>
      <c r="V50" s="3" t="s">
        <v>953</v>
      </c>
      <c r="W50" s="3" t="s">
        <v>852</v>
      </c>
      <c r="X50" s="3" t="s">
        <v>20</v>
      </c>
    </row>
    <row r="51" spans="8:24" x14ac:dyDescent="0.45">
      <c r="H51" s="8" t="s">
        <v>896</v>
      </c>
      <c r="I51" s="8" t="s">
        <v>37</v>
      </c>
      <c r="J51" s="12">
        <v>0.45656901972071517</v>
      </c>
      <c r="K51" s="8" t="s">
        <v>15</v>
      </c>
      <c r="U51" s="8" t="s">
        <v>843</v>
      </c>
      <c r="V51" s="8" t="s">
        <v>954</v>
      </c>
      <c r="W51" s="8" t="s">
        <v>852</v>
      </c>
      <c r="X51" s="8" t="s">
        <v>20</v>
      </c>
    </row>
    <row r="52" spans="8:24" x14ac:dyDescent="0.45">
      <c r="H52" s="3" t="s">
        <v>897</v>
      </c>
      <c r="I52" s="3" t="s">
        <v>14</v>
      </c>
      <c r="J52" s="7">
        <v>6.9019068705580527E-2</v>
      </c>
      <c r="K52" s="3" t="s">
        <v>15</v>
      </c>
      <c r="U52" s="3" t="s">
        <v>843</v>
      </c>
      <c r="V52" s="3" t="s">
        <v>955</v>
      </c>
      <c r="W52" s="3" t="s">
        <v>852</v>
      </c>
      <c r="X52" s="3" t="s">
        <v>20</v>
      </c>
    </row>
    <row r="53" spans="8:24" x14ac:dyDescent="0.45">
      <c r="H53" s="8" t="s">
        <v>897</v>
      </c>
      <c r="I53" s="8" t="s">
        <v>28</v>
      </c>
      <c r="J53" s="12">
        <v>6.9019068705580527E-2</v>
      </c>
      <c r="K53" s="8" t="s">
        <v>15</v>
      </c>
      <c r="U53" s="8" t="s">
        <v>843</v>
      </c>
      <c r="V53" s="8" t="s">
        <v>956</v>
      </c>
      <c r="W53" s="8" t="s">
        <v>852</v>
      </c>
      <c r="X53" s="8" t="s">
        <v>20</v>
      </c>
    </row>
    <row r="54" spans="8:24" x14ac:dyDescent="0.45">
      <c r="H54" s="3" t="s">
        <v>897</v>
      </c>
      <c r="I54" s="3" t="s">
        <v>37</v>
      </c>
      <c r="J54" s="7">
        <v>6.9019068705580527E-2</v>
      </c>
      <c r="K54" s="3" t="s">
        <v>15</v>
      </c>
      <c r="U54" s="3" t="s">
        <v>843</v>
      </c>
      <c r="V54" s="3" t="s">
        <v>957</v>
      </c>
      <c r="W54" s="3" t="s">
        <v>852</v>
      </c>
      <c r="X54" s="3" t="s">
        <v>20</v>
      </c>
    </row>
    <row r="55" spans="8:24" x14ac:dyDescent="0.45">
      <c r="H55" s="8" t="s">
        <v>899</v>
      </c>
      <c r="I55" s="8" t="s">
        <v>14</v>
      </c>
      <c r="J55" s="12">
        <v>6.900960501246306E-2</v>
      </c>
      <c r="K55" s="8" t="s">
        <v>15</v>
      </c>
      <c r="U55" s="8" t="s">
        <v>843</v>
      </c>
      <c r="V55" s="8" t="s">
        <v>958</v>
      </c>
      <c r="W55" s="8" t="s">
        <v>852</v>
      </c>
      <c r="X55" s="8" t="s">
        <v>20</v>
      </c>
    </row>
    <row r="56" spans="8:24" x14ac:dyDescent="0.45">
      <c r="H56" s="3" t="s">
        <v>899</v>
      </c>
      <c r="I56" s="3" t="s">
        <v>28</v>
      </c>
      <c r="J56" s="7">
        <v>6.900960501246306E-2</v>
      </c>
      <c r="K56" s="3" t="s">
        <v>15</v>
      </c>
      <c r="U56" s="3" t="s">
        <v>843</v>
      </c>
      <c r="V56" s="3" t="s">
        <v>959</v>
      </c>
      <c r="W56" s="3" t="s">
        <v>852</v>
      </c>
      <c r="X56" s="3" t="s">
        <v>20</v>
      </c>
    </row>
    <row r="57" spans="8:24" x14ac:dyDescent="0.45">
      <c r="H57" s="8" t="s">
        <v>899</v>
      </c>
      <c r="I57" s="8" t="s">
        <v>37</v>
      </c>
      <c r="J57" s="12">
        <v>6.900960501246306E-2</v>
      </c>
      <c r="K57" s="8" t="s">
        <v>15</v>
      </c>
      <c r="U57" s="8" t="s">
        <v>843</v>
      </c>
      <c r="V57" s="8" t="s">
        <v>960</v>
      </c>
      <c r="W57" s="8" t="s">
        <v>852</v>
      </c>
      <c r="X57" s="8" t="s">
        <v>20</v>
      </c>
    </row>
    <row r="58" spans="8:24" x14ac:dyDescent="0.45">
      <c r="H58" s="3" t="s">
        <v>901</v>
      </c>
      <c r="I58" s="3" t="s">
        <v>14</v>
      </c>
      <c r="J58" s="7">
        <v>2.4148027413959428E-2</v>
      </c>
      <c r="K58" s="3" t="s">
        <v>15</v>
      </c>
      <c r="U58" s="3" t="s">
        <v>843</v>
      </c>
      <c r="V58" s="3" t="s">
        <v>961</v>
      </c>
      <c r="W58" s="3" t="s">
        <v>852</v>
      </c>
      <c r="X58" s="3" t="s">
        <v>20</v>
      </c>
    </row>
    <row r="59" spans="8:24" x14ac:dyDescent="0.45">
      <c r="H59" s="8" t="s">
        <v>901</v>
      </c>
      <c r="I59" s="8" t="s">
        <v>28</v>
      </c>
      <c r="J59" s="12">
        <v>2.4148027413959428E-2</v>
      </c>
      <c r="K59" s="8" t="s">
        <v>15</v>
      </c>
      <c r="U59" s="8" t="s">
        <v>843</v>
      </c>
      <c r="V59" s="8" t="s">
        <v>961</v>
      </c>
      <c r="W59" s="8" t="s">
        <v>962</v>
      </c>
      <c r="X59" s="8" t="s">
        <v>20</v>
      </c>
    </row>
    <row r="60" spans="8:24" x14ac:dyDescent="0.45">
      <c r="H60" s="3" t="s">
        <v>901</v>
      </c>
      <c r="I60" s="3" t="s">
        <v>37</v>
      </c>
      <c r="J60" s="7">
        <v>2.4148027413959428E-2</v>
      </c>
      <c r="K60" s="3" t="s">
        <v>15</v>
      </c>
      <c r="U60" s="3" t="s">
        <v>843</v>
      </c>
      <c r="V60" s="3" t="s">
        <v>963</v>
      </c>
      <c r="W60" s="3" t="s">
        <v>852</v>
      </c>
      <c r="X60" s="3" t="s">
        <v>20</v>
      </c>
    </row>
    <row r="61" spans="8:24" x14ac:dyDescent="0.45">
      <c r="H61" s="8" t="s">
        <v>903</v>
      </c>
      <c r="I61" s="8" t="s">
        <v>14</v>
      </c>
      <c r="J61" s="12">
        <v>4.6402588318214887E-2</v>
      </c>
      <c r="K61" s="8" t="s">
        <v>15</v>
      </c>
      <c r="U61" s="8" t="s">
        <v>843</v>
      </c>
      <c r="V61" s="8" t="s">
        <v>963</v>
      </c>
      <c r="W61" s="8" t="s">
        <v>962</v>
      </c>
      <c r="X61" s="8" t="s">
        <v>20</v>
      </c>
    </row>
    <row r="62" spans="8:24" x14ac:dyDescent="0.45">
      <c r="H62" s="3" t="s">
        <v>903</v>
      </c>
      <c r="I62" s="3" t="s">
        <v>28</v>
      </c>
      <c r="J62" s="7">
        <v>4.6402588318214887E-2</v>
      </c>
      <c r="K62" s="3" t="s">
        <v>15</v>
      </c>
      <c r="U62" s="3" t="s">
        <v>843</v>
      </c>
      <c r="V62" s="3" t="s">
        <v>964</v>
      </c>
      <c r="W62" s="3" t="s">
        <v>852</v>
      </c>
      <c r="X62" s="3" t="s">
        <v>20</v>
      </c>
    </row>
    <row r="63" spans="8:24" x14ac:dyDescent="0.45">
      <c r="H63" s="8" t="s">
        <v>903</v>
      </c>
      <c r="I63" s="8" t="s">
        <v>37</v>
      </c>
      <c r="J63" s="12">
        <v>4.6402588318214887E-2</v>
      </c>
      <c r="K63" s="8" t="s">
        <v>15</v>
      </c>
      <c r="U63" s="8" t="s">
        <v>843</v>
      </c>
      <c r="V63" s="8" t="s">
        <v>964</v>
      </c>
      <c r="W63" s="8" t="s">
        <v>962</v>
      </c>
      <c r="X63" s="8" t="s">
        <v>20</v>
      </c>
    </row>
    <row r="64" spans="8:24" x14ac:dyDescent="0.45">
      <c r="H64" s="3" t="s">
        <v>904</v>
      </c>
      <c r="I64" s="3" t="s">
        <v>14</v>
      </c>
      <c r="J64" s="7">
        <v>1.860796153777642E-2</v>
      </c>
      <c r="K64" s="3" t="s">
        <v>15</v>
      </c>
      <c r="U64" s="3" t="s">
        <v>843</v>
      </c>
      <c r="V64" s="3" t="s">
        <v>965</v>
      </c>
      <c r="W64" s="3" t="s">
        <v>962</v>
      </c>
      <c r="X64" s="3" t="s">
        <v>20</v>
      </c>
    </row>
    <row r="65" spans="8:24" x14ac:dyDescent="0.45">
      <c r="H65" s="8" t="s">
        <v>904</v>
      </c>
      <c r="I65" s="8" t="s">
        <v>28</v>
      </c>
      <c r="J65" s="12">
        <v>1.860796153777642E-2</v>
      </c>
      <c r="K65" s="8" t="s">
        <v>15</v>
      </c>
      <c r="U65" s="8" t="s">
        <v>843</v>
      </c>
      <c r="V65" s="8" t="s">
        <v>966</v>
      </c>
      <c r="W65" s="8" t="s">
        <v>962</v>
      </c>
      <c r="X65" s="8" t="s">
        <v>20</v>
      </c>
    </row>
    <row r="66" spans="8:24" x14ac:dyDescent="0.45">
      <c r="H66" s="3" t="s">
        <v>904</v>
      </c>
      <c r="I66" s="3" t="s">
        <v>37</v>
      </c>
      <c r="J66" s="7">
        <v>1.860796153777642E-2</v>
      </c>
      <c r="K66" s="3" t="s">
        <v>15</v>
      </c>
      <c r="U66" s="3" t="s">
        <v>843</v>
      </c>
      <c r="V66" s="3" t="s">
        <v>967</v>
      </c>
      <c r="W66" s="3" t="s">
        <v>962</v>
      </c>
      <c r="X66" s="3" t="s">
        <v>20</v>
      </c>
    </row>
    <row r="67" spans="8:24" x14ac:dyDescent="0.45">
      <c r="H67" s="8" t="s">
        <v>906</v>
      </c>
      <c r="I67" s="8" t="s">
        <v>14</v>
      </c>
      <c r="J67" s="12">
        <v>0.11231894742556307</v>
      </c>
      <c r="K67" s="8" t="s">
        <v>15</v>
      </c>
      <c r="U67" s="8" t="s">
        <v>843</v>
      </c>
      <c r="V67" s="8" t="s">
        <v>967</v>
      </c>
      <c r="W67" s="8" t="s">
        <v>852</v>
      </c>
      <c r="X67" s="8" t="s">
        <v>18</v>
      </c>
    </row>
    <row r="68" spans="8:24" x14ac:dyDescent="0.45">
      <c r="H68" s="3" t="s">
        <v>906</v>
      </c>
      <c r="I68" s="3" t="s">
        <v>28</v>
      </c>
      <c r="J68" s="7">
        <v>0.11231894742556307</v>
      </c>
      <c r="K68" s="3" t="s">
        <v>15</v>
      </c>
      <c r="U68" s="3" t="s">
        <v>843</v>
      </c>
      <c r="V68" s="3" t="s">
        <v>968</v>
      </c>
      <c r="W68" s="3" t="s">
        <v>962</v>
      </c>
      <c r="X68" s="3" t="s">
        <v>20</v>
      </c>
    </row>
    <row r="69" spans="8:24" x14ac:dyDescent="0.45">
      <c r="H69" s="8" t="s">
        <v>906</v>
      </c>
      <c r="I69" s="8" t="s">
        <v>37</v>
      </c>
      <c r="J69" s="12">
        <v>0.11231894742556307</v>
      </c>
      <c r="K69" s="8" t="s">
        <v>15</v>
      </c>
      <c r="U69" s="8" t="s">
        <v>843</v>
      </c>
      <c r="V69" s="8" t="s">
        <v>968</v>
      </c>
      <c r="W69" s="8" t="s">
        <v>852</v>
      </c>
      <c r="X69" s="8" t="s">
        <v>18</v>
      </c>
    </row>
    <row r="70" spans="8:24" x14ac:dyDescent="0.45">
      <c r="H70" s="3" t="s">
        <v>907</v>
      </c>
      <c r="I70" s="3" t="s">
        <v>14</v>
      </c>
      <c r="J70" s="7">
        <v>9.5826749069202299E-2</v>
      </c>
      <c r="K70" s="3" t="s">
        <v>15</v>
      </c>
      <c r="U70" s="3" t="s">
        <v>843</v>
      </c>
      <c r="V70" s="3" t="s">
        <v>969</v>
      </c>
      <c r="W70" s="3" t="s">
        <v>856</v>
      </c>
      <c r="X70" s="3" t="s">
        <v>20</v>
      </c>
    </row>
    <row r="71" spans="8:24" x14ac:dyDescent="0.45">
      <c r="H71" s="8" t="s">
        <v>907</v>
      </c>
      <c r="I71" s="8" t="s">
        <v>28</v>
      </c>
      <c r="J71" s="12">
        <v>9.5826749069202299E-2</v>
      </c>
      <c r="K71" s="8" t="s">
        <v>15</v>
      </c>
      <c r="U71" s="8" t="s">
        <v>843</v>
      </c>
      <c r="V71" s="8" t="s">
        <v>970</v>
      </c>
      <c r="W71" s="8" t="s">
        <v>856</v>
      </c>
      <c r="X71" s="8" t="s">
        <v>20</v>
      </c>
    </row>
    <row r="72" spans="8:24" x14ac:dyDescent="0.45">
      <c r="H72" s="3" t="s">
        <v>907</v>
      </c>
      <c r="I72" s="3" t="s">
        <v>37</v>
      </c>
      <c r="J72" s="7">
        <v>9.5826749069202299E-2</v>
      </c>
      <c r="K72" s="3" t="s">
        <v>15</v>
      </c>
      <c r="U72" s="3" t="s">
        <v>843</v>
      </c>
      <c r="V72" s="3" t="s">
        <v>971</v>
      </c>
      <c r="W72" s="3" t="s">
        <v>856</v>
      </c>
      <c r="X72" s="3" t="s">
        <v>20</v>
      </c>
    </row>
    <row r="73" spans="8:24" x14ac:dyDescent="0.45">
      <c r="H73" s="8" t="s">
        <v>909</v>
      </c>
      <c r="I73" s="8" t="s">
        <v>14</v>
      </c>
      <c r="J73" s="12">
        <v>5.3139281367051566E-2</v>
      </c>
      <c r="K73" s="8" t="s">
        <v>15</v>
      </c>
      <c r="U73" s="8" t="s">
        <v>843</v>
      </c>
      <c r="V73" s="8" t="s">
        <v>972</v>
      </c>
      <c r="W73" s="8" t="s">
        <v>856</v>
      </c>
      <c r="X73" s="8" t="s">
        <v>20</v>
      </c>
    </row>
    <row r="74" spans="8:24" x14ac:dyDescent="0.45">
      <c r="H74" s="3" t="s">
        <v>909</v>
      </c>
      <c r="I74" s="3" t="s">
        <v>28</v>
      </c>
      <c r="J74" s="7">
        <v>5.3139281367051566E-2</v>
      </c>
      <c r="K74" s="3" t="s">
        <v>15</v>
      </c>
      <c r="U74" s="3" t="s">
        <v>843</v>
      </c>
      <c r="V74" s="3" t="s">
        <v>973</v>
      </c>
      <c r="W74" s="3" t="s">
        <v>856</v>
      </c>
      <c r="X74" s="3" t="s">
        <v>20</v>
      </c>
    </row>
    <row r="75" spans="8:24" x14ac:dyDescent="0.45">
      <c r="H75" s="8" t="s">
        <v>909</v>
      </c>
      <c r="I75" s="8" t="s">
        <v>37</v>
      </c>
      <c r="J75" s="12">
        <v>5.3139281367051566E-2</v>
      </c>
      <c r="K75" s="8" t="s">
        <v>15</v>
      </c>
      <c r="U75" s="8" t="s">
        <v>843</v>
      </c>
      <c r="V75" s="8" t="s">
        <v>974</v>
      </c>
      <c r="W75" s="8" t="s">
        <v>856</v>
      </c>
      <c r="X75" s="8" t="s">
        <v>20</v>
      </c>
    </row>
    <row r="76" spans="8:24" x14ac:dyDescent="0.45">
      <c r="H76" s="3" t="s">
        <v>911</v>
      </c>
      <c r="I76" s="3" t="s">
        <v>14</v>
      </c>
      <c r="J76" s="7">
        <v>3.4958751429473058E-2</v>
      </c>
      <c r="K76" s="3" t="s">
        <v>15</v>
      </c>
      <c r="U76" s="3" t="s">
        <v>843</v>
      </c>
      <c r="V76" s="3" t="s">
        <v>975</v>
      </c>
      <c r="W76" s="3" t="s">
        <v>856</v>
      </c>
      <c r="X76" s="3" t="s">
        <v>20</v>
      </c>
    </row>
    <row r="77" spans="8:24" x14ac:dyDescent="0.45">
      <c r="H77" s="8" t="s">
        <v>911</v>
      </c>
      <c r="I77" s="8" t="s">
        <v>28</v>
      </c>
      <c r="J77" s="12">
        <v>3.4958751429473058E-2</v>
      </c>
      <c r="K77" s="8" t="s">
        <v>15</v>
      </c>
      <c r="U77" s="8" t="s">
        <v>843</v>
      </c>
      <c r="V77" s="8" t="s">
        <v>976</v>
      </c>
      <c r="W77" s="8" t="s">
        <v>856</v>
      </c>
      <c r="X77" s="8" t="s">
        <v>20</v>
      </c>
    </row>
    <row r="78" spans="8:24" x14ac:dyDescent="0.45">
      <c r="H78" s="3" t="s">
        <v>911</v>
      </c>
      <c r="I78" s="3" t="s">
        <v>37</v>
      </c>
      <c r="J78" s="7">
        <v>3.4958751429473058E-2</v>
      </c>
      <c r="K78" s="3" t="s">
        <v>15</v>
      </c>
      <c r="U78" s="3" t="s">
        <v>843</v>
      </c>
      <c r="V78" s="3" t="s">
        <v>977</v>
      </c>
      <c r="W78" s="3" t="s">
        <v>856</v>
      </c>
      <c r="X78" s="3" t="s">
        <v>20</v>
      </c>
    </row>
    <row r="79" spans="8:24" x14ac:dyDescent="0.45">
      <c r="H79" s="8" t="s">
        <v>913</v>
      </c>
      <c r="I79" s="8" t="s">
        <v>14</v>
      </c>
      <c r="J79" s="12">
        <v>0.45656901972071517</v>
      </c>
      <c r="K79" s="8" t="s">
        <v>15</v>
      </c>
      <c r="U79" s="8" t="s">
        <v>843</v>
      </c>
      <c r="V79" s="8" t="s">
        <v>978</v>
      </c>
      <c r="W79" s="8" t="s">
        <v>856</v>
      </c>
      <c r="X79" s="8" t="s">
        <v>20</v>
      </c>
    </row>
    <row r="80" spans="8:24" x14ac:dyDescent="0.45">
      <c r="H80" s="3" t="s">
        <v>913</v>
      </c>
      <c r="I80" s="3" t="s">
        <v>28</v>
      </c>
      <c r="J80" s="7">
        <v>0.45656901972071517</v>
      </c>
      <c r="K80" s="3" t="s">
        <v>15</v>
      </c>
      <c r="U80" s="3" t="s">
        <v>843</v>
      </c>
      <c r="V80" s="3" t="s">
        <v>979</v>
      </c>
      <c r="W80" s="3" t="s">
        <v>856</v>
      </c>
      <c r="X80" s="3" t="s">
        <v>20</v>
      </c>
    </row>
    <row r="81" spans="8:24" x14ac:dyDescent="0.45">
      <c r="H81" s="8" t="s">
        <v>913</v>
      </c>
      <c r="I81" s="8" t="s">
        <v>37</v>
      </c>
      <c r="J81" s="12">
        <v>0.45656901972071517</v>
      </c>
      <c r="K81" s="8" t="s">
        <v>15</v>
      </c>
      <c r="U81" s="8" t="s">
        <v>843</v>
      </c>
      <c r="V81" s="8" t="s">
        <v>979</v>
      </c>
      <c r="W81" s="8" t="s">
        <v>947</v>
      </c>
      <c r="X81" s="8" t="s">
        <v>20</v>
      </c>
    </row>
    <row r="82" spans="8:24" x14ac:dyDescent="0.45">
      <c r="H82" s="3" t="s">
        <v>915</v>
      </c>
      <c r="I82" s="3" t="s">
        <v>14</v>
      </c>
      <c r="J82" s="7">
        <v>6.9019068705580527E-2</v>
      </c>
      <c r="K82" s="3" t="s">
        <v>15</v>
      </c>
      <c r="U82" s="3" t="s">
        <v>843</v>
      </c>
      <c r="V82" s="3" t="s">
        <v>980</v>
      </c>
      <c r="W82" s="3" t="s">
        <v>856</v>
      </c>
      <c r="X82" s="3" t="s">
        <v>20</v>
      </c>
    </row>
    <row r="83" spans="8:24" x14ac:dyDescent="0.45">
      <c r="H83" s="8" t="s">
        <v>915</v>
      </c>
      <c r="I83" s="8" t="s">
        <v>28</v>
      </c>
      <c r="J83" s="12">
        <v>6.9019068705580527E-2</v>
      </c>
      <c r="K83" s="8" t="s">
        <v>15</v>
      </c>
      <c r="U83" s="8" t="s">
        <v>843</v>
      </c>
      <c r="V83" s="8" t="s">
        <v>980</v>
      </c>
      <c r="W83" s="8" t="s">
        <v>947</v>
      </c>
      <c r="X83" s="8" t="s">
        <v>20</v>
      </c>
    </row>
    <row r="84" spans="8:24" x14ac:dyDescent="0.45">
      <c r="H84" s="3" t="s">
        <v>915</v>
      </c>
      <c r="I84" s="3" t="s">
        <v>37</v>
      </c>
      <c r="J84" s="7">
        <v>6.9019068705580527E-2</v>
      </c>
      <c r="K84" s="3" t="s">
        <v>15</v>
      </c>
      <c r="U84" s="3" t="s">
        <v>843</v>
      </c>
      <c r="V84" s="3" t="s">
        <v>981</v>
      </c>
      <c r="W84" s="3" t="s">
        <v>856</v>
      </c>
      <c r="X84" s="3" t="s">
        <v>20</v>
      </c>
    </row>
    <row r="85" spans="8:24" x14ac:dyDescent="0.45">
      <c r="H85" s="8" t="s">
        <v>917</v>
      </c>
      <c r="I85" s="8" t="s">
        <v>14</v>
      </c>
      <c r="J85" s="12">
        <v>6.900960501246306E-2</v>
      </c>
      <c r="K85" s="8" t="s">
        <v>15</v>
      </c>
      <c r="U85" s="8" t="s">
        <v>843</v>
      </c>
      <c r="V85" s="8" t="s">
        <v>981</v>
      </c>
      <c r="W85" s="8" t="s">
        <v>947</v>
      </c>
      <c r="X85" s="8" t="s">
        <v>20</v>
      </c>
    </row>
    <row r="86" spans="8:24" x14ac:dyDescent="0.45">
      <c r="H86" s="3" t="s">
        <v>917</v>
      </c>
      <c r="I86" s="3" t="s">
        <v>28</v>
      </c>
      <c r="J86" s="7">
        <v>6.900960501246306E-2</v>
      </c>
      <c r="K86" s="3" t="s">
        <v>15</v>
      </c>
      <c r="U86" s="3" t="s">
        <v>843</v>
      </c>
      <c r="V86" s="3" t="s">
        <v>982</v>
      </c>
      <c r="W86" s="3" t="s">
        <v>947</v>
      </c>
      <c r="X86" s="3" t="s">
        <v>20</v>
      </c>
    </row>
    <row r="87" spans="8:24" x14ac:dyDescent="0.45">
      <c r="H87" s="8" t="s">
        <v>917</v>
      </c>
      <c r="I87" s="8" t="s">
        <v>37</v>
      </c>
      <c r="J87" s="12">
        <v>6.900960501246306E-2</v>
      </c>
      <c r="K87" s="8" t="s">
        <v>15</v>
      </c>
      <c r="U87" s="8" t="s">
        <v>843</v>
      </c>
      <c r="V87" s="8" t="s">
        <v>983</v>
      </c>
      <c r="W87" s="8" t="s">
        <v>947</v>
      </c>
      <c r="X87" s="8" t="s">
        <v>20</v>
      </c>
    </row>
    <row r="88" spans="8:24" x14ac:dyDescent="0.45">
      <c r="H88" s="3" t="s">
        <v>919</v>
      </c>
      <c r="I88" s="3" t="s">
        <v>14</v>
      </c>
      <c r="J88" s="7">
        <v>2.4148027413959428E-2</v>
      </c>
      <c r="K88" s="3" t="s">
        <v>15</v>
      </c>
      <c r="U88" s="3" t="s">
        <v>843</v>
      </c>
      <c r="V88" s="3" t="s">
        <v>984</v>
      </c>
      <c r="W88" s="3" t="s">
        <v>947</v>
      </c>
      <c r="X88" s="3" t="s">
        <v>20</v>
      </c>
    </row>
    <row r="89" spans="8:24" x14ac:dyDescent="0.45">
      <c r="H89" s="8" t="s">
        <v>919</v>
      </c>
      <c r="I89" s="8" t="s">
        <v>28</v>
      </c>
      <c r="J89" s="12">
        <v>2.4148027413959428E-2</v>
      </c>
      <c r="K89" s="8" t="s">
        <v>15</v>
      </c>
      <c r="U89" s="8" t="s">
        <v>843</v>
      </c>
      <c r="V89" s="8" t="s">
        <v>984</v>
      </c>
      <c r="W89" s="8" t="s">
        <v>856</v>
      </c>
      <c r="X89" s="8" t="s">
        <v>18</v>
      </c>
    </row>
    <row r="90" spans="8:24" x14ac:dyDescent="0.45">
      <c r="H90" s="3" t="s">
        <v>919</v>
      </c>
      <c r="I90" s="3" t="s">
        <v>37</v>
      </c>
      <c r="J90" s="7">
        <v>2.4148027413959428E-2</v>
      </c>
      <c r="K90" s="3" t="s">
        <v>15</v>
      </c>
      <c r="U90" s="3" t="s">
        <v>843</v>
      </c>
      <c r="V90" s="3" t="s">
        <v>985</v>
      </c>
      <c r="W90" s="3" t="s">
        <v>947</v>
      </c>
      <c r="X90" s="3" t="s">
        <v>20</v>
      </c>
    </row>
    <row r="91" spans="8:24" x14ac:dyDescent="0.45">
      <c r="H91" s="8" t="s">
        <v>921</v>
      </c>
      <c r="I91" s="8" t="s">
        <v>14</v>
      </c>
      <c r="J91" s="12">
        <v>4.6402588318214887E-2</v>
      </c>
      <c r="K91" s="8" t="s">
        <v>15</v>
      </c>
      <c r="U91" s="8" t="s">
        <v>843</v>
      </c>
      <c r="V91" s="8" t="s">
        <v>985</v>
      </c>
      <c r="W91" s="8" t="s">
        <v>856</v>
      </c>
      <c r="X91" s="8" t="s">
        <v>18</v>
      </c>
    </row>
    <row r="92" spans="8:24" x14ac:dyDescent="0.45">
      <c r="H92" s="3" t="s">
        <v>921</v>
      </c>
      <c r="I92" s="3" t="s">
        <v>28</v>
      </c>
      <c r="J92" s="7">
        <v>4.6402588318214887E-2</v>
      </c>
      <c r="K92" s="3" t="s">
        <v>15</v>
      </c>
      <c r="U92" s="3" t="s">
        <v>843</v>
      </c>
      <c r="V92" s="3" t="s">
        <v>986</v>
      </c>
      <c r="W92" s="3" t="s">
        <v>860</v>
      </c>
      <c r="X92" s="3" t="s">
        <v>20</v>
      </c>
    </row>
    <row r="93" spans="8:24" x14ac:dyDescent="0.45">
      <c r="H93" s="8" t="s">
        <v>921</v>
      </c>
      <c r="I93" s="8" t="s">
        <v>37</v>
      </c>
      <c r="J93" s="12">
        <v>4.6402588318214887E-2</v>
      </c>
      <c r="K93" s="8" t="s">
        <v>15</v>
      </c>
      <c r="U93" s="8" t="s">
        <v>843</v>
      </c>
      <c r="V93" s="8" t="s">
        <v>987</v>
      </c>
      <c r="W93" s="8" t="s">
        <v>860</v>
      </c>
      <c r="X93" s="8" t="s">
        <v>20</v>
      </c>
    </row>
    <row r="94" spans="8:24" x14ac:dyDescent="0.45">
      <c r="H94" s="3" t="s">
        <v>923</v>
      </c>
      <c r="I94" s="3" t="s">
        <v>14</v>
      </c>
      <c r="J94" s="7">
        <v>1.860796153777642E-2</v>
      </c>
      <c r="K94" s="3" t="s">
        <v>15</v>
      </c>
      <c r="U94" s="3" t="s">
        <v>843</v>
      </c>
      <c r="V94" s="3" t="s">
        <v>988</v>
      </c>
      <c r="W94" s="3" t="s">
        <v>860</v>
      </c>
      <c r="X94" s="3" t="s">
        <v>20</v>
      </c>
    </row>
    <row r="95" spans="8:24" x14ac:dyDescent="0.45">
      <c r="H95" s="8" t="s">
        <v>923</v>
      </c>
      <c r="I95" s="8" t="s">
        <v>28</v>
      </c>
      <c r="J95" s="12">
        <v>1.860796153777642E-2</v>
      </c>
      <c r="K95" s="8" t="s">
        <v>15</v>
      </c>
      <c r="U95" s="8" t="s">
        <v>843</v>
      </c>
      <c r="V95" s="8" t="s">
        <v>989</v>
      </c>
      <c r="W95" s="8" t="s">
        <v>860</v>
      </c>
      <c r="X95" s="8" t="s">
        <v>20</v>
      </c>
    </row>
    <row r="96" spans="8:24" x14ac:dyDescent="0.45">
      <c r="H96" s="3" t="s">
        <v>923</v>
      </c>
      <c r="I96" s="3" t="s">
        <v>37</v>
      </c>
      <c r="J96" s="7">
        <v>1.860796153777642E-2</v>
      </c>
      <c r="K96" s="3" t="s">
        <v>15</v>
      </c>
      <c r="U96" s="3" t="s">
        <v>843</v>
      </c>
      <c r="V96" s="3" t="s">
        <v>990</v>
      </c>
      <c r="W96" s="3" t="s">
        <v>860</v>
      </c>
      <c r="X96" s="3" t="s">
        <v>20</v>
      </c>
    </row>
    <row r="97" spans="8:24" x14ac:dyDescent="0.45">
      <c r="H97" s="8" t="s">
        <v>925</v>
      </c>
      <c r="I97" s="8" t="s">
        <v>14</v>
      </c>
      <c r="J97" s="12">
        <v>0.11231894742556307</v>
      </c>
      <c r="K97" s="8" t="s">
        <v>15</v>
      </c>
      <c r="U97" s="8" t="s">
        <v>843</v>
      </c>
      <c r="V97" s="8" t="s">
        <v>991</v>
      </c>
      <c r="W97" s="8" t="s">
        <v>860</v>
      </c>
      <c r="X97" s="8" t="s">
        <v>20</v>
      </c>
    </row>
    <row r="98" spans="8:24" x14ac:dyDescent="0.45">
      <c r="H98" s="3" t="s">
        <v>925</v>
      </c>
      <c r="I98" s="3" t="s">
        <v>28</v>
      </c>
      <c r="J98" s="7">
        <v>0.11231894742556307</v>
      </c>
      <c r="K98" s="3" t="s">
        <v>15</v>
      </c>
      <c r="U98" s="3" t="s">
        <v>843</v>
      </c>
      <c r="V98" s="3" t="s">
        <v>992</v>
      </c>
      <c r="W98" s="3" t="s">
        <v>860</v>
      </c>
      <c r="X98" s="3" t="s">
        <v>20</v>
      </c>
    </row>
    <row r="99" spans="8:24" x14ac:dyDescent="0.45">
      <c r="H99" s="8" t="s">
        <v>925</v>
      </c>
      <c r="I99" s="8" t="s">
        <v>37</v>
      </c>
      <c r="J99" s="12">
        <v>0.11231894742556307</v>
      </c>
      <c r="K99" s="8" t="s">
        <v>15</v>
      </c>
      <c r="U99" s="8" t="s">
        <v>843</v>
      </c>
      <c r="V99" s="8" t="s">
        <v>993</v>
      </c>
      <c r="W99" s="8" t="s">
        <v>860</v>
      </c>
      <c r="X99" s="8" t="s">
        <v>20</v>
      </c>
    </row>
    <row r="100" spans="8:24" x14ac:dyDescent="0.45">
      <c r="H100" s="3" t="s">
        <v>927</v>
      </c>
      <c r="I100" s="3" t="s">
        <v>14</v>
      </c>
      <c r="J100" s="7">
        <v>9.5826749069202299E-2</v>
      </c>
      <c r="K100" s="3" t="s">
        <v>15</v>
      </c>
      <c r="U100" s="3" t="s">
        <v>843</v>
      </c>
      <c r="V100" s="3" t="s">
        <v>994</v>
      </c>
      <c r="W100" s="3" t="s">
        <v>860</v>
      </c>
      <c r="X100" s="3" t="s">
        <v>20</v>
      </c>
    </row>
    <row r="101" spans="8:24" x14ac:dyDescent="0.45">
      <c r="H101" s="8" t="s">
        <v>927</v>
      </c>
      <c r="I101" s="8" t="s">
        <v>28</v>
      </c>
      <c r="J101" s="12">
        <v>9.5826749069202299E-2</v>
      </c>
      <c r="K101" s="8" t="s">
        <v>15</v>
      </c>
      <c r="U101" s="8" t="s">
        <v>843</v>
      </c>
      <c r="V101" s="8" t="s">
        <v>995</v>
      </c>
      <c r="W101" s="8" t="s">
        <v>860</v>
      </c>
      <c r="X101" s="8" t="s">
        <v>20</v>
      </c>
    </row>
    <row r="102" spans="8:24" x14ac:dyDescent="0.45">
      <c r="H102" s="3" t="s">
        <v>927</v>
      </c>
      <c r="I102" s="3" t="s">
        <v>37</v>
      </c>
      <c r="J102" s="7">
        <v>9.5826749069202299E-2</v>
      </c>
      <c r="K102" s="3" t="s">
        <v>15</v>
      </c>
      <c r="U102" s="3" t="s">
        <v>843</v>
      </c>
      <c r="V102" s="3" t="s">
        <v>996</v>
      </c>
      <c r="W102" s="3" t="s">
        <v>860</v>
      </c>
      <c r="X102" s="3" t="s">
        <v>20</v>
      </c>
    </row>
    <row r="103" spans="8:24" x14ac:dyDescent="0.45">
      <c r="H103" s="8" t="s">
        <v>929</v>
      </c>
      <c r="I103" s="8" t="s">
        <v>14</v>
      </c>
      <c r="J103" s="12">
        <v>5.3139281367051566E-2</v>
      </c>
      <c r="K103" s="8" t="s">
        <v>15</v>
      </c>
      <c r="U103" s="8" t="s">
        <v>843</v>
      </c>
      <c r="V103" s="8" t="s">
        <v>996</v>
      </c>
      <c r="W103" s="8" t="s">
        <v>997</v>
      </c>
      <c r="X103" s="8" t="s">
        <v>20</v>
      </c>
    </row>
    <row r="104" spans="8:24" x14ac:dyDescent="0.45">
      <c r="H104" s="3" t="s">
        <v>929</v>
      </c>
      <c r="I104" s="3" t="s">
        <v>28</v>
      </c>
      <c r="J104" s="7">
        <v>5.3139281367051566E-2</v>
      </c>
      <c r="K104" s="3" t="s">
        <v>15</v>
      </c>
      <c r="U104" s="3" t="s">
        <v>843</v>
      </c>
      <c r="V104" s="3" t="s">
        <v>998</v>
      </c>
      <c r="W104" s="3" t="s">
        <v>860</v>
      </c>
      <c r="X104" s="3" t="s">
        <v>20</v>
      </c>
    </row>
    <row r="105" spans="8:24" x14ac:dyDescent="0.45">
      <c r="H105" s="8" t="s">
        <v>929</v>
      </c>
      <c r="I105" s="8" t="s">
        <v>37</v>
      </c>
      <c r="J105" s="12">
        <v>5.3139281367051566E-2</v>
      </c>
      <c r="K105" s="8" t="s">
        <v>15</v>
      </c>
      <c r="U105" s="8" t="s">
        <v>843</v>
      </c>
      <c r="V105" s="8" t="s">
        <v>998</v>
      </c>
      <c r="W105" s="8" t="s">
        <v>997</v>
      </c>
      <c r="X105" s="8" t="s">
        <v>20</v>
      </c>
    </row>
    <row r="106" spans="8:24" x14ac:dyDescent="0.45">
      <c r="H106" s="3" t="s">
        <v>931</v>
      </c>
      <c r="I106" s="3" t="s">
        <v>14</v>
      </c>
      <c r="J106" s="7">
        <v>3.4958751429473058E-2</v>
      </c>
      <c r="K106" s="3" t="s">
        <v>15</v>
      </c>
      <c r="U106" s="3" t="s">
        <v>843</v>
      </c>
      <c r="V106" s="3" t="s">
        <v>999</v>
      </c>
      <c r="W106" s="3" t="s">
        <v>860</v>
      </c>
      <c r="X106" s="3" t="s">
        <v>20</v>
      </c>
    </row>
    <row r="107" spans="8:24" x14ac:dyDescent="0.45">
      <c r="H107" s="8" t="s">
        <v>931</v>
      </c>
      <c r="I107" s="8" t="s">
        <v>28</v>
      </c>
      <c r="J107" s="12">
        <v>3.4958751429473058E-2</v>
      </c>
      <c r="K107" s="8" t="s">
        <v>15</v>
      </c>
      <c r="U107" s="8" t="s">
        <v>843</v>
      </c>
      <c r="V107" s="8" t="s">
        <v>999</v>
      </c>
      <c r="W107" s="8" t="s">
        <v>997</v>
      </c>
      <c r="X107" s="8" t="s">
        <v>20</v>
      </c>
    </row>
    <row r="108" spans="8:24" x14ac:dyDescent="0.45">
      <c r="H108" s="3" t="s">
        <v>931</v>
      </c>
      <c r="I108" s="3" t="s">
        <v>37</v>
      </c>
      <c r="J108" s="7">
        <v>3.4958751429473058E-2</v>
      </c>
      <c r="K108" s="3" t="s">
        <v>15</v>
      </c>
      <c r="U108" s="3" t="s">
        <v>843</v>
      </c>
      <c r="V108" s="3" t="s">
        <v>1000</v>
      </c>
      <c r="W108" s="3" t="s">
        <v>997</v>
      </c>
      <c r="X108" s="3" t="s">
        <v>20</v>
      </c>
    </row>
    <row r="109" spans="8:24" x14ac:dyDescent="0.45">
      <c r="H109" s="8" t="s">
        <v>933</v>
      </c>
      <c r="I109" s="8" t="s">
        <v>14</v>
      </c>
      <c r="J109" s="12">
        <v>0.45656901972071517</v>
      </c>
      <c r="K109" s="8" t="s">
        <v>15</v>
      </c>
      <c r="U109" s="8" t="s">
        <v>843</v>
      </c>
      <c r="V109" s="8" t="s">
        <v>1001</v>
      </c>
      <c r="W109" s="8" t="s">
        <v>997</v>
      </c>
      <c r="X109" s="8" t="s">
        <v>20</v>
      </c>
    </row>
    <row r="110" spans="8:24" x14ac:dyDescent="0.45">
      <c r="H110" s="3" t="s">
        <v>933</v>
      </c>
      <c r="I110" s="3" t="s">
        <v>28</v>
      </c>
      <c r="J110" s="7">
        <v>0.45656901972071517</v>
      </c>
      <c r="K110" s="3" t="s">
        <v>15</v>
      </c>
      <c r="U110" s="3" t="s">
        <v>843</v>
      </c>
      <c r="V110" s="3" t="s">
        <v>1002</v>
      </c>
      <c r="W110" s="3" t="s">
        <v>997</v>
      </c>
      <c r="X110" s="3" t="s">
        <v>20</v>
      </c>
    </row>
    <row r="111" spans="8:24" x14ac:dyDescent="0.45">
      <c r="H111" s="8" t="s">
        <v>933</v>
      </c>
      <c r="I111" s="8" t="s">
        <v>37</v>
      </c>
      <c r="J111" s="12">
        <v>0.45656901972071517</v>
      </c>
      <c r="K111" s="8" t="s">
        <v>15</v>
      </c>
      <c r="U111" s="8" t="s">
        <v>843</v>
      </c>
      <c r="V111" s="8" t="s">
        <v>1002</v>
      </c>
      <c r="W111" s="8" t="s">
        <v>860</v>
      </c>
      <c r="X111" s="8" t="s">
        <v>18</v>
      </c>
    </row>
    <row r="112" spans="8:24" x14ac:dyDescent="0.45">
      <c r="H112" s="3" t="s">
        <v>934</v>
      </c>
      <c r="I112" s="3" t="s">
        <v>14</v>
      </c>
      <c r="J112" s="7">
        <v>6.9019068705580527E-2</v>
      </c>
      <c r="K112" s="3" t="s">
        <v>15</v>
      </c>
      <c r="U112" s="3" t="s">
        <v>843</v>
      </c>
      <c r="V112" s="3" t="s">
        <v>1003</v>
      </c>
      <c r="W112" s="3" t="s">
        <v>997</v>
      </c>
      <c r="X112" s="3" t="s">
        <v>20</v>
      </c>
    </row>
    <row r="113" spans="8:24" x14ac:dyDescent="0.45">
      <c r="H113" s="8" t="s">
        <v>934</v>
      </c>
      <c r="I113" s="8" t="s">
        <v>28</v>
      </c>
      <c r="J113" s="12">
        <v>6.9019068705580527E-2</v>
      </c>
      <c r="K113" s="8" t="s">
        <v>15</v>
      </c>
      <c r="U113" s="8" t="s">
        <v>843</v>
      </c>
      <c r="V113" s="8" t="s">
        <v>1003</v>
      </c>
      <c r="W113" s="8" t="s">
        <v>860</v>
      </c>
      <c r="X113" s="8" t="s">
        <v>18</v>
      </c>
    </row>
    <row r="114" spans="8:24" x14ac:dyDescent="0.45">
      <c r="H114" s="3" t="s">
        <v>934</v>
      </c>
      <c r="I114" s="3" t="s">
        <v>37</v>
      </c>
      <c r="J114" s="7">
        <v>6.9019068705580527E-2</v>
      </c>
      <c r="K114" s="3" t="s">
        <v>15</v>
      </c>
      <c r="U114" s="3" t="s">
        <v>843</v>
      </c>
      <c r="V114" s="3" t="s">
        <v>1004</v>
      </c>
      <c r="W114" s="3" t="s">
        <v>864</v>
      </c>
      <c r="X114" s="3" t="s">
        <v>20</v>
      </c>
    </row>
    <row r="115" spans="8:24" x14ac:dyDescent="0.45">
      <c r="H115" s="8" t="s">
        <v>936</v>
      </c>
      <c r="I115" s="8" t="s">
        <v>14</v>
      </c>
      <c r="J115" s="12">
        <v>6.900960501246306E-2</v>
      </c>
      <c r="K115" s="8" t="s">
        <v>15</v>
      </c>
      <c r="U115" s="8" t="s">
        <v>843</v>
      </c>
      <c r="V115" s="8" t="s">
        <v>1005</v>
      </c>
      <c r="W115" s="8" t="s">
        <v>864</v>
      </c>
      <c r="X115" s="8" t="s">
        <v>20</v>
      </c>
    </row>
    <row r="116" spans="8:24" x14ac:dyDescent="0.45">
      <c r="H116" s="3" t="s">
        <v>936</v>
      </c>
      <c r="I116" s="3" t="s">
        <v>28</v>
      </c>
      <c r="J116" s="7">
        <v>6.900960501246306E-2</v>
      </c>
      <c r="K116" s="3" t="s">
        <v>15</v>
      </c>
      <c r="U116" s="3" t="s">
        <v>843</v>
      </c>
      <c r="V116" s="3" t="s">
        <v>1006</v>
      </c>
      <c r="W116" s="3" t="s">
        <v>864</v>
      </c>
      <c r="X116" s="3" t="s">
        <v>20</v>
      </c>
    </row>
    <row r="117" spans="8:24" x14ac:dyDescent="0.45">
      <c r="H117" s="8" t="s">
        <v>936</v>
      </c>
      <c r="I117" s="8" t="s">
        <v>37</v>
      </c>
      <c r="J117" s="12">
        <v>6.900960501246306E-2</v>
      </c>
      <c r="K117" s="8" t="s">
        <v>15</v>
      </c>
      <c r="U117" s="8" t="s">
        <v>843</v>
      </c>
      <c r="V117" s="8" t="s">
        <v>1007</v>
      </c>
      <c r="W117" s="8" t="s">
        <v>864</v>
      </c>
      <c r="X117" s="8" t="s">
        <v>20</v>
      </c>
    </row>
    <row r="118" spans="8:24" x14ac:dyDescent="0.45">
      <c r="H118" s="3" t="s">
        <v>937</v>
      </c>
      <c r="I118" s="3" t="s">
        <v>14</v>
      </c>
      <c r="J118" s="7">
        <v>2.4148027413959428E-2</v>
      </c>
      <c r="K118" s="3" t="s">
        <v>15</v>
      </c>
      <c r="U118" s="3" t="s">
        <v>843</v>
      </c>
      <c r="V118" s="3" t="s">
        <v>1008</v>
      </c>
      <c r="W118" s="3" t="s">
        <v>864</v>
      </c>
      <c r="X118" s="3" t="s">
        <v>20</v>
      </c>
    </row>
    <row r="119" spans="8:24" x14ac:dyDescent="0.45">
      <c r="H119" s="8" t="s">
        <v>937</v>
      </c>
      <c r="I119" s="8" t="s">
        <v>28</v>
      </c>
      <c r="J119" s="12">
        <v>2.4148027413959428E-2</v>
      </c>
      <c r="K119" s="8" t="s">
        <v>15</v>
      </c>
      <c r="U119" s="8" t="s">
        <v>843</v>
      </c>
      <c r="V119" s="8" t="s">
        <v>1009</v>
      </c>
      <c r="W119" s="8" t="s">
        <v>864</v>
      </c>
      <c r="X119" s="8" t="s">
        <v>20</v>
      </c>
    </row>
    <row r="120" spans="8:24" x14ac:dyDescent="0.45">
      <c r="H120" s="3" t="s">
        <v>937</v>
      </c>
      <c r="I120" s="3" t="s">
        <v>37</v>
      </c>
      <c r="J120" s="7">
        <v>2.4148027413959428E-2</v>
      </c>
      <c r="K120" s="3" t="s">
        <v>15</v>
      </c>
      <c r="U120" s="3" t="s">
        <v>843</v>
      </c>
      <c r="V120" s="3" t="s">
        <v>1010</v>
      </c>
      <c r="W120" s="3" t="s">
        <v>864</v>
      </c>
      <c r="X120" s="3" t="s">
        <v>20</v>
      </c>
    </row>
    <row r="121" spans="8:24" x14ac:dyDescent="0.45">
      <c r="H121" s="8" t="s">
        <v>939</v>
      </c>
      <c r="I121" s="8" t="s">
        <v>14</v>
      </c>
      <c r="J121" s="12">
        <v>4.6402588318214887E-2</v>
      </c>
      <c r="K121" s="8" t="s">
        <v>15</v>
      </c>
      <c r="U121" s="8" t="s">
        <v>843</v>
      </c>
      <c r="V121" s="8" t="s">
        <v>1011</v>
      </c>
      <c r="W121" s="8" t="s">
        <v>864</v>
      </c>
      <c r="X121" s="8" t="s">
        <v>20</v>
      </c>
    </row>
    <row r="122" spans="8:24" x14ac:dyDescent="0.45">
      <c r="H122" s="3" t="s">
        <v>939</v>
      </c>
      <c r="I122" s="3" t="s">
        <v>28</v>
      </c>
      <c r="J122" s="7">
        <v>4.6402588318214887E-2</v>
      </c>
      <c r="K122" s="3" t="s">
        <v>15</v>
      </c>
      <c r="U122" s="3" t="s">
        <v>843</v>
      </c>
      <c r="V122" s="3" t="s">
        <v>1012</v>
      </c>
      <c r="W122" s="3" t="s">
        <v>864</v>
      </c>
      <c r="X122" s="3" t="s">
        <v>20</v>
      </c>
    </row>
    <row r="123" spans="8:24" x14ac:dyDescent="0.45">
      <c r="H123" s="8" t="s">
        <v>939</v>
      </c>
      <c r="I123" s="8" t="s">
        <v>37</v>
      </c>
      <c r="J123" s="12">
        <v>4.6402588318214887E-2</v>
      </c>
      <c r="K123" s="8" t="s">
        <v>15</v>
      </c>
      <c r="U123" s="8" t="s">
        <v>843</v>
      </c>
      <c r="V123" s="8" t="s">
        <v>1013</v>
      </c>
      <c r="W123" s="8" t="s">
        <v>864</v>
      </c>
      <c r="X123" s="8" t="s">
        <v>20</v>
      </c>
    </row>
    <row r="124" spans="8:24" x14ac:dyDescent="0.45">
      <c r="H124" s="3" t="s">
        <v>847</v>
      </c>
      <c r="I124" s="3" t="s">
        <v>405</v>
      </c>
      <c r="J124" s="7">
        <v>5.7791248703688999E-2</v>
      </c>
      <c r="K124" s="3" t="s">
        <v>15</v>
      </c>
      <c r="U124" s="3" t="s">
        <v>843</v>
      </c>
      <c r="V124" s="3" t="s">
        <v>1014</v>
      </c>
      <c r="W124" s="3" t="s">
        <v>864</v>
      </c>
      <c r="X124" s="3" t="s">
        <v>20</v>
      </c>
    </row>
    <row r="125" spans="8:24" x14ac:dyDescent="0.45">
      <c r="H125" s="8" t="s">
        <v>851</v>
      </c>
      <c r="I125" s="8" t="s">
        <v>405</v>
      </c>
      <c r="J125" s="12">
        <v>2.5278214644263809E-2</v>
      </c>
      <c r="K125" s="8" t="s">
        <v>15</v>
      </c>
      <c r="U125" s="8" t="s">
        <v>843</v>
      </c>
      <c r="V125" s="8" t="s">
        <v>1014</v>
      </c>
      <c r="W125" s="8" t="s">
        <v>942</v>
      </c>
      <c r="X125" s="8" t="s">
        <v>20</v>
      </c>
    </row>
    <row r="126" spans="8:24" x14ac:dyDescent="0.45">
      <c r="H126" s="3" t="s">
        <v>855</v>
      </c>
      <c r="I126" s="3" t="s">
        <v>405</v>
      </c>
      <c r="J126" s="7">
        <v>4.1387351315940405E-8</v>
      </c>
      <c r="K126" s="3" t="s">
        <v>15</v>
      </c>
      <c r="U126" s="3" t="s">
        <v>843</v>
      </c>
      <c r="V126" s="3" t="s">
        <v>1015</v>
      </c>
      <c r="W126" s="3" t="s">
        <v>864</v>
      </c>
      <c r="X126" s="3" t="s">
        <v>20</v>
      </c>
    </row>
    <row r="127" spans="8:24" x14ac:dyDescent="0.45">
      <c r="H127" s="8" t="s">
        <v>859</v>
      </c>
      <c r="I127" s="8" t="s">
        <v>405</v>
      </c>
      <c r="J127" s="12">
        <v>0.25064929067992314</v>
      </c>
      <c r="K127" s="8" t="s">
        <v>15</v>
      </c>
      <c r="U127" s="8" t="s">
        <v>843</v>
      </c>
      <c r="V127" s="8" t="s">
        <v>1015</v>
      </c>
      <c r="W127" s="8" t="s">
        <v>942</v>
      </c>
      <c r="X127" s="8" t="s">
        <v>20</v>
      </c>
    </row>
    <row r="128" spans="8:24" x14ac:dyDescent="0.45">
      <c r="H128" s="3" t="s">
        <v>863</v>
      </c>
      <c r="I128" s="3" t="s">
        <v>405</v>
      </c>
      <c r="J128" s="7">
        <v>0.55651679912589924</v>
      </c>
      <c r="K128" s="3" t="s">
        <v>15</v>
      </c>
      <c r="U128" s="3" t="s">
        <v>843</v>
      </c>
      <c r="V128" s="3" t="s">
        <v>1016</v>
      </c>
      <c r="W128" s="3" t="s">
        <v>864</v>
      </c>
      <c r="X128" s="3" t="s">
        <v>20</v>
      </c>
    </row>
    <row r="129" spans="8:24" x14ac:dyDescent="0.45">
      <c r="H129" s="8" t="s">
        <v>867</v>
      </c>
      <c r="I129" s="8" t="s">
        <v>405</v>
      </c>
      <c r="J129" s="12">
        <v>8.9764260603143756E-2</v>
      </c>
      <c r="K129" s="8" t="s">
        <v>15</v>
      </c>
      <c r="U129" s="8" t="s">
        <v>843</v>
      </c>
      <c r="V129" s="8" t="s">
        <v>1016</v>
      </c>
      <c r="W129" s="8" t="s">
        <v>942</v>
      </c>
      <c r="X129" s="8" t="s">
        <v>20</v>
      </c>
    </row>
    <row r="130" spans="8:24" x14ac:dyDescent="0.45">
      <c r="H130" s="3" t="s">
        <v>875</v>
      </c>
      <c r="I130" s="3" t="s">
        <v>405</v>
      </c>
      <c r="J130" s="7">
        <v>1.4485572960579143E-7</v>
      </c>
      <c r="K130" s="3" t="s">
        <v>15</v>
      </c>
      <c r="U130" s="3" t="s">
        <v>843</v>
      </c>
      <c r="V130" s="3" t="s">
        <v>1017</v>
      </c>
      <c r="W130" s="3" t="s">
        <v>942</v>
      </c>
      <c r="X130" s="3" t="s">
        <v>20</v>
      </c>
    </row>
    <row r="131" spans="8:24" x14ac:dyDescent="0.45">
      <c r="H131" s="8" t="s">
        <v>886</v>
      </c>
      <c r="I131" s="8" t="s">
        <v>405</v>
      </c>
      <c r="J131" s="12">
        <v>5.7791248703688999E-2</v>
      </c>
      <c r="K131" s="8" t="s">
        <v>15</v>
      </c>
      <c r="U131" s="8" t="s">
        <v>843</v>
      </c>
      <c r="V131" s="8" t="s">
        <v>1018</v>
      </c>
      <c r="W131" s="8" t="s">
        <v>942</v>
      </c>
      <c r="X131" s="8" t="s">
        <v>20</v>
      </c>
    </row>
    <row r="132" spans="8:24" x14ac:dyDescent="0.45">
      <c r="H132" s="3" t="s">
        <v>889</v>
      </c>
      <c r="I132" s="3" t="s">
        <v>405</v>
      </c>
      <c r="J132" s="7">
        <v>2.5278214644263809E-2</v>
      </c>
      <c r="K132" s="3" t="s">
        <v>15</v>
      </c>
      <c r="U132" s="3" t="s">
        <v>843</v>
      </c>
      <c r="V132" s="3" t="s">
        <v>1019</v>
      </c>
      <c r="W132" s="3" t="s">
        <v>942</v>
      </c>
      <c r="X132" s="3" t="s">
        <v>20</v>
      </c>
    </row>
    <row r="133" spans="8:24" x14ac:dyDescent="0.45">
      <c r="H133" s="8" t="s">
        <v>892</v>
      </c>
      <c r="I133" s="8" t="s">
        <v>405</v>
      </c>
      <c r="J133" s="12">
        <v>4.1387351315940405E-8</v>
      </c>
      <c r="K133" s="8" t="s">
        <v>15</v>
      </c>
      <c r="U133" s="8" t="s">
        <v>843</v>
      </c>
      <c r="V133" s="8" t="s">
        <v>1019</v>
      </c>
      <c r="W133" s="8" t="s">
        <v>864</v>
      </c>
      <c r="X133" s="8" t="s">
        <v>18</v>
      </c>
    </row>
    <row r="134" spans="8:24" x14ac:dyDescent="0.45">
      <c r="H134" s="3" t="s">
        <v>894</v>
      </c>
      <c r="I134" s="3" t="s">
        <v>405</v>
      </c>
      <c r="J134" s="7">
        <v>0.25064929067992314</v>
      </c>
      <c r="K134" s="3" t="s">
        <v>15</v>
      </c>
      <c r="U134" s="3" t="s">
        <v>843</v>
      </c>
      <c r="V134" s="3" t="s">
        <v>1020</v>
      </c>
      <c r="W134" s="3" t="s">
        <v>942</v>
      </c>
      <c r="X134" s="3" t="s">
        <v>20</v>
      </c>
    </row>
    <row r="135" spans="8:24" x14ac:dyDescent="0.45">
      <c r="H135" s="8" t="s">
        <v>896</v>
      </c>
      <c r="I135" s="8" t="s">
        <v>405</v>
      </c>
      <c r="J135" s="12">
        <v>0.55651679912589924</v>
      </c>
      <c r="K135" s="8" t="s">
        <v>15</v>
      </c>
      <c r="U135" s="8" t="s">
        <v>843</v>
      </c>
      <c r="V135" s="8" t="s">
        <v>1020</v>
      </c>
      <c r="W135" s="8" t="s">
        <v>864</v>
      </c>
      <c r="X135" s="8" t="s">
        <v>18</v>
      </c>
    </row>
    <row r="136" spans="8:24" x14ac:dyDescent="0.45">
      <c r="H136" s="3" t="s">
        <v>897</v>
      </c>
      <c r="I136" s="3" t="s">
        <v>405</v>
      </c>
      <c r="J136" s="7">
        <v>8.9764260603143756E-2</v>
      </c>
      <c r="K136" s="3" t="s">
        <v>15</v>
      </c>
      <c r="U136" s="3" t="s">
        <v>843</v>
      </c>
      <c r="V136" s="3" t="s">
        <v>1021</v>
      </c>
      <c r="W136" s="3" t="s">
        <v>868</v>
      </c>
      <c r="X136" s="3" t="s">
        <v>20</v>
      </c>
    </row>
    <row r="137" spans="8:24" x14ac:dyDescent="0.45">
      <c r="H137" s="8" t="s">
        <v>901</v>
      </c>
      <c r="I137" s="8" t="s">
        <v>405</v>
      </c>
      <c r="J137" s="12">
        <v>1.4485572960579143E-7</v>
      </c>
      <c r="K137" s="8" t="s">
        <v>15</v>
      </c>
      <c r="U137" s="8" t="s">
        <v>843</v>
      </c>
      <c r="V137" s="8" t="s">
        <v>1022</v>
      </c>
      <c r="W137" s="8" t="s">
        <v>868</v>
      </c>
      <c r="X137" s="8" t="s">
        <v>20</v>
      </c>
    </row>
    <row r="138" spans="8:24" x14ac:dyDescent="0.45">
      <c r="H138" s="3" t="s">
        <v>906</v>
      </c>
      <c r="I138" s="3" t="s">
        <v>405</v>
      </c>
      <c r="J138" s="7">
        <v>5.7791248703688999E-2</v>
      </c>
      <c r="K138" s="3" t="s">
        <v>15</v>
      </c>
      <c r="U138" s="3" t="s">
        <v>843</v>
      </c>
      <c r="V138" s="3" t="s">
        <v>1023</v>
      </c>
      <c r="W138" s="3" t="s">
        <v>868</v>
      </c>
      <c r="X138" s="3" t="s">
        <v>20</v>
      </c>
    </row>
    <row r="139" spans="8:24" x14ac:dyDescent="0.45">
      <c r="H139" s="8" t="s">
        <v>907</v>
      </c>
      <c r="I139" s="8" t="s">
        <v>405</v>
      </c>
      <c r="J139" s="12">
        <v>2.5278214644263809E-2</v>
      </c>
      <c r="K139" s="8" t="s">
        <v>15</v>
      </c>
      <c r="U139" s="8" t="s">
        <v>843</v>
      </c>
      <c r="V139" s="8" t="s">
        <v>1024</v>
      </c>
      <c r="W139" s="8" t="s">
        <v>868</v>
      </c>
      <c r="X139" s="8" t="s">
        <v>20</v>
      </c>
    </row>
    <row r="140" spans="8:24" x14ac:dyDescent="0.45">
      <c r="H140" s="3" t="s">
        <v>909</v>
      </c>
      <c r="I140" s="3" t="s">
        <v>405</v>
      </c>
      <c r="J140" s="7">
        <v>4.1387351315940405E-8</v>
      </c>
      <c r="K140" s="3" t="s">
        <v>15</v>
      </c>
      <c r="U140" s="3" t="s">
        <v>843</v>
      </c>
      <c r="V140" s="3" t="s">
        <v>1025</v>
      </c>
      <c r="W140" s="3" t="s">
        <v>868</v>
      </c>
      <c r="X140" s="3" t="s">
        <v>20</v>
      </c>
    </row>
    <row r="141" spans="8:24" x14ac:dyDescent="0.45">
      <c r="H141" s="8" t="s">
        <v>911</v>
      </c>
      <c r="I141" s="8" t="s">
        <v>405</v>
      </c>
      <c r="J141" s="12">
        <v>0.25064929067992314</v>
      </c>
      <c r="K141" s="8" t="s">
        <v>15</v>
      </c>
      <c r="U141" s="8" t="s">
        <v>843</v>
      </c>
      <c r="V141" s="8" t="s">
        <v>1026</v>
      </c>
      <c r="W141" s="8" t="s">
        <v>868</v>
      </c>
      <c r="X141" s="8" t="s">
        <v>20</v>
      </c>
    </row>
    <row r="142" spans="8:24" x14ac:dyDescent="0.45">
      <c r="H142" s="3" t="s">
        <v>913</v>
      </c>
      <c r="I142" s="3" t="s">
        <v>405</v>
      </c>
      <c r="J142" s="7">
        <v>0.55651679912589924</v>
      </c>
      <c r="K142" s="3" t="s">
        <v>15</v>
      </c>
      <c r="U142" s="3" t="s">
        <v>843</v>
      </c>
      <c r="V142" s="3" t="s">
        <v>1027</v>
      </c>
      <c r="W142" s="3" t="s">
        <v>868</v>
      </c>
      <c r="X142" s="3" t="s">
        <v>20</v>
      </c>
    </row>
    <row r="143" spans="8:24" x14ac:dyDescent="0.45">
      <c r="H143" s="8" t="s">
        <v>915</v>
      </c>
      <c r="I143" s="8" t="s">
        <v>405</v>
      </c>
      <c r="J143" s="12">
        <v>8.9764260603143756E-2</v>
      </c>
      <c r="K143" s="8" t="s">
        <v>15</v>
      </c>
      <c r="U143" s="8" t="s">
        <v>843</v>
      </c>
      <c r="V143" s="8" t="s">
        <v>1028</v>
      </c>
      <c r="W143" s="8" t="s">
        <v>868</v>
      </c>
      <c r="X143" s="8" t="s">
        <v>20</v>
      </c>
    </row>
    <row r="144" spans="8:24" x14ac:dyDescent="0.45">
      <c r="H144" s="3" t="s">
        <v>919</v>
      </c>
      <c r="I144" s="3" t="s">
        <v>405</v>
      </c>
      <c r="J144" s="7">
        <v>1.4485572960579143E-7</v>
      </c>
      <c r="K144" s="3" t="s">
        <v>15</v>
      </c>
      <c r="U144" s="3" t="s">
        <v>843</v>
      </c>
      <c r="V144" s="3" t="s">
        <v>1029</v>
      </c>
      <c r="W144" s="3" t="s">
        <v>868</v>
      </c>
      <c r="X144" s="3" t="s">
        <v>20</v>
      </c>
    </row>
    <row r="145" spans="8:24" x14ac:dyDescent="0.45">
      <c r="H145" s="8" t="s">
        <v>925</v>
      </c>
      <c r="I145" s="8" t="s">
        <v>405</v>
      </c>
      <c r="J145" s="12">
        <v>5.7791248703688999E-2</v>
      </c>
      <c r="K145" s="8" t="s">
        <v>15</v>
      </c>
      <c r="U145" s="8" t="s">
        <v>843</v>
      </c>
      <c r="V145" s="8" t="s">
        <v>1030</v>
      </c>
      <c r="W145" s="8" t="s">
        <v>868</v>
      </c>
      <c r="X145" s="8" t="s">
        <v>20</v>
      </c>
    </row>
    <row r="146" spans="8:24" x14ac:dyDescent="0.45">
      <c r="H146" s="3" t="s">
        <v>927</v>
      </c>
      <c r="I146" s="3" t="s">
        <v>405</v>
      </c>
      <c r="J146" s="7">
        <v>2.5278214644263809E-2</v>
      </c>
      <c r="K146" s="3" t="s">
        <v>15</v>
      </c>
      <c r="U146" s="3" t="s">
        <v>843</v>
      </c>
      <c r="V146" s="3" t="s">
        <v>1031</v>
      </c>
      <c r="W146" s="3" t="s">
        <v>868</v>
      </c>
      <c r="X146" s="3" t="s">
        <v>20</v>
      </c>
    </row>
    <row r="147" spans="8:24" x14ac:dyDescent="0.45">
      <c r="H147" s="8" t="s">
        <v>929</v>
      </c>
      <c r="I147" s="8" t="s">
        <v>405</v>
      </c>
      <c r="J147" s="12">
        <v>4.1387351315940405E-8</v>
      </c>
      <c r="K147" s="8" t="s">
        <v>15</v>
      </c>
      <c r="U147" s="8" t="s">
        <v>843</v>
      </c>
      <c r="V147" s="8" t="s">
        <v>1031</v>
      </c>
      <c r="W147" s="8" t="s">
        <v>1032</v>
      </c>
      <c r="X147" s="8" t="s">
        <v>20</v>
      </c>
    </row>
    <row r="148" spans="8:24" x14ac:dyDescent="0.45">
      <c r="H148" s="3" t="s">
        <v>931</v>
      </c>
      <c r="I148" s="3" t="s">
        <v>405</v>
      </c>
      <c r="J148" s="7">
        <v>0.25064929067992314</v>
      </c>
      <c r="K148" s="3" t="s">
        <v>15</v>
      </c>
      <c r="U148" s="3" t="s">
        <v>843</v>
      </c>
      <c r="V148" s="3" t="s">
        <v>1033</v>
      </c>
      <c r="W148" s="3" t="s">
        <v>868</v>
      </c>
      <c r="X148" s="3" t="s">
        <v>20</v>
      </c>
    </row>
    <row r="149" spans="8:24" x14ac:dyDescent="0.45">
      <c r="H149" s="8" t="s">
        <v>933</v>
      </c>
      <c r="I149" s="8" t="s">
        <v>405</v>
      </c>
      <c r="J149" s="12">
        <v>0.55651679912589924</v>
      </c>
      <c r="K149" s="8" t="s">
        <v>15</v>
      </c>
      <c r="U149" s="8" t="s">
        <v>843</v>
      </c>
      <c r="V149" s="8" t="s">
        <v>1033</v>
      </c>
      <c r="W149" s="8" t="s">
        <v>1032</v>
      </c>
      <c r="X149" s="8" t="s">
        <v>20</v>
      </c>
    </row>
    <row r="150" spans="8:24" x14ac:dyDescent="0.45">
      <c r="H150" s="3" t="s">
        <v>934</v>
      </c>
      <c r="I150" s="3" t="s">
        <v>405</v>
      </c>
      <c r="J150" s="7">
        <v>8.9764260603143756E-2</v>
      </c>
      <c r="K150" s="3" t="s">
        <v>15</v>
      </c>
      <c r="U150" s="3" t="s">
        <v>843</v>
      </c>
      <c r="V150" s="3" t="s">
        <v>1034</v>
      </c>
      <c r="W150" s="3" t="s">
        <v>868</v>
      </c>
      <c r="X150" s="3" t="s">
        <v>20</v>
      </c>
    </row>
    <row r="151" spans="8:24" x14ac:dyDescent="0.45">
      <c r="H151" s="8" t="s">
        <v>937</v>
      </c>
      <c r="I151" s="8" t="s">
        <v>405</v>
      </c>
      <c r="J151" s="12">
        <v>1.4485572960579143E-7</v>
      </c>
      <c r="K151" s="8" t="s">
        <v>15</v>
      </c>
      <c r="U151" s="8" t="s">
        <v>843</v>
      </c>
      <c r="V151" s="8" t="s">
        <v>1034</v>
      </c>
      <c r="W151" s="8" t="s">
        <v>1032</v>
      </c>
      <c r="X151" s="8" t="s">
        <v>20</v>
      </c>
    </row>
    <row r="152" spans="8:24" x14ac:dyDescent="0.45">
      <c r="H152" s="3" t="s">
        <v>941</v>
      </c>
      <c r="I152" s="3" t="s">
        <v>451</v>
      </c>
      <c r="J152" s="7">
        <v>0.94052099519983956</v>
      </c>
      <c r="K152" s="3" t="s">
        <v>15</v>
      </c>
      <c r="U152" s="3" t="s">
        <v>843</v>
      </c>
      <c r="V152" s="3" t="s">
        <v>1035</v>
      </c>
      <c r="W152" s="3" t="s">
        <v>1032</v>
      </c>
      <c r="X152" s="3" t="s">
        <v>20</v>
      </c>
    </row>
    <row r="153" spans="8:24" x14ac:dyDescent="0.45">
      <c r="H153" s="8" t="s">
        <v>941</v>
      </c>
      <c r="I153" s="8" t="s">
        <v>453</v>
      </c>
      <c r="J153" s="12">
        <v>0.97999992498217658</v>
      </c>
      <c r="K153" s="8" t="s">
        <v>15</v>
      </c>
      <c r="U153" s="8" t="s">
        <v>843</v>
      </c>
      <c r="V153" s="8" t="s">
        <v>1036</v>
      </c>
      <c r="W153" s="8" t="s">
        <v>1032</v>
      </c>
      <c r="X153" s="8" t="s">
        <v>20</v>
      </c>
    </row>
    <row r="154" spans="8:24" x14ac:dyDescent="0.45">
      <c r="H154" s="3" t="s">
        <v>944</v>
      </c>
      <c r="I154" s="3" t="s">
        <v>451</v>
      </c>
      <c r="J154" s="7">
        <v>1.09215273517697E-2</v>
      </c>
      <c r="K154" s="3" t="s">
        <v>15</v>
      </c>
      <c r="U154" s="3" t="s">
        <v>843</v>
      </c>
      <c r="V154" s="3" t="s">
        <v>1037</v>
      </c>
      <c r="W154" s="3" t="s">
        <v>1032</v>
      </c>
      <c r="X154" s="3" t="s">
        <v>20</v>
      </c>
    </row>
    <row r="155" spans="8:24" x14ac:dyDescent="0.45">
      <c r="H155" s="8" t="s">
        <v>944</v>
      </c>
      <c r="I155" s="8" t="s">
        <v>453</v>
      </c>
      <c r="J155" s="12">
        <v>5.600452316517576E-8</v>
      </c>
      <c r="K155" s="8" t="s">
        <v>15</v>
      </c>
      <c r="U155" s="8" t="s">
        <v>843</v>
      </c>
      <c r="V155" s="8" t="s">
        <v>1037</v>
      </c>
      <c r="W155" s="8" t="s">
        <v>868</v>
      </c>
      <c r="X155" s="8" t="s">
        <v>18</v>
      </c>
    </row>
    <row r="156" spans="8:24" x14ac:dyDescent="0.45">
      <c r="H156" s="3" t="s">
        <v>946</v>
      </c>
      <c r="I156" s="3" t="s">
        <v>451</v>
      </c>
      <c r="J156" s="7">
        <v>2.85574774483906E-2</v>
      </c>
      <c r="K156" s="3" t="s">
        <v>15</v>
      </c>
      <c r="U156" s="3" t="s">
        <v>843</v>
      </c>
      <c r="V156" s="3" t="s">
        <v>1038</v>
      </c>
      <c r="W156" s="3" t="s">
        <v>1032</v>
      </c>
      <c r="X156" s="3" t="s">
        <v>20</v>
      </c>
    </row>
    <row r="157" spans="8:24" x14ac:dyDescent="0.45">
      <c r="H157" s="8" t="s">
        <v>946</v>
      </c>
      <c r="I157" s="8" t="s">
        <v>453</v>
      </c>
      <c r="J157" s="12">
        <v>1.9013300301454621E-8</v>
      </c>
      <c r="K157" s="8" t="s">
        <v>15</v>
      </c>
      <c r="U157" s="8" t="s">
        <v>843</v>
      </c>
      <c r="V157" s="8" t="s">
        <v>1038</v>
      </c>
      <c r="W157" s="8" t="s">
        <v>868</v>
      </c>
      <c r="X157" s="8" t="s">
        <v>18</v>
      </c>
    </row>
    <row r="158" spans="8:24" x14ac:dyDescent="0.45">
      <c r="U158" s="3" t="s">
        <v>843</v>
      </c>
      <c r="V158" s="3" t="s">
        <v>1039</v>
      </c>
      <c r="W158" s="3" t="s">
        <v>872</v>
      </c>
      <c r="X158" s="3" t="s">
        <v>20</v>
      </c>
    </row>
    <row r="159" spans="8:24" x14ac:dyDescent="0.45">
      <c r="U159" s="8" t="s">
        <v>843</v>
      </c>
      <c r="V159" s="8" t="s">
        <v>1040</v>
      </c>
      <c r="W159" s="8" t="s">
        <v>872</v>
      </c>
      <c r="X159" s="8" t="s">
        <v>20</v>
      </c>
    </row>
    <row r="160" spans="8:24" x14ac:dyDescent="0.45">
      <c r="U160" s="3" t="s">
        <v>843</v>
      </c>
      <c r="V160" s="3" t="s">
        <v>1041</v>
      </c>
      <c r="W160" s="3" t="s">
        <v>872</v>
      </c>
      <c r="X160" s="3" t="s">
        <v>20</v>
      </c>
    </row>
    <row r="161" spans="21:24" x14ac:dyDescent="0.45">
      <c r="U161" s="8" t="s">
        <v>843</v>
      </c>
      <c r="V161" s="8" t="s">
        <v>1042</v>
      </c>
      <c r="W161" s="8" t="s">
        <v>872</v>
      </c>
      <c r="X161" s="8" t="s">
        <v>20</v>
      </c>
    </row>
    <row r="162" spans="21:24" x14ac:dyDescent="0.45">
      <c r="U162" s="3" t="s">
        <v>843</v>
      </c>
      <c r="V162" s="3" t="s">
        <v>1043</v>
      </c>
      <c r="W162" s="3" t="s">
        <v>872</v>
      </c>
      <c r="X162" s="3" t="s">
        <v>20</v>
      </c>
    </row>
    <row r="163" spans="21:24" x14ac:dyDescent="0.45">
      <c r="U163" s="8" t="s">
        <v>843</v>
      </c>
      <c r="V163" s="8" t="s">
        <v>1044</v>
      </c>
      <c r="W163" s="8" t="s">
        <v>872</v>
      </c>
      <c r="X163" s="8" t="s">
        <v>20</v>
      </c>
    </row>
    <row r="164" spans="21:24" x14ac:dyDescent="0.45">
      <c r="U164" s="3" t="s">
        <v>843</v>
      </c>
      <c r="V164" s="3" t="s">
        <v>1045</v>
      </c>
      <c r="W164" s="3" t="s">
        <v>872</v>
      </c>
      <c r="X164" s="3" t="s">
        <v>20</v>
      </c>
    </row>
    <row r="165" spans="21:24" x14ac:dyDescent="0.45">
      <c r="U165" s="8" t="s">
        <v>843</v>
      </c>
      <c r="V165" s="8" t="s">
        <v>1046</v>
      </c>
      <c r="W165" s="8" t="s">
        <v>872</v>
      </c>
      <c r="X165" s="8" t="s">
        <v>20</v>
      </c>
    </row>
    <row r="166" spans="21:24" x14ac:dyDescent="0.45">
      <c r="U166" s="3" t="s">
        <v>843</v>
      </c>
      <c r="V166" s="3" t="s">
        <v>1047</v>
      </c>
      <c r="W166" s="3" t="s">
        <v>872</v>
      </c>
      <c r="X166" s="3" t="s">
        <v>20</v>
      </c>
    </row>
    <row r="167" spans="21:24" x14ac:dyDescent="0.45">
      <c r="U167" s="8" t="s">
        <v>843</v>
      </c>
      <c r="V167" s="8" t="s">
        <v>1048</v>
      </c>
      <c r="W167" s="8" t="s">
        <v>872</v>
      </c>
      <c r="X167" s="8" t="s">
        <v>20</v>
      </c>
    </row>
    <row r="168" spans="21:24" x14ac:dyDescent="0.45">
      <c r="U168" s="3" t="s">
        <v>843</v>
      </c>
      <c r="V168" s="3" t="s">
        <v>1049</v>
      </c>
      <c r="W168" s="3" t="s">
        <v>872</v>
      </c>
      <c r="X168" s="3" t="s">
        <v>20</v>
      </c>
    </row>
    <row r="169" spans="21:24" x14ac:dyDescent="0.45">
      <c r="U169" s="8" t="s">
        <v>843</v>
      </c>
      <c r="V169" s="8" t="s">
        <v>1049</v>
      </c>
      <c r="W169" s="8" t="s">
        <v>950</v>
      </c>
      <c r="X169" s="8" t="s">
        <v>20</v>
      </c>
    </row>
    <row r="170" spans="21:24" x14ac:dyDescent="0.45">
      <c r="U170" s="3" t="s">
        <v>843</v>
      </c>
      <c r="V170" s="3" t="s">
        <v>1050</v>
      </c>
      <c r="W170" s="3" t="s">
        <v>872</v>
      </c>
      <c r="X170" s="3" t="s">
        <v>20</v>
      </c>
    </row>
    <row r="171" spans="21:24" x14ac:dyDescent="0.45">
      <c r="U171" s="8" t="s">
        <v>843</v>
      </c>
      <c r="V171" s="8" t="s">
        <v>1050</v>
      </c>
      <c r="W171" s="8" t="s">
        <v>950</v>
      </c>
      <c r="X171" s="8" t="s">
        <v>20</v>
      </c>
    </row>
    <row r="172" spans="21:24" x14ac:dyDescent="0.45">
      <c r="U172" s="3" t="s">
        <v>843</v>
      </c>
      <c r="V172" s="3" t="s">
        <v>1051</v>
      </c>
      <c r="W172" s="3" t="s">
        <v>872</v>
      </c>
      <c r="X172" s="3" t="s">
        <v>20</v>
      </c>
    </row>
    <row r="173" spans="21:24" x14ac:dyDescent="0.45">
      <c r="U173" s="8" t="s">
        <v>843</v>
      </c>
      <c r="V173" s="8" t="s">
        <v>1051</v>
      </c>
      <c r="W173" s="8" t="s">
        <v>950</v>
      </c>
      <c r="X173" s="8" t="s">
        <v>20</v>
      </c>
    </row>
    <row r="174" spans="21:24" x14ac:dyDescent="0.45">
      <c r="U174" s="3" t="s">
        <v>843</v>
      </c>
      <c r="V174" s="3" t="s">
        <v>1052</v>
      </c>
      <c r="W174" s="3" t="s">
        <v>950</v>
      </c>
      <c r="X174" s="3" t="s">
        <v>20</v>
      </c>
    </row>
    <row r="175" spans="21:24" x14ac:dyDescent="0.45">
      <c r="U175" s="8" t="s">
        <v>843</v>
      </c>
      <c r="V175" s="8" t="s">
        <v>1053</v>
      </c>
      <c r="W175" s="8" t="s">
        <v>950</v>
      </c>
      <c r="X175" s="8" t="s">
        <v>20</v>
      </c>
    </row>
    <row r="176" spans="21:24" x14ac:dyDescent="0.45">
      <c r="U176" s="3" t="s">
        <v>843</v>
      </c>
      <c r="V176" s="3" t="s">
        <v>1054</v>
      </c>
      <c r="W176" s="3" t="s">
        <v>950</v>
      </c>
      <c r="X176" s="3" t="s">
        <v>20</v>
      </c>
    </row>
    <row r="177" spans="21:24" x14ac:dyDescent="0.45">
      <c r="U177" s="8" t="s">
        <v>843</v>
      </c>
      <c r="V177" s="8" t="s">
        <v>1054</v>
      </c>
      <c r="W177" s="8" t="s">
        <v>872</v>
      </c>
      <c r="X177" s="8" t="s">
        <v>18</v>
      </c>
    </row>
    <row r="178" spans="21:24" x14ac:dyDescent="0.45">
      <c r="U178" s="3" t="s">
        <v>843</v>
      </c>
      <c r="V178" s="3" t="s">
        <v>1055</v>
      </c>
      <c r="W178" s="3" t="s">
        <v>950</v>
      </c>
      <c r="X178" s="3" t="s">
        <v>20</v>
      </c>
    </row>
    <row r="179" spans="21:24" x14ac:dyDescent="0.45">
      <c r="U179" s="8" t="s">
        <v>843</v>
      </c>
      <c r="V179" s="8" t="s">
        <v>1055</v>
      </c>
      <c r="W179" s="8" t="s">
        <v>872</v>
      </c>
      <c r="X179" s="8" t="s">
        <v>18</v>
      </c>
    </row>
    <row r="180" spans="21:24" x14ac:dyDescent="0.45">
      <c r="U180" s="3" t="s">
        <v>843</v>
      </c>
      <c r="V180" s="3" t="s">
        <v>1056</v>
      </c>
      <c r="W180" s="3" t="s">
        <v>876</v>
      </c>
      <c r="X180" s="3" t="s">
        <v>20</v>
      </c>
    </row>
    <row r="181" spans="21:24" x14ac:dyDescent="0.45">
      <c r="U181" s="8" t="s">
        <v>843</v>
      </c>
      <c r="V181" s="8" t="s">
        <v>1057</v>
      </c>
      <c r="W181" s="8" t="s">
        <v>876</v>
      </c>
      <c r="X181" s="8" t="s">
        <v>20</v>
      </c>
    </row>
    <row r="182" spans="21:24" x14ac:dyDescent="0.45">
      <c r="U182" s="3" t="s">
        <v>843</v>
      </c>
      <c r="V182" s="3" t="s">
        <v>1058</v>
      </c>
      <c r="W182" s="3" t="s">
        <v>876</v>
      </c>
      <c r="X182" s="3" t="s">
        <v>20</v>
      </c>
    </row>
    <row r="183" spans="21:24" x14ac:dyDescent="0.45">
      <c r="U183" s="8" t="s">
        <v>843</v>
      </c>
      <c r="V183" s="8" t="s">
        <v>1059</v>
      </c>
      <c r="W183" s="8" t="s">
        <v>876</v>
      </c>
      <c r="X183" s="8" t="s">
        <v>20</v>
      </c>
    </row>
    <row r="184" spans="21:24" x14ac:dyDescent="0.45">
      <c r="U184" s="3" t="s">
        <v>843</v>
      </c>
      <c r="V184" s="3" t="s">
        <v>1060</v>
      </c>
      <c r="W184" s="3" t="s">
        <v>876</v>
      </c>
      <c r="X184" s="3" t="s">
        <v>20</v>
      </c>
    </row>
    <row r="185" spans="21:24" x14ac:dyDescent="0.45">
      <c r="U185" s="8" t="s">
        <v>843</v>
      </c>
      <c r="V185" s="8" t="s">
        <v>1061</v>
      </c>
      <c r="W185" s="8" t="s">
        <v>876</v>
      </c>
      <c r="X185" s="8" t="s">
        <v>20</v>
      </c>
    </row>
    <row r="186" spans="21:24" x14ac:dyDescent="0.45">
      <c r="U186" s="3" t="s">
        <v>843</v>
      </c>
      <c r="V186" s="3" t="s">
        <v>1062</v>
      </c>
      <c r="W186" s="3" t="s">
        <v>876</v>
      </c>
      <c r="X186" s="3" t="s">
        <v>20</v>
      </c>
    </row>
    <row r="187" spans="21:24" x14ac:dyDescent="0.45">
      <c r="U187" s="8" t="s">
        <v>843</v>
      </c>
      <c r="V187" s="8" t="s">
        <v>1063</v>
      </c>
      <c r="W187" s="8" t="s">
        <v>876</v>
      </c>
      <c r="X187" s="8" t="s">
        <v>20</v>
      </c>
    </row>
    <row r="188" spans="21:24" x14ac:dyDescent="0.45">
      <c r="U188" s="3" t="s">
        <v>843</v>
      </c>
      <c r="V188" s="3" t="s">
        <v>1064</v>
      </c>
      <c r="W188" s="3" t="s">
        <v>876</v>
      </c>
      <c r="X188" s="3" t="s">
        <v>20</v>
      </c>
    </row>
    <row r="189" spans="21:24" x14ac:dyDescent="0.45">
      <c r="U189" s="8" t="s">
        <v>843</v>
      </c>
      <c r="V189" s="8" t="s">
        <v>1065</v>
      </c>
      <c r="W189" s="8" t="s">
        <v>876</v>
      </c>
      <c r="X189" s="8" t="s">
        <v>20</v>
      </c>
    </row>
    <row r="190" spans="21:24" x14ac:dyDescent="0.45">
      <c r="U190" s="3" t="s">
        <v>843</v>
      </c>
      <c r="V190" s="3" t="s">
        <v>1066</v>
      </c>
      <c r="W190" s="3" t="s">
        <v>876</v>
      </c>
      <c r="X190" s="3" t="s">
        <v>20</v>
      </c>
    </row>
    <row r="191" spans="21:24" x14ac:dyDescent="0.45">
      <c r="U191" s="8" t="s">
        <v>843</v>
      </c>
      <c r="V191" s="8" t="s">
        <v>1066</v>
      </c>
      <c r="W191" s="8" t="s">
        <v>945</v>
      </c>
      <c r="X191" s="8" t="s">
        <v>20</v>
      </c>
    </row>
    <row r="192" spans="21:24" x14ac:dyDescent="0.45">
      <c r="U192" s="3" t="s">
        <v>843</v>
      </c>
      <c r="V192" s="3" t="s">
        <v>1067</v>
      </c>
      <c r="W192" s="3" t="s">
        <v>876</v>
      </c>
      <c r="X192" s="3" t="s">
        <v>20</v>
      </c>
    </row>
    <row r="193" spans="21:24" x14ac:dyDescent="0.45">
      <c r="U193" s="8" t="s">
        <v>843</v>
      </c>
      <c r="V193" s="8" t="s">
        <v>1067</v>
      </c>
      <c r="W193" s="8" t="s">
        <v>945</v>
      </c>
      <c r="X193" s="8" t="s">
        <v>20</v>
      </c>
    </row>
    <row r="194" spans="21:24" x14ac:dyDescent="0.45">
      <c r="U194" s="3" t="s">
        <v>843</v>
      </c>
      <c r="V194" s="3" t="s">
        <v>1068</v>
      </c>
      <c r="W194" s="3" t="s">
        <v>876</v>
      </c>
      <c r="X194" s="3" t="s">
        <v>20</v>
      </c>
    </row>
    <row r="195" spans="21:24" x14ac:dyDescent="0.45">
      <c r="U195" s="8" t="s">
        <v>843</v>
      </c>
      <c r="V195" s="8" t="s">
        <v>1068</v>
      </c>
      <c r="W195" s="8" t="s">
        <v>945</v>
      </c>
      <c r="X195" s="8" t="s">
        <v>20</v>
      </c>
    </row>
    <row r="196" spans="21:24" x14ac:dyDescent="0.45">
      <c r="U196" s="3" t="s">
        <v>843</v>
      </c>
      <c r="V196" s="3" t="s">
        <v>1069</v>
      </c>
      <c r="W196" s="3" t="s">
        <v>945</v>
      </c>
      <c r="X196" s="3" t="s">
        <v>20</v>
      </c>
    </row>
    <row r="197" spans="21:24" x14ac:dyDescent="0.45">
      <c r="U197" s="8" t="s">
        <v>843</v>
      </c>
      <c r="V197" s="8" t="s">
        <v>1070</v>
      </c>
      <c r="W197" s="8" t="s">
        <v>945</v>
      </c>
      <c r="X197" s="8" t="s">
        <v>20</v>
      </c>
    </row>
    <row r="198" spans="21:24" x14ac:dyDescent="0.45">
      <c r="U198" s="3" t="s">
        <v>843</v>
      </c>
      <c r="V198" s="3" t="s">
        <v>1071</v>
      </c>
      <c r="W198" s="3" t="s">
        <v>945</v>
      </c>
      <c r="X198" s="3" t="s">
        <v>20</v>
      </c>
    </row>
    <row r="199" spans="21:24" x14ac:dyDescent="0.45">
      <c r="U199" s="8" t="s">
        <v>843</v>
      </c>
      <c r="V199" s="8" t="s">
        <v>1071</v>
      </c>
      <c r="W199" s="8" t="s">
        <v>876</v>
      </c>
      <c r="X199" s="8" t="s">
        <v>18</v>
      </c>
    </row>
    <row r="200" spans="21:24" x14ac:dyDescent="0.45">
      <c r="U200" s="3" t="s">
        <v>843</v>
      </c>
      <c r="V200" s="3" t="s">
        <v>1072</v>
      </c>
      <c r="W200" s="3" t="s">
        <v>945</v>
      </c>
      <c r="X200" s="3" t="s">
        <v>20</v>
      </c>
    </row>
    <row r="201" spans="21:24" x14ac:dyDescent="0.45">
      <c r="U201" s="8" t="s">
        <v>843</v>
      </c>
      <c r="V201" s="8" t="s">
        <v>1072</v>
      </c>
      <c r="W201" s="8" t="s">
        <v>876</v>
      </c>
      <c r="X201" s="8" t="s">
        <v>18</v>
      </c>
    </row>
    <row r="202" spans="21:24" x14ac:dyDescent="0.45">
      <c r="U202" s="3" t="s">
        <v>843</v>
      </c>
      <c r="V202" s="3" t="s">
        <v>1073</v>
      </c>
      <c r="W202" s="3" t="s">
        <v>880</v>
      </c>
      <c r="X202" s="3" t="s">
        <v>20</v>
      </c>
    </row>
    <row r="203" spans="21:24" x14ac:dyDescent="0.45">
      <c r="U203" s="8" t="s">
        <v>843</v>
      </c>
      <c r="V203" s="8" t="s">
        <v>1074</v>
      </c>
      <c r="W203" s="8" t="s">
        <v>880</v>
      </c>
      <c r="X203" s="8" t="s">
        <v>20</v>
      </c>
    </row>
    <row r="204" spans="21:24" x14ac:dyDescent="0.45">
      <c r="U204" s="3" t="s">
        <v>843</v>
      </c>
      <c r="V204" s="3" t="s">
        <v>1075</v>
      </c>
      <c r="W204" s="3" t="s">
        <v>880</v>
      </c>
      <c r="X204" s="3" t="s">
        <v>20</v>
      </c>
    </row>
    <row r="205" spans="21:24" x14ac:dyDescent="0.45">
      <c r="U205" s="8" t="s">
        <v>843</v>
      </c>
      <c r="V205" s="8" t="s">
        <v>1076</v>
      </c>
      <c r="W205" s="8" t="s">
        <v>880</v>
      </c>
      <c r="X205" s="8" t="s">
        <v>20</v>
      </c>
    </row>
    <row r="206" spans="21:24" x14ac:dyDescent="0.45">
      <c r="U206" s="3" t="s">
        <v>843</v>
      </c>
      <c r="V206" s="3" t="s">
        <v>1077</v>
      </c>
      <c r="W206" s="3" t="s">
        <v>880</v>
      </c>
      <c r="X206" s="3" t="s">
        <v>20</v>
      </c>
    </row>
    <row r="207" spans="21:24" x14ac:dyDescent="0.45">
      <c r="U207" s="8" t="s">
        <v>843</v>
      </c>
      <c r="V207" s="8" t="s">
        <v>1078</v>
      </c>
      <c r="W207" s="8" t="s">
        <v>880</v>
      </c>
      <c r="X207" s="8" t="s">
        <v>20</v>
      </c>
    </row>
    <row r="208" spans="21:24" x14ac:dyDescent="0.45">
      <c r="U208" s="3" t="s">
        <v>843</v>
      </c>
      <c r="V208" s="3" t="s">
        <v>1079</v>
      </c>
      <c r="W208" s="3" t="s">
        <v>880</v>
      </c>
      <c r="X208" s="3" t="s">
        <v>20</v>
      </c>
    </row>
    <row r="209" spans="21:24" x14ac:dyDescent="0.45">
      <c r="U209" s="8" t="s">
        <v>843</v>
      </c>
      <c r="V209" s="8" t="s">
        <v>1080</v>
      </c>
      <c r="W209" s="8" t="s">
        <v>880</v>
      </c>
      <c r="X209" s="8" t="s">
        <v>20</v>
      </c>
    </row>
    <row r="210" spans="21:24" x14ac:dyDescent="0.45">
      <c r="U210" s="3" t="s">
        <v>843</v>
      </c>
      <c r="V210" s="3" t="s">
        <v>1081</v>
      </c>
      <c r="W210" s="3" t="s">
        <v>880</v>
      </c>
      <c r="X210" s="3" t="s">
        <v>20</v>
      </c>
    </row>
    <row r="211" spans="21:24" x14ac:dyDescent="0.45">
      <c r="U211" s="8" t="s">
        <v>843</v>
      </c>
      <c r="V211" s="8" t="s">
        <v>1082</v>
      </c>
      <c r="W211" s="8" t="s">
        <v>880</v>
      </c>
      <c r="X211" s="8" t="s">
        <v>20</v>
      </c>
    </row>
    <row r="212" spans="21:24" x14ac:dyDescent="0.45">
      <c r="U212" s="3" t="s">
        <v>843</v>
      </c>
      <c r="V212" s="3" t="s">
        <v>1083</v>
      </c>
      <c r="W212" s="3" t="s">
        <v>880</v>
      </c>
      <c r="X212" s="3" t="s">
        <v>20</v>
      </c>
    </row>
    <row r="213" spans="21:24" x14ac:dyDescent="0.45">
      <c r="U213" s="8" t="s">
        <v>843</v>
      </c>
      <c r="V213" s="8" t="s">
        <v>1083</v>
      </c>
      <c r="W213" s="8" t="s">
        <v>1084</v>
      </c>
      <c r="X213" s="8" t="s">
        <v>20</v>
      </c>
    </row>
    <row r="214" spans="21:24" x14ac:dyDescent="0.45">
      <c r="U214" s="3" t="s">
        <v>843</v>
      </c>
      <c r="V214" s="3" t="s">
        <v>1085</v>
      </c>
      <c r="W214" s="3" t="s">
        <v>880</v>
      </c>
      <c r="X214" s="3" t="s">
        <v>20</v>
      </c>
    </row>
    <row r="215" spans="21:24" x14ac:dyDescent="0.45">
      <c r="U215" s="8" t="s">
        <v>843</v>
      </c>
      <c r="V215" s="8" t="s">
        <v>1085</v>
      </c>
      <c r="W215" s="8" t="s">
        <v>1084</v>
      </c>
      <c r="X215" s="8" t="s">
        <v>20</v>
      </c>
    </row>
    <row r="216" spans="21:24" x14ac:dyDescent="0.45">
      <c r="U216" s="3" t="s">
        <v>843</v>
      </c>
      <c r="V216" s="3" t="s">
        <v>1086</v>
      </c>
      <c r="W216" s="3" t="s">
        <v>880</v>
      </c>
      <c r="X216" s="3" t="s">
        <v>20</v>
      </c>
    </row>
    <row r="217" spans="21:24" x14ac:dyDescent="0.45">
      <c r="U217" s="8" t="s">
        <v>843</v>
      </c>
      <c r="V217" s="8" t="s">
        <v>1086</v>
      </c>
      <c r="W217" s="8" t="s">
        <v>1084</v>
      </c>
      <c r="X217" s="8" t="s">
        <v>20</v>
      </c>
    </row>
    <row r="218" spans="21:24" x14ac:dyDescent="0.45">
      <c r="U218" s="3" t="s">
        <v>843</v>
      </c>
      <c r="V218" s="3" t="s">
        <v>1087</v>
      </c>
      <c r="W218" s="3" t="s">
        <v>1084</v>
      </c>
      <c r="X218" s="3" t="s">
        <v>20</v>
      </c>
    </row>
    <row r="219" spans="21:24" x14ac:dyDescent="0.45">
      <c r="U219" s="8" t="s">
        <v>843</v>
      </c>
      <c r="V219" s="8" t="s">
        <v>1088</v>
      </c>
      <c r="W219" s="8" t="s">
        <v>1084</v>
      </c>
      <c r="X219" s="8" t="s">
        <v>20</v>
      </c>
    </row>
    <row r="220" spans="21:24" x14ac:dyDescent="0.45">
      <c r="U220" s="3" t="s">
        <v>843</v>
      </c>
      <c r="V220" s="3" t="s">
        <v>1089</v>
      </c>
      <c r="W220" s="3" t="s">
        <v>1084</v>
      </c>
      <c r="X220" s="3" t="s">
        <v>20</v>
      </c>
    </row>
    <row r="221" spans="21:24" x14ac:dyDescent="0.45">
      <c r="U221" s="8" t="s">
        <v>843</v>
      </c>
      <c r="V221" s="8" t="s">
        <v>1089</v>
      </c>
      <c r="W221" s="8" t="s">
        <v>880</v>
      </c>
      <c r="X221" s="8" t="s">
        <v>18</v>
      </c>
    </row>
    <row r="222" spans="21:24" x14ac:dyDescent="0.45">
      <c r="U222" s="3" t="s">
        <v>843</v>
      </c>
      <c r="V222" s="3" t="s">
        <v>1090</v>
      </c>
      <c r="W222" s="3" t="s">
        <v>1084</v>
      </c>
      <c r="X222" s="3" t="s">
        <v>20</v>
      </c>
    </row>
    <row r="223" spans="21:24" x14ac:dyDescent="0.45">
      <c r="U223" s="8" t="s">
        <v>843</v>
      </c>
      <c r="V223" s="8" t="s">
        <v>1090</v>
      </c>
      <c r="W223" s="8" t="s">
        <v>880</v>
      </c>
      <c r="X223" s="8" t="s">
        <v>18</v>
      </c>
    </row>
    <row r="224" spans="21:24" x14ac:dyDescent="0.45">
      <c r="U224" s="3" t="s">
        <v>843</v>
      </c>
      <c r="V224" s="3" t="s">
        <v>1091</v>
      </c>
      <c r="W224" s="3" t="s">
        <v>844</v>
      </c>
      <c r="X224" s="3" t="s">
        <v>20</v>
      </c>
    </row>
    <row r="225" spans="21:24" x14ac:dyDescent="0.45">
      <c r="U225" s="8" t="s">
        <v>843</v>
      </c>
      <c r="V225" s="8" t="s">
        <v>1091</v>
      </c>
      <c r="W225" s="8" t="s">
        <v>844</v>
      </c>
      <c r="X225" s="8" t="s">
        <v>18</v>
      </c>
    </row>
    <row r="226" spans="21:24" x14ac:dyDescent="0.45">
      <c r="U226" s="3" t="s">
        <v>843</v>
      </c>
      <c r="V226" s="3" t="s">
        <v>1092</v>
      </c>
      <c r="W226" s="3" t="s">
        <v>844</v>
      </c>
      <c r="X226" s="3" t="s">
        <v>20</v>
      </c>
    </row>
    <row r="227" spans="21:24" x14ac:dyDescent="0.45">
      <c r="U227" s="8" t="s">
        <v>843</v>
      </c>
      <c r="V227" s="8" t="s">
        <v>1092</v>
      </c>
      <c r="W227" s="8" t="s">
        <v>844</v>
      </c>
      <c r="X227" s="8" t="s">
        <v>18</v>
      </c>
    </row>
    <row r="228" spans="21:24" x14ac:dyDescent="0.45">
      <c r="U228" s="3" t="s">
        <v>843</v>
      </c>
      <c r="V228" s="3" t="s">
        <v>1093</v>
      </c>
      <c r="W228" s="3" t="s">
        <v>848</v>
      </c>
      <c r="X228" s="3" t="s">
        <v>20</v>
      </c>
    </row>
    <row r="229" spans="21:24" x14ac:dyDescent="0.45">
      <c r="U229" s="8" t="s">
        <v>843</v>
      </c>
      <c r="V229" s="8" t="s">
        <v>1093</v>
      </c>
      <c r="W229" s="8" t="s">
        <v>848</v>
      </c>
      <c r="X229" s="8" t="s">
        <v>18</v>
      </c>
    </row>
    <row r="230" spans="21:24" x14ac:dyDescent="0.45">
      <c r="U230" s="3" t="s">
        <v>843</v>
      </c>
      <c r="V230" s="3" t="s">
        <v>1094</v>
      </c>
      <c r="W230" s="3" t="s">
        <v>848</v>
      </c>
      <c r="X230" s="3" t="s">
        <v>20</v>
      </c>
    </row>
    <row r="231" spans="21:24" x14ac:dyDescent="0.45">
      <c r="U231" s="8" t="s">
        <v>843</v>
      </c>
      <c r="V231" s="8" t="s">
        <v>1094</v>
      </c>
      <c r="W231" s="8" t="s">
        <v>848</v>
      </c>
      <c r="X231" s="8" t="s">
        <v>18</v>
      </c>
    </row>
    <row r="232" spans="21:24" x14ac:dyDescent="0.45">
      <c r="U232" s="3" t="s">
        <v>843</v>
      </c>
      <c r="V232" s="3" t="s">
        <v>1095</v>
      </c>
      <c r="W232" s="3" t="s">
        <v>852</v>
      </c>
      <c r="X232" s="3" t="s">
        <v>20</v>
      </c>
    </row>
    <row r="233" spans="21:24" x14ac:dyDescent="0.45">
      <c r="U233" s="8" t="s">
        <v>843</v>
      </c>
      <c r="V233" s="8" t="s">
        <v>1095</v>
      </c>
      <c r="W233" s="8" t="s">
        <v>852</v>
      </c>
      <c r="X233" s="8" t="s">
        <v>18</v>
      </c>
    </row>
    <row r="234" spans="21:24" x14ac:dyDescent="0.45">
      <c r="U234" s="3" t="s">
        <v>843</v>
      </c>
      <c r="V234" s="3" t="s">
        <v>1096</v>
      </c>
      <c r="W234" s="3" t="s">
        <v>852</v>
      </c>
      <c r="X234" s="3" t="s">
        <v>20</v>
      </c>
    </row>
    <row r="235" spans="21:24" x14ac:dyDescent="0.45">
      <c r="U235" s="8" t="s">
        <v>843</v>
      </c>
      <c r="V235" s="8" t="s">
        <v>1096</v>
      </c>
      <c r="W235" s="8" t="s">
        <v>852</v>
      </c>
      <c r="X235" s="8" t="s">
        <v>18</v>
      </c>
    </row>
    <row r="236" spans="21:24" x14ac:dyDescent="0.45">
      <c r="U236" s="3" t="s">
        <v>843</v>
      </c>
      <c r="V236" s="3" t="s">
        <v>1097</v>
      </c>
      <c r="W236" s="3" t="s">
        <v>856</v>
      </c>
      <c r="X236" s="3" t="s">
        <v>20</v>
      </c>
    </row>
    <row r="237" spans="21:24" x14ac:dyDescent="0.45">
      <c r="U237" s="8" t="s">
        <v>843</v>
      </c>
      <c r="V237" s="8" t="s">
        <v>1097</v>
      </c>
      <c r="W237" s="8" t="s">
        <v>856</v>
      </c>
      <c r="X237" s="8" t="s">
        <v>18</v>
      </c>
    </row>
    <row r="238" spans="21:24" x14ac:dyDescent="0.45">
      <c r="U238" s="3" t="s">
        <v>843</v>
      </c>
      <c r="V238" s="3" t="s">
        <v>1098</v>
      </c>
      <c r="W238" s="3" t="s">
        <v>856</v>
      </c>
      <c r="X238" s="3" t="s">
        <v>20</v>
      </c>
    </row>
    <row r="239" spans="21:24" x14ac:dyDescent="0.45">
      <c r="U239" s="8" t="s">
        <v>843</v>
      </c>
      <c r="V239" s="8" t="s">
        <v>1098</v>
      </c>
      <c r="W239" s="8" t="s">
        <v>856</v>
      </c>
      <c r="X239" s="8" t="s">
        <v>18</v>
      </c>
    </row>
    <row r="240" spans="21:24" x14ac:dyDescent="0.45">
      <c r="U240" s="3" t="s">
        <v>843</v>
      </c>
      <c r="V240" s="3" t="s">
        <v>1099</v>
      </c>
      <c r="W240" s="3" t="s">
        <v>860</v>
      </c>
      <c r="X240" s="3" t="s">
        <v>20</v>
      </c>
    </row>
    <row r="241" spans="21:24" x14ac:dyDescent="0.45">
      <c r="U241" s="8" t="s">
        <v>843</v>
      </c>
      <c r="V241" s="8" t="s">
        <v>1099</v>
      </c>
      <c r="W241" s="8" t="s">
        <v>860</v>
      </c>
      <c r="X241" s="8" t="s">
        <v>18</v>
      </c>
    </row>
    <row r="242" spans="21:24" x14ac:dyDescent="0.45">
      <c r="U242" s="3" t="s">
        <v>843</v>
      </c>
      <c r="V242" s="3" t="s">
        <v>1100</v>
      </c>
      <c r="W242" s="3" t="s">
        <v>860</v>
      </c>
      <c r="X242" s="3" t="s">
        <v>20</v>
      </c>
    </row>
    <row r="243" spans="21:24" x14ac:dyDescent="0.45">
      <c r="U243" s="8" t="s">
        <v>843</v>
      </c>
      <c r="V243" s="8" t="s">
        <v>1100</v>
      </c>
      <c r="W243" s="8" t="s">
        <v>860</v>
      </c>
      <c r="X243" s="8" t="s">
        <v>18</v>
      </c>
    </row>
    <row r="244" spans="21:24" x14ac:dyDescent="0.45">
      <c r="U244" s="3" t="s">
        <v>843</v>
      </c>
      <c r="V244" s="3" t="s">
        <v>1101</v>
      </c>
      <c r="W244" s="3" t="s">
        <v>864</v>
      </c>
      <c r="X244" s="3" t="s">
        <v>20</v>
      </c>
    </row>
    <row r="245" spans="21:24" x14ac:dyDescent="0.45">
      <c r="U245" s="8" t="s">
        <v>843</v>
      </c>
      <c r="V245" s="8" t="s">
        <v>1101</v>
      </c>
      <c r="W245" s="8" t="s">
        <v>864</v>
      </c>
      <c r="X245" s="8" t="s">
        <v>18</v>
      </c>
    </row>
    <row r="246" spans="21:24" x14ac:dyDescent="0.45">
      <c r="U246" s="3" t="s">
        <v>843</v>
      </c>
      <c r="V246" s="3" t="s">
        <v>1102</v>
      </c>
      <c r="W246" s="3" t="s">
        <v>864</v>
      </c>
      <c r="X246" s="3" t="s">
        <v>20</v>
      </c>
    </row>
    <row r="247" spans="21:24" x14ac:dyDescent="0.45">
      <c r="U247" s="8" t="s">
        <v>843</v>
      </c>
      <c r="V247" s="8" t="s">
        <v>1102</v>
      </c>
      <c r="W247" s="8" t="s">
        <v>864</v>
      </c>
      <c r="X247" s="8" t="s">
        <v>18</v>
      </c>
    </row>
    <row r="248" spans="21:24" x14ac:dyDescent="0.45">
      <c r="U248" s="3" t="s">
        <v>843</v>
      </c>
      <c r="V248" s="3" t="s">
        <v>1103</v>
      </c>
      <c r="W248" s="3" t="s">
        <v>868</v>
      </c>
      <c r="X248" s="3" t="s">
        <v>20</v>
      </c>
    </row>
    <row r="249" spans="21:24" x14ac:dyDescent="0.45">
      <c r="U249" s="8" t="s">
        <v>843</v>
      </c>
      <c r="V249" s="8" t="s">
        <v>1103</v>
      </c>
      <c r="W249" s="8" t="s">
        <v>868</v>
      </c>
      <c r="X249" s="8" t="s">
        <v>18</v>
      </c>
    </row>
    <row r="250" spans="21:24" x14ac:dyDescent="0.45">
      <c r="U250" s="3" t="s">
        <v>843</v>
      </c>
      <c r="V250" s="3" t="s">
        <v>1104</v>
      </c>
      <c r="W250" s="3" t="s">
        <v>868</v>
      </c>
      <c r="X250" s="3" t="s">
        <v>20</v>
      </c>
    </row>
    <row r="251" spans="21:24" x14ac:dyDescent="0.45">
      <c r="U251" s="8" t="s">
        <v>843</v>
      </c>
      <c r="V251" s="8" t="s">
        <v>1104</v>
      </c>
      <c r="W251" s="8" t="s">
        <v>868</v>
      </c>
      <c r="X251" s="8" t="s">
        <v>18</v>
      </c>
    </row>
    <row r="252" spans="21:24" x14ac:dyDescent="0.45">
      <c r="U252" s="3" t="s">
        <v>843</v>
      </c>
      <c r="V252" s="3" t="s">
        <v>1105</v>
      </c>
      <c r="W252" s="3" t="s">
        <v>872</v>
      </c>
      <c r="X252" s="3" t="s">
        <v>20</v>
      </c>
    </row>
    <row r="253" spans="21:24" x14ac:dyDescent="0.45">
      <c r="U253" s="8" t="s">
        <v>843</v>
      </c>
      <c r="V253" s="8" t="s">
        <v>1105</v>
      </c>
      <c r="W253" s="8" t="s">
        <v>872</v>
      </c>
      <c r="X253" s="8" t="s">
        <v>18</v>
      </c>
    </row>
    <row r="254" spans="21:24" x14ac:dyDescent="0.45">
      <c r="U254" s="3" t="s">
        <v>843</v>
      </c>
      <c r="V254" s="3" t="s">
        <v>1106</v>
      </c>
      <c r="W254" s="3" t="s">
        <v>872</v>
      </c>
      <c r="X254" s="3" t="s">
        <v>20</v>
      </c>
    </row>
    <row r="255" spans="21:24" x14ac:dyDescent="0.45">
      <c r="U255" s="8" t="s">
        <v>843</v>
      </c>
      <c r="V255" s="8" t="s">
        <v>1106</v>
      </c>
      <c r="W255" s="8" t="s">
        <v>872</v>
      </c>
      <c r="X255" s="8" t="s">
        <v>18</v>
      </c>
    </row>
    <row r="256" spans="21:24" x14ac:dyDescent="0.45">
      <c r="U256" s="3" t="s">
        <v>843</v>
      </c>
      <c r="V256" s="3" t="s">
        <v>1107</v>
      </c>
      <c r="W256" s="3" t="s">
        <v>876</v>
      </c>
      <c r="X256" s="3" t="s">
        <v>20</v>
      </c>
    </row>
    <row r="257" spans="21:24" x14ac:dyDescent="0.45">
      <c r="U257" s="8" t="s">
        <v>843</v>
      </c>
      <c r="V257" s="8" t="s">
        <v>1107</v>
      </c>
      <c r="W257" s="8" t="s">
        <v>876</v>
      </c>
      <c r="X257" s="8" t="s">
        <v>18</v>
      </c>
    </row>
    <row r="258" spans="21:24" x14ac:dyDescent="0.45">
      <c r="U258" s="3" t="s">
        <v>843</v>
      </c>
      <c r="V258" s="3" t="s">
        <v>1108</v>
      </c>
      <c r="W258" s="3" t="s">
        <v>876</v>
      </c>
      <c r="X258" s="3" t="s">
        <v>20</v>
      </c>
    </row>
    <row r="259" spans="21:24" x14ac:dyDescent="0.45">
      <c r="U259" s="8" t="s">
        <v>843</v>
      </c>
      <c r="V259" s="8" t="s">
        <v>1108</v>
      </c>
      <c r="W259" s="8" t="s">
        <v>876</v>
      </c>
      <c r="X259" s="8" t="s">
        <v>18</v>
      </c>
    </row>
    <row r="260" spans="21:24" x14ac:dyDescent="0.45">
      <c r="U260" s="3" t="s">
        <v>843</v>
      </c>
      <c r="V260" s="3" t="s">
        <v>1109</v>
      </c>
      <c r="W260" s="3" t="s">
        <v>880</v>
      </c>
      <c r="X260" s="3" t="s">
        <v>20</v>
      </c>
    </row>
    <row r="261" spans="21:24" x14ac:dyDescent="0.45">
      <c r="U261" s="8" t="s">
        <v>843</v>
      </c>
      <c r="V261" s="8" t="s">
        <v>1109</v>
      </c>
      <c r="W261" s="8" t="s">
        <v>880</v>
      </c>
      <c r="X261" s="8" t="s">
        <v>18</v>
      </c>
    </row>
    <row r="262" spans="21:24" x14ac:dyDescent="0.45">
      <c r="U262" s="3" t="s">
        <v>843</v>
      </c>
      <c r="V262" s="3" t="s">
        <v>1110</v>
      </c>
      <c r="W262" s="3" t="s">
        <v>880</v>
      </c>
      <c r="X262" s="3" t="s">
        <v>20</v>
      </c>
    </row>
    <row r="263" spans="21:24" x14ac:dyDescent="0.45">
      <c r="U263" s="8" t="s">
        <v>843</v>
      </c>
      <c r="V263" s="8" t="s">
        <v>1110</v>
      </c>
      <c r="W263" s="8" t="s">
        <v>880</v>
      </c>
      <c r="X263" s="8" t="s">
        <v>18</v>
      </c>
    </row>
  </sheetData>
  <mergeCells count="1">
    <mergeCell ref="A1:H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922C-D7E1-4B8C-8D74-A0F6DF909E36}">
  <dimension ref="F1:AE15"/>
  <sheetViews>
    <sheetView topLeftCell="F1" workbookViewId="0">
      <selection activeCell="P9" sqref="P9"/>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8.464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1.5</v>
      </c>
      <c r="W1">
        <v>0.2</v>
      </c>
    </row>
    <row r="2" spans="6:31" x14ac:dyDescent="0.45">
      <c r="F2" s="13" t="s">
        <v>631</v>
      </c>
      <c r="G2" s="13" t="s">
        <v>632</v>
      </c>
      <c r="H2" s="13" t="s">
        <v>633</v>
      </c>
      <c r="I2" s="13" t="s">
        <v>634</v>
      </c>
      <c r="J2" s="13" t="s">
        <v>635</v>
      </c>
    </row>
    <row r="3" spans="6:31" x14ac:dyDescent="0.45">
      <c r="F3" t="s">
        <v>636</v>
      </c>
      <c r="G3" s="14">
        <v>0.49467275494672763</v>
      </c>
      <c r="H3" s="14">
        <v>1.5525114155251143</v>
      </c>
      <c r="I3" s="14">
        <v>0.54301116184677833</v>
      </c>
      <c r="J3" s="14">
        <v>1.428551718243068</v>
      </c>
      <c r="O3" t="s">
        <v>637</v>
      </c>
    </row>
    <row r="4" spans="6:31" x14ac:dyDescent="0.45">
      <c r="F4" t="s">
        <v>638</v>
      </c>
      <c r="G4" s="14">
        <v>6.3281715306730199E-2</v>
      </c>
      <c r="H4" s="14" t="e">
        <v>#NUM!</v>
      </c>
      <c r="I4" s="14"/>
      <c r="J4" s="14"/>
    </row>
    <row r="5" spans="6:31" x14ac:dyDescent="0.45">
      <c r="F5" t="s">
        <v>639</v>
      </c>
      <c r="G5" s="14">
        <v>0.33147898042746587</v>
      </c>
      <c r="H5" s="14">
        <v>0.96097965960979648</v>
      </c>
      <c r="I5" s="14"/>
      <c r="J5" s="14"/>
    </row>
    <row r="6" spans="6:31" x14ac:dyDescent="0.45">
      <c r="F6" t="s">
        <v>640</v>
      </c>
      <c r="G6" s="14">
        <v>0.28538812785388129</v>
      </c>
      <c r="H6" s="14">
        <v>0.48143736351002575</v>
      </c>
      <c r="I6" s="14">
        <v>0.15249933103728064</v>
      </c>
      <c r="J6" s="14">
        <v>0.28204398666597219</v>
      </c>
      <c r="N6" t="s">
        <v>641</v>
      </c>
      <c r="Y6" t="s">
        <v>642</v>
      </c>
    </row>
    <row r="7" spans="6:31" x14ac:dyDescent="0.45">
      <c r="F7" t="s">
        <v>643</v>
      </c>
      <c r="G7" s="14"/>
      <c r="H7" s="14"/>
      <c r="I7" s="14"/>
      <c r="J7" s="14"/>
      <c r="N7" t="s">
        <v>644</v>
      </c>
      <c r="O7" t="s">
        <v>645</v>
      </c>
      <c r="P7" t="s">
        <v>646</v>
      </c>
      <c r="Q7" t="s">
        <v>647</v>
      </c>
      <c r="R7" t="s">
        <v>648</v>
      </c>
      <c r="S7">
        <v>2022</v>
      </c>
      <c r="T7">
        <v>2030</v>
      </c>
      <c r="U7" t="s">
        <v>649</v>
      </c>
      <c r="V7" t="s">
        <v>650</v>
      </c>
      <c r="Y7" t="s">
        <v>644</v>
      </c>
      <c r="Z7" t="s">
        <v>645</v>
      </c>
      <c r="AA7" t="s">
        <v>647</v>
      </c>
      <c r="AB7" t="s">
        <v>648</v>
      </c>
      <c r="AC7">
        <v>2050</v>
      </c>
      <c r="AD7" t="s">
        <v>649</v>
      </c>
      <c r="AE7" t="s">
        <v>650</v>
      </c>
    </row>
    <row r="8" spans="6:31" x14ac:dyDescent="0.45">
      <c r="F8" t="s">
        <v>651</v>
      </c>
      <c r="G8" s="14">
        <v>6.6052095000143599E-2</v>
      </c>
      <c r="H8" s="14">
        <v>1.0218287114377993</v>
      </c>
      <c r="I8" s="14">
        <v>4.1093218916503646E-3</v>
      </c>
      <c r="J8" s="14">
        <v>0.14669048448740374</v>
      </c>
      <c r="N8" t="s">
        <v>652</v>
      </c>
      <c r="O8" t="s">
        <v>638</v>
      </c>
      <c r="P8" s="15" t="s">
        <v>653</v>
      </c>
      <c r="Q8" s="16">
        <f>-1/8.76</f>
        <v>-0.11415525114155252</v>
      </c>
      <c r="S8" s="16" t="e">
        <f>VLOOKUP(O8,$F$3:$J$11,3,FALSE)</f>
        <v>#NUM!</v>
      </c>
      <c r="T8" s="16" t="e">
        <f>MIN(S8*$U$1,0.95)</f>
        <v>#NUM!</v>
      </c>
      <c r="U8">
        <v>0</v>
      </c>
      <c r="V8">
        <v>3</v>
      </c>
      <c r="Y8" t="s">
        <v>654</v>
      </c>
      <c r="Z8" t="s">
        <v>638</v>
      </c>
      <c r="AA8">
        <f>-1/8.76</f>
        <v>-0.11415525114155252</v>
      </c>
      <c r="AB8" s="16">
        <f>VLOOKUP(Z8,$F$3:$J$11,2,FALSE)</f>
        <v>6.3281715306730199E-2</v>
      </c>
      <c r="AC8">
        <f>AB8*$W$1</f>
        <v>1.265634306134604E-2</v>
      </c>
      <c r="AD8">
        <v>0</v>
      </c>
      <c r="AE8">
        <v>3</v>
      </c>
    </row>
    <row r="9" spans="6:31" x14ac:dyDescent="0.45">
      <c r="F9" t="s">
        <v>655</v>
      </c>
      <c r="G9" s="14">
        <v>0</v>
      </c>
      <c r="H9" s="14">
        <v>8.3509546137108884E-2</v>
      </c>
      <c r="I9" s="14">
        <v>3.7015112427566541E-2</v>
      </c>
      <c r="J9" s="14">
        <v>8.309086832845422E-2</v>
      </c>
      <c r="N9" t="s">
        <v>656</v>
      </c>
      <c r="O9" t="s">
        <v>639</v>
      </c>
      <c r="P9" s="15" t="str">
        <f>P8</f>
        <v>-CO2Captured,-co2[_]*</v>
      </c>
      <c r="Q9" s="16">
        <f>-1/8.76</f>
        <v>-0.11415525114155252</v>
      </c>
      <c r="S9" s="16">
        <f>VLOOKUP(O9,$F$3:$J$11,3,FALSE)</f>
        <v>0.96097965960979648</v>
      </c>
      <c r="T9" s="16">
        <f>MIN(S9*$U$1,0.95)</f>
        <v>0.95</v>
      </c>
      <c r="U9">
        <v>0</v>
      </c>
      <c r="V9">
        <v>3</v>
      </c>
      <c r="Y9" t="s">
        <v>657</v>
      </c>
      <c r="Z9" t="s">
        <v>639</v>
      </c>
      <c r="AA9">
        <f>-1/8.76</f>
        <v>-0.11415525114155252</v>
      </c>
      <c r="AB9" s="16">
        <f>VLOOKUP(Z9,$F$3:$J$11,2,FALSE)</f>
        <v>0.33147898042746587</v>
      </c>
      <c r="AC9">
        <f>AB9*$W$1</f>
        <v>6.6295796085493172E-2</v>
      </c>
      <c r="AD9">
        <v>0</v>
      </c>
      <c r="AE9">
        <v>3</v>
      </c>
    </row>
    <row r="10" spans="6:31" ht="14.65" customHeight="1" x14ac:dyDescent="0.45">
      <c r="F10" t="s">
        <v>658</v>
      </c>
      <c r="G10" s="14"/>
      <c r="H10" s="14"/>
      <c r="I10" s="14">
        <v>0.30803797927085602</v>
      </c>
      <c r="J10" s="14">
        <v>0.37145756323838519</v>
      </c>
      <c r="N10" t="s">
        <v>656</v>
      </c>
      <c r="O10" t="s">
        <v>643</v>
      </c>
      <c r="P10" s="15" t="str">
        <f>P9</f>
        <v>-CO2Captured,-co2[_]*</v>
      </c>
      <c r="Q10" s="16">
        <f>-1/8.76</f>
        <v>-0.11415525114155252</v>
      </c>
      <c r="S10" s="16">
        <f>VLOOKUP(O10,$F$3:$J$11,3,FALSE)</f>
        <v>0</v>
      </c>
      <c r="T10" s="16">
        <f>MIN(S10*$U$1,0.95)</f>
        <v>0</v>
      </c>
      <c r="U10">
        <v>0</v>
      </c>
      <c r="V10">
        <v>3</v>
      </c>
      <c r="Y10" t="s">
        <v>659</v>
      </c>
      <c r="Z10" t="s">
        <v>651</v>
      </c>
      <c r="AA10">
        <f>-1/8.76</f>
        <v>-0.11415525114155252</v>
      </c>
      <c r="AB10" s="16">
        <f>VLOOKUP(Z10,$F$3:$J$11,2,FALSE)</f>
        <v>6.6052095000143599E-2</v>
      </c>
      <c r="AC10" s="17">
        <f>AB10*$W$1</f>
        <v>1.3210419000028721E-2</v>
      </c>
      <c r="AD10">
        <v>0</v>
      </c>
      <c r="AE10">
        <v>3</v>
      </c>
    </row>
    <row r="11" spans="6:31" ht="14.65" customHeight="1" x14ac:dyDescent="0.45">
      <c r="F11" t="s">
        <v>660</v>
      </c>
      <c r="G11" s="14">
        <v>0.22495299489658876</v>
      </c>
      <c r="H11" s="14">
        <v>0.34246575342465752</v>
      </c>
      <c r="I11" s="14">
        <v>0.214911566362644</v>
      </c>
      <c r="J11" s="14">
        <v>0.33403198379469673</v>
      </c>
    </row>
    <row r="15" spans="6:31" x14ac:dyDescent="0.45">
      <c r="X15" s="18">
        <v>2.5</v>
      </c>
      <c r="Y15" s="19" t="s">
        <v>661</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6DD28-D67D-478D-99F7-A9030E38E0AA}">
  <dimension ref="A1:J23"/>
  <sheetViews>
    <sheetView workbookViewId="0">
      <selection sqref="A1:H1"/>
    </sheetView>
  </sheetViews>
  <sheetFormatPr defaultColWidth="9.1328125" defaultRowHeight="14.25" x14ac:dyDescent="0.45"/>
  <cols>
    <col min="1" max="1" width="6.59765625" bestFit="1" customWidth="1"/>
    <col min="2" max="7" width="10.59765625" customWidth="1"/>
    <col min="8" max="8" width="10.73046875" bestFit="1" customWidth="1"/>
    <col min="9" max="9" width="11.33203125" bestFit="1" customWidth="1"/>
    <col min="10" max="10" width="11.9296875" bestFit="1" customWidth="1"/>
  </cols>
  <sheetData>
    <row r="1" spans="1:10" ht="22.05" customHeight="1" x14ac:dyDescent="0.45">
      <c r="A1" s="27" t="s">
        <v>0</v>
      </c>
      <c r="B1" s="27"/>
      <c r="C1" s="27"/>
      <c r="D1" s="27"/>
      <c r="E1" s="27"/>
      <c r="F1" s="27"/>
      <c r="G1" s="27"/>
      <c r="H1" s="27"/>
    </row>
    <row r="9" spans="1:10" ht="14.65" thickBot="1" x14ac:dyDescent="0.5">
      <c r="B9" t="s">
        <v>662</v>
      </c>
    </row>
    <row r="10" spans="1:10" ht="15.75" thickBot="1" x14ac:dyDescent="0.6">
      <c r="B10" s="2" t="s">
        <v>663</v>
      </c>
      <c r="C10" s="2" t="s">
        <v>664</v>
      </c>
      <c r="D10" s="2" t="s">
        <v>665</v>
      </c>
      <c r="E10" s="2" t="s">
        <v>666</v>
      </c>
      <c r="F10" s="2" t="s">
        <v>667</v>
      </c>
      <c r="G10" s="2" t="s">
        <v>668</v>
      </c>
      <c r="H10" s="2" t="s">
        <v>669</v>
      </c>
      <c r="I10" s="2" t="s">
        <v>670</v>
      </c>
      <c r="J10" s="2" t="s">
        <v>671</v>
      </c>
    </row>
    <row r="11" spans="1:10" x14ac:dyDescent="0.45">
      <c r="B11" s="3" t="s">
        <v>843</v>
      </c>
      <c r="C11" s="4">
        <v>2</v>
      </c>
      <c r="D11" s="4">
        <v>4</v>
      </c>
      <c r="E11" s="4">
        <v>2</v>
      </c>
      <c r="F11" s="4">
        <v>4</v>
      </c>
      <c r="G11" s="6">
        <v>0.02</v>
      </c>
      <c r="H11" s="6">
        <v>0.04</v>
      </c>
      <c r="I11" s="22">
        <v>0</v>
      </c>
      <c r="J11" s="22">
        <v>0</v>
      </c>
    </row>
    <row r="14" spans="1:10" x14ac:dyDescent="0.45">
      <c r="B14" t="s">
        <v>1189</v>
      </c>
    </row>
    <row r="18" spans="1:8" ht="14.65" thickBot="1" x14ac:dyDescent="0.5">
      <c r="B18" s="20" t="s">
        <v>672</v>
      </c>
    </row>
    <row r="19" spans="1:8" ht="15" thickTop="1" thickBot="1" x14ac:dyDescent="0.5">
      <c r="A19" s="21" t="s">
        <v>673</v>
      </c>
      <c r="B19" s="21" t="s">
        <v>674</v>
      </c>
      <c r="C19" s="21" t="s">
        <v>645</v>
      </c>
      <c r="D19" s="21" t="s">
        <v>675</v>
      </c>
      <c r="E19" s="21" t="s">
        <v>676</v>
      </c>
      <c r="F19" s="21">
        <v>2025</v>
      </c>
      <c r="G19" s="21">
        <v>2040</v>
      </c>
      <c r="H19" s="21">
        <v>0</v>
      </c>
    </row>
    <row r="20" spans="1:8" x14ac:dyDescent="0.45">
      <c r="A20" t="s">
        <v>655</v>
      </c>
      <c r="B20" t="str">
        <f>"uce_buildrate_"&amp;A20</f>
        <v>uce_buildrate_solar</v>
      </c>
      <c r="C20" t="str">
        <f>A20</f>
        <v>solar</v>
      </c>
      <c r="D20" t="s">
        <v>677</v>
      </c>
      <c r="E20">
        <v>1</v>
      </c>
      <c r="F20">
        <f>C11</f>
        <v>2</v>
      </c>
      <c r="G20">
        <f>D11</f>
        <v>4</v>
      </c>
      <c r="H20">
        <v>4</v>
      </c>
    </row>
    <row r="21" spans="1:8" x14ac:dyDescent="0.45">
      <c r="A21" t="s">
        <v>678</v>
      </c>
      <c r="B21" t="str">
        <f t="shared" ref="B21:B23" si="0">"uce_buildrate_"&amp;A21</f>
        <v>uce_buildrate_wind</v>
      </c>
      <c r="C21" t="str">
        <f>A21&amp;"*"</f>
        <v>wind*</v>
      </c>
      <c r="D21" t="s">
        <v>677</v>
      </c>
      <c r="E21">
        <v>1</v>
      </c>
      <c r="F21">
        <f>E11</f>
        <v>2</v>
      </c>
      <c r="G21">
        <f>F11</f>
        <v>4</v>
      </c>
      <c r="H21">
        <v>4</v>
      </c>
    </row>
    <row r="22" spans="1:8" x14ac:dyDescent="0.45">
      <c r="A22" t="s">
        <v>640</v>
      </c>
      <c r="B22" t="str">
        <f t="shared" si="0"/>
        <v>uce_buildrate_hydro</v>
      </c>
      <c r="C22" t="str">
        <f t="shared" ref="C22:C23" si="1">A22</f>
        <v>hydro</v>
      </c>
      <c r="D22" t="s">
        <v>677</v>
      </c>
      <c r="E22">
        <v>1</v>
      </c>
      <c r="F22">
        <f>G11</f>
        <v>0.02</v>
      </c>
      <c r="G22">
        <f>H11</f>
        <v>0.04</v>
      </c>
      <c r="H22">
        <v>4</v>
      </c>
    </row>
    <row r="23" spans="1:8" x14ac:dyDescent="0.45">
      <c r="A23" t="s">
        <v>643</v>
      </c>
      <c r="B23" t="str">
        <f t="shared" si="0"/>
        <v>uce_buildrate_nuclear</v>
      </c>
      <c r="C23" t="str">
        <f t="shared" si="1"/>
        <v>nuclear</v>
      </c>
      <c r="D23" t="s">
        <v>677</v>
      </c>
      <c r="E23">
        <v>1</v>
      </c>
      <c r="F23">
        <f>I11</f>
        <v>0</v>
      </c>
      <c r="G23">
        <f>J11</f>
        <v>0</v>
      </c>
      <c r="H23">
        <v>4</v>
      </c>
    </row>
  </sheetData>
  <mergeCells count="1">
    <mergeCell ref="A1:H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662A4-5276-4119-B1D7-84F4737F675C}">
  <dimension ref="A1:I42"/>
  <sheetViews>
    <sheetView workbookViewId="0"/>
  </sheetViews>
  <sheetFormatPr defaultRowHeight="14.25" x14ac:dyDescent="0.45"/>
  <sheetData>
    <row r="1" spans="1:9" x14ac:dyDescent="0.45">
      <c r="C1" t="s">
        <v>679</v>
      </c>
    </row>
    <row r="3" spans="1:9" x14ac:dyDescent="0.45">
      <c r="C3" t="s">
        <v>680</v>
      </c>
      <c r="G3" t="s">
        <v>681</v>
      </c>
    </row>
    <row r="4" spans="1:9" x14ac:dyDescent="0.45">
      <c r="A4" t="s">
        <v>25</v>
      </c>
      <c r="B4" t="s">
        <v>674</v>
      </c>
      <c r="C4" t="s">
        <v>646</v>
      </c>
      <c r="D4" t="s">
        <v>682</v>
      </c>
      <c r="E4" t="s">
        <v>683</v>
      </c>
      <c r="G4" t="s">
        <v>674</v>
      </c>
      <c r="H4" t="s">
        <v>645</v>
      </c>
      <c r="I4" t="s">
        <v>682</v>
      </c>
    </row>
    <row r="5" spans="1:9" x14ac:dyDescent="0.45">
      <c r="A5" t="s">
        <v>684</v>
      </c>
      <c r="B5" t="s">
        <v>1111</v>
      </c>
      <c r="C5" t="s">
        <v>1112</v>
      </c>
      <c r="D5">
        <v>1</v>
      </c>
      <c r="E5">
        <v>2</v>
      </c>
      <c r="G5" t="s">
        <v>1111</v>
      </c>
      <c r="H5" t="s">
        <v>1112</v>
      </c>
      <c r="I5">
        <v>-1</v>
      </c>
    </row>
    <row r="6" spans="1:9" x14ac:dyDescent="0.45">
      <c r="A6" t="s">
        <v>684</v>
      </c>
      <c r="B6" t="s">
        <v>1113</v>
      </c>
      <c r="C6" t="s">
        <v>1114</v>
      </c>
      <c r="D6">
        <v>1</v>
      </c>
      <c r="E6">
        <v>2</v>
      </c>
      <c r="G6" t="s">
        <v>1113</v>
      </c>
      <c r="H6" t="s">
        <v>1114</v>
      </c>
      <c r="I6">
        <v>-1</v>
      </c>
    </row>
    <row r="7" spans="1:9" x14ac:dyDescent="0.45">
      <c r="A7" t="s">
        <v>684</v>
      </c>
      <c r="B7" t="s">
        <v>1115</v>
      </c>
      <c r="C7" t="s">
        <v>1116</v>
      </c>
      <c r="D7">
        <v>1</v>
      </c>
      <c r="E7">
        <v>2</v>
      </c>
      <c r="G7" t="s">
        <v>1115</v>
      </c>
      <c r="H7" t="s">
        <v>1116</v>
      </c>
      <c r="I7">
        <v>-1</v>
      </c>
    </row>
    <row r="8" spans="1:9" x14ac:dyDescent="0.45">
      <c r="A8" t="s">
        <v>684</v>
      </c>
      <c r="B8" t="s">
        <v>1117</v>
      </c>
      <c r="C8" t="s">
        <v>1118</v>
      </c>
      <c r="D8">
        <v>1</v>
      </c>
      <c r="E8">
        <v>2</v>
      </c>
      <c r="G8" t="s">
        <v>1117</v>
      </c>
      <c r="H8" t="s">
        <v>1118</v>
      </c>
      <c r="I8">
        <v>-1</v>
      </c>
    </row>
    <row r="9" spans="1:9" x14ac:dyDescent="0.45">
      <c r="A9" t="s">
        <v>684</v>
      </c>
      <c r="B9" t="s">
        <v>1119</v>
      </c>
      <c r="C9" t="s">
        <v>1120</v>
      </c>
      <c r="D9">
        <v>1</v>
      </c>
      <c r="E9">
        <v>2</v>
      </c>
      <c r="G9" t="s">
        <v>1119</v>
      </c>
      <c r="H9" t="s">
        <v>1120</v>
      </c>
      <c r="I9">
        <v>-1</v>
      </c>
    </row>
    <row r="10" spans="1:9" x14ac:dyDescent="0.45">
      <c r="A10" t="s">
        <v>684</v>
      </c>
      <c r="B10" t="s">
        <v>1121</v>
      </c>
      <c r="C10" t="s">
        <v>1122</v>
      </c>
      <c r="D10">
        <v>1</v>
      </c>
      <c r="E10">
        <v>2</v>
      </c>
      <c r="G10" t="s">
        <v>1121</v>
      </c>
      <c r="H10" t="s">
        <v>1122</v>
      </c>
      <c r="I10">
        <v>-1</v>
      </c>
    </row>
    <row r="11" spans="1:9" x14ac:dyDescent="0.45">
      <c r="A11" t="s">
        <v>684</v>
      </c>
      <c r="B11" t="s">
        <v>1123</v>
      </c>
      <c r="C11" t="s">
        <v>1124</v>
      </c>
      <c r="D11">
        <v>1</v>
      </c>
      <c r="E11">
        <v>2</v>
      </c>
      <c r="G11" t="s">
        <v>1123</v>
      </c>
      <c r="H11" t="s">
        <v>1124</v>
      </c>
      <c r="I11">
        <v>-1</v>
      </c>
    </row>
    <row r="12" spans="1:9" x14ac:dyDescent="0.45">
      <c r="A12" t="s">
        <v>684</v>
      </c>
      <c r="B12" t="s">
        <v>1125</v>
      </c>
      <c r="C12" t="s">
        <v>1126</v>
      </c>
      <c r="D12">
        <v>1</v>
      </c>
      <c r="E12">
        <v>2</v>
      </c>
      <c r="G12" t="s">
        <v>1125</v>
      </c>
      <c r="H12" t="s">
        <v>1126</v>
      </c>
      <c r="I12">
        <v>-1</v>
      </c>
    </row>
    <row r="13" spans="1:9" x14ac:dyDescent="0.45">
      <c r="A13" t="s">
        <v>684</v>
      </c>
      <c r="B13" t="s">
        <v>1127</v>
      </c>
      <c r="C13" t="s">
        <v>1128</v>
      </c>
      <c r="D13">
        <v>1</v>
      </c>
      <c r="E13">
        <v>2</v>
      </c>
      <c r="G13" t="s">
        <v>1127</v>
      </c>
      <c r="H13" t="s">
        <v>1128</v>
      </c>
      <c r="I13">
        <v>-1</v>
      </c>
    </row>
    <row r="14" spans="1:9" x14ac:dyDescent="0.45">
      <c r="A14" t="s">
        <v>684</v>
      </c>
      <c r="B14" t="s">
        <v>1129</v>
      </c>
      <c r="C14" t="s">
        <v>1130</v>
      </c>
      <c r="D14">
        <v>1</v>
      </c>
      <c r="E14">
        <v>2</v>
      </c>
      <c r="G14" t="s">
        <v>1129</v>
      </c>
      <c r="H14" t="s">
        <v>1130</v>
      </c>
      <c r="I14">
        <v>-1</v>
      </c>
    </row>
    <row r="15" spans="1:9" x14ac:dyDescent="0.45">
      <c r="A15" t="s">
        <v>684</v>
      </c>
      <c r="B15" t="s">
        <v>1131</v>
      </c>
      <c r="C15" t="s">
        <v>1132</v>
      </c>
      <c r="D15">
        <v>1</v>
      </c>
      <c r="E15">
        <v>2</v>
      </c>
      <c r="G15" t="s">
        <v>1131</v>
      </c>
      <c r="H15" t="s">
        <v>1132</v>
      </c>
      <c r="I15">
        <v>-1</v>
      </c>
    </row>
    <row r="16" spans="1:9" x14ac:dyDescent="0.45">
      <c r="A16" t="s">
        <v>684</v>
      </c>
      <c r="B16" t="s">
        <v>1133</v>
      </c>
      <c r="C16" t="s">
        <v>1134</v>
      </c>
      <c r="D16">
        <v>1</v>
      </c>
      <c r="E16">
        <v>2</v>
      </c>
      <c r="G16" t="s">
        <v>1133</v>
      </c>
      <c r="H16" t="s">
        <v>1134</v>
      </c>
      <c r="I16">
        <v>-1</v>
      </c>
    </row>
    <row r="17" spans="1:9" x14ac:dyDescent="0.45">
      <c r="A17" t="s">
        <v>684</v>
      </c>
      <c r="B17" t="s">
        <v>1135</v>
      </c>
      <c r="C17" t="s">
        <v>1136</v>
      </c>
      <c r="D17">
        <v>1</v>
      </c>
      <c r="E17">
        <v>2</v>
      </c>
      <c r="G17" t="s">
        <v>1135</v>
      </c>
      <c r="H17" t="s">
        <v>1136</v>
      </c>
      <c r="I17">
        <v>-1</v>
      </c>
    </row>
    <row r="18" spans="1:9" x14ac:dyDescent="0.45">
      <c r="A18" t="s">
        <v>684</v>
      </c>
      <c r="B18" t="s">
        <v>1137</v>
      </c>
      <c r="C18" t="s">
        <v>1138</v>
      </c>
      <c r="D18">
        <v>1</v>
      </c>
      <c r="E18">
        <v>2</v>
      </c>
      <c r="G18" t="s">
        <v>1137</v>
      </c>
      <c r="H18" t="s">
        <v>1138</v>
      </c>
      <c r="I18">
        <v>-1</v>
      </c>
    </row>
    <row r="19" spans="1:9" x14ac:dyDescent="0.45">
      <c r="A19" t="s">
        <v>684</v>
      </c>
      <c r="B19" t="s">
        <v>1139</v>
      </c>
      <c r="C19" t="s">
        <v>1140</v>
      </c>
      <c r="D19">
        <v>1</v>
      </c>
      <c r="E19">
        <v>2</v>
      </c>
      <c r="G19" t="s">
        <v>1139</v>
      </c>
      <c r="H19" t="s">
        <v>1140</v>
      </c>
      <c r="I19">
        <v>-1</v>
      </c>
    </row>
    <row r="20" spans="1:9" x14ac:dyDescent="0.45">
      <c r="A20" t="s">
        <v>684</v>
      </c>
      <c r="B20" t="s">
        <v>1141</v>
      </c>
      <c r="C20" t="s">
        <v>1142</v>
      </c>
      <c r="D20">
        <v>1</v>
      </c>
      <c r="E20">
        <v>2</v>
      </c>
      <c r="G20" t="s">
        <v>1141</v>
      </c>
      <c r="H20" t="s">
        <v>1142</v>
      </c>
      <c r="I20">
        <v>-1</v>
      </c>
    </row>
    <row r="21" spans="1:9" x14ac:dyDescent="0.45">
      <c r="A21" t="s">
        <v>684</v>
      </c>
      <c r="B21" t="s">
        <v>1143</v>
      </c>
      <c r="C21" t="s">
        <v>1144</v>
      </c>
      <c r="D21">
        <v>1</v>
      </c>
      <c r="E21">
        <v>2</v>
      </c>
      <c r="G21" t="s">
        <v>1143</v>
      </c>
      <c r="H21" t="s">
        <v>1144</v>
      </c>
      <c r="I21">
        <v>-1</v>
      </c>
    </row>
    <row r="22" spans="1:9" x14ac:dyDescent="0.45">
      <c r="A22" t="s">
        <v>684</v>
      </c>
      <c r="B22" t="s">
        <v>1145</v>
      </c>
      <c r="C22" t="s">
        <v>1146</v>
      </c>
      <c r="D22">
        <v>1</v>
      </c>
      <c r="E22">
        <v>2</v>
      </c>
      <c r="G22" t="s">
        <v>1145</v>
      </c>
      <c r="H22" t="s">
        <v>1146</v>
      </c>
      <c r="I22">
        <v>-1</v>
      </c>
    </row>
    <row r="23" spans="1:9" x14ac:dyDescent="0.45">
      <c r="A23" t="s">
        <v>684</v>
      </c>
      <c r="B23" t="s">
        <v>1147</v>
      </c>
      <c r="C23" t="s">
        <v>1148</v>
      </c>
      <c r="D23">
        <v>1</v>
      </c>
      <c r="E23">
        <v>2</v>
      </c>
      <c r="G23" t="s">
        <v>1147</v>
      </c>
      <c r="H23" t="s">
        <v>1148</v>
      </c>
      <c r="I23">
        <v>-1</v>
      </c>
    </row>
    <row r="24" spans="1:9" x14ac:dyDescent="0.45">
      <c r="A24" t="s">
        <v>684</v>
      </c>
      <c r="B24" t="s">
        <v>1149</v>
      </c>
      <c r="C24" t="s">
        <v>1150</v>
      </c>
      <c r="D24">
        <v>1</v>
      </c>
      <c r="E24">
        <v>2</v>
      </c>
      <c r="G24" t="s">
        <v>1149</v>
      </c>
      <c r="H24" t="s">
        <v>1150</v>
      </c>
      <c r="I24">
        <v>-1</v>
      </c>
    </row>
    <row r="25" spans="1:9" x14ac:dyDescent="0.45">
      <c r="A25" t="s">
        <v>684</v>
      </c>
      <c r="B25" t="s">
        <v>1151</v>
      </c>
      <c r="C25" t="s">
        <v>1152</v>
      </c>
      <c r="D25">
        <v>1</v>
      </c>
      <c r="E25">
        <v>2</v>
      </c>
      <c r="G25" t="s">
        <v>1151</v>
      </c>
      <c r="H25" t="s">
        <v>1152</v>
      </c>
      <c r="I25">
        <v>-1</v>
      </c>
    </row>
    <row r="26" spans="1:9" x14ac:dyDescent="0.45">
      <c r="A26" t="s">
        <v>684</v>
      </c>
      <c r="B26" t="s">
        <v>1153</v>
      </c>
      <c r="C26" t="s">
        <v>1154</v>
      </c>
      <c r="D26">
        <v>1</v>
      </c>
      <c r="E26">
        <v>2</v>
      </c>
      <c r="G26" t="s">
        <v>1153</v>
      </c>
      <c r="H26" t="s">
        <v>1154</v>
      </c>
      <c r="I26">
        <v>-1</v>
      </c>
    </row>
    <row r="27" spans="1:9" x14ac:dyDescent="0.45">
      <c r="A27" t="s">
        <v>684</v>
      </c>
      <c r="B27" t="s">
        <v>1155</v>
      </c>
      <c r="C27" t="s">
        <v>1156</v>
      </c>
      <c r="D27">
        <v>1</v>
      </c>
      <c r="E27">
        <v>2</v>
      </c>
      <c r="G27" t="s">
        <v>1155</v>
      </c>
      <c r="H27" t="s">
        <v>1156</v>
      </c>
      <c r="I27">
        <v>-1</v>
      </c>
    </row>
    <row r="28" spans="1:9" x14ac:dyDescent="0.45">
      <c r="A28" t="s">
        <v>684</v>
      </c>
      <c r="B28" t="s">
        <v>1157</v>
      </c>
      <c r="C28" t="s">
        <v>1158</v>
      </c>
      <c r="D28">
        <v>1</v>
      </c>
      <c r="E28">
        <v>2</v>
      </c>
      <c r="G28" t="s">
        <v>1157</v>
      </c>
      <c r="H28" t="s">
        <v>1158</v>
      </c>
      <c r="I28">
        <v>-1</v>
      </c>
    </row>
    <row r="29" spans="1:9" x14ac:dyDescent="0.45">
      <c r="A29" t="s">
        <v>684</v>
      </c>
      <c r="B29" t="s">
        <v>1159</v>
      </c>
      <c r="C29" t="s">
        <v>1160</v>
      </c>
      <c r="D29">
        <v>1</v>
      </c>
      <c r="E29">
        <v>2</v>
      </c>
      <c r="G29" t="s">
        <v>1159</v>
      </c>
      <c r="H29" t="s">
        <v>1160</v>
      </c>
      <c r="I29">
        <v>-1</v>
      </c>
    </row>
    <row r="30" spans="1:9" x14ac:dyDescent="0.45">
      <c r="A30" t="s">
        <v>684</v>
      </c>
      <c r="B30" t="s">
        <v>1161</v>
      </c>
      <c r="C30" t="s">
        <v>1162</v>
      </c>
      <c r="D30">
        <v>1</v>
      </c>
      <c r="E30">
        <v>2</v>
      </c>
      <c r="G30" t="s">
        <v>1161</v>
      </c>
      <c r="H30" t="s">
        <v>1162</v>
      </c>
      <c r="I30">
        <v>-1</v>
      </c>
    </row>
    <row r="31" spans="1:9" x14ac:dyDescent="0.45">
      <c r="A31" t="s">
        <v>684</v>
      </c>
      <c r="B31" t="s">
        <v>1163</v>
      </c>
      <c r="C31" t="s">
        <v>1164</v>
      </c>
      <c r="D31">
        <v>1</v>
      </c>
      <c r="E31">
        <v>2</v>
      </c>
      <c r="G31" t="s">
        <v>1163</v>
      </c>
      <c r="H31" t="s">
        <v>1164</v>
      </c>
      <c r="I31">
        <v>-1</v>
      </c>
    </row>
    <row r="32" spans="1:9" x14ac:dyDescent="0.45">
      <c r="A32" t="s">
        <v>684</v>
      </c>
      <c r="B32" t="s">
        <v>1165</v>
      </c>
      <c r="C32" t="s">
        <v>1166</v>
      </c>
      <c r="D32">
        <v>1</v>
      </c>
      <c r="E32">
        <v>2</v>
      </c>
      <c r="G32" t="s">
        <v>1165</v>
      </c>
      <c r="H32" t="s">
        <v>1166</v>
      </c>
      <c r="I32">
        <v>-1</v>
      </c>
    </row>
    <row r="33" spans="1:9" x14ac:dyDescent="0.45">
      <c r="A33" t="s">
        <v>684</v>
      </c>
      <c r="B33" t="s">
        <v>1167</v>
      </c>
      <c r="C33" t="s">
        <v>1168</v>
      </c>
      <c r="D33">
        <v>1</v>
      </c>
      <c r="E33">
        <v>2</v>
      </c>
      <c r="G33" t="s">
        <v>1167</v>
      </c>
      <c r="H33" t="s">
        <v>1168</v>
      </c>
      <c r="I33">
        <v>-1</v>
      </c>
    </row>
    <row r="34" spans="1:9" x14ac:dyDescent="0.45">
      <c r="A34" t="s">
        <v>684</v>
      </c>
      <c r="B34" t="s">
        <v>1169</v>
      </c>
      <c r="C34" t="s">
        <v>1170</v>
      </c>
      <c r="D34">
        <v>1</v>
      </c>
      <c r="E34">
        <v>2</v>
      </c>
      <c r="G34" t="s">
        <v>1169</v>
      </c>
      <c r="H34" t="s">
        <v>1170</v>
      </c>
      <c r="I34">
        <v>-1</v>
      </c>
    </row>
    <row r="35" spans="1:9" x14ac:dyDescent="0.45">
      <c r="A35" t="s">
        <v>684</v>
      </c>
      <c r="B35" t="s">
        <v>1171</v>
      </c>
      <c r="C35" t="s">
        <v>1172</v>
      </c>
      <c r="D35">
        <v>1</v>
      </c>
      <c r="E35">
        <v>2</v>
      </c>
      <c r="G35" t="s">
        <v>1171</v>
      </c>
      <c r="H35" t="s">
        <v>1172</v>
      </c>
      <c r="I35">
        <v>-1</v>
      </c>
    </row>
    <row r="36" spans="1:9" x14ac:dyDescent="0.45">
      <c r="A36" t="s">
        <v>684</v>
      </c>
      <c r="B36" t="s">
        <v>1173</v>
      </c>
      <c r="C36" t="s">
        <v>1174</v>
      </c>
      <c r="D36">
        <v>1</v>
      </c>
      <c r="E36">
        <v>2</v>
      </c>
      <c r="G36" t="s">
        <v>1173</v>
      </c>
      <c r="H36" t="s">
        <v>1174</v>
      </c>
      <c r="I36">
        <v>-1</v>
      </c>
    </row>
    <row r="37" spans="1:9" x14ac:dyDescent="0.45">
      <c r="A37" t="s">
        <v>684</v>
      </c>
      <c r="B37" t="s">
        <v>1175</v>
      </c>
      <c r="C37" t="s">
        <v>1176</v>
      </c>
      <c r="D37">
        <v>1</v>
      </c>
      <c r="E37">
        <v>2</v>
      </c>
      <c r="G37" t="s">
        <v>1175</v>
      </c>
      <c r="H37" t="s">
        <v>1176</v>
      </c>
      <c r="I37">
        <v>-1</v>
      </c>
    </row>
    <row r="38" spans="1:9" x14ac:dyDescent="0.45">
      <c r="A38" t="s">
        <v>684</v>
      </c>
      <c r="B38" t="s">
        <v>1177</v>
      </c>
      <c r="C38" t="s">
        <v>1178</v>
      </c>
      <c r="D38">
        <v>1</v>
      </c>
      <c r="E38">
        <v>2</v>
      </c>
      <c r="G38" t="s">
        <v>1177</v>
      </c>
      <c r="H38" t="s">
        <v>1178</v>
      </c>
      <c r="I38">
        <v>-1</v>
      </c>
    </row>
    <row r="39" spans="1:9" x14ac:dyDescent="0.45">
      <c r="A39" t="s">
        <v>684</v>
      </c>
      <c r="B39" t="s">
        <v>1179</v>
      </c>
      <c r="C39" t="s">
        <v>1180</v>
      </c>
      <c r="D39">
        <v>1</v>
      </c>
      <c r="E39">
        <v>2</v>
      </c>
      <c r="G39" t="s">
        <v>1179</v>
      </c>
      <c r="H39" t="s">
        <v>1180</v>
      </c>
      <c r="I39">
        <v>-1</v>
      </c>
    </row>
    <row r="40" spans="1:9" x14ac:dyDescent="0.45">
      <c r="A40" t="s">
        <v>684</v>
      </c>
      <c r="B40" t="s">
        <v>1181</v>
      </c>
      <c r="C40" t="s">
        <v>1182</v>
      </c>
      <c r="D40">
        <v>1</v>
      </c>
      <c r="E40">
        <v>2</v>
      </c>
      <c r="G40" t="s">
        <v>1181</v>
      </c>
      <c r="H40" t="s">
        <v>1182</v>
      </c>
      <c r="I40">
        <v>-1</v>
      </c>
    </row>
    <row r="41" spans="1:9" x14ac:dyDescent="0.45">
      <c r="A41" t="s">
        <v>684</v>
      </c>
      <c r="B41" t="s">
        <v>1183</v>
      </c>
      <c r="C41" t="s">
        <v>1184</v>
      </c>
      <c r="D41">
        <v>1</v>
      </c>
      <c r="E41">
        <v>2</v>
      </c>
      <c r="G41" t="s">
        <v>1183</v>
      </c>
      <c r="H41" t="s">
        <v>1184</v>
      </c>
      <c r="I41">
        <v>-1</v>
      </c>
    </row>
    <row r="42" spans="1:9" x14ac:dyDescent="0.45">
      <c r="A42" t="s">
        <v>684</v>
      </c>
      <c r="B42" t="s">
        <v>1185</v>
      </c>
      <c r="C42" t="s">
        <v>1186</v>
      </c>
      <c r="D42">
        <v>1</v>
      </c>
      <c r="E42">
        <v>2</v>
      </c>
      <c r="G42" t="s">
        <v>1185</v>
      </c>
      <c r="H42" t="s">
        <v>1186</v>
      </c>
      <c r="I42">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2EA54-0C3B-478F-B80B-96D6911EC4BF}">
  <dimension ref="A1:L79"/>
  <sheetViews>
    <sheetView workbookViewId="0">
      <selection sqref="A1:I1"/>
    </sheetView>
  </sheetViews>
  <sheetFormatPr defaultRowHeight="14.25" x14ac:dyDescent="0.45"/>
  <cols>
    <col min="2" max="2" width="12.796875" bestFit="1" customWidth="1"/>
    <col min="3" max="3" width="14.9296875" bestFit="1" customWidth="1"/>
    <col min="4" max="4" width="18.06640625" bestFit="1" customWidth="1"/>
    <col min="5" max="5" width="10.59765625" customWidth="1"/>
    <col min="6" max="6" width="27.3984375" bestFit="1" customWidth="1"/>
    <col min="7" max="8" width="30.59765625" customWidth="1"/>
    <col min="9" max="9" width="21.59765625" bestFit="1" customWidth="1"/>
    <col min="10" max="12" width="30.59765625" customWidth="1"/>
  </cols>
  <sheetData>
    <row r="1" spans="1:12" ht="22.05" customHeight="1" x14ac:dyDescent="0.45">
      <c r="A1" s="27" t="s">
        <v>0</v>
      </c>
      <c r="B1" s="27"/>
      <c r="C1" s="27"/>
      <c r="D1" s="27"/>
      <c r="E1" s="27"/>
      <c r="F1" s="27"/>
      <c r="G1" s="27"/>
      <c r="H1" s="27"/>
      <c r="I1" s="27"/>
    </row>
    <row r="9" spans="1:12" ht="14.65" thickBot="1" x14ac:dyDescent="0.5">
      <c r="B9" t="s">
        <v>1191</v>
      </c>
    </row>
    <row r="10" spans="1:12" ht="15.75" thickBot="1" x14ac:dyDescent="0.6">
      <c r="B10" s="2" t="s">
        <v>1192</v>
      </c>
      <c r="C10" s="2" t="s">
        <v>1193</v>
      </c>
      <c r="D10" s="2" t="s">
        <v>1194</v>
      </c>
      <c r="E10" s="2" t="s">
        <v>1195</v>
      </c>
      <c r="F10" s="2" t="s">
        <v>1196</v>
      </c>
      <c r="G10" s="2" t="s">
        <v>1197</v>
      </c>
      <c r="H10" s="2" t="s">
        <v>1198</v>
      </c>
      <c r="I10" s="2" t="s">
        <v>1199</v>
      </c>
      <c r="J10" s="2" t="s">
        <v>1200</v>
      </c>
      <c r="K10" s="2" t="s">
        <v>1201</v>
      </c>
      <c r="L10" s="2" t="s">
        <v>1202</v>
      </c>
    </row>
    <row r="11" spans="1:12" x14ac:dyDescent="0.45">
      <c r="B11" s="23">
        <v>2032</v>
      </c>
      <c r="C11" s="3" t="s">
        <v>1203</v>
      </c>
      <c r="D11" s="3" t="s">
        <v>1204</v>
      </c>
      <c r="E11" s="23">
        <v>27</v>
      </c>
      <c r="F11" s="3" t="s">
        <v>1205</v>
      </c>
      <c r="G11" s="3" t="s">
        <v>1206</v>
      </c>
      <c r="H11" s="3" t="s">
        <v>1207</v>
      </c>
      <c r="I11" s="24">
        <v>45639</v>
      </c>
      <c r="J11" s="3" t="s">
        <v>1208</v>
      </c>
      <c r="K11" s="3" t="s">
        <v>1209</v>
      </c>
      <c r="L11" s="3" t="s">
        <v>1210</v>
      </c>
    </row>
    <row r="12" spans="1:12" x14ac:dyDescent="0.45">
      <c r="B12" s="25">
        <v>2030</v>
      </c>
      <c r="C12" s="8" t="s">
        <v>1211</v>
      </c>
      <c r="D12" s="8" t="s">
        <v>1204</v>
      </c>
      <c r="E12" s="25">
        <v>0</v>
      </c>
      <c r="F12" s="8" t="s">
        <v>1205</v>
      </c>
      <c r="G12" s="8" t="s">
        <v>1206</v>
      </c>
      <c r="H12" s="8" t="s">
        <v>1207</v>
      </c>
      <c r="I12" s="26">
        <v>45639</v>
      </c>
      <c r="J12" s="8" t="s">
        <v>1208</v>
      </c>
      <c r="K12" s="8" t="s">
        <v>1209</v>
      </c>
      <c r="L12" s="8" t="s">
        <v>1210</v>
      </c>
    </row>
    <row r="13" spans="1:12" x14ac:dyDescent="0.45">
      <c r="B13" s="23">
        <v>2030</v>
      </c>
      <c r="C13" s="3" t="s">
        <v>1212</v>
      </c>
      <c r="D13" s="3" t="s">
        <v>1204</v>
      </c>
      <c r="E13" s="23">
        <v>35</v>
      </c>
      <c r="F13" s="3" t="s">
        <v>1205</v>
      </c>
      <c r="G13" s="3" t="s">
        <v>1206</v>
      </c>
      <c r="H13" s="3" t="s">
        <v>1207</v>
      </c>
      <c r="I13" s="24">
        <v>45639</v>
      </c>
      <c r="J13" s="3" t="s">
        <v>1208</v>
      </c>
      <c r="K13" s="3" t="s">
        <v>1209</v>
      </c>
      <c r="L13" s="3" t="s">
        <v>1210</v>
      </c>
    </row>
    <row r="14" spans="1:12" x14ac:dyDescent="0.45">
      <c r="B14" s="25">
        <v>2030</v>
      </c>
      <c r="C14" s="8" t="s">
        <v>1213</v>
      </c>
      <c r="D14" s="8" t="s">
        <v>1204</v>
      </c>
      <c r="E14" s="25">
        <v>4</v>
      </c>
      <c r="F14" s="8" t="s">
        <v>1205</v>
      </c>
      <c r="G14" s="8" t="s">
        <v>1206</v>
      </c>
      <c r="H14" s="8" t="s">
        <v>1207</v>
      </c>
      <c r="I14" s="26">
        <v>45639</v>
      </c>
      <c r="J14" s="8" t="s">
        <v>1208</v>
      </c>
      <c r="K14" s="8" t="s">
        <v>1209</v>
      </c>
      <c r="L14" s="8" t="s">
        <v>1210</v>
      </c>
    </row>
    <row r="15" spans="1:12" x14ac:dyDescent="0.45">
      <c r="B15" s="23">
        <v>2030</v>
      </c>
      <c r="C15" s="3" t="s">
        <v>1214</v>
      </c>
      <c r="D15" s="3" t="s">
        <v>1204</v>
      </c>
      <c r="E15" s="23">
        <v>50</v>
      </c>
      <c r="F15" s="3" t="s">
        <v>1205</v>
      </c>
      <c r="G15" s="3" t="s">
        <v>1215</v>
      </c>
      <c r="H15" s="3" t="s">
        <v>1207</v>
      </c>
      <c r="I15" s="24">
        <v>44653</v>
      </c>
      <c r="J15" s="3" t="s">
        <v>1216</v>
      </c>
      <c r="K15" s="3" t="s">
        <v>1217</v>
      </c>
      <c r="L15" s="3"/>
    </row>
    <row r="16" spans="1:12" x14ac:dyDescent="0.45">
      <c r="B16" s="25">
        <v>2030</v>
      </c>
      <c r="C16" s="8" t="s">
        <v>1214</v>
      </c>
      <c r="D16" s="8" t="s">
        <v>1204</v>
      </c>
      <c r="E16" s="25">
        <v>50</v>
      </c>
      <c r="F16" s="8" t="s">
        <v>1205</v>
      </c>
      <c r="G16" s="8" t="s">
        <v>1206</v>
      </c>
      <c r="H16" s="8" t="s">
        <v>1207</v>
      </c>
      <c r="I16" s="26">
        <v>45639</v>
      </c>
      <c r="J16" s="8" t="s">
        <v>1208</v>
      </c>
      <c r="K16" s="8" t="s">
        <v>1209</v>
      </c>
      <c r="L16" s="8" t="s">
        <v>1210</v>
      </c>
    </row>
    <row r="17" spans="2:12" x14ac:dyDescent="0.45">
      <c r="B17" s="23">
        <v>2030</v>
      </c>
      <c r="C17" s="3" t="s">
        <v>1218</v>
      </c>
      <c r="D17" s="3" t="s">
        <v>1204</v>
      </c>
      <c r="E17" s="23">
        <v>29</v>
      </c>
      <c r="F17" s="3" t="s">
        <v>1205</v>
      </c>
      <c r="G17" s="3" t="s">
        <v>1206</v>
      </c>
      <c r="H17" s="3" t="s">
        <v>1207</v>
      </c>
      <c r="I17" s="24">
        <v>45639</v>
      </c>
      <c r="J17" s="3" t="s">
        <v>1208</v>
      </c>
      <c r="K17" s="3" t="s">
        <v>1209</v>
      </c>
      <c r="L17" s="3" t="s">
        <v>1210</v>
      </c>
    </row>
    <row r="18" spans="2:12" x14ac:dyDescent="0.45">
      <c r="B18" s="25">
        <v>2030</v>
      </c>
      <c r="C18" s="8" t="s">
        <v>1219</v>
      </c>
      <c r="D18" s="8" t="s">
        <v>1204</v>
      </c>
      <c r="E18" s="25">
        <v>0</v>
      </c>
      <c r="F18" s="8" t="s">
        <v>1205</v>
      </c>
      <c r="G18" s="8" t="s">
        <v>1206</v>
      </c>
      <c r="H18" s="8" t="s">
        <v>1207</v>
      </c>
      <c r="I18" s="26">
        <v>45639</v>
      </c>
      <c r="J18" s="8" t="s">
        <v>1208</v>
      </c>
      <c r="K18" s="8" t="s">
        <v>1209</v>
      </c>
      <c r="L18" s="8" t="s">
        <v>1210</v>
      </c>
    </row>
    <row r="19" spans="2:12" x14ac:dyDescent="0.45">
      <c r="B19" s="23">
        <v>2030</v>
      </c>
      <c r="C19" s="3" t="s">
        <v>1220</v>
      </c>
      <c r="D19" s="3" t="s">
        <v>1204</v>
      </c>
      <c r="E19" s="23">
        <v>47</v>
      </c>
      <c r="F19" s="3" t="s">
        <v>1205</v>
      </c>
      <c r="G19" s="3" t="s">
        <v>1206</v>
      </c>
      <c r="H19" s="3" t="s">
        <v>1207</v>
      </c>
      <c r="I19" s="24">
        <v>45639</v>
      </c>
      <c r="J19" s="3" t="s">
        <v>1208</v>
      </c>
      <c r="K19" s="3" t="s">
        <v>1209</v>
      </c>
      <c r="L19" s="3" t="s">
        <v>1210</v>
      </c>
    </row>
    <row r="20" spans="2:12" x14ac:dyDescent="0.45">
      <c r="B20" s="25">
        <v>2030</v>
      </c>
      <c r="C20" s="8" t="s">
        <v>1211</v>
      </c>
      <c r="D20" s="8" t="s">
        <v>1221</v>
      </c>
      <c r="E20" s="25"/>
      <c r="F20" s="8" t="s">
        <v>1205</v>
      </c>
      <c r="G20" s="8" t="s">
        <v>1206</v>
      </c>
      <c r="H20" s="8" t="s">
        <v>1207</v>
      </c>
      <c r="I20" s="26">
        <v>45639</v>
      </c>
      <c r="J20" s="8" t="s">
        <v>1208</v>
      </c>
      <c r="K20" s="8" t="s">
        <v>1209</v>
      </c>
      <c r="L20" s="8" t="s">
        <v>1210</v>
      </c>
    </row>
    <row r="21" spans="2:12" x14ac:dyDescent="0.45">
      <c r="B21" s="23">
        <v>2030</v>
      </c>
      <c r="C21" s="3" t="s">
        <v>1212</v>
      </c>
      <c r="D21" s="3" t="s">
        <v>1221</v>
      </c>
      <c r="E21" s="23">
        <v>14</v>
      </c>
      <c r="F21" s="3" t="s">
        <v>1205</v>
      </c>
      <c r="G21" s="3" t="s">
        <v>1206</v>
      </c>
      <c r="H21" s="3" t="s">
        <v>1207</v>
      </c>
      <c r="I21" s="24">
        <v>45639</v>
      </c>
      <c r="J21" s="3" t="s">
        <v>1208</v>
      </c>
      <c r="K21" s="3" t="s">
        <v>1209</v>
      </c>
      <c r="L21" s="3" t="s">
        <v>1210</v>
      </c>
    </row>
    <row r="22" spans="2:12" x14ac:dyDescent="0.45">
      <c r="B22" s="25">
        <v>2030</v>
      </c>
      <c r="C22" s="8" t="s">
        <v>1213</v>
      </c>
      <c r="D22" s="8" t="s">
        <v>1221</v>
      </c>
      <c r="E22" s="25">
        <v>24</v>
      </c>
      <c r="F22" s="8" t="s">
        <v>1205</v>
      </c>
      <c r="G22" s="8" t="s">
        <v>1206</v>
      </c>
      <c r="H22" s="8" t="s">
        <v>1207</v>
      </c>
      <c r="I22" s="26">
        <v>45639</v>
      </c>
      <c r="J22" s="8" t="s">
        <v>1208</v>
      </c>
      <c r="K22" s="8" t="s">
        <v>1209</v>
      </c>
      <c r="L22" s="8" t="s">
        <v>1210</v>
      </c>
    </row>
    <row r="23" spans="2:12" x14ac:dyDescent="0.45">
      <c r="B23" s="23">
        <v>2030</v>
      </c>
      <c r="C23" s="3" t="s">
        <v>1214</v>
      </c>
      <c r="D23" s="3" t="s">
        <v>1221</v>
      </c>
      <c r="E23" s="23">
        <v>188</v>
      </c>
      <c r="F23" s="3" t="s">
        <v>1205</v>
      </c>
      <c r="G23" s="3" t="s">
        <v>1206</v>
      </c>
      <c r="H23" s="3" t="s">
        <v>1207</v>
      </c>
      <c r="I23" s="24">
        <v>45639</v>
      </c>
      <c r="J23" s="3" t="s">
        <v>1208</v>
      </c>
      <c r="K23" s="3" t="s">
        <v>1209</v>
      </c>
      <c r="L23" s="3" t="s">
        <v>1210</v>
      </c>
    </row>
    <row r="24" spans="2:12" x14ac:dyDescent="0.45">
      <c r="B24" s="25">
        <v>2030</v>
      </c>
      <c r="C24" s="8" t="s">
        <v>1218</v>
      </c>
      <c r="D24" s="8" t="s">
        <v>1221</v>
      </c>
      <c r="E24" s="25">
        <v>58</v>
      </c>
      <c r="F24" s="8" t="s">
        <v>1205</v>
      </c>
      <c r="G24" s="8" t="s">
        <v>1206</v>
      </c>
      <c r="H24" s="8" t="s">
        <v>1207</v>
      </c>
      <c r="I24" s="26">
        <v>45639</v>
      </c>
      <c r="J24" s="8" t="s">
        <v>1208</v>
      </c>
      <c r="K24" s="8" t="s">
        <v>1209</v>
      </c>
      <c r="L24" s="8" t="s">
        <v>1210</v>
      </c>
    </row>
    <row r="25" spans="2:12" x14ac:dyDescent="0.45">
      <c r="B25" s="23">
        <v>2030</v>
      </c>
      <c r="C25" s="3" t="s">
        <v>1222</v>
      </c>
      <c r="D25" s="3" t="s">
        <v>1221</v>
      </c>
      <c r="E25" s="23"/>
      <c r="F25" s="3" t="s">
        <v>1205</v>
      </c>
      <c r="G25" s="3" t="s">
        <v>1206</v>
      </c>
      <c r="H25" s="3" t="s">
        <v>1207</v>
      </c>
      <c r="I25" s="24">
        <v>45639</v>
      </c>
      <c r="J25" s="3" t="s">
        <v>1208</v>
      </c>
      <c r="K25" s="3" t="s">
        <v>1209</v>
      </c>
      <c r="L25" s="3" t="s">
        <v>1210</v>
      </c>
    </row>
    <row r="26" spans="2:12" x14ac:dyDescent="0.45">
      <c r="B26" s="25">
        <v>2030</v>
      </c>
      <c r="C26" s="8" t="s">
        <v>1223</v>
      </c>
      <c r="D26" s="8" t="s">
        <v>1221</v>
      </c>
      <c r="E26" s="25"/>
      <c r="F26" s="8" t="s">
        <v>1205</v>
      </c>
      <c r="G26" s="8" t="s">
        <v>1206</v>
      </c>
      <c r="H26" s="8" t="s">
        <v>1207</v>
      </c>
      <c r="I26" s="26">
        <v>45639</v>
      </c>
      <c r="J26" s="8" t="s">
        <v>1208</v>
      </c>
      <c r="K26" s="8" t="s">
        <v>1209</v>
      </c>
      <c r="L26" s="8" t="s">
        <v>1210</v>
      </c>
    </row>
    <row r="27" spans="2:12" x14ac:dyDescent="0.45">
      <c r="B27" s="23">
        <v>2030</v>
      </c>
      <c r="C27" s="3" t="s">
        <v>1220</v>
      </c>
      <c r="D27" s="3" t="s">
        <v>1221</v>
      </c>
      <c r="E27" s="23">
        <v>45</v>
      </c>
      <c r="F27" s="3" t="s">
        <v>1205</v>
      </c>
      <c r="G27" s="3" t="s">
        <v>1206</v>
      </c>
      <c r="H27" s="3" t="s">
        <v>1207</v>
      </c>
      <c r="I27" s="24">
        <v>45639</v>
      </c>
      <c r="J27" s="3" t="s">
        <v>1208</v>
      </c>
      <c r="K27" s="3" t="s">
        <v>1209</v>
      </c>
      <c r="L27" s="3" t="s">
        <v>1210</v>
      </c>
    </row>
    <row r="28" spans="2:12" x14ac:dyDescent="0.45">
      <c r="B28" s="25">
        <v>2030</v>
      </c>
      <c r="C28" s="8" t="s">
        <v>1223</v>
      </c>
      <c r="D28" s="8" t="s">
        <v>1224</v>
      </c>
      <c r="E28" s="25"/>
      <c r="F28" s="8" t="s">
        <v>1205</v>
      </c>
      <c r="G28" s="8" t="s">
        <v>1206</v>
      </c>
      <c r="H28" s="8" t="s">
        <v>1207</v>
      </c>
      <c r="I28" s="26">
        <v>45639</v>
      </c>
      <c r="J28" s="8" t="s">
        <v>1208</v>
      </c>
      <c r="K28" s="8" t="s">
        <v>1209</v>
      </c>
      <c r="L28" s="8" t="s">
        <v>1210</v>
      </c>
    </row>
    <row r="29" spans="2:12" x14ac:dyDescent="0.45">
      <c r="B29" s="23">
        <v>2030</v>
      </c>
      <c r="C29" s="3" t="s">
        <v>1203</v>
      </c>
      <c r="D29" s="3" t="s">
        <v>1204</v>
      </c>
      <c r="E29" s="23">
        <v>5</v>
      </c>
      <c r="F29" s="3" t="s">
        <v>1225</v>
      </c>
      <c r="G29" s="3" t="s">
        <v>1226</v>
      </c>
      <c r="H29" s="3" t="s">
        <v>1207</v>
      </c>
      <c r="I29" s="24">
        <v>44986</v>
      </c>
      <c r="J29" s="3" t="s">
        <v>1227</v>
      </c>
      <c r="K29" s="3" t="s">
        <v>1228</v>
      </c>
      <c r="L29" s="3" t="s">
        <v>1229</v>
      </c>
    </row>
    <row r="30" spans="2:12" x14ac:dyDescent="0.45">
      <c r="B30" s="25">
        <v>2050</v>
      </c>
      <c r="C30" s="8" t="s">
        <v>1203</v>
      </c>
      <c r="D30" s="8" t="s">
        <v>1204</v>
      </c>
      <c r="E30" s="25">
        <v>15</v>
      </c>
      <c r="F30" s="8" t="s">
        <v>1225</v>
      </c>
      <c r="G30" s="8" t="s">
        <v>1226</v>
      </c>
      <c r="H30" s="8" t="s">
        <v>1207</v>
      </c>
      <c r="I30" s="26">
        <v>44986</v>
      </c>
      <c r="J30" s="8" t="s">
        <v>1227</v>
      </c>
      <c r="K30" s="8" t="s">
        <v>1228</v>
      </c>
      <c r="L30" s="8" t="s">
        <v>1229</v>
      </c>
    </row>
    <row r="31" spans="2:12" x14ac:dyDescent="0.45">
      <c r="B31" s="23">
        <v>2040</v>
      </c>
      <c r="C31" s="3" t="s">
        <v>1203</v>
      </c>
      <c r="D31" s="3" t="s">
        <v>1204</v>
      </c>
      <c r="E31" s="23">
        <v>15</v>
      </c>
      <c r="F31" s="3" t="s">
        <v>1225</v>
      </c>
      <c r="G31" s="3" t="s">
        <v>1226</v>
      </c>
      <c r="H31" s="3" t="s">
        <v>1207</v>
      </c>
      <c r="I31" s="24">
        <v>44986</v>
      </c>
      <c r="J31" s="3" t="s">
        <v>1227</v>
      </c>
      <c r="K31" s="3" t="s">
        <v>1228</v>
      </c>
      <c r="L31" s="3" t="s">
        <v>1229</v>
      </c>
    </row>
    <row r="32" spans="2:12" x14ac:dyDescent="0.45">
      <c r="B32" s="25">
        <v>2030</v>
      </c>
      <c r="C32" s="8" t="s">
        <v>1211</v>
      </c>
      <c r="D32" s="8" t="s">
        <v>1204</v>
      </c>
      <c r="E32" s="25">
        <v>0</v>
      </c>
      <c r="F32" s="8" t="s">
        <v>1225</v>
      </c>
      <c r="G32" s="8" t="s">
        <v>1226</v>
      </c>
      <c r="H32" s="8" t="s">
        <v>1207</v>
      </c>
      <c r="I32" s="26">
        <v>44986</v>
      </c>
      <c r="J32" s="8" t="s">
        <v>1227</v>
      </c>
      <c r="K32" s="8" t="s">
        <v>1228</v>
      </c>
      <c r="L32" s="8" t="s">
        <v>1229</v>
      </c>
    </row>
    <row r="33" spans="2:12" x14ac:dyDescent="0.45">
      <c r="B33" s="23">
        <v>2050</v>
      </c>
      <c r="C33" s="3" t="s">
        <v>1211</v>
      </c>
      <c r="D33" s="3" t="s">
        <v>1204</v>
      </c>
      <c r="E33" s="23">
        <v>0</v>
      </c>
      <c r="F33" s="3" t="s">
        <v>1225</v>
      </c>
      <c r="G33" s="3" t="s">
        <v>1226</v>
      </c>
      <c r="H33" s="3" t="s">
        <v>1207</v>
      </c>
      <c r="I33" s="24">
        <v>44986</v>
      </c>
      <c r="J33" s="3" t="s">
        <v>1227</v>
      </c>
      <c r="K33" s="3" t="s">
        <v>1228</v>
      </c>
      <c r="L33" s="3" t="s">
        <v>1229</v>
      </c>
    </row>
    <row r="34" spans="2:12" x14ac:dyDescent="0.45">
      <c r="B34" s="25">
        <v>2040</v>
      </c>
      <c r="C34" s="8" t="s">
        <v>1211</v>
      </c>
      <c r="D34" s="8" t="s">
        <v>1204</v>
      </c>
      <c r="E34" s="25">
        <v>0</v>
      </c>
      <c r="F34" s="8" t="s">
        <v>1225</v>
      </c>
      <c r="G34" s="8" t="s">
        <v>1226</v>
      </c>
      <c r="H34" s="8" t="s">
        <v>1207</v>
      </c>
      <c r="I34" s="26">
        <v>44986</v>
      </c>
      <c r="J34" s="8" t="s">
        <v>1227</v>
      </c>
      <c r="K34" s="8" t="s">
        <v>1228</v>
      </c>
      <c r="L34" s="8" t="s">
        <v>1229</v>
      </c>
    </row>
    <row r="35" spans="2:12" x14ac:dyDescent="0.45">
      <c r="B35" s="23">
        <v>2050</v>
      </c>
      <c r="C35" s="3" t="s">
        <v>1212</v>
      </c>
      <c r="D35" s="3" t="s">
        <v>1204</v>
      </c>
      <c r="E35" s="23">
        <v>84</v>
      </c>
      <c r="F35" s="3" t="s">
        <v>1225</v>
      </c>
      <c r="G35" s="3" t="s">
        <v>1226</v>
      </c>
      <c r="H35" s="3" t="s">
        <v>1207</v>
      </c>
      <c r="I35" s="24">
        <v>44986</v>
      </c>
      <c r="J35" s="3" t="s">
        <v>1227</v>
      </c>
      <c r="K35" s="3" t="s">
        <v>1228</v>
      </c>
      <c r="L35" s="3" t="s">
        <v>1229</v>
      </c>
    </row>
    <row r="36" spans="2:12" x14ac:dyDescent="0.45">
      <c r="B36" s="25">
        <v>2040</v>
      </c>
      <c r="C36" s="8" t="s">
        <v>1212</v>
      </c>
      <c r="D36" s="8" t="s">
        <v>1204</v>
      </c>
      <c r="E36" s="25">
        <v>78</v>
      </c>
      <c r="F36" s="8" t="s">
        <v>1225</v>
      </c>
      <c r="G36" s="8" t="s">
        <v>1226</v>
      </c>
      <c r="H36" s="8" t="s">
        <v>1207</v>
      </c>
      <c r="I36" s="26">
        <v>44986</v>
      </c>
      <c r="J36" s="8" t="s">
        <v>1227</v>
      </c>
      <c r="K36" s="8" t="s">
        <v>1228</v>
      </c>
      <c r="L36" s="8" t="s">
        <v>1229</v>
      </c>
    </row>
    <row r="37" spans="2:12" x14ac:dyDescent="0.45">
      <c r="B37" s="23">
        <v>2030</v>
      </c>
      <c r="C37" s="3" t="s">
        <v>1212</v>
      </c>
      <c r="D37" s="3" t="s">
        <v>1204</v>
      </c>
      <c r="E37" s="23">
        <v>39</v>
      </c>
      <c r="F37" s="3" t="s">
        <v>1225</v>
      </c>
      <c r="G37" s="3" t="s">
        <v>1226</v>
      </c>
      <c r="H37" s="3" t="s">
        <v>1207</v>
      </c>
      <c r="I37" s="24">
        <v>44986</v>
      </c>
      <c r="J37" s="3" t="s">
        <v>1227</v>
      </c>
      <c r="K37" s="3" t="s">
        <v>1228</v>
      </c>
      <c r="L37" s="3" t="s">
        <v>1229</v>
      </c>
    </row>
    <row r="38" spans="2:12" x14ac:dyDescent="0.45">
      <c r="B38" s="25">
        <v>2030</v>
      </c>
      <c r="C38" s="8" t="s">
        <v>1213</v>
      </c>
      <c r="D38" s="8" t="s">
        <v>1204</v>
      </c>
      <c r="E38" s="25">
        <v>4</v>
      </c>
      <c r="F38" s="8" t="s">
        <v>1225</v>
      </c>
      <c r="G38" s="8" t="s">
        <v>1226</v>
      </c>
      <c r="H38" s="8" t="s">
        <v>1207</v>
      </c>
      <c r="I38" s="26">
        <v>44986</v>
      </c>
      <c r="J38" s="8" t="s">
        <v>1227</v>
      </c>
      <c r="K38" s="8" t="s">
        <v>1228</v>
      </c>
      <c r="L38" s="8" t="s">
        <v>1229</v>
      </c>
    </row>
    <row r="39" spans="2:12" x14ac:dyDescent="0.45">
      <c r="B39" s="23">
        <v>2050</v>
      </c>
      <c r="C39" s="3" t="s">
        <v>1213</v>
      </c>
      <c r="D39" s="3" t="s">
        <v>1204</v>
      </c>
      <c r="E39" s="23">
        <v>24</v>
      </c>
      <c r="F39" s="3" t="s">
        <v>1225</v>
      </c>
      <c r="G39" s="3" t="s">
        <v>1226</v>
      </c>
      <c r="H39" s="3" t="s">
        <v>1207</v>
      </c>
      <c r="I39" s="24">
        <v>44986</v>
      </c>
      <c r="J39" s="3" t="s">
        <v>1227</v>
      </c>
      <c r="K39" s="3" t="s">
        <v>1228</v>
      </c>
      <c r="L39" s="3" t="s">
        <v>1229</v>
      </c>
    </row>
    <row r="40" spans="2:12" x14ac:dyDescent="0.45">
      <c r="B40" s="25">
        <v>2040</v>
      </c>
      <c r="C40" s="8" t="s">
        <v>1213</v>
      </c>
      <c r="D40" s="8" t="s">
        <v>1204</v>
      </c>
      <c r="E40" s="25">
        <v>14</v>
      </c>
      <c r="F40" s="8" t="s">
        <v>1225</v>
      </c>
      <c r="G40" s="8" t="s">
        <v>1226</v>
      </c>
      <c r="H40" s="8" t="s">
        <v>1207</v>
      </c>
      <c r="I40" s="26">
        <v>44986</v>
      </c>
      <c r="J40" s="8" t="s">
        <v>1227</v>
      </c>
      <c r="K40" s="8" t="s">
        <v>1228</v>
      </c>
      <c r="L40" s="8" t="s">
        <v>1229</v>
      </c>
    </row>
    <row r="41" spans="2:12" x14ac:dyDescent="0.45">
      <c r="B41" s="23">
        <v>2050</v>
      </c>
      <c r="C41" s="3" t="s">
        <v>1222</v>
      </c>
      <c r="D41" s="3" t="s">
        <v>1204</v>
      </c>
      <c r="E41" s="23">
        <v>0</v>
      </c>
      <c r="F41" s="3" t="s">
        <v>1225</v>
      </c>
      <c r="G41" s="3" t="s">
        <v>1226</v>
      </c>
      <c r="H41" s="3" t="s">
        <v>1207</v>
      </c>
      <c r="I41" s="24">
        <v>44986</v>
      </c>
      <c r="J41" s="3" t="s">
        <v>1227</v>
      </c>
      <c r="K41" s="3" t="s">
        <v>1228</v>
      </c>
      <c r="L41" s="3" t="s">
        <v>1229</v>
      </c>
    </row>
    <row r="42" spans="2:12" x14ac:dyDescent="0.45">
      <c r="B42" s="25">
        <v>2040</v>
      </c>
      <c r="C42" s="8" t="s">
        <v>1222</v>
      </c>
      <c r="D42" s="8" t="s">
        <v>1204</v>
      </c>
      <c r="E42" s="25">
        <v>0</v>
      </c>
      <c r="F42" s="8" t="s">
        <v>1225</v>
      </c>
      <c r="G42" s="8" t="s">
        <v>1226</v>
      </c>
      <c r="H42" s="8" t="s">
        <v>1207</v>
      </c>
      <c r="I42" s="26">
        <v>44986</v>
      </c>
      <c r="J42" s="8" t="s">
        <v>1227</v>
      </c>
      <c r="K42" s="8" t="s">
        <v>1228</v>
      </c>
      <c r="L42" s="8" t="s">
        <v>1229</v>
      </c>
    </row>
    <row r="43" spans="2:12" x14ac:dyDescent="0.45">
      <c r="B43" s="23">
        <v>2030</v>
      </c>
      <c r="C43" s="3" t="s">
        <v>1222</v>
      </c>
      <c r="D43" s="3" t="s">
        <v>1204</v>
      </c>
      <c r="E43" s="23">
        <v>1</v>
      </c>
      <c r="F43" s="3" t="s">
        <v>1225</v>
      </c>
      <c r="G43" s="3" t="s">
        <v>1226</v>
      </c>
      <c r="H43" s="3" t="s">
        <v>1207</v>
      </c>
      <c r="I43" s="24">
        <v>44986</v>
      </c>
      <c r="J43" s="3" t="s">
        <v>1227</v>
      </c>
      <c r="K43" s="3" t="s">
        <v>1228</v>
      </c>
      <c r="L43" s="3" t="s">
        <v>1229</v>
      </c>
    </row>
    <row r="44" spans="2:12" x14ac:dyDescent="0.45">
      <c r="B44" s="25">
        <v>2050</v>
      </c>
      <c r="C44" s="8" t="s">
        <v>1223</v>
      </c>
      <c r="D44" s="8" t="s">
        <v>1204</v>
      </c>
      <c r="E44" s="25">
        <v>242</v>
      </c>
      <c r="F44" s="8" t="s">
        <v>1225</v>
      </c>
      <c r="G44" s="8" t="s">
        <v>1226</v>
      </c>
      <c r="H44" s="8" t="s">
        <v>1207</v>
      </c>
      <c r="I44" s="26">
        <v>44986</v>
      </c>
      <c r="J44" s="8" t="s">
        <v>1227</v>
      </c>
      <c r="K44" s="8" t="s">
        <v>1228</v>
      </c>
      <c r="L44" s="8" t="s">
        <v>1229</v>
      </c>
    </row>
    <row r="45" spans="2:12" x14ac:dyDescent="0.45">
      <c r="B45" s="23">
        <v>2040</v>
      </c>
      <c r="C45" s="3" t="s">
        <v>1223</v>
      </c>
      <c r="D45" s="3" t="s">
        <v>1204</v>
      </c>
      <c r="E45" s="23">
        <v>205</v>
      </c>
      <c r="F45" s="3" t="s">
        <v>1225</v>
      </c>
      <c r="G45" s="3" t="s">
        <v>1226</v>
      </c>
      <c r="H45" s="3" t="s">
        <v>1207</v>
      </c>
      <c r="I45" s="24">
        <v>44986</v>
      </c>
      <c r="J45" s="3" t="s">
        <v>1227</v>
      </c>
      <c r="K45" s="3" t="s">
        <v>1228</v>
      </c>
      <c r="L45" s="3" t="s">
        <v>1229</v>
      </c>
    </row>
    <row r="46" spans="2:12" x14ac:dyDescent="0.45">
      <c r="B46" s="25">
        <v>2030</v>
      </c>
      <c r="C46" s="8" t="s">
        <v>1219</v>
      </c>
      <c r="D46" s="8" t="s">
        <v>1204</v>
      </c>
      <c r="E46" s="25">
        <v>69</v>
      </c>
      <c r="F46" s="8" t="s">
        <v>1225</v>
      </c>
      <c r="G46" s="8" t="s">
        <v>1226</v>
      </c>
      <c r="H46" s="8" t="s">
        <v>1207</v>
      </c>
      <c r="I46" s="26">
        <v>44986</v>
      </c>
      <c r="J46" s="8" t="s">
        <v>1227</v>
      </c>
      <c r="K46" s="8" t="s">
        <v>1228</v>
      </c>
      <c r="L46" s="8" t="s">
        <v>1229</v>
      </c>
    </row>
    <row r="47" spans="2:12" x14ac:dyDescent="0.45">
      <c r="B47" s="23">
        <v>2030</v>
      </c>
      <c r="C47" s="3" t="s">
        <v>1230</v>
      </c>
      <c r="D47" s="3" t="s">
        <v>1231</v>
      </c>
      <c r="E47" s="23">
        <v>373</v>
      </c>
      <c r="F47" s="3" t="s">
        <v>1225</v>
      </c>
      <c r="G47" s="3" t="s">
        <v>1226</v>
      </c>
      <c r="H47" s="3" t="s">
        <v>1207</v>
      </c>
      <c r="I47" s="24">
        <v>44986</v>
      </c>
      <c r="J47" s="3" t="s">
        <v>1227</v>
      </c>
      <c r="K47" s="3" t="s">
        <v>1228</v>
      </c>
      <c r="L47" s="3" t="s">
        <v>1229</v>
      </c>
    </row>
    <row r="48" spans="2:12" x14ac:dyDescent="0.45">
      <c r="B48" s="25">
        <v>2050</v>
      </c>
      <c r="C48" s="8" t="s">
        <v>1230</v>
      </c>
      <c r="D48" s="8" t="s">
        <v>1231</v>
      </c>
      <c r="E48" s="25">
        <v>792</v>
      </c>
      <c r="F48" s="8" t="s">
        <v>1225</v>
      </c>
      <c r="G48" s="8" t="s">
        <v>1226</v>
      </c>
      <c r="H48" s="8" t="s">
        <v>1207</v>
      </c>
      <c r="I48" s="26">
        <v>44986</v>
      </c>
      <c r="J48" s="8" t="s">
        <v>1227</v>
      </c>
      <c r="K48" s="8" t="s">
        <v>1228</v>
      </c>
      <c r="L48" s="8" t="s">
        <v>1229</v>
      </c>
    </row>
    <row r="49" spans="2:12" x14ac:dyDescent="0.45">
      <c r="B49" s="23">
        <v>2040</v>
      </c>
      <c r="C49" s="3" t="s">
        <v>1230</v>
      </c>
      <c r="D49" s="3" t="s">
        <v>1231</v>
      </c>
      <c r="E49" s="23">
        <v>578</v>
      </c>
      <c r="F49" s="3" t="s">
        <v>1225</v>
      </c>
      <c r="G49" s="3" t="s">
        <v>1226</v>
      </c>
      <c r="H49" s="3" t="s">
        <v>1207</v>
      </c>
      <c r="I49" s="24">
        <v>44986</v>
      </c>
      <c r="J49" s="3" t="s">
        <v>1227</v>
      </c>
      <c r="K49" s="3" t="s">
        <v>1228</v>
      </c>
      <c r="L49" s="3" t="s">
        <v>1229</v>
      </c>
    </row>
    <row r="50" spans="2:12" x14ac:dyDescent="0.45">
      <c r="B50" s="25">
        <v>2050</v>
      </c>
      <c r="C50" s="8" t="s">
        <v>1211</v>
      </c>
      <c r="D50" s="8" t="s">
        <v>1221</v>
      </c>
      <c r="E50" s="25">
        <v>0</v>
      </c>
      <c r="F50" s="8" t="s">
        <v>1225</v>
      </c>
      <c r="G50" s="8" t="s">
        <v>1226</v>
      </c>
      <c r="H50" s="8" t="s">
        <v>1207</v>
      </c>
      <c r="I50" s="26">
        <v>44986</v>
      </c>
      <c r="J50" s="8" t="s">
        <v>1227</v>
      </c>
      <c r="K50" s="8" t="s">
        <v>1228</v>
      </c>
      <c r="L50" s="8" t="s">
        <v>1229</v>
      </c>
    </row>
    <row r="51" spans="2:12" x14ac:dyDescent="0.45">
      <c r="B51" s="23">
        <v>2030</v>
      </c>
      <c r="C51" s="3" t="s">
        <v>1211</v>
      </c>
      <c r="D51" s="3" t="s">
        <v>1221</v>
      </c>
      <c r="E51" s="23">
        <v>0</v>
      </c>
      <c r="F51" s="3" t="s">
        <v>1225</v>
      </c>
      <c r="G51" s="3" t="s">
        <v>1226</v>
      </c>
      <c r="H51" s="3" t="s">
        <v>1207</v>
      </c>
      <c r="I51" s="24">
        <v>44986</v>
      </c>
      <c r="J51" s="3" t="s">
        <v>1227</v>
      </c>
      <c r="K51" s="3" t="s">
        <v>1228</v>
      </c>
      <c r="L51" s="3" t="s">
        <v>1229</v>
      </c>
    </row>
    <row r="52" spans="2:12" x14ac:dyDescent="0.45">
      <c r="B52" s="25">
        <v>2040</v>
      </c>
      <c r="C52" s="8" t="s">
        <v>1211</v>
      </c>
      <c r="D52" s="8" t="s">
        <v>1221</v>
      </c>
      <c r="E52" s="25">
        <v>0</v>
      </c>
      <c r="F52" s="8" t="s">
        <v>1225</v>
      </c>
      <c r="G52" s="8" t="s">
        <v>1226</v>
      </c>
      <c r="H52" s="8" t="s">
        <v>1207</v>
      </c>
      <c r="I52" s="26">
        <v>44986</v>
      </c>
      <c r="J52" s="8" t="s">
        <v>1227</v>
      </c>
      <c r="K52" s="8" t="s">
        <v>1228</v>
      </c>
      <c r="L52" s="8" t="s">
        <v>1229</v>
      </c>
    </row>
    <row r="53" spans="2:12" x14ac:dyDescent="0.45">
      <c r="B53" s="23">
        <v>2050</v>
      </c>
      <c r="C53" s="3" t="s">
        <v>1212</v>
      </c>
      <c r="D53" s="3" t="s">
        <v>1221</v>
      </c>
      <c r="E53" s="23">
        <v>9</v>
      </c>
      <c r="F53" s="3" t="s">
        <v>1225</v>
      </c>
      <c r="G53" s="3" t="s">
        <v>1226</v>
      </c>
      <c r="H53" s="3" t="s">
        <v>1207</v>
      </c>
      <c r="I53" s="24">
        <v>44986</v>
      </c>
      <c r="J53" s="3" t="s">
        <v>1227</v>
      </c>
      <c r="K53" s="3" t="s">
        <v>1228</v>
      </c>
      <c r="L53" s="3" t="s">
        <v>1229</v>
      </c>
    </row>
    <row r="54" spans="2:12" x14ac:dyDescent="0.45">
      <c r="B54" s="25">
        <v>2040</v>
      </c>
      <c r="C54" s="8" t="s">
        <v>1212</v>
      </c>
      <c r="D54" s="8" t="s">
        <v>1221</v>
      </c>
      <c r="E54" s="25">
        <v>5</v>
      </c>
      <c r="F54" s="8" t="s">
        <v>1225</v>
      </c>
      <c r="G54" s="8" t="s">
        <v>1226</v>
      </c>
      <c r="H54" s="8" t="s">
        <v>1207</v>
      </c>
      <c r="I54" s="26">
        <v>44986</v>
      </c>
      <c r="J54" s="8" t="s">
        <v>1227</v>
      </c>
      <c r="K54" s="8" t="s">
        <v>1228</v>
      </c>
      <c r="L54" s="8" t="s">
        <v>1229</v>
      </c>
    </row>
    <row r="55" spans="2:12" x14ac:dyDescent="0.45">
      <c r="B55" s="23">
        <v>2030</v>
      </c>
      <c r="C55" s="3" t="s">
        <v>1212</v>
      </c>
      <c r="D55" s="3" t="s">
        <v>1221</v>
      </c>
      <c r="E55" s="23">
        <v>16</v>
      </c>
      <c r="F55" s="3" t="s">
        <v>1225</v>
      </c>
      <c r="G55" s="3" t="s">
        <v>1226</v>
      </c>
      <c r="H55" s="3" t="s">
        <v>1207</v>
      </c>
      <c r="I55" s="24">
        <v>44986</v>
      </c>
      <c r="J55" s="3" t="s">
        <v>1227</v>
      </c>
      <c r="K55" s="3" t="s">
        <v>1228</v>
      </c>
      <c r="L55" s="3" t="s">
        <v>1229</v>
      </c>
    </row>
    <row r="56" spans="2:12" x14ac:dyDescent="0.45">
      <c r="B56" s="25">
        <v>2050</v>
      </c>
      <c r="C56" s="8" t="s">
        <v>1213</v>
      </c>
      <c r="D56" s="8" t="s">
        <v>1221</v>
      </c>
      <c r="E56" s="25">
        <v>180</v>
      </c>
      <c r="F56" s="8" t="s">
        <v>1225</v>
      </c>
      <c r="G56" s="8" t="s">
        <v>1226</v>
      </c>
      <c r="H56" s="8" t="s">
        <v>1207</v>
      </c>
      <c r="I56" s="26">
        <v>44986</v>
      </c>
      <c r="J56" s="8" t="s">
        <v>1227</v>
      </c>
      <c r="K56" s="8" t="s">
        <v>1228</v>
      </c>
      <c r="L56" s="8" t="s">
        <v>1229</v>
      </c>
    </row>
    <row r="57" spans="2:12" x14ac:dyDescent="0.45">
      <c r="B57" s="23">
        <v>2040</v>
      </c>
      <c r="C57" s="3" t="s">
        <v>1213</v>
      </c>
      <c r="D57" s="3" t="s">
        <v>1221</v>
      </c>
      <c r="E57" s="23">
        <v>94</v>
      </c>
      <c r="F57" s="3" t="s">
        <v>1225</v>
      </c>
      <c r="G57" s="3" t="s">
        <v>1226</v>
      </c>
      <c r="H57" s="3" t="s">
        <v>1207</v>
      </c>
      <c r="I57" s="24">
        <v>44986</v>
      </c>
      <c r="J57" s="3" t="s">
        <v>1227</v>
      </c>
      <c r="K57" s="3" t="s">
        <v>1228</v>
      </c>
      <c r="L57" s="3" t="s">
        <v>1229</v>
      </c>
    </row>
    <row r="58" spans="2:12" x14ac:dyDescent="0.45">
      <c r="B58" s="25">
        <v>2030</v>
      </c>
      <c r="C58" s="8" t="s">
        <v>1213</v>
      </c>
      <c r="D58" s="8" t="s">
        <v>1221</v>
      </c>
      <c r="E58" s="25">
        <v>38</v>
      </c>
      <c r="F58" s="8" t="s">
        <v>1225</v>
      </c>
      <c r="G58" s="8" t="s">
        <v>1226</v>
      </c>
      <c r="H58" s="8" t="s">
        <v>1207</v>
      </c>
      <c r="I58" s="26">
        <v>44986</v>
      </c>
      <c r="J58" s="8" t="s">
        <v>1227</v>
      </c>
      <c r="K58" s="8" t="s">
        <v>1228</v>
      </c>
      <c r="L58" s="8" t="s">
        <v>1229</v>
      </c>
    </row>
    <row r="59" spans="2:12" x14ac:dyDescent="0.45">
      <c r="B59" s="23">
        <v>2050</v>
      </c>
      <c r="C59" s="3" t="s">
        <v>1222</v>
      </c>
      <c r="D59" s="3" t="s">
        <v>1221</v>
      </c>
      <c r="E59" s="23">
        <v>0</v>
      </c>
      <c r="F59" s="3" t="s">
        <v>1225</v>
      </c>
      <c r="G59" s="3" t="s">
        <v>1226</v>
      </c>
      <c r="H59" s="3" t="s">
        <v>1207</v>
      </c>
      <c r="I59" s="24">
        <v>44986</v>
      </c>
      <c r="J59" s="3" t="s">
        <v>1227</v>
      </c>
      <c r="K59" s="3" t="s">
        <v>1228</v>
      </c>
      <c r="L59" s="3" t="s">
        <v>1229</v>
      </c>
    </row>
    <row r="60" spans="2:12" x14ac:dyDescent="0.45">
      <c r="B60" s="25">
        <v>2040</v>
      </c>
      <c r="C60" s="8" t="s">
        <v>1222</v>
      </c>
      <c r="D60" s="8" t="s">
        <v>1221</v>
      </c>
      <c r="E60" s="25">
        <v>0</v>
      </c>
      <c r="F60" s="8" t="s">
        <v>1225</v>
      </c>
      <c r="G60" s="8" t="s">
        <v>1226</v>
      </c>
      <c r="H60" s="8" t="s">
        <v>1207</v>
      </c>
      <c r="I60" s="26">
        <v>44986</v>
      </c>
      <c r="J60" s="8" t="s">
        <v>1227</v>
      </c>
      <c r="K60" s="8" t="s">
        <v>1228</v>
      </c>
      <c r="L60" s="8" t="s">
        <v>1229</v>
      </c>
    </row>
    <row r="61" spans="2:12" x14ac:dyDescent="0.45">
      <c r="B61" s="23">
        <v>2030</v>
      </c>
      <c r="C61" s="3" t="s">
        <v>1222</v>
      </c>
      <c r="D61" s="3" t="s">
        <v>1221</v>
      </c>
      <c r="E61" s="23">
        <v>0</v>
      </c>
      <c r="F61" s="3" t="s">
        <v>1225</v>
      </c>
      <c r="G61" s="3" t="s">
        <v>1226</v>
      </c>
      <c r="H61" s="3" t="s">
        <v>1207</v>
      </c>
      <c r="I61" s="24">
        <v>44986</v>
      </c>
      <c r="J61" s="3" t="s">
        <v>1227</v>
      </c>
      <c r="K61" s="3" t="s">
        <v>1228</v>
      </c>
      <c r="L61" s="3" t="s">
        <v>1229</v>
      </c>
    </row>
    <row r="62" spans="2:12" x14ac:dyDescent="0.45">
      <c r="B62" s="25">
        <v>2050</v>
      </c>
      <c r="C62" s="8" t="s">
        <v>1223</v>
      </c>
      <c r="D62" s="8" t="s">
        <v>1221</v>
      </c>
      <c r="E62" s="25">
        <v>591</v>
      </c>
      <c r="F62" s="8" t="s">
        <v>1225</v>
      </c>
      <c r="G62" s="8" t="s">
        <v>1226</v>
      </c>
      <c r="H62" s="8" t="s">
        <v>1207</v>
      </c>
      <c r="I62" s="26">
        <v>44986</v>
      </c>
      <c r="J62" s="8" t="s">
        <v>1227</v>
      </c>
      <c r="K62" s="8" t="s">
        <v>1228</v>
      </c>
      <c r="L62" s="8" t="s">
        <v>1229</v>
      </c>
    </row>
    <row r="63" spans="2:12" x14ac:dyDescent="0.45">
      <c r="B63" s="23">
        <v>2040</v>
      </c>
      <c r="C63" s="3" t="s">
        <v>1223</v>
      </c>
      <c r="D63" s="3" t="s">
        <v>1221</v>
      </c>
      <c r="E63" s="23">
        <v>494</v>
      </c>
      <c r="F63" s="3" t="s">
        <v>1225</v>
      </c>
      <c r="G63" s="3" t="s">
        <v>1226</v>
      </c>
      <c r="H63" s="3" t="s">
        <v>1207</v>
      </c>
      <c r="I63" s="24">
        <v>44986</v>
      </c>
      <c r="J63" s="3" t="s">
        <v>1227</v>
      </c>
      <c r="K63" s="3" t="s">
        <v>1228</v>
      </c>
      <c r="L63" s="3" t="s">
        <v>1229</v>
      </c>
    </row>
    <row r="64" spans="2:12" x14ac:dyDescent="0.45">
      <c r="B64" s="25">
        <v>2030</v>
      </c>
      <c r="C64" s="8" t="s">
        <v>1223</v>
      </c>
      <c r="D64" s="8" t="s">
        <v>1221</v>
      </c>
      <c r="E64" s="25">
        <v>307</v>
      </c>
      <c r="F64" s="8" t="s">
        <v>1225</v>
      </c>
      <c r="G64" s="8" t="s">
        <v>1226</v>
      </c>
      <c r="H64" s="8" t="s">
        <v>1207</v>
      </c>
      <c r="I64" s="26">
        <v>44986</v>
      </c>
      <c r="J64" s="8" t="s">
        <v>1227</v>
      </c>
      <c r="K64" s="8" t="s">
        <v>1228</v>
      </c>
      <c r="L64" s="8" t="s">
        <v>1229</v>
      </c>
    </row>
    <row r="65" spans="2:12" x14ac:dyDescent="0.45">
      <c r="B65" s="23">
        <v>2050</v>
      </c>
      <c r="C65" s="3" t="s">
        <v>1211</v>
      </c>
      <c r="D65" s="3" t="s">
        <v>1224</v>
      </c>
      <c r="E65" s="23">
        <v>0</v>
      </c>
      <c r="F65" s="3" t="s">
        <v>1225</v>
      </c>
      <c r="G65" s="3" t="s">
        <v>1226</v>
      </c>
      <c r="H65" s="3" t="s">
        <v>1207</v>
      </c>
      <c r="I65" s="24">
        <v>44986</v>
      </c>
      <c r="J65" s="3" t="s">
        <v>1227</v>
      </c>
      <c r="K65" s="3" t="s">
        <v>1228</v>
      </c>
      <c r="L65" s="3" t="s">
        <v>1229</v>
      </c>
    </row>
    <row r="66" spans="2:12" x14ac:dyDescent="0.45">
      <c r="B66" s="25">
        <v>2040</v>
      </c>
      <c r="C66" s="8" t="s">
        <v>1211</v>
      </c>
      <c r="D66" s="8" t="s">
        <v>1224</v>
      </c>
      <c r="E66" s="25">
        <v>0</v>
      </c>
      <c r="F66" s="8" t="s">
        <v>1225</v>
      </c>
      <c r="G66" s="8" t="s">
        <v>1226</v>
      </c>
      <c r="H66" s="8" t="s">
        <v>1207</v>
      </c>
      <c r="I66" s="26">
        <v>44986</v>
      </c>
      <c r="J66" s="8" t="s">
        <v>1227</v>
      </c>
      <c r="K66" s="8" t="s">
        <v>1228</v>
      </c>
      <c r="L66" s="8" t="s">
        <v>1229</v>
      </c>
    </row>
    <row r="67" spans="2:12" x14ac:dyDescent="0.45">
      <c r="B67" s="23">
        <v>2030</v>
      </c>
      <c r="C67" s="3" t="s">
        <v>1211</v>
      </c>
      <c r="D67" s="3" t="s">
        <v>1224</v>
      </c>
      <c r="E67" s="23">
        <v>0</v>
      </c>
      <c r="F67" s="3" t="s">
        <v>1225</v>
      </c>
      <c r="G67" s="3" t="s">
        <v>1226</v>
      </c>
      <c r="H67" s="3" t="s">
        <v>1207</v>
      </c>
      <c r="I67" s="24">
        <v>44986</v>
      </c>
      <c r="J67" s="3" t="s">
        <v>1227</v>
      </c>
      <c r="K67" s="3" t="s">
        <v>1228</v>
      </c>
      <c r="L67" s="3" t="s">
        <v>1229</v>
      </c>
    </row>
    <row r="68" spans="2:12" x14ac:dyDescent="0.45">
      <c r="B68" s="25">
        <v>2050</v>
      </c>
      <c r="C68" s="8" t="s">
        <v>1212</v>
      </c>
      <c r="D68" s="8" t="s">
        <v>1224</v>
      </c>
      <c r="E68" s="25">
        <v>1</v>
      </c>
      <c r="F68" s="8" t="s">
        <v>1225</v>
      </c>
      <c r="G68" s="8" t="s">
        <v>1226</v>
      </c>
      <c r="H68" s="8" t="s">
        <v>1207</v>
      </c>
      <c r="I68" s="26">
        <v>44986</v>
      </c>
      <c r="J68" s="8" t="s">
        <v>1227</v>
      </c>
      <c r="K68" s="8" t="s">
        <v>1228</v>
      </c>
      <c r="L68" s="8" t="s">
        <v>1229</v>
      </c>
    </row>
    <row r="69" spans="2:12" x14ac:dyDescent="0.45">
      <c r="B69" s="23">
        <v>2040</v>
      </c>
      <c r="C69" s="3" t="s">
        <v>1212</v>
      </c>
      <c r="D69" s="3" t="s">
        <v>1224</v>
      </c>
      <c r="E69" s="23">
        <v>1</v>
      </c>
      <c r="F69" s="3" t="s">
        <v>1225</v>
      </c>
      <c r="G69" s="3" t="s">
        <v>1226</v>
      </c>
      <c r="H69" s="3" t="s">
        <v>1207</v>
      </c>
      <c r="I69" s="24">
        <v>44986</v>
      </c>
      <c r="J69" s="3" t="s">
        <v>1227</v>
      </c>
      <c r="K69" s="3" t="s">
        <v>1228</v>
      </c>
      <c r="L69" s="3" t="s">
        <v>1229</v>
      </c>
    </row>
    <row r="70" spans="2:12" x14ac:dyDescent="0.45">
      <c r="B70" s="25">
        <v>2030</v>
      </c>
      <c r="C70" s="8" t="s">
        <v>1212</v>
      </c>
      <c r="D70" s="8" t="s">
        <v>1224</v>
      </c>
      <c r="E70" s="25">
        <v>4</v>
      </c>
      <c r="F70" s="8" t="s">
        <v>1225</v>
      </c>
      <c r="G70" s="8" t="s">
        <v>1226</v>
      </c>
      <c r="H70" s="8" t="s">
        <v>1207</v>
      </c>
      <c r="I70" s="26">
        <v>44986</v>
      </c>
      <c r="J70" s="8" t="s">
        <v>1227</v>
      </c>
      <c r="K70" s="8" t="s">
        <v>1228</v>
      </c>
      <c r="L70" s="8" t="s">
        <v>1229</v>
      </c>
    </row>
    <row r="71" spans="2:12" x14ac:dyDescent="0.45">
      <c r="B71" s="23">
        <v>2050</v>
      </c>
      <c r="C71" s="3" t="s">
        <v>1213</v>
      </c>
      <c r="D71" s="3" t="s">
        <v>1224</v>
      </c>
      <c r="E71" s="23">
        <v>23</v>
      </c>
      <c r="F71" s="3" t="s">
        <v>1225</v>
      </c>
      <c r="G71" s="3" t="s">
        <v>1226</v>
      </c>
      <c r="H71" s="3" t="s">
        <v>1207</v>
      </c>
      <c r="I71" s="24">
        <v>44986</v>
      </c>
      <c r="J71" s="3" t="s">
        <v>1227</v>
      </c>
      <c r="K71" s="3" t="s">
        <v>1228</v>
      </c>
      <c r="L71" s="3" t="s">
        <v>1229</v>
      </c>
    </row>
    <row r="72" spans="2:12" x14ac:dyDescent="0.45">
      <c r="B72" s="25">
        <v>2040</v>
      </c>
      <c r="C72" s="8" t="s">
        <v>1213</v>
      </c>
      <c r="D72" s="8" t="s">
        <v>1224</v>
      </c>
      <c r="E72" s="25">
        <v>16</v>
      </c>
      <c r="F72" s="8" t="s">
        <v>1225</v>
      </c>
      <c r="G72" s="8" t="s">
        <v>1226</v>
      </c>
      <c r="H72" s="8" t="s">
        <v>1207</v>
      </c>
      <c r="I72" s="26">
        <v>44986</v>
      </c>
      <c r="J72" s="8" t="s">
        <v>1227</v>
      </c>
      <c r="K72" s="8" t="s">
        <v>1228</v>
      </c>
      <c r="L72" s="8" t="s">
        <v>1229</v>
      </c>
    </row>
    <row r="73" spans="2:12" x14ac:dyDescent="0.45">
      <c r="B73" s="23">
        <v>2030</v>
      </c>
      <c r="C73" s="3" t="s">
        <v>1213</v>
      </c>
      <c r="D73" s="3" t="s">
        <v>1224</v>
      </c>
      <c r="E73" s="23">
        <v>11</v>
      </c>
      <c r="F73" s="3" t="s">
        <v>1225</v>
      </c>
      <c r="G73" s="3" t="s">
        <v>1226</v>
      </c>
      <c r="H73" s="3" t="s">
        <v>1207</v>
      </c>
      <c r="I73" s="24">
        <v>44986</v>
      </c>
      <c r="J73" s="3" t="s">
        <v>1227</v>
      </c>
      <c r="K73" s="3" t="s">
        <v>1228</v>
      </c>
      <c r="L73" s="3" t="s">
        <v>1229</v>
      </c>
    </row>
    <row r="74" spans="2:12" x14ac:dyDescent="0.45">
      <c r="B74" s="25">
        <v>2030</v>
      </c>
      <c r="C74" s="8" t="s">
        <v>1222</v>
      </c>
      <c r="D74" s="8" t="s">
        <v>1224</v>
      </c>
      <c r="E74" s="25">
        <v>0</v>
      </c>
      <c r="F74" s="8" t="s">
        <v>1225</v>
      </c>
      <c r="G74" s="8" t="s">
        <v>1226</v>
      </c>
      <c r="H74" s="8" t="s">
        <v>1207</v>
      </c>
      <c r="I74" s="26">
        <v>44986</v>
      </c>
      <c r="J74" s="8" t="s">
        <v>1227</v>
      </c>
      <c r="K74" s="8" t="s">
        <v>1228</v>
      </c>
      <c r="L74" s="8" t="s">
        <v>1229</v>
      </c>
    </row>
    <row r="75" spans="2:12" x14ac:dyDescent="0.45">
      <c r="B75" s="23">
        <v>2050</v>
      </c>
      <c r="C75" s="3" t="s">
        <v>1222</v>
      </c>
      <c r="D75" s="3" t="s">
        <v>1224</v>
      </c>
      <c r="E75" s="23">
        <v>0</v>
      </c>
      <c r="F75" s="3" t="s">
        <v>1225</v>
      </c>
      <c r="G75" s="3" t="s">
        <v>1226</v>
      </c>
      <c r="H75" s="3" t="s">
        <v>1207</v>
      </c>
      <c r="I75" s="24">
        <v>44986</v>
      </c>
      <c r="J75" s="3" t="s">
        <v>1227</v>
      </c>
      <c r="K75" s="3" t="s">
        <v>1228</v>
      </c>
      <c r="L75" s="3" t="s">
        <v>1229</v>
      </c>
    </row>
    <row r="76" spans="2:12" x14ac:dyDescent="0.45">
      <c r="B76" s="25">
        <v>2040</v>
      </c>
      <c r="C76" s="8" t="s">
        <v>1222</v>
      </c>
      <c r="D76" s="8" t="s">
        <v>1224</v>
      </c>
      <c r="E76" s="25">
        <v>0</v>
      </c>
      <c r="F76" s="8" t="s">
        <v>1225</v>
      </c>
      <c r="G76" s="8" t="s">
        <v>1226</v>
      </c>
      <c r="H76" s="8" t="s">
        <v>1207</v>
      </c>
      <c r="I76" s="26">
        <v>44986</v>
      </c>
      <c r="J76" s="8" t="s">
        <v>1227</v>
      </c>
      <c r="K76" s="8" t="s">
        <v>1228</v>
      </c>
      <c r="L76" s="8" t="s">
        <v>1229</v>
      </c>
    </row>
    <row r="77" spans="2:12" x14ac:dyDescent="0.45">
      <c r="B77" s="23">
        <v>2050</v>
      </c>
      <c r="C77" s="3" t="s">
        <v>1223</v>
      </c>
      <c r="D77" s="3" t="s">
        <v>1224</v>
      </c>
      <c r="E77" s="23">
        <v>76</v>
      </c>
      <c r="F77" s="3" t="s">
        <v>1225</v>
      </c>
      <c r="G77" s="3" t="s">
        <v>1226</v>
      </c>
      <c r="H77" s="3" t="s">
        <v>1207</v>
      </c>
      <c r="I77" s="24">
        <v>44986</v>
      </c>
      <c r="J77" s="3" t="s">
        <v>1227</v>
      </c>
      <c r="K77" s="3" t="s">
        <v>1228</v>
      </c>
      <c r="L77" s="3" t="s">
        <v>1229</v>
      </c>
    </row>
    <row r="78" spans="2:12" x14ac:dyDescent="0.45">
      <c r="B78" s="25">
        <v>2040</v>
      </c>
      <c r="C78" s="8" t="s">
        <v>1223</v>
      </c>
      <c r="D78" s="8" t="s">
        <v>1224</v>
      </c>
      <c r="E78" s="25">
        <v>83</v>
      </c>
      <c r="F78" s="8" t="s">
        <v>1225</v>
      </c>
      <c r="G78" s="8" t="s">
        <v>1226</v>
      </c>
      <c r="H78" s="8" t="s">
        <v>1207</v>
      </c>
      <c r="I78" s="26">
        <v>44986</v>
      </c>
      <c r="J78" s="8" t="s">
        <v>1227</v>
      </c>
      <c r="K78" s="8" t="s">
        <v>1228</v>
      </c>
      <c r="L78" s="8" t="s">
        <v>1229</v>
      </c>
    </row>
    <row r="79" spans="2:12" x14ac:dyDescent="0.45">
      <c r="B79" s="23">
        <v>2030</v>
      </c>
      <c r="C79" s="3" t="s">
        <v>1223</v>
      </c>
      <c r="D79" s="3" t="s">
        <v>1224</v>
      </c>
      <c r="E79" s="23">
        <v>85</v>
      </c>
      <c r="F79" s="3" t="s">
        <v>1225</v>
      </c>
      <c r="G79" s="3" t="s">
        <v>1226</v>
      </c>
      <c r="H79" s="3" t="s">
        <v>1207</v>
      </c>
      <c r="I79" s="24">
        <v>44986</v>
      </c>
      <c r="J79" s="3" t="s">
        <v>1227</v>
      </c>
      <c r="K79" s="3" t="s">
        <v>1228</v>
      </c>
      <c r="L79" s="3" t="s">
        <v>1229</v>
      </c>
    </row>
  </sheetData>
  <mergeCells count="1">
    <mergeCell ref="A1:I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E294-7FF9-47EB-8E3B-5C270FA57547}">
  <dimension ref="B2:I11"/>
  <sheetViews>
    <sheetView workbookViewId="0"/>
  </sheetViews>
  <sheetFormatPr defaultRowHeight="14.25" x14ac:dyDescent="0.45"/>
  <cols>
    <col min="2" max="2" width="9.3984375" bestFit="1" customWidth="1"/>
    <col min="3" max="3" width="17.06640625" bestFit="1" customWidth="1"/>
    <col min="4" max="4" width="11.6640625" bestFit="1" customWidth="1"/>
    <col min="5" max="5" width="5.73046875" bestFit="1" customWidth="1"/>
    <col min="6" max="6" width="10.6640625" bestFit="1" customWidth="1"/>
    <col min="7" max="7" width="9.3984375" bestFit="1" customWidth="1"/>
    <col min="9" max="9" width="2.73046875" bestFit="1" customWidth="1"/>
  </cols>
  <sheetData>
    <row r="2" spans="2:9" x14ac:dyDescent="0.45">
      <c r="B2" t="s">
        <v>1232</v>
      </c>
    </row>
    <row r="3" spans="2:9" x14ac:dyDescent="0.45">
      <c r="B3" t="s">
        <v>1233</v>
      </c>
      <c r="C3" t="s">
        <v>1234</v>
      </c>
      <c r="D3" t="s">
        <v>1235</v>
      </c>
      <c r="E3" t="s">
        <v>1236</v>
      </c>
      <c r="F3" t="s">
        <v>646</v>
      </c>
      <c r="G3" t="s">
        <v>3</v>
      </c>
    </row>
    <row r="4" spans="2:9" x14ac:dyDescent="0.45">
      <c r="B4" t="s">
        <v>1237</v>
      </c>
      <c r="C4" t="s">
        <v>638</v>
      </c>
      <c r="D4" t="s">
        <v>1238</v>
      </c>
      <c r="E4">
        <f>I4*3.6</f>
        <v>338.40000000000003</v>
      </c>
      <c r="I4">
        <v>94</v>
      </c>
    </row>
    <row r="5" spans="2:9" x14ac:dyDescent="0.45">
      <c r="B5" t="s">
        <v>1237</v>
      </c>
      <c r="C5" t="s">
        <v>639</v>
      </c>
      <c r="D5" t="s">
        <v>1238</v>
      </c>
      <c r="E5">
        <f>I5*3.6</f>
        <v>198</v>
      </c>
      <c r="I5">
        <v>55</v>
      </c>
    </row>
    <row r="6" spans="2:9" x14ac:dyDescent="0.45">
      <c r="B6" t="s">
        <v>1237</v>
      </c>
      <c r="C6" t="s">
        <v>651</v>
      </c>
      <c r="D6" t="s">
        <v>1238</v>
      </c>
      <c r="E6">
        <f>I6*3.6</f>
        <v>252</v>
      </c>
      <c r="I6">
        <v>70</v>
      </c>
    </row>
    <row r="7" spans="2:9" x14ac:dyDescent="0.45">
      <c r="B7" t="s">
        <v>1239</v>
      </c>
      <c r="C7" t="s">
        <v>1240</v>
      </c>
      <c r="D7" t="s">
        <v>1241</v>
      </c>
      <c r="E7">
        <v>1</v>
      </c>
    </row>
    <row r="8" spans="2:9" x14ac:dyDescent="0.45">
      <c r="B8" t="s">
        <v>1239</v>
      </c>
      <c r="C8" t="s">
        <v>1242</v>
      </c>
      <c r="D8" t="s">
        <v>1241</v>
      </c>
      <c r="E8">
        <v>-1</v>
      </c>
    </row>
    <row r="9" spans="2:9" x14ac:dyDescent="0.45">
      <c r="B9" t="s">
        <v>1243</v>
      </c>
      <c r="C9" t="s">
        <v>1244</v>
      </c>
      <c r="E9">
        <v>0.1</v>
      </c>
      <c r="F9" t="str">
        <f>C9</f>
        <v>co2captured</v>
      </c>
    </row>
    <row r="10" spans="2:9" x14ac:dyDescent="0.45">
      <c r="B10" t="s">
        <v>1245</v>
      </c>
      <c r="E10">
        <v>50</v>
      </c>
      <c r="G10" t="s">
        <v>1246</v>
      </c>
    </row>
    <row r="11" spans="2:9" x14ac:dyDescent="0.45">
      <c r="B11" t="s">
        <v>1247</v>
      </c>
      <c r="E11">
        <v>8.76</v>
      </c>
      <c r="G11" t="s">
        <v>1246</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2A9F6-96E1-4C2E-BAD4-12BC911EFFE2}">
  <dimension ref="A1:H4"/>
  <sheetViews>
    <sheetView tabSelected="1" workbookViewId="0"/>
  </sheetViews>
  <sheetFormatPr defaultRowHeight="14.25" x14ac:dyDescent="0.45"/>
  <cols>
    <col min="2" max="2" width="23.53125" bestFit="1" customWidth="1"/>
    <col min="3" max="5" width="10.59765625" customWidth="1"/>
  </cols>
  <sheetData>
    <row r="1" spans="1:8" ht="22.05" customHeight="1" x14ac:dyDescent="0.45">
      <c r="A1" s="27" t="s">
        <v>0</v>
      </c>
      <c r="B1" s="27"/>
      <c r="C1" s="27"/>
      <c r="D1" s="27"/>
      <c r="E1" s="27"/>
      <c r="F1" s="27"/>
      <c r="G1" s="27"/>
      <c r="H1" s="27"/>
    </row>
    <row r="2" spans="1:8" ht="14.65" thickBot="1" x14ac:dyDescent="0.5">
      <c r="B2" s="1" t="s">
        <v>1</v>
      </c>
    </row>
    <row r="3" spans="1:8" ht="15.75" thickBot="1" x14ac:dyDescent="0.6">
      <c r="B3" s="28" t="s">
        <v>3</v>
      </c>
      <c r="C3" s="28" t="s">
        <v>4</v>
      </c>
      <c r="D3" s="28" t="s">
        <v>5</v>
      </c>
      <c r="E3" s="28" t="s">
        <v>6</v>
      </c>
    </row>
    <row r="4" spans="1:8" x14ac:dyDescent="0.45">
      <c r="B4" s="29" t="s">
        <v>1248</v>
      </c>
      <c r="C4" s="30">
        <v>1.2903351999999999</v>
      </c>
      <c r="D4" s="31">
        <v>52.800000000000004</v>
      </c>
      <c r="E4" s="32">
        <v>0.99712000000000001</v>
      </c>
    </row>
  </sheetData>
  <mergeCells count="1">
    <mergeCell ref="A1:H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grids_GBR</vt:lpstr>
      <vt:lpstr>Veda_GBR</vt:lpstr>
      <vt:lpstr>buildrates_GBR</vt:lpstr>
      <vt:lpstr>vre agg cap_GBR</vt:lpstr>
      <vt:lpstr>grids_IRL</vt:lpstr>
      <vt:lpstr>Veda_IRL</vt:lpstr>
      <vt:lpstr>buildrates_IRL</vt:lpstr>
      <vt:lpstr>vre agg cap_IRL</vt:lpstr>
      <vt:lpstr>re_targets</vt:lpstr>
      <vt:lpstr>emissions</vt:lpstr>
      <vt:lpstr>grids_crossborder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2026-09-16T05:34:39Z</dcterms:created>
  <dcterms:modified xsi:type="dcterms:W3CDTF">2026-09-16T05:34:55Z</dcterms:modified>
</cp:coreProperties>
</file>