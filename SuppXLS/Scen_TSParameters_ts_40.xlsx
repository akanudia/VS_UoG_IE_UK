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SuppXLS\"/>
    </mc:Choice>
  </mc:AlternateContent>
  <xr:revisionPtr revIDLastSave="0" documentId="13_ncr:1_{7735D411-722F-45CD-8FDF-AA274ED6485E}" xr6:coauthVersionLast="47" xr6:coauthVersionMax="47" xr10:uidLastSave="{00000000-0000-0000-0000-000000000000}"/>
  <bookViews>
    <workbookView xWindow="-98" yWindow="-98" windowWidth="28996" windowHeight="17475" firstSheet="7" activeTab="7" xr2:uid="{473C4FAE-1E1B-42AC-8878-6F1C827F7819}"/>
  </bookViews>
  <sheets>
    <sheet name="resource_profiles_GBR" sheetId="2" r:id="rId1"/>
    <sheet name="firmness_GBR" sheetId="3" r:id="rId2"/>
    <sheet name="load_demand_peak_hydro_GBR" sheetId="4" r:id="rId3"/>
    <sheet name="resource_profiles_IRL" sheetId="5" r:id="rId4"/>
    <sheet name="firmness_IRL" sheetId="6" r:id="rId5"/>
    <sheet name="load_demand_peak_hydro_IRL" sheetId="7" r:id="rId6"/>
    <sheet name="ev_charging_uc" sheetId="8" r:id="rId7"/>
    <sheet name="timeslice_def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9" l="1"/>
  <c r="I24" i="8"/>
  <c r="I23" i="8" s="1"/>
  <c r="H24" i="8"/>
  <c r="E24" i="8"/>
  <c r="H23" i="8"/>
  <c r="H21" i="8" s="1"/>
  <c r="E23" i="8"/>
  <c r="P9" i="7"/>
  <c r="L9" i="7"/>
  <c r="H9" i="7"/>
  <c r="C9" i="7"/>
  <c r="HP9" i="6"/>
  <c r="FZ9" i="6"/>
  <c r="FR9" i="6"/>
  <c r="EA9" i="6"/>
  <c r="CJ9" i="6"/>
  <c r="AS9" i="6"/>
  <c r="B9" i="6"/>
  <c r="L9" i="5"/>
  <c r="G9" i="5"/>
  <c r="B9" i="5"/>
  <c r="P9" i="4" l="1"/>
  <c r="L9" i="4"/>
  <c r="H9" i="4"/>
  <c r="C9" i="4"/>
  <c r="HP9" i="3"/>
  <c r="FZ9" i="3"/>
  <c r="FR9" i="3"/>
  <c r="EA9" i="3"/>
  <c r="CJ9" i="3"/>
  <c r="AS9" i="3"/>
  <c r="B9" i="3"/>
  <c r="L9" i="2"/>
  <c r="G9" i="2"/>
  <c r="B9" i="2"/>
</calcChain>
</file>

<file path=xl/sharedStrings.xml><?xml version="1.0" encoding="utf-8"?>
<sst xmlns="http://schemas.openxmlformats.org/spreadsheetml/2006/main" count="17009" uniqueCount="363">
  <si>
    <t>VERVESTACKS - the open USE platform · Powered by data · Shaped by vision · Guided by intuition · Fueled by passion</t>
  </si>
  <si>
    <t>commodity</t>
  </si>
  <si>
    <t>timeslice</t>
  </si>
  <si>
    <t>com_fr</t>
  </si>
  <si>
    <t>process</t>
  </si>
  <si>
    <t>elc_spv_GBR_001</t>
  </si>
  <si>
    <t>S01aH01</t>
  </si>
  <si>
    <t>IMPNRGZ</t>
  </si>
  <si>
    <t>elc_won_GBR_001</t>
  </si>
  <si>
    <t>elc_wof_GBR_001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</si>
  <si>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</si>
  <si>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</si>
  <si>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</si>
  <si>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</si>
  <si>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</si>
  <si>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</si>
  <si>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</si>
  <si>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</si>
  <si>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</si>
  <si>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</si>
  <si>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</si>
  <si>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</si>
  <si>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</si>
  <si>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</si>
  <si>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</si>
  <si>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</si>
  <si>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</si>
  <si>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</si>
  <si>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</si>
  <si>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</si>
  <si>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</si>
  <si>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</si>
  <si>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</si>
  <si>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</si>
  <si>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</si>
  <si>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</si>
  <si>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</si>
  <si>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</si>
  <si>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</si>
  <si>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</si>
  <si>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</si>
  <si>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</si>
  <si>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</si>
  <si>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</si>
  <si>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</si>
  <si>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</si>
  <si>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</si>
  <si>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</si>
  <si>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</si>
  <si>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</si>
  <si>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</si>
  <si>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</si>
  <si>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</si>
  <si>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</si>
  <si>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</si>
  <si>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</si>
  <si>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</si>
  <si>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</si>
  <si>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</si>
  <si>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</si>
  <si>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</si>
  <si>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</si>
  <si>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</si>
  <si>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</si>
  <si>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</si>
  <si>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</si>
  <si>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</si>
  <si>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</si>
  <si>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</si>
  <si>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</si>
  <si>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</si>
  <si>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</si>
  <si>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</si>
  <si>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</si>
  <si>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</si>
  <si>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</si>
  <si>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</si>
  <si>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</si>
  <si>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</si>
  <si>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</si>
  <si>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</si>
  <si>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</si>
  <si>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</si>
  <si>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</si>
  <si>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</si>
  <si>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</si>
  <si>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</si>
  <si>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</si>
  <si>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</si>
  <si>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</si>
  <si>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</si>
  <si>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</si>
  <si>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</si>
  <si>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</si>
  <si>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</si>
  <si>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</si>
  <si>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</si>
  <si>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</si>
  <si>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</si>
  <si>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</si>
  <si>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</si>
  <si>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</si>
  <si>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</si>
  <si>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</si>
  <si>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</si>
  <si>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</si>
  <si>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</si>
  <si>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</si>
  <si>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</si>
  <si>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elc_spv_GBR_022</t>
  </si>
  <si>
    <t>elc_won_GBR_022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</si>
  <si>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</si>
  <si>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</si>
  <si>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</si>
  <si>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</si>
  <si>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</si>
  <si>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</si>
  <si>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</si>
  <si>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</si>
  <si>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</si>
  <si>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</si>
  <si>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</si>
  <si>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</si>
  <si>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</si>
  <si>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attribute</t>
  </si>
  <si>
    <t>year</t>
  </si>
  <si>
    <t>limtype</t>
  </si>
  <si>
    <t>value</t>
  </si>
  <si>
    <t>other_indexes</t>
  </si>
  <si>
    <t>ncap_com</t>
  </si>
  <si>
    <t>distr_solelc_spv_GBR_001</t>
  </si>
  <si>
    <t>DEF_E</t>
  </si>
  <si>
    <t>ELC4H</t>
  </si>
  <si>
    <t>ELC8H</t>
  </si>
  <si>
    <t>ELCnH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</si>
  <si>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</si>
  <si>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</si>
  <si>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</si>
  <si>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</si>
  <si>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</si>
  <si>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DEF_C</t>
  </si>
  <si>
    <t>OUT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</si>
  <si>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</si>
  <si>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</si>
  <si>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</si>
  <si>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</si>
  <si>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</si>
  <si>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</si>
  <si>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</si>
  <si>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</si>
  <si>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</si>
  <si>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</si>
  <si>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</si>
  <si>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</si>
  <si>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</si>
  <si>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</si>
  <si>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</si>
  <si>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</si>
  <si>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</si>
  <si>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</si>
  <si>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</si>
  <si>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</si>
  <si>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distr_solelc_spv_GBR_022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</si>
  <si>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</si>
  <si>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</si>
  <si>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</si>
  <si>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</si>
  <si>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</si>
  <si>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</si>
  <si>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</si>
  <si>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</si>
  <si>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</si>
  <si>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</si>
  <si>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</si>
  <si>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</si>
  <si>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</si>
  <si>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</si>
  <si>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</si>
  <si>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</si>
  <si>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</si>
  <si>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</si>
  <si>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</si>
  <si>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</si>
  <si>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</si>
  <si>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</si>
  <si>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</si>
  <si>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</si>
  <si>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</si>
  <si>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</si>
  <si>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</si>
  <si>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</si>
  <si>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</si>
  <si>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</si>
  <si>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</si>
  <si>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</si>
  <si>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</si>
  <si>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</si>
  <si>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</si>
  <si>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</si>
  <si>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</si>
  <si>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</si>
  <si>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</si>
  <si>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</si>
  <si>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</si>
  <si>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</si>
  <si>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</si>
  <si>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distr_wonelc_won_GBR_022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</si>
  <si>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</si>
  <si>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</si>
  <si>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</si>
  <si>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</si>
  <si>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</si>
  <si>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</si>
  <si>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</si>
  <si>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</si>
  <si>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</si>
  <si>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</si>
  <si>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</si>
  <si>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</si>
  <si>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ts_40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</si>
  <si>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</si>
  <si>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</si>
  <si>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</si>
  <si>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</si>
  <si>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</si>
  <si>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</si>
  <si>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</si>
  <si>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</si>
  <si>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S01</t>
  </si>
  <si>
    <t>hydro</t>
  </si>
  <si>
    <t>S02</t>
  </si>
  <si>
    <t>S03</t>
  </si>
  <si>
    <t>S04</t>
  </si>
  <si>
    <t>elc_industry</t>
  </si>
  <si>
    <t>elc_spv_IRL_001</t>
  </si>
  <si>
    <t>elc_won_IRL_001</t>
  </si>
  <si>
    <t>elc_wof_IRL_001</t>
  </si>
  <si>
    <t>elc_spv_IRL_002</t>
  </si>
  <si>
    <t>elc_won_IRL_002</t>
  </si>
  <si>
    <t>elc_wof_IRL_002</t>
  </si>
  <si>
    <t>elc_spv_IRL_003</t>
  </si>
  <si>
    <t>elc_won_IRL_003</t>
  </si>
  <si>
    <t>elc_wof_IRL_003</t>
  </si>
  <si>
    <t>elc_spv_IRL_004</t>
  </si>
  <si>
    <t>elc_won_IRL_004</t>
  </si>
  <si>
    <t>elc_wof_IRL_004</t>
  </si>
  <si>
    <t>elc_spv_IRL_005</t>
  </si>
  <si>
    <t>elc_won_IRL_005</t>
  </si>
  <si>
    <t>elc_wof_IRL_005</t>
  </si>
  <si>
    <t>elc_spv_IRL_006</t>
  </si>
  <si>
    <t>elc_won_IRL_006</t>
  </si>
  <si>
    <t>elc_wof_IRL_006</t>
  </si>
  <si>
    <t>elc_spv_IRL_007</t>
  </si>
  <si>
    <t>elc_won_IRL_007</t>
  </si>
  <si>
    <t>elc_wof_IRL_007</t>
  </si>
  <si>
    <t>elc_spv_IRL_008</t>
  </si>
  <si>
    <t>elc_won_IRL_008</t>
  </si>
  <si>
    <t>elc_wof_IRL_008</t>
  </si>
  <si>
    <t>elc_spv_IRL_009</t>
  </si>
  <si>
    <t>elc_won_IRL_009</t>
  </si>
  <si>
    <t>elc_wof_IRL_009</t>
  </si>
  <si>
    <t>elc_spv_IRL_010</t>
  </si>
  <si>
    <t>elc_won_IRL_010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</si>
  <si>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</si>
  <si>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</si>
  <si>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</si>
  <si>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</si>
  <si>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</si>
  <si>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</si>
  <si>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</si>
  <si>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</si>
  <si>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</si>
  <si>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</si>
  <si>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</si>
  <si>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</si>
  <si>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</si>
  <si>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</si>
  <si>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</si>
  <si>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</si>
  <si>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</si>
  <si>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</si>
  <si>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</si>
  <si>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</si>
  <si>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distr_wonelc_won_IRL_001</t>
  </si>
  <si>
    <t>distr_wofelc_wof_IRL_002</t>
  </si>
  <si>
    <t>distr_wonelc_won_IRL_002</t>
  </si>
  <si>
    <t>distr_wofelc_wof_IRL_003</t>
  </si>
  <si>
    <t>distr_wonelc_won_IRL_003</t>
  </si>
  <si>
    <t>distr_wofelc_wof_IRL_004</t>
  </si>
  <si>
    <t>distr_wonelc_won_IRL_004</t>
  </si>
  <si>
    <t>distr_wofelc_wof_IRL_005</t>
  </si>
  <si>
    <t>distr_wonelc_won_IRL_005</t>
  </si>
  <si>
    <t>distr_wofelc_wof_IRL_006</t>
  </si>
  <si>
    <t>distr_wonelc_won_IRL_006</t>
  </si>
  <si>
    <t>distr_wofelc_wof_IRL_007</t>
  </si>
  <si>
    <t>distr_wonelc_won_IRL_007</t>
  </si>
  <si>
    <t>distr_wofelc_wof_IRL_008</t>
  </si>
  <si>
    <t>distr_wonelc_won_IRL_008</t>
  </si>
  <si>
    <t>distr_wofelc_wof_IRL_009</t>
  </si>
  <si>
    <t>distr_wonelc_won_IRL_009</t>
  </si>
  <si>
    <t>distr_wofelc_wof_IRL_010</t>
  </si>
  <si>
    <t>distr_wonelc_won_IRL_010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</si>
  <si>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</si>
  <si>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</si>
  <si>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</si>
  <si>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</si>
  <si>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</si>
  <si>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</si>
  <si>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</si>
  <si>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</si>
  <si>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day_night</t>
  </si>
  <si>
    <t>D</t>
  </si>
  <si>
    <t>S02aH04,S02aH05,S03aH02,S01aH02,S04aH04,S01aH06,S02aH03,S04aH05,S04aH08,S04aH03,S04aH06,S03aH03,S02aH06,S03aH05,S03aH08,S04aH07,S01aH05,S01aH08,S02aH08,S03aH06,S03aH07,S02aH02,S01aH04,S01aH07,S02aH07,S01aH03,S03aH04,S04aH02</t>
  </si>
  <si>
    <t>N</t>
  </si>
  <si>
    <t>S03aH08,S03aH10,S04aH02,S01aH08,S02aH08,S04aH08,S01aH01,S04aH01,S02aH01,S02aH10,S02aH02,S04aH10,S03aH09,S01aH02,S03aH01,S01aH09,S02aH09,S04aH09,S01aH10,S03aH02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</si>
  <si>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</si>
  <si>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</si>
  <si>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</si>
  <si>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</si>
  <si>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</si>
  <si>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</si>
  <si>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</si>
  <si>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</si>
  <si>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</si>
  <si>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</si>
  <si>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</si>
  <si>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</si>
  <si>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</si>
  <si>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</si>
  <si>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</si>
  <si>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</si>
  <si>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</si>
  <si>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</si>
  <si>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</si>
  <si>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</si>
  <si>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</si>
  <si>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</si>
  <si>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</si>
  <si>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</si>
  <si>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</si>
  <si>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</si>
  <si>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</si>
  <si>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</si>
  <si>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</si>
  <si>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</si>
  <si>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AuxStoOUT</t>
  </si>
  <si>
    <t>season</t>
  </si>
  <si>
    <t>weekly</t>
  </si>
  <si>
    <t>daynite</t>
  </si>
  <si>
    <t>wparent</t>
  </si>
  <si>
    <t>dparent</t>
  </si>
  <si>
    <t>a</t>
  </si>
  <si>
    <t>H01</t>
  </si>
  <si>
    <t>S01,S02,S03,S04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</si>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</sst>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"/>
  </numFmts>
  <fonts count="9" x14ac:knownFonts="1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5" borderId="5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</cellStyleXfs>
  <cellXfs count="20">
    <xf numFmtId="0" fontId="0" fillId="0" borderId="0" xfId="0"/>
    <xf numFmtId="0" fontId="2" fillId="0" borderId="0" xfId="0" applyFont="1"/>
    <xf numFmtId="0" fontId="3" fillId="3" borderId="2" xfId="0" applyFon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4" borderId="1" xfId="0" applyNumberFormat="1" applyFont="1" applyFill="1" applyBorder="1"/>
    <xf numFmtId="2" fontId="4" fillId="4" borderId="1" xfId="0" applyNumberFormat="1" applyFont="1" applyFill="1" applyBorder="1"/>
    <xf numFmtId="167" fontId="4" fillId="4" borderId="1" xfId="0" applyNumberFormat="1" applyFont="1" applyFill="1" applyBorder="1"/>
    <xf numFmtId="167" fontId="4" fillId="0" borderId="1" xfId="0" applyNumberFormat="1" applyFont="1" applyBorder="1"/>
    <xf numFmtId="0" fontId="0" fillId="6" borderId="0" xfId="0" applyFill="1"/>
    <xf numFmtId="0" fontId="4" fillId="6" borderId="1" xfId="0" applyFont="1" applyFill="1" applyBorder="1"/>
    <xf numFmtId="0" fontId="7" fillId="5" borderId="5" xfId="1"/>
    <xf numFmtId="0" fontId="8" fillId="0" borderId="0" xfId="0" applyFont="1"/>
    <xf numFmtId="0" fontId="5" fillId="0" borderId="3" xfId="2"/>
    <xf numFmtId="0" fontId="6" fillId="0" borderId="4" xfId="3"/>
    <xf numFmtId="0" fontId="1" fillId="2" borderId="1" xfId="0" applyFont="1" applyFill="1" applyBorder="1" applyAlignment="1">
      <alignment horizontal="left" vertical="center"/>
    </xf>
  </cellXfs>
  <cellStyles count="4">
    <cellStyle name="Heading 2 2" xfId="2" xr:uid="{1419FE2A-84F8-49DB-9182-7DA783B382D7}"/>
    <cellStyle name="Heading 3 2" xfId="3" xr:uid="{00127717-F3C1-4813-B83E-703E428813A3}"/>
    <cellStyle name="Input 2" xfId="1" xr:uid="{DBA810CF-4285-4D3C-96C9-ABC9ACBE828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5AA2E-6ACD-492C-98B3-02495CF9D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52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50C0DC-E48F-4943-83B3-CCA7C43102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29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02B009-A2CC-48D8-9FCA-6D1FAA3850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AD2FC9-BACE-4A8C-AC85-E02D61F62F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663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289DBB-129D-446E-BE74-DE687BA28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098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838BB-029C-4F26-BF9E-20ED819D6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AB939-F61C-43B4-9F21-962149BF6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4AA0E1-ADCE-46E0-868A-E6747B462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2325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CF92-2E79-4ECC-8490-9899C92329E4}">
  <dimension ref="A1:O1370"/>
  <sheetViews>
    <sheetView workbookViewId="0">
      <selection sqref="A1:H1"/>
    </sheetView>
  </sheetViews>
  <sheetFormatPr defaultRowHeight="14.25" x14ac:dyDescent="0.45"/>
  <cols>
    <col min="2" max="2" width="12.6640625" bestFit="1" customWidth="1"/>
    <col min="3" max="5" width="10.59765625" customWidth="1"/>
    <col min="7" max="7" width="13.33203125" bestFit="1" customWidth="1"/>
    <col min="8" max="10" width="10.59765625" customWidth="1"/>
    <col min="12" max="12" width="12.9296875" bestFit="1" customWidth="1"/>
    <col min="13" max="15" width="10.59765625" customWidth="1"/>
  </cols>
  <sheetData>
    <row r="1" spans="1:15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5" ht="14.65" thickBot="1" x14ac:dyDescent="0.5">
      <c r="B9" s="1" t="str">
        <f>IF(A11="x","DeActivated","~TFM_DINS-AT: region=GBR")</f>
        <v>~TFM_DINS-AT: region=GBR</v>
      </c>
      <c r="G9" s="1" t="str">
        <f>IF(A11="x","DeActivated","~TFM_DINS-AT: region=GBR")</f>
        <v>~TFM_DINS-AT: region=GBR</v>
      </c>
      <c r="L9" s="1" t="str">
        <f>IF(A11="x","DeActivated","~TFM_DINS-AT: region=GBR")</f>
        <v>~TFM_DINS-AT: region=GBR</v>
      </c>
    </row>
    <row r="10" spans="1:15" ht="15.75" thickBot="1" x14ac:dyDescent="0.6">
      <c r="B10" s="2" t="s">
        <v>1</v>
      </c>
      <c r="C10" s="2" t="s">
        <v>2</v>
      </c>
      <c r="D10" s="2" t="s">
        <v>3</v>
      </c>
      <c r="E10" s="2" t="s">
        <v>4</v>
      </c>
      <c r="G10" s="2" t="s">
        <v>1</v>
      </c>
      <c r="H10" s="2" t="s">
        <v>2</v>
      </c>
      <c r="I10" s="2" t="s">
        <v>3</v>
      </c>
      <c r="J10" s="2" t="s">
        <v>4</v>
      </c>
      <c r="L10" s="2" t="s">
        <v>1</v>
      </c>
      <c r="M10" s="2" t="s">
        <v>2</v>
      </c>
      <c r="N10" s="2" t="s">
        <v>3</v>
      </c>
      <c r="O10" s="2" t="s">
        <v>4</v>
      </c>
    </row>
    <row r="11" spans="1:15" x14ac:dyDescent="0.45">
      <c r="B11" s="3" t="s">
        <v>5</v>
      </c>
      <c r="C11" s="3" t="s">
        <v>6</v>
      </c>
      <c r="D11" s="4">
        <v>0</v>
      </c>
      <c r="E11" s="3" t="s">
        <v>7</v>
      </c>
      <c r="G11" s="3" t="s">
        <v>8</v>
      </c>
      <c r="H11" s="3" t="s">
        <v>6</v>
      </c>
      <c r="I11" s="5">
        <v>6.446930133267724E-2</v>
      </c>
      <c r="J11" s="3" t="s">
        <v>7</v>
      </c>
      <c r="L11" s="3" t="s">
        <v>9</v>
      </c>
      <c r="M11" s="3" t="s">
        <v>6</v>
      </c>
      <c r="N11" s="5">
        <v>6.1762271725947303E-2</v>
      </c>
      <c r="O11" s="3" t="s">
        <v>7</v>
      </c>
    </row>
    <row r="12" spans="1:15" x14ac:dyDescent="0.45">
      <c r="B12" s="6" t="s">
        <v>5</v>
      </c>
      <c r="C12" s="6" t="s">
        <v>10</v>
      </c>
      <c r="D12" s="7">
        <v>0</v>
      </c>
      <c r="E12" s="6" t="s">
        <v>7</v>
      </c>
      <c r="G12" s="6" t="s">
        <v>8</v>
      </c>
      <c r="H12" s="6" t="s">
        <v>10</v>
      </c>
      <c r="I12" s="8">
        <v>2.5013677072945051E-2</v>
      </c>
      <c r="J12" s="6" t="s">
        <v>7</v>
      </c>
      <c r="L12" s="6" t="s">
        <v>9</v>
      </c>
      <c r="M12" s="6" t="s">
        <v>10</v>
      </c>
      <c r="N12" s="8">
        <v>2.4439189540097345E-2</v>
      </c>
      <c r="O12" s="6" t="s">
        <v>7</v>
      </c>
    </row>
    <row r="13" spans="1:15" x14ac:dyDescent="0.45">
      <c r="B13" s="3" t="s">
        <v>5</v>
      </c>
      <c r="C13" s="3" t="s">
        <v>11</v>
      </c>
      <c r="D13" s="4">
        <v>3.9398126861923776E-4</v>
      </c>
      <c r="E13" s="3" t="s">
        <v>7</v>
      </c>
      <c r="G13" s="3" t="s">
        <v>8</v>
      </c>
      <c r="H13" s="3" t="s">
        <v>11</v>
      </c>
      <c r="I13" s="5">
        <v>2.4962992764525502E-2</v>
      </c>
      <c r="J13" s="3" t="s">
        <v>7</v>
      </c>
      <c r="L13" s="3" t="s">
        <v>9</v>
      </c>
      <c r="M13" s="3" t="s">
        <v>11</v>
      </c>
      <c r="N13" s="5">
        <v>2.4136169810353759E-2</v>
      </c>
      <c r="O13" s="3" t="s">
        <v>7</v>
      </c>
    </row>
    <row r="14" spans="1:15" x14ac:dyDescent="0.45">
      <c r="B14" s="6" t="s">
        <v>5</v>
      </c>
      <c r="C14" s="6" t="s">
        <v>12</v>
      </c>
      <c r="D14" s="7">
        <v>1.8620241651103538E-2</v>
      </c>
      <c r="E14" s="6" t="s">
        <v>7</v>
      </c>
      <c r="G14" s="6" t="s">
        <v>8</v>
      </c>
      <c r="H14" s="6" t="s">
        <v>12</v>
      </c>
      <c r="I14" s="8">
        <v>2.4140972768999278E-2</v>
      </c>
      <c r="J14" s="6" t="s">
        <v>7</v>
      </c>
      <c r="L14" s="6" t="s">
        <v>9</v>
      </c>
      <c r="M14" s="6" t="s">
        <v>12</v>
      </c>
      <c r="N14" s="8">
        <v>2.4085133990631762E-2</v>
      </c>
      <c r="O14" s="6" t="s">
        <v>7</v>
      </c>
    </row>
    <row r="15" spans="1:15" x14ac:dyDescent="0.45">
      <c r="B15" s="3" t="s">
        <v>5</v>
      </c>
      <c r="C15" s="3" t="s">
        <v>13</v>
      </c>
      <c r="D15" s="4">
        <v>4.5218490398075031E-2</v>
      </c>
      <c r="E15" s="3" t="s">
        <v>7</v>
      </c>
      <c r="G15" s="3" t="s">
        <v>8</v>
      </c>
      <c r="H15" s="3" t="s">
        <v>13</v>
      </c>
      <c r="I15" s="5">
        <v>2.4299774430304524E-2</v>
      </c>
      <c r="J15" s="3" t="s">
        <v>7</v>
      </c>
      <c r="L15" s="3" t="s">
        <v>9</v>
      </c>
      <c r="M15" s="3" t="s">
        <v>13</v>
      </c>
      <c r="N15" s="5">
        <v>2.3892852542924645E-2</v>
      </c>
      <c r="O15" s="3" t="s">
        <v>7</v>
      </c>
    </row>
    <row r="16" spans="1:15" x14ac:dyDescent="0.45">
      <c r="B16" s="6" t="s">
        <v>5</v>
      </c>
      <c r="C16" s="6" t="s">
        <v>14</v>
      </c>
      <c r="D16" s="7">
        <v>4.4539609852780243E-2</v>
      </c>
      <c r="E16" s="6" t="s">
        <v>7</v>
      </c>
      <c r="G16" s="6" t="s">
        <v>8</v>
      </c>
      <c r="H16" s="6" t="s">
        <v>14</v>
      </c>
      <c r="I16" s="8">
        <v>2.442148607698711E-2</v>
      </c>
      <c r="J16" s="6" t="s">
        <v>7</v>
      </c>
      <c r="L16" s="6" t="s">
        <v>9</v>
      </c>
      <c r="M16" s="6" t="s">
        <v>14</v>
      </c>
      <c r="N16" s="8">
        <v>2.3687110671671962E-2</v>
      </c>
      <c r="O16" s="6" t="s">
        <v>7</v>
      </c>
    </row>
    <row r="17" spans="2:15" x14ac:dyDescent="0.45">
      <c r="B17" s="3" t="s">
        <v>5</v>
      </c>
      <c r="C17" s="3" t="s">
        <v>15</v>
      </c>
      <c r="D17" s="4">
        <v>2.0863826564511256E-2</v>
      </c>
      <c r="E17" s="3" t="s">
        <v>7</v>
      </c>
      <c r="G17" s="3" t="s">
        <v>8</v>
      </c>
      <c r="H17" s="3" t="s">
        <v>15</v>
      </c>
      <c r="I17" s="5">
        <v>2.4425637506851929E-2</v>
      </c>
      <c r="J17" s="3" t="s">
        <v>7</v>
      </c>
      <c r="L17" s="3" t="s">
        <v>9</v>
      </c>
      <c r="M17" s="3" t="s">
        <v>15</v>
      </c>
      <c r="N17" s="5">
        <v>2.3662367143429924E-2</v>
      </c>
      <c r="O17" s="3" t="s">
        <v>7</v>
      </c>
    </row>
    <row r="18" spans="2:15" x14ac:dyDescent="0.45">
      <c r="B18" s="6" t="s">
        <v>5</v>
      </c>
      <c r="C18" s="6" t="s">
        <v>16</v>
      </c>
      <c r="D18" s="7">
        <v>1.6373579792604293E-3</v>
      </c>
      <c r="E18" s="6" t="s">
        <v>7</v>
      </c>
      <c r="G18" s="6" t="s">
        <v>8</v>
      </c>
      <c r="H18" s="6" t="s">
        <v>16</v>
      </c>
      <c r="I18" s="8">
        <v>2.5124546227444911E-2</v>
      </c>
      <c r="J18" s="6" t="s">
        <v>7</v>
      </c>
      <c r="L18" s="6" t="s">
        <v>9</v>
      </c>
      <c r="M18" s="6" t="s">
        <v>16</v>
      </c>
      <c r="N18" s="8">
        <v>2.4379917321482023E-2</v>
      </c>
      <c r="O18" s="6" t="s">
        <v>7</v>
      </c>
    </row>
    <row r="19" spans="2:15" x14ac:dyDescent="0.45">
      <c r="B19" s="3" t="s">
        <v>5</v>
      </c>
      <c r="C19" s="3" t="s">
        <v>17</v>
      </c>
      <c r="D19" s="4">
        <v>0</v>
      </c>
      <c r="E19" s="3" t="s">
        <v>7</v>
      </c>
      <c r="G19" s="3" t="s">
        <v>8</v>
      </c>
      <c r="H19" s="3" t="s">
        <v>17</v>
      </c>
      <c r="I19" s="5">
        <v>2.5924126557414964E-2</v>
      </c>
      <c r="J19" s="3" t="s">
        <v>7</v>
      </c>
      <c r="L19" s="3" t="s">
        <v>9</v>
      </c>
      <c r="M19" s="3" t="s">
        <v>17</v>
      </c>
      <c r="N19" s="5">
        <v>2.5187641248486308E-2</v>
      </c>
      <c r="O19" s="3" t="s">
        <v>7</v>
      </c>
    </row>
    <row r="20" spans="2:15" x14ac:dyDescent="0.45">
      <c r="B20" s="6" t="s">
        <v>5</v>
      </c>
      <c r="C20" s="6" t="s">
        <v>18</v>
      </c>
      <c r="D20" s="7">
        <v>0</v>
      </c>
      <c r="E20" s="6" t="s">
        <v>7</v>
      </c>
      <c r="G20" s="6" t="s">
        <v>8</v>
      </c>
      <c r="H20" s="6" t="s">
        <v>18</v>
      </c>
      <c r="I20" s="8">
        <v>3.9391395361180408E-2</v>
      </c>
      <c r="J20" s="6" t="s">
        <v>7</v>
      </c>
      <c r="L20" s="6" t="s">
        <v>9</v>
      </c>
      <c r="M20" s="6" t="s">
        <v>18</v>
      </c>
      <c r="N20" s="8">
        <v>3.819936872194165E-2</v>
      </c>
      <c r="O20" s="6" t="s">
        <v>7</v>
      </c>
    </row>
    <row r="21" spans="2:15" x14ac:dyDescent="0.45">
      <c r="B21" s="3" t="s">
        <v>5</v>
      </c>
      <c r="C21" s="3" t="s">
        <v>19</v>
      </c>
      <c r="D21" s="4">
        <v>0</v>
      </c>
      <c r="E21" s="3" t="s">
        <v>7</v>
      </c>
      <c r="G21" s="3" t="s">
        <v>8</v>
      </c>
      <c r="H21" s="3" t="s">
        <v>19</v>
      </c>
      <c r="I21" s="5">
        <v>5.2538596855640399E-2</v>
      </c>
      <c r="J21" s="3" t="s">
        <v>7</v>
      </c>
      <c r="L21" s="3" t="s">
        <v>9</v>
      </c>
      <c r="M21" s="3" t="s">
        <v>19</v>
      </c>
      <c r="N21" s="5">
        <v>5.5382502971937697E-2</v>
      </c>
      <c r="O21" s="3" t="s">
        <v>7</v>
      </c>
    </row>
    <row r="22" spans="2:15" x14ac:dyDescent="0.45">
      <c r="B22" s="6" t="s">
        <v>5</v>
      </c>
      <c r="C22" s="6" t="s">
        <v>20</v>
      </c>
      <c r="D22" s="7">
        <v>1.1663514658244801E-3</v>
      </c>
      <c r="E22" s="6" t="s">
        <v>7</v>
      </c>
      <c r="G22" s="6" t="s">
        <v>8</v>
      </c>
      <c r="H22" s="6" t="s">
        <v>20</v>
      </c>
      <c r="I22" s="8">
        <v>2.0986643466734508E-2</v>
      </c>
      <c r="J22" s="6" t="s">
        <v>7</v>
      </c>
      <c r="L22" s="6" t="s">
        <v>9</v>
      </c>
      <c r="M22" s="6" t="s">
        <v>20</v>
      </c>
      <c r="N22" s="8">
        <v>2.2804243656125395E-2</v>
      </c>
      <c r="O22" s="6" t="s">
        <v>7</v>
      </c>
    </row>
    <row r="23" spans="2:15" x14ac:dyDescent="0.45">
      <c r="B23" s="3" t="s">
        <v>5</v>
      </c>
      <c r="C23" s="3" t="s">
        <v>21</v>
      </c>
      <c r="D23" s="4">
        <v>2.1325166983659643E-2</v>
      </c>
      <c r="E23" s="3" t="s">
        <v>7</v>
      </c>
      <c r="G23" s="3" t="s">
        <v>8</v>
      </c>
      <c r="H23" s="3" t="s">
        <v>21</v>
      </c>
      <c r="I23" s="5">
        <v>2.1206873921579713E-2</v>
      </c>
      <c r="J23" s="3" t="s">
        <v>7</v>
      </c>
      <c r="L23" s="3" t="s">
        <v>9</v>
      </c>
      <c r="M23" s="3" t="s">
        <v>21</v>
      </c>
      <c r="N23" s="5">
        <v>2.3193305577009386E-2</v>
      </c>
      <c r="O23" s="3" t="s">
        <v>7</v>
      </c>
    </row>
    <row r="24" spans="2:15" x14ac:dyDescent="0.45">
      <c r="B24" s="6" t="s">
        <v>5</v>
      </c>
      <c r="C24" s="6" t="s">
        <v>22</v>
      </c>
      <c r="D24" s="7">
        <v>5.7996596189610707E-2</v>
      </c>
      <c r="E24" s="6" t="s">
        <v>7</v>
      </c>
      <c r="G24" s="6" t="s">
        <v>8</v>
      </c>
      <c r="H24" s="6" t="s">
        <v>22</v>
      </c>
      <c r="I24" s="8">
        <v>2.1934936977381799E-2</v>
      </c>
      <c r="J24" s="6" t="s">
        <v>7</v>
      </c>
      <c r="L24" s="6" t="s">
        <v>9</v>
      </c>
      <c r="M24" s="6" t="s">
        <v>22</v>
      </c>
      <c r="N24" s="8">
        <v>2.2571917489473198E-2</v>
      </c>
      <c r="O24" s="6" t="s">
        <v>7</v>
      </c>
    </row>
    <row r="25" spans="2:15" x14ac:dyDescent="0.45">
      <c r="B25" s="3" t="s">
        <v>5</v>
      </c>
      <c r="C25" s="3" t="s">
        <v>23</v>
      </c>
      <c r="D25" s="4">
        <v>7.9177223631756777E-2</v>
      </c>
      <c r="E25" s="3" t="s">
        <v>7</v>
      </c>
      <c r="G25" s="3" t="s">
        <v>8</v>
      </c>
      <c r="H25" s="3" t="s">
        <v>23</v>
      </c>
      <c r="I25" s="5">
        <v>2.2755616031814793E-2</v>
      </c>
      <c r="J25" s="3" t="s">
        <v>7</v>
      </c>
      <c r="L25" s="3" t="s">
        <v>9</v>
      </c>
      <c r="M25" s="3" t="s">
        <v>23</v>
      </c>
      <c r="N25" s="5">
        <v>2.1845818460792251E-2</v>
      </c>
      <c r="O25" s="3" t="s">
        <v>7</v>
      </c>
    </row>
    <row r="26" spans="2:15" x14ac:dyDescent="0.45">
      <c r="B26" s="6" t="s">
        <v>5</v>
      </c>
      <c r="C26" s="6" t="s">
        <v>24</v>
      </c>
      <c r="D26" s="7">
        <v>7.834325879299725E-2</v>
      </c>
      <c r="E26" s="6" t="s">
        <v>7</v>
      </c>
      <c r="G26" s="6" t="s">
        <v>8</v>
      </c>
      <c r="H26" s="6" t="s">
        <v>24</v>
      </c>
      <c r="I26" s="8">
        <v>2.3367444864628266E-2</v>
      </c>
      <c r="J26" s="6" t="s">
        <v>7</v>
      </c>
      <c r="L26" s="6" t="s">
        <v>9</v>
      </c>
      <c r="M26" s="6" t="s">
        <v>24</v>
      </c>
      <c r="N26" s="8">
        <v>2.1629267820735227E-2</v>
      </c>
      <c r="O26" s="6" t="s">
        <v>7</v>
      </c>
    </row>
    <row r="27" spans="2:15" x14ac:dyDescent="0.45">
      <c r="B27" s="3" t="s">
        <v>5</v>
      </c>
      <c r="C27" s="3" t="s">
        <v>25</v>
      </c>
      <c r="D27" s="4">
        <v>5.6381067692828697E-2</v>
      </c>
      <c r="E27" s="3" t="s">
        <v>7</v>
      </c>
      <c r="G27" s="3" t="s">
        <v>8</v>
      </c>
      <c r="H27" s="3" t="s">
        <v>25</v>
      </c>
      <c r="I27" s="5">
        <v>2.360327855360795E-2</v>
      </c>
      <c r="J27" s="3" t="s">
        <v>7</v>
      </c>
      <c r="L27" s="3" t="s">
        <v>9</v>
      </c>
      <c r="M27" s="3" t="s">
        <v>25</v>
      </c>
      <c r="N27" s="5">
        <v>2.2015684664603869E-2</v>
      </c>
      <c r="O27" s="3" t="s">
        <v>7</v>
      </c>
    </row>
    <row r="28" spans="2:15" x14ac:dyDescent="0.45">
      <c r="B28" s="6" t="s">
        <v>5</v>
      </c>
      <c r="C28" s="6" t="s">
        <v>26</v>
      </c>
      <c r="D28" s="7">
        <v>2.1099852525969059E-2</v>
      </c>
      <c r="E28" s="6" t="s">
        <v>7</v>
      </c>
      <c r="G28" s="6" t="s">
        <v>8</v>
      </c>
      <c r="H28" s="6" t="s">
        <v>26</v>
      </c>
      <c r="I28" s="8">
        <v>2.2679273797999173E-2</v>
      </c>
      <c r="J28" s="6" t="s">
        <v>7</v>
      </c>
      <c r="L28" s="6" t="s">
        <v>9</v>
      </c>
      <c r="M28" s="6" t="s">
        <v>26</v>
      </c>
      <c r="N28" s="8">
        <v>2.2483886827495473E-2</v>
      </c>
      <c r="O28" s="6" t="s">
        <v>7</v>
      </c>
    </row>
    <row r="29" spans="2:15" x14ac:dyDescent="0.45">
      <c r="B29" s="3" t="s">
        <v>5</v>
      </c>
      <c r="C29" s="3" t="s">
        <v>27</v>
      </c>
      <c r="D29" s="4">
        <v>1.046915725324663E-3</v>
      </c>
      <c r="E29" s="3" t="s">
        <v>7</v>
      </c>
      <c r="G29" s="3" t="s">
        <v>8</v>
      </c>
      <c r="H29" s="3" t="s">
        <v>27</v>
      </c>
      <c r="I29" s="5">
        <v>2.2426021692858813E-2</v>
      </c>
      <c r="J29" s="3" t="s">
        <v>7</v>
      </c>
      <c r="L29" s="3" t="s">
        <v>9</v>
      </c>
      <c r="M29" s="3" t="s">
        <v>27</v>
      </c>
      <c r="N29" s="5">
        <v>2.2602783562068723E-2</v>
      </c>
      <c r="O29" s="3" t="s">
        <v>7</v>
      </c>
    </row>
    <row r="30" spans="2:15" x14ac:dyDescent="0.45">
      <c r="B30" s="6" t="s">
        <v>5</v>
      </c>
      <c r="C30" s="6" t="s">
        <v>28</v>
      </c>
      <c r="D30" s="7">
        <v>0</v>
      </c>
      <c r="E30" s="6" t="s">
        <v>7</v>
      </c>
      <c r="G30" s="6" t="s">
        <v>8</v>
      </c>
      <c r="H30" s="6" t="s">
        <v>28</v>
      </c>
      <c r="I30" s="8">
        <v>3.3003009686279061E-2</v>
      </c>
      <c r="J30" s="6" t="s">
        <v>7</v>
      </c>
      <c r="L30" s="6" t="s">
        <v>9</v>
      </c>
      <c r="M30" s="6" t="s">
        <v>28</v>
      </c>
      <c r="N30" s="8">
        <v>3.2945474276716236E-2</v>
      </c>
      <c r="O30" s="6" t="s">
        <v>7</v>
      </c>
    </row>
    <row r="31" spans="2:15" x14ac:dyDescent="0.45">
      <c r="B31" s="3" t="s">
        <v>5</v>
      </c>
      <c r="C31" s="3" t="s">
        <v>29</v>
      </c>
      <c r="D31" s="4">
        <v>0</v>
      </c>
      <c r="E31" s="3" t="s">
        <v>7</v>
      </c>
      <c r="G31" s="3" t="s">
        <v>8</v>
      </c>
      <c r="H31" s="3" t="s">
        <v>29</v>
      </c>
      <c r="I31" s="5">
        <v>3.722731249142907E-2</v>
      </c>
      <c r="J31" s="3" t="s">
        <v>7</v>
      </c>
      <c r="L31" s="3" t="s">
        <v>9</v>
      </c>
      <c r="M31" s="3" t="s">
        <v>29</v>
      </c>
      <c r="N31" s="5">
        <v>3.5460859397869894E-2</v>
      </c>
      <c r="O31" s="3" t="s">
        <v>7</v>
      </c>
    </row>
    <row r="32" spans="2:15" x14ac:dyDescent="0.45">
      <c r="B32" s="6" t="s">
        <v>5</v>
      </c>
      <c r="C32" s="6" t="s">
        <v>30</v>
      </c>
      <c r="D32" s="7">
        <v>2.7411477392465977E-3</v>
      </c>
      <c r="E32" s="6" t="s">
        <v>7</v>
      </c>
      <c r="G32" s="6" t="s">
        <v>8</v>
      </c>
      <c r="H32" s="6" t="s">
        <v>30</v>
      </c>
      <c r="I32" s="8">
        <v>1.2969704440825441E-2</v>
      </c>
      <c r="J32" s="6" t="s">
        <v>7</v>
      </c>
      <c r="L32" s="6" t="s">
        <v>9</v>
      </c>
      <c r="M32" s="6" t="s">
        <v>30</v>
      </c>
      <c r="N32" s="8">
        <v>1.3667792682772786E-2</v>
      </c>
      <c r="O32" s="6" t="s">
        <v>7</v>
      </c>
    </row>
    <row r="33" spans="2:15" x14ac:dyDescent="0.45">
      <c r="B33" s="3" t="s">
        <v>5</v>
      </c>
      <c r="C33" s="3" t="s">
        <v>31</v>
      </c>
      <c r="D33" s="4">
        <v>2.6783449797737405E-2</v>
      </c>
      <c r="E33" s="3" t="s">
        <v>7</v>
      </c>
      <c r="G33" s="3" t="s">
        <v>8</v>
      </c>
      <c r="H33" s="3" t="s">
        <v>31</v>
      </c>
      <c r="I33" s="5">
        <v>1.2789009260515566E-2</v>
      </c>
      <c r="J33" s="3" t="s">
        <v>7</v>
      </c>
      <c r="L33" s="3" t="s">
        <v>9</v>
      </c>
      <c r="M33" s="3" t="s">
        <v>31</v>
      </c>
      <c r="N33" s="5">
        <v>1.3344580194161616E-2</v>
      </c>
      <c r="O33" s="3" t="s">
        <v>7</v>
      </c>
    </row>
    <row r="34" spans="2:15" x14ac:dyDescent="0.45">
      <c r="B34" s="6" t="s">
        <v>5</v>
      </c>
      <c r="C34" s="6" t="s">
        <v>32</v>
      </c>
      <c r="D34" s="7">
        <v>6.4843795082241765E-2</v>
      </c>
      <c r="E34" s="6" t="s">
        <v>7</v>
      </c>
      <c r="G34" s="6" t="s">
        <v>8</v>
      </c>
      <c r="H34" s="6" t="s">
        <v>32</v>
      </c>
      <c r="I34" s="8">
        <v>1.2535644884398227E-2</v>
      </c>
      <c r="J34" s="6" t="s">
        <v>7</v>
      </c>
      <c r="L34" s="6" t="s">
        <v>9</v>
      </c>
      <c r="M34" s="6" t="s">
        <v>32</v>
      </c>
      <c r="N34" s="8">
        <v>1.249221225634207E-2</v>
      </c>
      <c r="O34" s="6" t="s">
        <v>7</v>
      </c>
    </row>
    <row r="35" spans="2:15" x14ac:dyDescent="0.45">
      <c r="B35" s="3" t="s">
        <v>5</v>
      </c>
      <c r="C35" s="3" t="s">
        <v>33</v>
      </c>
      <c r="D35" s="4">
        <v>8.6100496833806342E-2</v>
      </c>
      <c r="E35" s="3" t="s">
        <v>7</v>
      </c>
      <c r="G35" s="3" t="s">
        <v>8</v>
      </c>
      <c r="H35" s="3" t="s">
        <v>33</v>
      </c>
      <c r="I35" s="5">
        <v>1.3313439014630892E-2</v>
      </c>
      <c r="J35" s="3" t="s">
        <v>7</v>
      </c>
      <c r="L35" s="3" t="s">
        <v>9</v>
      </c>
      <c r="M35" s="3" t="s">
        <v>33</v>
      </c>
      <c r="N35" s="5">
        <v>1.1398893464777465E-2</v>
      </c>
      <c r="O35" s="3" t="s">
        <v>7</v>
      </c>
    </row>
    <row r="36" spans="2:15" x14ac:dyDescent="0.45">
      <c r="B36" s="6" t="s">
        <v>5</v>
      </c>
      <c r="C36" s="6" t="s">
        <v>34</v>
      </c>
      <c r="D36" s="7">
        <v>8.4156772239378397E-2</v>
      </c>
      <c r="E36" s="6" t="s">
        <v>7</v>
      </c>
      <c r="G36" s="6" t="s">
        <v>8</v>
      </c>
      <c r="H36" s="6" t="s">
        <v>34</v>
      </c>
      <c r="I36" s="8">
        <v>1.4788342959373802E-2</v>
      </c>
      <c r="J36" s="6" t="s">
        <v>7</v>
      </c>
      <c r="L36" s="6" t="s">
        <v>9</v>
      </c>
      <c r="M36" s="6" t="s">
        <v>34</v>
      </c>
      <c r="N36" s="8">
        <v>1.1349835671352499E-2</v>
      </c>
      <c r="O36" s="6" t="s">
        <v>7</v>
      </c>
    </row>
    <row r="37" spans="2:15" x14ac:dyDescent="0.45">
      <c r="B37" s="3" t="s">
        <v>5</v>
      </c>
      <c r="C37" s="3" t="s">
        <v>35</v>
      </c>
      <c r="D37" s="4">
        <v>6.3313513789530651E-2</v>
      </c>
      <c r="E37" s="3" t="s">
        <v>7</v>
      </c>
      <c r="G37" s="3" t="s">
        <v>8</v>
      </c>
      <c r="H37" s="3" t="s">
        <v>35</v>
      </c>
      <c r="I37" s="5">
        <v>1.5226611188584626E-2</v>
      </c>
      <c r="J37" s="3" t="s">
        <v>7</v>
      </c>
      <c r="L37" s="3" t="s">
        <v>9</v>
      </c>
      <c r="M37" s="3" t="s">
        <v>35</v>
      </c>
      <c r="N37" s="5">
        <v>1.162673938224257E-2</v>
      </c>
      <c r="O37" s="3" t="s">
        <v>7</v>
      </c>
    </row>
    <row r="38" spans="2:15" x14ac:dyDescent="0.45">
      <c r="B38" s="6" t="s">
        <v>5</v>
      </c>
      <c r="C38" s="6" t="s">
        <v>36</v>
      </c>
      <c r="D38" s="7">
        <v>2.9538301556333812E-2</v>
      </c>
      <c r="E38" s="6" t="s">
        <v>7</v>
      </c>
      <c r="G38" s="6" t="s">
        <v>8</v>
      </c>
      <c r="H38" s="6" t="s">
        <v>36</v>
      </c>
      <c r="I38" s="8">
        <v>1.4930910745826101E-2</v>
      </c>
      <c r="J38" s="6" t="s">
        <v>7</v>
      </c>
      <c r="L38" s="6" t="s">
        <v>9</v>
      </c>
      <c r="M38" s="6" t="s">
        <v>36</v>
      </c>
      <c r="N38" s="8">
        <v>1.221533523812181E-2</v>
      </c>
      <c r="O38" s="6" t="s">
        <v>7</v>
      </c>
    </row>
    <row r="39" spans="2:15" x14ac:dyDescent="0.45">
      <c r="B39" s="3" t="s">
        <v>5</v>
      </c>
      <c r="C39" s="3" t="s">
        <v>37</v>
      </c>
      <c r="D39" s="4">
        <v>3.2781851988452804E-3</v>
      </c>
      <c r="E39" s="3" t="s">
        <v>7</v>
      </c>
      <c r="G39" s="3" t="s">
        <v>8</v>
      </c>
      <c r="H39" s="3" t="s">
        <v>37</v>
      </c>
      <c r="I39" s="5">
        <v>1.5076719258893746E-2</v>
      </c>
      <c r="J39" s="3" t="s">
        <v>7</v>
      </c>
      <c r="L39" s="3" t="s">
        <v>9</v>
      </c>
      <c r="M39" s="3" t="s">
        <v>37</v>
      </c>
      <c r="N39" s="5">
        <v>1.2723997991867119E-2</v>
      </c>
      <c r="O39" s="3" t="s">
        <v>7</v>
      </c>
    </row>
    <row r="40" spans="2:15" x14ac:dyDescent="0.45">
      <c r="B40" s="6" t="s">
        <v>5</v>
      </c>
      <c r="C40" s="6" t="s">
        <v>38</v>
      </c>
      <c r="D40" s="7">
        <v>0</v>
      </c>
      <c r="E40" s="6" t="s">
        <v>7</v>
      </c>
      <c r="G40" s="6" t="s">
        <v>8</v>
      </c>
      <c r="H40" s="6" t="s">
        <v>38</v>
      </c>
      <c r="I40" s="8">
        <v>2.3389307252067938E-2</v>
      </c>
      <c r="J40" s="6" t="s">
        <v>7</v>
      </c>
      <c r="L40" s="6" t="s">
        <v>9</v>
      </c>
      <c r="M40" s="6" t="s">
        <v>38</v>
      </c>
      <c r="N40" s="8">
        <v>2.0625069427633494E-2</v>
      </c>
      <c r="O40" s="6" t="s">
        <v>7</v>
      </c>
    </row>
    <row r="41" spans="2:15" x14ac:dyDescent="0.45">
      <c r="B41" s="3" t="s">
        <v>5</v>
      </c>
      <c r="C41" s="3" t="s">
        <v>39</v>
      </c>
      <c r="D41" s="4">
        <v>0</v>
      </c>
      <c r="E41" s="3" t="s">
        <v>7</v>
      </c>
      <c r="G41" s="3" t="s">
        <v>8</v>
      </c>
      <c r="H41" s="3" t="s">
        <v>39</v>
      </c>
      <c r="I41" s="5">
        <v>5.616841363393215E-2</v>
      </c>
      <c r="J41" s="3" t="s">
        <v>7</v>
      </c>
      <c r="L41" s="3" t="s">
        <v>9</v>
      </c>
      <c r="M41" s="3" t="s">
        <v>39</v>
      </c>
      <c r="N41" s="5">
        <v>6.0020346454960405E-2</v>
      </c>
      <c r="O41" s="3" t="s">
        <v>7</v>
      </c>
    </row>
    <row r="42" spans="2:15" x14ac:dyDescent="0.45">
      <c r="B42" s="6" t="s">
        <v>5</v>
      </c>
      <c r="C42" s="6" t="s">
        <v>40</v>
      </c>
      <c r="D42" s="7">
        <v>8.3061127669270046E-6</v>
      </c>
      <c r="E42" s="6" t="s">
        <v>7</v>
      </c>
      <c r="G42" s="6" t="s">
        <v>8</v>
      </c>
      <c r="H42" s="6" t="s">
        <v>40</v>
      </c>
      <c r="I42" s="8">
        <v>2.1696586110091089E-2</v>
      </c>
      <c r="J42" s="6" t="s">
        <v>7</v>
      </c>
      <c r="L42" s="6" t="s">
        <v>9</v>
      </c>
      <c r="M42" s="6" t="s">
        <v>40</v>
      </c>
      <c r="N42" s="8">
        <v>2.338144006793684E-2</v>
      </c>
      <c r="O42" s="6" t="s">
        <v>7</v>
      </c>
    </row>
    <row r="43" spans="2:15" x14ac:dyDescent="0.45">
      <c r="B43" s="3" t="s">
        <v>5</v>
      </c>
      <c r="C43" s="3" t="s">
        <v>41</v>
      </c>
      <c r="D43" s="4">
        <v>7.3965063450026521E-3</v>
      </c>
      <c r="E43" s="3" t="s">
        <v>7</v>
      </c>
      <c r="G43" s="3" t="s">
        <v>8</v>
      </c>
      <c r="H43" s="3" t="s">
        <v>41</v>
      </c>
      <c r="I43" s="5">
        <v>2.1345240766740808E-2</v>
      </c>
      <c r="J43" s="3" t="s">
        <v>7</v>
      </c>
      <c r="L43" s="3" t="s">
        <v>9</v>
      </c>
      <c r="M43" s="3" t="s">
        <v>41</v>
      </c>
      <c r="N43" s="5">
        <v>2.3520741020751825E-2</v>
      </c>
      <c r="O43" s="3" t="s">
        <v>7</v>
      </c>
    </row>
    <row r="44" spans="2:15" x14ac:dyDescent="0.45">
      <c r="B44" s="6" t="s">
        <v>5</v>
      </c>
      <c r="C44" s="6" t="s">
        <v>42</v>
      </c>
      <c r="D44" s="7">
        <v>3.6878501674145719E-2</v>
      </c>
      <c r="E44" s="6" t="s">
        <v>7</v>
      </c>
      <c r="G44" s="6" t="s">
        <v>8</v>
      </c>
      <c r="H44" s="6" t="s">
        <v>42</v>
      </c>
      <c r="I44" s="8">
        <v>2.0158206657515179E-2</v>
      </c>
      <c r="J44" s="6" t="s">
        <v>7</v>
      </c>
      <c r="L44" s="6" t="s">
        <v>9</v>
      </c>
      <c r="M44" s="6" t="s">
        <v>42</v>
      </c>
      <c r="N44" s="8">
        <v>2.3599968539575765E-2</v>
      </c>
      <c r="O44" s="6" t="s">
        <v>7</v>
      </c>
    </row>
    <row r="45" spans="2:15" x14ac:dyDescent="0.45">
      <c r="B45" s="3" t="s">
        <v>5</v>
      </c>
      <c r="C45" s="3" t="s">
        <v>43</v>
      </c>
      <c r="D45" s="4">
        <v>5.6787987040944454E-2</v>
      </c>
      <c r="E45" s="3" t="s">
        <v>7</v>
      </c>
      <c r="G45" s="3" t="s">
        <v>8</v>
      </c>
      <c r="H45" s="3" t="s">
        <v>43</v>
      </c>
      <c r="I45" s="5">
        <v>2.0629698840208072E-2</v>
      </c>
      <c r="J45" s="3" t="s">
        <v>7</v>
      </c>
      <c r="L45" s="3" t="s">
        <v>9</v>
      </c>
      <c r="M45" s="3" t="s">
        <v>43</v>
      </c>
      <c r="N45" s="5">
        <v>2.3361772286118125E-2</v>
      </c>
      <c r="O45" s="3" t="s">
        <v>7</v>
      </c>
    </row>
    <row r="46" spans="2:15" x14ac:dyDescent="0.45">
      <c r="B46" s="6" t="s">
        <v>5</v>
      </c>
      <c r="C46" s="6" t="s">
        <v>44</v>
      </c>
      <c r="D46" s="7">
        <v>5.4395782056435339E-2</v>
      </c>
      <c r="E46" s="6" t="s">
        <v>7</v>
      </c>
      <c r="G46" s="6" t="s">
        <v>8</v>
      </c>
      <c r="H46" s="6" t="s">
        <v>44</v>
      </c>
      <c r="I46" s="8">
        <v>2.1374233253070175E-2</v>
      </c>
      <c r="J46" s="6" t="s">
        <v>7</v>
      </c>
      <c r="L46" s="6" t="s">
        <v>9</v>
      </c>
      <c r="M46" s="6" t="s">
        <v>44</v>
      </c>
      <c r="N46" s="8">
        <v>2.3518584235494362E-2</v>
      </c>
      <c r="O46" s="6" t="s">
        <v>7</v>
      </c>
    </row>
    <row r="47" spans="2:15" x14ac:dyDescent="0.45">
      <c r="B47" s="3" t="s">
        <v>5</v>
      </c>
      <c r="C47" s="3" t="s">
        <v>45</v>
      </c>
      <c r="D47" s="4">
        <v>3.116385953641021E-2</v>
      </c>
      <c r="E47" s="3" t="s">
        <v>7</v>
      </c>
      <c r="G47" s="3" t="s">
        <v>8</v>
      </c>
      <c r="H47" s="3" t="s">
        <v>45</v>
      </c>
      <c r="I47" s="5">
        <v>2.0995329201206822E-2</v>
      </c>
      <c r="J47" s="3" t="s">
        <v>7</v>
      </c>
      <c r="L47" s="3" t="s">
        <v>9</v>
      </c>
      <c r="M47" s="3" t="s">
        <v>45</v>
      </c>
      <c r="N47" s="5">
        <v>2.3537091719288097E-2</v>
      </c>
      <c r="O47" s="3" t="s">
        <v>7</v>
      </c>
    </row>
    <row r="48" spans="2:15" x14ac:dyDescent="0.45">
      <c r="B48" s="6" t="s">
        <v>5</v>
      </c>
      <c r="C48" s="6" t="s">
        <v>46</v>
      </c>
      <c r="D48" s="7">
        <v>4.7954024179875272E-3</v>
      </c>
      <c r="E48" s="6" t="s">
        <v>7</v>
      </c>
      <c r="G48" s="6" t="s">
        <v>8</v>
      </c>
      <c r="H48" s="6" t="s">
        <v>46</v>
      </c>
      <c r="I48" s="8">
        <v>2.1471121732250711E-2</v>
      </c>
      <c r="J48" s="6" t="s">
        <v>7</v>
      </c>
      <c r="L48" s="6" t="s">
        <v>9</v>
      </c>
      <c r="M48" s="6" t="s">
        <v>46</v>
      </c>
      <c r="N48" s="8">
        <v>2.3507901877382914E-2</v>
      </c>
      <c r="O48" s="6" t="s">
        <v>7</v>
      </c>
    </row>
    <row r="49" spans="2:15" x14ac:dyDescent="0.45">
      <c r="B49" s="3" t="s">
        <v>5</v>
      </c>
      <c r="C49" s="3" t="s">
        <v>47</v>
      </c>
      <c r="D49" s="4">
        <v>8.051856865921087E-6</v>
      </c>
      <c r="E49" s="3" t="s">
        <v>7</v>
      </c>
      <c r="G49" s="3" t="s">
        <v>8</v>
      </c>
      <c r="H49" s="3" t="s">
        <v>47</v>
      </c>
      <c r="I49" s="5">
        <v>2.2927106820823075E-2</v>
      </c>
      <c r="J49" s="3" t="s">
        <v>7</v>
      </c>
      <c r="L49" s="3" t="s">
        <v>9</v>
      </c>
      <c r="M49" s="3" t="s">
        <v>47</v>
      </c>
      <c r="N49" s="5">
        <v>2.3550986160266223E-2</v>
      </c>
      <c r="O49" s="3" t="s">
        <v>7</v>
      </c>
    </row>
    <row r="50" spans="2:15" x14ac:dyDescent="0.45">
      <c r="B50" s="6" t="s">
        <v>5</v>
      </c>
      <c r="C50" s="6" t="s">
        <v>48</v>
      </c>
      <c r="D50" s="7">
        <v>0</v>
      </c>
      <c r="E50" s="6" t="s">
        <v>7</v>
      </c>
      <c r="G50" s="6" t="s">
        <v>8</v>
      </c>
      <c r="H50" s="6" t="s">
        <v>48</v>
      </c>
      <c r="I50" s="8">
        <v>3.4311455539761004E-2</v>
      </c>
      <c r="J50" s="6" t="s">
        <v>7</v>
      </c>
      <c r="L50" s="6" t="s">
        <v>9</v>
      </c>
      <c r="M50" s="6" t="s">
        <v>48</v>
      </c>
      <c r="N50" s="8">
        <v>3.618894390715989E-2</v>
      </c>
      <c r="O50" s="6" t="s">
        <v>7</v>
      </c>
    </row>
    <row r="51" spans="2:15" x14ac:dyDescent="0.45">
      <c r="B51" s="3" t="s">
        <v>49</v>
      </c>
      <c r="C51" s="3" t="s">
        <v>6</v>
      </c>
      <c r="D51" s="4">
        <v>0</v>
      </c>
      <c r="E51" s="3" t="s">
        <v>7</v>
      </c>
      <c r="G51" s="3" t="s">
        <v>50</v>
      </c>
      <c r="H51" s="3" t="s">
        <v>6</v>
      </c>
      <c r="I51" s="5">
        <v>6.2050600959837804E-2</v>
      </c>
      <c r="J51" s="3" t="s">
        <v>7</v>
      </c>
      <c r="L51" s="3" t="s">
        <v>51</v>
      </c>
      <c r="M51" s="3" t="s">
        <v>6</v>
      </c>
      <c r="N51" s="5">
        <v>5.7912342508933269E-2</v>
      </c>
      <c r="O51" s="3" t="s">
        <v>7</v>
      </c>
    </row>
    <row r="52" spans="2:15" x14ac:dyDescent="0.45">
      <c r="B52" s="6" t="s">
        <v>49</v>
      </c>
      <c r="C52" s="6" t="s">
        <v>10</v>
      </c>
      <c r="D52" s="7">
        <v>0</v>
      </c>
      <c r="E52" s="6" t="s">
        <v>7</v>
      </c>
      <c r="G52" s="6" t="s">
        <v>50</v>
      </c>
      <c r="H52" s="6" t="s">
        <v>10</v>
      </c>
      <c r="I52" s="8">
        <v>2.407206612956082E-2</v>
      </c>
      <c r="J52" s="6" t="s">
        <v>7</v>
      </c>
      <c r="L52" s="6" t="s">
        <v>51</v>
      </c>
      <c r="M52" s="6" t="s">
        <v>10</v>
      </c>
      <c r="N52" s="8">
        <v>2.3034404405349311E-2</v>
      </c>
      <c r="O52" s="6" t="s">
        <v>7</v>
      </c>
    </row>
    <row r="53" spans="2:15" x14ac:dyDescent="0.45">
      <c r="B53" s="3" t="s">
        <v>49</v>
      </c>
      <c r="C53" s="3" t="s">
        <v>11</v>
      </c>
      <c r="D53" s="4">
        <v>5.2833977798798064E-4</v>
      </c>
      <c r="E53" s="3" t="s">
        <v>7</v>
      </c>
      <c r="G53" s="3" t="s">
        <v>50</v>
      </c>
      <c r="H53" s="3" t="s">
        <v>11</v>
      </c>
      <c r="I53" s="5">
        <v>2.3842638344859439E-2</v>
      </c>
      <c r="J53" s="3" t="s">
        <v>7</v>
      </c>
      <c r="L53" s="3" t="s">
        <v>51</v>
      </c>
      <c r="M53" s="3" t="s">
        <v>11</v>
      </c>
      <c r="N53" s="5">
        <v>2.2840608582586717E-2</v>
      </c>
      <c r="O53" s="3" t="s">
        <v>7</v>
      </c>
    </row>
    <row r="54" spans="2:15" x14ac:dyDescent="0.45">
      <c r="B54" s="6" t="s">
        <v>49</v>
      </c>
      <c r="C54" s="6" t="s">
        <v>12</v>
      </c>
      <c r="D54" s="7">
        <v>1.9636615641016399E-2</v>
      </c>
      <c r="E54" s="6" t="s">
        <v>7</v>
      </c>
      <c r="G54" s="6" t="s">
        <v>50</v>
      </c>
      <c r="H54" s="6" t="s">
        <v>12</v>
      </c>
      <c r="I54" s="8">
        <v>2.3133134856498341E-2</v>
      </c>
      <c r="J54" s="6" t="s">
        <v>7</v>
      </c>
      <c r="L54" s="6" t="s">
        <v>51</v>
      </c>
      <c r="M54" s="6" t="s">
        <v>12</v>
      </c>
      <c r="N54" s="8">
        <v>2.2995191519416026E-2</v>
      </c>
      <c r="O54" s="6" t="s">
        <v>7</v>
      </c>
    </row>
    <row r="55" spans="2:15" x14ac:dyDescent="0.45">
      <c r="B55" s="3" t="s">
        <v>49</v>
      </c>
      <c r="C55" s="3" t="s">
        <v>13</v>
      </c>
      <c r="D55" s="4">
        <v>4.0922491306910364E-2</v>
      </c>
      <c r="E55" s="3" t="s">
        <v>7</v>
      </c>
      <c r="G55" s="3" t="s">
        <v>50</v>
      </c>
      <c r="H55" s="3" t="s">
        <v>13</v>
      </c>
      <c r="I55" s="5">
        <v>2.267912723259935E-2</v>
      </c>
      <c r="J55" s="3" t="s">
        <v>7</v>
      </c>
      <c r="L55" s="3" t="s">
        <v>51</v>
      </c>
      <c r="M55" s="3" t="s">
        <v>13</v>
      </c>
      <c r="N55" s="5">
        <v>2.2403648849454193E-2</v>
      </c>
      <c r="O55" s="3" t="s">
        <v>7</v>
      </c>
    </row>
    <row r="56" spans="2:15" x14ac:dyDescent="0.45">
      <c r="B56" s="6" t="s">
        <v>49</v>
      </c>
      <c r="C56" s="6" t="s">
        <v>14</v>
      </c>
      <c r="D56" s="7">
        <v>4.0916573439485349E-2</v>
      </c>
      <c r="E56" s="6" t="s">
        <v>7</v>
      </c>
      <c r="G56" s="6" t="s">
        <v>50</v>
      </c>
      <c r="H56" s="6" t="s">
        <v>14</v>
      </c>
      <c r="I56" s="8">
        <v>2.342846076519476E-2</v>
      </c>
      <c r="J56" s="6" t="s">
        <v>7</v>
      </c>
      <c r="L56" s="6" t="s">
        <v>51</v>
      </c>
      <c r="M56" s="6" t="s">
        <v>14</v>
      </c>
      <c r="N56" s="8">
        <v>2.2468863772801665E-2</v>
      </c>
      <c r="O56" s="6" t="s">
        <v>7</v>
      </c>
    </row>
    <row r="57" spans="2:15" x14ac:dyDescent="0.45">
      <c r="B57" s="3" t="s">
        <v>49</v>
      </c>
      <c r="C57" s="3" t="s">
        <v>15</v>
      </c>
      <c r="D57" s="4">
        <v>2.1181964927629533E-2</v>
      </c>
      <c r="E57" s="3" t="s">
        <v>7</v>
      </c>
      <c r="G57" s="3" t="s">
        <v>50</v>
      </c>
      <c r="H57" s="3" t="s">
        <v>15</v>
      </c>
      <c r="I57" s="5">
        <v>2.3566701854316047E-2</v>
      </c>
      <c r="J57" s="3" t="s">
        <v>7</v>
      </c>
      <c r="L57" s="3" t="s">
        <v>51</v>
      </c>
      <c r="M57" s="3" t="s">
        <v>15</v>
      </c>
      <c r="N57" s="5">
        <v>2.2543837397338298E-2</v>
      </c>
      <c r="O57" s="3" t="s">
        <v>7</v>
      </c>
    </row>
    <row r="58" spans="2:15" x14ac:dyDescent="0.45">
      <c r="B58" s="6" t="s">
        <v>49</v>
      </c>
      <c r="C58" s="6" t="s">
        <v>16</v>
      </c>
      <c r="D58" s="7">
        <v>1.7201856342864775E-3</v>
      </c>
      <c r="E58" s="6" t="s">
        <v>7</v>
      </c>
      <c r="G58" s="6" t="s">
        <v>50</v>
      </c>
      <c r="H58" s="6" t="s">
        <v>16</v>
      </c>
      <c r="I58" s="8">
        <v>2.4235496501851309E-2</v>
      </c>
      <c r="J58" s="6" t="s">
        <v>7</v>
      </c>
      <c r="L58" s="6" t="s">
        <v>51</v>
      </c>
      <c r="M58" s="6" t="s">
        <v>16</v>
      </c>
      <c r="N58" s="8">
        <v>2.306271621603832E-2</v>
      </c>
      <c r="O58" s="6" t="s">
        <v>7</v>
      </c>
    </row>
    <row r="59" spans="2:15" x14ac:dyDescent="0.45">
      <c r="B59" s="3" t="s">
        <v>49</v>
      </c>
      <c r="C59" s="3" t="s">
        <v>17</v>
      </c>
      <c r="D59" s="4">
        <v>0</v>
      </c>
      <c r="E59" s="3" t="s">
        <v>7</v>
      </c>
      <c r="G59" s="3" t="s">
        <v>50</v>
      </c>
      <c r="H59" s="3" t="s">
        <v>17</v>
      </c>
      <c r="I59" s="5">
        <v>2.4893033116802896E-2</v>
      </c>
      <c r="J59" s="3" t="s">
        <v>7</v>
      </c>
      <c r="L59" s="3" t="s">
        <v>51</v>
      </c>
      <c r="M59" s="3" t="s">
        <v>17</v>
      </c>
      <c r="N59" s="5">
        <v>2.4034383876939222E-2</v>
      </c>
      <c r="O59" s="3" t="s">
        <v>7</v>
      </c>
    </row>
    <row r="60" spans="2:15" x14ac:dyDescent="0.45">
      <c r="B60" s="6" t="s">
        <v>49</v>
      </c>
      <c r="C60" s="6" t="s">
        <v>18</v>
      </c>
      <c r="D60" s="7">
        <v>0</v>
      </c>
      <c r="E60" s="6" t="s">
        <v>7</v>
      </c>
      <c r="G60" s="6" t="s">
        <v>50</v>
      </c>
      <c r="H60" s="6" t="s">
        <v>18</v>
      </c>
      <c r="I60" s="8">
        <v>3.7371530192513921E-2</v>
      </c>
      <c r="J60" s="6" t="s">
        <v>7</v>
      </c>
      <c r="L60" s="6" t="s">
        <v>51</v>
      </c>
      <c r="M60" s="6" t="s">
        <v>18</v>
      </c>
      <c r="N60" s="8">
        <v>3.5814270075272603E-2</v>
      </c>
      <c r="O60" s="6" t="s">
        <v>7</v>
      </c>
    </row>
    <row r="61" spans="2:15" x14ac:dyDescent="0.45">
      <c r="B61" s="3" t="s">
        <v>49</v>
      </c>
      <c r="C61" s="3" t="s">
        <v>19</v>
      </c>
      <c r="D61" s="4">
        <v>0</v>
      </c>
      <c r="E61" s="3" t="s">
        <v>7</v>
      </c>
      <c r="G61" s="3" t="s">
        <v>50</v>
      </c>
      <c r="H61" s="3" t="s">
        <v>19</v>
      </c>
      <c r="I61" s="5">
        <v>5.4468499625201956E-2</v>
      </c>
      <c r="J61" s="3" t="s">
        <v>7</v>
      </c>
      <c r="L61" s="3" t="s">
        <v>51</v>
      </c>
      <c r="M61" s="3" t="s">
        <v>19</v>
      </c>
      <c r="N61" s="5">
        <v>5.4603047070672185E-2</v>
      </c>
      <c r="O61" s="3" t="s">
        <v>7</v>
      </c>
    </row>
    <row r="62" spans="2:15" x14ac:dyDescent="0.45">
      <c r="B62" s="6" t="s">
        <v>49</v>
      </c>
      <c r="C62" s="6" t="s">
        <v>20</v>
      </c>
      <c r="D62" s="7">
        <v>1.0754143849138001E-3</v>
      </c>
      <c r="E62" s="6" t="s">
        <v>7</v>
      </c>
      <c r="G62" s="6" t="s">
        <v>50</v>
      </c>
      <c r="H62" s="6" t="s">
        <v>20</v>
      </c>
      <c r="I62" s="8">
        <v>2.1183646653252956E-2</v>
      </c>
      <c r="J62" s="6" t="s">
        <v>7</v>
      </c>
      <c r="L62" s="6" t="s">
        <v>51</v>
      </c>
      <c r="M62" s="6" t="s">
        <v>20</v>
      </c>
      <c r="N62" s="8">
        <v>2.1792823551518157E-2</v>
      </c>
      <c r="O62" s="6" t="s">
        <v>7</v>
      </c>
    </row>
    <row r="63" spans="2:15" x14ac:dyDescent="0.45">
      <c r="B63" s="3" t="s">
        <v>49</v>
      </c>
      <c r="C63" s="3" t="s">
        <v>21</v>
      </c>
      <c r="D63" s="4">
        <v>2.0984844485086394E-2</v>
      </c>
      <c r="E63" s="3" t="s">
        <v>7</v>
      </c>
      <c r="G63" s="3" t="s">
        <v>50</v>
      </c>
      <c r="H63" s="3" t="s">
        <v>21</v>
      </c>
      <c r="I63" s="5">
        <v>2.1449431474260618E-2</v>
      </c>
      <c r="J63" s="3" t="s">
        <v>7</v>
      </c>
      <c r="L63" s="3" t="s">
        <v>51</v>
      </c>
      <c r="M63" s="3" t="s">
        <v>21</v>
      </c>
      <c r="N63" s="5">
        <v>2.1458081562911114E-2</v>
      </c>
      <c r="O63" s="3" t="s">
        <v>7</v>
      </c>
    </row>
    <row r="64" spans="2:15" x14ac:dyDescent="0.45">
      <c r="B64" s="6" t="s">
        <v>49</v>
      </c>
      <c r="C64" s="6" t="s">
        <v>22</v>
      </c>
      <c r="D64" s="7">
        <v>5.7777259085316598E-2</v>
      </c>
      <c r="E64" s="6" t="s">
        <v>7</v>
      </c>
      <c r="G64" s="6" t="s">
        <v>50</v>
      </c>
      <c r="H64" s="6" t="s">
        <v>22</v>
      </c>
      <c r="I64" s="8">
        <v>2.0758500545081923E-2</v>
      </c>
      <c r="J64" s="6" t="s">
        <v>7</v>
      </c>
      <c r="L64" s="6" t="s">
        <v>51</v>
      </c>
      <c r="M64" s="6" t="s">
        <v>22</v>
      </c>
      <c r="N64" s="8">
        <v>1.9440816522866104E-2</v>
      </c>
      <c r="O64" s="6" t="s">
        <v>7</v>
      </c>
    </row>
    <row r="65" spans="2:15" x14ac:dyDescent="0.45">
      <c r="B65" s="3" t="s">
        <v>49</v>
      </c>
      <c r="C65" s="3" t="s">
        <v>23</v>
      </c>
      <c r="D65" s="4">
        <v>7.7566228740605689E-2</v>
      </c>
      <c r="E65" s="3" t="s">
        <v>7</v>
      </c>
      <c r="G65" s="3" t="s">
        <v>50</v>
      </c>
      <c r="H65" s="3" t="s">
        <v>23</v>
      </c>
      <c r="I65" s="5">
        <v>2.0364875870854268E-2</v>
      </c>
      <c r="J65" s="3" t="s">
        <v>7</v>
      </c>
      <c r="L65" s="3" t="s">
        <v>51</v>
      </c>
      <c r="M65" s="3" t="s">
        <v>23</v>
      </c>
      <c r="N65" s="5">
        <v>1.8158691685898488E-2</v>
      </c>
      <c r="O65" s="3" t="s">
        <v>7</v>
      </c>
    </row>
    <row r="66" spans="2:15" x14ac:dyDescent="0.45">
      <c r="B66" s="6" t="s">
        <v>49</v>
      </c>
      <c r="C66" s="6" t="s">
        <v>24</v>
      </c>
      <c r="D66" s="7">
        <v>7.423380438271307E-2</v>
      </c>
      <c r="E66" s="6" t="s">
        <v>7</v>
      </c>
      <c r="G66" s="6" t="s">
        <v>50</v>
      </c>
      <c r="H66" s="6" t="s">
        <v>24</v>
      </c>
      <c r="I66" s="8">
        <v>2.143455093232053E-2</v>
      </c>
      <c r="J66" s="6" t="s">
        <v>7</v>
      </c>
      <c r="L66" s="6" t="s">
        <v>51</v>
      </c>
      <c r="M66" s="6" t="s">
        <v>24</v>
      </c>
      <c r="N66" s="8">
        <v>1.8723820472265462E-2</v>
      </c>
      <c r="O66" s="6" t="s">
        <v>7</v>
      </c>
    </row>
    <row r="67" spans="2:15" x14ac:dyDescent="0.45">
      <c r="B67" s="3" t="s">
        <v>49</v>
      </c>
      <c r="C67" s="3" t="s">
        <v>25</v>
      </c>
      <c r="D67" s="4">
        <v>5.4490480324181023E-2</v>
      </c>
      <c r="E67" s="3" t="s">
        <v>7</v>
      </c>
      <c r="G67" s="3" t="s">
        <v>50</v>
      </c>
      <c r="H67" s="3" t="s">
        <v>25</v>
      </c>
      <c r="I67" s="5">
        <v>2.1911871926092806E-2</v>
      </c>
      <c r="J67" s="3" t="s">
        <v>7</v>
      </c>
      <c r="L67" s="3" t="s">
        <v>51</v>
      </c>
      <c r="M67" s="3" t="s">
        <v>25</v>
      </c>
      <c r="N67" s="5">
        <v>1.9997251904278677E-2</v>
      </c>
      <c r="O67" s="3" t="s">
        <v>7</v>
      </c>
    </row>
    <row r="68" spans="2:15" x14ac:dyDescent="0.45">
      <c r="B68" s="6" t="s">
        <v>49</v>
      </c>
      <c r="C68" s="6" t="s">
        <v>26</v>
      </c>
      <c r="D68" s="7">
        <v>2.0464095245129467E-2</v>
      </c>
      <c r="E68" s="6" t="s">
        <v>7</v>
      </c>
      <c r="G68" s="6" t="s">
        <v>50</v>
      </c>
      <c r="H68" s="6" t="s">
        <v>26</v>
      </c>
      <c r="I68" s="8">
        <v>2.125228880939159E-2</v>
      </c>
      <c r="J68" s="6" t="s">
        <v>7</v>
      </c>
      <c r="L68" s="6" t="s">
        <v>51</v>
      </c>
      <c r="M68" s="6" t="s">
        <v>26</v>
      </c>
      <c r="N68" s="8">
        <v>2.0979477321288683E-2</v>
      </c>
      <c r="O68" s="6" t="s">
        <v>7</v>
      </c>
    </row>
    <row r="69" spans="2:15" x14ac:dyDescent="0.45">
      <c r="B69" s="3" t="s">
        <v>49</v>
      </c>
      <c r="C69" s="3" t="s">
        <v>27</v>
      </c>
      <c r="D69" s="4">
        <v>9.1468141142389623E-4</v>
      </c>
      <c r="E69" s="3" t="s">
        <v>7</v>
      </c>
      <c r="G69" s="3" t="s">
        <v>50</v>
      </c>
      <c r="H69" s="3" t="s">
        <v>27</v>
      </c>
      <c r="I69" s="5">
        <v>2.2219887670713364E-2</v>
      </c>
      <c r="J69" s="3" t="s">
        <v>7</v>
      </c>
      <c r="L69" s="3" t="s">
        <v>51</v>
      </c>
      <c r="M69" s="3" t="s">
        <v>27</v>
      </c>
      <c r="N69" s="5">
        <v>2.2011728574978254E-2</v>
      </c>
      <c r="O69" s="3" t="s">
        <v>7</v>
      </c>
    </row>
    <row r="70" spans="2:15" x14ac:dyDescent="0.45">
      <c r="B70" s="6" t="s">
        <v>49</v>
      </c>
      <c r="C70" s="6" t="s">
        <v>28</v>
      </c>
      <c r="D70" s="7">
        <v>0</v>
      </c>
      <c r="E70" s="6" t="s">
        <v>7</v>
      </c>
      <c r="G70" s="6" t="s">
        <v>50</v>
      </c>
      <c r="H70" s="6" t="s">
        <v>28</v>
      </c>
      <c r="I70" s="8">
        <v>3.3392392138447559E-2</v>
      </c>
      <c r="J70" s="6" t="s">
        <v>7</v>
      </c>
      <c r="L70" s="6" t="s">
        <v>51</v>
      </c>
      <c r="M70" s="6" t="s">
        <v>28</v>
      </c>
      <c r="N70" s="8">
        <v>3.3061181782423954E-2</v>
      </c>
      <c r="O70" s="6" t="s">
        <v>7</v>
      </c>
    </row>
    <row r="71" spans="2:15" x14ac:dyDescent="0.45">
      <c r="B71" s="3" t="s">
        <v>49</v>
      </c>
      <c r="C71" s="3" t="s">
        <v>29</v>
      </c>
      <c r="D71" s="4">
        <v>0</v>
      </c>
      <c r="E71" s="3" t="s">
        <v>7</v>
      </c>
      <c r="G71" s="3" t="s">
        <v>50</v>
      </c>
      <c r="H71" s="3" t="s">
        <v>29</v>
      </c>
      <c r="I71" s="5">
        <v>4.1471770628489599E-2</v>
      </c>
      <c r="J71" s="3" t="s">
        <v>7</v>
      </c>
      <c r="L71" s="3" t="s">
        <v>51</v>
      </c>
      <c r="M71" s="3" t="s">
        <v>29</v>
      </c>
      <c r="N71" s="5">
        <v>4.499152517038834E-2</v>
      </c>
      <c r="O71" s="3" t="s">
        <v>7</v>
      </c>
    </row>
    <row r="72" spans="2:15" x14ac:dyDescent="0.45">
      <c r="B72" s="6" t="s">
        <v>49</v>
      </c>
      <c r="C72" s="6" t="s">
        <v>30</v>
      </c>
      <c r="D72" s="7">
        <v>2.541660795100585E-3</v>
      </c>
      <c r="E72" s="6" t="s">
        <v>7</v>
      </c>
      <c r="G72" s="6" t="s">
        <v>50</v>
      </c>
      <c r="H72" s="6" t="s">
        <v>30</v>
      </c>
      <c r="I72" s="8">
        <v>1.5372582154223245E-2</v>
      </c>
      <c r="J72" s="6" t="s">
        <v>7</v>
      </c>
      <c r="L72" s="6" t="s">
        <v>51</v>
      </c>
      <c r="M72" s="6" t="s">
        <v>30</v>
      </c>
      <c r="N72" s="8">
        <v>1.6188211991275962E-2</v>
      </c>
      <c r="O72" s="6" t="s">
        <v>7</v>
      </c>
    </row>
    <row r="73" spans="2:15" x14ac:dyDescent="0.45">
      <c r="B73" s="3" t="s">
        <v>49</v>
      </c>
      <c r="C73" s="3" t="s">
        <v>31</v>
      </c>
      <c r="D73" s="4">
        <v>2.7476322472038826E-2</v>
      </c>
      <c r="E73" s="3" t="s">
        <v>7</v>
      </c>
      <c r="G73" s="3" t="s">
        <v>50</v>
      </c>
      <c r="H73" s="3" t="s">
        <v>31</v>
      </c>
      <c r="I73" s="5">
        <v>1.4779567883618602E-2</v>
      </c>
      <c r="J73" s="3" t="s">
        <v>7</v>
      </c>
      <c r="L73" s="3" t="s">
        <v>51</v>
      </c>
      <c r="M73" s="3" t="s">
        <v>31</v>
      </c>
      <c r="N73" s="5">
        <v>1.6275697838570895E-2</v>
      </c>
      <c r="O73" s="3" t="s">
        <v>7</v>
      </c>
    </row>
    <row r="74" spans="2:15" x14ac:dyDescent="0.45">
      <c r="B74" s="6" t="s">
        <v>49</v>
      </c>
      <c r="C74" s="6" t="s">
        <v>32</v>
      </c>
      <c r="D74" s="7">
        <v>6.7188462886026451E-2</v>
      </c>
      <c r="E74" s="6" t="s">
        <v>7</v>
      </c>
      <c r="G74" s="6" t="s">
        <v>50</v>
      </c>
      <c r="H74" s="6" t="s">
        <v>32</v>
      </c>
      <c r="I74" s="8">
        <v>1.4003794066126578E-2</v>
      </c>
      <c r="J74" s="6" t="s">
        <v>7</v>
      </c>
      <c r="L74" s="6" t="s">
        <v>51</v>
      </c>
      <c r="M74" s="6" t="s">
        <v>32</v>
      </c>
      <c r="N74" s="8">
        <v>1.5584113761386293E-2</v>
      </c>
      <c r="O74" s="6" t="s">
        <v>7</v>
      </c>
    </row>
    <row r="75" spans="2:15" x14ac:dyDescent="0.45">
      <c r="B75" s="3" t="s">
        <v>49</v>
      </c>
      <c r="C75" s="3" t="s">
        <v>33</v>
      </c>
      <c r="D75" s="4">
        <v>9.0267089283866939E-2</v>
      </c>
      <c r="E75" s="3" t="s">
        <v>7</v>
      </c>
      <c r="G75" s="3" t="s">
        <v>50</v>
      </c>
      <c r="H75" s="3" t="s">
        <v>33</v>
      </c>
      <c r="I75" s="5">
        <v>1.4667231068493989E-2</v>
      </c>
      <c r="J75" s="3" t="s">
        <v>7</v>
      </c>
      <c r="L75" s="3" t="s">
        <v>51</v>
      </c>
      <c r="M75" s="3" t="s">
        <v>33</v>
      </c>
      <c r="N75" s="5">
        <v>1.5462500272268207E-2</v>
      </c>
      <c r="O75" s="3" t="s">
        <v>7</v>
      </c>
    </row>
    <row r="76" spans="2:15" x14ac:dyDescent="0.45">
      <c r="B76" s="6" t="s">
        <v>49</v>
      </c>
      <c r="C76" s="6" t="s">
        <v>34</v>
      </c>
      <c r="D76" s="7">
        <v>8.7680307106189403E-2</v>
      </c>
      <c r="E76" s="6" t="s">
        <v>7</v>
      </c>
      <c r="G76" s="6" t="s">
        <v>50</v>
      </c>
      <c r="H76" s="6" t="s">
        <v>34</v>
      </c>
      <c r="I76" s="8">
        <v>1.5997952909049238E-2</v>
      </c>
      <c r="J76" s="6" t="s">
        <v>7</v>
      </c>
      <c r="L76" s="6" t="s">
        <v>51</v>
      </c>
      <c r="M76" s="6" t="s">
        <v>34</v>
      </c>
      <c r="N76" s="8">
        <v>1.7135820531307924E-2</v>
      </c>
      <c r="O76" s="6" t="s">
        <v>7</v>
      </c>
    </row>
    <row r="77" spans="2:15" x14ac:dyDescent="0.45">
      <c r="B77" s="3" t="s">
        <v>49</v>
      </c>
      <c r="C77" s="3" t="s">
        <v>35</v>
      </c>
      <c r="D77" s="4">
        <v>6.6736616200933879E-2</v>
      </c>
      <c r="E77" s="3" t="s">
        <v>7</v>
      </c>
      <c r="G77" s="3" t="s">
        <v>50</v>
      </c>
      <c r="H77" s="3" t="s">
        <v>35</v>
      </c>
      <c r="I77" s="5">
        <v>1.6975097548519651E-2</v>
      </c>
      <c r="J77" s="3" t="s">
        <v>7</v>
      </c>
      <c r="L77" s="3" t="s">
        <v>51</v>
      </c>
      <c r="M77" s="3" t="s">
        <v>35</v>
      </c>
      <c r="N77" s="5">
        <v>1.9099892370807871E-2</v>
      </c>
      <c r="O77" s="3" t="s">
        <v>7</v>
      </c>
    </row>
    <row r="78" spans="2:15" x14ac:dyDescent="0.45">
      <c r="B78" s="6" t="s">
        <v>49</v>
      </c>
      <c r="C78" s="6" t="s">
        <v>36</v>
      </c>
      <c r="D78" s="7">
        <v>3.0957185304974405E-2</v>
      </c>
      <c r="E78" s="6" t="s">
        <v>7</v>
      </c>
      <c r="G78" s="6" t="s">
        <v>50</v>
      </c>
      <c r="H78" s="6" t="s">
        <v>36</v>
      </c>
      <c r="I78" s="8">
        <v>1.6607661106626578E-2</v>
      </c>
      <c r="J78" s="6" t="s">
        <v>7</v>
      </c>
      <c r="L78" s="6" t="s">
        <v>51</v>
      </c>
      <c r="M78" s="6" t="s">
        <v>36</v>
      </c>
      <c r="N78" s="8">
        <v>2.0167472934582532E-2</v>
      </c>
      <c r="O78" s="6" t="s">
        <v>7</v>
      </c>
    </row>
    <row r="79" spans="2:15" x14ac:dyDescent="0.45">
      <c r="B79" s="3" t="s">
        <v>49</v>
      </c>
      <c r="C79" s="3" t="s">
        <v>37</v>
      </c>
      <c r="D79" s="4">
        <v>2.8786145996726365E-3</v>
      </c>
      <c r="E79" s="3" t="s">
        <v>7</v>
      </c>
      <c r="G79" s="3" t="s">
        <v>50</v>
      </c>
      <c r="H79" s="3" t="s">
        <v>37</v>
      </c>
      <c r="I79" s="5">
        <v>1.681087709214165E-2</v>
      </c>
      <c r="J79" s="3" t="s">
        <v>7</v>
      </c>
      <c r="L79" s="3" t="s">
        <v>51</v>
      </c>
      <c r="M79" s="3" t="s">
        <v>37</v>
      </c>
      <c r="N79" s="5">
        <v>2.0397684487069367E-2</v>
      </c>
      <c r="O79" s="3" t="s">
        <v>7</v>
      </c>
    </row>
    <row r="80" spans="2:15" x14ac:dyDescent="0.45">
      <c r="B80" s="6" t="s">
        <v>49</v>
      </c>
      <c r="C80" s="6" t="s">
        <v>38</v>
      </c>
      <c r="D80" s="7">
        <v>0</v>
      </c>
      <c r="E80" s="6" t="s">
        <v>7</v>
      </c>
      <c r="G80" s="6" t="s">
        <v>50</v>
      </c>
      <c r="H80" s="6" t="s">
        <v>38</v>
      </c>
      <c r="I80" s="8">
        <v>2.6015613143896429E-2</v>
      </c>
      <c r="J80" s="6" t="s">
        <v>7</v>
      </c>
      <c r="L80" s="6" t="s">
        <v>51</v>
      </c>
      <c r="M80" s="6" t="s">
        <v>38</v>
      </c>
      <c r="N80" s="8">
        <v>3.0725654801731086E-2</v>
      </c>
      <c r="O80" s="6" t="s">
        <v>7</v>
      </c>
    </row>
    <row r="81" spans="2:15" x14ac:dyDescent="0.45">
      <c r="B81" s="3" t="s">
        <v>49</v>
      </c>
      <c r="C81" s="3" t="s">
        <v>39</v>
      </c>
      <c r="D81" s="4">
        <v>0</v>
      </c>
      <c r="E81" s="3" t="s">
        <v>7</v>
      </c>
      <c r="G81" s="3" t="s">
        <v>50</v>
      </c>
      <c r="H81" s="3" t="s">
        <v>39</v>
      </c>
      <c r="I81" s="5">
        <v>5.4487115681863089E-2</v>
      </c>
      <c r="J81" s="3" t="s">
        <v>7</v>
      </c>
      <c r="L81" s="3" t="s">
        <v>51</v>
      </c>
      <c r="M81" s="3" t="s">
        <v>39</v>
      </c>
      <c r="N81" s="5">
        <v>5.1599628834123903E-2</v>
      </c>
      <c r="O81" s="3" t="s">
        <v>7</v>
      </c>
    </row>
    <row r="82" spans="2:15" x14ac:dyDescent="0.45">
      <c r="B82" s="6" t="s">
        <v>49</v>
      </c>
      <c r="C82" s="6" t="s">
        <v>40</v>
      </c>
      <c r="D82" s="7">
        <v>7.6257928842293875E-6</v>
      </c>
      <c r="E82" s="6" t="s">
        <v>7</v>
      </c>
      <c r="G82" s="6" t="s">
        <v>50</v>
      </c>
      <c r="H82" s="6" t="s">
        <v>40</v>
      </c>
      <c r="I82" s="8">
        <v>2.1074572340172279E-2</v>
      </c>
      <c r="J82" s="6" t="s">
        <v>7</v>
      </c>
      <c r="L82" s="6" t="s">
        <v>51</v>
      </c>
      <c r="M82" s="6" t="s">
        <v>40</v>
      </c>
      <c r="N82" s="8">
        <v>1.9744322029308932E-2</v>
      </c>
      <c r="O82" s="6" t="s">
        <v>7</v>
      </c>
    </row>
    <row r="83" spans="2:15" x14ac:dyDescent="0.45">
      <c r="B83" s="3" t="s">
        <v>49</v>
      </c>
      <c r="C83" s="3" t="s">
        <v>41</v>
      </c>
      <c r="D83" s="4">
        <v>8.0041529743073974E-3</v>
      </c>
      <c r="E83" s="3" t="s">
        <v>7</v>
      </c>
      <c r="G83" s="3" t="s">
        <v>50</v>
      </c>
      <c r="H83" s="3" t="s">
        <v>41</v>
      </c>
      <c r="I83" s="5">
        <v>2.0871679919841644E-2</v>
      </c>
      <c r="J83" s="3" t="s">
        <v>7</v>
      </c>
      <c r="L83" s="3" t="s">
        <v>51</v>
      </c>
      <c r="M83" s="3" t="s">
        <v>41</v>
      </c>
      <c r="N83" s="5">
        <v>1.9983580624426556E-2</v>
      </c>
      <c r="O83" s="3" t="s">
        <v>7</v>
      </c>
    </row>
    <row r="84" spans="2:15" x14ac:dyDescent="0.45">
      <c r="B84" s="6" t="s">
        <v>49</v>
      </c>
      <c r="C84" s="6" t="s">
        <v>42</v>
      </c>
      <c r="D84" s="7">
        <v>3.8085301612462083E-2</v>
      </c>
      <c r="E84" s="6" t="s">
        <v>7</v>
      </c>
      <c r="G84" s="6" t="s">
        <v>50</v>
      </c>
      <c r="H84" s="6" t="s">
        <v>42</v>
      </c>
      <c r="I84" s="8">
        <v>2.0483517072038153E-2</v>
      </c>
      <c r="J84" s="6" t="s">
        <v>7</v>
      </c>
      <c r="L84" s="6" t="s">
        <v>51</v>
      </c>
      <c r="M84" s="6" t="s">
        <v>42</v>
      </c>
      <c r="N84" s="8">
        <v>2.1148591093961396E-2</v>
      </c>
      <c r="O84" s="6" t="s">
        <v>7</v>
      </c>
    </row>
    <row r="85" spans="2:15" x14ac:dyDescent="0.45">
      <c r="B85" s="3" t="s">
        <v>49</v>
      </c>
      <c r="C85" s="3" t="s">
        <v>43</v>
      </c>
      <c r="D85" s="4">
        <v>5.7243684327699974E-2</v>
      </c>
      <c r="E85" s="3" t="s">
        <v>7</v>
      </c>
      <c r="G85" s="3" t="s">
        <v>50</v>
      </c>
      <c r="H85" s="3" t="s">
        <v>43</v>
      </c>
      <c r="I85" s="5">
        <v>2.0664391787239129E-2</v>
      </c>
      <c r="J85" s="3" t="s">
        <v>7</v>
      </c>
      <c r="L85" s="3" t="s">
        <v>51</v>
      </c>
      <c r="M85" s="3" t="s">
        <v>43</v>
      </c>
      <c r="N85" s="5">
        <v>2.1141145414153666E-2</v>
      </c>
      <c r="O85" s="3" t="s">
        <v>7</v>
      </c>
    </row>
    <row r="86" spans="2:15" x14ac:dyDescent="0.45">
      <c r="B86" s="6" t="s">
        <v>49</v>
      </c>
      <c r="C86" s="6" t="s">
        <v>44</v>
      </c>
      <c r="D86" s="7">
        <v>5.2926077143435481E-2</v>
      </c>
      <c r="E86" s="6" t="s">
        <v>7</v>
      </c>
      <c r="G86" s="6" t="s">
        <v>50</v>
      </c>
      <c r="H86" s="6" t="s">
        <v>44</v>
      </c>
      <c r="I86" s="8">
        <v>2.1372271228926598E-2</v>
      </c>
      <c r="J86" s="6" t="s">
        <v>7</v>
      </c>
      <c r="L86" s="6" t="s">
        <v>51</v>
      </c>
      <c r="M86" s="6" t="s">
        <v>44</v>
      </c>
      <c r="N86" s="8">
        <v>2.1326808192545635E-2</v>
      </c>
      <c r="O86" s="6" t="s">
        <v>7</v>
      </c>
    </row>
    <row r="87" spans="2:15" x14ac:dyDescent="0.45">
      <c r="B87" s="3" t="s">
        <v>49</v>
      </c>
      <c r="C87" s="3" t="s">
        <v>45</v>
      </c>
      <c r="D87" s="4">
        <v>3.0500297607619742E-2</v>
      </c>
      <c r="E87" s="3" t="s">
        <v>7</v>
      </c>
      <c r="G87" s="3" t="s">
        <v>50</v>
      </c>
      <c r="H87" s="3" t="s">
        <v>45</v>
      </c>
      <c r="I87" s="5">
        <v>2.1541438005710834E-2</v>
      </c>
      <c r="J87" s="3" t="s">
        <v>7</v>
      </c>
      <c r="L87" s="3" t="s">
        <v>51</v>
      </c>
      <c r="M87" s="3" t="s">
        <v>45</v>
      </c>
      <c r="N87" s="5">
        <v>2.2018593199256073E-2</v>
      </c>
      <c r="O87" s="3" t="s">
        <v>7</v>
      </c>
    </row>
    <row r="88" spans="2:15" x14ac:dyDescent="0.45">
      <c r="B88" s="6" t="s">
        <v>49</v>
      </c>
      <c r="C88" s="6" t="s">
        <v>46</v>
      </c>
      <c r="D88" s="7">
        <v>5.0894798199179409E-3</v>
      </c>
      <c r="E88" s="6" t="s">
        <v>7</v>
      </c>
      <c r="G88" s="6" t="s">
        <v>50</v>
      </c>
      <c r="H88" s="6" t="s">
        <v>46</v>
      </c>
      <c r="I88" s="8">
        <v>2.2224821994125881E-2</v>
      </c>
      <c r="J88" s="6" t="s">
        <v>7</v>
      </c>
      <c r="L88" s="6" t="s">
        <v>51</v>
      </c>
      <c r="M88" s="6" t="s">
        <v>46</v>
      </c>
      <c r="N88" s="8">
        <v>2.3111001244104239E-2</v>
      </c>
      <c r="O88" s="6" t="s">
        <v>7</v>
      </c>
    </row>
    <row r="89" spans="2:15" x14ac:dyDescent="0.45">
      <c r="B89" s="3" t="s">
        <v>49</v>
      </c>
      <c r="C89" s="3" t="s">
        <v>47</v>
      </c>
      <c r="D89" s="4">
        <v>4.143286183984388E-6</v>
      </c>
      <c r="E89" s="3" t="s">
        <v>7</v>
      </c>
      <c r="G89" s="3" t="s">
        <v>50</v>
      </c>
      <c r="H89" s="3" t="s">
        <v>47</v>
      </c>
      <c r="I89" s="5">
        <v>2.294985601685531E-2</v>
      </c>
      <c r="J89" s="3" t="s">
        <v>7</v>
      </c>
      <c r="L89" s="3" t="s">
        <v>51</v>
      </c>
      <c r="M89" s="3" t="s">
        <v>47</v>
      </c>
      <c r="N89" s="5">
        <v>2.3095254473746187E-2</v>
      </c>
      <c r="O89" s="3" t="s">
        <v>7</v>
      </c>
    </row>
    <row r="90" spans="2:15" x14ac:dyDescent="0.45">
      <c r="B90" s="6" t="s">
        <v>49</v>
      </c>
      <c r="C90" s="6" t="s">
        <v>48</v>
      </c>
      <c r="D90" s="7">
        <v>0</v>
      </c>
      <c r="E90" s="6" t="s">
        <v>7</v>
      </c>
      <c r="G90" s="6" t="s">
        <v>50</v>
      </c>
      <c r="H90" s="6" t="s">
        <v>48</v>
      </c>
      <c r="I90" s="8">
        <v>3.391945275238939E-2</v>
      </c>
      <c r="J90" s="6" t="s">
        <v>7</v>
      </c>
      <c r="L90" s="6" t="s">
        <v>51</v>
      </c>
      <c r="M90" s="6" t="s">
        <v>48</v>
      </c>
      <c r="N90" s="8">
        <v>3.3465313081754232E-2</v>
      </c>
      <c r="O90" s="6" t="s">
        <v>7</v>
      </c>
    </row>
    <row r="91" spans="2:15" x14ac:dyDescent="0.45">
      <c r="B91" s="3" t="s">
        <v>52</v>
      </c>
      <c r="C91" s="3" t="s">
        <v>6</v>
      </c>
      <c r="D91" s="4">
        <v>0</v>
      </c>
      <c r="E91" s="3" t="s">
        <v>7</v>
      </c>
      <c r="G91" s="3" t="s">
        <v>53</v>
      </c>
      <c r="H91" s="3" t="s">
        <v>6</v>
      </c>
      <c r="I91" s="5">
        <v>7.3118747802200915E-2</v>
      </c>
      <c r="J91" s="3" t="s">
        <v>7</v>
      </c>
      <c r="L91" s="3" t="s">
        <v>54</v>
      </c>
      <c r="M91" s="3" t="s">
        <v>6</v>
      </c>
      <c r="N91" s="5">
        <v>6.4725747447484799E-2</v>
      </c>
      <c r="O91" s="3" t="s">
        <v>7</v>
      </c>
    </row>
    <row r="92" spans="2:15" x14ac:dyDescent="0.45">
      <c r="B92" s="6" t="s">
        <v>52</v>
      </c>
      <c r="C92" s="6" t="s">
        <v>10</v>
      </c>
      <c r="D92" s="7">
        <v>0</v>
      </c>
      <c r="E92" s="6" t="s">
        <v>7</v>
      </c>
      <c r="G92" s="6" t="s">
        <v>53</v>
      </c>
      <c r="H92" s="6" t="s">
        <v>10</v>
      </c>
      <c r="I92" s="8">
        <v>2.8430555974829862E-2</v>
      </c>
      <c r="J92" s="6" t="s">
        <v>7</v>
      </c>
      <c r="L92" s="6" t="s">
        <v>54</v>
      </c>
      <c r="M92" s="6" t="s">
        <v>10</v>
      </c>
      <c r="N92" s="8">
        <v>2.557777741294285E-2</v>
      </c>
      <c r="O92" s="6" t="s">
        <v>7</v>
      </c>
    </row>
    <row r="93" spans="2:15" x14ac:dyDescent="0.45">
      <c r="B93" s="3" t="s">
        <v>52</v>
      </c>
      <c r="C93" s="3" t="s">
        <v>11</v>
      </c>
      <c r="D93" s="4">
        <v>2.1992925308800097E-4</v>
      </c>
      <c r="E93" s="3" t="s">
        <v>7</v>
      </c>
      <c r="G93" s="3" t="s">
        <v>53</v>
      </c>
      <c r="H93" s="3" t="s">
        <v>11</v>
      </c>
      <c r="I93" s="5">
        <v>2.8232052396641075E-2</v>
      </c>
      <c r="J93" s="3" t="s">
        <v>7</v>
      </c>
      <c r="L93" s="3" t="s">
        <v>54</v>
      </c>
      <c r="M93" s="3" t="s">
        <v>11</v>
      </c>
      <c r="N93" s="5">
        <v>2.5704897576060867E-2</v>
      </c>
      <c r="O93" s="3" t="s">
        <v>7</v>
      </c>
    </row>
    <row r="94" spans="2:15" x14ac:dyDescent="0.45">
      <c r="B94" s="6" t="s">
        <v>52</v>
      </c>
      <c r="C94" s="6" t="s">
        <v>12</v>
      </c>
      <c r="D94" s="7">
        <v>1.1985636666156499E-2</v>
      </c>
      <c r="E94" s="6" t="s">
        <v>7</v>
      </c>
      <c r="G94" s="6" t="s">
        <v>53</v>
      </c>
      <c r="H94" s="6" t="s">
        <v>12</v>
      </c>
      <c r="I94" s="8">
        <v>2.765361440665114E-2</v>
      </c>
      <c r="J94" s="6" t="s">
        <v>7</v>
      </c>
      <c r="L94" s="6" t="s">
        <v>54</v>
      </c>
      <c r="M94" s="6" t="s">
        <v>12</v>
      </c>
      <c r="N94" s="8">
        <v>2.5883917086307506E-2</v>
      </c>
      <c r="O94" s="6" t="s">
        <v>7</v>
      </c>
    </row>
    <row r="95" spans="2:15" x14ac:dyDescent="0.45">
      <c r="B95" s="3" t="s">
        <v>52</v>
      </c>
      <c r="C95" s="3" t="s">
        <v>13</v>
      </c>
      <c r="D95" s="4">
        <v>3.7755159798843974E-2</v>
      </c>
      <c r="E95" s="3" t="s">
        <v>7</v>
      </c>
      <c r="G95" s="3" t="s">
        <v>53</v>
      </c>
      <c r="H95" s="3" t="s">
        <v>13</v>
      </c>
      <c r="I95" s="5">
        <v>2.7320587286070477E-2</v>
      </c>
      <c r="J95" s="3" t="s">
        <v>7</v>
      </c>
      <c r="L95" s="3" t="s">
        <v>54</v>
      </c>
      <c r="M95" s="3" t="s">
        <v>13</v>
      </c>
      <c r="N95" s="5">
        <v>2.5599454578674772E-2</v>
      </c>
      <c r="O95" s="3" t="s">
        <v>7</v>
      </c>
    </row>
    <row r="96" spans="2:15" x14ac:dyDescent="0.45">
      <c r="B96" s="6" t="s">
        <v>52</v>
      </c>
      <c r="C96" s="6" t="s">
        <v>14</v>
      </c>
      <c r="D96" s="7">
        <v>4.2166844543291226E-2</v>
      </c>
      <c r="E96" s="6" t="s">
        <v>7</v>
      </c>
      <c r="G96" s="6" t="s">
        <v>53</v>
      </c>
      <c r="H96" s="6" t="s">
        <v>14</v>
      </c>
      <c r="I96" s="8">
        <v>2.8115981247879802E-2</v>
      </c>
      <c r="J96" s="6" t="s">
        <v>7</v>
      </c>
      <c r="L96" s="6" t="s">
        <v>54</v>
      </c>
      <c r="M96" s="6" t="s">
        <v>14</v>
      </c>
      <c r="N96" s="8">
        <v>2.5725583642700448E-2</v>
      </c>
      <c r="O96" s="6" t="s">
        <v>7</v>
      </c>
    </row>
    <row r="97" spans="2:15" x14ac:dyDescent="0.45">
      <c r="B97" s="3" t="s">
        <v>52</v>
      </c>
      <c r="C97" s="3" t="s">
        <v>15</v>
      </c>
      <c r="D97" s="4">
        <v>2.0713156413744521E-2</v>
      </c>
      <c r="E97" s="3" t="s">
        <v>7</v>
      </c>
      <c r="G97" s="3" t="s">
        <v>53</v>
      </c>
      <c r="H97" s="3" t="s">
        <v>15</v>
      </c>
      <c r="I97" s="5">
        <v>2.7592201457441366E-2</v>
      </c>
      <c r="J97" s="3" t="s">
        <v>7</v>
      </c>
      <c r="L97" s="3" t="s">
        <v>54</v>
      </c>
      <c r="M97" s="3" t="s">
        <v>15</v>
      </c>
      <c r="N97" s="5">
        <v>2.5601136387198423E-2</v>
      </c>
      <c r="O97" s="3" t="s">
        <v>7</v>
      </c>
    </row>
    <row r="98" spans="2:15" x14ac:dyDescent="0.45">
      <c r="B98" s="6" t="s">
        <v>52</v>
      </c>
      <c r="C98" s="6" t="s">
        <v>16</v>
      </c>
      <c r="D98" s="7">
        <v>1.933282991855603E-3</v>
      </c>
      <c r="E98" s="6" t="s">
        <v>7</v>
      </c>
      <c r="G98" s="6" t="s">
        <v>53</v>
      </c>
      <c r="H98" s="6" t="s">
        <v>16</v>
      </c>
      <c r="I98" s="8">
        <v>2.7375281430678002E-2</v>
      </c>
      <c r="J98" s="6" t="s">
        <v>7</v>
      </c>
      <c r="L98" s="6" t="s">
        <v>54</v>
      </c>
      <c r="M98" s="6" t="s">
        <v>16</v>
      </c>
      <c r="N98" s="8">
        <v>2.5562700877904489E-2</v>
      </c>
      <c r="O98" s="6" t="s">
        <v>7</v>
      </c>
    </row>
    <row r="99" spans="2:15" x14ac:dyDescent="0.45">
      <c r="B99" s="3" t="s">
        <v>52</v>
      </c>
      <c r="C99" s="3" t="s">
        <v>17</v>
      </c>
      <c r="D99" s="4">
        <v>0</v>
      </c>
      <c r="E99" s="3" t="s">
        <v>7</v>
      </c>
      <c r="G99" s="3" t="s">
        <v>53</v>
      </c>
      <c r="H99" s="3" t="s">
        <v>17</v>
      </c>
      <c r="I99" s="5">
        <v>2.8157473239975625E-2</v>
      </c>
      <c r="J99" s="3" t="s">
        <v>7</v>
      </c>
      <c r="L99" s="3" t="s">
        <v>54</v>
      </c>
      <c r="M99" s="3" t="s">
        <v>17</v>
      </c>
      <c r="N99" s="5">
        <v>2.5833186878131173E-2</v>
      </c>
      <c r="O99" s="3" t="s">
        <v>7</v>
      </c>
    </row>
    <row r="100" spans="2:15" x14ac:dyDescent="0.45">
      <c r="B100" s="6" t="s">
        <v>52</v>
      </c>
      <c r="C100" s="6" t="s">
        <v>18</v>
      </c>
      <c r="D100" s="7">
        <v>0</v>
      </c>
      <c r="E100" s="6" t="s">
        <v>7</v>
      </c>
      <c r="G100" s="6" t="s">
        <v>53</v>
      </c>
      <c r="H100" s="6" t="s">
        <v>18</v>
      </c>
      <c r="I100" s="8">
        <v>4.3161211285473615E-2</v>
      </c>
      <c r="J100" s="6" t="s">
        <v>7</v>
      </c>
      <c r="L100" s="6" t="s">
        <v>54</v>
      </c>
      <c r="M100" s="6" t="s">
        <v>18</v>
      </c>
      <c r="N100" s="8">
        <v>3.9183018905851574E-2</v>
      </c>
      <c r="O100" s="6" t="s">
        <v>7</v>
      </c>
    </row>
    <row r="101" spans="2:15" x14ac:dyDescent="0.45">
      <c r="B101" s="3" t="s">
        <v>52</v>
      </c>
      <c r="C101" s="3" t="s">
        <v>19</v>
      </c>
      <c r="D101" s="4">
        <v>0</v>
      </c>
      <c r="E101" s="3" t="s">
        <v>7</v>
      </c>
      <c r="G101" s="3" t="s">
        <v>53</v>
      </c>
      <c r="H101" s="3" t="s">
        <v>19</v>
      </c>
      <c r="I101" s="5">
        <v>5.180952878926362E-2</v>
      </c>
      <c r="J101" s="3" t="s">
        <v>7</v>
      </c>
      <c r="L101" s="3" t="s">
        <v>54</v>
      </c>
      <c r="M101" s="3" t="s">
        <v>19</v>
      </c>
      <c r="N101" s="5">
        <v>5.290009397868984E-2</v>
      </c>
      <c r="O101" s="3" t="s">
        <v>7</v>
      </c>
    </row>
    <row r="102" spans="2:15" x14ac:dyDescent="0.45">
      <c r="B102" s="6" t="s">
        <v>52</v>
      </c>
      <c r="C102" s="6" t="s">
        <v>20</v>
      </c>
      <c r="D102" s="7">
        <v>1.3349948058056088E-3</v>
      </c>
      <c r="E102" s="6" t="s">
        <v>7</v>
      </c>
      <c r="G102" s="6" t="s">
        <v>53</v>
      </c>
      <c r="H102" s="6" t="s">
        <v>20</v>
      </c>
      <c r="I102" s="8">
        <v>2.0032212708275602E-2</v>
      </c>
      <c r="J102" s="6" t="s">
        <v>7</v>
      </c>
      <c r="L102" s="6" t="s">
        <v>54</v>
      </c>
      <c r="M102" s="6" t="s">
        <v>20</v>
      </c>
      <c r="N102" s="8">
        <v>2.1507907254138727E-2</v>
      </c>
      <c r="O102" s="6" t="s">
        <v>7</v>
      </c>
    </row>
    <row r="103" spans="2:15" x14ac:dyDescent="0.45">
      <c r="B103" s="3" t="s">
        <v>52</v>
      </c>
      <c r="C103" s="3" t="s">
        <v>21</v>
      </c>
      <c r="D103" s="4">
        <v>2.0770041577442964E-2</v>
      </c>
      <c r="E103" s="3" t="s">
        <v>7</v>
      </c>
      <c r="G103" s="3" t="s">
        <v>53</v>
      </c>
      <c r="H103" s="3" t="s">
        <v>21</v>
      </c>
      <c r="I103" s="5">
        <v>2.0757599998438295E-2</v>
      </c>
      <c r="J103" s="3" t="s">
        <v>7</v>
      </c>
      <c r="L103" s="3" t="s">
        <v>54</v>
      </c>
      <c r="M103" s="3" t="s">
        <v>21</v>
      </c>
      <c r="N103" s="5">
        <v>2.1847476906750967E-2</v>
      </c>
      <c r="O103" s="3" t="s">
        <v>7</v>
      </c>
    </row>
    <row r="104" spans="2:15" x14ac:dyDescent="0.45">
      <c r="B104" s="6" t="s">
        <v>52</v>
      </c>
      <c r="C104" s="6" t="s">
        <v>22</v>
      </c>
      <c r="D104" s="7">
        <v>5.9393993129648028E-2</v>
      </c>
      <c r="E104" s="6" t="s">
        <v>7</v>
      </c>
      <c r="G104" s="6" t="s">
        <v>53</v>
      </c>
      <c r="H104" s="6" t="s">
        <v>22</v>
      </c>
      <c r="I104" s="8">
        <v>2.213433385477763E-2</v>
      </c>
      <c r="J104" s="6" t="s">
        <v>7</v>
      </c>
      <c r="L104" s="6" t="s">
        <v>54</v>
      </c>
      <c r="M104" s="6" t="s">
        <v>22</v>
      </c>
      <c r="N104" s="8">
        <v>2.1434956061241236E-2</v>
      </c>
      <c r="O104" s="6" t="s">
        <v>7</v>
      </c>
    </row>
    <row r="105" spans="2:15" x14ac:dyDescent="0.45">
      <c r="B105" s="3" t="s">
        <v>52</v>
      </c>
      <c r="C105" s="3" t="s">
        <v>23</v>
      </c>
      <c r="D105" s="4">
        <v>8.2261230958931286E-2</v>
      </c>
      <c r="E105" s="3" t="s">
        <v>7</v>
      </c>
      <c r="G105" s="3" t="s">
        <v>53</v>
      </c>
      <c r="H105" s="3" t="s">
        <v>23</v>
      </c>
      <c r="I105" s="5">
        <v>2.2990886456407584E-2</v>
      </c>
      <c r="J105" s="3" t="s">
        <v>7</v>
      </c>
      <c r="L105" s="3" t="s">
        <v>54</v>
      </c>
      <c r="M105" s="3" t="s">
        <v>23</v>
      </c>
      <c r="N105" s="5">
        <v>2.0853263777997927E-2</v>
      </c>
      <c r="O105" s="3" t="s">
        <v>7</v>
      </c>
    </row>
    <row r="106" spans="2:15" x14ac:dyDescent="0.45">
      <c r="B106" s="6" t="s">
        <v>52</v>
      </c>
      <c r="C106" s="6" t="s">
        <v>24</v>
      </c>
      <c r="D106" s="7">
        <v>8.2524160271545965E-2</v>
      </c>
      <c r="E106" s="6" t="s">
        <v>7</v>
      </c>
      <c r="G106" s="6" t="s">
        <v>53</v>
      </c>
      <c r="H106" s="6" t="s">
        <v>24</v>
      </c>
      <c r="I106" s="8">
        <v>2.2868370072597701E-2</v>
      </c>
      <c r="J106" s="6" t="s">
        <v>7</v>
      </c>
      <c r="L106" s="6" t="s">
        <v>54</v>
      </c>
      <c r="M106" s="6" t="s">
        <v>24</v>
      </c>
      <c r="N106" s="8">
        <v>2.0862767063389506E-2</v>
      </c>
      <c r="O106" s="6" t="s">
        <v>7</v>
      </c>
    </row>
    <row r="107" spans="2:15" x14ac:dyDescent="0.45">
      <c r="B107" s="3" t="s">
        <v>52</v>
      </c>
      <c r="C107" s="3" t="s">
        <v>25</v>
      </c>
      <c r="D107" s="4">
        <v>6.2848414894159932E-2</v>
      </c>
      <c r="E107" s="3" t="s">
        <v>7</v>
      </c>
      <c r="G107" s="3" t="s">
        <v>53</v>
      </c>
      <c r="H107" s="3" t="s">
        <v>25</v>
      </c>
      <c r="I107" s="5">
        <v>2.2721510441303858E-2</v>
      </c>
      <c r="J107" s="3" t="s">
        <v>7</v>
      </c>
      <c r="L107" s="3" t="s">
        <v>54</v>
      </c>
      <c r="M107" s="3" t="s">
        <v>25</v>
      </c>
      <c r="N107" s="5">
        <v>2.1078477596638365E-2</v>
      </c>
      <c r="O107" s="3" t="s">
        <v>7</v>
      </c>
    </row>
    <row r="108" spans="2:15" x14ac:dyDescent="0.45">
      <c r="B108" s="6" t="s">
        <v>52</v>
      </c>
      <c r="C108" s="6" t="s">
        <v>26</v>
      </c>
      <c r="D108" s="7">
        <v>2.6575886623169183E-2</v>
      </c>
      <c r="E108" s="6" t="s">
        <v>7</v>
      </c>
      <c r="G108" s="6" t="s">
        <v>53</v>
      </c>
      <c r="H108" s="6" t="s">
        <v>26</v>
      </c>
      <c r="I108" s="8">
        <v>2.1157446599662722E-2</v>
      </c>
      <c r="J108" s="6" t="s">
        <v>7</v>
      </c>
      <c r="L108" s="6" t="s">
        <v>54</v>
      </c>
      <c r="M108" s="6" t="s">
        <v>26</v>
      </c>
      <c r="N108" s="8">
        <v>2.1323745636035622E-2</v>
      </c>
      <c r="O108" s="6" t="s">
        <v>7</v>
      </c>
    </row>
    <row r="109" spans="2:15" x14ac:dyDescent="0.45">
      <c r="B109" s="3" t="s">
        <v>52</v>
      </c>
      <c r="C109" s="3" t="s">
        <v>27</v>
      </c>
      <c r="D109" s="4">
        <v>1.8789217948447115E-3</v>
      </c>
      <c r="E109" s="3" t="s">
        <v>7</v>
      </c>
      <c r="G109" s="3" t="s">
        <v>53</v>
      </c>
      <c r="H109" s="3" t="s">
        <v>27</v>
      </c>
      <c r="I109" s="5">
        <v>2.0129950415582524E-2</v>
      </c>
      <c r="J109" s="3" t="s">
        <v>7</v>
      </c>
      <c r="L109" s="3" t="s">
        <v>54</v>
      </c>
      <c r="M109" s="3" t="s">
        <v>27</v>
      </c>
      <c r="N109" s="5">
        <v>2.1449788190179567E-2</v>
      </c>
      <c r="O109" s="3" t="s">
        <v>7</v>
      </c>
    </row>
    <row r="110" spans="2:15" x14ac:dyDescent="0.45">
      <c r="B110" s="6" t="s">
        <v>52</v>
      </c>
      <c r="C110" s="6" t="s">
        <v>28</v>
      </c>
      <c r="D110" s="7">
        <v>0</v>
      </c>
      <c r="E110" s="6" t="s">
        <v>7</v>
      </c>
      <c r="G110" s="6" t="s">
        <v>53</v>
      </c>
      <c r="H110" s="6" t="s">
        <v>28</v>
      </c>
      <c r="I110" s="8">
        <v>3.092863593572617E-2</v>
      </c>
      <c r="J110" s="6" t="s">
        <v>7</v>
      </c>
      <c r="L110" s="6" t="s">
        <v>54</v>
      </c>
      <c r="M110" s="6" t="s">
        <v>28</v>
      </c>
      <c r="N110" s="8">
        <v>3.2649203165771093E-2</v>
      </c>
      <c r="O110" s="6" t="s">
        <v>7</v>
      </c>
    </row>
    <row r="111" spans="2:15" x14ac:dyDescent="0.45">
      <c r="B111" s="3" t="s">
        <v>52</v>
      </c>
      <c r="C111" s="3" t="s">
        <v>29</v>
      </c>
      <c r="D111" s="4">
        <v>0</v>
      </c>
      <c r="E111" s="3" t="s">
        <v>7</v>
      </c>
      <c r="G111" s="3" t="s">
        <v>53</v>
      </c>
      <c r="H111" s="3" t="s">
        <v>29</v>
      </c>
      <c r="I111" s="5">
        <v>2.2235303202488031E-2</v>
      </c>
      <c r="J111" s="3" t="s">
        <v>7</v>
      </c>
      <c r="L111" s="3" t="s">
        <v>54</v>
      </c>
      <c r="M111" s="3" t="s">
        <v>29</v>
      </c>
      <c r="N111" s="5">
        <v>2.998657643480003E-2</v>
      </c>
      <c r="O111" s="3" t="s">
        <v>7</v>
      </c>
    </row>
    <row r="112" spans="2:15" x14ac:dyDescent="0.45">
      <c r="B112" s="6" t="s">
        <v>52</v>
      </c>
      <c r="C112" s="6" t="s">
        <v>30</v>
      </c>
      <c r="D112" s="7">
        <v>3.1181724910638786E-3</v>
      </c>
      <c r="E112" s="6" t="s">
        <v>7</v>
      </c>
      <c r="G112" s="6" t="s">
        <v>53</v>
      </c>
      <c r="H112" s="6" t="s">
        <v>30</v>
      </c>
      <c r="I112" s="8">
        <v>8.4979693431308529E-3</v>
      </c>
      <c r="J112" s="6" t="s">
        <v>7</v>
      </c>
      <c r="L112" s="6" t="s">
        <v>54</v>
      </c>
      <c r="M112" s="6" t="s">
        <v>30</v>
      </c>
      <c r="N112" s="8">
        <v>1.1156404520070932E-2</v>
      </c>
      <c r="O112" s="6" t="s">
        <v>7</v>
      </c>
    </row>
    <row r="113" spans="2:15" x14ac:dyDescent="0.45">
      <c r="B113" s="3" t="s">
        <v>52</v>
      </c>
      <c r="C113" s="3" t="s">
        <v>31</v>
      </c>
      <c r="D113" s="4">
        <v>2.6959038492952937E-2</v>
      </c>
      <c r="E113" s="3" t="s">
        <v>7</v>
      </c>
      <c r="G113" s="3" t="s">
        <v>53</v>
      </c>
      <c r="H113" s="3" t="s">
        <v>31</v>
      </c>
      <c r="I113" s="5">
        <v>9.2614952231510738E-3</v>
      </c>
      <c r="J113" s="3" t="s">
        <v>7</v>
      </c>
      <c r="L113" s="3" t="s">
        <v>54</v>
      </c>
      <c r="M113" s="3" t="s">
        <v>31</v>
      </c>
      <c r="N113" s="5">
        <v>1.0856804362885561E-2</v>
      </c>
      <c r="O113" s="3" t="s">
        <v>7</v>
      </c>
    </row>
    <row r="114" spans="2:15" x14ac:dyDescent="0.45">
      <c r="B114" s="6" t="s">
        <v>52</v>
      </c>
      <c r="C114" s="6" t="s">
        <v>32</v>
      </c>
      <c r="D114" s="7">
        <v>6.1325018600507965E-2</v>
      </c>
      <c r="E114" s="6" t="s">
        <v>7</v>
      </c>
      <c r="G114" s="6" t="s">
        <v>53</v>
      </c>
      <c r="H114" s="6" t="s">
        <v>32</v>
      </c>
      <c r="I114" s="8">
        <v>1.0610300118375089E-2</v>
      </c>
      <c r="J114" s="6" t="s">
        <v>7</v>
      </c>
      <c r="L114" s="6" t="s">
        <v>54</v>
      </c>
      <c r="M114" s="6" t="s">
        <v>32</v>
      </c>
      <c r="N114" s="8">
        <v>1.0481023396992809E-2</v>
      </c>
      <c r="O114" s="6" t="s">
        <v>7</v>
      </c>
    </row>
    <row r="115" spans="2:15" x14ac:dyDescent="0.45">
      <c r="B115" s="3" t="s">
        <v>52</v>
      </c>
      <c r="C115" s="3" t="s">
        <v>33</v>
      </c>
      <c r="D115" s="4">
        <v>8.2005319425783693E-2</v>
      </c>
      <c r="E115" s="3" t="s">
        <v>7</v>
      </c>
      <c r="G115" s="3" t="s">
        <v>53</v>
      </c>
      <c r="H115" s="3" t="s">
        <v>33</v>
      </c>
      <c r="I115" s="5">
        <v>1.16549942918968E-2</v>
      </c>
      <c r="J115" s="3" t="s">
        <v>7</v>
      </c>
      <c r="L115" s="3" t="s">
        <v>54</v>
      </c>
      <c r="M115" s="3" t="s">
        <v>33</v>
      </c>
      <c r="N115" s="5">
        <v>1.0336500315106875E-2</v>
      </c>
      <c r="O115" s="3" t="s">
        <v>7</v>
      </c>
    </row>
    <row r="116" spans="2:15" x14ac:dyDescent="0.45">
      <c r="B116" s="6" t="s">
        <v>52</v>
      </c>
      <c r="C116" s="6" t="s">
        <v>34</v>
      </c>
      <c r="D116" s="7">
        <v>8.5829374764835445E-2</v>
      </c>
      <c r="E116" s="6" t="s">
        <v>7</v>
      </c>
      <c r="G116" s="6" t="s">
        <v>53</v>
      </c>
      <c r="H116" s="6" t="s">
        <v>34</v>
      </c>
      <c r="I116" s="8">
        <v>1.2777368646184967E-2</v>
      </c>
      <c r="J116" s="6" t="s">
        <v>7</v>
      </c>
      <c r="L116" s="6" t="s">
        <v>54</v>
      </c>
      <c r="M116" s="6" t="s">
        <v>34</v>
      </c>
      <c r="N116" s="8">
        <v>1.1499363103295523E-2</v>
      </c>
      <c r="O116" s="6" t="s">
        <v>7</v>
      </c>
    </row>
    <row r="117" spans="2:15" x14ac:dyDescent="0.45">
      <c r="B117" s="3" t="s">
        <v>52</v>
      </c>
      <c r="C117" s="3" t="s">
        <v>35</v>
      </c>
      <c r="D117" s="4">
        <v>6.8728975298532891E-2</v>
      </c>
      <c r="E117" s="3" t="s">
        <v>7</v>
      </c>
      <c r="G117" s="3" t="s">
        <v>53</v>
      </c>
      <c r="H117" s="3" t="s">
        <v>35</v>
      </c>
      <c r="I117" s="5">
        <v>1.3360602197910592E-2</v>
      </c>
      <c r="J117" s="3" t="s">
        <v>7</v>
      </c>
      <c r="L117" s="3" t="s">
        <v>54</v>
      </c>
      <c r="M117" s="3" t="s">
        <v>35</v>
      </c>
      <c r="N117" s="5">
        <v>1.3407986003467131E-2</v>
      </c>
      <c r="O117" s="3" t="s">
        <v>7</v>
      </c>
    </row>
    <row r="118" spans="2:15" x14ac:dyDescent="0.45">
      <c r="B118" s="6" t="s">
        <v>52</v>
      </c>
      <c r="C118" s="6" t="s">
        <v>36</v>
      </c>
      <c r="D118" s="7">
        <v>3.5494238090971755E-2</v>
      </c>
      <c r="E118" s="6" t="s">
        <v>7</v>
      </c>
      <c r="G118" s="6" t="s">
        <v>53</v>
      </c>
      <c r="H118" s="6" t="s">
        <v>36</v>
      </c>
      <c r="I118" s="8">
        <v>1.2032678813970415E-2</v>
      </c>
      <c r="J118" s="6" t="s">
        <v>7</v>
      </c>
      <c r="L118" s="6" t="s">
        <v>54</v>
      </c>
      <c r="M118" s="6" t="s">
        <v>36</v>
      </c>
      <c r="N118" s="8">
        <v>1.4675849925215803E-2</v>
      </c>
      <c r="O118" s="6" t="s">
        <v>7</v>
      </c>
    </row>
    <row r="119" spans="2:15" x14ac:dyDescent="0.45">
      <c r="B119" s="3" t="s">
        <v>52</v>
      </c>
      <c r="C119" s="3" t="s">
        <v>37</v>
      </c>
      <c r="D119" s="4">
        <v>5.5855192382811307E-3</v>
      </c>
      <c r="E119" s="3" t="s">
        <v>7</v>
      </c>
      <c r="G119" s="3" t="s">
        <v>53</v>
      </c>
      <c r="H119" s="3" t="s">
        <v>37</v>
      </c>
      <c r="I119" s="5">
        <v>1.0594579938544318E-2</v>
      </c>
      <c r="J119" s="3" t="s">
        <v>7</v>
      </c>
      <c r="L119" s="3" t="s">
        <v>54</v>
      </c>
      <c r="M119" s="3" t="s">
        <v>37</v>
      </c>
      <c r="N119" s="5">
        <v>1.4690306024832419E-2</v>
      </c>
      <c r="O119" s="3" t="s">
        <v>7</v>
      </c>
    </row>
    <row r="120" spans="2:15" x14ac:dyDescent="0.45">
      <c r="B120" s="6" t="s">
        <v>52</v>
      </c>
      <c r="C120" s="6" t="s">
        <v>38</v>
      </c>
      <c r="D120" s="7">
        <v>1.1038522893333706E-4</v>
      </c>
      <c r="E120" s="6" t="s">
        <v>7</v>
      </c>
      <c r="G120" s="6" t="s">
        <v>53</v>
      </c>
      <c r="H120" s="6" t="s">
        <v>38</v>
      </c>
      <c r="I120" s="8">
        <v>1.4150724540307828E-2</v>
      </c>
      <c r="J120" s="6" t="s">
        <v>7</v>
      </c>
      <c r="L120" s="6" t="s">
        <v>54</v>
      </c>
      <c r="M120" s="6" t="s">
        <v>38</v>
      </c>
      <c r="N120" s="8">
        <v>2.0741830166506405E-2</v>
      </c>
      <c r="O120" s="6" t="s">
        <v>7</v>
      </c>
    </row>
    <row r="121" spans="2:15" x14ac:dyDescent="0.45">
      <c r="B121" s="3" t="s">
        <v>52</v>
      </c>
      <c r="C121" s="3" t="s">
        <v>39</v>
      </c>
      <c r="D121" s="4">
        <v>0</v>
      </c>
      <c r="E121" s="3" t="s">
        <v>7</v>
      </c>
      <c r="G121" s="3" t="s">
        <v>53</v>
      </c>
      <c r="H121" s="3" t="s">
        <v>39</v>
      </c>
      <c r="I121" s="5">
        <v>5.7748720117924569E-2</v>
      </c>
      <c r="J121" s="3" t="s">
        <v>7</v>
      </c>
      <c r="L121" s="3" t="s">
        <v>54</v>
      </c>
      <c r="M121" s="3" t="s">
        <v>39</v>
      </c>
      <c r="N121" s="5">
        <v>6.0627649518150271E-2</v>
      </c>
      <c r="O121" s="3" t="s">
        <v>7</v>
      </c>
    </row>
    <row r="122" spans="2:15" x14ac:dyDescent="0.45">
      <c r="B122" s="6" t="s">
        <v>52</v>
      </c>
      <c r="C122" s="6" t="s">
        <v>40</v>
      </c>
      <c r="D122" s="7">
        <v>1.0137552758538903E-6</v>
      </c>
      <c r="E122" s="6" t="s">
        <v>7</v>
      </c>
      <c r="G122" s="6" t="s">
        <v>53</v>
      </c>
      <c r="H122" s="6" t="s">
        <v>40</v>
      </c>
      <c r="I122" s="8">
        <v>2.2742375723686592E-2</v>
      </c>
      <c r="J122" s="6" t="s">
        <v>7</v>
      </c>
      <c r="L122" s="6" t="s">
        <v>54</v>
      </c>
      <c r="M122" s="6" t="s">
        <v>40</v>
      </c>
      <c r="N122" s="8">
        <v>2.3279094890120144E-2</v>
      </c>
      <c r="O122" s="6" t="s">
        <v>7</v>
      </c>
    </row>
    <row r="123" spans="2:15" x14ac:dyDescent="0.45">
      <c r="B123" s="3" t="s">
        <v>52</v>
      </c>
      <c r="C123" s="3" t="s">
        <v>41</v>
      </c>
      <c r="D123" s="4">
        <v>4.9000852264807961E-3</v>
      </c>
      <c r="E123" s="3" t="s">
        <v>7</v>
      </c>
      <c r="G123" s="3" t="s">
        <v>53</v>
      </c>
      <c r="H123" s="3" t="s">
        <v>41</v>
      </c>
      <c r="I123" s="5">
        <v>2.2114221402871288E-2</v>
      </c>
      <c r="J123" s="3" t="s">
        <v>7</v>
      </c>
      <c r="L123" s="3" t="s">
        <v>54</v>
      </c>
      <c r="M123" s="3" t="s">
        <v>41</v>
      </c>
      <c r="N123" s="5">
        <v>2.3077692416762118E-2</v>
      </c>
      <c r="O123" s="3" t="s">
        <v>7</v>
      </c>
    </row>
    <row r="124" spans="2:15" x14ac:dyDescent="0.45">
      <c r="B124" s="6" t="s">
        <v>52</v>
      </c>
      <c r="C124" s="6" t="s">
        <v>42</v>
      </c>
      <c r="D124" s="7">
        <v>3.2644841198859936E-2</v>
      </c>
      <c r="E124" s="6" t="s">
        <v>7</v>
      </c>
      <c r="G124" s="6" t="s">
        <v>53</v>
      </c>
      <c r="H124" s="6" t="s">
        <v>42</v>
      </c>
      <c r="I124" s="8">
        <v>2.2785285988691763E-2</v>
      </c>
      <c r="J124" s="6" t="s">
        <v>7</v>
      </c>
      <c r="L124" s="6" t="s">
        <v>54</v>
      </c>
      <c r="M124" s="6" t="s">
        <v>42</v>
      </c>
      <c r="N124" s="8">
        <v>2.3028077651561424E-2</v>
      </c>
      <c r="O124" s="6" t="s">
        <v>7</v>
      </c>
    </row>
    <row r="125" spans="2:15" x14ac:dyDescent="0.45">
      <c r="B125" s="3" t="s">
        <v>52</v>
      </c>
      <c r="C125" s="3" t="s">
        <v>43</v>
      </c>
      <c r="D125" s="4">
        <v>5.4524888791901448E-2</v>
      </c>
      <c r="E125" s="3" t="s">
        <v>7</v>
      </c>
      <c r="G125" s="3" t="s">
        <v>53</v>
      </c>
      <c r="H125" s="3" t="s">
        <v>43</v>
      </c>
      <c r="I125" s="5">
        <v>2.4201621149399982E-2</v>
      </c>
      <c r="J125" s="3" t="s">
        <v>7</v>
      </c>
      <c r="L125" s="3" t="s">
        <v>54</v>
      </c>
      <c r="M125" s="3" t="s">
        <v>43</v>
      </c>
      <c r="N125" s="5">
        <v>2.3265847851766646E-2</v>
      </c>
      <c r="O125" s="3" t="s">
        <v>7</v>
      </c>
    </row>
    <row r="126" spans="2:15" x14ac:dyDescent="0.45">
      <c r="B126" s="6" t="s">
        <v>52</v>
      </c>
      <c r="C126" s="6" t="s">
        <v>44</v>
      </c>
      <c r="D126" s="7">
        <v>5.1495776318278161E-2</v>
      </c>
      <c r="E126" s="6" t="s">
        <v>7</v>
      </c>
      <c r="G126" s="6" t="s">
        <v>53</v>
      </c>
      <c r="H126" s="6" t="s">
        <v>44</v>
      </c>
      <c r="I126" s="8">
        <v>2.4533335090104223E-2</v>
      </c>
      <c r="J126" s="6" t="s">
        <v>7</v>
      </c>
      <c r="L126" s="6" t="s">
        <v>54</v>
      </c>
      <c r="M126" s="6" t="s">
        <v>44</v>
      </c>
      <c r="N126" s="8">
        <v>2.3491354123899657E-2</v>
      </c>
      <c r="O126" s="6" t="s">
        <v>7</v>
      </c>
    </row>
    <row r="127" spans="2:15" x14ac:dyDescent="0.45">
      <c r="B127" s="3" t="s">
        <v>52</v>
      </c>
      <c r="C127" s="3" t="s">
        <v>45</v>
      </c>
      <c r="D127" s="4">
        <v>2.9097979081177949E-2</v>
      </c>
      <c r="E127" s="3" t="s">
        <v>7</v>
      </c>
      <c r="G127" s="3" t="s">
        <v>53</v>
      </c>
      <c r="H127" s="3" t="s">
        <v>45</v>
      </c>
      <c r="I127" s="5">
        <v>2.4316181566153366E-2</v>
      </c>
      <c r="J127" s="3" t="s">
        <v>7</v>
      </c>
      <c r="L127" s="3" t="s">
        <v>54</v>
      </c>
      <c r="M127" s="3" t="s">
        <v>45</v>
      </c>
      <c r="N127" s="5">
        <v>2.3736893904230037E-2</v>
      </c>
      <c r="O127" s="3" t="s">
        <v>7</v>
      </c>
    </row>
    <row r="128" spans="2:15" x14ac:dyDescent="0.45">
      <c r="B128" s="6" t="s">
        <v>52</v>
      </c>
      <c r="C128" s="6" t="s">
        <v>46</v>
      </c>
      <c r="D128" s="7">
        <v>5.7938196048743298E-3</v>
      </c>
      <c r="E128" s="6" t="s">
        <v>7</v>
      </c>
      <c r="G128" s="6" t="s">
        <v>53</v>
      </c>
      <c r="H128" s="6" t="s">
        <v>46</v>
      </c>
      <c r="I128" s="8">
        <v>2.3534175993838488E-2</v>
      </c>
      <c r="J128" s="6" t="s">
        <v>7</v>
      </c>
      <c r="L128" s="6" t="s">
        <v>54</v>
      </c>
      <c r="M128" s="6" t="s">
        <v>46</v>
      </c>
      <c r="N128" s="8">
        <v>2.4447296100056515E-2</v>
      </c>
      <c r="O128" s="6" t="s">
        <v>7</v>
      </c>
    </row>
    <row r="129" spans="2:15" x14ac:dyDescent="0.45">
      <c r="B129" s="3" t="s">
        <v>52</v>
      </c>
      <c r="C129" s="3" t="s">
        <v>47</v>
      </c>
      <c r="D129" s="4">
        <v>2.3900668761030452E-5</v>
      </c>
      <c r="E129" s="3" t="s">
        <v>7</v>
      </c>
      <c r="G129" s="3" t="s">
        <v>53</v>
      </c>
      <c r="H129" s="3" t="s">
        <v>47</v>
      </c>
      <c r="I129" s="5">
        <v>2.3435248999441154E-2</v>
      </c>
      <c r="J129" s="3" t="s">
        <v>7</v>
      </c>
      <c r="L129" s="3" t="s">
        <v>54</v>
      </c>
      <c r="M129" s="3" t="s">
        <v>47</v>
      </c>
      <c r="N129" s="5">
        <v>2.4895638876903617E-2</v>
      </c>
      <c r="O129" s="3" t="s">
        <v>7</v>
      </c>
    </row>
    <row r="130" spans="2:15" x14ac:dyDescent="0.45">
      <c r="B130" s="6" t="s">
        <v>52</v>
      </c>
      <c r="C130" s="6" t="s">
        <v>48</v>
      </c>
      <c r="D130" s="7">
        <v>0</v>
      </c>
      <c r="E130" s="6" t="s">
        <v>7</v>
      </c>
      <c r="G130" s="6" t="s">
        <v>53</v>
      </c>
      <c r="H130" s="6" t="s">
        <v>48</v>
      </c>
      <c r="I130" s="8">
        <v>3.4724635852051003E-2</v>
      </c>
      <c r="J130" s="6" t="s">
        <v>7</v>
      </c>
      <c r="L130" s="6" t="s">
        <v>54</v>
      </c>
      <c r="M130" s="6" t="s">
        <v>48</v>
      </c>
      <c r="N130" s="8">
        <v>3.7012709989286449E-2</v>
      </c>
      <c r="O130" s="6" t="s">
        <v>7</v>
      </c>
    </row>
    <row r="131" spans="2:15" x14ac:dyDescent="0.45">
      <c r="B131" s="3" t="s">
        <v>55</v>
      </c>
      <c r="C131" s="3" t="s">
        <v>6</v>
      </c>
      <c r="D131" s="4">
        <v>0</v>
      </c>
      <c r="E131" s="3" t="s">
        <v>7</v>
      </c>
      <c r="G131" s="3" t="s">
        <v>56</v>
      </c>
      <c r="H131" s="3" t="s">
        <v>6</v>
      </c>
      <c r="I131" s="5">
        <v>6.5471043216723895E-2</v>
      </c>
      <c r="J131" s="3" t="s">
        <v>7</v>
      </c>
      <c r="L131" s="3" t="s">
        <v>57</v>
      </c>
      <c r="M131" s="3" t="s">
        <v>6</v>
      </c>
      <c r="N131" s="5">
        <v>6.3100830223679877E-2</v>
      </c>
      <c r="O131" s="3" t="s">
        <v>7</v>
      </c>
    </row>
    <row r="132" spans="2:15" x14ac:dyDescent="0.45">
      <c r="B132" s="6" t="s">
        <v>55</v>
      </c>
      <c r="C132" s="6" t="s">
        <v>10</v>
      </c>
      <c r="D132" s="7">
        <v>0</v>
      </c>
      <c r="E132" s="6" t="s">
        <v>7</v>
      </c>
      <c r="G132" s="6" t="s">
        <v>56</v>
      </c>
      <c r="H132" s="6" t="s">
        <v>10</v>
      </c>
      <c r="I132" s="8">
        <v>2.5476352984588436E-2</v>
      </c>
      <c r="J132" s="6" t="s">
        <v>7</v>
      </c>
      <c r="L132" s="6" t="s">
        <v>57</v>
      </c>
      <c r="M132" s="6" t="s">
        <v>10</v>
      </c>
      <c r="N132" s="8">
        <v>2.5146572160712026E-2</v>
      </c>
      <c r="O132" s="6" t="s">
        <v>7</v>
      </c>
    </row>
    <row r="133" spans="2:15" x14ac:dyDescent="0.45">
      <c r="B133" s="3" t="s">
        <v>55</v>
      </c>
      <c r="C133" s="3" t="s">
        <v>11</v>
      </c>
      <c r="D133" s="4">
        <v>3.1137223389075138E-5</v>
      </c>
      <c r="E133" s="3" t="s">
        <v>7</v>
      </c>
      <c r="G133" s="3" t="s">
        <v>56</v>
      </c>
      <c r="H133" s="3" t="s">
        <v>11</v>
      </c>
      <c r="I133" s="5">
        <v>2.5619777171446138E-2</v>
      </c>
      <c r="J133" s="3" t="s">
        <v>7</v>
      </c>
      <c r="L133" s="3" t="s">
        <v>57</v>
      </c>
      <c r="M133" s="3" t="s">
        <v>11</v>
      </c>
      <c r="N133" s="5">
        <v>2.5470776954503144E-2</v>
      </c>
      <c r="O133" s="3" t="s">
        <v>7</v>
      </c>
    </row>
    <row r="134" spans="2:15" x14ac:dyDescent="0.45">
      <c r="B134" s="6" t="s">
        <v>55</v>
      </c>
      <c r="C134" s="6" t="s">
        <v>12</v>
      </c>
      <c r="D134" s="7">
        <v>9.7144806108552025E-3</v>
      </c>
      <c r="E134" s="6" t="s">
        <v>7</v>
      </c>
      <c r="G134" s="6" t="s">
        <v>56</v>
      </c>
      <c r="H134" s="6" t="s">
        <v>12</v>
      </c>
      <c r="I134" s="8">
        <v>2.5018038075397705E-2</v>
      </c>
      <c r="J134" s="6" t="s">
        <v>7</v>
      </c>
      <c r="L134" s="6" t="s">
        <v>57</v>
      </c>
      <c r="M134" s="6" t="s">
        <v>12</v>
      </c>
      <c r="N134" s="8">
        <v>2.5722968173954513E-2</v>
      </c>
      <c r="O134" s="6" t="s">
        <v>7</v>
      </c>
    </row>
    <row r="135" spans="2:15" x14ac:dyDescent="0.45">
      <c r="B135" s="3" t="s">
        <v>55</v>
      </c>
      <c r="C135" s="3" t="s">
        <v>13</v>
      </c>
      <c r="D135" s="4">
        <v>3.4056074102410953E-2</v>
      </c>
      <c r="E135" s="3" t="s">
        <v>7</v>
      </c>
      <c r="G135" s="3" t="s">
        <v>56</v>
      </c>
      <c r="H135" s="3" t="s">
        <v>13</v>
      </c>
      <c r="I135" s="5">
        <v>2.4272742183186452E-2</v>
      </c>
      <c r="J135" s="3" t="s">
        <v>7</v>
      </c>
      <c r="L135" s="3" t="s">
        <v>57</v>
      </c>
      <c r="M135" s="3" t="s">
        <v>13</v>
      </c>
      <c r="N135" s="5">
        <v>2.5533361847329433E-2</v>
      </c>
      <c r="O135" s="3" t="s">
        <v>7</v>
      </c>
    </row>
    <row r="136" spans="2:15" x14ac:dyDescent="0.45">
      <c r="B136" s="6" t="s">
        <v>55</v>
      </c>
      <c r="C136" s="6" t="s">
        <v>14</v>
      </c>
      <c r="D136" s="7">
        <v>3.8614837524737572E-2</v>
      </c>
      <c r="E136" s="6" t="s">
        <v>7</v>
      </c>
      <c r="G136" s="6" t="s">
        <v>56</v>
      </c>
      <c r="H136" s="6" t="s">
        <v>14</v>
      </c>
      <c r="I136" s="8">
        <v>2.444470023574653E-2</v>
      </c>
      <c r="J136" s="6" t="s">
        <v>7</v>
      </c>
      <c r="L136" s="6" t="s">
        <v>57</v>
      </c>
      <c r="M136" s="6" t="s">
        <v>14</v>
      </c>
      <c r="N136" s="8">
        <v>2.5086583782873453E-2</v>
      </c>
      <c r="O136" s="6" t="s">
        <v>7</v>
      </c>
    </row>
    <row r="137" spans="2:15" x14ac:dyDescent="0.45">
      <c r="B137" s="3" t="s">
        <v>55</v>
      </c>
      <c r="C137" s="3" t="s">
        <v>15</v>
      </c>
      <c r="D137" s="4">
        <v>1.9217005952378321E-2</v>
      </c>
      <c r="E137" s="3" t="s">
        <v>7</v>
      </c>
      <c r="G137" s="3" t="s">
        <v>56</v>
      </c>
      <c r="H137" s="3" t="s">
        <v>15</v>
      </c>
      <c r="I137" s="5">
        <v>2.4616670736558703E-2</v>
      </c>
      <c r="J137" s="3" t="s">
        <v>7</v>
      </c>
      <c r="L137" s="3" t="s">
        <v>57</v>
      </c>
      <c r="M137" s="3" t="s">
        <v>15</v>
      </c>
      <c r="N137" s="5">
        <v>2.4406812083851162E-2</v>
      </c>
      <c r="O137" s="3" t="s">
        <v>7</v>
      </c>
    </row>
    <row r="138" spans="2:15" x14ac:dyDescent="0.45">
      <c r="B138" s="6" t="s">
        <v>55</v>
      </c>
      <c r="C138" s="6" t="s">
        <v>16</v>
      </c>
      <c r="D138" s="7">
        <v>2.1084529215956715E-3</v>
      </c>
      <c r="E138" s="6" t="s">
        <v>7</v>
      </c>
      <c r="G138" s="6" t="s">
        <v>56</v>
      </c>
      <c r="H138" s="6" t="s">
        <v>16</v>
      </c>
      <c r="I138" s="8">
        <v>2.5124003378212505E-2</v>
      </c>
      <c r="J138" s="6" t="s">
        <v>7</v>
      </c>
      <c r="L138" s="6" t="s">
        <v>57</v>
      </c>
      <c r="M138" s="6" t="s">
        <v>16</v>
      </c>
      <c r="N138" s="8">
        <v>2.4370800161815892E-2</v>
      </c>
      <c r="O138" s="6" t="s">
        <v>7</v>
      </c>
    </row>
    <row r="139" spans="2:15" x14ac:dyDescent="0.45">
      <c r="B139" s="3" t="s">
        <v>55</v>
      </c>
      <c r="C139" s="3" t="s">
        <v>17</v>
      </c>
      <c r="D139" s="4">
        <v>0</v>
      </c>
      <c r="E139" s="3" t="s">
        <v>7</v>
      </c>
      <c r="G139" s="3" t="s">
        <v>56</v>
      </c>
      <c r="H139" s="3" t="s">
        <v>17</v>
      </c>
      <c r="I139" s="5">
        <v>2.5866952942435135E-2</v>
      </c>
      <c r="J139" s="3" t="s">
        <v>7</v>
      </c>
      <c r="L139" s="3" t="s">
        <v>57</v>
      </c>
      <c r="M139" s="3" t="s">
        <v>17</v>
      </c>
      <c r="N139" s="5">
        <v>2.4445742379828168E-2</v>
      </c>
      <c r="O139" s="3" t="s">
        <v>7</v>
      </c>
    </row>
    <row r="140" spans="2:15" x14ac:dyDescent="0.45">
      <c r="B140" s="6" t="s">
        <v>55</v>
      </c>
      <c r="C140" s="6" t="s">
        <v>18</v>
      </c>
      <c r="D140" s="7">
        <v>0</v>
      </c>
      <c r="E140" s="6" t="s">
        <v>7</v>
      </c>
      <c r="G140" s="6" t="s">
        <v>56</v>
      </c>
      <c r="H140" s="6" t="s">
        <v>18</v>
      </c>
      <c r="I140" s="8">
        <v>3.9204475035406895E-2</v>
      </c>
      <c r="J140" s="6" t="s">
        <v>7</v>
      </c>
      <c r="L140" s="6" t="s">
        <v>57</v>
      </c>
      <c r="M140" s="6" t="s">
        <v>18</v>
      </c>
      <c r="N140" s="8">
        <v>3.6695344285575408E-2</v>
      </c>
      <c r="O140" s="6" t="s">
        <v>7</v>
      </c>
    </row>
    <row r="141" spans="2:15" x14ac:dyDescent="0.45">
      <c r="B141" s="3" t="s">
        <v>55</v>
      </c>
      <c r="C141" s="3" t="s">
        <v>19</v>
      </c>
      <c r="D141" s="4">
        <v>0</v>
      </c>
      <c r="E141" s="3" t="s">
        <v>7</v>
      </c>
      <c r="G141" s="3" t="s">
        <v>56</v>
      </c>
      <c r="H141" s="3" t="s">
        <v>19</v>
      </c>
      <c r="I141" s="5">
        <v>4.7336218775173182E-2</v>
      </c>
      <c r="J141" s="3" t="s">
        <v>7</v>
      </c>
      <c r="L141" s="3" t="s">
        <v>57</v>
      </c>
      <c r="M141" s="3" t="s">
        <v>19</v>
      </c>
      <c r="N141" s="5">
        <v>5.4038826687793286E-2</v>
      </c>
      <c r="O141" s="3" t="s">
        <v>7</v>
      </c>
    </row>
    <row r="142" spans="2:15" x14ac:dyDescent="0.45">
      <c r="B142" s="6" t="s">
        <v>55</v>
      </c>
      <c r="C142" s="6" t="s">
        <v>20</v>
      </c>
      <c r="D142" s="7">
        <v>1.2279295207619017E-3</v>
      </c>
      <c r="E142" s="6" t="s">
        <v>7</v>
      </c>
      <c r="G142" s="6" t="s">
        <v>56</v>
      </c>
      <c r="H142" s="6" t="s">
        <v>20</v>
      </c>
      <c r="I142" s="8">
        <v>1.7821629420668547E-2</v>
      </c>
      <c r="J142" s="6" t="s">
        <v>7</v>
      </c>
      <c r="L142" s="6" t="s">
        <v>57</v>
      </c>
      <c r="M142" s="6" t="s">
        <v>20</v>
      </c>
      <c r="N142" s="8">
        <v>2.1514981629279291E-2</v>
      </c>
      <c r="O142" s="6" t="s">
        <v>7</v>
      </c>
    </row>
    <row r="143" spans="2:15" x14ac:dyDescent="0.45">
      <c r="B143" s="3" t="s">
        <v>55</v>
      </c>
      <c r="C143" s="3" t="s">
        <v>21</v>
      </c>
      <c r="D143" s="4">
        <v>1.9213683269703231E-2</v>
      </c>
      <c r="E143" s="3" t="s">
        <v>7</v>
      </c>
      <c r="G143" s="3" t="s">
        <v>56</v>
      </c>
      <c r="H143" s="3" t="s">
        <v>21</v>
      </c>
      <c r="I143" s="5">
        <v>1.7889536162343959E-2</v>
      </c>
      <c r="J143" s="3" t="s">
        <v>7</v>
      </c>
      <c r="L143" s="3" t="s">
        <v>57</v>
      </c>
      <c r="M143" s="3" t="s">
        <v>21</v>
      </c>
      <c r="N143" s="5">
        <v>2.1333145205275801E-2</v>
      </c>
      <c r="O143" s="3" t="s">
        <v>7</v>
      </c>
    </row>
    <row r="144" spans="2:15" x14ac:dyDescent="0.45">
      <c r="B144" s="6" t="s">
        <v>55</v>
      </c>
      <c r="C144" s="6" t="s">
        <v>22</v>
      </c>
      <c r="D144" s="7">
        <v>6.1514682940694627E-2</v>
      </c>
      <c r="E144" s="6" t="s">
        <v>7</v>
      </c>
      <c r="G144" s="6" t="s">
        <v>56</v>
      </c>
      <c r="H144" s="6" t="s">
        <v>22</v>
      </c>
      <c r="I144" s="8">
        <v>1.8901105391116779E-2</v>
      </c>
      <c r="J144" s="6" t="s">
        <v>7</v>
      </c>
      <c r="L144" s="6" t="s">
        <v>57</v>
      </c>
      <c r="M144" s="6" t="s">
        <v>22</v>
      </c>
      <c r="N144" s="8">
        <v>2.0866487260377535E-2</v>
      </c>
      <c r="O144" s="6" t="s">
        <v>7</v>
      </c>
    </row>
    <row r="145" spans="2:15" x14ac:dyDescent="0.45">
      <c r="B145" s="3" t="s">
        <v>55</v>
      </c>
      <c r="C145" s="3" t="s">
        <v>23</v>
      </c>
      <c r="D145" s="4">
        <v>9.0519361465536102E-2</v>
      </c>
      <c r="E145" s="3" t="s">
        <v>7</v>
      </c>
      <c r="G145" s="3" t="s">
        <v>56</v>
      </c>
      <c r="H145" s="3" t="s">
        <v>23</v>
      </c>
      <c r="I145" s="5">
        <v>1.9882309768296427E-2</v>
      </c>
      <c r="J145" s="3" t="s">
        <v>7</v>
      </c>
      <c r="L145" s="3" t="s">
        <v>57</v>
      </c>
      <c r="M145" s="3" t="s">
        <v>23</v>
      </c>
      <c r="N145" s="5">
        <v>2.0326775494019001E-2</v>
      </c>
      <c r="O145" s="3" t="s">
        <v>7</v>
      </c>
    </row>
    <row r="146" spans="2:15" x14ac:dyDescent="0.45">
      <c r="B146" s="6" t="s">
        <v>55</v>
      </c>
      <c r="C146" s="6" t="s">
        <v>24</v>
      </c>
      <c r="D146" s="7">
        <v>9.2998913040864079E-2</v>
      </c>
      <c r="E146" s="6" t="s">
        <v>7</v>
      </c>
      <c r="G146" s="6" t="s">
        <v>56</v>
      </c>
      <c r="H146" s="6" t="s">
        <v>24</v>
      </c>
      <c r="I146" s="8">
        <v>2.0820408403219862E-2</v>
      </c>
      <c r="J146" s="6" t="s">
        <v>7</v>
      </c>
      <c r="L146" s="6" t="s">
        <v>57</v>
      </c>
      <c r="M146" s="6" t="s">
        <v>24</v>
      </c>
      <c r="N146" s="8">
        <v>2.0177213996754723E-2</v>
      </c>
      <c r="O146" s="6" t="s">
        <v>7</v>
      </c>
    </row>
    <row r="147" spans="2:15" x14ac:dyDescent="0.45">
      <c r="B147" s="3" t="s">
        <v>55</v>
      </c>
      <c r="C147" s="3" t="s">
        <v>25</v>
      </c>
      <c r="D147" s="4">
        <v>7.0758008130471006E-2</v>
      </c>
      <c r="E147" s="3" t="s">
        <v>7</v>
      </c>
      <c r="G147" s="3" t="s">
        <v>56</v>
      </c>
      <c r="H147" s="3" t="s">
        <v>25</v>
      </c>
      <c r="I147" s="5">
        <v>2.1309932840179045E-2</v>
      </c>
      <c r="J147" s="3" t="s">
        <v>7</v>
      </c>
      <c r="L147" s="3" t="s">
        <v>57</v>
      </c>
      <c r="M147" s="3" t="s">
        <v>25</v>
      </c>
      <c r="N147" s="5">
        <v>2.0134680373375628E-2</v>
      </c>
      <c r="O147" s="3" t="s">
        <v>7</v>
      </c>
    </row>
    <row r="148" spans="2:15" x14ac:dyDescent="0.45">
      <c r="B148" s="6" t="s">
        <v>55</v>
      </c>
      <c r="C148" s="6" t="s">
        <v>26</v>
      </c>
      <c r="D148" s="7">
        <v>3.0810001400180507E-2</v>
      </c>
      <c r="E148" s="6" t="s">
        <v>7</v>
      </c>
      <c r="G148" s="6" t="s">
        <v>56</v>
      </c>
      <c r="H148" s="6" t="s">
        <v>26</v>
      </c>
      <c r="I148" s="8">
        <v>2.1091731244226211E-2</v>
      </c>
      <c r="J148" s="6" t="s">
        <v>7</v>
      </c>
      <c r="L148" s="6" t="s">
        <v>57</v>
      </c>
      <c r="M148" s="6" t="s">
        <v>26</v>
      </c>
      <c r="N148" s="8">
        <v>2.0471304305137095E-2</v>
      </c>
      <c r="O148" s="6" t="s">
        <v>7</v>
      </c>
    </row>
    <row r="149" spans="2:15" x14ac:dyDescent="0.45">
      <c r="B149" s="3" t="s">
        <v>55</v>
      </c>
      <c r="C149" s="3" t="s">
        <v>27</v>
      </c>
      <c r="D149" s="4">
        <v>2.5987529546539325E-3</v>
      </c>
      <c r="E149" s="3" t="s">
        <v>7</v>
      </c>
      <c r="G149" s="3" t="s">
        <v>56</v>
      </c>
      <c r="H149" s="3" t="s">
        <v>27</v>
      </c>
      <c r="I149" s="5">
        <v>2.0934586715007707E-2</v>
      </c>
      <c r="J149" s="3" t="s">
        <v>7</v>
      </c>
      <c r="L149" s="3" t="s">
        <v>57</v>
      </c>
      <c r="M149" s="3" t="s">
        <v>27</v>
      </c>
      <c r="N149" s="5">
        <v>2.1149581825376209E-2</v>
      </c>
      <c r="O149" s="3" t="s">
        <v>7</v>
      </c>
    </row>
    <row r="150" spans="2:15" x14ac:dyDescent="0.45">
      <c r="B150" s="6" t="s">
        <v>55</v>
      </c>
      <c r="C150" s="6" t="s">
        <v>28</v>
      </c>
      <c r="D150" s="7">
        <v>2.1898277440397265E-5</v>
      </c>
      <c r="E150" s="6" t="s">
        <v>7</v>
      </c>
      <c r="G150" s="6" t="s">
        <v>56</v>
      </c>
      <c r="H150" s="6" t="s">
        <v>28</v>
      </c>
      <c r="I150" s="8">
        <v>3.0481388884519081E-2</v>
      </c>
      <c r="J150" s="6" t="s">
        <v>7</v>
      </c>
      <c r="L150" s="6" t="s">
        <v>57</v>
      </c>
      <c r="M150" s="6" t="s">
        <v>28</v>
      </c>
      <c r="N150" s="8">
        <v>3.2381410338702309E-2</v>
      </c>
      <c r="O150" s="6" t="s">
        <v>7</v>
      </c>
    </row>
    <row r="151" spans="2:15" x14ac:dyDescent="0.45">
      <c r="B151" s="3" t="s">
        <v>55</v>
      </c>
      <c r="C151" s="3" t="s">
        <v>29</v>
      </c>
      <c r="D151" s="4">
        <v>4.0249428493115024E-6</v>
      </c>
      <c r="E151" s="3" t="s">
        <v>7</v>
      </c>
      <c r="G151" s="3" t="s">
        <v>56</v>
      </c>
      <c r="H151" s="3" t="s">
        <v>29</v>
      </c>
      <c r="I151" s="5">
        <v>3.5606482398042455E-2</v>
      </c>
      <c r="J151" s="3" t="s">
        <v>7</v>
      </c>
      <c r="L151" s="3" t="s">
        <v>57</v>
      </c>
      <c r="M151" s="3" t="s">
        <v>29</v>
      </c>
      <c r="N151" s="5">
        <v>3.3140691630270731E-2</v>
      </c>
      <c r="O151" s="3" t="s">
        <v>7</v>
      </c>
    </row>
    <row r="152" spans="2:15" x14ac:dyDescent="0.45">
      <c r="B152" s="6" t="s">
        <v>55</v>
      </c>
      <c r="C152" s="6" t="s">
        <v>30</v>
      </c>
      <c r="D152" s="7">
        <v>3.0205527559846752E-3</v>
      </c>
      <c r="E152" s="6" t="s">
        <v>7</v>
      </c>
      <c r="G152" s="6" t="s">
        <v>56</v>
      </c>
      <c r="H152" s="6" t="s">
        <v>30</v>
      </c>
      <c r="I152" s="8">
        <v>1.460425184316236E-2</v>
      </c>
      <c r="J152" s="6" t="s">
        <v>7</v>
      </c>
      <c r="L152" s="6" t="s">
        <v>57</v>
      </c>
      <c r="M152" s="6" t="s">
        <v>30</v>
      </c>
      <c r="N152" s="8">
        <v>1.3428833708047032E-2</v>
      </c>
      <c r="O152" s="6" t="s">
        <v>7</v>
      </c>
    </row>
    <row r="153" spans="2:15" x14ac:dyDescent="0.45">
      <c r="B153" s="3" t="s">
        <v>55</v>
      </c>
      <c r="C153" s="3" t="s">
        <v>31</v>
      </c>
      <c r="D153" s="4">
        <v>2.3437156079680655E-2</v>
      </c>
      <c r="E153" s="3" t="s">
        <v>7</v>
      </c>
      <c r="G153" s="3" t="s">
        <v>56</v>
      </c>
      <c r="H153" s="3" t="s">
        <v>31</v>
      </c>
      <c r="I153" s="5">
        <v>1.5389371384965359E-2</v>
      </c>
      <c r="J153" s="3" t="s">
        <v>7</v>
      </c>
      <c r="L153" s="3" t="s">
        <v>57</v>
      </c>
      <c r="M153" s="3" t="s">
        <v>31</v>
      </c>
      <c r="N153" s="5">
        <v>1.3898178688474556E-2</v>
      </c>
      <c r="O153" s="3" t="s">
        <v>7</v>
      </c>
    </row>
    <row r="154" spans="2:15" x14ac:dyDescent="0.45">
      <c r="B154" s="6" t="s">
        <v>55</v>
      </c>
      <c r="C154" s="6" t="s">
        <v>32</v>
      </c>
      <c r="D154" s="7">
        <v>5.7431100638661373E-2</v>
      </c>
      <c r="E154" s="6" t="s">
        <v>7</v>
      </c>
      <c r="G154" s="6" t="s">
        <v>56</v>
      </c>
      <c r="H154" s="6" t="s">
        <v>32</v>
      </c>
      <c r="I154" s="8">
        <v>1.6059542687785956E-2</v>
      </c>
      <c r="J154" s="6" t="s">
        <v>7</v>
      </c>
      <c r="L154" s="6" t="s">
        <v>57</v>
      </c>
      <c r="M154" s="6" t="s">
        <v>32</v>
      </c>
      <c r="N154" s="8">
        <v>1.3715117198504819E-2</v>
      </c>
      <c r="O154" s="6" t="s">
        <v>7</v>
      </c>
    </row>
    <row r="155" spans="2:15" x14ac:dyDescent="0.45">
      <c r="B155" s="3" t="s">
        <v>55</v>
      </c>
      <c r="C155" s="3" t="s">
        <v>33</v>
      </c>
      <c r="D155" s="4">
        <v>7.9721686552503765E-2</v>
      </c>
      <c r="E155" s="3" t="s">
        <v>7</v>
      </c>
      <c r="G155" s="3" t="s">
        <v>56</v>
      </c>
      <c r="H155" s="3" t="s">
        <v>33</v>
      </c>
      <c r="I155" s="5">
        <v>1.654021944542837E-2</v>
      </c>
      <c r="J155" s="3" t="s">
        <v>7</v>
      </c>
      <c r="L155" s="3" t="s">
        <v>57</v>
      </c>
      <c r="M155" s="3" t="s">
        <v>33</v>
      </c>
      <c r="N155" s="5">
        <v>1.2974550048468203E-2</v>
      </c>
      <c r="O155" s="3" t="s">
        <v>7</v>
      </c>
    </row>
    <row r="156" spans="2:15" x14ac:dyDescent="0.45">
      <c r="B156" s="6" t="s">
        <v>55</v>
      </c>
      <c r="C156" s="6" t="s">
        <v>34</v>
      </c>
      <c r="D156" s="7">
        <v>8.5940209570839005E-2</v>
      </c>
      <c r="E156" s="6" t="s">
        <v>7</v>
      </c>
      <c r="G156" s="6" t="s">
        <v>56</v>
      </c>
      <c r="H156" s="6" t="s">
        <v>34</v>
      </c>
      <c r="I156" s="8">
        <v>1.6665104539618503E-2</v>
      </c>
      <c r="J156" s="6" t="s">
        <v>7</v>
      </c>
      <c r="L156" s="6" t="s">
        <v>57</v>
      </c>
      <c r="M156" s="6" t="s">
        <v>34</v>
      </c>
      <c r="N156" s="8">
        <v>1.2618661776864793E-2</v>
      </c>
      <c r="O156" s="6" t="s">
        <v>7</v>
      </c>
    </row>
    <row r="157" spans="2:15" x14ac:dyDescent="0.45">
      <c r="B157" s="3" t="s">
        <v>55</v>
      </c>
      <c r="C157" s="3" t="s">
        <v>35</v>
      </c>
      <c r="D157" s="4">
        <v>7.1278552362294037E-2</v>
      </c>
      <c r="E157" s="3" t="s">
        <v>7</v>
      </c>
      <c r="G157" s="3" t="s">
        <v>56</v>
      </c>
      <c r="H157" s="3" t="s">
        <v>35</v>
      </c>
      <c r="I157" s="5">
        <v>1.6315587432836051E-2</v>
      </c>
      <c r="J157" s="3" t="s">
        <v>7</v>
      </c>
      <c r="L157" s="3" t="s">
        <v>57</v>
      </c>
      <c r="M157" s="3" t="s">
        <v>35</v>
      </c>
      <c r="N157" s="5">
        <v>1.2874080624639829E-2</v>
      </c>
      <c r="O157" s="3" t="s">
        <v>7</v>
      </c>
    </row>
    <row r="158" spans="2:15" x14ac:dyDescent="0.45">
      <c r="B158" s="6" t="s">
        <v>55</v>
      </c>
      <c r="C158" s="6" t="s">
        <v>36</v>
      </c>
      <c r="D158" s="7">
        <v>3.7139002973358586E-2</v>
      </c>
      <c r="E158" s="6" t="s">
        <v>7</v>
      </c>
      <c r="G158" s="6" t="s">
        <v>56</v>
      </c>
      <c r="H158" s="6" t="s">
        <v>36</v>
      </c>
      <c r="I158" s="8">
        <v>1.5554285858702936E-2</v>
      </c>
      <c r="J158" s="6" t="s">
        <v>7</v>
      </c>
      <c r="L158" s="6" t="s">
        <v>57</v>
      </c>
      <c r="M158" s="6" t="s">
        <v>36</v>
      </c>
      <c r="N158" s="8">
        <v>1.351682858206609E-2</v>
      </c>
      <c r="O158" s="6" t="s">
        <v>7</v>
      </c>
    </row>
    <row r="159" spans="2:15" x14ac:dyDescent="0.45">
      <c r="B159" s="3" t="s">
        <v>55</v>
      </c>
      <c r="C159" s="3" t="s">
        <v>37</v>
      </c>
      <c r="D159" s="4">
        <v>6.9233380507168077E-3</v>
      </c>
      <c r="E159" s="3" t="s">
        <v>7</v>
      </c>
      <c r="G159" s="3" t="s">
        <v>56</v>
      </c>
      <c r="H159" s="3" t="s">
        <v>37</v>
      </c>
      <c r="I159" s="5">
        <v>1.4710870973158251E-2</v>
      </c>
      <c r="J159" s="3" t="s">
        <v>7</v>
      </c>
      <c r="L159" s="3" t="s">
        <v>57</v>
      </c>
      <c r="M159" s="3" t="s">
        <v>37</v>
      </c>
      <c r="N159" s="5">
        <v>1.4001380090244955E-2</v>
      </c>
      <c r="O159" s="3" t="s">
        <v>7</v>
      </c>
    </row>
    <row r="160" spans="2:15" x14ac:dyDescent="0.45">
      <c r="B160" s="6" t="s">
        <v>55</v>
      </c>
      <c r="C160" s="6" t="s">
        <v>38</v>
      </c>
      <c r="D160" s="7">
        <v>2.6925097211706953E-4</v>
      </c>
      <c r="E160" s="6" t="s">
        <v>7</v>
      </c>
      <c r="G160" s="6" t="s">
        <v>56</v>
      </c>
      <c r="H160" s="6" t="s">
        <v>38</v>
      </c>
      <c r="I160" s="8">
        <v>2.1161399429222925E-2</v>
      </c>
      <c r="J160" s="6" t="s">
        <v>7</v>
      </c>
      <c r="L160" s="6" t="s">
        <v>57</v>
      </c>
      <c r="M160" s="6" t="s">
        <v>38</v>
      </c>
      <c r="N160" s="8">
        <v>2.0988619830920364E-2</v>
      </c>
      <c r="O160" s="6" t="s">
        <v>7</v>
      </c>
    </row>
    <row r="161" spans="2:15" x14ac:dyDescent="0.45">
      <c r="B161" s="3" t="s">
        <v>55</v>
      </c>
      <c r="C161" s="3" t="s">
        <v>39</v>
      </c>
      <c r="D161" s="4">
        <v>0</v>
      </c>
      <c r="E161" s="3" t="s">
        <v>7</v>
      </c>
      <c r="G161" s="3" t="s">
        <v>56</v>
      </c>
      <c r="H161" s="3" t="s">
        <v>39</v>
      </c>
      <c r="I161" s="5">
        <v>5.6824793187715189E-2</v>
      </c>
      <c r="J161" s="3" t="s">
        <v>7</v>
      </c>
      <c r="L161" s="3" t="s">
        <v>57</v>
      </c>
      <c r="M161" s="3" t="s">
        <v>39</v>
      </c>
      <c r="N161" s="5">
        <v>6.0501703174162633E-2</v>
      </c>
      <c r="O161" s="3" t="s">
        <v>7</v>
      </c>
    </row>
    <row r="162" spans="2:15" x14ac:dyDescent="0.45">
      <c r="B162" s="6" t="s">
        <v>55</v>
      </c>
      <c r="C162" s="6" t="s">
        <v>40</v>
      </c>
      <c r="D162" s="7">
        <v>0</v>
      </c>
      <c r="E162" s="6" t="s">
        <v>7</v>
      </c>
      <c r="G162" s="6" t="s">
        <v>56</v>
      </c>
      <c r="H162" s="6" t="s">
        <v>40</v>
      </c>
      <c r="I162" s="8">
        <v>2.216719285646385E-2</v>
      </c>
      <c r="J162" s="6" t="s">
        <v>7</v>
      </c>
      <c r="L162" s="6" t="s">
        <v>57</v>
      </c>
      <c r="M162" s="6" t="s">
        <v>40</v>
      </c>
      <c r="N162" s="8">
        <v>2.3489878844324304E-2</v>
      </c>
      <c r="O162" s="6" t="s">
        <v>7</v>
      </c>
    </row>
    <row r="163" spans="2:15" x14ac:dyDescent="0.45">
      <c r="B163" s="3" t="s">
        <v>55</v>
      </c>
      <c r="C163" s="3" t="s">
        <v>41</v>
      </c>
      <c r="D163" s="4">
        <v>3.4893644989934403E-3</v>
      </c>
      <c r="E163" s="3" t="s">
        <v>7</v>
      </c>
      <c r="G163" s="3" t="s">
        <v>56</v>
      </c>
      <c r="H163" s="3" t="s">
        <v>41</v>
      </c>
      <c r="I163" s="5">
        <v>2.2274759251795451E-2</v>
      </c>
      <c r="J163" s="3" t="s">
        <v>7</v>
      </c>
      <c r="L163" s="3" t="s">
        <v>57</v>
      </c>
      <c r="M163" s="3" t="s">
        <v>41</v>
      </c>
      <c r="N163" s="5">
        <v>2.3107913874759804E-2</v>
      </c>
      <c r="O163" s="3" t="s">
        <v>7</v>
      </c>
    </row>
    <row r="164" spans="2:15" x14ac:dyDescent="0.45">
      <c r="B164" s="6" t="s">
        <v>55</v>
      </c>
      <c r="C164" s="6" t="s">
        <v>42</v>
      </c>
      <c r="D164" s="7">
        <v>2.5233405504333655E-2</v>
      </c>
      <c r="E164" s="6" t="s">
        <v>7</v>
      </c>
      <c r="G164" s="6" t="s">
        <v>56</v>
      </c>
      <c r="H164" s="6" t="s">
        <v>42</v>
      </c>
      <c r="I164" s="8">
        <v>2.2811510193726504E-2</v>
      </c>
      <c r="J164" s="6" t="s">
        <v>7</v>
      </c>
      <c r="L164" s="6" t="s">
        <v>57</v>
      </c>
      <c r="M164" s="6" t="s">
        <v>42</v>
      </c>
      <c r="N164" s="8">
        <v>2.2846070162036023E-2</v>
      </c>
      <c r="O164" s="6" t="s">
        <v>7</v>
      </c>
    </row>
    <row r="165" spans="2:15" x14ac:dyDescent="0.45">
      <c r="B165" s="3" t="s">
        <v>55</v>
      </c>
      <c r="C165" s="3" t="s">
        <v>43</v>
      </c>
      <c r="D165" s="4">
        <v>4.8388828856916484E-2</v>
      </c>
      <c r="E165" s="3" t="s">
        <v>7</v>
      </c>
      <c r="G165" s="3" t="s">
        <v>56</v>
      </c>
      <c r="H165" s="3" t="s">
        <v>43</v>
      </c>
      <c r="I165" s="5">
        <v>2.3496925225591821E-2</v>
      </c>
      <c r="J165" s="3" t="s">
        <v>7</v>
      </c>
      <c r="L165" s="3" t="s">
        <v>57</v>
      </c>
      <c r="M165" s="3" t="s">
        <v>43</v>
      </c>
      <c r="N165" s="5">
        <v>2.3174577188105502E-2</v>
      </c>
      <c r="O165" s="3" t="s">
        <v>7</v>
      </c>
    </row>
    <row r="166" spans="2:15" x14ac:dyDescent="0.45">
      <c r="B166" s="6" t="s">
        <v>55</v>
      </c>
      <c r="C166" s="6" t="s">
        <v>44</v>
      </c>
      <c r="D166" s="7">
        <v>4.9560709793103293E-2</v>
      </c>
      <c r="E166" s="6" t="s">
        <v>7</v>
      </c>
      <c r="G166" s="6" t="s">
        <v>56</v>
      </c>
      <c r="H166" s="6" t="s">
        <v>44</v>
      </c>
      <c r="I166" s="8">
        <v>2.3476024838901804E-2</v>
      </c>
      <c r="J166" s="6" t="s">
        <v>7</v>
      </c>
      <c r="L166" s="6" t="s">
        <v>57</v>
      </c>
      <c r="M166" s="6" t="s">
        <v>44</v>
      </c>
      <c r="N166" s="8">
        <v>2.3693924630337614E-2</v>
      </c>
      <c r="O166" s="6" t="s">
        <v>7</v>
      </c>
    </row>
    <row r="167" spans="2:15" x14ac:dyDescent="0.45">
      <c r="B167" s="3" t="s">
        <v>55</v>
      </c>
      <c r="C167" s="3" t="s">
        <v>45</v>
      </c>
      <c r="D167" s="4">
        <v>2.8470953796468433E-2</v>
      </c>
      <c r="E167" s="3" t="s">
        <v>7</v>
      </c>
      <c r="G167" s="3" t="s">
        <v>56</v>
      </c>
      <c r="H167" s="3" t="s">
        <v>45</v>
      </c>
      <c r="I167" s="5">
        <v>2.3123924151397961E-2</v>
      </c>
      <c r="J167" s="3" t="s">
        <v>7</v>
      </c>
      <c r="L167" s="3" t="s">
        <v>57</v>
      </c>
      <c r="M167" s="3" t="s">
        <v>45</v>
      </c>
      <c r="N167" s="5">
        <v>2.379237626817058E-2</v>
      </c>
      <c r="O167" s="3" t="s">
        <v>7</v>
      </c>
    </row>
    <row r="168" spans="2:15" x14ac:dyDescent="0.45">
      <c r="B168" s="6" t="s">
        <v>55</v>
      </c>
      <c r="C168" s="6" t="s">
        <v>46</v>
      </c>
      <c r="D168" s="7">
        <v>6.2473678902284589E-3</v>
      </c>
      <c r="E168" s="6" t="s">
        <v>7</v>
      </c>
      <c r="G168" s="6" t="s">
        <v>56</v>
      </c>
      <c r="H168" s="6" t="s">
        <v>46</v>
      </c>
      <c r="I168" s="8">
        <v>2.2996620463751453E-2</v>
      </c>
      <c r="J168" s="6" t="s">
        <v>7</v>
      </c>
      <c r="L168" s="6" t="s">
        <v>57</v>
      </c>
      <c r="M168" s="6" t="s">
        <v>46</v>
      </c>
      <c r="N168" s="8">
        <v>2.4151034066479029E-2</v>
      </c>
      <c r="O168" s="6" t="s">
        <v>7</v>
      </c>
    </row>
    <row r="169" spans="2:15" x14ac:dyDescent="0.45">
      <c r="B169" s="3" t="s">
        <v>55</v>
      </c>
      <c r="C169" s="3" t="s">
        <v>47</v>
      </c>
      <c r="D169" s="4">
        <v>3.9275425278401117E-5</v>
      </c>
      <c r="E169" s="3" t="s">
        <v>7</v>
      </c>
      <c r="G169" s="3" t="s">
        <v>56</v>
      </c>
      <c r="H169" s="3" t="s">
        <v>47</v>
      </c>
      <c r="I169" s="5">
        <v>2.3389673816007123E-2</v>
      </c>
      <c r="J169" s="3" t="s">
        <v>7</v>
      </c>
      <c r="L169" s="3" t="s">
        <v>57</v>
      </c>
      <c r="M169" s="3" t="s">
        <v>47</v>
      </c>
      <c r="N169" s="5">
        <v>2.4780575215962782E-2</v>
      </c>
      <c r="O169" s="3" t="s">
        <v>7</v>
      </c>
    </row>
    <row r="170" spans="2:15" x14ac:dyDescent="0.45">
      <c r="B170" s="6" t="s">
        <v>55</v>
      </c>
      <c r="C170" s="6" t="s">
        <v>48</v>
      </c>
      <c r="D170" s="7">
        <v>0</v>
      </c>
      <c r="E170" s="6" t="s">
        <v>7</v>
      </c>
      <c r="G170" s="6" t="s">
        <v>56</v>
      </c>
      <c r="H170" s="6" t="s">
        <v>48</v>
      </c>
      <c r="I170" s="8">
        <v>3.5247856457272492E-2</v>
      </c>
      <c r="J170" s="6" t="s">
        <v>7</v>
      </c>
      <c r="L170" s="6" t="s">
        <v>57</v>
      </c>
      <c r="M170" s="6" t="s">
        <v>48</v>
      </c>
      <c r="N170" s="8">
        <v>3.6930805226946528E-2</v>
      </c>
      <c r="O170" s="6" t="s">
        <v>7</v>
      </c>
    </row>
    <row r="171" spans="2:15" x14ac:dyDescent="0.45">
      <c r="B171" s="3" t="s">
        <v>58</v>
      </c>
      <c r="C171" s="3" t="s">
        <v>6</v>
      </c>
      <c r="D171" s="4">
        <v>0</v>
      </c>
      <c r="E171" s="3" t="s">
        <v>7</v>
      </c>
      <c r="G171" s="3" t="s">
        <v>59</v>
      </c>
      <c r="H171" s="3" t="s">
        <v>6</v>
      </c>
      <c r="I171" s="5">
        <v>6.7262205276804501E-2</v>
      </c>
      <c r="J171" s="3" t="s">
        <v>7</v>
      </c>
      <c r="L171" s="3" t="s">
        <v>60</v>
      </c>
      <c r="M171" s="3" t="s">
        <v>6</v>
      </c>
      <c r="N171" s="5">
        <v>6.3189586123325467E-2</v>
      </c>
      <c r="O171" s="3" t="s">
        <v>7</v>
      </c>
    </row>
    <row r="172" spans="2:15" x14ac:dyDescent="0.45">
      <c r="B172" s="6" t="s">
        <v>58</v>
      </c>
      <c r="C172" s="6" t="s">
        <v>10</v>
      </c>
      <c r="D172" s="7">
        <v>0</v>
      </c>
      <c r="E172" s="6" t="s">
        <v>7</v>
      </c>
      <c r="G172" s="6" t="s">
        <v>59</v>
      </c>
      <c r="H172" s="6" t="s">
        <v>10</v>
      </c>
      <c r="I172" s="8">
        <v>2.6279098722674185E-2</v>
      </c>
      <c r="J172" s="6" t="s">
        <v>7</v>
      </c>
      <c r="L172" s="6" t="s">
        <v>60</v>
      </c>
      <c r="M172" s="6" t="s">
        <v>10</v>
      </c>
      <c r="N172" s="8">
        <v>2.4966552600934198E-2</v>
      </c>
      <c r="O172" s="6" t="s">
        <v>7</v>
      </c>
    </row>
    <row r="173" spans="2:15" x14ac:dyDescent="0.45">
      <c r="B173" s="3" t="s">
        <v>58</v>
      </c>
      <c r="C173" s="3" t="s">
        <v>11</v>
      </c>
      <c r="D173" s="4">
        <v>1.4246161413100421E-5</v>
      </c>
      <c r="E173" s="3" t="s">
        <v>7</v>
      </c>
      <c r="G173" s="3" t="s">
        <v>59</v>
      </c>
      <c r="H173" s="3" t="s">
        <v>11</v>
      </c>
      <c r="I173" s="5">
        <v>2.6332787655922466E-2</v>
      </c>
      <c r="J173" s="3" t="s">
        <v>7</v>
      </c>
      <c r="L173" s="3" t="s">
        <v>60</v>
      </c>
      <c r="M173" s="3" t="s">
        <v>11</v>
      </c>
      <c r="N173" s="5">
        <v>2.5548549964077426E-2</v>
      </c>
      <c r="O173" s="3" t="s">
        <v>7</v>
      </c>
    </row>
    <row r="174" spans="2:15" x14ac:dyDescent="0.45">
      <c r="B174" s="6" t="s">
        <v>58</v>
      </c>
      <c r="C174" s="6" t="s">
        <v>12</v>
      </c>
      <c r="D174" s="7">
        <v>1.0585965566616375E-2</v>
      </c>
      <c r="E174" s="6" t="s">
        <v>7</v>
      </c>
      <c r="G174" s="6" t="s">
        <v>59</v>
      </c>
      <c r="H174" s="6" t="s">
        <v>12</v>
      </c>
      <c r="I174" s="8">
        <v>2.6179657944499567E-2</v>
      </c>
      <c r="J174" s="6" t="s">
        <v>7</v>
      </c>
      <c r="L174" s="6" t="s">
        <v>60</v>
      </c>
      <c r="M174" s="6" t="s">
        <v>12</v>
      </c>
      <c r="N174" s="8">
        <v>2.5364068063033443E-2</v>
      </c>
      <c r="O174" s="6" t="s">
        <v>7</v>
      </c>
    </row>
    <row r="175" spans="2:15" x14ac:dyDescent="0.45">
      <c r="B175" s="3" t="s">
        <v>58</v>
      </c>
      <c r="C175" s="3" t="s">
        <v>13</v>
      </c>
      <c r="D175" s="4">
        <v>3.4710642148819845E-2</v>
      </c>
      <c r="E175" s="3" t="s">
        <v>7</v>
      </c>
      <c r="G175" s="3" t="s">
        <v>59</v>
      </c>
      <c r="H175" s="3" t="s">
        <v>13</v>
      </c>
      <c r="I175" s="5">
        <v>2.5804433770478533E-2</v>
      </c>
      <c r="J175" s="3" t="s">
        <v>7</v>
      </c>
      <c r="L175" s="3" t="s">
        <v>60</v>
      </c>
      <c r="M175" s="3" t="s">
        <v>13</v>
      </c>
      <c r="N175" s="5">
        <v>2.448809917252456E-2</v>
      </c>
      <c r="O175" s="3" t="s">
        <v>7</v>
      </c>
    </row>
    <row r="176" spans="2:15" x14ac:dyDescent="0.45">
      <c r="B176" s="6" t="s">
        <v>58</v>
      </c>
      <c r="C176" s="6" t="s">
        <v>14</v>
      </c>
      <c r="D176" s="7">
        <v>4.1587606519696077E-2</v>
      </c>
      <c r="E176" s="6" t="s">
        <v>7</v>
      </c>
      <c r="G176" s="6" t="s">
        <v>59</v>
      </c>
      <c r="H176" s="6" t="s">
        <v>14</v>
      </c>
      <c r="I176" s="8">
        <v>2.5916299591264323E-2</v>
      </c>
      <c r="J176" s="6" t="s">
        <v>7</v>
      </c>
      <c r="L176" s="6" t="s">
        <v>60</v>
      </c>
      <c r="M176" s="6" t="s">
        <v>14</v>
      </c>
      <c r="N176" s="8">
        <v>2.425742164430527E-2</v>
      </c>
      <c r="O176" s="6" t="s">
        <v>7</v>
      </c>
    </row>
    <row r="177" spans="2:15" x14ac:dyDescent="0.45">
      <c r="B177" s="3" t="s">
        <v>58</v>
      </c>
      <c r="C177" s="3" t="s">
        <v>15</v>
      </c>
      <c r="D177" s="4">
        <v>2.3851430649116791E-2</v>
      </c>
      <c r="E177" s="3" t="s">
        <v>7</v>
      </c>
      <c r="G177" s="3" t="s">
        <v>59</v>
      </c>
      <c r="H177" s="3" t="s">
        <v>15</v>
      </c>
      <c r="I177" s="5">
        <v>2.5931370540973088E-2</v>
      </c>
      <c r="J177" s="3" t="s">
        <v>7</v>
      </c>
      <c r="L177" s="3" t="s">
        <v>60</v>
      </c>
      <c r="M177" s="3" t="s">
        <v>15</v>
      </c>
      <c r="N177" s="5">
        <v>2.4174025333362388E-2</v>
      </c>
      <c r="O177" s="3" t="s">
        <v>7</v>
      </c>
    </row>
    <row r="178" spans="2:15" x14ac:dyDescent="0.45">
      <c r="B178" s="6" t="s">
        <v>58</v>
      </c>
      <c r="C178" s="6" t="s">
        <v>16</v>
      </c>
      <c r="D178" s="7">
        <v>3.1080592591209528E-3</v>
      </c>
      <c r="E178" s="6" t="s">
        <v>7</v>
      </c>
      <c r="G178" s="6" t="s">
        <v>59</v>
      </c>
      <c r="H178" s="6" t="s">
        <v>16</v>
      </c>
      <c r="I178" s="8">
        <v>2.6081796999079726E-2</v>
      </c>
      <c r="J178" s="6" t="s">
        <v>7</v>
      </c>
      <c r="L178" s="6" t="s">
        <v>60</v>
      </c>
      <c r="M178" s="6" t="s">
        <v>16</v>
      </c>
      <c r="N178" s="8">
        <v>2.4609964929634867E-2</v>
      </c>
      <c r="O178" s="6" t="s">
        <v>7</v>
      </c>
    </row>
    <row r="179" spans="2:15" x14ac:dyDescent="0.45">
      <c r="B179" s="3" t="s">
        <v>58</v>
      </c>
      <c r="C179" s="3" t="s">
        <v>17</v>
      </c>
      <c r="D179" s="4">
        <v>0</v>
      </c>
      <c r="E179" s="3" t="s">
        <v>7</v>
      </c>
      <c r="G179" s="3" t="s">
        <v>59</v>
      </c>
      <c r="H179" s="3" t="s">
        <v>17</v>
      </c>
      <c r="I179" s="5">
        <v>2.6770975357238398E-2</v>
      </c>
      <c r="J179" s="3" t="s">
        <v>7</v>
      </c>
      <c r="L179" s="3" t="s">
        <v>60</v>
      </c>
      <c r="M179" s="3" t="s">
        <v>17</v>
      </c>
      <c r="N179" s="5">
        <v>2.51859267599918E-2</v>
      </c>
      <c r="O179" s="3" t="s">
        <v>7</v>
      </c>
    </row>
    <row r="180" spans="2:15" x14ac:dyDescent="0.45">
      <c r="B180" s="6" t="s">
        <v>58</v>
      </c>
      <c r="C180" s="6" t="s">
        <v>18</v>
      </c>
      <c r="D180" s="7">
        <v>0</v>
      </c>
      <c r="E180" s="6" t="s">
        <v>7</v>
      </c>
      <c r="G180" s="6" t="s">
        <v>59</v>
      </c>
      <c r="H180" s="6" t="s">
        <v>18</v>
      </c>
      <c r="I180" s="8">
        <v>4.0585213345114009E-2</v>
      </c>
      <c r="J180" s="6" t="s">
        <v>7</v>
      </c>
      <c r="L180" s="6" t="s">
        <v>60</v>
      </c>
      <c r="M180" s="6" t="s">
        <v>18</v>
      </c>
      <c r="N180" s="8">
        <v>3.8103462851117986E-2</v>
      </c>
      <c r="O180" s="6" t="s">
        <v>7</v>
      </c>
    </row>
    <row r="181" spans="2:15" x14ac:dyDescent="0.45">
      <c r="B181" s="3" t="s">
        <v>58</v>
      </c>
      <c r="C181" s="3" t="s">
        <v>19</v>
      </c>
      <c r="D181" s="4">
        <v>0</v>
      </c>
      <c r="E181" s="3" t="s">
        <v>7</v>
      </c>
      <c r="G181" s="3" t="s">
        <v>59</v>
      </c>
      <c r="H181" s="3" t="s">
        <v>19</v>
      </c>
      <c r="I181" s="5">
        <v>5.7163958460415387E-2</v>
      </c>
      <c r="J181" s="3" t="s">
        <v>7</v>
      </c>
      <c r="L181" s="3" t="s">
        <v>60</v>
      </c>
      <c r="M181" s="3" t="s">
        <v>19</v>
      </c>
      <c r="N181" s="5">
        <v>5.0130104941154843E-2</v>
      </c>
      <c r="O181" s="3" t="s">
        <v>7</v>
      </c>
    </row>
    <row r="182" spans="2:15" x14ac:dyDescent="0.45">
      <c r="B182" s="6" t="s">
        <v>58</v>
      </c>
      <c r="C182" s="6" t="s">
        <v>20</v>
      </c>
      <c r="D182" s="7">
        <v>6.6298831773359582E-4</v>
      </c>
      <c r="E182" s="6" t="s">
        <v>7</v>
      </c>
      <c r="G182" s="6" t="s">
        <v>59</v>
      </c>
      <c r="H182" s="6" t="s">
        <v>20</v>
      </c>
      <c r="I182" s="8">
        <v>2.2525251759296951E-2</v>
      </c>
      <c r="J182" s="6" t="s">
        <v>7</v>
      </c>
      <c r="L182" s="6" t="s">
        <v>60</v>
      </c>
      <c r="M182" s="6" t="s">
        <v>20</v>
      </c>
      <c r="N182" s="8">
        <v>1.8905572432907729E-2</v>
      </c>
      <c r="O182" s="6" t="s">
        <v>7</v>
      </c>
    </row>
    <row r="183" spans="2:15" x14ac:dyDescent="0.45">
      <c r="B183" s="3" t="s">
        <v>58</v>
      </c>
      <c r="C183" s="3" t="s">
        <v>21</v>
      </c>
      <c r="D183" s="4">
        <v>1.4500915640697953E-2</v>
      </c>
      <c r="E183" s="3" t="s">
        <v>7</v>
      </c>
      <c r="G183" s="3" t="s">
        <v>59</v>
      </c>
      <c r="H183" s="3" t="s">
        <v>21</v>
      </c>
      <c r="I183" s="5">
        <v>2.2815938311077821E-2</v>
      </c>
      <c r="J183" s="3" t="s">
        <v>7</v>
      </c>
      <c r="L183" s="3" t="s">
        <v>60</v>
      </c>
      <c r="M183" s="3" t="s">
        <v>21</v>
      </c>
      <c r="N183" s="5">
        <v>1.8340764189940705E-2</v>
      </c>
      <c r="O183" s="3" t="s">
        <v>7</v>
      </c>
    </row>
    <row r="184" spans="2:15" x14ac:dyDescent="0.45">
      <c r="B184" s="6" t="s">
        <v>58</v>
      </c>
      <c r="C184" s="6" t="s">
        <v>22</v>
      </c>
      <c r="D184" s="7">
        <v>5.1433754619897305E-2</v>
      </c>
      <c r="E184" s="6" t="s">
        <v>7</v>
      </c>
      <c r="G184" s="6" t="s">
        <v>59</v>
      </c>
      <c r="H184" s="6" t="s">
        <v>22</v>
      </c>
      <c r="I184" s="8">
        <v>2.3102942012225861E-2</v>
      </c>
      <c r="J184" s="6" t="s">
        <v>7</v>
      </c>
      <c r="L184" s="6" t="s">
        <v>60</v>
      </c>
      <c r="M184" s="6" t="s">
        <v>22</v>
      </c>
      <c r="N184" s="8">
        <v>1.8130887137086708E-2</v>
      </c>
      <c r="O184" s="6" t="s">
        <v>7</v>
      </c>
    </row>
    <row r="185" spans="2:15" x14ac:dyDescent="0.45">
      <c r="B185" s="3" t="s">
        <v>58</v>
      </c>
      <c r="C185" s="3" t="s">
        <v>23</v>
      </c>
      <c r="D185" s="4">
        <v>7.9673648361093793E-2</v>
      </c>
      <c r="E185" s="3" t="s">
        <v>7</v>
      </c>
      <c r="G185" s="3" t="s">
        <v>59</v>
      </c>
      <c r="H185" s="3" t="s">
        <v>23</v>
      </c>
      <c r="I185" s="5">
        <v>2.2943205463710193E-2</v>
      </c>
      <c r="J185" s="3" t="s">
        <v>7</v>
      </c>
      <c r="L185" s="3" t="s">
        <v>60</v>
      </c>
      <c r="M185" s="3" t="s">
        <v>23</v>
      </c>
      <c r="N185" s="5">
        <v>1.8298307774511177E-2</v>
      </c>
      <c r="O185" s="3" t="s">
        <v>7</v>
      </c>
    </row>
    <row r="186" spans="2:15" x14ac:dyDescent="0.45">
      <c r="B186" s="6" t="s">
        <v>58</v>
      </c>
      <c r="C186" s="6" t="s">
        <v>24</v>
      </c>
      <c r="D186" s="7">
        <v>8.4569984513403598E-2</v>
      </c>
      <c r="E186" s="6" t="s">
        <v>7</v>
      </c>
      <c r="G186" s="6" t="s">
        <v>59</v>
      </c>
      <c r="H186" s="6" t="s">
        <v>24</v>
      </c>
      <c r="I186" s="8">
        <v>2.2676083581219687E-2</v>
      </c>
      <c r="J186" s="6" t="s">
        <v>7</v>
      </c>
      <c r="L186" s="6" t="s">
        <v>60</v>
      </c>
      <c r="M186" s="6" t="s">
        <v>24</v>
      </c>
      <c r="N186" s="8">
        <v>1.9043159676834225E-2</v>
      </c>
      <c r="O186" s="6" t="s">
        <v>7</v>
      </c>
    </row>
    <row r="187" spans="2:15" x14ac:dyDescent="0.45">
      <c r="B187" s="3" t="s">
        <v>58</v>
      </c>
      <c r="C187" s="3" t="s">
        <v>25</v>
      </c>
      <c r="D187" s="4">
        <v>6.7864195709128355E-2</v>
      </c>
      <c r="E187" s="3" t="s">
        <v>7</v>
      </c>
      <c r="G187" s="3" t="s">
        <v>59</v>
      </c>
      <c r="H187" s="3" t="s">
        <v>25</v>
      </c>
      <c r="I187" s="5">
        <v>2.2427508434563485E-2</v>
      </c>
      <c r="J187" s="3" t="s">
        <v>7</v>
      </c>
      <c r="L187" s="3" t="s">
        <v>60</v>
      </c>
      <c r="M187" s="3" t="s">
        <v>25</v>
      </c>
      <c r="N187" s="5">
        <v>2.0090305703875939E-2</v>
      </c>
      <c r="O187" s="3" t="s">
        <v>7</v>
      </c>
    </row>
    <row r="188" spans="2:15" x14ac:dyDescent="0.45">
      <c r="B188" s="6" t="s">
        <v>58</v>
      </c>
      <c r="C188" s="6" t="s">
        <v>26</v>
      </c>
      <c r="D188" s="7">
        <v>3.1579509775518225E-2</v>
      </c>
      <c r="E188" s="6" t="s">
        <v>7</v>
      </c>
      <c r="G188" s="6" t="s">
        <v>59</v>
      </c>
      <c r="H188" s="6" t="s">
        <v>26</v>
      </c>
      <c r="I188" s="8">
        <v>2.209088612655094E-2</v>
      </c>
      <c r="J188" s="6" t="s">
        <v>7</v>
      </c>
      <c r="L188" s="6" t="s">
        <v>60</v>
      </c>
      <c r="M188" s="6" t="s">
        <v>26</v>
      </c>
      <c r="N188" s="8">
        <v>2.0873453451534178E-2</v>
      </c>
      <c r="O188" s="6" t="s">
        <v>7</v>
      </c>
    </row>
    <row r="189" spans="2:15" x14ac:dyDescent="0.45">
      <c r="B189" s="3" t="s">
        <v>58</v>
      </c>
      <c r="C189" s="3" t="s">
        <v>27</v>
      </c>
      <c r="D189" s="4">
        <v>2.574549959366406E-3</v>
      </c>
      <c r="E189" s="3" t="s">
        <v>7</v>
      </c>
      <c r="G189" s="3" t="s">
        <v>59</v>
      </c>
      <c r="H189" s="3" t="s">
        <v>27</v>
      </c>
      <c r="I189" s="5">
        <v>2.2479203205896942E-2</v>
      </c>
      <c r="J189" s="3" t="s">
        <v>7</v>
      </c>
      <c r="L189" s="3" t="s">
        <v>60</v>
      </c>
      <c r="M189" s="3" t="s">
        <v>27</v>
      </c>
      <c r="N189" s="5">
        <v>2.1080072659803561E-2</v>
      </c>
      <c r="O189" s="3" t="s">
        <v>7</v>
      </c>
    </row>
    <row r="190" spans="2:15" x14ac:dyDescent="0.45">
      <c r="B190" s="6" t="s">
        <v>58</v>
      </c>
      <c r="C190" s="6" t="s">
        <v>28</v>
      </c>
      <c r="D190" s="7">
        <v>2.0051561115262379E-6</v>
      </c>
      <c r="E190" s="6" t="s">
        <v>7</v>
      </c>
      <c r="G190" s="6" t="s">
        <v>59</v>
      </c>
      <c r="H190" s="6" t="s">
        <v>28</v>
      </c>
      <c r="I190" s="8">
        <v>3.4554205586164281E-2</v>
      </c>
      <c r="J190" s="6" t="s">
        <v>7</v>
      </c>
      <c r="L190" s="6" t="s">
        <v>60</v>
      </c>
      <c r="M190" s="6" t="s">
        <v>28</v>
      </c>
      <c r="N190" s="8">
        <v>3.1343451683570736E-2</v>
      </c>
      <c r="O190" s="6" t="s">
        <v>7</v>
      </c>
    </row>
    <row r="191" spans="2:15" x14ac:dyDescent="0.45">
      <c r="B191" s="3" t="s">
        <v>58</v>
      </c>
      <c r="C191" s="3" t="s">
        <v>29</v>
      </c>
      <c r="D191" s="4">
        <v>0</v>
      </c>
      <c r="E191" s="3" t="s">
        <v>7</v>
      </c>
      <c r="G191" s="3" t="s">
        <v>59</v>
      </c>
      <c r="H191" s="3" t="s">
        <v>29</v>
      </c>
      <c r="I191" s="5">
        <v>3.1213690539254546E-2</v>
      </c>
      <c r="J191" s="3" t="s">
        <v>7</v>
      </c>
      <c r="L191" s="3" t="s">
        <v>60</v>
      </c>
      <c r="M191" s="3" t="s">
        <v>29</v>
      </c>
      <c r="N191" s="5">
        <v>3.754567539046625E-2</v>
      </c>
      <c r="O191" s="3" t="s">
        <v>7</v>
      </c>
    </row>
    <row r="192" spans="2:15" x14ac:dyDescent="0.45">
      <c r="B192" s="6" t="s">
        <v>58</v>
      </c>
      <c r="C192" s="6" t="s">
        <v>30</v>
      </c>
      <c r="D192" s="7">
        <v>1.7670686773313207E-3</v>
      </c>
      <c r="E192" s="6" t="s">
        <v>7</v>
      </c>
      <c r="G192" s="6" t="s">
        <v>59</v>
      </c>
      <c r="H192" s="6" t="s">
        <v>30</v>
      </c>
      <c r="I192" s="8">
        <v>1.2420456625085483E-2</v>
      </c>
      <c r="J192" s="6" t="s">
        <v>7</v>
      </c>
      <c r="L192" s="6" t="s">
        <v>60</v>
      </c>
      <c r="M192" s="6" t="s">
        <v>30</v>
      </c>
      <c r="N192" s="8">
        <v>1.5314404398383042E-2</v>
      </c>
      <c r="O192" s="6" t="s">
        <v>7</v>
      </c>
    </row>
    <row r="193" spans="2:15" x14ac:dyDescent="0.45">
      <c r="B193" s="3" t="s">
        <v>58</v>
      </c>
      <c r="C193" s="3" t="s">
        <v>31</v>
      </c>
      <c r="D193" s="4">
        <v>2.0766165905908771E-2</v>
      </c>
      <c r="E193" s="3" t="s">
        <v>7</v>
      </c>
      <c r="G193" s="3" t="s">
        <v>59</v>
      </c>
      <c r="H193" s="3" t="s">
        <v>31</v>
      </c>
      <c r="I193" s="5">
        <v>1.275511431024174E-2</v>
      </c>
      <c r="J193" s="3" t="s">
        <v>7</v>
      </c>
      <c r="L193" s="3" t="s">
        <v>60</v>
      </c>
      <c r="M193" s="3" t="s">
        <v>31</v>
      </c>
      <c r="N193" s="5">
        <v>1.5567913214184062E-2</v>
      </c>
      <c r="O193" s="3" t="s">
        <v>7</v>
      </c>
    </row>
    <row r="194" spans="2:15" x14ac:dyDescent="0.45">
      <c r="B194" s="6" t="s">
        <v>58</v>
      </c>
      <c r="C194" s="6" t="s">
        <v>32</v>
      </c>
      <c r="D194" s="7">
        <v>5.7205665354758461E-2</v>
      </c>
      <c r="E194" s="6" t="s">
        <v>7</v>
      </c>
      <c r="G194" s="6" t="s">
        <v>59</v>
      </c>
      <c r="H194" s="6" t="s">
        <v>32</v>
      </c>
      <c r="I194" s="8">
        <v>1.2357405871212087E-2</v>
      </c>
      <c r="J194" s="6" t="s">
        <v>7</v>
      </c>
      <c r="L194" s="6" t="s">
        <v>60</v>
      </c>
      <c r="M194" s="6" t="s">
        <v>32</v>
      </c>
      <c r="N194" s="8">
        <v>1.5608449798944692E-2</v>
      </c>
      <c r="O194" s="6" t="s">
        <v>7</v>
      </c>
    </row>
    <row r="195" spans="2:15" x14ac:dyDescent="0.45">
      <c r="B195" s="3" t="s">
        <v>58</v>
      </c>
      <c r="C195" s="3" t="s">
        <v>33</v>
      </c>
      <c r="D195" s="4">
        <v>8.3018557460286871E-2</v>
      </c>
      <c r="E195" s="3" t="s">
        <v>7</v>
      </c>
      <c r="G195" s="3" t="s">
        <v>59</v>
      </c>
      <c r="H195" s="3" t="s">
        <v>33</v>
      </c>
      <c r="I195" s="5">
        <v>1.2064381659897785E-2</v>
      </c>
      <c r="J195" s="3" t="s">
        <v>7</v>
      </c>
      <c r="L195" s="3" t="s">
        <v>60</v>
      </c>
      <c r="M195" s="3" t="s">
        <v>33</v>
      </c>
      <c r="N195" s="5">
        <v>1.5502761701582565E-2</v>
      </c>
      <c r="O195" s="3" t="s">
        <v>7</v>
      </c>
    </row>
    <row r="196" spans="2:15" x14ac:dyDescent="0.45">
      <c r="B196" s="6" t="s">
        <v>58</v>
      </c>
      <c r="C196" s="6" t="s">
        <v>34</v>
      </c>
      <c r="D196" s="7">
        <v>8.6770946674909394E-2</v>
      </c>
      <c r="E196" s="6" t="s">
        <v>7</v>
      </c>
      <c r="G196" s="6" t="s">
        <v>59</v>
      </c>
      <c r="H196" s="6" t="s">
        <v>34</v>
      </c>
      <c r="I196" s="8">
        <v>1.2445685610404876E-2</v>
      </c>
      <c r="J196" s="6" t="s">
        <v>7</v>
      </c>
      <c r="L196" s="6" t="s">
        <v>60</v>
      </c>
      <c r="M196" s="6" t="s">
        <v>34</v>
      </c>
      <c r="N196" s="8">
        <v>1.5325220513179388E-2</v>
      </c>
      <c r="O196" s="6" t="s">
        <v>7</v>
      </c>
    </row>
    <row r="197" spans="2:15" x14ac:dyDescent="0.45">
      <c r="B197" s="3" t="s">
        <v>58</v>
      </c>
      <c r="C197" s="3" t="s">
        <v>35</v>
      </c>
      <c r="D197" s="4">
        <v>7.1759082285341558E-2</v>
      </c>
      <c r="E197" s="3" t="s">
        <v>7</v>
      </c>
      <c r="G197" s="3" t="s">
        <v>59</v>
      </c>
      <c r="H197" s="3" t="s">
        <v>35</v>
      </c>
      <c r="I197" s="5">
        <v>1.2678610472845048E-2</v>
      </c>
      <c r="J197" s="3" t="s">
        <v>7</v>
      </c>
      <c r="L197" s="3" t="s">
        <v>60</v>
      </c>
      <c r="M197" s="3" t="s">
        <v>35</v>
      </c>
      <c r="N197" s="5">
        <v>1.5188857213916431E-2</v>
      </c>
      <c r="O197" s="3" t="s">
        <v>7</v>
      </c>
    </row>
    <row r="198" spans="2:15" x14ac:dyDescent="0.45">
      <c r="B198" s="6" t="s">
        <v>58</v>
      </c>
      <c r="C198" s="6" t="s">
        <v>36</v>
      </c>
      <c r="D198" s="7">
        <v>3.901036658676766E-2</v>
      </c>
      <c r="E198" s="6" t="s">
        <v>7</v>
      </c>
      <c r="G198" s="6" t="s">
        <v>59</v>
      </c>
      <c r="H198" s="6" t="s">
        <v>36</v>
      </c>
      <c r="I198" s="8">
        <v>1.2665486782404145E-2</v>
      </c>
      <c r="J198" s="6" t="s">
        <v>7</v>
      </c>
      <c r="L198" s="6" t="s">
        <v>60</v>
      </c>
      <c r="M198" s="6" t="s">
        <v>36</v>
      </c>
      <c r="N198" s="8">
        <v>1.5161068118870191E-2</v>
      </c>
      <c r="O198" s="6" t="s">
        <v>7</v>
      </c>
    </row>
    <row r="199" spans="2:15" x14ac:dyDescent="0.45">
      <c r="B199" s="3" t="s">
        <v>58</v>
      </c>
      <c r="C199" s="3" t="s">
        <v>37</v>
      </c>
      <c r="D199" s="4">
        <v>6.6908255672082396E-3</v>
      </c>
      <c r="E199" s="3" t="s">
        <v>7</v>
      </c>
      <c r="G199" s="3" t="s">
        <v>59</v>
      </c>
      <c r="H199" s="3" t="s">
        <v>37</v>
      </c>
      <c r="I199" s="5">
        <v>1.2421378340840356E-2</v>
      </c>
      <c r="J199" s="3" t="s">
        <v>7</v>
      </c>
      <c r="L199" s="3" t="s">
        <v>60</v>
      </c>
      <c r="M199" s="3" t="s">
        <v>37</v>
      </c>
      <c r="N199" s="5">
        <v>1.5121729133931715E-2</v>
      </c>
      <c r="O199" s="3" t="s">
        <v>7</v>
      </c>
    </row>
    <row r="200" spans="2:15" x14ac:dyDescent="0.45">
      <c r="B200" s="6" t="s">
        <v>58</v>
      </c>
      <c r="C200" s="6" t="s">
        <v>38</v>
      </c>
      <c r="D200" s="7">
        <v>9.8192525714232276E-5</v>
      </c>
      <c r="E200" s="6" t="s">
        <v>7</v>
      </c>
      <c r="G200" s="6" t="s">
        <v>59</v>
      </c>
      <c r="H200" s="6" t="s">
        <v>38</v>
      </c>
      <c r="I200" s="8">
        <v>1.8621265517437563E-2</v>
      </c>
      <c r="J200" s="6" t="s">
        <v>7</v>
      </c>
      <c r="L200" s="6" t="s">
        <v>60</v>
      </c>
      <c r="M200" s="6" t="s">
        <v>38</v>
      </c>
      <c r="N200" s="8">
        <v>2.2358399046925825E-2</v>
      </c>
      <c r="O200" s="6" t="s">
        <v>7</v>
      </c>
    </row>
    <row r="201" spans="2:15" x14ac:dyDescent="0.45">
      <c r="B201" s="3" t="s">
        <v>58</v>
      </c>
      <c r="C201" s="3" t="s">
        <v>39</v>
      </c>
      <c r="D201" s="4">
        <v>0</v>
      </c>
      <c r="E201" s="3" t="s">
        <v>7</v>
      </c>
      <c r="G201" s="3" t="s">
        <v>59</v>
      </c>
      <c r="H201" s="3" t="s">
        <v>39</v>
      </c>
      <c r="I201" s="5">
        <v>5.3547179158521876E-2</v>
      </c>
      <c r="J201" s="3" t="s">
        <v>7</v>
      </c>
      <c r="L201" s="3" t="s">
        <v>60</v>
      </c>
      <c r="M201" s="3" t="s">
        <v>39</v>
      </c>
      <c r="N201" s="5">
        <v>5.9400270558628641E-2</v>
      </c>
      <c r="O201" s="3" t="s">
        <v>7</v>
      </c>
    </row>
    <row r="202" spans="2:15" x14ac:dyDescent="0.45">
      <c r="B202" s="6" t="s">
        <v>58</v>
      </c>
      <c r="C202" s="6" t="s">
        <v>40</v>
      </c>
      <c r="D202" s="7">
        <v>0</v>
      </c>
      <c r="E202" s="6" t="s">
        <v>7</v>
      </c>
      <c r="G202" s="6" t="s">
        <v>59</v>
      </c>
      <c r="H202" s="6" t="s">
        <v>40</v>
      </c>
      <c r="I202" s="8">
        <v>2.1538416611216415E-2</v>
      </c>
      <c r="J202" s="6" t="s">
        <v>7</v>
      </c>
      <c r="L202" s="6" t="s">
        <v>60</v>
      </c>
      <c r="M202" s="6" t="s">
        <v>40</v>
      </c>
      <c r="N202" s="8">
        <v>2.3336099517658228E-2</v>
      </c>
      <c r="O202" s="6" t="s">
        <v>7</v>
      </c>
    </row>
    <row r="203" spans="2:15" x14ac:dyDescent="0.45">
      <c r="B203" s="3" t="s">
        <v>58</v>
      </c>
      <c r="C203" s="3" t="s">
        <v>41</v>
      </c>
      <c r="D203" s="4">
        <v>3.4892819672197226E-3</v>
      </c>
      <c r="E203" s="3" t="s">
        <v>7</v>
      </c>
      <c r="G203" s="3" t="s">
        <v>59</v>
      </c>
      <c r="H203" s="3" t="s">
        <v>41</v>
      </c>
      <c r="I203" s="5">
        <v>2.1975472085008947E-2</v>
      </c>
      <c r="J203" s="3" t="s">
        <v>7</v>
      </c>
      <c r="L203" s="3" t="s">
        <v>60</v>
      </c>
      <c r="M203" s="3" t="s">
        <v>41</v>
      </c>
      <c r="N203" s="5">
        <v>2.3422498091913057E-2</v>
      </c>
      <c r="O203" s="3" t="s">
        <v>7</v>
      </c>
    </row>
    <row r="204" spans="2:15" x14ac:dyDescent="0.45">
      <c r="B204" s="6" t="s">
        <v>58</v>
      </c>
      <c r="C204" s="6" t="s">
        <v>42</v>
      </c>
      <c r="D204" s="7">
        <v>2.9552919884174633E-2</v>
      </c>
      <c r="E204" s="6" t="s">
        <v>7</v>
      </c>
      <c r="G204" s="6" t="s">
        <v>59</v>
      </c>
      <c r="H204" s="6" t="s">
        <v>42</v>
      </c>
      <c r="I204" s="8">
        <v>2.2348864093445595E-2</v>
      </c>
      <c r="J204" s="6" t="s">
        <v>7</v>
      </c>
      <c r="L204" s="6" t="s">
        <v>60</v>
      </c>
      <c r="M204" s="6" t="s">
        <v>42</v>
      </c>
      <c r="N204" s="8">
        <v>2.3099900193943635E-2</v>
      </c>
      <c r="O204" s="6" t="s">
        <v>7</v>
      </c>
    </row>
    <row r="205" spans="2:15" x14ac:dyDescent="0.45">
      <c r="B205" s="3" t="s">
        <v>58</v>
      </c>
      <c r="C205" s="3" t="s">
        <v>43</v>
      </c>
      <c r="D205" s="4">
        <v>5.4901008667866728E-2</v>
      </c>
      <c r="E205" s="3" t="s">
        <v>7</v>
      </c>
      <c r="G205" s="3" t="s">
        <v>59</v>
      </c>
      <c r="H205" s="3" t="s">
        <v>43</v>
      </c>
      <c r="I205" s="5">
        <v>2.1985827073549753E-2</v>
      </c>
      <c r="J205" s="3" t="s">
        <v>7</v>
      </c>
      <c r="L205" s="3" t="s">
        <v>60</v>
      </c>
      <c r="M205" s="3" t="s">
        <v>43</v>
      </c>
      <c r="N205" s="5">
        <v>2.2779671371545421E-2</v>
      </c>
      <c r="O205" s="3" t="s">
        <v>7</v>
      </c>
    </row>
    <row r="206" spans="2:15" x14ac:dyDescent="0.45">
      <c r="B206" s="6" t="s">
        <v>58</v>
      </c>
      <c r="C206" s="6" t="s">
        <v>44</v>
      </c>
      <c r="D206" s="7">
        <v>5.5478369605617819E-2</v>
      </c>
      <c r="E206" s="6" t="s">
        <v>7</v>
      </c>
      <c r="G206" s="6" t="s">
        <v>59</v>
      </c>
      <c r="H206" s="6" t="s">
        <v>44</v>
      </c>
      <c r="I206" s="8">
        <v>2.1693398524910205E-2</v>
      </c>
      <c r="J206" s="6" t="s">
        <v>7</v>
      </c>
      <c r="L206" s="6" t="s">
        <v>60</v>
      </c>
      <c r="M206" s="6" t="s">
        <v>44</v>
      </c>
      <c r="N206" s="8">
        <v>2.2789000632415329E-2</v>
      </c>
      <c r="O206" s="6" t="s">
        <v>7</v>
      </c>
    </row>
    <row r="207" spans="2:15" x14ac:dyDescent="0.45">
      <c r="B207" s="3" t="s">
        <v>58</v>
      </c>
      <c r="C207" s="3" t="s">
        <v>45</v>
      </c>
      <c r="D207" s="4">
        <v>3.4925788490990928E-2</v>
      </c>
      <c r="E207" s="3" t="s">
        <v>7</v>
      </c>
      <c r="G207" s="3" t="s">
        <v>59</v>
      </c>
      <c r="H207" s="3" t="s">
        <v>45</v>
      </c>
      <c r="I207" s="5">
        <v>2.1310249506001331E-2</v>
      </c>
      <c r="J207" s="3" t="s">
        <v>7</v>
      </c>
      <c r="L207" s="3" t="s">
        <v>60</v>
      </c>
      <c r="M207" s="3" t="s">
        <v>45</v>
      </c>
      <c r="N207" s="5">
        <v>2.2836963180162147E-2</v>
      </c>
      <c r="O207" s="3" t="s">
        <v>7</v>
      </c>
    </row>
    <row r="208" spans="2:15" x14ac:dyDescent="0.45">
      <c r="B208" s="6" t="s">
        <v>58</v>
      </c>
      <c r="C208" s="6" t="s">
        <v>46</v>
      </c>
      <c r="D208" s="7">
        <v>7.7899759279011086E-3</v>
      </c>
      <c r="E208" s="6" t="s">
        <v>7</v>
      </c>
      <c r="G208" s="6" t="s">
        <v>59</v>
      </c>
      <c r="H208" s="6" t="s">
        <v>46</v>
      </c>
      <c r="I208" s="8">
        <v>2.1283936537784123E-2</v>
      </c>
      <c r="J208" s="6" t="s">
        <v>7</v>
      </c>
      <c r="L208" s="6" t="s">
        <v>60</v>
      </c>
      <c r="M208" s="6" t="s">
        <v>46</v>
      </c>
      <c r="N208" s="8">
        <v>2.3238471514660186E-2</v>
      </c>
      <c r="O208" s="6" t="s">
        <v>7</v>
      </c>
    </row>
    <row r="209" spans="2:15" x14ac:dyDescent="0.45">
      <c r="B209" s="3" t="s">
        <v>58</v>
      </c>
      <c r="C209" s="3" t="s">
        <v>47</v>
      </c>
      <c r="D209" s="4">
        <v>5.6282060268745778E-5</v>
      </c>
      <c r="E209" s="3" t="s">
        <v>7</v>
      </c>
      <c r="G209" s="3" t="s">
        <v>59</v>
      </c>
      <c r="H209" s="3" t="s">
        <v>47</v>
      </c>
      <c r="I209" s="5">
        <v>2.1765694214154366E-2</v>
      </c>
      <c r="J209" s="3" t="s">
        <v>7</v>
      </c>
      <c r="L209" s="3" t="s">
        <v>60</v>
      </c>
      <c r="M209" s="3" t="s">
        <v>47</v>
      </c>
      <c r="N209" s="5">
        <v>2.3963838084168583E-2</v>
      </c>
      <c r="O209" s="3" t="s">
        <v>7</v>
      </c>
    </row>
    <row r="210" spans="2:15" x14ac:dyDescent="0.45">
      <c r="B210" s="6" t="s">
        <v>58</v>
      </c>
      <c r="C210" s="6" t="s">
        <v>48</v>
      </c>
      <c r="D210" s="7">
        <v>0</v>
      </c>
      <c r="E210" s="6" t="s">
        <v>7</v>
      </c>
      <c r="G210" s="6" t="s">
        <v>59</v>
      </c>
      <c r="H210" s="6" t="s">
        <v>48</v>
      </c>
      <c r="I210" s="8">
        <v>3.2984464320613464E-2</v>
      </c>
      <c r="J210" s="6" t="s">
        <v>7</v>
      </c>
      <c r="L210" s="6" t="s">
        <v>60</v>
      </c>
      <c r="M210" s="6" t="s">
        <v>48</v>
      </c>
      <c r="N210" s="8">
        <v>3.6315071230993395E-2</v>
      </c>
      <c r="O210" s="6" t="s">
        <v>7</v>
      </c>
    </row>
    <row r="211" spans="2:15" x14ac:dyDescent="0.45">
      <c r="B211" s="3" t="s">
        <v>61</v>
      </c>
      <c r="C211" s="3" t="s">
        <v>6</v>
      </c>
      <c r="D211" s="4">
        <v>0</v>
      </c>
      <c r="E211" s="3" t="s">
        <v>7</v>
      </c>
      <c r="G211" s="3" t="s">
        <v>62</v>
      </c>
      <c r="H211" s="3" t="s">
        <v>6</v>
      </c>
      <c r="I211" s="5">
        <v>6.6392049605864603E-2</v>
      </c>
      <c r="J211" s="3" t="s">
        <v>7</v>
      </c>
      <c r="L211" s="3" t="s">
        <v>63</v>
      </c>
      <c r="M211" s="3" t="s">
        <v>6</v>
      </c>
      <c r="N211" s="5">
        <v>6.0866694688815025E-2</v>
      </c>
      <c r="O211" s="3" t="s">
        <v>7</v>
      </c>
    </row>
    <row r="212" spans="2:15" x14ac:dyDescent="0.45">
      <c r="B212" s="6" t="s">
        <v>61</v>
      </c>
      <c r="C212" s="6" t="s">
        <v>10</v>
      </c>
      <c r="D212" s="7">
        <v>0</v>
      </c>
      <c r="E212" s="6" t="s">
        <v>7</v>
      </c>
      <c r="G212" s="6" t="s">
        <v>62</v>
      </c>
      <c r="H212" s="6" t="s">
        <v>10</v>
      </c>
      <c r="I212" s="8">
        <v>2.5922592309050394E-2</v>
      </c>
      <c r="J212" s="6" t="s">
        <v>7</v>
      </c>
      <c r="L212" s="6" t="s">
        <v>63</v>
      </c>
      <c r="M212" s="6" t="s">
        <v>10</v>
      </c>
      <c r="N212" s="8">
        <v>2.4259347574489366E-2</v>
      </c>
      <c r="O212" s="6" t="s">
        <v>7</v>
      </c>
    </row>
    <row r="213" spans="2:15" x14ac:dyDescent="0.45">
      <c r="B213" s="3" t="s">
        <v>61</v>
      </c>
      <c r="C213" s="3" t="s">
        <v>11</v>
      </c>
      <c r="D213" s="4">
        <v>1.5246425270559511E-4</v>
      </c>
      <c r="E213" s="3" t="s">
        <v>7</v>
      </c>
      <c r="G213" s="3" t="s">
        <v>62</v>
      </c>
      <c r="H213" s="3" t="s">
        <v>11</v>
      </c>
      <c r="I213" s="5">
        <v>2.6291578980618346E-2</v>
      </c>
      <c r="J213" s="3" t="s">
        <v>7</v>
      </c>
      <c r="L213" s="3" t="s">
        <v>63</v>
      </c>
      <c r="M213" s="3" t="s">
        <v>11</v>
      </c>
      <c r="N213" s="5">
        <v>2.4782834241232263E-2</v>
      </c>
      <c r="O213" s="3" t="s">
        <v>7</v>
      </c>
    </row>
    <row r="214" spans="2:15" x14ac:dyDescent="0.45">
      <c r="B214" s="6" t="s">
        <v>61</v>
      </c>
      <c r="C214" s="6" t="s">
        <v>12</v>
      </c>
      <c r="D214" s="7">
        <v>1.1985542733341285E-2</v>
      </c>
      <c r="E214" s="6" t="s">
        <v>7</v>
      </c>
      <c r="G214" s="6" t="s">
        <v>62</v>
      </c>
      <c r="H214" s="6" t="s">
        <v>12</v>
      </c>
      <c r="I214" s="8">
        <v>2.5864410293779554E-2</v>
      </c>
      <c r="J214" s="6" t="s">
        <v>7</v>
      </c>
      <c r="L214" s="6" t="s">
        <v>63</v>
      </c>
      <c r="M214" s="6" t="s">
        <v>12</v>
      </c>
      <c r="N214" s="8">
        <v>2.5637291535417259E-2</v>
      </c>
      <c r="O214" s="6" t="s">
        <v>7</v>
      </c>
    </row>
    <row r="215" spans="2:15" x14ac:dyDescent="0.45">
      <c r="B215" s="3" t="s">
        <v>61</v>
      </c>
      <c r="C215" s="3" t="s">
        <v>13</v>
      </c>
      <c r="D215" s="4">
        <v>3.7232194448488083E-2</v>
      </c>
      <c r="E215" s="3" t="s">
        <v>7</v>
      </c>
      <c r="G215" s="3" t="s">
        <v>62</v>
      </c>
      <c r="H215" s="3" t="s">
        <v>13</v>
      </c>
      <c r="I215" s="5">
        <v>2.5578862321780197E-2</v>
      </c>
      <c r="J215" s="3" t="s">
        <v>7</v>
      </c>
      <c r="L215" s="3" t="s">
        <v>63</v>
      </c>
      <c r="M215" s="3" t="s">
        <v>13</v>
      </c>
      <c r="N215" s="5">
        <v>2.5327918940258758E-2</v>
      </c>
      <c r="O215" s="3" t="s">
        <v>7</v>
      </c>
    </row>
    <row r="216" spans="2:15" x14ac:dyDescent="0.45">
      <c r="B216" s="6" t="s">
        <v>61</v>
      </c>
      <c r="C216" s="6" t="s">
        <v>14</v>
      </c>
      <c r="D216" s="7">
        <v>4.2236308186709592E-2</v>
      </c>
      <c r="E216" s="6" t="s">
        <v>7</v>
      </c>
      <c r="G216" s="6" t="s">
        <v>62</v>
      </c>
      <c r="H216" s="6" t="s">
        <v>14</v>
      </c>
      <c r="I216" s="8">
        <v>2.5161603754386291E-2</v>
      </c>
      <c r="J216" s="6" t="s">
        <v>7</v>
      </c>
      <c r="L216" s="6" t="s">
        <v>63</v>
      </c>
      <c r="M216" s="6" t="s">
        <v>14</v>
      </c>
      <c r="N216" s="8">
        <v>2.4118354778223931E-2</v>
      </c>
      <c r="O216" s="6" t="s">
        <v>7</v>
      </c>
    </row>
    <row r="217" spans="2:15" x14ac:dyDescent="0.45">
      <c r="B217" s="3" t="s">
        <v>61</v>
      </c>
      <c r="C217" s="3" t="s">
        <v>15</v>
      </c>
      <c r="D217" s="4">
        <v>2.382490480140723E-2</v>
      </c>
      <c r="E217" s="3" t="s">
        <v>7</v>
      </c>
      <c r="G217" s="3" t="s">
        <v>62</v>
      </c>
      <c r="H217" s="3" t="s">
        <v>15</v>
      </c>
      <c r="I217" s="5">
        <v>2.5239336241348092E-2</v>
      </c>
      <c r="J217" s="3" t="s">
        <v>7</v>
      </c>
      <c r="L217" s="3" t="s">
        <v>63</v>
      </c>
      <c r="M217" s="3" t="s">
        <v>15</v>
      </c>
      <c r="N217" s="5">
        <v>2.3529458196788249E-2</v>
      </c>
      <c r="O217" s="3" t="s">
        <v>7</v>
      </c>
    </row>
    <row r="218" spans="2:15" x14ac:dyDescent="0.45">
      <c r="B218" s="6" t="s">
        <v>61</v>
      </c>
      <c r="C218" s="6" t="s">
        <v>16</v>
      </c>
      <c r="D218" s="7">
        <v>3.0686366546116934E-3</v>
      </c>
      <c r="E218" s="6" t="s">
        <v>7</v>
      </c>
      <c r="G218" s="6" t="s">
        <v>62</v>
      </c>
      <c r="H218" s="6" t="s">
        <v>16</v>
      </c>
      <c r="I218" s="8">
        <v>2.582723569701988E-2</v>
      </c>
      <c r="J218" s="6" t="s">
        <v>7</v>
      </c>
      <c r="L218" s="6" t="s">
        <v>63</v>
      </c>
      <c r="M218" s="6" t="s">
        <v>16</v>
      </c>
      <c r="N218" s="8">
        <v>2.4146651232251067E-2</v>
      </c>
      <c r="O218" s="6" t="s">
        <v>7</v>
      </c>
    </row>
    <row r="219" spans="2:15" x14ac:dyDescent="0.45">
      <c r="B219" s="3" t="s">
        <v>61</v>
      </c>
      <c r="C219" s="3" t="s">
        <v>17</v>
      </c>
      <c r="D219" s="4">
        <v>0</v>
      </c>
      <c r="E219" s="3" t="s">
        <v>7</v>
      </c>
      <c r="G219" s="3" t="s">
        <v>62</v>
      </c>
      <c r="H219" s="3" t="s">
        <v>17</v>
      </c>
      <c r="I219" s="5">
        <v>2.668278991522215E-2</v>
      </c>
      <c r="J219" s="3" t="s">
        <v>7</v>
      </c>
      <c r="L219" s="3" t="s">
        <v>63</v>
      </c>
      <c r="M219" s="3" t="s">
        <v>17</v>
      </c>
      <c r="N219" s="5">
        <v>2.4769739392113767E-2</v>
      </c>
      <c r="O219" s="3" t="s">
        <v>7</v>
      </c>
    </row>
    <row r="220" spans="2:15" x14ac:dyDescent="0.45">
      <c r="B220" s="6" t="s">
        <v>61</v>
      </c>
      <c r="C220" s="6" t="s">
        <v>18</v>
      </c>
      <c r="D220" s="7">
        <v>0</v>
      </c>
      <c r="E220" s="6" t="s">
        <v>7</v>
      </c>
      <c r="G220" s="6" t="s">
        <v>62</v>
      </c>
      <c r="H220" s="6" t="s">
        <v>18</v>
      </c>
      <c r="I220" s="8">
        <v>3.9829508842565087E-2</v>
      </c>
      <c r="J220" s="6" t="s">
        <v>7</v>
      </c>
      <c r="L220" s="6" t="s">
        <v>63</v>
      </c>
      <c r="M220" s="6" t="s">
        <v>18</v>
      </c>
      <c r="N220" s="8">
        <v>3.6904529541295771E-2</v>
      </c>
      <c r="O220" s="6" t="s">
        <v>7</v>
      </c>
    </row>
    <row r="221" spans="2:15" x14ac:dyDescent="0.45">
      <c r="B221" s="3" t="s">
        <v>61</v>
      </c>
      <c r="C221" s="3" t="s">
        <v>19</v>
      </c>
      <c r="D221" s="4">
        <v>0</v>
      </c>
      <c r="E221" s="3" t="s">
        <v>7</v>
      </c>
      <c r="G221" s="3" t="s">
        <v>62</v>
      </c>
      <c r="H221" s="3" t="s">
        <v>19</v>
      </c>
      <c r="I221" s="5">
        <v>5.5390430683872276E-2</v>
      </c>
      <c r="J221" s="3" t="s">
        <v>7</v>
      </c>
      <c r="L221" s="3" t="s">
        <v>63</v>
      </c>
      <c r="M221" s="3" t="s">
        <v>19</v>
      </c>
      <c r="N221" s="5">
        <v>4.904215174147878E-2</v>
      </c>
      <c r="O221" s="3" t="s">
        <v>7</v>
      </c>
    </row>
    <row r="222" spans="2:15" x14ac:dyDescent="0.45">
      <c r="B222" s="6" t="s">
        <v>61</v>
      </c>
      <c r="C222" s="6" t="s">
        <v>20</v>
      </c>
      <c r="D222" s="7">
        <v>8.2694531808330345E-4</v>
      </c>
      <c r="E222" s="6" t="s">
        <v>7</v>
      </c>
      <c r="G222" s="6" t="s">
        <v>62</v>
      </c>
      <c r="H222" s="6" t="s">
        <v>20</v>
      </c>
      <c r="I222" s="8">
        <v>2.2150112381117894E-2</v>
      </c>
      <c r="J222" s="6" t="s">
        <v>7</v>
      </c>
      <c r="L222" s="6" t="s">
        <v>63</v>
      </c>
      <c r="M222" s="6" t="s">
        <v>20</v>
      </c>
      <c r="N222" s="8">
        <v>1.8762342264103421E-2</v>
      </c>
      <c r="O222" s="6" t="s">
        <v>7</v>
      </c>
    </row>
    <row r="223" spans="2:15" x14ac:dyDescent="0.45">
      <c r="B223" s="3" t="s">
        <v>61</v>
      </c>
      <c r="C223" s="3" t="s">
        <v>21</v>
      </c>
      <c r="D223" s="4">
        <v>1.6779002736969299E-2</v>
      </c>
      <c r="E223" s="3" t="s">
        <v>7</v>
      </c>
      <c r="G223" s="3" t="s">
        <v>62</v>
      </c>
      <c r="H223" s="3" t="s">
        <v>21</v>
      </c>
      <c r="I223" s="5">
        <v>2.2456397675990482E-2</v>
      </c>
      <c r="J223" s="3" t="s">
        <v>7</v>
      </c>
      <c r="L223" s="3" t="s">
        <v>63</v>
      </c>
      <c r="M223" s="3" t="s">
        <v>21</v>
      </c>
      <c r="N223" s="5">
        <v>1.8365432483221276E-2</v>
      </c>
      <c r="O223" s="3" t="s">
        <v>7</v>
      </c>
    </row>
    <row r="224" spans="2:15" x14ac:dyDescent="0.45">
      <c r="B224" s="6" t="s">
        <v>61</v>
      </c>
      <c r="C224" s="6" t="s">
        <v>22</v>
      </c>
      <c r="D224" s="7">
        <v>5.4612231928403594E-2</v>
      </c>
      <c r="E224" s="6" t="s">
        <v>7</v>
      </c>
      <c r="G224" s="6" t="s">
        <v>62</v>
      </c>
      <c r="H224" s="6" t="s">
        <v>22</v>
      </c>
      <c r="I224" s="8">
        <v>2.2820046003340474E-2</v>
      </c>
      <c r="J224" s="6" t="s">
        <v>7</v>
      </c>
      <c r="L224" s="6" t="s">
        <v>63</v>
      </c>
      <c r="M224" s="6" t="s">
        <v>22</v>
      </c>
      <c r="N224" s="8">
        <v>1.8222422420445229E-2</v>
      </c>
      <c r="O224" s="6" t="s">
        <v>7</v>
      </c>
    </row>
    <row r="225" spans="2:15" x14ac:dyDescent="0.45">
      <c r="B225" s="3" t="s">
        <v>61</v>
      </c>
      <c r="C225" s="3" t="s">
        <v>23</v>
      </c>
      <c r="D225" s="4">
        <v>7.910619132573285E-2</v>
      </c>
      <c r="E225" s="3" t="s">
        <v>7</v>
      </c>
      <c r="G225" s="3" t="s">
        <v>62</v>
      </c>
      <c r="H225" s="3" t="s">
        <v>23</v>
      </c>
      <c r="I225" s="5">
        <v>2.2657656193405946E-2</v>
      </c>
      <c r="J225" s="3" t="s">
        <v>7</v>
      </c>
      <c r="L225" s="3" t="s">
        <v>63</v>
      </c>
      <c r="M225" s="3" t="s">
        <v>23</v>
      </c>
      <c r="N225" s="5">
        <v>1.8409638324162515E-2</v>
      </c>
      <c r="O225" s="3" t="s">
        <v>7</v>
      </c>
    </row>
    <row r="226" spans="2:15" x14ac:dyDescent="0.45">
      <c r="B226" s="6" t="s">
        <v>61</v>
      </c>
      <c r="C226" s="6" t="s">
        <v>24</v>
      </c>
      <c r="D226" s="7">
        <v>8.3217629341210547E-2</v>
      </c>
      <c r="E226" s="6" t="s">
        <v>7</v>
      </c>
      <c r="G226" s="6" t="s">
        <v>62</v>
      </c>
      <c r="H226" s="6" t="s">
        <v>24</v>
      </c>
      <c r="I226" s="8">
        <v>2.2500542601501909E-2</v>
      </c>
      <c r="J226" s="6" t="s">
        <v>7</v>
      </c>
      <c r="L226" s="6" t="s">
        <v>63</v>
      </c>
      <c r="M226" s="6" t="s">
        <v>24</v>
      </c>
      <c r="N226" s="8">
        <v>1.901880658586743E-2</v>
      </c>
      <c r="O226" s="6" t="s">
        <v>7</v>
      </c>
    </row>
    <row r="227" spans="2:15" x14ac:dyDescent="0.45">
      <c r="B227" s="3" t="s">
        <v>61</v>
      </c>
      <c r="C227" s="3" t="s">
        <v>25</v>
      </c>
      <c r="D227" s="4">
        <v>6.5694434859106712E-2</v>
      </c>
      <c r="E227" s="3" t="s">
        <v>7</v>
      </c>
      <c r="G227" s="3" t="s">
        <v>62</v>
      </c>
      <c r="H227" s="3" t="s">
        <v>25</v>
      </c>
      <c r="I227" s="5">
        <v>2.2315232068882501E-2</v>
      </c>
      <c r="J227" s="3" t="s">
        <v>7</v>
      </c>
      <c r="L227" s="3" t="s">
        <v>63</v>
      </c>
      <c r="M227" s="3" t="s">
        <v>25</v>
      </c>
      <c r="N227" s="5">
        <v>1.986110105009976E-2</v>
      </c>
      <c r="O227" s="3" t="s">
        <v>7</v>
      </c>
    </row>
    <row r="228" spans="2:15" x14ac:dyDescent="0.45">
      <c r="B228" s="6" t="s">
        <v>61</v>
      </c>
      <c r="C228" s="6" t="s">
        <v>26</v>
      </c>
      <c r="D228" s="7">
        <v>3.010466353632698E-2</v>
      </c>
      <c r="E228" s="6" t="s">
        <v>7</v>
      </c>
      <c r="G228" s="6" t="s">
        <v>62</v>
      </c>
      <c r="H228" s="6" t="s">
        <v>26</v>
      </c>
      <c r="I228" s="8">
        <v>2.1734877090222864E-2</v>
      </c>
      <c r="J228" s="6" t="s">
        <v>7</v>
      </c>
      <c r="L228" s="6" t="s">
        <v>63</v>
      </c>
      <c r="M228" s="6" t="s">
        <v>26</v>
      </c>
      <c r="N228" s="8">
        <v>2.0576832493156675E-2</v>
      </c>
      <c r="O228" s="6" t="s">
        <v>7</v>
      </c>
    </row>
    <row r="229" spans="2:15" x14ac:dyDescent="0.45">
      <c r="B229" s="3" t="s">
        <v>61</v>
      </c>
      <c r="C229" s="3" t="s">
        <v>27</v>
      </c>
      <c r="D229" s="4">
        <v>2.0392130477700143E-3</v>
      </c>
      <c r="E229" s="3" t="s">
        <v>7</v>
      </c>
      <c r="G229" s="3" t="s">
        <v>62</v>
      </c>
      <c r="H229" s="3" t="s">
        <v>27</v>
      </c>
      <c r="I229" s="5">
        <v>2.2068298258669714E-2</v>
      </c>
      <c r="J229" s="3" t="s">
        <v>7</v>
      </c>
      <c r="L229" s="3" t="s">
        <v>63</v>
      </c>
      <c r="M229" s="3" t="s">
        <v>27</v>
      </c>
      <c r="N229" s="5">
        <v>2.1029235539722371E-2</v>
      </c>
      <c r="O229" s="3" t="s">
        <v>7</v>
      </c>
    </row>
    <row r="230" spans="2:15" x14ac:dyDescent="0.45">
      <c r="B230" s="6" t="s">
        <v>61</v>
      </c>
      <c r="C230" s="6" t="s">
        <v>28</v>
      </c>
      <c r="D230" s="7">
        <v>0</v>
      </c>
      <c r="E230" s="6" t="s">
        <v>7</v>
      </c>
      <c r="G230" s="6" t="s">
        <v>62</v>
      </c>
      <c r="H230" s="6" t="s">
        <v>28</v>
      </c>
      <c r="I230" s="8">
        <v>3.3570538986236506E-2</v>
      </c>
      <c r="J230" s="6" t="s">
        <v>7</v>
      </c>
      <c r="L230" s="6" t="s">
        <v>63</v>
      </c>
      <c r="M230" s="6" t="s">
        <v>28</v>
      </c>
      <c r="N230" s="8">
        <v>3.0916812191016642E-2</v>
      </c>
      <c r="O230" s="6" t="s">
        <v>7</v>
      </c>
    </row>
    <row r="231" spans="2:15" x14ac:dyDescent="0.45">
      <c r="B231" s="3" t="s">
        <v>61</v>
      </c>
      <c r="C231" s="3" t="s">
        <v>29</v>
      </c>
      <c r="D231" s="4">
        <v>0</v>
      </c>
      <c r="E231" s="3" t="s">
        <v>7</v>
      </c>
      <c r="G231" s="3" t="s">
        <v>62</v>
      </c>
      <c r="H231" s="3" t="s">
        <v>29</v>
      </c>
      <c r="I231" s="5">
        <v>2.9814139897097962E-2</v>
      </c>
      <c r="J231" s="3" t="s">
        <v>7</v>
      </c>
      <c r="L231" s="3" t="s">
        <v>63</v>
      </c>
      <c r="M231" s="3" t="s">
        <v>29</v>
      </c>
      <c r="N231" s="5">
        <v>4.399855119853769E-2</v>
      </c>
      <c r="O231" s="3" t="s">
        <v>7</v>
      </c>
    </row>
    <row r="232" spans="2:15" x14ac:dyDescent="0.45">
      <c r="B232" s="6" t="s">
        <v>61</v>
      </c>
      <c r="C232" s="6" t="s">
        <v>30</v>
      </c>
      <c r="D232" s="7">
        <v>2.0420499899621038E-3</v>
      </c>
      <c r="E232" s="6" t="s">
        <v>7</v>
      </c>
      <c r="G232" s="6" t="s">
        <v>62</v>
      </c>
      <c r="H232" s="6" t="s">
        <v>30</v>
      </c>
      <c r="I232" s="8">
        <v>1.1987194488108113E-2</v>
      </c>
      <c r="J232" s="6" t="s">
        <v>7</v>
      </c>
      <c r="L232" s="6" t="s">
        <v>63</v>
      </c>
      <c r="M232" s="6" t="s">
        <v>30</v>
      </c>
      <c r="N232" s="8">
        <v>1.7516127479340608E-2</v>
      </c>
      <c r="O232" s="6" t="s">
        <v>7</v>
      </c>
    </row>
    <row r="233" spans="2:15" x14ac:dyDescent="0.45">
      <c r="B233" s="3" t="s">
        <v>61</v>
      </c>
      <c r="C233" s="3" t="s">
        <v>31</v>
      </c>
      <c r="D233" s="4">
        <v>2.2147162496630825E-2</v>
      </c>
      <c r="E233" s="3" t="s">
        <v>7</v>
      </c>
      <c r="G233" s="3" t="s">
        <v>62</v>
      </c>
      <c r="H233" s="3" t="s">
        <v>31</v>
      </c>
      <c r="I233" s="5">
        <v>1.2234874707917478E-2</v>
      </c>
      <c r="J233" s="3" t="s">
        <v>7</v>
      </c>
      <c r="L233" s="3" t="s">
        <v>63</v>
      </c>
      <c r="M233" s="3" t="s">
        <v>31</v>
      </c>
      <c r="N233" s="5">
        <v>1.7121736450951674E-2</v>
      </c>
      <c r="O233" s="3" t="s">
        <v>7</v>
      </c>
    </row>
    <row r="234" spans="2:15" x14ac:dyDescent="0.45">
      <c r="B234" s="6" t="s">
        <v>61</v>
      </c>
      <c r="C234" s="6" t="s">
        <v>32</v>
      </c>
      <c r="D234" s="7">
        <v>5.8551335383807565E-2</v>
      </c>
      <c r="E234" s="6" t="s">
        <v>7</v>
      </c>
      <c r="G234" s="6" t="s">
        <v>62</v>
      </c>
      <c r="H234" s="6" t="s">
        <v>32</v>
      </c>
      <c r="I234" s="8">
        <v>1.2458584800052857E-2</v>
      </c>
      <c r="J234" s="6" t="s">
        <v>7</v>
      </c>
      <c r="L234" s="6" t="s">
        <v>63</v>
      </c>
      <c r="M234" s="6" t="s">
        <v>32</v>
      </c>
      <c r="N234" s="8">
        <v>1.6934061170483843E-2</v>
      </c>
      <c r="O234" s="6" t="s">
        <v>7</v>
      </c>
    </row>
    <row r="235" spans="2:15" x14ac:dyDescent="0.45">
      <c r="B235" s="3" t="s">
        <v>61</v>
      </c>
      <c r="C235" s="3" t="s">
        <v>33</v>
      </c>
      <c r="D235" s="4">
        <v>8.344055905267872E-2</v>
      </c>
      <c r="E235" s="3" t="s">
        <v>7</v>
      </c>
      <c r="G235" s="3" t="s">
        <v>62</v>
      </c>
      <c r="H235" s="3" t="s">
        <v>33</v>
      </c>
      <c r="I235" s="5">
        <v>1.2745742591742647E-2</v>
      </c>
      <c r="J235" s="3" t="s">
        <v>7</v>
      </c>
      <c r="L235" s="3" t="s">
        <v>63</v>
      </c>
      <c r="M235" s="3" t="s">
        <v>33</v>
      </c>
      <c r="N235" s="5">
        <v>1.7234186748731912E-2</v>
      </c>
      <c r="O235" s="3" t="s">
        <v>7</v>
      </c>
    </row>
    <row r="236" spans="2:15" x14ac:dyDescent="0.45">
      <c r="B236" s="6" t="s">
        <v>61</v>
      </c>
      <c r="C236" s="6" t="s">
        <v>34</v>
      </c>
      <c r="D236" s="7">
        <v>8.7291890862343208E-2</v>
      </c>
      <c r="E236" s="6" t="s">
        <v>7</v>
      </c>
      <c r="G236" s="6" t="s">
        <v>62</v>
      </c>
      <c r="H236" s="6" t="s">
        <v>34</v>
      </c>
      <c r="I236" s="8">
        <v>1.3348543062251019E-2</v>
      </c>
      <c r="J236" s="6" t="s">
        <v>7</v>
      </c>
      <c r="L236" s="6" t="s">
        <v>63</v>
      </c>
      <c r="M236" s="6" t="s">
        <v>34</v>
      </c>
      <c r="N236" s="8">
        <v>1.7547549689903505E-2</v>
      </c>
      <c r="O236" s="6" t="s">
        <v>7</v>
      </c>
    </row>
    <row r="237" spans="2:15" x14ac:dyDescent="0.45">
      <c r="B237" s="3" t="s">
        <v>61</v>
      </c>
      <c r="C237" s="3" t="s">
        <v>35</v>
      </c>
      <c r="D237" s="4">
        <v>7.1637029228448598E-2</v>
      </c>
      <c r="E237" s="3" t="s">
        <v>7</v>
      </c>
      <c r="G237" s="3" t="s">
        <v>62</v>
      </c>
      <c r="H237" s="3" t="s">
        <v>35</v>
      </c>
      <c r="I237" s="5">
        <v>1.3302492836806132E-2</v>
      </c>
      <c r="J237" s="3" t="s">
        <v>7</v>
      </c>
      <c r="L237" s="3" t="s">
        <v>63</v>
      </c>
      <c r="M237" s="3" t="s">
        <v>35</v>
      </c>
      <c r="N237" s="5">
        <v>1.7684478121631111E-2</v>
      </c>
      <c r="O237" s="3" t="s">
        <v>7</v>
      </c>
    </row>
    <row r="238" spans="2:15" x14ac:dyDescent="0.45">
      <c r="B238" s="6" t="s">
        <v>61</v>
      </c>
      <c r="C238" s="6" t="s">
        <v>36</v>
      </c>
      <c r="D238" s="7">
        <v>3.765006273487434E-2</v>
      </c>
      <c r="E238" s="6" t="s">
        <v>7</v>
      </c>
      <c r="G238" s="6" t="s">
        <v>62</v>
      </c>
      <c r="H238" s="6" t="s">
        <v>36</v>
      </c>
      <c r="I238" s="8">
        <v>1.2816394802425676E-2</v>
      </c>
      <c r="J238" s="6" t="s">
        <v>7</v>
      </c>
      <c r="L238" s="6" t="s">
        <v>63</v>
      </c>
      <c r="M238" s="6" t="s">
        <v>36</v>
      </c>
      <c r="N238" s="8">
        <v>1.7601196458219826E-2</v>
      </c>
      <c r="O238" s="6" t="s">
        <v>7</v>
      </c>
    </row>
    <row r="239" spans="2:15" x14ac:dyDescent="0.45">
      <c r="B239" s="3" t="s">
        <v>61</v>
      </c>
      <c r="C239" s="3" t="s">
        <v>37</v>
      </c>
      <c r="D239" s="4">
        <v>5.8546556096470241E-3</v>
      </c>
      <c r="E239" s="3" t="s">
        <v>7</v>
      </c>
      <c r="G239" s="3" t="s">
        <v>62</v>
      </c>
      <c r="H239" s="3" t="s">
        <v>37</v>
      </c>
      <c r="I239" s="5">
        <v>1.2369305439641022E-2</v>
      </c>
      <c r="J239" s="3" t="s">
        <v>7</v>
      </c>
      <c r="L239" s="3" t="s">
        <v>63</v>
      </c>
      <c r="M239" s="3" t="s">
        <v>37</v>
      </c>
      <c r="N239" s="5">
        <v>1.7542102831952684E-2</v>
      </c>
      <c r="O239" s="3" t="s">
        <v>7</v>
      </c>
    </row>
    <row r="240" spans="2:15" x14ac:dyDescent="0.45">
      <c r="B240" s="6" t="s">
        <v>61</v>
      </c>
      <c r="C240" s="6" t="s">
        <v>38</v>
      </c>
      <c r="D240" s="7">
        <v>5.308467746428707E-5</v>
      </c>
      <c r="E240" s="6" t="s">
        <v>7</v>
      </c>
      <c r="G240" s="6" t="s">
        <v>62</v>
      </c>
      <c r="H240" s="6" t="s">
        <v>38</v>
      </c>
      <c r="I240" s="8">
        <v>1.8684844817834636E-2</v>
      </c>
      <c r="J240" s="6" t="s">
        <v>7</v>
      </c>
      <c r="L240" s="6" t="s">
        <v>63</v>
      </c>
      <c r="M240" s="6" t="s">
        <v>38</v>
      </c>
      <c r="N240" s="8">
        <v>2.6332330674484452E-2</v>
      </c>
      <c r="O240" s="6" t="s">
        <v>7</v>
      </c>
    </row>
    <row r="241" spans="2:15" x14ac:dyDescent="0.45">
      <c r="B241" s="3" t="s">
        <v>61</v>
      </c>
      <c r="C241" s="3" t="s">
        <v>39</v>
      </c>
      <c r="D241" s="4">
        <v>0</v>
      </c>
      <c r="E241" s="3" t="s">
        <v>7</v>
      </c>
      <c r="G241" s="3" t="s">
        <v>62</v>
      </c>
      <c r="H241" s="3" t="s">
        <v>39</v>
      </c>
      <c r="I241" s="5">
        <v>5.6137873792869351E-2</v>
      </c>
      <c r="J241" s="3" t="s">
        <v>7</v>
      </c>
      <c r="L241" s="3" t="s">
        <v>63</v>
      </c>
      <c r="M241" s="3" t="s">
        <v>39</v>
      </c>
      <c r="N241" s="5">
        <v>5.5858445473622245E-2</v>
      </c>
      <c r="O241" s="3" t="s">
        <v>7</v>
      </c>
    </row>
    <row r="242" spans="2:15" x14ac:dyDescent="0.45">
      <c r="B242" s="6" t="s">
        <v>61</v>
      </c>
      <c r="C242" s="6" t="s">
        <v>40</v>
      </c>
      <c r="D242" s="7">
        <v>0</v>
      </c>
      <c r="E242" s="6" t="s">
        <v>7</v>
      </c>
      <c r="G242" s="6" t="s">
        <v>62</v>
      </c>
      <c r="H242" s="6" t="s">
        <v>40</v>
      </c>
      <c r="I242" s="8">
        <v>2.1733282995860324E-2</v>
      </c>
      <c r="J242" s="6" t="s">
        <v>7</v>
      </c>
      <c r="L242" s="6" t="s">
        <v>63</v>
      </c>
      <c r="M242" s="6" t="s">
        <v>40</v>
      </c>
      <c r="N242" s="8">
        <v>2.2206033862228015E-2</v>
      </c>
      <c r="O242" s="6" t="s">
        <v>7</v>
      </c>
    </row>
    <row r="243" spans="2:15" x14ac:dyDescent="0.45">
      <c r="B243" s="3" t="s">
        <v>61</v>
      </c>
      <c r="C243" s="3" t="s">
        <v>41</v>
      </c>
      <c r="D243" s="4">
        <v>3.621238217010941E-3</v>
      </c>
      <c r="E243" s="3" t="s">
        <v>7</v>
      </c>
      <c r="G243" s="3" t="s">
        <v>62</v>
      </c>
      <c r="H243" s="3" t="s">
        <v>41</v>
      </c>
      <c r="I243" s="5">
        <v>2.2024575798487333E-2</v>
      </c>
      <c r="J243" s="3" t="s">
        <v>7</v>
      </c>
      <c r="L243" s="3" t="s">
        <v>63</v>
      </c>
      <c r="M243" s="3" t="s">
        <v>41</v>
      </c>
      <c r="N243" s="5">
        <v>2.1979977934112157E-2</v>
      </c>
      <c r="O243" s="3" t="s">
        <v>7</v>
      </c>
    </row>
    <row r="244" spans="2:15" x14ac:dyDescent="0.45">
      <c r="B244" s="6" t="s">
        <v>61</v>
      </c>
      <c r="C244" s="6" t="s">
        <v>42</v>
      </c>
      <c r="D244" s="7">
        <v>2.942867466705975E-2</v>
      </c>
      <c r="E244" s="6" t="s">
        <v>7</v>
      </c>
      <c r="G244" s="6" t="s">
        <v>62</v>
      </c>
      <c r="H244" s="6" t="s">
        <v>42</v>
      </c>
      <c r="I244" s="8">
        <v>2.229290078403626E-2</v>
      </c>
      <c r="J244" s="6" t="s">
        <v>7</v>
      </c>
      <c r="L244" s="6" t="s">
        <v>63</v>
      </c>
      <c r="M244" s="6" t="s">
        <v>42</v>
      </c>
      <c r="N244" s="8">
        <v>2.1406241942581616E-2</v>
      </c>
      <c r="O244" s="6" t="s">
        <v>7</v>
      </c>
    </row>
    <row r="245" spans="2:15" x14ac:dyDescent="0.45">
      <c r="B245" s="3" t="s">
        <v>61</v>
      </c>
      <c r="C245" s="3" t="s">
        <v>43</v>
      </c>
      <c r="D245" s="4">
        <v>5.3254466497326743E-2</v>
      </c>
      <c r="E245" s="3" t="s">
        <v>7</v>
      </c>
      <c r="G245" s="3" t="s">
        <v>62</v>
      </c>
      <c r="H245" s="3" t="s">
        <v>43</v>
      </c>
      <c r="I245" s="5">
        <v>2.2545106404814844E-2</v>
      </c>
      <c r="J245" s="3" t="s">
        <v>7</v>
      </c>
      <c r="L245" s="3" t="s">
        <v>63</v>
      </c>
      <c r="M245" s="3" t="s">
        <v>43</v>
      </c>
      <c r="N245" s="5">
        <v>2.0871575400788107E-2</v>
      </c>
      <c r="O245" s="3" t="s">
        <v>7</v>
      </c>
    </row>
    <row r="246" spans="2:15" x14ac:dyDescent="0.45">
      <c r="B246" s="6" t="s">
        <v>61</v>
      </c>
      <c r="C246" s="6" t="s">
        <v>44</v>
      </c>
      <c r="D246" s="7">
        <v>5.3960187231720989E-2</v>
      </c>
      <c r="E246" s="6" t="s">
        <v>7</v>
      </c>
      <c r="G246" s="6" t="s">
        <v>62</v>
      </c>
      <c r="H246" s="6" t="s">
        <v>44</v>
      </c>
      <c r="I246" s="8">
        <v>2.2354959734593047E-2</v>
      </c>
      <c r="J246" s="6" t="s">
        <v>7</v>
      </c>
      <c r="L246" s="6" t="s">
        <v>63</v>
      </c>
      <c r="M246" s="6" t="s">
        <v>44</v>
      </c>
      <c r="N246" s="8">
        <v>2.1150134941245926E-2</v>
      </c>
      <c r="O246" s="6" t="s">
        <v>7</v>
      </c>
    </row>
    <row r="247" spans="2:15" x14ac:dyDescent="0.45">
      <c r="B247" s="3" t="s">
        <v>61</v>
      </c>
      <c r="C247" s="3" t="s">
        <v>45</v>
      </c>
      <c r="D247" s="4">
        <v>3.3188725765826189E-2</v>
      </c>
      <c r="E247" s="3" t="s">
        <v>7</v>
      </c>
      <c r="G247" s="3" t="s">
        <v>62</v>
      </c>
      <c r="H247" s="3" t="s">
        <v>45</v>
      </c>
      <c r="I247" s="5">
        <v>2.2334935544882934E-2</v>
      </c>
      <c r="J247" s="3" t="s">
        <v>7</v>
      </c>
      <c r="L247" s="3" t="s">
        <v>63</v>
      </c>
      <c r="M247" s="3" t="s">
        <v>45</v>
      </c>
      <c r="N247" s="5">
        <v>2.1262155867723828E-2</v>
      </c>
      <c r="O247" s="3" t="s">
        <v>7</v>
      </c>
    </row>
    <row r="248" spans="2:15" x14ac:dyDescent="0.45">
      <c r="B248" s="6" t="s">
        <v>61</v>
      </c>
      <c r="C248" s="6" t="s">
        <v>46</v>
      </c>
      <c r="D248" s="7">
        <v>6.9647791631678238E-3</v>
      </c>
      <c r="E248" s="6" t="s">
        <v>7</v>
      </c>
      <c r="G248" s="6" t="s">
        <v>62</v>
      </c>
      <c r="H248" s="6" t="s">
        <v>46</v>
      </c>
      <c r="I248" s="8">
        <v>2.2452757561195111E-2</v>
      </c>
      <c r="J248" s="6" t="s">
        <v>7</v>
      </c>
      <c r="L248" s="6" t="s">
        <v>63</v>
      </c>
      <c r="M248" s="6" t="s">
        <v>46</v>
      </c>
      <c r="N248" s="8">
        <v>2.1765931155639979E-2</v>
      </c>
      <c r="O248" s="6" t="s">
        <v>7</v>
      </c>
    </row>
    <row r="249" spans="2:15" x14ac:dyDescent="0.45">
      <c r="B249" s="3" t="s">
        <v>61</v>
      </c>
      <c r="C249" s="3" t="s">
        <v>47</v>
      </c>
      <c r="D249" s="4">
        <v>3.3735251164136623E-5</v>
      </c>
      <c r="E249" s="3" t="s">
        <v>7</v>
      </c>
      <c r="G249" s="3" t="s">
        <v>62</v>
      </c>
      <c r="H249" s="3" t="s">
        <v>47</v>
      </c>
      <c r="I249" s="5">
        <v>2.2941964424755205E-2</v>
      </c>
      <c r="J249" s="3" t="s">
        <v>7</v>
      </c>
      <c r="L249" s="3" t="s">
        <v>63</v>
      </c>
      <c r="M249" s="3" t="s">
        <v>47</v>
      </c>
      <c r="N249" s="5">
        <v>2.2170424537504702E-2</v>
      </c>
      <c r="O249" s="3" t="s">
        <v>7</v>
      </c>
    </row>
    <row r="250" spans="2:15" x14ac:dyDescent="0.45">
      <c r="B250" s="6" t="s">
        <v>61</v>
      </c>
      <c r="C250" s="6" t="s">
        <v>48</v>
      </c>
      <c r="D250" s="7">
        <v>0</v>
      </c>
      <c r="E250" s="6" t="s">
        <v>7</v>
      </c>
      <c r="G250" s="6" t="s">
        <v>62</v>
      </c>
      <c r="H250" s="6" t="s">
        <v>48</v>
      </c>
      <c r="I250" s="8">
        <v>3.4965425609752895E-2</v>
      </c>
      <c r="J250" s="6" t="s">
        <v>7</v>
      </c>
      <c r="L250" s="6" t="s">
        <v>63</v>
      </c>
      <c r="M250" s="6" t="s">
        <v>48</v>
      </c>
      <c r="N250" s="8">
        <v>3.3269162846156476E-2</v>
      </c>
      <c r="O250" s="6" t="s">
        <v>7</v>
      </c>
    </row>
    <row r="251" spans="2:15" x14ac:dyDescent="0.45">
      <c r="B251" s="3" t="s">
        <v>64</v>
      </c>
      <c r="C251" s="3" t="s">
        <v>6</v>
      </c>
      <c r="D251" s="4">
        <v>0</v>
      </c>
      <c r="E251" s="3" t="s">
        <v>7</v>
      </c>
      <c r="G251" s="3" t="s">
        <v>65</v>
      </c>
      <c r="H251" s="3" t="s">
        <v>6</v>
      </c>
      <c r="I251" s="5">
        <v>6.9287838978026886E-2</v>
      </c>
      <c r="J251" s="3" t="s">
        <v>7</v>
      </c>
      <c r="L251" s="3" t="s">
        <v>66</v>
      </c>
      <c r="M251" s="3" t="s">
        <v>6</v>
      </c>
      <c r="N251" s="5">
        <v>6.2408438505880071E-2</v>
      </c>
      <c r="O251" s="3" t="s">
        <v>7</v>
      </c>
    </row>
    <row r="252" spans="2:15" x14ac:dyDescent="0.45">
      <c r="B252" s="6" t="s">
        <v>64</v>
      </c>
      <c r="C252" s="6" t="s">
        <v>10</v>
      </c>
      <c r="D252" s="7">
        <v>0</v>
      </c>
      <c r="E252" s="6" t="s">
        <v>7</v>
      </c>
      <c r="G252" s="6" t="s">
        <v>65</v>
      </c>
      <c r="H252" s="6" t="s">
        <v>10</v>
      </c>
      <c r="I252" s="8">
        <v>2.6614854886399107E-2</v>
      </c>
      <c r="J252" s="6" t="s">
        <v>7</v>
      </c>
      <c r="L252" s="6" t="s">
        <v>66</v>
      </c>
      <c r="M252" s="6" t="s">
        <v>10</v>
      </c>
      <c r="N252" s="8">
        <v>2.5000960255147871E-2</v>
      </c>
      <c r="O252" s="6" t="s">
        <v>7</v>
      </c>
    </row>
    <row r="253" spans="2:15" x14ac:dyDescent="0.45">
      <c r="B253" s="3" t="s">
        <v>64</v>
      </c>
      <c r="C253" s="3" t="s">
        <v>11</v>
      </c>
      <c r="D253" s="4">
        <v>1.4582746480713049E-4</v>
      </c>
      <c r="E253" s="3" t="s">
        <v>7</v>
      </c>
      <c r="G253" s="3" t="s">
        <v>65</v>
      </c>
      <c r="H253" s="3" t="s">
        <v>11</v>
      </c>
      <c r="I253" s="5">
        <v>2.6510556806229952E-2</v>
      </c>
      <c r="J253" s="3" t="s">
        <v>7</v>
      </c>
      <c r="L253" s="3" t="s">
        <v>66</v>
      </c>
      <c r="M253" s="3" t="s">
        <v>11</v>
      </c>
      <c r="N253" s="5">
        <v>2.5140538940396369E-2</v>
      </c>
      <c r="O253" s="3" t="s">
        <v>7</v>
      </c>
    </row>
    <row r="254" spans="2:15" x14ac:dyDescent="0.45">
      <c r="B254" s="6" t="s">
        <v>64</v>
      </c>
      <c r="C254" s="6" t="s">
        <v>12</v>
      </c>
      <c r="D254" s="7">
        <v>1.2217834289459823E-2</v>
      </c>
      <c r="E254" s="6" t="s">
        <v>7</v>
      </c>
      <c r="G254" s="6" t="s">
        <v>65</v>
      </c>
      <c r="H254" s="6" t="s">
        <v>12</v>
      </c>
      <c r="I254" s="8">
        <v>2.625621237722757E-2</v>
      </c>
      <c r="J254" s="6" t="s">
        <v>7</v>
      </c>
      <c r="L254" s="6" t="s">
        <v>66</v>
      </c>
      <c r="M254" s="6" t="s">
        <v>12</v>
      </c>
      <c r="N254" s="8">
        <v>2.4793672372679747E-2</v>
      </c>
      <c r="O254" s="6" t="s">
        <v>7</v>
      </c>
    </row>
    <row r="255" spans="2:15" x14ac:dyDescent="0.45">
      <c r="B255" s="3" t="s">
        <v>64</v>
      </c>
      <c r="C255" s="3" t="s">
        <v>13</v>
      </c>
      <c r="D255" s="4">
        <v>3.8799679446436627E-2</v>
      </c>
      <c r="E255" s="3" t="s">
        <v>7</v>
      </c>
      <c r="G255" s="3" t="s">
        <v>65</v>
      </c>
      <c r="H255" s="3" t="s">
        <v>13</v>
      </c>
      <c r="I255" s="5">
        <v>2.6569099037216312E-2</v>
      </c>
      <c r="J255" s="3" t="s">
        <v>7</v>
      </c>
      <c r="L255" s="3" t="s">
        <v>66</v>
      </c>
      <c r="M255" s="3" t="s">
        <v>13</v>
      </c>
      <c r="N255" s="5">
        <v>2.4214924922068965E-2</v>
      </c>
      <c r="O255" s="3" t="s">
        <v>7</v>
      </c>
    </row>
    <row r="256" spans="2:15" x14ac:dyDescent="0.45">
      <c r="B256" s="6" t="s">
        <v>64</v>
      </c>
      <c r="C256" s="6" t="s">
        <v>14</v>
      </c>
      <c r="D256" s="7">
        <v>4.3099529446803772E-2</v>
      </c>
      <c r="E256" s="6" t="s">
        <v>7</v>
      </c>
      <c r="G256" s="6" t="s">
        <v>65</v>
      </c>
      <c r="H256" s="6" t="s">
        <v>14</v>
      </c>
      <c r="I256" s="8">
        <v>2.6972902607646343E-2</v>
      </c>
      <c r="J256" s="6" t="s">
        <v>7</v>
      </c>
      <c r="L256" s="6" t="s">
        <v>66</v>
      </c>
      <c r="M256" s="6" t="s">
        <v>14</v>
      </c>
      <c r="N256" s="8">
        <v>2.3965372555794666E-2</v>
      </c>
      <c r="O256" s="6" t="s">
        <v>7</v>
      </c>
    </row>
    <row r="257" spans="2:15" x14ac:dyDescent="0.45">
      <c r="B257" s="3" t="s">
        <v>64</v>
      </c>
      <c r="C257" s="3" t="s">
        <v>15</v>
      </c>
      <c r="D257" s="4">
        <v>2.2875103810926577E-2</v>
      </c>
      <c r="E257" s="3" t="s">
        <v>7</v>
      </c>
      <c r="G257" s="3" t="s">
        <v>65</v>
      </c>
      <c r="H257" s="3" t="s">
        <v>15</v>
      </c>
      <c r="I257" s="5">
        <v>2.63361858190992E-2</v>
      </c>
      <c r="J257" s="3" t="s">
        <v>7</v>
      </c>
      <c r="L257" s="3" t="s">
        <v>66</v>
      </c>
      <c r="M257" s="3" t="s">
        <v>15</v>
      </c>
      <c r="N257" s="5">
        <v>2.4388944502328952E-2</v>
      </c>
      <c r="O257" s="3" t="s">
        <v>7</v>
      </c>
    </row>
    <row r="258" spans="2:15" x14ac:dyDescent="0.45">
      <c r="B258" s="6" t="s">
        <v>64</v>
      </c>
      <c r="C258" s="6" t="s">
        <v>16</v>
      </c>
      <c r="D258" s="7">
        <v>2.8216103892139779E-3</v>
      </c>
      <c r="E258" s="6" t="s">
        <v>7</v>
      </c>
      <c r="G258" s="6" t="s">
        <v>65</v>
      </c>
      <c r="H258" s="6" t="s">
        <v>16</v>
      </c>
      <c r="I258" s="8">
        <v>2.6527653395442892E-2</v>
      </c>
      <c r="J258" s="6" t="s">
        <v>7</v>
      </c>
      <c r="L258" s="6" t="s">
        <v>66</v>
      </c>
      <c r="M258" s="6" t="s">
        <v>16</v>
      </c>
      <c r="N258" s="8">
        <v>2.4862868124643191E-2</v>
      </c>
      <c r="O258" s="6" t="s">
        <v>7</v>
      </c>
    </row>
    <row r="259" spans="2:15" x14ac:dyDescent="0.45">
      <c r="B259" s="3" t="s">
        <v>64</v>
      </c>
      <c r="C259" s="3" t="s">
        <v>17</v>
      </c>
      <c r="D259" s="4">
        <v>0</v>
      </c>
      <c r="E259" s="3" t="s">
        <v>7</v>
      </c>
      <c r="G259" s="3" t="s">
        <v>65</v>
      </c>
      <c r="H259" s="3" t="s">
        <v>17</v>
      </c>
      <c r="I259" s="5">
        <v>2.7530843305099348E-2</v>
      </c>
      <c r="J259" s="3" t="s">
        <v>7</v>
      </c>
      <c r="L259" s="3" t="s">
        <v>66</v>
      </c>
      <c r="M259" s="3" t="s">
        <v>17</v>
      </c>
      <c r="N259" s="5">
        <v>2.5010657279385392E-2</v>
      </c>
      <c r="O259" s="3" t="s">
        <v>7</v>
      </c>
    </row>
    <row r="260" spans="2:15" x14ac:dyDescent="0.45">
      <c r="B260" s="6" t="s">
        <v>64</v>
      </c>
      <c r="C260" s="6" t="s">
        <v>18</v>
      </c>
      <c r="D260" s="7">
        <v>0</v>
      </c>
      <c r="E260" s="6" t="s">
        <v>7</v>
      </c>
      <c r="G260" s="6" t="s">
        <v>65</v>
      </c>
      <c r="H260" s="6" t="s">
        <v>18</v>
      </c>
      <c r="I260" s="8">
        <v>4.1809343365526448E-2</v>
      </c>
      <c r="J260" s="6" t="s">
        <v>7</v>
      </c>
      <c r="L260" s="6" t="s">
        <v>66</v>
      </c>
      <c r="M260" s="6" t="s">
        <v>18</v>
      </c>
      <c r="N260" s="8">
        <v>3.7737543597607046E-2</v>
      </c>
      <c r="O260" s="6" t="s">
        <v>7</v>
      </c>
    </row>
    <row r="261" spans="2:15" x14ac:dyDescent="0.45">
      <c r="B261" s="3" t="s">
        <v>64</v>
      </c>
      <c r="C261" s="3" t="s">
        <v>19</v>
      </c>
      <c r="D261" s="4">
        <v>0</v>
      </c>
      <c r="E261" s="3" t="s">
        <v>7</v>
      </c>
      <c r="G261" s="3" t="s">
        <v>65</v>
      </c>
      <c r="H261" s="3" t="s">
        <v>19</v>
      </c>
      <c r="I261" s="5">
        <v>5.0561010798551874E-2</v>
      </c>
      <c r="J261" s="3" t="s">
        <v>7</v>
      </c>
      <c r="L261" s="3" t="s">
        <v>66</v>
      </c>
      <c r="M261" s="3" t="s">
        <v>19</v>
      </c>
      <c r="N261" s="5">
        <v>4.8191310843610904E-2</v>
      </c>
      <c r="O261" s="3" t="s">
        <v>7</v>
      </c>
    </row>
    <row r="262" spans="2:15" x14ac:dyDescent="0.45">
      <c r="B262" s="6" t="s">
        <v>64</v>
      </c>
      <c r="C262" s="6" t="s">
        <v>20</v>
      </c>
      <c r="D262" s="7">
        <v>1.0667825379321602E-3</v>
      </c>
      <c r="E262" s="6" t="s">
        <v>7</v>
      </c>
      <c r="G262" s="6" t="s">
        <v>65</v>
      </c>
      <c r="H262" s="6" t="s">
        <v>20</v>
      </c>
      <c r="I262" s="8">
        <v>1.9937788465768994E-2</v>
      </c>
      <c r="J262" s="6" t="s">
        <v>7</v>
      </c>
      <c r="L262" s="6" t="s">
        <v>66</v>
      </c>
      <c r="M262" s="6" t="s">
        <v>20</v>
      </c>
      <c r="N262" s="8">
        <v>1.8686140811657016E-2</v>
      </c>
      <c r="O262" s="6" t="s">
        <v>7</v>
      </c>
    </row>
    <row r="263" spans="2:15" x14ac:dyDescent="0.45">
      <c r="B263" s="3" t="s">
        <v>64</v>
      </c>
      <c r="C263" s="3" t="s">
        <v>21</v>
      </c>
      <c r="D263" s="4">
        <v>1.8901095807029963E-2</v>
      </c>
      <c r="E263" s="3" t="s">
        <v>7</v>
      </c>
      <c r="G263" s="3" t="s">
        <v>65</v>
      </c>
      <c r="H263" s="3" t="s">
        <v>21</v>
      </c>
      <c r="I263" s="5">
        <v>2.1037123782893134E-2</v>
      </c>
      <c r="J263" s="3" t="s">
        <v>7</v>
      </c>
      <c r="L263" s="3" t="s">
        <v>66</v>
      </c>
      <c r="M263" s="3" t="s">
        <v>21</v>
      </c>
      <c r="N263" s="5">
        <v>1.859137370667098E-2</v>
      </c>
      <c r="O263" s="3" t="s">
        <v>7</v>
      </c>
    </row>
    <row r="264" spans="2:15" x14ac:dyDescent="0.45">
      <c r="B264" s="6" t="s">
        <v>64</v>
      </c>
      <c r="C264" s="6" t="s">
        <v>22</v>
      </c>
      <c r="D264" s="7">
        <v>5.8581367183414161E-2</v>
      </c>
      <c r="E264" s="6" t="s">
        <v>7</v>
      </c>
      <c r="G264" s="6" t="s">
        <v>65</v>
      </c>
      <c r="H264" s="6" t="s">
        <v>22</v>
      </c>
      <c r="I264" s="8">
        <v>2.3922349871845459E-2</v>
      </c>
      <c r="J264" s="6" t="s">
        <v>7</v>
      </c>
      <c r="L264" s="6" t="s">
        <v>66</v>
      </c>
      <c r="M264" s="6" t="s">
        <v>22</v>
      </c>
      <c r="N264" s="8">
        <v>1.8742952932872106E-2</v>
      </c>
      <c r="O264" s="6" t="s">
        <v>7</v>
      </c>
    </row>
    <row r="265" spans="2:15" x14ac:dyDescent="0.45">
      <c r="B265" s="3" t="s">
        <v>64</v>
      </c>
      <c r="C265" s="3" t="s">
        <v>23</v>
      </c>
      <c r="D265" s="4">
        <v>8.247734054783136E-2</v>
      </c>
      <c r="E265" s="3" t="s">
        <v>7</v>
      </c>
      <c r="G265" s="3" t="s">
        <v>65</v>
      </c>
      <c r="H265" s="3" t="s">
        <v>23</v>
      </c>
      <c r="I265" s="5">
        <v>2.5009897298058255E-2</v>
      </c>
      <c r="J265" s="3" t="s">
        <v>7</v>
      </c>
      <c r="L265" s="3" t="s">
        <v>66</v>
      </c>
      <c r="M265" s="3" t="s">
        <v>23</v>
      </c>
      <c r="N265" s="5">
        <v>1.9103332130820407E-2</v>
      </c>
      <c r="O265" s="3" t="s">
        <v>7</v>
      </c>
    </row>
    <row r="266" spans="2:15" x14ac:dyDescent="0.45">
      <c r="B266" s="6" t="s">
        <v>64</v>
      </c>
      <c r="C266" s="6" t="s">
        <v>24</v>
      </c>
      <c r="D266" s="7">
        <v>8.3217996416071999E-2</v>
      </c>
      <c r="E266" s="6" t="s">
        <v>7</v>
      </c>
      <c r="G266" s="6" t="s">
        <v>65</v>
      </c>
      <c r="H266" s="6" t="s">
        <v>24</v>
      </c>
      <c r="I266" s="8">
        <v>2.5493824892240866E-2</v>
      </c>
      <c r="J266" s="6" t="s">
        <v>7</v>
      </c>
      <c r="L266" s="6" t="s">
        <v>66</v>
      </c>
      <c r="M266" s="6" t="s">
        <v>24</v>
      </c>
      <c r="N266" s="8">
        <v>1.9538443998265296E-2</v>
      </c>
      <c r="O266" s="6" t="s">
        <v>7</v>
      </c>
    </row>
    <row r="267" spans="2:15" x14ac:dyDescent="0.45">
      <c r="B267" s="3" t="s">
        <v>64</v>
      </c>
      <c r="C267" s="3" t="s">
        <v>25</v>
      </c>
      <c r="D267" s="4">
        <v>6.310535485095721E-2</v>
      </c>
      <c r="E267" s="3" t="s">
        <v>7</v>
      </c>
      <c r="G267" s="3" t="s">
        <v>65</v>
      </c>
      <c r="H267" s="3" t="s">
        <v>25</v>
      </c>
      <c r="I267" s="5">
        <v>2.5375797100984223E-2</v>
      </c>
      <c r="J267" s="3" t="s">
        <v>7</v>
      </c>
      <c r="L267" s="3" t="s">
        <v>66</v>
      </c>
      <c r="M267" s="3" t="s">
        <v>25</v>
      </c>
      <c r="N267" s="5">
        <v>2.0069136643849406E-2</v>
      </c>
      <c r="O267" s="3" t="s">
        <v>7</v>
      </c>
    </row>
    <row r="268" spans="2:15" x14ac:dyDescent="0.45">
      <c r="B268" s="6" t="s">
        <v>64</v>
      </c>
      <c r="C268" s="6" t="s">
        <v>26</v>
      </c>
      <c r="D268" s="7">
        <v>2.9787381786730963E-2</v>
      </c>
      <c r="E268" s="6" t="s">
        <v>7</v>
      </c>
      <c r="G268" s="6" t="s">
        <v>65</v>
      </c>
      <c r="H268" s="6" t="s">
        <v>26</v>
      </c>
      <c r="I268" s="8">
        <v>2.3274662828506532E-2</v>
      </c>
      <c r="J268" s="6" t="s">
        <v>7</v>
      </c>
      <c r="L268" s="6" t="s">
        <v>66</v>
      </c>
      <c r="M268" s="6" t="s">
        <v>26</v>
      </c>
      <c r="N268" s="8">
        <v>2.0503688830301771E-2</v>
      </c>
      <c r="O268" s="6" t="s">
        <v>7</v>
      </c>
    </row>
    <row r="269" spans="2:15" x14ac:dyDescent="0.45">
      <c r="B269" s="3" t="s">
        <v>64</v>
      </c>
      <c r="C269" s="3" t="s">
        <v>27</v>
      </c>
      <c r="D269" s="4">
        <v>2.2326735552047885E-3</v>
      </c>
      <c r="E269" s="3" t="s">
        <v>7</v>
      </c>
      <c r="G269" s="3" t="s">
        <v>65</v>
      </c>
      <c r="H269" s="3" t="s">
        <v>27</v>
      </c>
      <c r="I269" s="5">
        <v>2.2137057727219342E-2</v>
      </c>
      <c r="J269" s="3" t="s">
        <v>7</v>
      </c>
      <c r="L269" s="3" t="s">
        <v>66</v>
      </c>
      <c r="M269" s="3" t="s">
        <v>27</v>
      </c>
      <c r="N269" s="5">
        <v>2.0749633159182441E-2</v>
      </c>
      <c r="O269" s="3" t="s">
        <v>7</v>
      </c>
    </row>
    <row r="270" spans="2:15" x14ac:dyDescent="0.45">
      <c r="B270" s="6" t="s">
        <v>64</v>
      </c>
      <c r="C270" s="6" t="s">
        <v>28</v>
      </c>
      <c r="D270" s="7">
        <v>1.0267076718787317E-6</v>
      </c>
      <c r="E270" s="6" t="s">
        <v>7</v>
      </c>
      <c r="G270" s="6" t="s">
        <v>65</v>
      </c>
      <c r="H270" s="6" t="s">
        <v>28</v>
      </c>
      <c r="I270" s="8">
        <v>3.1636955985378024E-2</v>
      </c>
      <c r="J270" s="6" t="s">
        <v>7</v>
      </c>
      <c r="L270" s="6" t="s">
        <v>66</v>
      </c>
      <c r="M270" s="6" t="s">
        <v>28</v>
      </c>
      <c r="N270" s="8">
        <v>3.0473544885409154E-2</v>
      </c>
      <c r="O270" s="6" t="s">
        <v>7</v>
      </c>
    </row>
    <row r="271" spans="2:15" x14ac:dyDescent="0.45">
      <c r="B271" s="3" t="s">
        <v>64</v>
      </c>
      <c r="C271" s="3" t="s">
        <v>29</v>
      </c>
      <c r="D271" s="4">
        <v>0</v>
      </c>
      <c r="E271" s="3" t="s">
        <v>7</v>
      </c>
      <c r="G271" s="3" t="s">
        <v>65</v>
      </c>
      <c r="H271" s="3" t="s">
        <v>29</v>
      </c>
      <c r="I271" s="5">
        <v>2.3886925664929826E-2</v>
      </c>
      <c r="J271" s="3" t="s">
        <v>7</v>
      </c>
      <c r="L271" s="3" t="s">
        <v>66</v>
      </c>
      <c r="M271" s="3" t="s">
        <v>29</v>
      </c>
      <c r="N271" s="5">
        <v>4.4095411833717936E-2</v>
      </c>
      <c r="O271" s="3" t="s">
        <v>7</v>
      </c>
    </row>
    <row r="272" spans="2:15" x14ac:dyDescent="0.45">
      <c r="B272" s="6" t="s">
        <v>64</v>
      </c>
      <c r="C272" s="6" t="s">
        <v>30</v>
      </c>
      <c r="D272" s="7">
        <v>2.6160983905169251E-3</v>
      </c>
      <c r="E272" s="6" t="s">
        <v>7</v>
      </c>
      <c r="G272" s="6" t="s">
        <v>65</v>
      </c>
      <c r="H272" s="6" t="s">
        <v>30</v>
      </c>
      <c r="I272" s="8">
        <v>9.3840671400674727E-3</v>
      </c>
      <c r="J272" s="6" t="s">
        <v>7</v>
      </c>
      <c r="L272" s="6" t="s">
        <v>66</v>
      </c>
      <c r="M272" s="6" t="s">
        <v>30</v>
      </c>
      <c r="N272" s="8">
        <v>1.7651821636489682E-2</v>
      </c>
      <c r="O272" s="6" t="s">
        <v>7</v>
      </c>
    </row>
    <row r="273" spans="2:15" x14ac:dyDescent="0.45">
      <c r="B273" s="3" t="s">
        <v>64</v>
      </c>
      <c r="C273" s="3" t="s">
        <v>31</v>
      </c>
      <c r="D273" s="4">
        <v>2.4150866243272451E-2</v>
      </c>
      <c r="E273" s="3" t="s">
        <v>7</v>
      </c>
      <c r="G273" s="3" t="s">
        <v>65</v>
      </c>
      <c r="H273" s="3" t="s">
        <v>31</v>
      </c>
      <c r="I273" s="5">
        <v>1.0738556084194972E-2</v>
      </c>
      <c r="J273" s="3" t="s">
        <v>7</v>
      </c>
      <c r="L273" s="3" t="s">
        <v>66</v>
      </c>
      <c r="M273" s="3" t="s">
        <v>31</v>
      </c>
      <c r="N273" s="5">
        <v>1.753351160138486E-2</v>
      </c>
      <c r="O273" s="3" t="s">
        <v>7</v>
      </c>
    </row>
    <row r="274" spans="2:15" x14ac:dyDescent="0.45">
      <c r="B274" s="6" t="s">
        <v>64</v>
      </c>
      <c r="C274" s="6" t="s">
        <v>32</v>
      </c>
      <c r="D274" s="7">
        <v>5.9490914805873096E-2</v>
      </c>
      <c r="E274" s="6" t="s">
        <v>7</v>
      </c>
      <c r="G274" s="6" t="s">
        <v>65</v>
      </c>
      <c r="H274" s="6" t="s">
        <v>32</v>
      </c>
      <c r="I274" s="8">
        <v>1.2459498679872248E-2</v>
      </c>
      <c r="J274" s="6" t="s">
        <v>7</v>
      </c>
      <c r="L274" s="6" t="s">
        <v>66</v>
      </c>
      <c r="M274" s="6" t="s">
        <v>32</v>
      </c>
      <c r="N274" s="8">
        <v>1.7299600431480929E-2</v>
      </c>
      <c r="O274" s="6" t="s">
        <v>7</v>
      </c>
    </row>
    <row r="275" spans="2:15" x14ac:dyDescent="0.45">
      <c r="B275" s="3" t="s">
        <v>64</v>
      </c>
      <c r="C275" s="3" t="s">
        <v>33</v>
      </c>
      <c r="D275" s="4">
        <v>8.0469985490040308E-2</v>
      </c>
      <c r="E275" s="3" t="s">
        <v>7</v>
      </c>
      <c r="G275" s="3" t="s">
        <v>65</v>
      </c>
      <c r="H275" s="3" t="s">
        <v>33</v>
      </c>
      <c r="I275" s="5">
        <v>1.4171255364186872E-2</v>
      </c>
      <c r="J275" s="3" t="s">
        <v>7</v>
      </c>
      <c r="L275" s="3" t="s">
        <v>66</v>
      </c>
      <c r="M275" s="3" t="s">
        <v>33</v>
      </c>
      <c r="N275" s="5">
        <v>1.7491811097168047E-2</v>
      </c>
      <c r="O275" s="3" t="s">
        <v>7</v>
      </c>
    </row>
    <row r="276" spans="2:15" x14ac:dyDescent="0.45">
      <c r="B276" s="6" t="s">
        <v>64</v>
      </c>
      <c r="C276" s="6" t="s">
        <v>34</v>
      </c>
      <c r="D276" s="7">
        <v>8.3211345897070133E-2</v>
      </c>
      <c r="E276" s="6" t="s">
        <v>7</v>
      </c>
      <c r="G276" s="6" t="s">
        <v>65</v>
      </c>
      <c r="H276" s="6" t="s">
        <v>34</v>
      </c>
      <c r="I276" s="8">
        <v>1.5460422313711778E-2</v>
      </c>
      <c r="J276" s="6" t="s">
        <v>7</v>
      </c>
      <c r="L276" s="6" t="s">
        <v>66</v>
      </c>
      <c r="M276" s="6" t="s">
        <v>34</v>
      </c>
      <c r="N276" s="8">
        <v>1.753944384893814E-2</v>
      </c>
      <c r="O276" s="6" t="s">
        <v>7</v>
      </c>
    </row>
    <row r="277" spans="2:15" x14ac:dyDescent="0.45">
      <c r="B277" s="3" t="s">
        <v>64</v>
      </c>
      <c r="C277" s="3" t="s">
        <v>35</v>
      </c>
      <c r="D277" s="4">
        <v>6.8122462484334873E-2</v>
      </c>
      <c r="E277" s="3" t="s">
        <v>7</v>
      </c>
      <c r="G277" s="3" t="s">
        <v>65</v>
      </c>
      <c r="H277" s="3" t="s">
        <v>35</v>
      </c>
      <c r="I277" s="5">
        <v>1.5218639982784814E-2</v>
      </c>
      <c r="J277" s="3" t="s">
        <v>7</v>
      </c>
      <c r="L277" s="3" t="s">
        <v>66</v>
      </c>
      <c r="M277" s="3" t="s">
        <v>35</v>
      </c>
      <c r="N277" s="5">
        <v>1.7461044092847131E-2</v>
      </c>
      <c r="O277" s="3" t="s">
        <v>7</v>
      </c>
    </row>
    <row r="278" spans="2:15" x14ac:dyDescent="0.45">
      <c r="B278" s="6" t="s">
        <v>64</v>
      </c>
      <c r="C278" s="6" t="s">
        <v>36</v>
      </c>
      <c r="D278" s="7">
        <v>3.7398630805160406E-2</v>
      </c>
      <c r="E278" s="6" t="s">
        <v>7</v>
      </c>
      <c r="G278" s="6" t="s">
        <v>65</v>
      </c>
      <c r="H278" s="6" t="s">
        <v>36</v>
      </c>
      <c r="I278" s="8">
        <v>1.3775721820025193E-2</v>
      </c>
      <c r="J278" s="6" t="s">
        <v>7</v>
      </c>
      <c r="L278" s="6" t="s">
        <v>66</v>
      </c>
      <c r="M278" s="6" t="s">
        <v>36</v>
      </c>
      <c r="N278" s="8">
        <v>1.7358100443362553E-2</v>
      </c>
      <c r="O278" s="6" t="s">
        <v>7</v>
      </c>
    </row>
    <row r="279" spans="2:15" x14ac:dyDescent="0.45">
      <c r="B279" s="3" t="s">
        <v>64</v>
      </c>
      <c r="C279" s="3" t="s">
        <v>37</v>
      </c>
      <c r="D279" s="4">
        <v>6.3372797629697138E-3</v>
      </c>
      <c r="E279" s="3" t="s">
        <v>7</v>
      </c>
      <c r="G279" s="3" t="s">
        <v>65</v>
      </c>
      <c r="H279" s="3" t="s">
        <v>37</v>
      </c>
      <c r="I279" s="5">
        <v>1.1746221754276929E-2</v>
      </c>
      <c r="J279" s="3" t="s">
        <v>7</v>
      </c>
      <c r="L279" s="3" t="s">
        <v>66</v>
      </c>
      <c r="M279" s="3" t="s">
        <v>37</v>
      </c>
      <c r="N279" s="5">
        <v>1.7581825396186475E-2</v>
      </c>
      <c r="O279" s="3" t="s">
        <v>7</v>
      </c>
    </row>
    <row r="280" spans="2:15" x14ac:dyDescent="0.45">
      <c r="B280" s="6" t="s">
        <v>64</v>
      </c>
      <c r="C280" s="6" t="s">
        <v>38</v>
      </c>
      <c r="D280" s="7">
        <v>8.7782851159253601E-5</v>
      </c>
      <c r="E280" s="6" t="s">
        <v>7</v>
      </c>
      <c r="G280" s="6" t="s">
        <v>65</v>
      </c>
      <c r="H280" s="6" t="s">
        <v>38</v>
      </c>
      <c r="I280" s="8">
        <v>1.557067139655386E-2</v>
      </c>
      <c r="J280" s="6" t="s">
        <v>7</v>
      </c>
      <c r="L280" s="6" t="s">
        <v>66</v>
      </c>
      <c r="M280" s="6" t="s">
        <v>38</v>
      </c>
      <c r="N280" s="8">
        <v>2.6222964057328962E-2</v>
      </c>
      <c r="O280" s="6" t="s">
        <v>7</v>
      </c>
    </row>
    <row r="281" spans="2:15" x14ac:dyDescent="0.45">
      <c r="B281" s="3" t="s">
        <v>64</v>
      </c>
      <c r="C281" s="3" t="s">
        <v>39</v>
      </c>
      <c r="D281" s="4">
        <v>0</v>
      </c>
      <c r="E281" s="3" t="s">
        <v>7</v>
      </c>
      <c r="G281" s="3" t="s">
        <v>65</v>
      </c>
      <c r="H281" s="3" t="s">
        <v>39</v>
      </c>
      <c r="I281" s="5">
        <v>5.2487927154442983E-2</v>
      </c>
      <c r="J281" s="3" t="s">
        <v>7</v>
      </c>
      <c r="L281" s="3" t="s">
        <v>66</v>
      </c>
      <c r="M281" s="3" t="s">
        <v>39</v>
      </c>
      <c r="N281" s="5">
        <v>5.4816017012186725E-2</v>
      </c>
      <c r="O281" s="3" t="s">
        <v>7</v>
      </c>
    </row>
    <row r="282" spans="2:15" x14ac:dyDescent="0.45">
      <c r="B282" s="6" t="s">
        <v>64</v>
      </c>
      <c r="C282" s="6" t="s">
        <v>40</v>
      </c>
      <c r="D282" s="7">
        <v>0</v>
      </c>
      <c r="E282" s="6" t="s">
        <v>7</v>
      </c>
      <c r="G282" s="6" t="s">
        <v>65</v>
      </c>
      <c r="H282" s="6" t="s">
        <v>40</v>
      </c>
      <c r="I282" s="8">
        <v>2.0253542733174208E-2</v>
      </c>
      <c r="J282" s="6" t="s">
        <v>7</v>
      </c>
      <c r="L282" s="6" t="s">
        <v>66</v>
      </c>
      <c r="M282" s="6" t="s">
        <v>40</v>
      </c>
      <c r="N282" s="8">
        <v>2.136443629022932E-2</v>
      </c>
      <c r="O282" s="6" t="s">
        <v>7</v>
      </c>
    </row>
    <row r="283" spans="2:15" x14ac:dyDescent="0.45">
      <c r="B283" s="3" t="s">
        <v>64</v>
      </c>
      <c r="C283" s="3" t="s">
        <v>41</v>
      </c>
      <c r="D283" s="4">
        <v>3.790120463475489E-3</v>
      </c>
      <c r="E283" s="3" t="s">
        <v>7</v>
      </c>
      <c r="G283" s="3" t="s">
        <v>65</v>
      </c>
      <c r="H283" s="3" t="s">
        <v>41</v>
      </c>
      <c r="I283" s="5">
        <v>2.0701918924288059E-2</v>
      </c>
      <c r="J283" s="3" t="s">
        <v>7</v>
      </c>
      <c r="L283" s="3" t="s">
        <v>66</v>
      </c>
      <c r="M283" s="3" t="s">
        <v>41</v>
      </c>
      <c r="N283" s="5">
        <v>2.0947597471286866E-2</v>
      </c>
      <c r="O283" s="3" t="s">
        <v>7</v>
      </c>
    </row>
    <row r="284" spans="2:15" x14ac:dyDescent="0.45">
      <c r="B284" s="6" t="s">
        <v>64</v>
      </c>
      <c r="C284" s="6" t="s">
        <v>42</v>
      </c>
      <c r="D284" s="7">
        <v>2.9861259951694613E-2</v>
      </c>
      <c r="E284" s="6" t="s">
        <v>7</v>
      </c>
      <c r="G284" s="6" t="s">
        <v>65</v>
      </c>
      <c r="H284" s="6" t="s">
        <v>42</v>
      </c>
      <c r="I284" s="8">
        <v>2.2190832148815707E-2</v>
      </c>
      <c r="J284" s="6" t="s">
        <v>7</v>
      </c>
      <c r="L284" s="6" t="s">
        <v>66</v>
      </c>
      <c r="M284" s="6" t="s">
        <v>42</v>
      </c>
      <c r="N284" s="8">
        <v>2.0760757023218342E-2</v>
      </c>
      <c r="O284" s="6" t="s">
        <v>7</v>
      </c>
    </row>
    <row r="285" spans="2:15" x14ac:dyDescent="0.45">
      <c r="B285" s="3" t="s">
        <v>64</v>
      </c>
      <c r="C285" s="3" t="s">
        <v>43</v>
      </c>
      <c r="D285" s="4">
        <v>5.3227384147328693E-2</v>
      </c>
      <c r="E285" s="3" t="s">
        <v>7</v>
      </c>
      <c r="G285" s="3" t="s">
        <v>65</v>
      </c>
      <c r="H285" s="3" t="s">
        <v>43</v>
      </c>
      <c r="I285" s="5">
        <v>2.3907750686775673E-2</v>
      </c>
      <c r="J285" s="3" t="s">
        <v>7</v>
      </c>
      <c r="L285" s="3" t="s">
        <v>66</v>
      </c>
      <c r="M285" s="3" t="s">
        <v>43</v>
      </c>
      <c r="N285" s="5">
        <v>2.1173934461048878E-2</v>
      </c>
      <c r="O285" s="3" t="s">
        <v>7</v>
      </c>
    </row>
    <row r="286" spans="2:15" x14ac:dyDescent="0.45">
      <c r="B286" s="6" t="s">
        <v>64</v>
      </c>
      <c r="C286" s="6" t="s">
        <v>44</v>
      </c>
      <c r="D286" s="7">
        <v>5.290893208002781E-2</v>
      </c>
      <c r="E286" s="6" t="s">
        <v>7</v>
      </c>
      <c r="G286" s="6" t="s">
        <v>65</v>
      </c>
      <c r="H286" s="6" t="s">
        <v>44</v>
      </c>
      <c r="I286" s="8">
        <v>2.4803271385657081E-2</v>
      </c>
      <c r="J286" s="6" t="s">
        <v>7</v>
      </c>
      <c r="L286" s="6" t="s">
        <v>66</v>
      </c>
      <c r="M286" s="6" t="s">
        <v>44</v>
      </c>
      <c r="N286" s="8">
        <v>2.1258807325247812E-2</v>
      </c>
      <c r="O286" s="6" t="s">
        <v>7</v>
      </c>
    </row>
    <row r="287" spans="2:15" x14ac:dyDescent="0.45">
      <c r="B287" s="3" t="s">
        <v>64</v>
      </c>
      <c r="C287" s="3" t="s">
        <v>45</v>
      </c>
      <c r="D287" s="4">
        <v>3.2249733989440629E-2</v>
      </c>
      <c r="E287" s="3" t="s">
        <v>7</v>
      </c>
      <c r="G287" s="3" t="s">
        <v>65</v>
      </c>
      <c r="H287" s="3" t="s">
        <v>45</v>
      </c>
      <c r="I287" s="5">
        <v>2.4367279601977869E-2</v>
      </c>
      <c r="J287" s="3" t="s">
        <v>7</v>
      </c>
      <c r="L287" s="3" t="s">
        <v>66</v>
      </c>
      <c r="M287" s="3" t="s">
        <v>45</v>
      </c>
      <c r="N287" s="5">
        <v>2.1307283794140833E-2</v>
      </c>
      <c r="O287" s="3" t="s">
        <v>7</v>
      </c>
    </row>
    <row r="288" spans="2:15" x14ac:dyDescent="0.45">
      <c r="B288" s="6" t="s">
        <v>64</v>
      </c>
      <c r="C288" s="6" t="s">
        <v>46</v>
      </c>
      <c r="D288" s="7">
        <v>6.7198718682924046E-3</v>
      </c>
      <c r="E288" s="6" t="s">
        <v>7</v>
      </c>
      <c r="G288" s="6" t="s">
        <v>65</v>
      </c>
      <c r="H288" s="6" t="s">
        <v>46</v>
      </c>
      <c r="I288" s="8">
        <v>2.2485316962691342E-2</v>
      </c>
      <c r="J288" s="6" t="s">
        <v>7</v>
      </c>
      <c r="L288" s="6" t="s">
        <v>66</v>
      </c>
      <c r="M288" s="6" t="s">
        <v>46</v>
      </c>
      <c r="N288" s="8">
        <v>2.1416908379689487E-2</v>
      </c>
      <c r="O288" s="6" t="s">
        <v>7</v>
      </c>
    </row>
    <row r="289" spans="2:15" x14ac:dyDescent="0.45">
      <c r="B289" s="3" t="s">
        <v>64</v>
      </c>
      <c r="C289" s="3" t="s">
        <v>47</v>
      </c>
      <c r="D289" s="4">
        <v>2.6726528850827874E-5</v>
      </c>
      <c r="E289" s="3" t="s">
        <v>7</v>
      </c>
      <c r="G289" s="3" t="s">
        <v>65</v>
      </c>
      <c r="H289" s="3" t="s">
        <v>47</v>
      </c>
      <c r="I289" s="5">
        <v>2.1728154971324399E-2</v>
      </c>
      <c r="J289" s="3" t="s">
        <v>7</v>
      </c>
      <c r="L289" s="3" t="s">
        <v>66</v>
      </c>
      <c r="M289" s="3" t="s">
        <v>47</v>
      </c>
      <c r="N289" s="5">
        <v>2.151192621368973E-2</v>
      </c>
      <c r="O289" s="3" t="s">
        <v>7</v>
      </c>
    </row>
    <row r="290" spans="2:15" x14ac:dyDescent="0.45">
      <c r="B290" s="6" t="s">
        <v>64</v>
      </c>
      <c r="C290" s="6" t="s">
        <v>48</v>
      </c>
      <c r="D290" s="7">
        <v>0</v>
      </c>
      <c r="E290" s="6" t="s">
        <v>7</v>
      </c>
      <c r="G290" s="6" t="s">
        <v>65</v>
      </c>
      <c r="H290" s="6" t="s">
        <v>48</v>
      </c>
      <c r="I290" s="8">
        <v>3.1860065900887941E-2</v>
      </c>
      <c r="J290" s="6" t="s">
        <v>7</v>
      </c>
      <c r="L290" s="6" t="s">
        <v>66</v>
      </c>
      <c r="M290" s="6" t="s">
        <v>48</v>
      </c>
      <c r="N290" s="8">
        <v>3.3033318591785585E-2</v>
      </c>
      <c r="O290" s="6" t="s">
        <v>7</v>
      </c>
    </row>
    <row r="291" spans="2:15" x14ac:dyDescent="0.45">
      <c r="B291" s="3" t="s">
        <v>67</v>
      </c>
      <c r="C291" s="3" t="s">
        <v>6</v>
      </c>
      <c r="D291" s="4">
        <v>0</v>
      </c>
      <c r="E291" s="3" t="s">
        <v>7</v>
      </c>
      <c r="G291" s="3" t="s">
        <v>68</v>
      </c>
      <c r="H291" s="3" t="s">
        <v>6</v>
      </c>
      <c r="I291" s="5">
        <v>6.9086397360347468E-2</v>
      </c>
      <c r="J291" s="3" t="s">
        <v>7</v>
      </c>
      <c r="L291" s="3" t="s">
        <v>69</v>
      </c>
      <c r="M291" s="3" t="s">
        <v>6</v>
      </c>
      <c r="N291" s="5">
        <v>6.6455108548539532E-2</v>
      </c>
      <c r="O291" s="3" t="s">
        <v>7</v>
      </c>
    </row>
    <row r="292" spans="2:15" x14ac:dyDescent="0.45">
      <c r="B292" s="6" t="s">
        <v>67</v>
      </c>
      <c r="C292" s="6" t="s">
        <v>10</v>
      </c>
      <c r="D292" s="7">
        <v>0</v>
      </c>
      <c r="E292" s="6" t="s">
        <v>7</v>
      </c>
      <c r="G292" s="6" t="s">
        <v>68</v>
      </c>
      <c r="H292" s="6" t="s">
        <v>10</v>
      </c>
      <c r="I292" s="8">
        <v>2.665541539686429E-2</v>
      </c>
      <c r="J292" s="6" t="s">
        <v>7</v>
      </c>
      <c r="L292" s="6" t="s">
        <v>69</v>
      </c>
      <c r="M292" s="6" t="s">
        <v>10</v>
      </c>
      <c r="N292" s="8">
        <v>2.6098401635620216E-2</v>
      </c>
      <c r="O292" s="6" t="s">
        <v>7</v>
      </c>
    </row>
    <row r="293" spans="2:15" x14ac:dyDescent="0.45">
      <c r="B293" s="3" t="s">
        <v>67</v>
      </c>
      <c r="C293" s="3" t="s">
        <v>11</v>
      </c>
      <c r="D293" s="4">
        <v>2.5459328959159938E-6</v>
      </c>
      <c r="E293" s="3" t="s">
        <v>7</v>
      </c>
      <c r="G293" s="3" t="s">
        <v>68</v>
      </c>
      <c r="H293" s="3" t="s">
        <v>11</v>
      </c>
      <c r="I293" s="5">
        <v>2.6425370609694913E-2</v>
      </c>
      <c r="J293" s="3" t="s">
        <v>7</v>
      </c>
      <c r="L293" s="3" t="s">
        <v>69</v>
      </c>
      <c r="M293" s="3" t="s">
        <v>11</v>
      </c>
      <c r="N293" s="5">
        <v>2.5862169036522147E-2</v>
      </c>
      <c r="O293" s="3" t="s">
        <v>7</v>
      </c>
    </row>
    <row r="294" spans="2:15" x14ac:dyDescent="0.45">
      <c r="B294" s="6" t="s">
        <v>67</v>
      </c>
      <c r="C294" s="6" t="s">
        <v>12</v>
      </c>
      <c r="D294" s="7">
        <v>1.0928454878531561E-2</v>
      </c>
      <c r="E294" s="6" t="s">
        <v>7</v>
      </c>
      <c r="G294" s="6" t="s">
        <v>68</v>
      </c>
      <c r="H294" s="6" t="s">
        <v>12</v>
      </c>
      <c r="I294" s="8">
        <v>2.6670577922331764E-2</v>
      </c>
      <c r="J294" s="6" t="s">
        <v>7</v>
      </c>
      <c r="L294" s="6" t="s">
        <v>69</v>
      </c>
      <c r="M294" s="6" t="s">
        <v>12</v>
      </c>
      <c r="N294" s="8">
        <v>2.5467432286119827E-2</v>
      </c>
      <c r="O294" s="6" t="s">
        <v>7</v>
      </c>
    </row>
    <row r="295" spans="2:15" x14ac:dyDescent="0.45">
      <c r="B295" s="3" t="s">
        <v>67</v>
      </c>
      <c r="C295" s="3" t="s">
        <v>13</v>
      </c>
      <c r="D295" s="4">
        <v>3.6265645925353314E-2</v>
      </c>
      <c r="E295" s="3" t="s">
        <v>7</v>
      </c>
      <c r="G295" s="3" t="s">
        <v>68</v>
      </c>
      <c r="H295" s="3" t="s">
        <v>13</v>
      </c>
      <c r="I295" s="5">
        <v>2.6750651917663196E-2</v>
      </c>
      <c r="J295" s="3" t="s">
        <v>7</v>
      </c>
      <c r="L295" s="3" t="s">
        <v>69</v>
      </c>
      <c r="M295" s="3" t="s">
        <v>13</v>
      </c>
      <c r="N295" s="5">
        <v>2.5262648007025459E-2</v>
      </c>
      <c r="O295" s="3" t="s">
        <v>7</v>
      </c>
    </row>
    <row r="296" spans="2:15" x14ac:dyDescent="0.45">
      <c r="B296" s="6" t="s">
        <v>67</v>
      </c>
      <c r="C296" s="6" t="s">
        <v>14</v>
      </c>
      <c r="D296" s="7">
        <v>4.3989312235494835E-2</v>
      </c>
      <c r="E296" s="6" t="s">
        <v>7</v>
      </c>
      <c r="G296" s="6" t="s">
        <v>68</v>
      </c>
      <c r="H296" s="6" t="s">
        <v>14</v>
      </c>
      <c r="I296" s="8">
        <v>2.7733375321826022E-2</v>
      </c>
      <c r="J296" s="6" t="s">
        <v>7</v>
      </c>
      <c r="L296" s="6" t="s">
        <v>69</v>
      </c>
      <c r="M296" s="6" t="s">
        <v>14</v>
      </c>
      <c r="N296" s="8">
        <v>2.5283496241984081E-2</v>
      </c>
      <c r="O296" s="6" t="s">
        <v>7</v>
      </c>
    </row>
    <row r="297" spans="2:15" x14ac:dyDescent="0.45">
      <c r="B297" s="3" t="s">
        <v>67</v>
      </c>
      <c r="C297" s="3" t="s">
        <v>15</v>
      </c>
      <c r="D297" s="4">
        <v>2.539625487373956E-2</v>
      </c>
      <c r="E297" s="3" t="s">
        <v>7</v>
      </c>
      <c r="G297" s="3" t="s">
        <v>68</v>
      </c>
      <c r="H297" s="3" t="s">
        <v>15</v>
      </c>
      <c r="I297" s="5">
        <v>2.7762224969479603E-2</v>
      </c>
      <c r="J297" s="3" t="s">
        <v>7</v>
      </c>
      <c r="L297" s="3" t="s">
        <v>69</v>
      </c>
      <c r="M297" s="3" t="s">
        <v>15</v>
      </c>
      <c r="N297" s="5">
        <v>2.5442530798198585E-2</v>
      </c>
      <c r="O297" s="3" t="s">
        <v>7</v>
      </c>
    </row>
    <row r="298" spans="2:15" x14ac:dyDescent="0.45">
      <c r="B298" s="6" t="s">
        <v>67</v>
      </c>
      <c r="C298" s="6" t="s">
        <v>16</v>
      </c>
      <c r="D298" s="7">
        <v>3.7063681946000668E-3</v>
      </c>
      <c r="E298" s="6" t="s">
        <v>7</v>
      </c>
      <c r="G298" s="6" t="s">
        <v>68</v>
      </c>
      <c r="H298" s="6" t="s">
        <v>16</v>
      </c>
      <c r="I298" s="8">
        <v>2.7859431773247786E-2</v>
      </c>
      <c r="J298" s="6" t="s">
        <v>7</v>
      </c>
      <c r="L298" s="6" t="s">
        <v>69</v>
      </c>
      <c r="M298" s="6" t="s">
        <v>16</v>
      </c>
      <c r="N298" s="8">
        <v>2.563027654276669E-2</v>
      </c>
      <c r="O298" s="6" t="s">
        <v>7</v>
      </c>
    </row>
    <row r="299" spans="2:15" x14ac:dyDescent="0.45">
      <c r="B299" s="3" t="s">
        <v>67</v>
      </c>
      <c r="C299" s="3" t="s">
        <v>17</v>
      </c>
      <c r="D299" s="4">
        <v>0</v>
      </c>
      <c r="E299" s="3" t="s">
        <v>7</v>
      </c>
      <c r="G299" s="3" t="s">
        <v>68</v>
      </c>
      <c r="H299" s="3" t="s">
        <v>17</v>
      </c>
      <c r="I299" s="5">
        <v>2.8293540771573998E-2</v>
      </c>
      <c r="J299" s="3" t="s">
        <v>7</v>
      </c>
      <c r="L299" s="3" t="s">
        <v>69</v>
      </c>
      <c r="M299" s="3" t="s">
        <v>17</v>
      </c>
      <c r="N299" s="5">
        <v>2.6485634741034492E-2</v>
      </c>
      <c r="O299" s="3" t="s">
        <v>7</v>
      </c>
    </row>
    <row r="300" spans="2:15" x14ac:dyDescent="0.45">
      <c r="B300" s="6" t="s">
        <v>67</v>
      </c>
      <c r="C300" s="6" t="s">
        <v>18</v>
      </c>
      <c r="D300" s="7">
        <v>0</v>
      </c>
      <c r="E300" s="6" t="s">
        <v>7</v>
      </c>
      <c r="G300" s="6" t="s">
        <v>68</v>
      </c>
      <c r="H300" s="6" t="s">
        <v>18</v>
      </c>
      <c r="I300" s="8">
        <v>4.3926790530816134E-2</v>
      </c>
      <c r="J300" s="6" t="s">
        <v>7</v>
      </c>
      <c r="L300" s="6" t="s">
        <v>69</v>
      </c>
      <c r="M300" s="6" t="s">
        <v>18</v>
      </c>
      <c r="N300" s="8">
        <v>3.9766763388780137E-2</v>
      </c>
      <c r="O300" s="6" t="s">
        <v>7</v>
      </c>
    </row>
    <row r="301" spans="2:15" x14ac:dyDescent="0.45">
      <c r="B301" s="3" t="s">
        <v>67</v>
      </c>
      <c r="C301" s="3" t="s">
        <v>19</v>
      </c>
      <c r="D301" s="4">
        <v>0</v>
      </c>
      <c r="E301" s="3" t="s">
        <v>7</v>
      </c>
      <c r="G301" s="3" t="s">
        <v>68</v>
      </c>
      <c r="H301" s="3" t="s">
        <v>19</v>
      </c>
      <c r="I301" s="5">
        <v>5.7560137517132591E-2</v>
      </c>
      <c r="J301" s="3" t="s">
        <v>7</v>
      </c>
      <c r="L301" s="3" t="s">
        <v>69</v>
      </c>
      <c r="M301" s="3" t="s">
        <v>19</v>
      </c>
      <c r="N301" s="5">
        <v>5.6482667223365757E-2</v>
      </c>
      <c r="O301" s="3" t="s">
        <v>7</v>
      </c>
    </row>
    <row r="302" spans="2:15" x14ac:dyDescent="0.45">
      <c r="B302" s="6" t="s">
        <v>67</v>
      </c>
      <c r="C302" s="6" t="s">
        <v>20</v>
      </c>
      <c r="D302" s="7">
        <v>5.8370407858539459E-4</v>
      </c>
      <c r="E302" s="6" t="s">
        <v>7</v>
      </c>
      <c r="G302" s="6" t="s">
        <v>68</v>
      </c>
      <c r="H302" s="6" t="s">
        <v>20</v>
      </c>
      <c r="I302" s="8">
        <v>2.3075990902734832E-2</v>
      </c>
      <c r="J302" s="6" t="s">
        <v>7</v>
      </c>
      <c r="L302" s="6" t="s">
        <v>69</v>
      </c>
      <c r="M302" s="6" t="s">
        <v>20</v>
      </c>
      <c r="N302" s="8">
        <v>2.2282618247180593E-2</v>
      </c>
      <c r="O302" s="6" t="s">
        <v>7</v>
      </c>
    </row>
    <row r="303" spans="2:15" x14ac:dyDescent="0.45">
      <c r="B303" s="3" t="s">
        <v>67</v>
      </c>
      <c r="C303" s="3" t="s">
        <v>21</v>
      </c>
      <c r="D303" s="4">
        <v>1.3988183746763456E-2</v>
      </c>
      <c r="E303" s="3" t="s">
        <v>7</v>
      </c>
      <c r="G303" s="3" t="s">
        <v>68</v>
      </c>
      <c r="H303" s="3" t="s">
        <v>21</v>
      </c>
      <c r="I303" s="5">
        <v>2.3247640104383252E-2</v>
      </c>
      <c r="J303" s="3" t="s">
        <v>7</v>
      </c>
      <c r="L303" s="3" t="s">
        <v>69</v>
      </c>
      <c r="M303" s="3" t="s">
        <v>21</v>
      </c>
      <c r="N303" s="5">
        <v>2.2694868902554649E-2</v>
      </c>
      <c r="O303" s="3" t="s">
        <v>7</v>
      </c>
    </row>
    <row r="304" spans="2:15" x14ac:dyDescent="0.45">
      <c r="B304" s="6" t="s">
        <v>67</v>
      </c>
      <c r="C304" s="6" t="s">
        <v>22</v>
      </c>
      <c r="D304" s="7">
        <v>5.2446627906778072E-2</v>
      </c>
      <c r="E304" s="6" t="s">
        <v>7</v>
      </c>
      <c r="G304" s="6" t="s">
        <v>68</v>
      </c>
      <c r="H304" s="6" t="s">
        <v>22</v>
      </c>
      <c r="I304" s="8">
        <v>2.5210459702100736E-2</v>
      </c>
      <c r="J304" s="6" t="s">
        <v>7</v>
      </c>
      <c r="L304" s="6" t="s">
        <v>69</v>
      </c>
      <c r="M304" s="6" t="s">
        <v>22</v>
      </c>
      <c r="N304" s="8">
        <v>2.2628704639228062E-2</v>
      </c>
      <c r="O304" s="6" t="s">
        <v>7</v>
      </c>
    </row>
    <row r="305" spans="2:15" x14ac:dyDescent="0.45">
      <c r="B305" s="3" t="s">
        <v>67</v>
      </c>
      <c r="C305" s="3" t="s">
        <v>23</v>
      </c>
      <c r="D305" s="4">
        <v>7.8862180144183378E-2</v>
      </c>
      <c r="E305" s="3" t="s">
        <v>7</v>
      </c>
      <c r="G305" s="3" t="s">
        <v>68</v>
      </c>
      <c r="H305" s="3" t="s">
        <v>23</v>
      </c>
      <c r="I305" s="5">
        <v>2.5442468458766802E-2</v>
      </c>
      <c r="J305" s="3" t="s">
        <v>7</v>
      </c>
      <c r="L305" s="3" t="s">
        <v>69</v>
      </c>
      <c r="M305" s="3" t="s">
        <v>23</v>
      </c>
      <c r="N305" s="5">
        <v>2.2193960702916165E-2</v>
      </c>
      <c r="O305" s="3" t="s">
        <v>7</v>
      </c>
    </row>
    <row r="306" spans="2:15" x14ac:dyDescent="0.45">
      <c r="B306" s="6" t="s">
        <v>67</v>
      </c>
      <c r="C306" s="6" t="s">
        <v>24</v>
      </c>
      <c r="D306" s="7">
        <v>8.3410049019384147E-2</v>
      </c>
      <c r="E306" s="6" t="s">
        <v>7</v>
      </c>
      <c r="G306" s="6" t="s">
        <v>68</v>
      </c>
      <c r="H306" s="6" t="s">
        <v>24</v>
      </c>
      <c r="I306" s="8">
        <v>2.5320533863262325E-2</v>
      </c>
      <c r="J306" s="6" t="s">
        <v>7</v>
      </c>
      <c r="L306" s="6" t="s">
        <v>69</v>
      </c>
      <c r="M306" s="6" t="s">
        <v>24</v>
      </c>
      <c r="N306" s="8">
        <v>2.2037309166697931E-2</v>
      </c>
      <c r="O306" s="6" t="s">
        <v>7</v>
      </c>
    </row>
    <row r="307" spans="2:15" x14ac:dyDescent="0.45">
      <c r="B307" s="3" t="s">
        <v>67</v>
      </c>
      <c r="C307" s="3" t="s">
        <v>25</v>
      </c>
      <c r="D307" s="4">
        <v>6.6873154195729534E-2</v>
      </c>
      <c r="E307" s="3" t="s">
        <v>7</v>
      </c>
      <c r="G307" s="3" t="s">
        <v>68</v>
      </c>
      <c r="H307" s="3" t="s">
        <v>25</v>
      </c>
      <c r="I307" s="5">
        <v>2.5066760624172121E-2</v>
      </c>
      <c r="J307" s="3" t="s">
        <v>7</v>
      </c>
      <c r="L307" s="3" t="s">
        <v>69</v>
      </c>
      <c r="M307" s="3" t="s">
        <v>25</v>
      </c>
      <c r="N307" s="5">
        <v>2.1965476698423358E-2</v>
      </c>
      <c r="O307" s="3" t="s">
        <v>7</v>
      </c>
    </row>
    <row r="308" spans="2:15" x14ac:dyDescent="0.45">
      <c r="B308" s="6" t="s">
        <v>67</v>
      </c>
      <c r="C308" s="6" t="s">
        <v>26</v>
      </c>
      <c r="D308" s="7">
        <v>3.2026449268910781E-2</v>
      </c>
      <c r="E308" s="6" t="s">
        <v>7</v>
      </c>
      <c r="G308" s="6" t="s">
        <v>68</v>
      </c>
      <c r="H308" s="6" t="s">
        <v>26</v>
      </c>
      <c r="I308" s="8">
        <v>2.3405039265383096E-2</v>
      </c>
      <c r="J308" s="6" t="s">
        <v>7</v>
      </c>
      <c r="L308" s="6" t="s">
        <v>69</v>
      </c>
      <c r="M308" s="6" t="s">
        <v>26</v>
      </c>
      <c r="N308" s="8">
        <v>2.1891304943863744E-2</v>
      </c>
      <c r="O308" s="6" t="s">
        <v>7</v>
      </c>
    </row>
    <row r="309" spans="2:15" x14ac:dyDescent="0.45">
      <c r="B309" s="3" t="s">
        <v>67</v>
      </c>
      <c r="C309" s="3" t="s">
        <v>27</v>
      </c>
      <c r="D309" s="4">
        <v>3.0182233828797028E-3</v>
      </c>
      <c r="E309" s="3" t="s">
        <v>7</v>
      </c>
      <c r="G309" s="3" t="s">
        <v>68</v>
      </c>
      <c r="H309" s="3" t="s">
        <v>27</v>
      </c>
      <c r="I309" s="5">
        <v>2.2348506187862199E-2</v>
      </c>
      <c r="J309" s="3" t="s">
        <v>7</v>
      </c>
      <c r="L309" s="3" t="s">
        <v>69</v>
      </c>
      <c r="M309" s="3" t="s">
        <v>27</v>
      </c>
      <c r="N309" s="5">
        <v>2.2462808679419015E-2</v>
      </c>
      <c r="O309" s="3" t="s">
        <v>7</v>
      </c>
    </row>
    <row r="310" spans="2:15" x14ac:dyDescent="0.45">
      <c r="B310" s="6" t="s">
        <v>67</v>
      </c>
      <c r="C310" s="6" t="s">
        <v>28</v>
      </c>
      <c r="D310" s="7">
        <v>1.8995627778997601E-6</v>
      </c>
      <c r="E310" s="6" t="s">
        <v>7</v>
      </c>
      <c r="G310" s="6" t="s">
        <v>68</v>
      </c>
      <c r="H310" s="6" t="s">
        <v>28</v>
      </c>
      <c r="I310" s="8">
        <v>3.4131649458952772E-2</v>
      </c>
      <c r="J310" s="6" t="s">
        <v>7</v>
      </c>
      <c r="L310" s="6" t="s">
        <v>69</v>
      </c>
      <c r="M310" s="6" t="s">
        <v>28</v>
      </c>
      <c r="N310" s="8">
        <v>3.4451828564501394E-2</v>
      </c>
      <c r="O310" s="6" t="s">
        <v>7</v>
      </c>
    </row>
    <row r="311" spans="2:15" x14ac:dyDescent="0.45">
      <c r="B311" s="3" t="s">
        <v>67</v>
      </c>
      <c r="C311" s="3" t="s">
        <v>29</v>
      </c>
      <c r="D311" s="4">
        <v>0</v>
      </c>
      <c r="E311" s="3" t="s">
        <v>7</v>
      </c>
      <c r="G311" s="3" t="s">
        <v>68</v>
      </c>
      <c r="H311" s="3" t="s">
        <v>29</v>
      </c>
      <c r="I311" s="5">
        <v>2.7460800337681765E-2</v>
      </c>
      <c r="J311" s="3" t="s">
        <v>7</v>
      </c>
      <c r="L311" s="3" t="s">
        <v>69</v>
      </c>
      <c r="M311" s="3" t="s">
        <v>29</v>
      </c>
      <c r="N311" s="5">
        <v>3.2125234573772858E-2</v>
      </c>
      <c r="O311" s="3" t="s">
        <v>7</v>
      </c>
    </row>
    <row r="312" spans="2:15" x14ac:dyDescent="0.45">
      <c r="B312" s="6" t="s">
        <v>67</v>
      </c>
      <c r="C312" s="6" t="s">
        <v>30</v>
      </c>
      <c r="D312" s="7">
        <v>1.6921697107874804E-3</v>
      </c>
      <c r="E312" s="6" t="s">
        <v>7</v>
      </c>
      <c r="G312" s="6" t="s">
        <v>68</v>
      </c>
      <c r="H312" s="6" t="s">
        <v>30</v>
      </c>
      <c r="I312" s="8">
        <v>1.1257770536564132E-2</v>
      </c>
      <c r="J312" s="6" t="s">
        <v>7</v>
      </c>
      <c r="L312" s="6" t="s">
        <v>69</v>
      </c>
      <c r="M312" s="6" t="s">
        <v>30</v>
      </c>
      <c r="N312" s="8">
        <v>1.2552226054329117E-2</v>
      </c>
      <c r="O312" s="6" t="s">
        <v>7</v>
      </c>
    </row>
    <row r="313" spans="2:15" x14ac:dyDescent="0.45">
      <c r="B313" s="3" t="s">
        <v>67</v>
      </c>
      <c r="C313" s="3" t="s">
        <v>31</v>
      </c>
      <c r="D313" s="4">
        <v>2.0585283136469994E-2</v>
      </c>
      <c r="E313" s="3" t="s">
        <v>7</v>
      </c>
      <c r="G313" s="3" t="s">
        <v>68</v>
      </c>
      <c r="H313" s="3" t="s">
        <v>31</v>
      </c>
      <c r="I313" s="5">
        <v>1.1839983774660503E-2</v>
      </c>
      <c r="J313" s="3" t="s">
        <v>7</v>
      </c>
      <c r="L313" s="3" t="s">
        <v>69</v>
      </c>
      <c r="M313" s="3" t="s">
        <v>31</v>
      </c>
      <c r="N313" s="5">
        <v>1.2882091857305352E-2</v>
      </c>
      <c r="O313" s="3" t="s">
        <v>7</v>
      </c>
    </row>
    <row r="314" spans="2:15" x14ac:dyDescent="0.45">
      <c r="B314" s="6" t="s">
        <v>67</v>
      </c>
      <c r="C314" s="6" t="s">
        <v>32</v>
      </c>
      <c r="D314" s="7">
        <v>5.6973401952018769E-2</v>
      </c>
      <c r="E314" s="6" t="s">
        <v>7</v>
      </c>
      <c r="G314" s="6" t="s">
        <v>68</v>
      </c>
      <c r="H314" s="6" t="s">
        <v>32</v>
      </c>
      <c r="I314" s="8">
        <v>1.2214898562300671E-2</v>
      </c>
      <c r="J314" s="6" t="s">
        <v>7</v>
      </c>
      <c r="L314" s="6" t="s">
        <v>69</v>
      </c>
      <c r="M314" s="6" t="s">
        <v>32</v>
      </c>
      <c r="N314" s="8">
        <v>1.2375382330043642E-2</v>
      </c>
      <c r="O314" s="6" t="s">
        <v>7</v>
      </c>
    </row>
    <row r="315" spans="2:15" x14ac:dyDescent="0.45">
      <c r="B315" s="3" t="s">
        <v>67</v>
      </c>
      <c r="C315" s="3" t="s">
        <v>33</v>
      </c>
      <c r="D315" s="4">
        <v>8.0795824362765153E-2</v>
      </c>
      <c r="E315" s="3" t="s">
        <v>7</v>
      </c>
      <c r="G315" s="3" t="s">
        <v>68</v>
      </c>
      <c r="H315" s="3" t="s">
        <v>33</v>
      </c>
      <c r="I315" s="5">
        <v>1.2509698277581444E-2</v>
      </c>
      <c r="J315" s="3" t="s">
        <v>7</v>
      </c>
      <c r="L315" s="3" t="s">
        <v>69</v>
      </c>
      <c r="M315" s="3" t="s">
        <v>33</v>
      </c>
      <c r="N315" s="5">
        <v>1.2075891383241279E-2</v>
      </c>
      <c r="O315" s="3" t="s">
        <v>7</v>
      </c>
    </row>
    <row r="316" spans="2:15" x14ac:dyDescent="0.45">
      <c r="B316" s="6" t="s">
        <v>67</v>
      </c>
      <c r="C316" s="6" t="s">
        <v>34</v>
      </c>
      <c r="D316" s="7">
        <v>8.3706967203721436E-2</v>
      </c>
      <c r="E316" s="6" t="s">
        <v>7</v>
      </c>
      <c r="G316" s="6" t="s">
        <v>68</v>
      </c>
      <c r="H316" s="6" t="s">
        <v>34</v>
      </c>
      <c r="I316" s="8">
        <v>1.3197131705194909E-2</v>
      </c>
      <c r="J316" s="6" t="s">
        <v>7</v>
      </c>
      <c r="L316" s="6" t="s">
        <v>69</v>
      </c>
      <c r="M316" s="6" t="s">
        <v>34</v>
      </c>
      <c r="N316" s="8">
        <v>1.2515047137543861E-2</v>
      </c>
      <c r="O316" s="6" t="s">
        <v>7</v>
      </c>
    </row>
    <row r="317" spans="2:15" x14ac:dyDescent="0.45">
      <c r="B317" s="3" t="s">
        <v>67</v>
      </c>
      <c r="C317" s="3" t="s">
        <v>35</v>
      </c>
      <c r="D317" s="4">
        <v>6.9699418521368697E-2</v>
      </c>
      <c r="E317" s="3" t="s">
        <v>7</v>
      </c>
      <c r="G317" s="3" t="s">
        <v>68</v>
      </c>
      <c r="H317" s="3" t="s">
        <v>35</v>
      </c>
      <c r="I317" s="5">
        <v>1.2929746719774296E-2</v>
      </c>
      <c r="J317" s="3" t="s">
        <v>7</v>
      </c>
      <c r="L317" s="3" t="s">
        <v>69</v>
      </c>
      <c r="M317" s="3" t="s">
        <v>35</v>
      </c>
      <c r="N317" s="5">
        <v>1.2995157597393276E-2</v>
      </c>
      <c r="O317" s="3" t="s">
        <v>7</v>
      </c>
    </row>
    <row r="318" spans="2:15" x14ac:dyDescent="0.45">
      <c r="B318" s="6" t="s">
        <v>67</v>
      </c>
      <c r="C318" s="6" t="s">
        <v>36</v>
      </c>
      <c r="D318" s="7">
        <v>3.8916478138238259E-2</v>
      </c>
      <c r="E318" s="6" t="s">
        <v>7</v>
      </c>
      <c r="G318" s="6" t="s">
        <v>68</v>
      </c>
      <c r="H318" s="6" t="s">
        <v>36</v>
      </c>
      <c r="I318" s="8">
        <v>1.1891656469054249E-2</v>
      </c>
      <c r="J318" s="6" t="s">
        <v>7</v>
      </c>
      <c r="L318" s="6" t="s">
        <v>69</v>
      </c>
      <c r="M318" s="6" t="s">
        <v>36</v>
      </c>
      <c r="N318" s="8">
        <v>1.3323535583671855E-2</v>
      </c>
      <c r="O318" s="6" t="s">
        <v>7</v>
      </c>
    </row>
    <row r="319" spans="2:15" x14ac:dyDescent="0.45">
      <c r="B319" s="3" t="s">
        <v>67</v>
      </c>
      <c r="C319" s="3" t="s">
        <v>37</v>
      </c>
      <c r="D319" s="4">
        <v>6.9870169610395765E-3</v>
      </c>
      <c r="E319" s="3" t="s">
        <v>7</v>
      </c>
      <c r="G319" s="3" t="s">
        <v>68</v>
      </c>
      <c r="H319" s="3" t="s">
        <v>37</v>
      </c>
      <c r="I319" s="5">
        <v>1.0698886674842832E-2</v>
      </c>
      <c r="J319" s="3" t="s">
        <v>7</v>
      </c>
      <c r="L319" s="3" t="s">
        <v>69</v>
      </c>
      <c r="M319" s="3" t="s">
        <v>37</v>
      </c>
      <c r="N319" s="5">
        <v>1.3586551544209305E-2</v>
      </c>
      <c r="O319" s="3" t="s">
        <v>7</v>
      </c>
    </row>
    <row r="320" spans="2:15" x14ac:dyDescent="0.45">
      <c r="B320" s="6" t="s">
        <v>67</v>
      </c>
      <c r="C320" s="6" t="s">
        <v>38</v>
      </c>
      <c r="D320" s="7">
        <v>9.9882263443418627E-5</v>
      </c>
      <c r="E320" s="6" t="s">
        <v>7</v>
      </c>
      <c r="G320" s="6" t="s">
        <v>68</v>
      </c>
      <c r="H320" s="6" t="s">
        <v>38</v>
      </c>
      <c r="I320" s="8">
        <v>1.6132032783592508E-2</v>
      </c>
      <c r="J320" s="6" t="s">
        <v>7</v>
      </c>
      <c r="L320" s="6" t="s">
        <v>69</v>
      </c>
      <c r="M320" s="6" t="s">
        <v>38</v>
      </c>
      <c r="N320" s="8">
        <v>2.004602467461308E-2</v>
      </c>
      <c r="O320" s="6" t="s">
        <v>7</v>
      </c>
    </row>
    <row r="321" spans="2:15" x14ac:dyDescent="0.45">
      <c r="B321" s="3" t="s">
        <v>67</v>
      </c>
      <c r="C321" s="3" t="s">
        <v>39</v>
      </c>
      <c r="D321" s="4">
        <v>0</v>
      </c>
      <c r="E321" s="3" t="s">
        <v>7</v>
      </c>
      <c r="G321" s="3" t="s">
        <v>68</v>
      </c>
      <c r="H321" s="3" t="s">
        <v>39</v>
      </c>
      <c r="I321" s="5">
        <v>4.8626903308705727E-2</v>
      </c>
      <c r="J321" s="3" t="s">
        <v>7</v>
      </c>
      <c r="L321" s="3" t="s">
        <v>69</v>
      </c>
      <c r="M321" s="3" t="s">
        <v>39</v>
      </c>
      <c r="N321" s="5">
        <v>5.46770337111833E-2</v>
      </c>
      <c r="O321" s="3" t="s">
        <v>7</v>
      </c>
    </row>
    <row r="322" spans="2:15" x14ac:dyDescent="0.45">
      <c r="B322" s="6" t="s">
        <v>67</v>
      </c>
      <c r="C322" s="6" t="s">
        <v>40</v>
      </c>
      <c r="D322" s="7">
        <v>0</v>
      </c>
      <c r="E322" s="6" t="s">
        <v>7</v>
      </c>
      <c r="G322" s="6" t="s">
        <v>68</v>
      </c>
      <c r="H322" s="6" t="s">
        <v>40</v>
      </c>
      <c r="I322" s="8">
        <v>2.0052567875800561E-2</v>
      </c>
      <c r="J322" s="6" t="s">
        <v>7</v>
      </c>
      <c r="L322" s="6" t="s">
        <v>69</v>
      </c>
      <c r="M322" s="6" t="s">
        <v>40</v>
      </c>
      <c r="N322" s="8">
        <v>2.1903919430857451E-2</v>
      </c>
      <c r="O322" s="6" t="s">
        <v>7</v>
      </c>
    </row>
    <row r="323" spans="2:15" x14ac:dyDescent="0.45">
      <c r="B323" s="3" t="s">
        <v>67</v>
      </c>
      <c r="C323" s="3" t="s">
        <v>41</v>
      </c>
      <c r="D323" s="4">
        <v>3.2689810464529502E-3</v>
      </c>
      <c r="E323" s="3" t="s">
        <v>7</v>
      </c>
      <c r="G323" s="3" t="s">
        <v>68</v>
      </c>
      <c r="H323" s="3" t="s">
        <v>41</v>
      </c>
      <c r="I323" s="5">
        <v>2.0873669873040599E-2</v>
      </c>
      <c r="J323" s="3" t="s">
        <v>7</v>
      </c>
      <c r="L323" s="3" t="s">
        <v>69</v>
      </c>
      <c r="M323" s="3" t="s">
        <v>41</v>
      </c>
      <c r="N323" s="5">
        <v>2.2180890777777507E-2</v>
      </c>
      <c r="O323" s="3" t="s">
        <v>7</v>
      </c>
    </row>
    <row r="324" spans="2:15" x14ac:dyDescent="0.45">
      <c r="B324" s="6" t="s">
        <v>67</v>
      </c>
      <c r="C324" s="6" t="s">
        <v>42</v>
      </c>
      <c r="D324" s="7">
        <v>3.0111512452428643E-2</v>
      </c>
      <c r="E324" s="6" t="s">
        <v>7</v>
      </c>
      <c r="G324" s="6" t="s">
        <v>68</v>
      </c>
      <c r="H324" s="6" t="s">
        <v>42</v>
      </c>
      <c r="I324" s="8">
        <v>2.179881583083455E-2</v>
      </c>
      <c r="J324" s="6" t="s">
        <v>7</v>
      </c>
      <c r="L324" s="6" t="s">
        <v>69</v>
      </c>
      <c r="M324" s="6" t="s">
        <v>42</v>
      </c>
      <c r="N324" s="8">
        <v>2.2460648846821602E-2</v>
      </c>
      <c r="O324" s="6" t="s">
        <v>7</v>
      </c>
    </row>
    <row r="325" spans="2:15" x14ac:dyDescent="0.45">
      <c r="B325" s="3" t="s">
        <v>67</v>
      </c>
      <c r="C325" s="3" t="s">
        <v>43</v>
      </c>
      <c r="D325" s="4">
        <v>5.5649770295421418E-2</v>
      </c>
      <c r="E325" s="3" t="s">
        <v>7</v>
      </c>
      <c r="G325" s="3" t="s">
        <v>68</v>
      </c>
      <c r="H325" s="3" t="s">
        <v>43</v>
      </c>
      <c r="I325" s="5">
        <v>2.1829449788825648E-2</v>
      </c>
      <c r="J325" s="3" t="s">
        <v>7</v>
      </c>
      <c r="L325" s="3" t="s">
        <v>69</v>
      </c>
      <c r="M325" s="3" t="s">
        <v>43</v>
      </c>
      <c r="N325" s="5">
        <v>2.2213496799801072E-2</v>
      </c>
      <c r="O325" s="3" t="s">
        <v>7</v>
      </c>
    </row>
    <row r="326" spans="2:15" x14ac:dyDescent="0.45">
      <c r="B326" s="6" t="s">
        <v>67</v>
      </c>
      <c r="C326" s="6" t="s">
        <v>44</v>
      </c>
      <c r="D326" s="7">
        <v>5.5830320226720243E-2</v>
      </c>
      <c r="E326" s="6" t="s">
        <v>7</v>
      </c>
      <c r="G326" s="6" t="s">
        <v>68</v>
      </c>
      <c r="H326" s="6" t="s">
        <v>44</v>
      </c>
      <c r="I326" s="8">
        <v>2.1713994679848372E-2</v>
      </c>
      <c r="J326" s="6" t="s">
        <v>7</v>
      </c>
      <c r="L326" s="6" t="s">
        <v>69</v>
      </c>
      <c r="M326" s="6" t="s">
        <v>44</v>
      </c>
      <c r="N326" s="8">
        <v>2.1698078308584279E-2</v>
      </c>
      <c r="O326" s="6" t="s">
        <v>7</v>
      </c>
    </row>
    <row r="327" spans="2:15" x14ac:dyDescent="0.45">
      <c r="B327" s="3" t="s">
        <v>67</v>
      </c>
      <c r="C327" s="3" t="s">
        <v>45</v>
      </c>
      <c r="D327" s="4">
        <v>3.5830719648811966E-2</v>
      </c>
      <c r="E327" s="3" t="s">
        <v>7</v>
      </c>
      <c r="G327" s="3" t="s">
        <v>68</v>
      </c>
      <c r="H327" s="3" t="s">
        <v>45</v>
      </c>
      <c r="I327" s="5">
        <v>2.0596820706737049E-2</v>
      </c>
      <c r="J327" s="3" t="s">
        <v>7</v>
      </c>
      <c r="L327" s="3" t="s">
        <v>69</v>
      </c>
      <c r="M327" s="3" t="s">
        <v>45</v>
      </c>
      <c r="N327" s="5">
        <v>2.1515333127463006E-2</v>
      </c>
      <c r="O327" s="3" t="s">
        <v>7</v>
      </c>
    </row>
    <row r="328" spans="2:15" x14ac:dyDescent="0.45">
      <c r="B328" s="6" t="s">
        <v>67</v>
      </c>
      <c r="C328" s="6" t="s">
        <v>46</v>
      </c>
      <c r="D328" s="7">
        <v>8.2713744885075501E-3</v>
      </c>
      <c r="E328" s="6" t="s">
        <v>7</v>
      </c>
      <c r="G328" s="6" t="s">
        <v>68</v>
      </c>
      <c r="H328" s="6" t="s">
        <v>46</v>
      </c>
      <c r="I328" s="8">
        <v>1.9172601886828244E-2</v>
      </c>
      <c r="J328" s="6" t="s">
        <v>7</v>
      </c>
      <c r="L328" s="6" t="s">
        <v>69</v>
      </c>
      <c r="M328" s="6" t="s">
        <v>46</v>
      </c>
      <c r="N328" s="8">
        <v>2.1886068562897158E-2</v>
      </c>
      <c r="O328" s="6" t="s">
        <v>7</v>
      </c>
    </row>
    <row r="329" spans="2:15" x14ac:dyDescent="0.45">
      <c r="B329" s="3" t="s">
        <v>67</v>
      </c>
      <c r="C329" s="3" t="s">
        <v>47</v>
      </c>
      <c r="D329" s="4">
        <v>8.1826245196884171E-5</v>
      </c>
      <c r="E329" s="3" t="s">
        <v>7</v>
      </c>
      <c r="G329" s="3" t="s">
        <v>68</v>
      </c>
      <c r="H329" s="3" t="s">
        <v>47</v>
      </c>
      <c r="I329" s="5">
        <v>1.952188479280664E-2</v>
      </c>
      <c r="J329" s="3" t="s">
        <v>7</v>
      </c>
      <c r="L329" s="3" t="s">
        <v>69</v>
      </c>
      <c r="M329" s="3" t="s">
        <v>47</v>
      </c>
      <c r="N329" s="5">
        <v>2.234487616183136E-2</v>
      </c>
      <c r="O329" s="3" t="s">
        <v>7</v>
      </c>
    </row>
    <row r="330" spans="2:15" x14ac:dyDescent="0.45">
      <c r="B330" s="6" t="s">
        <v>67</v>
      </c>
      <c r="C330" s="6" t="s">
        <v>48</v>
      </c>
      <c r="D330" s="7">
        <v>0</v>
      </c>
      <c r="E330" s="6" t="s">
        <v>7</v>
      </c>
      <c r="G330" s="6" t="s">
        <v>68</v>
      </c>
      <c r="H330" s="6" t="s">
        <v>48</v>
      </c>
      <c r="I330" s="8">
        <v>2.970772275672948E-2</v>
      </c>
      <c r="J330" s="6" t="s">
        <v>7</v>
      </c>
      <c r="L330" s="6" t="s">
        <v>69</v>
      </c>
      <c r="M330" s="6" t="s">
        <v>48</v>
      </c>
      <c r="N330" s="8">
        <v>3.3796502541917864E-2</v>
      </c>
      <c r="O330" s="6" t="s">
        <v>7</v>
      </c>
    </row>
    <row r="331" spans="2:15" x14ac:dyDescent="0.45">
      <c r="B331" s="3" t="s">
        <v>70</v>
      </c>
      <c r="C331" s="3" t="s">
        <v>6</v>
      </c>
      <c r="D331" s="4">
        <v>0</v>
      </c>
      <c r="E331" s="3" t="s">
        <v>7</v>
      </c>
      <c r="G331" s="3" t="s">
        <v>71</v>
      </c>
      <c r="H331" s="3" t="s">
        <v>6</v>
      </c>
      <c r="I331" s="5">
        <v>6.2523265831433347E-2</v>
      </c>
      <c r="J331" s="3" t="s">
        <v>7</v>
      </c>
      <c r="L331" s="3" t="s">
        <v>72</v>
      </c>
      <c r="M331" s="3" t="s">
        <v>6</v>
      </c>
      <c r="N331" s="5">
        <v>6.6614353577091584E-2</v>
      </c>
      <c r="O331" s="3" t="s">
        <v>7</v>
      </c>
    </row>
    <row r="332" spans="2:15" x14ac:dyDescent="0.45">
      <c r="B332" s="6" t="s">
        <v>70</v>
      </c>
      <c r="C332" s="6" t="s">
        <v>10</v>
      </c>
      <c r="D332" s="7">
        <v>0</v>
      </c>
      <c r="E332" s="6" t="s">
        <v>7</v>
      </c>
      <c r="G332" s="6" t="s">
        <v>71</v>
      </c>
      <c r="H332" s="6" t="s">
        <v>10</v>
      </c>
      <c r="I332" s="8">
        <v>2.5428503972104454E-2</v>
      </c>
      <c r="J332" s="6" t="s">
        <v>7</v>
      </c>
      <c r="L332" s="6" t="s">
        <v>72</v>
      </c>
      <c r="M332" s="6" t="s">
        <v>10</v>
      </c>
      <c r="N332" s="8">
        <v>2.5949290057584916E-2</v>
      </c>
      <c r="O332" s="6" t="s">
        <v>7</v>
      </c>
    </row>
    <row r="333" spans="2:15" x14ac:dyDescent="0.45">
      <c r="B333" s="3" t="s">
        <v>70</v>
      </c>
      <c r="C333" s="3" t="s">
        <v>11</v>
      </c>
      <c r="D333" s="4">
        <v>3.9609508242896535E-4</v>
      </c>
      <c r="E333" s="3" t="s">
        <v>7</v>
      </c>
      <c r="G333" s="3" t="s">
        <v>71</v>
      </c>
      <c r="H333" s="3" t="s">
        <v>11</v>
      </c>
      <c r="I333" s="5">
        <v>2.5033393553982861E-2</v>
      </c>
      <c r="J333" s="3" t="s">
        <v>7</v>
      </c>
      <c r="L333" s="3" t="s">
        <v>72</v>
      </c>
      <c r="M333" s="3" t="s">
        <v>11</v>
      </c>
      <c r="N333" s="5">
        <v>2.6348495821897685E-2</v>
      </c>
      <c r="O333" s="3" t="s">
        <v>7</v>
      </c>
    </row>
    <row r="334" spans="2:15" x14ac:dyDescent="0.45">
      <c r="B334" s="6" t="s">
        <v>70</v>
      </c>
      <c r="C334" s="6" t="s">
        <v>12</v>
      </c>
      <c r="D334" s="7">
        <v>1.8327685769908446E-2</v>
      </c>
      <c r="E334" s="6" t="s">
        <v>7</v>
      </c>
      <c r="G334" s="6" t="s">
        <v>71</v>
      </c>
      <c r="H334" s="6" t="s">
        <v>12</v>
      </c>
      <c r="I334" s="8">
        <v>2.4268531201881188E-2</v>
      </c>
      <c r="J334" s="6" t="s">
        <v>7</v>
      </c>
      <c r="L334" s="6" t="s">
        <v>72</v>
      </c>
      <c r="M334" s="6" t="s">
        <v>12</v>
      </c>
      <c r="N334" s="8">
        <v>2.5955081369744674E-2</v>
      </c>
      <c r="O334" s="6" t="s">
        <v>7</v>
      </c>
    </row>
    <row r="335" spans="2:15" x14ac:dyDescent="0.45">
      <c r="B335" s="3" t="s">
        <v>70</v>
      </c>
      <c r="C335" s="3" t="s">
        <v>13</v>
      </c>
      <c r="D335" s="4">
        <v>4.1664805526700058E-2</v>
      </c>
      <c r="E335" s="3" t="s">
        <v>7</v>
      </c>
      <c r="G335" s="3" t="s">
        <v>71</v>
      </c>
      <c r="H335" s="3" t="s">
        <v>13</v>
      </c>
      <c r="I335" s="5">
        <v>2.4124895738388979E-2</v>
      </c>
      <c r="J335" s="3" t="s">
        <v>7</v>
      </c>
      <c r="L335" s="3" t="s">
        <v>72</v>
      </c>
      <c r="M335" s="3" t="s">
        <v>13</v>
      </c>
      <c r="N335" s="5">
        <v>2.5136620929709533E-2</v>
      </c>
      <c r="O335" s="3" t="s">
        <v>7</v>
      </c>
    </row>
    <row r="336" spans="2:15" x14ac:dyDescent="0.45">
      <c r="B336" s="6" t="s">
        <v>70</v>
      </c>
      <c r="C336" s="6" t="s">
        <v>14</v>
      </c>
      <c r="D336" s="7">
        <v>4.132910033897489E-2</v>
      </c>
      <c r="E336" s="6" t="s">
        <v>7</v>
      </c>
      <c r="G336" s="6" t="s">
        <v>71</v>
      </c>
      <c r="H336" s="6" t="s">
        <v>14</v>
      </c>
      <c r="I336" s="8">
        <v>2.4304059793140442E-2</v>
      </c>
      <c r="J336" s="6" t="s">
        <v>7</v>
      </c>
      <c r="L336" s="6" t="s">
        <v>72</v>
      </c>
      <c r="M336" s="6" t="s">
        <v>14</v>
      </c>
      <c r="N336" s="8">
        <v>2.5001069680951275E-2</v>
      </c>
      <c r="O336" s="6" t="s">
        <v>7</v>
      </c>
    </row>
    <row r="337" spans="2:15" x14ac:dyDescent="0.45">
      <c r="B337" s="3" t="s">
        <v>70</v>
      </c>
      <c r="C337" s="3" t="s">
        <v>15</v>
      </c>
      <c r="D337" s="4">
        <v>1.9150270023908299E-2</v>
      </c>
      <c r="E337" s="3" t="s">
        <v>7</v>
      </c>
      <c r="G337" s="3" t="s">
        <v>71</v>
      </c>
      <c r="H337" s="3" t="s">
        <v>15</v>
      </c>
      <c r="I337" s="5">
        <v>2.4180836730675979E-2</v>
      </c>
      <c r="J337" s="3" t="s">
        <v>7</v>
      </c>
      <c r="L337" s="3" t="s">
        <v>72</v>
      </c>
      <c r="M337" s="3" t="s">
        <v>15</v>
      </c>
      <c r="N337" s="5">
        <v>2.5150750833727697E-2</v>
      </c>
      <c r="O337" s="3" t="s">
        <v>7</v>
      </c>
    </row>
    <row r="338" spans="2:15" x14ac:dyDescent="0.45">
      <c r="B338" s="6" t="s">
        <v>70</v>
      </c>
      <c r="C338" s="6" t="s">
        <v>16</v>
      </c>
      <c r="D338" s="7">
        <v>1.2021654299348929E-3</v>
      </c>
      <c r="E338" s="6" t="s">
        <v>7</v>
      </c>
      <c r="G338" s="6" t="s">
        <v>71</v>
      </c>
      <c r="H338" s="6" t="s">
        <v>16</v>
      </c>
      <c r="I338" s="8">
        <v>2.5020599807717921E-2</v>
      </c>
      <c r="J338" s="6" t="s">
        <v>7</v>
      </c>
      <c r="L338" s="6" t="s">
        <v>72</v>
      </c>
      <c r="M338" s="6" t="s">
        <v>16</v>
      </c>
      <c r="N338" s="8">
        <v>2.5443709853440095E-2</v>
      </c>
      <c r="O338" s="6" t="s">
        <v>7</v>
      </c>
    </row>
    <row r="339" spans="2:15" x14ac:dyDescent="0.45">
      <c r="B339" s="3" t="s">
        <v>70</v>
      </c>
      <c r="C339" s="3" t="s">
        <v>17</v>
      </c>
      <c r="D339" s="4">
        <v>0</v>
      </c>
      <c r="E339" s="3" t="s">
        <v>7</v>
      </c>
      <c r="G339" s="3" t="s">
        <v>71</v>
      </c>
      <c r="H339" s="3" t="s">
        <v>17</v>
      </c>
      <c r="I339" s="5">
        <v>2.5718393363978936E-2</v>
      </c>
      <c r="J339" s="3" t="s">
        <v>7</v>
      </c>
      <c r="L339" s="3" t="s">
        <v>72</v>
      </c>
      <c r="M339" s="3" t="s">
        <v>17</v>
      </c>
      <c r="N339" s="5">
        <v>2.654522166150057E-2</v>
      </c>
      <c r="O339" s="3" t="s">
        <v>7</v>
      </c>
    </row>
    <row r="340" spans="2:15" x14ac:dyDescent="0.45">
      <c r="B340" s="6" t="s">
        <v>70</v>
      </c>
      <c r="C340" s="6" t="s">
        <v>18</v>
      </c>
      <c r="D340" s="7">
        <v>0</v>
      </c>
      <c r="E340" s="6" t="s">
        <v>7</v>
      </c>
      <c r="G340" s="6" t="s">
        <v>71</v>
      </c>
      <c r="H340" s="6" t="s">
        <v>18</v>
      </c>
      <c r="I340" s="8">
        <v>3.7957091255617574E-2</v>
      </c>
      <c r="J340" s="6" t="s">
        <v>7</v>
      </c>
      <c r="L340" s="6" t="s">
        <v>72</v>
      </c>
      <c r="M340" s="6" t="s">
        <v>18</v>
      </c>
      <c r="N340" s="8">
        <v>3.989051198344299E-2</v>
      </c>
      <c r="O340" s="6" t="s">
        <v>7</v>
      </c>
    </row>
    <row r="341" spans="2:15" x14ac:dyDescent="0.45">
      <c r="B341" s="3" t="s">
        <v>70</v>
      </c>
      <c r="C341" s="3" t="s">
        <v>19</v>
      </c>
      <c r="D341" s="4">
        <v>0</v>
      </c>
      <c r="E341" s="3" t="s">
        <v>7</v>
      </c>
      <c r="G341" s="3" t="s">
        <v>71</v>
      </c>
      <c r="H341" s="3" t="s">
        <v>19</v>
      </c>
      <c r="I341" s="5">
        <v>5.340042935596797E-2</v>
      </c>
      <c r="J341" s="3" t="s">
        <v>7</v>
      </c>
      <c r="L341" s="3" t="s">
        <v>72</v>
      </c>
      <c r="M341" s="3" t="s">
        <v>19</v>
      </c>
      <c r="N341" s="5">
        <v>5.7905427921279354E-2</v>
      </c>
      <c r="O341" s="3" t="s">
        <v>7</v>
      </c>
    </row>
    <row r="342" spans="2:15" x14ac:dyDescent="0.45">
      <c r="B342" s="6" t="s">
        <v>70</v>
      </c>
      <c r="C342" s="6" t="s">
        <v>20</v>
      </c>
      <c r="D342" s="7">
        <v>1.2982008295440951E-3</v>
      </c>
      <c r="E342" s="6" t="s">
        <v>7</v>
      </c>
      <c r="G342" s="6" t="s">
        <v>71</v>
      </c>
      <c r="H342" s="6" t="s">
        <v>20</v>
      </c>
      <c r="I342" s="8">
        <v>2.0979676715285642E-2</v>
      </c>
      <c r="J342" s="6" t="s">
        <v>7</v>
      </c>
      <c r="L342" s="6" t="s">
        <v>72</v>
      </c>
      <c r="M342" s="6" t="s">
        <v>20</v>
      </c>
      <c r="N342" s="8">
        <v>2.265436965121706E-2</v>
      </c>
      <c r="O342" s="6" t="s">
        <v>7</v>
      </c>
    </row>
    <row r="343" spans="2:15" x14ac:dyDescent="0.45">
      <c r="B343" s="3" t="s">
        <v>70</v>
      </c>
      <c r="C343" s="3" t="s">
        <v>21</v>
      </c>
      <c r="D343" s="4">
        <v>2.2098243949512132E-2</v>
      </c>
      <c r="E343" s="3" t="s">
        <v>7</v>
      </c>
      <c r="G343" s="3" t="s">
        <v>71</v>
      </c>
      <c r="H343" s="3" t="s">
        <v>21</v>
      </c>
      <c r="I343" s="5">
        <v>2.1269344340918803E-2</v>
      </c>
      <c r="J343" s="3" t="s">
        <v>7</v>
      </c>
      <c r="L343" s="3" t="s">
        <v>72</v>
      </c>
      <c r="M343" s="3" t="s">
        <v>21</v>
      </c>
      <c r="N343" s="5">
        <v>2.2991580217900369E-2</v>
      </c>
      <c r="O343" s="3" t="s">
        <v>7</v>
      </c>
    </row>
    <row r="344" spans="2:15" x14ac:dyDescent="0.45">
      <c r="B344" s="6" t="s">
        <v>70</v>
      </c>
      <c r="C344" s="6" t="s">
        <v>22</v>
      </c>
      <c r="D344" s="7">
        <v>5.8243494008363927E-2</v>
      </c>
      <c r="E344" s="6" t="s">
        <v>7</v>
      </c>
      <c r="G344" s="6" t="s">
        <v>71</v>
      </c>
      <c r="H344" s="6" t="s">
        <v>22</v>
      </c>
      <c r="I344" s="8">
        <v>2.2187671324035148E-2</v>
      </c>
      <c r="J344" s="6" t="s">
        <v>7</v>
      </c>
      <c r="L344" s="6" t="s">
        <v>72</v>
      </c>
      <c r="M344" s="6" t="s">
        <v>22</v>
      </c>
      <c r="N344" s="8">
        <v>2.284055426222872E-2</v>
      </c>
      <c r="O344" s="6" t="s">
        <v>7</v>
      </c>
    </row>
    <row r="345" spans="2:15" x14ac:dyDescent="0.45">
      <c r="B345" s="3" t="s">
        <v>70</v>
      </c>
      <c r="C345" s="3" t="s">
        <v>23</v>
      </c>
      <c r="D345" s="4">
        <v>8.0370417501505129E-2</v>
      </c>
      <c r="E345" s="3" t="s">
        <v>7</v>
      </c>
      <c r="G345" s="3" t="s">
        <v>71</v>
      </c>
      <c r="H345" s="3" t="s">
        <v>23</v>
      </c>
      <c r="I345" s="5">
        <v>2.2282085741526597E-2</v>
      </c>
      <c r="J345" s="3" t="s">
        <v>7</v>
      </c>
      <c r="L345" s="3" t="s">
        <v>72</v>
      </c>
      <c r="M345" s="3" t="s">
        <v>23</v>
      </c>
      <c r="N345" s="5">
        <v>2.2362382521144371E-2</v>
      </c>
      <c r="O345" s="3" t="s">
        <v>7</v>
      </c>
    </row>
    <row r="346" spans="2:15" x14ac:dyDescent="0.45">
      <c r="B346" s="6" t="s">
        <v>70</v>
      </c>
      <c r="C346" s="6" t="s">
        <v>24</v>
      </c>
      <c r="D346" s="7">
        <v>8.0865820740138261E-2</v>
      </c>
      <c r="E346" s="6" t="s">
        <v>7</v>
      </c>
      <c r="G346" s="6" t="s">
        <v>71</v>
      </c>
      <c r="H346" s="6" t="s">
        <v>24</v>
      </c>
      <c r="I346" s="8">
        <v>2.3365025770789423E-2</v>
      </c>
      <c r="J346" s="6" t="s">
        <v>7</v>
      </c>
      <c r="L346" s="6" t="s">
        <v>72</v>
      </c>
      <c r="M346" s="6" t="s">
        <v>24</v>
      </c>
      <c r="N346" s="8">
        <v>2.1971453160947785E-2</v>
      </c>
      <c r="O346" s="6" t="s">
        <v>7</v>
      </c>
    </row>
    <row r="347" spans="2:15" x14ac:dyDescent="0.45">
      <c r="B347" s="3" t="s">
        <v>70</v>
      </c>
      <c r="C347" s="3" t="s">
        <v>25</v>
      </c>
      <c r="D347" s="4">
        <v>5.5825500085648572E-2</v>
      </c>
      <c r="E347" s="3" t="s">
        <v>7</v>
      </c>
      <c r="G347" s="3" t="s">
        <v>71</v>
      </c>
      <c r="H347" s="3" t="s">
        <v>25</v>
      </c>
      <c r="I347" s="5">
        <v>2.3290803713642404E-2</v>
      </c>
      <c r="J347" s="3" t="s">
        <v>7</v>
      </c>
      <c r="L347" s="3" t="s">
        <v>72</v>
      </c>
      <c r="M347" s="3" t="s">
        <v>25</v>
      </c>
      <c r="N347" s="5">
        <v>2.1614584622444855E-2</v>
      </c>
      <c r="O347" s="3" t="s">
        <v>7</v>
      </c>
    </row>
    <row r="348" spans="2:15" x14ac:dyDescent="0.45">
      <c r="B348" s="6" t="s">
        <v>70</v>
      </c>
      <c r="C348" s="6" t="s">
        <v>26</v>
      </c>
      <c r="D348" s="7">
        <v>1.9511213731732813E-2</v>
      </c>
      <c r="E348" s="6" t="s">
        <v>7</v>
      </c>
      <c r="G348" s="6" t="s">
        <v>71</v>
      </c>
      <c r="H348" s="6" t="s">
        <v>26</v>
      </c>
      <c r="I348" s="8">
        <v>2.1631785806935745E-2</v>
      </c>
      <c r="J348" s="6" t="s">
        <v>7</v>
      </c>
      <c r="L348" s="6" t="s">
        <v>72</v>
      </c>
      <c r="M348" s="6" t="s">
        <v>26</v>
      </c>
      <c r="N348" s="8">
        <v>2.1577864805404856E-2</v>
      </c>
      <c r="O348" s="6" t="s">
        <v>7</v>
      </c>
    </row>
    <row r="349" spans="2:15" x14ac:dyDescent="0.45">
      <c r="B349" s="3" t="s">
        <v>70</v>
      </c>
      <c r="C349" s="3" t="s">
        <v>27</v>
      </c>
      <c r="D349" s="4">
        <v>8.4225279808815582E-4</v>
      </c>
      <c r="E349" s="3" t="s">
        <v>7</v>
      </c>
      <c r="G349" s="3" t="s">
        <v>71</v>
      </c>
      <c r="H349" s="3" t="s">
        <v>27</v>
      </c>
      <c r="I349" s="5">
        <v>2.0867773933905823E-2</v>
      </c>
      <c r="J349" s="3" t="s">
        <v>7</v>
      </c>
      <c r="L349" s="3" t="s">
        <v>72</v>
      </c>
      <c r="M349" s="3" t="s">
        <v>27</v>
      </c>
      <c r="N349" s="5">
        <v>2.2322672515385052E-2</v>
      </c>
      <c r="O349" s="3" t="s">
        <v>7</v>
      </c>
    </row>
    <row r="350" spans="2:15" x14ac:dyDescent="0.45">
      <c r="B350" s="6" t="s">
        <v>70</v>
      </c>
      <c r="C350" s="6" t="s">
        <v>28</v>
      </c>
      <c r="D350" s="7">
        <v>0</v>
      </c>
      <c r="E350" s="6" t="s">
        <v>7</v>
      </c>
      <c r="G350" s="6" t="s">
        <v>71</v>
      </c>
      <c r="H350" s="6" t="s">
        <v>28</v>
      </c>
      <c r="I350" s="8">
        <v>3.1997843672884101E-2</v>
      </c>
      <c r="J350" s="6" t="s">
        <v>7</v>
      </c>
      <c r="L350" s="6" t="s">
        <v>72</v>
      </c>
      <c r="M350" s="6" t="s">
        <v>28</v>
      </c>
      <c r="N350" s="8">
        <v>3.493202898770531E-2</v>
      </c>
      <c r="O350" s="6" t="s">
        <v>7</v>
      </c>
    </row>
    <row r="351" spans="2:15" x14ac:dyDescent="0.45">
      <c r="B351" s="3" t="s">
        <v>70</v>
      </c>
      <c r="C351" s="3" t="s">
        <v>29</v>
      </c>
      <c r="D351" s="4">
        <v>0</v>
      </c>
      <c r="E351" s="3" t="s">
        <v>7</v>
      </c>
      <c r="G351" s="3" t="s">
        <v>71</v>
      </c>
      <c r="H351" s="3" t="s">
        <v>29</v>
      </c>
      <c r="I351" s="5">
        <v>3.6441349488851575E-2</v>
      </c>
      <c r="J351" s="3" t="s">
        <v>7</v>
      </c>
      <c r="L351" s="3" t="s">
        <v>72</v>
      </c>
      <c r="M351" s="3" t="s">
        <v>29</v>
      </c>
      <c r="N351" s="5">
        <v>3.1926088992514368E-2</v>
      </c>
      <c r="O351" s="3" t="s">
        <v>7</v>
      </c>
    </row>
    <row r="352" spans="2:15" x14ac:dyDescent="0.45">
      <c r="B352" s="6" t="s">
        <v>70</v>
      </c>
      <c r="C352" s="6" t="s">
        <v>30</v>
      </c>
      <c r="D352" s="7">
        <v>2.9183236030421115E-3</v>
      </c>
      <c r="E352" s="6" t="s">
        <v>7</v>
      </c>
      <c r="G352" s="6" t="s">
        <v>71</v>
      </c>
      <c r="H352" s="6" t="s">
        <v>30</v>
      </c>
      <c r="I352" s="8">
        <v>1.3638915186737379E-2</v>
      </c>
      <c r="J352" s="6" t="s">
        <v>7</v>
      </c>
      <c r="L352" s="6" t="s">
        <v>72</v>
      </c>
      <c r="M352" s="6" t="s">
        <v>30</v>
      </c>
      <c r="N352" s="8">
        <v>1.2410150440452147E-2</v>
      </c>
      <c r="O352" s="6" t="s">
        <v>7</v>
      </c>
    </row>
    <row r="353" spans="2:15" x14ac:dyDescent="0.45">
      <c r="B353" s="3" t="s">
        <v>70</v>
      </c>
      <c r="C353" s="3" t="s">
        <v>31</v>
      </c>
      <c r="D353" s="4">
        <v>2.8318482079126288E-2</v>
      </c>
      <c r="E353" s="3" t="s">
        <v>7</v>
      </c>
      <c r="G353" s="3" t="s">
        <v>71</v>
      </c>
      <c r="H353" s="3" t="s">
        <v>31</v>
      </c>
      <c r="I353" s="5">
        <v>1.2406960931764651E-2</v>
      </c>
      <c r="J353" s="3" t="s">
        <v>7</v>
      </c>
      <c r="L353" s="3" t="s">
        <v>72</v>
      </c>
      <c r="M353" s="3" t="s">
        <v>31</v>
      </c>
      <c r="N353" s="5">
        <v>1.2540630191299459E-2</v>
      </c>
      <c r="O353" s="3" t="s">
        <v>7</v>
      </c>
    </row>
    <row r="354" spans="2:15" x14ac:dyDescent="0.45">
      <c r="B354" s="6" t="s">
        <v>70</v>
      </c>
      <c r="C354" s="6" t="s">
        <v>32</v>
      </c>
      <c r="D354" s="7">
        <v>6.611928835224308E-2</v>
      </c>
      <c r="E354" s="6" t="s">
        <v>7</v>
      </c>
      <c r="G354" s="6" t="s">
        <v>71</v>
      </c>
      <c r="H354" s="6" t="s">
        <v>32</v>
      </c>
      <c r="I354" s="8">
        <v>1.201281372792541E-2</v>
      </c>
      <c r="J354" s="6" t="s">
        <v>7</v>
      </c>
      <c r="L354" s="6" t="s">
        <v>72</v>
      </c>
      <c r="M354" s="6" t="s">
        <v>32</v>
      </c>
      <c r="N354" s="8">
        <v>1.1945677747510024E-2</v>
      </c>
      <c r="O354" s="6" t="s">
        <v>7</v>
      </c>
    </row>
    <row r="355" spans="2:15" x14ac:dyDescent="0.45">
      <c r="B355" s="3" t="s">
        <v>70</v>
      </c>
      <c r="C355" s="3" t="s">
        <v>33</v>
      </c>
      <c r="D355" s="4">
        <v>8.8029171373824253E-2</v>
      </c>
      <c r="E355" s="3" t="s">
        <v>7</v>
      </c>
      <c r="G355" s="3" t="s">
        <v>71</v>
      </c>
      <c r="H355" s="3" t="s">
        <v>33</v>
      </c>
      <c r="I355" s="5">
        <v>1.2740459892267495E-2</v>
      </c>
      <c r="J355" s="3" t="s">
        <v>7</v>
      </c>
      <c r="L355" s="3" t="s">
        <v>72</v>
      </c>
      <c r="M355" s="3" t="s">
        <v>33</v>
      </c>
      <c r="N355" s="5">
        <v>1.1639201724075921E-2</v>
      </c>
      <c r="O355" s="3" t="s">
        <v>7</v>
      </c>
    </row>
    <row r="356" spans="2:15" x14ac:dyDescent="0.45">
      <c r="B356" s="6" t="s">
        <v>70</v>
      </c>
      <c r="C356" s="6" t="s">
        <v>34</v>
      </c>
      <c r="D356" s="7">
        <v>8.69478447549768E-2</v>
      </c>
      <c r="E356" s="6" t="s">
        <v>7</v>
      </c>
      <c r="G356" s="6" t="s">
        <v>71</v>
      </c>
      <c r="H356" s="6" t="s">
        <v>34</v>
      </c>
      <c r="I356" s="8">
        <v>1.3710198438318558E-2</v>
      </c>
      <c r="J356" s="6" t="s">
        <v>7</v>
      </c>
      <c r="L356" s="6" t="s">
        <v>72</v>
      </c>
      <c r="M356" s="6" t="s">
        <v>34</v>
      </c>
      <c r="N356" s="8">
        <v>1.2282860297720018E-2</v>
      </c>
      <c r="O356" s="6" t="s">
        <v>7</v>
      </c>
    </row>
    <row r="357" spans="2:15" x14ac:dyDescent="0.45">
      <c r="B357" s="3" t="s">
        <v>70</v>
      </c>
      <c r="C357" s="3" t="s">
        <v>35</v>
      </c>
      <c r="D357" s="4">
        <v>6.4275795453949514E-2</v>
      </c>
      <c r="E357" s="3" t="s">
        <v>7</v>
      </c>
      <c r="G357" s="3" t="s">
        <v>71</v>
      </c>
      <c r="H357" s="3" t="s">
        <v>35</v>
      </c>
      <c r="I357" s="5">
        <v>1.3688817449019196E-2</v>
      </c>
      <c r="J357" s="3" t="s">
        <v>7</v>
      </c>
      <c r="L357" s="3" t="s">
        <v>72</v>
      </c>
      <c r="M357" s="3" t="s">
        <v>35</v>
      </c>
      <c r="N357" s="5">
        <v>1.2760653081457482E-2</v>
      </c>
      <c r="O357" s="3" t="s">
        <v>7</v>
      </c>
    </row>
    <row r="358" spans="2:15" x14ac:dyDescent="0.45">
      <c r="B358" s="6" t="s">
        <v>70</v>
      </c>
      <c r="C358" s="6" t="s">
        <v>36</v>
      </c>
      <c r="D358" s="7">
        <v>2.7769694779502863E-2</v>
      </c>
      <c r="E358" s="6" t="s">
        <v>7</v>
      </c>
      <c r="G358" s="6" t="s">
        <v>71</v>
      </c>
      <c r="H358" s="6" t="s">
        <v>36</v>
      </c>
      <c r="I358" s="8">
        <v>1.3778617114755457E-2</v>
      </c>
      <c r="J358" s="6" t="s">
        <v>7</v>
      </c>
      <c r="L358" s="6" t="s">
        <v>72</v>
      </c>
      <c r="M358" s="6" t="s">
        <v>36</v>
      </c>
      <c r="N358" s="8">
        <v>1.3158469547146764E-2</v>
      </c>
      <c r="O358" s="6" t="s">
        <v>7</v>
      </c>
    </row>
    <row r="359" spans="2:15" x14ac:dyDescent="0.45">
      <c r="B359" s="3" t="s">
        <v>70</v>
      </c>
      <c r="C359" s="3" t="s">
        <v>37</v>
      </c>
      <c r="D359" s="4">
        <v>2.7003831274934539E-3</v>
      </c>
      <c r="E359" s="3" t="s">
        <v>7</v>
      </c>
      <c r="G359" s="3" t="s">
        <v>71</v>
      </c>
      <c r="H359" s="3" t="s">
        <v>37</v>
      </c>
      <c r="I359" s="5">
        <v>1.4848010936040561E-2</v>
      </c>
      <c r="J359" s="3" t="s">
        <v>7</v>
      </c>
      <c r="L359" s="3" t="s">
        <v>72</v>
      </c>
      <c r="M359" s="3" t="s">
        <v>37</v>
      </c>
      <c r="N359" s="5">
        <v>1.3154270707955719E-2</v>
      </c>
      <c r="O359" s="3" t="s">
        <v>7</v>
      </c>
    </row>
    <row r="360" spans="2:15" x14ac:dyDescent="0.45">
      <c r="B360" s="6" t="s">
        <v>70</v>
      </c>
      <c r="C360" s="6" t="s">
        <v>38</v>
      </c>
      <c r="D360" s="7">
        <v>0</v>
      </c>
      <c r="E360" s="6" t="s">
        <v>7</v>
      </c>
      <c r="G360" s="6" t="s">
        <v>71</v>
      </c>
      <c r="H360" s="6" t="s">
        <v>38</v>
      </c>
      <c r="I360" s="8">
        <v>2.3076720786253582E-2</v>
      </c>
      <c r="J360" s="6" t="s">
        <v>7</v>
      </c>
      <c r="L360" s="6" t="s">
        <v>72</v>
      </c>
      <c r="M360" s="6" t="s">
        <v>38</v>
      </c>
      <c r="N360" s="8">
        <v>1.971631587143801E-2</v>
      </c>
      <c r="O360" s="6" t="s">
        <v>7</v>
      </c>
    </row>
    <row r="361" spans="2:15" x14ac:dyDescent="0.45">
      <c r="B361" s="3" t="s">
        <v>70</v>
      </c>
      <c r="C361" s="3" t="s">
        <v>39</v>
      </c>
      <c r="D361" s="4">
        <v>0</v>
      </c>
      <c r="E361" s="3" t="s">
        <v>7</v>
      </c>
      <c r="G361" s="3" t="s">
        <v>71</v>
      </c>
      <c r="H361" s="3" t="s">
        <v>39</v>
      </c>
      <c r="I361" s="5">
        <v>5.867398958272179E-2</v>
      </c>
      <c r="J361" s="3" t="s">
        <v>7</v>
      </c>
      <c r="L361" s="3" t="s">
        <v>72</v>
      </c>
      <c r="M361" s="3" t="s">
        <v>39</v>
      </c>
      <c r="N361" s="5">
        <v>5.5086535773136623E-2</v>
      </c>
      <c r="O361" s="3" t="s">
        <v>7</v>
      </c>
    </row>
    <row r="362" spans="2:15" x14ac:dyDescent="0.45">
      <c r="B362" s="6" t="s">
        <v>70</v>
      </c>
      <c r="C362" s="6" t="s">
        <v>40</v>
      </c>
      <c r="D362" s="7">
        <v>1.7351312735209312E-5</v>
      </c>
      <c r="E362" s="6" t="s">
        <v>7</v>
      </c>
      <c r="G362" s="6" t="s">
        <v>71</v>
      </c>
      <c r="H362" s="6" t="s">
        <v>40</v>
      </c>
      <c r="I362" s="8">
        <v>2.3549001458496491E-2</v>
      </c>
      <c r="J362" s="6" t="s">
        <v>7</v>
      </c>
      <c r="L362" s="6" t="s">
        <v>72</v>
      </c>
      <c r="M362" s="6" t="s">
        <v>40</v>
      </c>
      <c r="N362" s="8">
        <v>2.1783427108569564E-2</v>
      </c>
      <c r="O362" s="6" t="s">
        <v>7</v>
      </c>
    </row>
    <row r="363" spans="2:15" x14ac:dyDescent="0.45">
      <c r="B363" s="3" t="s">
        <v>70</v>
      </c>
      <c r="C363" s="3" t="s">
        <v>41</v>
      </c>
      <c r="D363" s="4">
        <v>8.7572602851507236E-3</v>
      </c>
      <c r="E363" s="3" t="s">
        <v>7</v>
      </c>
      <c r="G363" s="3" t="s">
        <v>71</v>
      </c>
      <c r="H363" s="3" t="s">
        <v>41</v>
      </c>
      <c r="I363" s="5">
        <v>2.2597493525175004E-2</v>
      </c>
      <c r="J363" s="3" t="s">
        <v>7</v>
      </c>
      <c r="L363" s="3" t="s">
        <v>72</v>
      </c>
      <c r="M363" s="3" t="s">
        <v>41</v>
      </c>
      <c r="N363" s="5">
        <v>2.2129429012580377E-2</v>
      </c>
      <c r="O363" s="3" t="s">
        <v>7</v>
      </c>
    </row>
    <row r="364" spans="2:15" x14ac:dyDescent="0.45">
      <c r="B364" s="6" t="s">
        <v>70</v>
      </c>
      <c r="C364" s="6" t="s">
        <v>42</v>
      </c>
      <c r="D364" s="7">
        <v>3.9617606745754944E-2</v>
      </c>
      <c r="E364" s="6" t="s">
        <v>7</v>
      </c>
      <c r="G364" s="6" t="s">
        <v>71</v>
      </c>
      <c r="H364" s="6" t="s">
        <v>42</v>
      </c>
      <c r="I364" s="8">
        <v>2.1097467145446917E-2</v>
      </c>
      <c r="J364" s="6" t="s">
        <v>7</v>
      </c>
      <c r="L364" s="6" t="s">
        <v>72</v>
      </c>
      <c r="M364" s="6" t="s">
        <v>42</v>
      </c>
      <c r="N364" s="8">
        <v>2.2209622726756348E-2</v>
      </c>
      <c r="O364" s="6" t="s">
        <v>7</v>
      </c>
    </row>
    <row r="365" spans="2:15" x14ac:dyDescent="0.45">
      <c r="B365" s="3" t="s">
        <v>70</v>
      </c>
      <c r="C365" s="3" t="s">
        <v>43</v>
      </c>
      <c r="D365" s="4">
        <v>5.88065937763185E-2</v>
      </c>
      <c r="E365" s="3" t="s">
        <v>7</v>
      </c>
      <c r="G365" s="3" t="s">
        <v>71</v>
      </c>
      <c r="H365" s="3" t="s">
        <v>43</v>
      </c>
      <c r="I365" s="5">
        <v>2.1693368981586653E-2</v>
      </c>
      <c r="J365" s="3" t="s">
        <v>7</v>
      </c>
      <c r="L365" s="3" t="s">
        <v>72</v>
      </c>
      <c r="M365" s="3" t="s">
        <v>43</v>
      </c>
      <c r="N365" s="5">
        <v>2.2014644666487459E-2</v>
      </c>
      <c r="O365" s="3" t="s">
        <v>7</v>
      </c>
    </row>
    <row r="366" spans="2:15" x14ac:dyDescent="0.45">
      <c r="B366" s="6" t="s">
        <v>70</v>
      </c>
      <c r="C366" s="6" t="s">
        <v>44</v>
      </c>
      <c r="D366" s="7">
        <v>5.1967963454253849E-2</v>
      </c>
      <c r="E366" s="6" t="s">
        <v>7</v>
      </c>
      <c r="G366" s="6" t="s">
        <v>71</v>
      </c>
      <c r="H366" s="6" t="s">
        <v>44</v>
      </c>
      <c r="I366" s="8">
        <v>2.2522732398055571E-2</v>
      </c>
      <c r="J366" s="6" t="s">
        <v>7</v>
      </c>
      <c r="L366" s="6" t="s">
        <v>72</v>
      </c>
      <c r="M366" s="6" t="s">
        <v>44</v>
      </c>
      <c r="N366" s="8">
        <v>2.1695069010378095E-2</v>
      </c>
      <c r="O366" s="6" t="s">
        <v>7</v>
      </c>
    </row>
    <row r="367" spans="2:15" x14ac:dyDescent="0.45">
      <c r="B367" s="3" t="s">
        <v>70</v>
      </c>
      <c r="C367" s="3" t="s">
        <v>45</v>
      </c>
      <c r="D367" s="4">
        <v>2.8346121264352712E-2</v>
      </c>
      <c r="E367" s="3" t="s">
        <v>7</v>
      </c>
      <c r="G367" s="3" t="s">
        <v>71</v>
      </c>
      <c r="H367" s="3" t="s">
        <v>45</v>
      </c>
      <c r="I367" s="5">
        <v>2.2435747800499138E-2</v>
      </c>
      <c r="J367" s="3" t="s">
        <v>7</v>
      </c>
      <c r="L367" s="3" t="s">
        <v>72</v>
      </c>
      <c r="M367" s="3" t="s">
        <v>45</v>
      </c>
      <c r="N367" s="5">
        <v>2.1552675481081744E-2</v>
      </c>
      <c r="O367" s="3" t="s">
        <v>7</v>
      </c>
    </row>
    <row r="368" spans="2:15" x14ac:dyDescent="0.45">
      <c r="B368" s="6" t="s">
        <v>70</v>
      </c>
      <c r="C368" s="6" t="s">
        <v>46</v>
      </c>
      <c r="D368" s="7">
        <v>4.281490847911058E-3</v>
      </c>
      <c r="E368" s="6" t="s">
        <v>7</v>
      </c>
      <c r="G368" s="6" t="s">
        <v>71</v>
      </c>
      <c r="H368" s="6" t="s">
        <v>46</v>
      </c>
      <c r="I368" s="8">
        <v>2.2538355950268079E-2</v>
      </c>
      <c r="J368" s="6" t="s">
        <v>7</v>
      </c>
      <c r="L368" s="6" t="s">
        <v>72</v>
      </c>
      <c r="M368" s="6" t="s">
        <v>46</v>
      </c>
      <c r="N368" s="8">
        <v>2.1758221880289561E-2</v>
      </c>
      <c r="O368" s="6" t="s">
        <v>7</v>
      </c>
    </row>
    <row r="369" spans="2:15" x14ac:dyDescent="0.45">
      <c r="B369" s="3" t="s">
        <v>70</v>
      </c>
      <c r="C369" s="3" t="s">
        <v>47</v>
      </c>
      <c r="D369" s="4">
        <v>1.3629729759719299E-6</v>
      </c>
      <c r="E369" s="3" t="s">
        <v>7</v>
      </c>
      <c r="G369" s="3" t="s">
        <v>71</v>
      </c>
      <c r="H369" s="3" t="s">
        <v>47</v>
      </c>
      <c r="I369" s="5">
        <v>2.3547076498652682E-2</v>
      </c>
      <c r="J369" s="3" t="s">
        <v>7</v>
      </c>
      <c r="L369" s="3" t="s">
        <v>72</v>
      </c>
      <c r="M369" s="3" t="s">
        <v>47</v>
      </c>
      <c r="N369" s="5">
        <v>2.2481676617602021E-2</v>
      </c>
      <c r="O369" s="3" t="s">
        <v>7</v>
      </c>
    </row>
    <row r="370" spans="2:15" x14ac:dyDescent="0.45">
      <c r="B370" s="6" t="s">
        <v>70</v>
      </c>
      <c r="C370" s="6" t="s">
        <v>48</v>
      </c>
      <c r="D370" s="7">
        <v>0</v>
      </c>
      <c r="E370" s="6" t="s">
        <v>7</v>
      </c>
      <c r="G370" s="6" t="s">
        <v>71</v>
      </c>
      <c r="H370" s="6" t="s">
        <v>48</v>
      </c>
      <c r="I370" s="8">
        <v>3.5169891082350524E-2</v>
      </c>
      <c r="J370" s="6" t="s">
        <v>7</v>
      </c>
      <c r="L370" s="6" t="s">
        <v>72</v>
      </c>
      <c r="M370" s="6" t="s">
        <v>48</v>
      </c>
      <c r="N370" s="8">
        <v>3.4546354686799584E-2</v>
      </c>
      <c r="O370" s="6" t="s">
        <v>7</v>
      </c>
    </row>
    <row r="371" spans="2:15" x14ac:dyDescent="0.45">
      <c r="B371" s="3" t="s">
        <v>73</v>
      </c>
      <c r="C371" s="3" t="s">
        <v>6</v>
      </c>
      <c r="D371" s="4">
        <v>0</v>
      </c>
      <c r="E371" s="3" t="s">
        <v>7</v>
      </c>
      <c r="G371" s="3" t="s">
        <v>74</v>
      </c>
      <c r="H371" s="3" t="s">
        <v>6</v>
      </c>
      <c r="I371" s="5">
        <v>6.8999270348557573E-2</v>
      </c>
      <c r="J371" s="3" t="s">
        <v>7</v>
      </c>
      <c r="L371" s="3" t="s">
        <v>75</v>
      </c>
      <c r="M371" s="3" t="s">
        <v>6</v>
      </c>
      <c r="N371" s="5">
        <v>6.8724248842888594E-2</v>
      </c>
      <c r="O371" s="3" t="s">
        <v>7</v>
      </c>
    </row>
    <row r="372" spans="2:15" x14ac:dyDescent="0.45">
      <c r="B372" s="6" t="s">
        <v>73</v>
      </c>
      <c r="C372" s="6" t="s">
        <v>10</v>
      </c>
      <c r="D372" s="7">
        <v>0</v>
      </c>
      <c r="E372" s="6" t="s">
        <v>7</v>
      </c>
      <c r="G372" s="6" t="s">
        <v>74</v>
      </c>
      <c r="H372" s="6" t="s">
        <v>10</v>
      </c>
      <c r="I372" s="8">
        <v>2.6728308892928508E-2</v>
      </c>
      <c r="J372" s="6" t="s">
        <v>7</v>
      </c>
      <c r="L372" s="6" t="s">
        <v>75</v>
      </c>
      <c r="M372" s="6" t="s">
        <v>10</v>
      </c>
      <c r="N372" s="8">
        <v>2.6549197119626233E-2</v>
      </c>
      <c r="O372" s="6" t="s">
        <v>7</v>
      </c>
    </row>
    <row r="373" spans="2:15" x14ac:dyDescent="0.45">
      <c r="B373" s="3" t="s">
        <v>73</v>
      </c>
      <c r="C373" s="3" t="s">
        <v>11</v>
      </c>
      <c r="D373" s="4">
        <v>1.1472254503489531E-5</v>
      </c>
      <c r="E373" s="3" t="s">
        <v>7</v>
      </c>
      <c r="G373" s="3" t="s">
        <v>74</v>
      </c>
      <c r="H373" s="3" t="s">
        <v>11</v>
      </c>
      <c r="I373" s="5">
        <v>2.6457809391999203E-2</v>
      </c>
      <c r="J373" s="3" t="s">
        <v>7</v>
      </c>
      <c r="L373" s="3" t="s">
        <v>75</v>
      </c>
      <c r="M373" s="3" t="s">
        <v>11</v>
      </c>
      <c r="N373" s="5">
        <v>2.6543177670448694E-2</v>
      </c>
      <c r="O373" s="3" t="s">
        <v>7</v>
      </c>
    </row>
    <row r="374" spans="2:15" x14ac:dyDescent="0.45">
      <c r="B374" s="6" t="s">
        <v>73</v>
      </c>
      <c r="C374" s="6" t="s">
        <v>12</v>
      </c>
      <c r="D374" s="7">
        <v>9.5766226252001572E-3</v>
      </c>
      <c r="E374" s="6" t="s">
        <v>7</v>
      </c>
      <c r="G374" s="6" t="s">
        <v>74</v>
      </c>
      <c r="H374" s="6" t="s">
        <v>12</v>
      </c>
      <c r="I374" s="8">
        <v>2.5889138483254526E-2</v>
      </c>
      <c r="J374" s="6" t="s">
        <v>7</v>
      </c>
      <c r="L374" s="6" t="s">
        <v>75</v>
      </c>
      <c r="M374" s="6" t="s">
        <v>12</v>
      </c>
      <c r="N374" s="8">
        <v>2.6893304961889786E-2</v>
      </c>
      <c r="O374" s="6" t="s">
        <v>7</v>
      </c>
    </row>
    <row r="375" spans="2:15" x14ac:dyDescent="0.45">
      <c r="B375" s="3" t="s">
        <v>73</v>
      </c>
      <c r="C375" s="3" t="s">
        <v>13</v>
      </c>
      <c r="D375" s="4">
        <v>3.2652107816826342E-2</v>
      </c>
      <c r="E375" s="3" t="s">
        <v>7</v>
      </c>
      <c r="G375" s="3" t="s">
        <v>74</v>
      </c>
      <c r="H375" s="3" t="s">
        <v>13</v>
      </c>
      <c r="I375" s="5">
        <v>2.5980445082398652E-2</v>
      </c>
      <c r="J375" s="3" t="s">
        <v>7</v>
      </c>
      <c r="L375" s="3" t="s">
        <v>75</v>
      </c>
      <c r="M375" s="3" t="s">
        <v>13</v>
      </c>
      <c r="N375" s="5">
        <v>2.6698828647312781E-2</v>
      </c>
      <c r="O375" s="3" t="s">
        <v>7</v>
      </c>
    </row>
    <row r="376" spans="2:15" x14ac:dyDescent="0.45">
      <c r="B376" s="6" t="s">
        <v>73</v>
      </c>
      <c r="C376" s="6" t="s">
        <v>14</v>
      </c>
      <c r="D376" s="7">
        <v>3.8864354501135137E-2</v>
      </c>
      <c r="E376" s="6" t="s">
        <v>7</v>
      </c>
      <c r="G376" s="6" t="s">
        <v>74</v>
      </c>
      <c r="H376" s="6" t="s">
        <v>14</v>
      </c>
      <c r="I376" s="8">
        <v>2.6784976145298921E-2</v>
      </c>
      <c r="J376" s="6" t="s">
        <v>7</v>
      </c>
      <c r="L376" s="6" t="s">
        <v>75</v>
      </c>
      <c r="M376" s="6" t="s">
        <v>14</v>
      </c>
      <c r="N376" s="8">
        <v>2.6436430466921398E-2</v>
      </c>
      <c r="O376" s="6" t="s">
        <v>7</v>
      </c>
    </row>
    <row r="377" spans="2:15" x14ac:dyDescent="0.45">
      <c r="B377" s="3" t="s">
        <v>73</v>
      </c>
      <c r="C377" s="3" t="s">
        <v>15</v>
      </c>
      <c r="D377" s="4">
        <v>2.1651618713473472E-2</v>
      </c>
      <c r="E377" s="3" t="s">
        <v>7</v>
      </c>
      <c r="G377" s="3" t="s">
        <v>74</v>
      </c>
      <c r="H377" s="3" t="s">
        <v>15</v>
      </c>
      <c r="I377" s="5">
        <v>2.6734721976411718E-2</v>
      </c>
      <c r="J377" s="3" t="s">
        <v>7</v>
      </c>
      <c r="L377" s="3" t="s">
        <v>75</v>
      </c>
      <c r="M377" s="3" t="s">
        <v>15</v>
      </c>
      <c r="N377" s="5">
        <v>2.5914270927043914E-2</v>
      </c>
      <c r="O377" s="3" t="s">
        <v>7</v>
      </c>
    </row>
    <row r="378" spans="2:15" x14ac:dyDescent="0.45">
      <c r="B378" s="6" t="s">
        <v>73</v>
      </c>
      <c r="C378" s="6" t="s">
        <v>16</v>
      </c>
      <c r="D378" s="7">
        <v>2.9017675543899645E-3</v>
      </c>
      <c r="E378" s="6" t="s">
        <v>7</v>
      </c>
      <c r="G378" s="6" t="s">
        <v>74</v>
      </c>
      <c r="H378" s="6" t="s">
        <v>16</v>
      </c>
      <c r="I378" s="8">
        <v>2.705345582561873E-2</v>
      </c>
      <c r="J378" s="6" t="s">
        <v>7</v>
      </c>
      <c r="L378" s="6" t="s">
        <v>75</v>
      </c>
      <c r="M378" s="6" t="s">
        <v>16</v>
      </c>
      <c r="N378" s="8">
        <v>2.6622493902503812E-2</v>
      </c>
      <c r="O378" s="6" t="s">
        <v>7</v>
      </c>
    </row>
    <row r="379" spans="2:15" x14ac:dyDescent="0.45">
      <c r="B379" s="3" t="s">
        <v>73</v>
      </c>
      <c r="C379" s="3" t="s">
        <v>17</v>
      </c>
      <c r="D379" s="4">
        <v>0</v>
      </c>
      <c r="E379" s="3" t="s">
        <v>7</v>
      </c>
      <c r="G379" s="3" t="s">
        <v>74</v>
      </c>
      <c r="H379" s="3" t="s">
        <v>17</v>
      </c>
      <c r="I379" s="5">
        <v>2.7675864524754391E-2</v>
      </c>
      <c r="J379" s="3" t="s">
        <v>7</v>
      </c>
      <c r="L379" s="3" t="s">
        <v>75</v>
      </c>
      <c r="M379" s="3" t="s">
        <v>17</v>
      </c>
      <c r="N379" s="5">
        <v>2.7428906708989717E-2</v>
      </c>
      <c r="O379" s="3" t="s">
        <v>7</v>
      </c>
    </row>
    <row r="380" spans="2:15" x14ac:dyDescent="0.45">
      <c r="B380" s="6" t="s">
        <v>73</v>
      </c>
      <c r="C380" s="6" t="s">
        <v>18</v>
      </c>
      <c r="D380" s="7">
        <v>0</v>
      </c>
      <c r="E380" s="6" t="s">
        <v>7</v>
      </c>
      <c r="G380" s="6" t="s">
        <v>74</v>
      </c>
      <c r="H380" s="6" t="s">
        <v>18</v>
      </c>
      <c r="I380" s="8">
        <v>4.1792240514531016E-2</v>
      </c>
      <c r="J380" s="6" t="s">
        <v>7</v>
      </c>
      <c r="L380" s="6" t="s">
        <v>75</v>
      </c>
      <c r="M380" s="6" t="s">
        <v>18</v>
      </c>
      <c r="N380" s="8">
        <v>4.1752963041188182E-2</v>
      </c>
      <c r="O380" s="6" t="s">
        <v>7</v>
      </c>
    </row>
    <row r="381" spans="2:15" x14ac:dyDescent="0.45">
      <c r="B381" s="3" t="s">
        <v>73</v>
      </c>
      <c r="C381" s="3" t="s">
        <v>19</v>
      </c>
      <c r="D381" s="4">
        <v>0</v>
      </c>
      <c r="E381" s="3" t="s">
        <v>7</v>
      </c>
      <c r="G381" s="3" t="s">
        <v>74</v>
      </c>
      <c r="H381" s="3" t="s">
        <v>19</v>
      </c>
      <c r="I381" s="5">
        <v>4.9873386773492991E-2</v>
      </c>
      <c r="J381" s="3" t="s">
        <v>7</v>
      </c>
      <c r="L381" s="3" t="s">
        <v>75</v>
      </c>
      <c r="M381" s="3" t="s">
        <v>19</v>
      </c>
      <c r="N381" s="5">
        <v>5.1014247858436591E-2</v>
      </c>
      <c r="O381" s="3" t="s">
        <v>7</v>
      </c>
    </row>
    <row r="382" spans="2:15" x14ac:dyDescent="0.45">
      <c r="B382" s="6" t="s">
        <v>73</v>
      </c>
      <c r="C382" s="6" t="s">
        <v>20</v>
      </c>
      <c r="D382" s="7">
        <v>8.8107682015212173E-4</v>
      </c>
      <c r="E382" s="6" t="s">
        <v>7</v>
      </c>
      <c r="G382" s="6" t="s">
        <v>74</v>
      </c>
      <c r="H382" s="6" t="s">
        <v>20</v>
      </c>
      <c r="I382" s="8">
        <v>1.8959983436972003E-2</v>
      </c>
      <c r="J382" s="6" t="s">
        <v>7</v>
      </c>
      <c r="L382" s="6" t="s">
        <v>75</v>
      </c>
      <c r="M382" s="6" t="s">
        <v>20</v>
      </c>
      <c r="N382" s="8">
        <v>2.0726913592070115E-2</v>
      </c>
      <c r="O382" s="6" t="s">
        <v>7</v>
      </c>
    </row>
    <row r="383" spans="2:15" x14ac:dyDescent="0.45">
      <c r="B383" s="3" t="s">
        <v>73</v>
      </c>
      <c r="C383" s="3" t="s">
        <v>21</v>
      </c>
      <c r="D383" s="4">
        <v>1.6839012758928001E-2</v>
      </c>
      <c r="E383" s="3" t="s">
        <v>7</v>
      </c>
      <c r="G383" s="3" t="s">
        <v>74</v>
      </c>
      <c r="H383" s="3" t="s">
        <v>21</v>
      </c>
      <c r="I383" s="5">
        <v>1.9546788804480849E-2</v>
      </c>
      <c r="J383" s="3" t="s">
        <v>7</v>
      </c>
      <c r="L383" s="3" t="s">
        <v>75</v>
      </c>
      <c r="M383" s="3" t="s">
        <v>21</v>
      </c>
      <c r="N383" s="5">
        <v>2.1934439255446733E-2</v>
      </c>
      <c r="O383" s="3" t="s">
        <v>7</v>
      </c>
    </row>
    <row r="384" spans="2:15" x14ac:dyDescent="0.45">
      <c r="B384" s="6" t="s">
        <v>73</v>
      </c>
      <c r="C384" s="6" t="s">
        <v>22</v>
      </c>
      <c r="D384" s="7">
        <v>5.8690584417838552E-2</v>
      </c>
      <c r="E384" s="6" t="s">
        <v>7</v>
      </c>
      <c r="G384" s="6" t="s">
        <v>74</v>
      </c>
      <c r="H384" s="6" t="s">
        <v>22</v>
      </c>
      <c r="I384" s="8">
        <v>2.0961204261268445E-2</v>
      </c>
      <c r="J384" s="6" t="s">
        <v>7</v>
      </c>
      <c r="L384" s="6" t="s">
        <v>75</v>
      </c>
      <c r="M384" s="6" t="s">
        <v>22</v>
      </c>
      <c r="N384" s="8">
        <v>2.3260024400474196E-2</v>
      </c>
      <c r="O384" s="6" t="s">
        <v>7</v>
      </c>
    </row>
    <row r="385" spans="2:15" x14ac:dyDescent="0.45">
      <c r="B385" s="3" t="s">
        <v>73</v>
      </c>
      <c r="C385" s="3" t="s">
        <v>23</v>
      </c>
      <c r="D385" s="4">
        <v>8.8196212357544365E-2</v>
      </c>
      <c r="E385" s="3" t="s">
        <v>7</v>
      </c>
      <c r="G385" s="3" t="s">
        <v>74</v>
      </c>
      <c r="H385" s="3" t="s">
        <v>23</v>
      </c>
      <c r="I385" s="5">
        <v>2.1960809556673073E-2</v>
      </c>
      <c r="J385" s="3" t="s">
        <v>7</v>
      </c>
      <c r="L385" s="3" t="s">
        <v>75</v>
      </c>
      <c r="M385" s="3" t="s">
        <v>23</v>
      </c>
      <c r="N385" s="5">
        <v>2.3238352719470317E-2</v>
      </c>
      <c r="O385" s="3" t="s">
        <v>7</v>
      </c>
    </row>
    <row r="386" spans="2:15" x14ac:dyDescent="0.45">
      <c r="B386" s="6" t="s">
        <v>73</v>
      </c>
      <c r="C386" s="6" t="s">
        <v>24</v>
      </c>
      <c r="D386" s="7">
        <v>8.9830492765052242E-2</v>
      </c>
      <c r="E386" s="6" t="s">
        <v>7</v>
      </c>
      <c r="G386" s="6" t="s">
        <v>74</v>
      </c>
      <c r="H386" s="6" t="s">
        <v>24</v>
      </c>
      <c r="I386" s="8">
        <v>2.2454854863780144E-2</v>
      </c>
      <c r="J386" s="6" t="s">
        <v>7</v>
      </c>
      <c r="L386" s="6" t="s">
        <v>75</v>
      </c>
      <c r="M386" s="6" t="s">
        <v>24</v>
      </c>
      <c r="N386" s="8">
        <v>2.3431847767812826E-2</v>
      </c>
      <c r="O386" s="6" t="s">
        <v>7</v>
      </c>
    </row>
    <row r="387" spans="2:15" x14ac:dyDescent="0.45">
      <c r="B387" s="3" t="s">
        <v>73</v>
      </c>
      <c r="C387" s="3" t="s">
        <v>25</v>
      </c>
      <c r="D387" s="4">
        <v>6.8236755690403161E-2</v>
      </c>
      <c r="E387" s="3" t="s">
        <v>7</v>
      </c>
      <c r="G387" s="3" t="s">
        <v>74</v>
      </c>
      <c r="H387" s="3" t="s">
        <v>25</v>
      </c>
      <c r="I387" s="5">
        <v>2.2488631949808272E-2</v>
      </c>
      <c r="J387" s="3" t="s">
        <v>7</v>
      </c>
      <c r="L387" s="3" t="s">
        <v>75</v>
      </c>
      <c r="M387" s="3" t="s">
        <v>25</v>
      </c>
      <c r="N387" s="5">
        <v>2.369728016552702E-2</v>
      </c>
      <c r="O387" s="3" t="s">
        <v>7</v>
      </c>
    </row>
    <row r="388" spans="2:15" x14ac:dyDescent="0.45">
      <c r="B388" s="6" t="s">
        <v>73</v>
      </c>
      <c r="C388" s="6" t="s">
        <v>26</v>
      </c>
      <c r="D388" s="7">
        <v>3.1347752130845528E-2</v>
      </c>
      <c r="E388" s="6" t="s">
        <v>7</v>
      </c>
      <c r="G388" s="6" t="s">
        <v>74</v>
      </c>
      <c r="H388" s="6" t="s">
        <v>26</v>
      </c>
      <c r="I388" s="8">
        <v>2.2307858547395597E-2</v>
      </c>
      <c r="J388" s="6" t="s">
        <v>7</v>
      </c>
      <c r="L388" s="6" t="s">
        <v>75</v>
      </c>
      <c r="M388" s="6" t="s">
        <v>26</v>
      </c>
      <c r="N388" s="8">
        <v>2.2454637084925743E-2</v>
      </c>
      <c r="O388" s="6" t="s">
        <v>7</v>
      </c>
    </row>
    <row r="389" spans="2:15" x14ac:dyDescent="0.45">
      <c r="B389" s="3" t="s">
        <v>73</v>
      </c>
      <c r="C389" s="3" t="s">
        <v>27</v>
      </c>
      <c r="D389" s="4">
        <v>2.7228581494107857E-3</v>
      </c>
      <c r="E389" s="3" t="s">
        <v>7</v>
      </c>
      <c r="G389" s="3" t="s">
        <v>74</v>
      </c>
      <c r="H389" s="3" t="s">
        <v>27</v>
      </c>
      <c r="I389" s="5">
        <v>2.2110838004684951E-2</v>
      </c>
      <c r="J389" s="3" t="s">
        <v>7</v>
      </c>
      <c r="L389" s="3" t="s">
        <v>75</v>
      </c>
      <c r="M389" s="3" t="s">
        <v>27</v>
      </c>
      <c r="N389" s="5">
        <v>2.1400725054580547E-2</v>
      </c>
      <c r="O389" s="3" t="s">
        <v>7</v>
      </c>
    </row>
    <row r="390" spans="2:15" x14ac:dyDescent="0.45">
      <c r="B390" s="6" t="s">
        <v>73</v>
      </c>
      <c r="C390" s="6" t="s">
        <v>28</v>
      </c>
      <c r="D390" s="7">
        <v>9.172731862884582E-6</v>
      </c>
      <c r="E390" s="6" t="s">
        <v>7</v>
      </c>
      <c r="G390" s="6" t="s">
        <v>74</v>
      </c>
      <c r="H390" s="6" t="s">
        <v>28</v>
      </c>
      <c r="I390" s="8">
        <v>3.2043751279290114E-2</v>
      </c>
      <c r="J390" s="6" t="s">
        <v>7</v>
      </c>
      <c r="L390" s="6" t="s">
        <v>75</v>
      </c>
      <c r="M390" s="6" t="s">
        <v>28</v>
      </c>
      <c r="N390" s="8">
        <v>3.1189528753114069E-2</v>
      </c>
      <c r="O390" s="6" t="s">
        <v>7</v>
      </c>
    </row>
    <row r="391" spans="2:15" x14ac:dyDescent="0.45">
      <c r="B391" s="3" t="s">
        <v>73</v>
      </c>
      <c r="C391" s="3" t="s">
        <v>29</v>
      </c>
      <c r="D391" s="4">
        <v>0</v>
      </c>
      <c r="E391" s="3" t="s">
        <v>7</v>
      </c>
      <c r="G391" s="3" t="s">
        <v>74</v>
      </c>
      <c r="H391" s="3" t="s">
        <v>29</v>
      </c>
      <c r="I391" s="5">
        <v>3.0983457057488291E-2</v>
      </c>
      <c r="J391" s="3" t="s">
        <v>7</v>
      </c>
      <c r="L391" s="3" t="s">
        <v>75</v>
      </c>
      <c r="M391" s="3" t="s">
        <v>29</v>
      </c>
      <c r="N391" s="5">
        <v>2.6724893544610898E-2</v>
      </c>
      <c r="O391" s="3" t="s">
        <v>7</v>
      </c>
    </row>
    <row r="392" spans="2:15" x14ac:dyDescent="0.45">
      <c r="B392" s="6" t="s">
        <v>73</v>
      </c>
      <c r="C392" s="6" t="s">
        <v>30</v>
      </c>
      <c r="D392" s="7">
        <v>2.1769064989978692E-3</v>
      </c>
      <c r="E392" s="6" t="s">
        <v>7</v>
      </c>
      <c r="G392" s="6" t="s">
        <v>74</v>
      </c>
      <c r="H392" s="6" t="s">
        <v>30</v>
      </c>
      <c r="I392" s="8">
        <v>1.2378853657585825E-2</v>
      </c>
      <c r="J392" s="6" t="s">
        <v>7</v>
      </c>
      <c r="L392" s="6" t="s">
        <v>75</v>
      </c>
      <c r="M392" s="6" t="s">
        <v>30</v>
      </c>
      <c r="N392" s="8">
        <v>9.9364309254850961E-3</v>
      </c>
      <c r="O392" s="6" t="s">
        <v>7</v>
      </c>
    </row>
    <row r="393" spans="2:15" x14ac:dyDescent="0.45">
      <c r="B393" s="3" t="s">
        <v>73</v>
      </c>
      <c r="C393" s="3" t="s">
        <v>31</v>
      </c>
      <c r="D393" s="4">
        <v>2.1062493074102698E-2</v>
      </c>
      <c r="E393" s="3" t="s">
        <v>7</v>
      </c>
      <c r="G393" s="3" t="s">
        <v>74</v>
      </c>
      <c r="H393" s="3" t="s">
        <v>31</v>
      </c>
      <c r="I393" s="5">
        <v>1.3160354572743158E-2</v>
      </c>
      <c r="J393" s="3" t="s">
        <v>7</v>
      </c>
      <c r="L393" s="3" t="s">
        <v>75</v>
      </c>
      <c r="M393" s="3" t="s">
        <v>31</v>
      </c>
      <c r="N393" s="5">
        <v>1.0423317959903582E-2</v>
      </c>
      <c r="O393" s="3" t="s">
        <v>7</v>
      </c>
    </row>
    <row r="394" spans="2:15" x14ac:dyDescent="0.45">
      <c r="B394" s="6" t="s">
        <v>73</v>
      </c>
      <c r="C394" s="6" t="s">
        <v>32</v>
      </c>
      <c r="D394" s="7">
        <v>5.5128942514268024E-2</v>
      </c>
      <c r="E394" s="6" t="s">
        <v>7</v>
      </c>
      <c r="G394" s="6" t="s">
        <v>74</v>
      </c>
      <c r="H394" s="6" t="s">
        <v>32</v>
      </c>
      <c r="I394" s="8">
        <v>1.3975743681567177E-2</v>
      </c>
      <c r="J394" s="6" t="s">
        <v>7</v>
      </c>
      <c r="L394" s="6" t="s">
        <v>75</v>
      </c>
      <c r="M394" s="6" t="s">
        <v>32</v>
      </c>
      <c r="N394" s="8">
        <v>1.1353448531555324E-2</v>
      </c>
      <c r="O394" s="6" t="s">
        <v>7</v>
      </c>
    </row>
    <row r="395" spans="2:15" x14ac:dyDescent="0.45">
      <c r="B395" s="3" t="s">
        <v>73</v>
      </c>
      <c r="C395" s="3" t="s">
        <v>33</v>
      </c>
      <c r="D395" s="4">
        <v>8.0229678286295555E-2</v>
      </c>
      <c r="E395" s="3" t="s">
        <v>7</v>
      </c>
      <c r="G395" s="3" t="s">
        <v>74</v>
      </c>
      <c r="H395" s="3" t="s">
        <v>33</v>
      </c>
      <c r="I395" s="5">
        <v>1.4848507262637341E-2</v>
      </c>
      <c r="J395" s="3" t="s">
        <v>7</v>
      </c>
      <c r="L395" s="3" t="s">
        <v>75</v>
      </c>
      <c r="M395" s="3" t="s">
        <v>33</v>
      </c>
      <c r="N395" s="5">
        <v>1.2251316440167616E-2</v>
      </c>
      <c r="O395" s="3" t="s">
        <v>7</v>
      </c>
    </row>
    <row r="396" spans="2:15" x14ac:dyDescent="0.45">
      <c r="B396" s="6" t="s">
        <v>73</v>
      </c>
      <c r="C396" s="6" t="s">
        <v>34</v>
      </c>
      <c r="D396" s="7">
        <v>8.6732089172921412E-2</v>
      </c>
      <c r="E396" s="6" t="s">
        <v>7</v>
      </c>
      <c r="G396" s="6" t="s">
        <v>74</v>
      </c>
      <c r="H396" s="6" t="s">
        <v>34</v>
      </c>
      <c r="I396" s="8">
        <v>1.5354598991214444E-2</v>
      </c>
      <c r="J396" s="6" t="s">
        <v>7</v>
      </c>
      <c r="L396" s="6" t="s">
        <v>75</v>
      </c>
      <c r="M396" s="6" t="s">
        <v>34</v>
      </c>
      <c r="N396" s="8">
        <v>1.348623069654099E-2</v>
      </c>
      <c r="O396" s="6" t="s">
        <v>7</v>
      </c>
    </row>
    <row r="397" spans="2:15" x14ac:dyDescent="0.45">
      <c r="B397" s="3" t="s">
        <v>73</v>
      </c>
      <c r="C397" s="3" t="s">
        <v>35</v>
      </c>
      <c r="D397" s="4">
        <v>7.1778042855136642E-2</v>
      </c>
      <c r="E397" s="3" t="s">
        <v>7</v>
      </c>
      <c r="G397" s="3" t="s">
        <v>74</v>
      </c>
      <c r="H397" s="3" t="s">
        <v>35</v>
      </c>
      <c r="I397" s="5">
        <v>1.5236313961548299E-2</v>
      </c>
      <c r="J397" s="3" t="s">
        <v>7</v>
      </c>
      <c r="L397" s="3" t="s">
        <v>75</v>
      </c>
      <c r="M397" s="3" t="s">
        <v>35</v>
      </c>
      <c r="N397" s="5">
        <v>1.4147320008484458E-2</v>
      </c>
      <c r="O397" s="3" t="s">
        <v>7</v>
      </c>
    </row>
    <row r="398" spans="2:15" x14ac:dyDescent="0.45">
      <c r="B398" s="6" t="s">
        <v>73</v>
      </c>
      <c r="C398" s="6" t="s">
        <v>36</v>
      </c>
      <c r="D398" s="7">
        <v>3.9334117536852987E-2</v>
      </c>
      <c r="E398" s="6" t="s">
        <v>7</v>
      </c>
      <c r="G398" s="6" t="s">
        <v>74</v>
      </c>
      <c r="H398" s="6" t="s">
        <v>36</v>
      </c>
      <c r="I398" s="8">
        <v>1.447689624537987E-2</v>
      </c>
      <c r="J398" s="6" t="s">
        <v>7</v>
      </c>
      <c r="L398" s="6" t="s">
        <v>75</v>
      </c>
      <c r="M398" s="6" t="s">
        <v>36</v>
      </c>
      <c r="N398" s="8">
        <v>1.3530901992674042E-2</v>
      </c>
      <c r="O398" s="6" t="s">
        <v>7</v>
      </c>
    </row>
    <row r="399" spans="2:15" x14ac:dyDescent="0.45">
      <c r="B399" s="3" t="s">
        <v>73</v>
      </c>
      <c r="C399" s="3" t="s">
        <v>37</v>
      </c>
      <c r="D399" s="4">
        <v>7.2931213899904805E-3</v>
      </c>
      <c r="E399" s="3" t="s">
        <v>7</v>
      </c>
      <c r="G399" s="3" t="s">
        <v>74</v>
      </c>
      <c r="H399" s="3" t="s">
        <v>37</v>
      </c>
      <c r="I399" s="5">
        <v>1.3052398223371746E-2</v>
      </c>
      <c r="J399" s="3" t="s">
        <v>7</v>
      </c>
      <c r="L399" s="3" t="s">
        <v>75</v>
      </c>
      <c r="M399" s="3" t="s">
        <v>37</v>
      </c>
      <c r="N399" s="5">
        <v>1.2781930943808514E-2</v>
      </c>
      <c r="O399" s="3" t="s">
        <v>7</v>
      </c>
    </row>
    <row r="400" spans="2:15" x14ac:dyDescent="0.45">
      <c r="B400" s="6" t="s">
        <v>73</v>
      </c>
      <c r="C400" s="6" t="s">
        <v>38</v>
      </c>
      <c r="D400" s="7">
        <v>1.9116595045213871E-4</v>
      </c>
      <c r="E400" s="6" t="s">
        <v>7</v>
      </c>
      <c r="G400" s="6" t="s">
        <v>74</v>
      </c>
      <c r="H400" s="6" t="s">
        <v>38</v>
      </c>
      <c r="I400" s="8">
        <v>1.8558220192755173E-2</v>
      </c>
      <c r="J400" s="6" t="s">
        <v>7</v>
      </c>
      <c r="L400" s="6" t="s">
        <v>75</v>
      </c>
      <c r="M400" s="6" t="s">
        <v>38</v>
      </c>
      <c r="N400" s="8">
        <v>1.7904363451734445E-2</v>
      </c>
      <c r="O400" s="6" t="s">
        <v>7</v>
      </c>
    </row>
    <row r="401" spans="2:15" x14ac:dyDescent="0.45">
      <c r="B401" s="3" t="s">
        <v>73</v>
      </c>
      <c r="C401" s="3" t="s">
        <v>39</v>
      </c>
      <c r="D401" s="4">
        <v>0</v>
      </c>
      <c r="E401" s="3" t="s">
        <v>7</v>
      </c>
      <c r="G401" s="3" t="s">
        <v>74</v>
      </c>
      <c r="H401" s="3" t="s">
        <v>39</v>
      </c>
      <c r="I401" s="5">
        <v>5.1427778813441703E-2</v>
      </c>
      <c r="J401" s="3" t="s">
        <v>7</v>
      </c>
      <c r="L401" s="3" t="s">
        <v>75</v>
      </c>
      <c r="M401" s="3" t="s">
        <v>39</v>
      </c>
      <c r="N401" s="5">
        <v>5.6971547045424585E-2</v>
      </c>
      <c r="O401" s="3" t="s">
        <v>7</v>
      </c>
    </row>
    <row r="402" spans="2:15" x14ac:dyDescent="0.45">
      <c r="B402" s="6" t="s">
        <v>73</v>
      </c>
      <c r="C402" s="6" t="s">
        <v>40</v>
      </c>
      <c r="D402" s="7">
        <v>0</v>
      </c>
      <c r="E402" s="6" t="s">
        <v>7</v>
      </c>
      <c r="G402" s="6" t="s">
        <v>74</v>
      </c>
      <c r="H402" s="6" t="s">
        <v>40</v>
      </c>
      <c r="I402" s="8">
        <v>2.0936087955047328E-2</v>
      </c>
      <c r="J402" s="6" t="s">
        <v>7</v>
      </c>
      <c r="L402" s="6" t="s">
        <v>75</v>
      </c>
      <c r="M402" s="6" t="s">
        <v>40</v>
      </c>
      <c r="N402" s="8">
        <v>2.1341710683842861E-2</v>
      </c>
      <c r="O402" s="6" t="s">
        <v>7</v>
      </c>
    </row>
    <row r="403" spans="2:15" x14ac:dyDescent="0.45">
      <c r="B403" s="3" t="s">
        <v>73</v>
      </c>
      <c r="C403" s="3" t="s">
        <v>41</v>
      </c>
      <c r="D403" s="4">
        <v>3.5031325796799247E-3</v>
      </c>
      <c r="E403" s="3" t="s">
        <v>7</v>
      </c>
      <c r="G403" s="3" t="s">
        <v>74</v>
      </c>
      <c r="H403" s="3" t="s">
        <v>41</v>
      </c>
      <c r="I403" s="5">
        <v>2.159091063384827E-2</v>
      </c>
      <c r="J403" s="3" t="s">
        <v>7</v>
      </c>
      <c r="L403" s="3" t="s">
        <v>75</v>
      </c>
      <c r="M403" s="3" t="s">
        <v>41</v>
      </c>
      <c r="N403" s="5">
        <v>2.1227963992921168E-2</v>
      </c>
      <c r="O403" s="3" t="s">
        <v>7</v>
      </c>
    </row>
    <row r="404" spans="2:15" x14ac:dyDescent="0.45">
      <c r="B404" s="6" t="s">
        <v>73</v>
      </c>
      <c r="C404" s="6" t="s">
        <v>42</v>
      </c>
      <c r="D404" s="7">
        <v>2.7219032093837438E-2</v>
      </c>
      <c r="E404" s="6" t="s">
        <v>7</v>
      </c>
      <c r="G404" s="6" t="s">
        <v>74</v>
      </c>
      <c r="H404" s="6" t="s">
        <v>42</v>
      </c>
      <c r="I404" s="8">
        <v>2.2413304888474688E-2</v>
      </c>
      <c r="J404" s="6" t="s">
        <v>7</v>
      </c>
      <c r="L404" s="6" t="s">
        <v>75</v>
      </c>
      <c r="M404" s="6" t="s">
        <v>42</v>
      </c>
      <c r="N404" s="8">
        <v>2.1859600800876927E-2</v>
      </c>
      <c r="O404" s="6" t="s">
        <v>7</v>
      </c>
    </row>
    <row r="405" spans="2:15" x14ac:dyDescent="0.45">
      <c r="B405" s="3" t="s">
        <v>73</v>
      </c>
      <c r="C405" s="3" t="s">
        <v>43</v>
      </c>
      <c r="D405" s="4">
        <v>5.0734593313779802E-2</v>
      </c>
      <c r="E405" s="3" t="s">
        <v>7</v>
      </c>
      <c r="G405" s="3" t="s">
        <v>74</v>
      </c>
      <c r="H405" s="3" t="s">
        <v>43</v>
      </c>
      <c r="I405" s="5">
        <v>2.3100704298963142E-2</v>
      </c>
      <c r="J405" s="3" t="s">
        <v>7</v>
      </c>
      <c r="L405" s="3" t="s">
        <v>75</v>
      </c>
      <c r="M405" s="3" t="s">
        <v>43</v>
      </c>
      <c r="N405" s="5">
        <v>2.236069785575345E-2</v>
      </c>
      <c r="O405" s="3" t="s">
        <v>7</v>
      </c>
    </row>
    <row r="406" spans="2:15" x14ac:dyDescent="0.45">
      <c r="B406" s="6" t="s">
        <v>73</v>
      </c>
      <c r="C406" s="6" t="s">
        <v>44</v>
      </c>
      <c r="D406" s="7">
        <v>5.1921561412078751E-2</v>
      </c>
      <c r="E406" s="6" t="s">
        <v>7</v>
      </c>
      <c r="G406" s="6" t="s">
        <v>74</v>
      </c>
      <c r="H406" s="6" t="s">
        <v>44</v>
      </c>
      <c r="I406" s="8">
        <v>2.336660064013164E-2</v>
      </c>
      <c r="J406" s="6" t="s">
        <v>7</v>
      </c>
      <c r="L406" s="6" t="s">
        <v>75</v>
      </c>
      <c r="M406" s="6" t="s">
        <v>44</v>
      </c>
      <c r="N406" s="8">
        <v>2.3426064443949669E-2</v>
      </c>
      <c r="O406" s="6" t="s">
        <v>7</v>
      </c>
    </row>
    <row r="407" spans="2:15" x14ac:dyDescent="0.45">
      <c r="B407" s="3" t="s">
        <v>73</v>
      </c>
      <c r="C407" s="3" t="s">
        <v>45</v>
      </c>
      <c r="D407" s="4">
        <v>3.2899975751350945E-2</v>
      </c>
      <c r="E407" s="3" t="s">
        <v>7</v>
      </c>
      <c r="G407" s="3" t="s">
        <v>74</v>
      </c>
      <c r="H407" s="3" t="s">
        <v>45</v>
      </c>
      <c r="I407" s="5">
        <v>2.3176152448820077E-2</v>
      </c>
      <c r="J407" s="3" t="s">
        <v>7</v>
      </c>
      <c r="L407" s="3" t="s">
        <v>75</v>
      </c>
      <c r="M407" s="3" t="s">
        <v>45</v>
      </c>
      <c r="N407" s="5">
        <v>2.3677203713383759E-2</v>
      </c>
      <c r="O407" s="3" t="s">
        <v>7</v>
      </c>
    </row>
    <row r="408" spans="2:15" x14ac:dyDescent="0.45">
      <c r="B408" s="6" t="s">
        <v>73</v>
      </c>
      <c r="C408" s="6" t="s">
        <v>46</v>
      </c>
      <c r="D408" s="7">
        <v>7.3445922442997814E-3</v>
      </c>
      <c r="E408" s="6" t="s">
        <v>7</v>
      </c>
      <c r="G408" s="6" t="s">
        <v>74</v>
      </c>
      <c r="H408" s="6" t="s">
        <v>46</v>
      </c>
      <c r="I408" s="8">
        <v>2.2282095404995667E-2</v>
      </c>
      <c r="J408" s="6" t="s">
        <v>7</v>
      </c>
      <c r="L408" s="6" t="s">
        <v>75</v>
      </c>
      <c r="M408" s="6" t="s">
        <v>46</v>
      </c>
      <c r="N408" s="8">
        <v>2.3225869865037281E-2</v>
      </c>
      <c r="O408" s="6" t="s">
        <v>7</v>
      </c>
    </row>
    <row r="409" spans="2:15" x14ac:dyDescent="0.45">
      <c r="B409" s="3" t="s">
        <v>73</v>
      </c>
      <c r="C409" s="3" t="s">
        <v>47</v>
      </c>
      <c r="D409" s="4">
        <v>3.8694038389465244E-5</v>
      </c>
      <c r="E409" s="3" t="s">
        <v>7</v>
      </c>
      <c r="G409" s="3" t="s">
        <v>74</v>
      </c>
      <c r="H409" s="3" t="s">
        <v>47</v>
      </c>
      <c r="I409" s="5">
        <v>2.1601187707927801E-2</v>
      </c>
      <c r="J409" s="3" t="s">
        <v>7</v>
      </c>
      <c r="L409" s="3" t="s">
        <v>75</v>
      </c>
      <c r="M409" s="3" t="s">
        <v>47</v>
      </c>
      <c r="N409" s="5">
        <v>2.29815634906297E-2</v>
      </c>
      <c r="O409" s="3" t="s">
        <v>7</v>
      </c>
    </row>
    <row r="410" spans="2:15" x14ac:dyDescent="0.45">
      <c r="B410" s="6" t="s">
        <v>73</v>
      </c>
      <c r="C410" s="6" t="s">
        <v>48</v>
      </c>
      <c r="D410" s="7">
        <v>0</v>
      </c>
      <c r="E410" s="6" t="s">
        <v>7</v>
      </c>
      <c r="G410" s="6" t="s">
        <v>74</v>
      </c>
      <c r="H410" s="6" t="s">
        <v>48</v>
      </c>
      <c r="I410" s="8">
        <v>3.1275494698458674E-2</v>
      </c>
      <c r="J410" s="6" t="s">
        <v>7</v>
      </c>
      <c r="L410" s="6" t="s">
        <v>75</v>
      </c>
      <c r="M410" s="6" t="s">
        <v>48</v>
      </c>
      <c r="N410" s="8">
        <v>3.4475804672544373E-2</v>
      </c>
      <c r="O410" s="6" t="s">
        <v>7</v>
      </c>
    </row>
    <row r="411" spans="2:15" x14ac:dyDescent="0.45">
      <c r="B411" s="3" t="s">
        <v>76</v>
      </c>
      <c r="C411" s="3" t="s">
        <v>6</v>
      </c>
      <c r="D411" s="4">
        <v>0</v>
      </c>
      <c r="E411" s="3" t="s">
        <v>7</v>
      </c>
      <c r="G411" s="3" t="s">
        <v>77</v>
      </c>
      <c r="H411" s="3" t="s">
        <v>6</v>
      </c>
      <c r="I411" s="5">
        <v>6.4565023633554638E-2</v>
      </c>
      <c r="J411" s="3" t="s">
        <v>7</v>
      </c>
      <c r="L411" s="3" t="s">
        <v>78</v>
      </c>
      <c r="M411" s="3" t="s">
        <v>6</v>
      </c>
      <c r="N411" s="5">
        <v>6.348810973553852E-2</v>
      </c>
      <c r="O411" s="3" t="s">
        <v>7</v>
      </c>
    </row>
    <row r="412" spans="2:15" x14ac:dyDescent="0.45">
      <c r="B412" s="6" t="s">
        <v>76</v>
      </c>
      <c r="C412" s="6" t="s">
        <v>10</v>
      </c>
      <c r="D412" s="7">
        <v>0</v>
      </c>
      <c r="E412" s="6" t="s">
        <v>7</v>
      </c>
      <c r="G412" s="6" t="s">
        <v>77</v>
      </c>
      <c r="H412" s="6" t="s">
        <v>10</v>
      </c>
      <c r="I412" s="8">
        <v>2.481761087305024E-2</v>
      </c>
      <c r="J412" s="6" t="s">
        <v>7</v>
      </c>
      <c r="L412" s="6" t="s">
        <v>78</v>
      </c>
      <c r="M412" s="6" t="s">
        <v>10</v>
      </c>
      <c r="N412" s="8">
        <v>2.4865939524241713E-2</v>
      </c>
      <c r="O412" s="6" t="s">
        <v>7</v>
      </c>
    </row>
    <row r="413" spans="2:15" x14ac:dyDescent="0.45">
      <c r="B413" s="3" t="s">
        <v>76</v>
      </c>
      <c r="C413" s="3" t="s">
        <v>11</v>
      </c>
      <c r="D413" s="4">
        <v>4.880850613673702E-4</v>
      </c>
      <c r="E413" s="3" t="s">
        <v>7</v>
      </c>
      <c r="G413" s="3" t="s">
        <v>77</v>
      </c>
      <c r="H413" s="3" t="s">
        <v>11</v>
      </c>
      <c r="I413" s="5">
        <v>2.4973691865936599E-2</v>
      </c>
      <c r="J413" s="3" t="s">
        <v>7</v>
      </c>
      <c r="L413" s="3" t="s">
        <v>78</v>
      </c>
      <c r="M413" s="3" t="s">
        <v>11</v>
      </c>
      <c r="N413" s="5">
        <v>2.4946173984041246E-2</v>
      </c>
      <c r="O413" s="3" t="s">
        <v>7</v>
      </c>
    </row>
    <row r="414" spans="2:15" x14ac:dyDescent="0.45">
      <c r="B414" s="6" t="s">
        <v>76</v>
      </c>
      <c r="C414" s="6" t="s">
        <v>12</v>
      </c>
      <c r="D414" s="7">
        <v>1.9232804400850893E-2</v>
      </c>
      <c r="E414" s="6" t="s">
        <v>7</v>
      </c>
      <c r="G414" s="6" t="s">
        <v>77</v>
      </c>
      <c r="H414" s="6" t="s">
        <v>12</v>
      </c>
      <c r="I414" s="8">
        <v>2.3655229730539715E-2</v>
      </c>
      <c r="J414" s="6" t="s">
        <v>7</v>
      </c>
      <c r="L414" s="6" t="s">
        <v>78</v>
      </c>
      <c r="M414" s="6" t="s">
        <v>12</v>
      </c>
      <c r="N414" s="8">
        <v>2.460490147875715E-2</v>
      </c>
      <c r="O414" s="6" t="s">
        <v>7</v>
      </c>
    </row>
    <row r="415" spans="2:15" x14ac:dyDescent="0.45">
      <c r="B415" s="3" t="s">
        <v>76</v>
      </c>
      <c r="C415" s="3" t="s">
        <v>13</v>
      </c>
      <c r="D415" s="4">
        <v>4.2035930806497833E-2</v>
      </c>
      <c r="E415" s="3" t="s">
        <v>7</v>
      </c>
      <c r="G415" s="3" t="s">
        <v>77</v>
      </c>
      <c r="H415" s="3" t="s">
        <v>13</v>
      </c>
      <c r="I415" s="5">
        <v>2.3309714304067447E-2</v>
      </c>
      <c r="J415" s="3" t="s">
        <v>7</v>
      </c>
      <c r="L415" s="3" t="s">
        <v>78</v>
      </c>
      <c r="M415" s="3" t="s">
        <v>13</v>
      </c>
      <c r="N415" s="5">
        <v>2.46310352914248E-2</v>
      </c>
      <c r="O415" s="3" t="s">
        <v>7</v>
      </c>
    </row>
    <row r="416" spans="2:15" x14ac:dyDescent="0.45">
      <c r="B416" s="6" t="s">
        <v>76</v>
      </c>
      <c r="C416" s="6" t="s">
        <v>14</v>
      </c>
      <c r="D416" s="7">
        <v>4.2727240249180252E-2</v>
      </c>
      <c r="E416" s="6" t="s">
        <v>7</v>
      </c>
      <c r="G416" s="6" t="s">
        <v>77</v>
      </c>
      <c r="H416" s="6" t="s">
        <v>14</v>
      </c>
      <c r="I416" s="8">
        <v>2.4330034043115081E-2</v>
      </c>
      <c r="J416" s="6" t="s">
        <v>7</v>
      </c>
      <c r="L416" s="6" t="s">
        <v>78</v>
      </c>
      <c r="M416" s="6" t="s">
        <v>14</v>
      </c>
      <c r="N416" s="8">
        <v>2.4681993727385412E-2</v>
      </c>
      <c r="O416" s="6" t="s">
        <v>7</v>
      </c>
    </row>
    <row r="417" spans="2:15" x14ac:dyDescent="0.45">
      <c r="B417" s="3" t="s">
        <v>76</v>
      </c>
      <c r="C417" s="3" t="s">
        <v>15</v>
      </c>
      <c r="D417" s="4">
        <v>2.1898857360692275E-2</v>
      </c>
      <c r="E417" s="3" t="s">
        <v>7</v>
      </c>
      <c r="G417" s="3" t="s">
        <v>77</v>
      </c>
      <c r="H417" s="3" t="s">
        <v>15</v>
      </c>
      <c r="I417" s="5">
        <v>2.4416547839348469E-2</v>
      </c>
      <c r="J417" s="3" t="s">
        <v>7</v>
      </c>
      <c r="L417" s="3" t="s">
        <v>78</v>
      </c>
      <c r="M417" s="3" t="s">
        <v>15</v>
      </c>
      <c r="N417" s="5">
        <v>2.4870841024875027E-2</v>
      </c>
      <c r="O417" s="3" t="s">
        <v>7</v>
      </c>
    </row>
    <row r="418" spans="2:15" x14ac:dyDescent="0.45">
      <c r="B418" s="6" t="s">
        <v>76</v>
      </c>
      <c r="C418" s="6" t="s">
        <v>16</v>
      </c>
      <c r="D418" s="7">
        <v>1.8724776353360598E-3</v>
      </c>
      <c r="E418" s="6" t="s">
        <v>7</v>
      </c>
      <c r="G418" s="6" t="s">
        <v>77</v>
      </c>
      <c r="H418" s="6" t="s">
        <v>16</v>
      </c>
      <c r="I418" s="8">
        <v>2.5188265664744962E-2</v>
      </c>
      <c r="J418" s="6" t="s">
        <v>7</v>
      </c>
      <c r="L418" s="6" t="s">
        <v>78</v>
      </c>
      <c r="M418" s="6" t="s">
        <v>16</v>
      </c>
      <c r="N418" s="8">
        <v>2.5349173776117413E-2</v>
      </c>
      <c r="O418" s="6" t="s">
        <v>7</v>
      </c>
    </row>
    <row r="419" spans="2:15" x14ac:dyDescent="0.45">
      <c r="B419" s="3" t="s">
        <v>76</v>
      </c>
      <c r="C419" s="3" t="s">
        <v>17</v>
      </c>
      <c r="D419" s="4">
        <v>0</v>
      </c>
      <c r="E419" s="3" t="s">
        <v>7</v>
      </c>
      <c r="G419" s="3" t="s">
        <v>77</v>
      </c>
      <c r="H419" s="3" t="s">
        <v>17</v>
      </c>
      <c r="I419" s="5">
        <v>2.5959927766854039E-2</v>
      </c>
      <c r="J419" s="3" t="s">
        <v>7</v>
      </c>
      <c r="L419" s="3" t="s">
        <v>78</v>
      </c>
      <c r="M419" s="3" t="s">
        <v>17</v>
      </c>
      <c r="N419" s="5">
        <v>2.5720437329332345E-2</v>
      </c>
      <c r="O419" s="3" t="s">
        <v>7</v>
      </c>
    </row>
    <row r="420" spans="2:15" x14ac:dyDescent="0.45">
      <c r="B420" s="6" t="s">
        <v>76</v>
      </c>
      <c r="C420" s="6" t="s">
        <v>18</v>
      </c>
      <c r="D420" s="7">
        <v>0</v>
      </c>
      <c r="E420" s="6" t="s">
        <v>7</v>
      </c>
      <c r="G420" s="6" t="s">
        <v>77</v>
      </c>
      <c r="H420" s="6" t="s">
        <v>18</v>
      </c>
      <c r="I420" s="8">
        <v>3.9103435063025632E-2</v>
      </c>
      <c r="J420" s="6" t="s">
        <v>7</v>
      </c>
      <c r="L420" s="6" t="s">
        <v>78</v>
      </c>
      <c r="M420" s="6" t="s">
        <v>18</v>
      </c>
      <c r="N420" s="8">
        <v>3.9043843533774415E-2</v>
      </c>
      <c r="O420" s="6" t="s">
        <v>7</v>
      </c>
    </row>
    <row r="421" spans="2:15" x14ac:dyDescent="0.45">
      <c r="B421" s="3" t="s">
        <v>76</v>
      </c>
      <c r="C421" s="3" t="s">
        <v>19</v>
      </c>
      <c r="D421" s="4">
        <v>0</v>
      </c>
      <c r="E421" s="3" t="s">
        <v>7</v>
      </c>
      <c r="G421" s="3" t="s">
        <v>77</v>
      </c>
      <c r="H421" s="3" t="s">
        <v>19</v>
      </c>
      <c r="I421" s="5">
        <v>5.4276730423157962E-2</v>
      </c>
      <c r="J421" s="3" t="s">
        <v>7</v>
      </c>
      <c r="L421" s="3" t="s">
        <v>78</v>
      </c>
      <c r="M421" s="3" t="s">
        <v>19</v>
      </c>
      <c r="N421" s="5">
        <v>5.757577294678641E-2</v>
      </c>
      <c r="O421" s="3" t="s">
        <v>7</v>
      </c>
    </row>
    <row r="422" spans="2:15" x14ac:dyDescent="0.45">
      <c r="B422" s="6" t="s">
        <v>76</v>
      </c>
      <c r="C422" s="6" t="s">
        <v>20</v>
      </c>
      <c r="D422" s="7">
        <v>1.0106662976955573E-3</v>
      </c>
      <c r="E422" s="6" t="s">
        <v>7</v>
      </c>
      <c r="G422" s="6" t="s">
        <v>77</v>
      </c>
      <c r="H422" s="6" t="s">
        <v>20</v>
      </c>
      <c r="I422" s="8">
        <v>2.0946757739449859E-2</v>
      </c>
      <c r="J422" s="6" t="s">
        <v>7</v>
      </c>
      <c r="L422" s="6" t="s">
        <v>78</v>
      </c>
      <c r="M422" s="6" t="s">
        <v>20</v>
      </c>
      <c r="N422" s="8">
        <v>2.3408425778270715E-2</v>
      </c>
      <c r="O422" s="6" t="s">
        <v>7</v>
      </c>
    </row>
    <row r="423" spans="2:15" x14ac:dyDescent="0.45">
      <c r="B423" s="3" t="s">
        <v>76</v>
      </c>
      <c r="C423" s="3" t="s">
        <v>21</v>
      </c>
      <c r="D423" s="4">
        <v>2.0695111782020204E-2</v>
      </c>
      <c r="E423" s="3" t="s">
        <v>7</v>
      </c>
      <c r="G423" s="3" t="s">
        <v>77</v>
      </c>
      <c r="H423" s="3" t="s">
        <v>21</v>
      </c>
      <c r="I423" s="5">
        <v>2.1136534445986704E-2</v>
      </c>
      <c r="J423" s="3" t="s">
        <v>7</v>
      </c>
      <c r="L423" s="3" t="s">
        <v>78</v>
      </c>
      <c r="M423" s="3" t="s">
        <v>21</v>
      </c>
      <c r="N423" s="5">
        <v>2.4052360935663351E-2</v>
      </c>
      <c r="O423" s="3" t="s">
        <v>7</v>
      </c>
    </row>
    <row r="424" spans="2:15" x14ac:dyDescent="0.45">
      <c r="B424" s="6" t="s">
        <v>76</v>
      </c>
      <c r="C424" s="6" t="s">
        <v>22</v>
      </c>
      <c r="D424" s="7">
        <v>5.8128379564342018E-2</v>
      </c>
      <c r="E424" s="6" t="s">
        <v>7</v>
      </c>
      <c r="G424" s="6" t="s">
        <v>77</v>
      </c>
      <c r="H424" s="6" t="s">
        <v>22</v>
      </c>
      <c r="I424" s="8">
        <v>2.1611307786663272E-2</v>
      </c>
      <c r="J424" s="6" t="s">
        <v>7</v>
      </c>
      <c r="L424" s="6" t="s">
        <v>78</v>
      </c>
      <c r="M424" s="6" t="s">
        <v>22</v>
      </c>
      <c r="N424" s="8">
        <v>2.3620647738112531E-2</v>
      </c>
      <c r="O424" s="6" t="s">
        <v>7</v>
      </c>
    </row>
    <row r="425" spans="2:15" x14ac:dyDescent="0.45">
      <c r="B425" s="3" t="s">
        <v>76</v>
      </c>
      <c r="C425" s="3" t="s">
        <v>23</v>
      </c>
      <c r="D425" s="4">
        <v>7.6505364190094627E-2</v>
      </c>
      <c r="E425" s="3" t="s">
        <v>7</v>
      </c>
      <c r="G425" s="3" t="s">
        <v>77</v>
      </c>
      <c r="H425" s="3" t="s">
        <v>23</v>
      </c>
      <c r="I425" s="5">
        <v>2.1633048096246058E-2</v>
      </c>
      <c r="J425" s="3" t="s">
        <v>7</v>
      </c>
      <c r="L425" s="3" t="s">
        <v>78</v>
      </c>
      <c r="M425" s="3" t="s">
        <v>23</v>
      </c>
      <c r="N425" s="5">
        <v>2.2270177114367851E-2</v>
      </c>
      <c r="O425" s="3" t="s">
        <v>7</v>
      </c>
    </row>
    <row r="426" spans="2:15" x14ac:dyDescent="0.45">
      <c r="B426" s="6" t="s">
        <v>76</v>
      </c>
      <c r="C426" s="6" t="s">
        <v>24</v>
      </c>
      <c r="D426" s="7">
        <v>7.4126075515475065E-2</v>
      </c>
      <c r="E426" s="6" t="s">
        <v>7</v>
      </c>
      <c r="G426" s="6" t="s">
        <v>77</v>
      </c>
      <c r="H426" s="6" t="s">
        <v>24</v>
      </c>
      <c r="I426" s="8">
        <v>2.2932240712187378E-2</v>
      </c>
      <c r="J426" s="6" t="s">
        <v>7</v>
      </c>
      <c r="L426" s="6" t="s">
        <v>78</v>
      </c>
      <c r="M426" s="6" t="s">
        <v>24</v>
      </c>
      <c r="N426" s="8">
        <v>2.1569910821645125E-2</v>
      </c>
      <c r="O426" s="6" t="s">
        <v>7</v>
      </c>
    </row>
    <row r="427" spans="2:15" x14ac:dyDescent="0.45">
      <c r="B427" s="3" t="s">
        <v>76</v>
      </c>
      <c r="C427" s="3" t="s">
        <v>25</v>
      </c>
      <c r="D427" s="4">
        <v>5.2986368992027189E-2</v>
      </c>
      <c r="E427" s="3" t="s">
        <v>7</v>
      </c>
      <c r="G427" s="3" t="s">
        <v>77</v>
      </c>
      <c r="H427" s="3" t="s">
        <v>25</v>
      </c>
      <c r="I427" s="5">
        <v>2.351558625145591E-2</v>
      </c>
      <c r="J427" s="3" t="s">
        <v>7</v>
      </c>
      <c r="L427" s="3" t="s">
        <v>78</v>
      </c>
      <c r="M427" s="3" t="s">
        <v>25</v>
      </c>
      <c r="N427" s="5">
        <v>2.1365935264281186E-2</v>
      </c>
      <c r="O427" s="3" t="s">
        <v>7</v>
      </c>
    </row>
    <row r="428" spans="2:15" x14ac:dyDescent="0.45">
      <c r="B428" s="6" t="s">
        <v>76</v>
      </c>
      <c r="C428" s="6" t="s">
        <v>26</v>
      </c>
      <c r="D428" s="7">
        <v>2.0680677881281799E-2</v>
      </c>
      <c r="E428" s="6" t="s">
        <v>7</v>
      </c>
      <c r="G428" s="6" t="s">
        <v>77</v>
      </c>
      <c r="H428" s="6" t="s">
        <v>26</v>
      </c>
      <c r="I428" s="8">
        <v>2.2377720969483469E-2</v>
      </c>
      <c r="J428" s="6" t="s">
        <v>7</v>
      </c>
      <c r="L428" s="6" t="s">
        <v>78</v>
      </c>
      <c r="M428" s="6" t="s">
        <v>26</v>
      </c>
      <c r="N428" s="8">
        <v>2.1314882341019019E-2</v>
      </c>
      <c r="O428" s="6" t="s">
        <v>7</v>
      </c>
    </row>
    <row r="429" spans="2:15" x14ac:dyDescent="0.45">
      <c r="B429" s="3" t="s">
        <v>76</v>
      </c>
      <c r="C429" s="3" t="s">
        <v>27</v>
      </c>
      <c r="D429" s="4">
        <v>1.015904376338582E-3</v>
      </c>
      <c r="E429" s="3" t="s">
        <v>7</v>
      </c>
      <c r="G429" s="3" t="s">
        <v>77</v>
      </c>
      <c r="H429" s="3" t="s">
        <v>27</v>
      </c>
      <c r="I429" s="5">
        <v>2.2772026453572895E-2</v>
      </c>
      <c r="J429" s="3" t="s">
        <v>7</v>
      </c>
      <c r="L429" s="3" t="s">
        <v>78</v>
      </c>
      <c r="M429" s="3" t="s">
        <v>27</v>
      </c>
      <c r="N429" s="5">
        <v>2.1810487242270599E-2</v>
      </c>
      <c r="O429" s="3" t="s">
        <v>7</v>
      </c>
    </row>
    <row r="430" spans="2:15" x14ac:dyDescent="0.45">
      <c r="B430" s="6" t="s">
        <v>76</v>
      </c>
      <c r="C430" s="6" t="s">
        <v>28</v>
      </c>
      <c r="D430" s="7">
        <v>0</v>
      </c>
      <c r="E430" s="6" t="s">
        <v>7</v>
      </c>
      <c r="G430" s="6" t="s">
        <v>77</v>
      </c>
      <c r="H430" s="6" t="s">
        <v>28</v>
      </c>
      <c r="I430" s="8">
        <v>3.3848050155506369E-2</v>
      </c>
      <c r="J430" s="6" t="s">
        <v>7</v>
      </c>
      <c r="L430" s="6" t="s">
        <v>78</v>
      </c>
      <c r="M430" s="6" t="s">
        <v>28</v>
      </c>
      <c r="N430" s="8">
        <v>3.4091476143381212E-2</v>
      </c>
      <c r="O430" s="6" t="s">
        <v>7</v>
      </c>
    </row>
    <row r="431" spans="2:15" x14ac:dyDescent="0.45">
      <c r="B431" s="3" t="s">
        <v>76</v>
      </c>
      <c r="C431" s="3" t="s">
        <v>29</v>
      </c>
      <c r="D431" s="4">
        <v>0</v>
      </c>
      <c r="E431" s="3" t="s">
        <v>7</v>
      </c>
      <c r="G431" s="3" t="s">
        <v>77</v>
      </c>
      <c r="H431" s="3" t="s">
        <v>29</v>
      </c>
      <c r="I431" s="5">
        <v>3.832510444304274E-2</v>
      </c>
      <c r="J431" s="3" t="s">
        <v>7</v>
      </c>
      <c r="L431" s="3" t="s">
        <v>78</v>
      </c>
      <c r="M431" s="3" t="s">
        <v>29</v>
      </c>
      <c r="N431" s="5">
        <v>3.4491511492377447E-2</v>
      </c>
      <c r="O431" s="3" t="s">
        <v>7</v>
      </c>
    </row>
    <row r="432" spans="2:15" x14ac:dyDescent="0.45">
      <c r="B432" s="6" t="s">
        <v>76</v>
      </c>
      <c r="C432" s="6" t="s">
        <v>30</v>
      </c>
      <c r="D432" s="7">
        <v>2.4263109144753007E-3</v>
      </c>
      <c r="E432" s="6" t="s">
        <v>7</v>
      </c>
      <c r="G432" s="6" t="s">
        <v>77</v>
      </c>
      <c r="H432" s="6" t="s">
        <v>30</v>
      </c>
      <c r="I432" s="8">
        <v>1.3770275642527826E-2</v>
      </c>
      <c r="J432" s="6" t="s">
        <v>7</v>
      </c>
      <c r="L432" s="6" t="s">
        <v>78</v>
      </c>
      <c r="M432" s="6" t="s">
        <v>30</v>
      </c>
      <c r="N432" s="8">
        <v>1.2966045724690537E-2</v>
      </c>
      <c r="O432" s="6" t="s">
        <v>7</v>
      </c>
    </row>
    <row r="433" spans="2:15" x14ac:dyDescent="0.45">
      <c r="B433" s="3" t="s">
        <v>76</v>
      </c>
      <c r="C433" s="3" t="s">
        <v>31</v>
      </c>
      <c r="D433" s="4">
        <v>2.7338724052578735E-2</v>
      </c>
      <c r="E433" s="3" t="s">
        <v>7</v>
      </c>
      <c r="G433" s="3" t="s">
        <v>77</v>
      </c>
      <c r="H433" s="3" t="s">
        <v>31</v>
      </c>
      <c r="I433" s="5">
        <v>1.3517308967639346E-2</v>
      </c>
      <c r="J433" s="3" t="s">
        <v>7</v>
      </c>
      <c r="L433" s="3" t="s">
        <v>78</v>
      </c>
      <c r="M433" s="3" t="s">
        <v>31</v>
      </c>
      <c r="N433" s="5">
        <v>1.2937475788266635E-2</v>
      </c>
      <c r="O433" s="3" t="s">
        <v>7</v>
      </c>
    </row>
    <row r="434" spans="2:15" x14ac:dyDescent="0.45">
      <c r="B434" s="6" t="s">
        <v>76</v>
      </c>
      <c r="C434" s="6" t="s">
        <v>32</v>
      </c>
      <c r="D434" s="7">
        <v>6.8121918067055504E-2</v>
      </c>
      <c r="E434" s="6" t="s">
        <v>7</v>
      </c>
      <c r="G434" s="6" t="s">
        <v>77</v>
      </c>
      <c r="H434" s="6" t="s">
        <v>32</v>
      </c>
      <c r="I434" s="8">
        <v>1.2858376718004506E-2</v>
      </c>
      <c r="J434" s="6" t="s">
        <v>7</v>
      </c>
      <c r="L434" s="6" t="s">
        <v>78</v>
      </c>
      <c r="M434" s="6" t="s">
        <v>32</v>
      </c>
      <c r="N434" s="8">
        <v>1.2266333169914484E-2</v>
      </c>
      <c r="O434" s="6" t="s">
        <v>7</v>
      </c>
    </row>
    <row r="435" spans="2:15" x14ac:dyDescent="0.45">
      <c r="B435" s="3" t="s">
        <v>76</v>
      </c>
      <c r="C435" s="3" t="s">
        <v>33</v>
      </c>
      <c r="D435" s="4">
        <v>8.9766875854575615E-2</v>
      </c>
      <c r="E435" s="3" t="s">
        <v>7</v>
      </c>
      <c r="G435" s="3" t="s">
        <v>77</v>
      </c>
      <c r="H435" s="3" t="s">
        <v>33</v>
      </c>
      <c r="I435" s="5">
        <v>1.3447625403898584E-2</v>
      </c>
      <c r="J435" s="3" t="s">
        <v>7</v>
      </c>
      <c r="L435" s="3" t="s">
        <v>78</v>
      </c>
      <c r="M435" s="3" t="s">
        <v>33</v>
      </c>
      <c r="N435" s="5">
        <v>1.2644509657286191E-2</v>
      </c>
      <c r="O435" s="3" t="s">
        <v>7</v>
      </c>
    </row>
    <row r="436" spans="2:15" x14ac:dyDescent="0.45">
      <c r="B436" s="6" t="s">
        <v>76</v>
      </c>
      <c r="C436" s="6" t="s">
        <v>34</v>
      </c>
      <c r="D436" s="7">
        <v>8.7057673811724481E-2</v>
      </c>
      <c r="E436" s="6" t="s">
        <v>7</v>
      </c>
      <c r="G436" s="6" t="s">
        <v>77</v>
      </c>
      <c r="H436" s="6" t="s">
        <v>34</v>
      </c>
      <c r="I436" s="8">
        <v>1.5021512421725672E-2</v>
      </c>
      <c r="J436" s="6" t="s">
        <v>7</v>
      </c>
      <c r="L436" s="6" t="s">
        <v>78</v>
      </c>
      <c r="M436" s="6" t="s">
        <v>34</v>
      </c>
      <c r="N436" s="8">
        <v>1.4391517866285416E-2</v>
      </c>
      <c r="O436" s="6" t="s">
        <v>7</v>
      </c>
    </row>
    <row r="437" spans="2:15" x14ac:dyDescent="0.45">
      <c r="B437" s="3" t="s">
        <v>76</v>
      </c>
      <c r="C437" s="3" t="s">
        <v>35</v>
      </c>
      <c r="D437" s="4">
        <v>6.6850586723108077E-2</v>
      </c>
      <c r="E437" s="3" t="s">
        <v>7</v>
      </c>
      <c r="G437" s="3" t="s">
        <v>77</v>
      </c>
      <c r="H437" s="3" t="s">
        <v>35</v>
      </c>
      <c r="I437" s="5">
        <v>1.6115099724726512E-2</v>
      </c>
      <c r="J437" s="3" t="s">
        <v>7</v>
      </c>
      <c r="L437" s="3" t="s">
        <v>78</v>
      </c>
      <c r="M437" s="3" t="s">
        <v>35</v>
      </c>
      <c r="N437" s="5">
        <v>1.5915676301260537E-2</v>
      </c>
      <c r="O437" s="3" t="s">
        <v>7</v>
      </c>
    </row>
    <row r="438" spans="2:15" x14ac:dyDescent="0.45">
      <c r="B438" s="6" t="s">
        <v>76</v>
      </c>
      <c r="C438" s="6" t="s">
        <v>36</v>
      </c>
      <c r="D438" s="7">
        <v>3.1761846072929714E-2</v>
      </c>
      <c r="E438" s="6" t="s">
        <v>7</v>
      </c>
      <c r="G438" s="6" t="s">
        <v>77</v>
      </c>
      <c r="H438" s="6" t="s">
        <v>36</v>
      </c>
      <c r="I438" s="8">
        <v>1.5832534963952639E-2</v>
      </c>
      <c r="J438" s="6" t="s">
        <v>7</v>
      </c>
      <c r="L438" s="6" t="s">
        <v>78</v>
      </c>
      <c r="M438" s="6" t="s">
        <v>36</v>
      </c>
      <c r="N438" s="8">
        <v>1.6758718996363782E-2</v>
      </c>
      <c r="O438" s="6" t="s">
        <v>7</v>
      </c>
    </row>
    <row r="439" spans="2:15" x14ac:dyDescent="0.45">
      <c r="B439" s="3" t="s">
        <v>76</v>
      </c>
      <c r="C439" s="3" t="s">
        <v>37</v>
      </c>
      <c r="D439" s="4">
        <v>3.1785199227441323E-3</v>
      </c>
      <c r="E439" s="3" t="s">
        <v>7</v>
      </c>
      <c r="G439" s="3" t="s">
        <v>77</v>
      </c>
      <c r="H439" s="3" t="s">
        <v>37</v>
      </c>
      <c r="I439" s="5">
        <v>1.6217353552125453E-2</v>
      </c>
      <c r="J439" s="3" t="s">
        <v>7</v>
      </c>
      <c r="L439" s="3" t="s">
        <v>78</v>
      </c>
      <c r="M439" s="3" t="s">
        <v>37</v>
      </c>
      <c r="N439" s="5">
        <v>1.6491763435522902E-2</v>
      </c>
      <c r="O439" s="3" t="s">
        <v>7</v>
      </c>
    </row>
    <row r="440" spans="2:15" x14ac:dyDescent="0.45">
      <c r="B440" s="6" t="s">
        <v>76</v>
      </c>
      <c r="C440" s="6" t="s">
        <v>38</v>
      </c>
      <c r="D440" s="7">
        <v>0</v>
      </c>
      <c r="E440" s="6" t="s">
        <v>7</v>
      </c>
      <c r="G440" s="6" t="s">
        <v>77</v>
      </c>
      <c r="H440" s="6" t="s">
        <v>38</v>
      </c>
      <c r="I440" s="8">
        <v>2.4823623686883598E-2</v>
      </c>
      <c r="J440" s="6" t="s">
        <v>7</v>
      </c>
      <c r="L440" s="6" t="s">
        <v>78</v>
      </c>
      <c r="M440" s="6" t="s">
        <v>38</v>
      </c>
      <c r="N440" s="8">
        <v>2.3575418084206812E-2</v>
      </c>
      <c r="O440" s="6" t="s">
        <v>7</v>
      </c>
    </row>
    <row r="441" spans="2:15" x14ac:dyDescent="0.45">
      <c r="B441" s="3" t="s">
        <v>76</v>
      </c>
      <c r="C441" s="3" t="s">
        <v>39</v>
      </c>
      <c r="D441" s="4">
        <v>0</v>
      </c>
      <c r="E441" s="3" t="s">
        <v>7</v>
      </c>
      <c r="G441" s="3" t="s">
        <v>77</v>
      </c>
      <c r="H441" s="3" t="s">
        <v>39</v>
      </c>
      <c r="I441" s="5">
        <v>5.3942433092148696E-2</v>
      </c>
      <c r="J441" s="3" t="s">
        <v>7</v>
      </c>
      <c r="L441" s="3" t="s">
        <v>78</v>
      </c>
      <c r="M441" s="3" t="s">
        <v>39</v>
      </c>
      <c r="N441" s="5">
        <v>5.1874557017073268E-2</v>
      </c>
      <c r="O441" s="3" t="s">
        <v>7</v>
      </c>
    </row>
    <row r="442" spans="2:15" x14ac:dyDescent="0.45">
      <c r="B442" s="6" t="s">
        <v>76</v>
      </c>
      <c r="C442" s="6" t="s">
        <v>40</v>
      </c>
      <c r="D442" s="7">
        <v>4.3653120408789712E-6</v>
      </c>
      <c r="E442" s="6" t="s">
        <v>7</v>
      </c>
      <c r="G442" s="6" t="s">
        <v>77</v>
      </c>
      <c r="H442" s="6" t="s">
        <v>40</v>
      </c>
      <c r="I442" s="8">
        <v>2.0973563636394771E-2</v>
      </c>
      <c r="J442" s="6" t="s">
        <v>7</v>
      </c>
      <c r="L442" s="6" t="s">
        <v>78</v>
      </c>
      <c r="M442" s="6" t="s">
        <v>40</v>
      </c>
      <c r="N442" s="8">
        <v>2.0987108444169483E-2</v>
      </c>
      <c r="O442" s="6" t="s">
        <v>7</v>
      </c>
    </row>
    <row r="443" spans="2:15" x14ac:dyDescent="0.45">
      <c r="B443" s="3" t="s">
        <v>76</v>
      </c>
      <c r="C443" s="3" t="s">
        <v>41</v>
      </c>
      <c r="D443" s="4">
        <v>7.076592092784207E-3</v>
      </c>
      <c r="E443" s="3" t="s">
        <v>7</v>
      </c>
      <c r="G443" s="3" t="s">
        <v>77</v>
      </c>
      <c r="H443" s="3" t="s">
        <v>41</v>
      </c>
      <c r="I443" s="5">
        <v>2.0588752781871378E-2</v>
      </c>
      <c r="J443" s="3" t="s">
        <v>7</v>
      </c>
      <c r="L443" s="3" t="s">
        <v>78</v>
      </c>
      <c r="M443" s="3" t="s">
        <v>41</v>
      </c>
      <c r="N443" s="5">
        <v>2.1425202414846776E-2</v>
      </c>
      <c r="O443" s="3" t="s">
        <v>7</v>
      </c>
    </row>
    <row r="444" spans="2:15" x14ac:dyDescent="0.45">
      <c r="B444" s="6" t="s">
        <v>76</v>
      </c>
      <c r="C444" s="6" t="s">
        <v>42</v>
      </c>
      <c r="D444" s="7">
        <v>3.6957491385991852E-2</v>
      </c>
      <c r="E444" s="6" t="s">
        <v>7</v>
      </c>
      <c r="G444" s="6" t="s">
        <v>77</v>
      </c>
      <c r="H444" s="6" t="s">
        <v>42</v>
      </c>
      <c r="I444" s="8">
        <v>1.9540663369155761E-2</v>
      </c>
      <c r="J444" s="6" t="s">
        <v>7</v>
      </c>
      <c r="L444" s="6" t="s">
        <v>78</v>
      </c>
      <c r="M444" s="6" t="s">
        <v>42</v>
      </c>
      <c r="N444" s="8">
        <v>2.1833144197492747E-2</v>
      </c>
      <c r="O444" s="6" t="s">
        <v>7</v>
      </c>
    </row>
    <row r="445" spans="2:15" x14ac:dyDescent="0.45">
      <c r="B445" s="3" t="s">
        <v>76</v>
      </c>
      <c r="C445" s="3" t="s">
        <v>43</v>
      </c>
      <c r="D445" s="4">
        <v>5.7455578164992964E-2</v>
      </c>
      <c r="E445" s="3" t="s">
        <v>7</v>
      </c>
      <c r="G445" s="3" t="s">
        <v>77</v>
      </c>
      <c r="H445" s="3" t="s">
        <v>43</v>
      </c>
      <c r="I445" s="5">
        <v>2.0125630006818093E-2</v>
      </c>
      <c r="J445" s="3" t="s">
        <v>7</v>
      </c>
      <c r="L445" s="3" t="s">
        <v>78</v>
      </c>
      <c r="M445" s="3" t="s">
        <v>43</v>
      </c>
      <c r="N445" s="5">
        <v>2.1602234599261763E-2</v>
      </c>
      <c r="O445" s="3" t="s">
        <v>7</v>
      </c>
    </row>
    <row r="446" spans="2:15" x14ac:dyDescent="0.45">
      <c r="B446" s="6" t="s">
        <v>76</v>
      </c>
      <c r="C446" s="6" t="s">
        <v>44</v>
      </c>
      <c r="D446" s="7">
        <v>5.2043570263629838E-2</v>
      </c>
      <c r="E446" s="6" t="s">
        <v>7</v>
      </c>
      <c r="G446" s="6" t="s">
        <v>77</v>
      </c>
      <c r="H446" s="6" t="s">
        <v>44</v>
      </c>
      <c r="I446" s="8">
        <v>2.1368643291043484E-2</v>
      </c>
      <c r="J446" s="6" t="s">
        <v>7</v>
      </c>
      <c r="L446" s="6" t="s">
        <v>78</v>
      </c>
      <c r="M446" s="6" t="s">
        <v>44</v>
      </c>
      <c r="N446" s="8">
        <v>2.1173725213449741E-2</v>
      </c>
      <c r="O446" s="6" t="s">
        <v>7</v>
      </c>
    </row>
    <row r="447" spans="2:15" x14ac:dyDescent="0.45">
      <c r="B447" s="3" t="s">
        <v>76</v>
      </c>
      <c r="C447" s="3" t="s">
        <v>45</v>
      </c>
      <c r="D447" s="4">
        <v>3.0998078603620059E-2</v>
      </c>
      <c r="E447" s="3" t="s">
        <v>7</v>
      </c>
      <c r="G447" s="3" t="s">
        <v>77</v>
      </c>
      <c r="H447" s="3" t="s">
        <v>45</v>
      </c>
      <c r="I447" s="5">
        <v>2.1119690550301717E-2</v>
      </c>
      <c r="J447" s="3" t="s">
        <v>7</v>
      </c>
      <c r="L447" s="3" t="s">
        <v>78</v>
      </c>
      <c r="M447" s="3" t="s">
        <v>45</v>
      </c>
      <c r="N447" s="5">
        <v>2.0947619388384586E-2</v>
      </c>
      <c r="O447" s="3" t="s">
        <v>7</v>
      </c>
    </row>
    <row r="448" spans="2:15" x14ac:dyDescent="0.45">
      <c r="B448" s="6" t="s">
        <v>76</v>
      </c>
      <c r="C448" s="6" t="s">
        <v>46</v>
      </c>
      <c r="D448" s="7">
        <v>5.5501848024172721E-3</v>
      </c>
      <c r="E448" s="6" t="s">
        <v>7</v>
      </c>
      <c r="G448" s="6" t="s">
        <v>77</v>
      </c>
      <c r="H448" s="6" t="s">
        <v>46</v>
      </c>
      <c r="I448" s="8">
        <v>2.1515817692552196E-2</v>
      </c>
      <c r="J448" s="6" t="s">
        <v>7</v>
      </c>
      <c r="L448" s="6" t="s">
        <v>78</v>
      </c>
      <c r="M448" s="6" t="s">
        <v>46</v>
      </c>
      <c r="N448" s="8">
        <v>2.1035888038374306E-2</v>
      </c>
      <c r="O448" s="6" t="s">
        <v>7</v>
      </c>
    </row>
    <row r="449" spans="2:15" x14ac:dyDescent="0.45">
      <c r="B449" s="3" t="s">
        <v>76</v>
      </c>
      <c r="C449" s="3" t="s">
        <v>47</v>
      </c>
      <c r="D449" s="4">
        <v>7.7398421316585576E-6</v>
      </c>
      <c r="E449" s="3" t="s">
        <v>7</v>
      </c>
      <c r="G449" s="3" t="s">
        <v>77</v>
      </c>
      <c r="H449" s="3" t="s">
        <v>47</v>
      </c>
      <c r="I449" s="5">
        <v>2.2479658530406531E-2</v>
      </c>
      <c r="J449" s="3" t="s">
        <v>7</v>
      </c>
      <c r="L449" s="3" t="s">
        <v>78</v>
      </c>
      <c r="M449" s="3" t="s">
        <v>47</v>
      </c>
      <c r="N449" s="5">
        <v>2.1352458514125035E-2</v>
      </c>
      <c r="O449" s="3" t="s">
        <v>7</v>
      </c>
    </row>
    <row r="450" spans="2:15" x14ac:dyDescent="0.45">
      <c r="B450" s="6" t="s">
        <v>76</v>
      </c>
      <c r="C450" s="6" t="s">
        <v>48</v>
      </c>
      <c r="D450" s="7">
        <v>0</v>
      </c>
      <c r="E450" s="6" t="s">
        <v>7</v>
      </c>
      <c r="G450" s="6" t="s">
        <v>77</v>
      </c>
      <c r="H450" s="6" t="s">
        <v>48</v>
      </c>
      <c r="I450" s="8">
        <v>3.3046847706833811E-2</v>
      </c>
      <c r="J450" s="6" t="s">
        <v>7</v>
      </c>
      <c r="L450" s="6" t="s">
        <v>78</v>
      </c>
      <c r="M450" s="6" t="s">
        <v>48</v>
      </c>
      <c r="N450" s="8">
        <v>3.204656592536155E-2</v>
      </c>
      <c r="O450" s="6" t="s">
        <v>7</v>
      </c>
    </row>
    <row r="451" spans="2:15" x14ac:dyDescent="0.45">
      <c r="B451" s="3" t="s">
        <v>79</v>
      </c>
      <c r="C451" s="3" t="s">
        <v>6</v>
      </c>
      <c r="D451" s="4">
        <v>0</v>
      </c>
      <c r="E451" s="3" t="s">
        <v>7</v>
      </c>
      <c r="G451" s="3" t="s">
        <v>80</v>
      </c>
      <c r="H451" s="3" t="s">
        <v>6</v>
      </c>
      <c r="I451" s="5">
        <v>6.232081535163006E-2</v>
      </c>
      <c r="J451" s="3" t="s">
        <v>7</v>
      </c>
      <c r="L451" s="3" t="s">
        <v>81</v>
      </c>
      <c r="M451" s="3" t="s">
        <v>6</v>
      </c>
      <c r="N451" s="5">
        <v>5.9604532717026405E-2</v>
      </c>
      <c r="O451" s="3" t="s">
        <v>7</v>
      </c>
    </row>
    <row r="452" spans="2:15" x14ac:dyDescent="0.45">
      <c r="B452" s="6" t="s">
        <v>79</v>
      </c>
      <c r="C452" s="6" t="s">
        <v>10</v>
      </c>
      <c r="D452" s="7">
        <v>0</v>
      </c>
      <c r="E452" s="6" t="s">
        <v>7</v>
      </c>
      <c r="G452" s="6" t="s">
        <v>80</v>
      </c>
      <c r="H452" s="6" t="s">
        <v>10</v>
      </c>
      <c r="I452" s="8">
        <v>2.4612948479953628E-2</v>
      </c>
      <c r="J452" s="6" t="s">
        <v>7</v>
      </c>
      <c r="L452" s="6" t="s">
        <v>81</v>
      </c>
      <c r="M452" s="6" t="s">
        <v>10</v>
      </c>
      <c r="N452" s="8">
        <v>2.4036067693103111E-2</v>
      </c>
      <c r="O452" s="6" t="s">
        <v>7</v>
      </c>
    </row>
    <row r="453" spans="2:15" x14ac:dyDescent="0.45">
      <c r="B453" s="3" t="s">
        <v>79</v>
      </c>
      <c r="C453" s="3" t="s">
        <v>11</v>
      </c>
      <c r="D453" s="4">
        <v>2.7387066639685757E-4</v>
      </c>
      <c r="E453" s="3" t="s">
        <v>7</v>
      </c>
      <c r="G453" s="3" t="s">
        <v>80</v>
      </c>
      <c r="H453" s="3" t="s">
        <v>11</v>
      </c>
      <c r="I453" s="5">
        <v>2.4753462870042299E-2</v>
      </c>
      <c r="J453" s="3" t="s">
        <v>7</v>
      </c>
      <c r="L453" s="3" t="s">
        <v>81</v>
      </c>
      <c r="M453" s="3" t="s">
        <v>11</v>
      </c>
      <c r="N453" s="5">
        <v>2.3861459833056545E-2</v>
      </c>
      <c r="O453" s="3" t="s">
        <v>7</v>
      </c>
    </row>
    <row r="454" spans="2:15" x14ac:dyDescent="0.45">
      <c r="B454" s="6" t="s">
        <v>79</v>
      </c>
      <c r="C454" s="6" t="s">
        <v>12</v>
      </c>
      <c r="D454" s="7">
        <v>1.5755289681234803E-2</v>
      </c>
      <c r="E454" s="6" t="s">
        <v>7</v>
      </c>
      <c r="G454" s="6" t="s">
        <v>80</v>
      </c>
      <c r="H454" s="6" t="s">
        <v>12</v>
      </c>
      <c r="I454" s="8">
        <v>2.3725009181701708E-2</v>
      </c>
      <c r="J454" s="6" t="s">
        <v>7</v>
      </c>
      <c r="L454" s="6" t="s">
        <v>81</v>
      </c>
      <c r="M454" s="6" t="s">
        <v>12</v>
      </c>
      <c r="N454" s="8">
        <v>2.3459042248377273E-2</v>
      </c>
      <c r="O454" s="6" t="s">
        <v>7</v>
      </c>
    </row>
    <row r="455" spans="2:15" x14ac:dyDescent="0.45">
      <c r="B455" s="3" t="s">
        <v>79</v>
      </c>
      <c r="C455" s="3" t="s">
        <v>13</v>
      </c>
      <c r="D455" s="4">
        <v>4.040537742825593E-2</v>
      </c>
      <c r="E455" s="3" t="s">
        <v>7</v>
      </c>
      <c r="G455" s="3" t="s">
        <v>80</v>
      </c>
      <c r="H455" s="3" t="s">
        <v>13</v>
      </c>
      <c r="I455" s="5">
        <v>2.3868475913930959E-2</v>
      </c>
      <c r="J455" s="3" t="s">
        <v>7</v>
      </c>
      <c r="L455" s="3" t="s">
        <v>81</v>
      </c>
      <c r="M455" s="3" t="s">
        <v>13</v>
      </c>
      <c r="N455" s="5">
        <v>2.3390061612635828E-2</v>
      </c>
      <c r="O455" s="3" t="s">
        <v>7</v>
      </c>
    </row>
    <row r="456" spans="2:15" x14ac:dyDescent="0.45">
      <c r="B456" s="6" t="s">
        <v>79</v>
      </c>
      <c r="C456" s="6" t="s">
        <v>14</v>
      </c>
      <c r="D456" s="7">
        <v>4.3097346030596811E-2</v>
      </c>
      <c r="E456" s="6" t="s">
        <v>7</v>
      </c>
      <c r="G456" s="6" t="s">
        <v>80</v>
      </c>
      <c r="H456" s="6" t="s">
        <v>14</v>
      </c>
      <c r="I456" s="8">
        <v>2.4329408357066838E-2</v>
      </c>
      <c r="J456" s="6" t="s">
        <v>7</v>
      </c>
      <c r="L456" s="6" t="s">
        <v>81</v>
      </c>
      <c r="M456" s="6" t="s">
        <v>14</v>
      </c>
      <c r="N456" s="8">
        <v>2.3219410065147123E-2</v>
      </c>
      <c r="O456" s="6" t="s">
        <v>7</v>
      </c>
    </row>
    <row r="457" spans="2:15" x14ac:dyDescent="0.45">
      <c r="B457" s="3" t="s">
        <v>79</v>
      </c>
      <c r="C457" s="3" t="s">
        <v>15</v>
      </c>
      <c r="D457" s="4">
        <v>2.432195179032462E-2</v>
      </c>
      <c r="E457" s="3" t="s">
        <v>7</v>
      </c>
      <c r="G457" s="3" t="s">
        <v>80</v>
      </c>
      <c r="H457" s="3" t="s">
        <v>15</v>
      </c>
      <c r="I457" s="5">
        <v>2.4116169414030844E-2</v>
      </c>
      <c r="J457" s="3" t="s">
        <v>7</v>
      </c>
      <c r="L457" s="3" t="s">
        <v>81</v>
      </c>
      <c r="M457" s="3" t="s">
        <v>15</v>
      </c>
      <c r="N457" s="5">
        <v>2.3249352785866814E-2</v>
      </c>
      <c r="O457" s="3" t="s">
        <v>7</v>
      </c>
    </row>
    <row r="458" spans="2:15" x14ac:dyDescent="0.45">
      <c r="B458" s="6" t="s">
        <v>79</v>
      </c>
      <c r="C458" s="6" t="s">
        <v>16</v>
      </c>
      <c r="D458" s="7">
        <v>2.7317876449374947E-3</v>
      </c>
      <c r="E458" s="6" t="s">
        <v>7</v>
      </c>
      <c r="G458" s="6" t="s">
        <v>80</v>
      </c>
      <c r="H458" s="6" t="s">
        <v>16</v>
      </c>
      <c r="I458" s="8">
        <v>2.4610209187057981E-2</v>
      </c>
      <c r="J458" s="6" t="s">
        <v>7</v>
      </c>
      <c r="L458" s="6" t="s">
        <v>81</v>
      </c>
      <c r="M458" s="6" t="s">
        <v>16</v>
      </c>
      <c r="N458" s="8">
        <v>2.3991603352342267E-2</v>
      </c>
      <c r="O458" s="6" t="s">
        <v>7</v>
      </c>
    </row>
    <row r="459" spans="2:15" x14ac:dyDescent="0.45">
      <c r="B459" s="3" t="s">
        <v>79</v>
      </c>
      <c r="C459" s="3" t="s">
        <v>17</v>
      </c>
      <c r="D459" s="4">
        <v>0</v>
      </c>
      <c r="E459" s="3" t="s">
        <v>7</v>
      </c>
      <c r="G459" s="3" t="s">
        <v>80</v>
      </c>
      <c r="H459" s="3" t="s">
        <v>17</v>
      </c>
      <c r="I459" s="5">
        <v>2.489452153779189E-2</v>
      </c>
      <c r="J459" s="3" t="s">
        <v>7</v>
      </c>
      <c r="L459" s="3" t="s">
        <v>81</v>
      </c>
      <c r="M459" s="3" t="s">
        <v>17</v>
      </c>
      <c r="N459" s="5">
        <v>2.4484540712291596E-2</v>
      </c>
      <c r="O459" s="3" t="s">
        <v>7</v>
      </c>
    </row>
    <row r="460" spans="2:15" x14ac:dyDescent="0.45">
      <c r="B460" s="6" t="s">
        <v>79</v>
      </c>
      <c r="C460" s="6" t="s">
        <v>18</v>
      </c>
      <c r="D460" s="7">
        <v>0</v>
      </c>
      <c r="E460" s="6" t="s">
        <v>7</v>
      </c>
      <c r="G460" s="6" t="s">
        <v>80</v>
      </c>
      <c r="H460" s="6" t="s">
        <v>18</v>
      </c>
      <c r="I460" s="8">
        <v>3.7402846871174365E-2</v>
      </c>
      <c r="J460" s="6" t="s">
        <v>7</v>
      </c>
      <c r="L460" s="6" t="s">
        <v>81</v>
      </c>
      <c r="M460" s="6" t="s">
        <v>18</v>
      </c>
      <c r="N460" s="8">
        <v>3.665482954964578E-2</v>
      </c>
      <c r="O460" s="6" t="s">
        <v>7</v>
      </c>
    </row>
    <row r="461" spans="2:15" x14ac:dyDescent="0.45">
      <c r="B461" s="3" t="s">
        <v>79</v>
      </c>
      <c r="C461" s="3" t="s">
        <v>19</v>
      </c>
      <c r="D461" s="4">
        <v>0</v>
      </c>
      <c r="E461" s="3" t="s">
        <v>7</v>
      </c>
      <c r="G461" s="3" t="s">
        <v>80</v>
      </c>
      <c r="H461" s="3" t="s">
        <v>19</v>
      </c>
      <c r="I461" s="5">
        <v>5.5493961272813079E-2</v>
      </c>
      <c r="J461" s="3" t="s">
        <v>7</v>
      </c>
      <c r="L461" s="3" t="s">
        <v>81</v>
      </c>
      <c r="M461" s="3" t="s">
        <v>19</v>
      </c>
      <c r="N461" s="5">
        <v>5.3227503418275736E-2</v>
      </c>
      <c r="O461" s="3" t="s">
        <v>7</v>
      </c>
    </row>
    <row r="462" spans="2:15" x14ac:dyDescent="0.45">
      <c r="B462" s="6" t="s">
        <v>79</v>
      </c>
      <c r="C462" s="6" t="s">
        <v>20</v>
      </c>
      <c r="D462" s="7">
        <v>6.292539657817408E-4</v>
      </c>
      <c r="E462" s="6" t="s">
        <v>7</v>
      </c>
      <c r="G462" s="6" t="s">
        <v>80</v>
      </c>
      <c r="H462" s="6" t="s">
        <v>20</v>
      </c>
      <c r="I462" s="8">
        <v>2.2083802238779558E-2</v>
      </c>
      <c r="J462" s="6" t="s">
        <v>7</v>
      </c>
      <c r="L462" s="6" t="s">
        <v>81</v>
      </c>
      <c r="M462" s="6" t="s">
        <v>20</v>
      </c>
      <c r="N462" s="8">
        <v>2.1653935171416557E-2</v>
      </c>
      <c r="O462" s="6" t="s">
        <v>7</v>
      </c>
    </row>
    <row r="463" spans="2:15" x14ac:dyDescent="0.45">
      <c r="B463" s="3" t="s">
        <v>79</v>
      </c>
      <c r="C463" s="3" t="s">
        <v>21</v>
      </c>
      <c r="D463" s="4">
        <v>1.6147356807531894E-2</v>
      </c>
      <c r="E463" s="3" t="s">
        <v>7</v>
      </c>
      <c r="G463" s="3" t="s">
        <v>80</v>
      </c>
      <c r="H463" s="3" t="s">
        <v>21</v>
      </c>
      <c r="I463" s="5">
        <v>2.2734766312806149E-2</v>
      </c>
      <c r="J463" s="3" t="s">
        <v>7</v>
      </c>
      <c r="L463" s="3" t="s">
        <v>81</v>
      </c>
      <c r="M463" s="3" t="s">
        <v>21</v>
      </c>
      <c r="N463" s="5">
        <v>2.2125574983639412E-2</v>
      </c>
      <c r="O463" s="3" t="s">
        <v>7</v>
      </c>
    </row>
    <row r="464" spans="2:15" x14ac:dyDescent="0.45">
      <c r="B464" s="6" t="s">
        <v>79</v>
      </c>
      <c r="C464" s="6" t="s">
        <v>22</v>
      </c>
      <c r="D464" s="7">
        <v>5.3907807133224586E-2</v>
      </c>
      <c r="E464" s="6" t="s">
        <v>7</v>
      </c>
      <c r="G464" s="6" t="s">
        <v>80</v>
      </c>
      <c r="H464" s="6" t="s">
        <v>22</v>
      </c>
      <c r="I464" s="8">
        <v>2.310607507663542E-2</v>
      </c>
      <c r="J464" s="6" t="s">
        <v>7</v>
      </c>
      <c r="L464" s="6" t="s">
        <v>81</v>
      </c>
      <c r="M464" s="6" t="s">
        <v>22</v>
      </c>
      <c r="N464" s="8">
        <v>2.1920370414274526E-2</v>
      </c>
      <c r="O464" s="6" t="s">
        <v>7</v>
      </c>
    </row>
    <row r="465" spans="2:15" x14ac:dyDescent="0.45">
      <c r="B465" s="3" t="s">
        <v>79</v>
      </c>
      <c r="C465" s="3" t="s">
        <v>23</v>
      </c>
      <c r="D465" s="4">
        <v>7.7046320452938938E-2</v>
      </c>
      <c r="E465" s="3" t="s">
        <v>7</v>
      </c>
      <c r="G465" s="3" t="s">
        <v>80</v>
      </c>
      <c r="H465" s="3" t="s">
        <v>23</v>
      </c>
      <c r="I465" s="5">
        <v>2.2897291922995895E-2</v>
      </c>
      <c r="J465" s="3" t="s">
        <v>7</v>
      </c>
      <c r="L465" s="3" t="s">
        <v>81</v>
      </c>
      <c r="M465" s="3" t="s">
        <v>23</v>
      </c>
      <c r="N465" s="5">
        <v>2.1546136267469696E-2</v>
      </c>
      <c r="O465" s="3" t="s">
        <v>7</v>
      </c>
    </row>
    <row r="466" spans="2:15" x14ac:dyDescent="0.45">
      <c r="B466" s="6" t="s">
        <v>79</v>
      </c>
      <c r="C466" s="6" t="s">
        <v>24</v>
      </c>
      <c r="D466" s="7">
        <v>7.8154406908232027E-2</v>
      </c>
      <c r="E466" s="6" t="s">
        <v>7</v>
      </c>
      <c r="G466" s="6" t="s">
        <v>80</v>
      </c>
      <c r="H466" s="6" t="s">
        <v>24</v>
      </c>
      <c r="I466" s="8">
        <v>2.3572819926713465E-2</v>
      </c>
      <c r="J466" s="6" t="s">
        <v>7</v>
      </c>
      <c r="L466" s="6" t="s">
        <v>81</v>
      </c>
      <c r="M466" s="6" t="s">
        <v>24</v>
      </c>
      <c r="N466" s="8">
        <v>2.1964112241034114E-2</v>
      </c>
      <c r="O466" s="6" t="s">
        <v>7</v>
      </c>
    </row>
    <row r="467" spans="2:15" x14ac:dyDescent="0.45">
      <c r="B467" s="3" t="s">
        <v>79</v>
      </c>
      <c r="C467" s="3" t="s">
        <v>25</v>
      </c>
      <c r="D467" s="4">
        <v>5.9786155223475336E-2</v>
      </c>
      <c r="E467" s="3" t="s">
        <v>7</v>
      </c>
      <c r="G467" s="3" t="s">
        <v>80</v>
      </c>
      <c r="H467" s="3" t="s">
        <v>25</v>
      </c>
      <c r="I467" s="5">
        <v>2.4166242531598565E-2</v>
      </c>
      <c r="J467" s="3" t="s">
        <v>7</v>
      </c>
      <c r="L467" s="3" t="s">
        <v>81</v>
      </c>
      <c r="M467" s="3" t="s">
        <v>25</v>
      </c>
      <c r="N467" s="5">
        <v>2.2466830104136942E-2</v>
      </c>
      <c r="O467" s="3" t="s">
        <v>7</v>
      </c>
    </row>
    <row r="468" spans="2:15" x14ac:dyDescent="0.45">
      <c r="B468" s="6" t="s">
        <v>79</v>
      </c>
      <c r="C468" s="6" t="s">
        <v>26</v>
      </c>
      <c r="D468" s="7">
        <v>2.6028140001165701E-2</v>
      </c>
      <c r="E468" s="6" t="s">
        <v>7</v>
      </c>
      <c r="G468" s="6" t="s">
        <v>80</v>
      </c>
      <c r="H468" s="6" t="s">
        <v>26</v>
      </c>
      <c r="I468" s="8">
        <v>2.3913391730104844E-2</v>
      </c>
      <c r="J468" s="6" t="s">
        <v>7</v>
      </c>
      <c r="L468" s="6" t="s">
        <v>81</v>
      </c>
      <c r="M468" s="6" t="s">
        <v>26</v>
      </c>
      <c r="N468" s="8">
        <v>2.2642166578998812E-2</v>
      </c>
      <c r="O468" s="6" t="s">
        <v>7</v>
      </c>
    </row>
    <row r="469" spans="2:15" x14ac:dyDescent="0.45">
      <c r="B469" s="3" t="s">
        <v>79</v>
      </c>
      <c r="C469" s="3" t="s">
        <v>27</v>
      </c>
      <c r="D469" s="4">
        <v>1.4125254554423292E-3</v>
      </c>
      <c r="E469" s="3" t="s">
        <v>7</v>
      </c>
      <c r="G469" s="3" t="s">
        <v>80</v>
      </c>
      <c r="H469" s="3" t="s">
        <v>27</v>
      </c>
      <c r="I469" s="5">
        <v>2.3322925258034383E-2</v>
      </c>
      <c r="J469" s="3" t="s">
        <v>7</v>
      </c>
      <c r="L469" s="3" t="s">
        <v>81</v>
      </c>
      <c r="M469" s="3" t="s">
        <v>27</v>
      </c>
      <c r="N469" s="5">
        <v>2.2710473811803189E-2</v>
      </c>
      <c r="O469" s="3" t="s">
        <v>7</v>
      </c>
    </row>
    <row r="470" spans="2:15" x14ac:dyDescent="0.45">
      <c r="B470" s="6" t="s">
        <v>79</v>
      </c>
      <c r="C470" s="6" t="s">
        <v>28</v>
      </c>
      <c r="D470" s="7">
        <v>0</v>
      </c>
      <c r="E470" s="6" t="s">
        <v>7</v>
      </c>
      <c r="G470" s="6" t="s">
        <v>80</v>
      </c>
      <c r="H470" s="6" t="s">
        <v>28</v>
      </c>
      <c r="I470" s="8">
        <v>3.3149107620368198E-2</v>
      </c>
      <c r="J470" s="6" t="s">
        <v>7</v>
      </c>
      <c r="L470" s="6" t="s">
        <v>81</v>
      </c>
      <c r="M470" s="6" t="s">
        <v>28</v>
      </c>
      <c r="N470" s="8">
        <v>3.3363291914304823E-2</v>
      </c>
      <c r="O470" s="6" t="s">
        <v>7</v>
      </c>
    </row>
    <row r="471" spans="2:15" x14ac:dyDescent="0.45">
      <c r="B471" s="3" t="s">
        <v>79</v>
      </c>
      <c r="C471" s="3" t="s">
        <v>29</v>
      </c>
      <c r="D471" s="4">
        <v>0</v>
      </c>
      <c r="E471" s="3" t="s">
        <v>7</v>
      </c>
      <c r="G471" s="3" t="s">
        <v>80</v>
      </c>
      <c r="H471" s="3" t="s">
        <v>29</v>
      </c>
      <c r="I471" s="5">
        <v>3.8486443027329141E-2</v>
      </c>
      <c r="J471" s="3" t="s">
        <v>7</v>
      </c>
      <c r="L471" s="3" t="s">
        <v>81</v>
      </c>
      <c r="M471" s="3" t="s">
        <v>29</v>
      </c>
      <c r="N471" s="5">
        <v>3.923414077701734E-2</v>
      </c>
      <c r="O471" s="3" t="s">
        <v>7</v>
      </c>
    </row>
    <row r="472" spans="2:15" x14ac:dyDescent="0.45">
      <c r="B472" s="6" t="s">
        <v>79</v>
      </c>
      <c r="C472" s="6" t="s">
        <v>30</v>
      </c>
      <c r="D472" s="7">
        <v>1.4836459877856122E-3</v>
      </c>
      <c r="E472" s="6" t="s">
        <v>7</v>
      </c>
      <c r="G472" s="6" t="s">
        <v>80</v>
      </c>
      <c r="H472" s="6" t="s">
        <v>30</v>
      </c>
      <c r="I472" s="8">
        <v>1.4300744811071651E-2</v>
      </c>
      <c r="J472" s="6" t="s">
        <v>7</v>
      </c>
      <c r="L472" s="6" t="s">
        <v>81</v>
      </c>
      <c r="M472" s="6" t="s">
        <v>30</v>
      </c>
      <c r="N472" s="8">
        <v>1.509426513213802E-2</v>
      </c>
      <c r="O472" s="6" t="s">
        <v>7</v>
      </c>
    </row>
    <row r="473" spans="2:15" x14ac:dyDescent="0.45">
      <c r="B473" s="3" t="s">
        <v>79</v>
      </c>
      <c r="C473" s="3" t="s">
        <v>31</v>
      </c>
      <c r="D473" s="4">
        <v>2.1153608160394518E-2</v>
      </c>
      <c r="E473" s="3" t="s">
        <v>7</v>
      </c>
      <c r="G473" s="3" t="s">
        <v>80</v>
      </c>
      <c r="H473" s="3" t="s">
        <v>31</v>
      </c>
      <c r="I473" s="5">
        <v>1.4036254307794758E-2</v>
      </c>
      <c r="J473" s="3" t="s">
        <v>7</v>
      </c>
      <c r="L473" s="3" t="s">
        <v>81</v>
      </c>
      <c r="M473" s="3" t="s">
        <v>31</v>
      </c>
      <c r="N473" s="5">
        <v>1.4697644201969035E-2</v>
      </c>
      <c r="O473" s="3" t="s">
        <v>7</v>
      </c>
    </row>
    <row r="474" spans="2:15" x14ac:dyDescent="0.45">
      <c r="B474" s="6" t="s">
        <v>79</v>
      </c>
      <c r="C474" s="6" t="s">
        <v>32</v>
      </c>
      <c r="D474" s="7">
        <v>5.9790856570697375E-2</v>
      </c>
      <c r="E474" s="6" t="s">
        <v>7</v>
      </c>
      <c r="G474" s="6" t="s">
        <v>80</v>
      </c>
      <c r="H474" s="6" t="s">
        <v>32</v>
      </c>
      <c r="I474" s="8">
        <v>1.3605487091335912E-2</v>
      </c>
      <c r="J474" s="6" t="s">
        <v>7</v>
      </c>
      <c r="L474" s="6" t="s">
        <v>81</v>
      </c>
      <c r="M474" s="6" t="s">
        <v>32</v>
      </c>
      <c r="N474" s="8">
        <v>1.3861225385885672E-2</v>
      </c>
      <c r="O474" s="6" t="s">
        <v>7</v>
      </c>
    </row>
    <row r="475" spans="2:15" x14ac:dyDescent="0.45">
      <c r="B475" s="3" t="s">
        <v>79</v>
      </c>
      <c r="C475" s="3" t="s">
        <v>33</v>
      </c>
      <c r="D475" s="4">
        <v>8.56741624795649E-2</v>
      </c>
      <c r="E475" s="3" t="s">
        <v>7</v>
      </c>
      <c r="G475" s="3" t="s">
        <v>80</v>
      </c>
      <c r="H475" s="3" t="s">
        <v>33</v>
      </c>
      <c r="I475" s="5">
        <v>1.3641905222724364E-2</v>
      </c>
      <c r="J475" s="3" t="s">
        <v>7</v>
      </c>
      <c r="L475" s="3" t="s">
        <v>81</v>
      </c>
      <c r="M475" s="3" t="s">
        <v>33</v>
      </c>
      <c r="N475" s="5">
        <v>1.3196416308265867E-2</v>
      </c>
      <c r="O475" s="3" t="s">
        <v>7</v>
      </c>
    </row>
    <row r="476" spans="2:15" x14ac:dyDescent="0.45">
      <c r="B476" s="6" t="s">
        <v>79</v>
      </c>
      <c r="C476" s="6" t="s">
        <v>34</v>
      </c>
      <c r="D476" s="7">
        <v>9.0888735582090083E-2</v>
      </c>
      <c r="E476" s="6" t="s">
        <v>7</v>
      </c>
      <c r="G476" s="6" t="s">
        <v>80</v>
      </c>
      <c r="H476" s="6" t="s">
        <v>34</v>
      </c>
      <c r="I476" s="8">
        <v>1.5006439969235789E-2</v>
      </c>
      <c r="J476" s="6" t="s">
        <v>7</v>
      </c>
      <c r="L476" s="6" t="s">
        <v>81</v>
      </c>
      <c r="M476" s="6" t="s">
        <v>34</v>
      </c>
      <c r="N476" s="8">
        <v>1.3351732370665271E-2</v>
      </c>
      <c r="O476" s="6" t="s">
        <v>7</v>
      </c>
    </row>
    <row r="477" spans="2:15" x14ac:dyDescent="0.45">
      <c r="B477" s="3" t="s">
        <v>79</v>
      </c>
      <c r="C477" s="3" t="s">
        <v>35</v>
      </c>
      <c r="D477" s="4">
        <v>7.3231726796256558E-2</v>
      </c>
      <c r="E477" s="3" t="s">
        <v>7</v>
      </c>
      <c r="G477" s="3" t="s">
        <v>80</v>
      </c>
      <c r="H477" s="3" t="s">
        <v>35</v>
      </c>
      <c r="I477" s="5">
        <v>1.6134224241015727E-2</v>
      </c>
      <c r="J477" s="3" t="s">
        <v>7</v>
      </c>
      <c r="L477" s="3" t="s">
        <v>81</v>
      </c>
      <c r="M477" s="3" t="s">
        <v>35</v>
      </c>
      <c r="N477" s="5">
        <v>1.340381171149512E-2</v>
      </c>
      <c r="O477" s="3" t="s">
        <v>7</v>
      </c>
    </row>
    <row r="478" spans="2:15" x14ac:dyDescent="0.45">
      <c r="B478" s="6" t="s">
        <v>79</v>
      </c>
      <c r="C478" s="6" t="s">
        <v>36</v>
      </c>
      <c r="D478" s="7">
        <v>3.6081853342386658E-2</v>
      </c>
      <c r="E478" s="6" t="s">
        <v>7</v>
      </c>
      <c r="G478" s="6" t="s">
        <v>80</v>
      </c>
      <c r="H478" s="6" t="s">
        <v>36</v>
      </c>
      <c r="I478" s="8">
        <v>1.6428039249315303E-2</v>
      </c>
      <c r="J478" s="6" t="s">
        <v>7</v>
      </c>
      <c r="L478" s="6" t="s">
        <v>81</v>
      </c>
      <c r="M478" s="6" t="s">
        <v>36</v>
      </c>
      <c r="N478" s="8">
        <v>1.3446185956426337E-2</v>
      </c>
      <c r="O478" s="6" t="s">
        <v>7</v>
      </c>
    </row>
    <row r="479" spans="2:15" x14ac:dyDescent="0.45">
      <c r="B479" s="3" t="s">
        <v>79</v>
      </c>
      <c r="C479" s="3" t="s">
        <v>37</v>
      </c>
      <c r="D479" s="4">
        <v>4.1920534142184922E-3</v>
      </c>
      <c r="E479" s="3" t="s">
        <v>7</v>
      </c>
      <c r="G479" s="3" t="s">
        <v>80</v>
      </c>
      <c r="H479" s="3" t="s">
        <v>37</v>
      </c>
      <c r="I479" s="5">
        <v>1.5900480470033056E-2</v>
      </c>
      <c r="J479" s="3" t="s">
        <v>7</v>
      </c>
      <c r="L479" s="3" t="s">
        <v>81</v>
      </c>
      <c r="M479" s="3" t="s">
        <v>37</v>
      </c>
      <c r="N479" s="5">
        <v>1.3897745555876107E-2</v>
      </c>
      <c r="O479" s="3" t="s">
        <v>7</v>
      </c>
    </row>
    <row r="480" spans="2:15" x14ac:dyDescent="0.45">
      <c r="B480" s="6" t="s">
        <v>79</v>
      </c>
      <c r="C480" s="6" t="s">
        <v>38</v>
      </c>
      <c r="D480" s="7">
        <v>0</v>
      </c>
      <c r="E480" s="6" t="s">
        <v>7</v>
      </c>
      <c r="G480" s="6" t="s">
        <v>80</v>
      </c>
      <c r="H480" s="6" t="s">
        <v>38</v>
      </c>
      <c r="I480" s="8">
        <v>2.3089841528636964E-2</v>
      </c>
      <c r="J480" s="6" t="s">
        <v>7</v>
      </c>
      <c r="L480" s="6" t="s">
        <v>81</v>
      </c>
      <c r="M480" s="6" t="s">
        <v>38</v>
      </c>
      <c r="N480" s="8">
        <v>2.1924077476602265E-2</v>
      </c>
      <c r="O480" s="6" t="s">
        <v>7</v>
      </c>
    </row>
    <row r="481" spans="2:15" x14ac:dyDescent="0.45">
      <c r="B481" s="3" t="s">
        <v>79</v>
      </c>
      <c r="C481" s="3" t="s">
        <v>39</v>
      </c>
      <c r="D481" s="4">
        <v>0</v>
      </c>
      <c r="E481" s="3" t="s">
        <v>7</v>
      </c>
      <c r="G481" s="3" t="s">
        <v>80</v>
      </c>
      <c r="H481" s="3" t="s">
        <v>39</v>
      </c>
      <c r="I481" s="5">
        <v>5.0599914912050709E-2</v>
      </c>
      <c r="J481" s="3" t="s">
        <v>7</v>
      </c>
      <c r="L481" s="3" t="s">
        <v>81</v>
      </c>
      <c r="M481" s="3" t="s">
        <v>39</v>
      </c>
      <c r="N481" s="5">
        <v>5.8511509950589527E-2</v>
      </c>
      <c r="O481" s="3" t="s">
        <v>7</v>
      </c>
    </row>
    <row r="482" spans="2:15" x14ac:dyDescent="0.45">
      <c r="B482" s="6" t="s">
        <v>79</v>
      </c>
      <c r="C482" s="6" t="s">
        <v>40</v>
      </c>
      <c r="D482" s="7">
        <v>0</v>
      </c>
      <c r="E482" s="6" t="s">
        <v>7</v>
      </c>
      <c r="G482" s="6" t="s">
        <v>80</v>
      </c>
      <c r="H482" s="6" t="s">
        <v>40</v>
      </c>
      <c r="I482" s="8">
        <v>1.9922887158839338E-2</v>
      </c>
      <c r="J482" s="6" t="s">
        <v>7</v>
      </c>
      <c r="L482" s="6" t="s">
        <v>81</v>
      </c>
      <c r="M482" s="6" t="s">
        <v>40</v>
      </c>
      <c r="N482" s="8">
        <v>2.305881937884708E-2</v>
      </c>
      <c r="O482" s="6" t="s">
        <v>7</v>
      </c>
    </row>
    <row r="483" spans="2:15" x14ac:dyDescent="0.45">
      <c r="B483" s="3" t="s">
        <v>79</v>
      </c>
      <c r="C483" s="3" t="s">
        <v>41</v>
      </c>
      <c r="D483" s="4">
        <v>4.2452303669082642E-3</v>
      </c>
      <c r="E483" s="3" t="s">
        <v>7</v>
      </c>
      <c r="G483" s="3" t="s">
        <v>80</v>
      </c>
      <c r="H483" s="3" t="s">
        <v>41</v>
      </c>
      <c r="I483" s="5">
        <v>2.0098318623156079E-2</v>
      </c>
      <c r="J483" s="3" t="s">
        <v>7</v>
      </c>
      <c r="L483" s="3" t="s">
        <v>81</v>
      </c>
      <c r="M483" s="3" t="s">
        <v>41</v>
      </c>
      <c r="N483" s="5">
        <v>2.3221476287623794E-2</v>
      </c>
      <c r="O483" s="3" t="s">
        <v>7</v>
      </c>
    </row>
    <row r="484" spans="2:15" x14ac:dyDescent="0.45">
      <c r="B484" s="6" t="s">
        <v>79</v>
      </c>
      <c r="C484" s="6" t="s">
        <v>42</v>
      </c>
      <c r="D484" s="7">
        <v>3.0378851567905193E-2</v>
      </c>
      <c r="E484" s="6" t="s">
        <v>7</v>
      </c>
      <c r="G484" s="6" t="s">
        <v>80</v>
      </c>
      <c r="H484" s="6" t="s">
        <v>42</v>
      </c>
      <c r="I484" s="8">
        <v>2.0267199954261964E-2</v>
      </c>
      <c r="J484" s="6" t="s">
        <v>7</v>
      </c>
      <c r="L484" s="6" t="s">
        <v>81</v>
      </c>
      <c r="M484" s="6" t="s">
        <v>42</v>
      </c>
      <c r="N484" s="8">
        <v>2.3092907604044581E-2</v>
      </c>
      <c r="O484" s="6" t="s">
        <v>7</v>
      </c>
    </row>
    <row r="485" spans="2:15" x14ac:dyDescent="0.45">
      <c r="B485" s="3" t="s">
        <v>79</v>
      </c>
      <c r="C485" s="3" t="s">
        <v>43</v>
      </c>
      <c r="D485" s="4">
        <v>5.4058921319485399E-2</v>
      </c>
      <c r="E485" s="3" t="s">
        <v>7</v>
      </c>
      <c r="G485" s="3" t="s">
        <v>80</v>
      </c>
      <c r="H485" s="3" t="s">
        <v>43</v>
      </c>
      <c r="I485" s="5">
        <v>2.0782418564079946E-2</v>
      </c>
      <c r="J485" s="3" t="s">
        <v>7</v>
      </c>
      <c r="L485" s="3" t="s">
        <v>81</v>
      </c>
      <c r="M485" s="3" t="s">
        <v>43</v>
      </c>
      <c r="N485" s="5">
        <v>2.3056636852582784E-2</v>
      </c>
      <c r="O485" s="3" t="s">
        <v>7</v>
      </c>
    </row>
    <row r="486" spans="2:15" x14ac:dyDescent="0.45">
      <c r="B486" s="6" t="s">
        <v>79</v>
      </c>
      <c r="C486" s="6" t="s">
        <v>44</v>
      </c>
      <c r="D486" s="7">
        <v>5.6446892117720249E-2</v>
      </c>
      <c r="E486" s="6" t="s">
        <v>7</v>
      </c>
      <c r="G486" s="6" t="s">
        <v>80</v>
      </c>
      <c r="H486" s="6" t="s">
        <v>44</v>
      </c>
      <c r="I486" s="8">
        <v>2.1951277393753042E-2</v>
      </c>
      <c r="J486" s="6" t="s">
        <v>7</v>
      </c>
      <c r="L486" s="6" t="s">
        <v>81</v>
      </c>
      <c r="M486" s="6" t="s">
        <v>44</v>
      </c>
      <c r="N486" s="8">
        <v>2.3143302009913217E-2</v>
      </c>
      <c r="O486" s="6" t="s">
        <v>7</v>
      </c>
    </row>
    <row r="487" spans="2:15" x14ac:dyDescent="0.45">
      <c r="B487" s="3" t="s">
        <v>79</v>
      </c>
      <c r="C487" s="3" t="s">
        <v>45</v>
      </c>
      <c r="D487" s="4">
        <v>3.5168851202526483E-2</v>
      </c>
      <c r="E487" s="3" t="s">
        <v>7</v>
      </c>
      <c r="G487" s="3" t="s">
        <v>80</v>
      </c>
      <c r="H487" s="3" t="s">
        <v>45</v>
      </c>
      <c r="I487" s="5">
        <v>2.2343260089083956E-2</v>
      </c>
      <c r="J487" s="3" t="s">
        <v>7</v>
      </c>
      <c r="L487" s="3" t="s">
        <v>81</v>
      </c>
      <c r="M487" s="3" t="s">
        <v>45</v>
      </c>
      <c r="N487" s="5">
        <v>2.3312533990453667E-2</v>
      </c>
      <c r="O487" s="3" t="s">
        <v>7</v>
      </c>
    </row>
    <row r="488" spans="2:15" x14ac:dyDescent="0.45">
      <c r="B488" s="6" t="s">
        <v>79</v>
      </c>
      <c r="C488" s="6" t="s">
        <v>46</v>
      </c>
      <c r="D488" s="7">
        <v>7.4702764477145387E-3</v>
      </c>
      <c r="E488" s="6" t="s">
        <v>7</v>
      </c>
      <c r="G488" s="6" t="s">
        <v>80</v>
      </c>
      <c r="H488" s="6" t="s">
        <v>46</v>
      </c>
      <c r="I488" s="8">
        <v>2.2282778459209153E-2</v>
      </c>
      <c r="J488" s="6" t="s">
        <v>7</v>
      </c>
      <c r="L488" s="6" t="s">
        <v>81</v>
      </c>
      <c r="M488" s="6" t="s">
        <v>46</v>
      </c>
      <c r="N488" s="8">
        <v>2.3229032119658839E-2</v>
      </c>
      <c r="O488" s="6" t="s">
        <v>7</v>
      </c>
    </row>
    <row r="489" spans="2:15" x14ac:dyDescent="0.45">
      <c r="B489" s="3" t="s">
        <v>79</v>
      </c>
      <c r="C489" s="3" t="s">
        <v>47</v>
      </c>
      <c r="D489" s="4">
        <v>3.6745454806620046E-5</v>
      </c>
      <c r="E489" s="3" t="s">
        <v>7</v>
      </c>
      <c r="G489" s="3" t="s">
        <v>80</v>
      </c>
      <c r="H489" s="3" t="s">
        <v>47</v>
      </c>
      <c r="I489" s="5">
        <v>2.1504383507115934E-2</v>
      </c>
      <c r="J489" s="3" t="s">
        <v>7</v>
      </c>
      <c r="L489" s="3" t="s">
        <v>81</v>
      </c>
      <c r="M489" s="3" t="s">
        <v>47</v>
      </c>
      <c r="N489" s="5">
        <v>2.3259498756509893E-2</v>
      </c>
      <c r="O489" s="3" t="s">
        <v>7</v>
      </c>
    </row>
    <row r="490" spans="2:15" x14ac:dyDescent="0.45">
      <c r="B490" s="6" t="s">
        <v>79</v>
      </c>
      <c r="C490" s="6" t="s">
        <v>48</v>
      </c>
      <c r="D490" s="7">
        <v>0</v>
      </c>
      <c r="E490" s="6" t="s">
        <v>7</v>
      </c>
      <c r="G490" s="6" t="s">
        <v>80</v>
      </c>
      <c r="H490" s="6" t="s">
        <v>48</v>
      </c>
      <c r="I490" s="8">
        <v>3.054345036472703E-2</v>
      </c>
      <c r="J490" s="6" t="s">
        <v>7</v>
      </c>
      <c r="L490" s="6" t="s">
        <v>81</v>
      </c>
      <c r="M490" s="6" t="s">
        <v>48</v>
      </c>
      <c r="N490" s="8">
        <v>3.4435742698589046E-2</v>
      </c>
      <c r="O490" s="6" t="s">
        <v>7</v>
      </c>
    </row>
    <row r="491" spans="2:15" x14ac:dyDescent="0.45">
      <c r="B491" s="3" t="s">
        <v>82</v>
      </c>
      <c r="C491" s="3" t="s">
        <v>6</v>
      </c>
      <c r="D491" s="4">
        <v>0</v>
      </c>
      <c r="E491" s="3" t="s">
        <v>7</v>
      </c>
      <c r="G491" s="3" t="s">
        <v>83</v>
      </c>
      <c r="H491" s="3" t="s">
        <v>6</v>
      </c>
      <c r="I491" s="5">
        <v>6.6300690314636521E-2</v>
      </c>
      <c r="J491" s="3" t="s">
        <v>7</v>
      </c>
      <c r="L491" s="3" t="s">
        <v>84</v>
      </c>
      <c r="M491" s="3" t="s">
        <v>6</v>
      </c>
      <c r="N491" s="5">
        <v>6.8557295542532121E-2</v>
      </c>
      <c r="O491" s="3" t="s">
        <v>7</v>
      </c>
    </row>
    <row r="492" spans="2:15" x14ac:dyDescent="0.45">
      <c r="B492" s="6" t="s">
        <v>82</v>
      </c>
      <c r="C492" s="6" t="s">
        <v>10</v>
      </c>
      <c r="D492" s="7">
        <v>0</v>
      </c>
      <c r="E492" s="6" t="s">
        <v>7</v>
      </c>
      <c r="G492" s="6" t="s">
        <v>83</v>
      </c>
      <c r="H492" s="6" t="s">
        <v>10</v>
      </c>
      <c r="I492" s="8">
        <v>2.5126015036485035E-2</v>
      </c>
      <c r="J492" s="6" t="s">
        <v>7</v>
      </c>
      <c r="L492" s="6" t="s">
        <v>84</v>
      </c>
      <c r="M492" s="6" t="s">
        <v>10</v>
      </c>
      <c r="N492" s="8">
        <v>2.6707241207489196E-2</v>
      </c>
      <c r="O492" s="6" t="s">
        <v>7</v>
      </c>
    </row>
    <row r="493" spans="2:15" x14ac:dyDescent="0.45">
      <c r="B493" s="3" t="s">
        <v>82</v>
      </c>
      <c r="C493" s="3" t="s">
        <v>11</v>
      </c>
      <c r="D493" s="4">
        <v>2.1457442036668843E-4</v>
      </c>
      <c r="E493" s="3" t="s">
        <v>7</v>
      </c>
      <c r="G493" s="3" t="s">
        <v>83</v>
      </c>
      <c r="H493" s="3" t="s">
        <v>11</v>
      </c>
      <c r="I493" s="5">
        <v>2.5586646645182991E-2</v>
      </c>
      <c r="J493" s="3" t="s">
        <v>7</v>
      </c>
      <c r="L493" s="3" t="s">
        <v>84</v>
      </c>
      <c r="M493" s="3" t="s">
        <v>11</v>
      </c>
      <c r="N493" s="5">
        <v>2.630323427735658E-2</v>
      </c>
      <c r="O493" s="3" t="s">
        <v>7</v>
      </c>
    </row>
    <row r="494" spans="2:15" x14ac:dyDescent="0.45">
      <c r="B494" s="6" t="s">
        <v>82</v>
      </c>
      <c r="C494" s="6" t="s">
        <v>12</v>
      </c>
      <c r="D494" s="7">
        <v>1.4668827126306913E-2</v>
      </c>
      <c r="E494" s="6" t="s">
        <v>7</v>
      </c>
      <c r="G494" s="6" t="s">
        <v>83</v>
      </c>
      <c r="H494" s="6" t="s">
        <v>12</v>
      </c>
      <c r="I494" s="8">
        <v>2.5338455262305583E-2</v>
      </c>
      <c r="J494" s="6" t="s">
        <v>7</v>
      </c>
      <c r="L494" s="6" t="s">
        <v>84</v>
      </c>
      <c r="M494" s="6" t="s">
        <v>12</v>
      </c>
      <c r="N494" s="8">
        <v>2.5793397373920116E-2</v>
      </c>
      <c r="O494" s="6" t="s">
        <v>7</v>
      </c>
    </row>
    <row r="495" spans="2:15" x14ac:dyDescent="0.45">
      <c r="B495" s="3" t="s">
        <v>82</v>
      </c>
      <c r="C495" s="3" t="s">
        <v>13</v>
      </c>
      <c r="D495" s="4">
        <v>3.9540448772561833E-2</v>
      </c>
      <c r="E495" s="3" t="s">
        <v>7</v>
      </c>
      <c r="G495" s="3" t="s">
        <v>83</v>
      </c>
      <c r="H495" s="3" t="s">
        <v>13</v>
      </c>
      <c r="I495" s="5">
        <v>2.5990653443037331E-2</v>
      </c>
      <c r="J495" s="3" t="s">
        <v>7</v>
      </c>
      <c r="L495" s="3" t="s">
        <v>84</v>
      </c>
      <c r="M495" s="3" t="s">
        <v>13</v>
      </c>
      <c r="N495" s="5">
        <v>2.5734095735732619E-2</v>
      </c>
      <c r="O495" s="3" t="s">
        <v>7</v>
      </c>
    </row>
    <row r="496" spans="2:15" x14ac:dyDescent="0.45">
      <c r="B496" s="6" t="s">
        <v>82</v>
      </c>
      <c r="C496" s="6" t="s">
        <v>14</v>
      </c>
      <c r="D496" s="7">
        <v>4.1850740661563177E-2</v>
      </c>
      <c r="E496" s="6" t="s">
        <v>7</v>
      </c>
      <c r="G496" s="6" t="s">
        <v>83</v>
      </c>
      <c r="H496" s="6" t="s">
        <v>14</v>
      </c>
      <c r="I496" s="8">
        <v>2.6340857149732919E-2</v>
      </c>
      <c r="J496" s="6" t="s">
        <v>7</v>
      </c>
      <c r="L496" s="6" t="s">
        <v>84</v>
      </c>
      <c r="M496" s="6" t="s">
        <v>14</v>
      </c>
      <c r="N496" s="8">
        <v>2.6440080917209514E-2</v>
      </c>
      <c r="O496" s="6" t="s">
        <v>7</v>
      </c>
    </row>
    <row r="497" spans="2:15" x14ac:dyDescent="0.45">
      <c r="B497" s="3" t="s">
        <v>82</v>
      </c>
      <c r="C497" s="3" t="s">
        <v>15</v>
      </c>
      <c r="D497" s="4">
        <v>2.3889581146044083E-2</v>
      </c>
      <c r="E497" s="3" t="s">
        <v>7</v>
      </c>
      <c r="G497" s="3" t="s">
        <v>83</v>
      </c>
      <c r="H497" s="3" t="s">
        <v>15</v>
      </c>
      <c r="I497" s="5">
        <v>2.6021090050293478E-2</v>
      </c>
      <c r="J497" s="3" t="s">
        <v>7</v>
      </c>
      <c r="L497" s="3" t="s">
        <v>84</v>
      </c>
      <c r="M497" s="3" t="s">
        <v>15</v>
      </c>
      <c r="N497" s="5">
        <v>2.6691301079511367E-2</v>
      </c>
      <c r="O497" s="3" t="s">
        <v>7</v>
      </c>
    </row>
    <row r="498" spans="2:15" x14ac:dyDescent="0.45">
      <c r="B498" s="6" t="s">
        <v>82</v>
      </c>
      <c r="C498" s="6" t="s">
        <v>16</v>
      </c>
      <c r="D498" s="7">
        <v>2.7942855766714403E-3</v>
      </c>
      <c r="E498" s="6" t="s">
        <v>7</v>
      </c>
      <c r="G498" s="6" t="s">
        <v>83</v>
      </c>
      <c r="H498" s="6" t="s">
        <v>16</v>
      </c>
      <c r="I498" s="8">
        <v>2.6011663236538939E-2</v>
      </c>
      <c r="J498" s="6" t="s">
        <v>7</v>
      </c>
      <c r="L498" s="6" t="s">
        <v>84</v>
      </c>
      <c r="M498" s="6" t="s">
        <v>16</v>
      </c>
      <c r="N498" s="8">
        <v>2.6975348700788045E-2</v>
      </c>
      <c r="O498" s="6" t="s">
        <v>7</v>
      </c>
    </row>
    <row r="499" spans="2:15" x14ac:dyDescent="0.45">
      <c r="B499" s="3" t="s">
        <v>82</v>
      </c>
      <c r="C499" s="3" t="s">
        <v>17</v>
      </c>
      <c r="D499" s="4">
        <v>0</v>
      </c>
      <c r="E499" s="3" t="s">
        <v>7</v>
      </c>
      <c r="G499" s="3" t="s">
        <v>83</v>
      </c>
      <c r="H499" s="3" t="s">
        <v>17</v>
      </c>
      <c r="I499" s="5">
        <v>2.6914243751736348E-2</v>
      </c>
      <c r="J499" s="3" t="s">
        <v>7</v>
      </c>
      <c r="L499" s="3" t="s">
        <v>84</v>
      </c>
      <c r="M499" s="3" t="s">
        <v>17</v>
      </c>
      <c r="N499" s="5">
        <v>2.7509683532396668E-2</v>
      </c>
      <c r="O499" s="3" t="s">
        <v>7</v>
      </c>
    </row>
    <row r="500" spans="2:15" x14ac:dyDescent="0.45">
      <c r="B500" s="6" t="s">
        <v>82</v>
      </c>
      <c r="C500" s="6" t="s">
        <v>18</v>
      </c>
      <c r="D500" s="7">
        <v>0</v>
      </c>
      <c r="E500" s="6" t="s">
        <v>7</v>
      </c>
      <c r="G500" s="6" t="s">
        <v>83</v>
      </c>
      <c r="H500" s="6" t="s">
        <v>18</v>
      </c>
      <c r="I500" s="8">
        <v>4.0316279899716631E-2</v>
      </c>
      <c r="J500" s="6" t="s">
        <v>7</v>
      </c>
      <c r="L500" s="6" t="s">
        <v>84</v>
      </c>
      <c r="M500" s="6" t="s">
        <v>18</v>
      </c>
      <c r="N500" s="8">
        <v>4.1362530404981189E-2</v>
      </c>
      <c r="O500" s="6" t="s">
        <v>7</v>
      </c>
    </row>
    <row r="501" spans="2:15" x14ac:dyDescent="0.45">
      <c r="B501" s="3" t="s">
        <v>82</v>
      </c>
      <c r="C501" s="3" t="s">
        <v>19</v>
      </c>
      <c r="D501" s="4">
        <v>0</v>
      </c>
      <c r="E501" s="3" t="s">
        <v>7</v>
      </c>
      <c r="G501" s="3" t="s">
        <v>83</v>
      </c>
      <c r="H501" s="3" t="s">
        <v>19</v>
      </c>
      <c r="I501" s="5">
        <v>5.2529238120185152E-2</v>
      </c>
      <c r="J501" s="3" t="s">
        <v>7</v>
      </c>
      <c r="L501" s="3" t="s">
        <v>84</v>
      </c>
      <c r="M501" s="3" t="s">
        <v>19</v>
      </c>
      <c r="N501" s="5">
        <v>4.9713347213146991E-2</v>
      </c>
      <c r="O501" s="3" t="s">
        <v>7</v>
      </c>
    </row>
    <row r="502" spans="2:15" x14ac:dyDescent="0.45">
      <c r="B502" s="6" t="s">
        <v>82</v>
      </c>
      <c r="C502" s="6" t="s">
        <v>20</v>
      </c>
      <c r="D502" s="7">
        <v>8.2137653835111257E-4</v>
      </c>
      <c r="E502" s="6" t="s">
        <v>7</v>
      </c>
      <c r="G502" s="6" t="s">
        <v>83</v>
      </c>
      <c r="H502" s="6" t="s">
        <v>20</v>
      </c>
      <c r="I502" s="8">
        <v>2.1107960049459251E-2</v>
      </c>
      <c r="J502" s="6" t="s">
        <v>7</v>
      </c>
      <c r="L502" s="6" t="s">
        <v>84</v>
      </c>
      <c r="M502" s="6" t="s">
        <v>20</v>
      </c>
      <c r="N502" s="8">
        <v>1.9049361265511506E-2</v>
      </c>
      <c r="O502" s="6" t="s">
        <v>7</v>
      </c>
    </row>
    <row r="503" spans="2:15" x14ac:dyDescent="0.45">
      <c r="B503" s="3" t="s">
        <v>82</v>
      </c>
      <c r="C503" s="3" t="s">
        <v>21</v>
      </c>
      <c r="D503" s="4">
        <v>1.8445840571454798E-2</v>
      </c>
      <c r="E503" s="3" t="s">
        <v>7</v>
      </c>
      <c r="G503" s="3" t="s">
        <v>83</v>
      </c>
      <c r="H503" s="3" t="s">
        <v>21</v>
      </c>
      <c r="I503" s="5">
        <v>2.2518500770041291E-2</v>
      </c>
      <c r="J503" s="3" t="s">
        <v>7</v>
      </c>
      <c r="L503" s="3" t="s">
        <v>84</v>
      </c>
      <c r="M503" s="3" t="s">
        <v>21</v>
      </c>
      <c r="N503" s="5">
        <v>1.9436935673691421E-2</v>
      </c>
      <c r="O503" s="3" t="s">
        <v>7</v>
      </c>
    </row>
    <row r="504" spans="2:15" x14ac:dyDescent="0.45">
      <c r="B504" s="6" t="s">
        <v>82</v>
      </c>
      <c r="C504" s="6" t="s">
        <v>22</v>
      </c>
      <c r="D504" s="7">
        <v>5.7042120239658191E-2</v>
      </c>
      <c r="E504" s="6" t="s">
        <v>7</v>
      </c>
      <c r="G504" s="6" t="s">
        <v>83</v>
      </c>
      <c r="H504" s="6" t="s">
        <v>22</v>
      </c>
      <c r="I504" s="8">
        <v>2.4099021884600322E-2</v>
      </c>
      <c r="J504" s="6" t="s">
        <v>7</v>
      </c>
      <c r="L504" s="6" t="s">
        <v>84</v>
      </c>
      <c r="M504" s="6" t="s">
        <v>22</v>
      </c>
      <c r="N504" s="8">
        <v>1.9900465602710738E-2</v>
      </c>
      <c r="O504" s="6" t="s">
        <v>7</v>
      </c>
    </row>
    <row r="505" spans="2:15" x14ac:dyDescent="0.45">
      <c r="B505" s="3" t="s">
        <v>82</v>
      </c>
      <c r="C505" s="3" t="s">
        <v>23</v>
      </c>
      <c r="D505" s="4">
        <v>7.8608043294421309E-2</v>
      </c>
      <c r="E505" s="3" t="s">
        <v>7</v>
      </c>
      <c r="G505" s="3" t="s">
        <v>83</v>
      </c>
      <c r="H505" s="3" t="s">
        <v>23</v>
      </c>
      <c r="I505" s="5">
        <v>2.4659580545823151E-2</v>
      </c>
      <c r="J505" s="3" t="s">
        <v>7</v>
      </c>
      <c r="L505" s="3" t="s">
        <v>84</v>
      </c>
      <c r="M505" s="3" t="s">
        <v>23</v>
      </c>
      <c r="N505" s="5">
        <v>2.04518028980618E-2</v>
      </c>
      <c r="O505" s="3" t="s">
        <v>7</v>
      </c>
    </row>
    <row r="506" spans="2:15" x14ac:dyDescent="0.45">
      <c r="B506" s="6" t="s">
        <v>82</v>
      </c>
      <c r="C506" s="6" t="s">
        <v>24</v>
      </c>
      <c r="D506" s="7">
        <v>8.001064826323509E-2</v>
      </c>
      <c r="E506" s="6" t="s">
        <v>7</v>
      </c>
      <c r="G506" s="6" t="s">
        <v>83</v>
      </c>
      <c r="H506" s="6" t="s">
        <v>24</v>
      </c>
      <c r="I506" s="8">
        <v>2.5131779624653735E-2</v>
      </c>
      <c r="J506" s="6" t="s">
        <v>7</v>
      </c>
      <c r="L506" s="6" t="s">
        <v>84</v>
      </c>
      <c r="M506" s="6" t="s">
        <v>24</v>
      </c>
      <c r="N506" s="8">
        <v>2.0896819514943828E-2</v>
      </c>
      <c r="O506" s="6" t="s">
        <v>7</v>
      </c>
    </row>
    <row r="507" spans="2:15" x14ac:dyDescent="0.45">
      <c r="B507" s="3" t="s">
        <v>82</v>
      </c>
      <c r="C507" s="3" t="s">
        <v>25</v>
      </c>
      <c r="D507" s="4">
        <v>6.2028247814245693E-2</v>
      </c>
      <c r="E507" s="3" t="s">
        <v>7</v>
      </c>
      <c r="G507" s="3" t="s">
        <v>83</v>
      </c>
      <c r="H507" s="3" t="s">
        <v>25</v>
      </c>
      <c r="I507" s="5">
        <v>2.4660276960864029E-2</v>
      </c>
      <c r="J507" s="3" t="s">
        <v>7</v>
      </c>
      <c r="L507" s="3" t="s">
        <v>84</v>
      </c>
      <c r="M507" s="3" t="s">
        <v>25</v>
      </c>
      <c r="N507" s="5">
        <v>2.12857873974025E-2</v>
      </c>
      <c r="O507" s="3" t="s">
        <v>7</v>
      </c>
    </row>
    <row r="508" spans="2:15" x14ac:dyDescent="0.45">
      <c r="B508" s="6" t="s">
        <v>82</v>
      </c>
      <c r="C508" s="6" t="s">
        <v>26</v>
      </c>
      <c r="D508" s="7">
        <v>2.7541305812085561E-2</v>
      </c>
      <c r="E508" s="6" t="s">
        <v>7</v>
      </c>
      <c r="G508" s="6" t="s">
        <v>83</v>
      </c>
      <c r="H508" s="6" t="s">
        <v>26</v>
      </c>
      <c r="I508" s="8">
        <v>2.2743236082084815E-2</v>
      </c>
      <c r="J508" s="6" t="s">
        <v>7</v>
      </c>
      <c r="L508" s="6" t="s">
        <v>84</v>
      </c>
      <c r="M508" s="6" t="s">
        <v>26</v>
      </c>
      <c r="N508" s="8">
        <v>2.1564432878524407E-2</v>
      </c>
      <c r="O508" s="6" t="s">
        <v>7</v>
      </c>
    </row>
    <row r="509" spans="2:15" x14ac:dyDescent="0.45">
      <c r="B509" s="3" t="s">
        <v>82</v>
      </c>
      <c r="C509" s="3" t="s">
        <v>27</v>
      </c>
      <c r="D509" s="4">
        <v>1.5574935155486301E-3</v>
      </c>
      <c r="E509" s="3" t="s">
        <v>7</v>
      </c>
      <c r="G509" s="3" t="s">
        <v>83</v>
      </c>
      <c r="H509" s="3" t="s">
        <v>27</v>
      </c>
      <c r="I509" s="5">
        <v>2.226042720366303E-2</v>
      </c>
      <c r="J509" s="3" t="s">
        <v>7</v>
      </c>
      <c r="L509" s="3" t="s">
        <v>84</v>
      </c>
      <c r="M509" s="3" t="s">
        <v>27</v>
      </c>
      <c r="N509" s="5">
        <v>2.1544294478131023E-2</v>
      </c>
      <c r="O509" s="3" t="s">
        <v>7</v>
      </c>
    </row>
    <row r="510" spans="2:15" x14ac:dyDescent="0.45">
      <c r="B510" s="6" t="s">
        <v>82</v>
      </c>
      <c r="C510" s="6" t="s">
        <v>28</v>
      </c>
      <c r="D510" s="7">
        <v>0</v>
      </c>
      <c r="E510" s="6" t="s">
        <v>7</v>
      </c>
      <c r="G510" s="6" t="s">
        <v>83</v>
      </c>
      <c r="H510" s="6" t="s">
        <v>28</v>
      </c>
      <c r="I510" s="8">
        <v>3.2956412888239084E-2</v>
      </c>
      <c r="J510" s="6" t="s">
        <v>7</v>
      </c>
      <c r="L510" s="6" t="s">
        <v>84</v>
      </c>
      <c r="M510" s="6" t="s">
        <v>28</v>
      </c>
      <c r="N510" s="8">
        <v>3.1667451921849339E-2</v>
      </c>
      <c r="O510" s="6" t="s">
        <v>7</v>
      </c>
    </row>
    <row r="511" spans="2:15" x14ac:dyDescent="0.45">
      <c r="B511" s="3" t="s">
        <v>82</v>
      </c>
      <c r="C511" s="3" t="s">
        <v>29</v>
      </c>
      <c r="D511" s="4">
        <v>0</v>
      </c>
      <c r="E511" s="3" t="s">
        <v>7</v>
      </c>
      <c r="G511" s="3" t="s">
        <v>83</v>
      </c>
      <c r="H511" s="3" t="s">
        <v>29</v>
      </c>
      <c r="I511" s="5">
        <v>3.0349200291841304E-2</v>
      </c>
      <c r="J511" s="3" t="s">
        <v>7</v>
      </c>
      <c r="L511" s="3" t="s">
        <v>84</v>
      </c>
      <c r="M511" s="3" t="s">
        <v>29</v>
      </c>
      <c r="N511" s="5">
        <v>3.3915472559249649E-2</v>
      </c>
      <c r="O511" s="3" t="s">
        <v>7</v>
      </c>
    </row>
    <row r="512" spans="2:15" x14ac:dyDescent="0.45">
      <c r="B512" s="6" t="s">
        <v>82</v>
      </c>
      <c r="C512" s="6" t="s">
        <v>30</v>
      </c>
      <c r="D512" s="7">
        <v>2.0332507094479291E-3</v>
      </c>
      <c r="E512" s="6" t="s">
        <v>7</v>
      </c>
      <c r="G512" s="6" t="s">
        <v>83</v>
      </c>
      <c r="H512" s="6" t="s">
        <v>30</v>
      </c>
      <c r="I512" s="8">
        <v>1.1308269229333492E-2</v>
      </c>
      <c r="J512" s="6" t="s">
        <v>7</v>
      </c>
      <c r="L512" s="6" t="s">
        <v>84</v>
      </c>
      <c r="M512" s="6" t="s">
        <v>30</v>
      </c>
      <c r="N512" s="8">
        <v>1.3585159975861629E-2</v>
      </c>
      <c r="O512" s="6" t="s">
        <v>7</v>
      </c>
    </row>
    <row r="513" spans="2:15" x14ac:dyDescent="0.45">
      <c r="B513" s="3" t="s">
        <v>82</v>
      </c>
      <c r="C513" s="3" t="s">
        <v>31</v>
      </c>
      <c r="D513" s="4">
        <v>2.3914039212729232E-2</v>
      </c>
      <c r="E513" s="3" t="s">
        <v>7</v>
      </c>
      <c r="G513" s="3" t="s">
        <v>83</v>
      </c>
      <c r="H513" s="3" t="s">
        <v>31</v>
      </c>
      <c r="I513" s="5">
        <v>1.2478665095465734E-2</v>
      </c>
      <c r="J513" s="3" t="s">
        <v>7</v>
      </c>
      <c r="L513" s="3" t="s">
        <v>84</v>
      </c>
      <c r="M513" s="3" t="s">
        <v>31</v>
      </c>
      <c r="N513" s="5">
        <v>1.3957393859321505E-2</v>
      </c>
      <c r="O513" s="3" t="s">
        <v>7</v>
      </c>
    </row>
    <row r="514" spans="2:15" x14ac:dyDescent="0.45">
      <c r="B514" s="6" t="s">
        <v>82</v>
      </c>
      <c r="C514" s="6" t="s">
        <v>32</v>
      </c>
      <c r="D514" s="7">
        <v>6.2019437765460268E-2</v>
      </c>
      <c r="E514" s="6" t="s">
        <v>7</v>
      </c>
      <c r="G514" s="6" t="s">
        <v>83</v>
      </c>
      <c r="H514" s="6" t="s">
        <v>32</v>
      </c>
      <c r="I514" s="8">
        <v>1.2677486968968057E-2</v>
      </c>
      <c r="J514" s="6" t="s">
        <v>7</v>
      </c>
      <c r="L514" s="6" t="s">
        <v>84</v>
      </c>
      <c r="M514" s="6" t="s">
        <v>32</v>
      </c>
      <c r="N514" s="8">
        <v>1.4253955859262105E-2</v>
      </c>
      <c r="O514" s="6" t="s">
        <v>7</v>
      </c>
    </row>
    <row r="515" spans="2:15" x14ac:dyDescent="0.45">
      <c r="B515" s="3" t="s">
        <v>82</v>
      </c>
      <c r="C515" s="3" t="s">
        <v>33</v>
      </c>
      <c r="D515" s="4">
        <v>8.6320234416920633E-2</v>
      </c>
      <c r="E515" s="3" t="s">
        <v>7</v>
      </c>
      <c r="G515" s="3" t="s">
        <v>83</v>
      </c>
      <c r="H515" s="3" t="s">
        <v>33</v>
      </c>
      <c r="I515" s="5">
        <v>1.323804957740172E-2</v>
      </c>
      <c r="J515" s="3" t="s">
        <v>7</v>
      </c>
      <c r="L515" s="3" t="s">
        <v>84</v>
      </c>
      <c r="M515" s="3" t="s">
        <v>33</v>
      </c>
      <c r="N515" s="5">
        <v>1.4706826329704778E-2</v>
      </c>
      <c r="O515" s="3" t="s">
        <v>7</v>
      </c>
    </row>
    <row r="516" spans="2:15" x14ac:dyDescent="0.45">
      <c r="B516" s="6" t="s">
        <v>82</v>
      </c>
      <c r="C516" s="6" t="s">
        <v>34</v>
      </c>
      <c r="D516" s="7">
        <v>8.6199029856200191E-2</v>
      </c>
      <c r="E516" s="6" t="s">
        <v>7</v>
      </c>
      <c r="G516" s="6" t="s">
        <v>83</v>
      </c>
      <c r="H516" s="6" t="s">
        <v>34</v>
      </c>
      <c r="I516" s="8">
        <v>1.4288733389533397E-2</v>
      </c>
      <c r="J516" s="6" t="s">
        <v>7</v>
      </c>
      <c r="L516" s="6" t="s">
        <v>84</v>
      </c>
      <c r="M516" s="6" t="s">
        <v>34</v>
      </c>
      <c r="N516" s="8">
        <v>1.5077909842895292E-2</v>
      </c>
      <c r="O516" s="6" t="s">
        <v>7</v>
      </c>
    </row>
    <row r="517" spans="2:15" x14ac:dyDescent="0.45">
      <c r="B517" s="3" t="s">
        <v>82</v>
      </c>
      <c r="C517" s="3" t="s">
        <v>35</v>
      </c>
      <c r="D517" s="4">
        <v>6.9225604160011209E-2</v>
      </c>
      <c r="E517" s="3" t="s">
        <v>7</v>
      </c>
      <c r="G517" s="3" t="s">
        <v>83</v>
      </c>
      <c r="H517" s="3" t="s">
        <v>35</v>
      </c>
      <c r="I517" s="5">
        <v>1.4782019618227841E-2</v>
      </c>
      <c r="J517" s="3" t="s">
        <v>7</v>
      </c>
      <c r="L517" s="3" t="s">
        <v>84</v>
      </c>
      <c r="M517" s="3" t="s">
        <v>35</v>
      </c>
      <c r="N517" s="5">
        <v>1.5015606804290281E-2</v>
      </c>
      <c r="O517" s="3" t="s">
        <v>7</v>
      </c>
    </row>
    <row r="518" spans="2:15" x14ac:dyDescent="0.45">
      <c r="B518" s="6" t="s">
        <v>82</v>
      </c>
      <c r="C518" s="6" t="s">
        <v>36</v>
      </c>
      <c r="D518" s="7">
        <v>3.5585570590071301E-2</v>
      </c>
      <c r="E518" s="6" t="s">
        <v>7</v>
      </c>
      <c r="G518" s="6" t="s">
        <v>83</v>
      </c>
      <c r="H518" s="6" t="s">
        <v>36</v>
      </c>
      <c r="I518" s="8">
        <v>1.4963095228340842E-2</v>
      </c>
      <c r="J518" s="6" t="s">
        <v>7</v>
      </c>
      <c r="L518" s="6" t="s">
        <v>84</v>
      </c>
      <c r="M518" s="6" t="s">
        <v>36</v>
      </c>
      <c r="N518" s="8">
        <v>1.4449539132016983E-2</v>
      </c>
      <c r="O518" s="6" t="s">
        <v>7</v>
      </c>
    </row>
    <row r="519" spans="2:15" x14ac:dyDescent="0.45">
      <c r="B519" s="3" t="s">
        <v>82</v>
      </c>
      <c r="C519" s="3" t="s">
        <v>37</v>
      </c>
      <c r="D519" s="4">
        <v>4.5629084381287269E-3</v>
      </c>
      <c r="E519" s="3" t="s">
        <v>7</v>
      </c>
      <c r="G519" s="3" t="s">
        <v>83</v>
      </c>
      <c r="H519" s="3" t="s">
        <v>37</v>
      </c>
      <c r="I519" s="5">
        <v>1.4041269914829745E-2</v>
      </c>
      <c r="J519" s="3" t="s">
        <v>7</v>
      </c>
      <c r="L519" s="3" t="s">
        <v>84</v>
      </c>
      <c r="M519" s="3" t="s">
        <v>37</v>
      </c>
      <c r="N519" s="5">
        <v>1.3516408023051419E-2</v>
      </c>
      <c r="O519" s="3" t="s">
        <v>7</v>
      </c>
    </row>
    <row r="520" spans="2:15" x14ac:dyDescent="0.45">
      <c r="B520" s="6" t="s">
        <v>82</v>
      </c>
      <c r="C520" s="6" t="s">
        <v>38</v>
      </c>
      <c r="D520" s="7">
        <v>1.6268877907148715E-6</v>
      </c>
      <c r="E520" s="6" t="s">
        <v>7</v>
      </c>
      <c r="G520" s="6" t="s">
        <v>83</v>
      </c>
      <c r="H520" s="6" t="s">
        <v>38</v>
      </c>
      <c r="I520" s="8">
        <v>2.0221695486018782E-2</v>
      </c>
      <c r="J520" s="6" t="s">
        <v>7</v>
      </c>
      <c r="L520" s="6" t="s">
        <v>84</v>
      </c>
      <c r="M520" s="6" t="s">
        <v>38</v>
      </c>
      <c r="N520" s="8">
        <v>1.996219562381497E-2</v>
      </c>
      <c r="O520" s="6" t="s">
        <v>7</v>
      </c>
    </row>
    <row r="521" spans="2:15" x14ac:dyDescent="0.45">
      <c r="B521" s="3" t="s">
        <v>82</v>
      </c>
      <c r="C521" s="3" t="s">
        <v>39</v>
      </c>
      <c r="D521" s="4">
        <v>0</v>
      </c>
      <c r="E521" s="3" t="s">
        <v>7</v>
      </c>
      <c r="G521" s="3" t="s">
        <v>83</v>
      </c>
      <c r="H521" s="3" t="s">
        <v>39</v>
      </c>
      <c r="I521" s="5">
        <v>5.1275012624521769E-2</v>
      </c>
      <c r="J521" s="3" t="s">
        <v>7</v>
      </c>
      <c r="L521" s="3" t="s">
        <v>84</v>
      </c>
      <c r="M521" s="3" t="s">
        <v>39</v>
      </c>
      <c r="N521" s="5">
        <v>5.2577360158950773E-2</v>
      </c>
      <c r="O521" s="3" t="s">
        <v>7</v>
      </c>
    </row>
    <row r="522" spans="2:15" x14ac:dyDescent="0.45">
      <c r="B522" s="6" t="s">
        <v>82</v>
      </c>
      <c r="C522" s="6" t="s">
        <v>40</v>
      </c>
      <c r="D522" s="7">
        <v>0</v>
      </c>
      <c r="E522" s="6" t="s">
        <v>7</v>
      </c>
      <c r="G522" s="6" t="s">
        <v>83</v>
      </c>
      <c r="H522" s="6" t="s">
        <v>40</v>
      </c>
      <c r="I522" s="8">
        <v>1.9642627249354817E-2</v>
      </c>
      <c r="J522" s="6" t="s">
        <v>7</v>
      </c>
      <c r="L522" s="6" t="s">
        <v>84</v>
      </c>
      <c r="M522" s="6" t="s">
        <v>40</v>
      </c>
      <c r="N522" s="8">
        <v>2.1466699406661356E-2</v>
      </c>
      <c r="O522" s="6" t="s">
        <v>7</v>
      </c>
    </row>
    <row r="523" spans="2:15" x14ac:dyDescent="0.45">
      <c r="B523" s="3" t="s">
        <v>82</v>
      </c>
      <c r="C523" s="3" t="s">
        <v>41</v>
      </c>
      <c r="D523" s="4">
        <v>4.204355916290075E-3</v>
      </c>
      <c r="E523" s="3" t="s">
        <v>7</v>
      </c>
      <c r="G523" s="3" t="s">
        <v>83</v>
      </c>
      <c r="H523" s="3" t="s">
        <v>41</v>
      </c>
      <c r="I523" s="5">
        <v>2.0083095704012462E-2</v>
      </c>
      <c r="J523" s="3" t="s">
        <v>7</v>
      </c>
      <c r="L523" s="3" t="s">
        <v>84</v>
      </c>
      <c r="M523" s="3" t="s">
        <v>41</v>
      </c>
      <c r="N523" s="5">
        <v>2.2054626773150954E-2</v>
      </c>
      <c r="O523" s="3" t="s">
        <v>7</v>
      </c>
    </row>
    <row r="524" spans="2:15" x14ac:dyDescent="0.45">
      <c r="B524" s="6" t="s">
        <v>82</v>
      </c>
      <c r="C524" s="6" t="s">
        <v>42</v>
      </c>
      <c r="D524" s="7">
        <v>2.861255170606947E-2</v>
      </c>
      <c r="E524" s="6" t="s">
        <v>7</v>
      </c>
      <c r="G524" s="6" t="s">
        <v>83</v>
      </c>
      <c r="H524" s="6" t="s">
        <v>42</v>
      </c>
      <c r="I524" s="8">
        <v>2.1085041302934978E-2</v>
      </c>
      <c r="J524" s="6" t="s">
        <v>7</v>
      </c>
      <c r="L524" s="6" t="s">
        <v>84</v>
      </c>
      <c r="M524" s="6" t="s">
        <v>42</v>
      </c>
      <c r="N524" s="8">
        <v>2.261104062558544E-2</v>
      </c>
      <c r="O524" s="6" t="s">
        <v>7</v>
      </c>
    </row>
    <row r="525" spans="2:15" x14ac:dyDescent="0.45">
      <c r="B525" s="3" t="s">
        <v>82</v>
      </c>
      <c r="C525" s="3" t="s">
        <v>43</v>
      </c>
      <c r="D525" s="4">
        <v>5.2461713131624003E-2</v>
      </c>
      <c r="E525" s="3" t="s">
        <v>7</v>
      </c>
      <c r="G525" s="3" t="s">
        <v>83</v>
      </c>
      <c r="H525" s="3" t="s">
        <v>43</v>
      </c>
      <c r="I525" s="5">
        <v>2.2102808074878723E-2</v>
      </c>
      <c r="J525" s="3" t="s">
        <v>7</v>
      </c>
      <c r="L525" s="3" t="s">
        <v>84</v>
      </c>
      <c r="M525" s="3" t="s">
        <v>43</v>
      </c>
      <c r="N525" s="5">
        <v>2.2820380351857072E-2</v>
      </c>
      <c r="O525" s="3" t="s">
        <v>7</v>
      </c>
    </row>
    <row r="526" spans="2:15" x14ac:dyDescent="0.45">
      <c r="B526" s="6" t="s">
        <v>82</v>
      </c>
      <c r="C526" s="6" t="s">
        <v>44</v>
      </c>
      <c r="D526" s="7">
        <v>5.5689007558361737E-2</v>
      </c>
      <c r="E526" s="6" t="s">
        <v>7</v>
      </c>
      <c r="G526" s="6" t="s">
        <v>83</v>
      </c>
      <c r="H526" s="6" t="s">
        <v>44</v>
      </c>
      <c r="I526" s="8">
        <v>2.2751268818103257E-2</v>
      </c>
      <c r="J526" s="6" t="s">
        <v>7</v>
      </c>
      <c r="L526" s="6" t="s">
        <v>84</v>
      </c>
      <c r="M526" s="6" t="s">
        <v>44</v>
      </c>
      <c r="N526" s="8">
        <v>2.2842175889322566E-2</v>
      </c>
      <c r="O526" s="6" t="s">
        <v>7</v>
      </c>
    </row>
    <row r="527" spans="2:15" x14ac:dyDescent="0.45">
      <c r="B527" s="3" t="s">
        <v>82</v>
      </c>
      <c r="C527" s="3" t="s">
        <v>45</v>
      </c>
      <c r="D527" s="4">
        <v>3.3453041434470435E-2</v>
      </c>
      <c r="E527" s="3" t="s">
        <v>7</v>
      </c>
      <c r="G527" s="3" t="s">
        <v>83</v>
      </c>
      <c r="H527" s="3" t="s">
        <v>45</v>
      </c>
      <c r="I527" s="5">
        <v>2.2778366402099688E-2</v>
      </c>
      <c r="J527" s="3" t="s">
        <v>7</v>
      </c>
      <c r="L527" s="3" t="s">
        <v>84</v>
      </c>
      <c r="M527" s="3" t="s">
        <v>45</v>
      </c>
      <c r="N527" s="5">
        <v>2.2711729706892572E-2</v>
      </c>
      <c r="O527" s="3" t="s">
        <v>7</v>
      </c>
    </row>
    <row r="528" spans="2:15" x14ac:dyDescent="0.45">
      <c r="B528" s="6" t="s">
        <v>82</v>
      </c>
      <c r="C528" s="6" t="s">
        <v>46</v>
      </c>
      <c r="D528" s="7">
        <v>6.6712682285486567E-3</v>
      </c>
      <c r="E528" s="6" t="s">
        <v>7</v>
      </c>
      <c r="G528" s="6" t="s">
        <v>83</v>
      </c>
      <c r="H528" s="6" t="s">
        <v>46</v>
      </c>
      <c r="I528" s="8">
        <v>2.1941051438371637E-2</v>
      </c>
      <c r="J528" s="6" t="s">
        <v>7</v>
      </c>
      <c r="L528" s="6" t="s">
        <v>84</v>
      </c>
      <c r="M528" s="6" t="s">
        <v>46</v>
      </c>
      <c r="N528" s="8">
        <v>2.2453464488095858E-2</v>
      </c>
      <c r="O528" s="6" t="s">
        <v>7</v>
      </c>
    </row>
    <row r="529" spans="2:15" x14ac:dyDescent="0.45">
      <c r="B529" s="3" t="s">
        <v>82</v>
      </c>
      <c r="C529" s="3" t="s">
        <v>47</v>
      </c>
      <c r="D529" s="4">
        <v>3.2826235360860671E-5</v>
      </c>
      <c r="E529" s="3" t="s">
        <v>7</v>
      </c>
      <c r="G529" s="3" t="s">
        <v>83</v>
      </c>
      <c r="H529" s="3" t="s">
        <v>47</v>
      </c>
      <c r="I529" s="5">
        <v>2.1612455986712256E-2</v>
      </c>
      <c r="J529" s="3" t="s">
        <v>7</v>
      </c>
      <c r="L529" s="3" t="s">
        <v>84</v>
      </c>
      <c r="M529" s="3" t="s">
        <v>47</v>
      </c>
      <c r="N529" s="5">
        <v>2.2106351117704461E-2</v>
      </c>
      <c r="O529" s="3" t="s">
        <v>7</v>
      </c>
    </row>
    <row r="530" spans="2:15" x14ac:dyDescent="0.45">
      <c r="B530" s="6" t="s">
        <v>82</v>
      </c>
      <c r="C530" s="6" t="s">
        <v>48</v>
      </c>
      <c r="D530" s="7">
        <v>0</v>
      </c>
      <c r="E530" s="6" t="s">
        <v>7</v>
      </c>
      <c r="G530" s="6" t="s">
        <v>83</v>
      </c>
      <c r="H530" s="6" t="s">
        <v>48</v>
      </c>
      <c r="I530" s="8">
        <v>3.1766758679769858E-2</v>
      </c>
      <c r="J530" s="6" t="s">
        <v>7</v>
      </c>
      <c r="L530" s="6" t="s">
        <v>84</v>
      </c>
      <c r="M530" s="6" t="s">
        <v>48</v>
      </c>
      <c r="N530" s="8">
        <v>3.2330795856419389E-2</v>
      </c>
      <c r="O530" s="6" t="s">
        <v>7</v>
      </c>
    </row>
    <row r="531" spans="2:15" x14ac:dyDescent="0.45">
      <c r="B531" s="3" t="s">
        <v>85</v>
      </c>
      <c r="C531" s="3" t="s">
        <v>6</v>
      </c>
      <c r="D531" s="4">
        <v>0</v>
      </c>
      <c r="E531" s="3" t="s">
        <v>7</v>
      </c>
      <c r="G531" s="3" t="s">
        <v>86</v>
      </c>
      <c r="H531" s="3" t="s">
        <v>6</v>
      </c>
      <c r="I531" s="5">
        <v>6.7408936346247283E-2</v>
      </c>
      <c r="J531" s="3" t="s">
        <v>7</v>
      </c>
      <c r="L531" s="3" t="s">
        <v>87</v>
      </c>
      <c r="M531" s="3" t="s">
        <v>6</v>
      </c>
      <c r="N531" s="5">
        <v>6.011778580065761E-2</v>
      </c>
      <c r="O531" s="3" t="s">
        <v>7</v>
      </c>
    </row>
    <row r="532" spans="2:15" x14ac:dyDescent="0.45">
      <c r="B532" s="6" t="s">
        <v>85</v>
      </c>
      <c r="C532" s="6" t="s">
        <v>10</v>
      </c>
      <c r="D532" s="7">
        <v>0</v>
      </c>
      <c r="E532" s="6" t="s">
        <v>7</v>
      </c>
      <c r="G532" s="6" t="s">
        <v>86</v>
      </c>
      <c r="H532" s="6" t="s">
        <v>10</v>
      </c>
      <c r="I532" s="8">
        <v>2.6108105761588351E-2</v>
      </c>
      <c r="J532" s="6" t="s">
        <v>7</v>
      </c>
      <c r="L532" s="6" t="s">
        <v>87</v>
      </c>
      <c r="M532" s="6" t="s">
        <v>10</v>
      </c>
      <c r="N532" s="8">
        <v>2.4199563413232508E-2</v>
      </c>
      <c r="O532" s="6" t="s">
        <v>7</v>
      </c>
    </row>
    <row r="533" spans="2:15" x14ac:dyDescent="0.45">
      <c r="B533" s="3" t="s">
        <v>85</v>
      </c>
      <c r="C533" s="3" t="s">
        <v>11</v>
      </c>
      <c r="D533" s="4">
        <v>0</v>
      </c>
      <c r="E533" s="3" t="s">
        <v>7</v>
      </c>
      <c r="G533" s="3" t="s">
        <v>86</v>
      </c>
      <c r="H533" s="3" t="s">
        <v>11</v>
      </c>
      <c r="I533" s="5">
        <v>2.5729433577911985E-2</v>
      </c>
      <c r="J533" s="3" t="s">
        <v>7</v>
      </c>
      <c r="L533" s="3" t="s">
        <v>87</v>
      </c>
      <c r="M533" s="3" t="s">
        <v>11</v>
      </c>
      <c r="N533" s="5">
        <v>2.4149827892934215E-2</v>
      </c>
      <c r="O533" s="3" t="s">
        <v>7</v>
      </c>
    </row>
    <row r="534" spans="2:15" x14ac:dyDescent="0.45">
      <c r="B534" s="6" t="s">
        <v>85</v>
      </c>
      <c r="C534" s="6" t="s">
        <v>12</v>
      </c>
      <c r="D534" s="7">
        <v>9.2467903364149007E-3</v>
      </c>
      <c r="E534" s="6" t="s">
        <v>7</v>
      </c>
      <c r="G534" s="6" t="s">
        <v>86</v>
      </c>
      <c r="H534" s="6" t="s">
        <v>12</v>
      </c>
      <c r="I534" s="8">
        <v>2.6081370897901707E-2</v>
      </c>
      <c r="J534" s="6" t="s">
        <v>7</v>
      </c>
      <c r="L534" s="6" t="s">
        <v>87</v>
      </c>
      <c r="M534" s="6" t="s">
        <v>12</v>
      </c>
      <c r="N534" s="8">
        <v>2.4184229218411783E-2</v>
      </c>
      <c r="O534" s="6" t="s">
        <v>7</v>
      </c>
    </row>
    <row r="535" spans="2:15" x14ac:dyDescent="0.45">
      <c r="B535" s="3" t="s">
        <v>85</v>
      </c>
      <c r="C535" s="3" t="s">
        <v>13</v>
      </c>
      <c r="D535" s="4">
        <v>3.3894931589529442E-2</v>
      </c>
      <c r="E535" s="3" t="s">
        <v>7</v>
      </c>
      <c r="G535" s="3" t="s">
        <v>86</v>
      </c>
      <c r="H535" s="3" t="s">
        <v>13</v>
      </c>
      <c r="I535" s="5">
        <v>2.6603227656369195E-2</v>
      </c>
      <c r="J535" s="3" t="s">
        <v>7</v>
      </c>
      <c r="L535" s="3" t="s">
        <v>87</v>
      </c>
      <c r="M535" s="3" t="s">
        <v>13</v>
      </c>
      <c r="N535" s="5">
        <v>2.4517262351688451E-2</v>
      </c>
      <c r="O535" s="3" t="s">
        <v>7</v>
      </c>
    </row>
    <row r="536" spans="2:15" x14ac:dyDescent="0.45">
      <c r="B536" s="6" t="s">
        <v>85</v>
      </c>
      <c r="C536" s="6" t="s">
        <v>14</v>
      </c>
      <c r="D536" s="7">
        <v>4.168628829104136E-2</v>
      </c>
      <c r="E536" s="6" t="s">
        <v>7</v>
      </c>
      <c r="G536" s="6" t="s">
        <v>86</v>
      </c>
      <c r="H536" s="6" t="s">
        <v>14</v>
      </c>
      <c r="I536" s="8">
        <v>2.7358445420335109E-2</v>
      </c>
      <c r="J536" s="6" t="s">
        <v>7</v>
      </c>
      <c r="L536" s="6" t="s">
        <v>87</v>
      </c>
      <c r="M536" s="6" t="s">
        <v>14</v>
      </c>
      <c r="N536" s="8">
        <v>2.4787904291783663E-2</v>
      </c>
      <c r="O536" s="6" t="s">
        <v>7</v>
      </c>
    </row>
    <row r="537" spans="2:15" x14ac:dyDescent="0.45">
      <c r="B537" s="3" t="s">
        <v>85</v>
      </c>
      <c r="C537" s="3" t="s">
        <v>15</v>
      </c>
      <c r="D537" s="4">
        <v>2.5368458745889482E-2</v>
      </c>
      <c r="E537" s="3" t="s">
        <v>7</v>
      </c>
      <c r="G537" s="3" t="s">
        <v>86</v>
      </c>
      <c r="H537" s="3" t="s">
        <v>15</v>
      </c>
      <c r="I537" s="5">
        <v>2.7434114373986025E-2</v>
      </c>
      <c r="J537" s="3" t="s">
        <v>7</v>
      </c>
      <c r="L537" s="3" t="s">
        <v>87</v>
      </c>
      <c r="M537" s="3" t="s">
        <v>15</v>
      </c>
      <c r="N537" s="5">
        <v>2.5032576985440546E-2</v>
      </c>
      <c r="O537" s="3" t="s">
        <v>7</v>
      </c>
    </row>
    <row r="538" spans="2:15" x14ac:dyDescent="0.45">
      <c r="B538" s="6" t="s">
        <v>85</v>
      </c>
      <c r="C538" s="6" t="s">
        <v>16</v>
      </c>
      <c r="D538" s="7">
        <v>4.091205256050578E-3</v>
      </c>
      <c r="E538" s="6" t="s">
        <v>7</v>
      </c>
      <c r="G538" s="6" t="s">
        <v>86</v>
      </c>
      <c r="H538" s="6" t="s">
        <v>16</v>
      </c>
      <c r="I538" s="8">
        <v>2.7530091752452451E-2</v>
      </c>
      <c r="J538" s="6" t="s">
        <v>7</v>
      </c>
      <c r="L538" s="6" t="s">
        <v>87</v>
      </c>
      <c r="M538" s="6" t="s">
        <v>16</v>
      </c>
      <c r="N538" s="8">
        <v>2.4951015262435334E-2</v>
      </c>
      <c r="O538" s="6" t="s">
        <v>7</v>
      </c>
    </row>
    <row r="539" spans="2:15" x14ac:dyDescent="0.45">
      <c r="B539" s="3" t="s">
        <v>85</v>
      </c>
      <c r="C539" s="3" t="s">
        <v>17</v>
      </c>
      <c r="D539" s="4">
        <v>0</v>
      </c>
      <c r="E539" s="3" t="s">
        <v>7</v>
      </c>
      <c r="G539" s="3" t="s">
        <v>86</v>
      </c>
      <c r="H539" s="3" t="s">
        <v>17</v>
      </c>
      <c r="I539" s="5">
        <v>2.8045756999230384E-2</v>
      </c>
      <c r="J539" s="3" t="s">
        <v>7</v>
      </c>
      <c r="L539" s="3" t="s">
        <v>87</v>
      </c>
      <c r="M539" s="3" t="s">
        <v>17</v>
      </c>
      <c r="N539" s="5">
        <v>2.4769427424696636E-2</v>
      </c>
      <c r="O539" s="3" t="s">
        <v>7</v>
      </c>
    </row>
    <row r="540" spans="2:15" x14ac:dyDescent="0.45">
      <c r="B540" s="6" t="s">
        <v>85</v>
      </c>
      <c r="C540" s="6" t="s">
        <v>18</v>
      </c>
      <c r="D540" s="7">
        <v>0</v>
      </c>
      <c r="E540" s="6" t="s">
        <v>7</v>
      </c>
      <c r="G540" s="6" t="s">
        <v>86</v>
      </c>
      <c r="H540" s="6" t="s">
        <v>18</v>
      </c>
      <c r="I540" s="8">
        <v>4.2105888284893964E-2</v>
      </c>
      <c r="J540" s="6" t="s">
        <v>7</v>
      </c>
      <c r="L540" s="6" t="s">
        <v>87</v>
      </c>
      <c r="M540" s="6" t="s">
        <v>18</v>
      </c>
      <c r="N540" s="8">
        <v>3.6551699760296402E-2</v>
      </c>
      <c r="O540" s="6" t="s">
        <v>7</v>
      </c>
    </row>
    <row r="541" spans="2:15" x14ac:dyDescent="0.45">
      <c r="B541" s="3" t="s">
        <v>85</v>
      </c>
      <c r="C541" s="3" t="s">
        <v>19</v>
      </c>
      <c r="D541" s="4">
        <v>0</v>
      </c>
      <c r="E541" s="3" t="s">
        <v>7</v>
      </c>
      <c r="G541" s="3" t="s">
        <v>86</v>
      </c>
      <c r="H541" s="3" t="s">
        <v>19</v>
      </c>
      <c r="I541" s="5">
        <v>5.2729286132590703E-2</v>
      </c>
      <c r="J541" s="3" t="s">
        <v>7</v>
      </c>
      <c r="L541" s="3" t="s">
        <v>87</v>
      </c>
      <c r="M541" s="3" t="s">
        <v>19</v>
      </c>
      <c r="N541" s="5">
        <v>6.1034291208224324E-2</v>
      </c>
      <c r="O541" s="3" t="s">
        <v>7</v>
      </c>
    </row>
    <row r="542" spans="2:15" x14ac:dyDescent="0.45">
      <c r="B542" s="6" t="s">
        <v>85</v>
      </c>
      <c r="C542" s="6" t="s">
        <v>20</v>
      </c>
      <c r="D542" s="7">
        <v>5.3483165528930127E-4</v>
      </c>
      <c r="E542" s="6" t="s">
        <v>7</v>
      </c>
      <c r="G542" s="6" t="s">
        <v>86</v>
      </c>
      <c r="H542" s="6" t="s">
        <v>20</v>
      </c>
      <c r="I542" s="8">
        <v>2.1370659875352433E-2</v>
      </c>
      <c r="J542" s="6" t="s">
        <v>7</v>
      </c>
      <c r="L542" s="6" t="s">
        <v>87</v>
      </c>
      <c r="M542" s="6" t="s">
        <v>20</v>
      </c>
      <c r="N542" s="8">
        <v>2.4182478800874759E-2</v>
      </c>
      <c r="O542" s="6" t="s">
        <v>7</v>
      </c>
    </row>
    <row r="543" spans="2:15" x14ac:dyDescent="0.45">
      <c r="B543" s="3" t="s">
        <v>85</v>
      </c>
      <c r="C543" s="3" t="s">
        <v>21</v>
      </c>
      <c r="D543" s="4">
        <v>1.3381327822790822E-2</v>
      </c>
      <c r="E543" s="3" t="s">
        <v>7</v>
      </c>
      <c r="G543" s="3" t="s">
        <v>86</v>
      </c>
      <c r="H543" s="3" t="s">
        <v>21</v>
      </c>
      <c r="I543" s="5">
        <v>2.1676268336130899E-2</v>
      </c>
      <c r="J543" s="3" t="s">
        <v>7</v>
      </c>
      <c r="L543" s="3" t="s">
        <v>87</v>
      </c>
      <c r="M543" s="3" t="s">
        <v>21</v>
      </c>
      <c r="N543" s="5">
        <v>2.392501407649646E-2</v>
      </c>
      <c r="O543" s="3" t="s">
        <v>7</v>
      </c>
    </row>
    <row r="544" spans="2:15" x14ac:dyDescent="0.45">
      <c r="B544" s="6" t="s">
        <v>85</v>
      </c>
      <c r="C544" s="6" t="s">
        <v>22</v>
      </c>
      <c r="D544" s="7">
        <v>5.3481846984052762E-2</v>
      </c>
      <c r="E544" s="6" t="s">
        <v>7</v>
      </c>
      <c r="G544" s="6" t="s">
        <v>86</v>
      </c>
      <c r="H544" s="6" t="s">
        <v>22</v>
      </c>
      <c r="I544" s="8">
        <v>2.3103335439736451E-2</v>
      </c>
      <c r="J544" s="6" t="s">
        <v>7</v>
      </c>
      <c r="L544" s="6" t="s">
        <v>87</v>
      </c>
      <c r="M544" s="6" t="s">
        <v>22</v>
      </c>
      <c r="N544" s="8">
        <v>2.3337547003292443E-2</v>
      </c>
      <c r="O544" s="6" t="s">
        <v>7</v>
      </c>
    </row>
    <row r="545" spans="2:15" x14ac:dyDescent="0.45">
      <c r="B545" s="3" t="s">
        <v>85</v>
      </c>
      <c r="C545" s="3" t="s">
        <v>23</v>
      </c>
      <c r="D545" s="4">
        <v>8.0866090480821787E-2</v>
      </c>
      <c r="E545" s="3" t="s">
        <v>7</v>
      </c>
      <c r="G545" s="3" t="s">
        <v>86</v>
      </c>
      <c r="H545" s="3" t="s">
        <v>23</v>
      </c>
      <c r="I545" s="5">
        <v>2.3604550782784471E-2</v>
      </c>
      <c r="J545" s="3" t="s">
        <v>7</v>
      </c>
      <c r="L545" s="3" t="s">
        <v>87</v>
      </c>
      <c r="M545" s="3" t="s">
        <v>23</v>
      </c>
      <c r="N545" s="5">
        <v>2.3070738345838414E-2</v>
      </c>
      <c r="O545" s="3" t="s">
        <v>7</v>
      </c>
    </row>
    <row r="546" spans="2:15" x14ac:dyDescent="0.45">
      <c r="B546" s="6" t="s">
        <v>85</v>
      </c>
      <c r="C546" s="6" t="s">
        <v>24</v>
      </c>
      <c r="D546" s="7">
        <v>8.5870481012467206E-2</v>
      </c>
      <c r="E546" s="6" t="s">
        <v>7</v>
      </c>
      <c r="G546" s="6" t="s">
        <v>86</v>
      </c>
      <c r="H546" s="6" t="s">
        <v>24</v>
      </c>
      <c r="I546" s="8">
        <v>2.3955279042775966E-2</v>
      </c>
      <c r="J546" s="6" t="s">
        <v>7</v>
      </c>
      <c r="L546" s="6" t="s">
        <v>87</v>
      </c>
      <c r="M546" s="6" t="s">
        <v>24</v>
      </c>
      <c r="N546" s="8">
        <v>2.3001680026830118E-2</v>
      </c>
      <c r="O546" s="6" t="s">
        <v>7</v>
      </c>
    </row>
    <row r="547" spans="2:15" x14ac:dyDescent="0.45">
      <c r="B547" s="3" t="s">
        <v>85</v>
      </c>
      <c r="C547" s="3" t="s">
        <v>25</v>
      </c>
      <c r="D547" s="4">
        <v>7.0603574082052603E-2</v>
      </c>
      <c r="E547" s="3" t="s">
        <v>7</v>
      </c>
      <c r="G547" s="3" t="s">
        <v>86</v>
      </c>
      <c r="H547" s="3" t="s">
        <v>25</v>
      </c>
      <c r="I547" s="5">
        <v>2.3917985404757341E-2</v>
      </c>
      <c r="J547" s="3" t="s">
        <v>7</v>
      </c>
      <c r="L547" s="3" t="s">
        <v>87</v>
      </c>
      <c r="M547" s="3" t="s">
        <v>25</v>
      </c>
      <c r="N547" s="5">
        <v>2.3050356462618542E-2</v>
      </c>
      <c r="O547" s="3" t="s">
        <v>7</v>
      </c>
    </row>
    <row r="548" spans="2:15" x14ac:dyDescent="0.45">
      <c r="B548" s="6" t="s">
        <v>85</v>
      </c>
      <c r="C548" s="6" t="s">
        <v>26</v>
      </c>
      <c r="D548" s="7">
        <v>3.4338877465438573E-2</v>
      </c>
      <c r="E548" s="6" t="s">
        <v>7</v>
      </c>
      <c r="G548" s="6" t="s">
        <v>86</v>
      </c>
      <c r="H548" s="6" t="s">
        <v>26</v>
      </c>
      <c r="I548" s="8">
        <v>2.3299277764101189E-2</v>
      </c>
      <c r="J548" s="6" t="s">
        <v>7</v>
      </c>
      <c r="L548" s="6" t="s">
        <v>87</v>
      </c>
      <c r="M548" s="6" t="s">
        <v>26</v>
      </c>
      <c r="N548" s="8">
        <v>2.3377466182167191E-2</v>
      </c>
      <c r="O548" s="6" t="s">
        <v>7</v>
      </c>
    </row>
    <row r="549" spans="2:15" x14ac:dyDescent="0.45">
      <c r="B549" s="3" t="s">
        <v>85</v>
      </c>
      <c r="C549" s="3" t="s">
        <v>27</v>
      </c>
      <c r="D549" s="4">
        <v>3.5346376398660644E-3</v>
      </c>
      <c r="E549" s="3" t="s">
        <v>7</v>
      </c>
      <c r="G549" s="3" t="s">
        <v>86</v>
      </c>
      <c r="H549" s="3" t="s">
        <v>27</v>
      </c>
      <c r="I549" s="5">
        <v>2.2076945683346037E-2</v>
      </c>
      <c r="J549" s="3" t="s">
        <v>7</v>
      </c>
      <c r="L549" s="3" t="s">
        <v>87</v>
      </c>
      <c r="M549" s="3" t="s">
        <v>27</v>
      </c>
      <c r="N549" s="5">
        <v>2.3911305294465345E-2</v>
      </c>
      <c r="O549" s="3" t="s">
        <v>7</v>
      </c>
    </row>
    <row r="550" spans="2:15" x14ac:dyDescent="0.45">
      <c r="B550" s="6" t="s">
        <v>85</v>
      </c>
      <c r="C550" s="6" t="s">
        <v>28</v>
      </c>
      <c r="D550" s="7">
        <v>1.0980351408817896E-5</v>
      </c>
      <c r="E550" s="6" t="s">
        <v>7</v>
      </c>
      <c r="G550" s="6" t="s">
        <v>86</v>
      </c>
      <c r="H550" s="6" t="s">
        <v>28</v>
      </c>
      <c r="I550" s="8">
        <v>3.2185265075431048E-2</v>
      </c>
      <c r="J550" s="6" t="s">
        <v>7</v>
      </c>
      <c r="L550" s="6" t="s">
        <v>87</v>
      </c>
      <c r="M550" s="6" t="s">
        <v>28</v>
      </c>
      <c r="N550" s="8">
        <v>3.5827019846462381E-2</v>
      </c>
      <c r="O550" s="6" t="s">
        <v>7</v>
      </c>
    </row>
    <row r="551" spans="2:15" x14ac:dyDescent="0.45">
      <c r="B551" s="3" t="s">
        <v>85</v>
      </c>
      <c r="C551" s="3" t="s">
        <v>29</v>
      </c>
      <c r="D551" s="4">
        <v>0</v>
      </c>
      <c r="E551" s="3" t="s">
        <v>7</v>
      </c>
      <c r="G551" s="3" t="s">
        <v>86</v>
      </c>
      <c r="H551" s="3" t="s">
        <v>29</v>
      </c>
      <c r="I551" s="5">
        <v>3.1485932094750264E-2</v>
      </c>
      <c r="J551" s="3" t="s">
        <v>7</v>
      </c>
      <c r="L551" s="3" t="s">
        <v>87</v>
      </c>
      <c r="M551" s="3" t="s">
        <v>29</v>
      </c>
      <c r="N551" s="5">
        <v>4.0552458458362514E-2</v>
      </c>
      <c r="O551" s="3" t="s">
        <v>7</v>
      </c>
    </row>
    <row r="552" spans="2:15" x14ac:dyDescent="0.45">
      <c r="B552" s="6" t="s">
        <v>85</v>
      </c>
      <c r="C552" s="6" t="s">
        <v>30</v>
      </c>
      <c r="D552" s="7">
        <v>1.6752987479896583E-3</v>
      </c>
      <c r="E552" s="6" t="s">
        <v>7</v>
      </c>
      <c r="G552" s="6" t="s">
        <v>86</v>
      </c>
      <c r="H552" s="6" t="s">
        <v>30</v>
      </c>
      <c r="I552" s="8">
        <v>1.2843752944824972E-2</v>
      </c>
      <c r="J552" s="6" t="s">
        <v>7</v>
      </c>
      <c r="L552" s="6" t="s">
        <v>87</v>
      </c>
      <c r="M552" s="6" t="s">
        <v>30</v>
      </c>
      <c r="N552" s="8">
        <v>1.5802644146204674E-2</v>
      </c>
      <c r="O552" s="6" t="s">
        <v>7</v>
      </c>
    </row>
    <row r="553" spans="2:15" x14ac:dyDescent="0.45">
      <c r="B553" s="3" t="s">
        <v>85</v>
      </c>
      <c r="C553" s="3" t="s">
        <v>31</v>
      </c>
      <c r="D553" s="4">
        <v>1.9126191510703897E-2</v>
      </c>
      <c r="E553" s="3" t="s">
        <v>7</v>
      </c>
      <c r="G553" s="3" t="s">
        <v>86</v>
      </c>
      <c r="H553" s="3" t="s">
        <v>31</v>
      </c>
      <c r="I553" s="5">
        <v>1.3397964467776458E-2</v>
      </c>
      <c r="J553" s="3" t="s">
        <v>7</v>
      </c>
      <c r="L553" s="3" t="s">
        <v>87</v>
      </c>
      <c r="M553" s="3" t="s">
        <v>31</v>
      </c>
      <c r="N553" s="5">
        <v>1.5544779302323557E-2</v>
      </c>
      <c r="O553" s="3" t="s">
        <v>7</v>
      </c>
    </row>
    <row r="554" spans="2:15" x14ac:dyDescent="0.45">
      <c r="B554" s="6" t="s">
        <v>85</v>
      </c>
      <c r="C554" s="6" t="s">
        <v>32</v>
      </c>
      <c r="D554" s="7">
        <v>5.4453487630384656E-2</v>
      </c>
      <c r="E554" s="6" t="s">
        <v>7</v>
      </c>
      <c r="G554" s="6" t="s">
        <v>86</v>
      </c>
      <c r="H554" s="6" t="s">
        <v>32</v>
      </c>
      <c r="I554" s="8">
        <v>1.3736978591593303E-2</v>
      </c>
      <c r="J554" s="6" t="s">
        <v>7</v>
      </c>
      <c r="L554" s="6" t="s">
        <v>87</v>
      </c>
      <c r="M554" s="6" t="s">
        <v>32</v>
      </c>
      <c r="N554" s="8">
        <v>1.4579159365290374E-2</v>
      </c>
      <c r="O554" s="6" t="s">
        <v>7</v>
      </c>
    </row>
    <row r="555" spans="2:15" x14ac:dyDescent="0.45">
      <c r="B555" s="3" t="s">
        <v>85</v>
      </c>
      <c r="C555" s="3" t="s">
        <v>33</v>
      </c>
      <c r="D555" s="4">
        <v>8.0423002470237814E-2</v>
      </c>
      <c r="E555" s="3" t="s">
        <v>7</v>
      </c>
      <c r="G555" s="3" t="s">
        <v>86</v>
      </c>
      <c r="H555" s="3" t="s">
        <v>33</v>
      </c>
      <c r="I555" s="5">
        <v>1.3874356468335659E-2</v>
      </c>
      <c r="J555" s="3" t="s">
        <v>7</v>
      </c>
      <c r="L555" s="3" t="s">
        <v>87</v>
      </c>
      <c r="M555" s="3" t="s">
        <v>33</v>
      </c>
      <c r="N555" s="5">
        <v>1.4322658151687149E-2</v>
      </c>
      <c r="O555" s="3" t="s">
        <v>7</v>
      </c>
    </row>
    <row r="556" spans="2:15" x14ac:dyDescent="0.45">
      <c r="B556" s="6" t="s">
        <v>85</v>
      </c>
      <c r="C556" s="6" t="s">
        <v>34</v>
      </c>
      <c r="D556" s="7">
        <v>8.6096946757432721E-2</v>
      </c>
      <c r="E556" s="6" t="s">
        <v>7</v>
      </c>
      <c r="G556" s="6" t="s">
        <v>86</v>
      </c>
      <c r="H556" s="6" t="s">
        <v>34</v>
      </c>
      <c r="I556" s="8">
        <v>1.4310969780765658E-2</v>
      </c>
      <c r="J556" s="6" t="s">
        <v>7</v>
      </c>
      <c r="L556" s="6" t="s">
        <v>87</v>
      </c>
      <c r="M556" s="6" t="s">
        <v>34</v>
      </c>
      <c r="N556" s="8">
        <v>1.4941152122544429E-2</v>
      </c>
      <c r="O556" s="6" t="s">
        <v>7</v>
      </c>
    </row>
    <row r="557" spans="2:15" x14ac:dyDescent="0.45">
      <c r="B557" s="3" t="s">
        <v>85</v>
      </c>
      <c r="C557" s="3" t="s">
        <v>35</v>
      </c>
      <c r="D557" s="4">
        <v>7.1594403285110048E-2</v>
      </c>
      <c r="E557" s="3" t="s">
        <v>7</v>
      </c>
      <c r="G557" s="3" t="s">
        <v>86</v>
      </c>
      <c r="H557" s="3" t="s">
        <v>35</v>
      </c>
      <c r="I557" s="5">
        <v>1.4282887533454601E-2</v>
      </c>
      <c r="J557" s="3" t="s">
        <v>7</v>
      </c>
      <c r="L557" s="3" t="s">
        <v>87</v>
      </c>
      <c r="M557" s="3" t="s">
        <v>35</v>
      </c>
      <c r="N557" s="5">
        <v>1.6013439149098002E-2</v>
      </c>
      <c r="O557" s="3" t="s">
        <v>7</v>
      </c>
    </row>
    <row r="558" spans="2:15" x14ac:dyDescent="0.45">
      <c r="B558" s="6" t="s">
        <v>85</v>
      </c>
      <c r="C558" s="6" t="s">
        <v>36</v>
      </c>
      <c r="D558" s="7">
        <v>3.9790214077683954E-2</v>
      </c>
      <c r="E558" s="6" t="s">
        <v>7</v>
      </c>
      <c r="G558" s="6" t="s">
        <v>86</v>
      </c>
      <c r="H558" s="6" t="s">
        <v>36</v>
      </c>
      <c r="I558" s="8">
        <v>1.3672744540216828E-2</v>
      </c>
      <c r="J558" s="6" t="s">
        <v>7</v>
      </c>
      <c r="L558" s="6" t="s">
        <v>87</v>
      </c>
      <c r="M558" s="6" t="s">
        <v>36</v>
      </c>
      <c r="N558" s="8">
        <v>1.6572105578097792E-2</v>
      </c>
      <c r="O558" s="6" t="s">
        <v>7</v>
      </c>
    </row>
    <row r="559" spans="2:15" x14ac:dyDescent="0.45">
      <c r="B559" s="3" t="s">
        <v>85</v>
      </c>
      <c r="C559" s="3" t="s">
        <v>37</v>
      </c>
      <c r="D559" s="4">
        <v>7.7025672333319445E-3</v>
      </c>
      <c r="E559" s="3" t="s">
        <v>7</v>
      </c>
      <c r="G559" s="3" t="s">
        <v>86</v>
      </c>
      <c r="H559" s="3" t="s">
        <v>37</v>
      </c>
      <c r="I559" s="5">
        <v>1.2646827970051188E-2</v>
      </c>
      <c r="J559" s="3" t="s">
        <v>7</v>
      </c>
      <c r="L559" s="3" t="s">
        <v>87</v>
      </c>
      <c r="M559" s="3" t="s">
        <v>37</v>
      </c>
      <c r="N559" s="5">
        <v>1.6315520805508948E-2</v>
      </c>
      <c r="O559" s="3" t="s">
        <v>7</v>
      </c>
    </row>
    <row r="560" spans="2:15" x14ac:dyDescent="0.45">
      <c r="B560" s="6" t="s">
        <v>85</v>
      </c>
      <c r="C560" s="6" t="s">
        <v>38</v>
      </c>
      <c r="D560" s="7">
        <v>1.8594244367193071E-4</v>
      </c>
      <c r="E560" s="6" t="s">
        <v>7</v>
      </c>
      <c r="G560" s="6" t="s">
        <v>86</v>
      </c>
      <c r="H560" s="6" t="s">
        <v>38</v>
      </c>
      <c r="I560" s="8">
        <v>1.8328873614463084E-2</v>
      </c>
      <c r="J560" s="6" t="s">
        <v>7</v>
      </c>
      <c r="L560" s="6" t="s">
        <v>87</v>
      </c>
      <c r="M560" s="6" t="s">
        <v>38</v>
      </c>
      <c r="N560" s="8">
        <v>2.3799408946442384E-2</v>
      </c>
      <c r="O560" s="6" t="s">
        <v>7</v>
      </c>
    </row>
    <row r="561" spans="2:15" x14ac:dyDescent="0.45">
      <c r="B561" s="3" t="s">
        <v>85</v>
      </c>
      <c r="C561" s="3" t="s">
        <v>39</v>
      </c>
      <c r="D561" s="4">
        <v>0</v>
      </c>
      <c r="E561" s="3" t="s">
        <v>7</v>
      </c>
      <c r="G561" s="3" t="s">
        <v>86</v>
      </c>
      <c r="H561" s="3" t="s">
        <v>39</v>
      </c>
      <c r="I561" s="5">
        <v>4.9701078862548591E-2</v>
      </c>
      <c r="J561" s="3" t="s">
        <v>7</v>
      </c>
      <c r="L561" s="3" t="s">
        <v>87</v>
      </c>
      <c r="M561" s="3" t="s">
        <v>39</v>
      </c>
      <c r="N561" s="5">
        <v>4.7886500919277007E-2</v>
      </c>
      <c r="O561" s="3" t="s">
        <v>7</v>
      </c>
    </row>
    <row r="562" spans="2:15" x14ac:dyDescent="0.45">
      <c r="B562" s="6" t="s">
        <v>85</v>
      </c>
      <c r="C562" s="6" t="s">
        <v>40</v>
      </c>
      <c r="D562" s="7">
        <v>0</v>
      </c>
      <c r="E562" s="6" t="s">
        <v>7</v>
      </c>
      <c r="G562" s="6" t="s">
        <v>86</v>
      </c>
      <c r="H562" s="6" t="s">
        <v>40</v>
      </c>
      <c r="I562" s="8">
        <v>2.0558175179968399E-2</v>
      </c>
      <c r="J562" s="6" t="s">
        <v>7</v>
      </c>
      <c r="L562" s="6" t="s">
        <v>87</v>
      </c>
      <c r="M562" s="6" t="s">
        <v>40</v>
      </c>
      <c r="N562" s="8">
        <v>1.933662204013234E-2</v>
      </c>
      <c r="O562" s="6" t="s">
        <v>7</v>
      </c>
    </row>
    <row r="563" spans="2:15" x14ac:dyDescent="0.45">
      <c r="B563" s="3" t="s">
        <v>85</v>
      </c>
      <c r="C563" s="3" t="s">
        <v>41</v>
      </c>
      <c r="D563" s="4">
        <v>2.8424709401035095E-3</v>
      </c>
      <c r="E563" s="3" t="s">
        <v>7</v>
      </c>
      <c r="G563" s="3" t="s">
        <v>86</v>
      </c>
      <c r="H563" s="3" t="s">
        <v>41</v>
      </c>
      <c r="I563" s="5">
        <v>2.1253700685272301E-2</v>
      </c>
      <c r="J563" s="3" t="s">
        <v>7</v>
      </c>
      <c r="L563" s="3" t="s">
        <v>87</v>
      </c>
      <c r="M563" s="3" t="s">
        <v>41</v>
      </c>
      <c r="N563" s="5">
        <v>1.9305350932253551E-2</v>
      </c>
      <c r="O563" s="3" t="s">
        <v>7</v>
      </c>
    </row>
    <row r="564" spans="2:15" x14ac:dyDescent="0.45">
      <c r="B564" s="6" t="s">
        <v>85</v>
      </c>
      <c r="C564" s="6" t="s">
        <v>42</v>
      </c>
      <c r="D564" s="7">
        <v>2.7056376089679757E-2</v>
      </c>
      <c r="E564" s="6" t="s">
        <v>7</v>
      </c>
      <c r="G564" s="6" t="s">
        <v>86</v>
      </c>
      <c r="H564" s="6" t="s">
        <v>42</v>
      </c>
      <c r="I564" s="8">
        <v>2.2058706661192699E-2</v>
      </c>
      <c r="J564" s="6" t="s">
        <v>7</v>
      </c>
      <c r="L564" s="6" t="s">
        <v>87</v>
      </c>
      <c r="M564" s="6" t="s">
        <v>42</v>
      </c>
      <c r="N564" s="8">
        <v>1.9357229455525819E-2</v>
      </c>
      <c r="O564" s="6" t="s">
        <v>7</v>
      </c>
    </row>
    <row r="565" spans="2:15" x14ac:dyDescent="0.45">
      <c r="B565" s="3" t="s">
        <v>85</v>
      </c>
      <c r="C565" s="3" t="s">
        <v>43</v>
      </c>
      <c r="D565" s="4">
        <v>5.1642087431072278E-2</v>
      </c>
      <c r="E565" s="3" t="s">
        <v>7</v>
      </c>
      <c r="G565" s="3" t="s">
        <v>86</v>
      </c>
      <c r="H565" s="3" t="s">
        <v>43</v>
      </c>
      <c r="I565" s="5">
        <v>2.2189101654421593E-2</v>
      </c>
      <c r="J565" s="3" t="s">
        <v>7</v>
      </c>
      <c r="L565" s="3" t="s">
        <v>87</v>
      </c>
      <c r="M565" s="3" t="s">
        <v>43</v>
      </c>
      <c r="N565" s="5">
        <v>1.9457434052744336E-2</v>
      </c>
      <c r="O565" s="3" t="s">
        <v>7</v>
      </c>
    </row>
    <row r="566" spans="2:15" x14ac:dyDescent="0.45">
      <c r="B566" s="6" t="s">
        <v>85</v>
      </c>
      <c r="C566" s="6" t="s">
        <v>44</v>
      </c>
      <c r="D566" s="7">
        <v>5.5347702251911858E-2</v>
      </c>
      <c r="E566" s="6" t="s">
        <v>7</v>
      </c>
      <c r="G566" s="6" t="s">
        <v>86</v>
      </c>
      <c r="H566" s="6" t="s">
        <v>44</v>
      </c>
      <c r="I566" s="8">
        <v>2.1824969269937437E-2</v>
      </c>
      <c r="J566" s="6" t="s">
        <v>7</v>
      </c>
      <c r="L566" s="6" t="s">
        <v>87</v>
      </c>
      <c r="M566" s="6" t="s">
        <v>44</v>
      </c>
      <c r="N566" s="8">
        <v>1.9809660397757448E-2</v>
      </c>
      <c r="O566" s="6" t="s">
        <v>7</v>
      </c>
    </row>
    <row r="567" spans="2:15" x14ac:dyDescent="0.45">
      <c r="B567" s="3" t="s">
        <v>85</v>
      </c>
      <c r="C567" s="3" t="s">
        <v>45</v>
      </c>
      <c r="D567" s="4">
        <v>3.6181565385630714E-2</v>
      </c>
      <c r="E567" s="3" t="s">
        <v>7</v>
      </c>
      <c r="G567" s="3" t="s">
        <v>86</v>
      </c>
      <c r="H567" s="3" t="s">
        <v>45</v>
      </c>
      <c r="I567" s="5">
        <v>2.1505676875588551E-2</v>
      </c>
      <c r="J567" s="3" t="s">
        <v>7</v>
      </c>
      <c r="L567" s="3" t="s">
        <v>87</v>
      </c>
      <c r="M567" s="3" t="s">
        <v>45</v>
      </c>
      <c r="N567" s="5">
        <v>2.0181395050374359E-2</v>
      </c>
      <c r="O567" s="3" t="s">
        <v>7</v>
      </c>
    </row>
    <row r="568" spans="2:15" x14ac:dyDescent="0.45">
      <c r="B568" s="6" t="s">
        <v>85</v>
      </c>
      <c r="C568" s="6" t="s">
        <v>46</v>
      </c>
      <c r="D568" s="7">
        <v>8.8814880337378752E-3</v>
      </c>
      <c r="E568" s="6" t="s">
        <v>7</v>
      </c>
      <c r="G568" s="6" t="s">
        <v>86</v>
      </c>
      <c r="H568" s="6" t="s">
        <v>46</v>
      </c>
      <c r="I568" s="8">
        <v>2.0380275142949288E-2</v>
      </c>
      <c r="J568" s="6" t="s">
        <v>7</v>
      </c>
      <c r="L568" s="6" t="s">
        <v>87</v>
      </c>
      <c r="M568" s="6" t="s">
        <v>46</v>
      </c>
      <c r="N568" s="8">
        <v>2.0006511304576785E-2</v>
      </c>
      <c r="O568" s="6" t="s">
        <v>7</v>
      </c>
    </row>
    <row r="569" spans="2:15" x14ac:dyDescent="0.45">
      <c r="B569" s="3" t="s">
        <v>85</v>
      </c>
      <c r="C569" s="3" t="s">
        <v>47</v>
      </c>
      <c r="D569" s="4">
        <v>8.9933998203664808E-5</v>
      </c>
      <c r="E569" s="3" t="s">
        <v>7</v>
      </c>
      <c r="G569" s="3" t="s">
        <v>86</v>
      </c>
      <c r="H569" s="3" t="s">
        <v>47</v>
      </c>
      <c r="I569" s="5">
        <v>1.993575324050402E-2</v>
      </c>
      <c r="J569" s="3" t="s">
        <v>7</v>
      </c>
      <c r="L569" s="3" t="s">
        <v>87</v>
      </c>
      <c r="M569" s="3" t="s">
        <v>47</v>
      </c>
      <c r="N569" s="5">
        <v>1.957952465086036E-2</v>
      </c>
      <c r="O569" s="3" t="s">
        <v>7</v>
      </c>
    </row>
    <row r="570" spans="2:15" x14ac:dyDescent="0.45">
      <c r="B570" s="6" t="s">
        <v>85</v>
      </c>
      <c r="C570" s="6" t="s">
        <v>48</v>
      </c>
      <c r="D570" s="7">
        <v>0</v>
      </c>
      <c r="E570" s="6" t="s">
        <v>7</v>
      </c>
      <c r="G570" s="6" t="s">
        <v>86</v>
      </c>
      <c r="H570" s="6" t="s">
        <v>48</v>
      </c>
      <c r="I570" s="8">
        <v>2.968704981346201E-2</v>
      </c>
      <c r="J570" s="6" t="s">
        <v>7</v>
      </c>
      <c r="L570" s="6" t="s">
        <v>87</v>
      </c>
      <c r="M570" s="6" t="s">
        <v>48</v>
      </c>
      <c r="N570" s="8">
        <v>2.8657255522091016E-2</v>
      </c>
      <c r="O570" s="6" t="s">
        <v>7</v>
      </c>
    </row>
    <row r="571" spans="2:15" x14ac:dyDescent="0.45">
      <c r="B571" s="3" t="s">
        <v>88</v>
      </c>
      <c r="C571" s="3" t="s">
        <v>6</v>
      </c>
      <c r="D571" s="4">
        <v>0</v>
      </c>
      <c r="E571" s="3" t="s">
        <v>7</v>
      </c>
      <c r="G571" s="3" t="s">
        <v>89</v>
      </c>
      <c r="H571" s="3" t="s">
        <v>6</v>
      </c>
      <c r="I571" s="5">
        <v>7.3259088459445718E-2</v>
      </c>
      <c r="J571" s="3" t="s">
        <v>7</v>
      </c>
      <c r="L571" s="3" t="s">
        <v>90</v>
      </c>
      <c r="M571" s="3" t="s">
        <v>6</v>
      </c>
      <c r="N571" s="5">
        <v>6.0947464479969946E-2</v>
      </c>
      <c r="O571" s="3" t="s">
        <v>7</v>
      </c>
    </row>
    <row r="572" spans="2:15" x14ac:dyDescent="0.45">
      <c r="B572" s="6" t="s">
        <v>88</v>
      </c>
      <c r="C572" s="6" t="s">
        <v>10</v>
      </c>
      <c r="D572" s="7">
        <v>0</v>
      </c>
      <c r="E572" s="6" t="s">
        <v>7</v>
      </c>
      <c r="G572" s="6" t="s">
        <v>89</v>
      </c>
      <c r="H572" s="6" t="s">
        <v>10</v>
      </c>
      <c r="I572" s="8">
        <v>2.8208445194748185E-2</v>
      </c>
      <c r="J572" s="6" t="s">
        <v>7</v>
      </c>
      <c r="L572" s="6" t="s">
        <v>90</v>
      </c>
      <c r="M572" s="6" t="s">
        <v>10</v>
      </c>
      <c r="N572" s="8">
        <v>2.3990114261114782E-2</v>
      </c>
      <c r="O572" s="6" t="s">
        <v>7</v>
      </c>
    </row>
    <row r="573" spans="2:15" x14ac:dyDescent="0.45">
      <c r="B573" s="3" t="s">
        <v>88</v>
      </c>
      <c r="C573" s="3" t="s">
        <v>11</v>
      </c>
      <c r="D573" s="4">
        <v>1.549814417599227E-4</v>
      </c>
      <c r="E573" s="3" t="s">
        <v>7</v>
      </c>
      <c r="G573" s="3" t="s">
        <v>89</v>
      </c>
      <c r="H573" s="3" t="s">
        <v>11</v>
      </c>
      <c r="I573" s="5">
        <v>2.7876964309012361E-2</v>
      </c>
      <c r="J573" s="3" t="s">
        <v>7</v>
      </c>
      <c r="L573" s="3" t="s">
        <v>90</v>
      </c>
      <c r="M573" s="3" t="s">
        <v>11</v>
      </c>
      <c r="N573" s="5">
        <v>2.4002383898173611E-2</v>
      </c>
      <c r="O573" s="3" t="s">
        <v>7</v>
      </c>
    </row>
    <row r="574" spans="2:15" x14ac:dyDescent="0.45">
      <c r="B574" s="6" t="s">
        <v>88</v>
      </c>
      <c r="C574" s="6" t="s">
        <v>12</v>
      </c>
      <c r="D574" s="7">
        <v>1.1353270176372445E-2</v>
      </c>
      <c r="E574" s="6" t="s">
        <v>7</v>
      </c>
      <c r="G574" s="6" t="s">
        <v>89</v>
      </c>
      <c r="H574" s="6" t="s">
        <v>12</v>
      </c>
      <c r="I574" s="8">
        <v>2.7365968510295095E-2</v>
      </c>
      <c r="J574" s="6" t="s">
        <v>7</v>
      </c>
      <c r="L574" s="6" t="s">
        <v>90</v>
      </c>
      <c r="M574" s="6" t="s">
        <v>12</v>
      </c>
      <c r="N574" s="8">
        <v>2.3707981312687861E-2</v>
      </c>
      <c r="O574" s="6" t="s">
        <v>7</v>
      </c>
    </row>
    <row r="575" spans="2:15" x14ac:dyDescent="0.45">
      <c r="B575" s="3" t="s">
        <v>88</v>
      </c>
      <c r="C575" s="3" t="s">
        <v>13</v>
      </c>
      <c r="D575" s="4">
        <v>3.6217911317574236E-2</v>
      </c>
      <c r="E575" s="3" t="s">
        <v>7</v>
      </c>
      <c r="G575" s="3" t="s">
        <v>89</v>
      </c>
      <c r="H575" s="3" t="s">
        <v>13</v>
      </c>
      <c r="I575" s="5">
        <v>2.7248413773264424E-2</v>
      </c>
      <c r="J575" s="3" t="s">
        <v>7</v>
      </c>
      <c r="L575" s="3" t="s">
        <v>90</v>
      </c>
      <c r="M575" s="3" t="s">
        <v>13</v>
      </c>
      <c r="N575" s="5">
        <v>2.4062489490863061E-2</v>
      </c>
      <c r="O575" s="3" t="s">
        <v>7</v>
      </c>
    </row>
    <row r="576" spans="2:15" x14ac:dyDescent="0.45">
      <c r="B576" s="6" t="s">
        <v>88</v>
      </c>
      <c r="C576" s="6" t="s">
        <v>14</v>
      </c>
      <c r="D576" s="7">
        <v>4.1782139926639345E-2</v>
      </c>
      <c r="E576" s="6" t="s">
        <v>7</v>
      </c>
      <c r="G576" s="6" t="s">
        <v>89</v>
      </c>
      <c r="H576" s="6" t="s">
        <v>14</v>
      </c>
      <c r="I576" s="8">
        <v>2.7705335230306358E-2</v>
      </c>
      <c r="J576" s="6" t="s">
        <v>7</v>
      </c>
      <c r="L576" s="6" t="s">
        <v>90</v>
      </c>
      <c r="M576" s="6" t="s">
        <v>14</v>
      </c>
      <c r="N576" s="8">
        <v>2.4206163509033304E-2</v>
      </c>
      <c r="O576" s="6" t="s">
        <v>7</v>
      </c>
    </row>
    <row r="577" spans="2:15" x14ac:dyDescent="0.45">
      <c r="B577" s="3" t="s">
        <v>88</v>
      </c>
      <c r="C577" s="3" t="s">
        <v>15</v>
      </c>
      <c r="D577" s="4">
        <v>2.0626284027097933E-2</v>
      </c>
      <c r="E577" s="3" t="s">
        <v>7</v>
      </c>
      <c r="G577" s="3" t="s">
        <v>89</v>
      </c>
      <c r="H577" s="3" t="s">
        <v>15</v>
      </c>
      <c r="I577" s="5">
        <v>2.703942669396122E-2</v>
      </c>
      <c r="J577" s="3" t="s">
        <v>7</v>
      </c>
      <c r="L577" s="3" t="s">
        <v>90</v>
      </c>
      <c r="M577" s="3" t="s">
        <v>15</v>
      </c>
      <c r="N577" s="5">
        <v>2.4497309452170327E-2</v>
      </c>
      <c r="O577" s="3" t="s">
        <v>7</v>
      </c>
    </row>
    <row r="578" spans="2:15" x14ac:dyDescent="0.45">
      <c r="B578" s="6" t="s">
        <v>88</v>
      </c>
      <c r="C578" s="6" t="s">
        <v>16</v>
      </c>
      <c r="D578" s="7">
        <v>2.1951915731215732E-3</v>
      </c>
      <c r="E578" s="6" t="s">
        <v>7</v>
      </c>
      <c r="G578" s="6" t="s">
        <v>89</v>
      </c>
      <c r="H578" s="6" t="s">
        <v>16</v>
      </c>
      <c r="I578" s="8">
        <v>2.6450110994211719E-2</v>
      </c>
      <c r="J578" s="6" t="s">
        <v>7</v>
      </c>
      <c r="L578" s="6" t="s">
        <v>90</v>
      </c>
      <c r="M578" s="6" t="s">
        <v>16</v>
      </c>
      <c r="N578" s="8">
        <v>2.4639746395700022E-2</v>
      </c>
      <c r="O578" s="6" t="s">
        <v>7</v>
      </c>
    </row>
    <row r="579" spans="2:15" x14ac:dyDescent="0.45">
      <c r="B579" s="3" t="s">
        <v>88</v>
      </c>
      <c r="C579" s="3" t="s">
        <v>17</v>
      </c>
      <c r="D579" s="4">
        <v>0</v>
      </c>
      <c r="E579" s="3" t="s">
        <v>7</v>
      </c>
      <c r="G579" s="3" t="s">
        <v>89</v>
      </c>
      <c r="H579" s="3" t="s">
        <v>17</v>
      </c>
      <c r="I579" s="5">
        <v>2.792575778295989E-2</v>
      </c>
      <c r="J579" s="3" t="s">
        <v>7</v>
      </c>
      <c r="L579" s="3" t="s">
        <v>90</v>
      </c>
      <c r="M579" s="3" t="s">
        <v>17</v>
      </c>
      <c r="N579" s="5">
        <v>2.4432057476585198E-2</v>
      </c>
      <c r="O579" s="3" t="s">
        <v>7</v>
      </c>
    </row>
    <row r="580" spans="2:15" x14ac:dyDescent="0.45">
      <c r="B580" s="6" t="s">
        <v>88</v>
      </c>
      <c r="C580" s="6" t="s">
        <v>18</v>
      </c>
      <c r="D580" s="7">
        <v>0</v>
      </c>
      <c r="E580" s="6" t="s">
        <v>7</v>
      </c>
      <c r="G580" s="6" t="s">
        <v>89</v>
      </c>
      <c r="H580" s="6" t="s">
        <v>18</v>
      </c>
      <c r="I580" s="8">
        <v>4.3046818790995756E-2</v>
      </c>
      <c r="J580" s="6" t="s">
        <v>7</v>
      </c>
      <c r="L580" s="6" t="s">
        <v>90</v>
      </c>
      <c r="M580" s="6" t="s">
        <v>18</v>
      </c>
      <c r="N580" s="8">
        <v>3.6959499893234625E-2</v>
      </c>
      <c r="O580" s="6" t="s">
        <v>7</v>
      </c>
    </row>
    <row r="581" spans="2:15" x14ac:dyDescent="0.45">
      <c r="B581" s="3" t="s">
        <v>88</v>
      </c>
      <c r="C581" s="3" t="s">
        <v>19</v>
      </c>
      <c r="D581" s="4">
        <v>0</v>
      </c>
      <c r="E581" s="3" t="s">
        <v>7</v>
      </c>
      <c r="G581" s="3" t="s">
        <v>89</v>
      </c>
      <c r="H581" s="3" t="s">
        <v>19</v>
      </c>
      <c r="I581" s="5">
        <v>4.8845209946334546E-2</v>
      </c>
      <c r="J581" s="3" t="s">
        <v>7</v>
      </c>
      <c r="L581" s="3" t="s">
        <v>90</v>
      </c>
      <c r="M581" s="3" t="s">
        <v>19</v>
      </c>
      <c r="N581" s="5">
        <v>5.8087791896000239E-2</v>
      </c>
      <c r="O581" s="3" t="s">
        <v>7</v>
      </c>
    </row>
    <row r="582" spans="2:15" x14ac:dyDescent="0.45">
      <c r="B582" s="6" t="s">
        <v>88</v>
      </c>
      <c r="C582" s="6" t="s">
        <v>20</v>
      </c>
      <c r="D582" s="7">
        <v>1.2893794882652572E-3</v>
      </c>
      <c r="E582" s="6" t="s">
        <v>7</v>
      </c>
      <c r="G582" s="6" t="s">
        <v>89</v>
      </c>
      <c r="H582" s="6" t="s">
        <v>20</v>
      </c>
      <c r="I582" s="8">
        <v>1.832224295243887E-2</v>
      </c>
      <c r="J582" s="6" t="s">
        <v>7</v>
      </c>
      <c r="L582" s="6" t="s">
        <v>90</v>
      </c>
      <c r="M582" s="6" t="s">
        <v>20</v>
      </c>
      <c r="N582" s="8">
        <v>2.3771429343345103E-2</v>
      </c>
      <c r="O582" s="6" t="s">
        <v>7</v>
      </c>
    </row>
    <row r="583" spans="2:15" x14ac:dyDescent="0.45">
      <c r="B583" s="3" t="s">
        <v>88</v>
      </c>
      <c r="C583" s="3" t="s">
        <v>21</v>
      </c>
      <c r="D583" s="4">
        <v>1.9578430613007763E-2</v>
      </c>
      <c r="E583" s="3" t="s">
        <v>7</v>
      </c>
      <c r="G583" s="3" t="s">
        <v>89</v>
      </c>
      <c r="H583" s="3" t="s">
        <v>21</v>
      </c>
      <c r="I583" s="5">
        <v>1.8953523232944171E-2</v>
      </c>
      <c r="J583" s="3" t="s">
        <v>7</v>
      </c>
      <c r="L583" s="3" t="s">
        <v>90</v>
      </c>
      <c r="M583" s="3" t="s">
        <v>21</v>
      </c>
      <c r="N583" s="5">
        <v>2.3991544795192634E-2</v>
      </c>
      <c r="O583" s="3" t="s">
        <v>7</v>
      </c>
    </row>
    <row r="584" spans="2:15" x14ac:dyDescent="0.45">
      <c r="B584" s="6" t="s">
        <v>88</v>
      </c>
      <c r="C584" s="6" t="s">
        <v>22</v>
      </c>
      <c r="D584" s="7">
        <v>5.8413144157729871E-2</v>
      </c>
      <c r="E584" s="6" t="s">
        <v>7</v>
      </c>
      <c r="G584" s="6" t="s">
        <v>89</v>
      </c>
      <c r="H584" s="6" t="s">
        <v>22</v>
      </c>
      <c r="I584" s="8">
        <v>2.1289419447245956E-2</v>
      </c>
      <c r="J584" s="6" t="s">
        <v>7</v>
      </c>
      <c r="L584" s="6" t="s">
        <v>90</v>
      </c>
      <c r="M584" s="6" t="s">
        <v>22</v>
      </c>
      <c r="N584" s="8">
        <v>2.3603351130525804E-2</v>
      </c>
      <c r="O584" s="6" t="s">
        <v>7</v>
      </c>
    </row>
    <row r="585" spans="2:15" x14ac:dyDescent="0.45">
      <c r="B585" s="3" t="s">
        <v>88</v>
      </c>
      <c r="C585" s="3" t="s">
        <v>23</v>
      </c>
      <c r="D585" s="4">
        <v>8.3825523815415415E-2</v>
      </c>
      <c r="E585" s="3" t="s">
        <v>7</v>
      </c>
      <c r="G585" s="3" t="s">
        <v>89</v>
      </c>
      <c r="H585" s="3" t="s">
        <v>23</v>
      </c>
      <c r="I585" s="5">
        <v>2.2898396254054088E-2</v>
      </c>
      <c r="J585" s="3" t="s">
        <v>7</v>
      </c>
      <c r="L585" s="3" t="s">
        <v>90</v>
      </c>
      <c r="M585" s="3" t="s">
        <v>23</v>
      </c>
      <c r="N585" s="5">
        <v>2.2617265827619266E-2</v>
      </c>
      <c r="O585" s="3" t="s">
        <v>7</v>
      </c>
    </row>
    <row r="586" spans="2:15" x14ac:dyDescent="0.45">
      <c r="B586" s="6" t="s">
        <v>88</v>
      </c>
      <c r="C586" s="6" t="s">
        <v>24</v>
      </c>
      <c r="D586" s="7">
        <v>8.5001670728751713E-2</v>
      </c>
      <c r="E586" s="6" t="s">
        <v>7</v>
      </c>
      <c r="G586" s="6" t="s">
        <v>89</v>
      </c>
      <c r="H586" s="6" t="s">
        <v>24</v>
      </c>
      <c r="I586" s="8">
        <v>2.30728461427335E-2</v>
      </c>
      <c r="J586" s="6" t="s">
        <v>7</v>
      </c>
      <c r="L586" s="6" t="s">
        <v>90</v>
      </c>
      <c r="M586" s="6" t="s">
        <v>24</v>
      </c>
      <c r="N586" s="8">
        <v>2.2104393078277988E-2</v>
      </c>
      <c r="O586" s="6" t="s">
        <v>7</v>
      </c>
    </row>
    <row r="587" spans="2:15" x14ac:dyDescent="0.45">
      <c r="B587" s="3" t="s">
        <v>88</v>
      </c>
      <c r="C587" s="3" t="s">
        <v>25</v>
      </c>
      <c r="D587" s="4">
        <v>6.4873641319768235E-2</v>
      </c>
      <c r="E587" s="3" t="s">
        <v>7</v>
      </c>
      <c r="G587" s="3" t="s">
        <v>89</v>
      </c>
      <c r="H587" s="3" t="s">
        <v>25</v>
      </c>
      <c r="I587" s="5">
        <v>2.2966064499588778E-2</v>
      </c>
      <c r="J587" s="3" t="s">
        <v>7</v>
      </c>
      <c r="L587" s="3" t="s">
        <v>90</v>
      </c>
      <c r="M587" s="3" t="s">
        <v>25</v>
      </c>
      <c r="N587" s="5">
        <v>2.2035143153842886E-2</v>
      </c>
      <c r="O587" s="3" t="s">
        <v>7</v>
      </c>
    </row>
    <row r="588" spans="2:15" x14ac:dyDescent="0.45">
      <c r="B588" s="6" t="s">
        <v>88</v>
      </c>
      <c r="C588" s="6" t="s">
        <v>26</v>
      </c>
      <c r="D588" s="7">
        <v>2.7681373775004316E-2</v>
      </c>
      <c r="E588" s="6" t="s">
        <v>7</v>
      </c>
      <c r="G588" s="6" t="s">
        <v>89</v>
      </c>
      <c r="H588" s="6" t="s">
        <v>26</v>
      </c>
      <c r="I588" s="8">
        <v>2.126450344151936E-2</v>
      </c>
      <c r="J588" s="6" t="s">
        <v>7</v>
      </c>
      <c r="L588" s="6" t="s">
        <v>90</v>
      </c>
      <c r="M588" s="6" t="s">
        <v>26</v>
      </c>
      <c r="N588" s="8">
        <v>2.2076168192463663E-2</v>
      </c>
      <c r="O588" s="6" t="s">
        <v>7</v>
      </c>
    </row>
    <row r="589" spans="2:15" x14ac:dyDescent="0.45">
      <c r="B589" s="3" t="s">
        <v>88</v>
      </c>
      <c r="C589" s="3" t="s">
        <v>27</v>
      </c>
      <c r="D589" s="4">
        <v>2.0917521217223259E-3</v>
      </c>
      <c r="E589" s="3" t="s">
        <v>7</v>
      </c>
      <c r="G589" s="3" t="s">
        <v>89</v>
      </c>
      <c r="H589" s="3" t="s">
        <v>27</v>
      </c>
      <c r="I589" s="5">
        <v>1.9862126941232343E-2</v>
      </c>
      <c r="J589" s="3" t="s">
        <v>7</v>
      </c>
      <c r="L589" s="3" t="s">
        <v>90</v>
      </c>
      <c r="M589" s="3" t="s">
        <v>27</v>
      </c>
      <c r="N589" s="5">
        <v>2.2337594833640444E-2</v>
      </c>
      <c r="O589" s="3" t="s">
        <v>7</v>
      </c>
    </row>
    <row r="590" spans="2:15" x14ac:dyDescent="0.45">
      <c r="B590" s="6" t="s">
        <v>88</v>
      </c>
      <c r="C590" s="6" t="s">
        <v>28</v>
      </c>
      <c r="D590" s="7">
        <v>4.5048392563979002E-6</v>
      </c>
      <c r="E590" s="6" t="s">
        <v>7</v>
      </c>
      <c r="G590" s="6" t="s">
        <v>89</v>
      </c>
      <c r="H590" s="6" t="s">
        <v>28</v>
      </c>
      <c r="I590" s="8">
        <v>2.95441850355284E-2</v>
      </c>
      <c r="J590" s="6" t="s">
        <v>7</v>
      </c>
      <c r="L590" s="6" t="s">
        <v>90</v>
      </c>
      <c r="M590" s="6" t="s">
        <v>28</v>
      </c>
      <c r="N590" s="8">
        <v>3.3520067734048906E-2</v>
      </c>
      <c r="O590" s="6" t="s">
        <v>7</v>
      </c>
    </row>
    <row r="591" spans="2:15" x14ac:dyDescent="0.45">
      <c r="B591" s="3" t="s">
        <v>88</v>
      </c>
      <c r="C591" s="3" t="s">
        <v>29</v>
      </c>
      <c r="D591" s="4">
        <v>0</v>
      </c>
      <c r="E591" s="3" t="s">
        <v>7</v>
      </c>
      <c r="G591" s="3" t="s">
        <v>89</v>
      </c>
      <c r="H591" s="3" t="s">
        <v>29</v>
      </c>
      <c r="I591" s="5">
        <v>2.3341817116503627E-2</v>
      </c>
      <c r="J591" s="3" t="s">
        <v>7</v>
      </c>
      <c r="L591" s="3" t="s">
        <v>90</v>
      </c>
      <c r="M591" s="3" t="s">
        <v>29</v>
      </c>
      <c r="N591" s="5">
        <v>3.9822007724790796E-2</v>
      </c>
      <c r="O591" s="3" t="s">
        <v>7</v>
      </c>
    </row>
    <row r="592" spans="2:15" x14ac:dyDescent="0.45">
      <c r="B592" s="6" t="s">
        <v>88</v>
      </c>
      <c r="C592" s="6" t="s">
        <v>30</v>
      </c>
      <c r="D592" s="7">
        <v>3.2344457217198131E-3</v>
      </c>
      <c r="E592" s="6" t="s">
        <v>7</v>
      </c>
      <c r="G592" s="6" t="s">
        <v>89</v>
      </c>
      <c r="H592" s="6" t="s">
        <v>30</v>
      </c>
      <c r="I592" s="8">
        <v>9.2921889921306084E-3</v>
      </c>
      <c r="J592" s="6" t="s">
        <v>7</v>
      </c>
      <c r="L592" s="6" t="s">
        <v>90</v>
      </c>
      <c r="M592" s="6" t="s">
        <v>30</v>
      </c>
      <c r="N592" s="8">
        <v>1.4717908099590206E-2</v>
      </c>
      <c r="O592" s="6" t="s">
        <v>7</v>
      </c>
    </row>
    <row r="593" spans="2:15" x14ac:dyDescent="0.45">
      <c r="B593" s="3" t="s">
        <v>88</v>
      </c>
      <c r="C593" s="3" t="s">
        <v>31</v>
      </c>
      <c r="D593" s="4">
        <v>2.6326849809892382E-2</v>
      </c>
      <c r="E593" s="3" t="s">
        <v>7</v>
      </c>
      <c r="G593" s="3" t="s">
        <v>89</v>
      </c>
      <c r="H593" s="3" t="s">
        <v>31</v>
      </c>
      <c r="I593" s="5">
        <v>1.0395276349152775E-2</v>
      </c>
      <c r="J593" s="3" t="s">
        <v>7</v>
      </c>
      <c r="L593" s="3" t="s">
        <v>90</v>
      </c>
      <c r="M593" s="3" t="s">
        <v>31</v>
      </c>
      <c r="N593" s="5">
        <v>1.4529155944454966E-2</v>
      </c>
      <c r="O593" s="3" t="s">
        <v>7</v>
      </c>
    </row>
    <row r="594" spans="2:15" x14ac:dyDescent="0.45">
      <c r="B594" s="6" t="s">
        <v>88</v>
      </c>
      <c r="C594" s="6" t="s">
        <v>32</v>
      </c>
      <c r="D594" s="7">
        <v>6.1626943142572256E-2</v>
      </c>
      <c r="E594" s="6" t="s">
        <v>7</v>
      </c>
      <c r="G594" s="6" t="s">
        <v>89</v>
      </c>
      <c r="H594" s="6" t="s">
        <v>32</v>
      </c>
      <c r="I594" s="8">
        <v>1.2064445433313219E-2</v>
      </c>
      <c r="J594" s="6" t="s">
        <v>7</v>
      </c>
      <c r="L594" s="6" t="s">
        <v>90</v>
      </c>
      <c r="M594" s="6" t="s">
        <v>32</v>
      </c>
      <c r="N594" s="8">
        <v>1.4054193491714311E-2</v>
      </c>
      <c r="O594" s="6" t="s">
        <v>7</v>
      </c>
    </row>
    <row r="595" spans="2:15" x14ac:dyDescent="0.45">
      <c r="B595" s="3" t="s">
        <v>88</v>
      </c>
      <c r="C595" s="3" t="s">
        <v>33</v>
      </c>
      <c r="D595" s="4">
        <v>8.3344895359101695E-2</v>
      </c>
      <c r="E595" s="3" t="s">
        <v>7</v>
      </c>
      <c r="G595" s="3" t="s">
        <v>89</v>
      </c>
      <c r="H595" s="3" t="s">
        <v>33</v>
      </c>
      <c r="I595" s="5">
        <v>1.3700321504919292E-2</v>
      </c>
      <c r="J595" s="3" t="s">
        <v>7</v>
      </c>
      <c r="L595" s="3" t="s">
        <v>90</v>
      </c>
      <c r="M595" s="3" t="s">
        <v>33</v>
      </c>
      <c r="N595" s="5">
        <v>1.3990309734320267E-2</v>
      </c>
      <c r="O595" s="3" t="s">
        <v>7</v>
      </c>
    </row>
    <row r="596" spans="2:15" x14ac:dyDescent="0.45">
      <c r="B596" s="6" t="s">
        <v>88</v>
      </c>
      <c r="C596" s="6" t="s">
        <v>34</v>
      </c>
      <c r="D596" s="7">
        <v>8.6053974481142381E-2</v>
      </c>
      <c r="E596" s="6" t="s">
        <v>7</v>
      </c>
      <c r="G596" s="6" t="s">
        <v>89</v>
      </c>
      <c r="H596" s="6" t="s">
        <v>34</v>
      </c>
      <c r="I596" s="8">
        <v>1.4474243389658683E-2</v>
      </c>
      <c r="J596" s="6" t="s">
        <v>7</v>
      </c>
      <c r="L596" s="6" t="s">
        <v>90</v>
      </c>
      <c r="M596" s="6" t="s">
        <v>34</v>
      </c>
      <c r="N596" s="8">
        <v>1.5210683274600057E-2</v>
      </c>
      <c r="O596" s="6" t="s">
        <v>7</v>
      </c>
    </row>
    <row r="597" spans="2:15" x14ac:dyDescent="0.45">
      <c r="B597" s="3" t="s">
        <v>88</v>
      </c>
      <c r="C597" s="3" t="s">
        <v>35</v>
      </c>
      <c r="D597" s="4">
        <v>6.9125391880258652E-2</v>
      </c>
      <c r="E597" s="3" t="s">
        <v>7</v>
      </c>
      <c r="G597" s="3" t="s">
        <v>89</v>
      </c>
      <c r="H597" s="3" t="s">
        <v>35</v>
      </c>
      <c r="I597" s="5">
        <v>1.4387410144195933E-2</v>
      </c>
      <c r="J597" s="3" t="s">
        <v>7</v>
      </c>
      <c r="L597" s="3" t="s">
        <v>90</v>
      </c>
      <c r="M597" s="3" t="s">
        <v>35</v>
      </c>
      <c r="N597" s="5">
        <v>1.6542742820115211E-2</v>
      </c>
      <c r="O597" s="3" t="s">
        <v>7</v>
      </c>
    </row>
    <row r="598" spans="2:15" x14ac:dyDescent="0.45">
      <c r="B598" s="6" t="s">
        <v>88</v>
      </c>
      <c r="C598" s="6" t="s">
        <v>36</v>
      </c>
      <c r="D598" s="7">
        <v>3.6064248104207476E-2</v>
      </c>
      <c r="E598" s="6" t="s">
        <v>7</v>
      </c>
      <c r="G598" s="6" t="s">
        <v>89</v>
      </c>
      <c r="H598" s="6" t="s">
        <v>36</v>
      </c>
      <c r="I598" s="8">
        <v>1.3061943900731921E-2</v>
      </c>
      <c r="J598" s="6" t="s">
        <v>7</v>
      </c>
      <c r="L598" s="6" t="s">
        <v>90</v>
      </c>
      <c r="M598" s="6" t="s">
        <v>36</v>
      </c>
      <c r="N598" s="8">
        <v>1.7367015320199478E-2</v>
      </c>
      <c r="O598" s="6" t="s">
        <v>7</v>
      </c>
    </row>
    <row r="599" spans="2:15" x14ac:dyDescent="0.45">
      <c r="B599" s="3" t="s">
        <v>88</v>
      </c>
      <c r="C599" s="3" t="s">
        <v>37</v>
      </c>
      <c r="D599" s="4">
        <v>6.2425331360488898E-3</v>
      </c>
      <c r="E599" s="3" t="s">
        <v>7</v>
      </c>
      <c r="G599" s="3" t="s">
        <v>89</v>
      </c>
      <c r="H599" s="3" t="s">
        <v>37</v>
      </c>
      <c r="I599" s="5">
        <v>1.1033498668835217E-2</v>
      </c>
      <c r="J599" s="3" t="s">
        <v>7</v>
      </c>
      <c r="L599" s="3" t="s">
        <v>90</v>
      </c>
      <c r="M599" s="3" t="s">
        <v>37</v>
      </c>
      <c r="N599" s="5">
        <v>1.746824031145058E-2</v>
      </c>
      <c r="O599" s="3" t="s">
        <v>7</v>
      </c>
    </row>
    <row r="600" spans="2:15" x14ac:dyDescent="0.45">
      <c r="B600" s="6" t="s">
        <v>88</v>
      </c>
      <c r="C600" s="6" t="s">
        <v>38</v>
      </c>
      <c r="D600" s="7">
        <v>1.6218783914032222E-4</v>
      </c>
      <c r="E600" s="6" t="s">
        <v>7</v>
      </c>
      <c r="G600" s="6" t="s">
        <v>89</v>
      </c>
      <c r="H600" s="6" t="s">
        <v>38</v>
      </c>
      <c r="I600" s="8">
        <v>1.4609318009892564E-2</v>
      </c>
      <c r="J600" s="6" t="s">
        <v>7</v>
      </c>
      <c r="L600" s="6" t="s">
        <v>90</v>
      </c>
      <c r="M600" s="6" t="s">
        <v>38</v>
      </c>
      <c r="N600" s="8">
        <v>2.5254356081879242E-2</v>
      </c>
      <c r="O600" s="6" t="s">
        <v>7</v>
      </c>
    </row>
    <row r="601" spans="2:15" x14ac:dyDescent="0.45">
      <c r="B601" s="3" t="s">
        <v>88</v>
      </c>
      <c r="C601" s="3" t="s">
        <v>39</v>
      </c>
      <c r="D601" s="4">
        <v>0</v>
      </c>
      <c r="E601" s="3" t="s">
        <v>7</v>
      </c>
      <c r="G601" s="3" t="s">
        <v>89</v>
      </c>
      <c r="H601" s="3" t="s">
        <v>39</v>
      </c>
      <c r="I601" s="5">
        <v>5.6236693240572726E-2</v>
      </c>
      <c r="J601" s="3" t="s">
        <v>7</v>
      </c>
      <c r="L601" s="3" t="s">
        <v>90</v>
      </c>
      <c r="M601" s="3" t="s">
        <v>39</v>
      </c>
      <c r="N601" s="5">
        <v>4.9270662113042013E-2</v>
      </c>
      <c r="O601" s="3" t="s">
        <v>7</v>
      </c>
    </row>
    <row r="602" spans="2:15" x14ac:dyDescent="0.45">
      <c r="B602" s="6" t="s">
        <v>88</v>
      </c>
      <c r="C602" s="6" t="s">
        <v>40</v>
      </c>
      <c r="D602" s="7">
        <v>0</v>
      </c>
      <c r="E602" s="6" t="s">
        <v>7</v>
      </c>
      <c r="G602" s="6" t="s">
        <v>89</v>
      </c>
      <c r="H602" s="6" t="s">
        <v>40</v>
      </c>
      <c r="I602" s="8">
        <v>2.2265076056457046E-2</v>
      </c>
      <c r="J602" s="6" t="s">
        <v>7</v>
      </c>
      <c r="L602" s="6" t="s">
        <v>90</v>
      </c>
      <c r="M602" s="6" t="s">
        <v>40</v>
      </c>
      <c r="N602" s="8">
        <v>2.0056396219947037E-2</v>
      </c>
      <c r="O602" s="6" t="s">
        <v>7</v>
      </c>
    </row>
    <row r="603" spans="2:15" x14ac:dyDescent="0.45">
      <c r="B603" s="3" t="s">
        <v>88</v>
      </c>
      <c r="C603" s="3" t="s">
        <v>41</v>
      </c>
      <c r="D603" s="4">
        <v>4.1601174109453963E-3</v>
      </c>
      <c r="E603" s="3" t="s">
        <v>7</v>
      </c>
      <c r="G603" s="3" t="s">
        <v>89</v>
      </c>
      <c r="H603" s="3" t="s">
        <v>41</v>
      </c>
      <c r="I603" s="5">
        <v>2.2122026432709201E-2</v>
      </c>
      <c r="J603" s="3" t="s">
        <v>7</v>
      </c>
      <c r="L603" s="3" t="s">
        <v>90</v>
      </c>
      <c r="M603" s="3" t="s">
        <v>41</v>
      </c>
      <c r="N603" s="5">
        <v>2.0385708333503661E-2</v>
      </c>
      <c r="O603" s="3" t="s">
        <v>7</v>
      </c>
    </row>
    <row r="604" spans="2:15" x14ac:dyDescent="0.45">
      <c r="B604" s="6" t="s">
        <v>88</v>
      </c>
      <c r="C604" s="6" t="s">
        <v>42</v>
      </c>
      <c r="D604" s="7">
        <v>2.9791753108581294E-2</v>
      </c>
      <c r="E604" s="6" t="s">
        <v>7</v>
      </c>
      <c r="G604" s="6" t="s">
        <v>89</v>
      </c>
      <c r="H604" s="6" t="s">
        <v>42</v>
      </c>
      <c r="I604" s="8">
        <v>2.3192878401015343E-2</v>
      </c>
      <c r="J604" s="6" t="s">
        <v>7</v>
      </c>
      <c r="L604" s="6" t="s">
        <v>90</v>
      </c>
      <c r="M604" s="6" t="s">
        <v>42</v>
      </c>
      <c r="N604" s="8">
        <v>2.0648429024905119E-2</v>
      </c>
      <c r="O604" s="6" t="s">
        <v>7</v>
      </c>
    </row>
    <row r="605" spans="2:15" x14ac:dyDescent="0.45">
      <c r="B605" s="3" t="s">
        <v>88</v>
      </c>
      <c r="C605" s="3" t="s">
        <v>43</v>
      </c>
      <c r="D605" s="4">
        <v>5.3365266774552361E-2</v>
      </c>
      <c r="E605" s="3" t="s">
        <v>7</v>
      </c>
      <c r="G605" s="3" t="s">
        <v>89</v>
      </c>
      <c r="H605" s="3" t="s">
        <v>43</v>
      </c>
      <c r="I605" s="5">
        <v>2.5010508765306066E-2</v>
      </c>
      <c r="J605" s="3" t="s">
        <v>7</v>
      </c>
      <c r="L605" s="3" t="s">
        <v>90</v>
      </c>
      <c r="M605" s="3" t="s">
        <v>43</v>
      </c>
      <c r="N605" s="5">
        <v>2.0542397187739557E-2</v>
      </c>
      <c r="O605" s="3" t="s">
        <v>7</v>
      </c>
    </row>
    <row r="606" spans="2:15" x14ac:dyDescent="0.45">
      <c r="B606" s="6" t="s">
        <v>88</v>
      </c>
      <c r="C606" s="6" t="s">
        <v>44</v>
      </c>
      <c r="D606" s="7">
        <v>5.0664238725403488E-2</v>
      </c>
      <c r="E606" s="6" t="s">
        <v>7</v>
      </c>
      <c r="G606" s="6" t="s">
        <v>89</v>
      </c>
      <c r="H606" s="6" t="s">
        <v>44</v>
      </c>
      <c r="I606" s="8">
        <v>2.5669331343335582E-2</v>
      </c>
      <c r="J606" s="6" t="s">
        <v>7</v>
      </c>
      <c r="L606" s="6" t="s">
        <v>90</v>
      </c>
      <c r="M606" s="6" t="s">
        <v>44</v>
      </c>
      <c r="N606" s="8">
        <v>2.0744515651575604E-2</v>
      </c>
      <c r="O606" s="6" t="s">
        <v>7</v>
      </c>
    </row>
    <row r="607" spans="2:15" x14ac:dyDescent="0.45">
      <c r="B607" s="3" t="s">
        <v>88</v>
      </c>
      <c r="C607" s="3" t="s">
        <v>45</v>
      </c>
      <c r="D607" s="4">
        <v>2.8826492326482232E-2</v>
      </c>
      <c r="E607" s="3" t="s">
        <v>7</v>
      </c>
      <c r="G607" s="3" t="s">
        <v>89</v>
      </c>
      <c r="H607" s="3" t="s">
        <v>45</v>
      </c>
      <c r="I607" s="5">
        <v>2.4904614210078439E-2</v>
      </c>
      <c r="J607" s="3" t="s">
        <v>7</v>
      </c>
      <c r="L607" s="3" t="s">
        <v>90</v>
      </c>
      <c r="M607" s="3" t="s">
        <v>45</v>
      </c>
      <c r="N607" s="5">
        <v>2.1104068434233115E-2</v>
      </c>
      <c r="O607" s="3" t="s">
        <v>7</v>
      </c>
    </row>
    <row r="608" spans="2:15" x14ac:dyDescent="0.45">
      <c r="B608" s="6" t="s">
        <v>88</v>
      </c>
      <c r="C608" s="6" t="s">
        <v>46</v>
      </c>
      <c r="D608" s="7">
        <v>5.8929706159176068E-3</v>
      </c>
      <c r="E608" s="6" t="s">
        <v>7</v>
      </c>
      <c r="G608" s="6" t="s">
        <v>89</v>
      </c>
      <c r="H608" s="6" t="s">
        <v>46</v>
      </c>
      <c r="I608" s="8">
        <v>2.3429934999254567E-2</v>
      </c>
      <c r="J608" s="6" t="s">
        <v>7</v>
      </c>
      <c r="L608" s="6" t="s">
        <v>90</v>
      </c>
      <c r="M608" s="6" t="s">
        <v>46</v>
      </c>
      <c r="N608" s="8">
        <v>2.1480186268291904E-2</v>
      </c>
      <c r="O608" s="6" t="s">
        <v>7</v>
      </c>
    </row>
    <row r="609" spans="2:15" x14ac:dyDescent="0.45">
      <c r="B609" s="3" t="s">
        <v>88</v>
      </c>
      <c r="C609" s="3" t="s">
        <v>47</v>
      </c>
      <c r="D609" s="4">
        <v>2.849224254694647E-5</v>
      </c>
      <c r="E609" s="3" t="s">
        <v>7</v>
      </c>
      <c r="G609" s="3" t="s">
        <v>89</v>
      </c>
      <c r="H609" s="3" t="s">
        <v>47</v>
      </c>
      <c r="I609" s="5">
        <v>2.3416080510625173E-2</v>
      </c>
      <c r="J609" s="3" t="s">
        <v>7</v>
      </c>
      <c r="L609" s="3" t="s">
        <v>90</v>
      </c>
      <c r="M609" s="3" t="s">
        <v>47</v>
      </c>
      <c r="N609" s="5">
        <v>2.0947815403317631E-2</v>
      </c>
      <c r="O609" s="3" t="s">
        <v>7</v>
      </c>
    </row>
    <row r="610" spans="2:15" x14ac:dyDescent="0.45">
      <c r="B610" s="6" t="s">
        <v>88</v>
      </c>
      <c r="C610" s="6" t="s">
        <v>48</v>
      </c>
      <c r="D610" s="7">
        <v>0</v>
      </c>
      <c r="E610" s="6" t="s">
        <v>7</v>
      </c>
      <c r="G610" s="6" t="s">
        <v>89</v>
      </c>
      <c r="H610" s="6" t="s">
        <v>48</v>
      </c>
      <c r="I610" s="8">
        <v>3.4247544898491182E-2</v>
      </c>
      <c r="J610" s="6" t="s">
        <v>7</v>
      </c>
      <c r="L610" s="6" t="s">
        <v>90</v>
      </c>
      <c r="M610" s="6" t="s">
        <v>48</v>
      </c>
      <c r="N610" s="8">
        <v>3.0273248405839559E-2</v>
      </c>
      <c r="O610" s="6" t="s">
        <v>7</v>
      </c>
    </row>
    <row r="611" spans="2:15" x14ac:dyDescent="0.45">
      <c r="B611" s="3" t="s">
        <v>91</v>
      </c>
      <c r="C611" s="3" t="s">
        <v>6</v>
      </c>
      <c r="D611" s="4">
        <v>0</v>
      </c>
      <c r="E611" s="3" t="s">
        <v>7</v>
      </c>
      <c r="G611" s="3" t="s">
        <v>92</v>
      </c>
      <c r="H611" s="3" t="s">
        <v>6</v>
      </c>
      <c r="I611" s="5">
        <v>6.2899443424837331E-2</v>
      </c>
      <c r="J611" s="3" t="s">
        <v>7</v>
      </c>
      <c r="L611" s="3" t="s">
        <v>93</v>
      </c>
      <c r="M611" s="3" t="s">
        <v>6</v>
      </c>
      <c r="N611" s="5">
        <v>5.9485736521772983E-2</v>
      </c>
      <c r="O611" s="3" t="s">
        <v>7</v>
      </c>
    </row>
    <row r="612" spans="2:15" x14ac:dyDescent="0.45">
      <c r="B612" s="6" t="s">
        <v>91</v>
      </c>
      <c r="C612" s="6" t="s">
        <v>10</v>
      </c>
      <c r="D612" s="7">
        <v>0</v>
      </c>
      <c r="E612" s="6" t="s">
        <v>7</v>
      </c>
      <c r="G612" s="6" t="s">
        <v>92</v>
      </c>
      <c r="H612" s="6" t="s">
        <v>10</v>
      </c>
      <c r="I612" s="8">
        <v>2.4602753184513531E-2</v>
      </c>
      <c r="J612" s="6" t="s">
        <v>7</v>
      </c>
      <c r="L612" s="6" t="s">
        <v>93</v>
      </c>
      <c r="M612" s="6" t="s">
        <v>10</v>
      </c>
      <c r="N612" s="8">
        <v>2.393381592318972E-2</v>
      </c>
      <c r="O612" s="6" t="s">
        <v>7</v>
      </c>
    </row>
    <row r="613" spans="2:15" x14ac:dyDescent="0.45">
      <c r="B613" s="3" t="s">
        <v>91</v>
      </c>
      <c r="C613" s="3" t="s">
        <v>11</v>
      </c>
      <c r="D613" s="4">
        <v>4.8175932965332716E-4</v>
      </c>
      <c r="E613" s="3" t="s">
        <v>7</v>
      </c>
      <c r="G613" s="3" t="s">
        <v>92</v>
      </c>
      <c r="H613" s="3" t="s">
        <v>11</v>
      </c>
      <c r="I613" s="5">
        <v>2.4739278687210226E-2</v>
      </c>
      <c r="J613" s="3" t="s">
        <v>7</v>
      </c>
      <c r="L613" s="3" t="s">
        <v>93</v>
      </c>
      <c r="M613" s="3" t="s">
        <v>11</v>
      </c>
      <c r="N613" s="5">
        <v>2.4103711334210378E-2</v>
      </c>
      <c r="O613" s="3" t="s">
        <v>7</v>
      </c>
    </row>
    <row r="614" spans="2:15" x14ac:dyDescent="0.45">
      <c r="B614" s="6" t="s">
        <v>91</v>
      </c>
      <c r="C614" s="6" t="s">
        <v>12</v>
      </c>
      <c r="D614" s="7">
        <v>1.8020952576480134E-2</v>
      </c>
      <c r="E614" s="6" t="s">
        <v>7</v>
      </c>
      <c r="G614" s="6" t="s">
        <v>92</v>
      </c>
      <c r="H614" s="6" t="s">
        <v>12</v>
      </c>
      <c r="I614" s="8">
        <v>2.3579188937541483E-2</v>
      </c>
      <c r="J614" s="6" t="s">
        <v>7</v>
      </c>
      <c r="L614" s="6" t="s">
        <v>93</v>
      </c>
      <c r="M614" s="6" t="s">
        <v>12</v>
      </c>
      <c r="N614" s="8">
        <v>2.3899815932054418E-2</v>
      </c>
      <c r="O614" s="6" t="s">
        <v>7</v>
      </c>
    </row>
    <row r="615" spans="2:15" x14ac:dyDescent="0.45">
      <c r="B615" s="3" t="s">
        <v>91</v>
      </c>
      <c r="C615" s="3" t="s">
        <v>13</v>
      </c>
      <c r="D615" s="4">
        <v>4.1140252270858442E-2</v>
      </c>
      <c r="E615" s="3" t="s">
        <v>7</v>
      </c>
      <c r="G615" s="3" t="s">
        <v>92</v>
      </c>
      <c r="H615" s="3" t="s">
        <v>13</v>
      </c>
      <c r="I615" s="5">
        <v>2.2885019956285141E-2</v>
      </c>
      <c r="J615" s="3" t="s">
        <v>7</v>
      </c>
      <c r="L615" s="3" t="s">
        <v>93</v>
      </c>
      <c r="M615" s="3" t="s">
        <v>13</v>
      </c>
      <c r="N615" s="5">
        <v>2.3700012228222413E-2</v>
      </c>
      <c r="O615" s="3" t="s">
        <v>7</v>
      </c>
    </row>
    <row r="616" spans="2:15" x14ac:dyDescent="0.45">
      <c r="B616" s="6" t="s">
        <v>91</v>
      </c>
      <c r="C616" s="6" t="s">
        <v>14</v>
      </c>
      <c r="D616" s="7">
        <v>4.1409104627699478E-2</v>
      </c>
      <c r="E616" s="6" t="s">
        <v>7</v>
      </c>
      <c r="G616" s="6" t="s">
        <v>92</v>
      </c>
      <c r="H616" s="6" t="s">
        <v>14</v>
      </c>
      <c r="I616" s="8">
        <v>2.3847254261163402E-2</v>
      </c>
      <c r="J616" s="6" t="s">
        <v>7</v>
      </c>
      <c r="L616" s="6" t="s">
        <v>93</v>
      </c>
      <c r="M616" s="6" t="s">
        <v>14</v>
      </c>
      <c r="N616" s="8">
        <v>2.3789433321788515E-2</v>
      </c>
      <c r="O616" s="6" t="s">
        <v>7</v>
      </c>
    </row>
    <row r="617" spans="2:15" x14ac:dyDescent="0.45">
      <c r="B617" s="3" t="s">
        <v>91</v>
      </c>
      <c r="C617" s="3" t="s">
        <v>15</v>
      </c>
      <c r="D617" s="4">
        <v>2.156493370886042E-2</v>
      </c>
      <c r="E617" s="3" t="s">
        <v>7</v>
      </c>
      <c r="G617" s="3" t="s">
        <v>92</v>
      </c>
      <c r="H617" s="3" t="s">
        <v>15</v>
      </c>
      <c r="I617" s="5">
        <v>2.3677077023775982E-2</v>
      </c>
      <c r="J617" s="3" t="s">
        <v>7</v>
      </c>
      <c r="L617" s="3" t="s">
        <v>93</v>
      </c>
      <c r="M617" s="3" t="s">
        <v>15</v>
      </c>
      <c r="N617" s="5">
        <v>2.3974271694055697E-2</v>
      </c>
      <c r="O617" s="3" t="s">
        <v>7</v>
      </c>
    </row>
    <row r="618" spans="2:15" x14ac:dyDescent="0.45">
      <c r="B618" s="6" t="s">
        <v>91</v>
      </c>
      <c r="C618" s="6" t="s">
        <v>16</v>
      </c>
      <c r="D618" s="7">
        <v>2.0340039591147984E-3</v>
      </c>
      <c r="E618" s="6" t="s">
        <v>7</v>
      </c>
      <c r="G618" s="6" t="s">
        <v>92</v>
      </c>
      <c r="H618" s="6" t="s">
        <v>16</v>
      </c>
      <c r="I618" s="8">
        <v>2.3977312663673221E-2</v>
      </c>
      <c r="J618" s="6" t="s">
        <v>7</v>
      </c>
      <c r="L618" s="6" t="s">
        <v>93</v>
      </c>
      <c r="M618" s="6" t="s">
        <v>16</v>
      </c>
      <c r="N618" s="8">
        <v>2.4056331663434405E-2</v>
      </c>
      <c r="O618" s="6" t="s">
        <v>7</v>
      </c>
    </row>
    <row r="619" spans="2:15" x14ac:dyDescent="0.45">
      <c r="B619" s="3" t="s">
        <v>91</v>
      </c>
      <c r="C619" s="3" t="s">
        <v>17</v>
      </c>
      <c r="D619" s="4">
        <v>0</v>
      </c>
      <c r="E619" s="3" t="s">
        <v>7</v>
      </c>
      <c r="G619" s="3" t="s">
        <v>92</v>
      </c>
      <c r="H619" s="3" t="s">
        <v>17</v>
      </c>
      <c r="I619" s="5">
        <v>2.4877453758578708E-2</v>
      </c>
      <c r="J619" s="3" t="s">
        <v>7</v>
      </c>
      <c r="L619" s="3" t="s">
        <v>93</v>
      </c>
      <c r="M619" s="3" t="s">
        <v>17</v>
      </c>
      <c r="N619" s="5">
        <v>2.3800879399015429E-2</v>
      </c>
      <c r="O619" s="3" t="s">
        <v>7</v>
      </c>
    </row>
    <row r="620" spans="2:15" x14ac:dyDescent="0.45">
      <c r="B620" s="6" t="s">
        <v>91</v>
      </c>
      <c r="C620" s="6" t="s">
        <v>18</v>
      </c>
      <c r="D620" s="7">
        <v>0</v>
      </c>
      <c r="E620" s="6" t="s">
        <v>7</v>
      </c>
      <c r="G620" s="6" t="s">
        <v>92</v>
      </c>
      <c r="H620" s="6" t="s">
        <v>18</v>
      </c>
      <c r="I620" s="8">
        <v>3.7362330321778825E-2</v>
      </c>
      <c r="J620" s="6" t="s">
        <v>7</v>
      </c>
      <c r="L620" s="6" t="s">
        <v>93</v>
      </c>
      <c r="M620" s="6" t="s">
        <v>18</v>
      </c>
      <c r="N620" s="8">
        <v>3.5495033691948404E-2</v>
      </c>
      <c r="O620" s="6" t="s">
        <v>7</v>
      </c>
    </row>
    <row r="621" spans="2:15" x14ac:dyDescent="0.45">
      <c r="B621" s="3" t="s">
        <v>91</v>
      </c>
      <c r="C621" s="3" t="s">
        <v>19</v>
      </c>
      <c r="D621" s="4">
        <v>0</v>
      </c>
      <c r="E621" s="3" t="s">
        <v>7</v>
      </c>
      <c r="G621" s="3" t="s">
        <v>92</v>
      </c>
      <c r="H621" s="3" t="s">
        <v>19</v>
      </c>
      <c r="I621" s="5">
        <v>5.5833376978417185E-2</v>
      </c>
      <c r="J621" s="3" t="s">
        <v>7</v>
      </c>
      <c r="L621" s="3" t="s">
        <v>93</v>
      </c>
      <c r="M621" s="3" t="s">
        <v>19</v>
      </c>
      <c r="N621" s="5">
        <v>5.8908547550283165E-2</v>
      </c>
      <c r="O621" s="3" t="s">
        <v>7</v>
      </c>
    </row>
    <row r="622" spans="2:15" x14ac:dyDescent="0.45">
      <c r="B622" s="6" t="s">
        <v>91</v>
      </c>
      <c r="C622" s="6" t="s">
        <v>20</v>
      </c>
      <c r="D622" s="7">
        <v>8.4204880714890823E-4</v>
      </c>
      <c r="E622" s="6" t="s">
        <v>7</v>
      </c>
      <c r="G622" s="6" t="s">
        <v>92</v>
      </c>
      <c r="H622" s="6" t="s">
        <v>20</v>
      </c>
      <c r="I622" s="8">
        <v>2.1600156031324085E-2</v>
      </c>
      <c r="J622" s="6" t="s">
        <v>7</v>
      </c>
      <c r="L622" s="6" t="s">
        <v>93</v>
      </c>
      <c r="M622" s="6" t="s">
        <v>20</v>
      </c>
      <c r="N622" s="8">
        <v>2.318484152073182E-2</v>
      </c>
      <c r="O622" s="6" t="s">
        <v>7</v>
      </c>
    </row>
    <row r="623" spans="2:15" x14ac:dyDescent="0.45">
      <c r="B623" s="3" t="s">
        <v>91</v>
      </c>
      <c r="C623" s="3" t="s">
        <v>21</v>
      </c>
      <c r="D623" s="4">
        <v>1.9371732516105068E-2</v>
      </c>
      <c r="E623" s="3" t="s">
        <v>7</v>
      </c>
      <c r="G623" s="3" t="s">
        <v>92</v>
      </c>
      <c r="H623" s="3" t="s">
        <v>21</v>
      </c>
      <c r="I623" s="5">
        <v>2.1730695835541831E-2</v>
      </c>
      <c r="J623" s="3" t="s">
        <v>7</v>
      </c>
      <c r="L623" s="3" t="s">
        <v>93</v>
      </c>
      <c r="M623" s="3" t="s">
        <v>21</v>
      </c>
      <c r="N623" s="5">
        <v>2.27005386311806E-2</v>
      </c>
      <c r="O623" s="3" t="s">
        <v>7</v>
      </c>
    </row>
    <row r="624" spans="2:15" x14ac:dyDescent="0.45">
      <c r="B624" s="6" t="s">
        <v>91</v>
      </c>
      <c r="C624" s="6" t="s">
        <v>22</v>
      </c>
      <c r="D624" s="7">
        <v>5.6447978795938818E-2</v>
      </c>
      <c r="E624" s="6" t="s">
        <v>7</v>
      </c>
      <c r="G624" s="6" t="s">
        <v>92</v>
      </c>
      <c r="H624" s="6" t="s">
        <v>22</v>
      </c>
      <c r="I624" s="8">
        <v>2.1517148841144609E-2</v>
      </c>
      <c r="J624" s="6" t="s">
        <v>7</v>
      </c>
      <c r="L624" s="6" t="s">
        <v>93</v>
      </c>
      <c r="M624" s="6" t="s">
        <v>22</v>
      </c>
      <c r="N624" s="8">
        <v>2.2266701104348845E-2</v>
      </c>
      <c r="O624" s="6" t="s">
        <v>7</v>
      </c>
    </row>
    <row r="625" spans="2:15" x14ac:dyDescent="0.45">
      <c r="B625" s="3" t="s">
        <v>91</v>
      </c>
      <c r="C625" s="3" t="s">
        <v>23</v>
      </c>
      <c r="D625" s="4">
        <v>7.4940729346316806E-2</v>
      </c>
      <c r="E625" s="3" t="s">
        <v>7</v>
      </c>
      <c r="G625" s="3" t="s">
        <v>92</v>
      </c>
      <c r="H625" s="3" t="s">
        <v>23</v>
      </c>
      <c r="I625" s="5">
        <v>2.1264386351814418E-2</v>
      </c>
      <c r="J625" s="3" t="s">
        <v>7</v>
      </c>
      <c r="L625" s="3" t="s">
        <v>93</v>
      </c>
      <c r="M625" s="3" t="s">
        <v>23</v>
      </c>
      <c r="N625" s="5">
        <v>2.2241940273956581E-2</v>
      </c>
      <c r="O625" s="3" t="s">
        <v>7</v>
      </c>
    </row>
    <row r="626" spans="2:15" x14ac:dyDescent="0.45">
      <c r="B626" s="6" t="s">
        <v>91</v>
      </c>
      <c r="C626" s="6" t="s">
        <v>24</v>
      </c>
      <c r="D626" s="7">
        <v>7.4354941137696876E-2</v>
      </c>
      <c r="E626" s="6" t="s">
        <v>7</v>
      </c>
      <c r="G626" s="6" t="s">
        <v>92</v>
      </c>
      <c r="H626" s="6" t="s">
        <v>24</v>
      </c>
      <c r="I626" s="8">
        <v>2.2185615320115711E-2</v>
      </c>
      <c r="J626" s="6" t="s">
        <v>7</v>
      </c>
      <c r="L626" s="6" t="s">
        <v>93</v>
      </c>
      <c r="M626" s="6" t="s">
        <v>24</v>
      </c>
      <c r="N626" s="8">
        <v>2.2805371347522162E-2</v>
      </c>
      <c r="O626" s="6" t="s">
        <v>7</v>
      </c>
    </row>
    <row r="627" spans="2:15" x14ac:dyDescent="0.45">
      <c r="B627" s="3" t="s">
        <v>91</v>
      </c>
      <c r="C627" s="3" t="s">
        <v>25</v>
      </c>
      <c r="D627" s="4">
        <v>5.4677963098415112E-2</v>
      </c>
      <c r="E627" s="3" t="s">
        <v>7</v>
      </c>
      <c r="G627" s="3" t="s">
        <v>92</v>
      </c>
      <c r="H627" s="3" t="s">
        <v>25</v>
      </c>
      <c r="I627" s="5">
        <v>2.3103059025140177E-2</v>
      </c>
      <c r="J627" s="3" t="s">
        <v>7</v>
      </c>
      <c r="L627" s="3" t="s">
        <v>93</v>
      </c>
      <c r="M627" s="3" t="s">
        <v>25</v>
      </c>
      <c r="N627" s="5">
        <v>2.3476885938679623E-2</v>
      </c>
      <c r="O627" s="3" t="s">
        <v>7</v>
      </c>
    </row>
    <row r="628" spans="2:15" x14ac:dyDescent="0.45">
      <c r="B628" s="6" t="s">
        <v>91</v>
      </c>
      <c r="C628" s="6" t="s">
        <v>26</v>
      </c>
      <c r="D628" s="7">
        <v>2.1452966713006165E-2</v>
      </c>
      <c r="E628" s="6" t="s">
        <v>7</v>
      </c>
      <c r="G628" s="6" t="s">
        <v>92</v>
      </c>
      <c r="H628" s="6" t="s">
        <v>26</v>
      </c>
      <c r="I628" s="8">
        <v>2.249273859732184E-2</v>
      </c>
      <c r="J628" s="6" t="s">
        <v>7</v>
      </c>
      <c r="L628" s="6" t="s">
        <v>93</v>
      </c>
      <c r="M628" s="6" t="s">
        <v>26</v>
      </c>
      <c r="N628" s="8">
        <v>2.4001630140586937E-2</v>
      </c>
      <c r="O628" s="6" t="s">
        <v>7</v>
      </c>
    </row>
    <row r="629" spans="2:15" x14ac:dyDescent="0.45">
      <c r="B629" s="3" t="s">
        <v>91</v>
      </c>
      <c r="C629" s="3" t="s">
        <v>27</v>
      </c>
      <c r="D629" s="4">
        <v>1.0392797803393107E-3</v>
      </c>
      <c r="E629" s="3" t="s">
        <v>7</v>
      </c>
      <c r="G629" s="3" t="s">
        <v>92</v>
      </c>
      <c r="H629" s="3" t="s">
        <v>27</v>
      </c>
      <c r="I629" s="5">
        <v>2.2771793662548532E-2</v>
      </c>
      <c r="J629" s="3" t="s">
        <v>7</v>
      </c>
      <c r="L629" s="3" t="s">
        <v>93</v>
      </c>
      <c r="M629" s="3" t="s">
        <v>27</v>
      </c>
      <c r="N629" s="5">
        <v>2.4171150103514748E-2</v>
      </c>
      <c r="O629" s="3" t="s">
        <v>7</v>
      </c>
    </row>
    <row r="630" spans="2:15" x14ac:dyDescent="0.45">
      <c r="B630" s="6" t="s">
        <v>91</v>
      </c>
      <c r="C630" s="6" t="s">
        <v>28</v>
      </c>
      <c r="D630" s="7">
        <v>0</v>
      </c>
      <c r="E630" s="6" t="s">
        <v>7</v>
      </c>
      <c r="G630" s="6" t="s">
        <v>92</v>
      </c>
      <c r="H630" s="6" t="s">
        <v>28</v>
      </c>
      <c r="I630" s="8">
        <v>3.3692155553451994E-2</v>
      </c>
      <c r="J630" s="6" t="s">
        <v>7</v>
      </c>
      <c r="L630" s="6" t="s">
        <v>93</v>
      </c>
      <c r="M630" s="6" t="s">
        <v>28</v>
      </c>
      <c r="N630" s="8">
        <v>3.4972117621406958E-2</v>
      </c>
      <c r="O630" s="6" t="s">
        <v>7</v>
      </c>
    </row>
    <row r="631" spans="2:15" x14ac:dyDescent="0.45">
      <c r="B631" s="3" t="s">
        <v>91</v>
      </c>
      <c r="C631" s="3" t="s">
        <v>29</v>
      </c>
      <c r="D631" s="4">
        <v>0</v>
      </c>
      <c r="E631" s="3" t="s">
        <v>7</v>
      </c>
      <c r="G631" s="3" t="s">
        <v>92</v>
      </c>
      <c r="H631" s="3" t="s">
        <v>29</v>
      </c>
      <c r="I631" s="5">
        <v>3.9458650156331952E-2</v>
      </c>
      <c r="J631" s="3" t="s">
        <v>7</v>
      </c>
      <c r="L631" s="3" t="s">
        <v>93</v>
      </c>
      <c r="M631" s="3" t="s">
        <v>29</v>
      </c>
      <c r="N631" s="5">
        <v>4.1673357613375699E-2</v>
      </c>
      <c r="O631" s="3" t="s">
        <v>7</v>
      </c>
    </row>
    <row r="632" spans="2:15" x14ac:dyDescent="0.45">
      <c r="B632" s="6" t="s">
        <v>91</v>
      </c>
      <c r="C632" s="6" t="s">
        <v>30</v>
      </c>
      <c r="D632" s="7">
        <v>2.015388638074306E-3</v>
      </c>
      <c r="E632" s="6" t="s">
        <v>7</v>
      </c>
      <c r="G632" s="6" t="s">
        <v>92</v>
      </c>
      <c r="H632" s="6" t="s">
        <v>30</v>
      </c>
      <c r="I632" s="8">
        <v>1.4632337470254459E-2</v>
      </c>
      <c r="J632" s="6" t="s">
        <v>7</v>
      </c>
      <c r="L632" s="6" t="s">
        <v>93</v>
      </c>
      <c r="M632" s="6" t="s">
        <v>30</v>
      </c>
      <c r="N632" s="8">
        <v>1.6162791433622752E-2</v>
      </c>
      <c r="O632" s="6" t="s">
        <v>7</v>
      </c>
    </row>
    <row r="633" spans="2:15" x14ac:dyDescent="0.45">
      <c r="B633" s="3" t="s">
        <v>91</v>
      </c>
      <c r="C633" s="3" t="s">
        <v>31</v>
      </c>
      <c r="D633" s="4">
        <v>2.5657489802259147E-2</v>
      </c>
      <c r="E633" s="3" t="s">
        <v>7</v>
      </c>
      <c r="G633" s="3" t="s">
        <v>92</v>
      </c>
      <c r="H633" s="3" t="s">
        <v>31</v>
      </c>
      <c r="I633" s="5">
        <v>1.4462479395209157E-2</v>
      </c>
      <c r="J633" s="3" t="s">
        <v>7</v>
      </c>
      <c r="L633" s="3" t="s">
        <v>93</v>
      </c>
      <c r="M633" s="3" t="s">
        <v>31</v>
      </c>
      <c r="N633" s="5">
        <v>1.5775148715812055E-2</v>
      </c>
      <c r="O633" s="3" t="s">
        <v>7</v>
      </c>
    </row>
    <row r="634" spans="2:15" x14ac:dyDescent="0.45">
      <c r="B634" s="6" t="s">
        <v>91</v>
      </c>
      <c r="C634" s="6" t="s">
        <v>32</v>
      </c>
      <c r="D634" s="7">
        <v>6.5587119602686483E-2</v>
      </c>
      <c r="E634" s="6" t="s">
        <v>7</v>
      </c>
      <c r="G634" s="6" t="s">
        <v>92</v>
      </c>
      <c r="H634" s="6" t="s">
        <v>32</v>
      </c>
      <c r="I634" s="8">
        <v>1.3939933311094804E-2</v>
      </c>
      <c r="J634" s="6" t="s">
        <v>7</v>
      </c>
      <c r="L634" s="6" t="s">
        <v>93</v>
      </c>
      <c r="M634" s="6" t="s">
        <v>32</v>
      </c>
      <c r="N634" s="8">
        <v>1.5455808283502005E-2</v>
      </c>
      <c r="O634" s="6" t="s">
        <v>7</v>
      </c>
    </row>
    <row r="635" spans="2:15" x14ac:dyDescent="0.45">
      <c r="B635" s="3" t="s">
        <v>91</v>
      </c>
      <c r="C635" s="3" t="s">
        <v>33</v>
      </c>
      <c r="D635" s="4">
        <v>8.8993008544873645E-2</v>
      </c>
      <c r="E635" s="3" t="s">
        <v>7</v>
      </c>
      <c r="G635" s="3" t="s">
        <v>92</v>
      </c>
      <c r="H635" s="3" t="s">
        <v>33</v>
      </c>
      <c r="I635" s="5">
        <v>1.4000491833306403E-2</v>
      </c>
      <c r="J635" s="3" t="s">
        <v>7</v>
      </c>
      <c r="L635" s="3" t="s">
        <v>93</v>
      </c>
      <c r="M635" s="3" t="s">
        <v>33</v>
      </c>
      <c r="N635" s="5">
        <v>1.514969193420183E-2</v>
      </c>
      <c r="O635" s="3" t="s">
        <v>7</v>
      </c>
    </row>
    <row r="636" spans="2:15" x14ac:dyDescent="0.45">
      <c r="B636" s="6" t="s">
        <v>91</v>
      </c>
      <c r="C636" s="6" t="s">
        <v>34</v>
      </c>
      <c r="D636" s="7">
        <v>8.8796485227375835E-2</v>
      </c>
      <c r="E636" s="6" t="s">
        <v>7</v>
      </c>
      <c r="G636" s="6" t="s">
        <v>92</v>
      </c>
      <c r="H636" s="6" t="s">
        <v>34</v>
      </c>
      <c r="I636" s="8">
        <v>1.5518317345491269E-2</v>
      </c>
      <c r="J636" s="6" t="s">
        <v>7</v>
      </c>
      <c r="L636" s="6" t="s">
        <v>93</v>
      </c>
      <c r="M636" s="6" t="s">
        <v>34</v>
      </c>
      <c r="N636" s="8">
        <v>1.596981036232081E-2</v>
      </c>
      <c r="O636" s="6" t="s">
        <v>7</v>
      </c>
    </row>
    <row r="637" spans="2:15" x14ac:dyDescent="0.45">
      <c r="B637" s="3" t="s">
        <v>91</v>
      </c>
      <c r="C637" s="3" t="s">
        <v>35</v>
      </c>
      <c r="D637" s="4">
        <v>7.0218994232036216E-2</v>
      </c>
      <c r="E637" s="3" t="s">
        <v>7</v>
      </c>
      <c r="G637" s="3" t="s">
        <v>92</v>
      </c>
      <c r="H637" s="3" t="s">
        <v>35</v>
      </c>
      <c r="I637" s="5">
        <v>1.6619140254585558E-2</v>
      </c>
      <c r="J637" s="3" t="s">
        <v>7</v>
      </c>
      <c r="L637" s="3" t="s">
        <v>93</v>
      </c>
      <c r="M637" s="3" t="s">
        <v>35</v>
      </c>
      <c r="N637" s="5">
        <v>1.7199585135958092E-2</v>
      </c>
      <c r="O637" s="3" t="s">
        <v>7</v>
      </c>
    </row>
    <row r="638" spans="2:15" x14ac:dyDescent="0.45">
      <c r="B638" s="6" t="s">
        <v>91</v>
      </c>
      <c r="C638" s="6" t="s">
        <v>36</v>
      </c>
      <c r="D638" s="7">
        <v>3.3195200755428658E-2</v>
      </c>
      <c r="E638" s="6" t="s">
        <v>7</v>
      </c>
      <c r="G638" s="6" t="s">
        <v>92</v>
      </c>
      <c r="H638" s="6" t="s">
        <v>36</v>
      </c>
      <c r="I638" s="8">
        <v>1.65556114766005E-2</v>
      </c>
      <c r="J638" s="6" t="s">
        <v>7</v>
      </c>
      <c r="L638" s="6" t="s">
        <v>93</v>
      </c>
      <c r="M638" s="6" t="s">
        <v>36</v>
      </c>
      <c r="N638" s="8">
        <v>1.7866784900985033E-2</v>
      </c>
      <c r="O638" s="6" t="s">
        <v>7</v>
      </c>
    </row>
    <row r="639" spans="2:15" x14ac:dyDescent="0.45">
      <c r="B639" s="3" t="s">
        <v>91</v>
      </c>
      <c r="C639" s="3" t="s">
        <v>37</v>
      </c>
      <c r="D639" s="4">
        <v>3.1930554719715267E-3</v>
      </c>
      <c r="E639" s="3" t="s">
        <v>7</v>
      </c>
      <c r="G639" s="3" t="s">
        <v>92</v>
      </c>
      <c r="H639" s="3" t="s">
        <v>37</v>
      </c>
      <c r="I639" s="5">
        <v>1.6776453968479241E-2</v>
      </c>
      <c r="J639" s="3" t="s">
        <v>7</v>
      </c>
      <c r="L639" s="3" t="s">
        <v>93</v>
      </c>
      <c r="M639" s="3" t="s">
        <v>37</v>
      </c>
      <c r="N639" s="5">
        <v>1.7419517832948848E-2</v>
      </c>
      <c r="O639" s="3" t="s">
        <v>7</v>
      </c>
    </row>
    <row r="640" spans="2:15" x14ac:dyDescent="0.45">
      <c r="B640" s="6" t="s">
        <v>91</v>
      </c>
      <c r="C640" s="6" t="s">
        <v>38</v>
      </c>
      <c r="D640" s="7">
        <v>0</v>
      </c>
      <c r="E640" s="6" t="s">
        <v>7</v>
      </c>
      <c r="G640" s="6" t="s">
        <v>92</v>
      </c>
      <c r="H640" s="6" t="s">
        <v>38</v>
      </c>
      <c r="I640" s="8">
        <v>2.4862358698671729E-2</v>
      </c>
      <c r="J640" s="6" t="s">
        <v>7</v>
      </c>
      <c r="L640" s="6" t="s">
        <v>93</v>
      </c>
      <c r="M640" s="6" t="s">
        <v>38</v>
      </c>
      <c r="N640" s="8">
        <v>2.4915836106437935E-2</v>
      </c>
      <c r="O640" s="6" t="s">
        <v>7</v>
      </c>
    </row>
    <row r="641" spans="2:15" x14ac:dyDescent="0.45">
      <c r="B641" s="3" t="s">
        <v>91</v>
      </c>
      <c r="C641" s="3" t="s">
        <v>39</v>
      </c>
      <c r="D641" s="4">
        <v>0</v>
      </c>
      <c r="E641" s="3" t="s">
        <v>7</v>
      </c>
      <c r="G641" s="3" t="s">
        <v>92</v>
      </c>
      <c r="H641" s="3" t="s">
        <v>39</v>
      </c>
      <c r="I641" s="5">
        <v>5.219354762261838E-2</v>
      </c>
      <c r="J641" s="3" t="s">
        <v>7</v>
      </c>
      <c r="L641" s="3" t="s">
        <v>93</v>
      </c>
      <c r="M641" s="3" t="s">
        <v>39</v>
      </c>
      <c r="N641" s="5">
        <v>4.9111473457085185E-2</v>
      </c>
      <c r="O641" s="3" t="s">
        <v>7</v>
      </c>
    </row>
    <row r="642" spans="2:15" x14ac:dyDescent="0.45">
      <c r="B642" s="6" t="s">
        <v>91</v>
      </c>
      <c r="C642" s="6" t="s">
        <v>40</v>
      </c>
      <c r="D642" s="7">
        <v>0</v>
      </c>
      <c r="E642" s="6" t="s">
        <v>7</v>
      </c>
      <c r="G642" s="6" t="s">
        <v>92</v>
      </c>
      <c r="H642" s="6" t="s">
        <v>40</v>
      </c>
      <c r="I642" s="8">
        <v>2.030720958085307E-2</v>
      </c>
      <c r="J642" s="6" t="s">
        <v>7</v>
      </c>
      <c r="L642" s="6" t="s">
        <v>93</v>
      </c>
      <c r="M642" s="6" t="s">
        <v>40</v>
      </c>
      <c r="N642" s="8">
        <v>1.9444795422970954E-2</v>
      </c>
      <c r="O642" s="6" t="s">
        <v>7</v>
      </c>
    </row>
    <row r="643" spans="2:15" x14ac:dyDescent="0.45">
      <c r="B643" s="3" t="s">
        <v>91</v>
      </c>
      <c r="C643" s="3" t="s">
        <v>41</v>
      </c>
      <c r="D643" s="4">
        <v>6.4655413467314638E-3</v>
      </c>
      <c r="E643" s="3" t="s">
        <v>7</v>
      </c>
      <c r="G643" s="3" t="s">
        <v>92</v>
      </c>
      <c r="H643" s="3" t="s">
        <v>41</v>
      </c>
      <c r="I643" s="5">
        <v>2.0662468009311742E-2</v>
      </c>
      <c r="J643" s="3" t="s">
        <v>7</v>
      </c>
      <c r="L643" s="3" t="s">
        <v>93</v>
      </c>
      <c r="M643" s="3" t="s">
        <v>41</v>
      </c>
      <c r="N643" s="5">
        <v>1.9497215814876949E-2</v>
      </c>
      <c r="O643" s="3" t="s">
        <v>7</v>
      </c>
    </row>
    <row r="644" spans="2:15" x14ac:dyDescent="0.45">
      <c r="B644" s="6" t="s">
        <v>91</v>
      </c>
      <c r="C644" s="6" t="s">
        <v>42</v>
      </c>
      <c r="D644" s="7">
        <v>3.5965678974361551E-2</v>
      </c>
      <c r="E644" s="6" t="s">
        <v>7</v>
      </c>
      <c r="G644" s="6" t="s">
        <v>92</v>
      </c>
      <c r="H644" s="6" t="s">
        <v>42</v>
      </c>
      <c r="I644" s="8">
        <v>2.0150678655521798E-2</v>
      </c>
      <c r="J644" s="6" t="s">
        <v>7</v>
      </c>
      <c r="L644" s="6" t="s">
        <v>93</v>
      </c>
      <c r="M644" s="6" t="s">
        <v>42</v>
      </c>
      <c r="N644" s="8">
        <v>1.9305140597933829E-2</v>
      </c>
      <c r="O644" s="6" t="s">
        <v>7</v>
      </c>
    </row>
    <row r="645" spans="2:15" x14ac:dyDescent="0.45">
      <c r="B645" s="3" t="s">
        <v>91</v>
      </c>
      <c r="C645" s="3" t="s">
        <v>43</v>
      </c>
      <c r="D645" s="4">
        <v>5.749029962938889E-2</v>
      </c>
      <c r="E645" s="3" t="s">
        <v>7</v>
      </c>
      <c r="G645" s="3" t="s">
        <v>92</v>
      </c>
      <c r="H645" s="3" t="s">
        <v>43</v>
      </c>
      <c r="I645" s="5">
        <v>2.0517717953885219E-2</v>
      </c>
      <c r="J645" s="3" t="s">
        <v>7</v>
      </c>
      <c r="L645" s="3" t="s">
        <v>93</v>
      </c>
      <c r="M645" s="3" t="s">
        <v>43</v>
      </c>
      <c r="N645" s="5">
        <v>1.928270693071971E-2</v>
      </c>
      <c r="O645" s="3" t="s">
        <v>7</v>
      </c>
    </row>
    <row r="646" spans="2:15" x14ac:dyDescent="0.45">
      <c r="B646" s="6" t="s">
        <v>91</v>
      </c>
      <c r="C646" s="6" t="s">
        <v>44</v>
      </c>
      <c r="D646" s="7">
        <v>5.5080062710960248E-2</v>
      </c>
      <c r="E646" s="6" t="s">
        <v>7</v>
      </c>
      <c r="G646" s="6" t="s">
        <v>92</v>
      </c>
      <c r="H646" s="6" t="s">
        <v>44</v>
      </c>
      <c r="I646" s="8">
        <v>2.1665522501283917E-2</v>
      </c>
      <c r="J646" s="6" t="s">
        <v>7</v>
      </c>
      <c r="L646" s="6" t="s">
        <v>93</v>
      </c>
      <c r="M646" s="6" t="s">
        <v>44</v>
      </c>
      <c r="N646" s="8">
        <v>1.9225295799254569E-2</v>
      </c>
      <c r="O646" s="6" t="s">
        <v>7</v>
      </c>
    </row>
    <row r="647" spans="2:15" x14ac:dyDescent="0.45">
      <c r="B647" s="3" t="s">
        <v>91</v>
      </c>
      <c r="C647" s="3" t="s">
        <v>45</v>
      </c>
      <c r="D647" s="4">
        <v>3.3249439255284167E-2</v>
      </c>
      <c r="E647" s="3" t="s">
        <v>7</v>
      </c>
      <c r="G647" s="3" t="s">
        <v>92</v>
      </c>
      <c r="H647" s="3" t="s">
        <v>45</v>
      </c>
      <c r="I647" s="5">
        <v>2.1844097239586979E-2</v>
      </c>
      <c r="J647" s="3" t="s">
        <v>7</v>
      </c>
      <c r="L647" s="3" t="s">
        <v>93</v>
      </c>
      <c r="M647" s="3" t="s">
        <v>45</v>
      </c>
      <c r="N647" s="5">
        <v>1.9946455536947523E-2</v>
      </c>
      <c r="O647" s="3" t="s">
        <v>7</v>
      </c>
    </row>
    <row r="648" spans="2:15" x14ac:dyDescent="0.45">
      <c r="B648" s="6" t="s">
        <v>91</v>
      </c>
      <c r="C648" s="6" t="s">
        <v>46</v>
      </c>
      <c r="D648" s="7">
        <v>6.3007858638278857E-3</v>
      </c>
      <c r="E648" s="6" t="s">
        <v>7</v>
      </c>
      <c r="G648" s="6" t="s">
        <v>92</v>
      </c>
      <c r="H648" s="6" t="s">
        <v>46</v>
      </c>
      <c r="I648" s="8">
        <v>2.2358042390385777E-2</v>
      </c>
      <c r="J648" s="6" t="s">
        <v>7</v>
      </c>
      <c r="L648" s="6" t="s">
        <v>93</v>
      </c>
      <c r="M648" s="6" t="s">
        <v>46</v>
      </c>
      <c r="N648" s="8">
        <v>2.0558761512447742E-2</v>
      </c>
      <c r="O648" s="6" t="s">
        <v>7</v>
      </c>
    </row>
    <row r="649" spans="2:15" x14ac:dyDescent="0.45">
      <c r="B649" s="3" t="s">
        <v>91</v>
      </c>
      <c r="C649" s="3" t="s">
        <v>47</v>
      </c>
      <c r="D649" s="4">
        <v>1.2803277106331124E-5</v>
      </c>
      <c r="E649" s="3" t="s">
        <v>7</v>
      </c>
      <c r="G649" s="3" t="s">
        <v>92</v>
      </c>
      <c r="H649" s="3" t="s">
        <v>47</v>
      </c>
      <c r="I649" s="5">
        <v>2.2451506019088487E-2</v>
      </c>
      <c r="J649" s="3" t="s">
        <v>7</v>
      </c>
      <c r="L649" s="3" t="s">
        <v>93</v>
      </c>
      <c r="M649" s="3" t="s">
        <v>47</v>
      </c>
      <c r="N649" s="5">
        <v>2.0796812358636809E-2</v>
      </c>
      <c r="O649" s="3" t="s">
        <v>7</v>
      </c>
    </row>
    <row r="650" spans="2:15" x14ac:dyDescent="0.45">
      <c r="B650" s="6" t="s">
        <v>91</v>
      </c>
      <c r="C650" s="6" t="s">
        <v>48</v>
      </c>
      <c r="D650" s="7">
        <v>0</v>
      </c>
      <c r="E650" s="6" t="s">
        <v>7</v>
      </c>
      <c r="G650" s="6" t="s">
        <v>92</v>
      </c>
      <c r="H650" s="6" t="s">
        <v>48</v>
      </c>
      <c r="I650" s="8">
        <v>3.2385197701261324E-2</v>
      </c>
      <c r="J650" s="6" t="s">
        <v>7</v>
      </c>
      <c r="L650" s="6" t="s">
        <v>93</v>
      </c>
      <c r="M650" s="6" t="s">
        <v>48</v>
      </c>
      <c r="N650" s="8">
        <v>3.0274244308057946E-2</v>
      </c>
      <c r="O650" s="6" t="s">
        <v>7</v>
      </c>
    </row>
    <row r="651" spans="2:15" x14ac:dyDescent="0.45">
      <c r="B651" s="3" t="s">
        <v>94</v>
      </c>
      <c r="C651" s="3" t="s">
        <v>6</v>
      </c>
      <c r="D651" s="4">
        <v>0</v>
      </c>
      <c r="E651" s="3" t="s">
        <v>7</v>
      </c>
      <c r="G651" s="3" t="s">
        <v>95</v>
      </c>
      <c r="H651" s="3" t="s">
        <v>6</v>
      </c>
      <c r="I651" s="5">
        <v>6.6162488521093521E-2</v>
      </c>
      <c r="J651" s="3" t="s">
        <v>7</v>
      </c>
      <c r="L651" s="3" t="s">
        <v>96</v>
      </c>
      <c r="M651" s="3" t="s">
        <v>6</v>
      </c>
      <c r="N651" s="5">
        <v>5.8803789255614684E-2</v>
      </c>
      <c r="O651" s="3" t="s">
        <v>7</v>
      </c>
    </row>
    <row r="652" spans="2:15" x14ac:dyDescent="0.45">
      <c r="B652" s="6" t="s">
        <v>94</v>
      </c>
      <c r="C652" s="6" t="s">
        <v>10</v>
      </c>
      <c r="D652" s="7">
        <v>0</v>
      </c>
      <c r="E652" s="6" t="s">
        <v>7</v>
      </c>
      <c r="G652" s="6" t="s">
        <v>95</v>
      </c>
      <c r="H652" s="6" t="s">
        <v>10</v>
      </c>
      <c r="I652" s="8">
        <v>2.6018899946851724E-2</v>
      </c>
      <c r="J652" s="6" t="s">
        <v>7</v>
      </c>
      <c r="L652" s="6" t="s">
        <v>96</v>
      </c>
      <c r="M652" s="6" t="s">
        <v>10</v>
      </c>
      <c r="N652" s="8">
        <v>2.3641675575596759E-2</v>
      </c>
      <c r="O652" s="6" t="s">
        <v>7</v>
      </c>
    </row>
    <row r="653" spans="2:15" x14ac:dyDescent="0.45">
      <c r="B653" s="3" t="s">
        <v>94</v>
      </c>
      <c r="C653" s="3" t="s">
        <v>11</v>
      </c>
      <c r="D653" s="4">
        <v>2.7583368747691021E-4</v>
      </c>
      <c r="E653" s="3" t="s">
        <v>7</v>
      </c>
      <c r="G653" s="3" t="s">
        <v>95</v>
      </c>
      <c r="H653" s="3" t="s">
        <v>11</v>
      </c>
      <c r="I653" s="5">
        <v>2.6188128831231623E-2</v>
      </c>
      <c r="J653" s="3" t="s">
        <v>7</v>
      </c>
      <c r="L653" s="3" t="s">
        <v>96</v>
      </c>
      <c r="M653" s="3" t="s">
        <v>11</v>
      </c>
      <c r="N653" s="5">
        <v>2.3921089700013214E-2</v>
      </c>
      <c r="O653" s="3" t="s">
        <v>7</v>
      </c>
    </row>
    <row r="654" spans="2:15" x14ac:dyDescent="0.45">
      <c r="B654" s="6" t="s">
        <v>94</v>
      </c>
      <c r="C654" s="6" t="s">
        <v>12</v>
      </c>
      <c r="D654" s="7">
        <v>1.4942372047663178E-2</v>
      </c>
      <c r="E654" s="6" t="s">
        <v>7</v>
      </c>
      <c r="G654" s="6" t="s">
        <v>95</v>
      </c>
      <c r="H654" s="6" t="s">
        <v>12</v>
      </c>
      <c r="I654" s="8">
        <v>2.6222553468398451E-2</v>
      </c>
      <c r="J654" s="6" t="s">
        <v>7</v>
      </c>
      <c r="L654" s="6" t="s">
        <v>96</v>
      </c>
      <c r="M654" s="6" t="s">
        <v>12</v>
      </c>
      <c r="N654" s="8">
        <v>2.3622721630610608E-2</v>
      </c>
      <c r="O654" s="6" t="s">
        <v>7</v>
      </c>
    </row>
    <row r="655" spans="2:15" x14ac:dyDescent="0.45">
      <c r="B655" s="3" t="s">
        <v>94</v>
      </c>
      <c r="C655" s="3" t="s">
        <v>13</v>
      </c>
      <c r="D655" s="4">
        <v>4.1472644260816399E-2</v>
      </c>
      <c r="E655" s="3" t="s">
        <v>7</v>
      </c>
      <c r="G655" s="3" t="s">
        <v>95</v>
      </c>
      <c r="H655" s="3" t="s">
        <v>13</v>
      </c>
      <c r="I655" s="5">
        <v>2.6306432966617176E-2</v>
      </c>
      <c r="J655" s="3" t="s">
        <v>7</v>
      </c>
      <c r="L655" s="3" t="s">
        <v>96</v>
      </c>
      <c r="M655" s="3" t="s">
        <v>13</v>
      </c>
      <c r="N655" s="5">
        <v>2.3482940476625108E-2</v>
      </c>
      <c r="O655" s="3" t="s">
        <v>7</v>
      </c>
    </row>
    <row r="656" spans="2:15" x14ac:dyDescent="0.45">
      <c r="B656" s="6" t="s">
        <v>94</v>
      </c>
      <c r="C656" s="6" t="s">
        <v>14</v>
      </c>
      <c r="D656" s="7">
        <v>4.2503381234290163E-2</v>
      </c>
      <c r="E656" s="6" t="s">
        <v>7</v>
      </c>
      <c r="G656" s="6" t="s">
        <v>95</v>
      </c>
      <c r="H656" s="6" t="s">
        <v>14</v>
      </c>
      <c r="I656" s="8">
        <v>2.6064741993994705E-2</v>
      </c>
      <c r="J656" s="6" t="s">
        <v>7</v>
      </c>
      <c r="L656" s="6" t="s">
        <v>96</v>
      </c>
      <c r="M656" s="6" t="s">
        <v>14</v>
      </c>
      <c r="N656" s="8">
        <v>2.3333258757330541E-2</v>
      </c>
      <c r="O656" s="6" t="s">
        <v>7</v>
      </c>
    </row>
    <row r="657" spans="2:15" x14ac:dyDescent="0.45">
      <c r="B657" s="3" t="s">
        <v>94</v>
      </c>
      <c r="C657" s="3" t="s">
        <v>15</v>
      </c>
      <c r="D657" s="4">
        <v>2.0501331972094201E-2</v>
      </c>
      <c r="E657" s="3" t="s">
        <v>7</v>
      </c>
      <c r="G657" s="3" t="s">
        <v>95</v>
      </c>
      <c r="H657" s="3" t="s">
        <v>15</v>
      </c>
      <c r="I657" s="5">
        <v>2.5784397164632347E-2</v>
      </c>
      <c r="J657" s="3" t="s">
        <v>7</v>
      </c>
      <c r="L657" s="3" t="s">
        <v>96</v>
      </c>
      <c r="M657" s="3" t="s">
        <v>15</v>
      </c>
      <c r="N657" s="5">
        <v>2.3218579546672526E-2</v>
      </c>
      <c r="O657" s="3" t="s">
        <v>7</v>
      </c>
    </row>
    <row r="658" spans="2:15" x14ac:dyDescent="0.45">
      <c r="B658" s="6" t="s">
        <v>94</v>
      </c>
      <c r="C658" s="6" t="s">
        <v>16</v>
      </c>
      <c r="D658" s="7">
        <v>2.0096400849018976E-3</v>
      </c>
      <c r="E658" s="6" t="s">
        <v>7</v>
      </c>
      <c r="G658" s="6" t="s">
        <v>95</v>
      </c>
      <c r="H658" s="6" t="s">
        <v>16</v>
      </c>
      <c r="I658" s="8">
        <v>2.6551763002827303E-2</v>
      </c>
      <c r="J658" s="6" t="s">
        <v>7</v>
      </c>
      <c r="L658" s="6" t="s">
        <v>96</v>
      </c>
      <c r="M658" s="6" t="s">
        <v>16</v>
      </c>
      <c r="N658" s="8">
        <v>2.3457335628753323E-2</v>
      </c>
      <c r="O658" s="6" t="s">
        <v>7</v>
      </c>
    </row>
    <row r="659" spans="2:15" x14ac:dyDescent="0.45">
      <c r="B659" s="3" t="s">
        <v>94</v>
      </c>
      <c r="C659" s="3" t="s">
        <v>17</v>
      </c>
      <c r="D659" s="4">
        <v>0</v>
      </c>
      <c r="E659" s="3" t="s">
        <v>7</v>
      </c>
      <c r="G659" s="3" t="s">
        <v>95</v>
      </c>
      <c r="H659" s="3" t="s">
        <v>17</v>
      </c>
      <c r="I659" s="5">
        <v>2.7409074036186816E-2</v>
      </c>
      <c r="J659" s="3" t="s">
        <v>7</v>
      </c>
      <c r="L659" s="3" t="s">
        <v>96</v>
      </c>
      <c r="M659" s="3" t="s">
        <v>17</v>
      </c>
      <c r="N659" s="5">
        <v>2.3347859697438012E-2</v>
      </c>
      <c r="O659" s="3" t="s">
        <v>7</v>
      </c>
    </row>
    <row r="660" spans="2:15" x14ac:dyDescent="0.45">
      <c r="B660" s="6" t="s">
        <v>94</v>
      </c>
      <c r="C660" s="6" t="s">
        <v>18</v>
      </c>
      <c r="D660" s="7">
        <v>0</v>
      </c>
      <c r="E660" s="6" t="s">
        <v>7</v>
      </c>
      <c r="G660" s="6" t="s">
        <v>95</v>
      </c>
      <c r="H660" s="6" t="s">
        <v>18</v>
      </c>
      <c r="I660" s="8">
        <v>4.0795912741502689E-2</v>
      </c>
      <c r="J660" s="6" t="s">
        <v>7</v>
      </c>
      <c r="L660" s="6" t="s">
        <v>96</v>
      </c>
      <c r="M660" s="6" t="s">
        <v>18</v>
      </c>
      <c r="N660" s="8">
        <v>3.4630066395918729E-2</v>
      </c>
      <c r="O660" s="6" t="s">
        <v>7</v>
      </c>
    </row>
    <row r="661" spans="2:15" x14ac:dyDescent="0.45">
      <c r="B661" s="3" t="s">
        <v>94</v>
      </c>
      <c r="C661" s="3" t="s">
        <v>19</v>
      </c>
      <c r="D661" s="4">
        <v>0</v>
      </c>
      <c r="E661" s="3" t="s">
        <v>7</v>
      </c>
      <c r="G661" s="3" t="s">
        <v>95</v>
      </c>
      <c r="H661" s="3" t="s">
        <v>19</v>
      </c>
      <c r="I661" s="5">
        <v>5.0375936440550391E-2</v>
      </c>
      <c r="J661" s="3" t="s">
        <v>7</v>
      </c>
      <c r="L661" s="3" t="s">
        <v>96</v>
      </c>
      <c r="M661" s="3" t="s">
        <v>19</v>
      </c>
      <c r="N661" s="5">
        <v>5.6812963333073126E-2</v>
      </c>
      <c r="O661" s="3" t="s">
        <v>7</v>
      </c>
    </row>
    <row r="662" spans="2:15" x14ac:dyDescent="0.45">
      <c r="B662" s="6" t="s">
        <v>94</v>
      </c>
      <c r="C662" s="6" t="s">
        <v>20</v>
      </c>
      <c r="D662" s="7">
        <v>1.2161957610560764E-3</v>
      </c>
      <c r="E662" s="6" t="s">
        <v>7</v>
      </c>
      <c r="G662" s="6" t="s">
        <v>95</v>
      </c>
      <c r="H662" s="6" t="s">
        <v>20</v>
      </c>
      <c r="I662" s="8">
        <v>2.0901054167985954E-2</v>
      </c>
      <c r="J662" s="6" t="s">
        <v>7</v>
      </c>
      <c r="L662" s="6" t="s">
        <v>96</v>
      </c>
      <c r="M662" s="6" t="s">
        <v>20</v>
      </c>
      <c r="N662" s="8">
        <v>2.2215170275591195E-2</v>
      </c>
      <c r="O662" s="6" t="s">
        <v>7</v>
      </c>
    </row>
    <row r="663" spans="2:15" x14ac:dyDescent="0.45">
      <c r="B663" s="3" t="s">
        <v>94</v>
      </c>
      <c r="C663" s="3" t="s">
        <v>21</v>
      </c>
      <c r="D663" s="4">
        <v>1.9979163995743239E-2</v>
      </c>
      <c r="E663" s="3" t="s">
        <v>7</v>
      </c>
      <c r="G663" s="3" t="s">
        <v>95</v>
      </c>
      <c r="H663" s="3" t="s">
        <v>21</v>
      </c>
      <c r="I663" s="5">
        <v>2.2332044461152108E-2</v>
      </c>
      <c r="J663" s="3" t="s">
        <v>7</v>
      </c>
      <c r="L663" s="3" t="s">
        <v>96</v>
      </c>
      <c r="M663" s="3" t="s">
        <v>21</v>
      </c>
      <c r="N663" s="5">
        <v>2.1808070747172528E-2</v>
      </c>
      <c r="O663" s="3" t="s">
        <v>7</v>
      </c>
    </row>
    <row r="664" spans="2:15" x14ac:dyDescent="0.45">
      <c r="B664" s="6" t="s">
        <v>94</v>
      </c>
      <c r="C664" s="6" t="s">
        <v>22</v>
      </c>
      <c r="D664" s="7">
        <v>5.7520920776070725E-2</v>
      </c>
      <c r="E664" s="6" t="s">
        <v>7</v>
      </c>
      <c r="G664" s="6" t="s">
        <v>95</v>
      </c>
      <c r="H664" s="6" t="s">
        <v>22</v>
      </c>
      <c r="I664" s="8">
        <v>2.4112547170248071E-2</v>
      </c>
      <c r="J664" s="6" t="s">
        <v>7</v>
      </c>
      <c r="L664" s="6" t="s">
        <v>96</v>
      </c>
      <c r="M664" s="6" t="s">
        <v>22</v>
      </c>
      <c r="N664" s="8">
        <v>2.1395136338257181E-2</v>
      </c>
      <c r="O664" s="6" t="s">
        <v>7</v>
      </c>
    </row>
    <row r="665" spans="2:15" x14ac:dyDescent="0.45">
      <c r="B665" s="3" t="s">
        <v>94</v>
      </c>
      <c r="C665" s="3" t="s">
        <v>23</v>
      </c>
      <c r="D665" s="4">
        <v>8.004882645747452E-2</v>
      </c>
      <c r="E665" s="3" t="s">
        <v>7</v>
      </c>
      <c r="G665" s="3" t="s">
        <v>95</v>
      </c>
      <c r="H665" s="3" t="s">
        <v>23</v>
      </c>
      <c r="I665" s="5">
        <v>2.4064445115534724E-2</v>
      </c>
      <c r="J665" s="3" t="s">
        <v>7</v>
      </c>
      <c r="L665" s="3" t="s">
        <v>96</v>
      </c>
      <c r="M665" s="3" t="s">
        <v>23</v>
      </c>
      <c r="N665" s="5">
        <v>2.1418710147523067E-2</v>
      </c>
      <c r="O665" s="3" t="s">
        <v>7</v>
      </c>
    </row>
    <row r="666" spans="2:15" x14ac:dyDescent="0.45">
      <c r="B666" s="6" t="s">
        <v>94</v>
      </c>
      <c r="C666" s="6" t="s">
        <v>24</v>
      </c>
      <c r="D666" s="7">
        <v>8.0116602394725983E-2</v>
      </c>
      <c r="E666" s="6" t="s">
        <v>7</v>
      </c>
      <c r="G666" s="6" t="s">
        <v>95</v>
      </c>
      <c r="H666" s="6" t="s">
        <v>24</v>
      </c>
      <c r="I666" s="8">
        <v>2.3686354649417717E-2</v>
      </c>
      <c r="J666" s="6" t="s">
        <v>7</v>
      </c>
      <c r="L666" s="6" t="s">
        <v>96</v>
      </c>
      <c r="M666" s="6" t="s">
        <v>24</v>
      </c>
      <c r="N666" s="8">
        <v>2.1964133860900643E-2</v>
      </c>
      <c r="O666" s="6" t="s">
        <v>7</v>
      </c>
    </row>
    <row r="667" spans="2:15" x14ac:dyDescent="0.45">
      <c r="B667" s="3" t="s">
        <v>94</v>
      </c>
      <c r="C667" s="3" t="s">
        <v>25</v>
      </c>
      <c r="D667" s="4">
        <v>6.1616267528354918E-2</v>
      </c>
      <c r="E667" s="3" t="s">
        <v>7</v>
      </c>
      <c r="G667" s="3" t="s">
        <v>95</v>
      </c>
      <c r="H667" s="3" t="s">
        <v>25</v>
      </c>
      <c r="I667" s="5">
        <v>2.3148725378180395E-2</v>
      </c>
      <c r="J667" s="3" t="s">
        <v>7</v>
      </c>
      <c r="L667" s="3" t="s">
        <v>96</v>
      </c>
      <c r="M667" s="3" t="s">
        <v>25</v>
      </c>
      <c r="N667" s="5">
        <v>2.2872339272297842E-2</v>
      </c>
      <c r="O667" s="3" t="s">
        <v>7</v>
      </c>
    </row>
    <row r="668" spans="2:15" x14ac:dyDescent="0.45">
      <c r="B668" s="6" t="s">
        <v>94</v>
      </c>
      <c r="C668" s="6" t="s">
        <v>26</v>
      </c>
      <c r="D668" s="7">
        <v>2.6048927119404316E-2</v>
      </c>
      <c r="E668" s="6" t="s">
        <v>7</v>
      </c>
      <c r="G668" s="6" t="s">
        <v>95</v>
      </c>
      <c r="H668" s="6" t="s">
        <v>26</v>
      </c>
      <c r="I668" s="8">
        <v>2.1556020342833836E-2</v>
      </c>
      <c r="J668" s="6" t="s">
        <v>7</v>
      </c>
      <c r="L668" s="6" t="s">
        <v>96</v>
      </c>
      <c r="M668" s="6" t="s">
        <v>26</v>
      </c>
      <c r="N668" s="8">
        <v>2.3607167962164756E-2</v>
      </c>
      <c r="O668" s="6" t="s">
        <v>7</v>
      </c>
    </row>
    <row r="669" spans="2:15" x14ac:dyDescent="0.45">
      <c r="B669" s="3" t="s">
        <v>94</v>
      </c>
      <c r="C669" s="3" t="s">
        <v>27</v>
      </c>
      <c r="D669" s="4">
        <v>1.7432070715413975E-3</v>
      </c>
      <c r="E669" s="3" t="s">
        <v>7</v>
      </c>
      <c r="G669" s="3" t="s">
        <v>95</v>
      </c>
      <c r="H669" s="3" t="s">
        <v>27</v>
      </c>
      <c r="I669" s="5">
        <v>2.0351748668906697E-2</v>
      </c>
      <c r="J669" s="3" t="s">
        <v>7</v>
      </c>
      <c r="L669" s="3" t="s">
        <v>96</v>
      </c>
      <c r="M669" s="3" t="s">
        <v>27</v>
      </c>
      <c r="N669" s="5">
        <v>2.3732887934825676E-2</v>
      </c>
      <c r="O669" s="3" t="s">
        <v>7</v>
      </c>
    </row>
    <row r="670" spans="2:15" x14ac:dyDescent="0.45">
      <c r="B670" s="6" t="s">
        <v>94</v>
      </c>
      <c r="C670" s="6" t="s">
        <v>28</v>
      </c>
      <c r="D670" s="7">
        <v>0</v>
      </c>
      <c r="E670" s="6" t="s">
        <v>7</v>
      </c>
      <c r="G670" s="6" t="s">
        <v>95</v>
      </c>
      <c r="H670" s="6" t="s">
        <v>28</v>
      </c>
      <c r="I670" s="8">
        <v>2.9990173274195939E-2</v>
      </c>
      <c r="J670" s="6" t="s">
        <v>7</v>
      </c>
      <c r="L670" s="6" t="s">
        <v>96</v>
      </c>
      <c r="M670" s="6" t="s">
        <v>28</v>
      </c>
      <c r="N670" s="8">
        <v>3.4005547308952097E-2</v>
      </c>
      <c r="O670" s="6" t="s">
        <v>7</v>
      </c>
    </row>
    <row r="671" spans="2:15" x14ac:dyDescent="0.45">
      <c r="B671" s="3" t="s">
        <v>94</v>
      </c>
      <c r="C671" s="3" t="s">
        <v>29</v>
      </c>
      <c r="D671" s="4">
        <v>0</v>
      </c>
      <c r="E671" s="3" t="s">
        <v>7</v>
      </c>
      <c r="G671" s="3" t="s">
        <v>95</v>
      </c>
      <c r="H671" s="3" t="s">
        <v>29</v>
      </c>
      <c r="I671" s="5">
        <v>2.6399424347726245E-2</v>
      </c>
      <c r="J671" s="3" t="s">
        <v>7</v>
      </c>
      <c r="L671" s="3" t="s">
        <v>96</v>
      </c>
      <c r="M671" s="3" t="s">
        <v>29</v>
      </c>
      <c r="N671" s="5">
        <v>4.1308908874120663E-2</v>
      </c>
      <c r="O671" s="3" t="s">
        <v>7</v>
      </c>
    </row>
    <row r="672" spans="2:15" x14ac:dyDescent="0.45">
      <c r="B672" s="6" t="s">
        <v>94</v>
      </c>
      <c r="C672" s="6" t="s">
        <v>30</v>
      </c>
      <c r="D672" s="7">
        <v>2.9081186276003227E-3</v>
      </c>
      <c r="E672" s="6" t="s">
        <v>7</v>
      </c>
      <c r="G672" s="6" t="s">
        <v>95</v>
      </c>
      <c r="H672" s="6" t="s">
        <v>30</v>
      </c>
      <c r="I672" s="8">
        <v>9.7975029683042194E-3</v>
      </c>
      <c r="J672" s="6" t="s">
        <v>7</v>
      </c>
      <c r="L672" s="6" t="s">
        <v>96</v>
      </c>
      <c r="M672" s="6" t="s">
        <v>30</v>
      </c>
      <c r="N672" s="8">
        <v>1.629097470931436E-2</v>
      </c>
      <c r="O672" s="6" t="s">
        <v>7</v>
      </c>
    </row>
    <row r="673" spans="2:15" x14ac:dyDescent="0.45">
      <c r="B673" s="3" t="s">
        <v>94</v>
      </c>
      <c r="C673" s="3" t="s">
        <v>31</v>
      </c>
      <c r="D673" s="4">
        <v>2.6812621087780524E-2</v>
      </c>
      <c r="E673" s="3" t="s">
        <v>7</v>
      </c>
      <c r="G673" s="3" t="s">
        <v>95</v>
      </c>
      <c r="H673" s="3" t="s">
        <v>31</v>
      </c>
      <c r="I673" s="5">
        <v>1.0421771094959504E-2</v>
      </c>
      <c r="J673" s="3" t="s">
        <v>7</v>
      </c>
      <c r="L673" s="3" t="s">
        <v>96</v>
      </c>
      <c r="M673" s="3" t="s">
        <v>31</v>
      </c>
      <c r="N673" s="5">
        <v>1.5996667169375676E-2</v>
      </c>
      <c r="O673" s="3" t="s">
        <v>7</v>
      </c>
    </row>
    <row r="674" spans="2:15" x14ac:dyDescent="0.45">
      <c r="B674" s="6" t="s">
        <v>94</v>
      </c>
      <c r="C674" s="6" t="s">
        <v>32</v>
      </c>
      <c r="D674" s="7">
        <v>6.480774271655719E-2</v>
      </c>
      <c r="E674" s="6" t="s">
        <v>7</v>
      </c>
      <c r="G674" s="6" t="s">
        <v>95</v>
      </c>
      <c r="H674" s="6" t="s">
        <v>32</v>
      </c>
      <c r="I674" s="8">
        <v>1.1696581961944154E-2</v>
      </c>
      <c r="J674" s="6" t="s">
        <v>7</v>
      </c>
      <c r="L674" s="6" t="s">
        <v>96</v>
      </c>
      <c r="M674" s="6" t="s">
        <v>32</v>
      </c>
      <c r="N674" s="8">
        <v>1.5258072062376869E-2</v>
      </c>
      <c r="O674" s="6" t="s">
        <v>7</v>
      </c>
    </row>
    <row r="675" spans="2:15" x14ac:dyDescent="0.45">
      <c r="B675" s="3" t="s">
        <v>94</v>
      </c>
      <c r="C675" s="3" t="s">
        <v>33</v>
      </c>
      <c r="D675" s="4">
        <v>8.399744402481471E-2</v>
      </c>
      <c r="E675" s="3" t="s">
        <v>7</v>
      </c>
      <c r="G675" s="3" t="s">
        <v>95</v>
      </c>
      <c r="H675" s="3" t="s">
        <v>33</v>
      </c>
      <c r="I675" s="5">
        <v>1.2562160681965123E-2</v>
      </c>
      <c r="J675" s="3" t="s">
        <v>7</v>
      </c>
      <c r="L675" s="3" t="s">
        <v>96</v>
      </c>
      <c r="M675" s="3" t="s">
        <v>33</v>
      </c>
      <c r="N675" s="5">
        <v>1.4873884945152561E-2</v>
      </c>
      <c r="O675" s="3" t="s">
        <v>7</v>
      </c>
    </row>
    <row r="676" spans="2:15" x14ac:dyDescent="0.45">
      <c r="B676" s="6" t="s">
        <v>94</v>
      </c>
      <c r="C676" s="6" t="s">
        <v>34</v>
      </c>
      <c r="D676" s="7">
        <v>8.4785617241026873E-2</v>
      </c>
      <c r="E676" s="6" t="s">
        <v>7</v>
      </c>
      <c r="G676" s="6" t="s">
        <v>95</v>
      </c>
      <c r="H676" s="6" t="s">
        <v>34</v>
      </c>
      <c r="I676" s="8">
        <v>1.3241472773957355E-2</v>
      </c>
      <c r="J676" s="6" t="s">
        <v>7</v>
      </c>
      <c r="L676" s="6" t="s">
        <v>96</v>
      </c>
      <c r="M676" s="6" t="s">
        <v>34</v>
      </c>
      <c r="N676" s="8">
        <v>1.564411927348543E-2</v>
      </c>
      <c r="O676" s="6" t="s">
        <v>7</v>
      </c>
    </row>
    <row r="677" spans="2:15" x14ac:dyDescent="0.45">
      <c r="B677" s="3" t="s">
        <v>94</v>
      </c>
      <c r="C677" s="3" t="s">
        <v>35</v>
      </c>
      <c r="D677" s="4">
        <v>6.5578993522546633E-2</v>
      </c>
      <c r="E677" s="3" t="s">
        <v>7</v>
      </c>
      <c r="G677" s="3" t="s">
        <v>95</v>
      </c>
      <c r="H677" s="3" t="s">
        <v>35</v>
      </c>
      <c r="I677" s="5">
        <v>1.380688372435508E-2</v>
      </c>
      <c r="J677" s="3" t="s">
        <v>7</v>
      </c>
      <c r="L677" s="3" t="s">
        <v>96</v>
      </c>
      <c r="M677" s="3" t="s">
        <v>35</v>
      </c>
      <c r="N677" s="5">
        <v>1.6746277599837295E-2</v>
      </c>
      <c r="O677" s="3" t="s">
        <v>7</v>
      </c>
    </row>
    <row r="678" spans="2:15" x14ac:dyDescent="0.45">
      <c r="B678" s="6" t="s">
        <v>94</v>
      </c>
      <c r="C678" s="6" t="s">
        <v>36</v>
      </c>
      <c r="D678" s="7">
        <v>3.3241488659419997E-2</v>
      </c>
      <c r="E678" s="6" t="s">
        <v>7</v>
      </c>
      <c r="G678" s="6" t="s">
        <v>95</v>
      </c>
      <c r="H678" s="6" t="s">
        <v>36</v>
      </c>
      <c r="I678" s="8">
        <v>1.2868896447444768E-2</v>
      </c>
      <c r="J678" s="6" t="s">
        <v>7</v>
      </c>
      <c r="L678" s="6" t="s">
        <v>96</v>
      </c>
      <c r="M678" s="6" t="s">
        <v>36</v>
      </c>
      <c r="N678" s="8">
        <v>1.7329760283973792E-2</v>
      </c>
      <c r="O678" s="6" t="s">
        <v>7</v>
      </c>
    </row>
    <row r="679" spans="2:15" x14ac:dyDescent="0.45">
      <c r="B679" s="3" t="s">
        <v>94</v>
      </c>
      <c r="C679" s="3" t="s">
        <v>37</v>
      </c>
      <c r="D679" s="4">
        <v>4.8313529482575217E-3</v>
      </c>
      <c r="E679" s="3" t="s">
        <v>7</v>
      </c>
      <c r="G679" s="3" t="s">
        <v>95</v>
      </c>
      <c r="H679" s="3" t="s">
        <v>37</v>
      </c>
      <c r="I679" s="5">
        <v>1.1702871522058742E-2</v>
      </c>
      <c r="J679" s="3" t="s">
        <v>7</v>
      </c>
      <c r="L679" s="3" t="s">
        <v>96</v>
      </c>
      <c r="M679" s="3" t="s">
        <v>37</v>
      </c>
      <c r="N679" s="5">
        <v>1.7267868619769835E-2</v>
      </c>
      <c r="O679" s="3" t="s">
        <v>7</v>
      </c>
    </row>
    <row r="680" spans="2:15" x14ac:dyDescent="0.45">
      <c r="B680" s="6" t="s">
        <v>94</v>
      </c>
      <c r="C680" s="6" t="s">
        <v>38</v>
      </c>
      <c r="D680" s="7">
        <v>2.0835730689640663E-5</v>
      </c>
      <c r="E680" s="6" t="s">
        <v>7</v>
      </c>
      <c r="G680" s="6" t="s">
        <v>95</v>
      </c>
      <c r="H680" s="6" t="s">
        <v>38</v>
      </c>
      <c r="I680" s="8">
        <v>1.7054204630121715E-2</v>
      </c>
      <c r="J680" s="6" t="s">
        <v>7</v>
      </c>
      <c r="L680" s="6" t="s">
        <v>96</v>
      </c>
      <c r="M680" s="6" t="s">
        <v>38</v>
      </c>
      <c r="N680" s="8">
        <v>2.458603524873814E-2</v>
      </c>
      <c r="O680" s="6" t="s">
        <v>7</v>
      </c>
    </row>
    <row r="681" spans="2:15" x14ac:dyDescent="0.45">
      <c r="B681" s="3" t="s">
        <v>94</v>
      </c>
      <c r="C681" s="3" t="s">
        <v>39</v>
      </c>
      <c r="D681" s="4">
        <v>0</v>
      </c>
      <c r="E681" s="3" t="s">
        <v>7</v>
      </c>
      <c r="G681" s="3" t="s">
        <v>95</v>
      </c>
      <c r="H681" s="3" t="s">
        <v>39</v>
      </c>
      <c r="I681" s="5">
        <v>5.9168899955799201E-2</v>
      </c>
      <c r="J681" s="3" t="s">
        <v>7</v>
      </c>
      <c r="L681" s="3" t="s">
        <v>96</v>
      </c>
      <c r="M681" s="3" t="s">
        <v>39</v>
      </c>
      <c r="N681" s="5">
        <v>5.2765990634287677E-2</v>
      </c>
      <c r="O681" s="3" t="s">
        <v>7</v>
      </c>
    </row>
    <row r="682" spans="2:15" x14ac:dyDescent="0.45">
      <c r="B682" s="6" t="s">
        <v>94</v>
      </c>
      <c r="C682" s="6" t="s">
        <v>40</v>
      </c>
      <c r="D682" s="7">
        <v>1.1780208001290599E-6</v>
      </c>
      <c r="E682" s="6" t="s">
        <v>7</v>
      </c>
      <c r="G682" s="6" t="s">
        <v>95</v>
      </c>
      <c r="H682" s="6" t="s">
        <v>40</v>
      </c>
      <c r="I682" s="8">
        <v>2.2133560854951946E-2</v>
      </c>
      <c r="J682" s="6" t="s">
        <v>7</v>
      </c>
      <c r="L682" s="6" t="s">
        <v>96</v>
      </c>
      <c r="M682" s="6" t="s">
        <v>40</v>
      </c>
      <c r="N682" s="8">
        <v>2.0476604241365815E-2</v>
      </c>
      <c r="O682" s="6" t="s">
        <v>7</v>
      </c>
    </row>
    <row r="683" spans="2:15" x14ac:dyDescent="0.45">
      <c r="B683" s="3" t="s">
        <v>94</v>
      </c>
      <c r="C683" s="3" t="s">
        <v>41</v>
      </c>
      <c r="D683" s="4">
        <v>5.3591503956188068E-3</v>
      </c>
      <c r="E683" s="3" t="s">
        <v>7</v>
      </c>
      <c r="G683" s="3" t="s">
        <v>95</v>
      </c>
      <c r="H683" s="3" t="s">
        <v>41</v>
      </c>
      <c r="I683" s="5">
        <v>2.1837023713391388E-2</v>
      </c>
      <c r="J683" s="3" t="s">
        <v>7</v>
      </c>
      <c r="L683" s="3" t="s">
        <v>96</v>
      </c>
      <c r="M683" s="3" t="s">
        <v>41</v>
      </c>
      <c r="N683" s="5">
        <v>2.0725673180129439E-2</v>
      </c>
      <c r="O683" s="3" t="s">
        <v>7</v>
      </c>
    </row>
    <row r="684" spans="2:15" x14ac:dyDescent="0.45">
      <c r="B684" s="6" t="s">
        <v>94</v>
      </c>
      <c r="C684" s="6" t="s">
        <v>42</v>
      </c>
      <c r="D684" s="7">
        <v>3.3105532894461817E-2</v>
      </c>
      <c r="E684" s="6" t="s">
        <v>7</v>
      </c>
      <c r="G684" s="6" t="s">
        <v>95</v>
      </c>
      <c r="H684" s="6" t="s">
        <v>42</v>
      </c>
      <c r="I684" s="8">
        <v>2.2696478641127112E-2</v>
      </c>
      <c r="J684" s="6" t="s">
        <v>7</v>
      </c>
      <c r="L684" s="6" t="s">
        <v>96</v>
      </c>
      <c r="M684" s="6" t="s">
        <v>42</v>
      </c>
      <c r="N684" s="8">
        <v>2.0572467050380325E-2</v>
      </c>
      <c r="O684" s="6" t="s">
        <v>7</v>
      </c>
    </row>
    <row r="685" spans="2:15" x14ac:dyDescent="0.45">
      <c r="B685" s="3" t="s">
        <v>94</v>
      </c>
      <c r="C685" s="3" t="s">
        <v>43</v>
      </c>
      <c r="D685" s="4">
        <v>5.5352344651798731E-2</v>
      </c>
      <c r="E685" s="3" t="s">
        <v>7</v>
      </c>
      <c r="G685" s="3" t="s">
        <v>95</v>
      </c>
      <c r="H685" s="3" t="s">
        <v>43</v>
      </c>
      <c r="I685" s="5">
        <v>2.3577904733711842E-2</v>
      </c>
      <c r="J685" s="3" t="s">
        <v>7</v>
      </c>
      <c r="L685" s="3" t="s">
        <v>96</v>
      </c>
      <c r="M685" s="3" t="s">
        <v>43</v>
      </c>
      <c r="N685" s="5">
        <v>2.0068506635384308E-2</v>
      </c>
      <c r="O685" s="3" t="s">
        <v>7</v>
      </c>
    </row>
    <row r="686" spans="2:15" x14ac:dyDescent="0.45">
      <c r="B686" s="6" t="s">
        <v>94</v>
      </c>
      <c r="C686" s="6" t="s">
        <v>44</v>
      </c>
      <c r="D686" s="7">
        <v>5.2553066661517725E-2</v>
      </c>
      <c r="E686" s="6" t="s">
        <v>7</v>
      </c>
      <c r="G686" s="6" t="s">
        <v>95</v>
      </c>
      <c r="H686" s="6" t="s">
        <v>44</v>
      </c>
      <c r="I686" s="8">
        <v>2.4214729665171006E-2</v>
      </c>
      <c r="J686" s="6" t="s">
        <v>7</v>
      </c>
      <c r="L686" s="6" t="s">
        <v>96</v>
      </c>
      <c r="M686" s="6" t="s">
        <v>44</v>
      </c>
      <c r="N686" s="8">
        <v>2.0748128885972637E-2</v>
      </c>
      <c r="O686" s="6" t="s">
        <v>7</v>
      </c>
    </row>
    <row r="687" spans="2:15" x14ac:dyDescent="0.45">
      <c r="B687" s="3" t="s">
        <v>94</v>
      </c>
      <c r="C687" s="3" t="s">
        <v>45</v>
      </c>
      <c r="D687" s="4">
        <v>3.0972997288029096E-2</v>
      </c>
      <c r="E687" s="3" t="s">
        <v>7</v>
      </c>
      <c r="G687" s="3" t="s">
        <v>95</v>
      </c>
      <c r="H687" s="3" t="s">
        <v>45</v>
      </c>
      <c r="I687" s="5">
        <v>2.4398124030970539E-2</v>
      </c>
      <c r="J687" s="3" t="s">
        <v>7</v>
      </c>
      <c r="L687" s="3" t="s">
        <v>96</v>
      </c>
      <c r="M687" s="3" t="s">
        <v>45</v>
      </c>
      <c r="N687" s="5">
        <v>2.1788930038216654E-2</v>
      </c>
      <c r="O687" s="3" t="s">
        <v>7</v>
      </c>
    </row>
    <row r="688" spans="2:15" x14ac:dyDescent="0.45">
      <c r="B688" s="6" t="s">
        <v>94</v>
      </c>
      <c r="C688" s="6" t="s">
        <v>46</v>
      </c>
      <c r="D688" s="7">
        <v>5.6577891676805247E-3</v>
      </c>
      <c r="E688" s="6" t="s">
        <v>7</v>
      </c>
      <c r="G688" s="6" t="s">
        <v>95</v>
      </c>
      <c r="H688" s="6" t="s">
        <v>46</v>
      </c>
      <c r="I688" s="8">
        <v>2.3954195006913807E-2</v>
      </c>
      <c r="J688" s="6" t="s">
        <v>7</v>
      </c>
      <c r="L688" s="6" t="s">
        <v>96</v>
      </c>
      <c r="M688" s="6" t="s">
        <v>46</v>
      </c>
      <c r="N688" s="8">
        <v>2.2207140071755435E-2</v>
      </c>
      <c r="O688" s="6" t="s">
        <v>7</v>
      </c>
    </row>
    <row r="689" spans="2:15" x14ac:dyDescent="0.45">
      <c r="B689" s="3" t="s">
        <v>94</v>
      </c>
      <c r="C689" s="3" t="s">
        <v>47</v>
      </c>
      <c r="D689" s="4">
        <v>1.8411969785719171E-5</v>
      </c>
      <c r="E689" s="3" t="s">
        <v>7</v>
      </c>
      <c r="G689" s="3" t="s">
        <v>95</v>
      </c>
      <c r="H689" s="3" t="s">
        <v>47</v>
      </c>
      <c r="I689" s="5">
        <v>2.3918595542633876E-2</v>
      </c>
      <c r="J689" s="3" t="s">
        <v>7</v>
      </c>
      <c r="L689" s="3" t="s">
        <v>96</v>
      </c>
      <c r="M689" s="3" t="s">
        <v>47</v>
      </c>
      <c r="N689" s="5">
        <v>2.1894392139722146E-2</v>
      </c>
      <c r="O689" s="3" t="s">
        <v>7</v>
      </c>
    </row>
    <row r="690" spans="2:15" x14ac:dyDescent="0.45">
      <c r="B690" s="6" t="s">
        <v>94</v>
      </c>
      <c r="C690" s="6" t="s">
        <v>48</v>
      </c>
      <c r="D690" s="7">
        <v>0</v>
      </c>
      <c r="E690" s="6" t="s">
        <v>7</v>
      </c>
      <c r="G690" s="6" t="s">
        <v>95</v>
      </c>
      <c r="H690" s="6" t="s">
        <v>48</v>
      </c>
      <c r="I690" s="8">
        <v>3.6525275360150218E-2</v>
      </c>
      <c r="J690" s="6" t="s">
        <v>7</v>
      </c>
      <c r="L690" s="6" t="s">
        <v>96</v>
      </c>
      <c r="M690" s="6" t="s">
        <v>48</v>
      </c>
      <c r="N690" s="8">
        <v>3.2158154491309286E-2</v>
      </c>
      <c r="O690" s="6" t="s">
        <v>7</v>
      </c>
    </row>
    <row r="691" spans="2:15" x14ac:dyDescent="0.45">
      <c r="B691" s="3" t="s">
        <v>97</v>
      </c>
      <c r="C691" s="3" t="s">
        <v>6</v>
      </c>
      <c r="D691" s="4">
        <v>0</v>
      </c>
      <c r="E691" s="3" t="s">
        <v>7</v>
      </c>
      <c r="G691" s="3" t="s">
        <v>98</v>
      </c>
      <c r="H691" s="3" t="s">
        <v>6</v>
      </c>
      <c r="I691" s="5">
        <v>5.8883832679980798E-2</v>
      </c>
      <c r="J691" s="3" t="s">
        <v>7</v>
      </c>
      <c r="L691" s="3" t="s">
        <v>99</v>
      </c>
      <c r="M691" s="3" t="s">
        <v>6</v>
      </c>
      <c r="N691" s="5">
        <v>6.3279986575382238E-2</v>
      </c>
      <c r="O691" s="3" t="s">
        <v>7</v>
      </c>
    </row>
    <row r="692" spans="2:15" x14ac:dyDescent="0.45">
      <c r="B692" s="6" t="s">
        <v>97</v>
      </c>
      <c r="C692" s="6" t="s">
        <v>10</v>
      </c>
      <c r="D692" s="7">
        <v>0</v>
      </c>
      <c r="E692" s="6" t="s">
        <v>7</v>
      </c>
      <c r="G692" s="6" t="s">
        <v>98</v>
      </c>
      <c r="H692" s="6" t="s">
        <v>10</v>
      </c>
      <c r="I692" s="8">
        <v>2.3211618584668609E-2</v>
      </c>
      <c r="J692" s="6" t="s">
        <v>7</v>
      </c>
      <c r="L692" s="6" t="s">
        <v>99</v>
      </c>
      <c r="M692" s="6" t="s">
        <v>10</v>
      </c>
      <c r="N692" s="8">
        <v>2.4768312598169022E-2</v>
      </c>
      <c r="O692" s="6" t="s">
        <v>7</v>
      </c>
    </row>
    <row r="693" spans="2:15" x14ac:dyDescent="0.45">
      <c r="B693" s="3" t="s">
        <v>97</v>
      </c>
      <c r="C693" s="3" t="s">
        <v>11</v>
      </c>
      <c r="D693" s="4">
        <v>5.2035045401247761E-4</v>
      </c>
      <c r="E693" s="3" t="s">
        <v>7</v>
      </c>
      <c r="G693" s="3" t="s">
        <v>98</v>
      </c>
      <c r="H693" s="3" t="s">
        <v>11</v>
      </c>
      <c r="I693" s="5">
        <v>2.3016873207033849E-2</v>
      </c>
      <c r="J693" s="3" t="s">
        <v>7</v>
      </c>
      <c r="L693" s="3" t="s">
        <v>99</v>
      </c>
      <c r="M693" s="3" t="s">
        <v>11</v>
      </c>
      <c r="N693" s="5">
        <v>2.4754065412144984E-2</v>
      </c>
      <c r="O693" s="3" t="s">
        <v>7</v>
      </c>
    </row>
    <row r="694" spans="2:15" x14ac:dyDescent="0.45">
      <c r="B694" s="6" t="s">
        <v>97</v>
      </c>
      <c r="C694" s="6" t="s">
        <v>12</v>
      </c>
      <c r="D694" s="7">
        <v>1.9513641867112207E-2</v>
      </c>
      <c r="E694" s="6" t="s">
        <v>7</v>
      </c>
      <c r="G694" s="6" t="s">
        <v>98</v>
      </c>
      <c r="H694" s="6" t="s">
        <v>12</v>
      </c>
      <c r="I694" s="8">
        <v>2.2848709486268756E-2</v>
      </c>
      <c r="J694" s="6" t="s">
        <v>7</v>
      </c>
      <c r="L694" s="6" t="s">
        <v>99</v>
      </c>
      <c r="M694" s="6" t="s">
        <v>12</v>
      </c>
      <c r="N694" s="8">
        <v>2.4087505467892144E-2</v>
      </c>
      <c r="O694" s="6" t="s">
        <v>7</v>
      </c>
    </row>
    <row r="695" spans="2:15" x14ac:dyDescent="0.45">
      <c r="B695" s="3" t="s">
        <v>97</v>
      </c>
      <c r="C695" s="3" t="s">
        <v>13</v>
      </c>
      <c r="D695" s="4">
        <v>4.1959658680032423E-2</v>
      </c>
      <c r="E695" s="3" t="s">
        <v>7</v>
      </c>
      <c r="G695" s="3" t="s">
        <v>98</v>
      </c>
      <c r="H695" s="3" t="s">
        <v>13</v>
      </c>
      <c r="I695" s="5">
        <v>2.2237098468498015E-2</v>
      </c>
      <c r="J695" s="3" t="s">
        <v>7</v>
      </c>
      <c r="L695" s="3" t="s">
        <v>99</v>
      </c>
      <c r="M695" s="3" t="s">
        <v>13</v>
      </c>
      <c r="N695" s="5">
        <v>2.3570934645528129E-2</v>
      </c>
      <c r="O695" s="3" t="s">
        <v>7</v>
      </c>
    </row>
    <row r="696" spans="2:15" x14ac:dyDescent="0.45">
      <c r="B696" s="6" t="s">
        <v>97</v>
      </c>
      <c r="C696" s="6" t="s">
        <v>14</v>
      </c>
      <c r="D696" s="7">
        <v>4.0557788532280183E-2</v>
      </c>
      <c r="E696" s="6" t="s">
        <v>7</v>
      </c>
      <c r="G696" s="6" t="s">
        <v>98</v>
      </c>
      <c r="H696" s="6" t="s">
        <v>14</v>
      </c>
      <c r="I696" s="8">
        <v>2.2662489256378104E-2</v>
      </c>
      <c r="J696" s="6" t="s">
        <v>7</v>
      </c>
      <c r="L696" s="6" t="s">
        <v>99</v>
      </c>
      <c r="M696" s="6" t="s">
        <v>14</v>
      </c>
      <c r="N696" s="8">
        <v>2.3763159604597094E-2</v>
      </c>
      <c r="O696" s="6" t="s">
        <v>7</v>
      </c>
    </row>
    <row r="697" spans="2:15" x14ac:dyDescent="0.45">
      <c r="B697" s="3" t="s">
        <v>97</v>
      </c>
      <c r="C697" s="3" t="s">
        <v>15</v>
      </c>
      <c r="D697" s="4">
        <v>1.9877826350619333E-2</v>
      </c>
      <c r="E697" s="3" t="s">
        <v>7</v>
      </c>
      <c r="G697" s="3" t="s">
        <v>98</v>
      </c>
      <c r="H697" s="3" t="s">
        <v>15</v>
      </c>
      <c r="I697" s="5">
        <v>2.2973297323576163E-2</v>
      </c>
      <c r="J697" s="3" t="s">
        <v>7</v>
      </c>
      <c r="L697" s="3" t="s">
        <v>99</v>
      </c>
      <c r="M697" s="3" t="s">
        <v>15</v>
      </c>
      <c r="N697" s="5">
        <v>2.3874055571316711E-2</v>
      </c>
      <c r="O697" s="3" t="s">
        <v>7</v>
      </c>
    </row>
    <row r="698" spans="2:15" x14ac:dyDescent="0.45">
      <c r="B698" s="6" t="s">
        <v>97</v>
      </c>
      <c r="C698" s="6" t="s">
        <v>16</v>
      </c>
      <c r="D698" s="7">
        <v>1.4892753844909755E-3</v>
      </c>
      <c r="E698" s="6" t="s">
        <v>7</v>
      </c>
      <c r="G698" s="6" t="s">
        <v>98</v>
      </c>
      <c r="H698" s="6" t="s">
        <v>16</v>
      </c>
      <c r="I698" s="8">
        <v>2.3406975598181518E-2</v>
      </c>
      <c r="J698" s="6" t="s">
        <v>7</v>
      </c>
      <c r="L698" s="6" t="s">
        <v>99</v>
      </c>
      <c r="M698" s="6" t="s">
        <v>16</v>
      </c>
      <c r="N698" s="8">
        <v>2.4500737668114208E-2</v>
      </c>
      <c r="O698" s="6" t="s">
        <v>7</v>
      </c>
    </row>
    <row r="699" spans="2:15" x14ac:dyDescent="0.45">
      <c r="B699" s="3" t="s">
        <v>97</v>
      </c>
      <c r="C699" s="3" t="s">
        <v>17</v>
      </c>
      <c r="D699" s="4">
        <v>0</v>
      </c>
      <c r="E699" s="3" t="s">
        <v>7</v>
      </c>
      <c r="G699" s="3" t="s">
        <v>98</v>
      </c>
      <c r="H699" s="3" t="s">
        <v>17</v>
      </c>
      <c r="I699" s="5">
        <v>2.418217775106575E-2</v>
      </c>
      <c r="J699" s="3" t="s">
        <v>7</v>
      </c>
      <c r="L699" s="3" t="s">
        <v>99</v>
      </c>
      <c r="M699" s="3" t="s">
        <v>17</v>
      </c>
      <c r="N699" s="5">
        <v>2.5486737674235968E-2</v>
      </c>
      <c r="O699" s="3" t="s">
        <v>7</v>
      </c>
    </row>
    <row r="700" spans="2:15" x14ac:dyDescent="0.45">
      <c r="B700" s="6" t="s">
        <v>97</v>
      </c>
      <c r="C700" s="6" t="s">
        <v>18</v>
      </c>
      <c r="D700" s="7">
        <v>0</v>
      </c>
      <c r="E700" s="6" t="s">
        <v>7</v>
      </c>
      <c r="G700" s="6" t="s">
        <v>98</v>
      </c>
      <c r="H700" s="6" t="s">
        <v>18</v>
      </c>
      <c r="I700" s="8">
        <v>3.6239236669571219E-2</v>
      </c>
      <c r="J700" s="6" t="s">
        <v>7</v>
      </c>
      <c r="L700" s="6" t="s">
        <v>99</v>
      </c>
      <c r="M700" s="6" t="s">
        <v>18</v>
      </c>
      <c r="N700" s="8">
        <v>3.8280582284315412E-2</v>
      </c>
      <c r="O700" s="6" t="s">
        <v>7</v>
      </c>
    </row>
    <row r="701" spans="2:15" x14ac:dyDescent="0.45">
      <c r="B701" s="3" t="s">
        <v>97</v>
      </c>
      <c r="C701" s="3" t="s">
        <v>19</v>
      </c>
      <c r="D701" s="4">
        <v>0</v>
      </c>
      <c r="E701" s="3" t="s">
        <v>7</v>
      </c>
      <c r="G701" s="3" t="s">
        <v>98</v>
      </c>
      <c r="H701" s="3" t="s">
        <v>19</v>
      </c>
      <c r="I701" s="5">
        <v>5.3777730129486674E-2</v>
      </c>
      <c r="J701" s="3" t="s">
        <v>7</v>
      </c>
      <c r="L701" s="3" t="s">
        <v>99</v>
      </c>
      <c r="M701" s="3" t="s">
        <v>19</v>
      </c>
      <c r="N701" s="5">
        <v>5.6906786284187487E-2</v>
      </c>
      <c r="O701" s="3" t="s">
        <v>7</v>
      </c>
    </row>
    <row r="702" spans="2:15" x14ac:dyDescent="0.45">
      <c r="B702" s="6" t="s">
        <v>97</v>
      </c>
      <c r="C702" s="6" t="s">
        <v>20</v>
      </c>
      <c r="D702" s="7">
        <v>1.0140910283573167E-3</v>
      </c>
      <c r="E702" s="6" t="s">
        <v>7</v>
      </c>
      <c r="G702" s="6" t="s">
        <v>98</v>
      </c>
      <c r="H702" s="6" t="s">
        <v>20</v>
      </c>
      <c r="I702" s="8">
        <v>2.1530777044574241E-2</v>
      </c>
      <c r="J702" s="6" t="s">
        <v>7</v>
      </c>
      <c r="L702" s="6" t="s">
        <v>99</v>
      </c>
      <c r="M702" s="6" t="s">
        <v>20</v>
      </c>
      <c r="N702" s="8">
        <v>2.253620141991888E-2</v>
      </c>
      <c r="O702" s="6" t="s">
        <v>7</v>
      </c>
    </row>
    <row r="703" spans="2:15" x14ac:dyDescent="0.45">
      <c r="B703" s="3" t="s">
        <v>97</v>
      </c>
      <c r="C703" s="3" t="s">
        <v>21</v>
      </c>
      <c r="D703" s="4">
        <v>1.9946737009382331E-2</v>
      </c>
      <c r="E703" s="3" t="s">
        <v>7</v>
      </c>
      <c r="G703" s="3" t="s">
        <v>98</v>
      </c>
      <c r="H703" s="3" t="s">
        <v>21</v>
      </c>
      <c r="I703" s="5">
        <v>2.1373680998269085E-2</v>
      </c>
      <c r="J703" s="3" t="s">
        <v>7</v>
      </c>
      <c r="L703" s="3" t="s">
        <v>99</v>
      </c>
      <c r="M703" s="3" t="s">
        <v>21</v>
      </c>
      <c r="N703" s="5">
        <v>2.326165379084497E-2</v>
      </c>
      <c r="O703" s="3" t="s">
        <v>7</v>
      </c>
    </row>
    <row r="704" spans="2:15" x14ac:dyDescent="0.45">
      <c r="B704" s="6" t="s">
        <v>97</v>
      </c>
      <c r="C704" s="6" t="s">
        <v>22</v>
      </c>
      <c r="D704" s="7">
        <v>5.6637740186295478E-2</v>
      </c>
      <c r="E704" s="6" t="s">
        <v>7</v>
      </c>
      <c r="G704" s="6" t="s">
        <v>98</v>
      </c>
      <c r="H704" s="6" t="s">
        <v>22</v>
      </c>
      <c r="I704" s="8">
        <v>1.9978525454325231E-2</v>
      </c>
      <c r="J704" s="6" t="s">
        <v>7</v>
      </c>
      <c r="L704" s="6" t="s">
        <v>99</v>
      </c>
      <c r="M704" s="6" t="s">
        <v>22</v>
      </c>
      <c r="N704" s="8">
        <v>2.3045285160612446E-2</v>
      </c>
      <c r="O704" s="6" t="s">
        <v>7</v>
      </c>
    </row>
    <row r="705" spans="2:15" x14ac:dyDescent="0.45">
      <c r="B705" s="3" t="s">
        <v>97</v>
      </c>
      <c r="C705" s="3" t="s">
        <v>23</v>
      </c>
      <c r="D705" s="4">
        <v>7.9705993151721666E-2</v>
      </c>
      <c r="E705" s="3" t="s">
        <v>7</v>
      </c>
      <c r="G705" s="3" t="s">
        <v>98</v>
      </c>
      <c r="H705" s="3" t="s">
        <v>23</v>
      </c>
      <c r="I705" s="5">
        <v>1.9171960381575464E-2</v>
      </c>
      <c r="J705" s="3" t="s">
        <v>7</v>
      </c>
      <c r="L705" s="3" t="s">
        <v>99</v>
      </c>
      <c r="M705" s="3" t="s">
        <v>23</v>
      </c>
      <c r="N705" s="5">
        <v>2.2430406692560828E-2</v>
      </c>
      <c r="O705" s="3" t="s">
        <v>7</v>
      </c>
    </row>
    <row r="706" spans="2:15" x14ac:dyDescent="0.45">
      <c r="B706" s="6" t="s">
        <v>97</v>
      </c>
      <c r="C706" s="6" t="s">
        <v>24</v>
      </c>
      <c r="D706" s="7">
        <v>7.7984454005712883E-2</v>
      </c>
      <c r="E706" s="6" t="s">
        <v>7</v>
      </c>
      <c r="G706" s="6" t="s">
        <v>98</v>
      </c>
      <c r="H706" s="6" t="s">
        <v>24</v>
      </c>
      <c r="I706" s="8">
        <v>1.9899920597687405E-2</v>
      </c>
      <c r="J706" s="6" t="s">
        <v>7</v>
      </c>
      <c r="L706" s="6" t="s">
        <v>99</v>
      </c>
      <c r="M706" s="6" t="s">
        <v>24</v>
      </c>
      <c r="N706" s="8">
        <v>2.2319097426974167E-2</v>
      </c>
      <c r="O706" s="6" t="s">
        <v>7</v>
      </c>
    </row>
    <row r="707" spans="2:15" x14ac:dyDescent="0.45">
      <c r="B707" s="3" t="s">
        <v>97</v>
      </c>
      <c r="C707" s="3" t="s">
        <v>25</v>
      </c>
      <c r="D707" s="4">
        <v>5.6660404320233705E-2</v>
      </c>
      <c r="E707" s="3" t="s">
        <v>7</v>
      </c>
      <c r="G707" s="3" t="s">
        <v>98</v>
      </c>
      <c r="H707" s="3" t="s">
        <v>25</v>
      </c>
      <c r="I707" s="5">
        <v>2.0807688090978087E-2</v>
      </c>
      <c r="J707" s="3" t="s">
        <v>7</v>
      </c>
      <c r="L707" s="3" t="s">
        <v>99</v>
      </c>
      <c r="M707" s="3" t="s">
        <v>25</v>
      </c>
      <c r="N707" s="5">
        <v>2.2148326242986693E-2</v>
      </c>
      <c r="O707" s="3" t="s">
        <v>7</v>
      </c>
    </row>
    <row r="708" spans="2:15" x14ac:dyDescent="0.45">
      <c r="B708" s="6" t="s">
        <v>97</v>
      </c>
      <c r="C708" s="6" t="s">
        <v>26</v>
      </c>
      <c r="D708" s="7">
        <v>2.0198411824258185E-2</v>
      </c>
      <c r="E708" s="6" t="s">
        <v>7</v>
      </c>
      <c r="G708" s="6" t="s">
        <v>98</v>
      </c>
      <c r="H708" s="6" t="s">
        <v>26</v>
      </c>
      <c r="I708" s="8">
        <v>2.1095019056478346E-2</v>
      </c>
      <c r="J708" s="6" t="s">
        <v>7</v>
      </c>
      <c r="L708" s="6" t="s">
        <v>99</v>
      </c>
      <c r="M708" s="6" t="s">
        <v>26</v>
      </c>
      <c r="N708" s="8">
        <v>2.1762189009114256E-2</v>
      </c>
      <c r="O708" s="6" t="s">
        <v>7</v>
      </c>
    </row>
    <row r="709" spans="2:15" x14ac:dyDescent="0.45">
      <c r="B709" s="3" t="s">
        <v>97</v>
      </c>
      <c r="C709" s="3" t="s">
        <v>27</v>
      </c>
      <c r="D709" s="4">
        <v>7.7148222283591875E-4</v>
      </c>
      <c r="E709" s="3" t="s">
        <v>7</v>
      </c>
      <c r="G709" s="3" t="s">
        <v>98</v>
      </c>
      <c r="H709" s="3" t="s">
        <v>27</v>
      </c>
      <c r="I709" s="5">
        <v>2.1970595833127757E-2</v>
      </c>
      <c r="J709" s="3" t="s">
        <v>7</v>
      </c>
      <c r="L709" s="3" t="s">
        <v>99</v>
      </c>
      <c r="M709" s="3" t="s">
        <v>27</v>
      </c>
      <c r="N709" s="5">
        <v>2.2671050697215301E-2</v>
      </c>
      <c r="O709" s="3" t="s">
        <v>7</v>
      </c>
    </row>
    <row r="710" spans="2:15" x14ac:dyDescent="0.45">
      <c r="B710" s="6" t="s">
        <v>97</v>
      </c>
      <c r="C710" s="6" t="s">
        <v>28</v>
      </c>
      <c r="D710" s="7">
        <v>0</v>
      </c>
      <c r="E710" s="6" t="s">
        <v>7</v>
      </c>
      <c r="G710" s="6" t="s">
        <v>98</v>
      </c>
      <c r="H710" s="6" t="s">
        <v>28</v>
      </c>
      <c r="I710" s="8">
        <v>3.3063660518051069E-2</v>
      </c>
      <c r="J710" s="6" t="s">
        <v>7</v>
      </c>
      <c r="L710" s="6" t="s">
        <v>99</v>
      </c>
      <c r="M710" s="6" t="s">
        <v>28</v>
      </c>
      <c r="N710" s="8">
        <v>3.4980624140077091E-2</v>
      </c>
      <c r="O710" s="6" t="s">
        <v>7</v>
      </c>
    </row>
    <row r="711" spans="2:15" x14ac:dyDescent="0.45">
      <c r="B711" s="3" t="s">
        <v>97</v>
      </c>
      <c r="C711" s="3" t="s">
        <v>29</v>
      </c>
      <c r="D711" s="4">
        <v>0</v>
      </c>
      <c r="E711" s="3" t="s">
        <v>7</v>
      </c>
      <c r="G711" s="3" t="s">
        <v>98</v>
      </c>
      <c r="H711" s="3" t="s">
        <v>29</v>
      </c>
      <c r="I711" s="5">
        <v>4.4450778314406546E-2</v>
      </c>
      <c r="J711" s="3" t="s">
        <v>7</v>
      </c>
      <c r="L711" s="3" t="s">
        <v>99</v>
      </c>
      <c r="M711" s="3" t="s">
        <v>29</v>
      </c>
      <c r="N711" s="5">
        <v>3.3874023478921544E-2</v>
      </c>
      <c r="O711" s="3" t="s">
        <v>7</v>
      </c>
    </row>
    <row r="712" spans="2:15" x14ac:dyDescent="0.45">
      <c r="B712" s="6" t="s">
        <v>97</v>
      </c>
      <c r="C712" s="6" t="s">
        <v>30</v>
      </c>
      <c r="D712" s="7">
        <v>2.4854360213125235E-3</v>
      </c>
      <c r="E712" s="6" t="s">
        <v>7</v>
      </c>
      <c r="G712" s="6" t="s">
        <v>98</v>
      </c>
      <c r="H712" s="6" t="s">
        <v>30</v>
      </c>
      <c r="I712" s="8">
        <v>1.6288920957819513E-2</v>
      </c>
      <c r="J712" s="6" t="s">
        <v>7</v>
      </c>
      <c r="L712" s="6" t="s">
        <v>99</v>
      </c>
      <c r="M712" s="6" t="s">
        <v>30</v>
      </c>
      <c r="N712" s="8">
        <v>1.2752751298092448E-2</v>
      </c>
      <c r="O712" s="6" t="s">
        <v>7</v>
      </c>
    </row>
    <row r="713" spans="2:15" x14ac:dyDescent="0.45">
      <c r="B713" s="3" t="s">
        <v>97</v>
      </c>
      <c r="C713" s="3" t="s">
        <v>31</v>
      </c>
      <c r="D713" s="4">
        <v>2.6807927367260672E-2</v>
      </c>
      <c r="E713" s="3" t="s">
        <v>7</v>
      </c>
      <c r="G713" s="3" t="s">
        <v>98</v>
      </c>
      <c r="H713" s="3" t="s">
        <v>31</v>
      </c>
      <c r="I713" s="5">
        <v>1.5924235508846682E-2</v>
      </c>
      <c r="J713" s="3" t="s">
        <v>7</v>
      </c>
      <c r="L713" s="3" t="s">
        <v>99</v>
      </c>
      <c r="M713" s="3" t="s">
        <v>31</v>
      </c>
      <c r="N713" s="5">
        <v>1.2781293654615068E-2</v>
      </c>
      <c r="O713" s="3" t="s">
        <v>7</v>
      </c>
    </row>
    <row r="714" spans="2:15" x14ac:dyDescent="0.45">
      <c r="B714" s="6" t="s">
        <v>97</v>
      </c>
      <c r="C714" s="6" t="s">
        <v>32</v>
      </c>
      <c r="D714" s="7">
        <v>6.474483912287532E-2</v>
      </c>
      <c r="E714" s="6" t="s">
        <v>7</v>
      </c>
      <c r="G714" s="6" t="s">
        <v>98</v>
      </c>
      <c r="H714" s="6" t="s">
        <v>32</v>
      </c>
      <c r="I714" s="8">
        <v>1.5696547560288585E-2</v>
      </c>
      <c r="J714" s="6" t="s">
        <v>7</v>
      </c>
      <c r="L714" s="6" t="s">
        <v>99</v>
      </c>
      <c r="M714" s="6" t="s">
        <v>32</v>
      </c>
      <c r="N714" s="8">
        <v>1.2362720157825626E-2</v>
      </c>
      <c r="O714" s="6" t="s">
        <v>7</v>
      </c>
    </row>
    <row r="715" spans="2:15" x14ac:dyDescent="0.45">
      <c r="B715" s="3" t="s">
        <v>97</v>
      </c>
      <c r="C715" s="3" t="s">
        <v>33</v>
      </c>
      <c r="D715" s="4">
        <v>8.9246125730928452E-2</v>
      </c>
      <c r="E715" s="3" t="s">
        <v>7</v>
      </c>
      <c r="G715" s="3" t="s">
        <v>98</v>
      </c>
      <c r="H715" s="3" t="s">
        <v>33</v>
      </c>
      <c r="I715" s="5">
        <v>1.6238750771843148E-2</v>
      </c>
      <c r="J715" s="3" t="s">
        <v>7</v>
      </c>
      <c r="L715" s="3" t="s">
        <v>99</v>
      </c>
      <c r="M715" s="3" t="s">
        <v>33</v>
      </c>
      <c r="N715" s="5">
        <v>1.2470800569294789E-2</v>
      </c>
      <c r="O715" s="3" t="s">
        <v>7</v>
      </c>
    </row>
    <row r="716" spans="2:15" x14ac:dyDescent="0.45">
      <c r="B716" s="6" t="s">
        <v>97</v>
      </c>
      <c r="C716" s="6" t="s">
        <v>34</v>
      </c>
      <c r="D716" s="7">
        <v>8.9882188783035791E-2</v>
      </c>
      <c r="E716" s="6" t="s">
        <v>7</v>
      </c>
      <c r="G716" s="6" t="s">
        <v>98</v>
      </c>
      <c r="H716" s="6" t="s">
        <v>34</v>
      </c>
      <c r="I716" s="8">
        <v>1.7565870072378195E-2</v>
      </c>
      <c r="J716" s="6" t="s">
        <v>7</v>
      </c>
      <c r="L716" s="6" t="s">
        <v>99</v>
      </c>
      <c r="M716" s="6" t="s">
        <v>34</v>
      </c>
      <c r="N716" s="8">
        <v>1.3225663603674949E-2</v>
      </c>
      <c r="O716" s="6" t="s">
        <v>7</v>
      </c>
    </row>
    <row r="717" spans="2:15" x14ac:dyDescent="0.45">
      <c r="B717" s="3" t="s">
        <v>97</v>
      </c>
      <c r="C717" s="3" t="s">
        <v>35</v>
      </c>
      <c r="D717" s="4">
        <v>6.8477481692510278E-2</v>
      </c>
      <c r="E717" s="3" t="s">
        <v>7</v>
      </c>
      <c r="G717" s="3" t="s">
        <v>98</v>
      </c>
      <c r="H717" s="3" t="s">
        <v>35</v>
      </c>
      <c r="I717" s="5">
        <v>1.9052054144440389E-2</v>
      </c>
      <c r="J717" s="3" t="s">
        <v>7</v>
      </c>
      <c r="L717" s="3" t="s">
        <v>99</v>
      </c>
      <c r="M717" s="3" t="s">
        <v>35</v>
      </c>
      <c r="N717" s="5">
        <v>1.3571676291296729E-2</v>
      </c>
      <c r="O717" s="3" t="s">
        <v>7</v>
      </c>
    </row>
    <row r="718" spans="2:15" x14ac:dyDescent="0.45">
      <c r="B718" s="6" t="s">
        <v>97</v>
      </c>
      <c r="C718" s="6" t="s">
        <v>36</v>
      </c>
      <c r="D718" s="7">
        <v>2.9715918183975162E-2</v>
      </c>
      <c r="E718" s="6" t="s">
        <v>7</v>
      </c>
      <c r="G718" s="6" t="s">
        <v>98</v>
      </c>
      <c r="H718" s="6" t="s">
        <v>36</v>
      </c>
      <c r="I718" s="8">
        <v>1.912297609509794E-2</v>
      </c>
      <c r="J718" s="6" t="s">
        <v>7</v>
      </c>
      <c r="L718" s="6" t="s">
        <v>99</v>
      </c>
      <c r="M718" s="6" t="s">
        <v>36</v>
      </c>
      <c r="N718" s="8">
        <v>1.404426214441834E-2</v>
      </c>
      <c r="O718" s="6" t="s">
        <v>7</v>
      </c>
    </row>
    <row r="719" spans="2:15" x14ac:dyDescent="0.45">
      <c r="B719" s="3" t="s">
        <v>97</v>
      </c>
      <c r="C719" s="3" t="s">
        <v>37</v>
      </c>
      <c r="D719" s="4">
        <v>2.4462432723142474E-3</v>
      </c>
      <c r="E719" s="3" t="s">
        <v>7</v>
      </c>
      <c r="G719" s="3" t="s">
        <v>98</v>
      </c>
      <c r="H719" s="3" t="s">
        <v>37</v>
      </c>
      <c r="I719" s="5">
        <v>1.9480496994283517E-2</v>
      </c>
      <c r="J719" s="3" t="s">
        <v>7</v>
      </c>
      <c r="L719" s="3" t="s">
        <v>99</v>
      </c>
      <c r="M719" s="3" t="s">
        <v>37</v>
      </c>
      <c r="N719" s="5">
        <v>1.4601439103871731E-2</v>
      </c>
      <c r="O719" s="3" t="s">
        <v>7</v>
      </c>
    </row>
    <row r="720" spans="2:15" x14ac:dyDescent="0.45">
      <c r="B720" s="6" t="s">
        <v>97</v>
      </c>
      <c r="C720" s="6" t="s">
        <v>38</v>
      </c>
      <c r="D720" s="7">
        <v>0</v>
      </c>
      <c r="E720" s="6" t="s">
        <v>7</v>
      </c>
      <c r="G720" s="6" t="s">
        <v>98</v>
      </c>
      <c r="H720" s="6" t="s">
        <v>38</v>
      </c>
      <c r="I720" s="8">
        <v>2.9382139252402888E-2</v>
      </c>
      <c r="J720" s="6" t="s">
        <v>7</v>
      </c>
      <c r="L720" s="6" t="s">
        <v>99</v>
      </c>
      <c r="M720" s="6" t="s">
        <v>38</v>
      </c>
      <c r="N720" s="8">
        <v>2.1920860317311115E-2</v>
      </c>
      <c r="O720" s="6" t="s">
        <v>7</v>
      </c>
    </row>
    <row r="721" spans="2:15" x14ac:dyDescent="0.45">
      <c r="B721" s="3" t="s">
        <v>97</v>
      </c>
      <c r="C721" s="3" t="s">
        <v>39</v>
      </c>
      <c r="D721" s="4">
        <v>0</v>
      </c>
      <c r="E721" s="3" t="s">
        <v>7</v>
      </c>
      <c r="G721" s="3" t="s">
        <v>98</v>
      </c>
      <c r="H721" s="3" t="s">
        <v>39</v>
      </c>
      <c r="I721" s="5">
        <v>5.2139737509303043E-2</v>
      </c>
      <c r="J721" s="3" t="s">
        <v>7</v>
      </c>
      <c r="L721" s="3" t="s">
        <v>99</v>
      </c>
      <c r="M721" s="3" t="s">
        <v>39</v>
      </c>
      <c r="N721" s="5">
        <v>5.6502417421466271E-2</v>
      </c>
      <c r="O721" s="3" t="s">
        <v>7</v>
      </c>
    </row>
    <row r="722" spans="2:15" x14ac:dyDescent="0.45">
      <c r="B722" s="6" t="s">
        <v>97</v>
      </c>
      <c r="C722" s="6" t="s">
        <v>40</v>
      </c>
      <c r="D722" s="7">
        <v>1.0746204384620136E-5</v>
      </c>
      <c r="E722" s="6" t="s">
        <v>7</v>
      </c>
      <c r="G722" s="6" t="s">
        <v>98</v>
      </c>
      <c r="H722" s="6" t="s">
        <v>40</v>
      </c>
      <c r="I722" s="8">
        <v>2.006505806887553E-2</v>
      </c>
      <c r="J722" s="6" t="s">
        <v>7</v>
      </c>
      <c r="L722" s="6" t="s">
        <v>99</v>
      </c>
      <c r="M722" s="6" t="s">
        <v>40</v>
      </c>
      <c r="N722" s="8">
        <v>2.1998912936527011E-2</v>
      </c>
      <c r="O722" s="6" t="s">
        <v>7</v>
      </c>
    </row>
    <row r="723" spans="2:15" x14ac:dyDescent="0.45">
      <c r="B723" s="3" t="s">
        <v>97</v>
      </c>
      <c r="C723" s="3" t="s">
        <v>41</v>
      </c>
      <c r="D723" s="4">
        <v>8.5509642482054591E-3</v>
      </c>
      <c r="E723" s="3" t="s">
        <v>7</v>
      </c>
      <c r="G723" s="3" t="s">
        <v>98</v>
      </c>
      <c r="H723" s="3" t="s">
        <v>41</v>
      </c>
      <c r="I723" s="5">
        <v>1.9773336877571258E-2</v>
      </c>
      <c r="J723" s="3" t="s">
        <v>7</v>
      </c>
      <c r="L723" s="3" t="s">
        <v>99</v>
      </c>
      <c r="M723" s="3" t="s">
        <v>41</v>
      </c>
      <c r="N723" s="5">
        <v>2.2079583582199143E-2</v>
      </c>
      <c r="O723" s="3" t="s">
        <v>7</v>
      </c>
    </row>
    <row r="724" spans="2:15" x14ac:dyDescent="0.45">
      <c r="B724" s="6" t="s">
        <v>97</v>
      </c>
      <c r="C724" s="6" t="s">
        <v>42</v>
      </c>
      <c r="D724" s="7">
        <v>3.823411464255784E-2</v>
      </c>
      <c r="E724" s="6" t="s">
        <v>7</v>
      </c>
      <c r="G724" s="6" t="s">
        <v>98</v>
      </c>
      <c r="H724" s="6" t="s">
        <v>42</v>
      </c>
      <c r="I724" s="8">
        <v>2.0280635676359043E-2</v>
      </c>
      <c r="J724" s="6" t="s">
        <v>7</v>
      </c>
      <c r="L724" s="6" t="s">
        <v>99</v>
      </c>
      <c r="M724" s="6" t="s">
        <v>42</v>
      </c>
      <c r="N724" s="8">
        <v>2.2171770776279312E-2</v>
      </c>
      <c r="O724" s="6" t="s">
        <v>7</v>
      </c>
    </row>
    <row r="725" spans="2:15" x14ac:dyDescent="0.45">
      <c r="B725" s="3" t="s">
        <v>97</v>
      </c>
      <c r="C725" s="3" t="s">
        <v>43</v>
      </c>
      <c r="D725" s="4">
        <v>5.5934105163425597E-2</v>
      </c>
      <c r="E725" s="3" t="s">
        <v>7</v>
      </c>
      <c r="G725" s="3" t="s">
        <v>98</v>
      </c>
      <c r="H725" s="3" t="s">
        <v>43</v>
      </c>
      <c r="I725" s="5">
        <v>2.0723016023405219E-2</v>
      </c>
      <c r="J725" s="3" t="s">
        <v>7</v>
      </c>
      <c r="L725" s="3" t="s">
        <v>99</v>
      </c>
      <c r="M725" s="3" t="s">
        <v>43</v>
      </c>
      <c r="N725" s="5">
        <v>2.2388510512892992E-2</v>
      </c>
      <c r="O725" s="3" t="s">
        <v>7</v>
      </c>
    </row>
    <row r="726" spans="2:15" x14ac:dyDescent="0.45">
      <c r="B726" s="6" t="s">
        <v>97</v>
      </c>
      <c r="C726" s="6" t="s">
        <v>44</v>
      </c>
      <c r="D726" s="7">
        <v>5.2102914876509247E-2</v>
      </c>
      <c r="E726" s="6" t="s">
        <v>7</v>
      </c>
      <c r="G726" s="6" t="s">
        <v>98</v>
      </c>
      <c r="H726" s="6" t="s">
        <v>44</v>
      </c>
      <c r="I726" s="8">
        <v>2.1231709889638403E-2</v>
      </c>
      <c r="J726" s="6" t="s">
        <v>7</v>
      </c>
      <c r="L726" s="6" t="s">
        <v>99</v>
      </c>
      <c r="M726" s="6" t="s">
        <v>44</v>
      </c>
      <c r="N726" s="8">
        <v>2.1960835216500295E-2</v>
      </c>
      <c r="O726" s="6" t="s">
        <v>7</v>
      </c>
    </row>
    <row r="727" spans="2:15" x14ac:dyDescent="0.45">
      <c r="B727" s="3" t="s">
        <v>97</v>
      </c>
      <c r="C727" s="3" t="s">
        <v>45</v>
      </c>
      <c r="D727" s="4">
        <v>2.96879400733632E-2</v>
      </c>
      <c r="E727" s="3" t="s">
        <v>7</v>
      </c>
      <c r="G727" s="3" t="s">
        <v>98</v>
      </c>
      <c r="H727" s="3" t="s">
        <v>45</v>
      </c>
      <c r="I727" s="5">
        <v>2.1583798953733406E-2</v>
      </c>
      <c r="J727" s="3" t="s">
        <v>7</v>
      </c>
      <c r="L727" s="3" t="s">
        <v>99</v>
      </c>
      <c r="M727" s="3" t="s">
        <v>45</v>
      </c>
      <c r="N727" s="5">
        <v>2.1962064098547972E-2</v>
      </c>
      <c r="O727" s="3" t="s">
        <v>7</v>
      </c>
    </row>
    <row r="728" spans="2:15" x14ac:dyDescent="0.45">
      <c r="B728" s="6" t="s">
        <v>97</v>
      </c>
      <c r="C728" s="6" t="s">
        <v>46</v>
      </c>
      <c r="D728" s="7">
        <v>4.8351995999965387E-3</v>
      </c>
      <c r="E728" s="6" t="s">
        <v>7</v>
      </c>
      <c r="G728" s="6" t="s">
        <v>98</v>
      </c>
      <c r="H728" s="6" t="s">
        <v>46</v>
      </c>
      <c r="I728" s="8">
        <v>2.2415498977013532E-2</v>
      </c>
      <c r="J728" s="6" t="s">
        <v>7</v>
      </c>
      <c r="L728" s="6" t="s">
        <v>99</v>
      </c>
      <c r="M728" s="6" t="s">
        <v>46</v>
      </c>
      <c r="N728" s="8">
        <v>2.236320138435181E-2</v>
      </c>
      <c r="O728" s="6" t="s">
        <v>7</v>
      </c>
    </row>
    <row r="729" spans="2:15" x14ac:dyDescent="0.45">
      <c r="B729" s="3" t="s">
        <v>97</v>
      </c>
      <c r="C729" s="3" t="s">
        <v>47</v>
      </c>
      <c r="D729" s="4">
        <v>0</v>
      </c>
      <c r="E729" s="3" t="s">
        <v>7</v>
      </c>
      <c r="G729" s="3" t="s">
        <v>98</v>
      </c>
      <c r="H729" s="3" t="s">
        <v>47</v>
      </c>
      <c r="I729" s="5">
        <v>2.2874952265026335E-2</v>
      </c>
      <c r="J729" s="3" t="s">
        <v>7</v>
      </c>
      <c r="L729" s="3" t="s">
        <v>99</v>
      </c>
      <c r="M729" s="3" t="s">
        <v>47</v>
      </c>
      <c r="N729" s="5">
        <v>2.3074055410011549E-2</v>
      </c>
      <c r="O729" s="3" t="s">
        <v>7</v>
      </c>
    </row>
    <row r="730" spans="2:15" x14ac:dyDescent="0.45">
      <c r="B730" s="6" t="s">
        <v>97</v>
      </c>
      <c r="C730" s="6" t="s">
        <v>48</v>
      </c>
      <c r="D730" s="7">
        <v>0</v>
      </c>
      <c r="E730" s="6" t="s">
        <v>7</v>
      </c>
      <c r="G730" s="6" t="s">
        <v>98</v>
      </c>
      <c r="H730" s="6" t="s">
        <v>48</v>
      </c>
      <c r="I730" s="8">
        <v>3.3377618957490682E-2</v>
      </c>
      <c r="J730" s="6" t="s">
        <v>7</v>
      </c>
      <c r="L730" s="6" t="s">
        <v>99</v>
      </c>
      <c r="M730" s="6" t="s">
        <v>48</v>
      </c>
      <c r="N730" s="8">
        <v>3.5465459675713254E-2</v>
      </c>
      <c r="O730" s="6" t="s">
        <v>7</v>
      </c>
    </row>
    <row r="731" spans="2:15" x14ac:dyDescent="0.45">
      <c r="B731" s="3" t="s">
        <v>100</v>
      </c>
      <c r="C731" s="3" t="s">
        <v>6</v>
      </c>
      <c r="D731" s="4">
        <v>0</v>
      </c>
      <c r="E731" s="3" t="s">
        <v>7</v>
      </c>
      <c r="G731" s="3" t="s">
        <v>101</v>
      </c>
      <c r="H731" s="3" t="s">
        <v>6</v>
      </c>
      <c r="I731" s="5">
        <v>6.4746860357328767E-2</v>
      </c>
      <c r="J731" s="3" t="s">
        <v>7</v>
      </c>
      <c r="L731" s="3" t="s">
        <v>102</v>
      </c>
      <c r="M731" s="3" t="s">
        <v>6</v>
      </c>
      <c r="N731" s="5">
        <v>5.9512756382962148E-2</v>
      </c>
      <c r="O731" s="3" t="s">
        <v>7</v>
      </c>
    </row>
    <row r="732" spans="2:15" x14ac:dyDescent="0.45">
      <c r="B732" s="6" t="s">
        <v>100</v>
      </c>
      <c r="C732" s="6" t="s">
        <v>10</v>
      </c>
      <c r="D732" s="7">
        <v>0</v>
      </c>
      <c r="E732" s="6" t="s">
        <v>7</v>
      </c>
      <c r="G732" s="6" t="s">
        <v>101</v>
      </c>
      <c r="H732" s="6" t="s">
        <v>10</v>
      </c>
      <c r="I732" s="8">
        <v>2.5026299006761881E-2</v>
      </c>
      <c r="J732" s="6" t="s">
        <v>7</v>
      </c>
      <c r="L732" s="6" t="s">
        <v>102</v>
      </c>
      <c r="M732" s="6" t="s">
        <v>10</v>
      </c>
      <c r="N732" s="8">
        <v>2.2876896364137048E-2</v>
      </c>
      <c r="O732" s="6" t="s">
        <v>7</v>
      </c>
    </row>
    <row r="733" spans="2:15" x14ac:dyDescent="0.45">
      <c r="B733" s="3" t="s">
        <v>100</v>
      </c>
      <c r="C733" s="3" t="s">
        <v>11</v>
      </c>
      <c r="D733" s="4">
        <v>3.1222561800698441E-4</v>
      </c>
      <c r="E733" s="3" t="s">
        <v>7</v>
      </c>
      <c r="G733" s="3" t="s">
        <v>101</v>
      </c>
      <c r="H733" s="3" t="s">
        <v>11</v>
      </c>
      <c r="I733" s="5">
        <v>2.5258877484627087E-2</v>
      </c>
      <c r="J733" s="3" t="s">
        <v>7</v>
      </c>
      <c r="L733" s="3" t="s">
        <v>102</v>
      </c>
      <c r="M733" s="3" t="s">
        <v>11</v>
      </c>
      <c r="N733" s="5">
        <v>2.3392686636970382E-2</v>
      </c>
      <c r="O733" s="3" t="s">
        <v>7</v>
      </c>
    </row>
    <row r="734" spans="2:15" x14ac:dyDescent="0.45">
      <c r="B734" s="6" t="s">
        <v>100</v>
      </c>
      <c r="C734" s="6" t="s">
        <v>12</v>
      </c>
      <c r="D734" s="7">
        <v>1.6441411327018929E-2</v>
      </c>
      <c r="E734" s="6" t="s">
        <v>7</v>
      </c>
      <c r="G734" s="6" t="s">
        <v>101</v>
      </c>
      <c r="H734" s="6" t="s">
        <v>12</v>
      </c>
      <c r="I734" s="8">
        <v>2.4555754490221959E-2</v>
      </c>
      <c r="J734" s="6" t="s">
        <v>7</v>
      </c>
      <c r="L734" s="6" t="s">
        <v>102</v>
      </c>
      <c r="M734" s="6" t="s">
        <v>12</v>
      </c>
      <c r="N734" s="8">
        <v>2.4231108219088433E-2</v>
      </c>
      <c r="O734" s="6" t="s">
        <v>7</v>
      </c>
    </row>
    <row r="735" spans="2:15" x14ac:dyDescent="0.45">
      <c r="B735" s="3" t="s">
        <v>100</v>
      </c>
      <c r="C735" s="3" t="s">
        <v>13</v>
      </c>
      <c r="D735" s="4">
        <v>4.4133722382508317E-2</v>
      </c>
      <c r="E735" s="3" t="s">
        <v>7</v>
      </c>
      <c r="G735" s="3" t="s">
        <v>101</v>
      </c>
      <c r="H735" s="3" t="s">
        <v>13</v>
      </c>
      <c r="I735" s="5">
        <v>2.4604235797109172E-2</v>
      </c>
      <c r="J735" s="3" t="s">
        <v>7</v>
      </c>
      <c r="L735" s="3" t="s">
        <v>102</v>
      </c>
      <c r="M735" s="3" t="s">
        <v>13</v>
      </c>
      <c r="N735" s="5">
        <v>2.4446567997134579E-2</v>
      </c>
      <c r="O735" s="3" t="s">
        <v>7</v>
      </c>
    </row>
    <row r="736" spans="2:15" x14ac:dyDescent="0.45">
      <c r="B736" s="6" t="s">
        <v>100</v>
      </c>
      <c r="C736" s="6" t="s">
        <v>14</v>
      </c>
      <c r="D736" s="7">
        <v>4.3702520723786276E-2</v>
      </c>
      <c r="E736" s="6" t="s">
        <v>7</v>
      </c>
      <c r="G736" s="6" t="s">
        <v>101</v>
      </c>
      <c r="H736" s="6" t="s">
        <v>14</v>
      </c>
      <c r="I736" s="8">
        <v>2.4868329482244583E-2</v>
      </c>
      <c r="J736" s="6" t="s">
        <v>7</v>
      </c>
      <c r="L736" s="6" t="s">
        <v>102</v>
      </c>
      <c r="M736" s="6" t="s">
        <v>14</v>
      </c>
      <c r="N736" s="8">
        <v>2.4750705915237106E-2</v>
      </c>
      <c r="O736" s="6" t="s">
        <v>7</v>
      </c>
    </row>
    <row r="737" spans="2:15" x14ac:dyDescent="0.45">
      <c r="B737" s="3" t="s">
        <v>100</v>
      </c>
      <c r="C737" s="3" t="s">
        <v>15</v>
      </c>
      <c r="D737" s="4">
        <v>2.2694642294590339E-2</v>
      </c>
      <c r="E737" s="3" t="s">
        <v>7</v>
      </c>
      <c r="G737" s="3" t="s">
        <v>101</v>
      </c>
      <c r="H737" s="3" t="s">
        <v>15</v>
      </c>
      <c r="I737" s="5">
        <v>2.4832331591153726E-2</v>
      </c>
      <c r="J737" s="3" t="s">
        <v>7</v>
      </c>
      <c r="L737" s="3" t="s">
        <v>102</v>
      </c>
      <c r="M737" s="3" t="s">
        <v>15</v>
      </c>
      <c r="N737" s="5">
        <v>2.5326462240891731E-2</v>
      </c>
      <c r="O737" s="3" t="s">
        <v>7</v>
      </c>
    </row>
    <row r="738" spans="2:15" x14ac:dyDescent="0.45">
      <c r="B738" s="6" t="s">
        <v>100</v>
      </c>
      <c r="C738" s="6" t="s">
        <v>16</v>
      </c>
      <c r="D738" s="7">
        <v>2.4559702135268056E-3</v>
      </c>
      <c r="E738" s="6" t="s">
        <v>7</v>
      </c>
      <c r="G738" s="6" t="s">
        <v>101</v>
      </c>
      <c r="H738" s="6" t="s">
        <v>16</v>
      </c>
      <c r="I738" s="8">
        <v>2.528673991749443E-2</v>
      </c>
      <c r="J738" s="6" t="s">
        <v>7</v>
      </c>
      <c r="L738" s="6" t="s">
        <v>102</v>
      </c>
      <c r="M738" s="6" t="s">
        <v>16</v>
      </c>
      <c r="N738" s="8">
        <v>2.5032573557938257E-2</v>
      </c>
      <c r="O738" s="6" t="s">
        <v>7</v>
      </c>
    </row>
    <row r="739" spans="2:15" x14ac:dyDescent="0.45">
      <c r="B739" s="3" t="s">
        <v>100</v>
      </c>
      <c r="C739" s="3" t="s">
        <v>17</v>
      </c>
      <c r="D739" s="4">
        <v>0</v>
      </c>
      <c r="E739" s="3" t="s">
        <v>7</v>
      </c>
      <c r="G739" s="3" t="s">
        <v>101</v>
      </c>
      <c r="H739" s="3" t="s">
        <v>17</v>
      </c>
      <c r="I739" s="5">
        <v>2.6433411811180332E-2</v>
      </c>
      <c r="J739" s="3" t="s">
        <v>7</v>
      </c>
      <c r="L739" s="3" t="s">
        <v>102</v>
      </c>
      <c r="M739" s="3" t="s">
        <v>17</v>
      </c>
      <c r="N739" s="5">
        <v>2.4690740668012322E-2</v>
      </c>
      <c r="O739" s="3" t="s">
        <v>7</v>
      </c>
    </row>
    <row r="740" spans="2:15" x14ac:dyDescent="0.45">
      <c r="B740" s="6" t="s">
        <v>100</v>
      </c>
      <c r="C740" s="6" t="s">
        <v>18</v>
      </c>
      <c r="D740" s="7">
        <v>0</v>
      </c>
      <c r="E740" s="6" t="s">
        <v>7</v>
      </c>
      <c r="G740" s="6" t="s">
        <v>101</v>
      </c>
      <c r="H740" s="6" t="s">
        <v>18</v>
      </c>
      <c r="I740" s="8">
        <v>4.0058574022114261E-2</v>
      </c>
      <c r="J740" s="6" t="s">
        <v>7</v>
      </c>
      <c r="L740" s="6" t="s">
        <v>102</v>
      </c>
      <c r="M740" s="6" t="s">
        <v>18</v>
      </c>
      <c r="N740" s="8">
        <v>3.6049616995077478E-2</v>
      </c>
      <c r="O740" s="6" t="s">
        <v>7</v>
      </c>
    </row>
    <row r="741" spans="2:15" x14ac:dyDescent="0.45">
      <c r="B741" s="3" t="s">
        <v>100</v>
      </c>
      <c r="C741" s="3" t="s">
        <v>19</v>
      </c>
      <c r="D741" s="4">
        <v>0</v>
      </c>
      <c r="E741" s="3" t="s">
        <v>7</v>
      </c>
      <c r="G741" s="3" t="s">
        <v>101</v>
      </c>
      <c r="H741" s="3" t="s">
        <v>19</v>
      </c>
      <c r="I741" s="5">
        <v>5.1752536495248816E-2</v>
      </c>
      <c r="J741" s="3" t="s">
        <v>7</v>
      </c>
      <c r="L741" s="3" t="s">
        <v>102</v>
      </c>
      <c r="M741" s="3" t="s">
        <v>19</v>
      </c>
      <c r="N741" s="5">
        <v>5.2278351055502721E-2</v>
      </c>
      <c r="O741" s="3" t="s">
        <v>7</v>
      </c>
    </row>
    <row r="742" spans="2:15" x14ac:dyDescent="0.45">
      <c r="B742" s="6" t="s">
        <v>100</v>
      </c>
      <c r="C742" s="6" t="s">
        <v>20</v>
      </c>
      <c r="D742" s="7">
        <v>1.0113098305033811E-3</v>
      </c>
      <c r="E742" s="6" t="s">
        <v>7</v>
      </c>
      <c r="G742" s="6" t="s">
        <v>101</v>
      </c>
      <c r="H742" s="6" t="s">
        <v>20</v>
      </c>
      <c r="I742" s="8">
        <v>2.0731053144878813E-2</v>
      </c>
      <c r="J742" s="6" t="s">
        <v>7</v>
      </c>
      <c r="L742" s="6" t="s">
        <v>102</v>
      </c>
      <c r="M742" s="6" t="s">
        <v>20</v>
      </c>
      <c r="N742" s="8">
        <v>2.09224380612602E-2</v>
      </c>
      <c r="O742" s="6" t="s">
        <v>7</v>
      </c>
    </row>
    <row r="743" spans="2:15" x14ac:dyDescent="0.45">
      <c r="B743" s="3" t="s">
        <v>100</v>
      </c>
      <c r="C743" s="3" t="s">
        <v>21</v>
      </c>
      <c r="D743" s="4">
        <v>2.061130431279273E-2</v>
      </c>
      <c r="E743" s="3" t="s">
        <v>7</v>
      </c>
      <c r="G743" s="3" t="s">
        <v>101</v>
      </c>
      <c r="H743" s="3" t="s">
        <v>21</v>
      </c>
      <c r="I743" s="5">
        <v>2.1896515283120557E-2</v>
      </c>
      <c r="J743" s="3" t="s">
        <v>7</v>
      </c>
      <c r="L743" s="3" t="s">
        <v>102</v>
      </c>
      <c r="M743" s="3" t="s">
        <v>21</v>
      </c>
      <c r="N743" s="5">
        <v>2.1294968125116952E-2</v>
      </c>
      <c r="O743" s="3" t="s">
        <v>7</v>
      </c>
    </row>
    <row r="744" spans="2:15" x14ac:dyDescent="0.45">
      <c r="B744" s="6" t="s">
        <v>100</v>
      </c>
      <c r="C744" s="6" t="s">
        <v>22</v>
      </c>
      <c r="D744" s="7">
        <v>5.9676520602161991E-2</v>
      </c>
      <c r="E744" s="6" t="s">
        <v>7</v>
      </c>
      <c r="G744" s="6" t="s">
        <v>101</v>
      </c>
      <c r="H744" s="6" t="s">
        <v>22</v>
      </c>
      <c r="I744" s="8">
        <v>2.3453290020059515E-2</v>
      </c>
      <c r="J744" s="6" t="s">
        <v>7</v>
      </c>
      <c r="L744" s="6" t="s">
        <v>102</v>
      </c>
      <c r="M744" s="6" t="s">
        <v>22</v>
      </c>
      <c r="N744" s="8">
        <v>2.1274377904274468E-2</v>
      </c>
      <c r="O744" s="6" t="s">
        <v>7</v>
      </c>
    </row>
    <row r="745" spans="2:15" x14ac:dyDescent="0.45">
      <c r="B745" s="3" t="s">
        <v>100</v>
      </c>
      <c r="C745" s="3" t="s">
        <v>23</v>
      </c>
      <c r="D745" s="4">
        <v>7.8199981922286776E-2</v>
      </c>
      <c r="E745" s="3" t="s">
        <v>7</v>
      </c>
      <c r="G745" s="3" t="s">
        <v>101</v>
      </c>
      <c r="H745" s="3" t="s">
        <v>23</v>
      </c>
      <c r="I745" s="5">
        <v>2.4585497876863684E-2</v>
      </c>
      <c r="J745" s="3" t="s">
        <v>7</v>
      </c>
      <c r="L745" s="3" t="s">
        <v>102</v>
      </c>
      <c r="M745" s="3" t="s">
        <v>23</v>
      </c>
      <c r="N745" s="5">
        <v>2.15504772932501E-2</v>
      </c>
      <c r="O745" s="3" t="s">
        <v>7</v>
      </c>
    </row>
    <row r="746" spans="2:15" x14ac:dyDescent="0.45">
      <c r="B746" s="6" t="s">
        <v>100</v>
      </c>
      <c r="C746" s="6" t="s">
        <v>24</v>
      </c>
      <c r="D746" s="7">
        <v>7.7605749059275447E-2</v>
      </c>
      <c r="E746" s="6" t="s">
        <v>7</v>
      </c>
      <c r="G746" s="6" t="s">
        <v>101</v>
      </c>
      <c r="H746" s="6" t="s">
        <v>24</v>
      </c>
      <c r="I746" s="8">
        <v>2.480350101121287E-2</v>
      </c>
      <c r="J746" s="6" t="s">
        <v>7</v>
      </c>
      <c r="L746" s="6" t="s">
        <v>102</v>
      </c>
      <c r="M746" s="6" t="s">
        <v>24</v>
      </c>
      <c r="N746" s="8">
        <v>2.1697397706220325E-2</v>
      </c>
      <c r="O746" s="6" t="s">
        <v>7</v>
      </c>
    </row>
    <row r="747" spans="2:15" x14ac:dyDescent="0.45">
      <c r="B747" s="3" t="s">
        <v>100</v>
      </c>
      <c r="C747" s="3" t="s">
        <v>25</v>
      </c>
      <c r="D747" s="4">
        <v>5.9275949633301656E-2</v>
      </c>
      <c r="E747" s="3" t="s">
        <v>7</v>
      </c>
      <c r="G747" s="3" t="s">
        <v>101</v>
      </c>
      <c r="H747" s="3" t="s">
        <v>25</v>
      </c>
      <c r="I747" s="5">
        <v>2.4455171980486735E-2</v>
      </c>
      <c r="J747" s="3" t="s">
        <v>7</v>
      </c>
      <c r="L747" s="3" t="s">
        <v>102</v>
      </c>
      <c r="M747" s="3" t="s">
        <v>25</v>
      </c>
      <c r="N747" s="5">
        <v>2.1328511378723075E-2</v>
      </c>
      <c r="O747" s="3" t="s">
        <v>7</v>
      </c>
    </row>
    <row r="748" spans="2:15" x14ac:dyDescent="0.45">
      <c r="B748" s="6" t="s">
        <v>100</v>
      </c>
      <c r="C748" s="6" t="s">
        <v>26</v>
      </c>
      <c r="D748" s="7">
        <v>2.4272684328838608E-2</v>
      </c>
      <c r="E748" s="6" t="s">
        <v>7</v>
      </c>
      <c r="G748" s="6" t="s">
        <v>101</v>
      </c>
      <c r="H748" s="6" t="s">
        <v>26</v>
      </c>
      <c r="I748" s="8">
        <v>2.2889443955172277E-2</v>
      </c>
      <c r="J748" s="6" t="s">
        <v>7</v>
      </c>
      <c r="L748" s="6" t="s">
        <v>102</v>
      </c>
      <c r="M748" s="6" t="s">
        <v>26</v>
      </c>
      <c r="N748" s="8">
        <v>2.0794098950635935E-2</v>
      </c>
      <c r="O748" s="6" t="s">
        <v>7</v>
      </c>
    </row>
    <row r="749" spans="2:15" x14ac:dyDescent="0.45">
      <c r="B749" s="3" t="s">
        <v>100</v>
      </c>
      <c r="C749" s="3" t="s">
        <v>27</v>
      </c>
      <c r="D749" s="4">
        <v>1.3223716449584414E-3</v>
      </c>
      <c r="E749" s="3" t="s">
        <v>7</v>
      </c>
      <c r="G749" s="3" t="s">
        <v>101</v>
      </c>
      <c r="H749" s="3" t="s">
        <v>27</v>
      </c>
      <c r="I749" s="5">
        <v>2.249447392963556E-2</v>
      </c>
      <c r="J749" s="3" t="s">
        <v>7</v>
      </c>
      <c r="L749" s="3" t="s">
        <v>102</v>
      </c>
      <c r="M749" s="3" t="s">
        <v>27</v>
      </c>
      <c r="N749" s="5">
        <v>2.0632123485846171E-2</v>
      </c>
      <c r="O749" s="3" t="s">
        <v>7</v>
      </c>
    </row>
    <row r="750" spans="2:15" x14ac:dyDescent="0.45">
      <c r="B750" s="6" t="s">
        <v>100</v>
      </c>
      <c r="C750" s="6" t="s">
        <v>28</v>
      </c>
      <c r="D750" s="7">
        <v>0</v>
      </c>
      <c r="E750" s="6" t="s">
        <v>7</v>
      </c>
      <c r="G750" s="6" t="s">
        <v>101</v>
      </c>
      <c r="H750" s="6" t="s">
        <v>28</v>
      </c>
      <c r="I750" s="8">
        <v>3.2266959711375789E-2</v>
      </c>
      <c r="J750" s="6" t="s">
        <v>7</v>
      </c>
      <c r="L750" s="6" t="s">
        <v>102</v>
      </c>
      <c r="M750" s="6" t="s">
        <v>28</v>
      </c>
      <c r="N750" s="8">
        <v>3.1182681719720939E-2</v>
      </c>
      <c r="O750" s="6" t="s">
        <v>7</v>
      </c>
    </row>
    <row r="751" spans="2:15" x14ac:dyDescent="0.45">
      <c r="B751" s="3" t="s">
        <v>100</v>
      </c>
      <c r="C751" s="3" t="s">
        <v>29</v>
      </c>
      <c r="D751" s="4">
        <v>0</v>
      </c>
      <c r="E751" s="3" t="s">
        <v>7</v>
      </c>
      <c r="G751" s="3" t="s">
        <v>101</v>
      </c>
      <c r="H751" s="3" t="s">
        <v>29</v>
      </c>
      <c r="I751" s="5">
        <v>3.1032849245304389E-2</v>
      </c>
      <c r="J751" s="3" t="s">
        <v>7</v>
      </c>
      <c r="L751" s="3" t="s">
        <v>102</v>
      </c>
      <c r="M751" s="3" t="s">
        <v>29</v>
      </c>
      <c r="N751" s="5">
        <v>4.5698036281555623E-2</v>
      </c>
      <c r="O751" s="3" t="s">
        <v>7</v>
      </c>
    </row>
    <row r="752" spans="2:15" x14ac:dyDescent="0.45">
      <c r="B752" s="6" t="s">
        <v>100</v>
      </c>
      <c r="C752" s="6" t="s">
        <v>30</v>
      </c>
      <c r="D752" s="7">
        <v>2.5061119275868742E-3</v>
      </c>
      <c r="E752" s="6" t="s">
        <v>7</v>
      </c>
      <c r="G752" s="6" t="s">
        <v>101</v>
      </c>
      <c r="H752" s="6" t="s">
        <v>30</v>
      </c>
      <c r="I752" s="8">
        <v>1.1214882388260352E-2</v>
      </c>
      <c r="J752" s="6" t="s">
        <v>7</v>
      </c>
      <c r="L752" s="6" t="s">
        <v>102</v>
      </c>
      <c r="M752" s="6" t="s">
        <v>30</v>
      </c>
      <c r="N752" s="8">
        <v>1.7748144431920788E-2</v>
      </c>
      <c r="O752" s="6" t="s">
        <v>7</v>
      </c>
    </row>
    <row r="753" spans="2:15" x14ac:dyDescent="0.45">
      <c r="B753" s="3" t="s">
        <v>100</v>
      </c>
      <c r="C753" s="3" t="s">
        <v>31</v>
      </c>
      <c r="D753" s="4">
        <v>2.6175531744597962E-2</v>
      </c>
      <c r="E753" s="3" t="s">
        <v>7</v>
      </c>
      <c r="G753" s="3" t="s">
        <v>101</v>
      </c>
      <c r="H753" s="3" t="s">
        <v>31</v>
      </c>
      <c r="I753" s="5">
        <v>1.2137053516960728E-2</v>
      </c>
      <c r="J753" s="3" t="s">
        <v>7</v>
      </c>
      <c r="L753" s="3" t="s">
        <v>102</v>
      </c>
      <c r="M753" s="3" t="s">
        <v>31</v>
      </c>
      <c r="N753" s="5">
        <v>1.7740231163756223E-2</v>
      </c>
      <c r="O753" s="3" t="s">
        <v>7</v>
      </c>
    </row>
    <row r="754" spans="2:15" x14ac:dyDescent="0.45">
      <c r="B754" s="6" t="s">
        <v>100</v>
      </c>
      <c r="C754" s="6" t="s">
        <v>32</v>
      </c>
      <c r="D754" s="7">
        <v>6.4282665925993229E-2</v>
      </c>
      <c r="E754" s="6" t="s">
        <v>7</v>
      </c>
      <c r="G754" s="6" t="s">
        <v>101</v>
      </c>
      <c r="H754" s="6" t="s">
        <v>32</v>
      </c>
      <c r="I754" s="8">
        <v>1.2735751849559071E-2</v>
      </c>
      <c r="J754" s="6" t="s">
        <v>7</v>
      </c>
      <c r="L754" s="6" t="s">
        <v>102</v>
      </c>
      <c r="M754" s="6" t="s">
        <v>32</v>
      </c>
      <c r="N754" s="8">
        <v>1.781358140206498E-2</v>
      </c>
      <c r="O754" s="6" t="s">
        <v>7</v>
      </c>
    </row>
    <row r="755" spans="2:15" x14ac:dyDescent="0.45">
      <c r="B755" s="3" t="s">
        <v>100</v>
      </c>
      <c r="C755" s="3" t="s">
        <v>33</v>
      </c>
      <c r="D755" s="4">
        <v>8.470911413247996E-2</v>
      </c>
      <c r="E755" s="3" t="s">
        <v>7</v>
      </c>
      <c r="G755" s="3" t="s">
        <v>101</v>
      </c>
      <c r="H755" s="3" t="s">
        <v>33</v>
      </c>
      <c r="I755" s="5">
        <v>1.3964581332410873E-2</v>
      </c>
      <c r="J755" s="3" t="s">
        <v>7</v>
      </c>
      <c r="L755" s="3" t="s">
        <v>102</v>
      </c>
      <c r="M755" s="3" t="s">
        <v>33</v>
      </c>
      <c r="N755" s="5">
        <v>1.8304358393576095E-2</v>
      </c>
      <c r="O755" s="3" t="s">
        <v>7</v>
      </c>
    </row>
    <row r="756" spans="2:15" x14ac:dyDescent="0.45">
      <c r="B756" s="6" t="s">
        <v>100</v>
      </c>
      <c r="C756" s="6" t="s">
        <v>34</v>
      </c>
      <c r="D756" s="7">
        <v>8.4239641148093541E-2</v>
      </c>
      <c r="E756" s="6" t="s">
        <v>7</v>
      </c>
      <c r="G756" s="6" t="s">
        <v>101</v>
      </c>
      <c r="H756" s="6" t="s">
        <v>34</v>
      </c>
      <c r="I756" s="8">
        <v>1.4945460034991793E-2</v>
      </c>
      <c r="J756" s="6" t="s">
        <v>7</v>
      </c>
      <c r="L756" s="6" t="s">
        <v>102</v>
      </c>
      <c r="M756" s="6" t="s">
        <v>34</v>
      </c>
      <c r="N756" s="8">
        <v>1.8901975257274019E-2</v>
      </c>
      <c r="O756" s="6" t="s">
        <v>7</v>
      </c>
    </row>
    <row r="757" spans="2:15" x14ac:dyDescent="0.45">
      <c r="B757" s="3" t="s">
        <v>100</v>
      </c>
      <c r="C757" s="3" t="s">
        <v>35</v>
      </c>
      <c r="D757" s="4">
        <v>6.4785686192959518E-2</v>
      </c>
      <c r="E757" s="3" t="s">
        <v>7</v>
      </c>
      <c r="G757" s="3" t="s">
        <v>101</v>
      </c>
      <c r="H757" s="3" t="s">
        <v>35</v>
      </c>
      <c r="I757" s="5">
        <v>1.4952775279084932E-2</v>
      </c>
      <c r="J757" s="3" t="s">
        <v>7</v>
      </c>
      <c r="L757" s="3" t="s">
        <v>102</v>
      </c>
      <c r="M757" s="3" t="s">
        <v>35</v>
      </c>
      <c r="N757" s="5">
        <v>1.9140554036936288E-2</v>
      </c>
      <c r="O757" s="3" t="s">
        <v>7</v>
      </c>
    </row>
    <row r="758" spans="2:15" x14ac:dyDescent="0.45">
      <c r="B758" s="6" t="s">
        <v>100</v>
      </c>
      <c r="C758" s="6" t="s">
        <v>36</v>
      </c>
      <c r="D758" s="7">
        <v>3.2910664498639566E-2</v>
      </c>
      <c r="E758" s="6" t="s">
        <v>7</v>
      </c>
      <c r="G758" s="6" t="s">
        <v>101</v>
      </c>
      <c r="H758" s="6" t="s">
        <v>36</v>
      </c>
      <c r="I758" s="8">
        <v>1.3981299362629306E-2</v>
      </c>
      <c r="J758" s="6" t="s">
        <v>7</v>
      </c>
      <c r="L758" s="6" t="s">
        <v>102</v>
      </c>
      <c r="M758" s="6" t="s">
        <v>36</v>
      </c>
      <c r="N758" s="8">
        <v>1.9129376124226525E-2</v>
      </c>
      <c r="O758" s="6" t="s">
        <v>7</v>
      </c>
    </row>
    <row r="759" spans="2:15" x14ac:dyDescent="0.45">
      <c r="B759" s="3" t="s">
        <v>100</v>
      </c>
      <c r="C759" s="3" t="s">
        <v>37</v>
      </c>
      <c r="D759" s="4">
        <v>4.0687500478063668E-3</v>
      </c>
      <c r="E759" s="3" t="s">
        <v>7</v>
      </c>
      <c r="G759" s="3" t="s">
        <v>101</v>
      </c>
      <c r="H759" s="3" t="s">
        <v>37</v>
      </c>
      <c r="I759" s="5">
        <v>1.3499441030180576E-2</v>
      </c>
      <c r="J759" s="3" t="s">
        <v>7</v>
      </c>
      <c r="L759" s="3" t="s">
        <v>102</v>
      </c>
      <c r="M759" s="3" t="s">
        <v>37</v>
      </c>
      <c r="N759" s="5">
        <v>1.8757034729267243E-2</v>
      </c>
      <c r="O759" s="3" t="s">
        <v>7</v>
      </c>
    </row>
    <row r="760" spans="2:15" x14ac:dyDescent="0.45">
      <c r="B760" s="6" t="s">
        <v>100</v>
      </c>
      <c r="C760" s="6" t="s">
        <v>38</v>
      </c>
      <c r="D760" s="7">
        <v>0</v>
      </c>
      <c r="E760" s="6" t="s">
        <v>7</v>
      </c>
      <c r="G760" s="6" t="s">
        <v>101</v>
      </c>
      <c r="H760" s="6" t="s">
        <v>38</v>
      </c>
      <c r="I760" s="8">
        <v>2.0015989561144434E-2</v>
      </c>
      <c r="J760" s="6" t="s">
        <v>7</v>
      </c>
      <c r="L760" s="6" t="s">
        <v>102</v>
      </c>
      <c r="M760" s="6" t="s">
        <v>38</v>
      </c>
      <c r="N760" s="8">
        <v>2.7556936485345938E-2</v>
      </c>
      <c r="O760" s="6" t="s">
        <v>7</v>
      </c>
    </row>
    <row r="761" spans="2:15" x14ac:dyDescent="0.45">
      <c r="B761" s="3" t="s">
        <v>100</v>
      </c>
      <c r="C761" s="3" t="s">
        <v>39</v>
      </c>
      <c r="D761" s="4">
        <v>0</v>
      </c>
      <c r="E761" s="3" t="s">
        <v>7</v>
      </c>
      <c r="G761" s="3" t="s">
        <v>101</v>
      </c>
      <c r="H761" s="3" t="s">
        <v>39</v>
      </c>
      <c r="I761" s="5">
        <v>5.5818368138350817E-2</v>
      </c>
      <c r="J761" s="3" t="s">
        <v>7</v>
      </c>
      <c r="L761" s="3" t="s">
        <v>102</v>
      </c>
      <c r="M761" s="3" t="s">
        <v>39</v>
      </c>
      <c r="N761" s="5">
        <v>4.9155273418037208E-2</v>
      </c>
      <c r="O761" s="3" t="s">
        <v>7</v>
      </c>
    </row>
    <row r="762" spans="2:15" x14ac:dyDescent="0.45">
      <c r="B762" s="6" t="s">
        <v>100</v>
      </c>
      <c r="C762" s="6" t="s">
        <v>40</v>
      </c>
      <c r="D762" s="7">
        <v>1.1884794651992383E-6</v>
      </c>
      <c r="E762" s="6" t="s">
        <v>7</v>
      </c>
      <c r="G762" s="6" t="s">
        <v>101</v>
      </c>
      <c r="H762" s="6" t="s">
        <v>40</v>
      </c>
      <c r="I762" s="8">
        <v>2.1109023669656397E-2</v>
      </c>
      <c r="J762" s="6" t="s">
        <v>7</v>
      </c>
      <c r="L762" s="6" t="s">
        <v>102</v>
      </c>
      <c r="M762" s="6" t="s">
        <v>40</v>
      </c>
      <c r="N762" s="8">
        <v>1.8926415717092943E-2</v>
      </c>
      <c r="O762" s="6" t="s">
        <v>7</v>
      </c>
    </row>
    <row r="763" spans="2:15" x14ac:dyDescent="0.45">
      <c r="B763" s="3" t="s">
        <v>100</v>
      </c>
      <c r="C763" s="3" t="s">
        <v>41</v>
      </c>
      <c r="D763" s="4">
        <v>5.1650318052825E-3</v>
      </c>
      <c r="E763" s="3" t="s">
        <v>7</v>
      </c>
      <c r="G763" s="3" t="s">
        <v>101</v>
      </c>
      <c r="H763" s="3" t="s">
        <v>41</v>
      </c>
      <c r="I763" s="5">
        <v>2.1065958921608889E-2</v>
      </c>
      <c r="J763" s="3" t="s">
        <v>7</v>
      </c>
      <c r="L763" s="3" t="s">
        <v>102</v>
      </c>
      <c r="M763" s="3" t="s">
        <v>41</v>
      </c>
      <c r="N763" s="5">
        <v>1.9226897777940864E-2</v>
      </c>
      <c r="O763" s="3" t="s">
        <v>7</v>
      </c>
    </row>
    <row r="764" spans="2:15" x14ac:dyDescent="0.45">
      <c r="B764" s="6" t="s">
        <v>100</v>
      </c>
      <c r="C764" s="6" t="s">
        <v>42</v>
      </c>
      <c r="D764" s="7">
        <v>3.1418204397944946E-2</v>
      </c>
      <c r="E764" s="6" t="s">
        <v>7</v>
      </c>
      <c r="G764" s="6" t="s">
        <v>101</v>
      </c>
      <c r="H764" s="6" t="s">
        <v>42</v>
      </c>
      <c r="I764" s="8">
        <v>2.1116524949085357E-2</v>
      </c>
      <c r="J764" s="6" t="s">
        <v>7</v>
      </c>
      <c r="L764" s="6" t="s">
        <v>102</v>
      </c>
      <c r="M764" s="6" t="s">
        <v>42</v>
      </c>
      <c r="N764" s="8">
        <v>1.9349325093110593E-2</v>
      </c>
      <c r="O764" s="6" t="s">
        <v>7</v>
      </c>
    </row>
    <row r="765" spans="2:15" x14ac:dyDescent="0.45">
      <c r="B765" s="3" t="s">
        <v>100</v>
      </c>
      <c r="C765" s="3" t="s">
        <v>43</v>
      </c>
      <c r="D765" s="4">
        <v>5.4704664104374356E-2</v>
      </c>
      <c r="E765" s="3" t="s">
        <v>7</v>
      </c>
      <c r="G765" s="3" t="s">
        <v>101</v>
      </c>
      <c r="H765" s="3" t="s">
        <v>43</v>
      </c>
      <c r="I765" s="5">
        <v>2.187802579886736E-2</v>
      </c>
      <c r="J765" s="3" t="s">
        <v>7</v>
      </c>
      <c r="L765" s="3" t="s">
        <v>102</v>
      </c>
      <c r="M765" s="3" t="s">
        <v>43</v>
      </c>
      <c r="N765" s="5">
        <v>1.9692109298651759E-2</v>
      </c>
      <c r="O765" s="3" t="s">
        <v>7</v>
      </c>
    </row>
    <row r="766" spans="2:15" x14ac:dyDescent="0.45">
      <c r="B766" s="6" t="s">
        <v>100</v>
      </c>
      <c r="C766" s="6" t="s">
        <v>44</v>
      </c>
      <c r="D766" s="7">
        <v>5.5021587363213512E-2</v>
      </c>
      <c r="E766" s="6" t="s">
        <v>7</v>
      </c>
      <c r="G766" s="6" t="s">
        <v>101</v>
      </c>
      <c r="H766" s="6" t="s">
        <v>44</v>
      </c>
      <c r="I766" s="8">
        <v>2.2725553849347178E-2</v>
      </c>
      <c r="J766" s="6" t="s">
        <v>7</v>
      </c>
      <c r="L766" s="6" t="s">
        <v>102</v>
      </c>
      <c r="M766" s="6" t="s">
        <v>44</v>
      </c>
      <c r="N766" s="8">
        <v>2.0198952985624356E-2</v>
      </c>
      <c r="O766" s="6" t="s">
        <v>7</v>
      </c>
    </row>
    <row r="767" spans="2:15" x14ac:dyDescent="0.45">
      <c r="B767" s="3" t="s">
        <v>100</v>
      </c>
      <c r="C767" s="3" t="s">
        <v>45</v>
      </c>
      <c r="D767" s="4">
        <v>3.235107959260141E-2</v>
      </c>
      <c r="E767" s="3" t="s">
        <v>7</v>
      </c>
      <c r="G767" s="3" t="s">
        <v>101</v>
      </c>
      <c r="H767" s="3" t="s">
        <v>45</v>
      </c>
      <c r="I767" s="5">
        <v>2.2881661632527878E-2</v>
      </c>
      <c r="J767" s="3" t="s">
        <v>7</v>
      </c>
      <c r="L767" s="3" t="s">
        <v>102</v>
      </c>
      <c r="M767" s="3" t="s">
        <v>45</v>
      </c>
      <c r="N767" s="5">
        <v>2.0180207707153848E-2</v>
      </c>
      <c r="O767" s="3" t="s">
        <v>7</v>
      </c>
    </row>
    <row r="768" spans="2:15" x14ac:dyDescent="0.45">
      <c r="B768" s="6" t="s">
        <v>100</v>
      </c>
      <c r="C768" s="6" t="s">
        <v>46</v>
      </c>
      <c r="D768" s="7">
        <v>5.9250368848742631E-3</v>
      </c>
      <c r="E768" s="6" t="s">
        <v>7</v>
      </c>
      <c r="G768" s="6" t="s">
        <v>101</v>
      </c>
      <c r="H768" s="6" t="s">
        <v>46</v>
      </c>
      <c r="I768" s="8">
        <v>2.2792261960383347E-2</v>
      </c>
      <c r="J768" s="6" t="s">
        <v>7</v>
      </c>
      <c r="L768" s="6" t="s">
        <v>102</v>
      </c>
      <c r="M768" s="6" t="s">
        <v>46</v>
      </c>
      <c r="N768" s="8">
        <v>1.9749834744152022E-2</v>
      </c>
      <c r="O768" s="6" t="s">
        <v>7</v>
      </c>
    </row>
    <row r="769" spans="2:15" x14ac:dyDescent="0.45">
      <c r="B769" s="3" t="s">
        <v>100</v>
      </c>
      <c r="C769" s="3" t="s">
        <v>47</v>
      </c>
      <c r="D769" s="4">
        <v>1.8677860530047448E-5</v>
      </c>
      <c r="E769" s="3" t="s">
        <v>7</v>
      </c>
      <c r="G769" s="3" t="s">
        <v>101</v>
      </c>
      <c r="H769" s="3" t="s">
        <v>47</v>
      </c>
      <c r="I769" s="5">
        <v>2.2948220324586547E-2</v>
      </c>
      <c r="J769" s="3" t="s">
        <v>7</v>
      </c>
      <c r="L769" s="3" t="s">
        <v>102</v>
      </c>
      <c r="M769" s="3" t="s">
        <v>47</v>
      </c>
      <c r="N769" s="5">
        <v>1.973887520445922E-2</v>
      </c>
      <c r="O769" s="3" t="s">
        <v>7</v>
      </c>
    </row>
    <row r="770" spans="2:15" x14ac:dyDescent="0.45">
      <c r="B770" s="6" t="s">
        <v>100</v>
      </c>
      <c r="C770" s="6" t="s">
        <v>48</v>
      </c>
      <c r="D770" s="7">
        <v>0</v>
      </c>
      <c r="E770" s="6" t="s">
        <v>7</v>
      </c>
      <c r="G770" s="6" t="s">
        <v>101</v>
      </c>
      <c r="H770" s="6" t="s">
        <v>48</v>
      </c>
      <c r="I770" s="8">
        <v>3.4184459786768942E-2</v>
      </c>
      <c r="J770" s="6" t="s">
        <v>7</v>
      </c>
      <c r="L770" s="6" t="s">
        <v>102</v>
      </c>
      <c r="M770" s="6" t="s">
        <v>48</v>
      </c>
      <c r="N770" s="8">
        <v>2.9726339089853077E-2</v>
      </c>
      <c r="O770" s="6" t="s">
        <v>7</v>
      </c>
    </row>
    <row r="771" spans="2:15" x14ac:dyDescent="0.45">
      <c r="B771" s="3" t="s">
        <v>103</v>
      </c>
      <c r="C771" s="3" t="s">
        <v>6</v>
      </c>
      <c r="D771" s="4">
        <v>0</v>
      </c>
      <c r="E771" s="3" t="s">
        <v>7</v>
      </c>
      <c r="G771" s="3" t="s">
        <v>104</v>
      </c>
      <c r="H771" s="3" t="s">
        <v>6</v>
      </c>
      <c r="I771" s="5">
        <v>6.5835818861362222E-2</v>
      </c>
      <c r="J771" s="3" t="s">
        <v>7</v>
      </c>
      <c r="L771" s="3" t="s">
        <v>105</v>
      </c>
      <c r="M771" s="3" t="s">
        <v>6</v>
      </c>
      <c r="N771" s="5">
        <v>6.4742915356518688E-2</v>
      </c>
      <c r="O771" s="3" t="s">
        <v>7</v>
      </c>
    </row>
    <row r="772" spans="2:15" x14ac:dyDescent="0.45">
      <c r="B772" s="6" t="s">
        <v>103</v>
      </c>
      <c r="C772" s="6" t="s">
        <v>10</v>
      </c>
      <c r="D772" s="7">
        <v>0</v>
      </c>
      <c r="E772" s="6" t="s">
        <v>7</v>
      </c>
      <c r="G772" s="6" t="s">
        <v>104</v>
      </c>
      <c r="H772" s="6" t="s">
        <v>10</v>
      </c>
      <c r="I772" s="8">
        <v>2.5595552945610046E-2</v>
      </c>
      <c r="J772" s="6" t="s">
        <v>7</v>
      </c>
      <c r="L772" s="6" t="s">
        <v>105</v>
      </c>
      <c r="M772" s="6" t="s">
        <v>10</v>
      </c>
      <c r="N772" s="8">
        <v>2.5328650975212898E-2</v>
      </c>
      <c r="O772" s="6" t="s">
        <v>7</v>
      </c>
    </row>
    <row r="773" spans="2:15" x14ac:dyDescent="0.45">
      <c r="B773" s="3" t="s">
        <v>103</v>
      </c>
      <c r="C773" s="3" t="s">
        <v>11</v>
      </c>
      <c r="D773" s="4">
        <v>3.0386712068595552E-4</v>
      </c>
      <c r="E773" s="3" t="s">
        <v>7</v>
      </c>
      <c r="G773" s="3" t="s">
        <v>104</v>
      </c>
      <c r="H773" s="3" t="s">
        <v>11</v>
      </c>
      <c r="I773" s="5">
        <v>2.6046635283143792E-2</v>
      </c>
      <c r="J773" s="3" t="s">
        <v>7</v>
      </c>
      <c r="L773" s="3" t="s">
        <v>105</v>
      </c>
      <c r="M773" s="3" t="s">
        <v>11</v>
      </c>
      <c r="N773" s="5">
        <v>2.4488874382128809E-2</v>
      </c>
      <c r="O773" s="3" t="s">
        <v>7</v>
      </c>
    </row>
    <row r="774" spans="2:15" x14ac:dyDescent="0.45">
      <c r="B774" s="6" t="s">
        <v>103</v>
      </c>
      <c r="C774" s="6" t="s">
        <v>12</v>
      </c>
      <c r="D774" s="7">
        <v>1.4082413451743516E-2</v>
      </c>
      <c r="E774" s="6" t="s">
        <v>7</v>
      </c>
      <c r="G774" s="6" t="s">
        <v>104</v>
      </c>
      <c r="H774" s="6" t="s">
        <v>12</v>
      </c>
      <c r="I774" s="8">
        <v>2.5923288486243087E-2</v>
      </c>
      <c r="J774" s="6" t="s">
        <v>7</v>
      </c>
      <c r="L774" s="6" t="s">
        <v>105</v>
      </c>
      <c r="M774" s="6" t="s">
        <v>12</v>
      </c>
      <c r="N774" s="8">
        <v>2.4847124235944627E-2</v>
      </c>
      <c r="O774" s="6" t="s">
        <v>7</v>
      </c>
    </row>
    <row r="775" spans="2:15" x14ac:dyDescent="0.45">
      <c r="B775" s="3" t="s">
        <v>103</v>
      </c>
      <c r="C775" s="3" t="s">
        <v>13</v>
      </c>
      <c r="D775" s="4">
        <v>3.9642240888205157E-2</v>
      </c>
      <c r="E775" s="3" t="s">
        <v>7</v>
      </c>
      <c r="G775" s="3" t="s">
        <v>104</v>
      </c>
      <c r="H775" s="3" t="s">
        <v>13</v>
      </c>
      <c r="I775" s="5">
        <v>2.621307326339966E-2</v>
      </c>
      <c r="J775" s="3" t="s">
        <v>7</v>
      </c>
      <c r="L775" s="3" t="s">
        <v>105</v>
      </c>
      <c r="M775" s="3" t="s">
        <v>13</v>
      </c>
      <c r="N775" s="5">
        <v>2.5083990945644525E-2</v>
      </c>
      <c r="O775" s="3" t="s">
        <v>7</v>
      </c>
    </row>
    <row r="776" spans="2:15" x14ac:dyDescent="0.45">
      <c r="B776" s="6" t="s">
        <v>103</v>
      </c>
      <c r="C776" s="6" t="s">
        <v>14</v>
      </c>
      <c r="D776" s="7">
        <v>4.1634940670137809E-2</v>
      </c>
      <c r="E776" s="6" t="s">
        <v>7</v>
      </c>
      <c r="G776" s="6" t="s">
        <v>104</v>
      </c>
      <c r="H776" s="6" t="s">
        <v>14</v>
      </c>
      <c r="I776" s="8">
        <v>2.6231489735417734E-2</v>
      </c>
      <c r="J776" s="6" t="s">
        <v>7</v>
      </c>
      <c r="L776" s="6" t="s">
        <v>105</v>
      </c>
      <c r="M776" s="6" t="s">
        <v>14</v>
      </c>
      <c r="N776" s="8">
        <v>2.5286962408499949E-2</v>
      </c>
      <c r="O776" s="6" t="s">
        <v>7</v>
      </c>
    </row>
    <row r="777" spans="2:15" x14ac:dyDescent="0.45">
      <c r="B777" s="3" t="s">
        <v>103</v>
      </c>
      <c r="C777" s="3" t="s">
        <v>15</v>
      </c>
      <c r="D777" s="4">
        <v>2.2223726977298255E-2</v>
      </c>
      <c r="E777" s="3" t="s">
        <v>7</v>
      </c>
      <c r="G777" s="3" t="s">
        <v>104</v>
      </c>
      <c r="H777" s="3" t="s">
        <v>15</v>
      </c>
      <c r="I777" s="5">
        <v>2.5794200756511881E-2</v>
      </c>
      <c r="J777" s="3" t="s">
        <v>7</v>
      </c>
      <c r="L777" s="3" t="s">
        <v>105</v>
      </c>
      <c r="M777" s="3" t="s">
        <v>15</v>
      </c>
      <c r="N777" s="5">
        <v>2.5628451466298163E-2</v>
      </c>
      <c r="O777" s="3" t="s">
        <v>7</v>
      </c>
    </row>
    <row r="778" spans="2:15" x14ac:dyDescent="0.45">
      <c r="B778" s="6" t="s">
        <v>103</v>
      </c>
      <c r="C778" s="6" t="s">
        <v>16</v>
      </c>
      <c r="D778" s="7">
        <v>2.7294476754777227E-3</v>
      </c>
      <c r="E778" s="6" t="s">
        <v>7</v>
      </c>
      <c r="G778" s="6" t="s">
        <v>104</v>
      </c>
      <c r="H778" s="6" t="s">
        <v>16</v>
      </c>
      <c r="I778" s="8">
        <v>2.6419384614203626E-2</v>
      </c>
      <c r="J778" s="6" t="s">
        <v>7</v>
      </c>
      <c r="L778" s="6" t="s">
        <v>105</v>
      </c>
      <c r="M778" s="6" t="s">
        <v>16</v>
      </c>
      <c r="N778" s="8">
        <v>2.5865902748936125E-2</v>
      </c>
      <c r="O778" s="6" t="s">
        <v>7</v>
      </c>
    </row>
    <row r="779" spans="2:15" x14ac:dyDescent="0.45">
      <c r="B779" s="3" t="s">
        <v>103</v>
      </c>
      <c r="C779" s="3" t="s">
        <v>17</v>
      </c>
      <c r="D779" s="4">
        <v>0</v>
      </c>
      <c r="E779" s="3" t="s">
        <v>7</v>
      </c>
      <c r="G779" s="3" t="s">
        <v>104</v>
      </c>
      <c r="H779" s="3" t="s">
        <v>17</v>
      </c>
      <c r="I779" s="5">
        <v>2.734995317829126E-2</v>
      </c>
      <c r="J779" s="3" t="s">
        <v>7</v>
      </c>
      <c r="L779" s="3" t="s">
        <v>105</v>
      </c>
      <c r="M779" s="3" t="s">
        <v>17</v>
      </c>
      <c r="N779" s="5">
        <v>2.6249817418860663E-2</v>
      </c>
      <c r="O779" s="3" t="s">
        <v>7</v>
      </c>
    </row>
    <row r="780" spans="2:15" x14ac:dyDescent="0.45">
      <c r="B780" s="6" t="s">
        <v>103</v>
      </c>
      <c r="C780" s="6" t="s">
        <v>18</v>
      </c>
      <c r="D780" s="7">
        <v>0</v>
      </c>
      <c r="E780" s="6" t="s">
        <v>7</v>
      </c>
      <c r="G780" s="6" t="s">
        <v>104</v>
      </c>
      <c r="H780" s="6" t="s">
        <v>18</v>
      </c>
      <c r="I780" s="8">
        <v>4.0834827801594323E-2</v>
      </c>
      <c r="J780" s="6" t="s">
        <v>7</v>
      </c>
      <c r="L780" s="6" t="s">
        <v>105</v>
      </c>
      <c r="M780" s="6" t="s">
        <v>18</v>
      </c>
      <c r="N780" s="8">
        <v>3.8562356633063344E-2</v>
      </c>
      <c r="O780" s="6" t="s">
        <v>7</v>
      </c>
    </row>
    <row r="781" spans="2:15" x14ac:dyDescent="0.45">
      <c r="B781" s="3" t="s">
        <v>103</v>
      </c>
      <c r="C781" s="3" t="s">
        <v>19</v>
      </c>
      <c r="D781" s="4">
        <v>0</v>
      </c>
      <c r="E781" s="3" t="s">
        <v>7</v>
      </c>
      <c r="G781" s="3" t="s">
        <v>104</v>
      </c>
      <c r="H781" s="3" t="s">
        <v>19</v>
      </c>
      <c r="I781" s="5">
        <v>5.0781106782339838E-2</v>
      </c>
      <c r="J781" s="3" t="s">
        <v>7</v>
      </c>
      <c r="L781" s="3" t="s">
        <v>105</v>
      </c>
      <c r="M781" s="3" t="s">
        <v>19</v>
      </c>
      <c r="N781" s="5">
        <v>5.1509125451393405E-2</v>
      </c>
      <c r="O781" s="3" t="s">
        <v>7</v>
      </c>
    </row>
    <row r="782" spans="2:15" x14ac:dyDescent="0.45">
      <c r="B782" s="6" t="s">
        <v>103</v>
      </c>
      <c r="C782" s="6" t="s">
        <v>20</v>
      </c>
      <c r="D782" s="7">
        <v>1.0554808203381079E-3</v>
      </c>
      <c r="E782" s="6" t="s">
        <v>7</v>
      </c>
      <c r="G782" s="6" t="s">
        <v>104</v>
      </c>
      <c r="H782" s="6" t="s">
        <v>20</v>
      </c>
      <c r="I782" s="8">
        <v>2.094261996868434E-2</v>
      </c>
      <c r="J782" s="6" t="s">
        <v>7</v>
      </c>
      <c r="L782" s="6" t="s">
        <v>105</v>
      </c>
      <c r="M782" s="6" t="s">
        <v>20</v>
      </c>
      <c r="N782" s="8">
        <v>2.0711347099031278E-2</v>
      </c>
      <c r="O782" s="6" t="s">
        <v>7</v>
      </c>
    </row>
    <row r="783" spans="2:15" x14ac:dyDescent="0.45">
      <c r="B783" s="3" t="s">
        <v>103</v>
      </c>
      <c r="C783" s="3" t="s">
        <v>21</v>
      </c>
      <c r="D783" s="4">
        <v>1.9061532650029252E-2</v>
      </c>
      <c r="E783" s="3" t="s">
        <v>7</v>
      </c>
      <c r="G783" s="3" t="s">
        <v>104</v>
      </c>
      <c r="H783" s="3" t="s">
        <v>21</v>
      </c>
      <c r="I783" s="5">
        <v>2.2481788243052223E-2</v>
      </c>
      <c r="J783" s="3" t="s">
        <v>7</v>
      </c>
      <c r="L783" s="3" t="s">
        <v>105</v>
      </c>
      <c r="M783" s="3" t="s">
        <v>21</v>
      </c>
      <c r="N783" s="5">
        <v>2.1186396503928361E-2</v>
      </c>
      <c r="O783" s="3" t="s">
        <v>7</v>
      </c>
    </row>
    <row r="784" spans="2:15" x14ac:dyDescent="0.45">
      <c r="B784" s="6" t="s">
        <v>103</v>
      </c>
      <c r="C784" s="6" t="s">
        <v>22</v>
      </c>
      <c r="D784" s="7">
        <v>5.768923143881062E-2</v>
      </c>
      <c r="E784" s="6" t="s">
        <v>7</v>
      </c>
      <c r="G784" s="6" t="s">
        <v>104</v>
      </c>
      <c r="H784" s="6" t="s">
        <v>22</v>
      </c>
      <c r="I784" s="8">
        <v>2.4612178980846035E-2</v>
      </c>
      <c r="J784" s="6" t="s">
        <v>7</v>
      </c>
      <c r="L784" s="6" t="s">
        <v>105</v>
      </c>
      <c r="M784" s="6" t="s">
        <v>22</v>
      </c>
      <c r="N784" s="8">
        <v>2.1184138372329801E-2</v>
      </c>
      <c r="O784" s="6" t="s">
        <v>7</v>
      </c>
    </row>
    <row r="785" spans="2:15" x14ac:dyDescent="0.45">
      <c r="B785" s="3" t="s">
        <v>103</v>
      </c>
      <c r="C785" s="3" t="s">
        <v>23</v>
      </c>
      <c r="D785" s="4">
        <v>7.9208126315776201E-2</v>
      </c>
      <c r="E785" s="3" t="s">
        <v>7</v>
      </c>
      <c r="G785" s="3" t="s">
        <v>104</v>
      </c>
      <c r="H785" s="3" t="s">
        <v>23</v>
      </c>
      <c r="I785" s="5">
        <v>2.5010132761548204E-2</v>
      </c>
      <c r="J785" s="3" t="s">
        <v>7</v>
      </c>
      <c r="L785" s="3" t="s">
        <v>105</v>
      </c>
      <c r="M785" s="3" t="s">
        <v>23</v>
      </c>
      <c r="N785" s="5">
        <v>2.1232117107997633E-2</v>
      </c>
      <c r="O785" s="3" t="s">
        <v>7</v>
      </c>
    </row>
    <row r="786" spans="2:15" x14ac:dyDescent="0.45">
      <c r="B786" s="6" t="s">
        <v>103</v>
      </c>
      <c r="C786" s="6" t="s">
        <v>24</v>
      </c>
      <c r="D786" s="7">
        <v>8.222839331195983E-2</v>
      </c>
      <c r="E786" s="6" t="s">
        <v>7</v>
      </c>
      <c r="G786" s="6" t="s">
        <v>104</v>
      </c>
      <c r="H786" s="6" t="s">
        <v>24</v>
      </c>
      <c r="I786" s="8">
        <v>2.5011917465770212E-2</v>
      </c>
      <c r="J786" s="6" t="s">
        <v>7</v>
      </c>
      <c r="L786" s="6" t="s">
        <v>105</v>
      </c>
      <c r="M786" s="6" t="s">
        <v>24</v>
      </c>
      <c r="N786" s="8">
        <v>2.1302300751150759E-2</v>
      </c>
      <c r="O786" s="6" t="s">
        <v>7</v>
      </c>
    </row>
    <row r="787" spans="2:15" x14ac:dyDescent="0.45">
      <c r="B787" s="3" t="s">
        <v>103</v>
      </c>
      <c r="C787" s="3" t="s">
        <v>25</v>
      </c>
      <c r="D787" s="4">
        <v>6.4746717751931623E-2</v>
      </c>
      <c r="E787" s="3" t="s">
        <v>7</v>
      </c>
      <c r="G787" s="3" t="s">
        <v>104</v>
      </c>
      <c r="H787" s="3" t="s">
        <v>25</v>
      </c>
      <c r="I787" s="5">
        <v>2.4411013745099672E-2</v>
      </c>
      <c r="J787" s="3" t="s">
        <v>7</v>
      </c>
      <c r="L787" s="3" t="s">
        <v>105</v>
      </c>
      <c r="M787" s="3" t="s">
        <v>25</v>
      </c>
      <c r="N787" s="5">
        <v>2.1509164704648757E-2</v>
      </c>
      <c r="O787" s="3" t="s">
        <v>7</v>
      </c>
    </row>
    <row r="788" spans="2:15" x14ac:dyDescent="0.45">
      <c r="B788" s="6" t="s">
        <v>103</v>
      </c>
      <c r="C788" s="6" t="s">
        <v>26</v>
      </c>
      <c r="D788" s="7">
        <v>2.8372518685988012E-2</v>
      </c>
      <c r="E788" s="6" t="s">
        <v>7</v>
      </c>
      <c r="G788" s="6" t="s">
        <v>104</v>
      </c>
      <c r="H788" s="6" t="s">
        <v>26</v>
      </c>
      <c r="I788" s="8">
        <v>2.2710701156307321E-2</v>
      </c>
      <c r="J788" s="6" t="s">
        <v>7</v>
      </c>
      <c r="L788" s="6" t="s">
        <v>105</v>
      </c>
      <c r="M788" s="6" t="s">
        <v>26</v>
      </c>
      <c r="N788" s="8">
        <v>2.1646001042868644E-2</v>
      </c>
      <c r="O788" s="6" t="s">
        <v>7</v>
      </c>
    </row>
    <row r="789" spans="2:15" x14ac:dyDescent="0.45">
      <c r="B789" s="3" t="s">
        <v>103</v>
      </c>
      <c r="C789" s="3" t="s">
        <v>27</v>
      </c>
      <c r="D789" s="4">
        <v>1.7596192560107842E-3</v>
      </c>
      <c r="E789" s="3" t="s">
        <v>7</v>
      </c>
      <c r="G789" s="3" t="s">
        <v>104</v>
      </c>
      <c r="H789" s="3" t="s">
        <v>27</v>
      </c>
      <c r="I789" s="5">
        <v>2.1802511210065892E-2</v>
      </c>
      <c r="J789" s="3" t="s">
        <v>7</v>
      </c>
      <c r="L789" s="3" t="s">
        <v>105</v>
      </c>
      <c r="M789" s="3" t="s">
        <v>27</v>
      </c>
      <c r="N789" s="5">
        <v>2.1637987030394497E-2</v>
      </c>
      <c r="O789" s="3" t="s">
        <v>7</v>
      </c>
    </row>
    <row r="790" spans="2:15" x14ac:dyDescent="0.45">
      <c r="B790" s="6" t="s">
        <v>103</v>
      </c>
      <c r="C790" s="6" t="s">
        <v>28</v>
      </c>
      <c r="D790" s="7">
        <v>0</v>
      </c>
      <c r="E790" s="6" t="s">
        <v>7</v>
      </c>
      <c r="G790" s="6" t="s">
        <v>104</v>
      </c>
      <c r="H790" s="6" t="s">
        <v>28</v>
      </c>
      <c r="I790" s="8">
        <v>3.1244110046855948E-2</v>
      </c>
      <c r="J790" s="6" t="s">
        <v>7</v>
      </c>
      <c r="L790" s="6" t="s">
        <v>105</v>
      </c>
      <c r="M790" s="6" t="s">
        <v>28</v>
      </c>
      <c r="N790" s="8">
        <v>3.1698184721747076E-2</v>
      </c>
      <c r="O790" s="6" t="s">
        <v>7</v>
      </c>
    </row>
    <row r="791" spans="2:15" x14ac:dyDescent="0.45">
      <c r="B791" s="3" t="s">
        <v>103</v>
      </c>
      <c r="C791" s="3" t="s">
        <v>29</v>
      </c>
      <c r="D791" s="4">
        <v>0</v>
      </c>
      <c r="E791" s="3" t="s">
        <v>7</v>
      </c>
      <c r="G791" s="3" t="s">
        <v>104</v>
      </c>
      <c r="H791" s="3" t="s">
        <v>29</v>
      </c>
      <c r="I791" s="5">
        <v>2.5594965394690271E-2</v>
      </c>
      <c r="J791" s="3" t="s">
        <v>7</v>
      </c>
      <c r="L791" s="3" t="s">
        <v>105</v>
      </c>
      <c r="M791" s="3" t="s">
        <v>29</v>
      </c>
      <c r="N791" s="5">
        <v>3.8581044503785064E-2</v>
      </c>
      <c r="O791" s="3" t="s">
        <v>7</v>
      </c>
    </row>
    <row r="792" spans="2:15" x14ac:dyDescent="0.45">
      <c r="B792" s="6" t="s">
        <v>103</v>
      </c>
      <c r="C792" s="6" t="s">
        <v>30</v>
      </c>
      <c r="D792" s="7">
        <v>2.55787920375987E-3</v>
      </c>
      <c r="E792" s="6" t="s">
        <v>7</v>
      </c>
      <c r="G792" s="6" t="s">
        <v>104</v>
      </c>
      <c r="H792" s="6" t="s">
        <v>30</v>
      </c>
      <c r="I792" s="8">
        <v>9.9018635634446819E-3</v>
      </c>
      <c r="J792" s="6" t="s">
        <v>7</v>
      </c>
      <c r="L792" s="6" t="s">
        <v>105</v>
      </c>
      <c r="M792" s="6" t="s">
        <v>30</v>
      </c>
      <c r="N792" s="8">
        <v>1.5446398359269855E-2</v>
      </c>
      <c r="O792" s="6" t="s">
        <v>7</v>
      </c>
    </row>
    <row r="793" spans="2:15" x14ac:dyDescent="0.45">
      <c r="B793" s="3" t="s">
        <v>103</v>
      </c>
      <c r="C793" s="3" t="s">
        <v>31</v>
      </c>
      <c r="D793" s="4">
        <v>2.5218230557655513E-2</v>
      </c>
      <c r="E793" s="3" t="s">
        <v>7</v>
      </c>
      <c r="G793" s="3" t="s">
        <v>104</v>
      </c>
      <c r="H793" s="3" t="s">
        <v>31</v>
      </c>
      <c r="I793" s="5">
        <v>1.0976280251252832E-2</v>
      </c>
      <c r="J793" s="3" t="s">
        <v>7</v>
      </c>
      <c r="L793" s="3" t="s">
        <v>105</v>
      </c>
      <c r="M793" s="3" t="s">
        <v>31</v>
      </c>
      <c r="N793" s="5">
        <v>1.5286150946399785E-2</v>
      </c>
      <c r="O793" s="3" t="s">
        <v>7</v>
      </c>
    </row>
    <row r="794" spans="2:15" x14ac:dyDescent="0.45">
      <c r="B794" s="6" t="s">
        <v>103</v>
      </c>
      <c r="C794" s="6" t="s">
        <v>32</v>
      </c>
      <c r="D794" s="7">
        <v>6.2474390716751003E-2</v>
      </c>
      <c r="E794" s="6" t="s">
        <v>7</v>
      </c>
      <c r="G794" s="6" t="s">
        <v>104</v>
      </c>
      <c r="H794" s="6" t="s">
        <v>32</v>
      </c>
      <c r="I794" s="8">
        <v>1.2153921415365235E-2</v>
      </c>
      <c r="J794" s="6" t="s">
        <v>7</v>
      </c>
      <c r="L794" s="6" t="s">
        <v>105</v>
      </c>
      <c r="M794" s="6" t="s">
        <v>32</v>
      </c>
      <c r="N794" s="8">
        <v>1.4840125125104745E-2</v>
      </c>
      <c r="O794" s="6" t="s">
        <v>7</v>
      </c>
    </row>
    <row r="795" spans="2:15" x14ac:dyDescent="0.45">
      <c r="B795" s="3" t="s">
        <v>103</v>
      </c>
      <c r="C795" s="3" t="s">
        <v>33</v>
      </c>
      <c r="D795" s="4">
        <v>8.3288799650684794E-2</v>
      </c>
      <c r="E795" s="3" t="s">
        <v>7</v>
      </c>
      <c r="G795" s="3" t="s">
        <v>104</v>
      </c>
      <c r="H795" s="3" t="s">
        <v>33</v>
      </c>
      <c r="I795" s="5">
        <v>1.3490687323250102E-2</v>
      </c>
      <c r="J795" s="3" t="s">
        <v>7</v>
      </c>
      <c r="L795" s="3" t="s">
        <v>105</v>
      </c>
      <c r="M795" s="3" t="s">
        <v>33</v>
      </c>
      <c r="N795" s="5">
        <v>1.4719836711572225E-2</v>
      </c>
      <c r="O795" s="3" t="s">
        <v>7</v>
      </c>
    </row>
    <row r="796" spans="2:15" x14ac:dyDescent="0.45">
      <c r="B796" s="6" t="s">
        <v>103</v>
      </c>
      <c r="C796" s="6" t="s">
        <v>34</v>
      </c>
      <c r="D796" s="7">
        <v>8.5908780727496151E-2</v>
      </c>
      <c r="E796" s="6" t="s">
        <v>7</v>
      </c>
      <c r="G796" s="6" t="s">
        <v>104</v>
      </c>
      <c r="H796" s="6" t="s">
        <v>34</v>
      </c>
      <c r="I796" s="8">
        <v>1.4314464484430776E-2</v>
      </c>
      <c r="J796" s="6" t="s">
        <v>7</v>
      </c>
      <c r="L796" s="6" t="s">
        <v>105</v>
      </c>
      <c r="M796" s="6" t="s">
        <v>34</v>
      </c>
      <c r="N796" s="8">
        <v>1.4713059079543749E-2</v>
      </c>
      <c r="O796" s="6" t="s">
        <v>7</v>
      </c>
    </row>
    <row r="797" spans="2:15" x14ac:dyDescent="0.45">
      <c r="B797" s="3" t="s">
        <v>103</v>
      </c>
      <c r="C797" s="3" t="s">
        <v>35</v>
      </c>
      <c r="D797" s="4">
        <v>6.7393076041979638E-2</v>
      </c>
      <c r="E797" s="3" t="s">
        <v>7</v>
      </c>
      <c r="G797" s="3" t="s">
        <v>104</v>
      </c>
      <c r="H797" s="3" t="s">
        <v>35</v>
      </c>
      <c r="I797" s="5">
        <v>1.4402843479318826E-2</v>
      </c>
      <c r="J797" s="3" t="s">
        <v>7</v>
      </c>
      <c r="L797" s="3" t="s">
        <v>105</v>
      </c>
      <c r="M797" s="3" t="s">
        <v>35</v>
      </c>
      <c r="N797" s="5">
        <v>1.4918738148226423E-2</v>
      </c>
      <c r="O797" s="3" t="s">
        <v>7</v>
      </c>
    </row>
    <row r="798" spans="2:15" x14ac:dyDescent="0.45">
      <c r="B798" s="6" t="s">
        <v>103</v>
      </c>
      <c r="C798" s="6" t="s">
        <v>36</v>
      </c>
      <c r="D798" s="7">
        <v>3.4736438403689972E-2</v>
      </c>
      <c r="E798" s="6" t="s">
        <v>7</v>
      </c>
      <c r="G798" s="6" t="s">
        <v>104</v>
      </c>
      <c r="H798" s="6" t="s">
        <v>36</v>
      </c>
      <c r="I798" s="8">
        <v>1.2988882106576989E-2</v>
      </c>
      <c r="J798" s="6" t="s">
        <v>7</v>
      </c>
      <c r="L798" s="6" t="s">
        <v>105</v>
      </c>
      <c r="M798" s="6" t="s">
        <v>36</v>
      </c>
      <c r="N798" s="8">
        <v>1.4928265761874823E-2</v>
      </c>
      <c r="O798" s="6" t="s">
        <v>7</v>
      </c>
    </row>
    <row r="799" spans="2:15" x14ac:dyDescent="0.45">
      <c r="B799" s="3" t="s">
        <v>103</v>
      </c>
      <c r="C799" s="3" t="s">
        <v>37</v>
      </c>
      <c r="D799" s="4">
        <v>4.985908990089544E-3</v>
      </c>
      <c r="E799" s="3" t="s">
        <v>7</v>
      </c>
      <c r="G799" s="3" t="s">
        <v>104</v>
      </c>
      <c r="H799" s="3" t="s">
        <v>37</v>
      </c>
      <c r="I799" s="5">
        <v>1.1656355413033453E-2</v>
      </c>
      <c r="J799" s="3" t="s">
        <v>7</v>
      </c>
      <c r="L799" s="3" t="s">
        <v>105</v>
      </c>
      <c r="M799" s="3" t="s">
        <v>37</v>
      </c>
      <c r="N799" s="5">
        <v>1.4938489410881418E-2</v>
      </c>
      <c r="O799" s="3" t="s">
        <v>7</v>
      </c>
    </row>
    <row r="800" spans="2:15" x14ac:dyDescent="0.45">
      <c r="B800" s="6" t="s">
        <v>103</v>
      </c>
      <c r="C800" s="6" t="s">
        <v>38</v>
      </c>
      <c r="D800" s="7">
        <v>1.6001009943957114E-5</v>
      </c>
      <c r="E800" s="6" t="s">
        <v>7</v>
      </c>
      <c r="G800" s="6" t="s">
        <v>104</v>
      </c>
      <c r="H800" s="6" t="s">
        <v>38</v>
      </c>
      <c r="I800" s="8">
        <v>1.6793606886165286E-2</v>
      </c>
      <c r="J800" s="6" t="s">
        <v>7</v>
      </c>
      <c r="L800" s="6" t="s">
        <v>105</v>
      </c>
      <c r="M800" s="6" t="s">
        <v>38</v>
      </c>
      <c r="N800" s="8">
        <v>2.2540616137536284E-2</v>
      </c>
      <c r="O800" s="6" t="s">
        <v>7</v>
      </c>
    </row>
    <row r="801" spans="2:15" x14ac:dyDescent="0.45">
      <c r="B801" s="3" t="s">
        <v>103</v>
      </c>
      <c r="C801" s="3" t="s">
        <v>39</v>
      </c>
      <c r="D801" s="4">
        <v>0</v>
      </c>
      <c r="E801" s="3" t="s">
        <v>7</v>
      </c>
      <c r="G801" s="3" t="s">
        <v>104</v>
      </c>
      <c r="H801" s="3" t="s">
        <v>39</v>
      </c>
      <c r="I801" s="5">
        <v>5.6021398580959954E-2</v>
      </c>
      <c r="J801" s="3" t="s">
        <v>7</v>
      </c>
      <c r="L801" s="3" t="s">
        <v>105</v>
      </c>
      <c r="M801" s="3" t="s">
        <v>39</v>
      </c>
      <c r="N801" s="5">
        <v>5.2691417405343124E-2</v>
      </c>
      <c r="O801" s="3" t="s">
        <v>7</v>
      </c>
    </row>
    <row r="802" spans="2:15" x14ac:dyDescent="0.45">
      <c r="B802" s="6" t="s">
        <v>103</v>
      </c>
      <c r="C802" s="6" t="s">
        <v>40</v>
      </c>
      <c r="D802" s="7">
        <v>0</v>
      </c>
      <c r="E802" s="6" t="s">
        <v>7</v>
      </c>
      <c r="G802" s="6" t="s">
        <v>104</v>
      </c>
      <c r="H802" s="6" t="s">
        <v>40</v>
      </c>
      <c r="I802" s="8">
        <v>2.0940375989221532E-2</v>
      </c>
      <c r="J802" s="6" t="s">
        <v>7</v>
      </c>
      <c r="L802" s="6" t="s">
        <v>105</v>
      </c>
      <c r="M802" s="6" t="s">
        <v>40</v>
      </c>
      <c r="N802" s="8">
        <v>2.1755284143861291E-2</v>
      </c>
      <c r="O802" s="6" t="s">
        <v>7</v>
      </c>
    </row>
    <row r="803" spans="2:15" x14ac:dyDescent="0.45">
      <c r="B803" s="3" t="s">
        <v>103</v>
      </c>
      <c r="C803" s="3" t="s">
        <v>41</v>
      </c>
      <c r="D803" s="4">
        <v>4.1982211811933791E-3</v>
      </c>
      <c r="E803" s="3" t="s">
        <v>7</v>
      </c>
      <c r="G803" s="3" t="s">
        <v>104</v>
      </c>
      <c r="H803" s="3" t="s">
        <v>41</v>
      </c>
      <c r="I803" s="5">
        <v>2.1086822105983317E-2</v>
      </c>
      <c r="J803" s="3" t="s">
        <v>7</v>
      </c>
      <c r="L803" s="3" t="s">
        <v>105</v>
      </c>
      <c r="M803" s="3" t="s">
        <v>41</v>
      </c>
      <c r="N803" s="5">
        <v>2.1993352585386497E-2</v>
      </c>
      <c r="O803" s="3" t="s">
        <v>7</v>
      </c>
    </row>
    <row r="804" spans="2:15" x14ac:dyDescent="0.45">
      <c r="B804" s="6" t="s">
        <v>103</v>
      </c>
      <c r="C804" s="6" t="s">
        <v>42</v>
      </c>
      <c r="D804" s="7">
        <v>3.0314971851935595E-2</v>
      </c>
      <c r="E804" s="6" t="s">
        <v>7</v>
      </c>
      <c r="G804" s="6" t="s">
        <v>104</v>
      </c>
      <c r="H804" s="6" t="s">
        <v>42</v>
      </c>
      <c r="I804" s="8">
        <v>2.2216496302915383E-2</v>
      </c>
      <c r="J804" s="6" t="s">
        <v>7</v>
      </c>
      <c r="L804" s="6" t="s">
        <v>105</v>
      </c>
      <c r="M804" s="6" t="s">
        <v>42</v>
      </c>
      <c r="N804" s="8">
        <v>2.1918897191829625E-2</v>
      </c>
      <c r="O804" s="6" t="s">
        <v>7</v>
      </c>
    </row>
    <row r="805" spans="2:15" x14ac:dyDescent="0.45">
      <c r="B805" s="3" t="s">
        <v>103</v>
      </c>
      <c r="C805" s="3" t="s">
        <v>43</v>
      </c>
      <c r="D805" s="4">
        <v>5.4233796801035739E-2</v>
      </c>
      <c r="E805" s="3" t="s">
        <v>7</v>
      </c>
      <c r="G805" s="3" t="s">
        <v>104</v>
      </c>
      <c r="H805" s="3" t="s">
        <v>43</v>
      </c>
      <c r="I805" s="5">
        <v>2.3436867205427914E-2</v>
      </c>
      <c r="J805" s="3" t="s">
        <v>7</v>
      </c>
      <c r="L805" s="3" t="s">
        <v>105</v>
      </c>
      <c r="M805" s="3" t="s">
        <v>43</v>
      </c>
      <c r="N805" s="5">
        <v>2.1883924082382662E-2</v>
      </c>
      <c r="O805" s="3" t="s">
        <v>7</v>
      </c>
    </row>
    <row r="806" spans="2:15" x14ac:dyDescent="0.45">
      <c r="B806" s="6" t="s">
        <v>103</v>
      </c>
      <c r="C806" s="6" t="s">
        <v>44</v>
      </c>
      <c r="D806" s="7">
        <v>5.2499957586273738E-2</v>
      </c>
      <c r="E806" s="6" t="s">
        <v>7</v>
      </c>
      <c r="G806" s="6" t="s">
        <v>104</v>
      </c>
      <c r="H806" s="6" t="s">
        <v>44</v>
      </c>
      <c r="I806" s="8">
        <v>2.4177137943801781E-2</v>
      </c>
      <c r="J806" s="6" t="s">
        <v>7</v>
      </c>
      <c r="L806" s="6" t="s">
        <v>105</v>
      </c>
      <c r="M806" s="6" t="s">
        <v>44</v>
      </c>
      <c r="N806" s="8">
        <v>2.1905711950099525E-2</v>
      </c>
      <c r="O806" s="6" t="s">
        <v>7</v>
      </c>
    </row>
    <row r="807" spans="2:15" x14ac:dyDescent="0.45">
      <c r="B807" s="3" t="s">
        <v>103</v>
      </c>
      <c r="C807" s="3" t="s">
        <v>45</v>
      </c>
      <c r="D807" s="4">
        <v>3.1327342597333885E-2</v>
      </c>
      <c r="E807" s="3" t="s">
        <v>7</v>
      </c>
      <c r="G807" s="3" t="s">
        <v>104</v>
      </c>
      <c r="H807" s="3" t="s">
        <v>45</v>
      </c>
      <c r="I807" s="5">
        <v>2.4043832340671967E-2</v>
      </c>
      <c r="J807" s="3" t="s">
        <v>7</v>
      </c>
      <c r="L807" s="3" t="s">
        <v>105</v>
      </c>
      <c r="M807" s="3" t="s">
        <v>45</v>
      </c>
      <c r="N807" s="5">
        <v>2.1960553016628082E-2</v>
      </c>
      <c r="O807" s="3" t="s">
        <v>7</v>
      </c>
    </row>
    <row r="808" spans="2:15" x14ac:dyDescent="0.45">
      <c r="B808" s="6" t="s">
        <v>103</v>
      </c>
      <c r="C808" s="6" t="s">
        <v>46</v>
      </c>
      <c r="D808" s="7">
        <v>6.0867138280786669E-3</v>
      </c>
      <c r="E808" s="6" t="s">
        <v>7</v>
      </c>
      <c r="G808" s="6" t="s">
        <v>104</v>
      </c>
      <c r="H808" s="6" t="s">
        <v>46</v>
      </c>
      <c r="I808" s="8">
        <v>2.3064137381399438E-2</v>
      </c>
      <c r="J808" s="6" t="s">
        <v>7</v>
      </c>
      <c r="L808" s="6" t="s">
        <v>105</v>
      </c>
      <c r="M808" s="6" t="s">
        <v>46</v>
      </c>
      <c r="N808" s="8">
        <v>2.1878014464880427E-2</v>
      </c>
      <c r="O808" s="6" t="s">
        <v>7</v>
      </c>
    </row>
    <row r="809" spans="2:15" x14ac:dyDescent="0.45">
      <c r="B809" s="3" t="s">
        <v>103</v>
      </c>
      <c r="C809" s="3" t="s">
        <v>47</v>
      </c>
      <c r="D809" s="4">
        <v>2.1233837705724773E-5</v>
      </c>
      <c r="E809" s="3" t="s">
        <v>7</v>
      </c>
      <c r="G809" s="3" t="s">
        <v>104</v>
      </c>
      <c r="H809" s="3" t="s">
        <v>47</v>
      </c>
      <c r="I809" s="5">
        <v>2.2811627656916078E-2</v>
      </c>
      <c r="J809" s="3" t="s">
        <v>7</v>
      </c>
      <c r="L809" s="3" t="s">
        <v>105</v>
      </c>
      <c r="M809" s="3" t="s">
        <v>47</v>
      </c>
      <c r="N809" s="5">
        <v>2.1667271796629809E-2</v>
      </c>
      <c r="O809" s="3" t="s">
        <v>7</v>
      </c>
    </row>
    <row r="810" spans="2:15" x14ac:dyDescent="0.45">
      <c r="B810" s="6" t="s">
        <v>103</v>
      </c>
      <c r="C810" s="6" t="s">
        <v>48</v>
      </c>
      <c r="D810" s="7">
        <v>0</v>
      </c>
      <c r="E810" s="6" t="s">
        <v>7</v>
      </c>
      <c r="G810" s="6" t="s">
        <v>104</v>
      </c>
      <c r="H810" s="6" t="s">
        <v>48</v>
      </c>
      <c r="I810" s="8">
        <v>3.4675128888826845E-2</v>
      </c>
      <c r="J810" s="6" t="s">
        <v>7</v>
      </c>
      <c r="L810" s="6" t="s">
        <v>105</v>
      </c>
      <c r="M810" s="6" t="s">
        <v>48</v>
      </c>
      <c r="N810" s="8">
        <v>3.1731039822166539E-2</v>
      </c>
      <c r="O810" s="6" t="s">
        <v>7</v>
      </c>
    </row>
    <row r="811" spans="2:15" x14ac:dyDescent="0.45">
      <c r="B811" s="3" t="s">
        <v>106</v>
      </c>
      <c r="C811" s="3" t="s">
        <v>6</v>
      </c>
      <c r="D811" s="4">
        <v>0</v>
      </c>
      <c r="E811" s="3" t="s">
        <v>7</v>
      </c>
      <c r="G811" s="3" t="s">
        <v>107</v>
      </c>
      <c r="H811" s="3" t="s">
        <v>6</v>
      </c>
      <c r="I811" s="5">
        <v>6.4688180072217799E-2</v>
      </c>
      <c r="J811" s="3" t="s">
        <v>7</v>
      </c>
      <c r="L811" s="3" t="s">
        <v>108</v>
      </c>
      <c r="M811" s="3" t="s">
        <v>6</v>
      </c>
      <c r="N811" s="5">
        <v>6.4458323507216961E-2</v>
      </c>
      <c r="O811" s="3" t="s">
        <v>7</v>
      </c>
    </row>
    <row r="812" spans="2:15" x14ac:dyDescent="0.45">
      <c r="B812" s="6" t="s">
        <v>106</v>
      </c>
      <c r="C812" s="6" t="s">
        <v>10</v>
      </c>
      <c r="D812" s="7">
        <v>0</v>
      </c>
      <c r="E812" s="6" t="s">
        <v>7</v>
      </c>
      <c r="G812" s="6" t="s">
        <v>107</v>
      </c>
      <c r="H812" s="6" t="s">
        <v>10</v>
      </c>
      <c r="I812" s="8">
        <v>2.5058879694877335E-2</v>
      </c>
      <c r="J812" s="6" t="s">
        <v>7</v>
      </c>
      <c r="L812" s="6" t="s">
        <v>108</v>
      </c>
      <c r="M812" s="6" t="s">
        <v>10</v>
      </c>
      <c r="N812" s="8">
        <v>2.5189900440195999E-2</v>
      </c>
      <c r="O812" s="6" t="s">
        <v>7</v>
      </c>
    </row>
    <row r="813" spans="2:15" x14ac:dyDescent="0.45">
      <c r="B813" s="3" t="s">
        <v>106</v>
      </c>
      <c r="C813" s="3" t="s">
        <v>11</v>
      </c>
      <c r="D813" s="4">
        <v>3.1293193772040769E-4</v>
      </c>
      <c r="E813" s="3" t="s">
        <v>7</v>
      </c>
      <c r="G813" s="3" t="s">
        <v>107</v>
      </c>
      <c r="H813" s="3" t="s">
        <v>11</v>
      </c>
      <c r="I813" s="5">
        <v>2.5412146988650259E-2</v>
      </c>
      <c r="J813" s="3" t="s">
        <v>7</v>
      </c>
      <c r="L813" s="3" t="s">
        <v>108</v>
      </c>
      <c r="M813" s="3" t="s">
        <v>11</v>
      </c>
      <c r="N813" s="5">
        <v>2.4286473893974966E-2</v>
      </c>
      <c r="O813" s="3" t="s">
        <v>7</v>
      </c>
    </row>
    <row r="814" spans="2:15" x14ac:dyDescent="0.45">
      <c r="B814" s="6" t="s">
        <v>106</v>
      </c>
      <c r="C814" s="6" t="s">
        <v>12</v>
      </c>
      <c r="D814" s="7">
        <v>1.5964191699237028E-2</v>
      </c>
      <c r="E814" s="6" t="s">
        <v>7</v>
      </c>
      <c r="G814" s="6" t="s">
        <v>107</v>
      </c>
      <c r="H814" s="6" t="s">
        <v>12</v>
      </c>
      <c r="I814" s="8">
        <v>2.4662023433966701E-2</v>
      </c>
      <c r="J814" s="6" t="s">
        <v>7</v>
      </c>
      <c r="L814" s="6" t="s">
        <v>108</v>
      </c>
      <c r="M814" s="6" t="s">
        <v>12</v>
      </c>
      <c r="N814" s="8">
        <v>2.3769296215122648E-2</v>
      </c>
      <c r="O814" s="6" t="s">
        <v>7</v>
      </c>
    </row>
    <row r="815" spans="2:15" x14ac:dyDescent="0.45">
      <c r="B815" s="3" t="s">
        <v>106</v>
      </c>
      <c r="C815" s="3" t="s">
        <v>13</v>
      </c>
      <c r="D815" s="4">
        <v>4.1029166182487455E-2</v>
      </c>
      <c r="E815" s="3" t="s">
        <v>7</v>
      </c>
      <c r="G815" s="3" t="s">
        <v>107</v>
      </c>
      <c r="H815" s="3" t="s">
        <v>13</v>
      </c>
      <c r="I815" s="5">
        <v>2.4885713295290723E-2</v>
      </c>
      <c r="J815" s="3" t="s">
        <v>7</v>
      </c>
      <c r="L815" s="3" t="s">
        <v>108</v>
      </c>
      <c r="M815" s="3" t="s">
        <v>13</v>
      </c>
      <c r="N815" s="5">
        <v>2.4424030063551823E-2</v>
      </c>
      <c r="O815" s="3" t="s">
        <v>7</v>
      </c>
    </row>
    <row r="816" spans="2:15" x14ac:dyDescent="0.45">
      <c r="B816" s="6" t="s">
        <v>106</v>
      </c>
      <c r="C816" s="6" t="s">
        <v>14</v>
      </c>
      <c r="D816" s="7">
        <v>4.3136658160512313E-2</v>
      </c>
      <c r="E816" s="6" t="s">
        <v>7</v>
      </c>
      <c r="G816" s="6" t="s">
        <v>107</v>
      </c>
      <c r="H816" s="6" t="s">
        <v>14</v>
      </c>
      <c r="I816" s="8">
        <v>2.5390291086109386E-2</v>
      </c>
      <c r="J816" s="6" t="s">
        <v>7</v>
      </c>
      <c r="L816" s="6" t="s">
        <v>108</v>
      </c>
      <c r="M816" s="6" t="s">
        <v>14</v>
      </c>
      <c r="N816" s="8">
        <v>2.5243765189450304E-2</v>
      </c>
      <c r="O816" s="6" t="s">
        <v>7</v>
      </c>
    </row>
    <row r="817" spans="2:15" x14ac:dyDescent="0.45">
      <c r="B817" s="3" t="s">
        <v>106</v>
      </c>
      <c r="C817" s="3" t="s">
        <v>15</v>
      </c>
      <c r="D817" s="4">
        <v>2.4009000385046664E-2</v>
      </c>
      <c r="E817" s="3" t="s">
        <v>7</v>
      </c>
      <c r="G817" s="3" t="s">
        <v>107</v>
      </c>
      <c r="H817" s="3" t="s">
        <v>15</v>
      </c>
      <c r="I817" s="5">
        <v>2.5058837467343588E-2</v>
      </c>
      <c r="J817" s="3" t="s">
        <v>7</v>
      </c>
      <c r="L817" s="3" t="s">
        <v>108</v>
      </c>
      <c r="M817" s="3" t="s">
        <v>15</v>
      </c>
      <c r="N817" s="5">
        <v>2.5004590348315221E-2</v>
      </c>
      <c r="O817" s="3" t="s">
        <v>7</v>
      </c>
    </row>
    <row r="818" spans="2:15" x14ac:dyDescent="0.45">
      <c r="B818" s="6" t="s">
        <v>106</v>
      </c>
      <c r="C818" s="6" t="s">
        <v>16</v>
      </c>
      <c r="D818" s="7">
        <v>2.6483605080034984E-3</v>
      </c>
      <c r="E818" s="6" t="s">
        <v>7</v>
      </c>
      <c r="G818" s="6" t="s">
        <v>107</v>
      </c>
      <c r="H818" s="6" t="s">
        <v>16</v>
      </c>
      <c r="I818" s="8">
        <v>2.5323184067544607E-2</v>
      </c>
      <c r="J818" s="6" t="s">
        <v>7</v>
      </c>
      <c r="L818" s="6" t="s">
        <v>108</v>
      </c>
      <c r="M818" s="6" t="s">
        <v>16</v>
      </c>
      <c r="N818" s="8">
        <v>2.4448403363970653E-2</v>
      </c>
      <c r="O818" s="6" t="s">
        <v>7</v>
      </c>
    </row>
    <row r="819" spans="2:15" x14ac:dyDescent="0.45">
      <c r="B819" s="3" t="s">
        <v>106</v>
      </c>
      <c r="C819" s="3" t="s">
        <v>17</v>
      </c>
      <c r="D819" s="4">
        <v>0</v>
      </c>
      <c r="E819" s="3" t="s">
        <v>7</v>
      </c>
      <c r="G819" s="3" t="s">
        <v>107</v>
      </c>
      <c r="H819" s="3" t="s">
        <v>17</v>
      </c>
      <c r="I819" s="5">
        <v>2.617143492277519E-2</v>
      </c>
      <c r="J819" s="3" t="s">
        <v>7</v>
      </c>
      <c r="L819" s="3" t="s">
        <v>108</v>
      </c>
      <c r="M819" s="3" t="s">
        <v>17</v>
      </c>
      <c r="N819" s="5">
        <v>2.4854135296436979E-2</v>
      </c>
      <c r="O819" s="3" t="s">
        <v>7</v>
      </c>
    </row>
    <row r="820" spans="2:15" x14ac:dyDescent="0.45">
      <c r="B820" s="6" t="s">
        <v>106</v>
      </c>
      <c r="C820" s="6" t="s">
        <v>18</v>
      </c>
      <c r="D820" s="7">
        <v>0</v>
      </c>
      <c r="E820" s="6" t="s">
        <v>7</v>
      </c>
      <c r="G820" s="6" t="s">
        <v>107</v>
      </c>
      <c r="H820" s="6" t="s">
        <v>18</v>
      </c>
      <c r="I820" s="8">
        <v>3.9196097396452786E-2</v>
      </c>
      <c r="J820" s="6" t="s">
        <v>7</v>
      </c>
      <c r="L820" s="6" t="s">
        <v>108</v>
      </c>
      <c r="M820" s="6" t="s">
        <v>18</v>
      </c>
      <c r="N820" s="8">
        <v>3.8508936107094154E-2</v>
      </c>
      <c r="O820" s="6" t="s">
        <v>7</v>
      </c>
    </row>
    <row r="821" spans="2:15" x14ac:dyDescent="0.45">
      <c r="B821" s="3" t="s">
        <v>106</v>
      </c>
      <c r="C821" s="3" t="s">
        <v>19</v>
      </c>
      <c r="D821" s="4">
        <v>0</v>
      </c>
      <c r="E821" s="3" t="s">
        <v>7</v>
      </c>
      <c r="G821" s="3" t="s">
        <v>107</v>
      </c>
      <c r="H821" s="3" t="s">
        <v>19</v>
      </c>
      <c r="I821" s="5">
        <v>5.44037132316244E-2</v>
      </c>
      <c r="J821" s="3" t="s">
        <v>7</v>
      </c>
      <c r="L821" s="3" t="s">
        <v>108</v>
      </c>
      <c r="M821" s="3" t="s">
        <v>19</v>
      </c>
      <c r="N821" s="5">
        <v>4.9083356196730113E-2</v>
      </c>
      <c r="O821" s="3" t="s">
        <v>7</v>
      </c>
    </row>
    <row r="822" spans="2:15" x14ac:dyDescent="0.45">
      <c r="B822" s="6" t="s">
        <v>106</v>
      </c>
      <c r="C822" s="6" t="s">
        <v>20</v>
      </c>
      <c r="D822" s="7">
        <v>7.5372325230859153E-4</v>
      </c>
      <c r="E822" s="6" t="s">
        <v>7</v>
      </c>
      <c r="G822" s="6" t="s">
        <v>107</v>
      </c>
      <c r="H822" s="6" t="s">
        <v>20</v>
      </c>
      <c r="I822" s="8">
        <v>2.1572248849166312E-2</v>
      </c>
      <c r="J822" s="6" t="s">
        <v>7</v>
      </c>
      <c r="L822" s="6" t="s">
        <v>108</v>
      </c>
      <c r="M822" s="6" t="s">
        <v>20</v>
      </c>
      <c r="N822" s="8">
        <v>1.9774906344069126E-2</v>
      </c>
      <c r="O822" s="6" t="s">
        <v>7</v>
      </c>
    </row>
    <row r="823" spans="2:15" x14ac:dyDescent="0.45">
      <c r="B823" s="3" t="s">
        <v>106</v>
      </c>
      <c r="C823" s="3" t="s">
        <v>21</v>
      </c>
      <c r="D823" s="4">
        <v>1.8125933131605786E-2</v>
      </c>
      <c r="E823" s="3" t="s">
        <v>7</v>
      </c>
      <c r="G823" s="3" t="s">
        <v>107</v>
      </c>
      <c r="H823" s="3" t="s">
        <v>21</v>
      </c>
      <c r="I823" s="5">
        <v>2.2663433451703088E-2</v>
      </c>
      <c r="J823" s="3" t="s">
        <v>7</v>
      </c>
      <c r="L823" s="3" t="s">
        <v>108</v>
      </c>
      <c r="M823" s="3" t="s">
        <v>21</v>
      </c>
      <c r="N823" s="5">
        <v>1.9962272979428736E-2</v>
      </c>
      <c r="O823" s="3" t="s">
        <v>7</v>
      </c>
    </row>
    <row r="824" spans="2:15" x14ac:dyDescent="0.45">
      <c r="B824" s="6" t="s">
        <v>106</v>
      </c>
      <c r="C824" s="6" t="s">
        <v>22</v>
      </c>
      <c r="D824" s="7">
        <v>5.6308866296722271E-2</v>
      </c>
      <c r="E824" s="6" t="s">
        <v>7</v>
      </c>
      <c r="G824" s="6" t="s">
        <v>107</v>
      </c>
      <c r="H824" s="6" t="s">
        <v>22</v>
      </c>
      <c r="I824" s="8">
        <v>2.3651693467288439E-2</v>
      </c>
      <c r="J824" s="6" t="s">
        <v>7</v>
      </c>
      <c r="L824" s="6" t="s">
        <v>108</v>
      </c>
      <c r="M824" s="6" t="s">
        <v>22</v>
      </c>
      <c r="N824" s="8">
        <v>2.0237708908489308E-2</v>
      </c>
      <c r="O824" s="6" t="s">
        <v>7</v>
      </c>
    </row>
    <row r="825" spans="2:15" x14ac:dyDescent="0.45">
      <c r="B825" s="3" t="s">
        <v>106</v>
      </c>
      <c r="C825" s="3" t="s">
        <v>23</v>
      </c>
      <c r="D825" s="4">
        <v>7.7479967950360523E-2</v>
      </c>
      <c r="E825" s="3" t="s">
        <v>7</v>
      </c>
      <c r="G825" s="3" t="s">
        <v>107</v>
      </c>
      <c r="H825" s="3" t="s">
        <v>23</v>
      </c>
      <c r="I825" s="5">
        <v>2.3766283163172433E-2</v>
      </c>
      <c r="J825" s="3" t="s">
        <v>7</v>
      </c>
      <c r="L825" s="3" t="s">
        <v>108</v>
      </c>
      <c r="M825" s="3" t="s">
        <v>23</v>
      </c>
      <c r="N825" s="5">
        <v>2.0684054150473478E-2</v>
      </c>
      <c r="O825" s="3" t="s">
        <v>7</v>
      </c>
    </row>
    <row r="826" spans="2:15" x14ac:dyDescent="0.45">
      <c r="B826" s="6" t="s">
        <v>106</v>
      </c>
      <c r="C826" s="6" t="s">
        <v>24</v>
      </c>
      <c r="D826" s="7">
        <v>7.7046881505246204E-2</v>
      </c>
      <c r="E826" s="6" t="s">
        <v>7</v>
      </c>
      <c r="G826" s="6" t="s">
        <v>107</v>
      </c>
      <c r="H826" s="6" t="s">
        <v>24</v>
      </c>
      <c r="I826" s="8">
        <v>2.3983351691852679E-2</v>
      </c>
      <c r="J826" s="6" t="s">
        <v>7</v>
      </c>
      <c r="L826" s="6" t="s">
        <v>108</v>
      </c>
      <c r="M826" s="6" t="s">
        <v>24</v>
      </c>
      <c r="N826" s="8">
        <v>2.0688585241889716E-2</v>
      </c>
      <c r="O826" s="6" t="s">
        <v>7</v>
      </c>
    </row>
    <row r="827" spans="2:15" x14ac:dyDescent="0.45">
      <c r="B827" s="3" t="s">
        <v>106</v>
      </c>
      <c r="C827" s="3" t="s">
        <v>25</v>
      </c>
      <c r="D827" s="4">
        <v>5.9249965699667187E-2</v>
      </c>
      <c r="E827" s="3" t="s">
        <v>7</v>
      </c>
      <c r="G827" s="3" t="s">
        <v>107</v>
      </c>
      <c r="H827" s="3" t="s">
        <v>25</v>
      </c>
      <c r="I827" s="5">
        <v>2.4230427509635513E-2</v>
      </c>
      <c r="J827" s="3" t="s">
        <v>7</v>
      </c>
      <c r="L827" s="3" t="s">
        <v>108</v>
      </c>
      <c r="M827" s="3" t="s">
        <v>25</v>
      </c>
      <c r="N827" s="5">
        <v>2.0566284969694048E-2</v>
      </c>
      <c r="O827" s="3" t="s">
        <v>7</v>
      </c>
    </row>
    <row r="828" spans="2:15" x14ac:dyDescent="0.45">
      <c r="B828" s="6" t="s">
        <v>106</v>
      </c>
      <c r="C828" s="6" t="s">
        <v>26</v>
      </c>
      <c r="D828" s="7">
        <v>2.5316502028278658E-2</v>
      </c>
      <c r="E828" s="6" t="s">
        <v>7</v>
      </c>
      <c r="G828" s="6" t="s">
        <v>107</v>
      </c>
      <c r="H828" s="6" t="s">
        <v>26</v>
      </c>
      <c r="I828" s="8">
        <v>2.3232174815018367E-2</v>
      </c>
      <c r="J828" s="6" t="s">
        <v>7</v>
      </c>
      <c r="L828" s="6" t="s">
        <v>108</v>
      </c>
      <c r="M828" s="6" t="s">
        <v>26</v>
      </c>
      <c r="N828" s="8">
        <v>2.0479414834026446E-2</v>
      </c>
      <c r="O828" s="6" t="s">
        <v>7</v>
      </c>
    </row>
    <row r="829" spans="2:15" x14ac:dyDescent="0.45">
      <c r="B829" s="3" t="s">
        <v>106</v>
      </c>
      <c r="C829" s="3" t="s">
        <v>27</v>
      </c>
      <c r="D829" s="4">
        <v>1.3694517881471186E-3</v>
      </c>
      <c r="E829" s="3" t="s">
        <v>7</v>
      </c>
      <c r="G829" s="3" t="s">
        <v>107</v>
      </c>
      <c r="H829" s="3" t="s">
        <v>27</v>
      </c>
      <c r="I829" s="5">
        <v>2.2734303697095504E-2</v>
      </c>
      <c r="J829" s="3" t="s">
        <v>7</v>
      </c>
      <c r="L829" s="3" t="s">
        <v>108</v>
      </c>
      <c r="M829" s="3" t="s">
        <v>27</v>
      </c>
      <c r="N829" s="5">
        <v>2.031832450129065E-2</v>
      </c>
      <c r="O829" s="3" t="s">
        <v>7</v>
      </c>
    </row>
    <row r="830" spans="2:15" x14ac:dyDescent="0.45">
      <c r="B830" s="6" t="s">
        <v>106</v>
      </c>
      <c r="C830" s="6" t="s">
        <v>28</v>
      </c>
      <c r="D830" s="7">
        <v>0</v>
      </c>
      <c r="E830" s="6" t="s">
        <v>7</v>
      </c>
      <c r="G830" s="6" t="s">
        <v>107</v>
      </c>
      <c r="H830" s="6" t="s">
        <v>28</v>
      </c>
      <c r="I830" s="8">
        <v>3.3011055242024592E-2</v>
      </c>
      <c r="J830" s="6" t="s">
        <v>7</v>
      </c>
      <c r="L830" s="6" t="s">
        <v>108</v>
      </c>
      <c r="M830" s="6" t="s">
        <v>28</v>
      </c>
      <c r="N830" s="8">
        <v>2.9802732500108627E-2</v>
      </c>
      <c r="O830" s="6" t="s">
        <v>7</v>
      </c>
    </row>
    <row r="831" spans="2:15" x14ac:dyDescent="0.45">
      <c r="B831" s="3" t="s">
        <v>106</v>
      </c>
      <c r="C831" s="3" t="s">
        <v>29</v>
      </c>
      <c r="D831" s="4">
        <v>0</v>
      </c>
      <c r="E831" s="3" t="s">
        <v>7</v>
      </c>
      <c r="G831" s="3" t="s">
        <v>107</v>
      </c>
      <c r="H831" s="3" t="s">
        <v>29</v>
      </c>
      <c r="I831" s="5">
        <v>3.5615892277099888E-2</v>
      </c>
      <c r="J831" s="3" t="s">
        <v>7</v>
      </c>
      <c r="L831" s="3" t="s">
        <v>108</v>
      </c>
      <c r="M831" s="3" t="s">
        <v>29</v>
      </c>
      <c r="N831" s="5">
        <v>4.4933260912794794E-2</v>
      </c>
      <c r="O831" s="3" t="s">
        <v>7</v>
      </c>
    </row>
    <row r="832" spans="2:15" x14ac:dyDescent="0.45">
      <c r="B832" s="6" t="s">
        <v>106</v>
      </c>
      <c r="C832" s="6" t="s">
        <v>30</v>
      </c>
      <c r="D832" s="7">
        <v>1.7865395062243489E-3</v>
      </c>
      <c r="E832" s="6" t="s">
        <v>7</v>
      </c>
      <c r="G832" s="6" t="s">
        <v>107</v>
      </c>
      <c r="H832" s="6" t="s">
        <v>30</v>
      </c>
      <c r="I832" s="8">
        <v>1.2990926274344988E-2</v>
      </c>
      <c r="J832" s="6" t="s">
        <v>7</v>
      </c>
      <c r="L832" s="6" t="s">
        <v>108</v>
      </c>
      <c r="M832" s="6" t="s">
        <v>30</v>
      </c>
      <c r="N832" s="8">
        <v>1.7756147086130727E-2</v>
      </c>
      <c r="O832" s="6" t="s">
        <v>7</v>
      </c>
    </row>
    <row r="833" spans="2:15" x14ac:dyDescent="0.45">
      <c r="B833" s="3" t="s">
        <v>106</v>
      </c>
      <c r="C833" s="3" t="s">
        <v>31</v>
      </c>
      <c r="D833" s="4">
        <v>2.3486314670451876E-2</v>
      </c>
      <c r="E833" s="3" t="s">
        <v>7</v>
      </c>
      <c r="G833" s="3" t="s">
        <v>107</v>
      </c>
      <c r="H833" s="3" t="s">
        <v>31</v>
      </c>
      <c r="I833" s="5">
        <v>1.3247129441158977E-2</v>
      </c>
      <c r="J833" s="3" t="s">
        <v>7</v>
      </c>
      <c r="L833" s="3" t="s">
        <v>108</v>
      </c>
      <c r="M833" s="3" t="s">
        <v>31</v>
      </c>
      <c r="N833" s="5">
        <v>1.7777578670746301E-2</v>
      </c>
      <c r="O833" s="3" t="s">
        <v>7</v>
      </c>
    </row>
    <row r="834" spans="2:15" x14ac:dyDescent="0.45">
      <c r="B834" s="6" t="s">
        <v>106</v>
      </c>
      <c r="C834" s="6" t="s">
        <v>32</v>
      </c>
      <c r="D834" s="7">
        <v>6.1958978619655533E-2</v>
      </c>
      <c r="E834" s="6" t="s">
        <v>7</v>
      </c>
      <c r="G834" s="6" t="s">
        <v>107</v>
      </c>
      <c r="H834" s="6" t="s">
        <v>32</v>
      </c>
      <c r="I834" s="8">
        <v>1.296276636886453E-2</v>
      </c>
      <c r="J834" s="6" t="s">
        <v>7</v>
      </c>
      <c r="L834" s="6" t="s">
        <v>108</v>
      </c>
      <c r="M834" s="6" t="s">
        <v>32</v>
      </c>
      <c r="N834" s="8">
        <v>1.7747760464873107E-2</v>
      </c>
      <c r="O834" s="6" t="s">
        <v>7</v>
      </c>
    </row>
    <row r="835" spans="2:15" x14ac:dyDescent="0.45">
      <c r="B835" s="3" t="s">
        <v>106</v>
      </c>
      <c r="C835" s="3" t="s">
        <v>33</v>
      </c>
      <c r="D835" s="4">
        <v>8.5691185777863693E-2</v>
      </c>
      <c r="E835" s="3" t="s">
        <v>7</v>
      </c>
      <c r="G835" s="3" t="s">
        <v>107</v>
      </c>
      <c r="H835" s="3" t="s">
        <v>33</v>
      </c>
      <c r="I835" s="5">
        <v>1.3384180098557599E-2</v>
      </c>
      <c r="J835" s="3" t="s">
        <v>7</v>
      </c>
      <c r="L835" s="3" t="s">
        <v>108</v>
      </c>
      <c r="M835" s="3" t="s">
        <v>33</v>
      </c>
      <c r="N835" s="5">
        <v>1.7693695331884338E-2</v>
      </c>
      <c r="O835" s="3" t="s">
        <v>7</v>
      </c>
    </row>
    <row r="836" spans="2:15" x14ac:dyDescent="0.45">
      <c r="B836" s="6" t="s">
        <v>106</v>
      </c>
      <c r="C836" s="6" t="s">
        <v>34</v>
      </c>
      <c r="D836" s="7">
        <v>8.8015186168753257E-2</v>
      </c>
      <c r="E836" s="6" t="s">
        <v>7</v>
      </c>
      <c r="G836" s="6" t="s">
        <v>107</v>
      </c>
      <c r="H836" s="6" t="s">
        <v>34</v>
      </c>
      <c r="I836" s="8">
        <v>1.4798613338363952E-2</v>
      </c>
      <c r="J836" s="6" t="s">
        <v>7</v>
      </c>
      <c r="L836" s="6" t="s">
        <v>108</v>
      </c>
      <c r="M836" s="6" t="s">
        <v>34</v>
      </c>
      <c r="N836" s="8">
        <v>1.7769517542558268E-2</v>
      </c>
      <c r="O836" s="6" t="s">
        <v>7</v>
      </c>
    </row>
    <row r="837" spans="2:15" x14ac:dyDescent="0.45">
      <c r="B837" s="3" t="s">
        <v>106</v>
      </c>
      <c r="C837" s="3" t="s">
        <v>35</v>
      </c>
      <c r="D837" s="4">
        <v>7.1214886691685048E-2</v>
      </c>
      <c r="E837" s="3" t="s">
        <v>7</v>
      </c>
      <c r="G837" s="3" t="s">
        <v>107</v>
      </c>
      <c r="H837" s="3" t="s">
        <v>35</v>
      </c>
      <c r="I837" s="5">
        <v>1.6175005380347607E-2</v>
      </c>
      <c r="J837" s="3" t="s">
        <v>7</v>
      </c>
      <c r="L837" s="3" t="s">
        <v>108</v>
      </c>
      <c r="M837" s="3" t="s">
        <v>35</v>
      </c>
      <c r="N837" s="5">
        <v>1.7762183909428946E-2</v>
      </c>
      <c r="O837" s="3" t="s">
        <v>7</v>
      </c>
    </row>
    <row r="838" spans="2:15" x14ac:dyDescent="0.45">
      <c r="B838" s="6" t="s">
        <v>106</v>
      </c>
      <c r="C838" s="6" t="s">
        <v>36</v>
      </c>
      <c r="D838" s="7">
        <v>3.5181348192127621E-2</v>
      </c>
      <c r="E838" s="6" t="s">
        <v>7</v>
      </c>
      <c r="G838" s="6" t="s">
        <v>107</v>
      </c>
      <c r="H838" s="6" t="s">
        <v>36</v>
      </c>
      <c r="I838" s="8">
        <v>1.6419174167178818E-2</v>
      </c>
      <c r="J838" s="6" t="s">
        <v>7</v>
      </c>
      <c r="L838" s="6" t="s">
        <v>108</v>
      </c>
      <c r="M838" s="6" t="s">
        <v>36</v>
      </c>
      <c r="N838" s="8">
        <v>1.7698175745554282E-2</v>
      </c>
      <c r="O838" s="6" t="s">
        <v>7</v>
      </c>
    </row>
    <row r="839" spans="2:15" x14ac:dyDescent="0.45">
      <c r="B839" s="3" t="s">
        <v>106</v>
      </c>
      <c r="C839" s="3" t="s">
        <v>37</v>
      </c>
      <c r="D839" s="4">
        <v>4.1217307934981878E-3</v>
      </c>
      <c r="E839" s="3" t="s">
        <v>7</v>
      </c>
      <c r="G839" s="3" t="s">
        <v>107</v>
      </c>
      <c r="H839" s="3" t="s">
        <v>37</v>
      </c>
      <c r="I839" s="5">
        <v>1.5415854086629406E-2</v>
      </c>
      <c r="J839" s="3" t="s">
        <v>7</v>
      </c>
      <c r="L839" s="3" t="s">
        <v>108</v>
      </c>
      <c r="M839" s="3" t="s">
        <v>37</v>
      </c>
      <c r="N839" s="5">
        <v>1.77391296832663E-2</v>
      </c>
      <c r="O839" s="3" t="s">
        <v>7</v>
      </c>
    </row>
    <row r="840" spans="2:15" x14ac:dyDescent="0.45">
      <c r="B840" s="6" t="s">
        <v>106</v>
      </c>
      <c r="C840" s="6" t="s">
        <v>38</v>
      </c>
      <c r="D840" s="7">
        <v>0</v>
      </c>
      <c r="E840" s="6" t="s">
        <v>7</v>
      </c>
      <c r="G840" s="6" t="s">
        <v>107</v>
      </c>
      <c r="H840" s="6" t="s">
        <v>38</v>
      </c>
      <c r="I840" s="8">
        <v>2.2247857211845003E-2</v>
      </c>
      <c r="J840" s="6" t="s">
        <v>7</v>
      </c>
      <c r="L840" s="6" t="s">
        <v>108</v>
      </c>
      <c r="M840" s="6" t="s">
        <v>38</v>
      </c>
      <c r="N840" s="8">
        <v>2.6748661937340077E-2</v>
      </c>
      <c r="O840" s="6" t="s">
        <v>7</v>
      </c>
    </row>
    <row r="841" spans="2:15" x14ac:dyDescent="0.45">
      <c r="B841" s="3" t="s">
        <v>106</v>
      </c>
      <c r="C841" s="3" t="s">
        <v>39</v>
      </c>
      <c r="D841" s="4">
        <v>0</v>
      </c>
      <c r="E841" s="3" t="s">
        <v>7</v>
      </c>
      <c r="G841" s="3" t="s">
        <v>107</v>
      </c>
      <c r="H841" s="3" t="s">
        <v>39</v>
      </c>
      <c r="I841" s="5">
        <v>4.9151355258733036E-2</v>
      </c>
      <c r="J841" s="3" t="s">
        <v>7</v>
      </c>
      <c r="L841" s="3" t="s">
        <v>108</v>
      </c>
      <c r="M841" s="3" t="s">
        <v>39</v>
      </c>
      <c r="N841" s="5">
        <v>5.1185553559734372E-2</v>
      </c>
      <c r="O841" s="3" t="s">
        <v>7</v>
      </c>
    </row>
    <row r="842" spans="2:15" x14ac:dyDescent="0.45">
      <c r="B842" s="6" t="s">
        <v>106</v>
      </c>
      <c r="C842" s="6" t="s">
        <v>40</v>
      </c>
      <c r="D842" s="7">
        <v>0</v>
      </c>
      <c r="E842" s="6" t="s">
        <v>7</v>
      </c>
      <c r="G842" s="6" t="s">
        <v>107</v>
      </c>
      <c r="H842" s="6" t="s">
        <v>40</v>
      </c>
      <c r="I842" s="8">
        <v>1.9350118703238967E-2</v>
      </c>
      <c r="J842" s="6" t="s">
        <v>7</v>
      </c>
      <c r="L842" s="6" t="s">
        <v>108</v>
      </c>
      <c r="M842" s="6" t="s">
        <v>40</v>
      </c>
      <c r="N842" s="8">
        <v>1.9672150635195538E-2</v>
      </c>
      <c r="O842" s="6" t="s">
        <v>7</v>
      </c>
    </row>
    <row r="843" spans="2:15" x14ac:dyDescent="0.45">
      <c r="B843" s="3" t="s">
        <v>106</v>
      </c>
      <c r="C843" s="3" t="s">
        <v>41</v>
      </c>
      <c r="D843" s="4">
        <v>4.6029492621617145E-3</v>
      </c>
      <c r="E843" s="3" t="s">
        <v>7</v>
      </c>
      <c r="G843" s="3" t="s">
        <v>107</v>
      </c>
      <c r="H843" s="3" t="s">
        <v>41</v>
      </c>
      <c r="I843" s="5">
        <v>2.0078061103360096E-2</v>
      </c>
      <c r="J843" s="3" t="s">
        <v>7</v>
      </c>
      <c r="L843" s="3" t="s">
        <v>108</v>
      </c>
      <c r="M843" s="3" t="s">
        <v>41</v>
      </c>
      <c r="N843" s="5">
        <v>1.9778835427434565E-2</v>
      </c>
      <c r="O843" s="3" t="s">
        <v>7</v>
      </c>
    </row>
    <row r="844" spans="2:15" x14ac:dyDescent="0.45">
      <c r="B844" s="6" t="s">
        <v>106</v>
      </c>
      <c r="C844" s="6" t="s">
        <v>42</v>
      </c>
      <c r="D844" s="7">
        <v>3.1022760835674141E-2</v>
      </c>
      <c r="E844" s="6" t="s">
        <v>7</v>
      </c>
      <c r="G844" s="6" t="s">
        <v>107</v>
      </c>
      <c r="H844" s="6" t="s">
        <v>42</v>
      </c>
      <c r="I844" s="8">
        <v>2.0514974807142219E-2</v>
      </c>
      <c r="J844" s="6" t="s">
        <v>7</v>
      </c>
      <c r="L844" s="6" t="s">
        <v>108</v>
      </c>
      <c r="M844" s="6" t="s">
        <v>42</v>
      </c>
      <c r="N844" s="8">
        <v>2.0443461183028495E-2</v>
      </c>
      <c r="O844" s="6" t="s">
        <v>7</v>
      </c>
    </row>
    <row r="845" spans="2:15" x14ac:dyDescent="0.45">
      <c r="B845" s="3" t="s">
        <v>106</v>
      </c>
      <c r="C845" s="3" t="s">
        <v>43</v>
      </c>
      <c r="D845" s="4">
        <v>5.387952368890199E-2</v>
      </c>
      <c r="E845" s="3" t="s">
        <v>7</v>
      </c>
      <c r="G845" s="3" t="s">
        <v>107</v>
      </c>
      <c r="H845" s="3" t="s">
        <v>43</v>
      </c>
      <c r="I845" s="5">
        <v>2.1168386323272535E-2</v>
      </c>
      <c r="J845" s="3" t="s">
        <v>7</v>
      </c>
      <c r="L845" s="3" t="s">
        <v>108</v>
      </c>
      <c r="M845" s="3" t="s">
        <v>43</v>
      </c>
      <c r="N845" s="5">
        <v>2.0911901547477022E-2</v>
      </c>
      <c r="O845" s="3" t="s">
        <v>7</v>
      </c>
    </row>
    <row r="846" spans="2:15" x14ac:dyDescent="0.45">
      <c r="B846" s="6" t="s">
        <v>106</v>
      </c>
      <c r="C846" s="6" t="s">
        <v>44</v>
      </c>
      <c r="D846" s="7">
        <v>5.511428010413956E-2</v>
      </c>
      <c r="E846" s="6" t="s">
        <v>7</v>
      </c>
      <c r="G846" s="6" t="s">
        <v>107</v>
      </c>
      <c r="H846" s="6" t="s">
        <v>44</v>
      </c>
      <c r="I846" s="8">
        <v>2.2081965488469382E-2</v>
      </c>
      <c r="J846" s="6" t="s">
        <v>7</v>
      </c>
      <c r="L846" s="6" t="s">
        <v>108</v>
      </c>
      <c r="M846" s="6" t="s">
        <v>44</v>
      </c>
      <c r="N846" s="8">
        <v>2.0675764891495422E-2</v>
      </c>
      <c r="O846" s="6" t="s">
        <v>7</v>
      </c>
    </row>
    <row r="847" spans="2:15" x14ac:dyDescent="0.45">
      <c r="B847" s="3" t="s">
        <v>106</v>
      </c>
      <c r="C847" s="3" t="s">
        <v>45</v>
      </c>
      <c r="D847" s="4">
        <v>3.4207925123885756E-2</v>
      </c>
      <c r="E847" s="3" t="s">
        <v>7</v>
      </c>
      <c r="G847" s="3" t="s">
        <v>107</v>
      </c>
      <c r="H847" s="3" t="s">
        <v>45</v>
      </c>
      <c r="I847" s="5">
        <v>2.2310367275514106E-2</v>
      </c>
      <c r="J847" s="3" t="s">
        <v>7</v>
      </c>
      <c r="L847" s="3" t="s">
        <v>108</v>
      </c>
      <c r="M847" s="3" t="s">
        <v>45</v>
      </c>
      <c r="N847" s="5">
        <v>2.0239464160292934E-2</v>
      </c>
      <c r="O847" s="3" t="s">
        <v>7</v>
      </c>
    </row>
    <row r="848" spans="2:15" x14ac:dyDescent="0.45">
      <c r="B848" s="6" t="s">
        <v>106</v>
      </c>
      <c r="C848" s="6" t="s">
        <v>46</v>
      </c>
      <c r="D848" s="7">
        <v>6.9322253906022461E-3</v>
      </c>
      <c r="E848" s="6" t="s">
        <v>7</v>
      </c>
      <c r="G848" s="6" t="s">
        <v>107</v>
      </c>
      <c r="H848" s="6" t="s">
        <v>46</v>
      </c>
      <c r="I848" s="8">
        <v>2.1906226859772639E-2</v>
      </c>
      <c r="J848" s="6" t="s">
        <v>7</v>
      </c>
      <c r="L848" s="6" t="s">
        <v>108</v>
      </c>
      <c r="M848" s="6" t="s">
        <v>46</v>
      </c>
      <c r="N848" s="8">
        <v>2.0227416499867194E-2</v>
      </c>
      <c r="O848" s="6" t="s">
        <v>7</v>
      </c>
    </row>
    <row r="849" spans="2:15" x14ac:dyDescent="0.45">
      <c r="B849" s="3" t="s">
        <v>106</v>
      </c>
      <c r="C849" s="3" t="s">
        <v>47</v>
      </c>
      <c r="D849" s="4">
        <v>3.2564649031306796E-5</v>
      </c>
      <c r="E849" s="3" t="s">
        <v>7</v>
      </c>
      <c r="G849" s="3" t="s">
        <v>107</v>
      </c>
      <c r="H849" s="3" t="s">
        <v>47</v>
      </c>
      <c r="I849" s="5">
        <v>2.1089217679620229E-2</v>
      </c>
      <c r="J849" s="3" t="s">
        <v>7</v>
      </c>
      <c r="L849" s="3" t="s">
        <v>108</v>
      </c>
      <c r="M849" s="3" t="s">
        <v>47</v>
      </c>
      <c r="N849" s="5">
        <v>2.0405855930786615E-2</v>
      </c>
      <c r="O849" s="3" t="s">
        <v>7</v>
      </c>
    </row>
    <row r="850" spans="2:15" x14ac:dyDescent="0.45">
      <c r="B850" s="6" t="s">
        <v>106</v>
      </c>
      <c r="C850" s="6" t="s">
        <v>48</v>
      </c>
      <c r="D850" s="7">
        <v>0</v>
      </c>
      <c r="E850" s="6" t="s">
        <v>7</v>
      </c>
      <c r="G850" s="6" t="s">
        <v>107</v>
      </c>
      <c r="H850" s="6" t="s">
        <v>48</v>
      </c>
      <c r="I850" s="8">
        <v>2.9996454312676411E-2</v>
      </c>
      <c r="J850" s="6" t="s">
        <v>7</v>
      </c>
      <c r="L850" s="6" t="s">
        <v>108</v>
      </c>
      <c r="M850" s="6" t="s">
        <v>48</v>
      </c>
      <c r="N850" s="8">
        <v>3.104798982858074E-2</v>
      </c>
      <c r="O850" s="6" t="s">
        <v>7</v>
      </c>
    </row>
    <row r="851" spans="2:15" x14ac:dyDescent="0.45">
      <c r="B851" s="3" t="s">
        <v>109</v>
      </c>
      <c r="C851" s="3" t="s">
        <v>6</v>
      </c>
      <c r="D851" s="4">
        <v>0</v>
      </c>
      <c r="E851" s="3" t="s">
        <v>7</v>
      </c>
      <c r="G851" s="3" t="s">
        <v>110</v>
      </c>
      <c r="H851" s="3" t="s">
        <v>6</v>
      </c>
      <c r="I851" s="5">
        <v>5.9555560842279039E-2</v>
      </c>
      <c r="J851" s="3" t="s">
        <v>7</v>
      </c>
      <c r="L851" s="3" t="s">
        <v>111</v>
      </c>
      <c r="M851" s="3" t="s">
        <v>6</v>
      </c>
      <c r="N851" s="5">
        <v>6.3320525767406072E-2</v>
      </c>
      <c r="O851" s="3" t="s">
        <v>7</v>
      </c>
    </row>
    <row r="852" spans="2:15" x14ac:dyDescent="0.45">
      <c r="B852" s="6" t="s">
        <v>109</v>
      </c>
      <c r="C852" s="6" t="s">
        <v>10</v>
      </c>
      <c r="D852" s="7">
        <v>0</v>
      </c>
      <c r="E852" s="6" t="s">
        <v>7</v>
      </c>
      <c r="G852" s="6" t="s">
        <v>110</v>
      </c>
      <c r="H852" s="6" t="s">
        <v>10</v>
      </c>
      <c r="I852" s="8">
        <v>2.2952905592352028E-2</v>
      </c>
      <c r="J852" s="6" t="s">
        <v>7</v>
      </c>
      <c r="L852" s="6" t="s">
        <v>111</v>
      </c>
      <c r="M852" s="6" t="s">
        <v>10</v>
      </c>
      <c r="N852" s="8">
        <v>2.4986441388434359E-2</v>
      </c>
      <c r="O852" s="6" t="s">
        <v>7</v>
      </c>
    </row>
    <row r="853" spans="2:15" x14ac:dyDescent="0.45">
      <c r="B853" s="3" t="s">
        <v>109</v>
      </c>
      <c r="C853" s="3" t="s">
        <v>11</v>
      </c>
      <c r="D853" s="4">
        <v>1.4828382122946153E-4</v>
      </c>
      <c r="E853" s="3" t="s">
        <v>7</v>
      </c>
      <c r="G853" s="3" t="s">
        <v>110</v>
      </c>
      <c r="H853" s="3" t="s">
        <v>11</v>
      </c>
      <c r="I853" s="5">
        <v>2.3664517920334298E-2</v>
      </c>
      <c r="J853" s="3" t="s">
        <v>7</v>
      </c>
      <c r="L853" s="3" t="s">
        <v>111</v>
      </c>
      <c r="M853" s="3" t="s">
        <v>11</v>
      </c>
      <c r="N853" s="5">
        <v>2.4541847124270863E-2</v>
      </c>
      <c r="O853" s="3" t="s">
        <v>7</v>
      </c>
    </row>
    <row r="854" spans="2:15" x14ac:dyDescent="0.45">
      <c r="B854" s="6" t="s">
        <v>109</v>
      </c>
      <c r="C854" s="6" t="s">
        <v>12</v>
      </c>
      <c r="D854" s="7">
        <v>8.9178746784450095E-3</v>
      </c>
      <c r="E854" s="6" t="s">
        <v>7</v>
      </c>
      <c r="G854" s="6" t="s">
        <v>110</v>
      </c>
      <c r="H854" s="6" t="s">
        <v>12</v>
      </c>
      <c r="I854" s="8">
        <v>2.3932792130117307E-2</v>
      </c>
      <c r="J854" s="6" t="s">
        <v>7</v>
      </c>
      <c r="L854" s="6" t="s">
        <v>111</v>
      </c>
      <c r="M854" s="6" t="s">
        <v>12</v>
      </c>
      <c r="N854" s="8">
        <v>2.4304073442837509E-2</v>
      </c>
      <c r="O854" s="6" t="s">
        <v>7</v>
      </c>
    </row>
    <row r="855" spans="2:15" x14ac:dyDescent="0.45">
      <c r="B855" s="3" t="s">
        <v>109</v>
      </c>
      <c r="C855" s="3" t="s">
        <v>13</v>
      </c>
      <c r="D855" s="4">
        <v>2.9934433215138844E-2</v>
      </c>
      <c r="E855" s="3" t="s">
        <v>7</v>
      </c>
      <c r="G855" s="3" t="s">
        <v>110</v>
      </c>
      <c r="H855" s="3" t="s">
        <v>13</v>
      </c>
      <c r="I855" s="5">
        <v>2.4065267746410473E-2</v>
      </c>
      <c r="J855" s="3" t="s">
        <v>7</v>
      </c>
      <c r="L855" s="3" t="s">
        <v>111</v>
      </c>
      <c r="M855" s="3" t="s">
        <v>13</v>
      </c>
      <c r="N855" s="5">
        <v>2.4579623688236026E-2</v>
      </c>
      <c r="O855" s="3" t="s">
        <v>7</v>
      </c>
    </row>
    <row r="856" spans="2:15" x14ac:dyDescent="0.45">
      <c r="B856" s="6" t="s">
        <v>109</v>
      </c>
      <c r="C856" s="6" t="s">
        <v>14</v>
      </c>
      <c r="D856" s="7">
        <v>3.4763631804064853E-2</v>
      </c>
      <c r="E856" s="6" t="s">
        <v>7</v>
      </c>
      <c r="G856" s="6" t="s">
        <v>110</v>
      </c>
      <c r="H856" s="6" t="s">
        <v>14</v>
      </c>
      <c r="I856" s="8">
        <v>2.370665040891147E-2</v>
      </c>
      <c r="J856" s="6" t="s">
        <v>7</v>
      </c>
      <c r="L856" s="6" t="s">
        <v>111</v>
      </c>
      <c r="M856" s="6" t="s">
        <v>14</v>
      </c>
      <c r="N856" s="8">
        <v>2.5175622354949505E-2</v>
      </c>
      <c r="O856" s="6" t="s">
        <v>7</v>
      </c>
    </row>
    <row r="857" spans="2:15" x14ac:dyDescent="0.45">
      <c r="B857" s="3" t="s">
        <v>109</v>
      </c>
      <c r="C857" s="3" t="s">
        <v>15</v>
      </c>
      <c r="D857" s="4">
        <v>1.5666927682456262E-2</v>
      </c>
      <c r="E857" s="3" t="s">
        <v>7</v>
      </c>
      <c r="G857" s="3" t="s">
        <v>110</v>
      </c>
      <c r="H857" s="3" t="s">
        <v>15</v>
      </c>
      <c r="I857" s="5">
        <v>2.3168253936436158E-2</v>
      </c>
      <c r="J857" s="3" t="s">
        <v>7</v>
      </c>
      <c r="L857" s="3" t="s">
        <v>111</v>
      </c>
      <c r="M857" s="3" t="s">
        <v>15</v>
      </c>
      <c r="N857" s="5">
        <v>2.5422680773325254E-2</v>
      </c>
      <c r="O857" s="3" t="s">
        <v>7</v>
      </c>
    </row>
    <row r="858" spans="2:15" x14ac:dyDescent="0.45">
      <c r="B858" s="6" t="s">
        <v>109</v>
      </c>
      <c r="C858" s="6" t="s">
        <v>16</v>
      </c>
      <c r="D858" s="7">
        <v>1.1148374568866906E-3</v>
      </c>
      <c r="E858" s="6" t="s">
        <v>7</v>
      </c>
      <c r="G858" s="6" t="s">
        <v>110</v>
      </c>
      <c r="H858" s="6" t="s">
        <v>16</v>
      </c>
      <c r="I858" s="8">
        <v>2.2956353352378209E-2</v>
      </c>
      <c r="J858" s="6" t="s">
        <v>7</v>
      </c>
      <c r="L858" s="6" t="s">
        <v>111</v>
      </c>
      <c r="M858" s="6" t="s">
        <v>16</v>
      </c>
      <c r="N858" s="8">
        <v>2.5538427839999728E-2</v>
      </c>
      <c r="O858" s="6" t="s">
        <v>7</v>
      </c>
    </row>
    <row r="859" spans="2:15" x14ac:dyDescent="0.45">
      <c r="B859" s="3" t="s">
        <v>109</v>
      </c>
      <c r="C859" s="3" t="s">
        <v>17</v>
      </c>
      <c r="D859" s="4">
        <v>0</v>
      </c>
      <c r="E859" s="3" t="s">
        <v>7</v>
      </c>
      <c r="G859" s="3" t="s">
        <v>110</v>
      </c>
      <c r="H859" s="3" t="s">
        <v>17</v>
      </c>
      <c r="I859" s="5">
        <v>2.3858772775838324E-2</v>
      </c>
      <c r="J859" s="3" t="s">
        <v>7</v>
      </c>
      <c r="L859" s="3" t="s">
        <v>111</v>
      </c>
      <c r="M859" s="3" t="s">
        <v>17</v>
      </c>
      <c r="N859" s="5">
        <v>2.603811461226525E-2</v>
      </c>
      <c r="O859" s="3" t="s">
        <v>7</v>
      </c>
    </row>
    <row r="860" spans="2:15" x14ac:dyDescent="0.45">
      <c r="B860" s="6" t="s">
        <v>109</v>
      </c>
      <c r="C860" s="6" t="s">
        <v>18</v>
      </c>
      <c r="D860" s="7">
        <v>0</v>
      </c>
      <c r="E860" s="6" t="s">
        <v>7</v>
      </c>
      <c r="G860" s="6" t="s">
        <v>110</v>
      </c>
      <c r="H860" s="6" t="s">
        <v>18</v>
      </c>
      <c r="I860" s="8">
        <v>3.712012288585808E-2</v>
      </c>
      <c r="J860" s="6" t="s">
        <v>7</v>
      </c>
      <c r="L860" s="6" t="s">
        <v>111</v>
      </c>
      <c r="M860" s="6" t="s">
        <v>18</v>
      </c>
      <c r="N860" s="8">
        <v>3.8855029798298871E-2</v>
      </c>
      <c r="O860" s="6" t="s">
        <v>7</v>
      </c>
    </row>
    <row r="861" spans="2:15" x14ac:dyDescent="0.45">
      <c r="B861" s="3" t="s">
        <v>109</v>
      </c>
      <c r="C861" s="3" t="s">
        <v>19</v>
      </c>
      <c r="D861" s="4">
        <v>6.4483099884283572E-6</v>
      </c>
      <c r="E861" s="3" t="s">
        <v>7</v>
      </c>
      <c r="G861" s="3" t="s">
        <v>110</v>
      </c>
      <c r="H861" s="3" t="s">
        <v>19</v>
      </c>
      <c r="I861" s="5">
        <v>5.1692258721154176E-2</v>
      </c>
      <c r="J861" s="3" t="s">
        <v>7</v>
      </c>
      <c r="L861" s="3" t="s">
        <v>111</v>
      </c>
      <c r="M861" s="3" t="s">
        <v>19</v>
      </c>
      <c r="N861" s="5">
        <v>4.9654302791716988E-2</v>
      </c>
      <c r="O861" s="3" t="s">
        <v>7</v>
      </c>
    </row>
    <row r="862" spans="2:15" x14ac:dyDescent="0.45">
      <c r="B862" s="6" t="s">
        <v>109</v>
      </c>
      <c r="C862" s="6" t="s">
        <v>20</v>
      </c>
      <c r="D862" s="7">
        <v>1.7806166279517148E-3</v>
      </c>
      <c r="E862" s="6" t="s">
        <v>7</v>
      </c>
      <c r="G862" s="6" t="s">
        <v>110</v>
      </c>
      <c r="H862" s="6" t="s">
        <v>20</v>
      </c>
      <c r="I862" s="8">
        <v>1.9934985033531246E-2</v>
      </c>
      <c r="J862" s="6" t="s">
        <v>7</v>
      </c>
      <c r="L862" s="6" t="s">
        <v>111</v>
      </c>
      <c r="M862" s="6" t="s">
        <v>20</v>
      </c>
      <c r="N862" s="8">
        <v>1.9955721509009653E-2</v>
      </c>
      <c r="O862" s="6" t="s">
        <v>7</v>
      </c>
    </row>
    <row r="863" spans="2:15" x14ac:dyDescent="0.45">
      <c r="B863" s="3" t="s">
        <v>109</v>
      </c>
      <c r="C863" s="3" t="s">
        <v>21</v>
      </c>
      <c r="D863" s="4">
        <v>2.2080873555572353E-2</v>
      </c>
      <c r="E863" s="3" t="s">
        <v>7</v>
      </c>
      <c r="G863" s="3" t="s">
        <v>110</v>
      </c>
      <c r="H863" s="3" t="s">
        <v>21</v>
      </c>
      <c r="I863" s="5">
        <v>1.939394884791646E-2</v>
      </c>
      <c r="J863" s="3" t="s">
        <v>7</v>
      </c>
      <c r="L863" s="3" t="s">
        <v>111</v>
      </c>
      <c r="M863" s="3" t="s">
        <v>21</v>
      </c>
      <c r="N863" s="5">
        <v>2.0201180975007879E-2</v>
      </c>
      <c r="O863" s="3" t="s">
        <v>7</v>
      </c>
    </row>
    <row r="864" spans="2:15" x14ac:dyDescent="0.45">
      <c r="B864" s="6" t="s">
        <v>109</v>
      </c>
      <c r="C864" s="6" t="s">
        <v>22</v>
      </c>
      <c r="D864" s="7">
        <v>6.5561001246695033E-2</v>
      </c>
      <c r="E864" s="6" t="s">
        <v>7</v>
      </c>
      <c r="G864" s="6" t="s">
        <v>110</v>
      </c>
      <c r="H864" s="6" t="s">
        <v>22</v>
      </c>
      <c r="I864" s="8">
        <v>1.9194479587483299E-2</v>
      </c>
      <c r="J864" s="6" t="s">
        <v>7</v>
      </c>
      <c r="L864" s="6" t="s">
        <v>111</v>
      </c>
      <c r="M864" s="6" t="s">
        <v>22</v>
      </c>
      <c r="N864" s="8">
        <v>2.0375885986265801E-2</v>
      </c>
      <c r="O864" s="6" t="s">
        <v>7</v>
      </c>
    </row>
    <row r="865" spans="2:15" x14ac:dyDescent="0.45">
      <c r="B865" s="3" t="s">
        <v>109</v>
      </c>
      <c r="C865" s="3" t="s">
        <v>23</v>
      </c>
      <c r="D865" s="4">
        <v>9.8674371893479343E-2</v>
      </c>
      <c r="E865" s="3" t="s">
        <v>7</v>
      </c>
      <c r="G865" s="3" t="s">
        <v>110</v>
      </c>
      <c r="H865" s="3" t="s">
        <v>23</v>
      </c>
      <c r="I865" s="5">
        <v>1.9044915430538104E-2</v>
      </c>
      <c r="J865" s="3" t="s">
        <v>7</v>
      </c>
      <c r="L865" s="3" t="s">
        <v>111</v>
      </c>
      <c r="M865" s="3" t="s">
        <v>23</v>
      </c>
      <c r="N865" s="5">
        <v>2.0518590872265124E-2</v>
      </c>
      <c r="O865" s="3" t="s">
        <v>7</v>
      </c>
    </row>
    <row r="866" spans="2:15" x14ac:dyDescent="0.45">
      <c r="B866" s="6" t="s">
        <v>109</v>
      </c>
      <c r="C866" s="6" t="s">
        <v>24</v>
      </c>
      <c r="D866" s="7">
        <v>0.10231063133378088</v>
      </c>
      <c r="E866" s="6" t="s">
        <v>7</v>
      </c>
      <c r="G866" s="6" t="s">
        <v>110</v>
      </c>
      <c r="H866" s="6" t="s">
        <v>24</v>
      </c>
      <c r="I866" s="8">
        <v>1.9280891310387151E-2</v>
      </c>
      <c r="J866" s="6" t="s">
        <v>7</v>
      </c>
      <c r="L866" s="6" t="s">
        <v>111</v>
      </c>
      <c r="M866" s="6" t="s">
        <v>24</v>
      </c>
      <c r="N866" s="8">
        <v>2.0690404570737807E-2</v>
      </c>
      <c r="O866" s="6" t="s">
        <v>7</v>
      </c>
    </row>
    <row r="867" spans="2:15" x14ac:dyDescent="0.45">
      <c r="B867" s="3" t="s">
        <v>109</v>
      </c>
      <c r="C867" s="3" t="s">
        <v>25</v>
      </c>
      <c r="D867" s="4">
        <v>7.3467906805319699E-2</v>
      </c>
      <c r="E867" s="3" t="s">
        <v>7</v>
      </c>
      <c r="G867" s="3" t="s">
        <v>110</v>
      </c>
      <c r="H867" s="3" t="s">
        <v>25</v>
      </c>
      <c r="I867" s="5">
        <v>1.979523650297552E-2</v>
      </c>
      <c r="J867" s="3" t="s">
        <v>7</v>
      </c>
      <c r="L867" s="3" t="s">
        <v>111</v>
      </c>
      <c r="M867" s="3" t="s">
        <v>25</v>
      </c>
      <c r="N867" s="5">
        <v>2.0511550112700064E-2</v>
      </c>
      <c r="O867" s="3" t="s">
        <v>7</v>
      </c>
    </row>
    <row r="868" spans="2:15" x14ac:dyDescent="0.45">
      <c r="B868" s="6" t="s">
        <v>109</v>
      </c>
      <c r="C868" s="6" t="s">
        <v>26</v>
      </c>
      <c r="D868" s="7">
        <v>2.8556480412784677E-2</v>
      </c>
      <c r="E868" s="6" t="s">
        <v>7</v>
      </c>
      <c r="G868" s="6" t="s">
        <v>110</v>
      </c>
      <c r="H868" s="6" t="s">
        <v>26</v>
      </c>
      <c r="I868" s="8">
        <v>2.0635927730811496E-2</v>
      </c>
      <c r="J868" s="6" t="s">
        <v>7</v>
      </c>
      <c r="L868" s="6" t="s">
        <v>111</v>
      </c>
      <c r="M868" s="6" t="s">
        <v>26</v>
      </c>
      <c r="N868" s="8">
        <v>2.039088141796223E-2</v>
      </c>
      <c r="O868" s="6" t="s">
        <v>7</v>
      </c>
    </row>
    <row r="869" spans="2:15" x14ac:dyDescent="0.45">
      <c r="B869" s="3" t="s">
        <v>109</v>
      </c>
      <c r="C869" s="3" t="s">
        <v>27</v>
      </c>
      <c r="D869" s="4">
        <v>2.0112226633630828E-3</v>
      </c>
      <c r="E869" s="3" t="s">
        <v>7</v>
      </c>
      <c r="G869" s="3" t="s">
        <v>110</v>
      </c>
      <c r="H869" s="3" t="s">
        <v>27</v>
      </c>
      <c r="I869" s="5">
        <v>2.1004602319490716E-2</v>
      </c>
      <c r="J869" s="3" t="s">
        <v>7</v>
      </c>
      <c r="L869" s="3" t="s">
        <v>111</v>
      </c>
      <c r="M869" s="3" t="s">
        <v>27</v>
      </c>
      <c r="N869" s="5">
        <v>2.0381394356823596E-2</v>
      </c>
      <c r="O869" s="3" t="s">
        <v>7</v>
      </c>
    </row>
    <row r="870" spans="2:15" x14ac:dyDescent="0.45">
      <c r="B870" s="6" t="s">
        <v>109</v>
      </c>
      <c r="C870" s="6" t="s">
        <v>28</v>
      </c>
      <c r="D870" s="7">
        <v>1.7290489982322808E-5</v>
      </c>
      <c r="E870" s="6" t="s">
        <v>7</v>
      </c>
      <c r="G870" s="6" t="s">
        <v>110</v>
      </c>
      <c r="H870" s="6" t="s">
        <v>28</v>
      </c>
      <c r="I870" s="8">
        <v>3.1324871959274948E-2</v>
      </c>
      <c r="J870" s="6" t="s">
        <v>7</v>
      </c>
      <c r="L870" s="6" t="s">
        <v>111</v>
      </c>
      <c r="M870" s="6" t="s">
        <v>28</v>
      </c>
      <c r="N870" s="8">
        <v>3.0169780997599059E-2</v>
      </c>
      <c r="O870" s="6" t="s">
        <v>7</v>
      </c>
    </row>
    <row r="871" spans="2:15" x14ac:dyDescent="0.45">
      <c r="B871" s="3" t="s">
        <v>109</v>
      </c>
      <c r="C871" s="3" t="s">
        <v>29</v>
      </c>
      <c r="D871" s="4">
        <v>8.5963876832936028E-5</v>
      </c>
      <c r="E871" s="3" t="s">
        <v>7</v>
      </c>
      <c r="G871" s="3" t="s">
        <v>110</v>
      </c>
      <c r="H871" s="3" t="s">
        <v>29</v>
      </c>
      <c r="I871" s="5">
        <v>4.1586988910216588E-2</v>
      </c>
      <c r="J871" s="3" t="s">
        <v>7</v>
      </c>
      <c r="L871" s="3" t="s">
        <v>111</v>
      </c>
      <c r="M871" s="3" t="s">
        <v>29</v>
      </c>
      <c r="N871" s="5">
        <v>4.289177264981979E-2</v>
      </c>
      <c r="O871" s="3" t="s">
        <v>7</v>
      </c>
    </row>
    <row r="872" spans="2:15" x14ac:dyDescent="0.45">
      <c r="B872" s="6" t="s">
        <v>109</v>
      </c>
      <c r="C872" s="6" t="s">
        <v>30</v>
      </c>
      <c r="D872" s="7">
        <v>4.0929382567456984E-3</v>
      </c>
      <c r="E872" s="6" t="s">
        <v>7</v>
      </c>
      <c r="G872" s="6" t="s">
        <v>110</v>
      </c>
      <c r="H872" s="6" t="s">
        <v>30</v>
      </c>
      <c r="I872" s="8">
        <v>1.6809689412993975E-2</v>
      </c>
      <c r="J872" s="6" t="s">
        <v>7</v>
      </c>
      <c r="L872" s="6" t="s">
        <v>111</v>
      </c>
      <c r="M872" s="6" t="s">
        <v>30</v>
      </c>
      <c r="N872" s="8">
        <v>1.6827484371249507E-2</v>
      </c>
      <c r="O872" s="6" t="s">
        <v>7</v>
      </c>
    </row>
    <row r="873" spans="2:15" x14ac:dyDescent="0.45">
      <c r="B873" s="3" t="s">
        <v>109</v>
      </c>
      <c r="C873" s="3" t="s">
        <v>31</v>
      </c>
      <c r="D873" s="4">
        <v>2.6403077099688955E-2</v>
      </c>
      <c r="E873" s="3" t="s">
        <v>7</v>
      </c>
      <c r="G873" s="3" t="s">
        <v>110</v>
      </c>
      <c r="H873" s="3" t="s">
        <v>31</v>
      </c>
      <c r="I873" s="5">
        <v>1.7116049392585132E-2</v>
      </c>
      <c r="J873" s="3" t="s">
        <v>7</v>
      </c>
      <c r="L873" s="3" t="s">
        <v>111</v>
      </c>
      <c r="M873" s="3" t="s">
        <v>31</v>
      </c>
      <c r="N873" s="5">
        <v>1.6538206272146274E-2</v>
      </c>
      <c r="O873" s="3" t="s">
        <v>7</v>
      </c>
    </row>
    <row r="874" spans="2:15" x14ac:dyDescent="0.45">
      <c r="B874" s="6" t="s">
        <v>109</v>
      </c>
      <c r="C874" s="6" t="s">
        <v>32</v>
      </c>
      <c r="D874" s="7">
        <v>5.8951543420507839E-2</v>
      </c>
      <c r="E874" s="6" t="s">
        <v>7</v>
      </c>
      <c r="G874" s="6" t="s">
        <v>110</v>
      </c>
      <c r="H874" s="6" t="s">
        <v>32</v>
      </c>
      <c r="I874" s="8">
        <v>1.6948889903015265E-2</v>
      </c>
      <c r="J874" s="6" t="s">
        <v>7</v>
      </c>
      <c r="L874" s="6" t="s">
        <v>111</v>
      </c>
      <c r="M874" s="6" t="s">
        <v>32</v>
      </c>
      <c r="N874" s="8">
        <v>1.6221353197229015E-2</v>
      </c>
      <c r="O874" s="6" t="s">
        <v>7</v>
      </c>
    </row>
    <row r="875" spans="2:15" x14ac:dyDescent="0.45">
      <c r="B875" s="3" t="s">
        <v>109</v>
      </c>
      <c r="C875" s="3" t="s">
        <v>33</v>
      </c>
      <c r="D875" s="4">
        <v>8.3448064513685194E-2</v>
      </c>
      <c r="E875" s="3" t="s">
        <v>7</v>
      </c>
      <c r="G875" s="3" t="s">
        <v>110</v>
      </c>
      <c r="H875" s="3" t="s">
        <v>33</v>
      </c>
      <c r="I875" s="5">
        <v>1.7053874252453208E-2</v>
      </c>
      <c r="J875" s="3" t="s">
        <v>7</v>
      </c>
      <c r="L875" s="3" t="s">
        <v>111</v>
      </c>
      <c r="M875" s="3" t="s">
        <v>33</v>
      </c>
      <c r="N875" s="5">
        <v>1.6419474273332131E-2</v>
      </c>
      <c r="O875" s="3" t="s">
        <v>7</v>
      </c>
    </row>
    <row r="876" spans="2:15" x14ac:dyDescent="0.45">
      <c r="B876" s="6" t="s">
        <v>109</v>
      </c>
      <c r="C876" s="6" t="s">
        <v>34</v>
      </c>
      <c r="D876" s="7">
        <v>8.7685722947198369E-2</v>
      </c>
      <c r="E876" s="6" t="s">
        <v>7</v>
      </c>
      <c r="G876" s="6" t="s">
        <v>110</v>
      </c>
      <c r="H876" s="6" t="s">
        <v>34</v>
      </c>
      <c r="I876" s="8">
        <v>1.7340817900702309E-2</v>
      </c>
      <c r="J876" s="6" t="s">
        <v>7</v>
      </c>
      <c r="L876" s="6" t="s">
        <v>111</v>
      </c>
      <c r="M876" s="6" t="s">
        <v>34</v>
      </c>
      <c r="N876" s="8">
        <v>1.6857526804485101E-2</v>
      </c>
      <c r="O876" s="6" t="s">
        <v>7</v>
      </c>
    </row>
    <row r="877" spans="2:15" x14ac:dyDescent="0.45">
      <c r="B877" s="3" t="s">
        <v>109</v>
      </c>
      <c r="C877" s="3" t="s">
        <v>35</v>
      </c>
      <c r="D877" s="4">
        <v>7.0546063112249702E-2</v>
      </c>
      <c r="E877" s="3" t="s">
        <v>7</v>
      </c>
      <c r="G877" s="3" t="s">
        <v>110</v>
      </c>
      <c r="H877" s="3" t="s">
        <v>35</v>
      </c>
      <c r="I877" s="5">
        <v>1.6851642926363229E-2</v>
      </c>
      <c r="J877" s="3" t="s">
        <v>7</v>
      </c>
      <c r="L877" s="3" t="s">
        <v>111</v>
      </c>
      <c r="M877" s="3" t="s">
        <v>35</v>
      </c>
      <c r="N877" s="5">
        <v>1.7071886281339124E-2</v>
      </c>
      <c r="O877" s="3" t="s">
        <v>7</v>
      </c>
    </row>
    <row r="878" spans="2:15" x14ac:dyDescent="0.45">
      <c r="B878" s="6" t="s">
        <v>109</v>
      </c>
      <c r="C878" s="6" t="s">
        <v>36</v>
      </c>
      <c r="D878" s="7">
        <v>3.6431366655249854E-2</v>
      </c>
      <c r="E878" s="6" t="s">
        <v>7</v>
      </c>
      <c r="G878" s="6" t="s">
        <v>110</v>
      </c>
      <c r="H878" s="6" t="s">
        <v>36</v>
      </c>
      <c r="I878" s="8">
        <v>1.658495188038504E-2</v>
      </c>
      <c r="J878" s="6" t="s">
        <v>7</v>
      </c>
      <c r="L878" s="6" t="s">
        <v>111</v>
      </c>
      <c r="M878" s="6" t="s">
        <v>36</v>
      </c>
      <c r="N878" s="8">
        <v>1.7011903779916512E-2</v>
      </c>
      <c r="O878" s="6" t="s">
        <v>7</v>
      </c>
    </row>
    <row r="879" spans="2:15" x14ac:dyDescent="0.45">
      <c r="B879" s="3" t="s">
        <v>109</v>
      </c>
      <c r="C879" s="3" t="s">
        <v>37</v>
      </c>
      <c r="D879" s="4">
        <v>6.1677410024835655E-3</v>
      </c>
      <c r="E879" s="3" t="s">
        <v>7</v>
      </c>
      <c r="G879" s="3" t="s">
        <v>110</v>
      </c>
      <c r="H879" s="3" t="s">
        <v>37</v>
      </c>
      <c r="I879" s="5">
        <v>1.6432967976868829E-2</v>
      </c>
      <c r="J879" s="3" t="s">
        <v>7</v>
      </c>
      <c r="L879" s="3" t="s">
        <v>111</v>
      </c>
      <c r="M879" s="3" t="s">
        <v>37</v>
      </c>
      <c r="N879" s="5">
        <v>1.6741350230900679E-2</v>
      </c>
      <c r="O879" s="3" t="s">
        <v>7</v>
      </c>
    </row>
    <row r="880" spans="2:15" x14ac:dyDescent="0.45">
      <c r="B880" s="6" t="s">
        <v>109</v>
      </c>
      <c r="C880" s="6" t="s">
        <v>38</v>
      </c>
      <c r="D880" s="7">
        <v>2.438404750333835E-4</v>
      </c>
      <c r="E880" s="6" t="s">
        <v>7</v>
      </c>
      <c r="G880" s="6" t="s">
        <v>110</v>
      </c>
      <c r="H880" s="6" t="s">
        <v>38</v>
      </c>
      <c r="I880" s="8">
        <v>2.505098635863489E-2</v>
      </c>
      <c r="J880" s="6" t="s">
        <v>7</v>
      </c>
      <c r="L880" s="6" t="s">
        <v>111</v>
      </c>
      <c r="M880" s="6" t="s">
        <v>38</v>
      </c>
      <c r="N880" s="8">
        <v>2.5139880527212218E-2</v>
      </c>
      <c r="O880" s="6" t="s">
        <v>7</v>
      </c>
    </row>
    <row r="881" spans="2:15" x14ac:dyDescent="0.45">
      <c r="B881" s="3" t="s">
        <v>109</v>
      </c>
      <c r="C881" s="3" t="s">
        <v>39</v>
      </c>
      <c r="D881" s="4">
        <v>0</v>
      </c>
      <c r="E881" s="3" t="s">
        <v>7</v>
      </c>
      <c r="G881" s="3" t="s">
        <v>110</v>
      </c>
      <c r="H881" s="3" t="s">
        <v>39</v>
      </c>
      <c r="I881" s="5">
        <v>5.7557391631954842E-2</v>
      </c>
      <c r="J881" s="3" t="s">
        <v>7</v>
      </c>
      <c r="L881" s="3" t="s">
        <v>111</v>
      </c>
      <c r="M881" s="3" t="s">
        <v>39</v>
      </c>
      <c r="N881" s="5">
        <v>5.1665898345747578E-2</v>
      </c>
      <c r="O881" s="3" t="s">
        <v>7</v>
      </c>
    </row>
    <row r="882" spans="2:15" x14ac:dyDescent="0.45">
      <c r="B882" s="6" t="s">
        <v>109</v>
      </c>
      <c r="C882" s="6" t="s">
        <v>40</v>
      </c>
      <c r="D882" s="7">
        <v>5.5256317454578911E-6</v>
      </c>
      <c r="E882" s="6" t="s">
        <v>7</v>
      </c>
      <c r="G882" s="6" t="s">
        <v>110</v>
      </c>
      <c r="H882" s="6" t="s">
        <v>40</v>
      </c>
      <c r="I882" s="8">
        <v>2.2743883252900863E-2</v>
      </c>
      <c r="J882" s="6" t="s">
        <v>7</v>
      </c>
      <c r="L882" s="6" t="s">
        <v>111</v>
      </c>
      <c r="M882" s="6" t="s">
        <v>40</v>
      </c>
      <c r="N882" s="8">
        <v>2.1160442554244503E-2</v>
      </c>
      <c r="O882" s="6" t="s">
        <v>7</v>
      </c>
    </row>
    <row r="883" spans="2:15" x14ac:dyDescent="0.45">
      <c r="B883" s="3" t="s">
        <v>109</v>
      </c>
      <c r="C883" s="3" t="s">
        <v>41</v>
      </c>
      <c r="D883" s="4">
        <v>3.7463157680219781E-3</v>
      </c>
      <c r="E883" s="3" t="s">
        <v>7</v>
      </c>
      <c r="G883" s="3" t="s">
        <v>110</v>
      </c>
      <c r="H883" s="3" t="s">
        <v>41</v>
      </c>
      <c r="I883" s="5">
        <v>2.3053785589625706E-2</v>
      </c>
      <c r="J883" s="3" t="s">
        <v>7</v>
      </c>
      <c r="L883" s="3" t="s">
        <v>111</v>
      </c>
      <c r="M883" s="3" t="s">
        <v>41</v>
      </c>
      <c r="N883" s="5">
        <v>2.1180560753390133E-2</v>
      </c>
      <c r="O883" s="3" t="s">
        <v>7</v>
      </c>
    </row>
    <row r="884" spans="2:15" x14ac:dyDescent="0.45">
      <c r="B884" s="6" t="s">
        <v>109</v>
      </c>
      <c r="C884" s="6" t="s">
        <v>42</v>
      </c>
      <c r="D884" s="7">
        <v>2.309671527699143E-2</v>
      </c>
      <c r="E884" s="6" t="s">
        <v>7</v>
      </c>
      <c r="G884" s="6" t="s">
        <v>110</v>
      </c>
      <c r="H884" s="6" t="s">
        <v>42</v>
      </c>
      <c r="I884" s="8">
        <v>2.2836073626958203E-2</v>
      </c>
      <c r="J884" s="6" t="s">
        <v>7</v>
      </c>
      <c r="L884" s="6" t="s">
        <v>111</v>
      </c>
      <c r="M884" s="6" t="s">
        <v>42</v>
      </c>
      <c r="N884" s="8">
        <v>2.0983407484786214E-2</v>
      </c>
      <c r="O884" s="6" t="s">
        <v>7</v>
      </c>
    </row>
    <row r="885" spans="2:15" x14ac:dyDescent="0.45">
      <c r="B885" s="3" t="s">
        <v>109</v>
      </c>
      <c r="C885" s="3" t="s">
        <v>43</v>
      </c>
      <c r="D885" s="4">
        <v>4.3016807365720874E-2</v>
      </c>
      <c r="E885" s="3" t="s">
        <v>7</v>
      </c>
      <c r="G885" s="3" t="s">
        <v>110</v>
      </c>
      <c r="H885" s="3" t="s">
        <v>43</v>
      </c>
      <c r="I885" s="5">
        <v>2.2053671812195013E-2</v>
      </c>
      <c r="J885" s="3" t="s">
        <v>7</v>
      </c>
      <c r="L885" s="3" t="s">
        <v>111</v>
      </c>
      <c r="M885" s="3" t="s">
        <v>43</v>
      </c>
      <c r="N885" s="5">
        <v>2.1098466244547108E-2</v>
      </c>
      <c r="O885" s="3" t="s">
        <v>7</v>
      </c>
    </row>
    <row r="886" spans="2:15" x14ac:dyDescent="0.45">
      <c r="B886" s="6" t="s">
        <v>109</v>
      </c>
      <c r="C886" s="6" t="s">
        <v>44</v>
      </c>
      <c r="D886" s="7">
        <v>4.3650321630877259E-2</v>
      </c>
      <c r="E886" s="6" t="s">
        <v>7</v>
      </c>
      <c r="G886" s="6" t="s">
        <v>110</v>
      </c>
      <c r="H886" s="6" t="s">
        <v>44</v>
      </c>
      <c r="I886" s="8">
        <v>2.1872835072511115E-2</v>
      </c>
      <c r="J886" s="6" t="s">
        <v>7</v>
      </c>
      <c r="L886" s="6" t="s">
        <v>111</v>
      </c>
      <c r="M886" s="6" t="s">
        <v>44</v>
      </c>
      <c r="N886" s="8">
        <v>2.1182768116165075E-2</v>
      </c>
      <c r="O886" s="6" t="s">
        <v>7</v>
      </c>
    </row>
    <row r="887" spans="2:15" x14ac:dyDescent="0.45">
      <c r="B887" s="3" t="s">
        <v>109</v>
      </c>
      <c r="C887" s="3" t="s">
        <v>45</v>
      </c>
      <c r="D887" s="4">
        <v>2.3029243806208854E-2</v>
      </c>
      <c r="E887" s="3" t="s">
        <v>7</v>
      </c>
      <c r="G887" s="3" t="s">
        <v>110</v>
      </c>
      <c r="H887" s="3" t="s">
        <v>45</v>
      </c>
      <c r="I887" s="5">
        <v>2.206403009019348E-2</v>
      </c>
      <c r="J887" s="3" t="s">
        <v>7</v>
      </c>
      <c r="L887" s="3" t="s">
        <v>111</v>
      </c>
      <c r="M887" s="3" t="s">
        <v>45</v>
      </c>
      <c r="N887" s="5">
        <v>2.1528733188389312E-2</v>
      </c>
      <c r="O887" s="3" t="s">
        <v>7</v>
      </c>
    </row>
    <row r="888" spans="2:15" x14ac:dyDescent="0.45">
      <c r="B888" s="6" t="s">
        <v>109</v>
      </c>
      <c r="C888" s="6" t="s">
        <v>46</v>
      </c>
      <c r="D888" s="7">
        <v>4.3692355354035184E-3</v>
      </c>
      <c r="E888" s="6" t="s">
        <v>7</v>
      </c>
      <c r="G888" s="6" t="s">
        <v>110</v>
      </c>
      <c r="H888" s="6" t="s">
        <v>46</v>
      </c>
      <c r="I888" s="8">
        <v>2.2304150707267299E-2</v>
      </c>
      <c r="J888" s="6" t="s">
        <v>7</v>
      </c>
      <c r="L888" s="6" t="s">
        <v>111</v>
      </c>
      <c r="M888" s="6" t="s">
        <v>46</v>
      </c>
      <c r="N888" s="8">
        <v>2.1462739326430356E-2</v>
      </c>
      <c r="O888" s="6" t="s">
        <v>7</v>
      </c>
    </row>
    <row r="889" spans="2:15" x14ac:dyDescent="0.45">
      <c r="B889" s="3" t="s">
        <v>109</v>
      </c>
      <c r="C889" s="3" t="s">
        <v>47</v>
      </c>
      <c r="D889" s="4">
        <v>1.6681628216547418E-5</v>
      </c>
      <c r="E889" s="3" t="s">
        <v>7</v>
      </c>
      <c r="G889" s="3" t="s">
        <v>110</v>
      </c>
      <c r="H889" s="3" t="s">
        <v>47</v>
      </c>
      <c r="I889" s="5">
        <v>2.3067975223872401E-2</v>
      </c>
      <c r="J889" s="3" t="s">
        <v>7</v>
      </c>
      <c r="L889" s="3" t="s">
        <v>111</v>
      </c>
      <c r="M889" s="3" t="s">
        <v>47</v>
      </c>
      <c r="N889" s="5">
        <v>2.1315963207877587E-2</v>
      </c>
      <c r="O889" s="3" t="s">
        <v>7</v>
      </c>
    </row>
    <row r="890" spans="2:15" x14ac:dyDescent="0.45">
      <c r="B890" s="6" t="s">
        <v>109</v>
      </c>
      <c r="C890" s="6" t="s">
        <v>48</v>
      </c>
      <c r="D890" s="7">
        <v>0</v>
      </c>
      <c r="E890" s="6" t="s">
        <v>7</v>
      </c>
      <c r="G890" s="6" t="s">
        <v>110</v>
      </c>
      <c r="H890" s="6" t="s">
        <v>48</v>
      </c>
      <c r="I890" s="8">
        <v>3.4386029043824193E-2</v>
      </c>
      <c r="J890" s="6" t="s">
        <v>7</v>
      </c>
      <c r="L890" s="6" t="s">
        <v>111</v>
      </c>
      <c r="M890" s="6" t="s">
        <v>48</v>
      </c>
      <c r="N890" s="8">
        <v>3.108810201068014E-2</v>
      </c>
      <c r="O890" s="6" t="s">
        <v>7</v>
      </c>
    </row>
    <row r="891" spans="2:15" x14ac:dyDescent="0.45">
      <c r="L891" s="3" t="s">
        <v>112</v>
      </c>
      <c r="M891" s="3" t="s">
        <v>6</v>
      </c>
      <c r="N891" s="5">
        <v>6.6053553827703115E-2</v>
      </c>
      <c r="O891" s="3" t="s">
        <v>7</v>
      </c>
    </row>
    <row r="892" spans="2:15" x14ac:dyDescent="0.45">
      <c r="L892" s="6" t="s">
        <v>112</v>
      </c>
      <c r="M892" s="6" t="s">
        <v>10</v>
      </c>
      <c r="N892" s="8">
        <v>2.6433181732698395E-2</v>
      </c>
      <c r="O892" s="6" t="s">
        <v>7</v>
      </c>
    </row>
    <row r="893" spans="2:15" x14ac:dyDescent="0.45">
      <c r="L893" s="3" t="s">
        <v>112</v>
      </c>
      <c r="M893" s="3" t="s">
        <v>11</v>
      </c>
      <c r="N893" s="5">
        <v>2.6501710004530658E-2</v>
      </c>
      <c r="O893" s="3" t="s">
        <v>7</v>
      </c>
    </row>
    <row r="894" spans="2:15" x14ac:dyDescent="0.45">
      <c r="L894" s="6" t="s">
        <v>112</v>
      </c>
      <c r="M894" s="6" t="s">
        <v>12</v>
      </c>
      <c r="N894" s="8">
        <v>2.608436584900737E-2</v>
      </c>
      <c r="O894" s="6" t="s">
        <v>7</v>
      </c>
    </row>
    <row r="895" spans="2:15" x14ac:dyDescent="0.45">
      <c r="L895" s="3" t="s">
        <v>112</v>
      </c>
      <c r="M895" s="3" t="s">
        <v>13</v>
      </c>
      <c r="N895" s="5">
        <v>2.5222430922099814E-2</v>
      </c>
      <c r="O895" s="3" t="s">
        <v>7</v>
      </c>
    </row>
    <row r="896" spans="2:15" x14ac:dyDescent="0.45">
      <c r="L896" s="6" t="s">
        <v>112</v>
      </c>
      <c r="M896" s="6" t="s">
        <v>14</v>
      </c>
      <c r="N896" s="8">
        <v>2.5088616067983363E-2</v>
      </c>
      <c r="O896" s="6" t="s">
        <v>7</v>
      </c>
    </row>
    <row r="897" spans="12:15" x14ac:dyDescent="0.45">
      <c r="L897" s="3" t="s">
        <v>112</v>
      </c>
      <c r="M897" s="3" t="s">
        <v>15</v>
      </c>
      <c r="N897" s="5">
        <v>2.4552951429135883E-2</v>
      </c>
      <c r="O897" s="3" t="s">
        <v>7</v>
      </c>
    </row>
    <row r="898" spans="12:15" x14ac:dyDescent="0.45">
      <c r="L898" s="6" t="s">
        <v>112</v>
      </c>
      <c r="M898" s="6" t="s">
        <v>16</v>
      </c>
      <c r="N898" s="8">
        <v>2.4864584817040097E-2</v>
      </c>
      <c r="O898" s="6" t="s">
        <v>7</v>
      </c>
    </row>
    <row r="899" spans="12:15" x14ac:dyDescent="0.45">
      <c r="L899" s="3" t="s">
        <v>112</v>
      </c>
      <c r="M899" s="3" t="s">
        <v>17</v>
      </c>
      <c r="N899" s="5">
        <v>2.5863410289915768E-2</v>
      </c>
      <c r="O899" s="3" t="s">
        <v>7</v>
      </c>
    </row>
    <row r="900" spans="12:15" x14ac:dyDescent="0.45">
      <c r="L900" s="6" t="s">
        <v>112</v>
      </c>
      <c r="M900" s="6" t="s">
        <v>18</v>
      </c>
      <c r="N900" s="8">
        <v>3.934214439325831E-2</v>
      </c>
      <c r="O900" s="6" t="s">
        <v>7</v>
      </c>
    </row>
    <row r="901" spans="12:15" x14ac:dyDescent="0.45">
      <c r="L901" s="3" t="s">
        <v>112</v>
      </c>
      <c r="M901" s="3" t="s">
        <v>19</v>
      </c>
      <c r="N901" s="5">
        <v>5.1489312814198648E-2</v>
      </c>
      <c r="O901" s="3" t="s">
        <v>7</v>
      </c>
    </row>
    <row r="902" spans="12:15" x14ac:dyDescent="0.45">
      <c r="L902" s="6" t="s">
        <v>112</v>
      </c>
      <c r="M902" s="6" t="s">
        <v>20</v>
      </c>
      <c r="N902" s="8">
        <v>1.9604180420925186E-2</v>
      </c>
      <c r="O902" s="6" t="s">
        <v>7</v>
      </c>
    </row>
    <row r="903" spans="12:15" x14ac:dyDescent="0.45">
      <c r="L903" s="3" t="s">
        <v>112</v>
      </c>
      <c r="M903" s="3" t="s">
        <v>21</v>
      </c>
      <c r="N903" s="5">
        <v>1.9123739373630561E-2</v>
      </c>
      <c r="O903" s="3" t="s">
        <v>7</v>
      </c>
    </row>
    <row r="904" spans="12:15" x14ac:dyDescent="0.45">
      <c r="L904" s="6" t="s">
        <v>112</v>
      </c>
      <c r="M904" s="6" t="s">
        <v>22</v>
      </c>
      <c r="N904" s="8">
        <v>1.8716720484335307E-2</v>
      </c>
      <c r="O904" s="6" t="s">
        <v>7</v>
      </c>
    </row>
    <row r="905" spans="12:15" x14ac:dyDescent="0.45">
      <c r="L905" s="3" t="s">
        <v>112</v>
      </c>
      <c r="M905" s="3" t="s">
        <v>23</v>
      </c>
      <c r="N905" s="5">
        <v>1.8440725131224057E-2</v>
      </c>
      <c r="O905" s="3" t="s">
        <v>7</v>
      </c>
    </row>
    <row r="906" spans="12:15" x14ac:dyDescent="0.45">
      <c r="L906" s="6" t="s">
        <v>112</v>
      </c>
      <c r="M906" s="6" t="s">
        <v>24</v>
      </c>
      <c r="N906" s="8">
        <v>1.8992389488291076E-2</v>
      </c>
      <c r="O906" s="6" t="s">
        <v>7</v>
      </c>
    </row>
    <row r="907" spans="12:15" x14ac:dyDescent="0.45">
      <c r="L907" s="3" t="s">
        <v>112</v>
      </c>
      <c r="M907" s="3" t="s">
        <v>25</v>
      </c>
      <c r="N907" s="5">
        <v>1.9824445737696348E-2</v>
      </c>
      <c r="O907" s="3" t="s">
        <v>7</v>
      </c>
    </row>
    <row r="908" spans="12:15" x14ac:dyDescent="0.45">
      <c r="L908" s="6" t="s">
        <v>112</v>
      </c>
      <c r="M908" s="6" t="s">
        <v>26</v>
      </c>
      <c r="N908" s="8">
        <v>2.0617462182528339E-2</v>
      </c>
      <c r="O908" s="6" t="s">
        <v>7</v>
      </c>
    </row>
    <row r="909" spans="12:15" x14ac:dyDescent="0.45">
      <c r="L909" s="3" t="s">
        <v>112</v>
      </c>
      <c r="M909" s="3" t="s">
        <v>27</v>
      </c>
      <c r="N909" s="5">
        <v>2.1120369889724457E-2</v>
      </c>
      <c r="O909" s="3" t="s">
        <v>7</v>
      </c>
    </row>
    <row r="910" spans="12:15" x14ac:dyDescent="0.45">
      <c r="L910" s="6" t="s">
        <v>112</v>
      </c>
      <c r="M910" s="6" t="s">
        <v>28</v>
      </c>
      <c r="N910" s="8">
        <v>3.164836128339836E-2</v>
      </c>
      <c r="O910" s="6" t="s">
        <v>7</v>
      </c>
    </row>
    <row r="911" spans="12:15" x14ac:dyDescent="0.45">
      <c r="L911" s="3" t="s">
        <v>112</v>
      </c>
      <c r="M911" s="3" t="s">
        <v>29</v>
      </c>
      <c r="N911" s="5">
        <v>3.3238249141653124E-2</v>
      </c>
      <c r="O911" s="3" t="s">
        <v>7</v>
      </c>
    </row>
    <row r="912" spans="12:15" x14ac:dyDescent="0.45">
      <c r="L912" s="6" t="s">
        <v>112</v>
      </c>
      <c r="M912" s="6" t="s">
        <v>30</v>
      </c>
      <c r="N912" s="8">
        <v>1.3549451959320325E-2</v>
      </c>
      <c r="O912" s="6" t="s">
        <v>7</v>
      </c>
    </row>
    <row r="913" spans="12:15" x14ac:dyDescent="0.45">
      <c r="L913" s="3" t="s">
        <v>112</v>
      </c>
      <c r="M913" s="3" t="s">
        <v>31</v>
      </c>
      <c r="N913" s="5">
        <v>1.3525047635722477E-2</v>
      </c>
      <c r="O913" s="3" t="s">
        <v>7</v>
      </c>
    </row>
    <row r="914" spans="12:15" x14ac:dyDescent="0.45">
      <c r="L914" s="6" t="s">
        <v>112</v>
      </c>
      <c r="M914" s="6" t="s">
        <v>32</v>
      </c>
      <c r="N914" s="8">
        <v>1.3067618770296045E-2</v>
      </c>
      <c r="O914" s="6" t="s">
        <v>7</v>
      </c>
    </row>
    <row r="915" spans="12:15" x14ac:dyDescent="0.45">
      <c r="L915" s="3" t="s">
        <v>112</v>
      </c>
      <c r="M915" s="3" t="s">
        <v>33</v>
      </c>
      <c r="N915" s="5">
        <v>1.2584414825513488E-2</v>
      </c>
      <c r="O915" s="3" t="s">
        <v>7</v>
      </c>
    </row>
    <row r="916" spans="12:15" x14ac:dyDescent="0.45">
      <c r="L916" s="6" t="s">
        <v>112</v>
      </c>
      <c r="M916" s="6" t="s">
        <v>34</v>
      </c>
      <c r="N916" s="8">
        <v>1.2820171875792367E-2</v>
      </c>
      <c r="O916" s="6" t="s">
        <v>7</v>
      </c>
    </row>
    <row r="917" spans="12:15" x14ac:dyDescent="0.45">
      <c r="L917" s="3" t="s">
        <v>112</v>
      </c>
      <c r="M917" s="3" t="s">
        <v>35</v>
      </c>
      <c r="N917" s="5">
        <v>1.3893346119441242E-2</v>
      </c>
      <c r="O917" s="3" t="s">
        <v>7</v>
      </c>
    </row>
    <row r="918" spans="12:15" x14ac:dyDescent="0.45">
      <c r="L918" s="6" t="s">
        <v>112</v>
      </c>
      <c r="M918" s="6" t="s">
        <v>36</v>
      </c>
      <c r="N918" s="8">
        <v>1.4690291792814994E-2</v>
      </c>
      <c r="O918" s="6" t="s">
        <v>7</v>
      </c>
    </row>
    <row r="919" spans="12:15" x14ac:dyDescent="0.45">
      <c r="L919" s="3" t="s">
        <v>112</v>
      </c>
      <c r="M919" s="3" t="s">
        <v>37</v>
      </c>
      <c r="N919" s="5">
        <v>1.4724222328375582E-2</v>
      </c>
      <c r="O919" s="3" t="s">
        <v>7</v>
      </c>
    </row>
    <row r="920" spans="12:15" x14ac:dyDescent="0.45">
      <c r="L920" s="6" t="s">
        <v>112</v>
      </c>
      <c r="M920" s="6" t="s">
        <v>38</v>
      </c>
      <c r="N920" s="8">
        <v>2.0965121034348645E-2</v>
      </c>
      <c r="O920" s="6" t="s">
        <v>7</v>
      </c>
    </row>
    <row r="921" spans="12:15" x14ac:dyDescent="0.45">
      <c r="L921" s="3" t="s">
        <v>112</v>
      </c>
      <c r="M921" s="3" t="s">
        <v>39</v>
      </c>
      <c r="N921" s="5">
        <v>6.0156856969934613E-2</v>
      </c>
      <c r="O921" s="3" t="s">
        <v>7</v>
      </c>
    </row>
    <row r="922" spans="12:15" x14ac:dyDescent="0.45">
      <c r="L922" s="6" t="s">
        <v>112</v>
      </c>
      <c r="M922" s="6" t="s">
        <v>40</v>
      </c>
      <c r="N922" s="8">
        <v>2.3391843947002448E-2</v>
      </c>
      <c r="O922" s="6" t="s">
        <v>7</v>
      </c>
    </row>
    <row r="923" spans="12:15" x14ac:dyDescent="0.45">
      <c r="L923" s="3" t="s">
        <v>112</v>
      </c>
      <c r="M923" s="3" t="s">
        <v>41</v>
      </c>
      <c r="N923" s="5">
        <v>2.3356784242931777E-2</v>
      </c>
      <c r="O923" s="3" t="s">
        <v>7</v>
      </c>
    </row>
    <row r="924" spans="12:15" x14ac:dyDescent="0.45">
      <c r="L924" s="6" t="s">
        <v>112</v>
      </c>
      <c r="M924" s="6" t="s">
        <v>42</v>
      </c>
      <c r="N924" s="8">
        <v>2.3125150715248281E-2</v>
      </c>
      <c r="O924" s="6" t="s">
        <v>7</v>
      </c>
    </row>
    <row r="925" spans="12:15" x14ac:dyDescent="0.45">
      <c r="L925" s="3" t="s">
        <v>112</v>
      </c>
      <c r="M925" s="3" t="s">
        <v>43</v>
      </c>
      <c r="N925" s="5">
        <v>2.3143123353537621E-2</v>
      </c>
      <c r="O925" s="3" t="s">
        <v>7</v>
      </c>
    </row>
    <row r="926" spans="12:15" x14ac:dyDescent="0.45">
      <c r="L926" s="6" t="s">
        <v>112</v>
      </c>
      <c r="M926" s="6" t="s">
        <v>44</v>
      </c>
      <c r="N926" s="8">
        <v>2.3676789531395483E-2</v>
      </c>
      <c r="O926" s="6" t="s">
        <v>7</v>
      </c>
    </row>
    <row r="927" spans="12:15" x14ac:dyDescent="0.45">
      <c r="L927" s="3" t="s">
        <v>112</v>
      </c>
      <c r="M927" s="3" t="s">
        <v>45</v>
      </c>
      <c r="N927" s="5">
        <v>2.3668252968938427E-2</v>
      </c>
      <c r="O927" s="3" t="s">
        <v>7</v>
      </c>
    </row>
    <row r="928" spans="12:15" x14ac:dyDescent="0.45">
      <c r="L928" s="6" t="s">
        <v>112</v>
      </c>
      <c r="M928" s="6" t="s">
        <v>46</v>
      </c>
      <c r="N928" s="8">
        <v>2.4152696129628306E-2</v>
      </c>
      <c r="O928" s="6" t="s">
        <v>7</v>
      </c>
    </row>
    <row r="929" spans="12:15" x14ac:dyDescent="0.45">
      <c r="L929" s="3" t="s">
        <v>112</v>
      </c>
      <c r="M929" s="3" t="s">
        <v>47</v>
      </c>
      <c r="N929" s="5">
        <v>2.5147861779049062E-2</v>
      </c>
      <c r="O929" s="3" t="s">
        <v>7</v>
      </c>
    </row>
    <row r="930" spans="12:15" x14ac:dyDescent="0.45">
      <c r="L930" s="6" t="s">
        <v>112</v>
      </c>
      <c r="M930" s="6" t="s">
        <v>48</v>
      </c>
      <c r="N930" s="8">
        <v>3.7538048739730538E-2</v>
      </c>
      <c r="O930" s="6" t="s">
        <v>7</v>
      </c>
    </row>
    <row r="931" spans="12:15" x14ac:dyDescent="0.45">
      <c r="L931" s="3" t="s">
        <v>113</v>
      </c>
      <c r="M931" s="3" t="s">
        <v>6</v>
      </c>
      <c r="N931" s="5">
        <v>5.796962178126322E-2</v>
      </c>
      <c r="O931" s="3" t="s">
        <v>7</v>
      </c>
    </row>
    <row r="932" spans="12:15" x14ac:dyDescent="0.45">
      <c r="L932" s="6" t="s">
        <v>113</v>
      </c>
      <c r="M932" s="6" t="s">
        <v>10</v>
      </c>
      <c r="N932" s="8">
        <v>2.3524109277280752E-2</v>
      </c>
      <c r="O932" s="6" t="s">
        <v>7</v>
      </c>
    </row>
    <row r="933" spans="12:15" x14ac:dyDescent="0.45">
      <c r="L933" s="3" t="s">
        <v>113</v>
      </c>
      <c r="M933" s="3" t="s">
        <v>11</v>
      </c>
      <c r="N933" s="5">
        <v>2.3814158764284339E-2</v>
      </c>
      <c r="O933" s="3" t="s">
        <v>7</v>
      </c>
    </row>
    <row r="934" spans="12:15" x14ac:dyDescent="0.45">
      <c r="L934" s="6" t="s">
        <v>113</v>
      </c>
      <c r="M934" s="6" t="s">
        <v>12</v>
      </c>
      <c r="N934" s="8">
        <v>2.3346150909009652E-2</v>
      </c>
      <c r="O934" s="6" t="s">
        <v>7</v>
      </c>
    </row>
    <row r="935" spans="12:15" x14ac:dyDescent="0.45">
      <c r="L935" s="3" t="s">
        <v>113</v>
      </c>
      <c r="M935" s="3" t="s">
        <v>13</v>
      </c>
      <c r="N935" s="5">
        <v>2.2797833491821237E-2</v>
      </c>
      <c r="O935" s="3" t="s">
        <v>7</v>
      </c>
    </row>
    <row r="936" spans="12:15" x14ac:dyDescent="0.45">
      <c r="L936" s="6" t="s">
        <v>113</v>
      </c>
      <c r="M936" s="6" t="s">
        <v>14</v>
      </c>
      <c r="N936" s="8">
        <v>2.2606465681836618E-2</v>
      </c>
      <c r="O936" s="6" t="s">
        <v>7</v>
      </c>
    </row>
    <row r="937" spans="12:15" x14ac:dyDescent="0.45">
      <c r="L937" s="3" t="s">
        <v>113</v>
      </c>
      <c r="M937" s="3" t="s">
        <v>15</v>
      </c>
      <c r="N937" s="5">
        <v>2.272417213044366E-2</v>
      </c>
      <c r="O937" s="3" t="s">
        <v>7</v>
      </c>
    </row>
    <row r="938" spans="12:15" x14ac:dyDescent="0.45">
      <c r="L938" s="6" t="s">
        <v>113</v>
      </c>
      <c r="M938" s="6" t="s">
        <v>16</v>
      </c>
      <c r="N938" s="8">
        <v>2.3024614965316895E-2</v>
      </c>
      <c r="O938" s="6" t="s">
        <v>7</v>
      </c>
    </row>
    <row r="939" spans="12:15" x14ac:dyDescent="0.45">
      <c r="L939" s="3" t="s">
        <v>113</v>
      </c>
      <c r="M939" s="3" t="s">
        <v>17</v>
      </c>
      <c r="N939" s="5">
        <v>2.3459468933035056E-2</v>
      </c>
      <c r="O939" s="3" t="s">
        <v>7</v>
      </c>
    </row>
    <row r="940" spans="12:15" x14ac:dyDescent="0.45">
      <c r="L940" s="6" t="s">
        <v>113</v>
      </c>
      <c r="M940" s="6" t="s">
        <v>18</v>
      </c>
      <c r="N940" s="8">
        <v>3.4865143228360068E-2</v>
      </c>
      <c r="O940" s="6" t="s">
        <v>7</v>
      </c>
    </row>
    <row r="941" spans="12:15" x14ac:dyDescent="0.45">
      <c r="L941" s="3" t="s">
        <v>113</v>
      </c>
      <c r="M941" s="3" t="s">
        <v>19</v>
      </c>
      <c r="N941" s="5">
        <v>5.6088367909916642E-2</v>
      </c>
      <c r="O941" s="3" t="s">
        <v>7</v>
      </c>
    </row>
    <row r="942" spans="12:15" x14ac:dyDescent="0.45">
      <c r="L942" s="6" t="s">
        <v>113</v>
      </c>
      <c r="M942" s="6" t="s">
        <v>20</v>
      </c>
      <c r="N942" s="8">
        <v>2.202406876274492E-2</v>
      </c>
      <c r="O942" s="6" t="s">
        <v>7</v>
      </c>
    </row>
    <row r="943" spans="12:15" x14ac:dyDescent="0.45">
      <c r="L943" s="3" t="s">
        <v>113</v>
      </c>
      <c r="M943" s="3" t="s">
        <v>21</v>
      </c>
      <c r="N943" s="5">
        <v>2.1695385926581226E-2</v>
      </c>
      <c r="O943" s="3" t="s">
        <v>7</v>
      </c>
    </row>
    <row r="944" spans="12:15" x14ac:dyDescent="0.45">
      <c r="L944" s="6" t="s">
        <v>113</v>
      </c>
      <c r="M944" s="6" t="s">
        <v>22</v>
      </c>
      <c r="N944" s="8">
        <v>2.0585204727651803E-2</v>
      </c>
      <c r="O944" s="6" t="s">
        <v>7</v>
      </c>
    </row>
    <row r="945" spans="12:15" x14ac:dyDescent="0.45">
      <c r="L945" s="3" t="s">
        <v>113</v>
      </c>
      <c r="M945" s="3" t="s">
        <v>23</v>
      </c>
      <c r="N945" s="5">
        <v>1.9945170082402111E-2</v>
      </c>
      <c r="O945" s="3" t="s">
        <v>7</v>
      </c>
    </row>
    <row r="946" spans="12:15" x14ac:dyDescent="0.45">
      <c r="L946" s="6" t="s">
        <v>113</v>
      </c>
      <c r="M946" s="6" t="s">
        <v>24</v>
      </c>
      <c r="N946" s="8">
        <v>2.0134878806800486E-2</v>
      </c>
      <c r="O946" s="6" t="s">
        <v>7</v>
      </c>
    </row>
    <row r="947" spans="12:15" x14ac:dyDescent="0.45">
      <c r="L947" s="3" t="s">
        <v>113</v>
      </c>
      <c r="M947" s="3" t="s">
        <v>25</v>
      </c>
      <c r="N947" s="5">
        <v>2.0835036753139625E-2</v>
      </c>
      <c r="O947" s="3" t="s">
        <v>7</v>
      </c>
    </row>
    <row r="948" spans="12:15" x14ac:dyDescent="0.45">
      <c r="L948" s="6" t="s">
        <v>113</v>
      </c>
      <c r="M948" s="6" t="s">
        <v>26</v>
      </c>
      <c r="N948" s="8">
        <v>2.1823443372997801E-2</v>
      </c>
      <c r="O948" s="6" t="s">
        <v>7</v>
      </c>
    </row>
    <row r="949" spans="12:15" x14ac:dyDescent="0.45">
      <c r="L949" s="3" t="s">
        <v>113</v>
      </c>
      <c r="M949" s="3" t="s">
        <v>27</v>
      </c>
      <c r="N949" s="5">
        <v>2.2628846657861919E-2</v>
      </c>
      <c r="O949" s="3" t="s">
        <v>7</v>
      </c>
    </row>
    <row r="950" spans="12:15" x14ac:dyDescent="0.45">
      <c r="L950" s="6" t="s">
        <v>113</v>
      </c>
      <c r="M950" s="6" t="s">
        <v>28</v>
      </c>
      <c r="N950" s="8">
        <v>3.3793337256080733E-2</v>
      </c>
      <c r="O950" s="6" t="s">
        <v>7</v>
      </c>
    </row>
    <row r="951" spans="12:15" x14ac:dyDescent="0.45">
      <c r="L951" s="3" t="s">
        <v>113</v>
      </c>
      <c r="M951" s="3" t="s">
        <v>29</v>
      </c>
      <c r="N951" s="5">
        <v>4.3058963579965921E-2</v>
      </c>
      <c r="O951" s="3" t="s">
        <v>7</v>
      </c>
    </row>
    <row r="952" spans="12:15" x14ac:dyDescent="0.45">
      <c r="L952" s="6" t="s">
        <v>113</v>
      </c>
      <c r="M952" s="6" t="s">
        <v>30</v>
      </c>
      <c r="N952" s="8">
        <v>1.6448405101132015E-2</v>
      </c>
      <c r="O952" s="6" t="s">
        <v>7</v>
      </c>
    </row>
    <row r="953" spans="12:15" x14ac:dyDescent="0.45">
      <c r="L953" s="3" t="s">
        <v>113</v>
      </c>
      <c r="M953" s="3" t="s">
        <v>31</v>
      </c>
      <c r="N953" s="5">
        <v>1.6482250105705632E-2</v>
      </c>
      <c r="O953" s="3" t="s">
        <v>7</v>
      </c>
    </row>
    <row r="954" spans="12:15" x14ac:dyDescent="0.45">
      <c r="L954" s="6" t="s">
        <v>113</v>
      </c>
      <c r="M954" s="6" t="s">
        <v>32</v>
      </c>
      <c r="N954" s="8">
        <v>1.5580165067296745E-2</v>
      </c>
      <c r="O954" s="6" t="s">
        <v>7</v>
      </c>
    </row>
    <row r="955" spans="12:15" x14ac:dyDescent="0.45">
      <c r="L955" s="3" t="s">
        <v>113</v>
      </c>
      <c r="M955" s="3" t="s">
        <v>33</v>
      </c>
      <c r="N955" s="5">
        <v>1.5235327908426662E-2</v>
      </c>
      <c r="O955" s="3" t="s">
        <v>7</v>
      </c>
    </row>
    <row r="956" spans="12:15" x14ac:dyDescent="0.45">
      <c r="L956" s="6" t="s">
        <v>113</v>
      </c>
      <c r="M956" s="6" t="s">
        <v>34</v>
      </c>
      <c r="N956" s="8">
        <v>1.5827623935707465E-2</v>
      </c>
      <c r="O956" s="6" t="s">
        <v>7</v>
      </c>
    </row>
    <row r="957" spans="12:15" x14ac:dyDescent="0.45">
      <c r="L957" s="3" t="s">
        <v>113</v>
      </c>
      <c r="M957" s="3" t="s">
        <v>35</v>
      </c>
      <c r="N957" s="5">
        <v>1.6581591987177128E-2</v>
      </c>
      <c r="O957" s="3" t="s">
        <v>7</v>
      </c>
    </row>
    <row r="958" spans="12:15" x14ac:dyDescent="0.45">
      <c r="L958" s="6" t="s">
        <v>113</v>
      </c>
      <c r="M958" s="6" t="s">
        <v>36</v>
      </c>
      <c r="N958" s="8">
        <v>1.7532511787474538E-2</v>
      </c>
      <c r="O958" s="6" t="s">
        <v>7</v>
      </c>
    </row>
    <row r="959" spans="12:15" x14ac:dyDescent="0.45">
      <c r="L959" s="3" t="s">
        <v>113</v>
      </c>
      <c r="M959" s="3" t="s">
        <v>37</v>
      </c>
      <c r="N959" s="5">
        <v>1.8389149659653416E-2</v>
      </c>
      <c r="O959" s="3" t="s">
        <v>7</v>
      </c>
    </row>
    <row r="960" spans="12:15" x14ac:dyDescent="0.45">
      <c r="L960" s="6" t="s">
        <v>113</v>
      </c>
      <c r="M960" s="6" t="s">
        <v>38</v>
      </c>
      <c r="N960" s="8">
        <v>2.7688285179294697E-2</v>
      </c>
      <c r="O960" s="6" t="s">
        <v>7</v>
      </c>
    </row>
    <row r="961" spans="12:15" x14ac:dyDescent="0.45">
      <c r="L961" s="3" t="s">
        <v>113</v>
      </c>
      <c r="M961" s="3" t="s">
        <v>39</v>
      </c>
      <c r="N961" s="5">
        <v>5.257137704242737E-2</v>
      </c>
      <c r="O961" s="3" t="s">
        <v>7</v>
      </c>
    </row>
    <row r="962" spans="12:15" x14ac:dyDescent="0.45">
      <c r="L962" s="6" t="s">
        <v>113</v>
      </c>
      <c r="M962" s="6" t="s">
        <v>40</v>
      </c>
      <c r="N962" s="8">
        <v>2.0528379520170056E-2</v>
      </c>
      <c r="O962" s="6" t="s">
        <v>7</v>
      </c>
    </row>
    <row r="963" spans="12:15" x14ac:dyDescent="0.45">
      <c r="L963" s="3" t="s">
        <v>113</v>
      </c>
      <c r="M963" s="3" t="s">
        <v>41</v>
      </c>
      <c r="N963" s="5">
        <v>2.1100806058072956E-2</v>
      </c>
      <c r="O963" s="3" t="s">
        <v>7</v>
      </c>
    </row>
    <row r="964" spans="12:15" x14ac:dyDescent="0.45">
      <c r="L964" s="6" t="s">
        <v>113</v>
      </c>
      <c r="M964" s="6" t="s">
        <v>42</v>
      </c>
      <c r="N964" s="8">
        <v>2.1500137197858822E-2</v>
      </c>
      <c r="O964" s="6" t="s">
        <v>7</v>
      </c>
    </row>
    <row r="965" spans="12:15" x14ac:dyDescent="0.45">
      <c r="L965" s="3" t="s">
        <v>113</v>
      </c>
      <c r="M965" s="3" t="s">
        <v>43</v>
      </c>
      <c r="N965" s="5">
        <v>2.1141442380416164E-2</v>
      </c>
      <c r="O965" s="3" t="s">
        <v>7</v>
      </c>
    </row>
    <row r="966" spans="12:15" x14ac:dyDescent="0.45">
      <c r="L966" s="6" t="s">
        <v>113</v>
      </c>
      <c r="M966" s="6" t="s">
        <v>44</v>
      </c>
      <c r="N966" s="8">
        <v>2.1404807990397162E-2</v>
      </c>
      <c r="O966" s="6" t="s">
        <v>7</v>
      </c>
    </row>
    <row r="967" spans="12:15" x14ac:dyDescent="0.45">
      <c r="L967" s="3" t="s">
        <v>113</v>
      </c>
      <c r="M967" s="3" t="s">
        <v>45</v>
      </c>
      <c r="N967" s="5">
        <v>2.2293565328268563E-2</v>
      </c>
      <c r="O967" s="3" t="s">
        <v>7</v>
      </c>
    </row>
    <row r="968" spans="12:15" x14ac:dyDescent="0.45">
      <c r="L968" s="6" t="s">
        <v>113</v>
      </c>
      <c r="M968" s="6" t="s">
        <v>46</v>
      </c>
      <c r="N968" s="8">
        <v>2.3065105557228835E-2</v>
      </c>
      <c r="O968" s="6" t="s">
        <v>7</v>
      </c>
    </row>
    <row r="969" spans="12:15" x14ac:dyDescent="0.45">
      <c r="L969" s="3" t="s">
        <v>113</v>
      </c>
      <c r="M969" s="3" t="s">
        <v>47</v>
      </c>
      <c r="N969" s="5">
        <v>2.2799604762562452E-2</v>
      </c>
      <c r="O969" s="3" t="s">
        <v>7</v>
      </c>
    </row>
    <row r="970" spans="12:15" x14ac:dyDescent="0.45">
      <c r="L970" s="6" t="s">
        <v>113</v>
      </c>
      <c r="M970" s="6" t="s">
        <v>48</v>
      </c>
      <c r="N970" s="8">
        <v>3.3085020431934703E-2</v>
      </c>
      <c r="O970" s="6" t="s">
        <v>7</v>
      </c>
    </row>
    <row r="971" spans="12:15" x14ac:dyDescent="0.45">
      <c r="L971" s="3" t="s">
        <v>114</v>
      </c>
      <c r="M971" s="3" t="s">
        <v>6</v>
      </c>
      <c r="N971" s="5">
        <v>6.1285487840126537E-2</v>
      </c>
      <c r="O971" s="3" t="s">
        <v>7</v>
      </c>
    </row>
    <row r="972" spans="12:15" x14ac:dyDescent="0.45">
      <c r="L972" s="6" t="s">
        <v>114</v>
      </c>
      <c r="M972" s="6" t="s">
        <v>10</v>
      </c>
      <c r="N972" s="8">
        <v>2.4157904084583248E-2</v>
      </c>
      <c r="O972" s="6" t="s">
        <v>7</v>
      </c>
    </row>
    <row r="973" spans="12:15" x14ac:dyDescent="0.45">
      <c r="L973" s="3" t="s">
        <v>114</v>
      </c>
      <c r="M973" s="3" t="s">
        <v>11</v>
      </c>
      <c r="N973" s="5">
        <v>2.4312329775678557E-2</v>
      </c>
      <c r="O973" s="3" t="s">
        <v>7</v>
      </c>
    </row>
    <row r="974" spans="12:15" x14ac:dyDescent="0.45">
      <c r="L974" s="6" t="s">
        <v>114</v>
      </c>
      <c r="M974" s="6" t="s">
        <v>12</v>
      </c>
      <c r="N974" s="8">
        <v>2.4485263202342934E-2</v>
      </c>
      <c r="O974" s="6" t="s">
        <v>7</v>
      </c>
    </row>
    <row r="975" spans="12:15" x14ac:dyDescent="0.45">
      <c r="L975" s="3" t="s">
        <v>114</v>
      </c>
      <c r="M975" s="3" t="s">
        <v>13</v>
      </c>
      <c r="N975" s="5">
        <v>2.4647769559370512E-2</v>
      </c>
      <c r="O975" s="3" t="s">
        <v>7</v>
      </c>
    </row>
    <row r="976" spans="12:15" x14ac:dyDescent="0.45">
      <c r="L976" s="6" t="s">
        <v>114</v>
      </c>
      <c r="M976" s="6" t="s">
        <v>14</v>
      </c>
      <c r="N976" s="8">
        <v>2.4360911528923571E-2</v>
      </c>
      <c r="O976" s="6" t="s">
        <v>7</v>
      </c>
    </row>
    <row r="977" spans="12:15" x14ac:dyDescent="0.45">
      <c r="L977" s="3" t="s">
        <v>114</v>
      </c>
      <c r="M977" s="3" t="s">
        <v>15</v>
      </c>
      <c r="N977" s="5">
        <v>2.4166756874513116E-2</v>
      </c>
      <c r="O977" s="3" t="s">
        <v>7</v>
      </c>
    </row>
    <row r="978" spans="12:15" x14ac:dyDescent="0.45">
      <c r="L978" s="6" t="s">
        <v>114</v>
      </c>
      <c r="M978" s="6" t="s">
        <v>16</v>
      </c>
      <c r="N978" s="8">
        <v>2.4139097729938549E-2</v>
      </c>
      <c r="O978" s="6" t="s">
        <v>7</v>
      </c>
    </row>
    <row r="979" spans="12:15" x14ac:dyDescent="0.45">
      <c r="L979" s="3" t="s">
        <v>114</v>
      </c>
      <c r="M979" s="3" t="s">
        <v>17</v>
      </c>
      <c r="N979" s="5">
        <v>2.4187113610691223E-2</v>
      </c>
      <c r="O979" s="3" t="s">
        <v>7</v>
      </c>
    </row>
    <row r="980" spans="12:15" x14ac:dyDescent="0.45">
      <c r="L980" s="6" t="s">
        <v>114</v>
      </c>
      <c r="M980" s="6" t="s">
        <v>18</v>
      </c>
      <c r="N980" s="8">
        <v>3.6146270244722382E-2</v>
      </c>
      <c r="O980" s="6" t="s">
        <v>7</v>
      </c>
    </row>
    <row r="981" spans="12:15" x14ac:dyDescent="0.45">
      <c r="L981" s="3" t="s">
        <v>114</v>
      </c>
      <c r="M981" s="3" t="s">
        <v>19</v>
      </c>
      <c r="N981" s="5">
        <v>5.4591450498588226E-2</v>
      </c>
      <c r="O981" s="3" t="s">
        <v>7</v>
      </c>
    </row>
    <row r="982" spans="12:15" x14ac:dyDescent="0.45">
      <c r="L982" s="6" t="s">
        <v>114</v>
      </c>
      <c r="M982" s="6" t="s">
        <v>20</v>
      </c>
      <c r="N982" s="8">
        <v>2.2452363217207241E-2</v>
      </c>
      <c r="O982" s="6" t="s">
        <v>7</v>
      </c>
    </row>
    <row r="983" spans="12:15" x14ac:dyDescent="0.45">
      <c r="L983" s="3" t="s">
        <v>114</v>
      </c>
      <c r="M983" s="3" t="s">
        <v>21</v>
      </c>
      <c r="N983" s="5">
        <v>2.285925141332059E-2</v>
      </c>
      <c r="O983" s="3" t="s">
        <v>7</v>
      </c>
    </row>
    <row r="984" spans="12:15" x14ac:dyDescent="0.45">
      <c r="L984" s="6" t="s">
        <v>114</v>
      </c>
      <c r="M984" s="6" t="s">
        <v>22</v>
      </c>
      <c r="N984" s="8">
        <v>2.2812533184252293E-2</v>
      </c>
      <c r="O984" s="6" t="s">
        <v>7</v>
      </c>
    </row>
    <row r="985" spans="12:15" x14ac:dyDescent="0.45">
      <c r="L985" s="3" t="s">
        <v>114</v>
      </c>
      <c r="M985" s="3" t="s">
        <v>23</v>
      </c>
      <c r="N985" s="5">
        <v>2.2272309117760018E-2</v>
      </c>
      <c r="O985" s="3" t="s">
        <v>7</v>
      </c>
    </row>
    <row r="986" spans="12:15" x14ac:dyDescent="0.45">
      <c r="L986" s="6" t="s">
        <v>114</v>
      </c>
      <c r="M986" s="6" t="s">
        <v>24</v>
      </c>
      <c r="N986" s="8">
        <v>2.1635942293423291E-2</v>
      </c>
      <c r="O986" s="6" t="s">
        <v>7</v>
      </c>
    </row>
    <row r="987" spans="12:15" x14ac:dyDescent="0.45">
      <c r="L987" s="3" t="s">
        <v>114</v>
      </c>
      <c r="M987" s="3" t="s">
        <v>25</v>
      </c>
      <c r="N987" s="5">
        <v>2.1229873568667814E-2</v>
      </c>
      <c r="O987" s="3" t="s">
        <v>7</v>
      </c>
    </row>
    <row r="988" spans="12:15" x14ac:dyDescent="0.45">
      <c r="L988" s="6" t="s">
        <v>114</v>
      </c>
      <c r="M988" s="6" t="s">
        <v>26</v>
      </c>
      <c r="N988" s="8">
        <v>2.1265533516623556E-2</v>
      </c>
      <c r="O988" s="6" t="s">
        <v>7</v>
      </c>
    </row>
    <row r="989" spans="12:15" x14ac:dyDescent="0.45">
      <c r="L989" s="3" t="s">
        <v>114</v>
      </c>
      <c r="M989" s="3" t="s">
        <v>27</v>
      </c>
      <c r="N989" s="5">
        <v>2.1644997746585518E-2</v>
      </c>
      <c r="O989" s="3" t="s">
        <v>7</v>
      </c>
    </row>
    <row r="990" spans="12:15" x14ac:dyDescent="0.45">
      <c r="L990" s="6" t="s">
        <v>114</v>
      </c>
      <c r="M990" s="6" t="s">
        <v>28</v>
      </c>
      <c r="N990" s="8">
        <v>3.3063122194604652E-2</v>
      </c>
      <c r="O990" s="6" t="s">
        <v>7</v>
      </c>
    </row>
    <row r="991" spans="12:15" x14ac:dyDescent="0.45">
      <c r="L991" s="3" t="s">
        <v>114</v>
      </c>
      <c r="M991" s="3" t="s">
        <v>29</v>
      </c>
      <c r="N991" s="5">
        <v>3.4097066945833025E-2</v>
      </c>
      <c r="O991" s="3" t="s">
        <v>7</v>
      </c>
    </row>
    <row r="992" spans="12:15" x14ac:dyDescent="0.45">
      <c r="L992" s="6" t="s">
        <v>114</v>
      </c>
      <c r="M992" s="6" t="s">
        <v>30</v>
      </c>
      <c r="N992" s="8">
        <v>1.2888738001866587E-2</v>
      </c>
      <c r="O992" s="6" t="s">
        <v>7</v>
      </c>
    </row>
    <row r="993" spans="12:15" x14ac:dyDescent="0.45">
      <c r="L993" s="3" t="s">
        <v>114</v>
      </c>
      <c r="M993" s="3" t="s">
        <v>31</v>
      </c>
      <c r="N993" s="5">
        <v>1.3010071435925452E-2</v>
      </c>
      <c r="O993" s="3" t="s">
        <v>7</v>
      </c>
    </row>
    <row r="994" spans="12:15" x14ac:dyDescent="0.45">
      <c r="L994" s="6" t="s">
        <v>114</v>
      </c>
      <c r="M994" s="6" t="s">
        <v>32</v>
      </c>
      <c r="N994" s="8">
        <v>1.260759673803572E-2</v>
      </c>
      <c r="O994" s="6" t="s">
        <v>7</v>
      </c>
    </row>
    <row r="995" spans="12:15" x14ac:dyDescent="0.45">
      <c r="L995" s="3" t="s">
        <v>114</v>
      </c>
      <c r="M995" s="3" t="s">
        <v>33</v>
      </c>
      <c r="N995" s="5">
        <v>1.2187701962723022E-2</v>
      </c>
      <c r="O995" s="3" t="s">
        <v>7</v>
      </c>
    </row>
    <row r="996" spans="12:15" x14ac:dyDescent="0.45">
      <c r="L996" s="6" t="s">
        <v>114</v>
      </c>
      <c r="M996" s="6" t="s">
        <v>34</v>
      </c>
      <c r="N996" s="8">
        <v>1.2277800558429374E-2</v>
      </c>
      <c r="O996" s="6" t="s">
        <v>7</v>
      </c>
    </row>
    <row r="997" spans="12:15" x14ac:dyDescent="0.45">
      <c r="L997" s="3" t="s">
        <v>114</v>
      </c>
      <c r="M997" s="3" t="s">
        <v>35</v>
      </c>
      <c r="N997" s="5">
        <v>1.2444397032404594E-2</v>
      </c>
      <c r="O997" s="3" t="s">
        <v>7</v>
      </c>
    </row>
    <row r="998" spans="12:15" x14ac:dyDescent="0.45">
      <c r="L998" s="6" t="s">
        <v>114</v>
      </c>
      <c r="M998" s="6" t="s">
        <v>36</v>
      </c>
      <c r="N998" s="8">
        <v>1.2741707339487433E-2</v>
      </c>
      <c r="O998" s="6" t="s">
        <v>7</v>
      </c>
    </row>
    <row r="999" spans="12:15" x14ac:dyDescent="0.45">
      <c r="L999" s="3" t="s">
        <v>114</v>
      </c>
      <c r="M999" s="3" t="s">
        <v>37</v>
      </c>
      <c r="N999" s="5">
        <v>1.3551074738391872E-2</v>
      </c>
      <c r="O999" s="3" t="s">
        <v>7</v>
      </c>
    </row>
    <row r="1000" spans="12:15" x14ac:dyDescent="0.45">
      <c r="L1000" s="6" t="s">
        <v>114</v>
      </c>
      <c r="M1000" s="6" t="s">
        <v>38</v>
      </c>
      <c r="N1000" s="8">
        <v>2.1173637210609525E-2</v>
      </c>
      <c r="O1000" s="6" t="s">
        <v>7</v>
      </c>
    </row>
    <row r="1001" spans="12:15" x14ac:dyDescent="0.45">
      <c r="L1001" s="3" t="s">
        <v>114</v>
      </c>
      <c r="M1001" s="3" t="s">
        <v>39</v>
      </c>
      <c r="N1001" s="5">
        <v>6.1047315716472469E-2</v>
      </c>
      <c r="O1001" s="3" t="s">
        <v>7</v>
      </c>
    </row>
    <row r="1002" spans="12:15" x14ac:dyDescent="0.45">
      <c r="L1002" s="6" t="s">
        <v>114</v>
      </c>
      <c r="M1002" s="6" t="s">
        <v>40</v>
      </c>
      <c r="N1002" s="8">
        <v>2.3773254815909282E-2</v>
      </c>
      <c r="O1002" s="6" t="s">
        <v>7</v>
      </c>
    </row>
    <row r="1003" spans="12:15" x14ac:dyDescent="0.45">
      <c r="L1003" s="3" t="s">
        <v>114</v>
      </c>
      <c r="M1003" s="3" t="s">
        <v>41</v>
      </c>
      <c r="N1003" s="5">
        <v>2.3034271654161068E-2</v>
      </c>
      <c r="O1003" s="3" t="s">
        <v>7</v>
      </c>
    </row>
    <row r="1004" spans="12:15" x14ac:dyDescent="0.45">
      <c r="L1004" s="6" t="s">
        <v>114</v>
      </c>
      <c r="M1004" s="6" t="s">
        <v>42</v>
      </c>
      <c r="N1004" s="8">
        <v>2.27611404309408E-2</v>
      </c>
      <c r="O1004" s="6" t="s">
        <v>7</v>
      </c>
    </row>
    <row r="1005" spans="12:15" x14ac:dyDescent="0.45">
      <c r="L1005" s="3" t="s">
        <v>114</v>
      </c>
      <c r="M1005" s="3" t="s">
        <v>43</v>
      </c>
      <c r="N1005" s="5">
        <v>2.3083790549238939E-2</v>
      </c>
      <c r="O1005" s="3" t="s">
        <v>7</v>
      </c>
    </row>
    <row r="1006" spans="12:15" x14ac:dyDescent="0.45">
      <c r="L1006" s="6" t="s">
        <v>114</v>
      </c>
      <c r="M1006" s="6" t="s">
        <v>44</v>
      </c>
      <c r="N1006" s="8">
        <v>2.3449244451437489E-2</v>
      </c>
      <c r="O1006" s="6" t="s">
        <v>7</v>
      </c>
    </row>
    <row r="1007" spans="12:15" x14ac:dyDescent="0.45">
      <c r="L1007" s="3" t="s">
        <v>114</v>
      </c>
      <c r="M1007" s="3" t="s">
        <v>45</v>
      </c>
      <c r="N1007" s="5">
        <v>2.3714439107419237E-2</v>
      </c>
      <c r="O1007" s="3" t="s">
        <v>7</v>
      </c>
    </row>
    <row r="1008" spans="12:15" x14ac:dyDescent="0.45">
      <c r="L1008" s="6" t="s">
        <v>114</v>
      </c>
      <c r="M1008" s="6" t="s">
        <v>46</v>
      </c>
      <c r="N1008" s="8">
        <v>2.4027598421376074E-2</v>
      </c>
      <c r="O1008" s="6" t="s">
        <v>7</v>
      </c>
    </row>
    <row r="1009" spans="12:15" x14ac:dyDescent="0.45">
      <c r="L1009" s="3" t="s">
        <v>114</v>
      </c>
      <c r="M1009" s="3" t="s">
        <v>47</v>
      </c>
      <c r="N1009" s="5">
        <v>2.4693946361901777E-2</v>
      </c>
      <c r="O1009" s="3" t="s">
        <v>7</v>
      </c>
    </row>
    <row r="1010" spans="12:15" x14ac:dyDescent="0.45">
      <c r="L1010" s="6" t="s">
        <v>114</v>
      </c>
      <c r="M1010" s="6" t="s">
        <v>48</v>
      </c>
      <c r="N1010" s="8">
        <v>3.7718925325512388E-2</v>
      </c>
      <c r="O1010" s="6" t="s">
        <v>7</v>
      </c>
    </row>
    <row r="1011" spans="12:15" x14ac:dyDescent="0.45">
      <c r="L1011" s="3" t="s">
        <v>115</v>
      </c>
      <c r="M1011" s="3" t="s">
        <v>6</v>
      </c>
      <c r="N1011" s="5">
        <v>6.331232361993458E-2</v>
      </c>
      <c r="O1011" s="3" t="s">
        <v>7</v>
      </c>
    </row>
    <row r="1012" spans="12:15" x14ac:dyDescent="0.45">
      <c r="L1012" s="6" t="s">
        <v>115</v>
      </c>
      <c r="M1012" s="6" t="s">
        <v>10</v>
      </c>
      <c r="N1012" s="8">
        <v>2.4963265307582434E-2</v>
      </c>
      <c r="O1012" s="6" t="s">
        <v>7</v>
      </c>
    </row>
    <row r="1013" spans="12:15" x14ac:dyDescent="0.45">
      <c r="L1013" s="3" t="s">
        <v>115</v>
      </c>
      <c r="M1013" s="3" t="s">
        <v>11</v>
      </c>
      <c r="N1013" s="5">
        <v>2.4684298138257916E-2</v>
      </c>
      <c r="O1013" s="3" t="s">
        <v>7</v>
      </c>
    </row>
    <row r="1014" spans="12:15" x14ac:dyDescent="0.45">
      <c r="L1014" s="6" t="s">
        <v>115</v>
      </c>
      <c r="M1014" s="6" t="s">
        <v>12</v>
      </c>
      <c r="N1014" s="8">
        <v>2.4872805555185108E-2</v>
      </c>
      <c r="O1014" s="6" t="s">
        <v>7</v>
      </c>
    </row>
    <row r="1015" spans="12:15" x14ac:dyDescent="0.45">
      <c r="L1015" s="3" t="s">
        <v>115</v>
      </c>
      <c r="M1015" s="3" t="s">
        <v>13</v>
      </c>
      <c r="N1015" s="5">
        <v>2.509705338269088E-2</v>
      </c>
      <c r="O1015" s="3" t="s">
        <v>7</v>
      </c>
    </row>
    <row r="1016" spans="12:15" x14ac:dyDescent="0.45">
      <c r="L1016" s="6" t="s">
        <v>115</v>
      </c>
      <c r="M1016" s="6" t="s">
        <v>14</v>
      </c>
      <c r="N1016" s="8">
        <v>2.4617690908992556E-2</v>
      </c>
      <c r="O1016" s="6" t="s">
        <v>7</v>
      </c>
    </row>
    <row r="1017" spans="12:15" x14ac:dyDescent="0.45">
      <c r="L1017" s="3" t="s">
        <v>115</v>
      </c>
      <c r="M1017" s="3" t="s">
        <v>15</v>
      </c>
      <c r="N1017" s="5">
        <v>2.4628210707530112E-2</v>
      </c>
      <c r="O1017" s="3" t="s">
        <v>7</v>
      </c>
    </row>
    <row r="1018" spans="12:15" x14ac:dyDescent="0.45">
      <c r="L1018" s="6" t="s">
        <v>115</v>
      </c>
      <c r="M1018" s="6" t="s">
        <v>16</v>
      </c>
      <c r="N1018" s="8">
        <v>2.5126369505569283E-2</v>
      </c>
      <c r="O1018" s="6" t="s">
        <v>7</v>
      </c>
    </row>
    <row r="1019" spans="12:15" x14ac:dyDescent="0.45">
      <c r="L1019" s="3" t="s">
        <v>115</v>
      </c>
      <c r="M1019" s="3" t="s">
        <v>17</v>
      </c>
      <c r="N1019" s="5">
        <v>2.5709134942313951E-2</v>
      </c>
      <c r="O1019" s="3" t="s">
        <v>7</v>
      </c>
    </row>
    <row r="1020" spans="12:15" x14ac:dyDescent="0.45">
      <c r="L1020" s="6" t="s">
        <v>115</v>
      </c>
      <c r="M1020" s="6" t="s">
        <v>18</v>
      </c>
      <c r="N1020" s="8">
        <v>3.8715562069991862E-2</v>
      </c>
      <c r="O1020" s="6" t="s">
        <v>7</v>
      </c>
    </row>
    <row r="1021" spans="12:15" x14ac:dyDescent="0.45">
      <c r="L1021" s="3" t="s">
        <v>115</v>
      </c>
      <c r="M1021" s="3" t="s">
        <v>19</v>
      </c>
      <c r="N1021" s="5">
        <v>5.4185791819173525E-2</v>
      </c>
      <c r="O1021" s="3" t="s">
        <v>7</v>
      </c>
    </row>
    <row r="1022" spans="12:15" x14ac:dyDescent="0.45">
      <c r="L1022" s="6" t="s">
        <v>115</v>
      </c>
      <c r="M1022" s="6" t="s">
        <v>20</v>
      </c>
      <c r="N1022" s="8">
        <v>2.2460300734538512E-2</v>
      </c>
      <c r="O1022" s="6" t="s">
        <v>7</v>
      </c>
    </row>
    <row r="1023" spans="12:15" x14ac:dyDescent="0.45">
      <c r="L1023" s="3" t="s">
        <v>115</v>
      </c>
      <c r="M1023" s="3" t="s">
        <v>21</v>
      </c>
      <c r="N1023" s="5">
        <v>2.2950379832200638E-2</v>
      </c>
      <c r="O1023" s="3" t="s">
        <v>7</v>
      </c>
    </row>
    <row r="1024" spans="12:15" x14ac:dyDescent="0.45">
      <c r="L1024" s="6" t="s">
        <v>115</v>
      </c>
      <c r="M1024" s="6" t="s">
        <v>22</v>
      </c>
      <c r="N1024" s="8">
        <v>2.2548290265678398E-2</v>
      </c>
      <c r="O1024" s="6" t="s">
        <v>7</v>
      </c>
    </row>
    <row r="1025" spans="12:15" x14ac:dyDescent="0.45">
      <c r="L1025" s="3" t="s">
        <v>115</v>
      </c>
      <c r="M1025" s="3" t="s">
        <v>23</v>
      </c>
      <c r="N1025" s="5">
        <v>2.1781337346508022E-2</v>
      </c>
      <c r="O1025" s="3" t="s">
        <v>7</v>
      </c>
    </row>
    <row r="1026" spans="12:15" x14ac:dyDescent="0.45">
      <c r="L1026" s="6" t="s">
        <v>115</v>
      </c>
      <c r="M1026" s="6" t="s">
        <v>24</v>
      </c>
      <c r="N1026" s="8">
        <v>2.1227265937220657E-2</v>
      </c>
      <c r="O1026" s="6" t="s">
        <v>7</v>
      </c>
    </row>
    <row r="1027" spans="12:15" x14ac:dyDescent="0.45">
      <c r="L1027" s="3" t="s">
        <v>115</v>
      </c>
      <c r="M1027" s="3" t="s">
        <v>25</v>
      </c>
      <c r="N1027" s="5">
        <v>2.1099087593186319E-2</v>
      </c>
      <c r="O1027" s="3" t="s">
        <v>7</v>
      </c>
    </row>
    <row r="1028" spans="12:15" x14ac:dyDescent="0.45">
      <c r="L1028" s="6" t="s">
        <v>115</v>
      </c>
      <c r="M1028" s="6" t="s">
        <v>26</v>
      </c>
      <c r="N1028" s="8">
        <v>2.1216326471199923E-2</v>
      </c>
      <c r="O1028" s="6" t="s">
        <v>7</v>
      </c>
    </row>
    <row r="1029" spans="12:15" x14ac:dyDescent="0.45">
      <c r="L1029" s="3" t="s">
        <v>115</v>
      </c>
      <c r="M1029" s="3" t="s">
        <v>27</v>
      </c>
      <c r="N1029" s="5">
        <v>2.1497415456991069E-2</v>
      </c>
      <c r="O1029" s="3" t="s">
        <v>7</v>
      </c>
    </row>
    <row r="1030" spans="12:15" x14ac:dyDescent="0.45">
      <c r="L1030" s="6" t="s">
        <v>115</v>
      </c>
      <c r="M1030" s="6" t="s">
        <v>28</v>
      </c>
      <c r="N1030" s="8">
        <v>3.2855169215344808E-2</v>
      </c>
      <c r="O1030" s="6" t="s">
        <v>7</v>
      </c>
    </row>
    <row r="1031" spans="12:15" x14ac:dyDescent="0.45">
      <c r="L1031" s="3" t="s">
        <v>115</v>
      </c>
      <c r="M1031" s="3" t="s">
        <v>29</v>
      </c>
      <c r="N1031" s="5">
        <v>3.1992144174638935E-2</v>
      </c>
      <c r="O1031" s="3" t="s">
        <v>7</v>
      </c>
    </row>
    <row r="1032" spans="12:15" x14ac:dyDescent="0.45">
      <c r="L1032" s="6" t="s">
        <v>115</v>
      </c>
      <c r="M1032" s="6" t="s">
        <v>30</v>
      </c>
      <c r="N1032" s="8">
        <v>1.2208258029128007E-2</v>
      </c>
      <c r="O1032" s="6" t="s">
        <v>7</v>
      </c>
    </row>
    <row r="1033" spans="12:15" x14ac:dyDescent="0.45">
      <c r="L1033" s="3" t="s">
        <v>115</v>
      </c>
      <c r="M1033" s="3" t="s">
        <v>31</v>
      </c>
      <c r="N1033" s="5">
        <v>1.1956853609092877E-2</v>
      </c>
      <c r="O1033" s="3" t="s">
        <v>7</v>
      </c>
    </row>
    <row r="1034" spans="12:15" x14ac:dyDescent="0.45">
      <c r="L1034" s="6" t="s">
        <v>115</v>
      </c>
      <c r="M1034" s="6" t="s">
        <v>32</v>
      </c>
      <c r="N1034" s="8">
        <v>1.1392478380733607E-2</v>
      </c>
      <c r="O1034" s="6" t="s">
        <v>7</v>
      </c>
    </row>
    <row r="1035" spans="12:15" x14ac:dyDescent="0.45">
      <c r="L1035" s="3" t="s">
        <v>115</v>
      </c>
      <c r="M1035" s="3" t="s">
        <v>33</v>
      </c>
      <c r="N1035" s="5">
        <v>1.0501026275231855E-2</v>
      </c>
      <c r="O1035" s="3" t="s">
        <v>7</v>
      </c>
    </row>
    <row r="1036" spans="12:15" x14ac:dyDescent="0.45">
      <c r="L1036" s="6" t="s">
        <v>115</v>
      </c>
      <c r="M1036" s="6" t="s">
        <v>34</v>
      </c>
      <c r="N1036" s="8">
        <v>1.0318908462723134E-2</v>
      </c>
      <c r="O1036" s="6" t="s">
        <v>7</v>
      </c>
    </row>
    <row r="1037" spans="12:15" x14ac:dyDescent="0.45">
      <c r="L1037" s="3" t="s">
        <v>115</v>
      </c>
      <c r="M1037" s="3" t="s">
        <v>35</v>
      </c>
      <c r="N1037" s="5">
        <v>1.1135660535051732E-2</v>
      </c>
      <c r="O1037" s="3" t="s">
        <v>7</v>
      </c>
    </row>
    <row r="1038" spans="12:15" x14ac:dyDescent="0.45">
      <c r="L1038" s="6" t="s">
        <v>115</v>
      </c>
      <c r="M1038" s="6" t="s">
        <v>36</v>
      </c>
      <c r="N1038" s="8">
        <v>1.2257330492794928E-2</v>
      </c>
      <c r="O1038" s="6" t="s">
        <v>7</v>
      </c>
    </row>
    <row r="1039" spans="12:15" x14ac:dyDescent="0.45">
      <c r="L1039" s="3" t="s">
        <v>115</v>
      </c>
      <c r="M1039" s="3" t="s">
        <v>37</v>
      </c>
      <c r="N1039" s="5">
        <v>1.3138582147193309E-2</v>
      </c>
      <c r="O1039" s="3" t="s">
        <v>7</v>
      </c>
    </row>
    <row r="1040" spans="12:15" x14ac:dyDescent="0.45">
      <c r="L1040" s="6" t="s">
        <v>115</v>
      </c>
      <c r="M1040" s="6" t="s">
        <v>38</v>
      </c>
      <c r="N1040" s="8">
        <v>2.0305705521135711E-2</v>
      </c>
      <c r="O1040" s="6" t="s">
        <v>7</v>
      </c>
    </row>
    <row r="1041" spans="12:15" x14ac:dyDescent="0.45">
      <c r="L1041" s="3" t="s">
        <v>115</v>
      </c>
      <c r="M1041" s="3" t="s">
        <v>39</v>
      </c>
      <c r="N1041" s="5">
        <v>6.2100979612470047E-2</v>
      </c>
      <c r="O1041" s="3" t="s">
        <v>7</v>
      </c>
    </row>
    <row r="1042" spans="12:15" x14ac:dyDescent="0.45">
      <c r="L1042" s="6" t="s">
        <v>115</v>
      </c>
      <c r="M1042" s="6" t="s">
        <v>40</v>
      </c>
      <c r="N1042" s="8">
        <v>2.3746938057289012E-2</v>
      </c>
      <c r="O1042" s="6" t="s">
        <v>7</v>
      </c>
    </row>
    <row r="1043" spans="12:15" x14ac:dyDescent="0.45">
      <c r="L1043" s="3" t="s">
        <v>115</v>
      </c>
      <c r="M1043" s="3" t="s">
        <v>41</v>
      </c>
      <c r="N1043" s="5">
        <v>2.3175421366862722E-2</v>
      </c>
      <c r="O1043" s="3" t="s">
        <v>7</v>
      </c>
    </row>
    <row r="1044" spans="12:15" x14ac:dyDescent="0.45">
      <c r="L1044" s="6" t="s">
        <v>115</v>
      </c>
      <c r="M1044" s="6" t="s">
        <v>42</v>
      </c>
      <c r="N1044" s="8">
        <v>2.3322532772722917E-2</v>
      </c>
      <c r="O1044" s="6" t="s">
        <v>7</v>
      </c>
    </row>
    <row r="1045" spans="12:15" x14ac:dyDescent="0.45">
      <c r="L1045" s="3" t="s">
        <v>115</v>
      </c>
      <c r="M1045" s="3" t="s">
        <v>43</v>
      </c>
      <c r="N1045" s="5">
        <v>2.3575369635775053E-2</v>
      </c>
      <c r="O1045" s="3" t="s">
        <v>7</v>
      </c>
    </row>
    <row r="1046" spans="12:15" x14ac:dyDescent="0.45">
      <c r="L1046" s="6" t="s">
        <v>115</v>
      </c>
      <c r="M1046" s="6" t="s">
        <v>44</v>
      </c>
      <c r="N1046" s="8">
        <v>2.3736099110120618E-2</v>
      </c>
      <c r="O1046" s="6" t="s">
        <v>7</v>
      </c>
    </row>
    <row r="1047" spans="12:15" x14ac:dyDescent="0.45">
      <c r="L1047" s="3" t="s">
        <v>115</v>
      </c>
      <c r="M1047" s="3" t="s">
        <v>45</v>
      </c>
      <c r="N1047" s="5">
        <v>2.3794997127971479E-2</v>
      </c>
      <c r="O1047" s="3" t="s">
        <v>7</v>
      </c>
    </row>
    <row r="1048" spans="12:15" x14ac:dyDescent="0.45">
      <c r="L1048" s="6" t="s">
        <v>115</v>
      </c>
      <c r="M1048" s="6" t="s">
        <v>46</v>
      </c>
      <c r="N1048" s="8">
        <v>2.4496467602511136E-2</v>
      </c>
      <c r="O1048" s="6" t="s">
        <v>7</v>
      </c>
    </row>
    <row r="1049" spans="12:15" x14ac:dyDescent="0.45">
      <c r="L1049" s="3" t="s">
        <v>115</v>
      </c>
      <c r="M1049" s="3" t="s">
        <v>47</v>
      </c>
      <c r="N1049" s="5">
        <v>2.5044672246437062E-2</v>
      </c>
      <c r="O1049" s="3" t="s">
        <v>7</v>
      </c>
    </row>
    <row r="1050" spans="12:15" x14ac:dyDescent="0.45">
      <c r="L1050" s="6" t="s">
        <v>115</v>
      </c>
      <c r="M1050" s="6" t="s">
        <v>48</v>
      </c>
      <c r="N1050" s="8">
        <v>3.8251496030025409E-2</v>
      </c>
      <c r="O1050" s="6" t="s">
        <v>7</v>
      </c>
    </row>
    <row r="1051" spans="12:15" x14ac:dyDescent="0.45">
      <c r="L1051" s="3" t="s">
        <v>116</v>
      </c>
      <c r="M1051" s="3" t="s">
        <v>6</v>
      </c>
      <c r="N1051" s="5">
        <v>5.9698731068603475E-2</v>
      </c>
      <c r="O1051" s="3" t="s">
        <v>7</v>
      </c>
    </row>
    <row r="1052" spans="12:15" x14ac:dyDescent="0.45">
      <c r="L1052" s="6" t="s">
        <v>116</v>
      </c>
      <c r="M1052" s="6" t="s">
        <v>10</v>
      </c>
      <c r="N1052" s="8">
        <v>2.3609599446454604E-2</v>
      </c>
      <c r="O1052" s="6" t="s">
        <v>7</v>
      </c>
    </row>
    <row r="1053" spans="12:15" x14ac:dyDescent="0.45">
      <c r="L1053" s="3" t="s">
        <v>116</v>
      </c>
      <c r="M1053" s="3" t="s">
        <v>11</v>
      </c>
      <c r="N1053" s="5">
        <v>2.3763812877353251E-2</v>
      </c>
      <c r="O1053" s="3" t="s">
        <v>7</v>
      </c>
    </row>
    <row r="1054" spans="12:15" x14ac:dyDescent="0.45">
      <c r="L1054" s="6" t="s">
        <v>116</v>
      </c>
      <c r="M1054" s="6" t="s">
        <v>12</v>
      </c>
      <c r="N1054" s="8">
        <v>2.3245430983127376E-2</v>
      </c>
      <c r="O1054" s="6" t="s">
        <v>7</v>
      </c>
    </row>
    <row r="1055" spans="12:15" x14ac:dyDescent="0.45">
      <c r="L1055" s="3" t="s">
        <v>116</v>
      </c>
      <c r="M1055" s="3" t="s">
        <v>13</v>
      </c>
      <c r="N1055" s="5">
        <v>2.2525925385728885E-2</v>
      </c>
      <c r="O1055" s="3" t="s">
        <v>7</v>
      </c>
    </row>
    <row r="1056" spans="12:15" x14ac:dyDescent="0.45">
      <c r="L1056" s="6" t="s">
        <v>116</v>
      </c>
      <c r="M1056" s="6" t="s">
        <v>14</v>
      </c>
      <c r="N1056" s="8">
        <v>2.2828114748726529E-2</v>
      </c>
      <c r="O1056" s="6" t="s">
        <v>7</v>
      </c>
    </row>
    <row r="1057" spans="12:15" x14ac:dyDescent="0.45">
      <c r="L1057" s="3" t="s">
        <v>116</v>
      </c>
      <c r="M1057" s="3" t="s">
        <v>15</v>
      </c>
      <c r="N1057" s="5">
        <v>2.3402854929748237E-2</v>
      </c>
      <c r="O1057" s="3" t="s">
        <v>7</v>
      </c>
    </row>
    <row r="1058" spans="12:15" x14ac:dyDescent="0.45">
      <c r="L1058" s="6" t="s">
        <v>116</v>
      </c>
      <c r="M1058" s="6" t="s">
        <v>16</v>
      </c>
      <c r="N1058" s="8">
        <v>2.3855009636177933E-2</v>
      </c>
      <c r="O1058" s="6" t="s">
        <v>7</v>
      </c>
    </row>
    <row r="1059" spans="12:15" x14ac:dyDescent="0.45">
      <c r="L1059" s="3" t="s">
        <v>116</v>
      </c>
      <c r="M1059" s="3" t="s">
        <v>17</v>
      </c>
      <c r="N1059" s="5">
        <v>2.4427798400260117E-2</v>
      </c>
      <c r="O1059" s="3" t="s">
        <v>7</v>
      </c>
    </row>
    <row r="1060" spans="12:15" x14ac:dyDescent="0.45">
      <c r="L1060" s="6" t="s">
        <v>116</v>
      </c>
      <c r="M1060" s="6" t="s">
        <v>18</v>
      </c>
      <c r="N1060" s="8">
        <v>3.6809826237163154E-2</v>
      </c>
      <c r="O1060" s="6" t="s">
        <v>7</v>
      </c>
    </row>
    <row r="1061" spans="12:15" x14ac:dyDescent="0.45">
      <c r="L1061" s="3" t="s">
        <v>116</v>
      </c>
      <c r="M1061" s="3" t="s">
        <v>19</v>
      </c>
      <c r="N1061" s="5">
        <v>5.2641584455219735E-2</v>
      </c>
      <c r="O1061" s="3" t="s">
        <v>7</v>
      </c>
    </row>
    <row r="1062" spans="12:15" x14ac:dyDescent="0.45">
      <c r="L1062" s="6" t="s">
        <v>116</v>
      </c>
      <c r="M1062" s="6" t="s">
        <v>20</v>
      </c>
      <c r="N1062" s="8">
        <v>2.1516571932042053E-2</v>
      </c>
      <c r="O1062" s="6" t="s">
        <v>7</v>
      </c>
    </row>
    <row r="1063" spans="12:15" x14ac:dyDescent="0.45">
      <c r="L1063" s="3" t="s">
        <v>116</v>
      </c>
      <c r="M1063" s="3" t="s">
        <v>21</v>
      </c>
      <c r="N1063" s="5">
        <v>2.1184077303553771E-2</v>
      </c>
      <c r="O1063" s="3" t="s">
        <v>7</v>
      </c>
    </row>
    <row r="1064" spans="12:15" x14ac:dyDescent="0.45">
      <c r="L1064" s="6" t="s">
        <v>116</v>
      </c>
      <c r="M1064" s="6" t="s">
        <v>22</v>
      </c>
      <c r="N1064" s="8">
        <v>2.010853105205725E-2</v>
      </c>
      <c r="O1064" s="6" t="s">
        <v>7</v>
      </c>
    </row>
    <row r="1065" spans="12:15" x14ac:dyDescent="0.45">
      <c r="L1065" s="3" t="s">
        <v>116</v>
      </c>
      <c r="M1065" s="3" t="s">
        <v>23</v>
      </c>
      <c r="N1065" s="5">
        <v>1.9750785058334722E-2</v>
      </c>
      <c r="O1065" s="3" t="s">
        <v>7</v>
      </c>
    </row>
    <row r="1066" spans="12:15" x14ac:dyDescent="0.45">
      <c r="L1066" s="6" t="s">
        <v>116</v>
      </c>
      <c r="M1066" s="6" t="s">
        <v>24</v>
      </c>
      <c r="N1066" s="8">
        <v>2.0355093656993107E-2</v>
      </c>
      <c r="O1066" s="6" t="s">
        <v>7</v>
      </c>
    </row>
    <row r="1067" spans="12:15" x14ac:dyDescent="0.45">
      <c r="L1067" s="3" t="s">
        <v>116</v>
      </c>
      <c r="M1067" s="3" t="s">
        <v>25</v>
      </c>
      <c r="N1067" s="5">
        <v>2.0988101904858985E-2</v>
      </c>
      <c r="O1067" s="3" t="s">
        <v>7</v>
      </c>
    </row>
    <row r="1068" spans="12:15" x14ac:dyDescent="0.45">
      <c r="L1068" s="6" t="s">
        <v>116</v>
      </c>
      <c r="M1068" s="6" t="s">
        <v>26</v>
      </c>
      <c r="N1068" s="8">
        <v>2.127185932381322E-2</v>
      </c>
      <c r="O1068" s="6" t="s">
        <v>7</v>
      </c>
    </row>
    <row r="1069" spans="12:15" x14ac:dyDescent="0.45">
      <c r="L1069" s="3" t="s">
        <v>116</v>
      </c>
      <c r="M1069" s="3" t="s">
        <v>27</v>
      </c>
      <c r="N1069" s="5">
        <v>2.1948504659300479E-2</v>
      </c>
      <c r="O1069" s="3" t="s">
        <v>7</v>
      </c>
    </row>
    <row r="1070" spans="12:15" x14ac:dyDescent="0.45">
      <c r="L1070" s="6" t="s">
        <v>116</v>
      </c>
      <c r="M1070" s="6" t="s">
        <v>28</v>
      </c>
      <c r="N1070" s="8">
        <v>3.256755834939333E-2</v>
      </c>
      <c r="O1070" s="6" t="s">
        <v>7</v>
      </c>
    </row>
    <row r="1071" spans="12:15" x14ac:dyDescent="0.45">
      <c r="L1071" s="3" t="s">
        <v>116</v>
      </c>
      <c r="M1071" s="3" t="s">
        <v>29</v>
      </c>
      <c r="N1071" s="5">
        <v>4.1907873252115542E-2</v>
      </c>
      <c r="O1071" s="3" t="s">
        <v>7</v>
      </c>
    </row>
    <row r="1072" spans="12:15" x14ac:dyDescent="0.45">
      <c r="L1072" s="6" t="s">
        <v>116</v>
      </c>
      <c r="M1072" s="6" t="s">
        <v>30</v>
      </c>
      <c r="N1072" s="8">
        <v>1.5674855661435727E-2</v>
      </c>
      <c r="O1072" s="6" t="s">
        <v>7</v>
      </c>
    </row>
    <row r="1073" spans="12:15" x14ac:dyDescent="0.45">
      <c r="L1073" s="3" t="s">
        <v>116</v>
      </c>
      <c r="M1073" s="3" t="s">
        <v>31</v>
      </c>
      <c r="N1073" s="5">
        <v>1.5400518573748738E-2</v>
      </c>
      <c r="O1073" s="3" t="s">
        <v>7</v>
      </c>
    </row>
    <row r="1074" spans="12:15" x14ac:dyDescent="0.45">
      <c r="L1074" s="6" t="s">
        <v>116</v>
      </c>
      <c r="M1074" s="6" t="s">
        <v>32</v>
      </c>
      <c r="N1074" s="8">
        <v>1.5618004223802801E-2</v>
      </c>
      <c r="O1074" s="6" t="s">
        <v>7</v>
      </c>
    </row>
    <row r="1075" spans="12:15" x14ac:dyDescent="0.45">
      <c r="L1075" s="3" t="s">
        <v>116</v>
      </c>
      <c r="M1075" s="3" t="s">
        <v>33</v>
      </c>
      <c r="N1075" s="5">
        <v>1.6590478077737093E-2</v>
      </c>
      <c r="O1075" s="3" t="s">
        <v>7</v>
      </c>
    </row>
    <row r="1076" spans="12:15" x14ac:dyDescent="0.45">
      <c r="L1076" s="6" t="s">
        <v>116</v>
      </c>
      <c r="M1076" s="6" t="s">
        <v>34</v>
      </c>
      <c r="N1076" s="8">
        <v>1.7946536596387213E-2</v>
      </c>
      <c r="O1076" s="6" t="s">
        <v>7</v>
      </c>
    </row>
    <row r="1077" spans="12:15" x14ac:dyDescent="0.45">
      <c r="L1077" s="3" t="s">
        <v>116</v>
      </c>
      <c r="M1077" s="3" t="s">
        <v>35</v>
      </c>
      <c r="N1077" s="5">
        <v>1.9152240311051508E-2</v>
      </c>
      <c r="O1077" s="3" t="s">
        <v>7</v>
      </c>
    </row>
    <row r="1078" spans="12:15" x14ac:dyDescent="0.45">
      <c r="L1078" s="6" t="s">
        <v>116</v>
      </c>
      <c r="M1078" s="6" t="s">
        <v>36</v>
      </c>
      <c r="N1078" s="8">
        <v>1.9175763446794086E-2</v>
      </c>
      <c r="O1078" s="6" t="s">
        <v>7</v>
      </c>
    </row>
    <row r="1079" spans="12:15" x14ac:dyDescent="0.45">
      <c r="L1079" s="3" t="s">
        <v>116</v>
      </c>
      <c r="M1079" s="3" t="s">
        <v>37</v>
      </c>
      <c r="N1079" s="5">
        <v>1.9249219283839381E-2</v>
      </c>
      <c r="O1079" s="3" t="s">
        <v>7</v>
      </c>
    </row>
    <row r="1080" spans="12:15" x14ac:dyDescent="0.45">
      <c r="L1080" s="6" t="s">
        <v>116</v>
      </c>
      <c r="M1080" s="6" t="s">
        <v>38</v>
      </c>
      <c r="N1080" s="8">
        <v>2.8575590210314198E-2</v>
      </c>
      <c r="O1080" s="6" t="s">
        <v>7</v>
      </c>
    </row>
    <row r="1081" spans="12:15" x14ac:dyDescent="0.45">
      <c r="L1081" s="3" t="s">
        <v>116</v>
      </c>
      <c r="M1081" s="3" t="s">
        <v>39</v>
      </c>
      <c r="N1081" s="5">
        <v>5.1454512162080891E-2</v>
      </c>
      <c r="O1081" s="3" t="s">
        <v>7</v>
      </c>
    </row>
    <row r="1082" spans="12:15" x14ac:dyDescent="0.45">
      <c r="L1082" s="6" t="s">
        <v>116</v>
      </c>
      <c r="M1082" s="6" t="s">
        <v>40</v>
      </c>
      <c r="N1082" s="8">
        <v>2.0049576675606539E-2</v>
      </c>
      <c r="O1082" s="6" t="s">
        <v>7</v>
      </c>
    </row>
    <row r="1083" spans="12:15" x14ac:dyDescent="0.45">
      <c r="L1083" s="3" t="s">
        <v>116</v>
      </c>
      <c r="M1083" s="3" t="s">
        <v>41</v>
      </c>
      <c r="N1083" s="5">
        <v>1.9833669019605142E-2</v>
      </c>
      <c r="O1083" s="3" t="s">
        <v>7</v>
      </c>
    </row>
    <row r="1084" spans="12:15" x14ac:dyDescent="0.45">
      <c r="L1084" s="6" t="s">
        <v>116</v>
      </c>
      <c r="M1084" s="6" t="s">
        <v>42</v>
      </c>
      <c r="N1084" s="8">
        <v>1.9844240536275575E-2</v>
      </c>
      <c r="O1084" s="6" t="s">
        <v>7</v>
      </c>
    </row>
    <row r="1085" spans="12:15" x14ac:dyDescent="0.45">
      <c r="L1085" s="3" t="s">
        <v>116</v>
      </c>
      <c r="M1085" s="3" t="s">
        <v>43</v>
      </c>
      <c r="N1085" s="5">
        <v>2.0698306184753507E-2</v>
      </c>
      <c r="O1085" s="3" t="s">
        <v>7</v>
      </c>
    </row>
    <row r="1086" spans="12:15" x14ac:dyDescent="0.45">
      <c r="L1086" s="6" t="s">
        <v>116</v>
      </c>
      <c r="M1086" s="6" t="s">
        <v>44</v>
      </c>
      <c r="N1086" s="8">
        <v>2.1819099266549669E-2</v>
      </c>
      <c r="O1086" s="6" t="s">
        <v>7</v>
      </c>
    </row>
    <row r="1087" spans="12:15" x14ac:dyDescent="0.45">
      <c r="L1087" s="3" t="s">
        <v>116</v>
      </c>
      <c r="M1087" s="3" t="s">
        <v>45</v>
      </c>
      <c r="N1087" s="5">
        <v>2.1820745668486598E-2</v>
      </c>
      <c r="O1087" s="3" t="s">
        <v>7</v>
      </c>
    </row>
    <row r="1088" spans="12:15" x14ac:dyDescent="0.45">
      <c r="L1088" s="6" t="s">
        <v>116</v>
      </c>
      <c r="M1088" s="6" t="s">
        <v>46</v>
      </c>
      <c r="N1088" s="8">
        <v>2.2560871775870923E-2</v>
      </c>
      <c r="O1088" s="6" t="s">
        <v>7</v>
      </c>
    </row>
    <row r="1089" spans="12:15" x14ac:dyDescent="0.45">
      <c r="L1089" s="3" t="s">
        <v>116</v>
      </c>
      <c r="M1089" s="3" t="s">
        <v>47</v>
      </c>
      <c r="N1089" s="5">
        <v>2.3107970817128891E-2</v>
      </c>
      <c r="O1089" s="3" t="s">
        <v>7</v>
      </c>
    </row>
    <row r="1090" spans="12:15" x14ac:dyDescent="0.45">
      <c r="L1090" s="6" t="s">
        <v>116</v>
      </c>
      <c r="M1090" s="6" t="s">
        <v>48</v>
      </c>
      <c r="N1090" s="8">
        <v>3.3020156847505762E-2</v>
      </c>
      <c r="O1090" s="6" t="s">
        <v>7</v>
      </c>
    </row>
    <row r="1091" spans="12:15" x14ac:dyDescent="0.45">
      <c r="L1091" s="3" t="s">
        <v>117</v>
      </c>
      <c r="M1091" s="3" t="s">
        <v>6</v>
      </c>
      <c r="N1091" s="5">
        <v>6.6464319458376345E-2</v>
      </c>
      <c r="O1091" s="3" t="s">
        <v>7</v>
      </c>
    </row>
    <row r="1092" spans="12:15" x14ac:dyDescent="0.45">
      <c r="L1092" s="6" t="s">
        <v>117</v>
      </c>
      <c r="M1092" s="6" t="s">
        <v>10</v>
      </c>
      <c r="N1092" s="8">
        <v>2.588025631621365E-2</v>
      </c>
      <c r="O1092" s="6" t="s">
        <v>7</v>
      </c>
    </row>
    <row r="1093" spans="12:15" x14ac:dyDescent="0.45">
      <c r="L1093" s="3" t="s">
        <v>117</v>
      </c>
      <c r="M1093" s="3" t="s">
        <v>11</v>
      </c>
      <c r="N1093" s="5">
        <v>2.6304270508300049E-2</v>
      </c>
      <c r="O1093" s="3" t="s">
        <v>7</v>
      </c>
    </row>
    <row r="1094" spans="12:15" x14ac:dyDescent="0.45">
      <c r="L1094" s="6" t="s">
        <v>117</v>
      </c>
      <c r="M1094" s="6" t="s">
        <v>12</v>
      </c>
      <c r="N1094" s="8">
        <v>2.5854997338088381E-2</v>
      </c>
      <c r="O1094" s="6" t="s">
        <v>7</v>
      </c>
    </row>
    <row r="1095" spans="12:15" x14ac:dyDescent="0.45">
      <c r="L1095" s="3" t="s">
        <v>117</v>
      </c>
      <c r="M1095" s="3" t="s">
        <v>13</v>
      </c>
      <c r="N1095" s="5">
        <v>2.5634013550513837E-2</v>
      </c>
      <c r="O1095" s="3" t="s">
        <v>7</v>
      </c>
    </row>
    <row r="1096" spans="12:15" x14ac:dyDescent="0.45">
      <c r="L1096" s="6" t="s">
        <v>117</v>
      </c>
      <c r="M1096" s="6" t="s">
        <v>14</v>
      </c>
      <c r="N1096" s="8">
        <v>2.5148252156198252E-2</v>
      </c>
      <c r="O1096" s="6" t="s">
        <v>7</v>
      </c>
    </row>
    <row r="1097" spans="12:15" x14ac:dyDescent="0.45">
      <c r="L1097" s="3" t="s">
        <v>117</v>
      </c>
      <c r="M1097" s="3" t="s">
        <v>15</v>
      </c>
      <c r="N1097" s="5">
        <v>2.5374094255197925E-2</v>
      </c>
      <c r="O1097" s="3" t="s">
        <v>7</v>
      </c>
    </row>
    <row r="1098" spans="12:15" x14ac:dyDescent="0.45">
      <c r="L1098" s="6" t="s">
        <v>117</v>
      </c>
      <c r="M1098" s="6" t="s">
        <v>16</v>
      </c>
      <c r="N1098" s="8">
        <v>2.621129712222571E-2</v>
      </c>
      <c r="O1098" s="6" t="s">
        <v>7</v>
      </c>
    </row>
    <row r="1099" spans="12:15" x14ac:dyDescent="0.45">
      <c r="L1099" s="3" t="s">
        <v>117</v>
      </c>
      <c r="M1099" s="3" t="s">
        <v>17</v>
      </c>
      <c r="N1099" s="5">
        <v>2.6972159535363936E-2</v>
      </c>
      <c r="O1099" s="3" t="s">
        <v>7</v>
      </c>
    </row>
    <row r="1100" spans="12:15" x14ac:dyDescent="0.45">
      <c r="L1100" s="6" t="s">
        <v>117</v>
      </c>
      <c r="M1100" s="6" t="s">
        <v>18</v>
      </c>
      <c r="N1100" s="8">
        <v>4.0448163169895329E-2</v>
      </c>
      <c r="O1100" s="6" t="s">
        <v>7</v>
      </c>
    </row>
    <row r="1101" spans="12:15" x14ac:dyDescent="0.45">
      <c r="L1101" s="3" t="s">
        <v>117</v>
      </c>
      <c r="M1101" s="3" t="s">
        <v>19</v>
      </c>
      <c r="N1101" s="5">
        <v>5.2519153932164553E-2</v>
      </c>
      <c r="O1101" s="3" t="s">
        <v>7</v>
      </c>
    </row>
    <row r="1102" spans="12:15" x14ac:dyDescent="0.45">
      <c r="L1102" s="6" t="s">
        <v>117</v>
      </c>
      <c r="M1102" s="6" t="s">
        <v>20</v>
      </c>
      <c r="N1102" s="8">
        <v>2.1284283893464259E-2</v>
      </c>
      <c r="O1102" s="6" t="s">
        <v>7</v>
      </c>
    </row>
    <row r="1103" spans="12:15" x14ac:dyDescent="0.45">
      <c r="L1103" s="3" t="s">
        <v>117</v>
      </c>
      <c r="M1103" s="3" t="s">
        <v>21</v>
      </c>
      <c r="N1103" s="5">
        <v>2.1754468184226539E-2</v>
      </c>
      <c r="O1103" s="3" t="s">
        <v>7</v>
      </c>
    </row>
    <row r="1104" spans="12:15" x14ac:dyDescent="0.45">
      <c r="L1104" s="6" t="s">
        <v>117</v>
      </c>
      <c r="M1104" s="6" t="s">
        <v>22</v>
      </c>
      <c r="N1104" s="8">
        <v>2.1965148081966309E-2</v>
      </c>
      <c r="O1104" s="6" t="s">
        <v>7</v>
      </c>
    </row>
    <row r="1105" spans="12:15" x14ac:dyDescent="0.45">
      <c r="L1105" s="3" t="s">
        <v>117</v>
      </c>
      <c r="M1105" s="3" t="s">
        <v>23</v>
      </c>
      <c r="N1105" s="5">
        <v>2.1719701948359985E-2</v>
      </c>
      <c r="O1105" s="3" t="s">
        <v>7</v>
      </c>
    </row>
    <row r="1106" spans="12:15" x14ac:dyDescent="0.45">
      <c r="L1106" s="6" t="s">
        <v>117</v>
      </c>
      <c r="M1106" s="6" t="s">
        <v>24</v>
      </c>
      <c r="N1106" s="8">
        <v>2.1979122899137272E-2</v>
      </c>
      <c r="O1106" s="6" t="s">
        <v>7</v>
      </c>
    </row>
    <row r="1107" spans="12:15" x14ac:dyDescent="0.45">
      <c r="L1107" s="3" t="s">
        <v>117</v>
      </c>
      <c r="M1107" s="3" t="s">
        <v>25</v>
      </c>
      <c r="N1107" s="5">
        <v>2.2204229859398083E-2</v>
      </c>
      <c r="O1107" s="3" t="s">
        <v>7</v>
      </c>
    </row>
    <row r="1108" spans="12:15" x14ac:dyDescent="0.45">
      <c r="L1108" s="6" t="s">
        <v>117</v>
      </c>
      <c r="M1108" s="6" t="s">
        <v>26</v>
      </c>
      <c r="N1108" s="8">
        <v>2.1848747275924764E-2</v>
      </c>
      <c r="O1108" s="6" t="s">
        <v>7</v>
      </c>
    </row>
    <row r="1109" spans="12:15" x14ac:dyDescent="0.45">
      <c r="L1109" s="3" t="s">
        <v>117</v>
      </c>
      <c r="M1109" s="3" t="s">
        <v>27</v>
      </c>
      <c r="N1109" s="5">
        <v>2.1841310275132073E-2</v>
      </c>
      <c r="O1109" s="3" t="s">
        <v>7</v>
      </c>
    </row>
    <row r="1110" spans="12:15" x14ac:dyDescent="0.45">
      <c r="L1110" s="6" t="s">
        <v>117</v>
      </c>
      <c r="M1110" s="6" t="s">
        <v>28</v>
      </c>
      <c r="N1110" s="8">
        <v>3.1917159049633409E-2</v>
      </c>
      <c r="O1110" s="6" t="s">
        <v>7</v>
      </c>
    </row>
    <row r="1111" spans="12:15" x14ac:dyDescent="0.45">
      <c r="L1111" s="3" t="s">
        <v>117</v>
      </c>
      <c r="M1111" s="3" t="s">
        <v>29</v>
      </c>
      <c r="N1111" s="5">
        <v>2.930446491944616E-2</v>
      </c>
      <c r="O1111" s="3" t="s">
        <v>7</v>
      </c>
    </row>
    <row r="1112" spans="12:15" x14ac:dyDescent="0.45">
      <c r="L1112" s="6" t="s">
        <v>117</v>
      </c>
      <c r="M1112" s="6" t="s">
        <v>30</v>
      </c>
      <c r="N1112" s="8">
        <v>1.2117174744032217E-2</v>
      </c>
      <c r="O1112" s="6" t="s">
        <v>7</v>
      </c>
    </row>
    <row r="1113" spans="12:15" x14ac:dyDescent="0.45">
      <c r="L1113" s="3" t="s">
        <v>117</v>
      </c>
      <c r="M1113" s="3" t="s">
        <v>31</v>
      </c>
      <c r="N1113" s="5">
        <v>1.2241480739822504E-2</v>
      </c>
      <c r="O1113" s="3" t="s">
        <v>7</v>
      </c>
    </row>
    <row r="1114" spans="12:15" x14ac:dyDescent="0.45">
      <c r="L1114" s="6" t="s">
        <v>117</v>
      </c>
      <c r="M1114" s="6" t="s">
        <v>32</v>
      </c>
      <c r="N1114" s="8">
        <v>1.2546143224207516E-2</v>
      </c>
      <c r="O1114" s="6" t="s">
        <v>7</v>
      </c>
    </row>
    <row r="1115" spans="12:15" x14ac:dyDescent="0.45">
      <c r="L1115" s="3" t="s">
        <v>117</v>
      </c>
      <c r="M1115" s="3" t="s">
        <v>33</v>
      </c>
      <c r="N1115" s="5">
        <v>1.3142126804244442E-2</v>
      </c>
      <c r="O1115" s="3" t="s">
        <v>7</v>
      </c>
    </row>
    <row r="1116" spans="12:15" x14ac:dyDescent="0.45">
      <c r="L1116" s="6" t="s">
        <v>117</v>
      </c>
      <c r="M1116" s="6" t="s">
        <v>34</v>
      </c>
      <c r="N1116" s="8">
        <v>1.3599512070990494E-2</v>
      </c>
      <c r="O1116" s="6" t="s">
        <v>7</v>
      </c>
    </row>
    <row r="1117" spans="12:15" x14ac:dyDescent="0.45">
      <c r="L1117" s="3" t="s">
        <v>117</v>
      </c>
      <c r="M1117" s="3" t="s">
        <v>35</v>
      </c>
      <c r="N1117" s="5">
        <v>1.3416917277062278E-2</v>
      </c>
      <c r="O1117" s="3" t="s">
        <v>7</v>
      </c>
    </row>
    <row r="1118" spans="12:15" x14ac:dyDescent="0.45">
      <c r="L1118" s="6" t="s">
        <v>117</v>
      </c>
      <c r="M1118" s="6" t="s">
        <v>36</v>
      </c>
      <c r="N1118" s="8">
        <v>1.2807119800308188E-2</v>
      </c>
      <c r="O1118" s="6" t="s">
        <v>7</v>
      </c>
    </row>
    <row r="1119" spans="12:15" x14ac:dyDescent="0.45">
      <c r="L1119" s="3" t="s">
        <v>117</v>
      </c>
      <c r="M1119" s="3" t="s">
        <v>37</v>
      </c>
      <c r="N1119" s="5">
        <v>1.2363786812133832E-2</v>
      </c>
      <c r="O1119" s="3" t="s">
        <v>7</v>
      </c>
    </row>
    <row r="1120" spans="12:15" x14ac:dyDescent="0.45">
      <c r="L1120" s="6" t="s">
        <v>117</v>
      </c>
      <c r="M1120" s="6" t="s">
        <v>38</v>
      </c>
      <c r="N1120" s="8">
        <v>1.8838249193810701E-2</v>
      </c>
      <c r="O1120" s="6" t="s">
        <v>7</v>
      </c>
    </row>
    <row r="1121" spans="12:15" x14ac:dyDescent="0.45">
      <c r="L1121" s="3" t="s">
        <v>117</v>
      </c>
      <c r="M1121" s="3" t="s">
        <v>39</v>
      </c>
      <c r="N1121" s="5">
        <v>5.7237760617290939E-2</v>
      </c>
      <c r="O1121" s="3" t="s">
        <v>7</v>
      </c>
    </row>
    <row r="1122" spans="12:15" x14ac:dyDescent="0.45">
      <c r="L1122" s="6" t="s">
        <v>117</v>
      </c>
      <c r="M1122" s="6" t="s">
        <v>40</v>
      </c>
      <c r="N1122" s="8">
        <v>2.1655640354974533E-2</v>
      </c>
      <c r="O1122" s="6" t="s">
        <v>7</v>
      </c>
    </row>
    <row r="1123" spans="12:15" x14ac:dyDescent="0.45">
      <c r="L1123" s="3" t="s">
        <v>117</v>
      </c>
      <c r="M1123" s="3" t="s">
        <v>41</v>
      </c>
      <c r="N1123" s="5">
        <v>2.249419729393828E-2</v>
      </c>
      <c r="O1123" s="3" t="s">
        <v>7</v>
      </c>
    </row>
    <row r="1124" spans="12:15" x14ac:dyDescent="0.45">
      <c r="L1124" s="6" t="s">
        <v>117</v>
      </c>
      <c r="M1124" s="6" t="s">
        <v>42</v>
      </c>
      <c r="N1124" s="8">
        <v>2.299423737481314E-2</v>
      </c>
      <c r="O1124" s="6" t="s">
        <v>7</v>
      </c>
    </row>
    <row r="1125" spans="12:15" x14ac:dyDescent="0.45">
      <c r="L1125" s="3" t="s">
        <v>117</v>
      </c>
      <c r="M1125" s="3" t="s">
        <v>43</v>
      </c>
      <c r="N1125" s="5">
        <v>2.335858829223688E-2</v>
      </c>
      <c r="O1125" s="3" t="s">
        <v>7</v>
      </c>
    </row>
    <row r="1126" spans="12:15" x14ac:dyDescent="0.45">
      <c r="L1126" s="6" t="s">
        <v>117</v>
      </c>
      <c r="M1126" s="6" t="s">
        <v>44</v>
      </c>
      <c r="N1126" s="8">
        <v>2.294453567377807E-2</v>
      </c>
      <c r="O1126" s="6" t="s">
        <v>7</v>
      </c>
    </row>
    <row r="1127" spans="12:15" x14ac:dyDescent="0.45">
      <c r="L1127" s="3" t="s">
        <v>117</v>
      </c>
      <c r="M1127" s="3" t="s">
        <v>45</v>
      </c>
      <c r="N1127" s="5">
        <v>2.2919959587430584E-2</v>
      </c>
      <c r="O1127" s="3" t="s">
        <v>7</v>
      </c>
    </row>
    <row r="1128" spans="12:15" x14ac:dyDescent="0.45">
      <c r="L1128" s="6" t="s">
        <v>117</v>
      </c>
      <c r="M1128" s="6" t="s">
        <v>46</v>
      </c>
      <c r="N1128" s="8">
        <v>2.3061160433692832E-2</v>
      </c>
      <c r="O1128" s="6" t="s">
        <v>7</v>
      </c>
    </row>
    <row r="1129" spans="12:15" x14ac:dyDescent="0.45">
      <c r="L1129" s="3" t="s">
        <v>117</v>
      </c>
      <c r="M1129" s="3" t="s">
        <v>47</v>
      </c>
      <c r="N1129" s="5">
        <v>2.3556043428973803E-2</v>
      </c>
      <c r="O1129" s="3" t="s">
        <v>7</v>
      </c>
    </row>
    <row r="1130" spans="12:15" x14ac:dyDescent="0.45">
      <c r="L1130" s="6" t="s">
        <v>117</v>
      </c>
      <c r="M1130" s="6" t="s">
        <v>48</v>
      </c>
      <c r="N1130" s="8">
        <v>3.6075752547031957E-2</v>
      </c>
      <c r="O1130" s="6" t="s">
        <v>7</v>
      </c>
    </row>
    <row r="1131" spans="12:15" x14ac:dyDescent="0.45">
      <c r="L1131" s="3" t="s">
        <v>118</v>
      </c>
      <c r="M1131" s="3" t="s">
        <v>6</v>
      </c>
      <c r="N1131" s="5">
        <v>6.3758290063181497E-2</v>
      </c>
      <c r="O1131" s="3" t="s">
        <v>7</v>
      </c>
    </row>
    <row r="1132" spans="12:15" x14ac:dyDescent="0.45">
      <c r="L1132" s="6" t="s">
        <v>118</v>
      </c>
      <c r="M1132" s="6" t="s">
        <v>10</v>
      </c>
      <c r="N1132" s="8">
        <v>2.4973423373012307E-2</v>
      </c>
      <c r="O1132" s="6" t="s">
        <v>7</v>
      </c>
    </row>
    <row r="1133" spans="12:15" x14ac:dyDescent="0.45">
      <c r="L1133" s="3" t="s">
        <v>118</v>
      </c>
      <c r="M1133" s="3" t="s">
        <v>11</v>
      </c>
      <c r="N1133" s="5">
        <v>2.5053357787257476E-2</v>
      </c>
      <c r="O1133" s="3" t="s">
        <v>7</v>
      </c>
    </row>
    <row r="1134" spans="12:15" x14ac:dyDescent="0.45">
      <c r="L1134" s="6" t="s">
        <v>118</v>
      </c>
      <c r="M1134" s="6" t="s">
        <v>12</v>
      </c>
      <c r="N1134" s="8">
        <v>2.4492893067682358E-2</v>
      </c>
      <c r="O1134" s="6" t="s">
        <v>7</v>
      </c>
    </row>
    <row r="1135" spans="12:15" x14ac:dyDescent="0.45">
      <c r="L1135" s="3" t="s">
        <v>118</v>
      </c>
      <c r="M1135" s="3" t="s">
        <v>13</v>
      </c>
      <c r="N1135" s="5">
        <v>2.4336288840822732E-2</v>
      </c>
      <c r="O1135" s="3" t="s">
        <v>7</v>
      </c>
    </row>
    <row r="1136" spans="12:15" x14ac:dyDescent="0.45">
      <c r="L1136" s="6" t="s">
        <v>118</v>
      </c>
      <c r="M1136" s="6" t="s">
        <v>14</v>
      </c>
      <c r="N1136" s="8">
        <v>2.4119623906401381E-2</v>
      </c>
      <c r="O1136" s="6" t="s">
        <v>7</v>
      </c>
    </row>
    <row r="1137" spans="12:15" x14ac:dyDescent="0.45">
      <c r="L1137" s="3" t="s">
        <v>118</v>
      </c>
      <c r="M1137" s="3" t="s">
        <v>15</v>
      </c>
      <c r="N1137" s="5">
        <v>2.4111116805063931E-2</v>
      </c>
      <c r="O1137" s="3" t="s">
        <v>7</v>
      </c>
    </row>
    <row r="1138" spans="12:15" x14ac:dyDescent="0.45">
      <c r="L1138" s="6" t="s">
        <v>118</v>
      </c>
      <c r="M1138" s="6" t="s">
        <v>16</v>
      </c>
      <c r="N1138" s="8">
        <v>2.4997158331086611E-2</v>
      </c>
      <c r="O1138" s="6" t="s">
        <v>7</v>
      </c>
    </row>
    <row r="1139" spans="12:15" x14ac:dyDescent="0.45">
      <c r="L1139" s="3" t="s">
        <v>118</v>
      </c>
      <c r="M1139" s="3" t="s">
        <v>17</v>
      </c>
      <c r="N1139" s="5">
        <v>2.5641641921922181E-2</v>
      </c>
      <c r="O1139" s="3" t="s">
        <v>7</v>
      </c>
    </row>
    <row r="1140" spans="12:15" x14ac:dyDescent="0.45">
      <c r="L1140" s="6" t="s">
        <v>118</v>
      </c>
      <c r="M1140" s="6" t="s">
        <v>18</v>
      </c>
      <c r="N1140" s="8">
        <v>3.8844103508561927E-2</v>
      </c>
      <c r="O1140" s="6" t="s">
        <v>7</v>
      </c>
    </row>
    <row r="1141" spans="12:15" x14ac:dyDescent="0.45">
      <c r="L1141" s="3" t="s">
        <v>118</v>
      </c>
      <c r="M1141" s="3" t="s">
        <v>19</v>
      </c>
      <c r="N1141" s="5">
        <v>5.5175714569298949E-2</v>
      </c>
      <c r="O1141" s="3" t="s">
        <v>7</v>
      </c>
    </row>
    <row r="1142" spans="12:15" x14ac:dyDescent="0.45">
      <c r="L1142" s="6" t="s">
        <v>118</v>
      </c>
      <c r="M1142" s="6" t="s">
        <v>20</v>
      </c>
      <c r="N1142" s="8">
        <v>2.2636493461210033E-2</v>
      </c>
      <c r="O1142" s="6" t="s">
        <v>7</v>
      </c>
    </row>
    <row r="1143" spans="12:15" x14ac:dyDescent="0.45">
      <c r="L1143" s="3" t="s">
        <v>118</v>
      </c>
      <c r="M1143" s="3" t="s">
        <v>21</v>
      </c>
      <c r="N1143" s="5">
        <v>2.3413662771139723E-2</v>
      </c>
      <c r="O1143" s="3" t="s">
        <v>7</v>
      </c>
    </row>
    <row r="1144" spans="12:15" x14ac:dyDescent="0.45">
      <c r="L1144" s="6" t="s">
        <v>118</v>
      </c>
      <c r="M1144" s="6" t="s">
        <v>22</v>
      </c>
      <c r="N1144" s="8">
        <v>2.311546687337113E-2</v>
      </c>
      <c r="O1144" s="6" t="s">
        <v>7</v>
      </c>
    </row>
    <row r="1145" spans="12:15" x14ac:dyDescent="0.45">
      <c r="L1145" s="3" t="s">
        <v>118</v>
      </c>
      <c r="M1145" s="3" t="s">
        <v>23</v>
      </c>
      <c r="N1145" s="5">
        <v>2.1693095365401871E-2</v>
      </c>
      <c r="O1145" s="3" t="s">
        <v>7</v>
      </c>
    </row>
    <row r="1146" spans="12:15" x14ac:dyDescent="0.45">
      <c r="L1146" s="6" t="s">
        <v>118</v>
      </c>
      <c r="M1146" s="6" t="s">
        <v>24</v>
      </c>
      <c r="N1146" s="8">
        <v>2.0950047987847564E-2</v>
      </c>
      <c r="O1146" s="6" t="s">
        <v>7</v>
      </c>
    </row>
    <row r="1147" spans="12:15" x14ac:dyDescent="0.45">
      <c r="L1147" s="3" t="s">
        <v>118</v>
      </c>
      <c r="M1147" s="3" t="s">
        <v>25</v>
      </c>
      <c r="N1147" s="5">
        <v>2.0771454010428937E-2</v>
      </c>
      <c r="O1147" s="3" t="s">
        <v>7</v>
      </c>
    </row>
    <row r="1148" spans="12:15" x14ac:dyDescent="0.45">
      <c r="L1148" s="6" t="s">
        <v>118</v>
      </c>
      <c r="M1148" s="6" t="s">
        <v>26</v>
      </c>
      <c r="N1148" s="8">
        <v>2.0959281478339278E-2</v>
      </c>
      <c r="O1148" s="6" t="s">
        <v>7</v>
      </c>
    </row>
    <row r="1149" spans="12:15" x14ac:dyDescent="0.45">
      <c r="L1149" s="3" t="s">
        <v>118</v>
      </c>
      <c r="M1149" s="3" t="s">
        <v>27</v>
      </c>
      <c r="N1149" s="5">
        <v>2.14900470406112E-2</v>
      </c>
      <c r="O1149" s="3" t="s">
        <v>7</v>
      </c>
    </row>
    <row r="1150" spans="12:15" x14ac:dyDescent="0.45">
      <c r="L1150" s="6" t="s">
        <v>118</v>
      </c>
      <c r="M1150" s="6" t="s">
        <v>28</v>
      </c>
      <c r="N1150" s="8">
        <v>3.316900540835406E-2</v>
      </c>
      <c r="O1150" s="6" t="s">
        <v>7</v>
      </c>
    </row>
    <row r="1151" spans="12:15" x14ac:dyDescent="0.45">
      <c r="L1151" s="3" t="s">
        <v>118</v>
      </c>
      <c r="M1151" s="3" t="s">
        <v>29</v>
      </c>
      <c r="N1151" s="5">
        <v>3.6371781569112797E-2</v>
      </c>
      <c r="O1151" s="3" t="s">
        <v>7</v>
      </c>
    </row>
    <row r="1152" spans="12:15" x14ac:dyDescent="0.45">
      <c r="L1152" s="6" t="s">
        <v>118</v>
      </c>
      <c r="M1152" s="6" t="s">
        <v>30</v>
      </c>
      <c r="N1152" s="8">
        <v>1.318932598787141E-2</v>
      </c>
      <c r="O1152" s="6" t="s">
        <v>7</v>
      </c>
    </row>
    <row r="1153" spans="12:15" x14ac:dyDescent="0.45">
      <c r="L1153" s="3" t="s">
        <v>118</v>
      </c>
      <c r="M1153" s="3" t="s">
        <v>31</v>
      </c>
      <c r="N1153" s="5">
        <v>1.3034932606308355E-2</v>
      </c>
      <c r="O1153" s="3" t="s">
        <v>7</v>
      </c>
    </row>
    <row r="1154" spans="12:15" x14ac:dyDescent="0.45">
      <c r="L1154" s="6" t="s">
        <v>118</v>
      </c>
      <c r="M1154" s="6" t="s">
        <v>32</v>
      </c>
      <c r="N1154" s="8">
        <v>1.2309055544340346E-2</v>
      </c>
      <c r="O1154" s="6" t="s">
        <v>7</v>
      </c>
    </row>
    <row r="1155" spans="12:15" x14ac:dyDescent="0.45">
      <c r="L1155" s="3" t="s">
        <v>118</v>
      </c>
      <c r="M1155" s="3" t="s">
        <v>33</v>
      </c>
      <c r="N1155" s="5">
        <v>1.2552302541329928E-2</v>
      </c>
      <c r="O1155" s="3" t="s">
        <v>7</v>
      </c>
    </row>
    <row r="1156" spans="12:15" x14ac:dyDescent="0.45">
      <c r="L1156" s="6" t="s">
        <v>118</v>
      </c>
      <c r="M1156" s="6" t="s">
        <v>34</v>
      </c>
      <c r="N1156" s="8">
        <v>1.4522804448215718E-2</v>
      </c>
      <c r="O1156" s="6" t="s">
        <v>7</v>
      </c>
    </row>
    <row r="1157" spans="12:15" x14ac:dyDescent="0.45">
      <c r="L1157" s="3" t="s">
        <v>118</v>
      </c>
      <c r="M1157" s="3" t="s">
        <v>35</v>
      </c>
      <c r="N1157" s="5">
        <v>1.6793098998405795E-2</v>
      </c>
      <c r="O1157" s="3" t="s">
        <v>7</v>
      </c>
    </row>
    <row r="1158" spans="12:15" x14ac:dyDescent="0.45">
      <c r="L1158" s="6" t="s">
        <v>118</v>
      </c>
      <c r="M1158" s="6" t="s">
        <v>36</v>
      </c>
      <c r="N1158" s="8">
        <v>1.8077520922719525E-2</v>
      </c>
      <c r="O1158" s="6" t="s">
        <v>7</v>
      </c>
    </row>
    <row r="1159" spans="12:15" x14ac:dyDescent="0.45">
      <c r="L1159" s="3" t="s">
        <v>118</v>
      </c>
      <c r="M1159" s="3" t="s">
        <v>37</v>
      </c>
      <c r="N1159" s="5">
        <v>1.7301882985585926E-2</v>
      </c>
      <c r="O1159" s="3" t="s">
        <v>7</v>
      </c>
    </row>
    <row r="1160" spans="12:15" x14ac:dyDescent="0.45">
      <c r="L1160" s="6" t="s">
        <v>118</v>
      </c>
      <c r="M1160" s="6" t="s">
        <v>38</v>
      </c>
      <c r="N1160" s="8">
        <v>2.4491594469619175E-2</v>
      </c>
      <c r="O1160" s="6" t="s">
        <v>7</v>
      </c>
    </row>
    <row r="1161" spans="12:15" x14ac:dyDescent="0.45">
      <c r="L1161" s="3" t="s">
        <v>118</v>
      </c>
      <c r="M1161" s="3" t="s">
        <v>39</v>
      </c>
      <c r="N1161" s="5">
        <v>5.3115676079008287E-2</v>
      </c>
      <c r="O1161" s="3" t="s">
        <v>7</v>
      </c>
    </row>
    <row r="1162" spans="12:15" x14ac:dyDescent="0.45">
      <c r="L1162" s="6" t="s">
        <v>118</v>
      </c>
      <c r="M1162" s="6" t="s">
        <v>40</v>
      </c>
      <c r="N1162" s="8">
        <v>2.1154416721541548E-2</v>
      </c>
      <c r="O1162" s="6" t="s">
        <v>7</v>
      </c>
    </row>
    <row r="1163" spans="12:15" x14ac:dyDescent="0.45">
      <c r="L1163" s="3" t="s">
        <v>118</v>
      </c>
      <c r="M1163" s="3" t="s">
        <v>41</v>
      </c>
      <c r="N1163" s="5">
        <v>2.1592667091315798E-2</v>
      </c>
      <c r="O1163" s="3" t="s">
        <v>7</v>
      </c>
    </row>
    <row r="1164" spans="12:15" x14ac:dyDescent="0.45">
      <c r="L1164" s="6" t="s">
        <v>118</v>
      </c>
      <c r="M1164" s="6" t="s">
        <v>42</v>
      </c>
      <c r="N1164" s="8">
        <v>2.2155970702377115E-2</v>
      </c>
      <c r="O1164" s="6" t="s">
        <v>7</v>
      </c>
    </row>
    <row r="1165" spans="12:15" x14ac:dyDescent="0.45">
      <c r="L1165" s="3" t="s">
        <v>118</v>
      </c>
      <c r="M1165" s="3" t="s">
        <v>43</v>
      </c>
      <c r="N1165" s="5">
        <v>2.1869244198408619E-2</v>
      </c>
      <c r="O1165" s="3" t="s">
        <v>7</v>
      </c>
    </row>
    <row r="1166" spans="12:15" x14ac:dyDescent="0.45">
      <c r="L1166" s="6" t="s">
        <v>118</v>
      </c>
      <c r="M1166" s="6" t="s">
        <v>44</v>
      </c>
      <c r="N1166" s="8">
        <v>2.1331378979632429E-2</v>
      </c>
      <c r="O1166" s="6" t="s">
        <v>7</v>
      </c>
    </row>
    <row r="1167" spans="12:15" x14ac:dyDescent="0.45">
      <c r="L1167" s="3" t="s">
        <v>118</v>
      </c>
      <c r="M1167" s="3" t="s">
        <v>45</v>
      </c>
      <c r="N1167" s="5">
        <v>2.1138597484489915E-2</v>
      </c>
      <c r="O1167" s="3" t="s">
        <v>7</v>
      </c>
    </row>
    <row r="1168" spans="12:15" x14ac:dyDescent="0.45">
      <c r="L1168" s="6" t="s">
        <v>118</v>
      </c>
      <c r="M1168" s="6" t="s">
        <v>46</v>
      </c>
      <c r="N1168" s="8">
        <v>2.1411432927928954E-2</v>
      </c>
      <c r="O1168" s="6" t="s">
        <v>7</v>
      </c>
    </row>
    <row r="1169" spans="12:15" x14ac:dyDescent="0.45">
      <c r="L1169" s="3" t="s">
        <v>118</v>
      </c>
      <c r="M1169" s="3" t="s">
        <v>47</v>
      </c>
      <c r="N1169" s="5">
        <v>2.1539161225678581E-2</v>
      </c>
      <c r="O1169" s="3" t="s">
        <v>7</v>
      </c>
    </row>
    <row r="1170" spans="12:15" x14ac:dyDescent="0.45">
      <c r="L1170" s="6" t="s">
        <v>118</v>
      </c>
      <c r="M1170" s="6" t="s">
        <v>48</v>
      </c>
      <c r="N1170" s="8">
        <v>3.2344987945114631E-2</v>
      </c>
      <c r="O1170" s="6" t="s">
        <v>7</v>
      </c>
    </row>
    <row r="1171" spans="12:15" x14ac:dyDescent="0.45">
      <c r="L1171" s="3" t="s">
        <v>119</v>
      </c>
      <c r="M1171" s="3" t="s">
        <v>6</v>
      </c>
      <c r="N1171" s="5">
        <v>6.1491994405180203E-2</v>
      </c>
      <c r="O1171" s="3" t="s">
        <v>7</v>
      </c>
    </row>
    <row r="1172" spans="12:15" x14ac:dyDescent="0.45">
      <c r="L1172" s="6" t="s">
        <v>119</v>
      </c>
      <c r="M1172" s="6" t="s">
        <v>10</v>
      </c>
      <c r="N1172" s="8">
        <v>2.4189192455351765E-2</v>
      </c>
      <c r="O1172" s="6" t="s">
        <v>7</v>
      </c>
    </row>
    <row r="1173" spans="12:15" x14ac:dyDescent="0.45">
      <c r="L1173" s="3" t="s">
        <v>119</v>
      </c>
      <c r="M1173" s="3" t="s">
        <v>11</v>
      </c>
      <c r="N1173" s="5">
        <v>2.3564751456948526E-2</v>
      </c>
      <c r="O1173" s="3" t="s">
        <v>7</v>
      </c>
    </row>
    <row r="1174" spans="12:15" x14ac:dyDescent="0.45">
      <c r="L1174" s="6" t="s">
        <v>119</v>
      </c>
      <c r="M1174" s="6" t="s">
        <v>12</v>
      </c>
      <c r="N1174" s="8">
        <v>2.3064878629064915E-2</v>
      </c>
      <c r="O1174" s="6" t="s">
        <v>7</v>
      </c>
    </row>
    <row r="1175" spans="12:15" x14ac:dyDescent="0.45">
      <c r="L1175" s="3" t="s">
        <v>119</v>
      </c>
      <c r="M1175" s="3" t="s">
        <v>13</v>
      </c>
      <c r="N1175" s="5">
        <v>2.321257924213142E-2</v>
      </c>
      <c r="O1175" s="3" t="s">
        <v>7</v>
      </c>
    </row>
    <row r="1176" spans="12:15" x14ac:dyDescent="0.45">
      <c r="L1176" s="6" t="s">
        <v>119</v>
      </c>
      <c r="M1176" s="6" t="s">
        <v>14</v>
      </c>
      <c r="N1176" s="8">
        <v>2.3669354575278564E-2</v>
      </c>
      <c r="O1176" s="6" t="s">
        <v>7</v>
      </c>
    </row>
    <row r="1177" spans="12:15" x14ac:dyDescent="0.45">
      <c r="L1177" s="3" t="s">
        <v>119</v>
      </c>
      <c r="M1177" s="3" t="s">
        <v>15</v>
      </c>
      <c r="N1177" s="5">
        <v>2.3302442449917613E-2</v>
      </c>
      <c r="O1177" s="3" t="s">
        <v>7</v>
      </c>
    </row>
    <row r="1178" spans="12:15" x14ac:dyDescent="0.45">
      <c r="L1178" s="6" t="s">
        <v>119</v>
      </c>
      <c r="M1178" s="6" t="s">
        <v>16</v>
      </c>
      <c r="N1178" s="8">
        <v>2.3061475590870826E-2</v>
      </c>
      <c r="O1178" s="6" t="s">
        <v>7</v>
      </c>
    </row>
    <row r="1179" spans="12:15" x14ac:dyDescent="0.45">
      <c r="L1179" s="3" t="s">
        <v>119</v>
      </c>
      <c r="M1179" s="3" t="s">
        <v>17</v>
      </c>
      <c r="N1179" s="5">
        <v>2.3348679603984634E-2</v>
      </c>
      <c r="O1179" s="3" t="s">
        <v>7</v>
      </c>
    </row>
    <row r="1180" spans="12:15" x14ac:dyDescent="0.45">
      <c r="L1180" s="6" t="s">
        <v>119</v>
      </c>
      <c r="M1180" s="6" t="s">
        <v>18</v>
      </c>
      <c r="N1180" s="8">
        <v>3.5917591797417998E-2</v>
      </c>
      <c r="O1180" s="6" t="s">
        <v>7</v>
      </c>
    </row>
    <row r="1181" spans="12:15" x14ac:dyDescent="0.45">
      <c r="L1181" s="3" t="s">
        <v>119</v>
      </c>
      <c r="M1181" s="3" t="s">
        <v>19</v>
      </c>
      <c r="N1181" s="5">
        <v>4.9995832219174377E-2</v>
      </c>
      <c r="O1181" s="3" t="s">
        <v>7</v>
      </c>
    </row>
    <row r="1182" spans="12:15" x14ac:dyDescent="0.45">
      <c r="L1182" s="6" t="s">
        <v>119</v>
      </c>
      <c r="M1182" s="6" t="s">
        <v>20</v>
      </c>
      <c r="N1182" s="8">
        <v>1.9951848159779989E-2</v>
      </c>
      <c r="O1182" s="6" t="s">
        <v>7</v>
      </c>
    </row>
    <row r="1183" spans="12:15" x14ac:dyDescent="0.45">
      <c r="L1183" s="3" t="s">
        <v>119</v>
      </c>
      <c r="M1183" s="3" t="s">
        <v>21</v>
      </c>
      <c r="N1183" s="5">
        <v>1.9679309283293193E-2</v>
      </c>
      <c r="O1183" s="3" t="s">
        <v>7</v>
      </c>
    </row>
    <row r="1184" spans="12:15" x14ac:dyDescent="0.45">
      <c r="L1184" s="6" t="s">
        <v>119</v>
      </c>
      <c r="M1184" s="6" t="s">
        <v>22</v>
      </c>
      <c r="N1184" s="8">
        <v>1.9032913587292831E-2</v>
      </c>
      <c r="O1184" s="6" t="s">
        <v>7</v>
      </c>
    </row>
    <row r="1185" spans="12:15" x14ac:dyDescent="0.45">
      <c r="L1185" s="3" t="s">
        <v>119</v>
      </c>
      <c r="M1185" s="3" t="s">
        <v>23</v>
      </c>
      <c r="N1185" s="5">
        <v>1.8512419961289175E-2</v>
      </c>
      <c r="O1185" s="3" t="s">
        <v>7</v>
      </c>
    </row>
    <row r="1186" spans="12:15" x14ac:dyDescent="0.45">
      <c r="L1186" s="6" t="s">
        <v>119</v>
      </c>
      <c r="M1186" s="6" t="s">
        <v>24</v>
      </c>
      <c r="N1186" s="8">
        <v>1.8497641083512276E-2</v>
      </c>
      <c r="O1186" s="6" t="s">
        <v>7</v>
      </c>
    </row>
    <row r="1187" spans="12:15" x14ac:dyDescent="0.45">
      <c r="L1187" s="3" t="s">
        <v>119</v>
      </c>
      <c r="M1187" s="3" t="s">
        <v>25</v>
      </c>
      <c r="N1187" s="5">
        <v>1.8611162269218082E-2</v>
      </c>
      <c r="O1187" s="3" t="s">
        <v>7</v>
      </c>
    </row>
    <row r="1188" spans="12:15" x14ac:dyDescent="0.45">
      <c r="L1188" s="6" t="s">
        <v>119</v>
      </c>
      <c r="M1188" s="6" t="s">
        <v>26</v>
      </c>
      <c r="N1188" s="8">
        <v>1.9120084239969037E-2</v>
      </c>
      <c r="O1188" s="6" t="s">
        <v>7</v>
      </c>
    </row>
    <row r="1189" spans="12:15" x14ac:dyDescent="0.45">
      <c r="L1189" s="3" t="s">
        <v>119</v>
      </c>
      <c r="M1189" s="3" t="s">
        <v>27</v>
      </c>
      <c r="N1189" s="5">
        <v>2.0151280498305845E-2</v>
      </c>
      <c r="O1189" s="3" t="s">
        <v>7</v>
      </c>
    </row>
    <row r="1190" spans="12:15" x14ac:dyDescent="0.45">
      <c r="L1190" s="6" t="s">
        <v>119</v>
      </c>
      <c r="M1190" s="6" t="s">
        <v>28</v>
      </c>
      <c r="N1190" s="8">
        <v>3.0279279226505515E-2</v>
      </c>
      <c r="O1190" s="6" t="s">
        <v>7</v>
      </c>
    </row>
    <row r="1191" spans="12:15" x14ac:dyDescent="0.45">
      <c r="L1191" s="3" t="s">
        <v>119</v>
      </c>
      <c r="M1191" s="3" t="s">
        <v>29</v>
      </c>
      <c r="N1191" s="5">
        <v>4.0873152709876119E-2</v>
      </c>
      <c r="O1191" s="3" t="s">
        <v>7</v>
      </c>
    </row>
    <row r="1192" spans="12:15" x14ac:dyDescent="0.45">
      <c r="L1192" s="6" t="s">
        <v>119</v>
      </c>
      <c r="M1192" s="6" t="s">
        <v>30</v>
      </c>
      <c r="N1192" s="8">
        <v>1.6674604603565828E-2</v>
      </c>
      <c r="O1192" s="6" t="s">
        <v>7</v>
      </c>
    </row>
    <row r="1193" spans="12:15" x14ac:dyDescent="0.45">
      <c r="L1193" s="3" t="s">
        <v>119</v>
      </c>
      <c r="M1193" s="3" t="s">
        <v>31</v>
      </c>
      <c r="N1193" s="5">
        <v>1.7275549971801279E-2</v>
      </c>
      <c r="O1193" s="3" t="s">
        <v>7</v>
      </c>
    </row>
    <row r="1194" spans="12:15" x14ac:dyDescent="0.45">
      <c r="L1194" s="6" t="s">
        <v>119</v>
      </c>
      <c r="M1194" s="6" t="s">
        <v>32</v>
      </c>
      <c r="N1194" s="8">
        <v>1.7809108375329352E-2</v>
      </c>
      <c r="O1194" s="6" t="s">
        <v>7</v>
      </c>
    </row>
    <row r="1195" spans="12:15" x14ac:dyDescent="0.45">
      <c r="L1195" s="3" t="s">
        <v>119</v>
      </c>
      <c r="M1195" s="3" t="s">
        <v>33</v>
      </c>
      <c r="N1195" s="5">
        <v>1.8080133560348335E-2</v>
      </c>
      <c r="O1195" s="3" t="s">
        <v>7</v>
      </c>
    </row>
    <row r="1196" spans="12:15" x14ac:dyDescent="0.45">
      <c r="L1196" s="6" t="s">
        <v>119</v>
      </c>
      <c r="M1196" s="6" t="s">
        <v>34</v>
      </c>
      <c r="N1196" s="8">
        <v>1.8328396838168403E-2</v>
      </c>
      <c r="O1196" s="6" t="s">
        <v>7</v>
      </c>
    </row>
    <row r="1197" spans="12:15" x14ac:dyDescent="0.45">
      <c r="L1197" s="3" t="s">
        <v>119</v>
      </c>
      <c r="M1197" s="3" t="s">
        <v>35</v>
      </c>
      <c r="N1197" s="5">
        <v>1.7823098077593424E-2</v>
      </c>
      <c r="O1197" s="3" t="s">
        <v>7</v>
      </c>
    </row>
    <row r="1198" spans="12:15" x14ac:dyDescent="0.45">
      <c r="L1198" s="6" t="s">
        <v>119</v>
      </c>
      <c r="M1198" s="6" t="s">
        <v>36</v>
      </c>
      <c r="N1198" s="8">
        <v>1.7005399065333947E-2</v>
      </c>
      <c r="O1198" s="6" t="s">
        <v>7</v>
      </c>
    </row>
    <row r="1199" spans="12:15" x14ac:dyDescent="0.45">
      <c r="L1199" s="3" t="s">
        <v>119</v>
      </c>
      <c r="M1199" s="3" t="s">
        <v>37</v>
      </c>
      <c r="N1199" s="5">
        <v>1.6341664423409841E-2</v>
      </c>
      <c r="O1199" s="3" t="s">
        <v>7</v>
      </c>
    </row>
    <row r="1200" spans="12:15" x14ac:dyDescent="0.45">
      <c r="L1200" s="6" t="s">
        <v>119</v>
      </c>
      <c r="M1200" s="6" t="s">
        <v>38</v>
      </c>
      <c r="N1200" s="8">
        <v>2.4270860508820775E-2</v>
      </c>
      <c r="O1200" s="6" t="s">
        <v>7</v>
      </c>
    </row>
    <row r="1201" spans="12:15" x14ac:dyDescent="0.45">
      <c r="L1201" s="3" t="s">
        <v>119</v>
      </c>
      <c r="M1201" s="3" t="s">
        <v>39</v>
      </c>
      <c r="N1201" s="5">
        <v>5.8507326610355431E-2</v>
      </c>
      <c r="O1201" s="3" t="s">
        <v>7</v>
      </c>
    </row>
    <row r="1202" spans="12:15" x14ac:dyDescent="0.45">
      <c r="L1202" s="6" t="s">
        <v>119</v>
      </c>
      <c r="M1202" s="6" t="s">
        <v>40</v>
      </c>
      <c r="N1202" s="8">
        <v>2.3201299752950523E-2</v>
      </c>
      <c r="O1202" s="6" t="s">
        <v>7</v>
      </c>
    </row>
    <row r="1203" spans="12:15" x14ac:dyDescent="0.45">
      <c r="L1203" s="3" t="s">
        <v>119</v>
      </c>
      <c r="M1203" s="3" t="s">
        <v>41</v>
      </c>
      <c r="N1203" s="5">
        <v>2.2684084714641787E-2</v>
      </c>
      <c r="O1203" s="3" t="s">
        <v>7</v>
      </c>
    </row>
    <row r="1204" spans="12:15" x14ac:dyDescent="0.45">
      <c r="L1204" s="6" t="s">
        <v>119</v>
      </c>
      <c r="M1204" s="6" t="s">
        <v>42</v>
      </c>
      <c r="N1204" s="8">
        <v>2.2567647855160276E-2</v>
      </c>
      <c r="O1204" s="6" t="s">
        <v>7</v>
      </c>
    </row>
    <row r="1205" spans="12:15" x14ac:dyDescent="0.45">
      <c r="L1205" s="3" t="s">
        <v>119</v>
      </c>
      <c r="M1205" s="3" t="s">
        <v>43</v>
      </c>
      <c r="N1205" s="5">
        <v>2.2417254777470863E-2</v>
      </c>
      <c r="O1205" s="3" t="s">
        <v>7</v>
      </c>
    </row>
    <row r="1206" spans="12:15" x14ac:dyDescent="0.45">
      <c r="L1206" s="6" t="s">
        <v>119</v>
      </c>
      <c r="M1206" s="6" t="s">
        <v>44</v>
      </c>
      <c r="N1206" s="8">
        <v>2.3039293170086857E-2</v>
      </c>
      <c r="O1206" s="6" t="s">
        <v>7</v>
      </c>
    </row>
    <row r="1207" spans="12:15" x14ac:dyDescent="0.45">
      <c r="L1207" s="3" t="s">
        <v>119</v>
      </c>
      <c r="M1207" s="3" t="s">
        <v>45</v>
      </c>
      <c r="N1207" s="5">
        <v>2.3128475980533216E-2</v>
      </c>
      <c r="O1207" s="3" t="s">
        <v>7</v>
      </c>
    </row>
    <row r="1208" spans="12:15" x14ac:dyDescent="0.45">
      <c r="L1208" s="6" t="s">
        <v>119</v>
      </c>
      <c r="M1208" s="6" t="s">
        <v>46</v>
      </c>
      <c r="N1208" s="8">
        <v>2.3013269144299527E-2</v>
      </c>
      <c r="O1208" s="6" t="s">
        <v>7</v>
      </c>
    </row>
    <row r="1209" spans="12:15" x14ac:dyDescent="0.45">
      <c r="L1209" s="3" t="s">
        <v>119</v>
      </c>
      <c r="M1209" s="3" t="s">
        <v>47</v>
      </c>
      <c r="N1209" s="5">
        <v>2.3461433609999846E-2</v>
      </c>
      <c r="O1209" s="3" t="s">
        <v>7</v>
      </c>
    </row>
    <row r="1210" spans="12:15" x14ac:dyDescent="0.45">
      <c r="L1210" s="6" t="s">
        <v>119</v>
      </c>
      <c r="M1210" s="6" t="s">
        <v>48</v>
      </c>
      <c r="N1210" s="8">
        <v>3.4843235515767589E-2</v>
      </c>
      <c r="O1210" s="6" t="s">
        <v>7</v>
      </c>
    </row>
    <row r="1211" spans="12:15" x14ac:dyDescent="0.45">
      <c r="L1211" s="3" t="s">
        <v>120</v>
      </c>
      <c r="M1211" s="3" t="s">
        <v>6</v>
      </c>
      <c r="N1211" s="5">
        <v>6.1437557613402242E-2</v>
      </c>
      <c r="O1211" s="3" t="s">
        <v>7</v>
      </c>
    </row>
    <row r="1212" spans="12:15" x14ac:dyDescent="0.45">
      <c r="L1212" s="6" t="s">
        <v>120</v>
      </c>
      <c r="M1212" s="6" t="s">
        <v>10</v>
      </c>
      <c r="N1212" s="8">
        <v>2.3775373371558828E-2</v>
      </c>
      <c r="O1212" s="6" t="s">
        <v>7</v>
      </c>
    </row>
    <row r="1213" spans="12:15" x14ac:dyDescent="0.45">
      <c r="L1213" s="3" t="s">
        <v>120</v>
      </c>
      <c r="M1213" s="3" t="s">
        <v>11</v>
      </c>
      <c r="N1213" s="5">
        <v>2.4417150142646057E-2</v>
      </c>
      <c r="O1213" s="3" t="s">
        <v>7</v>
      </c>
    </row>
    <row r="1214" spans="12:15" x14ac:dyDescent="0.45">
      <c r="L1214" s="6" t="s">
        <v>120</v>
      </c>
      <c r="M1214" s="6" t="s">
        <v>12</v>
      </c>
      <c r="N1214" s="8">
        <v>2.464742560911683E-2</v>
      </c>
      <c r="O1214" s="6" t="s">
        <v>7</v>
      </c>
    </row>
    <row r="1215" spans="12:15" x14ac:dyDescent="0.45">
      <c r="L1215" s="3" t="s">
        <v>120</v>
      </c>
      <c r="M1215" s="3" t="s">
        <v>13</v>
      </c>
      <c r="N1215" s="5">
        <v>2.4460036387674078E-2</v>
      </c>
      <c r="O1215" s="3" t="s">
        <v>7</v>
      </c>
    </row>
    <row r="1216" spans="12:15" x14ac:dyDescent="0.45">
      <c r="L1216" s="6" t="s">
        <v>120</v>
      </c>
      <c r="M1216" s="6" t="s">
        <v>14</v>
      </c>
      <c r="N1216" s="8">
        <v>2.402052376163925E-2</v>
      </c>
      <c r="O1216" s="6" t="s">
        <v>7</v>
      </c>
    </row>
    <row r="1217" spans="12:15" x14ac:dyDescent="0.45">
      <c r="L1217" s="3" t="s">
        <v>120</v>
      </c>
      <c r="M1217" s="3" t="s">
        <v>15</v>
      </c>
      <c r="N1217" s="5">
        <v>2.3763999127876773E-2</v>
      </c>
      <c r="O1217" s="3" t="s">
        <v>7</v>
      </c>
    </row>
    <row r="1218" spans="12:15" x14ac:dyDescent="0.45">
      <c r="L1218" s="6" t="s">
        <v>120</v>
      </c>
      <c r="M1218" s="6" t="s">
        <v>16</v>
      </c>
      <c r="N1218" s="8">
        <v>2.3633194513403961E-2</v>
      </c>
      <c r="O1218" s="6" t="s">
        <v>7</v>
      </c>
    </row>
    <row r="1219" spans="12:15" x14ac:dyDescent="0.45">
      <c r="L1219" s="3" t="s">
        <v>120</v>
      </c>
      <c r="M1219" s="3" t="s">
        <v>17</v>
      </c>
      <c r="N1219" s="5">
        <v>2.4429477403628237E-2</v>
      </c>
      <c r="O1219" s="3" t="s">
        <v>7</v>
      </c>
    </row>
    <row r="1220" spans="12:15" x14ac:dyDescent="0.45">
      <c r="L1220" s="6" t="s">
        <v>120</v>
      </c>
      <c r="M1220" s="6" t="s">
        <v>18</v>
      </c>
      <c r="N1220" s="8">
        <v>3.7771026209802473E-2</v>
      </c>
      <c r="O1220" s="6" t="s">
        <v>7</v>
      </c>
    </row>
    <row r="1221" spans="12:15" x14ac:dyDescent="0.45">
      <c r="L1221" s="3" t="s">
        <v>120</v>
      </c>
      <c r="M1221" s="3" t="s">
        <v>19</v>
      </c>
      <c r="N1221" s="5">
        <v>5.203935850795479E-2</v>
      </c>
      <c r="O1221" s="3" t="s">
        <v>7</v>
      </c>
    </row>
    <row r="1222" spans="12:15" x14ac:dyDescent="0.45">
      <c r="L1222" s="6" t="s">
        <v>120</v>
      </c>
      <c r="M1222" s="6" t="s">
        <v>20</v>
      </c>
      <c r="N1222" s="8">
        <v>2.0184999886980609E-2</v>
      </c>
      <c r="O1222" s="6" t="s">
        <v>7</v>
      </c>
    </row>
    <row r="1223" spans="12:15" x14ac:dyDescent="0.45">
      <c r="L1223" s="3" t="s">
        <v>120</v>
      </c>
      <c r="M1223" s="3" t="s">
        <v>21</v>
      </c>
      <c r="N1223" s="5">
        <v>1.9583564055164447E-2</v>
      </c>
      <c r="O1223" s="3" t="s">
        <v>7</v>
      </c>
    </row>
    <row r="1224" spans="12:15" x14ac:dyDescent="0.45">
      <c r="L1224" s="6" t="s">
        <v>120</v>
      </c>
      <c r="M1224" s="6" t="s">
        <v>22</v>
      </c>
      <c r="N1224" s="8">
        <v>1.9117100228585655E-2</v>
      </c>
      <c r="O1224" s="6" t="s">
        <v>7</v>
      </c>
    </row>
    <row r="1225" spans="12:15" x14ac:dyDescent="0.45">
      <c r="L1225" s="3" t="s">
        <v>120</v>
      </c>
      <c r="M1225" s="3" t="s">
        <v>23</v>
      </c>
      <c r="N1225" s="5">
        <v>1.8710652091001079E-2</v>
      </c>
      <c r="O1225" s="3" t="s">
        <v>7</v>
      </c>
    </row>
    <row r="1226" spans="12:15" x14ac:dyDescent="0.45">
      <c r="L1226" s="6" t="s">
        <v>120</v>
      </c>
      <c r="M1226" s="6" t="s">
        <v>24</v>
      </c>
      <c r="N1226" s="8">
        <v>1.8843053713766805E-2</v>
      </c>
      <c r="O1226" s="6" t="s">
        <v>7</v>
      </c>
    </row>
    <row r="1227" spans="12:15" x14ac:dyDescent="0.45">
      <c r="L1227" s="3" t="s">
        <v>120</v>
      </c>
      <c r="M1227" s="3" t="s">
        <v>25</v>
      </c>
      <c r="N1227" s="5">
        <v>1.9552208840309032E-2</v>
      </c>
      <c r="O1227" s="3" t="s">
        <v>7</v>
      </c>
    </row>
    <row r="1228" spans="12:15" x14ac:dyDescent="0.45">
      <c r="L1228" s="6" t="s">
        <v>120</v>
      </c>
      <c r="M1228" s="6" t="s">
        <v>26</v>
      </c>
      <c r="N1228" s="8">
        <v>2.0419236728734091E-2</v>
      </c>
      <c r="O1228" s="6" t="s">
        <v>7</v>
      </c>
    </row>
    <row r="1229" spans="12:15" x14ac:dyDescent="0.45">
      <c r="L1229" s="3" t="s">
        <v>120</v>
      </c>
      <c r="M1229" s="3" t="s">
        <v>27</v>
      </c>
      <c r="N1229" s="5">
        <v>2.0968420958675984E-2</v>
      </c>
      <c r="O1229" s="3" t="s">
        <v>7</v>
      </c>
    </row>
    <row r="1230" spans="12:15" x14ac:dyDescent="0.45">
      <c r="L1230" s="6" t="s">
        <v>120</v>
      </c>
      <c r="M1230" s="6" t="s">
        <v>28</v>
      </c>
      <c r="N1230" s="8">
        <v>3.1720458663793964E-2</v>
      </c>
      <c r="O1230" s="6" t="s">
        <v>7</v>
      </c>
    </row>
    <row r="1231" spans="12:15" x14ac:dyDescent="0.45">
      <c r="L1231" s="3" t="s">
        <v>120</v>
      </c>
      <c r="M1231" s="3" t="s">
        <v>29</v>
      </c>
      <c r="N1231" s="5">
        <v>3.8680374066056337E-2</v>
      </c>
      <c r="O1231" s="3" t="s">
        <v>7</v>
      </c>
    </row>
    <row r="1232" spans="12:15" x14ac:dyDescent="0.45">
      <c r="L1232" s="6" t="s">
        <v>120</v>
      </c>
      <c r="M1232" s="6" t="s">
        <v>30</v>
      </c>
      <c r="N1232" s="8">
        <v>1.5740004746278489E-2</v>
      </c>
      <c r="O1232" s="6" t="s">
        <v>7</v>
      </c>
    </row>
    <row r="1233" spans="12:15" x14ac:dyDescent="0.45">
      <c r="L1233" s="3" t="s">
        <v>120</v>
      </c>
      <c r="M1233" s="3" t="s">
        <v>31</v>
      </c>
      <c r="N1233" s="5">
        <v>1.6126352296696105E-2</v>
      </c>
      <c r="O1233" s="3" t="s">
        <v>7</v>
      </c>
    </row>
    <row r="1234" spans="12:15" x14ac:dyDescent="0.45">
      <c r="L1234" s="6" t="s">
        <v>120</v>
      </c>
      <c r="M1234" s="6" t="s">
        <v>32</v>
      </c>
      <c r="N1234" s="8">
        <v>1.6144666208516279E-2</v>
      </c>
      <c r="O1234" s="6" t="s">
        <v>7</v>
      </c>
    </row>
    <row r="1235" spans="12:15" x14ac:dyDescent="0.45">
      <c r="L1235" s="3" t="s">
        <v>120</v>
      </c>
      <c r="M1235" s="3" t="s">
        <v>33</v>
      </c>
      <c r="N1235" s="5">
        <v>1.6007501682063077E-2</v>
      </c>
      <c r="O1235" s="3" t="s">
        <v>7</v>
      </c>
    </row>
    <row r="1236" spans="12:15" x14ac:dyDescent="0.45">
      <c r="L1236" s="6" t="s">
        <v>120</v>
      </c>
      <c r="M1236" s="6" t="s">
        <v>34</v>
      </c>
      <c r="N1236" s="8">
        <v>1.5779140449259817E-2</v>
      </c>
      <c r="O1236" s="6" t="s">
        <v>7</v>
      </c>
    </row>
    <row r="1237" spans="12:15" x14ac:dyDescent="0.45">
      <c r="L1237" s="3" t="s">
        <v>120</v>
      </c>
      <c r="M1237" s="3" t="s">
        <v>35</v>
      </c>
      <c r="N1237" s="5">
        <v>1.5065199084416003E-2</v>
      </c>
      <c r="O1237" s="3" t="s">
        <v>7</v>
      </c>
    </row>
    <row r="1238" spans="12:15" x14ac:dyDescent="0.45">
      <c r="L1238" s="6" t="s">
        <v>120</v>
      </c>
      <c r="M1238" s="6" t="s">
        <v>36</v>
      </c>
      <c r="N1238" s="8">
        <v>1.4728259923578915E-2</v>
      </c>
      <c r="O1238" s="6" t="s">
        <v>7</v>
      </c>
    </row>
    <row r="1239" spans="12:15" x14ac:dyDescent="0.45">
      <c r="L1239" s="3" t="s">
        <v>120</v>
      </c>
      <c r="M1239" s="3" t="s">
        <v>37</v>
      </c>
      <c r="N1239" s="5">
        <v>1.4973127942163088E-2</v>
      </c>
      <c r="O1239" s="3" t="s">
        <v>7</v>
      </c>
    </row>
    <row r="1240" spans="12:15" x14ac:dyDescent="0.45">
      <c r="L1240" s="6" t="s">
        <v>120</v>
      </c>
      <c r="M1240" s="6" t="s">
        <v>38</v>
      </c>
      <c r="N1240" s="8">
        <v>2.3036271890533807E-2</v>
      </c>
      <c r="O1240" s="6" t="s">
        <v>7</v>
      </c>
    </row>
    <row r="1241" spans="12:15" x14ac:dyDescent="0.45">
      <c r="L1241" s="3" t="s">
        <v>120</v>
      </c>
      <c r="M1241" s="3" t="s">
        <v>39</v>
      </c>
      <c r="N1241" s="5">
        <v>5.984797129212141E-2</v>
      </c>
      <c r="O1241" s="3" t="s">
        <v>7</v>
      </c>
    </row>
    <row r="1242" spans="12:15" x14ac:dyDescent="0.45">
      <c r="L1242" s="6" t="s">
        <v>120</v>
      </c>
      <c r="M1242" s="6" t="s">
        <v>40</v>
      </c>
      <c r="N1242" s="8">
        <v>2.3387565099643237E-2</v>
      </c>
      <c r="O1242" s="6" t="s">
        <v>7</v>
      </c>
    </row>
    <row r="1243" spans="12:15" x14ac:dyDescent="0.45">
      <c r="L1243" s="3" t="s">
        <v>120</v>
      </c>
      <c r="M1243" s="3" t="s">
        <v>41</v>
      </c>
      <c r="N1243" s="5">
        <v>2.3487293690919408E-2</v>
      </c>
      <c r="O1243" s="3" t="s">
        <v>7</v>
      </c>
    </row>
    <row r="1244" spans="12:15" x14ac:dyDescent="0.45">
      <c r="L1244" s="6" t="s">
        <v>120</v>
      </c>
      <c r="M1244" s="6" t="s">
        <v>42</v>
      </c>
      <c r="N1244" s="8">
        <v>2.3136808595737517E-2</v>
      </c>
      <c r="O1244" s="6" t="s">
        <v>7</v>
      </c>
    </row>
    <row r="1245" spans="12:15" x14ac:dyDescent="0.45">
      <c r="L1245" s="3" t="s">
        <v>120</v>
      </c>
      <c r="M1245" s="3" t="s">
        <v>43</v>
      </c>
      <c r="N1245" s="5">
        <v>2.2515739552068932E-2</v>
      </c>
      <c r="O1245" s="3" t="s">
        <v>7</v>
      </c>
    </row>
    <row r="1246" spans="12:15" x14ac:dyDescent="0.45">
      <c r="L1246" s="6" t="s">
        <v>120</v>
      </c>
      <c r="M1246" s="6" t="s">
        <v>44</v>
      </c>
      <c r="N1246" s="8">
        <v>2.2416050397538689E-2</v>
      </c>
      <c r="O1246" s="6" t="s">
        <v>7</v>
      </c>
    </row>
    <row r="1247" spans="12:15" x14ac:dyDescent="0.45">
      <c r="L1247" s="3" t="s">
        <v>120</v>
      </c>
      <c r="M1247" s="3" t="s">
        <v>45</v>
      </c>
      <c r="N1247" s="5">
        <v>2.2848534787724129E-2</v>
      </c>
      <c r="O1247" s="3" t="s">
        <v>7</v>
      </c>
    </row>
    <row r="1248" spans="12:15" x14ac:dyDescent="0.45">
      <c r="L1248" s="6" t="s">
        <v>120</v>
      </c>
      <c r="M1248" s="6" t="s">
        <v>46</v>
      </c>
      <c r="N1248" s="8">
        <v>2.3141581384523383E-2</v>
      </c>
      <c r="O1248" s="6" t="s">
        <v>7</v>
      </c>
    </row>
    <row r="1249" spans="12:15" x14ac:dyDescent="0.45">
      <c r="L1249" s="3" t="s">
        <v>120</v>
      </c>
      <c r="M1249" s="3" t="s">
        <v>47</v>
      </c>
      <c r="N1249" s="5">
        <v>2.3747315242101733E-2</v>
      </c>
      <c r="O1249" s="3" t="s">
        <v>7</v>
      </c>
    </row>
    <row r="1250" spans="12:15" x14ac:dyDescent="0.45">
      <c r="L1250" s="6" t="s">
        <v>120</v>
      </c>
      <c r="M1250" s="6" t="s">
        <v>48</v>
      </c>
      <c r="N1250" s="8">
        <v>3.5695423852344477E-2</v>
      </c>
      <c r="O1250" s="6" t="s">
        <v>7</v>
      </c>
    </row>
    <row r="1251" spans="12:15" x14ac:dyDescent="0.45">
      <c r="L1251" s="3" t="s">
        <v>121</v>
      </c>
      <c r="M1251" s="3" t="s">
        <v>6</v>
      </c>
      <c r="N1251" s="5">
        <v>6.1809777486493467E-2</v>
      </c>
      <c r="O1251" s="3" t="s">
        <v>7</v>
      </c>
    </row>
    <row r="1252" spans="12:15" x14ac:dyDescent="0.45">
      <c r="L1252" s="6" t="s">
        <v>121</v>
      </c>
      <c r="M1252" s="6" t="s">
        <v>10</v>
      </c>
      <c r="N1252" s="8">
        <v>2.4646894608092992E-2</v>
      </c>
      <c r="O1252" s="6" t="s">
        <v>7</v>
      </c>
    </row>
    <row r="1253" spans="12:15" x14ac:dyDescent="0.45">
      <c r="L1253" s="3" t="s">
        <v>121</v>
      </c>
      <c r="M1253" s="3" t="s">
        <v>11</v>
      </c>
      <c r="N1253" s="5">
        <v>2.4437664606813306E-2</v>
      </c>
      <c r="O1253" s="3" t="s">
        <v>7</v>
      </c>
    </row>
    <row r="1254" spans="12:15" x14ac:dyDescent="0.45">
      <c r="L1254" s="6" t="s">
        <v>121</v>
      </c>
      <c r="M1254" s="6" t="s">
        <v>12</v>
      </c>
      <c r="N1254" s="8">
        <v>2.4424378201785845E-2</v>
      </c>
      <c r="O1254" s="6" t="s">
        <v>7</v>
      </c>
    </row>
    <row r="1255" spans="12:15" x14ac:dyDescent="0.45">
      <c r="L1255" s="3" t="s">
        <v>121</v>
      </c>
      <c r="M1255" s="3" t="s">
        <v>13</v>
      </c>
      <c r="N1255" s="5">
        <v>2.4095850314244344E-2</v>
      </c>
      <c r="O1255" s="3" t="s">
        <v>7</v>
      </c>
    </row>
    <row r="1256" spans="12:15" x14ac:dyDescent="0.45">
      <c r="L1256" s="6" t="s">
        <v>121</v>
      </c>
      <c r="M1256" s="6" t="s">
        <v>14</v>
      </c>
      <c r="N1256" s="8">
        <v>2.3721395667233042E-2</v>
      </c>
      <c r="O1256" s="6" t="s">
        <v>7</v>
      </c>
    </row>
    <row r="1257" spans="12:15" x14ac:dyDescent="0.45">
      <c r="L1257" s="3" t="s">
        <v>121</v>
      </c>
      <c r="M1257" s="3" t="s">
        <v>15</v>
      </c>
      <c r="N1257" s="5">
        <v>2.3397055876804504E-2</v>
      </c>
      <c r="O1257" s="3" t="s">
        <v>7</v>
      </c>
    </row>
    <row r="1258" spans="12:15" x14ac:dyDescent="0.45">
      <c r="L1258" s="6" t="s">
        <v>121</v>
      </c>
      <c r="M1258" s="6" t="s">
        <v>16</v>
      </c>
      <c r="N1258" s="8">
        <v>2.3196719765112724E-2</v>
      </c>
      <c r="O1258" s="6" t="s">
        <v>7</v>
      </c>
    </row>
    <row r="1259" spans="12:15" x14ac:dyDescent="0.45">
      <c r="L1259" s="3" t="s">
        <v>121</v>
      </c>
      <c r="M1259" s="3" t="s">
        <v>17</v>
      </c>
      <c r="N1259" s="5">
        <v>2.336374410249014E-2</v>
      </c>
      <c r="O1259" s="3" t="s">
        <v>7</v>
      </c>
    </row>
    <row r="1260" spans="12:15" x14ac:dyDescent="0.45">
      <c r="L1260" s="6" t="s">
        <v>121</v>
      </c>
      <c r="M1260" s="6" t="s">
        <v>18</v>
      </c>
      <c r="N1260" s="8">
        <v>3.5301963773617988E-2</v>
      </c>
      <c r="O1260" s="6" t="s">
        <v>7</v>
      </c>
    </row>
    <row r="1261" spans="12:15" x14ac:dyDescent="0.45">
      <c r="L1261" s="3" t="s">
        <v>121</v>
      </c>
      <c r="M1261" s="3" t="s">
        <v>19</v>
      </c>
      <c r="N1261" s="5">
        <v>5.3026484972231509E-2</v>
      </c>
      <c r="O1261" s="3" t="s">
        <v>7</v>
      </c>
    </row>
    <row r="1262" spans="12:15" x14ac:dyDescent="0.45">
      <c r="L1262" s="6" t="s">
        <v>121</v>
      </c>
      <c r="M1262" s="6" t="s">
        <v>20</v>
      </c>
      <c r="N1262" s="8">
        <v>2.1816982450028888E-2</v>
      </c>
      <c r="O1262" s="6" t="s">
        <v>7</v>
      </c>
    </row>
    <row r="1263" spans="12:15" x14ac:dyDescent="0.45">
      <c r="L1263" s="3" t="s">
        <v>121</v>
      </c>
      <c r="M1263" s="3" t="s">
        <v>21</v>
      </c>
      <c r="N1263" s="5">
        <v>2.1738765130304132E-2</v>
      </c>
      <c r="O1263" s="3" t="s">
        <v>7</v>
      </c>
    </row>
    <row r="1264" spans="12:15" x14ac:dyDescent="0.45">
      <c r="L1264" s="6" t="s">
        <v>121</v>
      </c>
      <c r="M1264" s="6" t="s">
        <v>22</v>
      </c>
      <c r="N1264" s="8">
        <v>2.0697210318563298E-2</v>
      </c>
      <c r="O1264" s="6" t="s">
        <v>7</v>
      </c>
    </row>
    <row r="1265" spans="12:15" x14ac:dyDescent="0.45">
      <c r="L1265" s="3" t="s">
        <v>121</v>
      </c>
      <c r="M1265" s="3" t="s">
        <v>23</v>
      </c>
      <c r="N1265" s="5">
        <v>1.9758793134582692E-2</v>
      </c>
      <c r="O1265" s="3" t="s">
        <v>7</v>
      </c>
    </row>
    <row r="1266" spans="12:15" x14ac:dyDescent="0.45">
      <c r="L1266" s="6" t="s">
        <v>121</v>
      </c>
      <c r="M1266" s="6" t="s">
        <v>24</v>
      </c>
      <c r="N1266" s="8">
        <v>1.9518495147651419E-2</v>
      </c>
      <c r="O1266" s="6" t="s">
        <v>7</v>
      </c>
    </row>
    <row r="1267" spans="12:15" x14ac:dyDescent="0.45">
      <c r="L1267" s="3" t="s">
        <v>121</v>
      </c>
      <c r="M1267" s="3" t="s">
        <v>25</v>
      </c>
      <c r="N1267" s="5">
        <v>1.9634110193273321E-2</v>
      </c>
      <c r="O1267" s="3" t="s">
        <v>7</v>
      </c>
    </row>
    <row r="1268" spans="12:15" x14ac:dyDescent="0.45">
      <c r="L1268" s="6" t="s">
        <v>121</v>
      </c>
      <c r="M1268" s="6" t="s">
        <v>26</v>
      </c>
      <c r="N1268" s="8">
        <v>2.026217694250286E-2</v>
      </c>
      <c r="O1268" s="6" t="s">
        <v>7</v>
      </c>
    </row>
    <row r="1269" spans="12:15" x14ac:dyDescent="0.45">
      <c r="L1269" s="3" t="s">
        <v>121</v>
      </c>
      <c r="M1269" s="3" t="s">
        <v>27</v>
      </c>
      <c r="N1269" s="5">
        <v>2.1069654338140852E-2</v>
      </c>
      <c r="O1269" s="3" t="s">
        <v>7</v>
      </c>
    </row>
    <row r="1270" spans="12:15" x14ac:dyDescent="0.45">
      <c r="L1270" s="6" t="s">
        <v>121</v>
      </c>
      <c r="M1270" s="6" t="s">
        <v>28</v>
      </c>
      <c r="N1270" s="8">
        <v>3.16655534724508E-2</v>
      </c>
      <c r="O1270" s="6" t="s">
        <v>7</v>
      </c>
    </row>
    <row r="1271" spans="12:15" x14ac:dyDescent="0.45">
      <c r="L1271" s="3" t="s">
        <v>121</v>
      </c>
      <c r="M1271" s="3" t="s">
        <v>29</v>
      </c>
      <c r="N1271" s="5">
        <v>3.6428969590669533E-2</v>
      </c>
      <c r="O1271" s="3" t="s">
        <v>7</v>
      </c>
    </row>
    <row r="1272" spans="12:15" x14ac:dyDescent="0.45">
      <c r="L1272" s="6" t="s">
        <v>121</v>
      </c>
      <c r="M1272" s="6" t="s">
        <v>30</v>
      </c>
      <c r="N1272" s="8">
        <v>1.5059043570813051E-2</v>
      </c>
      <c r="O1272" s="6" t="s">
        <v>7</v>
      </c>
    </row>
    <row r="1273" spans="12:15" x14ac:dyDescent="0.45">
      <c r="L1273" s="3" t="s">
        <v>121</v>
      </c>
      <c r="M1273" s="3" t="s">
        <v>31</v>
      </c>
      <c r="N1273" s="5">
        <v>1.5706602835079169E-2</v>
      </c>
      <c r="O1273" s="3" t="s">
        <v>7</v>
      </c>
    </row>
    <row r="1274" spans="12:15" x14ac:dyDescent="0.45">
      <c r="L1274" s="6" t="s">
        <v>121</v>
      </c>
      <c r="M1274" s="6" t="s">
        <v>32</v>
      </c>
      <c r="N1274" s="8">
        <v>1.622340262056482E-2</v>
      </c>
      <c r="O1274" s="6" t="s">
        <v>7</v>
      </c>
    </row>
    <row r="1275" spans="12:15" x14ac:dyDescent="0.45">
      <c r="L1275" s="3" t="s">
        <v>121</v>
      </c>
      <c r="M1275" s="3" t="s">
        <v>33</v>
      </c>
      <c r="N1275" s="5">
        <v>1.633750806787582E-2</v>
      </c>
      <c r="O1275" s="3" t="s">
        <v>7</v>
      </c>
    </row>
    <row r="1276" spans="12:15" x14ac:dyDescent="0.45">
      <c r="L1276" s="6" t="s">
        <v>121</v>
      </c>
      <c r="M1276" s="6" t="s">
        <v>34</v>
      </c>
      <c r="N1276" s="8">
        <v>1.5940481137252396E-2</v>
      </c>
      <c r="O1276" s="6" t="s">
        <v>7</v>
      </c>
    </row>
    <row r="1277" spans="12:15" x14ac:dyDescent="0.45">
      <c r="L1277" s="3" t="s">
        <v>121</v>
      </c>
      <c r="M1277" s="3" t="s">
        <v>35</v>
      </c>
      <c r="N1277" s="5">
        <v>1.4947462386330802E-2</v>
      </c>
      <c r="O1277" s="3" t="s">
        <v>7</v>
      </c>
    </row>
    <row r="1278" spans="12:15" x14ac:dyDescent="0.45">
      <c r="L1278" s="6" t="s">
        <v>121</v>
      </c>
      <c r="M1278" s="6" t="s">
        <v>36</v>
      </c>
      <c r="N1278" s="8">
        <v>1.4069496215473177E-2</v>
      </c>
      <c r="O1278" s="6" t="s">
        <v>7</v>
      </c>
    </row>
    <row r="1279" spans="12:15" x14ac:dyDescent="0.45">
      <c r="L1279" s="3" t="s">
        <v>121</v>
      </c>
      <c r="M1279" s="3" t="s">
        <v>37</v>
      </c>
      <c r="N1279" s="5">
        <v>1.378236520304596E-2</v>
      </c>
      <c r="O1279" s="3" t="s">
        <v>7</v>
      </c>
    </row>
    <row r="1280" spans="12:15" x14ac:dyDescent="0.45">
      <c r="L1280" s="6" t="s">
        <v>121</v>
      </c>
      <c r="M1280" s="6" t="s">
        <v>38</v>
      </c>
      <c r="N1280" s="8">
        <v>2.1044609222730656E-2</v>
      </c>
      <c r="O1280" s="6" t="s">
        <v>7</v>
      </c>
    </row>
    <row r="1281" spans="12:15" x14ac:dyDescent="0.45">
      <c r="L1281" s="3" t="s">
        <v>121</v>
      </c>
      <c r="M1281" s="3" t="s">
        <v>39</v>
      </c>
      <c r="N1281" s="5">
        <v>6.010867740793277E-2</v>
      </c>
      <c r="O1281" s="3" t="s">
        <v>7</v>
      </c>
    </row>
    <row r="1282" spans="12:15" x14ac:dyDescent="0.45">
      <c r="L1282" s="6" t="s">
        <v>121</v>
      </c>
      <c r="M1282" s="6" t="s">
        <v>40</v>
      </c>
      <c r="N1282" s="8">
        <v>2.3448356824434757E-2</v>
      </c>
      <c r="O1282" s="6" t="s">
        <v>7</v>
      </c>
    </row>
    <row r="1283" spans="12:15" x14ac:dyDescent="0.45">
      <c r="L1283" s="3" t="s">
        <v>121</v>
      </c>
      <c r="M1283" s="3" t="s">
        <v>41</v>
      </c>
      <c r="N1283" s="5">
        <v>2.2858535035970892E-2</v>
      </c>
      <c r="O1283" s="3" t="s">
        <v>7</v>
      </c>
    </row>
    <row r="1284" spans="12:15" x14ac:dyDescent="0.45">
      <c r="L1284" s="6" t="s">
        <v>121</v>
      </c>
      <c r="M1284" s="6" t="s">
        <v>42</v>
      </c>
      <c r="N1284" s="8">
        <v>2.2763320330620753E-2</v>
      </c>
      <c r="O1284" s="6" t="s">
        <v>7</v>
      </c>
    </row>
    <row r="1285" spans="12:15" x14ac:dyDescent="0.45">
      <c r="L1285" s="3" t="s">
        <v>121</v>
      </c>
      <c r="M1285" s="3" t="s">
        <v>43</v>
      </c>
      <c r="N1285" s="5">
        <v>2.2746425956455436E-2</v>
      </c>
      <c r="O1285" s="3" t="s">
        <v>7</v>
      </c>
    </row>
    <row r="1286" spans="12:15" x14ac:dyDescent="0.45">
      <c r="L1286" s="6" t="s">
        <v>121</v>
      </c>
      <c r="M1286" s="6" t="s">
        <v>44</v>
      </c>
      <c r="N1286" s="8">
        <v>2.31165660188405E-2</v>
      </c>
      <c r="O1286" s="6" t="s">
        <v>7</v>
      </c>
    </row>
    <row r="1287" spans="12:15" x14ac:dyDescent="0.45">
      <c r="L1287" s="3" t="s">
        <v>121</v>
      </c>
      <c r="M1287" s="3" t="s">
        <v>45</v>
      </c>
      <c r="N1287" s="5">
        <v>2.3489965506163203E-2</v>
      </c>
      <c r="O1287" s="3" t="s">
        <v>7</v>
      </c>
    </row>
    <row r="1288" spans="12:15" x14ac:dyDescent="0.45">
      <c r="L1288" s="6" t="s">
        <v>121</v>
      </c>
      <c r="M1288" s="6" t="s">
        <v>46</v>
      </c>
      <c r="N1288" s="8">
        <v>2.3717517566419884E-2</v>
      </c>
      <c r="O1288" s="6" t="s">
        <v>7</v>
      </c>
    </row>
    <row r="1289" spans="12:15" x14ac:dyDescent="0.45">
      <c r="L1289" s="3" t="s">
        <v>121</v>
      </c>
      <c r="M1289" s="3" t="s">
        <v>47</v>
      </c>
      <c r="N1289" s="5">
        <v>2.4192232553016075E-2</v>
      </c>
      <c r="O1289" s="3" t="s">
        <v>7</v>
      </c>
    </row>
    <row r="1290" spans="12:15" x14ac:dyDescent="0.45">
      <c r="L1290" s="6" t="s">
        <v>121</v>
      </c>
      <c r="M1290" s="6" t="s">
        <v>48</v>
      </c>
      <c r="N1290" s="8">
        <v>3.6434791447892266E-2</v>
      </c>
      <c r="O1290" s="6" t="s">
        <v>7</v>
      </c>
    </row>
    <row r="1291" spans="12:15" x14ac:dyDescent="0.45">
      <c r="L1291" s="3" t="s">
        <v>122</v>
      </c>
      <c r="M1291" s="3" t="s">
        <v>6</v>
      </c>
      <c r="N1291" s="5">
        <v>6.0606911139385697E-2</v>
      </c>
      <c r="O1291" s="3" t="s">
        <v>7</v>
      </c>
    </row>
    <row r="1292" spans="12:15" x14ac:dyDescent="0.45">
      <c r="L1292" s="6" t="s">
        <v>122</v>
      </c>
      <c r="M1292" s="6" t="s">
        <v>10</v>
      </c>
      <c r="N1292" s="8">
        <v>2.4385633539294897E-2</v>
      </c>
      <c r="O1292" s="6" t="s">
        <v>7</v>
      </c>
    </row>
    <row r="1293" spans="12:15" x14ac:dyDescent="0.45">
      <c r="L1293" s="3" t="s">
        <v>122</v>
      </c>
      <c r="M1293" s="3" t="s">
        <v>11</v>
      </c>
      <c r="N1293" s="5">
        <v>2.4016407032840876E-2</v>
      </c>
      <c r="O1293" s="3" t="s">
        <v>7</v>
      </c>
    </row>
    <row r="1294" spans="12:15" x14ac:dyDescent="0.45">
      <c r="L1294" s="6" t="s">
        <v>122</v>
      </c>
      <c r="M1294" s="6" t="s">
        <v>12</v>
      </c>
      <c r="N1294" s="8">
        <v>2.3829869702814935E-2</v>
      </c>
      <c r="O1294" s="6" t="s">
        <v>7</v>
      </c>
    </row>
    <row r="1295" spans="12:15" x14ac:dyDescent="0.45">
      <c r="L1295" s="3" t="s">
        <v>122</v>
      </c>
      <c r="M1295" s="3" t="s">
        <v>13</v>
      </c>
      <c r="N1295" s="5">
        <v>2.3844610027847633E-2</v>
      </c>
      <c r="O1295" s="3" t="s">
        <v>7</v>
      </c>
    </row>
    <row r="1296" spans="12:15" x14ac:dyDescent="0.45">
      <c r="L1296" s="6" t="s">
        <v>122</v>
      </c>
      <c r="M1296" s="6" t="s">
        <v>14</v>
      </c>
      <c r="N1296" s="8">
        <v>2.405446598400527E-2</v>
      </c>
      <c r="O1296" s="6" t="s">
        <v>7</v>
      </c>
    </row>
    <row r="1297" spans="12:15" x14ac:dyDescent="0.45">
      <c r="L1297" s="3" t="s">
        <v>122</v>
      </c>
      <c r="M1297" s="3" t="s">
        <v>15</v>
      </c>
      <c r="N1297" s="5">
        <v>2.3871532753941219E-2</v>
      </c>
      <c r="O1297" s="3" t="s">
        <v>7</v>
      </c>
    </row>
    <row r="1298" spans="12:15" x14ac:dyDescent="0.45">
      <c r="L1298" s="6" t="s">
        <v>122</v>
      </c>
      <c r="M1298" s="6" t="s">
        <v>16</v>
      </c>
      <c r="N1298" s="8">
        <v>2.3471157036494519E-2</v>
      </c>
      <c r="O1298" s="6" t="s">
        <v>7</v>
      </c>
    </row>
    <row r="1299" spans="12:15" x14ac:dyDescent="0.45">
      <c r="L1299" s="3" t="s">
        <v>122</v>
      </c>
      <c r="M1299" s="3" t="s">
        <v>17</v>
      </c>
      <c r="N1299" s="5">
        <v>2.3449544726391464E-2</v>
      </c>
      <c r="O1299" s="3" t="s">
        <v>7</v>
      </c>
    </row>
    <row r="1300" spans="12:15" x14ac:dyDescent="0.45">
      <c r="L1300" s="6" t="s">
        <v>122</v>
      </c>
      <c r="M1300" s="6" t="s">
        <v>18</v>
      </c>
      <c r="N1300" s="8">
        <v>3.5198469094569869E-2</v>
      </c>
      <c r="O1300" s="6" t="s">
        <v>7</v>
      </c>
    </row>
    <row r="1301" spans="12:15" x14ac:dyDescent="0.45">
      <c r="L1301" s="3" t="s">
        <v>122</v>
      </c>
      <c r="M1301" s="3" t="s">
        <v>19</v>
      </c>
      <c r="N1301" s="5">
        <v>5.0743615006175073E-2</v>
      </c>
      <c r="O1301" s="3" t="s">
        <v>7</v>
      </c>
    </row>
    <row r="1302" spans="12:15" x14ac:dyDescent="0.45">
      <c r="L1302" s="6" t="s">
        <v>122</v>
      </c>
      <c r="M1302" s="6" t="s">
        <v>20</v>
      </c>
      <c r="N1302" s="8">
        <v>1.9662101835787815E-2</v>
      </c>
      <c r="O1302" s="6" t="s">
        <v>7</v>
      </c>
    </row>
    <row r="1303" spans="12:15" x14ac:dyDescent="0.45">
      <c r="L1303" s="3" t="s">
        <v>122</v>
      </c>
      <c r="M1303" s="3" t="s">
        <v>21</v>
      </c>
      <c r="N1303" s="5">
        <v>1.922811084350368E-2</v>
      </c>
      <c r="O1303" s="3" t="s">
        <v>7</v>
      </c>
    </row>
    <row r="1304" spans="12:15" x14ac:dyDescent="0.45">
      <c r="L1304" s="6" t="s">
        <v>122</v>
      </c>
      <c r="M1304" s="6" t="s">
        <v>22</v>
      </c>
      <c r="N1304" s="8">
        <v>1.8577690739843698E-2</v>
      </c>
      <c r="O1304" s="6" t="s">
        <v>7</v>
      </c>
    </row>
    <row r="1305" spans="12:15" x14ac:dyDescent="0.45">
      <c r="L1305" s="3" t="s">
        <v>122</v>
      </c>
      <c r="M1305" s="3" t="s">
        <v>23</v>
      </c>
      <c r="N1305" s="5">
        <v>1.7954245979210234E-2</v>
      </c>
      <c r="O1305" s="3" t="s">
        <v>7</v>
      </c>
    </row>
    <row r="1306" spans="12:15" x14ac:dyDescent="0.45">
      <c r="L1306" s="6" t="s">
        <v>122</v>
      </c>
      <c r="M1306" s="6" t="s">
        <v>24</v>
      </c>
      <c r="N1306" s="8">
        <v>1.7708472363818908E-2</v>
      </c>
      <c r="O1306" s="6" t="s">
        <v>7</v>
      </c>
    </row>
    <row r="1307" spans="12:15" x14ac:dyDescent="0.45">
      <c r="L1307" s="3" t="s">
        <v>122</v>
      </c>
      <c r="M1307" s="3" t="s">
        <v>25</v>
      </c>
      <c r="N1307" s="5">
        <v>1.8012915585638636E-2</v>
      </c>
      <c r="O1307" s="3" t="s">
        <v>7</v>
      </c>
    </row>
    <row r="1308" spans="12:15" x14ac:dyDescent="0.45">
      <c r="L1308" s="6" t="s">
        <v>122</v>
      </c>
      <c r="M1308" s="6" t="s">
        <v>26</v>
      </c>
      <c r="N1308" s="8">
        <v>1.8949541679682522E-2</v>
      </c>
      <c r="O1308" s="6" t="s">
        <v>7</v>
      </c>
    </row>
    <row r="1309" spans="12:15" x14ac:dyDescent="0.45">
      <c r="L1309" s="3" t="s">
        <v>122</v>
      </c>
      <c r="M1309" s="3" t="s">
        <v>27</v>
      </c>
      <c r="N1309" s="5">
        <v>2.0029360795683453E-2</v>
      </c>
      <c r="O1309" s="3" t="s">
        <v>7</v>
      </c>
    </row>
    <row r="1310" spans="12:15" x14ac:dyDescent="0.45">
      <c r="L1310" s="6" t="s">
        <v>122</v>
      </c>
      <c r="M1310" s="6" t="s">
        <v>28</v>
      </c>
      <c r="N1310" s="8">
        <v>3.0593806889604076E-2</v>
      </c>
      <c r="O1310" s="6" t="s">
        <v>7</v>
      </c>
    </row>
    <row r="1311" spans="12:15" x14ac:dyDescent="0.45">
      <c r="L1311" s="3" t="s">
        <v>122</v>
      </c>
      <c r="M1311" s="3" t="s">
        <v>29</v>
      </c>
      <c r="N1311" s="5">
        <v>4.2020289861731369E-2</v>
      </c>
      <c r="O1311" s="3" t="s">
        <v>7</v>
      </c>
    </row>
    <row r="1312" spans="12:15" x14ac:dyDescent="0.45">
      <c r="L1312" s="6" t="s">
        <v>122</v>
      </c>
      <c r="M1312" s="6" t="s">
        <v>30</v>
      </c>
      <c r="N1312" s="8">
        <v>1.6934269640144165E-2</v>
      </c>
      <c r="O1312" s="6" t="s">
        <v>7</v>
      </c>
    </row>
    <row r="1313" spans="12:15" x14ac:dyDescent="0.45">
      <c r="L1313" s="3" t="s">
        <v>122</v>
      </c>
      <c r="M1313" s="3" t="s">
        <v>31</v>
      </c>
      <c r="N1313" s="5">
        <v>1.7650971628084856E-2</v>
      </c>
      <c r="O1313" s="3" t="s">
        <v>7</v>
      </c>
    </row>
    <row r="1314" spans="12:15" x14ac:dyDescent="0.45">
      <c r="L1314" s="6" t="s">
        <v>122</v>
      </c>
      <c r="M1314" s="6" t="s">
        <v>32</v>
      </c>
      <c r="N1314" s="8">
        <v>1.7983520953101954E-2</v>
      </c>
      <c r="O1314" s="6" t="s">
        <v>7</v>
      </c>
    </row>
    <row r="1315" spans="12:15" x14ac:dyDescent="0.45">
      <c r="L1315" s="3" t="s">
        <v>122</v>
      </c>
      <c r="M1315" s="3" t="s">
        <v>33</v>
      </c>
      <c r="N1315" s="5">
        <v>1.8321984943035059E-2</v>
      </c>
      <c r="O1315" s="3" t="s">
        <v>7</v>
      </c>
    </row>
    <row r="1316" spans="12:15" x14ac:dyDescent="0.45">
      <c r="L1316" s="6" t="s">
        <v>122</v>
      </c>
      <c r="M1316" s="6" t="s">
        <v>34</v>
      </c>
      <c r="N1316" s="8">
        <v>1.8664509514456858E-2</v>
      </c>
      <c r="O1316" s="6" t="s">
        <v>7</v>
      </c>
    </row>
    <row r="1317" spans="12:15" x14ac:dyDescent="0.45">
      <c r="L1317" s="3" t="s">
        <v>122</v>
      </c>
      <c r="M1317" s="3" t="s">
        <v>35</v>
      </c>
      <c r="N1317" s="5">
        <v>1.8592280279920242E-2</v>
      </c>
      <c r="O1317" s="3" t="s">
        <v>7</v>
      </c>
    </row>
    <row r="1318" spans="12:15" x14ac:dyDescent="0.45">
      <c r="L1318" s="6" t="s">
        <v>122</v>
      </c>
      <c r="M1318" s="6" t="s">
        <v>36</v>
      </c>
      <c r="N1318" s="8">
        <v>1.825775867629988E-2</v>
      </c>
      <c r="O1318" s="6" t="s">
        <v>7</v>
      </c>
    </row>
    <row r="1319" spans="12:15" x14ac:dyDescent="0.45">
      <c r="L1319" s="3" t="s">
        <v>122</v>
      </c>
      <c r="M1319" s="3" t="s">
        <v>37</v>
      </c>
      <c r="N1319" s="5">
        <v>1.7920918495756819E-2</v>
      </c>
      <c r="O1319" s="3" t="s">
        <v>7</v>
      </c>
    </row>
    <row r="1320" spans="12:15" x14ac:dyDescent="0.45">
      <c r="L1320" s="6" t="s">
        <v>122</v>
      </c>
      <c r="M1320" s="6" t="s">
        <v>38</v>
      </c>
      <c r="N1320" s="8">
        <v>2.6473876102625721E-2</v>
      </c>
      <c r="O1320" s="6" t="s">
        <v>7</v>
      </c>
    </row>
    <row r="1321" spans="12:15" x14ac:dyDescent="0.45">
      <c r="L1321" s="3" t="s">
        <v>122</v>
      </c>
      <c r="M1321" s="3" t="s">
        <v>39</v>
      </c>
      <c r="N1321" s="5">
        <v>5.6254831374511337E-2</v>
      </c>
      <c r="O1321" s="3" t="s">
        <v>7</v>
      </c>
    </row>
    <row r="1322" spans="12:15" x14ac:dyDescent="0.45">
      <c r="L1322" s="6" t="s">
        <v>122</v>
      </c>
      <c r="M1322" s="6" t="s">
        <v>40</v>
      </c>
      <c r="N1322" s="8">
        <v>2.2303498572584447E-2</v>
      </c>
      <c r="O1322" s="6" t="s">
        <v>7</v>
      </c>
    </row>
    <row r="1323" spans="12:15" x14ac:dyDescent="0.45">
      <c r="L1323" s="3" t="s">
        <v>122</v>
      </c>
      <c r="M1323" s="3" t="s">
        <v>41</v>
      </c>
      <c r="N1323" s="5">
        <v>2.2087867882388045E-2</v>
      </c>
      <c r="O1323" s="3" t="s">
        <v>7</v>
      </c>
    </row>
    <row r="1324" spans="12:15" x14ac:dyDescent="0.45">
      <c r="L1324" s="6" t="s">
        <v>122</v>
      </c>
      <c r="M1324" s="6" t="s">
        <v>42</v>
      </c>
      <c r="N1324" s="8">
        <v>2.2171940348727447E-2</v>
      </c>
      <c r="O1324" s="6" t="s">
        <v>7</v>
      </c>
    </row>
    <row r="1325" spans="12:15" x14ac:dyDescent="0.45">
      <c r="L1325" s="3" t="s">
        <v>122</v>
      </c>
      <c r="M1325" s="3" t="s">
        <v>43</v>
      </c>
      <c r="N1325" s="5">
        <v>2.2395022693781956E-2</v>
      </c>
      <c r="O1325" s="3" t="s">
        <v>7</v>
      </c>
    </row>
    <row r="1326" spans="12:15" x14ac:dyDescent="0.45">
      <c r="L1326" s="6" t="s">
        <v>122</v>
      </c>
      <c r="M1326" s="6" t="s">
        <v>44</v>
      </c>
      <c r="N1326" s="8">
        <v>2.2760979559936678E-2</v>
      </c>
      <c r="O1326" s="6" t="s">
        <v>7</v>
      </c>
    </row>
    <row r="1327" spans="12:15" x14ac:dyDescent="0.45">
      <c r="L1327" s="3" t="s">
        <v>122</v>
      </c>
      <c r="M1327" s="3" t="s">
        <v>45</v>
      </c>
      <c r="N1327" s="5">
        <v>2.2686222251315599E-2</v>
      </c>
      <c r="O1327" s="3" t="s">
        <v>7</v>
      </c>
    </row>
    <row r="1328" spans="12:15" x14ac:dyDescent="0.45">
      <c r="L1328" s="6" t="s">
        <v>122</v>
      </c>
      <c r="M1328" s="6" t="s">
        <v>46</v>
      </c>
      <c r="N1328" s="8">
        <v>2.2372383794052923E-2</v>
      </c>
      <c r="O1328" s="6" t="s">
        <v>7</v>
      </c>
    </row>
    <row r="1329" spans="12:15" x14ac:dyDescent="0.45">
      <c r="L1329" s="3" t="s">
        <v>122</v>
      </c>
      <c r="M1329" s="3" t="s">
        <v>47</v>
      </c>
      <c r="N1329" s="5">
        <v>2.2323451710163311E-2</v>
      </c>
      <c r="O1329" s="3" t="s">
        <v>7</v>
      </c>
    </row>
    <row r="1330" spans="12:15" x14ac:dyDescent="0.45">
      <c r="L1330" s="6" t="s">
        <v>122</v>
      </c>
      <c r="M1330" s="6" t="s">
        <v>48</v>
      </c>
      <c r="N1330" s="8">
        <v>3.3634958960846888E-2</v>
      </c>
      <c r="O1330" s="6" t="s">
        <v>7</v>
      </c>
    </row>
    <row r="1331" spans="12:15" x14ac:dyDescent="0.45">
      <c r="L1331" s="3" t="s">
        <v>123</v>
      </c>
      <c r="M1331" s="3" t="s">
        <v>6</v>
      </c>
      <c r="N1331" s="5">
        <v>6.1495138494169911E-2</v>
      </c>
      <c r="O1331" s="3" t="s">
        <v>7</v>
      </c>
    </row>
    <row r="1332" spans="12:15" x14ac:dyDescent="0.45">
      <c r="L1332" s="6" t="s">
        <v>123</v>
      </c>
      <c r="M1332" s="6" t="s">
        <v>10</v>
      </c>
      <c r="N1332" s="8">
        <v>2.3962133713278634E-2</v>
      </c>
      <c r="O1332" s="6" t="s">
        <v>7</v>
      </c>
    </row>
    <row r="1333" spans="12:15" x14ac:dyDescent="0.45">
      <c r="L1333" s="3" t="s">
        <v>123</v>
      </c>
      <c r="M1333" s="3" t="s">
        <v>11</v>
      </c>
      <c r="N1333" s="5">
        <v>2.3990458719716213E-2</v>
      </c>
      <c r="O1333" s="3" t="s">
        <v>7</v>
      </c>
    </row>
    <row r="1334" spans="12:15" x14ac:dyDescent="0.45">
      <c r="L1334" s="6" t="s">
        <v>123</v>
      </c>
      <c r="M1334" s="6" t="s">
        <v>12</v>
      </c>
      <c r="N1334" s="8">
        <v>2.4528431451890549E-2</v>
      </c>
      <c r="O1334" s="6" t="s">
        <v>7</v>
      </c>
    </row>
    <row r="1335" spans="12:15" x14ac:dyDescent="0.45">
      <c r="L1335" s="3" t="s">
        <v>123</v>
      </c>
      <c r="M1335" s="3" t="s">
        <v>13</v>
      </c>
      <c r="N1335" s="5">
        <v>2.5163816519648864E-2</v>
      </c>
      <c r="O1335" s="3" t="s">
        <v>7</v>
      </c>
    </row>
    <row r="1336" spans="12:15" x14ac:dyDescent="0.45">
      <c r="L1336" s="6" t="s">
        <v>123</v>
      </c>
      <c r="M1336" s="6" t="s">
        <v>14</v>
      </c>
      <c r="N1336" s="8">
        <v>2.4851146390793395E-2</v>
      </c>
      <c r="O1336" s="6" t="s">
        <v>7</v>
      </c>
    </row>
    <row r="1337" spans="12:15" x14ac:dyDescent="0.45">
      <c r="L1337" s="3" t="s">
        <v>123</v>
      </c>
      <c r="M1337" s="3" t="s">
        <v>15</v>
      </c>
      <c r="N1337" s="5">
        <v>2.4123971434819768E-2</v>
      </c>
      <c r="O1337" s="3" t="s">
        <v>7</v>
      </c>
    </row>
    <row r="1338" spans="12:15" x14ac:dyDescent="0.45">
      <c r="L1338" s="6" t="s">
        <v>123</v>
      </c>
      <c r="M1338" s="6" t="s">
        <v>16</v>
      </c>
      <c r="N1338" s="8">
        <v>2.3990480407657229E-2</v>
      </c>
      <c r="O1338" s="6" t="s">
        <v>7</v>
      </c>
    </row>
    <row r="1339" spans="12:15" x14ac:dyDescent="0.45">
      <c r="L1339" s="3" t="s">
        <v>123</v>
      </c>
      <c r="M1339" s="3" t="s">
        <v>17</v>
      </c>
      <c r="N1339" s="5">
        <v>2.4521883355629777E-2</v>
      </c>
      <c r="O1339" s="3" t="s">
        <v>7</v>
      </c>
    </row>
    <row r="1340" spans="12:15" x14ac:dyDescent="0.45">
      <c r="L1340" s="6" t="s">
        <v>123</v>
      </c>
      <c r="M1340" s="6" t="s">
        <v>18</v>
      </c>
      <c r="N1340" s="8">
        <v>3.7888633765816464E-2</v>
      </c>
      <c r="O1340" s="6" t="s">
        <v>7</v>
      </c>
    </row>
    <row r="1341" spans="12:15" x14ac:dyDescent="0.45">
      <c r="L1341" s="3" t="s">
        <v>123</v>
      </c>
      <c r="M1341" s="3" t="s">
        <v>19</v>
      </c>
      <c r="N1341" s="5">
        <v>5.0342276902110156E-2</v>
      </c>
      <c r="O1341" s="3" t="s">
        <v>7</v>
      </c>
    </row>
    <row r="1342" spans="12:15" x14ac:dyDescent="0.45">
      <c r="L1342" s="6" t="s">
        <v>123</v>
      </c>
      <c r="M1342" s="6" t="s">
        <v>20</v>
      </c>
      <c r="N1342" s="8">
        <v>1.9655514467426534E-2</v>
      </c>
      <c r="O1342" s="6" t="s">
        <v>7</v>
      </c>
    </row>
    <row r="1343" spans="12:15" x14ac:dyDescent="0.45">
      <c r="L1343" s="3" t="s">
        <v>123</v>
      </c>
      <c r="M1343" s="3" t="s">
        <v>21</v>
      </c>
      <c r="N1343" s="5">
        <v>1.9465276745497664E-2</v>
      </c>
      <c r="O1343" s="3" t="s">
        <v>7</v>
      </c>
    </row>
    <row r="1344" spans="12:15" x14ac:dyDescent="0.45">
      <c r="L1344" s="6" t="s">
        <v>123</v>
      </c>
      <c r="M1344" s="6" t="s">
        <v>22</v>
      </c>
      <c r="N1344" s="8">
        <v>1.9376021509440292E-2</v>
      </c>
      <c r="O1344" s="6" t="s">
        <v>7</v>
      </c>
    </row>
    <row r="1345" spans="12:15" x14ac:dyDescent="0.45">
      <c r="L1345" s="3" t="s">
        <v>123</v>
      </c>
      <c r="M1345" s="3" t="s">
        <v>23</v>
      </c>
      <c r="N1345" s="5">
        <v>1.9321659414765345E-2</v>
      </c>
      <c r="O1345" s="3" t="s">
        <v>7</v>
      </c>
    </row>
    <row r="1346" spans="12:15" x14ac:dyDescent="0.45">
      <c r="L1346" s="6" t="s">
        <v>123</v>
      </c>
      <c r="M1346" s="6" t="s">
        <v>24</v>
      </c>
      <c r="N1346" s="8">
        <v>1.9411084614939043E-2</v>
      </c>
      <c r="O1346" s="6" t="s">
        <v>7</v>
      </c>
    </row>
    <row r="1347" spans="12:15" x14ac:dyDescent="0.45">
      <c r="L1347" s="3" t="s">
        <v>123</v>
      </c>
      <c r="M1347" s="3" t="s">
        <v>25</v>
      </c>
      <c r="N1347" s="5">
        <v>1.9751428937016771E-2</v>
      </c>
      <c r="O1347" s="3" t="s">
        <v>7</v>
      </c>
    </row>
    <row r="1348" spans="12:15" x14ac:dyDescent="0.45">
      <c r="L1348" s="6" t="s">
        <v>123</v>
      </c>
      <c r="M1348" s="6" t="s">
        <v>26</v>
      </c>
      <c r="N1348" s="8">
        <v>2.0368526737658429E-2</v>
      </c>
      <c r="O1348" s="6" t="s">
        <v>7</v>
      </c>
    </row>
    <row r="1349" spans="12:15" x14ac:dyDescent="0.45">
      <c r="L1349" s="3" t="s">
        <v>123</v>
      </c>
      <c r="M1349" s="3" t="s">
        <v>27</v>
      </c>
      <c r="N1349" s="5">
        <v>2.0910339446397266E-2</v>
      </c>
      <c r="O1349" s="3" t="s">
        <v>7</v>
      </c>
    </row>
    <row r="1350" spans="12:15" x14ac:dyDescent="0.45">
      <c r="L1350" s="6" t="s">
        <v>123</v>
      </c>
      <c r="M1350" s="6" t="s">
        <v>28</v>
      </c>
      <c r="N1350" s="8">
        <v>3.0961633430149002E-2</v>
      </c>
      <c r="O1350" s="6" t="s">
        <v>7</v>
      </c>
    </row>
    <row r="1351" spans="12:15" x14ac:dyDescent="0.45">
      <c r="L1351" s="3" t="s">
        <v>123</v>
      </c>
      <c r="M1351" s="3" t="s">
        <v>29</v>
      </c>
      <c r="N1351" s="5">
        <v>4.2199905025370535E-2</v>
      </c>
      <c r="O1351" s="3" t="s">
        <v>7</v>
      </c>
    </row>
    <row r="1352" spans="12:15" x14ac:dyDescent="0.45">
      <c r="L1352" s="6" t="s">
        <v>123</v>
      </c>
      <c r="M1352" s="6" t="s">
        <v>30</v>
      </c>
      <c r="N1352" s="8">
        <v>1.6756883949197009E-2</v>
      </c>
      <c r="O1352" s="6" t="s">
        <v>7</v>
      </c>
    </row>
    <row r="1353" spans="12:15" x14ac:dyDescent="0.45">
      <c r="L1353" s="3" t="s">
        <v>123</v>
      </c>
      <c r="M1353" s="3" t="s">
        <v>31</v>
      </c>
      <c r="N1353" s="5">
        <v>1.7003929672846901E-2</v>
      </c>
      <c r="O1353" s="3" t="s">
        <v>7</v>
      </c>
    </row>
    <row r="1354" spans="12:15" x14ac:dyDescent="0.45">
      <c r="L1354" s="6" t="s">
        <v>123</v>
      </c>
      <c r="M1354" s="6" t="s">
        <v>32</v>
      </c>
      <c r="N1354" s="8">
        <v>1.6863330989559566E-2</v>
      </c>
      <c r="O1354" s="6" t="s">
        <v>7</v>
      </c>
    </row>
    <row r="1355" spans="12:15" x14ac:dyDescent="0.45">
      <c r="L1355" s="3" t="s">
        <v>123</v>
      </c>
      <c r="M1355" s="3" t="s">
        <v>33</v>
      </c>
      <c r="N1355" s="5">
        <v>1.7062696640618772E-2</v>
      </c>
      <c r="O1355" s="3" t="s">
        <v>7</v>
      </c>
    </row>
    <row r="1356" spans="12:15" x14ac:dyDescent="0.45">
      <c r="L1356" s="6" t="s">
        <v>123</v>
      </c>
      <c r="M1356" s="6" t="s">
        <v>34</v>
      </c>
      <c r="N1356" s="8">
        <v>1.74352571284845E-2</v>
      </c>
      <c r="O1356" s="6" t="s">
        <v>7</v>
      </c>
    </row>
    <row r="1357" spans="12:15" x14ac:dyDescent="0.45">
      <c r="L1357" s="3" t="s">
        <v>123</v>
      </c>
      <c r="M1357" s="3" t="s">
        <v>35</v>
      </c>
      <c r="N1357" s="5">
        <v>1.754705896272855E-2</v>
      </c>
      <c r="O1357" s="3" t="s">
        <v>7</v>
      </c>
    </row>
    <row r="1358" spans="12:15" x14ac:dyDescent="0.45">
      <c r="L1358" s="6" t="s">
        <v>123</v>
      </c>
      <c r="M1358" s="6" t="s">
        <v>36</v>
      </c>
      <c r="N1358" s="8">
        <v>1.7463896776042306E-2</v>
      </c>
      <c r="O1358" s="6" t="s">
        <v>7</v>
      </c>
    </row>
    <row r="1359" spans="12:15" x14ac:dyDescent="0.45">
      <c r="L1359" s="3" t="s">
        <v>123</v>
      </c>
      <c r="M1359" s="3" t="s">
        <v>37</v>
      </c>
      <c r="N1359" s="5">
        <v>1.7248273228319174E-2</v>
      </c>
      <c r="O1359" s="3" t="s">
        <v>7</v>
      </c>
    </row>
    <row r="1360" spans="12:15" x14ac:dyDescent="0.45">
      <c r="L1360" s="6" t="s">
        <v>123</v>
      </c>
      <c r="M1360" s="6" t="s">
        <v>38</v>
      </c>
      <c r="N1360" s="8">
        <v>2.5860428665364674E-2</v>
      </c>
      <c r="O1360" s="6" t="s">
        <v>7</v>
      </c>
    </row>
    <row r="1361" spans="12:15" x14ac:dyDescent="0.45">
      <c r="L1361" s="3" t="s">
        <v>123</v>
      </c>
      <c r="M1361" s="3" t="s">
        <v>39</v>
      </c>
      <c r="N1361" s="5">
        <v>5.3870051627315514E-2</v>
      </c>
      <c r="O1361" s="3" t="s">
        <v>7</v>
      </c>
    </row>
    <row r="1362" spans="12:15" x14ac:dyDescent="0.45">
      <c r="L1362" s="6" t="s">
        <v>123</v>
      </c>
      <c r="M1362" s="6" t="s">
        <v>40</v>
      </c>
      <c r="N1362" s="8">
        <v>2.1727821209818133E-2</v>
      </c>
      <c r="O1362" s="6" t="s">
        <v>7</v>
      </c>
    </row>
    <row r="1363" spans="12:15" x14ac:dyDescent="0.45">
      <c r="L1363" s="3" t="s">
        <v>123</v>
      </c>
      <c r="M1363" s="3" t="s">
        <v>41</v>
      </c>
      <c r="N1363" s="5">
        <v>2.1936049155820699E-2</v>
      </c>
      <c r="O1363" s="3" t="s">
        <v>7</v>
      </c>
    </row>
    <row r="1364" spans="12:15" x14ac:dyDescent="0.45">
      <c r="L1364" s="6" t="s">
        <v>123</v>
      </c>
      <c r="M1364" s="6" t="s">
        <v>42</v>
      </c>
      <c r="N1364" s="8">
        <v>2.2056846730812787E-2</v>
      </c>
      <c r="O1364" s="6" t="s">
        <v>7</v>
      </c>
    </row>
    <row r="1365" spans="12:15" x14ac:dyDescent="0.45">
      <c r="L1365" s="3" t="s">
        <v>123</v>
      </c>
      <c r="M1365" s="3" t="s">
        <v>43</v>
      </c>
      <c r="N1365" s="5">
        <v>2.1804149803306104E-2</v>
      </c>
      <c r="O1365" s="3" t="s">
        <v>7</v>
      </c>
    </row>
    <row r="1366" spans="12:15" x14ac:dyDescent="0.45">
      <c r="L1366" s="6" t="s">
        <v>123</v>
      </c>
      <c r="M1366" s="6" t="s">
        <v>44</v>
      </c>
      <c r="N1366" s="8">
        <v>2.1693821221859904E-2</v>
      </c>
      <c r="O1366" s="6" t="s">
        <v>7</v>
      </c>
    </row>
    <row r="1367" spans="12:15" x14ac:dyDescent="0.45">
      <c r="L1367" s="3" t="s">
        <v>123</v>
      </c>
      <c r="M1367" s="3" t="s">
        <v>45</v>
      </c>
      <c r="N1367" s="5">
        <v>2.1353961684679328E-2</v>
      </c>
      <c r="O1367" s="3" t="s">
        <v>7</v>
      </c>
    </row>
    <row r="1368" spans="12:15" x14ac:dyDescent="0.45">
      <c r="L1368" s="6" t="s">
        <v>123</v>
      </c>
      <c r="M1368" s="6" t="s">
        <v>46</v>
      </c>
      <c r="N1368" s="8">
        <v>2.1217904471921199E-2</v>
      </c>
      <c r="O1368" s="6" t="s">
        <v>7</v>
      </c>
    </row>
    <row r="1369" spans="12:15" x14ac:dyDescent="0.45">
      <c r="L1369" s="3" t="s">
        <v>123</v>
      </c>
      <c r="M1369" s="3" t="s">
        <v>47</v>
      </c>
      <c r="N1369" s="5">
        <v>2.186307359912161E-2</v>
      </c>
      <c r="O1369" s="3" t="s">
        <v>7</v>
      </c>
    </row>
    <row r="1370" spans="12:15" x14ac:dyDescent="0.45">
      <c r="L1370" s="6" t="s">
        <v>123</v>
      </c>
      <c r="M1370" s="6" t="s">
        <v>48</v>
      </c>
      <c r="N1370" s="8">
        <v>3.2954802997991424E-2</v>
      </c>
      <c r="O1370" s="6" t="s">
        <v>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EBE8-8E3C-4020-B313-4302584FD0A8}">
  <dimension ref="A1:HS88"/>
  <sheetViews>
    <sheetView workbookViewId="0">
      <selection sqref="A1:AN1"/>
    </sheetView>
  </sheetViews>
  <sheetFormatPr defaultRowHeight="14.25" x14ac:dyDescent="0.45"/>
  <cols>
    <col min="2" max="2" width="20.1328125" bestFit="1" customWidth="1"/>
    <col min="3" max="3" width="10.59765625" bestFit="1" customWidth="1"/>
    <col min="4" max="43" width="10.59765625" customWidth="1"/>
    <col min="45" max="45" width="20.1328125" bestFit="1" customWidth="1"/>
    <col min="46" max="46" width="10.59765625" bestFit="1" customWidth="1"/>
    <col min="47" max="86" width="10.59765625" customWidth="1"/>
    <col min="88" max="88" width="20.1328125" bestFit="1" customWidth="1"/>
    <col min="89" max="89" width="10.59765625" bestFit="1" customWidth="1"/>
    <col min="90" max="129" width="10.59765625" customWidth="1"/>
    <col min="131" max="131" width="20.1328125" bestFit="1" customWidth="1"/>
    <col min="132" max="132" width="10.59765625" bestFit="1" customWidth="1"/>
    <col min="133" max="172" width="10.59765625" customWidth="1"/>
    <col min="174" max="175" width="10.59765625" customWidth="1"/>
    <col min="176" max="176" width="15.1328125" bestFit="1" customWidth="1"/>
    <col min="177" max="179" width="10.59765625" customWidth="1"/>
    <col min="180" max="180" width="30.59765625" customWidth="1"/>
    <col min="182" max="182" width="20.1328125" bestFit="1" customWidth="1"/>
    <col min="183" max="222" width="10.59765625" customWidth="1"/>
    <col min="224" max="224" width="20.1328125" bestFit="1" customWidth="1"/>
    <col min="225" max="225" width="10.59765625" bestFit="1" customWidth="1"/>
    <col min="226" max="226" width="12.6640625" bestFit="1" customWidth="1"/>
    <col min="227" max="227" width="10.59765625" customWidth="1"/>
  </cols>
  <sheetData>
    <row r="1" spans="1:227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9" spans="1:227" ht="14.65" thickBot="1" x14ac:dyDescent="0.5">
      <c r="B9" s="1" t="str">
        <f>IF(A11="x","DeActivated","~TFM_DINS-TSL: attribute=FLO_EMIS; other_indexes=ACT; region=GBR")</f>
        <v>~TFM_DINS-TSL: attribute=FLO_EMIS; other_indexes=ACT; region=GBR</v>
      </c>
      <c r="AS9" s="1" t="str">
        <f>IF(A11="x","DeActivated","~TFM_DINS-TSL: attribute=FLO_SHAR; limtype=FX; region=GBR")</f>
        <v>~TFM_DINS-TSL: attribute=FLO_SHAR; limtype=FX; region=GBR</v>
      </c>
      <c r="CJ9" s="1" t="str">
        <f>IF(A11="x","DeActivated","~TFM_DINS-TSL: attribute=FLO_SHAR; limtype=FX; region=GBR")</f>
        <v>~TFM_DINS-TSL: attribute=FLO_SHAR; limtype=FX; region=GBR</v>
      </c>
      <c r="EA9" s="1" t="str">
        <f>IF(A11="x","DeActivated","~TFM_DINS-TSL: attribute=FLO_SHAR; limtype=FX; region=GBR")</f>
        <v>~TFM_DINS-TSL: attribute=FLO_SHAR; limtype=FX; region=GBR</v>
      </c>
      <c r="FR9" s="1" t="str">
        <f>IF(A11="x","DeActivated","~TFM_INS: region=GBR")</f>
        <v>~TFM_INS: region=GBR</v>
      </c>
      <c r="FZ9" s="1" t="str">
        <f>IF(A11="x","DeActivated","~TFM_DINS-TSL: attribute=NCAP_PKCNT; region=GBR")</f>
        <v>~TFM_DINS-TSL: attribute=NCAP_PKCNT; region=GBR</v>
      </c>
      <c r="HP9" s="1" t="str">
        <f>IF(A11="x","DeActivated","~TFM_DINS-AT: region=GBR")</f>
        <v>~TFM_DINS-AT: region=GBR</v>
      </c>
    </row>
    <row r="10" spans="1:227" ht="15.75" thickBot="1" x14ac:dyDescent="0.6">
      <c r="B10" s="2" t="s">
        <v>4</v>
      </c>
      <c r="C10" s="2" t="s">
        <v>1</v>
      </c>
      <c r="D10" s="2" t="s">
        <v>6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  <c r="M10" s="2" t="s">
        <v>18</v>
      </c>
      <c r="N10" s="2" t="s">
        <v>19</v>
      </c>
      <c r="O10" s="2" t="s">
        <v>20</v>
      </c>
      <c r="P10" s="2" t="s">
        <v>21</v>
      </c>
      <c r="Q10" s="2" t="s">
        <v>22</v>
      </c>
      <c r="R10" s="2" t="s">
        <v>23</v>
      </c>
      <c r="S10" s="2" t="s">
        <v>24</v>
      </c>
      <c r="T10" s="2" t="s">
        <v>25</v>
      </c>
      <c r="U10" s="2" t="s">
        <v>26</v>
      </c>
      <c r="V10" s="2" t="s">
        <v>27</v>
      </c>
      <c r="W10" s="2" t="s">
        <v>28</v>
      </c>
      <c r="X10" s="2" t="s">
        <v>29</v>
      </c>
      <c r="Y10" s="2" t="s">
        <v>30</v>
      </c>
      <c r="Z10" s="2" t="s">
        <v>31</v>
      </c>
      <c r="AA10" s="2" t="s">
        <v>32</v>
      </c>
      <c r="AB10" s="2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S10" s="2" t="s">
        <v>4</v>
      </c>
      <c r="AT10" s="2" t="s">
        <v>1</v>
      </c>
      <c r="AU10" s="2" t="s">
        <v>6</v>
      </c>
      <c r="AV10" s="2" t="s">
        <v>10</v>
      </c>
      <c r="AW10" s="2" t="s">
        <v>11</v>
      </c>
      <c r="AX10" s="2" t="s">
        <v>12</v>
      </c>
      <c r="AY10" s="2" t="s">
        <v>13</v>
      </c>
      <c r="AZ10" s="2" t="s">
        <v>14</v>
      </c>
      <c r="BA10" s="2" t="s">
        <v>15</v>
      </c>
      <c r="BB10" s="2" t="s">
        <v>16</v>
      </c>
      <c r="BC10" s="2" t="s">
        <v>17</v>
      </c>
      <c r="BD10" s="2" t="s">
        <v>18</v>
      </c>
      <c r="BE10" s="2" t="s">
        <v>19</v>
      </c>
      <c r="BF10" s="2" t="s">
        <v>20</v>
      </c>
      <c r="BG10" s="2" t="s">
        <v>21</v>
      </c>
      <c r="BH10" s="2" t="s">
        <v>22</v>
      </c>
      <c r="BI10" s="2" t="s">
        <v>23</v>
      </c>
      <c r="BJ10" s="2" t="s">
        <v>24</v>
      </c>
      <c r="BK10" s="2" t="s">
        <v>25</v>
      </c>
      <c r="BL10" s="2" t="s">
        <v>26</v>
      </c>
      <c r="BM10" s="2" t="s">
        <v>27</v>
      </c>
      <c r="BN10" s="2" t="s">
        <v>28</v>
      </c>
      <c r="BO10" s="2" t="s">
        <v>29</v>
      </c>
      <c r="BP10" s="2" t="s">
        <v>30</v>
      </c>
      <c r="BQ10" s="2" t="s">
        <v>31</v>
      </c>
      <c r="BR10" s="2" t="s">
        <v>32</v>
      </c>
      <c r="BS10" s="2" t="s">
        <v>33</v>
      </c>
      <c r="BT10" s="2" t="s">
        <v>34</v>
      </c>
      <c r="BU10" s="2" t="s">
        <v>35</v>
      </c>
      <c r="BV10" s="2" t="s">
        <v>36</v>
      </c>
      <c r="BW10" s="2" t="s">
        <v>37</v>
      </c>
      <c r="BX10" s="2" t="s">
        <v>38</v>
      </c>
      <c r="BY10" s="2" t="s">
        <v>39</v>
      </c>
      <c r="BZ10" s="2" t="s">
        <v>40</v>
      </c>
      <c r="CA10" s="2" t="s">
        <v>41</v>
      </c>
      <c r="CB10" s="2" t="s">
        <v>42</v>
      </c>
      <c r="CC10" s="2" t="s">
        <v>43</v>
      </c>
      <c r="CD10" s="2" t="s">
        <v>44</v>
      </c>
      <c r="CE10" s="2" t="s">
        <v>45</v>
      </c>
      <c r="CF10" s="2" t="s">
        <v>46</v>
      </c>
      <c r="CG10" s="2" t="s">
        <v>47</v>
      </c>
      <c r="CH10" s="2" t="s">
        <v>48</v>
      </c>
      <c r="CJ10" s="2" t="s">
        <v>4</v>
      </c>
      <c r="CK10" s="2" t="s">
        <v>1</v>
      </c>
      <c r="CL10" s="2" t="s">
        <v>6</v>
      </c>
      <c r="CM10" s="2" t="s">
        <v>10</v>
      </c>
      <c r="CN10" s="2" t="s">
        <v>11</v>
      </c>
      <c r="CO10" s="2" t="s">
        <v>12</v>
      </c>
      <c r="CP10" s="2" t="s">
        <v>13</v>
      </c>
      <c r="CQ10" s="2" t="s">
        <v>14</v>
      </c>
      <c r="CR10" s="2" t="s">
        <v>15</v>
      </c>
      <c r="CS10" s="2" t="s">
        <v>16</v>
      </c>
      <c r="CT10" s="2" t="s">
        <v>17</v>
      </c>
      <c r="CU10" s="2" t="s">
        <v>18</v>
      </c>
      <c r="CV10" s="2" t="s">
        <v>19</v>
      </c>
      <c r="CW10" s="2" t="s">
        <v>20</v>
      </c>
      <c r="CX10" s="2" t="s">
        <v>21</v>
      </c>
      <c r="CY10" s="2" t="s">
        <v>22</v>
      </c>
      <c r="CZ10" s="2" t="s">
        <v>23</v>
      </c>
      <c r="DA10" s="2" t="s">
        <v>24</v>
      </c>
      <c r="DB10" s="2" t="s">
        <v>25</v>
      </c>
      <c r="DC10" s="2" t="s">
        <v>26</v>
      </c>
      <c r="DD10" s="2" t="s">
        <v>27</v>
      </c>
      <c r="DE10" s="2" t="s">
        <v>28</v>
      </c>
      <c r="DF10" s="2" t="s">
        <v>29</v>
      </c>
      <c r="DG10" s="2" t="s">
        <v>30</v>
      </c>
      <c r="DH10" s="2" t="s">
        <v>31</v>
      </c>
      <c r="DI10" s="2" t="s">
        <v>32</v>
      </c>
      <c r="DJ10" s="2" t="s">
        <v>33</v>
      </c>
      <c r="DK10" s="2" t="s">
        <v>34</v>
      </c>
      <c r="DL10" s="2" t="s">
        <v>35</v>
      </c>
      <c r="DM10" s="2" t="s">
        <v>36</v>
      </c>
      <c r="DN10" s="2" t="s">
        <v>37</v>
      </c>
      <c r="DO10" s="2" t="s">
        <v>38</v>
      </c>
      <c r="DP10" s="2" t="s">
        <v>39</v>
      </c>
      <c r="DQ10" s="2" t="s">
        <v>40</v>
      </c>
      <c r="DR10" s="2" t="s">
        <v>41</v>
      </c>
      <c r="DS10" s="2" t="s">
        <v>42</v>
      </c>
      <c r="DT10" s="2" t="s">
        <v>43</v>
      </c>
      <c r="DU10" s="2" t="s">
        <v>44</v>
      </c>
      <c r="DV10" s="2" t="s">
        <v>45</v>
      </c>
      <c r="DW10" s="2" t="s">
        <v>46</v>
      </c>
      <c r="DX10" s="2" t="s">
        <v>47</v>
      </c>
      <c r="DY10" s="2" t="s">
        <v>48</v>
      </c>
      <c r="EA10" s="2" t="s">
        <v>4</v>
      </c>
      <c r="EB10" s="2" t="s">
        <v>1</v>
      </c>
      <c r="EC10" s="2" t="s">
        <v>6</v>
      </c>
      <c r="ED10" s="2" t="s">
        <v>10</v>
      </c>
      <c r="EE10" s="2" t="s">
        <v>11</v>
      </c>
      <c r="EF10" s="2" t="s">
        <v>12</v>
      </c>
      <c r="EG10" s="2" t="s">
        <v>13</v>
      </c>
      <c r="EH10" s="2" t="s">
        <v>14</v>
      </c>
      <c r="EI10" s="2" t="s">
        <v>15</v>
      </c>
      <c r="EJ10" s="2" t="s">
        <v>16</v>
      </c>
      <c r="EK10" s="2" t="s">
        <v>17</v>
      </c>
      <c r="EL10" s="2" t="s">
        <v>18</v>
      </c>
      <c r="EM10" s="2" t="s">
        <v>19</v>
      </c>
      <c r="EN10" s="2" t="s">
        <v>20</v>
      </c>
      <c r="EO10" s="2" t="s">
        <v>21</v>
      </c>
      <c r="EP10" s="2" t="s">
        <v>22</v>
      </c>
      <c r="EQ10" s="2" t="s">
        <v>23</v>
      </c>
      <c r="ER10" s="2" t="s">
        <v>24</v>
      </c>
      <c r="ES10" s="2" t="s">
        <v>25</v>
      </c>
      <c r="ET10" s="2" t="s">
        <v>26</v>
      </c>
      <c r="EU10" s="2" t="s">
        <v>27</v>
      </c>
      <c r="EV10" s="2" t="s">
        <v>28</v>
      </c>
      <c r="EW10" s="2" t="s">
        <v>29</v>
      </c>
      <c r="EX10" s="2" t="s">
        <v>30</v>
      </c>
      <c r="EY10" s="2" t="s">
        <v>31</v>
      </c>
      <c r="EZ10" s="2" t="s">
        <v>32</v>
      </c>
      <c r="FA10" s="2" t="s">
        <v>33</v>
      </c>
      <c r="FB10" s="2" t="s">
        <v>34</v>
      </c>
      <c r="FC10" s="2" t="s">
        <v>35</v>
      </c>
      <c r="FD10" s="2" t="s">
        <v>36</v>
      </c>
      <c r="FE10" s="2" t="s">
        <v>37</v>
      </c>
      <c r="FF10" s="2" t="s">
        <v>38</v>
      </c>
      <c r="FG10" s="2" t="s">
        <v>39</v>
      </c>
      <c r="FH10" s="2" t="s">
        <v>40</v>
      </c>
      <c r="FI10" s="2" t="s">
        <v>41</v>
      </c>
      <c r="FJ10" s="2" t="s">
        <v>42</v>
      </c>
      <c r="FK10" s="2" t="s">
        <v>43</v>
      </c>
      <c r="FL10" s="2" t="s">
        <v>44</v>
      </c>
      <c r="FM10" s="2" t="s">
        <v>45</v>
      </c>
      <c r="FN10" s="2" t="s">
        <v>46</v>
      </c>
      <c r="FO10" s="2" t="s">
        <v>47</v>
      </c>
      <c r="FP10" s="2" t="s">
        <v>48</v>
      </c>
      <c r="FR10" s="2" t="s">
        <v>124</v>
      </c>
      <c r="FS10" s="2" t="s">
        <v>4</v>
      </c>
      <c r="FT10" s="2" t="s">
        <v>1</v>
      </c>
      <c r="FU10" s="2" t="s">
        <v>125</v>
      </c>
      <c r="FV10" s="2" t="s">
        <v>126</v>
      </c>
      <c r="FW10" s="2" t="s">
        <v>127</v>
      </c>
      <c r="FX10" s="2" t="s">
        <v>2</v>
      </c>
      <c r="FZ10" s="2" t="s">
        <v>4</v>
      </c>
      <c r="GA10" s="2" t="s">
        <v>6</v>
      </c>
      <c r="GB10" s="2" t="s">
        <v>10</v>
      </c>
      <c r="GC10" s="2" t="s">
        <v>11</v>
      </c>
      <c r="GD10" s="2" t="s">
        <v>12</v>
      </c>
      <c r="GE10" s="2" t="s">
        <v>13</v>
      </c>
      <c r="GF10" s="2" t="s">
        <v>14</v>
      </c>
      <c r="GG10" s="2" t="s">
        <v>15</v>
      </c>
      <c r="GH10" s="2" t="s">
        <v>16</v>
      </c>
      <c r="GI10" s="2" t="s">
        <v>17</v>
      </c>
      <c r="GJ10" s="2" t="s">
        <v>18</v>
      </c>
      <c r="GK10" s="2" t="s">
        <v>19</v>
      </c>
      <c r="GL10" s="2" t="s">
        <v>20</v>
      </c>
      <c r="GM10" s="2" t="s">
        <v>21</v>
      </c>
      <c r="GN10" s="2" t="s">
        <v>22</v>
      </c>
      <c r="GO10" s="2" t="s">
        <v>23</v>
      </c>
      <c r="GP10" s="2" t="s">
        <v>24</v>
      </c>
      <c r="GQ10" s="2" t="s">
        <v>25</v>
      </c>
      <c r="GR10" s="2" t="s">
        <v>26</v>
      </c>
      <c r="GS10" s="2" t="s">
        <v>27</v>
      </c>
      <c r="GT10" s="2" t="s">
        <v>28</v>
      </c>
      <c r="GU10" s="2" t="s">
        <v>29</v>
      </c>
      <c r="GV10" s="2" t="s">
        <v>30</v>
      </c>
      <c r="GW10" s="2" t="s">
        <v>31</v>
      </c>
      <c r="GX10" s="2" t="s">
        <v>32</v>
      </c>
      <c r="GY10" s="2" t="s">
        <v>33</v>
      </c>
      <c r="GZ10" s="2" t="s">
        <v>34</v>
      </c>
      <c r="HA10" s="2" t="s">
        <v>35</v>
      </c>
      <c r="HB10" s="2" t="s">
        <v>36</v>
      </c>
      <c r="HC10" s="2" t="s">
        <v>37</v>
      </c>
      <c r="HD10" s="2" t="s">
        <v>38</v>
      </c>
      <c r="HE10" s="2" t="s">
        <v>39</v>
      </c>
      <c r="HF10" s="2" t="s">
        <v>40</v>
      </c>
      <c r="HG10" s="2" t="s">
        <v>41</v>
      </c>
      <c r="HH10" s="2" t="s">
        <v>42</v>
      </c>
      <c r="HI10" s="2" t="s">
        <v>43</v>
      </c>
      <c r="HJ10" s="2" t="s">
        <v>44</v>
      </c>
      <c r="HK10" s="2" t="s">
        <v>45</v>
      </c>
      <c r="HL10" s="2" t="s">
        <v>46</v>
      </c>
      <c r="HM10" s="2" t="s">
        <v>47</v>
      </c>
      <c r="HN10" s="2" t="s">
        <v>48</v>
      </c>
      <c r="HP10" s="2" t="s">
        <v>4</v>
      </c>
      <c r="HQ10" s="2" t="s">
        <v>1</v>
      </c>
      <c r="HR10" s="2" t="s">
        <v>128</v>
      </c>
      <c r="HS10" s="2" t="s">
        <v>129</v>
      </c>
    </row>
    <row r="11" spans="1:227" x14ac:dyDescent="0.45">
      <c r="B11" s="3" t="s">
        <v>130</v>
      </c>
      <c r="C11" s="3" t="s">
        <v>131</v>
      </c>
      <c r="D11" s="5">
        <v>0</v>
      </c>
      <c r="E11" s="5">
        <v>0</v>
      </c>
      <c r="F11" s="5">
        <v>0.92324154704045158</v>
      </c>
      <c r="G11" s="5">
        <v>0.36150146660386456</v>
      </c>
      <c r="H11" s="5">
        <v>0.24313914511315518</v>
      </c>
      <c r="I11" s="5">
        <v>0.26507875067221248</v>
      </c>
      <c r="J11" s="5">
        <v>0.37633015204716191</v>
      </c>
      <c r="K11" s="5">
        <v>0.84721669549856327</v>
      </c>
      <c r="L11" s="5">
        <v>0</v>
      </c>
      <c r="M11" s="5">
        <v>0</v>
      </c>
      <c r="N11" s="5">
        <v>0</v>
      </c>
      <c r="O11" s="5">
        <v>0.66689196465031808</v>
      </c>
      <c r="P11" s="5">
        <v>0.34208155741702895</v>
      </c>
      <c r="Q11" s="5">
        <v>0.20859167025018377</v>
      </c>
      <c r="R11" s="5">
        <v>0.17578536458407953</v>
      </c>
      <c r="S11" s="5">
        <v>0.16231015026240789</v>
      </c>
      <c r="T11" s="5">
        <v>0.18602769157954188</v>
      </c>
      <c r="U11" s="5">
        <v>0.28333561303790961</v>
      </c>
      <c r="V11" s="5">
        <v>0.65582801374913224</v>
      </c>
      <c r="W11" s="5">
        <v>0</v>
      </c>
      <c r="X11" s="5">
        <v>0</v>
      </c>
      <c r="Y11" s="5">
        <v>0.41522691270450696</v>
      </c>
      <c r="Z11" s="5">
        <v>0.22861911379926952</v>
      </c>
      <c r="AA11" s="5">
        <v>0.15733482074321911</v>
      </c>
      <c r="AB11" s="5">
        <v>0.12551393345691186</v>
      </c>
      <c r="AC11" s="5">
        <v>0.12659944312608631</v>
      </c>
      <c r="AD11" s="5">
        <v>0.14723958974981829</v>
      </c>
      <c r="AE11" s="5">
        <v>0.19857411035692771</v>
      </c>
      <c r="AF11" s="5">
        <v>0.36951875051024607</v>
      </c>
      <c r="AG11" s="5">
        <v>0</v>
      </c>
      <c r="AH11" s="5">
        <v>0</v>
      </c>
      <c r="AI11" s="5">
        <v>0.96498178411804969</v>
      </c>
      <c r="AJ11" s="5">
        <v>0.53345562676624536</v>
      </c>
      <c r="AK11" s="5">
        <v>0.27675407568536936</v>
      </c>
      <c r="AL11" s="5">
        <v>0.22247975585443189</v>
      </c>
      <c r="AM11" s="5">
        <v>0.22233210849327881</v>
      </c>
      <c r="AN11" s="5">
        <v>0.28486156643626576</v>
      </c>
      <c r="AO11" s="5">
        <v>0.62450605691051753</v>
      </c>
      <c r="AP11" s="5">
        <v>0.97152752756477279</v>
      </c>
      <c r="AQ11" s="5">
        <v>0</v>
      </c>
      <c r="AS11" s="3" t="s">
        <v>130</v>
      </c>
      <c r="AT11" s="3" t="s">
        <v>132</v>
      </c>
      <c r="AU11" s="5">
        <v>0</v>
      </c>
      <c r="AV11" s="4">
        <v>0</v>
      </c>
      <c r="AW11" s="5">
        <v>0.85662026201374819</v>
      </c>
      <c r="AX11" s="5">
        <v>0.23501015857085189</v>
      </c>
      <c r="AY11" s="5">
        <v>0.13668538522810175</v>
      </c>
      <c r="AZ11" s="5">
        <v>0.11520197431659468</v>
      </c>
      <c r="BA11" s="5">
        <v>5.3387458562245083E-2</v>
      </c>
      <c r="BB11" s="5">
        <v>0.16545335512176415</v>
      </c>
      <c r="BC11" s="5">
        <v>0</v>
      </c>
      <c r="BD11" s="5">
        <v>0</v>
      </c>
      <c r="BE11" s="5">
        <v>0</v>
      </c>
      <c r="BF11" s="5">
        <v>0.50435368604431707</v>
      </c>
      <c r="BG11" s="5">
        <v>0.21637908774059586</v>
      </c>
      <c r="BH11" s="5">
        <v>0.1109074088687315</v>
      </c>
      <c r="BI11" s="5">
        <v>6.4772995129070046E-2</v>
      </c>
      <c r="BJ11" s="5">
        <v>2.9038373818767397E-2</v>
      </c>
      <c r="BK11" s="5">
        <v>1.8693835519244219E-2</v>
      </c>
      <c r="BL11" s="4">
        <v>5.9643316117318497E-2</v>
      </c>
      <c r="BM11" s="5">
        <v>0.34772028720012826</v>
      </c>
      <c r="BN11" s="5">
        <v>0</v>
      </c>
      <c r="BO11" s="5">
        <v>0</v>
      </c>
      <c r="BP11" s="5">
        <v>0.27486993864128112</v>
      </c>
      <c r="BQ11" s="5">
        <v>0.14951429174538558</v>
      </c>
      <c r="BR11" s="5">
        <v>8.713934800988013E-2</v>
      </c>
      <c r="BS11" s="5">
        <v>6.0117609095233761E-2</v>
      </c>
      <c r="BT11" s="4">
        <v>2.7641423526719649E-2</v>
      </c>
      <c r="BU11" s="5">
        <v>2.2727881339782031E-2</v>
      </c>
      <c r="BV11" s="5">
        <v>4.5918683121198511E-2</v>
      </c>
      <c r="BW11" s="5">
        <v>0.19983344329400365</v>
      </c>
      <c r="BX11" s="5">
        <v>0</v>
      </c>
      <c r="BY11" s="5">
        <v>0</v>
      </c>
      <c r="BZ11" s="4">
        <v>0.93845203445398007</v>
      </c>
      <c r="CA11" s="4">
        <v>0.37361925451274186</v>
      </c>
      <c r="CB11" s="5">
        <v>0.16764927691032133</v>
      </c>
      <c r="CC11" s="5">
        <v>0.10304068081295699</v>
      </c>
      <c r="CD11" s="5">
        <v>4.0253232233378081E-2</v>
      </c>
      <c r="CE11" s="5">
        <v>3.9969122880975892E-2</v>
      </c>
      <c r="CF11" s="4">
        <v>0.1183920611142841</v>
      </c>
      <c r="CG11" s="5">
        <v>8.7094301063452201E-2</v>
      </c>
      <c r="CH11" s="5">
        <v>0</v>
      </c>
      <c r="CJ11" s="3" t="s">
        <v>130</v>
      </c>
      <c r="CK11" s="3" t="s">
        <v>133</v>
      </c>
      <c r="CL11" s="5">
        <v>0</v>
      </c>
      <c r="CM11" s="5">
        <v>0</v>
      </c>
      <c r="CN11" s="5">
        <v>0</v>
      </c>
      <c r="CO11" s="5">
        <v>0</v>
      </c>
      <c r="CP11" s="4">
        <v>0</v>
      </c>
      <c r="CQ11" s="5">
        <v>3.9855038219730694E-2</v>
      </c>
      <c r="CR11" s="5">
        <v>0.19648540808379686</v>
      </c>
      <c r="CS11" s="5">
        <v>0.57078640218710863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2.3814850541015843E-3</v>
      </c>
      <c r="CZ11" s="5">
        <v>3.1177112353275038E-2</v>
      </c>
      <c r="DA11" s="5">
        <v>6.0627360837318817E-2</v>
      </c>
      <c r="DB11" s="5">
        <v>7.8056330442646288E-2</v>
      </c>
      <c r="DC11" s="5">
        <v>7.7534875824580504E-2</v>
      </c>
      <c r="DD11" s="5">
        <v>3.8783312957620053E-2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1.0830509547929775E-2</v>
      </c>
      <c r="DK11" s="5">
        <v>4.9262755062099504E-2</v>
      </c>
      <c r="DL11" s="5">
        <v>6.0930743269210073E-2</v>
      </c>
      <c r="DM11" s="5">
        <v>6.6513473162860035E-2</v>
      </c>
      <c r="DN11" s="5">
        <v>2.2350822907506514E-2</v>
      </c>
      <c r="DO11" s="4">
        <v>0</v>
      </c>
      <c r="DP11" s="5">
        <v>0</v>
      </c>
      <c r="DQ11" s="5">
        <v>0</v>
      </c>
      <c r="DR11" s="5">
        <v>0</v>
      </c>
      <c r="DS11" s="5">
        <v>0</v>
      </c>
      <c r="DT11" s="4">
        <v>2.6581016215954288E-2</v>
      </c>
      <c r="DU11" s="5">
        <v>8.4530762164996526E-2</v>
      </c>
      <c r="DV11" s="5">
        <v>0.12213396568391943</v>
      </c>
      <c r="DW11" s="5">
        <v>0.19320746702434893</v>
      </c>
      <c r="DX11" s="5">
        <v>0</v>
      </c>
      <c r="DY11" s="5">
        <v>0</v>
      </c>
      <c r="EA11" s="3" t="s">
        <v>130</v>
      </c>
      <c r="EB11" s="3" t="s">
        <v>134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4">
        <v>6.1604600314237173E-3</v>
      </c>
      <c r="ET11" s="5">
        <v>4.9143113315424626E-2</v>
      </c>
      <c r="EU11" s="5">
        <v>0.11482100613167824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4">
        <v>1.5455178375867759E-2</v>
      </c>
      <c r="FE11" s="5">
        <v>2.804599851806628E-2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1.2227022272282785E-2</v>
      </c>
      <c r="FN11" s="5">
        <v>0.15590422933697776</v>
      </c>
      <c r="FO11" s="5">
        <v>0.85774290980998047</v>
      </c>
      <c r="FP11" s="5">
        <v>0</v>
      </c>
      <c r="FR11" s="3" t="s">
        <v>135</v>
      </c>
      <c r="FS11" s="3" t="s">
        <v>136</v>
      </c>
      <c r="FT11" s="3" t="s">
        <v>137</v>
      </c>
      <c r="FU11" s="9">
        <v>0</v>
      </c>
      <c r="FV11" s="3" t="s">
        <v>138</v>
      </c>
      <c r="FW11" s="10">
        <v>3</v>
      </c>
      <c r="FX11" s="3" t="s">
        <v>139</v>
      </c>
      <c r="FZ11" s="3" t="s">
        <v>130</v>
      </c>
      <c r="GA11" s="5">
        <v>0</v>
      </c>
      <c r="GB11" s="5">
        <v>0</v>
      </c>
      <c r="GC11" s="4">
        <v>2.2973720620388066E-3</v>
      </c>
      <c r="GD11" s="5">
        <v>0.10857780906076257</v>
      </c>
      <c r="GE11" s="5">
        <v>0.26367673999371216</v>
      </c>
      <c r="GF11" s="5">
        <v>0.25971807159384652</v>
      </c>
      <c r="GG11" s="5">
        <v>0.12166053585368546</v>
      </c>
      <c r="GH11" s="5">
        <v>9.5477140075525668E-3</v>
      </c>
      <c r="GI11" s="5">
        <v>0</v>
      </c>
      <c r="GJ11" s="5">
        <v>0</v>
      </c>
      <c r="GK11" s="4">
        <v>0</v>
      </c>
      <c r="GL11" s="5">
        <v>6.6533425322273833E-3</v>
      </c>
      <c r="GM11" s="5">
        <v>0.12164741474298051</v>
      </c>
      <c r="GN11" s="5">
        <v>0.3308361428430886</v>
      </c>
      <c r="GO11" s="5">
        <v>0.4516590453294132</v>
      </c>
      <c r="GP11" s="5">
        <v>0.44690177113318397</v>
      </c>
      <c r="GQ11" s="5">
        <v>0.32162051207087788</v>
      </c>
      <c r="GR11" s="5">
        <v>0.12036212955373543</v>
      </c>
      <c r="GS11" s="5">
        <v>5.9720325537006421E-3</v>
      </c>
      <c r="GT11" s="4">
        <v>0</v>
      </c>
      <c r="GU11" s="4">
        <v>0</v>
      </c>
      <c r="GV11" s="5">
        <v>1.5636620156992079E-2</v>
      </c>
      <c r="GW11" s="5">
        <v>0.15278367706521123</v>
      </c>
      <c r="GX11" s="5">
        <v>0.36989534665414464</v>
      </c>
      <c r="GY11" s="5">
        <v>0.49115220790272474</v>
      </c>
      <c r="GZ11" s="5">
        <v>0.480064413276512</v>
      </c>
      <c r="HA11" s="5">
        <v>0.36116600056131021</v>
      </c>
      <c r="HB11" s="5">
        <v>0.16849847051513792</v>
      </c>
      <c r="HC11" s="5">
        <v>1.87000999707903E-2</v>
      </c>
      <c r="HD11" s="4">
        <v>0</v>
      </c>
      <c r="HE11" s="5">
        <v>0</v>
      </c>
      <c r="HF11" s="4">
        <v>4.7902116337435016E-5</v>
      </c>
      <c r="HG11" s="5">
        <v>4.2656332435030982E-2</v>
      </c>
      <c r="HH11" s="5">
        <v>0.21268171130293845</v>
      </c>
      <c r="HI11" s="5">
        <v>0.32750154472204268</v>
      </c>
      <c r="HJ11" s="5">
        <v>0.31370547853724134</v>
      </c>
      <c r="HK11" s="5">
        <v>0.17972484445198533</v>
      </c>
      <c r="HL11" s="5">
        <v>2.7655526833912831E-2</v>
      </c>
      <c r="HM11" s="4">
        <v>4.6435799169437934E-5</v>
      </c>
      <c r="HN11" s="5">
        <v>0</v>
      </c>
      <c r="HP11" s="3" t="s">
        <v>130</v>
      </c>
      <c r="HQ11" s="3" t="s">
        <v>140</v>
      </c>
      <c r="HR11" s="3" t="s">
        <v>141</v>
      </c>
      <c r="HS11" s="5">
        <v>0.40678563771084719</v>
      </c>
    </row>
    <row r="12" spans="1:227" x14ac:dyDescent="0.45">
      <c r="B12" s="6" t="s">
        <v>142</v>
      </c>
      <c r="C12" s="6" t="s">
        <v>131</v>
      </c>
      <c r="D12" s="8">
        <v>0</v>
      </c>
      <c r="E12" s="8">
        <v>0</v>
      </c>
      <c r="F12" s="8">
        <v>0.91909986041866831</v>
      </c>
      <c r="G12" s="8">
        <v>0.36996834346646945</v>
      </c>
      <c r="H12" s="8">
        <v>0.28963628479359088</v>
      </c>
      <c r="I12" s="8">
        <v>0.31145780231760128</v>
      </c>
      <c r="J12" s="8">
        <v>0.38933963935849764</v>
      </c>
      <c r="K12" s="8">
        <v>0.84811168150411642</v>
      </c>
      <c r="L12" s="8">
        <v>0</v>
      </c>
      <c r="M12" s="8">
        <v>0</v>
      </c>
      <c r="N12" s="8">
        <v>0</v>
      </c>
      <c r="O12" s="8">
        <v>0.69650376054582241</v>
      </c>
      <c r="P12" s="8">
        <v>0.35099762623734349</v>
      </c>
      <c r="Q12" s="8">
        <v>0.21273259068726527</v>
      </c>
      <c r="R12" s="8">
        <v>0.17842327598001217</v>
      </c>
      <c r="S12" s="8">
        <v>0.19307994067818246</v>
      </c>
      <c r="T12" s="8">
        <v>0.20413798308547421</v>
      </c>
      <c r="U12" s="8">
        <v>0.28932029692283312</v>
      </c>
      <c r="V12" s="8">
        <v>0.6920703069865024</v>
      </c>
      <c r="W12" s="8">
        <v>0</v>
      </c>
      <c r="X12" s="8">
        <v>0</v>
      </c>
      <c r="Y12" s="8">
        <v>0.45095726734958508</v>
      </c>
      <c r="Z12" s="8">
        <v>0.227277518725823</v>
      </c>
      <c r="AA12" s="8">
        <v>0.154292239990724</v>
      </c>
      <c r="AB12" s="8">
        <v>0.12997220517373204</v>
      </c>
      <c r="AC12" s="8">
        <v>0.14345964201536218</v>
      </c>
      <c r="AD12" s="8">
        <v>0.15797517450663948</v>
      </c>
      <c r="AE12" s="8">
        <v>0.20963359854423125</v>
      </c>
      <c r="AF12" s="8">
        <v>0.40371466030316283</v>
      </c>
      <c r="AG12" s="8">
        <v>0</v>
      </c>
      <c r="AH12" s="8">
        <v>0</v>
      </c>
      <c r="AI12" s="8">
        <v>0.97252747252747229</v>
      </c>
      <c r="AJ12" s="8">
        <v>0.52731814255630183</v>
      </c>
      <c r="AK12" s="8">
        <v>0.28768264612937111</v>
      </c>
      <c r="AL12" s="8">
        <v>0.265604386683926</v>
      </c>
      <c r="AM12" s="8">
        <v>0.26442484784420028</v>
      </c>
      <c r="AN12" s="8">
        <v>0.29611717939485627</v>
      </c>
      <c r="AO12" s="8">
        <v>0.61988604424376659</v>
      </c>
      <c r="AP12" s="8">
        <v>0.98351648351648369</v>
      </c>
      <c r="AQ12" s="8">
        <v>0</v>
      </c>
      <c r="AS12" s="6" t="s">
        <v>142</v>
      </c>
      <c r="AT12" s="6" t="s">
        <v>132</v>
      </c>
      <c r="AU12" s="8">
        <v>0</v>
      </c>
      <c r="AV12" s="7">
        <v>0</v>
      </c>
      <c r="AW12" s="8">
        <v>0.84761431571943824</v>
      </c>
      <c r="AX12" s="8">
        <v>0.2441143293216877</v>
      </c>
      <c r="AY12" s="8">
        <v>0.17289834914166224</v>
      </c>
      <c r="AZ12" s="8">
        <v>0.1459242489172928</v>
      </c>
      <c r="BA12" s="8">
        <v>6.3101174966521248E-2</v>
      </c>
      <c r="BB12" s="8">
        <v>0.24963169497700755</v>
      </c>
      <c r="BC12" s="8">
        <v>0</v>
      </c>
      <c r="BD12" s="8">
        <v>0</v>
      </c>
      <c r="BE12" s="8">
        <v>0</v>
      </c>
      <c r="BF12" s="8">
        <v>0.54140447793166391</v>
      </c>
      <c r="BG12" s="8">
        <v>0.22074002437829368</v>
      </c>
      <c r="BH12" s="8">
        <v>0.11893777248116166</v>
      </c>
      <c r="BI12" s="8">
        <v>7.6286392426233682E-2</v>
      </c>
      <c r="BJ12" s="8">
        <v>3.5961201168456004E-2</v>
      </c>
      <c r="BK12" s="8">
        <v>2.5778253668424879E-2</v>
      </c>
      <c r="BL12" s="7">
        <v>6.6977758107332294E-2</v>
      </c>
      <c r="BM12" s="8">
        <v>0.38240878988543153</v>
      </c>
      <c r="BN12" s="8">
        <v>0</v>
      </c>
      <c r="BO12" s="8">
        <v>0</v>
      </c>
      <c r="BP12" s="8">
        <v>0.2968010592521621</v>
      </c>
      <c r="BQ12" s="8">
        <v>0.14426510517129809</v>
      </c>
      <c r="BR12" s="8">
        <v>8.0422153825477391E-2</v>
      </c>
      <c r="BS12" s="8">
        <v>5.6125658960889814E-2</v>
      </c>
      <c r="BT12" s="7">
        <v>3.5365713039501714E-2</v>
      </c>
      <c r="BU12" s="8">
        <v>2.280866780875521E-2</v>
      </c>
      <c r="BV12" s="8">
        <v>4.9082545450731825E-2</v>
      </c>
      <c r="BW12" s="8">
        <v>0.26216872768204985</v>
      </c>
      <c r="BX12" s="8">
        <v>0</v>
      </c>
      <c r="BY12" s="8">
        <v>0</v>
      </c>
      <c r="BZ12" s="7">
        <v>0.94580968482067396</v>
      </c>
      <c r="CA12" s="7">
        <v>0.3695444373410271</v>
      </c>
      <c r="CB12" s="8">
        <v>0.17310325231630574</v>
      </c>
      <c r="CC12" s="8">
        <v>0.10765508319929401</v>
      </c>
      <c r="CD12" s="8">
        <v>4.9497417060941261E-2</v>
      </c>
      <c r="CE12" s="8">
        <v>4.0227526035250302E-2</v>
      </c>
      <c r="CF12" s="7">
        <v>0.12532234507503617</v>
      </c>
      <c r="CG12" s="8">
        <v>0</v>
      </c>
      <c r="CH12" s="8">
        <v>0</v>
      </c>
      <c r="CJ12" s="6" t="s">
        <v>142</v>
      </c>
      <c r="CK12" s="6" t="s">
        <v>133</v>
      </c>
      <c r="CL12" s="8">
        <v>0</v>
      </c>
      <c r="CM12" s="8">
        <v>0</v>
      </c>
      <c r="CN12" s="8">
        <v>0</v>
      </c>
      <c r="CO12" s="8">
        <v>0</v>
      </c>
      <c r="CP12" s="7">
        <v>0</v>
      </c>
      <c r="CQ12" s="8">
        <v>4.3328759324403728E-2</v>
      </c>
      <c r="CR12" s="8">
        <v>0.19575262477296837</v>
      </c>
      <c r="CS12" s="8">
        <v>0.4883721488774968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3.2456463290382251E-2</v>
      </c>
      <c r="DA12" s="8">
        <v>8.0430677398754646E-2</v>
      </c>
      <c r="DB12" s="8">
        <v>9.1106152825583445E-2</v>
      </c>
      <c r="DC12" s="8">
        <v>5.8995947041240074E-2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4.9386261065881652E-3</v>
      </c>
      <c r="DK12" s="8">
        <v>3.5228533709650851E-2</v>
      </c>
      <c r="DL12" s="8">
        <v>5.8965265684568051E-2</v>
      </c>
      <c r="DM12" s="8">
        <v>7.5359045047373341E-2</v>
      </c>
      <c r="DN12" s="8">
        <v>0</v>
      </c>
      <c r="DO12" s="7">
        <v>0</v>
      </c>
      <c r="DP12" s="8">
        <v>0</v>
      </c>
      <c r="DQ12" s="8">
        <v>0</v>
      </c>
      <c r="DR12" s="8">
        <v>0</v>
      </c>
      <c r="DS12" s="8">
        <v>0</v>
      </c>
      <c r="DT12" s="7">
        <v>3.405390097935259E-2</v>
      </c>
      <c r="DU12" s="8">
        <v>9.0215879409645969E-2</v>
      </c>
      <c r="DV12" s="8">
        <v>0.13751312527146678</v>
      </c>
      <c r="DW12" s="8">
        <v>0.16751292855141861</v>
      </c>
      <c r="DX12" s="8">
        <v>0</v>
      </c>
      <c r="DY12" s="8">
        <v>0</v>
      </c>
      <c r="EA12" s="6" t="s">
        <v>142</v>
      </c>
      <c r="EB12" s="6" t="s">
        <v>134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7">
        <v>3.6799114466843745E-3</v>
      </c>
      <c r="ET12" s="8">
        <v>6.4107770617798807E-2</v>
      </c>
      <c r="EU12" s="8">
        <v>0.16210878186462102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7">
        <v>1.4598488323020409E-2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1.1058005186145225E-2</v>
      </c>
      <c r="FN12" s="8">
        <v>0.16545042088677397</v>
      </c>
      <c r="FO12" s="8">
        <v>0.96730467334862935</v>
      </c>
      <c r="FP12" s="8">
        <v>0</v>
      </c>
      <c r="FZ12" s="6" t="s">
        <v>142</v>
      </c>
      <c r="GA12" s="8">
        <v>0</v>
      </c>
      <c r="GB12" s="8">
        <v>0</v>
      </c>
      <c r="GC12" s="7">
        <v>3.1253512506788151E-3</v>
      </c>
      <c r="GD12" s="8">
        <v>0.11615881258546076</v>
      </c>
      <c r="GE12" s="8">
        <v>0.24207368953744537</v>
      </c>
      <c r="GF12" s="8">
        <v>0.24203868287103739</v>
      </c>
      <c r="GG12" s="8">
        <v>0.12530020137894632</v>
      </c>
      <c r="GH12" s="8">
        <v>1.0175619076024362E-2</v>
      </c>
      <c r="GI12" s="8">
        <v>0</v>
      </c>
      <c r="GJ12" s="8">
        <v>0</v>
      </c>
      <c r="GK12" s="7">
        <v>0</v>
      </c>
      <c r="GL12" s="8">
        <v>6.2232328052534173E-3</v>
      </c>
      <c r="GM12" s="8">
        <v>0.12143558282717101</v>
      </c>
      <c r="GN12" s="8">
        <v>0.33434677755978603</v>
      </c>
      <c r="GO12" s="8">
        <v>0.44886204429655252</v>
      </c>
      <c r="GP12" s="8">
        <v>0.4295778940415555</v>
      </c>
      <c r="GQ12" s="8">
        <v>0.31532677029853978</v>
      </c>
      <c r="GR12" s="8">
        <v>0.1184220990958087</v>
      </c>
      <c r="GS12" s="8">
        <v>5.2930995212463663E-3</v>
      </c>
      <c r="GT12" s="7">
        <v>0</v>
      </c>
      <c r="GU12" s="7">
        <v>0</v>
      </c>
      <c r="GV12" s="8">
        <v>1.4708141402780556E-2</v>
      </c>
      <c r="GW12" s="8">
        <v>0.1590006175986009</v>
      </c>
      <c r="GX12" s="8">
        <v>0.38880774911745919</v>
      </c>
      <c r="GY12" s="8">
        <v>0.52235967748481205</v>
      </c>
      <c r="GZ12" s="8">
        <v>0.5073904266230076</v>
      </c>
      <c r="HA12" s="8">
        <v>0.386192992282271</v>
      </c>
      <c r="HB12" s="8">
        <v>0.17914375504998287</v>
      </c>
      <c r="HC12" s="8">
        <v>1.6658033462887065E-2</v>
      </c>
      <c r="HD12" s="7">
        <v>0</v>
      </c>
      <c r="HE12" s="8">
        <v>0</v>
      </c>
      <c r="HF12" s="7">
        <v>4.461404974558057E-5</v>
      </c>
      <c r="HG12" s="8">
        <v>4.6827613126693625E-2</v>
      </c>
      <c r="HH12" s="8">
        <v>0.22281480319610422</v>
      </c>
      <c r="HI12" s="8">
        <v>0.33489928444003308</v>
      </c>
      <c r="HJ12" s="8">
        <v>0.30963949249118344</v>
      </c>
      <c r="HK12" s="8">
        <v>0.1784393853045049</v>
      </c>
      <c r="HL12" s="8">
        <v>2.9775566857385589E-2</v>
      </c>
      <c r="HM12" s="7">
        <v>2.4239941830145286E-5</v>
      </c>
      <c r="HN12" s="8">
        <v>0</v>
      </c>
      <c r="HP12" s="6" t="s">
        <v>142</v>
      </c>
      <c r="HQ12" s="6" t="s">
        <v>140</v>
      </c>
      <c r="HR12" s="6" t="s">
        <v>141</v>
      </c>
      <c r="HS12" s="8">
        <v>0.48627747445525027</v>
      </c>
    </row>
    <row r="13" spans="1:227" x14ac:dyDescent="0.45">
      <c r="B13" s="3" t="s">
        <v>143</v>
      </c>
      <c r="C13" s="3" t="s">
        <v>131</v>
      </c>
      <c r="D13" s="5">
        <v>0</v>
      </c>
      <c r="E13" s="5">
        <v>0</v>
      </c>
      <c r="F13" s="5">
        <v>0.97222222222222232</v>
      </c>
      <c r="G13" s="5">
        <v>0.5253384554938515</v>
      </c>
      <c r="H13" s="5">
        <v>0.30388508680636034</v>
      </c>
      <c r="I13" s="5">
        <v>0.30218811529260181</v>
      </c>
      <c r="J13" s="5">
        <v>0.44197811732892561</v>
      </c>
      <c r="K13" s="5">
        <v>0.86688409071773576</v>
      </c>
      <c r="L13" s="5">
        <v>0</v>
      </c>
      <c r="M13" s="5">
        <v>0</v>
      </c>
      <c r="N13" s="5">
        <v>0</v>
      </c>
      <c r="O13" s="5">
        <v>0.64611867055688244</v>
      </c>
      <c r="P13" s="5">
        <v>0.34306577334022209</v>
      </c>
      <c r="Q13" s="5">
        <v>0.20190175343910494</v>
      </c>
      <c r="R13" s="5">
        <v>0.16755071444014097</v>
      </c>
      <c r="S13" s="5">
        <v>0.16261469823401309</v>
      </c>
      <c r="T13" s="5">
        <v>0.18085174324739872</v>
      </c>
      <c r="U13" s="5">
        <v>0.26924230049212633</v>
      </c>
      <c r="V13" s="5">
        <v>0.580336259692388</v>
      </c>
      <c r="W13" s="5">
        <v>0.98550724637681164</v>
      </c>
      <c r="X13" s="5">
        <v>0.98260869565217424</v>
      </c>
      <c r="Y13" s="5">
        <v>0.37391534916548447</v>
      </c>
      <c r="Z13" s="5">
        <v>0.23089087154134316</v>
      </c>
      <c r="AA13" s="5">
        <v>0.1612505874636915</v>
      </c>
      <c r="AB13" s="5">
        <v>0.14181927019953339</v>
      </c>
      <c r="AC13" s="5">
        <v>0.14034367536366499</v>
      </c>
      <c r="AD13" s="5">
        <v>0.14567477697891792</v>
      </c>
      <c r="AE13" s="5">
        <v>0.18002824788755328</v>
      </c>
      <c r="AF13" s="5">
        <v>0.32407479397741806</v>
      </c>
      <c r="AG13" s="5">
        <v>0.83659023683798239</v>
      </c>
      <c r="AH13" s="5">
        <v>0</v>
      </c>
      <c r="AI13" s="5">
        <v>0.97802197802197854</v>
      </c>
      <c r="AJ13" s="5">
        <v>0.62321927098289809</v>
      </c>
      <c r="AK13" s="5">
        <v>0.31577070015559439</v>
      </c>
      <c r="AL13" s="5">
        <v>0.24303499063014083</v>
      </c>
      <c r="AM13" s="5">
        <v>0.23353641304009648</v>
      </c>
      <c r="AN13" s="5">
        <v>0.31604165463658174</v>
      </c>
      <c r="AO13" s="5">
        <v>0.64612332621451851</v>
      </c>
      <c r="AP13" s="5">
        <v>0.95054945054945084</v>
      </c>
      <c r="AQ13" s="5">
        <v>0</v>
      </c>
      <c r="AS13" s="3" t="s">
        <v>143</v>
      </c>
      <c r="AT13" s="3" t="s">
        <v>132</v>
      </c>
      <c r="AU13" s="5">
        <v>0</v>
      </c>
      <c r="AV13" s="4">
        <v>0</v>
      </c>
      <c r="AW13" s="5">
        <v>0.94521604938271619</v>
      </c>
      <c r="AX13" s="5">
        <v>0.35134627969249332</v>
      </c>
      <c r="AY13" s="5">
        <v>0.18795621679709487</v>
      </c>
      <c r="AZ13" s="5">
        <v>0.11408698629724659</v>
      </c>
      <c r="BA13" s="5">
        <v>6.141232075444928E-2</v>
      </c>
      <c r="BB13" s="5">
        <v>0.10740293257042791</v>
      </c>
      <c r="BC13" s="5">
        <v>0</v>
      </c>
      <c r="BD13" s="5">
        <v>0</v>
      </c>
      <c r="BE13" s="5">
        <v>0</v>
      </c>
      <c r="BF13" s="5">
        <v>0.47636381944263728</v>
      </c>
      <c r="BG13" s="5">
        <v>0.21750213112083855</v>
      </c>
      <c r="BH13" s="5">
        <v>0.10215006044101922</v>
      </c>
      <c r="BI13" s="5">
        <v>5.1808901733657306E-2</v>
      </c>
      <c r="BJ13" s="5">
        <v>2.7875565334416919E-2</v>
      </c>
      <c r="BK13" s="5">
        <v>4.5366586794370736E-2</v>
      </c>
      <c r="BL13" s="4">
        <v>7.8036254399994828E-2</v>
      </c>
      <c r="BM13" s="5">
        <v>0.26884733415729639</v>
      </c>
      <c r="BN13" s="5">
        <v>0.36927043534449799</v>
      </c>
      <c r="BO13" s="5">
        <v>0.96551984877126651</v>
      </c>
      <c r="BP13" s="5">
        <v>0.24727340960453029</v>
      </c>
      <c r="BQ13" s="5">
        <v>0.14774792279908233</v>
      </c>
      <c r="BR13" s="5">
        <v>9.2396838299535697E-2</v>
      </c>
      <c r="BS13" s="5">
        <v>7.7702122093680243E-2</v>
      </c>
      <c r="BT13" s="4">
        <v>3.9776008696064194E-2</v>
      </c>
      <c r="BU13" s="5">
        <v>2.0822642613732838E-2</v>
      </c>
      <c r="BV13" s="5">
        <v>4.7821697748196931E-2</v>
      </c>
      <c r="BW13" s="5">
        <v>0.16250965613372192</v>
      </c>
      <c r="BX13" s="5">
        <v>0.6938935234364042</v>
      </c>
      <c r="BY13" s="5">
        <v>0</v>
      </c>
      <c r="BZ13" s="4">
        <v>0.95652698949402248</v>
      </c>
      <c r="CA13" s="4">
        <v>0.47170653160215309</v>
      </c>
      <c r="CB13" s="5">
        <v>0.19994972425685001</v>
      </c>
      <c r="CC13" s="5">
        <v>0.11262627890407099</v>
      </c>
      <c r="CD13" s="5">
        <v>5.2867034497963421E-2</v>
      </c>
      <c r="CE13" s="5">
        <v>3.8196916653394163E-2</v>
      </c>
      <c r="CF13" s="4">
        <v>0.13618974354971253</v>
      </c>
      <c r="CG13" s="5">
        <v>0.22144577756651512</v>
      </c>
      <c r="CH13" s="5">
        <v>0</v>
      </c>
      <c r="CJ13" s="3" t="s">
        <v>143</v>
      </c>
      <c r="CK13" s="3" t="s">
        <v>133</v>
      </c>
      <c r="CL13" s="5">
        <v>0</v>
      </c>
      <c r="CM13" s="5">
        <v>0</v>
      </c>
      <c r="CN13" s="5">
        <v>0</v>
      </c>
      <c r="CO13" s="5">
        <v>0</v>
      </c>
      <c r="CP13" s="4">
        <v>0</v>
      </c>
      <c r="CQ13" s="5">
        <v>7.453323089942536E-2</v>
      </c>
      <c r="CR13" s="5">
        <v>0.2277269529592974</v>
      </c>
      <c r="CS13" s="5">
        <v>0.6518463162729784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7.8946953623294947E-3</v>
      </c>
      <c r="CZ13" s="5">
        <v>3.7108838431713115E-2</v>
      </c>
      <c r="DA13" s="5">
        <v>5.9106696752177168E-2</v>
      </c>
      <c r="DB13" s="5">
        <v>4.9084359556864868E-2</v>
      </c>
      <c r="DC13" s="5">
        <v>3.6623141653276806E-2</v>
      </c>
      <c r="DD13" s="5">
        <v>1.8213960541483207E-2</v>
      </c>
      <c r="DE13" s="5">
        <v>0.54815780792858626</v>
      </c>
      <c r="DF13" s="5">
        <v>0</v>
      </c>
      <c r="DG13" s="5">
        <v>0</v>
      </c>
      <c r="DH13" s="5">
        <v>0</v>
      </c>
      <c r="DI13" s="5">
        <v>0</v>
      </c>
      <c r="DJ13" s="5">
        <v>5.0774583332122243E-3</v>
      </c>
      <c r="DK13" s="5">
        <v>3.8197605770626093E-2</v>
      </c>
      <c r="DL13" s="5">
        <v>6.0658674815899684E-2</v>
      </c>
      <c r="DM13" s="5">
        <v>6.7490575789515228E-2</v>
      </c>
      <c r="DN13" s="5">
        <v>3.1531941778389853E-2</v>
      </c>
      <c r="DO13" s="4">
        <v>0</v>
      </c>
      <c r="DP13" s="5">
        <v>0</v>
      </c>
      <c r="DQ13" s="5">
        <v>0</v>
      </c>
      <c r="DR13" s="5">
        <v>0</v>
      </c>
      <c r="DS13" s="5">
        <v>0</v>
      </c>
      <c r="DT13" s="4">
        <v>2.6089261039963913E-2</v>
      </c>
      <c r="DU13" s="5">
        <v>8.0559595059939301E-2</v>
      </c>
      <c r="DV13" s="5">
        <v>0.15071318798578173</v>
      </c>
      <c r="DW13" s="5">
        <v>0.17678458927554569</v>
      </c>
      <c r="DX13" s="5">
        <v>0</v>
      </c>
      <c r="DY13" s="5">
        <v>0</v>
      </c>
      <c r="EA13" s="3" t="s">
        <v>143</v>
      </c>
      <c r="EB13" s="3" t="s">
        <v>134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4">
        <v>7.1890137441687372E-3</v>
      </c>
      <c r="ET13" s="5">
        <v>5.5638778106112952E-2</v>
      </c>
      <c r="EU13" s="5">
        <v>0.12278578717033771</v>
      </c>
      <c r="EV13" s="5">
        <v>5.3796289388121359E-2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4">
        <v>0</v>
      </c>
      <c r="FE13" s="5">
        <v>1.8986979341957859E-2</v>
      </c>
      <c r="FF13" s="5">
        <v>1.7807321384483623E-2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1.4305889771971912E-2</v>
      </c>
      <c r="FN13" s="5">
        <v>0.16841748771950149</v>
      </c>
      <c r="FO13" s="5">
        <v>0.68209848037334708</v>
      </c>
      <c r="FP13" s="5">
        <v>0</v>
      </c>
      <c r="FZ13" s="3" t="s">
        <v>143</v>
      </c>
      <c r="GA13" s="5">
        <v>0</v>
      </c>
      <c r="GB13" s="5">
        <v>0</v>
      </c>
      <c r="GC13" s="4">
        <v>1.2419690923948146E-3</v>
      </c>
      <c r="GD13" s="5">
        <v>6.7684448899047109E-2</v>
      </c>
      <c r="GE13" s="5">
        <v>0.21320829716922154</v>
      </c>
      <c r="GF13" s="5">
        <v>0.23812165462877147</v>
      </c>
      <c r="GG13" s="5">
        <v>0.11696988786442451</v>
      </c>
      <c r="GH13" s="5">
        <v>1.0917500464462925E-2</v>
      </c>
      <c r="GI13" s="5">
        <v>0</v>
      </c>
      <c r="GJ13" s="5">
        <v>0</v>
      </c>
      <c r="GK13" s="4">
        <v>0</v>
      </c>
      <c r="GL13" s="5">
        <v>7.375000377514083E-3</v>
      </c>
      <c r="GM13" s="5">
        <v>0.11474131869913036</v>
      </c>
      <c r="GN13" s="5">
        <v>0.32811417681051674</v>
      </c>
      <c r="GO13" s="5">
        <v>0.45444117590464278</v>
      </c>
      <c r="GP13" s="5">
        <v>0.45589369375067496</v>
      </c>
      <c r="GQ13" s="5">
        <v>0.34719766815188891</v>
      </c>
      <c r="GR13" s="5">
        <v>0.14681493368086085</v>
      </c>
      <c r="GS13" s="5">
        <v>1.037985233053928E-2</v>
      </c>
      <c r="GT13" s="4">
        <v>3.3848637067354146E-6</v>
      </c>
      <c r="GU13" s="4">
        <v>1.0818771056779572E-6</v>
      </c>
      <c r="GV13" s="5">
        <v>1.7225927171209302E-2</v>
      </c>
      <c r="GW13" s="5">
        <v>0.14893160497576913</v>
      </c>
      <c r="GX13" s="5">
        <v>0.33878186893534668</v>
      </c>
      <c r="GY13" s="5">
        <v>0.4530274268433237</v>
      </c>
      <c r="GZ13" s="5">
        <v>0.47415290946430111</v>
      </c>
      <c r="HA13" s="5">
        <v>0.37968403814646995</v>
      </c>
      <c r="HB13" s="5">
        <v>0.19608317439297079</v>
      </c>
      <c r="HC13" s="5">
        <v>3.0856454505886456E-2</v>
      </c>
      <c r="HD13" s="4">
        <v>4.0653896255627353E-4</v>
      </c>
      <c r="HE13" s="5">
        <v>0</v>
      </c>
      <c r="HF13" s="4">
        <v>5.6618978976395779E-6</v>
      </c>
      <c r="HG13" s="5">
        <v>2.7367336972621593E-2</v>
      </c>
      <c r="HH13" s="5">
        <v>0.18232384299743193</v>
      </c>
      <c r="HI13" s="5">
        <v>0.30452552067841743</v>
      </c>
      <c r="HJ13" s="5">
        <v>0.28760770436256594</v>
      </c>
      <c r="HK13" s="5">
        <v>0.1625143567775886</v>
      </c>
      <c r="HL13" s="5">
        <v>3.2358909316166064E-2</v>
      </c>
      <c r="HM13" s="4">
        <v>1.3348699576066326E-4</v>
      </c>
      <c r="HN13" s="5">
        <v>0</v>
      </c>
      <c r="HP13" s="3" t="s">
        <v>143</v>
      </c>
      <c r="HQ13" s="3" t="s">
        <v>140</v>
      </c>
      <c r="HR13" s="3" t="s">
        <v>141</v>
      </c>
      <c r="HS13" s="5">
        <v>0.42671251449902453</v>
      </c>
    </row>
    <row r="14" spans="1:227" x14ac:dyDescent="0.45">
      <c r="B14" s="6" t="s">
        <v>144</v>
      </c>
      <c r="C14" s="6" t="s">
        <v>131</v>
      </c>
      <c r="D14" s="8">
        <v>0</v>
      </c>
      <c r="E14" s="8">
        <v>0</v>
      </c>
      <c r="F14" s="8">
        <v>0.98159256184224486</v>
      </c>
      <c r="G14" s="8">
        <v>0.54266471956854845</v>
      </c>
      <c r="H14" s="8">
        <v>0.31260833749261119</v>
      </c>
      <c r="I14" s="8">
        <v>0.31627661066462187</v>
      </c>
      <c r="J14" s="8">
        <v>0.46007351862755708</v>
      </c>
      <c r="K14" s="8">
        <v>0.8454996648670815</v>
      </c>
      <c r="L14" s="8">
        <v>0</v>
      </c>
      <c r="M14" s="8">
        <v>0</v>
      </c>
      <c r="N14" s="8">
        <v>0.99347826086956514</v>
      </c>
      <c r="O14" s="8">
        <v>0.65825696027563974</v>
      </c>
      <c r="P14" s="8">
        <v>0.35154410041701772</v>
      </c>
      <c r="Q14" s="8">
        <v>0.19500110619586203</v>
      </c>
      <c r="R14" s="8">
        <v>0.15442533101549571</v>
      </c>
      <c r="S14" s="8">
        <v>0.16015113281267926</v>
      </c>
      <c r="T14" s="8">
        <v>0.17647398926952718</v>
      </c>
      <c r="U14" s="8">
        <v>0.24990942583851439</v>
      </c>
      <c r="V14" s="8">
        <v>0.54326574490077484</v>
      </c>
      <c r="W14" s="8">
        <v>0.94799797462453783</v>
      </c>
      <c r="X14" s="8">
        <v>0.93806465397622629</v>
      </c>
      <c r="Y14" s="8">
        <v>0.38300867275132472</v>
      </c>
      <c r="Z14" s="8">
        <v>0.23326857676229615</v>
      </c>
      <c r="AA14" s="8">
        <v>0.15137128349477441</v>
      </c>
      <c r="AB14" s="8">
        <v>0.1425943210278795</v>
      </c>
      <c r="AC14" s="8">
        <v>0.13402149299869978</v>
      </c>
      <c r="AD14" s="8">
        <v>0.14385838956715938</v>
      </c>
      <c r="AE14" s="8">
        <v>0.18755469539854733</v>
      </c>
      <c r="AF14" s="8">
        <v>0.31138740181110597</v>
      </c>
      <c r="AG14" s="8">
        <v>0.80375713071783306</v>
      </c>
      <c r="AH14" s="8">
        <v>0</v>
      </c>
      <c r="AI14" s="8">
        <v>0.98351648351648358</v>
      </c>
      <c r="AJ14" s="8">
        <v>0.6673014419584975</v>
      </c>
      <c r="AK14" s="8">
        <v>0.34589623527608232</v>
      </c>
      <c r="AL14" s="8">
        <v>0.25094624039341451</v>
      </c>
      <c r="AM14" s="8">
        <v>0.24345347165105599</v>
      </c>
      <c r="AN14" s="8">
        <v>0.35738369263399572</v>
      </c>
      <c r="AO14" s="8">
        <v>0.61525505653914214</v>
      </c>
      <c r="AP14" s="8">
        <v>0.92357980336577628</v>
      </c>
      <c r="AQ14" s="8">
        <v>0</v>
      </c>
      <c r="AS14" s="6" t="s">
        <v>144</v>
      </c>
      <c r="AT14" s="6" t="s">
        <v>132</v>
      </c>
      <c r="AU14" s="8">
        <v>0</v>
      </c>
      <c r="AV14" s="7">
        <v>0</v>
      </c>
      <c r="AW14" s="8">
        <v>0.96523268581154098</v>
      </c>
      <c r="AX14" s="8">
        <v>0.3871455072085554</v>
      </c>
      <c r="AY14" s="8">
        <v>0.20180218757061102</v>
      </c>
      <c r="AZ14" s="8">
        <v>0.13181367808430089</v>
      </c>
      <c r="BA14" s="8">
        <v>3.4773341868460317E-2</v>
      </c>
      <c r="BB14" s="8">
        <v>2.964767235031706E-2</v>
      </c>
      <c r="BC14" s="8">
        <v>0</v>
      </c>
      <c r="BD14" s="8">
        <v>0</v>
      </c>
      <c r="BE14" s="8">
        <v>0.98699905482041572</v>
      </c>
      <c r="BF14" s="8">
        <v>0.49288424747413362</v>
      </c>
      <c r="BG14" s="8">
        <v>0.22506527742772509</v>
      </c>
      <c r="BH14" s="8">
        <v>9.1973661709808002E-2</v>
      </c>
      <c r="BI14" s="8">
        <v>5.4659733262812087E-2</v>
      </c>
      <c r="BJ14" s="8">
        <v>2.9276728784184344E-2</v>
      </c>
      <c r="BK14" s="8">
        <v>1.9775136077787147E-2</v>
      </c>
      <c r="BL14" s="7">
        <v>2.9472451732595509E-2</v>
      </c>
      <c r="BM14" s="8">
        <v>0.24034564261504385</v>
      </c>
      <c r="BN14" s="8">
        <v>0.38196328072188057</v>
      </c>
      <c r="BO14" s="8">
        <v>0.89313053171893586</v>
      </c>
      <c r="BP14" s="8">
        <v>0.25544210982881932</v>
      </c>
      <c r="BQ14" s="8">
        <v>0.14610619446505957</v>
      </c>
      <c r="BR14" s="8">
        <v>8.7477631520108637E-2</v>
      </c>
      <c r="BS14" s="8">
        <v>6.7338238727519095E-2</v>
      </c>
      <c r="BT14" s="7">
        <v>3.1603331609588309E-2</v>
      </c>
      <c r="BU14" s="8">
        <v>1.9708820627265825E-2</v>
      </c>
      <c r="BV14" s="8">
        <v>4.1320694439165383E-2</v>
      </c>
      <c r="BW14" s="8">
        <v>0.11435084817009974</v>
      </c>
      <c r="BX14" s="8">
        <v>0.65776220937695851</v>
      </c>
      <c r="BY14" s="8">
        <v>0</v>
      </c>
      <c r="BZ14" s="7">
        <v>0.96730467334862935</v>
      </c>
      <c r="CA14" s="7">
        <v>0.52160725913258732</v>
      </c>
      <c r="CB14" s="8">
        <v>0.2268063969065198</v>
      </c>
      <c r="CC14" s="8">
        <v>0.11818855926432885</v>
      </c>
      <c r="CD14" s="8">
        <v>2.7218299473885113E-2</v>
      </c>
      <c r="CE14" s="8">
        <v>4.0652928647643076E-2</v>
      </c>
      <c r="CF14" s="7">
        <v>0.10966353170185204</v>
      </c>
      <c r="CG14" s="8">
        <v>7.055873576422457E-2</v>
      </c>
      <c r="CH14" s="8">
        <v>0</v>
      </c>
      <c r="CJ14" s="6" t="s">
        <v>144</v>
      </c>
      <c r="CK14" s="6" t="s">
        <v>133</v>
      </c>
      <c r="CL14" s="8">
        <v>0</v>
      </c>
      <c r="CM14" s="8">
        <v>0</v>
      </c>
      <c r="CN14" s="8">
        <v>0</v>
      </c>
      <c r="CO14" s="8">
        <v>0</v>
      </c>
      <c r="CP14" s="7">
        <v>0</v>
      </c>
      <c r="CQ14" s="8">
        <v>6.587348623058735E-2</v>
      </c>
      <c r="CR14" s="8">
        <v>0.28019457820262933</v>
      </c>
      <c r="CS14" s="8">
        <v>0.7089138448860397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1.0799867408761493E-2</v>
      </c>
      <c r="CZ14" s="8">
        <v>1.9231180340146013E-2</v>
      </c>
      <c r="DA14" s="8">
        <v>4.3644705887704888E-2</v>
      </c>
      <c r="DB14" s="8">
        <v>6.2037815836024052E-2</v>
      </c>
      <c r="DC14" s="8">
        <v>8.3086342044615624E-2</v>
      </c>
      <c r="DD14" s="8">
        <v>1.447123392752887E-2</v>
      </c>
      <c r="DE14" s="8">
        <v>8.9133370095175371E-2</v>
      </c>
      <c r="DF14" s="8">
        <v>0</v>
      </c>
      <c r="DG14" s="8">
        <v>0</v>
      </c>
      <c r="DH14" s="8">
        <v>0</v>
      </c>
      <c r="DI14" s="8">
        <v>0</v>
      </c>
      <c r="DJ14" s="8">
        <v>1.1107700367086502E-2</v>
      </c>
      <c r="DK14" s="8">
        <v>4.3252221884521415E-2</v>
      </c>
      <c r="DL14" s="8">
        <v>6.1770849017578157E-2</v>
      </c>
      <c r="DM14" s="8">
        <v>6.4457108463491994E-2</v>
      </c>
      <c r="DN14" s="8">
        <v>5.2362488670032389E-2</v>
      </c>
      <c r="DO14" s="7">
        <v>0</v>
      </c>
      <c r="DP14" s="8">
        <v>0</v>
      </c>
      <c r="DQ14" s="8">
        <v>0</v>
      </c>
      <c r="DR14" s="8">
        <v>0</v>
      </c>
      <c r="DS14" s="8">
        <v>0</v>
      </c>
      <c r="DT14" s="7">
        <v>3.1463484534118846E-2</v>
      </c>
      <c r="DU14" s="8">
        <v>0.11831372044956855</v>
      </c>
      <c r="DV14" s="8">
        <v>0.19027998624350012</v>
      </c>
      <c r="DW14" s="8">
        <v>0.20347118239246645</v>
      </c>
      <c r="DX14" s="8">
        <v>0.29670848942805716</v>
      </c>
      <c r="DY14" s="8">
        <v>0</v>
      </c>
      <c r="EA14" s="6" t="s">
        <v>144</v>
      </c>
      <c r="EB14" s="6" t="s">
        <v>134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3.349851819951209E-3</v>
      </c>
      <c r="ES14" s="7">
        <v>8.897617102387529E-3</v>
      </c>
      <c r="ET14" s="8">
        <v>4.2640802139065584E-2</v>
      </c>
      <c r="EU14" s="8">
        <v>0.12738623681699937</v>
      </c>
      <c r="EV14" s="8">
        <v>0.43735421063801599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7">
        <v>9.159813254337108E-3</v>
      </c>
      <c r="FE14" s="8">
        <v>3.8160065335245387E-2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6.8337778547117025E-3</v>
      </c>
      <c r="FN14" s="8">
        <v>0.15018880280219293</v>
      </c>
      <c r="FO14" s="8">
        <v>0.49166909690857807</v>
      </c>
      <c r="FP14" s="8">
        <v>0</v>
      </c>
      <c r="FZ14" s="6" t="s">
        <v>144</v>
      </c>
      <c r="GA14" s="8">
        <v>0</v>
      </c>
      <c r="GB14" s="8">
        <v>0</v>
      </c>
      <c r="GC14" s="7">
        <v>1.6454827437849655E-4</v>
      </c>
      <c r="GD14" s="8">
        <v>5.1337301371593709E-2</v>
      </c>
      <c r="GE14" s="8">
        <v>0.17997328007172636</v>
      </c>
      <c r="GF14" s="8">
        <v>0.20406459499310914</v>
      </c>
      <c r="GG14" s="8">
        <v>0.1015545004984169</v>
      </c>
      <c r="GH14" s="8">
        <v>1.1142364414503194E-2</v>
      </c>
      <c r="GI14" s="8">
        <v>0</v>
      </c>
      <c r="GJ14" s="8">
        <v>0</v>
      </c>
      <c r="GK14" s="7">
        <v>0</v>
      </c>
      <c r="GL14" s="8">
        <v>6.3480680292244381E-3</v>
      </c>
      <c r="GM14" s="8">
        <v>9.9329616582854122E-2</v>
      </c>
      <c r="GN14" s="8">
        <v>0.31801449961183897</v>
      </c>
      <c r="GO14" s="8">
        <v>0.46796094957358791</v>
      </c>
      <c r="GP14" s="8">
        <v>0.48077956971099295</v>
      </c>
      <c r="GQ14" s="8">
        <v>0.36580002486294338</v>
      </c>
      <c r="GR14" s="8">
        <v>0.15927948759428043</v>
      </c>
      <c r="GS14" s="8">
        <v>1.3434859467386312E-2</v>
      </c>
      <c r="GT14" s="7">
        <v>7.5472168157348897E-5</v>
      </c>
      <c r="GU14" s="7">
        <v>8.3231522947070457E-6</v>
      </c>
      <c r="GV14" s="8">
        <v>1.561545191042776E-2</v>
      </c>
      <c r="GW14" s="8">
        <v>0.12116384425145915</v>
      </c>
      <c r="GX14" s="8">
        <v>0.29690346854862343</v>
      </c>
      <c r="GY14" s="8">
        <v>0.41213985093036198</v>
      </c>
      <c r="GZ14" s="8">
        <v>0.4442879559268087</v>
      </c>
      <c r="HA14" s="8">
        <v>0.36849109966810212</v>
      </c>
      <c r="HB14" s="8">
        <v>0.19199873724524902</v>
      </c>
      <c r="HC14" s="8">
        <v>3.5791810679817002E-2</v>
      </c>
      <c r="HD14" s="7">
        <v>9.2797046249225345E-4</v>
      </c>
      <c r="HE14" s="8">
        <v>0</v>
      </c>
      <c r="HF14" s="7">
        <v>0</v>
      </c>
      <c r="HG14" s="8">
        <v>1.8237315237227283E-2</v>
      </c>
      <c r="HH14" s="8">
        <v>0.13188349076861061</v>
      </c>
      <c r="HI14" s="8">
        <v>0.25290631749087589</v>
      </c>
      <c r="HJ14" s="8">
        <v>0.25903120414570974</v>
      </c>
      <c r="HK14" s="8">
        <v>0.14880467765419994</v>
      </c>
      <c r="HL14" s="8">
        <v>3.2652139852369755E-2</v>
      </c>
      <c r="HM14" s="7">
        <v>2.0527471752664062E-4</v>
      </c>
      <c r="HN14" s="8">
        <v>0</v>
      </c>
      <c r="HP14" s="6" t="s">
        <v>144</v>
      </c>
      <c r="HQ14" s="6" t="s">
        <v>140</v>
      </c>
      <c r="HR14" s="6" t="s">
        <v>141</v>
      </c>
      <c r="HS14" s="8">
        <v>0.41347697852820636</v>
      </c>
    </row>
    <row r="15" spans="1:227" x14ac:dyDescent="0.45">
      <c r="B15" s="3" t="s">
        <v>145</v>
      </c>
      <c r="C15" s="3" t="s">
        <v>131</v>
      </c>
      <c r="D15" s="5">
        <v>0</v>
      </c>
      <c r="E15" s="5">
        <v>0</v>
      </c>
      <c r="F15" s="5">
        <v>0.98888888888888882</v>
      </c>
      <c r="G15" s="5">
        <v>0.56659781633716566</v>
      </c>
      <c r="H15" s="5">
        <v>0.35009124350344151</v>
      </c>
      <c r="I15" s="5">
        <v>0.3120056602060956</v>
      </c>
      <c r="J15" s="5">
        <v>0.39584766259791643</v>
      </c>
      <c r="K15" s="5">
        <v>0.79902901230596501</v>
      </c>
      <c r="L15" s="5">
        <v>0</v>
      </c>
      <c r="M15" s="5">
        <v>0</v>
      </c>
      <c r="N15" s="5">
        <v>0</v>
      </c>
      <c r="O15" s="5">
        <v>0.74730790247704559</v>
      </c>
      <c r="P15" s="5">
        <v>0.40403604988297148</v>
      </c>
      <c r="Q15" s="5">
        <v>0.24010397086352045</v>
      </c>
      <c r="R15" s="5">
        <v>0.19516026667111364</v>
      </c>
      <c r="S15" s="5">
        <v>0.1822532080149786</v>
      </c>
      <c r="T15" s="5">
        <v>0.18150531321202273</v>
      </c>
      <c r="U15" s="5">
        <v>0.24178025235249959</v>
      </c>
      <c r="V15" s="5">
        <v>0.54649520220759185</v>
      </c>
      <c r="W15" s="5">
        <v>0.97786403883956363</v>
      </c>
      <c r="X15" s="5">
        <v>0</v>
      </c>
      <c r="Y15" s="5">
        <v>0.50259913656066035</v>
      </c>
      <c r="Z15" s="5">
        <v>0.2677852267372472</v>
      </c>
      <c r="AA15" s="5">
        <v>0.16766165914495809</v>
      </c>
      <c r="AB15" s="5">
        <v>0.13595218724421559</v>
      </c>
      <c r="AC15" s="5">
        <v>0.13802950779502934</v>
      </c>
      <c r="AD15" s="5">
        <v>0.15283180815205538</v>
      </c>
      <c r="AE15" s="5">
        <v>0.19239941565454968</v>
      </c>
      <c r="AF15" s="5">
        <v>0.33857793219948551</v>
      </c>
      <c r="AG15" s="5">
        <v>0.83386557964036256</v>
      </c>
      <c r="AH15" s="5">
        <v>0</v>
      </c>
      <c r="AI15" s="5">
        <v>0</v>
      </c>
      <c r="AJ15" s="5">
        <v>0.65505561433632886</v>
      </c>
      <c r="AK15" s="5">
        <v>0.30641925333160658</v>
      </c>
      <c r="AL15" s="5">
        <v>0.22836369599160161</v>
      </c>
      <c r="AM15" s="5">
        <v>0.22006359973154588</v>
      </c>
      <c r="AN15" s="5">
        <v>0.28034150614420239</v>
      </c>
      <c r="AO15" s="5">
        <v>0.55919924110273245</v>
      </c>
      <c r="AP15" s="5">
        <v>0.92782446640270821</v>
      </c>
      <c r="AQ15" s="5">
        <v>0</v>
      </c>
      <c r="AS15" s="3" t="s">
        <v>145</v>
      </c>
      <c r="AT15" s="3" t="s">
        <v>132</v>
      </c>
      <c r="AU15" s="5">
        <v>0</v>
      </c>
      <c r="AV15" s="4">
        <v>0</v>
      </c>
      <c r="AW15" s="5">
        <v>0.97790123456790112</v>
      </c>
      <c r="AX15" s="5">
        <v>0.39274723306748932</v>
      </c>
      <c r="AY15" s="5">
        <v>0.20499640299723226</v>
      </c>
      <c r="AZ15" s="5">
        <v>0.12906658452145603</v>
      </c>
      <c r="BA15" s="5">
        <v>7.1930686953403017E-2</v>
      </c>
      <c r="BB15" s="5">
        <v>6.4443643904232781E-2</v>
      </c>
      <c r="BC15" s="5">
        <v>0</v>
      </c>
      <c r="BD15" s="5">
        <v>0</v>
      </c>
      <c r="BE15" s="5">
        <v>0</v>
      </c>
      <c r="BF15" s="5">
        <v>0.61242079482611633</v>
      </c>
      <c r="BG15" s="5">
        <v>0.2737797123466606</v>
      </c>
      <c r="BH15" s="5">
        <v>0.13934865671464547</v>
      </c>
      <c r="BI15" s="5">
        <v>7.2599894003349097E-2</v>
      </c>
      <c r="BJ15" s="5">
        <v>2.5741223520234148E-2</v>
      </c>
      <c r="BK15" s="5">
        <v>1.96304049830371E-2</v>
      </c>
      <c r="BL15" s="4">
        <v>3.6012362988163453E-2</v>
      </c>
      <c r="BM15" s="5">
        <v>0.20249845200109065</v>
      </c>
      <c r="BN15" s="5">
        <v>0.40223321294412223</v>
      </c>
      <c r="BO15" s="5">
        <v>0</v>
      </c>
      <c r="BP15" s="5">
        <v>0.34169273704129571</v>
      </c>
      <c r="BQ15" s="5">
        <v>0.17198984091646774</v>
      </c>
      <c r="BR15" s="5">
        <v>9.6536318792451531E-2</v>
      </c>
      <c r="BS15" s="5">
        <v>6.3935377286490208E-2</v>
      </c>
      <c r="BT15" s="4">
        <v>2.1946315033546888E-2</v>
      </c>
      <c r="BU15" s="5">
        <v>1.8240576857202598E-2</v>
      </c>
      <c r="BV15" s="5">
        <v>4.4258435677145269E-2</v>
      </c>
      <c r="BW15" s="5">
        <v>0.1359279760227792</v>
      </c>
      <c r="BX15" s="5">
        <v>0.71107067857767237</v>
      </c>
      <c r="BY15" s="5">
        <v>0</v>
      </c>
      <c r="BZ15" s="4">
        <v>0</v>
      </c>
      <c r="CA15" s="4">
        <v>0.50965095064131105</v>
      </c>
      <c r="CB15" s="5">
        <v>0.1941255115233966</v>
      </c>
      <c r="CC15" s="5">
        <v>0.12372182078962285</v>
      </c>
      <c r="CD15" s="5">
        <v>4.6266893081908497E-2</v>
      </c>
      <c r="CE15" s="5">
        <v>4.6990700711331219E-2</v>
      </c>
      <c r="CF15" s="4">
        <v>0.12972719571134927</v>
      </c>
      <c r="CG15" s="5">
        <v>0.19793199957900939</v>
      </c>
      <c r="CH15" s="5">
        <v>0</v>
      </c>
      <c r="CJ15" s="3" t="s">
        <v>145</v>
      </c>
      <c r="CK15" s="3" t="s">
        <v>133</v>
      </c>
      <c r="CL15" s="5">
        <v>0</v>
      </c>
      <c r="CM15" s="5">
        <v>0</v>
      </c>
      <c r="CN15" s="5">
        <v>0</v>
      </c>
      <c r="CO15" s="5">
        <v>0</v>
      </c>
      <c r="CP15" s="4">
        <v>0</v>
      </c>
      <c r="CQ15" s="5">
        <v>4.5580723232700598E-2</v>
      </c>
      <c r="CR15" s="5">
        <v>0.18442253922160726</v>
      </c>
      <c r="CS15" s="5">
        <v>0.59635948683736784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3.1879412526489161E-2</v>
      </c>
      <c r="DA15" s="5">
        <v>7.017103848979403E-2</v>
      </c>
      <c r="DB15" s="5">
        <v>7.1301425748159813E-2</v>
      </c>
      <c r="DC15" s="5">
        <v>6.8592008034772958E-2</v>
      </c>
      <c r="DD15" s="5">
        <v>1.4443566699464692E-2</v>
      </c>
      <c r="DE15" s="5">
        <v>6.3645426541057676E-2</v>
      </c>
      <c r="DF15" s="5">
        <v>0</v>
      </c>
      <c r="DG15" s="5">
        <v>0</v>
      </c>
      <c r="DH15" s="5">
        <v>0</v>
      </c>
      <c r="DI15" s="5">
        <v>0</v>
      </c>
      <c r="DJ15" s="5">
        <v>1.3621404305928494E-2</v>
      </c>
      <c r="DK15" s="5">
        <v>5.5372626954472245E-2</v>
      </c>
      <c r="DL15" s="5">
        <v>6.6694515918895539E-2</v>
      </c>
      <c r="DM15" s="5">
        <v>5.3068250049498195E-2</v>
      </c>
      <c r="DN15" s="5">
        <v>3.7041657291208008E-2</v>
      </c>
      <c r="DO15" s="4">
        <v>0</v>
      </c>
      <c r="DP15" s="5">
        <v>0</v>
      </c>
      <c r="DQ15" s="5">
        <v>0</v>
      </c>
      <c r="DR15" s="5">
        <v>0</v>
      </c>
      <c r="DS15" s="5">
        <v>0</v>
      </c>
      <c r="DT15" s="4">
        <v>6.0880411420678225E-3</v>
      </c>
      <c r="DU15" s="5">
        <v>8.1646747551873483E-2</v>
      </c>
      <c r="DV15" s="5">
        <v>0.12969230560296915</v>
      </c>
      <c r="DW15" s="5">
        <v>0.22152531956179494</v>
      </c>
      <c r="DX15" s="5">
        <v>0.16472103718774536</v>
      </c>
      <c r="DY15" s="5">
        <v>0</v>
      </c>
      <c r="EA15" s="3" t="s">
        <v>145</v>
      </c>
      <c r="EB15" s="3" t="s">
        <v>134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4">
        <v>4.538656430001585E-3</v>
      </c>
      <c r="ET15" s="5">
        <v>4.4344811697119034E-2</v>
      </c>
      <c r="EU15" s="5">
        <v>0.17027486742089037</v>
      </c>
      <c r="EV15" s="5">
        <v>0.49072748546656736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4">
        <v>2.0044471540213122E-2</v>
      </c>
      <c r="FE15" s="5">
        <v>4.5489111497694093E-2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5.107063508972455E-2</v>
      </c>
      <c r="FO15" s="5">
        <v>0.50718046741032441</v>
      </c>
      <c r="FP15" s="5">
        <v>0</v>
      </c>
      <c r="FZ15" s="3" t="s">
        <v>145</v>
      </c>
      <c r="GA15" s="5">
        <v>0</v>
      </c>
      <c r="GB15" s="5">
        <v>0</v>
      </c>
      <c r="GC15" s="4">
        <v>7.9867709772213862E-5</v>
      </c>
      <c r="GD15" s="5">
        <v>5.9347693811449186E-2</v>
      </c>
      <c r="GE15" s="5">
        <v>0.19459694529361538</v>
      </c>
      <c r="GF15" s="5">
        <v>0.23315100758171525</v>
      </c>
      <c r="GG15" s="5">
        <v>0.13371736325997208</v>
      </c>
      <c r="GH15" s="5">
        <v>1.7424593731897826E-2</v>
      </c>
      <c r="GI15" s="5">
        <v>0</v>
      </c>
      <c r="GJ15" s="5">
        <v>0</v>
      </c>
      <c r="GK15" s="4">
        <v>0</v>
      </c>
      <c r="GL15" s="5">
        <v>3.6360841739033782E-3</v>
      </c>
      <c r="GM15" s="5">
        <v>7.9528625856476312E-2</v>
      </c>
      <c r="GN15" s="5">
        <v>0.28208258905247602</v>
      </c>
      <c r="GO15" s="5">
        <v>0.43696108081247392</v>
      </c>
      <c r="GP15" s="5">
        <v>0.46381448066480518</v>
      </c>
      <c r="GQ15" s="5">
        <v>0.37219347821419235</v>
      </c>
      <c r="GR15" s="5">
        <v>0.17319423682594734</v>
      </c>
      <c r="GS15" s="5">
        <v>1.4119827019240711E-2</v>
      </c>
      <c r="GT15" s="4">
        <v>7.3313673944763221E-6</v>
      </c>
      <c r="GU15" s="4">
        <v>0</v>
      </c>
      <c r="GV15" s="5">
        <v>9.6912875837830217E-3</v>
      </c>
      <c r="GW15" s="5">
        <v>0.11388967977783807</v>
      </c>
      <c r="GX15" s="5">
        <v>0.31373797831778855</v>
      </c>
      <c r="GY15" s="5">
        <v>0.45530585509190324</v>
      </c>
      <c r="GZ15" s="5">
        <v>0.47588540781201183</v>
      </c>
      <c r="HA15" s="5">
        <v>0.39355454153930541</v>
      </c>
      <c r="HB15" s="5">
        <v>0.21394792754298822</v>
      </c>
      <c r="HC15" s="5">
        <v>3.6695073358818504E-2</v>
      </c>
      <c r="HD15" s="4">
        <v>3.5901717440576478E-4</v>
      </c>
      <c r="HE15" s="5">
        <v>0</v>
      </c>
      <c r="HF15" s="4">
        <v>0</v>
      </c>
      <c r="HG15" s="5">
        <v>1.934686287436093E-2</v>
      </c>
      <c r="HH15" s="5">
        <v>0.16386072948747082</v>
      </c>
      <c r="HI15" s="5">
        <v>0.30440712339669546</v>
      </c>
      <c r="HJ15" s="5">
        <v>0.30760839030393344</v>
      </c>
      <c r="HK15" s="5">
        <v>0.19365142945227187</v>
      </c>
      <c r="HL15" s="5">
        <v>4.3192724889402678E-2</v>
      </c>
      <c r="HM15" s="4">
        <v>3.1206457733582593E-4</v>
      </c>
      <c r="HN15" s="5">
        <v>0</v>
      </c>
      <c r="HP15" s="3" t="s">
        <v>145</v>
      </c>
      <c r="HQ15" s="3" t="s">
        <v>140</v>
      </c>
      <c r="HR15" s="3" t="s">
        <v>141</v>
      </c>
      <c r="HS15" s="5">
        <v>0.42963989816657588</v>
      </c>
    </row>
    <row r="16" spans="1:227" x14ac:dyDescent="0.45">
      <c r="B16" s="6" t="s">
        <v>146</v>
      </c>
      <c r="C16" s="6" t="s">
        <v>131</v>
      </c>
      <c r="D16" s="8">
        <v>0</v>
      </c>
      <c r="E16" s="8">
        <v>0</v>
      </c>
      <c r="F16" s="8">
        <v>0.9722222222222221</v>
      </c>
      <c r="G16" s="8">
        <v>0.54381798787741298</v>
      </c>
      <c r="H16" s="8">
        <v>0.3491196049085864</v>
      </c>
      <c r="I16" s="8">
        <v>0.32915103878887603</v>
      </c>
      <c r="J16" s="8">
        <v>0.40585553797809476</v>
      </c>
      <c r="K16" s="8">
        <v>0.80773499296341933</v>
      </c>
      <c r="L16" s="8">
        <v>0</v>
      </c>
      <c r="M16" s="8">
        <v>0</v>
      </c>
      <c r="N16" s="8">
        <v>0</v>
      </c>
      <c r="O16" s="8">
        <v>0.7286321546164739</v>
      </c>
      <c r="P16" s="8">
        <v>0.3854649070170314</v>
      </c>
      <c r="Q16" s="8">
        <v>0.24390091395281865</v>
      </c>
      <c r="R16" s="8">
        <v>0.20159826247892987</v>
      </c>
      <c r="S16" s="8">
        <v>0.18197374289742563</v>
      </c>
      <c r="T16" s="8">
        <v>0.1837064535388617</v>
      </c>
      <c r="U16" s="8">
        <v>0.2542445384093876</v>
      </c>
      <c r="V16" s="8">
        <v>0.57644466129347527</v>
      </c>
      <c r="W16" s="8">
        <v>0.99275362318840543</v>
      </c>
      <c r="X16" s="8">
        <v>0</v>
      </c>
      <c r="Y16" s="8">
        <v>0.47766670371918829</v>
      </c>
      <c r="Z16" s="8">
        <v>0.25150951279685502</v>
      </c>
      <c r="AA16" s="8">
        <v>0.1686513448246153</v>
      </c>
      <c r="AB16" s="8">
        <v>0.14847106084148567</v>
      </c>
      <c r="AC16" s="8">
        <v>0.14269535933853603</v>
      </c>
      <c r="AD16" s="8">
        <v>0.14369826762924867</v>
      </c>
      <c r="AE16" s="8">
        <v>0.18732180905641319</v>
      </c>
      <c r="AF16" s="8">
        <v>0.34483924740821353</v>
      </c>
      <c r="AG16" s="8">
        <v>0.84704013246924492</v>
      </c>
      <c r="AH16" s="8">
        <v>0</v>
      </c>
      <c r="AI16" s="8">
        <v>0</v>
      </c>
      <c r="AJ16" s="8">
        <v>0.6410737784144106</v>
      </c>
      <c r="AK16" s="8">
        <v>0.30316089015121289</v>
      </c>
      <c r="AL16" s="8">
        <v>0.21759611170533258</v>
      </c>
      <c r="AM16" s="8">
        <v>0.22029744455552977</v>
      </c>
      <c r="AN16" s="8">
        <v>0.28518196974121285</v>
      </c>
      <c r="AO16" s="8">
        <v>0.59724128657590714</v>
      </c>
      <c r="AP16" s="8">
        <v>0.94859114587247284</v>
      </c>
      <c r="AQ16" s="8">
        <v>0</v>
      </c>
      <c r="AS16" s="6" t="s">
        <v>146</v>
      </c>
      <c r="AT16" s="6" t="s">
        <v>132</v>
      </c>
      <c r="AU16" s="8">
        <v>0</v>
      </c>
      <c r="AV16" s="7">
        <v>0</v>
      </c>
      <c r="AW16" s="8">
        <v>0.94521604938271608</v>
      </c>
      <c r="AX16" s="8">
        <v>0.36969354783105657</v>
      </c>
      <c r="AY16" s="8">
        <v>0.20900014338826359</v>
      </c>
      <c r="AZ16" s="8">
        <v>9.7825139639470454E-2</v>
      </c>
      <c r="BA16" s="8">
        <v>2.7493010309905083E-2</v>
      </c>
      <c r="BB16" s="8">
        <v>7.537146005596751E-2</v>
      </c>
      <c r="BC16" s="8">
        <v>0</v>
      </c>
      <c r="BD16" s="8">
        <v>0</v>
      </c>
      <c r="BE16" s="8">
        <v>0</v>
      </c>
      <c r="BF16" s="8">
        <v>0.58094827777251923</v>
      </c>
      <c r="BG16" s="8">
        <v>0.2468089706707384</v>
      </c>
      <c r="BH16" s="8">
        <v>0.13229081753852931</v>
      </c>
      <c r="BI16" s="8">
        <v>7.6212263422877055E-2</v>
      </c>
      <c r="BJ16" s="8">
        <v>3.4464354314025773E-2</v>
      </c>
      <c r="BK16" s="8">
        <v>2.5840594731794335E-2</v>
      </c>
      <c r="BL16" s="7">
        <v>4.3366211419311976E-2</v>
      </c>
      <c r="BM16" s="8">
        <v>0.23461875897489981</v>
      </c>
      <c r="BN16" s="8">
        <v>0.98555975635370718</v>
      </c>
      <c r="BO16" s="8">
        <v>0</v>
      </c>
      <c r="BP16" s="8">
        <v>0.3231611845096593</v>
      </c>
      <c r="BQ16" s="8">
        <v>0.16591016260051877</v>
      </c>
      <c r="BR16" s="8">
        <v>9.3190684331304896E-2</v>
      </c>
      <c r="BS16" s="8">
        <v>6.6099503300690546E-2</v>
      </c>
      <c r="BT16" s="7">
        <v>3.1784906386897877E-2</v>
      </c>
      <c r="BU16" s="8">
        <v>1.7905310067821756E-2</v>
      </c>
      <c r="BV16" s="8">
        <v>3.4198895846162466E-2</v>
      </c>
      <c r="BW16" s="8">
        <v>0.1556548663048774</v>
      </c>
      <c r="BX16" s="8">
        <v>0.70943510816335908</v>
      </c>
      <c r="BY16" s="8">
        <v>0</v>
      </c>
      <c r="BZ16" s="7">
        <v>0</v>
      </c>
      <c r="CA16" s="7">
        <v>0.49533507723210629</v>
      </c>
      <c r="CB16" s="8">
        <v>0.19580295098740558</v>
      </c>
      <c r="CC16" s="8">
        <v>0.12879111991335498</v>
      </c>
      <c r="CD16" s="8">
        <v>5.5977691246309358E-2</v>
      </c>
      <c r="CE16" s="8">
        <v>5.1360685561978522E-2</v>
      </c>
      <c r="CF16" s="7">
        <v>0.12464889913411641</v>
      </c>
      <c r="CG16" s="8">
        <v>0.35087524877042664</v>
      </c>
      <c r="CH16" s="8">
        <v>0</v>
      </c>
      <c r="CJ16" s="6" t="s">
        <v>146</v>
      </c>
      <c r="CK16" s="6" t="s">
        <v>133</v>
      </c>
      <c r="CL16" s="8">
        <v>0</v>
      </c>
      <c r="CM16" s="8">
        <v>0</v>
      </c>
      <c r="CN16" s="8">
        <v>0</v>
      </c>
      <c r="CO16" s="8">
        <v>0</v>
      </c>
      <c r="CP16" s="7">
        <v>0</v>
      </c>
      <c r="CQ16" s="8">
        <v>9.825937454950362E-2</v>
      </c>
      <c r="CR16" s="8">
        <v>0.24561002408136481</v>
      </c>
      <c r="CS16" s="8">
        <v>0.56275084084252247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3.1741586205520041E-2</v>
      </c>
      <c r="DA16" s="8">
        <v>6.1056969330141264E-2</v>
      </c>
      <c r="DB16" s="8">
        <v>7.0911773007734158E-2</v>
      </c>
      <c r="DC16" s="8">
        <v>7.3691000308990881E-2</v>
      </c>
      <c r="DD16" s="8">
        <v>7.3812233309186071E-2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7.0710277870734582E-3</v>
      </c>
      <c r="DK16" s="8">
        <v>3.9633940460965127E-2</v>
      </c>
      <c r="DL16" s="8">
        <v>5.7855761353569367E-2</v>
      </c>
      <c r="DM16" s="8">
        <v>6.9516814998295873E-2</v>
      </c>
      <c r="DN16" s="8">
        <v>3.2415564765073651E-2</v>
      </c>
      <c r="DO16" s="7">
        <v>0</v>
      </c>
      <c r="DP16" s="8">
        <v>0</v>
      </c>
      <c r="DQ16" s="8">
        <v>0</v>
      </c>
      <c r="DR16" s="8">
        <v>0</v>
      </c>
      <c r="DS16" s="8">
        <v>0</v>
      </c>
      <c r="DT16" s="7">
        <v>6.127569243179567E-4</v>
      </c>
      <c r="DU16" s="8">
        <v>7.3058201995791078E-2</v>
      </c>
      <c r="DV16" s="8">
        <v>0.12066640521954579</v>
      </c>
      <c r="DW16" s="8">
        <v>0.28038687078503821</v>
      </c>
      <c r="DX16" s="8">
        <v>0.28220197731343183</v>
      </c>
      <c r="DY16" s="8">
        <v>0</v>
      </c>
      <c r="EA16" s="6" t="s">
        <v>146</v>
      </c>
      <c r="EB16" s="6" t="s">
        <v>134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3.2827201777624417E-2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7">
        <v>3.4620018197697301E-3</v>
      </c>
      <c r="ET16" s="8">
        <v>3.7530605440242192E-2</v>
      </c>
      <c r="EU16" s="8">
        <v>0.10025238665846585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7">
        <v>9.4843112683112643E-3</v>
      </c>
      <c r="FE16" s="8">
        <v>3.3898855497546343E-2</v>
      </c>
      <c r="FF16" s="8">
        <v>2.7035610531127453E-2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3.3590653020561065E-2</v>
      </c>
      <c r="FO16" s="8">
        <v>0.26860556642129452</v>
      </c>
      <c r="FP16" s="8">
        <v>0</v>
      </c>
      <c r="FZ16" s="6" t="s">
        <v>146</v>
      </c>
      <c r="GA16" s="8">
        <v>0</v>
      </c>
      <c r="GB16" s="8">
        <v>0</v>
      </c>
      <c r="GC16" s="7">
        <v>8.6366684654015928E-4</v>
      </c>
      <c r="GD16" s="8">
        <v>6.7894707860246567E-2</v>
      </c>
      <c r="GE16" s="8">
        <v>0.21090984541267271</v>
      </c>
      <c r="GF16" s="8">
        <v>0.23925673365252473</v>
      </c>
      <c r="GG16" s="8">
        <v>0.13496134361858689</v>
      </c>
      <c r="GH16" s="8">
        <v>1.738295827142939E-2</v>
      </c>
      <c r="GI16" s="8">
        <v>0</v>
      </c>
      <c r="GJ16" s="8">
        <v>0</v>
      </c>
      <c r="GK16" s="7">
        <v>0</v>
      </c>
      <c r="GL16" s="8">
        <v>4.582576187749445E-3</v>
      </c>
      <c r="GM16" s="8">
        <v>9.2982034863969762E-2</v>
      </c>
      <c r="GN16" s="8">
        <v>0.30263756033472278</v>
      </c>
      <c r="GO16" s="8">
        <v>0.43837257524243844</v>
      </c>
      <c r="GP16" s="8">
        <v>0.46115640088982895</v>
      </c>
      <c r="GQ16" s="8">
        <v>0.36405037463755596</v>
      </c>
      <c r="GR16" s="8">
        <v>0.16682713021646706</v>
      </c>
      <c r="GS16" s="8">
        <v>1.1300443874715151E-2</v>
      </c>
      <c r="GT16" s="7">
        <v>0</v>
      </c>
      <c r="GU16" s="7">
        <v>0</v>
      </c>
      <c r="GV16" s="8">
        <v>1.1316164991276554E-2</v>
      </c>
      <c r="GW16" s="8">
        <v>0.12273007327559975</v>
      </c>
      <c r="GX16" s="8">
        <v>0.3244663817828628</v>
      </c>
      <c r="GY16" s="8">
        <v>0.46239178171244943</v>
      </c>
      <c r="GZ16" s="8">
        <v>0.48373421035452385</v>
      </c>
      <c r="HA16" s="8">
        <v>0.39698168321974775</v>
      </c>
      <c r="HB16" s="8">
        <v>0.20864049554813177</v>
      </c>
      <c r="HC16" s="8">
        <v>3.2443989702278554E-2</v>
      </c>
      <c r="HD16" s="7">
        <v>1.9611500588377552E-4</v>
      </c>
      <c r="HE16" s="8">
        <v>0</v>
      </c>
      <c r="HF16" s="7">
        <v>0</v>
      </c>
      <c r="HG16" s="8">
        <v>2.028786897825861E-2</v>
      </c>
      <c r="HH16" s="8">
        <v>0.16487318979581578</v>
      </c>
      <c r="HI16" s="8">
        <v>0.29835641127653634</v>
      </c>
      <c r="HJ16" s="8">
        <v>0.30231018866885856</v>
      </c>
      <c r="HK16" s="8">
        <v>0.18593875341573612</v>
      </c>
      <c r="HL16" s="8">
        <v>3.9019948055637001E-2</v>
      </c>
      <c r="HM16" s="7">
        <v>1.890006441309415E-4</v>
      </c>
      <c r="HN16" s="8">
        <v>0</v>
      </c>
      <c r="HP16" s="6" t="s">
        <v>146</v>
      </c>
      <c r="HQ16" s="6" t="s">
        <v>140</v>
      </c>
      <c r="HR16" s="6" t="s">
        <v>141</v>
      </c>
      <c r="HS16" s="8">
        <v>0.43822800533112205</v>
      </c>
    </row>
    <row r="17" spans="2:227" x14ac:dyDescent="0.45">
      <c r="B17" s="3" t="s">
        <v>147</v>
      </c>
      <c r="C17" s="3" t="s">
        <v>131</v>
      </c>
      <c r="D17" s="5">
        <v>0</v>
      </c>
      <c r="E17" s="5">
        <v>0</v>
      </c>
      <c r="F17" s="5">
        <v>0.96956471504425468</v>
      </c>
      <c r="G17" s="5">
        <v>0.55053048163791274</v>
      </c>
      <c r="H17" s="5">
        <v>0.34909310560795942</v>
      </c>
      <c r="I17" s="5">
        <v>0.34075004723265584</v>
      </c>
      <c r="J17" s="5">
        <v>0.45042564468626745</v>
      </c>
      <c r="K17" s="5">
        <v>0.82887691816247089</v>
      </c>
      <c r="L17" s="5">
        <v>0</v>
      </c>
      <c r="M17" s="5">
        <v>0</v>
      </c>
      <c r="N17" s="5">
        <v>0</v>
      </c>
      <c r="O17" s="5">
        <v>0.70620185688830506</v>
      </c>
      <c r="P17" s="5">
        <v>0.37394870250056272</v>
      </c>
      <c r="Q17" s="5">
        <v>0.22569671907562286</v>
      </c>
      <c r="R17" s="5">
        <v>0.18332836823478482</v>
      </c>
      <c r="S17" s="5">
        <v>0.17459708629432208</v>
      </c>
      <c r="T17" s="5">
        <v>0.19323046242726249</v>
      </c>
      <c r="U17" s="5">
        <v>0.24869637499333783</v>
      </c>
      <c r="V17" s="5">
        <v>0.57126602759162914</v>
      </c>
      <c r="W17" s="5">
        <v>0.96534803155871274</v>
      </c>
      <c r="X17" s="5">
        <v>0</v>
      </c>
      <c r="Y17" s="5">
        <v>0.4521725920375787</v>
      </c>
      <c r="Z17" s="5">
        <v>0.24202788800457667</v>
      </c>
      <c r="AA17" s="5">
        <v>0.17319854209731456</v>
      </c>
      <c r="AB17" s="5">
        <v>0.16718015126233332</v>
      </c>
      <c r="AC17" s="5">
        <v>0.16465524351215222</v>
      </c>
      <c r="AD17" s="5">
        <v>0.16177179612355114</v>
      </c>
      <c r="AE17" s="5">
        <v>0.18739401644324219</v>
      </c>
      <c r="AF17" s="5">
        <v>0.33356101855759918</v>
      </c>
      <c r="AG17" s="5">
        <v>0.82978669644309733</v>
      </c>
      <c r="AH17" s="5">
        <v>0</v>
      </c>
      <c r="AI17" s="5">
        <v>0</v>
      </c>
      <c r="AJ17" s="5">
        <v>0.64108259281264535</v>
      </c>
      <c r="AK17" s="5">
        <v>0.3060564616717647</v>
      </c>
      <c r="AL17" s="5">
        <v>0.22918604634461429</v>
      </c>
      <c r="AM17" s="5">
        <v>0.24171656142681872</v>
      </c>
      <c r="AN17" s="5">
        <v>0.30127035703351968</v>
      </c>
      <c r="AO17" s="5">
        <v>0.61036289900872631</v>
      </c>
      <c r="AP17" s="5">
        <v>0.94444306814048651</v>
      </c>
      <c r="AQ17" s="5">
        <v>0</v>
      </c>
      <c r="AS17" s="3" t="s">
        <v>147</v>
      </c>
      <c r="AT17" s="3" t="s">
        <v>132</v>
      </c>
      <c r="AU17" s="5">
        <v>0</v>
      </c>
      <c r="AV17" s="4">
        <v>0</v>
      </c>
      <c r="AW17" s="5">
        <v>0.94263236184858068</v>
      </c>
      <c r="AX17" s="5">
        <v>0.38939450802139536</v>
      </c>
      <c r="AY17" s="5">
        <v>0.22166708746667374</v>
      </c>
      <c r="AZ17" s="5">
        <v>0.10625640953889647</v>
      </c>
      <c r="BA17" s="5">
        <v>5.0782817761943745E-2</v>
      </c>
      <c r="BB17" s="5">
        <v>0.12337626891855452</v>
      </c>
      <c r="BC17" s="5">
        <v>0</v>
      </c>
      <c r="BD17" s="5">
        <v>0</v>
      </c>
      <c r="BE17" s="5">
        <v>0</v>
      </c>
      <c r="BF17" s="5">
        <v>0.55755109355215504</v>
      </c>
      <c r="BG17" s="5">
        <v>0.2368873814565165</v>
      </c>
      <c r="BH17" s="5">
        <v>0.11765410431470855</v>
      </c>
      <c r="BI17" s="5">
        <v>6.9795212127696044E-2</v>
      </c>
      <c r="BJ17" s="5">
        <v>3.3665880605532529E-2</v>
      </c>
      <c r="BK17" s="5">
        <v>3.3526884872060354E-2</v>
      </c>
      <c r="BL17" s="4">
        <v>5.6478252644303679E-2</v>
      </c>
      <c r="BM17" s="5">
        <v>0.27390233989464768</v>
      </c>
      <c r="BN17" s="5">
        <v>0.87491230317288959</v>
      </c>
      <c r="BO17" s="5">
        <v>0</v>
      </c>
      <c r="BP17" s="5">
        <v>0.30673324954584458</v>
      </c>
      <c r="BQ17" s="5">
        <v>0.15773494199903029</v>
      </c>
      <c r="BR17" s="5">
        <v>9.8360452047047561E-2</v>
      </c>
      <c r="BS17" s="5">
        <v>8.1149483318713453E-2</v>
      </c>
      <c r="BT17" s="4">
        <v>3.7215925059780552E-2</v>
      </c>
      <c r="BU17" s="5">
        <v>1.393555323389333E-2</v>
      </c>
      <c r="BV17" s="5">
        <v>3.5126105049957786E-2</v>
      </c>
      <c r="BW17" s="5">
        <v>0.15499259199095428</v>
      </c>
      <c r="BX17" s="5">
        <v>0.6902609016280209</v>
      </c>
      <c r="BY17" s="5">
        <v>0</v>
      </c>
      <c r="BZ17" s="4">
        <v>0</v>
      </c>
      <c r="CA17" s="4">
        <v>0.49380759698077409</v>
      </c>
      <c r="CB17" s="5">
        <v>0.19140651446058082</v>
      </c>
      <c r="CC17" s="5">
        <v>0.13458047628689002</v>
      </c>
      <c r="CD17" s="5">
        <v>7.9766659280645219E-2</v>
      </c>
      <c r="CE17" s="5">
        <v>5.0396548452977266E-2</v>
      </c>
      <c r="CF17" s="4">
        <v>0.12546089256509324</v>
      </c>
      <c r="CG17" s="5">
        <v>0.11915720275778308</v>
      </c>
      <c r="CH17" s="5">
        <v>0</v>
      </c>
      <c r="CJ17" s="3" t="s">
        <v>147</v>
      </c>
      <c r="CK17" s="3" t="s">
        <v>133</v>
      </c>
      <c r="CL17" s="5">
        <v>0</v>
      </c>
      <c r="CM17" s="5">
        <v>0</v>
      </c>
      <c r="CN17" s="5">
        <v>0</v>
      </c>
      <c r="CO17" s="5">
        <v>0</v>
      </c>
      <c r="CP17" s="4">
        <v>0</v>
      </c>
      <c r="CQ17" s="5">
        <v>0.10492502416653363</v>
      </c>
      <c r="CR17" s="5">
        <v>0.2576941496132617</v>
      </c>
      <c r="CS17" s="5">
        <v>0.57263620949037752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3.7690032954441283E-3</v>
      </c>
      <c r="CZ17" s="5">
        <v>2.7240031150007199E-2</v>
      </c>
      <c r="DA17" s="5">
        <v>6.10072000603923E-2</v>
      </c>
      <c r="DB17" s="5">
        <v>6.5164855125620508E-2</v>
      </c>
      <c r="DC17" s="5">
        <v>6.5610852460557118E-2</v>
      </c>
      <c r="DD17" s="5">
        <v>4.0098129610705593E-2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1.0629318013589649E-2</v>
      </c>
      <c r="DK17" s="5">
        <v>5.6376892755409157E-2</v>
      </c>
      <c r="DL17" s="5">
        <v>8.1566379495284419E-2</v>
      </c>
      <c r="DM17" s="5">
        <v>7.2366042303318612E-2</v>
      </c>
      <c r="DN17" s="5">
        <v>1.1047191784911618E-2</v>
      </c>
      <c r="DO17" s="4">
        <v>0</v>
      </c>
      <c r="DP17" s="5">
        <v>0</v>
      </c>
      <c r="DQ17" s="5">
        <v>0</v>
      </c>
      <c r="DR17" s="5">
        <v>0</v>
      </c>
      <c r="DS17" s="5">
        <v>0</v>
      </c>
      <c r="DT17" s="4">
        <v>7.3394644381148825E-3</v>
      </c>
      <c r="DU17" s="5">
        <v>6.3853013051695551E-2</v>
      </c>
      <c r="DV17" s="5">
        <v>0.14743337042788243</v>
      </c>
      <c r="DW17" s="5">
        <v>0.25482233825266259</v>
      </c>
      <c r="DX17" s="5">
        <v>0.42071402377242034</v>
      </c>
      <c r="DY17" s="5">
        <v>0</v>
      </c>
      <c r="EA17" s="3" t="s">
        <v>147</v>
      </c>
      <c r="EB17" s="3" t="s">
        <v>134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1.2326002489476478E-2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4">
        <v>4.8881786723316582E-3</v>
      </c>
      <c r="ET17" s="5">
        <v>3.341233619171443E-2</v>
      </c>
      <c r="EU17" s="5">
        <v>8.7808268133016218E-2</v>
      </c>
      <c r="EV17" s="5">
        <v>6.2244499781351527E-2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4">
        <v>8.0666979724432816E-3</v>
      </c>
      <c r="FE17" s="5">
        <v>4.9155457378210463E-2</v>
      </c>
      <c r="FF17" s="5">
        <v>1.4974465254120183E-2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7.1364904950079688E-2</v>
      </c>
      <c r="FO17" s="5">
        <v>0.35267936533882777</v>
      </c>
      <c r="FP17" s="5">
        <v>0</v>
      </c>
      <c r="FZ17" s="3" t="s">
        <v>147</v>
      </c>
      <c r="GA17" s="5">
        <v>0</v>
      </c>
      <c r="GB17" s="5">
        <v>0</v>
      </c>
      <c r="GC17" s="4">
        <v>7.4108658291616126E-4</v>
      </c>
      <c r="GD17" s="5">
        <v>6.2090313893799189E-2</v>
      </c>
      <c r="GE17" s="5">
        <v>0.19717768458247353</v>
      </c>
      <c r="GF17" s="5">
        <v>0.21902926890534888</v>
      </c>
      <c r="GG17" s="5">
        <v>0.1162499295966854</v>
      </c>
      <c r="GH17" s="5">
        <v>1.4339257727815078E-2</v>
      </c>
      <c r="GI17" s="5">
        <v>0</v>
      </c>
      <c r="GJ17" s="5">
        <v>0</v>
      </c>
      <c r="GK17" s="4">
        <v>0</v>
      </c>
      <c r="GL17" s="5">
        <v>5.3034710821117095E-3</v>
      </c>
      <c r="GM17" s="5">
        <v>9.3966119118441133E-2</v>
      </c>
      <c r="GN17" s="5">
        <v>0.2912351634570553</v>
      </c>
      <c r="GO17" s="5">
        <v>0.41003313699977323</v>
      </c>
      <c r="GP17" s="5">
        <v>0.4137152810538226</v>
      </c>
      <c r="GQ17" s="5">
        <v>0.31372600570232856</v>
      </c>
      <c r="GR17" s="5">
        <v>0.14808689897002694</v>
      </c>
      <c r="GS17" s="5">
        <v>1.1099656410552472E-2</v>
      </c>
      <c r="GT17" s="4">
        <v>3.4028268830033179E-6</v>
      </c>
      <c r="GU17" s="4">
        <v>0</v>
      </c>
      <c r="GV17" s="5">
        <v>1.3005839211578669E-2</v>
      </c>
      <c r="GW17" s="5">
        <v>0.12006516433744674</v>
      </c>
      <c r="GX17" s="5">
        <v>0.29575694680276393</v>
      </c>
      <c r="GY17" s="5">
        <v>0.40005364340854749</v>
      </c>
      <c r="GZ17" s="5">
        <v>0.41368221823740653</v>
      </c>
      <c r="HA17" s="5">
        <v>0.33866837615117118</v>
      </c>
      <c r="HB17" s="5">
        <v>0.18592595016619362</v>
      </c>
      <c r="HC17" s="5">
        <v>3.1505558787370179E-2</v>
      </c>
      <c r="HD17" s="4">
        <v>2.9093952833213942E-4</v>
      </c>
      <c r="HE17" s="5">
        <v>0</v>
      </c>
      <c r="HF17" s="4">
        <v>0</v>
      </c>
      <c r="HG17" s="5">
        <v>1.9049507657237827E-2</v>
      </c>
      <c r="HH17" s="5">
        <v>0.1500855462475077</v>
      </c>
      <c r="HI17" s="5">
        <v>0.2675259194689274</v>
      </c>
      <c r="HJ17" s="5">
        <v>0.26592534894538555</v>
      </c>
      <c r="HK17" s="5">
        <v>0.16209024501885866</v>
      </c>
      <c r="HL17" s="5">
        <v>3.3774718203365375E-2</v>
      </c>
      <c r="HM17" s="4">
        <v>1.3433008815988146E-4</v>
      </c>
      <c r="HN17" s="5">
        <v>0</v>
      </c>
      <c r="HP17" s="3" t="s">
        <v>147</v>
      </c>
      <c r="HQ17" s="3" t="s">
        <v>140</v>
      </c>
      <c r="HR17" s="3" t="s">
        <v>141</v>
      </c>
      <c r="HS17" s="5">
        <v>0.37190223677123202</v>
      </c>
    </row>
    <row r="18" spans="2:227" x14ac:dyDescent="0.45">
      <c r="B18" s="6" t="s">
        <v>148</v>
      </c>
      <c r="C18" s="6" t="s">
        <v>131</v>
      </c>
      <c r="D18" s="8">
        <v>0</v>
      </c>
      <c r="E18" s="8">
        <v>0</v>
      </c>
      <c r="F18" s="8">
        <v>0.98624285112282717</v>
      </c>
      <c r="G18" s="8">
        <v>0.57892051341424555</v>
      </c>
      <c r="H18" s="8">
        <v>0.36411997502510401</v>
      </c>
      <c r="I18" s="8">
        <v>0.31928035800144411</v>
      </c>
      <c r="J18" s="8">
        <v>0.39252000292549111</v>
      </c>
      <c r="K18" s="8">
        <v>0.76566492400591402</v>
      </c>
      <c r="L18" s="8">
        <v>0</v>
      </c>
      <c r="M18" s="8">
        <v>0</v>
      </c>
      <c r="N18" s="8">
        <v>0</v>
      </c>
      <c r="O18" s="8">
        <v>0.78175094118917532</v>
      </c>
      <c r="P18" s="8">
        <v>0.42678908556043915</v>
      </c>
      <c r="Q18" s="8">
        <v>0.25831358344644922</v>
      </c>
      <c r="R18" s="8">
        <v>0.20918519687333956</v>
      </c>
      <c r="S18" s="8">
        <v>0.19302837451572524</v>
      </c>
      <c r="T18" s="8">
        <v>0.18525402256999951</v>
      </c>
      <c r="U18" s="8">
        <v>0.23970752982459262</v>
      </c>
      <c r="V18" s="8">
        <v>0.5350830001489767</v>
      </c>
      <c r="W18" s="8">
        <v>0.98188405797101452</v>
      </c>
      <c r="X18" s="8">
        <v>0</v>
      </c>
      <c r="Y18" s="8">
        <v>0.53899014167734072</v>
      </c>
      <c r="Z18" s="8">
        <v>0.28373430326981847</v>
      </c>
      <c r="AA18" s="8">
        <v>0.19566595826300828</v>
      </c>
      <c r="AB18" s="8">
        <v>0.1694324458795626</v>
      </c>
      <c r="AC18" s="8">
        <v>0.16843441830903888</v>
      </c>
      <c r="AD18" s="8">
        <v>0.16790071840614817</v>
      </c>
      <c r="AE18" s="8">
        <v>0.1956430772683668</v>
      </c>
      <c r="AF18" s="8">
        <v>0.34811716482934124</v>
      </c>
      <c r="AG18" s="8">
        <v>0.84220720080453182</v>
      </c>
      <c r="AH18" s="8">
        <v>0</v>
      </c>
      <c r="AI18" s="8">
        <v>0</v>
      </c>
      <c r="AJ18" s="8">
        <v>0.67591606659156034</v>
      </c>
      <c r="AK18" s="8">
        <v>0.31902583605628243</v>
      </c>
      <c r="AL18" s="8">
        <v>0.24321995792875095</v>
      </c>
      <c r="AM18" s="8">
        <v>0.23868545168979707</v>
      </c>
      <c r="AN18" s="8">
        <v>0.28552583001605136</v>
      </c>
      <c r="AO18" s="8">
        <v>0.5556633020443098</v>
      </c>
      <c r="AP18" s="8">
        <v>0.92650536083428547</v>
      </c>
      <c r="AQ18" s="8">
        <v>0</v>
      </c>
      <c r="AS18" s="6" t="s">
        <v>148</v>
      </c>
      <c r="AT18" s="6" t="s">
        <v>132</v>
      </c>
      <c r="AU18" s="8">
        <v>0</v>
      </c>
      <c r="AV18" s="7">
        <v>0</v>
      </c>
      <c r="AW18" s="8">
        <v>0.97528459722146232</v>
      </c>
      <c r="AX18" s="8">
        <v>0.41065534846279511</v>
      </c>
      <c r="AY18" s="8">
        <v>0.21006391693865975</v>
      </c>
      <c r="AZ18" s="8">
        <v>0.14063984455309292</v>
      </c>
      <c r="BA18" s="8">
        <v>8.4287873598149696E-2</v>
      </c>
      <c r="BB18" s="8">
        <v>0.15992772776393699</v>
      </c>
      <c r="BC18" s="8">
        <v>0</v>
      </c>
      <c r="BD18" s="8">
        <v>0</v>
      </c>
      <c r="BE18" s="8">
        <v>0</v>
      </c>
      <c r="BF18" s="8">
        <v>0.65431746426687498</v>
      </c>
      <c r="BG18" s="8">
        <v>0.29162005968565841</v>
      </c>
      <c r="BH18" s="8">
        <v>0.14647217703099311</v>
      </c>
      <c r="BI18" s="8">
        <v>7.7126897868098884E-2</v>
      </c>
      <c r="BJ18" s="8">
        <v>4.5849407215094548E-2</v>
      </c>
      <c r="BK18" s="8">
        <v>2.4187827374320469E-2</v>
      </c>
      <c r="BL18" s="7">
        <v>3.3611890843544115E-2</v>
      </c>
      <c r="BM18" s="8">
        <v>0.13690802107986813</v>
      </c>
      <c r="BN18" s="8">
        <v>0.18695065069671912</v>
      </c>
      <c r="BO18" s="8">
        <v>0</v>
      </c>
      <c r="BP18" s="8">
        <v>0.37053709594853262</v>
      </c>
      <c r="BQ18" s="8">
        <v>0.1873225279299473</v>
      </c>
      <c r="BR18" s="8">
        <v>0.11589577552759182</v>
      </c>
      <c r="BS18" s="8">
        <v>8.5769586788879831E-2</v>
      </c>
      <c r="BT18" s="7">
        <v>1.6216138446220552E-2</v>
      </c>
      <c r="BU18" s="8">
        <v>2.1184684223747901E-2</v>
      </c>
      <c r="BV18" s="8">
        <v>3.7353650975008708E-2</v>
      </c>
      <c r="BW18" s="8">
        <v>0.13109918852892827</v>
      </c>
      <c r="BX18" s="8">
        <v>0.67772489637937516</v>
      </c>
      <c r="BY18" s="8">
        <v>0</v>
      </c>
      <c r="BZ18" s="7">
        <v>0</v>
      </c>
      <c r="CA18" s="7">
        <v>0.53235639856561978</v>
      </c>
      <c r="CB18" s="8">
        <v>0.2048063699534132</v>
      </c>
      <c r="CC18" s="8">
        <v>0.13096119947390594</v>
      </c>
      <c r="CD18" s="8">
        <v>5.600050438104167E-2</v>
      </c>
      <c r="CE18" s="8">
        <v>6.3465506072045763E-2</v>
      </c>
      <c r="CF18" s="7">
        <v>0.15290640932836116</v>
      </c>
      <c r="CG18" s="8">
        <v>0.15260587544070287</v>
      </c>
      <c r="CH18" s="8">
        <v>0</v>
      </c>
      <c r="CJ18" s="6" t="s">
        <v>148</v>
      </c>
      <c r="CK18" s="6" t="s">
        <v>133</v>
      </c>
      <c r="CL18" s="8">
        <v>0</v>
      </c>
      <c r="CM18" s="8">
        <v>0</v>
      </c>
      <c r="CN18" s="8">
        <v>0</v>
      </c>
      <c r="CO18" s="8">
        <v>0</v>
      </c>
      <c r="CP18" s="7">
        <v>0</v>
      </c>
      <c r="CQ18" s="8">
        <v>4.2500484469524265E-2</v>
      </c>
      <c r="CR18" s="8">
        <v>0.17032420626811859</v>
      </c>
      <c r="CS18" s="8">
        <v>0.45444978932525726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3.4138745412420041E-2</v>
      </c>
      <c r="DA18" s="8">
        <v>5.769826145221809E-2</v>
      </c>
      <c r="DB18" s="8">
        <v>7.4214829997884327E-2</v>
      </c>
      <c r="DC18" s="8">
        <v>6.4290725847013896E-2</v>
      </c>
      <c r="DD18" s="8">
        <v>9.255307119634093E-2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1.4099630893485844E-2</v>
      </c>
      <c r="DK18" s="8">
        <v>7.7323938364636982E-2</v>
      </c>
      <c r="DL18" s="8">
        <v>7.6767162140205514E-2</v>
      </c>
      <c r="DM18" s="8">
        <v>5.8636425770331929E-2</v>
      </c>
      <c r="DN18" s="8">
        <v>1.2659888780909959E-2</v>
      </c>
      <c r="DO18" s="7">
        <v>4.3234264181243147E-2</v>
      </c>
      <c r="DP18" s="8">
        <v>0</v>
      </c>
      <c r="DQ18" s="8">
        <v>0</v>
      </c>
      <c r="DR18" s="8">
        <v>0</v>
      </c>
      <c r="DS18" s="8">
        <v>0</v>
      </c>
      <c r="DT18" s="7">
        <v>6.0322007629994749E-3</v>
      </c>
      <c r="DU18" s="8">
        <v>7.8802971479921047E-2</v>
      </c>
      <c r="DV18" s="8">
        <v>0.11758250897762103</v>
      </c>
      <c r="DW18" s="8">
        <v>0.19079343673667779</v>
      </c>
      <c r="DX18" s="8">
        <v>0.19179138961876552</v>
      </c>
      <c r="DY18" s="8">
        <v>0</v>
      </c>
      <c r="EA18" s="6" t="s">
        <v>148</v>
      </c>
      <c r="EB18" s="6" t="s">
        <v>134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7">
        <v>5.0713630628881606E-3</v>
      </c>
      <c r="ET18" s="8">
        <v>4.4501225122551488E-2</v>
      </c>
      <c r="EU18" s="8">
        <v>0.14984976910999712</v>
      </c>
      <c r="EV18" s="8">
        <v>0.77714565260090751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7">
        <v>2.2722792987334241E-2</v>
      </c>
      <c r="FE18" s="8">
        <v>8.2634250012991961E-2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5.2267531061400627E-2</v>
      </c>
      <c r="FO18" s="8">
        <v>0.52611051902109629</v>
      </c>
      <c r="FP18" s="8">
        <v>0</v>
      </c>
      <c r="FZ18" s="6" t="s">
        <v>148</v>
      </c>
      <c r="GA18" s="8">
        <v>0</v>
      </c>
      <c r="GB18" s="8">
        <v>0</v>
      </c>
      <c r="GC18" s="7">
        <v>1.3337525399626972E-5</v>
      </c>
      <c r="GD18" s="8">
        <v>5.7251526446320554E-2</v>
      </c>
      <c r="GE18" s="8">
        <v>0.18998692952166413</v>
      </c>
      <c r="GF18" s="8">
        <v>0.23044934538305797</v>
      </c>
      <c r="GG18" s="8">
        <v>0.13304482414962998</v>
      </c>
      <c r="GH18" s="8">
        <v>1.9416764681876E-2</v>
      </c>
      <c r="GI18" s="8">
        <v>0</v>
      </c>
      <c r="GJ18" s="8">
        <v>0</v>
      </c>
      <c r="GK18" s="7">
        <v>0</v>
      </c>
      <c r="GL18" s="8">
        <v>2.9914084554907325E-3</v>
      </c>
      <c r="GM18" s="8">
        <v>7.1687645627620034E-2</v>
      </c>
      <c r="GN18" s="8">
        <v>0.26878223390614803</v>
      </c>
      <c r="GO18" s="8">
        <v>0.40415854738152313</v>
      </c>
      <c r="GP18" s="8">
        <v>0.42746579142324592</v>
      </c>
      <c r="GQ18" s="8">
        <v>0.34271632877955777</v>
      </c>
      <c r="GR18" s="8">
        <v>0.16413144032597121</v>
      </c>
      <c r="GS18" s="8">
        <v>1.5468007299156299E-2</v>
      </c>
      <c r="GT18" s="7">
        <v>6.4900102226639812E-6</v>
      </c>
      <c r="GU18" s="7">
        <v>0</v>
      </c>
      <c r="GV18" s="8">
        <v>8.6721524941930344E-3</v>
      </c>
      <c r="GW18" s="8">
        <v>0.10549693293619544</v>
      </c>
      <c r="GX18" s="8">
        <v>0.29198136965288912</v>
      </c>
      <c r="GY18" s="8">
        <v>0.41406822572297747</v>
      </c>
      <c r="GZ18" s="8">
        <v>0.42898745899385482</v>
      </c>
      <c r="HA18" s="8">
        <v>0.35720057055778598</v>
      </c>
      <c r="HB18" s="8">
        <v>0.19944195360563158</v>
      </c>
      <c r="HC18" s="8">
        <v>3.5807564796471063E-2</v>
      </c>
      <c r="HD18" s="7">
        <v>3.4125585021587074E-4</v>
      </c>
      <c r="HE18" s="8">
        <v>0</v>
      </c>
      <c r="HF18" s="7">
        <v>0</v>
      </c>
      <c r="HG18" s="8">
        <v>1.6937208217149932E-2</v>
      </c>
      <c r="HH18" s="8">
        <v>0.15601343320527186</v>
      </c>
      <c r="HI18" s="8">
        <v>0.28833197052422371</v>
      </c>
      <c r="HJ18" s="8">
        <v>0.28926743381891568</v>
      </c>
      <c r="HK18" s="8">
        <v>0.18564572588169287</v>
      </c>
      <c r="HL18" s="8">
        <v>4.2855553447116265E-2</v>
      </c>
      <c r="HM18" s="7">
        <v>4.2395723096375542E-4</v>
      </c>
      <c r="HN18" s="8">
        <v>0</v>
      </c>
      <c r="HP18" s="6" t="s">
        <v>148</v>
      </c>
      <c r="HQ18" s="6" t="s">
        <v>140</v>
      </c>
      <c r="HR18" s="6" t="s">
        <v>141</v>
      </c>
      <c r="HS18" s="8">
        <v>0.39610428528773933</v>
      </c>
    </row>
    <row r="19" spans="2:227" x14ac:dyDescent="0.45">
      <c r="B19" s="3" t="s">
        <v>149</v>
      </c>
      <c r="C19" s="3" t="s">
        <v>131</v>
      </c>
      <c r="D19" s="5">
        <v>0</v>
      </c>
      <c r="E19" s="5">
        <v>0</v>
      </c>
      <c r="F19" s="5">
        <v>0.91151341992578472</v>
      </c>
      <c r="G19" s="5">
        <v>0.34445014485961339</v>
      </c>
      <c r="H19" s="5">
        <v>0.25218975757180218</v>
      </c>
      <c r="I19" s="5">
        <v>0.25083980630006847</v>
      </c>
      <c r="J19" s="5">
        <v>0.38984793048043537</v>
      </c>
      <c r="K19" s="5">
        <v>0.85246198501924086</v>
      </c>
      <c r="L19" s="5">
        <v>0</v>
      </c>
      <c r="M19" s="5">
        <v>0</v>
      </c>
      <c r="N19" s="5">
        <v>0</v>
      </c>
      <c r="O19" s="5">
        <v>0.65163310662378926</v>
      </c>
      <c r="P19" s="5">
        <v>0.32896169075641379</v>
      </c>
      <c r="Q19" s="5">
        <v>0.20497671172046536</v>
      </c>
      <c r="R19" s="5">
        <v>0.16125410739924748</v>
      </c>
      <c r="S19" s="5">
        <v>0.14996153173630949</v>
      </c>
      <c r="T19" s="5">
        <v>0.1762683555998488</v>
      </c>
      <c r="U19" s="5">
        <v>0.29811449262603845</v>
      </c>
      <c r="V19" s="5">
        <v>0.68853084284645627</v>
      </c>
      <c r="W19" s="5">
        <v>0</v>
      </c>
      <c r="X19" s="5">
        <v>0</v>
      </c>
      <c r="Y19" s="5">
        <v>0.39269099083934772</v>
      </c>
      <c r="Z19" s="5">
        <v>0.21169652745552392</v>
      </c>
      <c r="AA19" s="5">
        <v>0.13738537192188238</v>
      </c>
      <c r="AB19" s="5">
        <v>0.12371970768343611</v>
      </c>
      <c r="AC19" s="5">
        <v>0.11884909407900404</v>
      </c>
      <c r="AD19" s="5">
        <v>0.13821584306715451</v>
      </c>
      <c r="AE19" s="5">
        <v>0.20334867470100393</v>
      </c>
      <c r="AF19" s="5">
        <v>0.4088125428990062</v>
      </c>
      <c r="AG19" s="5">
        <v>0</v>
      </c>
      <c r="AH19" s="5">
        <v>0</v>
      </c>
      <c r="AI19" s="5">
        <v>0.95604395604395587</v>
      </c>
      <c r="AJ19" s="5">
        <v>0.49798225965767123</v>
      </c>
      <c r="AK19" s="5">
        <v>0.26249272796602185</v>
      </c>
      <c r="AL19" s="5">
        <v>0.20040786481534087</v>
      </c>
      <c r="AM19" s="5">
        <v>0.23968308958647916</v>
      </c>
      <c r="AN19" s="5">
        <v>0.31284315664283824</v>
      </c>
      <c r="AO19" s="5">
        <v>0.6466575103662785</v>
      </c>
      <c r="AP19" s="5">
        <v>0.98901098901098883</v>
      </c>
      <c r="AQ19" s="5">
        <v>0</v>
      </c>
      <c r="AS19" s="3" t="s">
        <v>149</v>
      </c>
      <c r="AT19" s="3" t="s">
        <v>132</v>
      </c>
      <c r="AU19" s="5">
        <v>0</v>
      </c>
      <c r="AV19" s="4">
        <v>0</v>
      </c>
      <c r="AW19" s="5">
        <v>0.84054523119562974</v>
      </c>
      <c r="AX19" s="5">
        <v>0.23252678702742935</v>
      </c>
      <c r="AY19" s="5">
        <v>0.13958360374482204</v>
      </c>
      <c r="AZ19" s="5">
        <v>0.12146767006992562</v>
      </c>
      <c r="BA19" s="5">
        <v>0.11365725082736983</v>
      </c>
      <c r="BB19" s="5">
        <v>0.26304689531692627</v>
      </c>
      <c r="BC19" s="5">
        <v>0</v>
      </c>
      <c r="BD19" s="5">
        <v>0</v>
      </c>
      <c r="BE19" s="5">
        <v>0</v>
      </c>
      <c r="BF19" s="5">
        <v>0.49582127001490828</v>
      </c>
      <c r="BG19" s="5">
        <v>0.20810076009675157</v>
      </c>
      <c r="BH19" s="5">
        <v>0.11060563727166368</v>
      </c>
      <c r="BI19" s="5">
        <v>5.635903162955757E-2</v>
      </c>
      <c r="BJ19" s="5">
        <v>2.9537742483681823E-2</v>
      </c>
      <c r="BK19" s="5">
        <v>2.3634864782826084E-2</v>
      </c>
      <c r="BL19" s="4">
        <v>7.1655599545492873E-2</v>
      </c>
      <c r="BM19" s="5">
        <v>0.3758239986090508</v>
      </c>
      <c r="BN19" s="5">
        <v>0</v>
      </c>
      <c r="BO19" s="5">
        <v>0</v>
      </c>
      <c r="BP19" s="5">
        <v>0.25700585845157581</v>
      </c>
      <c r="BQ19" s="5">
        <v>0.13227561215849018</v>
      </c>
      <c r="BR19" s="5">
        <v>7.5547440993464984E-2</v>
      </c>
      <c r="BS19" s="5">
        <v>5.794599407247808E-2</v>
      </c>
      <c r="BT19" s="4">
        <v>2.3201064451850766E-2</v>
      </c>
      <c r="BU19" s="5">
        <v>1.5256815342645912E-2</v>
      </c>
      <c r="BV19" s="5">
        <v>4.8096141290629328E-2</v>
      </c>
      <c r="BW19" s="5">
        <v>0.26650160603126416</v>
      </c>
      <c r="BX19" s="5">
        <v>0</v>
      </c>
      <c r="BY19" s="5">
        <v>0</v>
      </c>
      <c r="BZ19" s="4">
        <v>0.91402004588817765</v>
      </c>
      <c r="CA19" s="4">
        <v>0.34970943807114963</v>
      </c>
      <c r="CB19" s="5">
        <v>0.1586369118662832</v>
      </c>
      <c r="CC19" s="5">
        <v>8.8305070091622931E-2</v>
      </c>
      <c r="CD19" s="5">
        <v>3.7488180453870049E-2</v>
      </c>
      <c r="CE19" s="5">
        <v>2.655603013883677E-2</v>
      </c>
      <c r="CF19" s="4">
        <v>0.10549075159609476</v>
      </c>
      <c r="CG19" s="5">
        <v>0</v>
      </c>
      <c r="CH19" s="5">
        <v>0</v>
      </c>
      <c r="CJ19" s="3" t="s">
        <v>149</v>
      </c>
      <c r="CK19" s="3" t="s">
        <v>133</v>
      </c>
      <c r="CL19" s="5">
        <v>0</v>
      </c>
      <c r="CM19" s="5">
        <v>0</v>
      </c>
      <c r="CN19" s="5">
        <v>0</v>
      </c>
      <c r="CO19" s="5">
        <v>0</v>
      </c>
      <c r="CP19" s="4">
        <v>0</v>
      </c>
      <c r="CQ19" s="5">
        <v>2.6109120893577892E-2</v>
      </c>
      <c r="CR19" s="5">
        <v>0.14438364430229203</v>
      </c>
      <c r="CS19" s="5">
        <v>0.48446259057865426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3.007299639294532E-2</v>
      </c>
      <c r="DA19" s="5">
        <v>4.9943435214148908E-2</v>
      </c>
      <c r="DB19" s="5">
        <v>7.4559784660029396E-2</v>
      </c>
      <c r="DC19" s="5">
        <v>7.7041424670378333E-2</v>
      </c>
      <c r="DD19" s="5">
        <v>6.238038735365331E-2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5.6793281953329538E-3</v>
      </c>
      <c r="DK19" s="5">
        <v>3.9112748485349576E-2</v>
      </c>
      <c r="DL19" s="5">
        <v>6.0496582708336424E-2</v>
      </c>
      <c r="DM19" s="5">
        <v>6.8538412254887868E-2</v>
      </c>
      <c r="DN19" s="5">
        <v>0</v>
      </c>
      <c r="DO19" s="4">
        <v>0</v>
      </c>
      <c r="DP19" s="5">
        <v>0</v>
      </c>
      <c r="DQ19" s="5">
        <v>0</v>
      </c>
      <c r="DR19" s="5">
        <v>0</v>
      </c>
      <c r="DS19" s="5">
        <v>0</v>
      </c>
      <c r="DT19" s="4">
        <v>2.4782870559365393E-2</v>
      </c>
      <c r="DU19" s="5">
        <v>9.3326125306123164E-2</v>
      </c>
      <c r="DV19" s="5">
        <v>0.15681691052609667</v>
      </c>
      <c r="DW19" s="5">
        <v>0.19565823284660516</v>
      </c>
      <c r="DX19" s="5">
        <v>0.85954621313015567</v>
      </c>
      <c r="DY19" s="5">
        <v>0</v>
      </c>
      <c r="EA19" s="3" t="s">
        <v>149</v>
      </c>
      <c r="EB19" s="3" t="s">
        <v>134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4">
        <v>1.3038858478053828E-3</v>
      </c>
      <c r="ET19" s="5">
        <v>4.6855112699915852E-2</v>
      </c>
      <c r="EU19" s="5">
        <v>0.10128535284102559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4">
        <v>1.5553371872619353E-2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1.0096114511676923E-2</v>
      </c>
      <c r="FN19" s="5">
        <v>0.1855599600219219</v>
      </c>
      <c r="FO19" s="5">
        <v>0.11859652325433898</v>
      </c>
      <c r="FP19" s="5">
        <v>0</v>
      </c>
      <c r="FZ19" s="3" t="s">
        <v>149</v>
      </c>
      <c r="GA19" s="5">
        <v>0</v>
      </c>
      <c r="GB19" s="5">
        <v>0</v>
      </c>
      <c r="GC19" s="4">
        <v>2.4508292292550861E-3</v>
      </c>
      <c r="GD19" s="5">
        <v>0.11340213494710483</v>
      </c>
      <c r="GE19" s="5">
        <v>0.25780002768496402</v>
      </c>
      <c r="GF19" s="5">
        <v>0.25572285954279966</v>
      </c>
      <c r="GG19" s="5">
        <v>0.11849185613441435</v>
      </c>
      <c r="GH19" s="5">
        <v>7.4383709992482056E-3</v>
      </c>
      <c r="GI19" s="5">
        <v>0</v>
      </c>
      <c r="GJ19" s="5">
        <v>0</v>
      </c>
      <c r="GK19" s="4">
        <v>0</v>
      </c>
      <c r="GL19" s="5">
        <v>7.8579663550596614E-3</v>
      </c>
      <c r="GM19" s="5">
        <v>0.13375993414065898</v>
      </c>
      <c r="GN19" s="5">
        <v>0.35254592810541502</v>
      </c>
      <c r="GO19" s="5">
        <v>0.48647945856783492</v>
      </c>
      <c r="GP19" s="5">
        <v>0.48947811786058376</v>
      </c>
      <c r="GQ19" s="5">
        <v>0.33790989147762401</v>
      </c>
      <c r="GR19" s="5">
        <v>0.11810072645245281</v>
      </c>
      <c r="GS19" s="5">
        <v>5.0981281163992535E-3</v>
      </c>
      <c r="GT19" s="4">
        <v>0</v>
      </c>
      <c r="GU19" s="4">
        <v>0</v>
      </c>
      <c r="GV19" s="5">
        <v>1.7664515507923945E-2</v>
      </c>
      <c r="GW19" s="5">
        <v>0.17141082823239404</v>
      </c>
      <c r="GX19" s="5">
        <v>0.40021784878605837</v>
      </c>
      <c r="GY19" s="5">
        <v>0.53283764050760563</v>
      </c>
      <c r="GZ19" s="5">
        <v>0.52629240652195353</v>
      </c>
      <c r="HA19" s="5">
        <v>0.38905924771224026</v>
      </c>
      <c r="HB19" s="5">
        <v>0.16808903699764388</v>
      </c>
      <c r="HC19" s="5">
        <v>1.6345329072903349E-2</v>
      </c>
      <c r="HD19" s="4">
        <v>0</v>
      </c>
      <c r="HE19" s="5">
        <v>0</v>
      </c>
      <c r="HF19" s="4">
        <v>1.0618105965803785E-4</v>
      </c>
      <c r="HG19" s="5">
        <v>5.3589903597996404E-2</v>
      </c>
      <c r="HH19" s="5">
        <v>0.24243926264112392</v>
      </c>
      <c r="HI19" s="5">
        <v>0.35986593852225601</v>
      </c>
      <c r="HJ19" s="5">
        <v>0.31801705796274976</v>
      </c>
      <c r="HK19" s="5">
        <v>0.17346360122578369</v>
      </c>
      <c r="HL19" s="5">
        <v>2.6200509557117543E-2</v>
      </c>
      <c r="HM19" s="4">
        <v>8.3406896689896503E-6</v>
      </c>
      <c r="HN19" s="5">
        <v>0</v>
      </c>
      <c r="HP19" s="3" t="s">
        <v>149</v>
      </c>
      <c r="HQ19" s="3" t="s">
        <v>140</v>
      </c>
      <c r="HR19" s="3" t="s">
        <v>141</v>
      </c>
      <c r="HS19" s="5">
        <v>0.44266965909037692</v>
      </c>
    </row>
    <row r="20" spans="2:227" x14ac:dyDescent="0.45">
      <c r="B20" s="6" t="s">
        <v>150</v>
      </c>
      <c r="C20" s="6" t="s">
        <v>131</v>
      </c>
      <c r="D20" s="8">
        <v>0</v>
      </c>
      <c r="E20" s="8">
        <v>0</v>
      </c>
      <c r="F20" s="8">
        <v>0.98333333333333328</v>
      </c>
      <c r="G20" s="8">
        <v>0.56489829601458241</v>
      </c>
      <c r="H20" s="8">
        <v>0.36320349510166672</v>
      </c>
      <c r="I20" s="8">
        <v>0.3543297469370032</v>
      </c>
      <c r="J20" s="8">
        <v>0.45918301034567566</v>
      </c>
      <c r="K20" s="8">
        <v>0.82850406374320051</v>
      </c>
      <c r="L20" s="8">
        <v>0</v>
      </c>
      <c r="M20" s="8">
        <v>0</v>
      </c>
      <c r="N20" s="8">
        <v>0</v>
      </c>
      <c r="O20" s="8">
        <v>0.71766162225764163</v>
      </c>
      <c r="P20" s="8">
        <v>0.38159685691540379</v>
      </c>
      <c r="Q20" s="8">
        <v>0.21951053328983011</v>
      </c>
      <c r="R20" s="8">
        <v>0.16828285525044381</v>
      </c>
      <c r="S20" s="8">
        <v>0.15795017320121799</v>
      </c>
      <c r="T20" s="8">
        <v>0.17204676630222593</v>
      </c>
      <c r="U20" s="8">
        <v>0.24271645925206714</v>
      </c>
      <c r="V20" s="8">
        <v>0.54552988871714381</v>
      </c>
      <c r="W20" s="8">
        <v>0.95546384618822389</v>
      </c>
      <c r="X20" s="8">
        <v>0</v>
      </c>
      <c r="Y20" s="8">
        <v>0.47334897465482156</v>
      </c>
      <c r="Z20" s="8">
        <v>0.25376367558510832</v>
      </c>
      <c r="AA20" s="8">
        <v>0.17384452216362012</v>
      </c>
      <c r="AB20" s="8">
        <v>0.15073774425465231</v>
      </c>
      <c r="AC20" s="8">
        <v>0.13377680308329354</v>
      </c>
      <c r="AD20" s="8">
        <v>0.14582999781510583</v>
      </c>
      <c r="AE20" s="8">
        <v>0.18558826667204625</v>
      </c>
      <c r="AF20" s="8">
        <v>0.32666333675824127</v>
      </c>
      <c r="AG20" s="8">
        <v>0.81158925584373598</v>
      </c>
      <c r="AH20" s="8">
        <v>0</v>
      </c>
      <c r="AI20" s="8">
        <v>0</v>
      </c>
      <c r="AJ20" s="8">
        <v>0.6640465899824336</v>
      </c>
      <c r="AK20" s="8">
        <v>0.33095407522766518</v>
      </c>
      <c r="AL20" s="8">
        <v>0.24357533092228129</v>
      </c>
      <c r="AM20" s="8">
        <v>0.24143186655322316</v>
      </c>
      <c r="AN20" s="8">
        <v>0.28835646981025176</v>
      </c>
      <c r="AO20" s="8">
        <v>0.581481570919964</v>
      </c>
      <c r="AP20" s="8">
        <v>0.9203876600864509</v>
      </c>
      <c r="AQ20" s="8">
        <v>0</v>
      </c>
      <c r="AS20" s="6" t="s">
        <v>150</v>
      </c>
      <c r="AT20" s="6" t="s">
        <v>132</v>
      </c>
      <c r="AU20" s="8">
        <v>0</v>
      </c>
      <c r="AV20" s="7">
        <v>0</v>
      </c>
      <c r="AW20" s="8">
        <v>0.96694444444444438</v>
      </c>
      <c r="AX20" s="8">
        <v>0.41399629303801533</v>
      </c>
      <c r="AY20" s="8">
        <v>0.2364954799621074</v>
      </c>
      <c r="AZ20" s="8">
        <v>0.1373812118758046</v>
      </c>
      <c r="BA20" s="8">
        <v>5.2483073336978547E-2</v>
      </c>
      <c r="BB20" s="8">
        <v>9.7839436001836519E-2</v>
      </c>
      <c r="BC20" s="8">
        <v>0</v>
      </c>
      <c r="BD20" s="8">
        <v>0</v>
      </c>
      <c r="BE20" s="8">
        <v>0</v>
      </c>
      <c r="BF20" s="8">
        <v>0.57860919832403346</v>
      </c>
      <c r="BG20" s="8">
        <v>0.24479989548481657</v>
      </c>
      <c r="BH20" s="8">
        <v>0.11722816501221973</v>
      </c>
      <c r="BI20" s="8">
        <v>6.85603654150648E-2</v>
      </c>
      <c r="BJ20" s="8">
        <v>2.2985001134866803E-2</v>
      </c>
      <c r="BK20" s="8">
        <v>1.7041567015954724E-2</v>
      </c>
      <c r="BL20" s="7">
        <v>4.6565675003420168E-2</v>
      </c>
      <c r="BM20" s="8">
        <v>0.21315460008471138</v>
      </c>
      <c r="BN20" s="8">
        <v>0.42677977936657885</v>
      </c>
      <c r="BO20" s="8">
        <v>0</v>
      </c>
      <c r="BP20" s="8">
        <v>0.32277645538371991</v>
      </c>
      <c r="BQ20" s="8">
        <v>0.16560542472033901</v>
      </c>
      <c r="BR20" s="8">
        <v>0.10261881262251879</v>
      </c>
      <c r="BS20" s="8">
        <v>6.9526500867851823E-2</v>
      </c>
      <c r="BT20" s="7">
        <v>3.0915379659932098E-2</v>
      </c>
      <c r="BU20" s="8">
        <v>1.522639764991247E-2</v>
      </c>
      <c r="BV20" s="8">
        <v>2.617608030478185E-2</v>
      </c>
      <c r="BW20" s="8">
        <v>0.1341381592426146</v>
      </c>
      <c r="BX20" s="8">
        <v>0.66088902630939961</v>
      </c>
      <c r="BY20" s="8">
        <v>0</v>
      </c>
      <c r="BZ20" s="7">
        <v>0</v>
      </c>
      <c r="CA20" s="7">
        <v>0.51700783105015946</v>
      </c>
      <c r="CB20" s="8">
        <v>0.21550084943117689</v>
      </c>
      <c r="CC20" s="8">
        <v>0.1545128861909453</v>
      </c>
      <c r="CD20" s="8">
        <v>4.1924163930234425E-2</v>
      </c>
      <c r="CE20" s="8">
        <v>4.1951381366793807E-2</v>
      </c>
      <c r="CF20" s="7">
        <v>0.10974357368609045</v>
      </c>
      <c r="CG20" s="8">
        <v>0.18652892493966869</v>
      </c>
      <c r="CH20" s="8">
        <v>0</v>
      </c>
      <c r="CJ20" s="6" t="s">
        <v>150</v>
      </c>
      <c r="CK20" s="6" t="s">
        <v>133</v>
      </c>
      <c r="CL20" s="8">
        <v>0</v>
      </c>
      <c r="CM20" s="8">
        <v>0</v>
      </c>
      <c r="CN20" s="8">
        <v>0</v>
      </c>
      <c r="CO20" s="8">
        <v>0</v>
      </c>
      <c r="CP20" s="7">
        <v>0</v>
      </c>
      <c r="CQ20" s="8">
        <v>8.2537396839805627E-2</v>
      </c>
      <c r="CR20" s="8">
        <v>0.26670413263756854</v>
      </c>
      <c r="CS20" s="8">
        <v>0.59997694729938378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4.7141464307705388E-3</v>
      </c>
      <c r="CZ20" s="8">
        <v>2.3364527555111224E-2</v>
      </c>
      <c r="DA20" s="8">
        <v>5.9863547359068792E-2</v>
      </c>
      <c r="DB20" s="8">
        <v>7.418429284720815E-2</v>
      </c>
      <c r="DC20" s="8">
        <v>7.6952884917848408E-2</v>
      </c>
      <c r="DD20" s="8">
        <v>2.4811301786928149E-2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1.3917912774513479E-2</v>
      </c>
      <c r="DK20" s="8">
        <v>4.5543357233053076E-2</v>
      </c>
      <c r="DL20" s="8">
        <v>7.0665239304077754E-2</v>
      </c>
      <c r="DM20" s="8">
        <v>7.2668565573216257E-2</v>
      </c>
      <c r="DN20" s="8">
        <v>2.9850764773380917E-2</v>
      </c>
      <c r="DO20" s="7">
        <v>1.6128488144355524E-2</v>
      </c>
      <c r="DP20" s="8">
        <v>0</v>
      </c>
      <c r="DQ20" s="8">
        <v>0</v>
      </c>
      <c r="DR20" s="8">
        <v>0</v>
      </c>
      <c r="DS20" s="8">
        <v>0</v>
      </c>
      <c r="DT20" s="7">
        <v>1.3753950849379913E-3</v>
      </c>
      <c r="DU20" s="8">
        <v>0.10304599750114814</v>
      </c>
      <c r="DV20" s="8">
        <v>0.14417292316283206</v>
      </c>
      <c r="DW20" s="8">
        <v>0.26547606418849196</v>
      </c>
      <c r="DX20" s="8">
        <v>0.15479989095342489</v>
      </c>
      <c r="DY20" s="8">
        <v>0</v>
      </c>
      <c r="EA20" s="6" t="s">
        <v>150</v>
      </c>
      <c r="EB20" s="6" t="s">
        <v>134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1.5457079136099438E-2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7">
        <v>8.1329983542080542E-4</v>
      </c>
      <c r="ET20" s="8">
        <v>2.7875366429102603E-2</v>
      </c>
      <c r="EU20" s="8">
        <v>0.14449387010204348</v>
      </c>
      <c r="EV20" s="8">
        <v>0.49403981697062083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7">
        <v>1.6290746893444716E-2</v>
      </c>
      <c r="FE20" s="8">
        <v>5.1545910221099028E-2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4.511190538202537E-2</v>
      </c>
      <c r="FO20" s="8">
        <v>0.51593734502240141</v>
      </c>
      <c r="FP20" s="8">
        <v>0</v>
      </c>
      <c r="FZ20" s="6" t="s">
        <v>150</v>
      </c>
      <c r="GA20" s="8">
        <v>0</v>
      </c>
      <c r="GB20" s="8">
        <v>0</v>
      </c>
      <c r="GC20" s="7">
        <v>5.8680672891155333E-5</v>
      </c>
      <c r="GD20" s="8">
        <v>4.8984500779726825E-2</v>
      </c>
      <c r="GE20" s="8">
        <v>0.16701579078664228</v>
      </c>
      <c r="GF20" s="8">
        <v>0.19879148191084167</v>
      </c>
      <c r="GG20" s="8">
        <v>0.11074820166366557</v>
      </c>
      <c r="GH20" s="8">
        <v>1.4842564084812769E-2</v>
      </c>
      <c r="GI20" s="8">
        <v>0</v>
      </c>
      <c r="GJ20" s="8">
        <v>0</v>
      </c>
      <c r="GK20" s="7">
        <v>0</v>
      </c>
      <c r="GL20" s="8">
        <v>4.4087428683244334E-3</v>
      </c>
      <c r="GM20" s="8">
        <v>8.4259256074550107E-2</v>
      </c>
      <c r="GN20" s="8">
        <v>0.29367665743977261</v>
      </c>
      <c r="GO20" s="8">
        <v>0.44131727603209109</v>
      </c>
      <c r="GP20" s="8">
        <v>0.44949490813708587</v>
      </c>
      <c r="GQ20" s="8">
        <v>0.34144390492048193</v>
      </c>
      <c r="GR20" s="8">
        <v>0.15685826194020827</v>
      </c>
      <c r="GS20" s="8">
        <v>1.3624670599779551E-2</v>
      </c>
      <c r="GT20" s="7">
        <v>3.059908455849326E-5</v>
      </c>
      <c r="GU20" s="7">
        <v>0</v>
      </c>
      <c r="GV20" s="8">
        <v>1.0892831116370684E-2</v>
      </c>
      <c r="GW20" s="8">
        <v>0.10539275804980379</v>
      </c>
      <c r="GX20" s="8">
        <v>0.27585487052772917</v>
      </c>
      <c r="GY20" s="8">
        <v>0.40145423631914329</v>
      </c>
      <c r="GZ20" s="8">
        <v>0.43399107870069331</v>
      </c>
      <c r="HA20" s="8">
        <v>0.35916384054370271</v>
      </c>
      <c r="HB20" s="8">
        <v>0.19682053392630958</v>
      </c>
      <c r="HC20" s="8">
        <v>3.6493409179001519E-2</v>
      </c>
      <c r="HD20" s="7">
        <v>6.3770566610133221E-4</v>
      </c>
      <c r="HE20" s="8">
        <v>0</v>
      </c>
      <c r="HF20" s="7">
        <v>0</v>
      </c>
      <c r="HG20" s="8">
        <v>1.7721643811393531E-2</v>
      </c>
      <c r="HH20" s="8">
        <v>0.13769561405008232</v>
      </c>
      <c r="HI20" s="8">
        <v>0.25665611311372716</v>
      </c>
      <c r="HJ20" s="8">
        <v>0.26266074621712598</v>
      </c>
      <c r="HK20" s="8">
        <v>0.16643436650125221</v>
      </c>
      <c r="HL20" s="8">
        <v>3.7154816363043984E-2</v>
      </c>
      <c r="HM20" s="7">
        <v>1.9574536514548461E-4</v>
      </c>
      <c r="HN20" s="8">
        <v>0</v>
      </c>
      <c r="HP20" s="6" t="s">
        <v>150</v>
      </c>
      <c r="HQ20" s="6" t="s">
        <v>140</v>
      </c>
      <c r="HR20" s="6" t="s">
        <v>141</v>
      </c>
      <c r="HS20" s="8">
        <v>0.39977829074865007</v>
      </c>
    </row>
    <row r="21" spans="2:227" x14ac:dyDescent="0.45">
      <c r="B21" s="3" t="s">
        <v>151</v>
      </c>
      <c r="C21" s="3" t="s">
        <v>131</v>
      </c>
      <c r="D21" s="5">
        <v>0</v>
      </c>
      <c r="E21" s="5">
        <v>0</v>
      </c>
      <c r="F21" s="5">
        <v>0.92248365099396779</v>
      </c>
      <c r="G21" s="5">
        <v>0.3672239496717678</v>
      </c>
      <c r="H21" s="5">
        <v>0.29291327594328437</v>
      </c>
      <c r="I21" s="5">
        <v>0.300887036892933</v>
      </c>
      <c r="J21" s="5">
        <v>0.37685458551218898</v>
      </c>
      <c r="K21" s="5">
        <v>0.83858811112381204</v>
      </c>
      <c r="L21" s="5">
        <v>0</v>
      </c>
      <c r="M21" s="5">
        <v>0</v>
      </c>
      <c r="N21" s="5">
        <v>0</v>
      </c>
      <c r="O21" s="5">
        <v>0.70449847039839442</v>
      </c>
      <c r="P21" s="5">
        <v>0.36023342298633232</v>
      </c>
      <c r="Q21" s="5">
        <v>0.21242397931259624</v>
      </c>
      <c r="R21" s="5">
        <v>0.18745817557020372</v>
      </c>
      <c r="S21" s="5">
        <v>0.19185302106263669</v>
      </c>
      <c r="T21" s="5">
        <v>0.21122760039328362</v>
      </c>
      <c r="U21" s="5">
        <v>0.28493964583188713</v>
      </c>
      <c r="V21" s="5">
        <v>0.67538123334139921</v>
      </c>
      <c r="W21" s="5">
        <v>0</v>
      </c>
      <c r="X21" s="5">
        <v>0</v>
      </c>
      <c r="Y21" s="5">
        <v>0.46491502986927685</v>
      </c>
      <c r="Z21" s="5">
        <v>0.23347359079436447</v>
      </c>
      <c r="AA21" s="5">
        <v>0.16155861862285786</v>
      </c>
      <c r="AB21" s="5">
        <v>0.14468606835377154</v>
      </c>
      <c r="AC21" s="5">
        <v>0.1532845495920466</v>
      </c>
      <c r="AD21" s="5">
        <v>0.1612850539814111</v>
      </c>
      <c r="AE21" s="5">
        <v>0.20413352097930143</v>
      </c>
      <c r="AF21" s="5">
        <v>0.38658438019272173</v>
      </c>
      <c r="AG21" s="5">
        <v>0</v>
      </c>
      <c r="AH21" s="5">
        <v>0</v>
      </c>
      <c r="AI21" s="5">
        <v>0.98351648351648324</v>
      </c>
      <c r="AJ21" s="5">
        <v>0.55072732787037371</v>
      </c>
      <c r="AK21" s="5">
        <v>0.30826777523269783</v>
      </c>
      <c r="AL21" s="5">
        <v>0.26527832410351243</v>
      </c>
      <c r="AM21" s="5">
        <v>0.25819755136419487</v>
      </c>
      <c r="AN21" s="5">
        <v>0.29829435137566479</v>
      </c>
      <c r="AO21" s="5">
        <v>0.62262157379167948</v>
      </c>
      <c r="AP21" s="5">
        <v>0.97778255677341908</v>
      </c>
      <c r="AQ21" s="5">
        <v>0</v>
      </c>
      <c r="AS21" s="3" t="s">
        <v>151</v>
      </c>
      <c r="AT21" s="3" t="s">
        <v>132</v>
      </c>
      <c r="AU21" s="5">
        <v>0</v>
      </c>
      <c r="AV21" s="4">
        <v>0</v>
      </c>
      <c r="AW21" s="5">
        <v>0.86073662370490933</v>
      </c>
      <c r="AX21" s="5">
        <v>0.25161855055091692</v>
      </c>
      <c r="AY21" s="5">
        <v>0.17284737714567835</v>
      </c>
      <c r="AZ21" s="5">
        <v>0.15642630354271625</v>
      </c>
      <c r="BA21" s="5">
        <v>8.5858321515538502E-2</v>
      </c>
      <c r="BB21" s="5">
        <v>0.2509790909701678</v>
      </c>
      <c r="BC21" s="5">
        <v>0</v>
      </c>
      <c r="BD21" s="5">
        <v>0</v>
      </c>
      <c r="BE21" s="5">
        <v>0</v>
      </c>
      <c r="BF21" s="5">
        <v>0.5550663468788265</v>
      </c>
      <c r="BG21" s="5">
        <v>0.22581674211013586</v>
      </c>
      <c r="BH21" s="5">
        <v>0.11934483680655916</v>
      </c>
      <c r="BI21" s="5">
        <v>8.2197491085528124E-2</v>
      </c>
      <c r="BJ21" s="5">
        <v>3.1961182747291352E-2</v>
      </c>
      <c r="BK21" s="5">
        <v>2.1649124946858195E-2</v>
      </c>
      <c r="BL21" s="4">
        <v>6.3766253464328598E-2</v>
      </c>
      <c r="BM21" s="5">
        <v>0.3609951022814134</v>
      </c>
      <c r="BN21" s="5">
        <v>0</v>
      </c>
      <c r="BO21" s="5">
        <v>0</v>
      </c>
      <c r="BP21" s="5">
        <v>0.31038319812446108</v>
      </c>
      <c r="BQ21" s="5">
        <v>0.15414069502244937</v>
      </c>
      <c r="BR21" s="5">
        <v>8.4437742578040167E-2</v>
      </c>
      <c r="BS21" s="5">
        <v>6.815885886320272E-2</v>
      </c>
      <c r="BT21" s="4">
        <v>3.8114642157935016E-2</v>
      </c>
      <c r="BU21" s="5">
        <v>1.8791865378345134E-2</v>
      </c>
      <c r="BV21" s="5">
        <v>4.2788261609805964E-2</v>
      </c>
      <c r="BW21" s="5">
        <v>0.23376050121440686</v>
      </c>
      <c r="BX21" s="5">
        <v>0</v>
      </c>
      <c r="BY21" s="5">
        <v>0</v>
      </c>
      <c r="BZ21" s="4">
        <v>0.96730467334862946</v>
      </c>
      <c r="CA21" s="4">
        <v>0.39277260901759747</v>
      </c>
      <c r="CB21" s="5">
        <v>0.18992957530779953</v>
      </c>
      <c r="CC21" s="5">
        <v>0.11374904940419869</v>
      </c>
      <c r="CD21" s="5">
        <v>5.1039928972960689E-2</v>
      </c>
      <c r="CE21" s="5">
        <v>4.6977821670897958E-2</v>
      </c>
      <c r="CF21" s="4">
        <v>0.21638532473603941</v>
      </c>
      <c r="CG21" s="5">
        <v>0.14674967760254382</v>
      </c>
      <c r="CH21" s="5">
        <v>0</v>
      </c>
      <c r="CJ21" s="3" t="s">
        <v>151</v>
      </c>
      <c r="CK21" s="3" t="s">
        <v>133</v>
      </c>
      <c r="CL21" s="5">
        <v>0</v>
      </c>
      <c r="CM21" s="5">
        <v>0</v>
      </c>
      <c r="CN21" s="5">
        <v>0</v>
      </c>
      <c r="CO21" s="5">
        <v>0</v>
      </c>
      <c r="CP21" s="4">
        <v>0</v>
      </c>
      <c r="CQ21" s="5">
        <v>2.4023438103839997E-2</v>
      </c>
      <c r="CR21" s="5">
        <v>0.16099049044673366</v>
      </c>
      <c r="CS21" s="5">
        <v>0.47779331187304586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3.2171866765946654E-2</v>
      </c>
      <c r="DA21" s="5">
        <v>8.7095881130377695E-2</v>
      </c>
      <c r="DB21" s="5">
        <v>9.9159227065077071E-2</v>
      </c>
      <c r="DC21" s="5">
        <v>5.7419272738501573E-2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6.086639310156676E-3</v>
      </c>
      <c r="DK21" s="5">
        <v>4.1960688485794789E-2</v>
      </c>
      <c r="DL21" s="5">
        <v>6.9834384349594492E-2</v>
      </c>
      <c r="DM21" s="5">
        <v>8.370199393497732E-2</v>
      </c>
      <c r="DN21" s="5">
        <v>1.4046732886811691E-2</v>
      </c>
      <c r="DO21" s="4">
        <v>0</v>
      </c>
      <c r="DP21" s="5">
        <v>0</v>
      </c>
      <c r="DQ21" s="5">
        <v>0</v>
      </c>
      <c r="DR21" s="5">
        <v>0</v>
      </c>
      <c r="DS21" s="5">
        <v>0</v>
      </c>
      <c r="DT21" s="4">
        <v>3.1105559397143372E-2</v>
      </c>
      <c r="DU21" s="5">
        <v>8.9430870345141786E-2</v>
      </c>
      <c r="DV21" s="5">
        <v>0.13612470877918217</v>
      </c>
      <c r="DW21" s="5">
        <v>9.8693748123443586E-2</v>
      </c>
      <c r="DX21" s="5">
        <v>0</v>
      </c>
      <c r="DY21" s="5">
        <v>0</v>
      </c>
      <c r="EA21" s="3" t="s">
        <v>151</v>
      </c>
      <c r="EB21" s="3" t="s">
        <v>134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4">
        <v>4.9217583700941932E-3</v>
      </c>
      <c r="ET21" s="5">
        <v>6.8093097872955657E-2</v>
      </c>
      <c r="EU21" s="5">
        <v>0.16954965883796652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4">
        <v>6.7603666996825179E-3</v>
      </c>
      <c r="FE21" s="5">
        <v>2.6007729986870566E-3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3.8207106020868489E-3</v>
      </c>
      <c r="FN21" s="5">
        <v>0.14513871388377708</v>
      </c>
      <c r="FO21" s="5">
        <v>0.8095431526483825</v>
      </c>
      <c r="FP21" s="5">
        <v>0</v>
      </c>
      <c r="FZ21" s="3" t="s">
        <v>151</v>
      </c>
      <c r="GA21" s="5">
        <v>0</v>
      </c>
      <c r="GB21" s="5">
        <v>0</v>
      </c>
      <c r="GC21" s="4">
        <v>2.8003107826640511E-3</v>
      </c>
      <c r="GD21" s="5">
        <v>0.11034517097017613</v>
      </c>
      <c r="GE21" s="5">
        <v>0.24117449931161797</v>
      </c>
      <c r="GF21" s="5">
        <v>0.24514077781454466</v>
      </c>
      <c r="GG21" s="5">
        <v>0.12564122782895781</v>
      </c>
      <c r="GH21" s="5">
        <v>1.0743044046132319E-2</v>
      </c>
      <c r="GI21" s="5">
        <v>0</v>
      </c>
      <c r="GJ21" s="5">
        <v>0</v>
      </c>
      <c r="GK21" s="4">
        <v>0</v>
      </c>
      <c r="GL21" s="5">
        <v>5.6724827369785073E-3</v>
      </c>
      <c r="GM21" s="5">
        <v>0.11615373401786497</v>
      </c>
      <c r="GN21" s="5">
        <v>0.32625232518299474</v>
      </c>
      <c r="GO21" s="5">
        <v>0.42939529956038142</v>
      </c>
      <c r="GP21" s="5">
        <v>0.41604126374871775</v>
      </c>
      <c r="GQ21" s="5">
        <v>0.29739218977398452</v>
      </c>
      <c r="GR21" s="5">
        <v>0.11607272206272948</v>
      </c>
      <c r="GS21" s="5">
        <v>5.7018820656641904E-3</v>
      </c>
      <c r="GT21" s="4">
        <v>0</v>
      </c>
      <c r="GU21" s="4">
        <v>0</v>
      </c>
      <c r="GV21" s="5">
        <v>1.361795362948727E-2</v>
      </c>
      <c r="GW21" s="5">
        <v>0.15344178448699611</v>
      </c>
      <c r="GX21" s="5">
        <v>0.38234222821748626</v>
      </c>
      <c r="GY21" s="5">
        <v>0.50382708397283416</v>
      </c>
      <c r="GZ21" s="5">
        <v>0.48862137081696799</v>
      </c>
      <c r="HA21" s="5">
        <v>0.37520673243815245</v>
      </c>
      <c r="HB21" s="5">
        <v>0.17826707386411184</v>
      </c>
      <c r="HC21" s="5">
        <v>1.7839814617365966E-2</v>
      </c>
      <c r="HD21" s="4">
        <v>0</v>
      </c>
      <c r="HE21" s="5">
        <v>0</v>
      </c>
      <c r="HF21" s="4">
        <v>2.4770063935051133E-5</v>
      </c>
      <c r="HG21" s="5">
        <v>4.015466407419694E-2</v>
      </c>
      <c r="HH21" s="5">
        <v>0.20970767173972588</v>
      </c>
      <c r="HI21" s="5">
        <v>0.32601984262404343</v>
      </c>
      <c r="HJ21" s="5">
        <v>0.29531051864481794</v>
      </c>
      <c r="HK21" s="5">
        <v>0.17589221152694626</v>
      </c>
      <c r="HL21" s="5">
        <v>3.1493380340238686E-2</v>
      </c>
      <c r="HM21" s="4">
        <v>4.391813979231189E-5</v>
      </c>
      <c r="HN21" s="5">
        <v>0</v>
      </c>
      <c r="HP21" s="3" t="s">
        <v>151</v>
      </c>
      <c r="HQ21" s="3" t="s">
        <v>140</v>
      </c>
      <c r="HR21" s="3" t="s">
        <v>141</v>
      </c>
      <c r="HS21" s="5">
        <v>0.46876210844316357</v>
      </c>
    </row>
    <row r="22" spans="2:227" x14ac:dyDescent="0.45">
      <c r="B22" s="6" t="s">
        <v>152</v>
      </c>
      <c r="C22" s="6" t="s">
        <v>131</v>
      </c>
      <c r="D22" s="8">
        <v>0</v>
      </c>
      <c r="E22" s="8">
        <v>0</v>
      </c>
      <c r="F22" s="8">
        <v>0.94222268608053983</v>
      </c>
      <c r="G22" s="8">
        <v>0.418732041657915</v>
      </c>
      <c r="H22" s="8">
        <v>0.26321710600809511</v>
      </c>
      <c r="I22" s="8">
        <v>0.25637925169459491</v>
      </c>
      <c r="J22" s="8">
        <v>0.33832537411293873</v>
      </c>
      <c r="K22" s="8">
        <v>0.76817950738639651</v>
      </c>
      <c r="L22" s="8">
        <v>0</v>
      </c>
      <c r="M22" s="8">
        <v>0</v>
      </c>
      <c r="N22" s="8">
        <v>0</v>
      </c>
      <c r="O22" s="8">
        <v>0.76098137954998302</v>
      </c>
      <c r="P22" s="8">
        <v>0.35357157395816036</v>
      </c>
      <c r="Q22" s="8">
        <v>0.19343573725013888</v>
      </c>
      <c r="R22" s="8">
        <v>0.16410633741256642</v>
      </c>
      <c r="S22" s="8">
        <v>0.16405948056204706</v>
      </c>
      <c r="T22" s="8">
        <v>0.18630306578971262</v>
      </c>
      <c r="U22" s="8">
        <v>0.25878369328705986</v>
      </c>
      <c r="V22" s="8">
        <v>0.5937294342448709</v>
      </c>
      <c r="W22" s="8">
        <v>0</v>
      </c>
      <c r="X22" s="8">
        <v>0</v>
      </c>
      <c r="Y22" s="8">
        <v>0.56808764437270276</v>
      </c>
      <c r="Z22" s="8">
        <v>0.25994066119961279</v>
      </c>
      <c r="AA22" s="8">
        <v>0.1549940052434236</v>
      </c>
      <c r="AB22" s="8">
        <v>0.12887268013238454</v>
      </c>
      <c r="AC22" s="8">
        <v>0.116901972155106</v>
      </c>
      <c r="AD22" s="8">
        <v>0.12208126717137559</v>
      </c>
      <c r="AE22" s="8">
        <v>0.1807203403281902</v>
      </c>
      <c r="AF22" s="8">
        <v>0.36050296604173759</v>
      </c>
      <c r="AG22" s="8">
        <v>0.98188405797101475</v>
      </c>
      <c r="AH22" s="8">
        <v>0</v>
      </c>
      <c r="AI22" s="8">
        <v>0</v>
      </c>
      <c r="AJ22" s="8">
        <v>0.59172879634668119</v>
      </c>
      <c r="AK22" s="8">
        <v>0.2704764894680034</v>
      </c>
      <c r="AL22" s="8">
        <v>0.20627948990278125</v>
      </c>
      <c r="AM22" s="8">
        <v>0.20819875842153829</v>
      </c>
      <c r="AN22" s="8">
        <v>0.27954140548949941</v>
      </c>
      <c r="AO22" s="8">
        <v>0.56778519404901018</v>
      </c>
      <c r="AP22" s="8">
        <v>0.94494496632854263</v>
      </c>
      <c r="AQ22" s="8">
        <v>0</v>
      </c>
      <c r="AS22" s="6" t="s">
        <v>152</v>
      </c>
      <c r="AT22" s="6" t="s">
        <v>132</v>
      </c>
      <c r="AU22" s="8">
        <v>0</v>
      </c>
      <c r="AV22" s="7">
        <v>0</v>
      </c>
      <c r="AW22" s="8">
        <v>0.88987698129828718</v>
      </c>
      <c r="AX22" s="8">
        <v>0.27566780573822641</v>
      </c>
      <c r="AY22" s="8">
        <v>0.14859935253505499</v>
      </c>
      <c r="AZ22" s="8">
        <v>0.11850225828135338</v>
      </c>
      <c r="BA22" s="8">
        <v>5.9348959254002479E-2</v>
      </c>
      <c r="BB22" s="8">
        <v>0.13671390256555255</v>
      </c>
      <c r="BC22" s="8">
        <v>0</v>
      </c>
      <c r="BD22" s="8">
        <v>0</v>
      </c>
      <c r="BE22" s="8">
        <v>0</v>
      </c>
      <c r="BF22" s="8">
        <v>0.61535356488272641</v>
      </c>
      <c r="BG22" s="8">
        <v>0.23416962022357476</v>
      </c>
      <c r="BH22" s="8">
        <v>0.10781174286116017</v>
      </c>
      <c r="BI22" s="8">
        <v>7.6318763973022327E-2</v>
      </c>
      <c r="BJ22" s="8">
        <v>2.2781097499369934E-2</v>
      </c>
      <c r="BK22" s="8">
        <v>1.8930519185112911E-2</v>
      </c>
      <c r="BL22" s="7">
        <v>4.3468024533643297E-2</v>
      </c>
      <c r="BM22" s="8">
        <v>0.25433221227500863</v>
      </c>
      <c r="BN22" s="8">
        <v>0</v>
      </c>
      <c r="BO22" s="8">
        <v>0</v>
      </c>
      <c r="BP22" s="8">
        <v>0.38576187452615568</v>
      </c>
      <c r="BQ22" s="8">
        <v>0.16673405338827135</v>
      </c>
      <c r="BR22" s="8">
        <v>8.1878267663580293E-2</v>
      </c>
      <c r="BS22" s="8">
        <v>6.5219907298269125E-2</v>
      </c>
      <c r="BT22" s="7">
        <v>1.9892396167241307E-2</v>
      </c>
      <c r="BU22" s="8">
        <v>1.5582881094258687E-2</v>
      </c>
      <c r="BV22" s="8">
        <v>3.709522867728663E-2</v>
      </c>
      <c r="BW22" s="8">
        <v>0.21648735111398265</v>
      </c>
      <c r="BX22" s="8">
        <v>0.96409630329762652</v>
      </c>
      <c r="BY22" s="8">
        <v>0</v>
      </c>
      <c r="BZ22" s="7">
        <v>0</v>
      </c>
      <c r="CA22" s="7">
        <v>0.42265600775601159</v>
      </c>
      <c r="CB22" s="8">
        <v>0.16811100979723018</v>
      </c>
      <c r="CC22" s="8">
        <v>0.10927502481687279</v>
      </c>
      <c r="CD22" s="8">
        <v>4.8138282854692432E-2</v>
      </c>
      <c r="CE22" s="8">
        <v>5.261705216053323E-2</v>
      </c>
      <c r="CF22" s="7">
        <v>0.10076077809731367</v>
      </c>
      <c r="CG22" s="8">
        <v>0</v>
      </c>
      <c r="CH22" s="8">
        <v>0</v>
      </c>
      <c r="CJ22" s="6" t="s">
        <v>152</v>
      </c>
      <c r="CK22" s="6" t="s">
        <v>133</v>
      </c>
      <c r="CL22" s="8">
        <v>0</v>
      </c>
      <c r="CM22" s="8">
        <v>0</v>
      </c>
      <c r="CN22" s="8">
        <v>0</v>
      </c>
      <c r="CO22" s="8">
        <v>0</v>
      </c>
      <c r="CP22" s="7">
        <v>0</v>
      </c>
      <c r="CQ22" s="8">
        <v>3.189427098620394E-2</v>
      </c>
      <c r="CR22" s="8">
        <v>0.16595232219533668</v>
      </c>
      <c r="CS22" s="8">
        <v>0.48866304084513446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1.4337183498365508E-2</v>
      </c>
      <c r="DA22" s="8">
        <v>6.5081998390605522E-2</v>
      </c>
      <c r="DB22" s="8">
        <v>8.472494877927661E-2</v>
      </c>
      <c r="DC22" s="8">
        <v>0.10051930179700487</v>
      </c>
      <c r="DD22" s="8">
        <v>4.1905990653261581E-2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3.8055034414767014E-2</v>
      </c>
      <c r="DL22" s="8">
        <v>4.8715194097748535E-2</v>
      </c>
      <c r="DM22" s="8">
        <v>7.8429263111838052E-2</v>
      </c>
      <c r="DN22" s="8">
        <v>9.7172595623390996E-3</v>
      </c>
      <c r="DO22" s="7">
        <v>0</v>
      </c>
      <c r="DP22" s="8">
        <v>0</v>
      </c>
      <c r="DQ22" s="8">
        <v>0</v>
      </c>
      <c r="DR22" s="8">
        <v>0</v>
      </c>
      <c r="DS22" s="8">
        <v>0</v>
      </c>
      <c r="DT22" s="7">
        <v>2.1652660929677315E-3</v>
      </c>
      <c r="DU22" s="8">
        <v>6.5169994068479162E-2</v>
      </c>
      <c r="DV22" s="8">
        <v>0.11951779229695494</v>
      </c>
      <c r="DW22" s="8">
        <v>0.26138826809798643</v>
      </c>
      <c r="DX22" s="8">
        <v>0.14389822584274953</v>
      </c>
      <c r="DY22" s="8">
        <v>0</v>
      </c>
      <c r="EA22" s="6" t="s">
        <v>152</v>
      </c>
      <c r="EB22" s="6" t="s">
        <v>134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7">
        <v>0</v>
      </c>
      <c r="ET22" s="8">
        <v>2.5458747946369667E-2</v>
      </c>
      <c r="EU22" s="8">
        <v>0.14058873691411469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7">
        <v>0</v>
      </c>
      <c r="FE22" s="8">
        <v>4.9776177590131121E-3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3.9478502283490133E-2</v>
      </c>
      <c r="FO22" s="8">
        <v>0.74912668739081845</v>
      </c>
      <c r="FP22" s="8">
        <v>0</v>
      </c>
      <c r="FZ22" s="6" t="s">
        <v>152</v>
      </c>
      <c r="GA22" s="8">
        <v>0</v>
      </c>
      <c r="GB22" s="8">
        <v>0</v>
      </c>
      <c r="GC22" s="7">
        <v>1.725832860501173E-3</v>
      </c>
      <c r="GD22" s="8">
        <v>9.9284078197657166E-2</v>
      </c>
      <c r="GE22" s="8">
        <v>0.25461992342614975</v>
      </c>
      <c r="GF22" s="8">
        <v>0.2715837258460303</v>
      </c>
      <c r="GG22" s="8">
        <v>0.15326805233840551</v>
      </c>
      <c r="GH22" s="8">
        <v>1.7214727475458963E-2</v>
      </c>
      <c r="GI22" s="8">
        <v>0</v>
      </c>
      <c r="GJ22" s="8">
        <v>0</v>
      </c>
      <c r="GK22" s="7">
        <v>0</v>
      </c>
      <c r="GL22" s="8">
        <v>3.8791257528480402E-3</v>
      </c>
      <c r="GM22" s="8">
        <v>9.9542682348781858E-2</v>
      </c>
      <c r="GN22" s="8">
        <v>0.33232235997156856</v>
      </c>
      <c r="GO22" s="8">
        <v>0.47496302301389565</v>
      </c>
      <c r="GP22" s="8">
        <v>0.48179397989117095</v>
      </c>
      <c r="GQ22" s="8">
        <v>0.36856027455152374</v>
      </c>
      <c r="GR22" s="8">
        <v>0.16045417854748442</v>
      </c>
      <c r="GS22" s="8">
        <v>8.7077144821051233E-3</v>
      </c>
      <c r="GT22" s="7">
        <v>0</v>
      </c>
      <c r="GU22" s="7">
        <v>0</v>
      </c>
      <c r="GV22" s="8">
        <v>9.1461471397783246E-3</v>
      </c>
      <c r="GW22" s="8">
        <v>0.13040443230055826</v>
      </c>
      <c r="GX22" s="8">
        <v>0.36858925667650633</v>
      </c>
      <c r="GY22" s="8">
        <v>0.52815058482037625</v>
      </c>
      <c r="GZ22" s="8">
        <v>0.56029656388780158</v>
      </c>
      <c r="HA22" s="8">
        <v>0.45144741676435179</v>
      </c>
      <c r="HB22" s="8">
        <v>0.22243172728685828</v>
      </c>
      <c r="HC22" s="8">
        <v>2.5842510720146771E-2</v>
      </c>
      <c r="HD22" s="7">
        <v>0</v>
      </c>
      <c r="HE22" s="8">
        <v>0</v>
      </c>
      <c r="HF22" s="7">
        <v>0</v>
      </c>
      <c r="HG22" s="8">
        <v>2.6457913641584174E-2</v>
      </c>
      <c r="HH22" s="8">
        <v>0.18933272445695479</v>
      </c>
      <c r="HI22" s="8">
        <v>0.33691605595241086</v>
      </c>
      <c r="HJ22" s="8">
        <v>0.35179881135028479</v>
      </c>
      <c r="HK22" s="8">
        <v>0.21918585037066765</v>
      </c>
      <c r="HL22" s="8">
        <v>4.6557645180592494E-2</v>
      </c>
      <c r="HM22" s="7">
        <v>2.2901185235380556E-4</v>
      </c>
      <c r="HN22" s="8">
        <v>0</v>
      </c>
      <c r="HP22" s="6" t="s">
        <v>152</v>
      </c>
      <c r="HQ22" s="6" t="s">
        <v>140</v>
      </c>
      <c r="HR22" s="6" t="s">
        <v>141</v>
      </c>
      <c r="HS22" s="8">
        <v>0.4761419937151069</v>
      </c>
    </row>
    <row r="23" spans="2:227" x14ac:dyDescent="0.45">
      <c r="B23" s="3" t="s">
        <v>153</v>
      </c>
      <c r="C23" s="3" t="s">
        <v>131</v>
      </c>
      <c r="D23" s="5">
        <v>0</v>
      </c>
      <c r="E23" s="5">
        <v>0</v>
      </c>
      <c r="F23" s="5">
        <v>0.95555555555555527</v>
      </c>
      <c r="G23" s="5">
        <v>0.46329809846002817</v>
      </c>
      <c r="H23" s="5">
        <v>0.30574914611386506</v>
      </c>
      <c r="I23" s="5">
        <v>0.30243113325653515</v>
      </c>
      <c r="J23" s="5">
        <v>0.37608085389877211</v>
      </c>
      <c r="K23" s="5">
        <v>0.80358550517000138</v>
      </c>
      <c r="L23" s="5">
        <v>0</v>
      </c>
      <c r="M23" s="5">
        <v>0</v>
      </c>
      <c r="N23" s="5">
        <v>0</v>
      </c>
      <c r="O23" s="5">
        <v>0.72391448505621081</v>
      </c>
      <c r="P23" s="5">
        <v>0.3516208892072587</v>
      </c>
      <c r="Q23" s="5">
        <v>0.20317790521133969</v>
      </c>
      <c r="R23" s="5">
        <v>0.18290775557386879</v>
      </c>
      <c r="S23" s="5">
        <v>0.17578521162721292</v>
      </c>
      <c r="T23" s="5">
        <v>0.1895924018549979</v>
      </c>
      <c r="U23" s="5">
        <v>0.25854365575181798</v>
      </c>
      <c r="V23" s="5">
        <v>0.59200850243444891</v>
      </c>
      <c r="W23" s="5">
        <v>0</v>
      </c>
      <c r="X23" s="5">
        <v>0</v>
      </c>
      <c r="Y23" s="5">
        <v>0.50022649552833875</v>
      </c>
      <c r="Z23" s="5">
        <v>0.24810519219175212</v>
      </c>
      <c r="AA23" s="5">
        <v>0.16431654752563227</v>
      </c>
      <c r="AB23" s="5">
        <v>0.13935283391598483</v>
      </c>
      <c r="AC23" s="5">
        <v>0.13949852476900995</v>
      </c>
      <c r="AD23" s="5">
        <v>0.14539182526213687</v>
      </c>
      <c r="AE23" s="5">
        <v>0.18889868228923001</v>
      </c>
      <c r="AF23" s="5">
        <v>0.35200575340587403</v>
      </c>
      <c r="AG23" s="5">
        <v>0.93734091828155397</v>
      </c>
      <c r="AH23" s="5">
        <v>0</v>
      </c>
      <c r="AI23" s="5">
        <v>0</v>
      </c>
      <c r="AJ23" s="5">
        <v>0.6022769886229663</v>
      </c>
      <c r="AK23" s="5">
        <v>0.28875496751891416</v>
      </c>
      <c r="AL23" s="5">
        <v>0.21544711000439729</v>
      </c>
      <c r="AM23" s="5">
        <v>0.20839363205783148</v>
      </c>
      <c r="AN23" s="5">
        <v>0.27958433978489755</v>
      </c>
      <c r="AO23" s="5">
        <v>0.59123433874445386</v>
      </c>
      <c r="AP23" s="5">
        <v>0.94505494505494536</v>
      </c>
      <c r="AQ23" s="5">
        <v>0</v>
      </c>
      <c r="AS23" s="3" t="s">
        <v>153</v>
      </c>
      <c r="AT23" s="3" t="s">
        <v>132</v>
      </c>
      <c r="AU23" s="5">
        <v>0</v>
      </c>
      <c r="AV23" s="4">
        <v>0</v>
      </c>
      <c r="AW23" s="5">
        <v>0.91308641975308635</v>
      </c>
      <c r="AX23" s="5">
        <v>0.30887662510444736</v>
      </c>
      <c r="AY23" s="5">
        <v>0.18075657828042388</v>
      </c>
      <c r="AZ23" s="5">
        <v>0.12173905998164665</v>
      </c>
      <c r="BA23" s="5">
        <v>5.055712233588211E-2</v>
      </c>
      <c r="BB23" s="5">
        <v>8.7218726980669264E-2</v>
      </c>
      <c r="BC23" s="5">
        <v>0</v>
      </c>
      <c r="BD23" s="5">
        <v>0</v>
      </c>
      <c r="BE23" s="5">
        <v>0</v>
      </c>
      <c r="BF23" s="5">
        <v>0.58037085073345684</v>
      </c>
      <c r="BG23" s="5">
        <v>0.22871957398027912</v>
      </c>
      <c r="BH23" s="5">
        <v>0.1139608993487914</v>
      </c>
      <c r="BI23" s="5">
        <v>7.4977696915384542E-2</v>
      </c>
      <c r="BJ23" s="5">
        <v>3.3810567791786227E-2</v>
      </c>
      <c r="BK23" s="5">
        <v>2.8524676779383574E-2</v>
      </c>
      <c r="BL23" s="4">
        <v>5.7041677276123789E-2</v>
      </c>
      <c r="BM23" s="5">
        <v>0.25229186931884306</v>
      </c>
      <c r="BN23" s="5">
        <v>0</v>
      </c>
      <c r="BO23" s="5">
        <v>0</v>
      </c>
      <c r="BP23" s="5">
        <v>0.33820207076927955</v>
      </c>
      <c r="BQ23" s="5">
        <v>0.15659455489518023</v>
      </c>
      <c r="BR23" s="5">
        <v>9.2775216667038279E-2</v>
      </c>
      <c r="BS23" s="5">
        <v>7.1799048740417676E-2</v>
      </c>
      <c r="BT23" s="4">
        <v>2.69871325487776E-2</v>
      </c>
      <c r="BU23" s="5">
        <v>2.3735385226533966E-2</v>
      </c>
      <c r="BV23" s="5">
        <v>3.9591199058378115E-2</v>
      </c>
      <c r="BW23" s="5">
        <v>0.14294188584312489</v>
      </c>
      <c r="BX23" s="5">
        <v>0.66073043366023743</v>
      </c>
      <c r="BY23" s="5">
        <v>0</v>
      </c>
      <c r="BZ23" s="4">
        <v>0</v>
      </c>
      <c r="CA23" s="4">
        <v>0.44698369096642743</v>
      </c>
      <c r="CB23" s="5">
        <v>0.17532381018454743</v>
      </c>
      <c r="CC23" s="5">
        <v>0.11014615342452312</v>
      </c>
      <c r="CD23" s="5">
        <v>5.619022948826348E-2</v>
      </c>
      <c r="CE23" s="5">
        <v>4.9942429148171062E-2</v>
      </c>
      <c r="CF23" s="4">
        <v>0.15927990487990495</v>
      </c>
      <c r="CG23" s="5">
        <v>9.3915940448096744E-2</v>
      </c>
      <c r="CH23" s="5">
        <v>0</v>
      </c>
      <c r="CJ23" s="3" t="s">
        <v>153</v>
      </c>
      <c r="CK23" s="3" t="s">
        <v>133</v>
      </c>
      <c r="CL23" s="5">
        <v>0</v>
      </c>
      <c r="CM23" s="5">
        <v>0</v>
      </c>
      <c r="CN23" s="5">
        <v>0</v>
      </c>
      <c r="CO23" s="5">
        <v>0</v>
      </c>
      <c r="CP23" s="4">
        <v>0</v>
      </c>
      <c r="CQ23" s="5">
        <v>6.9102888943275098E-2</v>
      </c>
      <c r="CR23" s="5">
        <v>0.1992624534913664</v>
      </c>
      <c r="CS23" s="5">
        <v>0.56505344365706367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2.5856892666757565E-2</v>
      </c>
      <c r="DA23" s="5">
        <v>6.4537078557605751E-2</v>
      </c>
      <c r="DB23" s="5">
        <v>7.6394086758903662E-2</v>
      </c>
      <c r="DC23" s="5">
        <v>6.6321596048752318E-2</v>
      </c>
      <c r="DD23" s="5">
        <v>9.0059760654668392E-2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1.0276543416407337E-2</v>
      </c>
      <c r="DK23" s="5">
        <v>5.4203020010682161E-2</v>
      </c>
      <c r="DL23" s="5">
        <v>5.8054853045971216E-2</v>
      </c>
      <c r="DM23" s="5">
        <v>6.9218348312644007E-2</v>
      </c>
      <c r="DN23" s="5">
        <v>3.30760916271143E-2</v>
      </c>
      <c r="DO23" s="4">
        <v>0.21887571791556876</v>
      </c>
      <c r="DP23" s="5">
        <v>0</v>
      </c>
      <c r="DQ23" s="5">
        <v>0</v>
      </c>
      <c r="DR23" s="5">
        <v>0</v>
      </c>
      <c r="DS23" s="5">
        <v>0</v>
      </c>
      <c r="DT23" s="4">
        <v>6.9771237435398209E-3</v>
      </c>
      <c r="DU23" s="5">
        <v>5.4709505076911018E-2</v>
      </c>
      <c r="DV23" s="5">
        <v>0.12504948628475568</v>
      </c>
      <c r="DW23" s="5">
        <v>0.20846676187728927</v>
      </c>
      <c r="DX23" s="5">
        <v>0.37923725140825371</v>
      </c>
      <c r="DY23" s="5">
        <v>0</v>
      </c>
      <c r="EA23" s="3" t="s">
        <v>153</v>
      </c>
      <c r="EB23" s="3" t="s">
        <v>134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1.8322418723381216E-2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4">
        <v>1.4034483079316724E-3</v>
      </c>
      <c r="ET23" s="5">
        <v>3.9235526942428517E-2</v>
      </c>
      <c r="EU23" s="5">
        <v>9.7732158753951179E-2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4">
        <v>6.0602368643382712E-3</v>
      </c>
      <c r="FE23" s="5">
        <v>5.3184483323458646E-2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6.8517812174775303E-2</v>
      </c>
      <c r="FO23" s="5">
        <v>0.42169927199960666</v>
      </c>
      <c r="FP23" s="5">
        <v>0</v>
      </c>
      <c r="FZ23" s="3" t="s">
        <v>153</v>
      </c>
      <c r="GA23" s="5">
        <v>0</v>
      </c>
      <c r="GB23" s="5">
        <v>0</v>
      </c>
      <c r="GC23" s="4">
        <v>1.2123690050253933E-3</v>
      </c>
      <c r="GD23" s="5">
        <v>8.2880481828257496E-2</v>
      </c>
      <c r="GE23" s="5">
        <v>0.22340787151948135</v>
      </c>
      <c r="GF23" s="5">
        <v>0.23646127403596151</v>
      </c>
      <c r="GG23" s="5">
        <v>0.13497875317574068</v>
      </c>
      <c r="GH23" s="5">
        <v>1.5788019925938406E-2</v>
      </c>
      <c r="GI23" s="5">
        <v>0</v>
      </c>
      <c r="GJ23" s="5">
        <v>0</v>
      </c>
      <c r="GK23" s="4">
        <v>0</v>
      </c>
      <c r="GL23" s="5">
        <v>4.5399790885826399E-3</v>
      </c>
      <c r="GM23" s="5">
        <v>0.10195534758497841</v>
      </c>
      <c r="GN23" s="5">
        <v>0.31528783811665589</v>
      </c>
      <c r="GO23" s="5">
        <v>0.4344887589162148</v>
      </c>
      <c r="GP23" s="5">
        <v>0.44224135097434664</v>
      </c>
      <c r="GQ23" s="5">
        <v>0.34284756725997356</v>
      </c>
      <c r="GR23" s="5">
        <v>0.15222854150440637</v>
      </c>
      <c r="GS23" s="5">
        <v>8.6087046087153004E-3</v>
      </c>
      <c r="GT23" s="4">
        <v>0</v>
      </c>
      <c r="GU23" s="4">
        <v>0</v>
      </c>
      <c r="GV23" s="5">
        <v>1.1238348396546834E-2</v>
      </c>
      <c r="GW23" s="5">
        <v>0.13217961906640929</v>
      </c>
      <c r="GX23" s="5">
        <v>0.34279887164305767</v>
      </c>
      <c r="GY23" s="5">
        <v>0.47711620782483272</v>
      </c>
      <c r="GZ23" s="5">
        <v>0.47644627613647911</v>
      </c>
      <c r="HA23" s="5">
        <v>0.38262937959229165</v>
      </c>
      <c r="HB23" s="5">
        <v>0.19669145488198039</v>
      </c>
      <c r="HC23" s="5">
        <v>2.5220477972024168E-2</v>
      </c>
      <c r="HD23" s="4">
        <v>5.9948441869248437E-6</v>
      </c>
      <c r="HE23" s="5">
        <v>0</v>
      </c>
      <c r="HF23" s="4">
        <v>0</v>
      </c>
      <c r="HG23" s="5">
        <v>2.3494027224337556E-2</v>
      </c>
      <c r="HH23" s="5">
        <v>0.15988752668050352</v>
      </c>
      <c r="HI23" s="5">
        <v>0.29315713062593246</v>
      </c>
      <c r="HJ23" s="5">
        <v>0.31119131817626583</v>
      </c>
      <c r="HK23" s="5">
        <v>0.18693628271410956</v>
      </c>
      <c r="HL23" s="5">
        <v>3.7279183899512319E-2</v>
      </c>
      <c r="HM23" s="4">
        <v>1.8343367749919183E-4</v>
      </c>
      <c r="HN23" s="5">
        <v>0</v>
      </c>
      <c r="HP23" s="3" t="s">
        <v>153</v>
      </c>
      <c r="HQ23" s="3" t="s">
        <v>140</v>
      </c>
      <c r="HR23" s="3" t="s">
        <v>141</v>
      </c>
      <c r="HS23" s="5">
        <v>0.39899423557302138</v>
      </c>
    </row>
    <row r="24" spans="2:227" x14ac:dyDescent="0.45">
      <c r="B24" s="6" t="s">
        <v>154</v>
      </c>
      <c r="C24" s="6" t="s">
        <v>131</v>
      </c>
      <c r="D24" s="8">
        <v>0</v>
      </c>
      <c r="E24" s="8">
        <v>0</v>
      </c>
      <c r="F24" s="8">
        <v>0</v>
      </c>
      <c r="G24" s="8">
        <v>0.57730708345713044</v>
      </c>
      <c r="H24" s="8">
        <v>0.34646514721071642</v>
      </c>
      <c r="I24" s="8">
        <v>0.31869335811982025</v>
      </c>
      <c r="J24" s="8">
        <v>0.40292174029383843</v>
      </c>
      <c r="K24" s="8">
        <v>0.75723479834580876</v>
      </c>
      <c r="L24" s="8">
        <v>0</v>
      </c>
      <c r="M24" s="8">
        <v>0</v>
      </c>
      <c r="N24" s="8">
        <v>0</v>
      </c>
      <c r="O24" s="8">
        <v>0.7714218664715905</v>
      </c>
      <c r="P24" s="8">
        <v>0.41914415872434263</v>
      </c>
      <c r="Q24" s="8">
        <v>0.23031282437804546</v>
      </c>
      <c r="R24" s="8">
        <v>0.17971037824636391</v>
      </c>
      <c r="S24" s="8">
        <v>0.17448150665477671</v>
      </c>
      <c r="T24" s="8">
        <v>0.17134003414310808</v>
      </c>
      <c r="U24" s="8">
        <v>0.23255205997159201</v>
      </c>
      <c r="V24" s="8">
        <v>0.51855989417843584</v>
      </c>
      <c r="W24" s="8">
        <v>0.94623624426326347</v>
      </c>
      <c r="X24" s="8">
        <v>0</v>
      </c>
      <c r="Y24" s="8">
        <v>0.54001056669627956</v>
      </c>
      <c r="Z24" s="8">
        <v>0.28462062879643452</v>
      </c>
      <c r="AA24" s="8">
        <v>0.1872453263102602</v>
      </c>
      <c r="AB24" s="8">
        <v>0.16019388754810285</v>
      </c>
      <c r="AC24" s="8">
        <v>0.15246737995496543</v>
      </c>
      <c r="AD24" s="8">
        <v>0.15694456761963888</v>
      </c>
      <c r="AE24" s="8">
        <v>0.18324435912356307</v>
      </c>
      <c r="AF24" s="8">
        <v>0.34072751438218241</v>
      </c>
      <c r="AG24" s="8">
        <v>0.81916891044260276</v>
      </c>
      <c r="AH24" s="8">
        <v>0</v>
      </c>
      <c r="AI24" s="8">
        <v>0</v>
      </c>
      <c r="AJ24" s="8">
        <v>0.68564905505004436</v>
      </c>
      <c r="AK24" s="8">
        <v>0.32025057454387978</v>
      </c>
      <c r="AL24" s="8">
        <v>0.23039233253896765</v>
      </c>
      <c r="AM24" s="8">
        <v>0.21657793720221713</v>
      </c>
      <c r="AN24" s="8">
        <v>0.25205071235061383</v>
      </c>
      <c r="AO24" s="8">
        <v>0.52592506963930385</v>
      </c>
      <c r="AP24" s="8">
        <v>0.91179608336764961</v>
      </c>
      <c r="AQ24" s="8">
        <v>0</v>
      </c>
      <c r="AS24" s="6" t="s">
        <v>154</v>
      </c>
      <c r="AT24" s="6" t="s">
        <v>132</v>
      </c>
      <c r="AU24" s="8">
        <v>0</v>
      </c>
      <c r="AV24" s="7">
        <v>0</v>
      </c>
      <c r="AW24" s="8">
        <v>0</v>
      </c>
      <c r="AX24" s="8">
        <v>0.41679802978789593</v>
      </c>
      <c r="AY24" s="8">
        <v>0.22390442642597039</v>
      </c>
      <c r="AZ24" s="8">
        <v>0.15327667147254742</v>
      </c>
      <c r="BA24" s="8">
        <v>5.5825969105312824E-2</v>
      </c>
      <c r="BB24" s="8">
        <v>7.3783554039771382E-2</v>
      </c>
      <c r="BC24" s="8">
        <v>0</v>
      </c>
      <c r="BD24" s="8">
        <v>0</v>
      </c>
      <c r="BE24" s="8">
        <v>0</v>
      </c>
      <c r="BF24" s="8">
        <v>0.63301127801127521</v>
      </c>
      <c r="BG24" s="8">
        <v>0.28450573059417833</v>
      </c>
      <c r="BH24" s="8">
        <v>0.13103921037516941</v>
      </c>
      <c r="BI24" s="8">
        <v>7.1811358283122587E-2</v>
      </c>
      <c r="BJ24" s="8">
        <v>4.2572467519575476E-2</v>
      </c>
      <c r="BK24" s="8">
        <v>1.5128121570146995E-2</v>
      </c>
      <c r="BL24" s="7">
        <v>3.4416778579198282E-2</v>
      </c>
      <c r="BM24" s="8">
        <v>0.17289818611569974</v>
      </c>
      <c r="BN24" s="8">
        <v>0.21989057417462021</v>
      </c>
      <c r="BO24" s="8">
        <v>0</v>
      </c>
      <c r="BP24" s="8">
        <v>0.37346380998369172</v>
      </c>
      <c r="BQ24" s="8">
        <v>0.18115530544105532</v>
      </c>
      <c r="BR24" s="8">
        <v>0.10880094275585328</v>
      </c>
      <c r="BS24" s="8">
        <v>7.6764690841247374E-2</v>
      </c>
      <c r="BT24" s="7">
        <v>2.7214038698594057E-2</v>
      </c>
      <c r="BU24" s="8">
        <v>2.1593429102206678E-2</v>
      </c>
      <c r="BV24" s="8">
        <v>2.4406000757011253E-2</v>
      </c>
      <c r="BW24" s="8">
        <v>0.13177346525847894</v>
      </c>
      <c r="BX24" s="8">
        <v>0.6559287258644223</v>
      </c>
      <c r="BY24" s="8">
        <v>0</v>
      </c>
      <c r="BZ24" s="7">
        <v>0</v>
      </c>
      <c r="CA24" s="7">
        <v>0.53997543058715081</v>
      </c>
      <c r="CB24" s="8">
        <v>0.20059285029270441</v>
      </c>
      <c r="CC24" s="8">
        <v>0.13133334435421387</v>
      </c>
      <c r="CD24" s="8">
        <v>5.800961669560107E-2</v>
      </c>
      <c r="CE24" s="8">
        <v>5.545718154611641E-2</v>
      </c>
      <c r="CF24" s="7">
        <v>0.13544826439319355</v>
      </c>
      <c r="CG24" s="8">
        <v>0.22426280202924878</v>
      </c>
      <c r="CH24" s="8">
        <v>0</v>
      </c>
      <c r="CJ24" s="6" t="s">
        <v>154</v>
      </c>
      <c r="CK24" s="6" t="s">
        <v>133</v>
      </c>
      <c r="CL24" s="8">
        <v>0</v>
      </c>
      <c r="CM24" s="8">
        <v>0</v>
      </c>
      <c r="CN24" s="8">
        <v>0</v>
      </c>
      <c r="CO24" s="8">
        <v>0</v>
      </c>
      <c r="CP24" s="7">
        <v>0</v>
      </c>
      <c r="CQ24" s="8">
        <v>5.1323546022718873E-2</v>
      </c>
      <c r="CR24" s="8">
        <v>0.2191675800964405</v>
      </c>
      <c r="CS24" s="8">
        <v>0.54308700249988306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2.7842402069741236E-2</v>
      </c>
      <c r="DA24" s="8">
        <v>5.1138892489519396E-2</v>
      </c>
      <c r="DB24" s="8">
        <v>7.6246112074174949E-2</v>
      </c>
      <c r="DC24" s="8">
        <v>7.3384617103718491E-2</v>
      </c>
      <c r="DD24" s="8">
        <v>7.3022888267785038E-2</v>
      </c>
      <c r="DE24" s="8">
        <v>5.3135369305797507E-2</v>
      </c>
      <c r="DF24" s="8">
        <v>0</v>
      </c>
      <c r="DG24" s="8">
        <v>0</v>
      </c>
      <c r="DH24" s="8">
        <v>0</v>
      </c>
      <c r="DI24" s="8">
        <v>0</v>
      </c>
      <c r="DJ24" s="8">
        <v>1.6736385876442293E-2</v>
      </c>
      <c r="DK24" s="8">
        <v>5.6611140499824034E-2</v>
      </c>
      <c r="DL24" s="8">
        <v>6.7145083383629067E-2</v>
      </c>
      <c r="DM24" s="8">
        <v>6.3930650645239964E-2</v>
      </c>
      <c r="DN24" s="8">
        <v>2.2923645196599052E-2</v>
      </c>
      <c r="DO24" s="7">
        <v>3.3942383864131669E-2</v>
      </c>
      <c r="DP24" s="8">
        <v>0</v>
      </c>
      <c r="DQ24" s="8">
        <v>0</v>
      </c>
      <c r="DR24" s="8">
        <v>0</v>
      </c>
      <c r="DS24" s="8">
        <v>0</v>
      </c>
      <c r="DT24" s="7">
        <v>0</v>
      </c>
      <c r="DU24" s="8">
        <v>6.8922023011966552E-2</v>
      </c>
      <c r="DV24" s="8">
        <v>9.8149799379241093E-2</v>
      </c>
      <c r="DW24" s="8">
        <v>0.21176483572248953</v>
      </c>
      <c r="DX24" s="8">
        <v>0.20530103224157817</v>
      </c>
      <c r="DY24" s="8">
        <v>0</v>
      </c>
      <c r="EA24" s="6" t="s">
        <v>154</v>
      </c>
      <c r="EB24" s="6" t="s">
        <v>134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7">
        <v>7.0701733449143661E-3</v>
      </c>
      <c r="ET24" s="8">
        <v>3.1831740120575477E-2</v>
      </c>
      <c r="EU24" s="8">
        <v>0.10761248794007063</v>
      </c>
      <c r="EV24" s="8">
        <v>0.63398960994001485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7">
        <v>2.1899116125370887E-2</v>
      </c>
      <c r="FE24" s="8">
        <v>7.0243259395699031E-2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1.796998278472843E-2</v>
      </c>
      <c r="FO24" s="8">
        <v>0.40894966718032422</v>
      </c>
      <c r="FP24" s="8">
        <v>0</v>
      </c>
      <c r="FZ24" s="6" t="s">
        <v>154</v>
      </c>
      <c r="GA24" s="8">
        <v>0</v>
      </c>
      <c r="GB24" s="8">
        <v>0</v>
      </c>
      <c r="GC24" s="7">
        <v>0</v>
      </c>
      <c r="GD24" s="8">
        <v>4.742982420556701E-2</v>
      </c>
      <c r="GE24" s="8">
        <v>0.17385823494019015</v>
      </c>
      <c r="GF24" s="8">
        <v>0.21382266207987297</v>
      </c>
      <c r="GG24" s="8">
        <v>0.13012315570142163</v>
      </c>
      <c r="GH24" s="8">
        <v>2.0985135276529308E-2</v>
      </c>
      <c r="GI24" s="8">
        <v>0</v>
      </c>
      <c r="GJ24" s="8">
        <v>0</v>
      </c>
      <c r="GK24" s="7">
        <v>0</v>
      </c>
      <c r="GL24" s="8">
        <v>2.6836896466048651E-3</v>
      </c>
      <c r="GM24" s="8">
        <v>6.7145111140484354E-2</v>
      </c>
      <c r="GN24" s="8">
        <v>0.26836234843797807</v>
      </c>
      <c r="GO24" s="8">
        <v>0.40577158744914493</v>
      </c>
      <c r="GP24" s="8">
        <v>0.43088272461637106</v>
      </c>
      <c r="GQ24" s="8">
        <v>0.35427611455573171</v>
      </c>
      <c r="GR24" s="8">
        <v>0.17230634914491394</v>
      </c>
      <c r="GS24" s="8">
        <v>1.7736179870425417E-2</v>
      </c>
      <c r="GT24" s="7">
        <v>3.673162710858114E-5</v>
      </c>
      <c r="GU24" s="7">
        <v>0</v>
      </c>
      <c r="GV24" s="8">
        <v>8.4063496625269313E-3</v>
      </c>
      <c r="GW24" s="8">
        <v>9.5971810248391437E-2</v>
      </c>
      <c r="GX24" s="8">
        <v>0.27323786752327017</v>
      </c>
      <c r="GY24" s="8">
        <v>0.40354825101275593</v>
      </c>
      <c r="GZ24" s="8">
        <v>0.43201908924450039</v>
      </c>
      <c r="HA24" s="8">
        <v>0.35924791838877285</v>
      </c>
      <c r="HB24" s="8">
        <v>0.19966018185425022</v>
      </c>
      <c r="HC24" s="8">
        <v>3.8650105564879647E-2</v>
      </c>
      <c r="HD24" s="7">
        <v>6.2201729710861765E-4</v>
      </c>
      <c r="HE24" s="8">
        <v>0</v>
      </c>
      <c r="HF24" s="7">
        <v>0</v>
      </c>
      <c r="HG24" s="8">
        <v>1.4419747479492021E-2</v>
      </c>
      <c r="HH24" s="8">
        <v>0.13725597170366868</v>
      </c>
      <c r="HI24" s="8">
        <v>0.26197835466447855</v>
      </c>
      <c r="HJ24" s="8">
        <v>0.28077679837726599</v>
      </c>
      <c r="HK24" s="8">
        <v>0.18354771157467845</v>
      </c>
      <c r="HL24" s="8">
        <v>4.5055452592935433E-2</v>
      </c>
      <c r="HM24" s="7">
        <v>4.5623176850163719E-4</v>
      </c>
      <c r="HN24" s="8">
        <v>0</v>
      </c>
      <c r="HP24" s="6" t="s">
        <v>154</v>
      </c>
      <c r="HQ24" s="6" t="s">
        <v>140</v>
      </c>
      <c r="HR24" s="6" t="s">
        <v>141</v>
      </c>
      <c r="HS24" s="8">
        <v>0.35779558423753327</v>
      </c>
    </row>
    <row r="25" spans="2:227" x14ac:dyDescent="0.45">
      <c r="B25" s="3" t="s">
        <v>155</v>
      </c>
      <c r="C25" s="3" t="s">
        <v>131</v>
      </c>
      <c r="D25" s="5">
        <v>0</v>
      </c>
      <c r="E25" s="5">
        <v>0</v>
      </c>
      <c r="F25" s="5">
        <v>0.97777777777777797</v>
      </c>
      <c r="G25" s="5">
        <v>0.52011217785711972</v>
      </c>
      <c r="H25" s="5">
        <v>0.3046064053909564</v>
      </c>
      <c r="I25" s="5">
        <v>0.29863284370164778</v>
      </c>
      <c r="J25" s="5">
        <v>0.4459381249205604</v>
      </c>
      <c r="K25" s="5">
        <v>0.86344268742774888</v>
      </c>
      <c r="L25" s="5">
        <v>0</v>
      </c>
      <c r="M25" s="5">
        <v>0</v>
      </c>
      <c r="N25" s="5">
        <v>0</v>
      </c>
      <c r="O25" s="5">
        <v>0.65700467160850973</v>
      </c>
      <c r="P25" s="5">
        <v>0.34768952190823932</v>
      </c>
      <c r="Q25" s="5">
        <v>0.20426220991066005</v>
      </c>
      <c r="R25" s="5">
        <v>0.15788249113644101</v>
      </c>
      <c r="S25" s="5">
        <v>0.16252395901800457</v>
      </c>
      <c r="T25" s="5">
        <v>0.18366827024454213</v>
      </c>
      <c r="U25" s="5">
        <v>0.26971679669108906</v>
      </c>
      <c r="V25" s="5">
        <v>0.57044588028949728</v>
      </c>
      <c r="W25" s="5">
        <v>0.97379743646041284</v>
      </c>
      <c r="X25" s="5">
        <v>0</v>
      </c>
      <c r="Y25" s="5">
        <v>0.38469616258035683</v>
      </c>
      <c r="Z25" s="5">
        <v>0.23892089287336882</v>
      </c>
      <c r="AA25" s="5">
        <v>0.16014453474685381</v>
      </c>
      <c r="AB25" s="5">
        <v>0.14672637849733197</v>
      </c>
      <c r="AC25" s="5">
        <v>0.15181332892548646</v>
      </c>
      <c r="AD25" s="5">
        <v>0.15427142473032265</v>
      </c>
      <c r="AE25" s="5">
        <v>0.18805359705611199</v>
      </c>
      <c r="AF25" s="5">
        <v>0.31934972292305663</v>
      </c>
      <c r="AG25" s="5">
        <v>0.82409916222097424</v>
      </c>
      <c r="AH25" s="5">
        <v>0</v>
      </c>
      <c r="AI25" s="5">
        <v>0.98901098901098905</v>
      </c>
      <c r="AJ25" s="5">
        <v>0.63752908969655875</v>
      </c>
      <c r="AK25" s="5">
        <v>0.31781986237354992</v>
      </c>
      <c r="AL25" s="5">
        <v>0.23683661224037514</v>
      </c>
      <c r="AM25" s="5">
        <v>0.22024571501657311</v>
      </c>
      <c r="AN25" s="5">
        <v>0.32163106055658913</v>
      </c>
      <c r="AO25" s="5">
        <v>0.62965673526103283</v>
      </c>
      <c r="AP25" s="5">
        <v>0.9505494505494505</v>
      </c>
      <c r="AQ25" s="5">
        <v>0</v>
      </c>
      <c r="AS25" s="3" t="s">
        <v>155</v>
      </c>
      <c r="AT25" s="3" t="s">
        <v>132</v>
      </c>
      <c r="AU25" s="5">
        <v>0</v>
      </c>
      <c r="AV25" s="4">
        <v>0</v>
      </c>
      <c r="AW25" s="5">
        <v>0.95604938271604933</v>
      </c>
      <c r="AX25" s="5">
        <v>0.36372648490733789</v>
      </c>
      <c r="AY25" s="5">
        <v>0.19618839118002007</v>
      </c>
      <c r="AZ25" s="5">
        <v>0.11413110948740736</v>
      </c>
      <c r="BA25" s="5">
        <v>5.9591225879099326E-2</v>
      </c>
      <c r="BB25" s="5">
        <v>6.1749460171695192E-2</v>
      </c>
      <c r="BC25" s="5">
        <v>0</v>
      </c>
      <c r="BD25" s="5">
        <v>0</v>
      </c>
      <c r="BE25" s="5">
        <v>0</v>
      </c>
      <c r="BF25" s="5">
        <v>0.4901877476204739</v>
      </c>
      <c r="BG25" s="5">
        <v>0.22548322469188503</v>
      </c>
      <c r="BH25" s="5">
        <v>0.1085921190890989</v>
      </c>
      <c r="BI25" s="5">
        <v>5.7958685611944727E-2</v>
      </c>
      <c r="BJ25" s="5">
        <v>2.8258095763513093E-2</v>
      </c>
      <c r="BK25" s="5">
        <v>3.9148964394149131E-2</v>
      </c>
      <c r="BL25" s="4">
        <v>6.882917032385491E-2</v>
      </c>
      <c r="BM25" s="5">
        <v>0.25214532736738182</v>
      </c>
      <c r="BN25" s="5">
        <v>0.60592760339368734</v>
      </c>
      <c r="BO25" s="5">
        <v>0</v>
      </c>
      <c r="BP25" s="5">
        <v>0.25103976465995942</v>
      </c>
      <c r="BQ25" s="5">
        <v>0.15172998683027428</v>
      </c>
      <c r="BR25" s="5">
        <v>8.843902017023314E-2</v>
      </c>
      <c r="BS25" s="5">
        <v>7.4416442864472424E-2</v>
      </c>
      <c r="BT25" s="4">
        <v>3.7407745701747208E-2</v>
      </c>
      <c r="BU25" s="5">
        <v>2.1797118436868039E-2</v>
      </c>
      <c r="BV25" s="5">
        <v>4.3660237168919737E-2</v>
      </c>
      <c r="BW25" s="5">
        <v>0.14091146465635795</v>
      </c>
      <c r="BX25" s="5">
        <v>0.64826318322279874</v>
      </c>
      <c r="BY25" s="5">
        <v>0</v>
      </c>
      <c r="BZ25" s="4">
        <v>0.97814273638449445</v>
      </c>
      <c r="CA25" s="4">
        <v>0.48774863962089604</v>
      </c>
      <c r="CB25" s="5">
        <v>0.20287805517835311</v>
      </c>
      <c r="CC25" s="5">
        <v>0.12003865203865376</v>
      </c>
      <c r="CD25" s="5">
        <v>7.6261711782940542E-2</v>
      </c>
      <c r="CE25" s="5">
        <v>3.8091385986361546E-2</v>
      </c>
      <c r="CF25" s="4">
        <v>0.11738319869801656</v>
      </c>
      <c r="CG25" s="5">
        <v>0.13335769896759642</v>
      </c>
      <c r="CH25" s="5">
        <v>0</v>
      </c>
      <c r="CJ25" s="3" t="s">
        <v>155</v>
      </c>
      <c r="CK25" s="3" t="s">
        <v>133</v>
      </c>
      <c r="CL25" s="5">
        <v>0</v>
      </c>
      <c r="CM25" s="5">
        <v>0</v>
      </c>
      <c r="CN25" s="5">
        <v>0</v>
      </c>
      <c r="CO25" s="5">
        <v>0</v>
      </c>
      <c r="CP25" s="4">
        <v>0</v>
      </c>
      <c r="CQ25" s="5">
        <v>6.8972718131154534E-2</v>
      </c>
      <c r="CR25" s="5">
        <v>0.24732118419151683</v>
      </c>
      <c r="CS25" s="5">
        <v>0.69190367933456742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6.600836290834404E-3</v>
      </c>
      <c r="CZ25" s="5">
        <v>2.4633031195734276E-2</v>
      </c>
      <c r="DA25" s="5">
        <v>5.3223791278001385E-2</v>
      </c>
      <c r="DB25" s="5">
        <v>5.5875234398220661E-2</v>
      </c>
      <c r="DC25" s="5">
        <v>8.0337786617942081E-2</v>
      </c>
      <c r="DD25" s="5">
        <v>2.5798755797913141E-2</v>
      </c>
      <c r="DE25" s="5">
        <v>0.2883814792922485</v>
      </c>
      <c r="DF25" s="5">
        <v>0</v>
      </c>
      <c r="DG25" s="5">
        <v>0</v>
      </c>
      <c r="DH25" s="5">
        <v>0</v>
      </c>
      <c r="DI25" s="5">
        <v>0</v>
      </c>
      <c r="DJ25" s="5">
        <v>1.0052181442557862E-2</v>
      </c>
      <c r="DK25" s="5">
        <v>4.8993763488190178E-2</v>
      </c>
      <c r="DL25" s="5">
        <v>6.6817961738732598E-2</v>
      </c>
      <c r="DM25" s="5">
        <v>6.5730510890834329E-2</v>
      </c>
      <c r="DN25" s="5">
        <v>3.6763746008296842E-2</v>
      </c>
      <c r="DO25" s="4">
        <v>0</v>
      </c>
      <c r="DP25" s="5">
        <v>0</v>
      </c>
      <c r="DQ25" s="5">
        <v>0</v>
      </c>
      <c r="DR25" s="5">
        <v>0</v>
      </c>
      <c r="DS25" s="5">
        <v>0</v>
      </c>
      <c r="DT25" s="4">
        <v>1.8324162631132158E-2</v>
      </c>
      <c r="DU25" s="5">
        <v>5.5592859184468602E-2</v>
      </c>
      <c r="DV25" s="5">
        <v>0.16847130749860983</v>
      </c>
      <c r="DW25" s="5">
        <v>0.22462748471866803</v>
      </c>
      <c r="DX25" s="5">
        <v>0.20949069553419003</v>
      </c>
      <c r="DY25" s="5">
        <v>0</v>
      </c>
      <c r="EA25" s="3" t="s">
        <v>155</v>
      </c>
      <c r="EB25" s="3" t="s">
        <v>134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4">
        <v>6.0015470382313576E-3</v>
      </c>
      <c r="ET25" s="5">
        <v>2.2189249608095232E-2</v>
      </c>
      <c r="EU25" s="5">
        <v>0.12160250322632417</v>
      </c>
      <c r="EV25" s="5">
        <v>5.4790592704828986E-2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4">
        <v>7.4931628735855054E-3</v>
      </c>
      <c r="FE25" s="5">
        <v>3.4703353681675944E-2</v>
      </c>
      <c r="FF25" s="5">
        <v>4.2163459339502343E-2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0.12733423174926931</v>
      </c>
      <c r="FO25" s="5">
        <v>0.56069586343807576</v>
      </c>
      <c r="FP25" s="5">
        <v>0</v>
      </c>
      <c r="FZ25" s="3" t="s">
        <v>155</v>
      </c>
      <c r="GA25" s="5">
        <v>0</v>
      </c>
      <c r="GB25" s="5">
        <v>0</v>
      </c>
      <c r="GC25" s="4">
        <v>8.5093862206729522E-4</v>
      </c>
      <c r="GD25" s="5">
        <v>6.2336083405428393E-2</v>
      </c>
      <c r="GE25" s="5">
        <v>0.19885748384295773</v>
      </c>
      <c r="GF25" s="5">
        <v>0.22940834833162241</v>
      </c>
      <c r="GG25" s="5">
        <v>0.11325034474499351</v>
      </c>
      <c r="GH25" s="5">
        <v>1.2052883694935769E-2</v>
      </c>
      <c r="GI25" s="5">
        <v>0</v>
      </c>
      <c r="GJ25" s="5">
        <v>0</v>
      </c>
      <c r="GK25" s="4">
        <v>0</v>
      </c>
      <c r="GL25" s="5">
        <v>6.9255453605780882E-3</v>
      </c>
      <c r="GM25" s="5">
        <v>0.10516012588484845</v>
      </c>
      <c r="GN25" s="5">
        <v>0.31375005047010696</v>
      </c>
      <c r="GO25" s="5">
        <v>0.45024562034792298</v>
      </c>
      <c r="GP25" s="5">
        <v>0.45656296824522319</v>
      </c>
      <c r="GQ25" s="5">
        <v>0.34845082441198172</v>
      </c>
      <c r="GR25" s="5">
        <v>0.14868284431904186</v>
      </c>
      <c r="GS25" s="5">
        <v>1.1235268075780952E-2</v>
      </c>
      <c r="GT25" s="4">
        <v>1.613099887516241E-5</v>
      </c>
      <c r="GU25" s="4">
        <v>0</v>
      </c>
      <c r="GV25" s="5">
        <v>1.7372930751547683E-2</v>
      </c>
      <c r="GW25" s="5">
        <v>0.14140739341591493</v>
      </c>
      <c r="GX25" s="5">
        <v>0.33101208298409629</v>
      </c>
      <c r="GY25" s="5">
        <v>0.44766405750620009</v>
      </c>
      <c r="GZ25" s="5">
        <v>0.46221512685067229</v>
      </c>
      <c r="HA25" s="5">
        <v>0.37128792678294931</v>
      </c>
      <c r="HB25" s="5">
        <v>0.19370913560666822</v>
      </c>
      <c r="HC25" s="5">
        <v>3.3530040451306052E-2</v>
      </c>
      <c r="HD25" s="4">
        <v>5.8076475137750698E-4</v>
      </c>
      <c r="HE25" s="5">
        <v>0</v>
      </c>
      <c r="HF25" s="4">
        <v>1.4713186491136252E-6</v>
      </c>
      <c r="HG25" s="5">
        <v>2.259046882226267E-2</v>
      </c>
      <c r="HH25" s="5">
        <v>0.16177660466727301</v>
      </c>
      <c r="HI25" s="5">
        <v>0.28978662767796548</v>
      </c>
      <c r="HJ25" s="5">
        <v>0.27511937579420476</v>
      </c>
      <c r="HK25" s="5">
        <v>0.15653499933517581</v>
      </c>
      <c r="HL25" s="5">
        <v>3.2000291294457431E-2</v>
      </c>
      <c r="HM25" s="4">
        <v>1.5471994017276272E-4</v>
      </c>
      <c r="HN25" s="5">
        <v>0</v>
      </c>
      <c r="HP25" s="3" t="s">
        <v>155</v>
      </c>
      <c r="HQ25" s="3" t="s">
        <v>140</v>
      </c>
      <c r="HR25" s="3" t="s">
        <v>141</v>
      </c>
      <c r="HS25" s="5">
        <v>0.41282991789939827</v>
      </c>
    </row>
    <row r="26" spans="2:227" x14ac:dyDescent="0.45">
      <c r="B26" s="6" t="s">
        <v>156</v>
      </c>
      <c r="C26" s="6" t="s">
        <v>131</v>
      </c>
      <c r="D26" s="8">
        <v>0</v>
      </c>
      <c r="E26" s="8">
        <v>0</v>
      </c>
      <c r="F26" s="8">
        <v>0.91844332382634697</v>
      </c>
      <c r="G26" s="8">
        <v>0.36450782473755028</v>
      </c>
      <c r="H26" s="8">
        <v>0.30234535353250491</v>
      </c>
      <c r="I26" s="8">
        <v>0.30127642809484378</v>
      </c>
      <c r="J26" s="8">
        <v>0.34852942986583968</v>
      </c>
      <c r="K26" s="8">
        <v>0.81417253961779046</v>
      </c>
      <c r="L26" s="8">
        <v>0</v>
      </c>
      <c r="M26" s="8">
        <v>0</v>
      </c>
      <c r="N26" s="8">
        <v>0</v>
      </c>
      <c r="O26" s="8">
        <v>0.72043590292289805</v>
      </c>
      <c r="P26" s="8">
        <v>0.34397637418584209</v>
      </c>
      <c r="Q26" s="8">
        <v>0.20154757205537591</v>
      </c>
      <c r="R26" s="8">
        <v>0.17574059859722696</v>
      </c>
      <c r="S26" s="8">
        <v>0.17510147443591825</v>
      </c>
      <c r="T26" s="8">
        <v>0.19410878307964843</v>
      </c>
      <c r="U26" s="8">
        <v>0.27787734510184131</v>
      </c>
      <c r="V26" s="8">
        <v>0.66069561006145783</v>
      </c>
      <c r="W26" s="8">
        <v>0</v>
      </c>
      <c r="X26" s="8">
        <v>0</v>
      </c>
      <c r="Y26" s="8">
        <v>0.48590663737669088</v>
      </c>
      <c r="Z26" s="8">
        <v>0.23509719065097326</v>
      </c>
      <c r="AA26" s="8">
        <v>0.15286674096266292</v>
      </c>
      <c r="AB26" s="8">
        <v>0.13472742666692158</v>
      </c>
      <c r="AC26" s="8">
        <v>0.1259314487308846</v>
      </c>
      <c r="AD26" s="8">
        <v>0.12908235964555653</v>
      </c>
      <c r="AE26" s="8">
        <v>0.18950956813394917</v>
      </c>
      <c r="AF26" s="8">
        <v>0.37601857447627995</v>
      </c>
      <c r="AG26" s="8">
        <v>0</v>
      </c>
      <c r="AH26" s="8">
        <v>0</v>
      </c>
      <c r="AI26" s="8">
        <v>0.98901098901098883</v>
      </c>
      <c r="AJ26" s="8">
        <v>0.54627032232579753</v>
      </c>
      <c r="AK26" s="8">
        <v>0.285202330950447</v>
      </c>
      <c r="AL26" s="8">
        <v>0.2452206977858524</v>
      </c>
      <c r="AM26" s="8">
        <v>0.22813270611589775</v>
      </c>
      <c r="AN26" s="8">
        <v>0.28774022958906065</v>
      </c>
      <c r="AO26" s="8">
        <v>0.60333914275424827</v>
      </c>
      <c r="AP26" s="8">
        <v>0.96153846153846145</v>
      </c>
      <c r="AQ26" s="8">
        <v>0</v>
      </c>
      <c r="AS26" s="6" t="s">
        <v>156</v>
      </c>
      <c r="AT26" s="6" t="s">
        <v>132</v>
      </c>
      <c r="AU26" s="8">
        <v>0</v>
      </c>
      <c r="AV26" s="7">
        <v>0</v>
      </c>
      <c r="AW26" s="8">
        <v>0.850398284025912</v>
      </c>
      <c r="AX26" s="8">
        <v>0.24858057915007203</v>
      </c>
      <c r="AY26" s="8">
        <v>0.18091807292640744</v>
      </c>
      <c r="AZ26" s="8">
        <v>0.1336195338238203</v>
      </c>
      <c r="BA26" s="8">
        <v>5.0924258843861758E-2</v>
      </c>
      <c r="BB26" s="8">
        <v>0.19850836183299819</v>
      </c>
      <c r="BC26" s="8">
        <v>0</v>
      </c>
      <c r="BD26" s="8">
        <v>0</v>
      </c>
      <c r="BE26" s="8">
        <v>0</v>
      </c>
      <c r="BF26" s="8">
        <v>0.5689920625748236</v>
      </c>
      <c r="BG26" s="8">
        <v>0.22421345702107212</v>
      </c>
      <c r="BH26" s="8">
        <v>0.11492504331340417</v>
      </c>
      <c r="BI26" s="8">
        <v>7.7308101250356115E-2</v>
      </c>
      <c r="BJ26" s="8">
        <v>3.0902447969448382E-2</v>
      </c>
      <c r="BK26" s="8">
        <v>2.0985761152076267E-2</v>
      </c>
      <c r="BL26" s="7">
        <v>5.8846716118113422E-2</v>
      </c>
      <c r="BM26" s="8">
        <v>0.30946986379307401</v>
      </c>
      <c r="BN26" s="8">
        <v>0</v>
      </c>
      <c r="BO26" s="8">
        <v>0</v>
      </c>
      <c r="BP26" s="8">
        <v>0.32722815268287686</v>
      </c>
      <c r="BQ26" s="8">
        <v>0.15375010576226561</v>
      </c>
      <c r="BR26" s="8">
        <v>7.8835348725313503E-2</v>
      </c>
      <c r="BS26" s="8">
        <v>6.497862535348993E-2</v>
      </c>
      <c r="BT26" s="7">
        <v>2.8486944042524266E-2</v>
      </c>
      <c r="BU26" s="8">
        <v>1.5916297227714045E-2</v>
      </c>
      <c r="BV26" s="8">
        <v>3.9869534384916208E-2</v>
      </c>
      <c r="BW26" s="8">
        <v>0.24002934085676986</v>
      </c>
      <c r="BX26" s="8">
        <v>0</v>
      </c>
      <c r="BY26" s="8">
        <v>0</v>
      </c>
      <c r="BZ26" s="7">
        <v>0.97814273638449467</v>
      </c>
      <c r="CA26" s="7">
        <v>0.38634221159586596</v>
      </c>
      <c r="CB26" s="8">
        <v>0.17224930456518081</v>
      </c>
      <c r="CC26" s="8">
        <v>0.1136573871462441</v>
      </c>
      <c r="CD26" s="8">
        <v>4.9388520672294656E-2</v>
      </c>
      <c r="CE26" s="8">
        <v>4.6301001273620405E-2</v>
      </c>
      <c r="CF26" s="7">
        <v>0.14852822544076882</v>
      </c>
      <c r="CG26" s="8">
        <v>0</v>
      </c>
      <c r="CH26" s="8">
        <v>0</v>
      </c>
      <c r="CJ26" s="6" t="s">
        <v>156</v>
      </c>
      <c r="CK26" s="6" t="s">
        <v>133</v>
      </c>
      <c r="CL26" s="8">
        <v>0</v>
      </c>
      <c r="CM26" s="8">
        <v>0</v>
      </c>
      <c r="CN26" s="8">
        <v>0</v>
      </c>
      <c r="CO26" s="8">
        <v>0</v>
      </c>
      <c r="CP26" s="7">
        <v>0</v>
      </c>
      <c r="CQ26" s="8">
        <v>4.491256995308051E-2</v>
      </c>
      <c r="CR26" s="8">
        <v>0.18422149531985763</v>
      </c>
      <c r="CS26" s="8">
        <v>0.48745148391389953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2.6267001229882174E-2</v>
      </c>
      <c r="DA26" s="8">
        <v>7.2721258080147733E-2</v>
      </c>
      <c r="DB26" s="8">
        <v>8.706724013574392E-2</v>
      </c>
      <c r="DC26" s="8">
        <v>7.0716517504503584E-2</v>
      </c>
      <c r="DD26" s="8">
        <v>5.1705815501207099E-2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3.9149162394197322E-2</v>
      </c>
      <c r="DL26" s="8">
        <v>5.4490289978571416E-2</v>
      </c>
      <c r="DM26" s="8">
        <v>8.0990776995585295E-2</v>
      </c>
      <c r="DN26" s="8">
        <v>3.0522604454737844E-3</v>
      </c>
      <c r="DO26" s="7">
        <v>0</v>
      </c>
      <c r="DP26" s="8">
        <v>0</v>
      </c>
      <c r="DQ26" s="8">
        <v>0</v>
      </c>
      <c r="DR26" s="8">
        <v>0</v>
      </c>
      <c r="DS26" s="8">
        <v>0</v>
      </c>
      <c r="DT26" s="7">
        <v>1.9446055262065113E-2</v>
      </c>
      <c r="DU26" s="8">
        <v>7.8633454907167985E-2</v>
      </c>
      <c r="DV26" s="8">
        <v>0.13444131004805471</v>
      </c>
      <c r="DW26" s="8">
        <v>0.19475097954971149</v>
      </c>
      <c r="DX26" s="8">
        <v>4.0312324440361404E-2</v>
      </c>
      <c r="DY26" s="8">
        <v>0</v>
      </c>
      <c r="EA26" s="6" t="s">
        <v>156</v>
      </c>
      <c r="EB26" s="6" t="s">
        <v>134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7">
        <v>2.1104070982535601E-3</v>
      </c>
      <c r="ET26" s="8">
        <v>5.3495694505869835E-2</v>
      </c>
      <c r="EU26" s="8">
        <v>0.15583834108353356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7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5.4237094999989924E-3</v>
      </c>
      <c r="FN26" s="8">
        <v>9.4340582248205435E-2</v>
      </c>
      <c r="FO26" s="8">
        <v>0.88424388857739011</v>
      </c>
      <c r="FP26" s="8">
        <v>0</v>
      </c>
      <c r="FZ26" s="6" t="s">
        <v>156</v>
      </c>
      <c r="GA26" s="8">
        <v>0</v>
      </c>
      <c r="GB26" s="8">
        <v>0</v>
      </c>
      <c r="GC26" s="7">
        <v>2.9077304565968613E-3</v>
      </c>
      <c r="GD26" s="8">
        <v>0.10876815338734787</v>
      </c>
      <c r="GE26" s="8">
        <v>0.24830814300189052</v>
      </c>
      <c r="GF26" s="8">
        <v>0.2499308415947275</v>
      </c>
      <c r="GG26" s="8">
        <v>0.1301583813329949</v>
      </c>
      <c r="GH26" s="8">
        <v>1.2276534976525809E-2</v>
      </c>
      <c r="GI26" s="8">
        <v>0</v>
      </c>
      <c r="GJ26" s="8">
        <v>0</v>
      </c>
      <c r="GK26" s="7">
        <v>0</v>
      </c>
      <c r="GL26" s="8">
        <v>4.9718264291318251E-3</v>
      </c>
      <c r="GM26" s="8">
        <v>0.11437922705187267</v>
      </c>
      <c r="GN26" s="8">
        <v>0.33329368852023239</v>
      </c>
      <c r="GO26" s="8">
        <v>0.44248301953421498</v>
      </c>
      <c r="GP26" s="8">
        <v>0.43902426836354175</v>
      </c>
      <c r="GQ26" s="8">
        <v>0.32284273751808895</v>
      </c>
      <c r="GR26" s="8">
        <v>0.12666774892556493</v>
      </c>
      <c r="GS26" s="8">
        <v>6.136364822662289E-3</v>
      </c>
      <c r="GT26" s="7">
        <v>0</v>
      </c>
      <c r="GU26" s="7">
        <v>0</v>
      </c>
      <c r="GV26" s="8">
        <v>1.1899740740298748E-2</v>
      </c>
      <c r="GW26" s="8">
        <v>0.15149310208748237</v>
      </c>
      <c r="GX26" s="8">
        <v>0.38725519457163854</v>
      </c>
      <c r="GY26" s="8">
        <v>0.52545385509122</v>
      </c>
      <c r="GZ26" s="8">
        <v>0.5242934950080741</v>
      </c>
      <c r="HA26" s="8">
        <v>0.41460381914436334</v>
      </c>
      <c r="HB26" s="8">
        <v>0.19599906209117288</v>
      </c>
      <c r="HC26" s="8">
        <v>1.8853203579712013E-2</v>
      </c>
      <c r="HD26" s="7">
        <v>0</v>
      </c>
      <c r="HE26" s="8">
        <v>0</v>
      </c>
      <c r="HF26" s="7">
        <v>5.0825497105456681E-6</v>
      </c>
      <c r="HG26" s="8">
        <v>3.8594909066347639E-2</v>
      </c>
      <c r="HH26" s="8">
        <v>0.21469077917607932</v>
      </c>
      <c r="HI26" s="8">
        <v>0.34317820695942719</v>
      </c>
      <c r="HJ26" s="8">
        <v>0.32879072264736203</v>
      </c>
      <c r="HK26" s="8">
        <v>0.19847666509989456</v>
      </c>
      <c r="HL26" s="8">
        <v>3.7611430260808744E-2</v>
      </c>
      <c r="HM26" s="7">
        <v>7.6426905214967711E-5</v>
      </c>
      <c r="HN26" s="8">
        <v>0</v>
      </c>
      <c r="HP26" s="6" t="s">
        <v>156</v>
      </c>
      <c r="HQ26" s="6" t="s">
        <v>140</v>
      </c>
      <c r="HR26" s="6" t="s">
        <v>141</v>
      </c>
      <c r="HS26" s="8">
        <v>0.47742220460761176</v>
      </c>
    </row>
    <row r="27" spans="2:227" x14ac:dyDescent="0.45">
      <c r="B27" s="3" t="s">
        <v>157</v>
      </c>
      <c r="C27" s="3" t="s">
        <v>131</v>
      </c>
      <c r="D27" s="5">
        <v>0</v>
      </c>
      <c r="E27" s="5">
        <v>0</v>
      </c>
      <c r="F27" s="5">
        <v>0.94930855572692852</v>
      </c>
      <c r="G27" s="5">
        <v>0.4666473121669048</v>
      </c>
      <c r="H27" s="5">
        <v>0.2836976156432971</v>
      </c>
      <c r="I27" s="5">
        <v>0.28723605362999655</v>
      </c>
      <c r="J27" s="5">
        <v>0.41902096248585358</v>
      </c>
      <c r="K27" s="5">
        <v>0.84576261345619164</v>
      </c>
      <c r="L27" s="5">
        <v>0</v>
      </c>
      <c r="M27" s="5">
        <v>0</v>
      </c>
      <c r="N27" s="5">
        <v>0</v>
      </c>
      <c r="O27" s="5">
        <v>0.68031681617663409</v>
      </c>
      <c r="P27" s="5">
        <v>0.35462765334703811</v>
      </c>
      <c r="Q27" s="5">
        <v>0.2206293153212307</v>
      </c>
      <c r="R27" s="5">
        <v>0.19312106434410289</v>
      </c>
      <c r="S27" s="5">
        <v>0.17761065270325188</v>
      </c>
      <c r="T27" s="5">
        <v>0.17972058435114924</v>
      </c>
      <c r="U27" s="5">
        <v>0.26086470092504765</v>
      </c>
      <c r="V27" s="5">
        <v>0.60044312777909148</v>
      </c>
      <c r="W27" s="5">
        <v>0</v>
      </c>
      <c r="X27" s="5">
        <v>0</v>
      </c>
      <c r="Y27" s="5">
        <v>0.413012800568545</v>
      </c>
      <c r="Z27" s="5">
        <v>0.23617730989603186</v>
      </c>
      <c r="AA27" s="5">
        <v>0.14789716716366141</v>
      </c>
      <c r="AB27" s="5">
        <v>0.13790736473868251</v>
      </c>
      <c r="AC27" s="5">
        <v>0.14099467972227617</v>
      </c>
      <c r="AD27" s="5">
        <v>0.150302745173194</v>
      </c>
      <c r="AE27" s="5">
        <v>0.18819724029079749</v>
      </c>
      <c r="AF27" s="5">
        <v>0.33787203989414299</v>
      </c>
      <c r="AG27" s="5">
        <v>0.87495868927194831</v>
      </c>
      <c r="AH27" s="5">
        <v>0</v>
      </c>
      <c r="AI27" s="5">
        <v>0.97252747252747263</v>
      </c>
      <c r="AJ27" s="5">
        <v>0.59622974828520225</v>
      </c>
      <c r="AK27" s="5">
        <v>0.29477010823086236</v>
      </c>
      <c r="AL27" s="5">
        <v>0.22706197705806552</v>
      </c>
      <c r="AM27" s="5">
        <v>0.23055353489805616</v>
      </c>
      <c r="AN27" s="5">
        <v>0.29696315656244798</v>
      </c>
      <c r="AO27" s="5">
        <v>0.6275610371758612</v>
      </c>
      <c r="AP27" s="5">
        <v>0.95604395604395609</v>
      </c>
      <c r="AQ27" s="5">
        <v>0</v>
      </c>
      <c r="AS27" s="3" t="s">
        <v>157</v>
      </c>
      <c r="AT27" s="3" t="s">
        <v>132</v>
      </c>
      <c r="AU27" s="5">
        <v>0</v>
      </c>
      <c r="AV27" s="4">
        <v>0</v>
      </c>
      <c r="AW27" s="5">
        <v>0.90184312794058208</v>
      </c>
      <c r="AX27" s="5">
        <v>0.30617047237262618</v>
      </c>
      <c r="AY27" s="5">
        <v>0.16244355364128965</v>
      </c>
      <c r="AZ27" s="5">
        <v>9.7657162711812392E-2</v>
      </c>
      <c r="BA27" s="5">
        <v>6.5671668489729551E-2</v>
      </c>
      <c r="BB27" s="5">
        <v>0.22078112506774708</v>
      </c>
      <c r="BC27" s="5">
        <v>0</v>
      </c>
      <c r="BD27" s="5">
        <v>0</v>
      </c>
      <c r="BE27" s="5">
        <v>0</v>
      </c>
      <c r="BF27" s="5">
        <v>0.52337614162488633</v>
      </c>
      <c r="BG27" s="5">
        <v>0.22786909036110994</v>
      </c>
      <c r="BH27" s="5">
        <v>0.11676846749391942</v>
      </c>
      <c r="BI27" s="5">
        <v>7.0938173379285013E-2</v>
      </c>
      <c r="BJ27" s="5">
        <v>2.5251402402945548E-2</v>
      </c>
      <c r="BK27" s="5">
        <v>2.3074079021292496E-2</v>
      </c>
      <c r="BL27" s="4">
        <v>6.4767422900788144E-2</v>
      </c>
      <c r="BM27" s="5">
        <v>0.27787743222286432</v>
      </c>
      <c r="BN27" s="5">
        <v>0</v>
      </c>
      <c r="BO27" s="5">
        <v>0</v>
      </c>
      <c r="BP27" s="5">
        <v>0.28253852050635186</v>
      </c>
      <c r="BQ27" s="5">
        <v>0.1520354834871015</v>
      </c>
      <c r="BR27" s="5">
        <v>8.1702145363094392E-2</v>
      </c>
      <c r="BS27" s="5">
        <v>7.1770660281419221E-2</v>
      </c>
      <c r="BT27" s="4">
        <v>4.0473233483495748E-2</v>
      </c>
      <c r="BU27" s="5">
        <v>1.8279724748187041E-2</v>
      </c>
      <c r="BV27" s="5">
        <v>3.6162006845058069E-2</v>
      </c>
      <c r="BW27" s="5">
        <v>0.15688621118231691</v>
      </c>
      <c r="BX27" s="5">
        <v>0.77893711317463576</v>
      </c>
      <c r="BY27" s="5">
        <v>0</v>
      </c>
      <c r="BZ27" s="4">
        <v>0.94580968482067396</v>
      </c>
      <c r="CA27" s="4">
        <v>0.45462672377497593</v>
      </c>
      <c r="CB27" s="5">
        <v>0.18467587144944744</v>
      </c>
      <c r="CC27" s="5">
        <v>0.122647314884013</v>
      </c>
      <c r="CD27" s="5">
        <v>6.7417193936923067E-2</v>
      </c>
      <c r="CE27" s="5">
        <v>5.318554627031763E-2</v>
      </c>
      <c r="CF27" s="4">
        <v>0.15988115026458968</v>
      </c>
      <c r="CG27" s="5">
        <v>0.36754767304606134</v>
      </c>
      <c r="CH27" s="5">
        <v>0</v>
      </c>
      <c r="CJ27" s="3" t="s">
        <v>157</v>
      </c>
      <c r="CK27" s="3" t="s">
        <v>133</v>
      </c>
      <c r="CL27" s="5">
        <v>0</v>
      </c>
      <c r="CM27" s="5">
        <v>0</v>
      </c>
      <c r="CN27" s="5">
        <v>0</v>
      </c>
      <c r="CO27" s="5">
        <v>0</v>
      </c>
      <c r="CP27" s="4">
        <v>0</v>
      </c>
      <c r="CQ27" s="5">
        <v>7.1079034927167925E-2</v>
      </c>
      <c r="CR27" s="5">
        <v>0.19959052410328465</v>
      </c>
      <c r="CS27" s="5">
        <v>0.50906023269600975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8.8203760465258609E-3</v>
      </c>
      <c r="CZ27" s="5">
        <v>3.3265161711103573E-2</v>
      </c>
      <c r="DA27" s="5">
        <v>7.3296111911969108E-2</v>
      </c>
      <c r="DB27" s="5">
        <v>6.6585881253545975E-2</v>
      </c>
      <c r="DC27" s="5">
        <v>6.4900347284981702E-2</v>
      </c>
      <c r="DD27" s="5">
        <v>1.3741975339843983E-2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4.118652359337633E-3</v>
      </c>
      <c r="DK27" s="5">
        <v>3.9080626437682828E-2</v>
      </c>
      <c r="DL27" s="5">
        <v>6.9243235611499254E-2</v>
      </c>
      <c r="DM27" s="5">
        <v>7.9024607830071938E-2</v>
      </c>
      <c r="DN27" s="5">
        <v>2.9425085058921309E-2</v>
      </c>
      <c r="DO27" s="4">
        <v>0</v>
      </c>
      <c r="DP27" s="5">
        <v>0</v>
      </c>
      <c r="DQ27" s="5">
        <v>0</v>
      </c>
      <c r="DR27" s="5">
        <v>0</v>
      </c>
      <c r="DS27" s="5">
        <v>0</v>
      </c>
      <c r="DT27" s="4">
        <v>1.4145961538787093E-2</v>
      </c>
      <c r="DU27" s="5">
        <v>6.6543104787184601E-2</v>
      </c>
      <c r="DV27" s="5">
        <v>0.12833568028096512</v>
      </c>
      <c r="DW27" s="5">
        <v>0.23541709265619346</v>
      </c>
      <c r="DX27" s="5">
        <v>0.29009362674611733</v>
      </c>
      <c r="DY27" s="5">
        <v>0</v>
      </c>
      <c r="EA27" s="3" t="s">
        <v>157</v>
      </c>
      <c r="EB27" s="3" t="s">
        <v>134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4">
        <v>7.0249933726565655E-3</v>
      </c>
      <c r="ET27" s="5">
        <v>3.1750734160505584E-2</v>
      </c>
      <c r="EU27" s="5">
        <v>0.13949314571294918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4">
        <v>1.1804717736881198E-4</v>
      </c>
      <c r="FE27" s="5">
        <v>3.6121893172652776E-2</v>
      </c>
      <c r="FF27" s="5">
        <v>4.087510920187316E-3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7.9364322659664557E-3</v>
      </c>
      <c r="FN27" s="5">
        <v>7.4659599362056503E-2</v>
      </c>
      <c r="FO27" s="5">
        <v>0.26049874888606145</v>
      </c>
      <c r="FP27" s="5">
        <v>0</v>
      </c>
      <c r="FZ27" s="3" t="s">
        <v>157</v>
      </c>
      <c r="GA27" s="5">
        <v>0</v>
      </c>
      <c r="GB27" s="5">
        <v>0</v>
      </c>
      <c r="GC27" s="4">
        <v>1.5051822422495053E-3</v>
      </c>
      <c r="GD27" s="5">
        <v>8.1538238744354591E-2</v>
      </c>
      <c r="GE27" s="5">
        <v>0.22630987625736315</v>
      </c>
      <c r="GF27" s="5">
        <v>0.23193445026459922</v>
      </c>
      <c r="GG27" s="5">
        <v>0.11187263277782683</v>
      </c>
      <c r="GH27" s="5">
        <v>1.096629855756953E-2</v>
      </c>
      <c r="GI27" s="5">
        <v>0</v>
      </c>
      <c r="GJ27" s="5">
        <v>0</v>
      </c>
      <c r="GK27" s="4">
        <v>0</v>
      </c>
      <c r="GL27" s="5">
        <v>6.4923204561939613E-3</v>
      </c>
      <c r="GM27" s="5">
        <v>0.10665317152115698</v>
      </c>
      <c r="GN27" s="5">
        <v>0.3070593259503866</v>
      </c>
      <c r="GO27" s="5">
        <v>0.42731824114639372</v>
      </c>
      <c r="GP27" s="5">
        <v>0.42768004400572401</v>
      </c>
      <c r="GQ27" s="5">
        <v>0.32892118762302919</v>
      </c>
      <c r="GR27" s="5">
        <v>0.13905490202692508</v>
      </c>
      <c r="GS27" s="5">
        <v>9.305622739650677E-3</v>
      </c>
      <c r="GT27" s="4">
        <v>0</v>
      </c>
      <c r="GU27" s="4">
        <v>0</v>
      </c>
      <c r="GV27" s="5">
        <v>1.5524176830392476E-2</v>
      </c>
      <c r="GW27" s="5">
        <v>0.14313166839293795</v>
      </c>
      <c r="GX27" s="5">
        <v>0.34595798409386119</v>
      </c>
      <c r="GY27" s="5">
        <v>0.4483968301589627</v>
      </c>
      <c r="GZ27" s="5">
        <v>0.45260427213376037</v>
      </c>
      <c r="HA27" s="5">
        <v>0.35007509052106456</v>
      </c>
      <c r="HB27" s="5">
        <v>0.17745037742155173</v>
      </c>
      <c r="HC27" s="5">
        <v>2.5790824620066287E-2</v>
      </c>
      <c r="HD27" s="4">
        <v>7.4150475281292743E-5</v>
      </c>
      <c r="HE27" s="5">
        <v>0</v>
      </c>
      <c r="HF27" s="4">
        <v>6.3576388893020196E-6</v>
      </c>
      <c r="HG27" s="5">
        <v>2.8922700656110373E-2</v>
      </c>
      <c r="HH27" s="5">
        <v>0.17866664439018309</v>
      </c>
      <c r="HI27" s="5">
        <v>0.29873005547420745</v>
      </c>
      <c r="HJ27" s="5">
        <v>0.28362268333695145</v>
      </c>
      <c r="HK27" s="5">
        <v>0.16715760201776272</v>
      </c>
      <c r="HL27" s="5">
        <v>3.053441877764522E-2</v>
      </c>
      <c r="HM27" s="4">
        <v>9.9367222654742299E-5</v>
      </c>
      <c r="HN27" s="5">
        <v>0</v>
      </c>
      <c r="HP27" s="3" t="s">
        <v>157</v>
      </c>
      <c r="HQ27" s="3" t="s">
        <v>140</v>
      </c>
      <c r="HR27" s="3" t="s">
        <v>141</v>
      </c>
      <c r="HS27" s="5">
        <v>0.3928726290423728</v>
      </c>
    </row>
    <row r="28" spans="2:227" x14ac:dyDescent="0.45">
      <c r="B28" s="6" t="s">
        <v>158</v>
      </c>
      <c r="C28" s="6" t="s">
        <v>131</v>
      </c>
      <c r="D28" s="8">
        <v>0</v>
      </c>
      <c r="E28" s="8">
        <v>0</v>
      </c>
      <c r="F28" s="8">
        <v>0.9107487844318638</v>
      </c>
      <c r="G28" s="8">
        <v>0.35760503595055454</v>
      </c>
      <c r="H28" s="8">
        <v>0.2840367183766358</v>
      </c>
      <c r="I28" s="8">
        <v>0.30759995728999762</v>
      </c>
      <c r="J28" s="8">
        <v>0.38908695303021978</v>
      </c>
      <c r="K28" s="8">
        <v>0.84722091502688301</v>
      </c>
      <c r="L28" s="8">
        <v>0</v>
      </c>
      <c r="M28" s="8">
        <v>0</v>
      </c>
      <c r="N28" s="8">
        <v>0</v>
      </c>
      <c r="O28" s="8">
        <v>0.68480221080361692</v>
      </c>
      <c r="P28" s="8">
        <v>0.33993692958004046</v>
      </c>
      <c r="Q28" s="8">
        <v>0.204646158590708</v>
      </c>
      <c r="R28" s="8">
        <v>0.16192537588124425</v>
      </c>
      <c r="S28" s="8">
        <v>0.17030260964816224</v>
      </c>
      <c r="T28" s="8">
        <v>0.19116501432792057</v>
      </c>
      <c r="U28" s="8">
        <v>0.30361688548122606</v>
      </c>
      <c r="V28" s="8">
        <v>0.71106964489227886</v>
      </c>
      <c r="W28" s="8">
        <v>0</v>
      </c>
      <c r="X28" s="8">
        <v>0</v>
      </c>
      <c r="Y28" s="8">
        <v>0.44203687270993941</v>
      </c>
      <c r="Z28" s="8">
        <v>0.21802142546822781</v>
      </c>
      <c r="AA28" s="8">
        <v>0.14125463223058576</v>
      </c>
      <c r="AB28" s="8">
        <v>0.11584607564967937</v>
      </c>
      <c r="AC28" s="8">
        <v>0.11716294219091515</v>
      </c>
      <c r="AD28" s="8">
        <v>0.13125197478584871</v>
      </c>
      <c r="AE28" s="8">
        <v>0.21732937586884232</v>
      </c>
      <c r="AF28" s="8">
        <v>0.43455091111798283</v>
      </c>
      <c r="AG28" s="8">
        <v>0</v>
      </c>
      <c r="AH28" s="8">
        <v>0</v>
      </c>
      <c r="AI28" s="8">
        <v>0.96703296703296693</v>
      </c>
      <c r="AJ28" s="8">
        <v>0.51178101435743129</v>
      </c>
      <c r="AK28" s="8">
        <v>0.26585640762336343</v>
      </c>
      <c r="AL28" s="8">
        <v>0.24576785689454789</v>
      </c>
      <c r="AM28" s="8">
        <v>0.25911765915182605</v>
      </c>
      <c r="AN28" s="8">
        <v>0.30536111803150379</v>
      </c>
      <c r="AO28" s="8">
        <v>0.63183510148467148</v>
      </c>
      <c r="AP28" s="8">
        <v>0.99450549450549408</v>
      </c>
      <c r="AQ28" s="8">
        <v>0</v>
      </c>
      <c r="AS28" s="6" t="s">
        <v>158</v>
      </c>
      <c r="AT28" s="6" t="s">
        <v>132</v>
      </c>
      <c r="AU28" s="8">
        <v>0</v>
      </c>
      <c r="AV28" s="7">
        <v>0</v>
      </c>
      <c r="AW28" s="8">
        <v>0.83712670902243791</v>
      </c>
      <c r="AX28" s="8">
        <v>0.23696434331842223</v>
      </c>
      <c r="AY28" s="8">
        <v>0.15627981901588262</v>
      </c>
      <c r="AZ28" s="8">
        <v>0.13507506600702057</v>
      </c>
      <c r="BA28" s="8">
        <v>8.1133433046596634E-2</v>
      </c>
      <c r="BB28" s="8">
        <v>0.11516138699237373</v>
      </c>
      <c r="BC28" s="8">
        <v>0</v>
      </c>
      <c r="BD28" s="8">
        <v>0</v>
      </c>
      <c r="BE28" s="8">
        <v>0</v>
      </c>
      <c r="BF28" s="8">
        <v>0.52862078772117715</v>
      </c>
      <c r="BG28" s="8">
        <v>0.21485930295476052</v>
      </c>
      <c r="BH28" s="8">
        <v>0.11471888626266742</v>
      </c>
      <c r="BI28" s="8">
        <v>6.461689532081788E-2</v>
      </c>
      <c r="BJ28" s="8">
        <v>2.5959875739920472E-2</v>
      </c>
      <c r="BK28" s="8">
        <v>2.9754946741897683E-2</v>
      </c>
      <c r="BL28" s="7">
        <v>7.8887950636142165E-2</v>
      </c>
      <c r="BM28" s="8">
        <v>0.48886499231719993</v>
      </c>
      <c r="BN28" s="8">
        <v>0</v>
      </c>
      <c r="BO28" s="8">
        <v>0</v>
      </c>
      <c r="BP28" s="8">
        <v>0.28780754940538295</v>
      </c>
      <c r="BQ28" s="8">
        <v>0.13750112110435475</v>
      </c>
      <c r="BR28" s="8">
        <v>7.5287692505536824E-2</v>
      </c>
      <c r="BS28" s="8">
        <v>5.1833633159109195E-2</v>
      </c>
      <c r="BT28" s="7">
        <v>2.7775089172107491E-2</v>
      </c>
      <c r="BU28" s="8">
        <v>2.3218564654959369E-2</v>
      </c>
      <c r="BV28" s="8">
        <v>6.4601758043858079E-2</v>
      </c>
      <c r="BW28" s="8">
        <v>0.28520216994866388</v>
      </c>
      <c r="BX28" s="8">
        <v>0</v>
      </c>
      <c r="BY28" s="8">
        <v>0</v>
      </c>
      <c r="BZ28" s="7">
        <v>0.93515275932858344</v>
      </c>
      <c r="CA28" s="7">
        <v>0.34675885464908318</v>
      </c>
      <c r="CB28" s="8">
        <v>0.15936141603817638</v>
      </c>
      <c r="CC28" s="8">
        <v>9.5267687326520037E-2</v>
      </c>
      <c r="CD28" s="8">
        <v>4.9256393974132076E-2</v>
      </c>
      <c r="CE28" s="8">
        <v>4.3785525803120118E-2</v>
      </c>
      <c r="CF28" s="7">
        <v>0.1237738236199894</v>
      </c>
      <c r="CG28" s="8">
        <v>0</v>
      </c>
      <c r="CH28" s="8">
        <v>0</v>
      </c>
      <c r="CJ28" s="6" t="s">
        <v>158</v>
      </c>
      <c r="CK28" s="6" t="s">
        <v>133</v>
      </c>
      <c r="CL28" s="8">
        <v>0</v>
      </c>
      <c r="CM28" s="8">
        <v>0</v>
      </c>
      <c r="CN28" s="8">
        <v>0</v>
      </c>
      <c r="CO28" s="8">
        <v>0</v>
      </c>
      <c r="CP28" s="7">
        <v>0</v>
      </c>
      <c r="CQ28" s="8">
        <v>4.1715188426966816E-2</v>
      </c>
      <c r="CR28" s="8">
        <v>0.17674731791472473</v>
      </c>
      <c r="CS28" s="8">
        <v>0.61712241120890821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2.4543127144445905E-2</v>
      </c>
      <c r="DA28" s="8">
        <v>6.9034556468182129E-2</v>
      </c>
      <c r="DB28" s="8">
        <v>7.6548777904362111E-2</v>
      </c>
      <c r="DC28" s="8">
        <v>7.3806488803377521E-2</v>
      </c>
      <c r="DD28" s="8">
        <v>2.1173438305833684E-2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2.7763296329260086E-3</v>
      </c>
      <c r="DK28" s="8">
        <v>2.5729587279737766E-2</v>
      </c>
      <c r="DL28" s="8">
        <v>4.4045110788482174E-2</v>
      </c>
      <c r="DM28" s="8">
        <v>6.5553105386627633E-2</v>
      </c>
      <c r="DN28" s="8">
        <v>0</v>
      </c>
      <c r="DO28" s="7">
        <v>0</v>
      </c>
      <c r="DP28" s="8">
        <v>0</v>
      </c>
      <c r="DQ28" s="8">
        <v>0</v>
      </c>
      <c r="DR28" s="8">
        <v>0</v>
      </c>
      <c r="DS28" s="8">
        <v>0</v>
      </c>
      <c r="DT28" s="7">
        <v>3.479266757729646E-2</v>
      </c>
      <c r="DU28" s="8">
        <v>8.8464297064574066E-2</v>
      </c>
      <c r="DV28" s="8">
        <v>0.12759112184448324</v>
      </c>
      <c r="DW28" s="8">
        <v>0.16505667217797729</v>
      </c>
      <c r="DX28" s="8">
        <v>0</v>
      </c>
      <c r="DY28" s="8">
        <v>0</v>
      </c>
      <c r="EA28" s="6" t="s">
        <v>158</v>
      </c>
      <c r="EB28" s="6" t="s">
        <v>134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7">
        <v>0</v>
      </c>
      <c r="ET28" s="8">
        <v>4.7744375121850542E-2</v>
      </c>
      <c r="EU28" s="8">
        <v>5.0334860525188208E-2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7">
        <v>5.978635657591702E-3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2.217318274746188E-2</v>
      </c>
      <c r="FN28" s="8">
        <v>0.17646620572248123</v>
      </c>
      <c r="FO28" s="8">
        <v>0.98904117860161822</v>
      </c>
      <c r="FP28" s="8">
        <v>0</v>
      </c>
      <c r="FZ28" s="6" t="s">
        <v>158</v>
      </c>
      <c r="GA28" s="8">
        <v>0</v>
      </c>
      <c r="GB28" s="8">
        <v>0</v>
      </c>
      <c r="GC28" s="7">
        <v>3.2927018253960543E-3</v>
      </c>
      <c r="GD28" s="8">
        <v>0.12347948137741899</v>
      </c>
      <c r="GE28" s="8">
        <v>0.26551460398154125</v>
      </c>
      <c r="GF28" s="8">
        <v>0.25664377402669442</v>
      </c>
      <c r="GG28" s="8">
        <v>0.12578398770460303</v>
      </c>
      <c r="GH28" s="8">
        <v>9.423917552521744E-3</v>
      </c>
      <c r="GI28" s="8">
        <v>0</v>
      </c>
      <c r="GJ28" s="8">
        <v>0</v>
      </c>
      <c r="GK28" s="7">
        <v>0</v>
      </c>
      <c r="GL28" s="8">
        <v>6.2775197716093871E-3</v>
      </c>
      <c r="GM28" s="8">
        <v>0.12347613030195372</v>
      </c>
      <c r="GN28" s="8">
        <v>0.35060416066857136</v>
      </c>
      <c r="GO28" s="8">
        <v>0.49340338681055151</v>
      </c>
      <c r="GP28" s="8">
        <v>0.4827465564822373</v>
      </c>
      <c r="GQ28" s="8">
        <v>0.3507444582798559</v>
      </c>
      <c r="GR28" s="8">
        <v>0.12503407094260657</v>
      </c>
      <c r="GS28" s="8">
        <v>4.7757003778473436E-3</v>
      </c>
      <c r="GT28" s="7">
        <v>0</v>
      </c>
      <c r="GU28" s="7">
        <v>0</v>
      </c>
      <c r="GV28" s="8">
        <v>1.5385575188583576E-2</v>
      </c>
      <c r="GW28" s="8">
        <v>0.16594890338044777</v>
      </c>
      <c r="GX28" s="8">
        <v>0.40078947188980552</v>
      </c>
      <c r="GY28" s="8">
        <v>0.55245959499607911</v>
      </c>
      <c r="GZ28" s="8">
        <v>0.55639701113914664</v>
      </c>
      <c r="HA28" s="8">
        <v>0.42389562003233511</v>
      </c>
      <c r="HB28" s="8">
        <v>0.18395021621836349</v>
      </c>
      <c r="HC28" s="8">
        <v>1.5142960620600523E-2</v>
      </c>
      <c r="HD28" s="7">
        <v>0</v>
      </c>
      <c r="HE28" s="8">
        <v>0</v>
      </c>
      <c r="HF28" s="7">
        <v>6.725315764484988E-5</v>
      </c>
      <c r="HG28" s="8">
        <v>5.3514648150847097E-2</v>
      </c>
      <c r="HH28" s="8">
        <v>0.23928122408943928</v>
      </c>
      <c r="HI28" s="8">
        <v>0.35005338235174888</v>
      </c>
      <c r="HJ28" s="8">
        <v>0.32607657760177011</v>
      </c>
      <c r="HK28" s="8">
        <v>0.18579655126997929</v>
      </c>
      <c r="HL28" s="8">
        <v>3.0260213681426E-2</v>
      </c>
      <c r="HM28" s="7">
        <v>5.4040619243796054E-6</v>
      </c>
      <c r="HN28" s="8">
        <v>0</v>
      </c>
      <c r="HP28" s="6" t="s">
        <v>158</v>
      </c>
      <c r="HQ28" s="6" t="s">
        <v>140</v>
      </c>
      <c r="HR28" s="6" t="s">
        <v>141</v>
      </c>
      <c r="HS28" s="8">
        <v>0.4669888295314234</v>
      </c>
    </row>
    <row r="29" spans="2:227" x14ac:dyDescent="0.45">
      <c r="B29" s="3" t="s">
        <v>159</v>
      </c>
      <c r="C29" s="3" t="s">
        <v>131</v>
      </c>
      <c r="D29" s="5">
        <v>0</v>
      </c>
      <c r="E29" s="5">
        <v>0</v>
      </c>
      <c r="F29" s="5">
        <v>0.94424314713323532</v>
      </c>
      <c r="G29" s="5">
        <v>0.43460740692350236</v>
      </c>
      <c r="H29" s="5">
        <v>0.28451255311699786</v>
      </c>
      <c r="I29" s="5">
        <v>0.28225952540922167</v>
      </c>
      <c r="J29" s="5">
        <v>0.37614590890979049</v>
      </c>
      <c r="K29" s="5">
        <v>0.8257021219807531</v>
      </c>
      <c r="L29" s="5">
        <v>0</v>
      </c>
      <c r="M29" s="5">
        <v>0</v>
      </c>
      <c r="N29" s="5">
        <v>0</v>
      </c>
      <c r="O29" s="5">
        <v>0.69884192649615062</v>
      </c>
      <c r="P29" s="5">
        <v>0.34651366213715973</v>
      </c>
      <c r="Q29" s="5">
        <v>0.2139017366823488</v>
      </c>
      <c r="R29" s="5">
        <v>0.18966349224256424</v>
      </c>
      <c r="S29" s="5">
        <v>0.17682475023022923</v>
      </c>
      <c r="T29" s="5">
        <v>0.1982372459616904</v>
      </c>
      <c r="U29" s="5">
        <v>0.2799962896102301</v>
      </c>
      <c r="V29" s="5">
        <v>0.62907612436876326</v>
      </c>
      <c r="W29" s="5">
        <v>0</v>
      </c>
      <c r="X29" s="5">
        <v>0</v>
      </c>
      <c r="Y29" s="5">
        <v>0.45541280840841253</v>
      </c>
      <c r="Z29" s="5">
        <v>0.24494350453604755</v>
      </c>
      <c r="AA29" s="5">
        <v>0.1649556855862028</v>
      </c>
      <c r="AB29" s="5">
        <v>0.14931716765830266</v>
      </c>
      <c r="AC29" s="5">
        <v>0.15150267147954735</v>
      </c>
      <c r="AD29" s="5">
        <v>0.1652253867580209</v>
      </c>
      <c r="AE29" s="5">
        <v>0.19151460390175018</v>
      </c>
      <c r="AF29" s="5">
        <v>0.35495447946849629</v>
      </c>
      <c r="AG29" s="5">
        <v>0</v>
      </c>
      <c r="AH29" s="5">
        <v>0</v>
      </c>
      <c r="AI29" s="5">
        <v>0.98351648351648346</v>
      </c>
      <c r="AJ29" s="5">
        <v>0.59558641501867249</v>
      </c>
      <c r="AK29" s="5">
        <v>0.30152134994907903</v>
      </c>
      <c r="AL29" s="5">
        <v>0.23701254276310543</v>
      </c>
      <c r="AM29" s="5">
        <v>0.2262890874616702</v>
      </c>
      <c r="AN29" s="5">
        <v>0.27148693770980697</v>
      </c>
      <c r="AO29" s="5">
        <v>0.59951826486323401</v>
      </c>
      <c r="AP29" s="5">
        <v>0.95623162456689437</v>
      </c>
      <c r="AQ29" s="5">
        <v>0</v>
      </c>
      <c r="AS29" s="3" t="s">
        <v>159</v>
      </c>
      <c r="AT29" s="3" t="s">
        <v>132</v>
      </c>
      <c r="AU29" s="5">
        <v>0</v>
      </c>
      <c r="AV29" s="4">
        <v>0</v>
      </c>
      <c r="AW29" s="5">
        <v>0.89178519451472238</v>
      </c>
      <c r="AX29" s="5">
        <v>0.28900067853695455</v>
      </c>
      <c r="AY29" s="5">
        <v>0.16692362580843723</v>
      </c>
      <c r="AZ29" s="5">
        <v>0.10647922881348298</v>
      </c>
      <c r="BA29" s="5">
        <v>4.3178902311814746E-2</v>
      </c>
      <c r="BB29" s="5">
        <v>0.17078325353342813</v>
      </c>
      <c r="BC29" s="5">
        <v>0</v>
      </c>
      <c r="BD29" s="5">
        <v>0</v>
      </c>
      <c r="BE29" s="5">
        <v>0</v>
      </c>
      <c r="BF29" s="5">
        <v>0.54708492720473734</v>
      </c>
      <c r="BG29" s="5">
        <v>0.21919822641025258</v>
      </c>
      <c r="BH29" s="5">
        <v>0.11723820749149165</v>
      </c>
      <c r="BI29" s="5">
        <v>7.5831546153243043E-2</v>
      </c>
      <c r="BJ29" s="5">
        <v>4.3530540201748333E-2</v>
      </c>
      <c r="BK29" s="5">
        <v>2.4002764549406266E-2</v>
      </c>
      <c r="BL29" s="4">
        <v>5.2302045596843996E-2</v>
      </c>
      <c r="BM29" s="5">
        <v>0.28702195496506444</v>
      </c>
      <c r="BN29" s="5">
        <v>0</v>
      </c>
      <c r="BO29" s="5">
        <v>0</v>
      </c>
      <c r="BP29" s="5">
        <v>0.31429370638190929</v>
      </c>
      <c r="BQ29" s="5">
        <v>0.15744401446647471</v>
      </c>
      <c r="BR29" s="5">
        <v>9.6065782125972471E-2</v>
      </c>
      <c r="BS29" s="5">
        <v>7.5697959796689238E-2</v>
      </c>
      <c r="BT29" s="4">
        <v>2.5125181918604734E-2</v>
      </c>
      <c r="BU29" s="5">
        <v>2.2273621571873757E-2</v>
      </c>
      <c r="BV29" s="5">
        <v>3.7100210495202762E-2</v>
      </c>
      <c r="BW29" s="5">
        <v>0.17090597440988026</v>
      </c>
      <c r="BX29" s="5">
        <v>0</v>
      </c>
      <c r="BY29" s="5">
        <v>0</v>
      </c>
      <c r="BZ29" s="4">
        <v>0.96730467334862935</v>
      </c>
      <c r="CA29" s="4">
        <v>0.44077854368762681</v>
      </c>
      <c r="CB29" s="5">
        <v>0.18546854449345249</v>
      </c>
      <c r="CC29" s="5">
        <v>0.12059455580233051</v>
      </c>
      <c r="CD29" s="5">
        <v>6.5945466686722118E-2</v>
      </c>
      <c r="CE29" s="5">
        <v>3.8783324290311713E-2</v>
      </c>
      <c r="CF29" s="4">
        <v>0.12380614142421188</v>
      </c>
      <c r="CG29" s="5">
        <v>0.18672510111288163</v>
      </c>
      <c r="CH29" s="5">
        <v>0</v>
      </c>
      <c r="CJ29" s="3" t="s">
        <v>159</v>
      </c>
      <c r="CK29" s="3" t="s">
        <v>133</v>
      </c>
      <c r="CL29" s="5">
        <v>0</v>
      </c>
      <c r="CM29" s="5">
        <v>0</v>
      </c>
      <c r="CN29" s="5">
        <v>0</v>
      </c>
      <c r="CO29" s="5">
        <v>0</v>
      </c>
      <c r="CP29" s="4">
        <v>0</v>
      </c>
      <c r="CQ29" s="5">
        <v>7.0120319081182464E-2</v>
      </c>
      <c r="CR29" s="5">
        <v>0.20412784977803186</v>
      </c>
      <c r="CS29" s="5">
        <v>0.51030135555783818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2.7185747510943045E-2</v>
      </c>
      <c r="DA29" s="5">
        <v>5.6165525509836563E-2</v>
      </c>
      <c r="DB29" s="5">
        <v>8.2799204497615395E-2</v>
      </c>
      <c r="DC29" s="5">
        <v>9.6430153562334461E-2</v>
      </c>
      <c r="DD29" s="5">
        <v>5.0610914017857549E-2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7.8126622582411105E-3</v>
      </c>
      <c r="DK29" s="5">
        <v>5.5422727342010078E-2</v>
      </c>
      <c r="DL29" s="5">
        <v>6.6541063937000697E-2</v>
      </c>
      <c r="DM29" s="5">
        <v>7.1051551079708661E-2</v>
      </c>
      <c r="DN29" s="5">
        <v>1.3926476979637569E-2</v>
      </c>
      <c r="DO29" s="4">
        <v>0</v>
      </c>
      <c r="DP29" s="5">
        <v>0</v>
      </c>
      <c r="DQ29" s="5">
        <v>0</v>
      </c>
      <c r="DR29" s="5">
        <v>0</v>
      </c>
      <c r="DS29" s="5">
        <v>0</v>
      </c>
      <c r="DT29" s="4">
        <v>1.2799188892787665E-2</v>
      </c>
      <c r="DU29" s="5">
        <v>6.1343751071594441E-2</v>
      </c>
      <c r="DV29" s="5">
        <v>0.12856216687689243</v>
      </c>
      <c r="DW29" s="5">
        <v>0.2482525991081227</v>
      </c>
      <c r="DX29" s="5">
        <v>0</v>
      </c>
      <c r="DY29" s="5">
        <v>0</v>
      </c>
      <c r="EA29" s="3" t="s">
        <v>159</v>
      </c>
      <c r="EB29" s="3" t="s">
        <v>134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1.0438499316821021E-2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4">
        <v>2.3419739280704133E-3</v>
      </c>
      <c r="ET29" s="5">
        <v>3.1608988163678464E-2</v>
      </c>
      <c r="EU29" s="5">
        <v>0.12481780569100007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4">
        <v>1.1668435681482455E-2</v>
      </c>
      <c r="FE29" s="5">
        <v>4.9975160778852432E-2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7.1249880101820817E-2</v>
      </c>
      <c r="FO29" s="5">
        <v>0.73272838404759333</v>
      </c>
      <c r="FP29" s="5">
        <v>0</v>
      </c>
      <c r="FZ29" s="3" t="s">
        <v>159</v>
      </c>
      <c r="GA29" s="5">
        <v>0</v>
      </c>
      <c r="GB29" s="5">
        <v>0</v>
      </c>
      <c r="GC29" s="4">
        <v>1.7066337699659182E-3</v>
      </c>
      <c r="GD29" s="5">
        <v>8.9869204121370297E-2</v>
      </c>
      <c r="GE29" s="5">
        <v>0.24123613396324353</v>
      </c>
      <c r="GF29" s="5">
        <v>0.23887917389975541</v>
      </c>
      <c r="GG29" s="5">
        <v>0.12404953566743608</v>
      </c>
      <c r="GH29" s="5">
        <v>1.3424400378131343E-2</v>
      </c>
      <c r="GI29" s="5">
        <v>0</v>
      </c>
      <c r="GJ29" s="5">
        <v>0</v>
      </c>
      <c r="GK29" s="4">
        <v>0</v>
      </c>
      <c r="GL29" s="5">
        <v>5.4076766098467869E-3</v>
      </c>
      <c r="GM29" s="5">
        <v>0.11021278036548346</v>
      </c>
      <c r="GN29" s="5">
        <v>0.31910233133669946</v>
      </c>
      <c r="GO29" s="5">
        <v>0.41815099623930529</v>
      </c>
      <c r="GP29" s="5">
        <v>0.41497351387219611</v>
      </c>
      <c r="GQ29" s="5">
        <v>0.31696039798101217</v>
      </c>
      <c r="GR29" s="5">
        <v>0.12979091406430895</v>
      </c>
      <c r="GS29" s="5">
        <v>7.0709865545428175E-3</v>
      </c>
      <c r="GT29" s="4">
        <v>0</v>
      </c>
      <c r="GU29" s="4">
        <v>0</v>
      </c>
      <c r="GV29" s="5">
        <v>1.3400683394646656E-2</v>
      </c>
      <c r="GW29" s="5">
        <v>0.13996582105318633</v>
      </c>
      <c r="GX29" s="5">
        <v>0.34373231472847471</v>
      </c>
      <c r="GY29" s="5">
        <v>0.45295663239725847</v>
      </c>
      <c r="GZ29" s="5">
        <v>0.45044626613753602</v>
      </c>
      <c r="HA29" s="5">
        <v>0.34642206504030398</v>
      </c>
      <c r="HB29" s="5">
        <v>0.17597992747210145</v>
      </c>
      <c r="HC29" s="5">
        <v>2.1756423008252292E-2</v>
      </c>
      <c r="HD29" s="4">
        <v>0</v>
      </c>
      <c r="HE29" s="5">
        <v>0</v>
      </c>
      <c r="HF29" s="4">
        <v>6.4248737849718982E-6</v>
      </c>
      <c r="HG29" s="5">
        <v>2.7921961141114445E-2</v>
      </c>
      <c r="HH29" s="5">
        <v>0.16984559154617415</v>
      </c>
      <c r="HI29" s="5">
        <v>0.29573128742360477</v>
      </c>
      <c r="HJ29" s="5">
        <v>0.2974445622400293</v>
      </c>
      <c r="HK29" s="5">
        <v>0.17488867858158547</v>
      </c>
      <c r="HL29" s="5">
        <v>3.2030519055067146E-2</v>
      </c>
      <c r="HM29" s="4">
        <v>1.0097178789601194E-4</v>
      </c>
      <c r="HN29" s="5">
        <v>0</v>
      </c>
      <c r="HP29" s="3" t="s">
        <v>159</v>
      </c>
      <c r="HQ29" s="3" t="s">
        <v>140</v>
      </c>
      <c r="HR29" s="3" t="s">
        <v>141</v>
      </c>
      <c r="HS29" s="5">
        <v>0.37401904143023834</v>
      </c>
    </row>
    <row r="30" spans="2:227" x14ac:dyDescent="0.45">
      <c r="B30" s="6" t="s">
        <v>160</v>
      </c>
      <c r="C30" s="6" t="s">
        <v>131</v>
      </c>
      <c r="D30" s="8">
        <v>0</v>
      </c>
      <c r="E30" s="8">
        <v>0</v>
      </c>
      <c r="F30" s="8">
        <v>0.95555555555555571</v>
      </c>
      <c r="G30" s="8">
        <v>0.50072251637571807</v>
      </c>
      <c r="H30" s="8">
        <v>0.31752246385262584</v>
      </c>
      <c r="I30" s="8">
        <v>0.32029082310499823</v>
      </c>
      <c r="J30" s="8">
        <v>0.421674751380959</v>
      </c>
      <c r="K30" s="8">
        <v>0.82485058735513417</v>
      </c>
      <c r="L30" s="8">
        <v>0</v>
      </c>
      <c r="M30" s="8">
        <v>0</v>
      </c>
      <c r="N30" s="8">
        <v>0</v>
      </c>
      <c r="O30" s="8">
        <v>0.70940826802985757</v>
      </c>
      <c r="P30" s="8">
        <v>0.3576330281873929</v>
      </c>
      <c r="Q30" s="8">
        <v>0.22753378490742229</v>
      </c>
      <c r="R30" s="8">
        <v>0.20104344849895475</v>
      </c>
      <c r="S30" s="8">
        <v>0.18248394523303008</v>
      </c>
      <c r="T30" s="8">
        <v>0.18405489058477728</v>
      </c>
      <c r="U30" s="8">
        <v>0.26296541144184526</v>
      </c>
      <c r="V30" s="8">
        <v>0.59446808591700739</v>
      </c>
      <c r="W30" s="8">
        <v>0</v>
      </c>
      <c r="X30" s="8">
        <v>0</v>
      </c>
      <c r="Y30" s="8">
        <v>0.45453525244902121</v>
      </c>
      <c r="Z30" s="8">
        <v>0.24306992060532021</v>
      </c>
      <c r="AA30" s="8">
        <v>0.16123043165392043</v>
      </c>
      <c r="AB30" s="8">
        <v>0.15132611124592993</v>
      </c>
      <c r="AC30" s="8">
        <v>0.14553459909325123</v>
      </c>
      <c r="AD30" s="8">
        <v>0.15393916356389997</v>
      </c>
      <c r="AE30" s="8">
        <v>0.19797248576660847</v>
      </c>
      <c r="AF30" s="8">
        <v>0.3475754472985868</v>
      </c>
      <c r="AG30" s="8">
        <v>0.88607414925739247</v>
      </c>
      <c r="AH30" s="8">
        <v>0</v>
      </c>
      <c r="AI30" s="8">
        <v>0.99450549450549441</v>
      </c>
      <c r="AJ30" s="8">
        <v>0.60363067649715318</v>
      </c>
      <c r="AK30" s="8">
        <v>0.29096668363259087</v>
      </c>
      <c r="AL30" s="8">
        <v>0.22473751415886603</v>
      </c>
      <c r="AM30" s="8">
        <v>0.22442925096405392</v>
      </c>
      <c r="AN30" s="8">
        <v>0.28131960168998543</v>
      </c>
      <c r="AO30" s="8">
        <v>0.61753532705446668</v>
      </c>
      <c r="AP30" s="8">
        <v>0.9502230985333987</v>
      </c>
      <c r="AQ30" s="8">
        <v>0</v>
      </c>
      <c r="AS30" s="6" t="s">
        <v>160</v>
      </c>
      <c r="AT30" s="6" t="s">
        <v>132</v>
      </c>
      <c r="AU30" s="8">
        <v>0</v>
      </c>
      <c r="AV30" s="7">
        <v>0</v>
      </c>
      <c r="AW30" s="8">
        <v>0.91308641975308646</v>
      </c>
      <c r="AX30" s="8">
        <v>0.33975908421213685</v>
      </c>
      <c r="AY30" s="8">
        <v>0.19568547196411276</v>
      </c>
      <c r="AZ30" s="8">
        <v>0.11153616082703761</v>
      </c>
      <c r="BA30" s="8">
        <v>5.0722799093200717E-2</v>
      </c>
      <c r="BB30" s="8">
        <v>0.14873226613836635</v>
      </c>
      <c r="BC30" s="8">
        <v>0</v>
      </c>
      <c r="BD30" s="8">
        <v>0</v>
      </c>
      <c r="BE30" s="8">
        <v>0</v>
      </c>
      <c r="BF30" s="8">
        <v>0.55750025966828087</v>
      </c>
      <c r="BG30" s="8">
        <v>0.22672252019319455</v>
      </c>
      <c r="BH30" s="8">
        <v>0.11980430824309506</v>
      </c>
      <c r="BI30" s="8">
        <v>8.1536196888884166E-2</v>
      </c>
      <c r="BJ30" s="8">
        <v>3.500560902411836E-2</v>
      </c>
      <c r="BK30" s="8">
        <v>1.9559639880413739E-2</v>
      </c>
      <c r="BL30" s="7">
        <v>5.5953930824034402E-2</v>
      </c>
      <c r="BM30" s="8">
        <v>0.24910074945618429</v>
      </c>
      <c r="BN30" s="8">
        <v>0</v>
      </c>
      <c r="BO30" s="8">
        <v>0</v>
      </c>
      <c r="BP30" s="8">
        <v>0.31729941581914867</v>
      </c>
      <c r="BQ30" s="8">
        <v>0.15419786820373951</v>
      </c>
      <c r="BR30" s="8">
        <v>9.1505827273120149E-2</v>
      </c>
      <c r="BS30" s="8">
        <v>7.939379560382176E-2</v>
      </c>
      <c r="BT30" s="7">
        <v>3.1813011283843881E-2</v>
      </c>
      <c r="BU30" s="8">
        <v>1.6043958691533834E-2</v>
      </c>
      <c r="BV30" s="8">
        <v>3.7077092359536108E-2</v>
      </c>
      <c r="BW30" s="8">
        <v>0.16707784152367447</v>
      </c>
      <c r="BX30" s="8">
        <v>0.79895167161020952</v>
      </c>
      <c r="BY30" s="8">
        <v>0</v>
      </c>
      <c r="BZ30" s="7">
        <v>0.98904117860161822</v>
      </c>
      <c r="CA30" s="7">
        <v>0.44804675650322451</v>
      </c>
      <c r="CB30" s="8">
        <v>0.18863504762727887</v>
      </c>
      <c r="CC30" s="8">
        <v>0.1214242523863152</v>
      </c>
      <c r="CD30" s="8">
        <v>6.3845286543050092E-2</v>
      </c>
      <c r="CE30" s="8">
        <v>4.9561703641011791E-2</v>
      </c>
      <c r="CF30" s="7">
        <v>0.1577551858668281</v>
      </c>
      <c r="CG30" s="8">
        <v>0.2720924286146012</v>
      </c>
      <c r="CH30" s="8">
        <v>0</v>
      </c>
      <c r="CJ30" s="6" t="s">
        <v>160</v>
      </c>
      <c r="CK30" s="6" t="s">
        <v>133</v>
      </c>
      <c r="CL30" s="8">
        <v>0</v>
      </c>
      <c r="CM30" s="8">
        <v>0</v>
      </c>
      <c r="CN30" s="8">
        <v>0</v>
      </c>
      <c r="CO30" s="8">
        <v>0</v>
      </c>
      <c r="CP30" s="7">
        <v>0</v>
      </c>
      <c r="CQ30" s="8">
        <v>8.5979992523395096E-2</v>
      </c>
      <c r="CR30" s="8">
        <v>0.2365723369827144</v>
      </c>
      <c r="CS30" s="8">
        <v>0.53876797328070891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4.6186948257706945E-3</v>
      </c>
      <c r="CZ30" s="8">
        <v>2.7206602929939497E-2</v>
      </c>
      <c r="DA30" s="8">
        <v>6.6010098526296357E-2</v>
      </c>
      <c r="DB30" s="8">
        <v>7.1958687318516901E-2</v>
      </c>
      <c r="DC30" s="8">
        <v>7.0094116804347933E-2</v>
      </c>
      <c r="DD30" s="8">
        <v>2.3077095547430138E-2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4.3051162656689351E-3</v>
      </c>
      <c r="DK30" s="8">
        <v>4.769140722751513E-2</v>
      </c>
      <c r="DL30" s="8">
        <v>7.1468011274704479E-2</v>
      </c>
      <c r="DM30" s="8">
        <v>8.0199434901403771E-2</v>
      </c>
      <c r="DN30" s="8">
        <v>1.6040322465024879E-2</v>
      </c>
      <c r="DO30" s="7">
        <v>0</v>
      </c>
      <c r="DP30" s="8">
        <v>0</v>
      </c>
      <c r="DQ30" s="8">
        <v>0</v>
      </c>
      <c r="DR30" s="8">
        <v>0</v>
      </c>
      <c r="DS30" s="8">
        <v>0</v>
      </c>
      <c r="DT30" s="7">
        <v>5.0934453792443766E-3</v>
      </c>
      <c r="DU30" s="8">
        <v>7.1484939370846504E-2</v>
      </c>
      <c r="DV30" s="8">
        <v>0.12937872180538143</v>
      </c>
      <c r="DW30" s="8">
        <v>0.27384551706207322</v>
      </c>
      <c r="DX30" s="8">
        <v>0.21748728280247609</v>
      </c>
      <c r="DY30" s="8">
        <v>0</v>
      </c>
      <c r="EA30" s="6" t="s">
        <v>160</v>
      </c>
      <c r="EB30" s="6" t="s">
        <v>134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1.1528198017663941E-2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7">
        <v>6.0994237132660657E-3</v>
      </c>
      <c r="ET30" s="8">
        <v>3.7714439685932868E-2</v>
      </c>
      <c r="EU30" s="8">
        <v>0.15541418539247148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7">
        <v>1.8993893534429921E-3</v>
      </c>
      <c r="FE30" s="8">
        <v>4.3013380252815092E-2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3.4649542335302909E-2</v>
      </c>
      <c r="FO30" s="8">
        <v>0.41742062743416319</v>
      </c>
      <c r="FP30" s="8">
        <v>0</v>
      </c>
      <c r="FZ30" s="6" t="s">
        <v>160</v>
      </c>
      <c r="GA30" s="8">
        <v>0</v>
      </c>
      <c r="GB30" s="8">
        <v>0</v>
      </c>
      <c r="GC30" s="7">
        <v>1.6240143472867254E-3</v>
      </c>
      <c r="GD30" s="8">
        <v>7.5263297451951289E-2</v>
      </c>
      <c r="GE30" s="8">
        <v>0.21186750253107331</v>
      </c>
      <c r="GF30" s="8">
        <v>0.22251746369958789</v>
      </c>
      <c r="GG30" s="8">
        <v>0.11877445437282397</v>
      </c>
      <c r="GH30" s="8">
        <v>1.4587501849946276E-2</v>
      </c>
      <c r="GI30" s="8">
        <v>0</v>
      </c>
      <c r="GJ30" s="8">
        <v>0</v>
      </c>
      <c r="GK30" s="7">
        <v>0</v>
      </c>
      <c r="GL30" s="8">
        <v>5.5183746123069911E-3</v>
      </c>
      <c r="GM30" s="8">
        <v>9.9659487714695322E-2</v>
      </c>
      <c r="GN30" s="8">
        <v>0.30161684044003356</v>
      </c>
      <c r="GO30" s="8">
        <v>0.41412416495580262</v>
      </c>
      <c r="GP30" s="8">
        <v>0.42991503902283629</v>
      </c>
      <c r="GQ30" s="8">
        <v>0.33851552447728134</v>
      </c>
      <c r="GR30" s="8">
        <v>0.14834015340402579</v>
      </c>
      <c r="GS30" s="8">
        <v>9.199824423702832E-3</v>
      </c>
      <c r="GT30" s="7">
        <v>0</v>
      </c>
      <c r="GU30" s="7">
        <v>0</v>
      </c>
      <c r="GV30" s="8">
        <v>1.3373370114726333E-2</v>
      </c>
      <c r="GW30" s="8">
        <v>0.13184857611348302</v>
      </c>
      <c r="GX30" s="8">
        <v>0.3266351079124567</v>
      </c>
      <c r="GY30" s="8">
        <v>0.43545916574270865</v>
      </c>
      <c r="GZ30" s="8">
        <v>0.44915722332974189</v>
      </c>
      <c r="HA30" s="8">
        <v>0.35235149015422373</v>
      </c>
      <c r="HB30" s="8">
        <v>0.18161266042473764</v>
      </c>
      <c r="HC30" s="8">
        <v>2.6067847998762852E-2</v>
      </c>
      <c r="HD30" s="7">
        <v>5.5772096371976487E-5</v>
      </c>
      <c r="HE30" s="8">
        <v>0</v>
      </c>
      <c r="HF30" s="7">
        <v>0</v>
      </c>
      <c r="HG30" s="8">
        <v>2.21907808029293E-2</v>
      </c>
      <c r="HH30" s="8">
        <v>0.16023760216036312</v>
      </c>
      <c r="HI30" s="8">
        <v>0.28666672025609913</v>
      </c>
      <c r="HJ30" s="8">
        <v>0.27750206591757526</v>
      </c>
      <c r="HK30" s="8">
        <v>0.16558874883245098</v>
      </c>
      <c r="HL30" s="8">
        <v>3.21728957431104E-2</v>
      </c>
      <c r="HM30" s="7">
        <v>1.1223692554444508E-4</v>
      </c>
      <c r="HN30" s="8">
        <v>0</v>
      </c>
      <c r="HP30" s="6" t="s">
        <v>160</v>
      </c>
      <c r="HQ30" s="6" t="s">
        <v>140</v>
      </c>
      <c r="HR30" s="6" t="s">
        <v>141</v>
      </c>
      <c r="HS30" s="8">
        <v>0.41018314693038344</v>
      </c>
    </row>
    <row r="31" spans="2:227" x14ac:dyDescent="0.45">
      <c r="B31" s="3" t="s">
        <v>161</v>
      </c>
      <c r="C31" s="3" t="s">
        <v>131</v>
      </c>
      <c r="D31" s="5">
        <v>0</v>
      </c>
      <c r="E31" s="5">
        <v>0</v>
      </c>
      <c r="F31" s="5">
        <v>0.93489661640937194</v>
      </c>
      <c r="G31" s="5">
        <v>0.41046138585533848</v>
      </c>
      <c r="H31" s="5">
        <v>0.26766557693394899</v>
      </c>
      <c r="I31" s="5">
        <v>0.25703050795385929</v>
      </c>
      <c r="J31" s="5">
        <v>0.35089178592957831</v>
      </c>
      <c r="K31" s="5">
        <v>0.78344437499511244</v>
      </c>
      <c r="L31" s="5">
        <v>0</v>
      </c>
      <c r="M31" s="5">
        <v>0</v>
      </c>
      <c r="N31" s="5">
        <v>0</v>
      </c>
      <c r="O31" s="5">
        <v>0.7369226538140472</v>
      </c>
      <c r="P31" s="5">
        <v>0.33938818437215801</v>
      </c>
      <c r="Q31" s="5">
        <v>0.19695767090331484</v>
      </c>
      <c r="R31" s="5">
        <v>0.16498559682037475</v>
      </c>
      <c r="S31" s="5">
        <v>0.16611749094098341</v>
      </c>
      <c r="T31" s="5">
        <v>0.18148263832170222</v>
      </c>
      <c r="U31" s="5">
        <v>0.25879124722585289</v>
      </c>
      <c r="V31" s="5">
        <v>0.60312800204475303</v>
      </c>
      <c r="W31" s="5">
        <v>0</v>
      </c>
      <c r="X31" s="5">
        <v>0</v>
      </c>
      <c r="Y31" s="5">
        <v>0.52448704191703188</v>
      </c>
      <c r="Z31" s="5">
        <v>0.24160630937906408</v>
      </c>
      <c r="AA31" s="5">
        <v>0.1526899733310326</v>
      </c>
      <c r="AB31" s="5">
        <v>0.13179694423718724</v>
      </c>
      <c r="AC31" s="5">
        <v>0.12458736270445801</v>
      </c>
      <c r="AD31" s="5">
        <v>0.12995609054877574</v>
      </c>
      <c r="AE31" s="5">
        <v>0.18149291274723131</v>
      </c>
      <c r="AF31" s="5">
        <v>0.35645450518494215</v>
      </c>
      <c r="AG31" s="5">
        <v>0.95201460678432759</v>
      </c>
      <c r="AH31" s="5">
        <v>0</v>
      </c>
      <c r="AI31" s="5">
        <v>0</v>
      </c>
      <c r="AJ31" s="5">
        <v>0.58391011073022592</v>
      </c>
      <c r="AK31" s="5">
        <v>0.27619722878420105</v>
      </c>
      <c r="AL31" s="5">
        <v>0.20986694776009099</v>
      </c>
      <c r="AM31" s="5">
        <v>0.20091101250303944</v>
      </c>
      <c r="AN31" s="5">
        <v>0.27343044297429986</v>
      </c>
      <c r="AO31" s="5">
        <v>0.57722631858770468</v>
      </c>
      <c r="AP31" s="5">
        <v>0.94502108127130746</v>
      </c>
      <c r="AQ31" s="5">
        <v>0</v>
      </c>
      <c r="AS31" s="3" t="s">
        <v>161</v>
      </c>
      <c r="AT31" s="3" t="s">
        <v>132</v>
      </c>
      <c r="AU31" s="5">
        <v>0</v>
      </c>
      <c r="AV31" s="4">
        <v>0</v>
      </c>
      <c r="AW31" s="5">
        <v>0.87776404540657693</v>
      </c>
      <c r="AX31" s="5">
        <v>0.27921344054848768</v>
      </c>
      <c r="AY31" s="5">
        <v>0.15496237255406514</v>
      </c>
      <c r="AZ31" s="5">
        <v>0.11184123734131807</v>
      </c>
      <c r="BA31" s="5">
        <v>4.298580087746131E-2</v>
      </c>
      <c r="BB31" s="5">
        <v>8.6886698100276383E-2</v>
      </c>
      <c r="BC31" s="5">
        <v>0</v>
      </c>
      <c r="BD31" s="5">
        <v>0</v>
      </c>
      <c r="BE31" s="5">
        <v>0</v>
      </c>
      <c r="BF31" s="5">
        <v>0.59622006142054396</v>
      </c>
      <c r="BG31" s="5">
        <v>0.22163595773071598</v>
      </c>
      <c r="BH31" s="5">
        <v>0.11155809414970658</v>
      </c>
      <c r="BI31" s="5">
        <v>7.3705558127290849E-2</v>
      </c>
      <c r="BJ31" s="5">
        <v>2.7284840991254413E-2</v>
      </c>
      <c r="BK31" s="5">
        <v>2.2971526231132359E-2</v>
      </c>
      <c r="BL31" s="4">
        <v>3.751835014299184E-2</v>
      </c>
      <c r="BM31" s="5">
        <v>0.21939799050888678</v>
      </c>
      <c r="BN31" s="5">
        <v>0</v>
      </c>
      <c r="BO31" s="5">
        <v>0</v>
      </c>
      <c r="BP31" s="5">
        <v>0.35727336978758151</v>
      </c>
      <c r="BQ31" s="5">
        <v>0.15598407620749122</v>
      </c>
      <c r="BR31" s="5">
        <v>8.3529664659528574E-2</v>
      </c>
      <c r="BS31" s="5">
        <v>7.0255534612232412E-2</v>
      </c>
      <c r="BT31" s="4">
        <v>1.9151645659423001E-2</v>
      </c>
      <c r="BU31" s="5">
        <v>1.9063123551238181E-2</v>
      </c>
      <c r="BV31" s="5">
        <v>4.4456106281301547E-2</v>
      </c>
      <c r="BW31" s="5">
        <v>0.18792285097408276</v>
      </c>
      <c r="BX31" s="5">
        <v>0.91752132392982289</v>
      </c>
      <c r="BY31" s="5">
        <v>0</v>
      </c>
      <c r="BZ31" s="4">
        <v>0</v>
      </c>
      <c r="CA31" s="4">
        <v>0.43046219053860441</v>
      </c>
      <c r="CB31" s="5">
        <v>0.16600674239958804</v>
      </c>
      <c r="CC31" s="5">
        <v>0.10094809325263059</v>
      </c>
      <c r="CD31" s="5">
        <v>3.8973658916363028E-2</v>
      </c>
      <c r="CE31" s="5">
        <v>5.62732624850402E-2</v>
      </c>
      <c r="CF31" s="4">
        <v>0.11264481257328</v>
      </c>
      <c r="CG31" s="5">
        <v>0</v>
      </c>
      <c r="CH31" s="5">
        <v>0</v>
      </c>
      <c r="CJ31" s="3" t="s">
        <v>161</v>
      </c>
      <c r="CK31" s="3" t="s">
        <v>133</v>
      </c>
      <c r="CL31" s="5">
        <v>0</v>
      </c>
      <c r="CM31" s="5">
        <v>0</v>
      </c>
      <c r="CN31" s="5">
        <v>0</v>
      </c>
      <c r="CO31" s="5">
        <v>0</v>
      </c>
      <c r="CP31" s="4">
        <v>0</v>
      </c>
      <c r="CQ31" s="5">
        <v>4.6835685401137861E-2</v>
      </c>
      <c r="CR31" s="5">
        <v>0.18694465982502884</v>
      </c>
      <c r="CS31" s="5">
        <v>0.56543119125276942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1.9642939473516439E-2</v>
      </c>
      <c r="DA31" s="5">
        <v>6.3916009162344009E-2</v>
      </c>
      <c r="DB31" s="5">
        <v>7.5399214818585081E-2</v>
      </c>
      <c r="DC31" s="5">
        <v>9.6561993723997541E-2</v>
      </c>
      <c r="DD31" s="5">
        <v>7.4465615390280723E-2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4.8625257202801364E-2</v>
      </c>
      <c r="DL31" s="5">
        <v>5.3250645601771993E-2</v>
      </c>
      <c r="DM31" s="5">
        <v>7.1104487400124025E-2</v>
      </c>
      <c r="DN31" s="5">
        <v>2.3953911488758157E-2</v>
      </c>
      <c r="DO31" s="4">
        <v>0</v>
      </c>
      <c r="DP31" s="5">
        <v>0</v>
      </c>
      <c r="DQ31" s="5">
        <v>0</v>
      </c>
      <c r="DR31" s="5">
        <v>0</v>
      </c>
      <c r="DS31" s="5">
        <v>0</v>
      </c>
      <c r="DT31" s="4">
        <v>5.9740953867906755E-3</v>
      </c>
      <c r="DU31" s="5">
        <v>6.4444742194552374E-2</v>
      </c>
      <c r="DV31" s="5">
        <v>0.11039507441941071</v>
      </c>
      <c r="DW31" s="5">
        <v>0.24112166834646023</v>
      </c>
      <c r="DX31" s="5">
        <v>0.14851635775943153</v>
      </c>
      <c r="DY31" s="5">
        <v>0</v>
      </c>
      <c r="EA31" s="3" t="s">
        <v>161</v>
      </c>
      <c r="EB31" s="3" t="s">
        <v>134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4">
        <v>0</v>
      </c>
      <c r="ET31" s="5">
        <v>3.258254411016942E-2</v>
      </c>
      <c r="EU31" s="5">
        <v>0.1556373532014011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4">
        <v>0</v>
      </c>
      <c r="FE31" s="5">
        <v>1.8276562669783364E-2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5.6320564048577604E-2</v>
      </c>
      <c r="FO31" s="5">
        <v>0.74542997383761667</v>
      </c>
      <c r="FP31" s="5">
        <v>0</v>
      </c>
      <c r="FZ31" s="3" t="s">
        <v>161</v>
      </c>
      <c r="GA31" s="5">
        <v>0</v>
      </c>
      <c r="GB31" s="5">
        <v>0</v>
      </c>
      <c r="GC31" s="4">
        <v>1.8707930558538289E-3</v>
      </c>
      <c r="GD31" s="5">
        <v>9.5438321798703055E-2</v>
      </c>
      <c r="GE31" s="5">
        <v>0.24528362218576008</v>
      </c>
      <c r="GF31" s="5">
        <v>0.25788278795476899</v>
      </c>
      <c r="GG31" s="5">
        <v>0.14353239725396058</v>
      </c>
      <c r="GH31" s="5">
        <v>1.5832626365536222E-2</v>
      </c>
      <c r="GI31" s="5">
        <v>0</v>
      </c>
      <c r="GJ31" s="5">
        <v>0</v>
      </c>
      <c r="GK31" s="4">
        <v>0</v>
      </c>
      <c r="GL31" s="5">
        <v>4.4080088255585128E-3</v>
      </c>
      <c r="GM31" s="5">
        <v>0.10600611427453899</v>
      </c>
      <c r="GN31" s="5">
        <v>0.32931182477507426</v>
      </c>
      <c r="GO31" s="5">
        <v>0.45312703500004092</v>
      </c>
      <c r="GP31" s="5">
        <v>0.45059421029754376</v>
      </c>
      <c r="GQ31" s="5">
        <v>0.34651229203585898</v>
      </c>
      <c r="GR31" s="5">
        <v>0.14805880544498923</v>
      </c>
      <c r="GS31" s="5">
        <v>8.008981479395676E-3</v>
      </c>
      <c r="GT31" s="4">
        <v>0</v>
      </c>
      <c r="GU31" s="4">
        <v>0</v>
      </c>
      <c r="GV31" s="5">
        <v>1.0448240632785518E-2</v>
      </c>
      <c r="GW31" s="5">
        <v>0.13735529855301526</v>
      </c>
      <c r="GX31" s="5">
        <v>0.36235544510734152</v>
      </c>
      <c r="GY31" s="5">
        <v>0.50114879967474713</v>
      </c>
      <c r="GZ31" s="5">
        <v>0.51474027930903643</v>
      </c>
      <c r="HA31" s="5">
        <v>0.41648688439238013</v>
      </c>
      <c r="HB31" s="5">
        <v>0.20575150474786258</v>
      </c>
      <c r="HC31" s="5">
        <v>2.4105168121943056E-2</v>
      </c>
      <c r="HD31" s="4">
        <v>0</v>
      </c>
      <c r="HE31" s="5">
        <v>0</v>
      </c>
      <c r="HF31" s="4">
        <v>0</v>
      </c>
      <c r="HG31" s="5">
        <v>2.7215302425360691E-2</v>
      </c>
      <c r="HH31" s="5">
        <v>0.18342453286482582</v>
      </c>
      <c r="HI31" s="5">
        <v>0.3185669552740632</v>
      </c>
      <c r="HJ31" s="5">
        <v>0.3258675504682329</v>
      </c>
      <c r="HK31" s="5">
        <v>0.20225706923248218</v>
      </c>
      <c r="HL31" s="5">
        <v>4.0987332195228536E-2</v>
      </c>
      <c r="HM31" s="4">
        <v>1.9254106905938921E-4</v>
      </c>
      <c r="HN31" s="5">
        <v>0</v>
      </c>
      <c r="HP31" s="3" t="s">
        <v>161</v>
      </c>
      <c r="HQ31" s="3" t="s">
        <v>140</v>
      </c>
      <c r="HR31" s="3" t="s">
        <v>141</v>
      </c>
      <c r="HS31" s="5">
        <v>0.41438510261479278</v>
      </c>
    </row>
    <row r="32" spans="2:227" x14ac:dyDescent="0.45">
      <c r="B32" s="6" t="s">
        <v>162</v>
      </c>
      <c r="C32" s="6" t="s">
        <v>131</v>
      </c>
      <c r="D32" s="8">
        <v>0</v>
      </c>
      <c r="E32" s="8">
        <v>0</v>
      </c>
      <c r="F32" s="8">
        <v>0.97777777777777775</v>
      </c>
      <c r="G32" s="8">
        <v>0.5674607459177976</v>
      </c>
      <c r="H32" s="8">
        <v>0.34160947106295214</v>
      </c>
      <c r="I32" s="8">
        <v>0.32170918819400668</v>
      </c>
      <c r="J32" s="8">
        <v>0.51072575755153815</v>
      </c>
      <c r="K32" s="8">
        <v>0.90339316744181319</v>
      </c>
      <c r="L32" s="8">
        <v>0</v>
      </c>
      <c r="M32" s="8">
        <v>0</v>
      </c>
      <c r="N32" s="8">
        <v>0.98260869565217424</v>
      </c>
      <c r="O32" s="8">
        <v>0.61625931067527462</v>
      </c>
      <c r="P32" s="8">
        <v>0.33606099840381592</v>
      </c>
      <c r="Q32" s="8">
        <v>0.19744163498927075</v>
      </c>
      <c r="R32" s="8">
        <v>0.15072595617267703</v>
      </c>
      <c r="S32" s="8">
        <v>0.14280822552540481</v>
      </c>
      <c r="T32" s="8">
        <v>0.1711217800365106</v>
      </c>
      <c r="U32" s="8">
        <v>0.28695798576900367</v>
      </c>
      <c r="V32" s="8">
        <v>0.58241161905481253</v>
      </c>
      <c r="W32" s="8">
        <v>0.96376811594202894</v>
      </c>
      <c r="X32" s="8">
        <v>0.91998714012790594</v>
      </c>
      <c r="Y32" s="8">
        <v>0.34034377986580261</v>
      </c>
      <c r="Z32" s="8">
        <v>0.2186974567131266</v>
      </c>
      <c r="AA32" s="8">
        <v>0.20328274917188346</v>
      </c>
      <c r="AB32" s="8">
        <v>0.17777255734658651</v>
      </c>
      <c r="AC32" s="8">
        <v>0.17110695251032568</v>
      </c>
      <c r="AD32" s="8">
        <v>0.18138985593672685</v>
      </c>
      <c r="AE32" s="8">
        <v>0.19923859962613946</v>
      </c>
      <c r="AF32" s="8">
        <v>0.31061030907984877</v>
      </c>
      <c r="AG32" s="8">
        <v>0.81602768354234778</v>
      </c>
      <c r="AH32" s="8">
        <v>0</v>
      </c>
      <c r="AI32" s="8">
        <v>0.98351648351648346</v>
      </c>
      <c r="AJ32" s="8">
        <v>0.64054825532284254</v>
      </c>
      <c r="AK32" s="8">
        <v>0.36117001159199102</v>
      </c>
      <c r="AL32" s="8">
        <v>0.29408389563184767</v>
      </c>
      <c r="AM32" s="8">
        <v>0.30607499725046855</v>
      </c>
      <c r="AN32" s="8">
        <v>0.41758662955260406</v>
      </c>
      <c r="AO32" s="8">
        <v>0.68350396987109319</v>
      </c>
      <c r="AP32" s="8">
        <v>0.95604395604395609</v>
      </c>
      <c r="AQ32" s="8">
        <v>0</v>
      </c>
      <c r="AS32" s="6" t="s">
        <v>162</v>
      </c>
      <c r="AT32" s="6" t="s">
        <v>132</v>
      </c>
      <c r="AU32" s="8">
        <v>0</v>
      </c>
      <c r="AV32" s="7">
        <v>0</v>
      </c>
      <c r="AW32" s="8">
        <v>0.95604938271604945</v>
      </c>
      <c r="AX32" s="8">
        <v>0.42026857146641428</v>
      </c>
      <c r="AY32" s="8">
        <v>0.22518442015514101</v>
      </c>
      <c r="AZ32" s="8">
        <v>0.1328034640076379</v>
      </c>
      <c r="BA32" s="8">
        <v>7.144449718684473E-2</v>
      </c>
      <c r="BB32" s="8">
        <v>9.5539636727806604E-2</v>
      </c>
      <c r="BC32" s="8">
        <v>0</v>
      </c>
      <c r="BD32" s="8">
        <v>0</v>
      </c>
      <c r="BE32" s="8">
        <v>0.96551984877126662</v>
      </c>
      <c r="BF32" s="8">
        <v>0.44555252793017341</v>
      </c>
      <c r="BG32" s="8">
        <v>0.21138097080129259</v>
      </c>
      <c r="BH32" s="8">
        <v>0.10184520828558379</v>
      </c>
      <c r="BI32" s="8">
        <v>4.5211771933094697E-2</v>
      </c>
      <c r="BJ32" s="8">
        <v>3.0014728183110188E-2</v>
      </c>
      <c r="BK32" s="8">
        <v>2.9186313204126544E-2</v>
      </c>
      <c r="BL32" s="7">
        <v>5.7182163091414703E-2</v>
      </c>
      <c r="BM32" s="8">
        <v>0.22933693169036889</v>
      </c>
      <c r="BN32" s="8">
        <v>0.37594530415453259</v>
      </c>
      <c r="BO32" s="8">
        <v>0.85057095984345732</v>
      </c>
      <c r="BP32" s="8">
        <v>0.22213017415889988</v>
      </c>
      <c r="BQ32" s="8">
        <v>0.1406850760666073</v>
      </c>
      <c r="BR32" s="8">
        <v>0.10391039431886814</v>
      </c>
      <c r="BS32" s="8">
        <v>5.8662328913429838E-2</v>
      </c>
      <c r="BT32" s="7">
        <v>2.4916967687101159E-2</v>
      </c>
      <c r="BU32" s="8">
        <v>2.3274980525449469E-2</v>
      </c>
      <c r="BV32" s="8">
        <v>4.1983912515642097E-2</v>
      </c>
      <c r="BW32" s="8">
        <v>0.14457021668961209</v>
      </c>
      <c r="BX32" s="8">
        <v>0.6349356884480446</v>
      </c>
      <c r="BY32" s="8">
        <v>0</v>
      </c>
      <c r="BZ32" s="7">
        <v>0.96730467334862946</v>
      </c>
      <c r="CA32" s="7">
        <v>0.48883040128501343</v>
      </c>
      <c r="CB32" s="8">
        <v>0.23578231112925074</v>
      </c>
      <c r="CC32" s="8">
        <v>0.15569629139587179</v>
      </c>
      <c r="CD32" s="8">
        <v>7.5314741268042176E-2</v>
      </c>
      <c r="CE32" s="8">
        <v>9.7280410705678416E-2</v>
      </c>
      <c r="CF32" s="7">
        <v>0.14550143417086692</v>
      </c>
      <c r="CG32" s="8">
        <v>0.49260401430062345</v>
      </c>
      <c r="CH32" s="8">
        <v>0</v>
      </c>
      <c r="CJ32" s="6" t="s">
        <v>162</v>
      </c>
      <c r="CK32" s="6" t="s">
        <v>133</v>
      </c>
      <c r="CL32" s="8">
        <v>0</v>
      </c>
      <c r="CM32" s="8">
        <v>0</v>
      </c>
      <c r="CN32" s="8">
        <v>0</v>
      </c>
      <c r="CO32" s="8">
        <v>0</v>
      </c>
      <c r="CP32" s="7">
        <v>0</v>
      </c>
      <c r="CQ32" s="8">
        <v>7.5954858743448192E-2</v>
      </c>
      <c r="CR32" s="8">
        <v>0.27993795330067756</v>
      </c>
      <c r="CS32" s="8">
        <v>0.72907701914743606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7.8866574588415134E-3</v>
      </c>
      <c r="CZ32" s="8">
        <v>2.8794103803181915E-2</v>
      </c>
      <c r="DA32" s="8">
        <v>3.8022871109190476E-2</v>
      </c>
      <c r="DB32" s="8">
        <v>5.5822206239981451E-2</v>
      </c>
      <c r="DC32" s="8">
        <v>8.5007430402945103E-2</v>
      </c>
      <c r="DD32" s="8">
        <v>9.3452372996323863E-2</v>
      </c>
      <c r="DE32" s="8">
        <v>0.15319048036430033</v>
      </c>
      <c r="DF32" s="8">
        <v>0</v>
      </c>
      <c r="DG32" s="8">
        <v>0</v>
      </c>
      <c r="DH32" s="8">
        <v>0</v>
      </c>
      <c r="DI32" s="8">
        <v>1.1705512998280163E-2</v>
      </c>
      <c r="DJ32" s="8">
        <v>4.1085785884724793E-2</v>
      </c>
      <c r="DK32" s="8">
        <v>6.0609970941772624E-2</v>
      </c>
      <c r="DL32" s="8">
        <v>5.7213226392235098E-2</v>
      </c>
      <c r="DM32" s="8">
        <v>3.8622848036659774E-2</v>
      </c>
      <c r="DN32" s="8">
        <v>1.6731446643568921E-2</v>
      </c>
      <c r="DO32" s="7">
        <v>2.4765756844056592E-2</v>
      </c>
      <c r="DP32" s="8">
        <v>0</v>
      </c>
      <c r="DQ32" s="8">
        <v>0</v>
      </c>
      <c r="DR32" s="8">
        <v>0</v>
      </c>
      <c r="DS32" s="8">
        <v>0</v>
      </c>
      <c r="DT32" s="7">
        <v>2.2311211110860915E-2</v>
      </c>
      <c r="DU32" s="8">
        <v>0.11568935722051917</v>
      </c>
      <c r="DV32" s="8">
        <v>0.17429324712586469</v>
      </c>
      <c r="DW32" s="8">
        <v>0.24936826342440765</v>
      </c>
      <c r="DX32" s="8">
        <v>0.20292630749490773</v>
      </c>
      <c r="DY32" s="8">
        <v>0</v>
      </c>
      <c r="EA32" s="6" t="s">
        <v>162</v>
      </c>
      <c r="EB32" s="6" t="s">
        <v>134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1.4517406466417126E-3</v>
      </c>
      <c r="ES32" s="7">
        <v>8.3907787536869824E-3</v>
      </c>
      <c r="ET32" s="8">
        <v>3.6768821694348496E-2</v>
      </c>
      <c r="EU32" s="8">
        <v>8.7669854666368036E-2</v>
      </c>
      <c r="EV32" s="8">
        <v>0.40281117296900787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1.7950938501347716E-2</v>
      </c>
      <c r="FD32" s="7">
        <v>4.1555745865916864E-2</v>
      </c>
      <c r="FE32" s="8">
        <v>4.9264093612799896E-2</v>
      </c>
      <c r="FF32" s="8">
        <v>2.7990161671557049E-2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8.8954009824290716E-3</v>
      </c>
      <c r="FN32" s="8">
        <v>0.12911985530949613</v>
      </c>
      <c r="FO32" s="8">
        <v>0.21848972409264664</v>
      </c>
      <c r="FP32" s="8">
        <v>0</v>
      </c>
      <c r="FZ32" s="6" t="s">
        <v>162</v>
      </c>
      <c r="GA32" s="8">
        <v>0</v>
      </c>
      <c r="GB32" s="8">
        <v>0</v>
      </c>
      <c r="GC32" s="7">
        <v>7.9498826680673973E-4</v>
      </c>
      <c r="GD32" s="8">
        <v>4.7811053663406149E-2</v>
      </c>
      <c r="GE32" s="8">
        <v>0.16048630917542847</v>
      </c>
      <c r="GF32" s="8">
        <v>0.18637690320277653</v>
      </c>
      <c r="GG32" s="8">
        <v>8.3994488280612428E-2</v>
      </c>
      <c r="GH32" s="8">
        <v>5.9769345723166044E-3</v>
      </c>
      <c r="GI32" s="8">
        <v>0</v>
      </c>
      <c r="GJ32" s="8">
        <v>0</v>
      </c>
      <c r="GK32" s="7">
        <v>1.3527811102902117E-5</v>
      </c>
      <c r="GL32" s="8">
        <v>9.3388211146965376E-3</v>
      </c>
      <c r="GM32" s="8">
        <v>0.11580781901881426</v>
      </c>
      <c r="GN32" s="8">
        <v>0.34384855961250993</v>
      </c>
      <c r="GO32" s="8">
        <v>0.51751864677253356</v>
      </c>
      <c r="GP32" s="8">
        <v>0.53658977971970023</v>
      </c>
      <c r="GQ32" s="8">
        <v>0.3853180008294757</v>
      </c>
      <c r="GR32" s="8">
        <v>0.14977051098703059</v>
      </c>
      <c r="GS32" s="8">
        <v>1.0548283319457294E-2</v>
      </c>
      <c r="GT32" s="7">
        <v>6.0455758376284571E-5</v>
      </c>
      <c r="GU32" s="7">
        <v>1.8034230512428194E-4</v>
      </c>
      <c r="GV32" s="8">
        <v>2.1466281743765941E-2</v>
      </c>
      <c r="GW32" s="8">
        <v>0.13847653113021599</v>
      </c>
      <c r="GX32" s="8">
        <v>0.30918385788224673</v>
      </c>
      <c r="GY32" s="8">
        <v>0.43766105214765777</v>
      </c>
      <c r="GZ32" s="8">
        <v>0.45988634951629381</v>
      </c>
      <c r="HA32" s="8">
        <v>0.36999377261193211</v>
      </c>
      <c r="HB32" s="8">
        <v>0.19107202011736163</v>
      </c>
      <c r="HC32" s="8">
        <v>3.2348024274170169E-2</v>
      </c>
      <c r="HD32" s="7">
        <v>8.5258201797912834E-4</v>
      </c>
      <c r="HE32" s="8">
        <v>0</v>
      </c>
      <c r="HF32" s="7">
        <v>2.9298811593390424E-5</v>
      </c>
      <c r="HG32" s="8">
        <v>1.9864262569949456E-2</v>
      </c>
      <c r="HH32" s="8">
        <v>0.12246677674150318</v>
      </c>
      <c r="HI32" s="8">
        <v>0.22808999810626809</v>
      </c>
      <c r="HJ32" s="8">
        <v>0.23144910996018406</v>
      </c>
      <c r="HK32" s="8">
        <v>0.12210901965571611</v>
      </c>
      <c r="HL32" s="8">
        <v>2.3167198730563606E-2</v>
      </c>
      <c r="HM32" s="7">
        <v>8.8451765282651306E-5</v>
      </c>
      <c r="HN32" s="8">
        <v>0</v>
      </c>
      <c r="HP32" s="6" t="s">
        <v>162</v>
      </c>
      <c r="HQ32" s="6" t="s">
        <v>140</v>
      </c>
      <c r="HR32" s="6" t="s">
        <v>141</v>
      </c>
      <c r="HS32" s="8">
        <v>0.47489597883540136</v>
      </c>
    </row>
    <row r="33" spans="2:227" x14ac:dyDescent="0.45">
      <c r="B33" s="3" t="s">
        <v>163</v>
      </c>
      <c r="C33" s="3" t="s">
        <v>131</v>
      </c>
      <c r="D33" s="5">
        <v>0.22588886547417594</v>
      </c>
      <c r="E33" s="5">
        <v>0.22751468099950409</v>
      </c>
      <c r="F33" s="5">
        <v>0.22893796025596805</v>
      </c>
      <c r="G33" s="5">
        <v>0.23577877978782946</v>
      </c>
      <c r="H33" s="5">
        <v>0.2479773641707812</v>
      </c>
      <c r="I33" s="5">
        <v>0.24867553542973389</v>
      </c>
      <c r="J33" s="5">
        <v>0.24375096345163078</v>
      </c>
      <c r="K33" s="5">
        <v>0.21351966763927646</v>
      </c>
      <c r="L33" s="5">
        <v>0.20157962520608505</v>
      </c>
      <c r="M33" s="5">
        <v>0.20246944932041808</v>
      </c>
      <c r="N33" s="5">
        <v>0.24193737555409883</v>
      </c>
      <c r="O33" s="5">
        <v>0.23257298031324752</v>
      </c>
      <c r="P33" s="5">
        <v>0.23565727542312448</v>
      </c>
      <c r="Q33" s="5">
        <v>0.24957962314244844</v>
      </c>
      <c r="R33" s="5">
        <v>0.25892734877338874</v>
      </c>
      <c r="S33" s="5">
        <v>0.25493649214998215</v>
      </c>
      <c r="T33" s="5">
        <v>0.24845534490685164</v>
      </c>
      <c r="U33" s="5">
        <v>0.2424743310837448</v>
      </c>
      <c r="V33" s="5">
        <v>0.2484692508672264</v>
      </c>
      <c r="W33" s="5">
        <v>0.25880495898957706</v>
      </c>
      <c r="X33" s="5">
        <v>0.35936238691032996</v>
      </c>
      <c r="Y33" s="5">
        <v>0.36312381398757004</v>
      </c>
      <c r="Z33" s="5">
        <v>0.3587503140541845</v>
      </c>
      <c r="AA33" s="5">
        <v>0.37149413247168778</v>
      </c>
      <c r="AB33" s="5">
        <v>0.39524287337567532</v>
      </c>
      <c r="AC33" s="5">
        <v>0.39361070984693325</v>
      </c>
      <c r="AD33" s="5">
        <v>0.39738720373900532</v>
      </c>
      <c r="AE33" s="5">
        <v>0.38214452268586724</v>
      </c>
      <c r="AF33" s="5">
        <v>0.36498373574971937</v>
      </c>
      <c r="AG33" s="5">
        <v>0.35189386474144879</v>
      </c>
      <c r="AH33" s="5">
        <v>0.21820564245773003</v>
      </c>
      <c r="AI33" s="5">
        <v>0.23835240638415939</v>
      </c>
      <c r="AJ33" s="5">
        <v>0.23676257514555438</v>
      </c>
      <c r="AK33" s="5">
        <v>0.21975114931127843</v>
      </c>
      <c r="AL33" s="5">
        <v>0.21356641792193959</v>
      </c>
      <c r="AM33" s="5">
        <v>0.22031367768092455</v>
      </c>
      <c r="AN33" s="5">
        <v>0.22469137161528119</v>
      </c>
      <c r="AO33" s="5">
        <v>0.23222022594682556</v>
      </c>
      <c r="AP33" s="5">
        <v>0.23043943617942195</v>
      </c>
      <c r="AQ33" s="5">
        <v>0.21905737791898405</v>
      </c>
      <c r="AS33" s="3" t="s">
        <v>163</v>
      </c>
      <c r="AT33" s="3" t="s">
        <v>132</v>
      </c>
      <c r="AU33" s="5">
        <v>5.6260866106521363E-3</v>
      </c>
      <c r="AV33" s="4">
        <v>8.813987516465234E-3</v>
      </c>
      <c r="AW33" s="5">
        <v>1.1250194182576072E-2</v>
      </c>
      <c r="AX33" s="5">
        <v>6.9194237991202761E-3</v>
      </c>
      <c r="AY33" s="5">
        <v>1.0637000932095384E-2</v>
      </c>
      <c r="AZ33" s="5">
        <v>9.6566050873328254E-3</v>
      </c>
      <c r="BA33" s="5">
        <v>6.0992939813071766E-3</v>
      </c>
      <c r="BB33" s="5">
        <v>4.7182884458386786E-3</v>
      </c>
      <c r="BC33" s="5">
        <v>8.6993234035856685E-3</v>
      </c>
      <c r="BD33" s="5">
        <v>1.6319711801920652E-2</v>
      </c>
      <c r="BE33" s="5">
        <v>9.8279631564165346E-3</v>
      </c>
      <c r="BF33" s="5">
        <v>7.876501348920005E-3</v>
      </c>
      <c r="BG33" s="5">
        <v>5.4737927696034937E-3</v>
      </c>
      <c r="BH33" s="5">
        <v>1.2623031990200772E-2</v>
      </c>
      <c r="BI33" s="5">
        <v>1.3439953889146188E-2</v>
      </c>
      <c r="BJ33" s="5">
        <v>5.7394799321167731E-3</v>
      </c>
      <c r="BK33" s="5">
        <v>7.3673352326837603E-3</v>
      </c>
      <c r="BL33" s="4">
        <v>1.4386282962645274E-2</v>
      </c>
      <c r="BM33" s="5">
        <v>1.6897467227984728E-2</v>
      </c>
      <c r="BN33" s="5">
        <v>1.5213647048313825E-2</v>
      </c>
      <c r="BO33" s="5">
        <v>1.6624919431180114E-2</v>
      </c>
      <c r="BP33" s="5">
        <v>2.0404949787951598E-2</v>
      </c>
      <c r="BQ33" s="5">
        <v>2.5146502347642857E-2</v>
      </c>
      <c r="BR33" s="5">
        <v>4.0941233273678844E-2</v>
      </c>
      <c r="BS33" s="5">
        <v>4.4663418258075092E-2</v>
      </c>
      <c r="BT33" s="4">
        <v>2.8210486289099793E-2</v>
      </c>
      <c r="BU33" s="5">
        <v>2.8001950172810351E-2</v>
      </c>
      <c r="BV33" s="5">
        <v>3.8561162842227409E-2</v>
      </c>
      <c r="BW33" s="5">
        <v>4.363827884336674E-2</v>
      </c>
      <c r="BX33" s="5">
        <v>2.2566033438084214E-2</v>
      </c>
      <c r="BY33" s="5">
        <v>1.2360717925233257E-2</v>
      </c>
      <c r="BZ33" s="4">
        <v>1.5933720333859733E-2</v>
      </c>
      <c r="CA33" s="4">
        <v>9.0688374438983657E-3</v>
      </c>
      <c r="CB33" s="5">
        <v>9.6954751544882766E-3</v>
      </c>
      <c r="CC33" s="5">
        <v>1.2320009693501334E-2</v>
      </c>
      <c r="CD33" s="5">
        <v>1.4174488810255698E-2</v>
      </c>
      <c r="CE33" s="5">
        <v>1.3065455060313232E-2</v>
      </c>
      <c r="CF33" s="4">
        <v>1.5554364255983871E-2</v>
      </c>
      <c r="CG33" s="5">
        <v>7.9576126745267428E-3</v>
      </c>
      <c r="CH33" s="5">
        <v>3.9878658304212684E-3</v>
      </c>
      <c r="CJ33" s="3" t="s">
        <v>163</v>
      </c>
      <c r="CK33" s="3" t="s">
        <v>133</v>
      </c>
      <c r="CL33" s="5">
        <v>1.6550237131303311E-2</v>
      </c>
      <c r="CM33" s="5">
        <v>7.1183573251864338E-3</v>
      </c>
      <c r="CN33" s="5">
        <v>5.307530669566198E-3</v>
      </c>
      <c r="CO33" s="5">
        <v>1.4401995750071487E-2</v>
      </c>
      <c r="CP33" s="4">
        <v>1.1877891684426866E-2</v>
      </c>
      <c r="CQ33" s="5">
        <v>1.1027231501650568E-2</v>
      </c>
      <c r="CR33" s="5">
        <v>1.3114993454957397E-2</v>
      </c>
      <c r="CS33" s="5">
        <v>1.0902669134602097E-2</v>
      </c>
      <c r="CT33" s="5">
        <v>9.2105089275804873E-3</v>
      </c>
      <c r="CU33" s="5">
        <v>5.7310869355449625E-3</v>
      </c>
      <c r="CV33" s="5">
        <v>1.6425769695726126E-2</v>
      </c>
      <c r="CW33" s="5">
        <v>1.1213725985145612E-2</v>
      </c>
      <c r="CX33" s="5">
        <v>1.611092414595167E-2</v>
      </c>
      <c r="CY33" s="5">
        <v>1.4656483532562353E-2</v>
      </c>
      <c r="CZ33" s="5">
        <v>1.2616807155629628E-2</v>
      </c>
      <c r="DA33" s="5">
        <v>1.9818382574047833E-2</v>
      </c>
      <c r="DB33" s="5">
        <v>1.885236527322233E-2</v>
      </c>
      <c r="DC33" s="5">
        <v>1.0489550145731934E-2</v>
      </c>
      <c r="DD33" s="5">
        <v>1.0477085454095203E-2</v>
      </c>
      <c r="DE33" s="5">
        <v>1.6867433481029509E-2</v>
      </c>
      <c r="DF33" s="5">
        <v>2.7262019529281971E-2</v>
      </c>
      <c r="DG33" s="5">
        <v>1.3264420627527576E-2</v>
      </c>
      <c r="DH33" s="5">
        <v>1.4258291927681646E-2</v>
      </c>
      <c r="DI33" s="5">
        <v>2.57790771965157E-2</v>
      </c>
      <c r="DJ33" s="5">
        <v>5.3456495193207498E-2</v>
      </c>
      <c r="DK33" s="5">
        <v>5.4049419244001182E-2</v>
      </c>
      <c r="DL33" s="5">
        <v>6.7729920885018544E-2</v>
      </c>
      <c r="DM33" s="5">
        <v>4.6750546874124527E-2</v>
      </c>
      <c r="DN33" s="5">
        <v>3.1812636048155228E-2</v>
      </c>
      <c r="DO33" s="4">
        <v>4.2805240834257817E-2</v>
      </c>
      <c r="DP33" s="5">
        <v>6.3687209965521884E-3</v>
      </c>
      <c r="DQ33" s="5">
        <v>1.403310558230157E-2</v>
      </c>
      <c r="DR33" s="5">
        <v>2.0255473173680275E-2</v>
      </c>
      <c r="DS33" s="5">
        <v>1.8343993493493346E-2</v>
      </c>
      <c r="DT33" s="4">
        <v>1.6964220136257736E-2</v>
      </c>
      <c r="DU33" s="5">
        <v>1.2562289241718847E-2</v>
      </c>
      <c r="DV33" s="5">
        <v>1.8213033300449176E-2</v>
      </c>
      <c r="DW33" s="5">
        <v>1.5107934172811999E-2</v>
      </c>
      <c r="DX33" s="5">
        <v>2.0966794446973067E-2</v>
      </c>
      <c r="DY33" s="5">
        <v>1.8564547053536877E-2</v>
      </c>
      <c r="EA33" s="3" t="s">
        <v>163</v>
      </c>
      <c r="EB33" s="3" t="s">
        <v>134</v>
      </c>
      <c r="EC33" s="5">
        <v>7.8605146068983042E-2</v>
      </c>
      <c r="ED33" s="5">
        <v>8.8876882243424979E-2</v>
      </c>
      <c r="EE33" s="5">
        <v>9.0981900713585376E-2</v>
      </c>
      <c r="EF33" s="5">
        <v>9.0634517297146347E-2</v>
      </c>
      <c r="EG33" s="5">
        <v>9.5214908408601973E-2</v>
      </c>
      <c r="EH33" s="5">
        <v>9.6264976823883949E-2</v>
      </c>
      <c r="EI33" s="5">
        <v>9.6044044121370881E-2</v>
      </c>
      <c r="EJ33" s="5">
        <v>8.515729744077187E-2</v>
      </c>
      <c r="EK33" s="5">
        <v>7.2072829071501601E-2</v>
      </c>
      <c r="EL33" s="5">
        <v>6.8479733281172558E-2</v>
      </c>
      <c r="EM33" s="5">
        <v>9.9702263151462855E-2</v>
      </c>
      <c r="EN33" s="5">
        <v>0.10311238993290972</v>
      </c>
      <c r="EO33" s="5">
        <v>9.9512262964341541E-2</v>
      </c>
      <c r="EP33" s="5">
        <v>0.10240965335056158</v>
      </c>
      <c r="EQ33" s="5">
        <v>0.1114516865715265</v>
      </c>
      <c r="ER33" s="5">
        <v>0.11461114947227082</v>
      </c>
      <c r="ES33" s="4">
        <v>0.10426013061215438</v>
      </c>
      <c r="ET33" s="5">
        <v>9.730178779451179E-2</v>
      </c>
      <c r="EU33" s="5">
        <v>9.3167848654315946E-2</v>
      </c>
      <c r="EV33" s="5">
        <v>0.10088916485703207</v>
      </c>
      <c r="EW33" s="5">
        <v>0.1869875102011419</v>
      </c>
      <c r="EX33" s="5">
        <v>0.19236760280959597</v>
      </c>
      <c r="EY33" s="5">
        <v>0.17779018461480442</v>
      </c>
      <c r="EZ33" s="5">
        <v>0.159170627750648</v>
      </c>
      <c r="FA33" s="5">
        <v>0.15381492133641189</v>
      </c>
      <c r="FB33" s="5">
        <v>0.1852179783495016</v>
      </c>
      <c r="FC33" s="5">
        <v>0.16563975189266592</v>
      </c>
      <c r="FD33" s="4">
        <v>0.16470952771287253</v>
      </c>
      <c r="FE33" s="5">
        <v>0.16423101686040187</v>
      </c>
      <c r="FF33" s="5">
        <v>0.16690339667687965</v>
      </c>
      <c r="FG33" s="5">
        <v>8.5093077188859279E-2</v>
      </c>
      <c r="FH33" s="5">
        <v>8.3306355646377894E-2</v>
      </c>
      <c r="FI33" s="5">
        <v>8.1206774438482676E-2</v>
      </c>
      <c r="FJ33" s="5">
        <v>7.6564396316283923E-2</v>
      </c>
      <c r="FK33" s="5">
        <v>7.9046208797055095E-2</v>
      </c>
      <c r="FL33" s="5">
        <v>8.4401976078488594E-2</v>
      </c>
      <c r="FM33" s="5">
        <v>8.6801090411338433E-2</v>
      </c>
      <c r="FN33" s="5">
        <v>9.4509841748332185E-2</v>
      </c>
      <c r="FO33" s="5">
        <v>9.3297071109109744E-2</v>
      </c>
      <c r="FP33" s="5">
        <v>8.6520901688042398E-2</v>
      </c>
      <c r="FZ33" s="3" t="s">
        <v>163</v>
      </c>
      <c r="GA33" s="5">
        <v>0.67760341182463091</v>
      </c>
      <c r="GB33" s="5">
        <v>0.67031529734201967</v>
      </c>
      <c r="GC33" s="4">
        <v>0.66200410682932631</v>
      </c>
      <c r="GD33" s="5">
        <v>0.66060430219931132</v>
      </c>
      <c r="GE33" s="5">
        <v>0.65533042862908997</v>
      </c>
      <c r="GF33" s="5">
        <v>0.64968736410036754</v>
      </c>
      <c r="GG33" s="5">
        <v>0.64900870143589429</v>
      </c>
      <c r="GH33" s="5">
        <v>0.66868958570456682</v>
      </c>
      <c r="GI33" s="5">
        <v>0.69084374525277192</v>
      </c>
      <c r="GJ33" s="5">
        <v>0.69848527944880368</v>
      </c>
      <c r="GK33" s="4">
        <v>0.59440107184234381</v>
      </c>
      <c r="GL33" s="5">
        <v>0.61187496701905797</v>
      </c>
      <c r="GM33" s="5">
        <v>0.62231413148331416</v>
      </c>
      <c r="GN33" s="5">
        <v>0.60564127789954214</v>
      </c>
      <c r="GO33" s="5">
        <v>0.58615885936699896</v>
      </c>
      <c r="GP33" s="5">
        <v>0.5803484532978086</v>
      </c>
      <c r="GQ33" s="5">
        <v>0.5907166460413652</v>
      </c>
      <c r="GR33" s="5">
        <v>0.6032792719849186</v>
      </c>
      <c r="GS33" s="5">
        <v>0.60646946485615361</v>
      </c>
      <c r="GT33" s="4">
        <v>0.58932045837524738</v>
      </c>
      <c r="GU33" s="4">
        <v>0.38058902547659718</v>
      </c>
      <c r="GV33" s="5">
        <v>0.36672911950528819</v>
      </c>
      <c r="GW33" s="5">
        <v>0.35805680246678884</v>
      </c>
      <c r="GX33" s="5">
        <v>0.33518638362255992</v>
      </c>
      <c r="GY33" s="5">
        <v>0.30585086126901689</v>
      </c>
      <c r="GZ33" s="5">
        <v>0.30453456083886132</v>
      </c>
      <c r="HA33" s="5">
        <v>0.31196433801205897</v>
      </c>
      <c r="HB33" s="5">
        <v>0.32775732265713076</v>
      </c>
      <c r="HC33" s="5">
        <v>0.34140557209548178</v>
      </c>
      <c r="HD33" s="4">
        <v>0.36893611750808802</v>
      </c>
      <c r="HE33" s="5">
        <v>0.65125629982225186</v>
      </c>
      <c r="HF33" s="4">
        <v>0.63425617488675046</v>
      </c>
      <c r="HG33" s="5">
        <v>0.63803491944798341</v>
      </c>
      <c r="HH33" s="5">
        <v>0.64018408318165565</v>
      </c>
      <c r="HI33" s="5">
        <v>0.63372265718943999</v>
      </c>
      <c r="HJ33" s="5">
        <v>0.6379764134550473</v>
      </c>
      <c r="HK33" s="5">
        <v>0.63847845635076672</v>
      </c>
      <c r="HL33" s="5">
        <v>0.63768663867749498</v>
      </c>
      <c r="HM33" s="4">
        <v>0.6388553636311296</v>
      </c>
      <c r="HN33" s="5">
        <v>0.65445245086285686</v>
      </c>
      <c r="HP33" s="3" t="s">
        <v>164</v>
      </c>
      <c r="HQ33" s="3" t="s">
        <v>140</v>
      </c>
      <c r="HR33" s="3" t="s">
        <v>141</v>
      </c>
      <c r="HS33" s="5">
        <v>0.52020789351473928</v>
      </c>
    </row>
    <row r="34" spans="2:227" x14ac:dyDescent="0.45">
      <c r="B34" s="6" t="s">
        <v>165</v>
      </c>
      <c r="C34" s="6" t="s">
        <v>131</v>
      </c>
      <c r="D34" s="8">
        <v>0.25536097157046983</v>
      </c>
      <c r="E34" s="8">
        <v>0.24385681802827203</v>
      </c>
      <c r="F34" s="8">
        <v>0.25155518091457696</v>
      </c>
      <c r="G34" s="8">
        <v>0.25392517103651169</v>
      </c>
      <c r="H34" s="8">
        <v>0.27094086805542872</v>
      </c>
      <c r="I34" s="8">
        <v>0.2670514217147103</v>
      </c>
      <c r="J34" s="8">
        <v>0.26562757189353042</v>
      </c>
      <c r="K34" s="8">
        <v>0.26025037021008918</v>
      </c>
      <c r="L34" s="8">
        <v>0.25052054387733785</v>
      </c>
      <c r="M34" s="8">
        <v>0.24603914344923078</v>
      </c>
      <c r="N34" s="8">
        <v>0.26993965217998855</v>
      </c>
      <c r="O34" s="8">
        <v>0.26747942319774737</v>
      </c>
      <c r="P34" s="8">
        <v>0.27292869098211903</v>
      </c>
      <c r="Q34" s="8">
        <v>0.31082412116357983</v>
      </c>
      <c r="R34" s="8">
        <v>0.34154878500770175</v>
      </c>
      <c r="S34" s="8">
        <v>0.32107458674685974</v>
      </c>
      <c r="T34" s="8">
        <v>0.29740599820378455</v>
      </c>
      <c r="U34" s="8">
        <v>0.2899315721213373</v>
      </c>
      <c r="V34" s="8">
        <v>0.27739566702649593</v>
      </c>
      <c r="W34" s="8">
        <v>0.26564227997137985</v>
      </c>
      <c r="X34" s="8">
        <v>0.329031614250819</v>
      </c>
      <c r="Y34" s="8">
        <v>0.35289115728593107</v>
      </c>
      <c r="Z34" s="8">
        <v>0.34376170979021342</v>
      </c>
      <c r="AA34" s="8">
        <v>0.36903185930280236</v>
      </c>
      <c r="AB34" s="8">
        <v>0.38310174407178954</v>
      </c>
      <c r="AC34" s="8">
        <v>0.36626104844711971</v>
      </c>
      <c r="AD34" s="8">
        <v>0.34903978181226197</v>
      </c>
      <c r="AE34" s="8">
        <v>0.33453070581768174</v>
      </c>
      <c r="AF34" s="8">
        <v>0.30754445912181866</v>
      </c>
      <c r="AG34" s="8">
        <v>0.29958923095552509</v>
      </c>
      <c r="AH34" s="8">
        <v>0.32306214404833267</v>
      </c>
      <c r="AI34" s="8">
        <v>0.34375727114318028</v>
      </c>
      <c r="AJ34" s="8">
        <v>0.33659947503574489</v>
      </c>
      <c r="AK34" s="8">
        <v>0.31881834171585494</v>
      </c>
      <c r="AL34" s="8">
        <v>0.31617666967859193</v>
      </c>
      <c r="AM34" s="8">
        <v>0.29254361574093057</v>
      </c>
      <c r="AN34" s="8">
        <v>0.28088855482515168</v>
      </c>
      <c r="AO34" s="8">
        <v>0.25874033183917233</v>
      </c>
      <c r="AP34" s="8">
        <v>0.25631873205415168</v>
      </c>
      <c r="AQ34" s="8">
        <v>0.27420056410033899</v>
      </c>
      <c r="AS34" s="6" t="s">
        <v>165</v>
      </c>
      <c r="AT34" s="6" t="s">
        <v>132</v>
      </c>
      <c r="AU34" s="8">
        <v>1.2619974725804711E-2</v>
      </c>
      <c r="AV34" s="7">
        <v>9.8877392021988059E-3</v>
      </c>
      <c r="AW34" s="8">
        <v>1.4901657359820665E-2</v>
      </c>
      <c r="AX34" s="8">
        <v>2.0586342735973054E-2</v>
      </c>
      <c r="AY34" s="8">
        <v>2.040330332286365E-2</v>
      </c>
      <c r="AZ34" s="8">
        <v>1.2917982939727263E-2</v>
      </c>
      <c r="BA34" s="8">
        <v>7.4019006883510353E-3</v>
      </c>
      <c r="BB34" s="8">
        <v>7.8085144869546614E-3</v>
      </c>
      <c r="BC34" s="8">
        <v>1.443337401814157E-2</v>
      </c>
      <c r="BD34" s="8">
        <v>2.0557622476261323E-2</v>
      </c>
      <c r="BE34" s="8">
        <v>2.3217361183847922E-2</v>
      </c>
      <c r="BF34" s="8">
        <v>1.6110335684737832E-2</v>
      </c>
      <c r="BG34" s="8">
        <v>1.8428990781720174E-2</v>
      </c>
      <c r="BH34" s="8">
        <v>8.4824386661794451E-3</v>
      </c>
      <c r="BI34" s="8">
        <v>8.0555012195287646E-3</v>
      </c>
      <c r="BJ34" s="8">
        <v>5.0375053046751907E-3</v>
      </c>
      <c r="BK34" s="8">
        <v>1.4775774209549267E-2</v>
      </c>
      <c r="BL34" s="7">
        <v>2.6874764744621742E-2</v>
      </c>
      <c r="BM34" s="8">
        <v>2.4869309987294336E-2</v>
      </c>
      <c r="BN34" s="8">
        <v>2.263662744613178E-2</v>
      </c>
      <c r="BO34" s="8">
        <v>3.1524005469051687E-2</v>
      </c>
      <c r="BP34" s="8">
        <v>5.3021613218942401E-3</v>
      </c>
      <c r="BQ34" s="8">
        <v>1.0621342020306523E-2</v>
      </c>
      <c r="BR34" s="8">
        <v>2.1269738921798374E-2</v>
      </c>
      <c r="BS34" s="8">
        <v>2.2199765182865368E-2</v>
      </c>
      <c r="BT34" s="7">
        <v>1.927623435581519E-2</v>
      </c>
      <c r="BU34" s="8">
        <v>2.6990305023256733E-2</v>
      </c>
      <c r="BV34" s="8">
        <v>2.425356936296006E-2</v>
      </c>
      <c r="BW34" s="8">
        <v>1.1169184556674998E-2</v>
      </c>
      <c r="BX34" s="8">
        <v>1.9459550521275938E-2</v>
      </c>
      <c r="BY34" s="8">
        <v>1.8111022062286604E-2</v>
      </c>
      <c r="BZ34" s="7">
        <v>2.3422463868747086E-2</v>
      </c>
      <c r="CA34" s="7">
        <v>2.4548874070648891E-2</v>
      </c>
      <c r="CB34" s="8">
        <v>2.6912548505695348E-2</v>
      </c>
      <c r="CC34" s="8">
        <v>4.018537202628162E-2</v>
      </c>
      <c r="CD34" s="8">
        <v>2.3530474370253705E-2</v>
      </c>
      <c r="CE34" s="8">
        <v>1.2544653379305888E-2</v>
      </c>
      <c r="CF34" s="7">
        <v>1.2361264521401735E-2</v>
      </c>
      <c r="CG34" s="8">
        <v>1.2408121687924187E-2</v>
      </c>
      <c r="CH34" s="8">
        <v>7.6828709513014088E-3</v>
      </c>
      <c r="CJ34" s="6" t="s">
        <v>165</v>
      </c>
      <c r="CK34" s="6" t="s">
        <v>133</v>
      </c>
      <c r="CL34" s="8">
        <v>1.8198605552725178E-2</v>
      </c>
      <c r="CM34" s="8">
        <v>1.0534965856413095E-2</v>
      </c>
      <c r="CN34" s="8">
        <v>1.1595684285405651E-2</v>
      </c>
      <c r="CO34" s="8">
        <v>6.5856528903776657E-3</v>
      </c>
      <c r="CP34" s="7">
        <v>1.3568217344966061E-2</v>
      </c>
      <c r="CQ34" s="8">
        <v>2.2631940213683303E-2</v>
      </c>
      <c r="CR34" s="8">
        <v>2.8058543886615807E-2</v>
      </c>
      <c r="CS34" s="8">
        <v>2.1579710640487731E-2</v>
      </c>
      <c r="CT34" s="8">
        <v>1.3600961158472362E-2</v>
      </c>
      <c r="CU34" s="8">
        <v>1.273777872946031E-2</v>
      </c>
      <c r="CV34" s="8">
        <v>1.5304245201068345E-2</v>
      </c>
      <c r="CW34" s="8">
        <v>2.5174311666532133E-2</v>
      </c>
      <c r="CX34" s="8">
        <v>2.5010435808422687E-2</v>
      </c>
      <c r="CY34" s="8">
        <v>1.9174878827312274E-2</v>
      </c>
      <c r="CZ34" s="8">
        <v>2.2197690357615128E-2</v>
      </c>
      <c r="DA34" s="8">
        <v>1.4909284237184793E-2</v>
      </c>
      <c r="DB34" s="8">
        <v>9.6141094644962045E-3</v>
      </c>
      <c r="DC34" s="8">
        <v>9.9711311616533186E-3</v>
      </c>
      <c r="DD34" s="8">
        <v>1.6850514444506647E-2</v>
      </c>
      <c r="DE34" s="8">
        <v>1.648769840618167E-2</v>
      </c>
      <c r="DF34" s="8">
        <v>2.1476211003223018E-2</v>
      </c>
      <c r="DG34" s="8">
        <v>5.0402871794249064E-2</v>
      </c>
      <c r="DH34" s="8">
        <v>2.3207905815657223E-2</v>
      </c>
      <c r="DI34" s="8">
        <v>8.3304643707324145E-3</v>
      </c>
      <c r="DJ34" s="8">
        <v>1.347880710915705E-2</v>
      </c>
      <c r="DK34" s="8">
        <v>2.7607216409125414E-2</v>
      </c>
      <c r="DL34" s="8">
        <v>2.9628796706025608E-2</v>
      </c>
      <c r="DM34" s="8">
        <v>2.6151277522310265E-2</v>
      </c>
      <c r="DN34" s="8">
        <v>2.5230136252203685E-2</v>
      </c>
      <c r="DO34" s="7">
        <v>2.0099252635226977E-2</v>
      </c>
      <c r="DP34" s="8">
        <v>9.4508863247852442E-3</v>
      </c>
      <c r="DQ34" s="8">
        <v>1.450926616611148E-2</v>
      </c>
      <c r="DR34" s="8">
        <v>2.4914642744831454E-2</v>
      </c>
      <c r="DS34" s="8">
        <v>2.460390121923331E-2</v>
      </c>
      <c r="DT34" s="7">
        <v>1.5963038567921806E-2</v>
      </c>
      <c r="DU34" s="8">
        <v>2.9028554439781851E-2</v>
      </c>
      <c r="DV34" s="8">
        <v>3.6812016498402635E-2</v>
      </c>
      <c r="DW34" s="8">
        <v>2.8757042841218074E-2</v>
      </c>
      <c r="DX34" s="8">
        <v>2.3634116101444676E-2</v>
      </c>
      <c r="DY34" s="8">
        <v>2.0584276978259645E-2</v>
      </c>
      <c r="EA34" s="6" t="s">
        <v>165</v>
      </c>
      <c r="EB34" s="6" t="s">
        <v>134</v>
      </c>
      <c r="EC34" s="8">
        <v>9.8674627144304444E-2</v>
      </c>
      <c r="ED34" s="8">
        <v>0.10271028816605794</v>
      </c>
      <c r="EE34" s="8">
        <v>0.10211042014932876</v>
      </c>
      <c r="EF34" s="8">
        <v>9.9952996464797661E-2</v>
      </c>
      <c r="EG34" s="8">
        <v>0.10162589726868877</v>
      </c>
      <c r="EH34" s="8">
        <v>0.10120246193247835</v>
      </c>
      <c r="EI34" s="8">
        <v>0.10565016161959717</v>
      </c>
      <c r="EJ34" s="8">
        <v>0.10256868017144183</v>
      </c>
      <c r="EK34" s="8">
        <v>9.2408642391957785E-2</v>
      </c>
      <c r="EL34" s="8">
        <v>8.7392930669901073E-2</v>
      </c>
      <c r="EM34" s="8">
        <v>0.10673739802783261</v>
      </c>
      <c r="EN34" s="8">
        <v>9.924863717286074E-2</v>
      </c>
      <c r="EO34" s="8">
        <v>0.10507345423600511</v>
      </c>
      <c r="EP34" s="8">
        <v>0.15003848929528715</v>
      </c>
      <c r="EQ34" s="8">
        <v>0.17718902927122049</v>
      </c>
      <c r="ER34" s="8">
        <v>0.17234465797396595</v>
      </c>
      <c r="ES34" s="7">
        <v>0.1478651517993809</v>
      </c>
      <c r="ET34" s="8">
        <v>0.127330159422229</v>
      </c>
      <c r="EU34" s="8">
        <v>0.11334857264389551</v>
      </c>
      <c r="EV34" s="8">
        <v>0.10529379921885366</v>
      </c>
      <c r="EW34" s="8">
        <v>0.14879691992996724</v>
      </c>
      <c r="EX34" s="8">
        <v>0.16158833531838412</v>
      </c>
      <c r="EY34" s="8">
        <v>0.17583940342225207</v>
      </c>
      <c r="EZ34" s="8">
        <v>0.19679349297970136</v>
      </c>
      <c r="FA34" s="8">
        <v>0.19530143302837055</v>
      </c>
      <c r="FB34" s="8">
        <v>0.16291393193341253</v>
      </c>
      <c r="FC34" s="8">
        <v>0.1311038813697977</v>
      </c>
      <c r="FD34" s="7">
        <v>0.1236840315625329</v>
      </c>
      <c r="FE34" s="8">
        <v>0.12873183365814658</v>
      </c>
      <c r="FF34" s="8">
        <v>0.12246735071211913</v>
      </c>
      <c r="FG34" s="8">
        <v>0.14787980348139687</v>
      </c>
      <c r="FH34" s="8">
        <v>0.15076516587600053</v>
      </c>
      <c r="FI34" s="8">
        <v>0.13511342507507465</v>
      </c>
      <c r="FJ34" s="8">
        <v>0.1089455647709091</v>
      </c>
      <c r="FK34" s="8">
        <v>0.1021218382737919</v>
      </c>
      <c r="FL34" s="8">
        <v>0.10357876723290774</v>
      </c>
      <c r="FM34" s="8">
        <v>9.6715042073664145E-2</v>
      </c>
      <c r="FN34" s="8">
        <v>8.6787117965799604E-2</v>
      </c>
      <c r="FO34" s="8">
        <v>9.7441028041512653E-2</v>
      </c>
      <c r="FP34" s="8">
        <v>0.11362135669759346</v>
      </c>
      <c r="FZ34" s="6" t="s">
        <v>165</v>
      </c>
      <c r="GA34" s="8">
        <v>0.6175198843381885</v>
      </c>
      <c r="GB34" s="8">
        <v>0.61404020835438533</v>
      </c>
      <c r="GC34" s="7">
        <v>0.60887409138894222</v>
      </c>
      <c r="GD34" s="8">
        <v>0.61299488987230388</v>
      </c>
      <c r="GE34" s="8">
        <v>0.59722582643476518</v>
      </c>
      <c r="GF34" s="8">
        <v>0.59896429487594616</v>
      </c>
      <c r="GG34" s="8">
        <v>0.60096290613679837</v>
      </c>
      <c r="GH34" s="8">
        <v>0.61479493115200767</v>
      </c>
      <c r="GI34" s="8">
        <v>0.64069718599009018</v>
      </c>
      <c r="GJ34" s="8">
        <v>0.63647986354340835</v>
      </c>
      <c r="GK34" s="7">
        <v>0.56957559863095297</v>
      </c>
      <c r="GL34" s="8">
        <v>0.56831354595234862</v>
      </c>
      <c r="GM34" s="8">
        <v>0.55958413986714417</v>
      </c>
      <c r="GN34" s="8">
        <v>0.50697787499634817</v>
      </c>
      <c r="GO34" s="8">
        <v>0.47354260623789107</v>
      </c>
      <c r="GP34" s="8">
        <v>0.4882800423365552</v>
      </c>
      <c r="GQ34" s="8">
        <v>0.52148860436358047</v>
      </c>
      <c r="GR34" s="8">
        <v>0.54710309201112506</v>
      </c>
      <c r="GS34" s="8">
        <v>0.57402215410104918</v>
      </c>
      <c r="GT34" s="7">
        <v>0.57477996239533136</v>
      </c>
      <c r="GU34" s="7">
        <v>0.46931583962843593</v>
      </c>
      <c r="GV34" s="8">
        <v>0.42215641023484868</v>
      </c>
      <c r="GW34" s="8">
        <v>0.42443786733834399</v>
      </c>
      <c r="GX34" s="8">
        <v>0.40640272846339148</v>
      </c>
      <c r="GY34" s="8">
        <v>0.40323129025700444</v>
      </c>
      <c r="GZ34" s="8">
        <v>0.44686815849854611</v>
      </c>
      <c r="HA34" s="8">
        <v>0.49808725036943896</v>
      </c>
      <c r="HB34" s="8">
        <v>0.52592763068336668</v>
      </c>
      <c r="HC34" s="8">
        <v>0.53193109064823541</v>
      </c>
      <c r="HD34" s="7">
        <v>0.53417602636635408</v>
      </c>
      <c r="HE34" s="8">
        <v>0.54416112094186242</v>
      </c>
      <c r="HF34" s="7">
        <v>0.52055085717014726</v>
      </c>
      <c r="HG34" s="8">
        <v>0.52685881074732888</v>
      </c>
      <c r="HH34" s="8">
        <v>0.55757382834217628</v>
      </c>
      <c r="HI34" s="8">
        <v>0.55737752608371549</v>
      </c>
      <c r="HJ34" s="8">
        <v>0.56227244819312328</v>
      </c>
      <c r="HK34" s="8">
        <v>0.58051107283093162</v>
      </c>
      <c r="HL34" s="8">
        <v>0.60931195762612256</v>
      </c>
      <c r="HM34" s="7">
        <v>0.60889680055993523</v>
      </c>
      <c r="HN34" s="8">
        <v>0.58819939505697771</v>
      </c>
      <c r="HP34" s="6" t="s">
        <v>166</v>
      </c>
      <c r="HQ34" s="6" t="s">
        <v>140</v>
      </c>
      <c r="HR34" s="6" t="s">
        <v>141</v>
      </c>
      <c r="HS34" s="8">
        <v>0.51153056549275089</v>
      </c>
    </row>
    <row r="35" spans="2:227" x14ac:dyDescent="0.45">
      <c r="B35" s="3" t="s">
        <v>167</v>
      </c>
      <c r="C35" s="3" t="s">
        <v>131</v>
      </c>
      <c r="D35" s="5">
        <v>0.24312107177811254</v>
      </c>
      <c r="E35" s="5">
        <v>0.24895230098077567</v>
      </c>
      <c r="F35" s="5">
        <v>0.24473110043578755</v>
      </c>
      <c r="G35" s="5">
        <v>0.23618058459645752</v>
      </c>
      <c r="H35" s="5">
        <v>0.24043179904386403</v>
      </c>
      <c r="I35" s="5">
        <v>0.2377700948593216</v>
      </c>
      <c r="J35" s="5">
        <v>0.23964361429149308</v>
      </c>
      <c r="K35" s="5">
        <v>0.24155413608618964</v>
      </c>
      <c r="L35" s="5">
        <v>0.25194145366448517</v>
      </c>
      <c r="M35" s="5">
        <v>0.24886296319843546</v>
      </c>
      <c r="N35" s="5">
        <v>0.30449527620518352</v>
      </c>
      <c r="O35" s="5">
        <v>0.29521327176588452</v>
      </c>
      <c r="P35" s="5">
        <v>0.29008894818754005</v>
      </c>
      <c r="Q35" s="5">
        <v>0.29426412474193642</v>
      </c>
      <c r="R35" s="5">
        <v>0.3032953658739066</v>
      </c>
      <c r="S35" s="5">
        <v>0.30922978885912356</v>
      </c>
      <c r="T35" s="5">
        <v>0.31378461449749934</v>
      </c>
      <c r="U35" s="5">
        <v>0.30790243251005361</v>
      </c>
      <c r="V35" s="5">
        <v>0.29218560559265777</v>
      </c>
      <c r="W35" s="5">
        <v>0.29119616004277488</v>
      </c>
      <c r="X35" s="5">
        <v>0.36386385194097193</v>
      </c>
      <c r="Y35" s="5">
        <v>0.37754680976125965</v>
      </c>
      <c r="Z35" s="5">
        <v>0.40638430519926538</v>
      </c>
      <c r="AA35" s="5">
        <v>0.43132793520072948</v>
      </c>
      <c r="AB35" s="5">
        <v>0.43752931076682949</v>
      </c>
      <c r="AC35" s="5">
        <v>0.41227569536186415</v>
      </c>
      <c r="AD35" s="5">
        <v>0.35756364120594336</v>
      </c>
      <c r="AE35" s="5">
        <v>0.32723065547830238</v>
      </c>
      <c r="AF35" s="5">
        <v>0.31771041578654458</v>
      </c>
      <c r="AG35" s="5">
        <v>0.33831282487772313</v>
      </c>
      <c r="AH35" s="5">
        <v>0.22567772126609978</v>
      </c>
      <c r="AI35" s="5">
        <v>0.24831112531187871</v>
      </c>
      <c r="AJ35" s="5">
        <v>0.25420949144041827</v>
      </c>
      <c r="AK35" s="5">
        <v>0.25064904830702767</v>
      </c>
      <c r="AL35" s="5">
        <v>0.25477658432596439</v>
      </c>
      <c r="AM35" s="5">
        <v>0.25852450780518166</v>
      </c>
      <c r="AN35" s="5">
        <v>0.25955544728096325</v>
      </c>
      <c r="AO35" s="5">
        <v>0.23672390891161219</v>
      </c>
      <c r="AP35" s="5">
        <v>0.21894732876887993</v>
      </c>
      <c r="AQ35" s="5">
        <v>0.21255312838864557</v>
      </c>
      <c r="AS35" s="3" t="s">
        <v>167</v>
      </c>
      <c r="AT35" s="3" t="s">
        <v>132</v>
      </c>
      <c r="AU35" s="5">
        <v>1.4953206717456504E-2</v>
      </c>
      <c r="AV35" s="4">
        <v>9.2424092293017599E-3</v>
      </c>
      <c r="AW35" s="5">
        <v>1.4380003297663469E-2</v>
      </c>
      <c r="AX35" s="5">
        <v>1.5299426453780709E-2</v>
      </c>
      <c r="AY35" s="5">
        <v>1.2331492059090876E-2</v>
      </c>
      <c r="AZ35" s="5">
        <v>1.3087577084427043E-2</v>
      </c>
      <c r="BA35" s="5">
        <v>1.504285373836904E-2</v>
      </c>
      <c r="BB35" s="5">
        <v>1.6441422448114591E-2</v>
      </c>
      <c r="BC35" s="5">
        <v>1.2629442779671171E-2</v>
      </c>
      <c r="BD35" s="5">
        <v>1.4141345228653523E-2</v>
      </c>
      <c r="BE35" s="5">
        <v>1.2264080587703032E-2</v>
      </c>
      <c r="BF35" s="5">
        <v>4.7703294754198912E-3</v>
      </c>
      <c r="BG35" s="5">
        <v>6.0100689986343726E-3</v>
      </c>
      <c r="BH35" s="5">
        <v>1.1247288965712926E-2</v>
      </c>
      <c r="BI35" s="5">
        <v>1.3432458241731402E-2</v>
      </c>
      <c r="BJ35" s="5">
        <v>1.5124115014546122E-2</v>
      </c>
      <c r="BK35" s="5">
        <v>2.839069742125927E-2</v>
      </c>
      <c r="BL35" s="4">
        <v>2.1195737374573323E-2</v>
      </c>
      <c r="BM35" s="5">
        <v>1.1442586190301899E-2</v>
      </c>
      <c r="BN35" s="5">
        <v>1.0142199004991199E-2</v>
      </c>
      <c r="BO35" s="5">
        <v>1.4218364351749649E-2</v>
      </c>
      <c r="BP35" s="5">
        <v>3.1000082816465768E-2</v>
      </c>
      <c r="BQ35" s="5">
        <v>4.0357598974383221E-2</v>
      </c>
      <c r="BR35" s="5">
        <v>4.8354582425363363E-2</v>
      </c>
      <c r="BS35" s="5">
        <v>4.0305011849327201E-2</v>
      </c>
      <c r="BT35" s="4">
        <v>2.4058200995189485E-2</v>
      </c>
      <c r="BU35" s="5">
        <v>2.096057769284666E-2</v>
      </c>
      <c r="BV35" s="5">
        <v>4.9974485205908248E-2</v>
      </c>
      <c r="BW35" s="5">
        <v>3.391421407423148E-2</v>
      </c>
      <c r="BX35" s="5">
        <v>1.5446449742759405E-2</v>
      </c>
      <c r="BY35" s="5">
        <v>1.9131838947739455E-2</v>
      </c>
      <c r="BZ35" s="4">
        <v>1.5658417038131645E-2</v>
      </c>
      <c r="CA35" s="4">
        <v>1.5326784627841747E-2</v>
      </c>
      <c r="CB35" s="5">
        <v>9.5146772137082811E-3</v>
      </c>
      <c r="CC35" s="5">
        <v>1.0475880577313921E-2</v>
      </c>
      <c r="CD35" s="5">
        <v>1.7975529438462957E-2</v>
      </c>
      <c r="CE35" s="5">
        <v>2.2974347839407057E-2</v>
      </c>
      <c r="CF35" s="4">
        <v>1.0006848578726742E-2</v>
      </c>
      <c r="CG35" s="5">
        <v>1.0644466056131289E-2</v>
      </c>
      <c r="CH35" s="5">
        <v>1.4930069693286039E-2</v>
      </c>
      <c r="CJ35" s="3" t="s">
        <v>167</v>
      </c>
      <c r="CK35" s="3" t="s">
        <v>133</v>
      </c>
      <c r="CL35" s="5">
        <v>1.4308133133624862E-2</v>
      </c>
      <c r="CM35" s="5">
        <v>2.162129559423381E-2</v>
      </c>
      <c r="CN35" s="5">
        <v>1.7703800858674065E-2</v>
      </c>
      <c r="CO35" s="5">
        <v>1.1518948956840743E-2</v>
      </c>
      <c r="CP35" s="4">
        <v>1.6978603262305818E-2</v>
      </c>
      <c r="CQ35" s="5">
        <v>1.7786809404813055E-2</v>
      </c>
      <c r="CR35" s="5">
        <v>1.5196476418141648E-2</v>
      </c>
      <c r="CS35" s="5">
        <v>1.2030346891169576E-2</v>
      </c>
      <c r="CT35" s="5">
        <v>1.8328525436191012E-2</v>
      </c>
      <c r="CU35" s="5">
        <v>1.9997173090315255E-2</v>
      </c>
      <c r="CV35" s="5">
        <v>1.8653463643167108E-2</v>
      </c>
      <c r="CW35" s="5">
        <v>2.2256817666462283E-2</v>
      </c>
      <c r="CX35" s="5">
        <v>1.2695037474986966E-2</v>
      </c>
      <c r="CY35" s="5">
        <v>5.3459295233375696E-3</v>
      </c>
      <c r="CZ35" s="5">
        <v>5.864729412977214E-3</v>
      </c>
      <c r="DA35" s="5">
        <v>1.4965256628293825E-2</v>
      </c>
      <c r="DB35" s="5">
        <v>1.3311491224379276E-2</v>
      </c>
      <c r="DC35" s="5">
        <v>2.2976342512338113E-2</v>
      </c>
      <c r="DD35" s="5">
        <v>3.1620416799011161E-2</v>
      </c>
      <c r="DE35" s="5">
        <v>3.2620204468356402E-2</v>
      </c>
      <c r="DF35" s="5">
        <v>4.3760885064364319E-2</v>
      </c>
      <c r="DG35" s="5">
        <v>2.2248795892108337E-2</v>
      </c>
      <c r="DH35" s="5">
        <v>2.439678884313216E-2</v>
      </c>
      <c r="DI35" s="5">
        <v>3.7694522939164234E-2</v>
      </c>
      <c r="DJ35" s="5">
        <v>7.3477010806622722E-2</v>
      </c>
      <c r="DK35" s="5">
        <v>7.3968589441680374E-2</v>
      </c>
      <c r="DL35" s="5">
        <v>4.0572398434888225E-2</v>
      </c>
      <c r="DM35" s="5">
        <v>1.6759407484802001E-2</v>
      </c>
      <c r="DN35" s="5">
        <v>2.9556937527320953E-2</v>
      </c>
      <c r="DO35" s="4">
        <v>5.7784771944049795E-2</v>
      </c>
      <c r="DP35" s="5">
        <v>1.3183694689135533E-2</v>
      </c>
      <c r="DQ35" s="5">
        <v>2.844248794045361E-2</v>
      </c>
      <c r="DR35" s="5">
        <v>2.6152562860289687E-2</v>
      </c>
      <c r="DS35" s="5">
        <v>2.8095420910345528E-2</v>
      </c>
      <c r="DT35" s="4">
        <v>1.6382905278919009E-2</v>
      </c>
      <c r="DU35" s="5">
        <v>1.3407795627920199E-2</v>
      </c>
      <c r="DV35" s="5">
        <v>1.1758672912163677E-2</v>
      </c>
      <c r="DW35" s="5">
        <v>2.0036732424496054E-2</v>
      </c>
      <c r="DX35" s="5">
        <v>1.9358018277707317E-2</v>
      </c>
      <c r="DY35" s="5">
        <v>7.6229365063260786E-3</v>
      </c>
      <c r="EA35" s="3" t="s">
        <v>167</v>
      </c>
      <c r="EB35" s="3" t="s">
        <v>134</v>
      </c>
      <c r="EC35" s="5">
        <v>8.9930661150580765E-2</v>
      </c>
      <c r="ED35" s="5">
        <v>8.6738168759402601E-2</v>
      </c>
      <c r="EE35" s="5">
        <v>8.2625258929655804E-2</v>
      </c>
      <c r="EF35" s="5">
        <v>8.7769074242889614E-2</v>
      </c>
      <c r="EG35" s="5">
        <v>8.8951615899569639E-2</v>
      </c>
      <c r="EH35" s="5">
        <v>7.750369908826546E-2</v>
      </c>
      <c r="EI35" s="5">
        <v>7.8123206672590789E-2</v>
      </c>
      <c r="EJ35" s="5">
        <v>8.2144034410851899E-2</v>
      </c>
      <c r="EK35" s="5">
        <v>8.0520103455259451E-2</v>
      </c>
      <c r="EL35" s="5">
        <v>7.7659645173157543E-2</v>
      </c>
      <c r="EM35" s="5">
        <v>0.13955262435801574</v>
      </c>
      <c r="EN35" s="5">
        <v>0.14069282461470636</v>
      </c>
      <c r="EO35" s="5">
        <v>0.14480599228644978</v>
      </c>
      <c r="EP35" s="5">
        <v>0.14987547954505953</v>
      </c>
      <c r="EQ35" s="5">
        <v>0.15000988338201016</v>
      </c>
      <c r="ER35" s="5">
        <v>0.13923916996324964</v>
      </c>
      <c r="ES35" s="4">
        <v>0.13123261808333242</v>
      </c>
      <c r="ET35" s="5">
        <v>0.12299530835678624</v>
      </c>
      <c r="EU35" s="5">
        <v>0.12023751927784508</v>
      </c>
      <c r="EV35" s="5">
        <v>0.11220534084554147</v>
      </c>
      <c r="EW35" s="5">
        <v>0.17912533739846256</v>
      </c>
      <c r="EX35" s="5">
        <v>0.18908732331980913</v>
      </c>
      <c r="EY35" s="5">
        <v>0.19536925872686686</v>
      </c>
      <c r="EZ35" s="5">
        <v>0.194033169043273</v>
      </c>
      <c r="FA35" s="5">
        <v>0.18550885593642072</v>
      </c>
      <c r="FB35" s="5">
        <v>0.18349090908693216</v>
      </c>
      <c r="FC35" s="5">
        <v>0.16940424330432535</v>
      </c>
      <c r="FD35" s="4">
        <v>0.14033128774969902</v>
      </c>
      <c r="FE35" s="5">
        <v>0.13245148584591165</v>
      </c>
      <c r="FF35" s="5">
        <v>0.14243771867004879</v>
      </c>
      <c r="FG35" s="5">
        <v>8.2104453669133007E-2</v>
      </c>
      <c r="FH35" s="5">
        <v>8.0067619892027778E-2</v>
      </c>
      <c r="FI35" s="5">
        <v>8.9544250672668996E-2</v>
      </c>
      <c r="FJ35" s="5">
        <v>9.4266977854444906E-2</v>
      </c>
      <c r="FK35" s="5">
        <v>0.10853593968885639</v>
      </c>
      <c r="FL35" s="5">
        <v>0.10568613916535936</v>
      </c>
      <c r="FM35" s="5">
        <v>0.1028778834288014</v>
      </c>
      <c r="FN35" s="5">
        <v>9.3108617706064822E-2</v>
      </c>
      <c r="FO35" s="5">
        <v>8.1333565489978041E-2</v>
      </c>
      <c r="FP35" s="5">
        <v>8.8242959600903739E-2</v>
      </c>
      <c r="FZ35" s="3" t="s">
        <v>167</v>
      </c>
      <c r="GA35" s="5">
        <v>0.63974312318424509</v>
      </c>
      <c r="GB35" s="5">
        <v>0.63202078969979381</v>
      </c>
      <c r="GC35" s="4">
        <v>0.63516189866260619</v>
      </c>
      <c r="GD35" s="5">
        <v>0.63958542813551877</v>
      </c>
      <c r="GE35" s="5">
        <v>0.63255642730360728</v>
      </c>
      <c r="GF35" s="5">
        <v>0.63567304644383271</v>
      </c>
      <c r="GG35" s="5">
        <v>0.63259798439178117</v>
      </c>
      <c r="GH35" s="5">
        <v>0.63164825210878095</v>
      </c>
      <c r="GI35" s="5">
        <v>0.63833189677055302</v>
      </c>
      <c r="GJ35" s="5">
        <v>0.6454687116837331</v>
      </c>
      <c r="GK35" s="4">
        <v>0.51149297992829823</v>
      </c>
      <c r="GL35" s="5">
        <v>0.51990189175621115</v>
      </c>
      <c r="GM35" s="5">
        <v>0.5281101708179563</v>
      </c>
      <c r="GN35" s="5">
        <v>0.51813847224983489</v>
      </c>
      <c r="GO35" s="5">
        <v>0.5040774613432536</v>
      </c>
      <c r="GP35" s="5">
        <v>0.50430718039469835</v>
      </c>
      <c r="GQ35" s="5">
        <v>0.50952146335503801</v>
      </c>
      <c r="GR35" s="5">
        <v>0.51545022788629813</v>
      </c>
      <c r="GS35" s="5">
        <v>0.51849700326834347</v>
      </c>
      <c r="GT35" s="4">
        <v>0.52614393672822857</v>
      </c>
      <c r="GU35" s="4">
        <v>0.28994132495610025</v>
      </c>
      <c r="GV35" s="5">
        <v>0.26967922758111645</v>
      </c>
      <c r="GW35" s="5">
        <v>0.26243711487109622</v>
      </c>
      <c r="GX35" s="5">
        <v>0.25335351446566751</v>
      </c>
      <c r="GY35" s="5">
        <v>0.24986001680515124</v>
      </c>
      <c r="GZ35" s="5">
        <v>0.27796942588379808</v>
      </c>
      <c r="HA35" s="5">
        <v>0.32410579074363349</v>
      </c>
      <c r="HB35" s="5">
        <v>0.3547533495050626</v>
      </c>
      <c r="HC35" s="5">
        <v>0.35510279091976121</v>
      </c>
      <c r="HD35" s="4">
        <v>0.33425588132561929</v>
      </c>
      <c r="HE35" s="5">
        <v>0.59265288154314699</v>
      </c>
      <c r="HF35" s="4">
        <v>0.56889978318455903</v>
      </c>
      <c r="HG35" s="5">
        <v>0.56397786401342997</v>
      </c>
      <c r="HH35" s="5">
        <v>0.56276536716599435</v>
      </c>
      <c r="HI35" s="5">
        <v>0.56857604906677173</v>
      </c>
      <c r="HJ35" s="5">
        <v>0.57408702232104869</v>
      </c>
      <c r="HK35" s="5">
        <v>0.58008757897724506</v>
      </c>
      <c r="HL35" s="5">
        <v>0.59744854842589157</v>
      </c>
      <c r="HM35" s="4">
        <v>0.60840525055475869</v>
      </c>
      <c r="HN35" s="5">
        <v>0.60301664898247676</v>
      </c>
      <c r="HP35" s="3" t="s">
        <v>168</v>
      </c>
      <c r="HQ35" s="3" t="s">
        <v>140</v>
      </c>
      <c r="HR35" s="3" t="s">
        <v>141</v>
      </c>
      <c r="HS35" s="5">
        <v>0.52503641470040818</v>
      </c>
    </row>
    <row r="36" spans="2:227" x14ac:dyDescent="0.45">
      <c r="B36" s="6" t="s">
        <v>169</v>
      </c>
      <c r="C36" s="6" t="s">
        <v>131</v>
      </c>
      <c r="D36" s="8">
        <v>0.21318310141503252</v>
      </c>
      <c r="E36" s="8">
        <v>0.21368353965894943</v>
      </c>
      <c r="F36" s="8">
        <v>0.20788602819468299</v>
      </c>
      <c r="G36" s="8">
        <v>0.19773163281297734</v>
      </c>
      <c r="H36" s="8">
        <v>0.1951475576746376</v>
      </c>
      <c r="I36" s="8">
        <v>0.19929973499810305</v>
      </c>
      <c r="J36" s="8">
        <v>0.20905497518433877</v>
      </c>
      <c r="K36" s="8">
        <v>0.21225182692458064</v>
      </c>
      <c r="L36" s="8">
        <v>0.21151739358620431</v>
      </c>
      <c r="M36" s="8">
        <v>0.22117139365558053</v>
      </c>
      <c r="N36" s="8">
        <v>0.27865182762060786</v>
      </c>
      <c r="O36" s="8">
        <v>0.28760759493519739</v>
      </c>
      <c r="P36" s="8">
        <v>0.28756450937984446</v>
      </c>
      <c r="Q36" s="8">
        <v>0.29054423127475759</v>
      </c>
      <c r="R36" s="8">
        <v>0.29172634496387201</v>
      </c>
      <c r="S36" s="8">
        <v>0.29343392233189936</v>
      </c>
      <c r="T36" s="8">
        <v>0.29912822970198494</v>
      </c>
      <c r="U36" s="8">
        <v>0.29709092646409141</v>
      </c>
      <c r="V36" s="8">
        <v>0.28415022514630628</v>
      </c>
      <c r="W36" s="8">
        <v>0.27438604639480285</v>
      </c>
      <c r="X36" s="8">
        <v>0.31875556150681772</v>
      </c>
      <c r="Y36" s="8">
        <v>0.31803645853343648</v>
      </c>
      <c r="Z36" s="8">
        <v>0.31626589145096257</v>
      </c>
      <c r="AA36" s="8">
        <v>0.31854732735318064</v>
      </c>
      <c r="AB36" s="8">
        <v>0.32833306978334453</v>
      </c>
      <c r="AC36" s="8">
        <v>0.34808008423960729</v>
      </c>
      <c r="AD36" s="8">
        <v>0.35381682616994165</v>
      </c>
      <c r="AE36" s="8">
        <v>0.33897482969940923</v>
      </c>
      <c r="AF36" s="8">
        <v>0.31448892442176424</v>
      </c>
      <c r="AG36" s="8">
        <v>0.30922296759461665</v>
      </c>
      <c r="AH36" s="8">
        <v>0.20286233787977359</v>
      </c>
      <c r="AI36" s="8">
        <v>0.20899306348156801</v>
      </c>
      <c r="AJ36" s="8">
        <v>0.22957825110976798</v>
      </c>
      <c r="AK36" s="8">
        <v>0.23097619629069951</v>
      </c>
      <c r="AL36" s="8">
        <v>0.2139781634912373</v>
      </c>
      <c r="AM36" s="8">
        <v>0.20595318382427294</v>
      </c>
      <c r="AN36" s="8">
        <v>0.20825649562069989</v>
      </c>
      <c r="AO36" s="8">
        <v>0.20198634124235829</v>
      </c>
      <c r="AP36" s="8">
        <v>0.19525061663124962</v>
      </c>
      <c r="AQ36" s="8">
        <v>0.19894875815984997</v>
      </c>
      <c r="AS36" s="6" t="s">
        <v>169</v>
      </c>
      <c r="AT36" s="6" t="s">
        <v>132</v>
      </c>
      <c r="AU36" s="8">
        <v>1.6451066511652356E-2</v>
      </c>
      <c r="AV36" s="7">
        <v>1.1769699550279757E-2</v>
      </c>
      <c r="AW36" s="8">
        <v>1.2186497029945884E-2</v>
      </c>
      <c r="AX36" s="8">
        <v>7.469882464467217E-3</v>
      </c>
      <c r="AY36" s="8">
        <v>6.6348718375146103E-3</v>
      </c>
      <c r="AZ36" s="8">
        <v>5.6533965913607388E-3</v>
      </c>
      <c r="BA36" s="8">
        <v>9.8682663465054221E-3</v>
      </c>
      <c r="BB36" s="8">
        <v>1.3620820846314914E-2</v>
      </c>
      <c r="BC36" s="8">
        <v>1.2155439194705547E-2</v>
      </c>
      <c r="BD36" s="8">
        <v>1.7949953751865144E-2</v>
      </c>
      <c r="BE36" s="8">
        <v>7.9141957720514876E-3</v>
      </c>
      <c r="BF36" s="8">
        <v>5.1799904349682999E-3</v>
      </c>
      <c r="BG36" s="8">
        <v>5.3554805176895008E-3</v>
      </c>
      <c r="BH36" s="8">
        <v>7.5111883000517996E-3</v>
      </c>
      <c r="BI36" s="8">
        <v>5.9073283058540009E-3</v>
      </c>
      <c r="BJ36" s="8">
        <v>8.1823649644148528E-3</v>
      </c>
      <c r="BK36" s="8">
        <v>2.3217252960675842E-2</v>
      </c>
      <c r="BL36" s="7">
        <v>2.6126232777498315E-2</v>
      </c>
      <c r="BM36" s="8">
        <v>1.4945095631932493E-2</v>
      </c>
      <c r="BN36" s="8">
        <v>9.8091240789741161E-3</v>
      </c>
      <c r="BO36" s="8">
        <v>3.5074497479116978E-2</v>
      </c>
      <c r="BP36" s="8">
        <v>1.2563308479565993E-2</v>
      </c>
      <c r="BQ36" s="8">
        <v>1.9097802002157709E-2</v>
      </c>
      <c r="BR36" s="8">
        <v>1.9509019344979377E-2</v>
      </c>
      <c r="BS36" s="8">
        <v>2.6726799382990697E-2</v>
      </c>
      <c r="BT36" s="7">
        <v>3.3435475532559697E-2</v>
      </c>
      <c r="BU36" s="8">
        <v>2.4076304417781087E-2</v>
      </c>
      <c r="BV36" s="8">
        <v>1.4059447394823985E-2</v>
      </c>
      <c r="BW36" s="8">
        <v>1.2369722618594934E-2</v>
      </c>
      <c r="BX36" s="8">
        <v>1.6283603322391576E-2</v>
      </c>
      <c r="BY36" s="8">
        <v>1.5958033216341583E-2</v>
      </c>
      <c r="BZ36" s="7">
        <v>1.214945504634087E-2</v>
      </c>
      <c r="CA36" s="7">
        <v>5.3138891976148234E-3</v>
      </c>
      <c r="CB36" s="8">
        <v>7.9617279313820774E-3</v>
      </c>
      <c r="CC36" s="8">
        <v>5.3504922022614256E-3</v>
      </c>
      <c r="CD36" s="8">
        <v>8.1874677617296814E-3</v>
      </c>
      <c r="CE36" s="8">
        <v>1.1795578352844033E-2</v>
      </c>
      <c r="CF36" s="7">
        <v>1.0010636344548077E-2</v>
      </c>
      <c r="CG36" s="8">
        <v>7.2272483632785664E-3</v>
      </c>
      <c r="CH36" s="8">
        <v>1.6316736726595168E-2</v>
      </c>
      <c r="CJ36" s="6" t="s">
        <v>169</v>
      </c>
      <c r="CK36" s="6" t="s">
        <v>133</v>
      </c>
      <c r="CL36" s="8">
        <v>1.4132783640512405E-2</v>
      </c>
      <c r="CM36" s="8">
        <v>2.0531210776450273E-2</v>
      </c>
      <c r="CN36" s="8">
        <v>1.6164852421638235E-2</v>
      </c>
      <c r="CO36" s="8">
        <v>2.0349363586716979E-2</v>
      </c>
      <c r="CP36" s="7">
        <v>1.5848896551151782E-2</v>
      </c>
      <c r="CQ36" s="8">
        <v>1.2166329810095187E-2</v>
      </c>
      <c r="CR36" s="8">
        <v>6.1330796779272018E-3</v>
      </c>
      <c r="CS36" s="8">
        <v>5.0703620953811302E-3</v>
      </c>
      <c r="CT36" s="8">
        <v>1.1154669624760673E-2</v>
      </c>
      <c r="CU36" s="8">
        <v>1.205607640115982E-2</v>
      </c>
      <c r="CV36" s="8">
        <v>1.6795266658326511E-2</v>
      </c>
      <c r="CW36" s="8">
        <v>1.4394837990813035E-2</v>
      </c>
      <c r="CX36" s="8">
        <v>1.1301007896026696E-2</v>
      </c>
      <c r="CY36" s="8">
        <v>9.5096292261929241E-3</v>
      </c>
      <c r="CZ36" s="8">
        <v>1.1738074275197961E-2</v>
      </c>
      <c r="DA36" s="8">
        <v>9.8083846582061231E-3</v>
      </c>
      <c r="DB36" s="8">
        <v>8.6859047913500596E-3</v>
      </c>
      <c r="DC36" s="8">
        <v>1.2684145035605929E-2</v>
      </c>
      <c r="DD36" s="8">
        <v>2.6521082210545509E-2</v>
      </c>
      <c r="DE36" s="8">
        <v>2.8494989043352952E-2</v>
      </c>
      <c r="DF36" s="8">
        <v>2.6489071518445626E-2</v>
      </c>
      <c r="DG36" s="8">
        <v>5.3545021592411847E-2</v>
      </c>
      <c r="DH36" s="8">
        <v>4.8775747977277295E-2</v>
      </c>
      <c r="DI36" s="8">
        <v>2.6789861900543974E-2</v>
      </c>
      <c r="DJ36" s="8">
        <v>2.405903042867634E-2</v>
      </c>
      <c r="DK36" s="8">
        <v>3.27411279707902E-2</v>
      </c>
      <c r="DL36" s="8">
        <v>3.7519022710927323E-2</v>
      </c>
      <c r="DM36" s="8">
        <v>5.7110610491648894E-2</v>
      </c>
      <c r="DN36" s="8">
        <v>4.2445271170469305E-2</v>
      </c>
      <c r="DO36" s="7">
        <v>2.2775495256773158E-2</v>
      </c>
      <c r="DP36" s="8">
        <v>1.6780042778063803E-2</v>
      </c>
      <c r="DQ36" s="8">
        <v>1.7013208214630319E-2</v>
      </c>
      <c r="DR36" s="8">
        <v>2.0027468592114829E-2</v>
      </c>
      <c r="DS36" s="8">
        <v>1.6924057024515077E-2</v>
      </c>
      <c r="DT36" s="7">
        <v>1.0654376028197365E-2</v>
      </c>
      <c r="DU36" s="8">
        <v>9.6116816751648758E-3</v>
      </c>
      <c r="DV36" s="8">
        <v>1.1234381070115857E-2</v>
      </c>
      <c r="DW36" s="8">
        <v>1.4145290712160669E-2</v>
      </c>
      <c r="DX36" s="8">
        <v>1.3818962041436757E-2</v>
      </c>
      <c r="DY36" s="8">
        <v>5.650747736978449E-3</v>
      </c>
      <c r="EA36" s="6" t="s">
        <v>169</v>
      </c>
      <c r="EB36" s="6" t="s">
        <v>134</v>
      </c>
      <c r="EC36" s="8">
        <v>6.3639046809806921E-2</v>
      </c>
      <c r="ED36" s="8">
        <v>6.3649416742805998E-2</v>
      </c>
      <c r="EE36" s="8">
        <v>6.2766302442233607E-2</v>
      </c>
      <c r="EF36" s="8">
        <v>5.7291270845944077E-2</v>
      </c>
      <c r="EG36" s="8">
        <v>6.420920142863179E-2</v>
      </c>
      <c r="EH36" s="8">
        <v>7.3291152473179091E-2</v>
      </c>
      <c r="EI36" s="8">
        <v>8.0107613873726433E-2</v>
      </c>
      <c r="EJ36" s="8">
        <v>8.1134610070206531E-2</v>
      </c>
      <c r="EK36" s="8">
        <v>7.6506419921409538E-2</v>
      </c>
      <c r="EL36" s="8">
        <v>7.2675808409013207E-2</v>
      </c>
      <c r="EM36" s="8">
        <v>0.11575402507366908</v>
      </c>
      <c r="EN36" s="8">
        <v>0.1214500669873913</v>
      </c>
      <c r="EO36" s="8">
        <v>0.12741756544461</v>
      </c>
      <c r="EP36" s="8">
        <v>0.13429687390911574</v>
      </c>
      <c r="EQ36" s="8">
        <v>0.13953117254954095</v>
      </c>
      <c r="ER36" s="8">
        <v>0.13363989953798244</v>
      </c>
      <c r="ES36" s="7">
        <v>0.12383682850418844</v>
      </c>
      <c r="ET36" s="8">
        <v>0.11219748271430864</v>
      </c>
      <c r="EU36" s="8">
        <v>0.10363262827996615</v>
      </c>
      <c r="EV36" s="8">
        <v>0.10128007455075196</v>
      </c>
      <c r="EW36" s="8">
        <v>0.13948165803797349</v>
      </c>
      <c r="EX36" s="8">
        <v>0.12595111846587742</v>
      </c>
      <c r="EY36" s="8">
        <v>0.12898080549458124</v>
      </c>
      <c r="EZ36" s="8">
        <v>0.15813446253472938</v>
      </c>
      <c r="FA36" s="8">
        <v>0.16424191953952474</v>
      </c>
      <c r="FB36" s="8">
        <v>0.1648594693229736</v>
      </c>
      <c r="FC36" s="8">
        <v>0.16893509099090775</v>
      </c>
      <c r="FD36" s="7">
        <v>0.1460376348552537</v>
      </c>
      <c r="FE36" s="8">
        <v>0.1464475919813446</v>
      </c>
      <c r="FF36" s="8">
        <v>0.15516847677484713</v>
      </c>
      <c r="FG36" s="8">
        <v>6.6383714401993976E-2</v>
      </c>
      <c r="FH36" s="8">
        <v>8.0732611543892191E-2</v>
      </c>
      <c r="FI36" s="8">
        <v>8.8060672973410192E-2</v>
      </c>
      <c r="FJ36" s="8">
        <v>9.062913871924784E-2</v>
      </c>
      <c r="FK36" s="8">
        <v>9.2177146329169596E-2</v>
      </c>
      <c r="FL36" s="8">
        <v>8.30953290720296E-2</v>
      </c>
      <c r="FM36" s="8">
        <v>7.9330945751546464E-2</v>
      </c>
      <c r="FN36" s="8">
        <v>7.8402607820874645E-2</v>
      </c>
      <c r="FO36" s="8">
        <v>7.2800990686278516E-2</v>
      </c>
      <c r="FP36" s="8">
        <v>7.4510870088405734E-2</v>
      </c>
      <c r="FZ36" s="6" t="s">
        <v>169</v>
      </c>
      <c r="GA36" s="8">
        <v>0.68832832396930244</v>
      </c>
      <c r="GB36" s="8">
        <v>0.68577139982147328</v>
      </c>
      <c r="GC36" s="7">
        <v>0.69461277883114714</v>
      </c>
      <c r="GD36" s="8">
        <v>0.70149027785886953</v>
      </c>
      <c r="GE36" s="8">
        <v>0.69631952952809562</v>
      </c>
      <c r="GF36" s="8">
        <v>0.68413545860529223</v>
      </c>
      <c r="GG36" s="8">
        <v>0.6655974254046535</v>
      </c>
      <c r="GH36" s="8">
        <v>0.66461534538092082</v>
      </c>
      <c r="GI36" s="8">
        <v>0.66665909231483877</v>
      </c>
      <c r="GJ36" s="8">
        <v>0.66714507400379386</v>
      </c>
      <c r="GK36" s="7">
        <v>0.57666176954028958</v>
      </c>
      <c r="GL36" s="8">
        <v>0.57397930980473977</v>
      </c>
      <c r="GM36" s="8">
        <v>0.56912825545827228</v>
      </c>
      <c r="GN36" s="8">
        <v>0.55667869776201595</v>
      </c>
      <c r="GO36" s="8">
        <v>0.54228020128705778</v>
      </c>
      <c r="GP36" s="8">
        <v>0.53829018138128715</v>
      </c>
      <c r="GQ36" s="8">
        <v>0.53715546417765248</v>
      </c>
      <c r="GR36" s="8">
        <v>0.54613595857664665</v>
      </c>
      <c r="GS36" s="8">
        <v>0.5642311291713128</v>
      </c>
      <c r="GT36" s="7">
        <v>0.57591681545349349</v>
      </c>
      <c r="GU36" s="7">
        <v>0.35365256891519303</v>
      </c>
      <c r="GV36" s="8">
        <v>0.3582560671461591</v>
      </c>
      <c r="GW36" s="8">
        <v>0.37077730990471641</v>
      </c>
      <c r="GX36" s="8">
        <v>0.36589357309865456</v>
      </c>
      <c r="GY36" s="8">
        <v>0.34613663214623419</v>
      </c>
      <c r="GZ36" s="8">
        <v>0.33664220133414663</v>
      </c>
      <c r="HA36" s="8">
        <v>0.3434562965763906</v>
      </c>
      <c r="HB36" s="8">
        <v>0.36060360515135437</v>
      </c>
      <c r="HC36" s="8">
        <v>0.37353052951604265</v>
      </c>
      <c r="HD36" s="7">
        <v>0.37329131027194506</v>
      </c>
      <c r="HE36" s="8">
        <v>0.65272355434217477</v>
      </c>
      <c r="HF36" s="7">
        <v>0.63355229712285788</v>
      </c>
      <c r="HG36" s="8">
        <v>0.62325020976464574</v>
      </c>
      <c r="HH36" s="8">
        <v>0.61618794746935024</v>
      </c>
      <c r="HI36" s="8">
        <v>0.62504820521553295</v>
      </c>
      <c r="HJ36" s="8">
        <v>0.63905567486710746</v>
      </c>
      <c r="HK36" s="8">
        <v>0.64171104238594223</v>
      </c>
      <c r="HL36" s="8">
        <v>0.65138450530609038</v>
      </c>
      <c r="HM36" s="7">
        <v>0.66836404121736936</v>
      </c>
      <c r="HN36" s="8">
        <v>0.66404759942762115</v>
      </c>
      <c r="HP36" s="6" t="s">
        <v>170</v>
      </c>
      <c r="HQ36" s="6" t="s">
        <v>140</v>
      </c>
      <c r="HR36" s="6" t="s">
        <v>141</v>
      </c>
      <c r="HS36" s="8">
        <v>0.59888363603489358</v>
      </c>
    </row>
    <row r="37" spans="2:227" x14ac:dyDescent="0.45">
      <c r="B37" s="3" t="s">
        <v>171</v>
      </c>
      <c r="C37" s="3" t="s">
        <v>131</v>
      </c>
      <c r="D37" s="5">
        <v>0.21840537280111955</v>
      </c>
      <c r="E37" s="5">
        <v>0.21433668982862092</v>
      </c>
      <c r="F37" s="5">
        <v>0.20889293894871674</v>
      </c>
      <c r="G37" s="5">
        <v>0.20577329327881311</v>
      </c>
      <c r="H37" s="5">
        <v>0.21462965116663543</v>
      </c>
      <c r="I37" s="5">
        <v>0.21537402417587409</v>
      </c>
      <c r="J37" s="5">
        <v>0.22084987280442417</v>
      </c>
      <c r="K37" s="5">
        <v>0.21383586889213296</v>
      </c>
      <c r="L37" s="5">
        <v>0.20539333289776623</v>
      </c>
      <c r="M37" s="5">
        <v>0.20572239243056192</v>
      </c>
      <c r="N37" s="5">
        <v>0.31549398541317825</v>
      </c>
      <c r="O37" s="5">
        <v>0.32313237481153073</v>
      </c>
      <c r="P37" s="5">
        <v>0.33253424722979386</v>
      </c>
      <c r="Q37" s="5">
        <v>0.34888574475710821</v>
      </c>
      <c r="R37" s="5">
        <v>0.35199822163428096</v>
      </c>
      <c r="S37" s="5">
        <v>0.33502108653229662</v>
      </c>
      <c r="T37" s="5">
        <v>0.30785450051584035</v>
      </c>
      <c r="U37" s="5">
        <v>0.28524808194955054</v>
      </c>
      <c r="V37" s="5">
        <v>0.2840115812623889</v>
      </c>
      <c r="W37" s="5">
        <v>0.28926971263917861</v>
      </c>
      <c r="X37" s="5">
        <v>0.30271619703419628</v>
      </c>
      <c r="Y37" s="5">
        <v>0.30905127683216865</v>
      </c>
      <c r="Z37" s="5">
        <v>0.31237384552156433</v>
      </c>
      <c r="AA37" s="5">
        <v>0.32035296979035122</v>
      </c>
      <c r="AB37" s="5">
        <v>0.32807977657220627</v>
      </c>
      <c r="AC37" s="5">
        <v>0.3226747504486987</v>
      </c>
      <c r="AD37" s="5">
        <v>0.31901451641712564</v>
      </c>
      <c r="AE37" s="5">
        <v>0.31910781755939394</v>
      </c>
      <c r="AF37" s="5">
        <v>0.32542742382648843</v>
      </c>
      <c r="AG37" s="5">
        <v>0.32646264849684692</v>
      </c>
      <c r="AH37" s="5">
        <v>0.23928923153860848</v>
      </c>
      <c r="AI37" s="5">
        <v>0.23350005162323212</v>
      </c>
      <c r="AJ37" s="5">
        <v>0.23604651903678206</v>
      </c>
      <c r="AK37" s="5">
        <v>0.23619290274364185</v>
      </c>
      <c r="AL37" s="5">
        <v>0.24046231721147909</v>
      </c>
      <c r="AM37" s="5">
        <v>0.24638217743473378</v>
      </c>
      <c r="AN37" s="5">
        <v>0.24520626560139905</v>
      </c>
      <c r="AO37" s="5">
        <v>0.2304828836109048</v>
      </c>
      <c r="AP37" s="5">
        <v>0.21656954481129723</v>
      </c>
      <c r="AQ37" s="5">
        <v>0.22383545986441583</v>
      </c>
      <c r="AS37" s="3" t="s">
        <v>171</v>
      </c>
      <c r="AT37" s="3" t="s">
        <v>132</v>
      </c>
      <c r="AU37" s="5">
        <v>1.4274285191991053E-2</v>
      </c>
      <c r="AV37" s="4">
        <v>8.8279366568422366E-3</v>
      </c>
      <c r="AW37" s="5">
        <v>1.1548649060389627E-2</v>
      </c>
      <c r="AX37" s="5">
        <v>1.5381070465333086E-2</v>
      </c>
      <c r="AY37" s="5">
        <v>1.1929608388131521E-2</v>
      </c>
      <c r="AZ37" s="5">
        <v>1.0758179340263371E-2</v>
      </c>
      <c r="BA37" s="5">
        <v>1.3794781417414737E-2</v>
      </c>
      <c r="BB37" s="5">
        <v>1.377689202384568E-2</v>
      </c>
      <c r="BC37" s="5">
        <v>1.0982561926210386E-2</v>
      </c>
      <c r="BD37" s="5">
        <v>1.6625786296392012E-2</v>
      </c>
      <c r="BE37" s="5">
        <v>1.4458283039765842E-2</v>
      </c>
      <c r="BF37" s="5">
        <v>1.3660953138896427E-2</v>
      </c>
      <c r="BG37" s="5">
        <v>1.2445968728627632E-2</v>
      </c>
      <c r="BH37" s="5">
        <v>7.4248922846875936E-3</v>
      </c>
      <c r="BI37" s="5">
        <v>1.0527544855128846E-2</v>
      </c>
      <c r="BJ37" s="5">
        <v>2.2664321887851377E-2</v>
      </c>
      <c r="BK37" s="5">
        <v>2.3931191886852485E-2</v>
      </c>
      <c r="BL37" s="4">
        <v>2.2921028141392148E-2</v>
      </c>
      <c r="BM37" s="5">
        <v>1.2176342069591355E-2</v>
      </c>
      <c r="BN37" s="5">
        <v>1.8532208530416608E-2</v>
      </c>
      <c r="BO37" s="5">
        <v>1.4099609340228896E-2</v>
      </c>
      <c r="BP37" s="5">
        <v>1.8744731232343336E-2</v>
      </c>
      <c r="BQ37" s="5">
        <v>2.1609497695015106E-2</v>
      </c>
      <c r="BR37" s="5">
        <v>1.5865465364679119E-2</v>
      </c>
      <c r="BS37" s="5">
        <v>1.8593317584269471E-2</v>
      </c>
      <c r="BT37" s="4">
        <v>2.8939090849347444E-2</v>
      </c>
      <c r="BU37" s="5">
        <v>1.725327263448475E-2</v>
      </c>
      <c r="BV37" s="5">
        <v>1.5935563400841731E-2</v>
      </c>
      <c r="BW37" s="5">
        <v>1.3372277795395696E-2</v>
      </c>
      <c r="BX37" s="5">
        <v>9.5007543374177154E-3</v>
      </c>
      <c r="BY37" s="5">
        <v>1.3208322668881745E-2</v>
      </c>
      <c r="BZ37" s="4">
        <v>8.2885328219468729E-3</v>
      </c>
      <c r="CA37" s="4">
        <v>5.2367417565163691E-3</v>
      </c>
      <c r="CB37" s="5">
        <v>9.747987054718606E-3</v>
      </c>
      <c r="CC37" s="5">
        <v>1.1406341052278451E-2</v>
      </c>
      <c r="CD37" s="5">
        <v>1.5738103955448734E-2</v>
      </c>
      <c r="CE37" s="5">
        <v>1.7068728192852375E-2</v>
      </c>
      <c r="CF37" s="4">
        <v>1.3765178780531235E-2</v>
      </c>
      <c r="CG37" s="5">
        <v>1.119808808883698E-2</v>
      </c>
      <c r="CH37" s="5">
        <v>1.5476331326767264E-2</v>
      </c>
      <c r="CJ37" s="3" t="s">
        <v>171</v>
      </c>
      <c r="CK37" s="3" t="s">
        <v>133</v>
      </c>
      <c r="CL37" s="5">
        <v>1.1871007409553885E-2</v>
      </c>
      <c r="CM37" s="5">
        <v>2.0016503262143773E-2</v>
      </c>
      <c r="CN37" s="5">
        <v>1.0689939115164804E-2</v>
      </c>
      <c r="CO37" s="5">
        <v>6.609850045309249E-3</v>
      </c>
      <c r="CP37" s="4">
        <v>8.8771378439079091E-3</v>
      </c>
      <c r="CQ37" s="5">
        <v>1.3549203799726711E-2</v>
      </c>
      <c r="CR37" s="5">
        <v>1.5113907148853852E-2</v>
      </c>
      <c r="CS37" s="5">
        <v>1.1179515377881817E-2</v>
      </c>
      <c r="CT37" s="5">
        <v>1.5563288568782732E-2</v>
      </c>
      <c r="CU37" s="5">
        <v>9.6486029073351662E-3</v>
      </c>
      <c r="CV37" s="5">
        <v>2.2792349208773974E-2</v>
      </c>
      <c r="CW37" s="5">
        <v>2.5243564301546416E-2</v>
      </c>
      <c r="CX37" s="5">
        <v>2.4707215706236501E-2</v>
      </c>
      <c r="CY37" s="5">
        <v>2.3195732282930821E-2</v>
      </c>
      <c r="CZ37" s="5">
        <v>1.5006860417045896E-2</v>
      </c>
      <c r="DA37" s="5">
        <v>1.2035565380156328E-2</v>
      </c>
      <c r="DB37" s="5">
        <v>1.1956268234703632E-2</v>
      </c>
      <c r="DC37" s="5">
        <v>2.0092291025027464E-2</v>
      </c>
      <c r="DD37" s="5">
        <v>3.4159865993293743E-2</v>
      </c>
      <c r="DE37" s="5">
        <v>2.8446623582437835E-2</v>
      </c>
      <c r="DF37" s="5">
        <v>7.5489137480627038E-3</v>
      </c>
      <c r="DG37" s="5">
        <v>2.149977788324204E-2</v>
      </c>
      <c r="DH37" s="5">
        <v>2.4913684038684655E-2</v>
      </c>
      <c r="DI37" s="5">
        <v>3.0367070361514138E-2</v>
      </c>
      <c r="DJ37" s="5">
        <v>3.674275042477794E-2</v>
      </c>
      <c r="DK37" s="5">
        <v>2.8869853487984484E-2</v>
      </c>
      <c r="DL37" s="5">
        <v>3.8220340925200068E-2</v>
      </c>
      <c r="DM37" s="5">
        <v>4.7486897183984224E-2</v>
      </c>
      <c r="DN37" s="5">
        <v>3.8869314347085897E-2</v>
      </c>
      <c r="DO37" s="4">
        <v>2.0102269270431065E-2</v>
      </c>
      <c r="DP37" s="5">
        <v>1.7444496402927015E-2</v>
      </c>
      <c r="DQ37" s="5">
        <v>1.8905711919569031E-2</v>
      </c>
      <c r="DR37" s="5">
        <v>1.7579010617951224E-2</v>
      </c>
      <c r="DS37" s="5">
        <v>1.4081875716642888E-2</v>
      </c>
      <c r="DT37" s="4">
        <v>7.8969049744868191E-3</v>
      </c>
      <c r="DU37" s="5">
        <v>1.0028049348857383E-2</v>
      </c>
      <c r="DV37" s="5">
        <v>1.42460603369109E-2</v>
      </c>
      <c r="DW37" s="5">
        <v>1.4833211909806909E-2</v>
      </c>
      <c r="DX37" s="5">
        <v>1.7996075830945531E-2</v>
      </c>
      <c r="DY37" s="5">
        <v>9.1526945479247397E-3</v>
      </c>
      <c r="EA37" s="3" t="s">
        <v>171</v>
      </c>
      <c r="EB37" s="3" t="s">
        <v>134</v>
      </c>
      <c r="EC37" s="5">
        <v>6.892033269534116E-2</v>
      </c>
      <c r="ED37" s="5">
        <v>6.7950634413766267E-2</v>
      </c>
      <c r="EE37" s="5">
        <v>6.544830802058009E-2</v>
      </c>
      <c r="EF37" s="5">
        <v>6.6541078240624829E-2</v>
      </c>
      <c r="EG37" s="5">
        <v>7.5565077205110617E-2</v>
      </c>
      <c r="EH37" s="5">
        <v>7.8095690706805942E-2</v>
      </c>
      <c r="EI37" s="5">
        <v>7.7633913475550598E-2</v>
      </c>
      <c r="EJ37" s="5">
        <v>7.2334791397207943E-2</v>
      </c>
      <c r="EK37" s="5">
        <v>6.3404779205536901E-2</v>
      </c>
      <c r="EL37" s="5">
        <v>6.3765026197307215E-2</v>
      </c>
      <c r="EM37" s="5">
        <v>0.12871488139135429</v>
      </c>
      <c r="EN37" s="5">
        <v>0.14031161957568916</v>
      </c>
      <c r="EO37" s="5">
        <v>0.15784169026237108</v>
      </c>
      <c r="EP37" s="5">
        <v>0.17622452908602723</v>
      </c>
      <c r="EQ37" s="5">
        <v>0.18159437039701185</v>
      </c>
      <c r="ER37" s="5">
        <v>0.15239402703278324</v>
      </c>
      <c r="ES37" s="4">
        <v>0.13338808175333083</v>
      </c>
      <c r="ET37" s="5">
        <v>0.10926020616825299</v>
      </c>
      <c r="EU37" s="5">
        <v>0.10500929452673829</v>
      </c>
      <c r="EV37" s="5">
        <v>0.10944250868200381</v>
      </c>
      <c r="EW37" s="5">
        <v>0.17104847728232966</v>
      </c>
      <c r="EX37" s="5">
        <v>0.14928749833844082</v>
      </c>
      <c r="EY37" s="5">
        <v>0.14687319228792212</v>
      </c>
      <c r="EZ37" s="5">
        <v>0.14315348397750166</v>
      </c>
      <c r="FA37" s="5">
        <v>0.13737884269422548</v>
      </c>
      <c r="FB37" s="5">
        <v>0.13655126466352024</v>
      </c>
      <c r="FC37" s="5">
        <v>0.1348547914717185</v>
      </c>
      <c r="FD37" s="4">
        <v>0.13569707289654034</v>
      </c>
      <c r="FE37" s="5">
        <v>0.15449153418131223</v>
      </c>
      <c r="FF37" s="5">
        <v>0.17584300435698014</v>
      </c>
      <c r="FG37" s="5">
        <v>8.2072596806981146E-2</v>
      </c>
      <c r="FH37" s="5">
        <v>9.320410407287083E-2</v>
      </c>
      <c r="FI37" s="5">
        <v>9.2890418059699192E-2</v>
      </c>
      <c r="FJ37" s="5">
        <v>9.4769480995015157E-2</v>
      </c>
      <c r="FK37" s="5">
        <v>0.10263195514540477</v>
      </c>
      <c r="FL37" s="5">
        <v>9.5874881384544114E-2</v>
      </c>
      <c r="FM37" s="5">
        <v>9.2599446174423297E-2</v>
      </c>
      <c r="FN37" s="5">
        <v>9.1124856835326382E-2</v>
      </c>
      <c r="FO37" s="5">
        <v>8.1533763456439576E-2</v>
      </c>
      <c r="FP37" s="5">
        <v>7.9946463380864696E-2</v>
      </c>
      <c r="FZ37" s="3" t="s">
        <v>171</v>
      </c>
      <c r="GA37" s="5">
        <v>0.68168014283037059</v>
      </c>
      <c r="GB37" s="5">
        <v>0.67333892287927211</v>
      </c>
      <c r="GC37" s="4">
        <v>0.68903518194560287</v>
      </c>
      <c r="GD37" s="5">
        <v>0.6840597715825788</v>
      </c>
      <c r="GE37" s="5">
        <v>0.66043520640376685</v>
      </c>
      <c r="GF37" s="5">
        <v>0.65421391662995099</v>
      </c>
      <c r="GG37" s="5">
        <v>0.65196474818927963</v>
      </c>
      <c r="GH37" s="5">
        <v>0.66372188193883663</v>
      </c>
      <c r="GI37" s="5">
        <v>0.67925536486180937</v>
      </c>
      <c r="GJ37" s="5">
        <v>0.68509110419946739</v>
      </c>
      <c r="GK37" s="4">
        <v>0.52903990084152663</v>
      </c>
      <c r="GL37" s="5">
        <v>0.49879220166197569</v>
      </c>
      <c r="GM37" s="5">
        <v>0.48389067207189684</v>
      </c>
      <c r="GN37" s="5">
        <v>0.47835341380358049</v>
      </c>
      <c r="GO37" s="5">
        <v>0.48277052990207237</v>
      </c>
      <c r="GP37" s="5">
        <v>0.50242221310766166</v>
      </c>
      <c r="GQ37" s="5">
        <v>0.53004942588544457</v>
      </c>
      <c r="GR37" s="5">
        <v>0.55071148151308191</v>
      </c>
      <c r="GS37" s="5">
        <v>0.55616278695035881</v>
      </c>
      <c r="GT37" s="4">
        <v>0.55129669055391384</v>
      </c>
      <c r="GU37" s="4">
        <v>0.39623217244242265</v>
      </c>
      <c r="GV37" s="5">
        <v>0.40404518372134096</v>
      </c>
      <c r="GW37" s="5">
        <v>0.4107335937561522</v>
      </c>
      <c r="GX37" s="5">
        <v>0.41180308437498253</v>
      </c>
      <c r="GY37" s="5">
        <v>0.40901467905375766</v>
      </c>
      <c r="GZ37" s="5">
        <v>0.40433054898768467</v>
      </c>
      <c r="HA37" s="5">
        <v>0.40073282929384096</v>
      </c>
      <c r="HB37" s="5">
        <v>0.39999966006823312</v>
      </c>
      <c r="HC37" s="5">
        <v>0.39896176613625917</v>
      </c>
      <c r="HD37" s="4">
        <v>0.39325954030503141</v>
      </c>
      <c r="HE37" s="5">
        <v>0.63375977765027447</v>
      </c>
      <c r="HF37" s="4">
        <v>0.62245007903366334</v>
      </c>
      <c r="HG37" s="5">
        <v>0.62475461151702116</v>
      </c>
      <c r="HH37" s="5">
        <v>0.61614987074038818</v>
      </c>
      <c r="HI37" s="5">
        <v>0.60760832095569539</v>
      </c>
      <c r="HJ37" s="5">
        <v>0.60785716284812075</v>
      </c>
      <c r="HK37" s="5">
        <v>0.60913648082553473</v>
      </c>
      <c r="HL37" s="5">
        <v>0.61984602096748798</v>
      </c>
      <c r="HM37" s="4">
        <v>0.63919391919603419</v>
      </c>
      <c r="HN37" s="5">
        <v>0.64576112903930838</v>
      </c>
      <c r="HP37" s="3" t="s">
        <v>172</v>
      </c>
      <c r="HQ37" s="3" t="s">
        <v>140</v>
      </c>
      <c r="HR37" s="3" t="s">
        <v>141</v>
      </c>
      <c r="HS37" s="5">
        <v>0.70514426479572045</v>
      </c>
    </row>
    <row r="38" spans="2:227" x14ac:dyDescent="0.45">
      <c r="B38" s="6" t="s">
        <v>173</v>
      </c>
      <c r="C38" s="6" t="s">
        <v>131</v>
      </c>
      <c r="D38" s="8">
        <v>0.20016782223070115</v>
      </c>
      <c r="E38" s="8">
        <v>0.19987627446791895</v>
      </c>
      <c r="F38" s="8">
        <v>0.18881525474147284</v>
      </c>
      <c r="G38" s="8">
        <v>0.16811389038666424</v>
      </c>
      <c r="H38" s="8">
        <v>0.1759124440299861</v>
      </c>
      <c r="I38" s="8">
        <v>0.19679253194123941</v>
      </c>
      <c r="J38" s="8">
        <v>0.21547271260876907</v>
      </c>
      <c r="K38" s="8">
        <v>0.20413341466082607</v>
      </c>
      <c r="L38" s="8">
        <v>0.19168427004334404</v>
      </c>
      <c r="M38" s="8">
        <v>0.19857523819354905</v>
      </c>
      <c r="N38" s="8">
        <v>0.3094243091518401</v>
      </c>
      <c r="O38" s="8">
        <v>0.32222010881023477</v>
      </c>
      <c r="P38" s="8">
        <v>0.31973236594006516</v>
      </c>
      <c r="Q38" s="8">
        <v>0.31972018577880956</v>
      </c>
      <c r="R38" s="8">
        <v>0.31070696065011177</v>
      </c>
      <c r="S38" s="8">
        <v>0.30171047070763263</v>
      </c>
      <c r="T38" s="8">
        <v>0.30207559736093281</v>
      </c>
      <c r="U38" s="8">
        <v>0.28572450730486976</v>
      </c>
      <c r="V38" s="8">
        <v>0.27764548981895915</v>
      </c>
      <c r="W38" s="8">
        <v>0.28520444765002628</v>
      </c>
      <c r="X38" s="8">
        <v>0.30721141082600217</v>
      </c>
      <c r="Y38" s="8">
        <v>0.3046211875546711</v>
      </c>
      <c r="Z38" s="8">
        <v>0.30645555217997389</v>
      </c>
      <c r="AA38" s="8">
        <v>0.30985050874706654</v>
      </c>
      <c r="AB38" s="8">
        <v>0.30482383430667298</v>
      </c>
      <c r="AC38" s="8">
        <v>0.29445141426938348</v>
      </c>
      <c r="AD38" s="8">
        <v>0.29358178233912413</v>
      </c>
      <c r="AE38" s="8">
        <v>0.31268858516368397</v>
      </c>
      <c r="AF38" s="8">
        <v>0.32340032867493912</v>
      </c>
      <c r="AG38" s="8">
        <v>0.32567339490242181</v>
      </c>
      <c r="AH38" s="8">
        <v>0.24749131143840478</v>
      </c>
      <c r="AI38" s="8">
        <v>0.24284215509466306</v>
      </c>
      <c r="AJ38" s="8">
        <v>0.24311139584863045</v>
      </c>
      <c r="AK38" s="8">
        <v>0.25230947255385933</v>
      </c>
      <c r="AL38" s="8">
        <v>0.26121881050233259</v>
      </c>
      <c r="AM38" s="8">
        <v>0.25898425106880513</v>
      </c>
      <c r="AN38" s="8">
        <v>0.25501784114533543</v>
      </c>
      <c r="AO38" s="8">
        <v>0.24788853198002403</v>
      </c>
      <c r="AP38" s="8">
        <v>0.25242679739843882</v>
      </c>
      <c r="AQ38" s="8">
        <v>0.25538651890838432</v>
      </c>
      <c r="AS38" s="6" t="s">
        <v>173</v>
      </c>
      <c r="AT38" s="6" t="s">
        <v>132</v>
      </c>
      <c r="AU38" s="8">
        <v>1.0867804309649693E-2</v>
      </c>
      <c r="AV38" s="7">
        <v>1.3112424937479532E-2</v>
      </c>
      <c r="AW38" s="8">
        <v>1.0865638703974129E-2</v>
      </c>
      <c r="AX38" s="8">
        <v>1.3908477448906588E-2</v>
      </c>
      <c r="AY38" s="8">
        <v>2.0373655277621656E-2</v>
      </c>
      <c r="AZ38" s="8">
        <v>1.7742045761907788E-2</v>
      </c>
      <c r="BA38" s="8">
        <v>6.2539483044589169E-3</v>
      </c>
      <c r="BB38" s="8">
        <v>7.3068897671639144E-3</v>
      </c>
      <c r="BC38" s="8">
        <v>1.3185907653477864E-2</v>
      </c>
      <c r="BD38" s="8">
        <v>1.8079098525893303E-2</v>
      </c>
      <c r="BE38" s="8">
        <v>9.0575935732213342E-3</v>
      </c>
      <c r="BF38" s="8">
        <v>1.0812973926587909E-2</v>
      </c>
      <c r="BG38" s="8">
        <v>9.3405670005594511E-3</v>
      </c>
      <c r="BH38" s="8">
        <v>1.1961426592788607E-2</v>
      </c>
      <c r="BI38" s="8">
        <v>1.351823010627241E-2</v>
      </c>
      <c r="BJ38" s="8">
        <v>1.3582291030595347E-2</v>
      </c>
      <c r="BK38" s="8">
        <v>2.9434637358960555E-2</v>
      </c>
      <c r="BL38" s="7">
        <v>3.1162226482529913E-2</v>
      </c>
      <c r="BM38" s="8">
        <v>1.6093545954045021E-2</v>
      </c>
      <c r="BN38" s="8">
        <v>1.6157655309772794E-2</v>
      </c>
      <c r="BO38" s="8">
        <v>1.6653393821644758E-2</v>
      </c>
      <c r="BP38" s="8">
        <v>1.4497181820904367E-2</v>
      </c>
      <c r="BQ38" s="8">
        <v>6.4510218511214818E-3</v>
      </c>
      <c r="BR38" s="8">
        <v>1.3288275056336606E-2</v>
      </c>
      <c r="BS38" s="8">
        <v>9.2849996650517536E-3</v>
      </c>
      <c r="BT38" s="7">
        <v>9.9445708682839497E-3</v>
      </c>
      <c r="BU38" s="8">
        <v>1.1703357928154946E-2</v>
      </c>
      <c r="BV38" s="8">
        <v>2.0248009129738131E-2</v>
      </c>
      <c r="BW38" s="8">
        <v>1.3146886632443937E-2</v>
      </c>
      <c r="BX38" s="8">
        <v>1.9840107326938188E-2</v>
      </c>
      <c r="BY38" s="8">
        <v>8.9063119885424355E-3</v>
      </c>
      <c r="BZ38" s="7">
        <v>1.1562730185769633E-2</v>
      </c>
      <c r="CA38" s="7">
        <v>8.0767882183677454E-3</v>
      </c>
      <c r="CB38" s="8">
        <v>2.4355086196691531E-3</v>
      </c>
      <c r="CC38" s="8">
        <v>1.198110050543047E-2</v>
      </c>
      <c r="CD38" s="8">
        <v>1.9429189758158896E-2</v>
      </c>
      <c r="CE38" s="8">
        <v>2.3898238000791192E-2</v>
      </c>
      <c r="CF38" s="7">
        <v>1.9783297445841945E-2</v>
      </c>
      <c r="CG38" s="8">
        <v>2.4267118141860982E-2</v>
      </c>
      <c r="CH38" s="8">
        <v>1.8154592205795357E-2</v>
      </c>
      <c r="CJ38" s="6" t="s">
        <v>173</v>
      </c>
      <c r="CK38" s="6" t="s">
        <v>133</v>
      </c>
      <c r="CL38" s="8">
        <v>1.5008661989657519E-2</v>
      </c>
      <c r="CM38" s="8">
        <v>8.7213920541445444E-3</v>
      </c>
      <c r="CN38" s="8">
        <v>1.0180448671800589E-2</v>
      </c>
      <c r="CO38" s="8">
        <v>6.8672117515925848E-3</v>
      </c>
      <c r="CP38" s="7">
        <v>1.1356955486421723E-2</v>
      </c>
      <c r="CQ38" s="8">
        <v>1.889911097063874E-2</v>
      </c>
      <c r="CR38" s="8">
        <v>2.9494596923273678E-2</v>
      </c>
      <c r="CS38" s="8">
        <v>1.9109308660590657E-2</v>
      </c>
      <c r="CT38" s="8">
        <v>9.4216316022718433E-3</v>
      </c>
      <c r="CU38" s="8">
        <v>8.9561794488931187E-3</v>
      </c>
      <c r="CV38" s="8">
        <v>2.6188504205952121E-2</v>
      </c>
      <c r="CW38" s="8">
        <v>1.5360037391670005E-2</v>
      </c>
      <c r="CX38" s="8">
        <v>9.9896302779236314E-3</v>
      </c>
      <c r="CY38" s="8">
        <v>1.4251686425040549E-2</v>
      </c>
      <c r="CZ38" s="8">
        <v>1.3757795565900512E-2</v>
      </c>
      <c r="DA38" s="8">
        <v>1.4195203821667866E-2</v>
      </c>
      <c r="DB38" s="8">
        <v>9.7627326605719475E-3</v>
      </c>
      <c r="DC38" s="8">
        <v>1.6798235376503805E-2</v>
      </c>
      <c r="DD38" s="8">
        <v>2.9045909306646345E-2</v>
      </c>
      <c r="DE38" s="8">
        <v>3.5916238473893018E-2</v>
      </c>
      <c r="DF38" s="8">
        <v>1.9810251816789876E-2</v>
      </c>
      <c r="DG38" s="8">
        <v>2.241982792096053E-2</v>
      </c>
      <c r="DH38" s="8">
        <v>2.7471279373621128E-2</v>
      </c>
      <c r="DI38" s="8">
        <v>2.328456314830334E-2</v>
      </c>
      <c r="DJ38" s="8">
        <v>1.760995606374726E-2</v>
      </c>
      <c r="DK38" s="8">
        <v>1.7754024802925809E-2</v>
      </c>
      <c r="DL38" s="8">
        <v>1.6699269359459475E-2</v>
      </c>
      <c r="DM38" s="8">
        <v>1.5535371679590184E-2</v>
      </c>
      <c r="DN38" s="8">
        <v>2.0250798813964289E-2</v>
      </c>
      <c r="DO38" s="7">
        <v>2.2914780082416094E-2</v>
      </c>
      <c r="DP38" s="8">
        <v>1.9555247061897301E-2</v>
      </c>
      <c r="DQ38" s="8">
        <v>7.0733213411475759E-3</v>
      </c>
      <c r="DR38" s="8">
        <v>6.2853941862512875E-3</v>
      </c>
      <c r="DS38" s="8">
        <v>1.1580267713177802E-2</v>
      </c>
      <c r="DT38" s="7">
        <v>1.0897540926969896E-2</v>
      </c>
      <c r="DU38" s="8">
        <v>3.0568187116511098E-3</v>
      </c>
      <c r="DV38" s="8">
        <v>7.9413274149017672E-3</v>
      </c>
      <c r="DW38" s="8">
        <v>1.8887868554101031E-2</v>
      </c>
      <c r="DX38" s="8">
        <v>2.3358949986630316E-2</v>
      </c>
      <c r="DY38" s="8">
        <v>2.2601751385671786E-2</v>
      </c>
      <c r="EA38" s="6" t="s">
        <v>173</v>
      </c>
      <c r="EB38" s="6" t="s">
        <v>134</v>
      </c>
      <c r="EC38" s="8">
        <v>5.8271117860467452E-2</v>
      </c>
      <c r="ED38" s="8">
        <v>6.3195484125794149E-2</v>
      </c>
      <c r="EE38" s="8">
        <v>5.7109112465859473E-2</v>
      </c>
      <c r="EF38" s="8">
        <v>4.5883539383230344E-2</v>
      </c>
      <c r="EG38" s="8">
        <v>4.339850754655699E-2</v>
      </c>
      <c r="EH38" s="8">
        <v>5.4355723217539093E-2</v>
      </c>
      <c r="EI38" s="8">
        <v>6.3265836234839362E-2</v>
      </c>
      <c r="EJ38" s="8">
        <v>6.4327712515939828E-2</v>
      </c>
      <c r="EK38" s="8">
        <v>6.1215677363457108E-2</v>
      </c>
      <c r="EL38" s="8">
        <v>5.8823415425664903E-2</v>
      </c>
      <c r="EM38" s="8">
        <v>0.12245677265327881</v>
      </c>
      <c r="EN38" s="8">
        <v>0.14522207101400203</v>
      </c>
      <c r="EO38" s="8">
        <v>0.15883757663413059</v>
      </c>
      <c r="EP38" s="8">
        <v>0.15806198834246038</v>
      </c>
      <c r="EQ38" s="8">
        <v>0.14746956507060596</v>
      </c>
      <c r="ER38" s="8">
        <v>0.13766051278816643</v>
      </c>
      <c r="ES38" s="7">
        <v>0.11994596700020477</v>
      </c>
      <c r="ET38" s="8">
        <v>0.1042250605807442</v>
      </c>
      <c r="EU38" s="8">
        <v>9.2678679653959428E-2</v>
      </c>
      <c r="EV38" s="8">
        <v>9.0992194856612474E-2</v>
      </c>
      <c r="EW38" s="8">
        <v>0.1444494676405024</v>
      </c>
      <c r="EX38" s="8">
        <v>0.13840222385833276</v>
      </c>
      <c r="EY38" s="8">
        <v>0.14487923284724108</v>
      </c>
      <c r="EZ38" s="8">
        <v>0.14588116432173109</v>
      </c>
      <c r="FA38" s="8">
        <v>0.15126348740731815</v>
      </c>
      <c r="FB38" s="8">
        <v>0.14300741332945352</v>
      </c>
      <c r="FC38" s="8">
        <v>0.14402020031506624</v>
      </c>
      <c r="FD38" s="7">
        <v>0.14615075644220279</v>
      </c>
      <c r="FE38" s="8">
        <v>0.14700947049717242</v>
      </c>
      <c r="FF38" s="8">
        <v>0.14141517486955005</v>
      </c>
      <c r="FG38" s="8">
        <v>8.8996499853641914E-2</v>
      </c>
      <c r="FH38" s="8">
        <v>0.10179857790188206</v>
      </c>
      <c r="FI38" s="8">
        <v>0.11015212093233728</v>
      </c>
      <c r="FJ38" s="8">
        <v>0.11567686407044411</v>
      </c>
      <c r="FK38" s="8">
        <v>0.1179175813756006</v>
      </c>
      <c r="FL38" s="8">
        <v>0.10929305526238478</v>
      </c>
      <c r="FM38" s="8">
        <v>9.8552187599683982E-2</v>
      </c>
      <c r="FN38" s="8">
        <v>8.4134849391477973E-2</v>
      </c>
      <c r="FO38" s="8">
        <v>7.4767568198271697E-2</v>
      </c>
      <c r="FP38" s="8">
        <v>7.94697079786265E-2</v>
      </c>
      <c r="FZ38" s="6" t="s">
        <v>173</v>
      </c>
      <c r="GA38" s="8">
        <v>0.7142263542301005</v>
      </c>
      <c r="GB38" s="8">
        <v>0.71166446045378706</v>
      </c>
      <c r="GC38" s="7">
        <v>0.72702129785835523</v>
      </c>
      <c r="GD38" s="8">
        <v>0.75208738371988992</v>
      </c>
      <c r="GE38" s="8">
        <v>0.74301172822929518</v>
      </c>
      <c r="GF38" s="8">
        <v>0.70752834088280459</v>
      </c>
      <c r="GG38" s="8">
        <v>0.69025265914389344</v>
      </c>
      <c r="GH38" s="8">
        <v>0.70835843660677844</v>
      </c>
      <c r="GI38" s="8">
        <v>0.72663715155334718</v>
      </c>
      <c r="GJ38" s="8">
        <v>0.72174631582495397</v>
      </c>
      <c r="GK38" s="7">
        <v>0.56296364715538982</v>
      </c>
      <c r="GL38" s="8">
        <v>0.53844072166004853</v>
      </c>
      <c r="GM38" s="8">
        <v>0.52705022542861624</v>
      </c>
      <c r="GN38" s="8">
        <v>0.5229461300911642</v>
      </c>
      <c r="GO38" s="8">
        <v>0.52831884235090354</v>
      </c>
      <c r="GP38" s="8">
        <v>0.54580072141630853</v>
      </c>
      <c r="GQ38" s="8">
        <v>0.5699728441069396</v>
      </c>
      <c r="GR38" s="8">
        <v>0.5905128678038567</v>
      </c>
      <c r="GS38" s="8">
        <v>0.60349590688528754</v>
      </c>
      <c r="GT38" s="7">
        <v>0.59149937796442387</v>
      </c>
      <c r="GU38" s="7">
        <v>0.5050672528165675</v>
      </c>
      <c r="GV38" s="8">
        <v>0.50267691463607644</v>
      </c>
      <c r="GW38" s="8">
        <v>0.49135870143258564</v>
      </c>
      <c r="GX38" s="8">
        <v>0.48597280600277115</v>
      </c>
      <c r="GY38" s="8">
        <v>0.49458579422491378</v>
      </c>
      <c r="GZ38" s="8">
        <v>0.50357866759919179</v>
      </c>
      <c r="HA38" s="8">
        <v>0.50750823260538236</v>
      </c>
      <c r="HB38" s="8">
        <v>0.50511821976386129</v>
      </c>
      <c r="HC38" s="8">
        <v>0.50342235395324408</v>
      </c>
      <c r="HD38" s="7">
        <v>0.50378923668064279</v>
      </c>
      <c r="HE38" s="8">
        <v>0.64825535813491375</v>
      </c>
      <c r="HF38" s="7">
        <v>0.64427054459080879</v>
      </c>
      <c r="HG38" s="8">
        <v>0.63771191386824122</v>
      </c>
      <c r="HH38" s="8">
        <v>0.62106593368069052</v>
      </c>
      <c r="HI38" s="8">
        <v>0.60555348755037441</v>
      </c>
      <c r="HJ38" s="8">
        <v>0.61363542185459041</v>
      </c>
      <c r="HK38" s="8">
        <v>0.61688551972237071</v>
      </c>
      <c r="HL38" s="8">
        <v>0.63150170832727115</v>
      </c>
      <c r="HM38" s="7">
        <v>0.64323740021327891</v>
      </c>
      <c r="HN38" s="8">
        <v>0.643499023672507</v>
      </c>
      <c r="HP38" s="6" t="s">
        <v>174</v>
      </c>
      <c r="HQ38" s="6" t="s">
        <v>140</v>
      </c>
      <c r="HR38" s="6" t="s">
        <v>141</v>
      </c>
      <c r="HS38" s="8">
        <v>0.64346873140117722</v>
      </c>
    </row>
    <row r="39" spans="2:227" x14ac:dyDescent="0.45">
      <c r="B39" s="3" t="s">
        <v>175</v>
      </c>
      <c r="C39" s="3" t="s">
        <v>131</v>
      </c>
      <c r="D39" s="5">
        <v>0.17362074082231457</v>
      </c>
      <c r="E39" s="5">
        <v>0.17705241710753361</v>
      </c>
      <c r="F39" s="5">
        <v>0.16602938633452463</v>
      </c>
      <c r="G39" s="5">
        <v>0.16299494846613544</v>
      </c>
      <c r="H39" s="5">
        <v>0.17839043439909538</v>
      </c>
      <c r="I39" s="5">
        <v>0.18436365545116837</v>
      </c>
      <c r="J39" s="5">
        <v>0.17605753607518923</v>
      </c>
      <c r="K39" s="5">
        <v>0.17216413972191949</v>
      </c>
      <c r="L39" s="5">
        <v>0.17201679921251514</v>
      </c>
      <c r="M39" s="5">
        <v>0.16672815688061893</v>
      </c>
      <c r="N39" s="5">
        <v>0.28707388419824792</v>
      </c>
      <c r="O39" s="5">
        <v>0.30302420615878545</v>
      </c>
      <c r="P39" s="5">
        <v>0.30179346913097771</v>
      </c>
      <c r="Q39" s="5">
        <v>0.28993579955817539</v>
      </c>
      <c r="R39" s="5">
        <v>0.28889276256578394</v>
      </c>
      <c r="S39" s="5">
        <v>0.28896266890649269</v>
      </c>
      <c r="T39" s="5">
        <v>0.28295426128651696</v>
      </c>
      <c r="U39" s="5">
        <v>0.27579063386195801</v>
      </c>
      <c r="V39" s="5">
        <v>0.27098763993785818</v>
      </c>
      <c r="W39" s="5">
        <v>0.28083774538806672</v>
      </c>
      <c r="X39" s="5">
        <v>0.28829013455460695</v>
      </c>
      <c r="Y39" s="5">
        <v>0.27743686385817712</v>
      </c>
      <c r="Z39" s="5">
        <v>0.28955304446392982</v>
      </c>
      <c r="AA39" s="5">
        <v>0.29473480726291928</v>
      </c>
      <c r="AB39" s="5">
        <v>0.29307676330695875</v>
      </c>
      <c r="AC39" s="5">
        <v>0.30166518676706805</v>
      </c>
      <c r="AD39" s="5">
        <v>0.30726206200289663</v>
      </c>
      <c r="AE39" s="5">
        <v>0.30962949931267264</v>
      </c>
      <c r="AF39" s="5">
        <v>0.30152632004813584</v>
      </c>
      <c r="AG39" s="5">
        <v>0.29425104653190126</v>
      </c>
      <c r="AH39" s="5">
        <v>0.22317198550725423</v>
      </c>
      <c r="AI39" s="5">
        <v>0.22037513352630614</v>
      </c>
      <c r="AJ39" s="5">
        <v>0.22858051534528412</v>
      </c>
      <c r="AK39" s="5">
        <v>0.22902626538429602</v>
      </c>
      <c r="AL39" s="5">
        <v>0.22369003063876022</v>
      </c>
      <c r="AM39" s="5">
        <v>0.22732763270030351</v>
      </c>
      <c r="AN39" s="5">
        <v>0.22984313628250039</v>
      </c>
      <c r="AO39" s="5">
        <v>0.23986226462241383</v>
      </c>
      <c r="AP39" s="5">
        <v>0.23861034513414425</v>
      </c>
      <c r="AQ39" s="5">
        <v>0.23004268575313946</v>
      </c>
      <c r="AS39" s="3" t="s">
        <v>175</v>
      </c>
      <c r="AT39" s="3" t="s">
        <v>132</v>
      </c>
      <c r="AU39" s="5">
        <v>1.3129665913026547E-2</v>
      </c>
      <c r="AV39" s="4">
        <v>9.0012075415670609E-3</v>
      </c>
      <c r="AW39" s="5">
        <v>1.4142942483653189E-2</v>
      </c>
      <c r="AX39" s="5">
        <v>1.4623588818678292E-2</v>
      </c>
      <c r="AY39" s="5">
        <v>8.104338131254437E-3</v>
      </c>
      <c r="AZ39" s="5">
        <v>1.120135651879673E-2</v>
      </c>
      <c r="BA39" s="5">
        <v>1.0461649277833031E-2</v>
      </c>
      <c r="BB39" s="5">
        <v>9.8854603245826459E-3</v>
      </c>
      <c r="BC39" s="5">
        <v>1.038322330593602E-2</v>
      </c>
      <c r="BD39" s="5">
        <v>1.1972023394151167E-2</v>
      </c>
      <c r="BE39" s="5">
        <v>5.446460617152326E-3</v>
      </c>
      <c r="BF39" s="5">
        <v>1.0853939068227922E-2</v>
      </c>
      <c r="BG39" s="5">
        <v>1.6657497894753636E-2</v>
      </c>
      <c r="BH39" s="5">
        <v>1.1143369142353742E-2</v>
      </c>
      <c r="BI39" s="5">
        <v>1.0462932917375573E-2</v>
      </c>
      <c r="BJ39" s="5">
        <v>1.8178062885524756E-2</v>
      </c>
      <c r="BK39" s="5">
        <v>1.9827616653071613E-2</v>
      </c>
      <c r="BL39" s="4">
        <v>1.6026350717216153E-2</v>
      </c>
      <c r="BM39" s="5">
        <v>1.323968476195393E-2</v>
      </c>
      <c r="BN39" s="5">
        <v>1.2048729384375227E-2</v>
      </c>
      <c r="BO39" s="5">
        <v>1.4444394176298858E-2</v>
      </c>
      <c r="BP39" s="5">
        <v>7.8355283866889686E-3</v>
      </c>
      <c r="BQ39" s="5">
        <v>4.7929922185821188E-3</v>
      </c>
      <c r="BR39" s="5">
        <v>9.2595728189598381E-3</v>
      </c>
      <c r="BS39" s="5">
        <v>7.975816837292999E-3</v>
      </c>
      <c r="BT39" s="4">
        <v>8.9990825456745614E-3</v>
      </c>
      <c r="BU39" s="5">
        <v>8.7484623458063803E-3</v>
      </c>
      <c r="BV39" s="5">
        <v>7.4808890598569641E-3</v>
      </c>
      <c r="BW39" s="5">
        <v>9.5534383897886502E-3</v>
      </c>
      <c r="BX39" s="5">
        <v>1.2955694407618725E-2</v>
      </c>
      <c r="BY39" s="5">
        <v>4.2294876957996996E-3</v>
      </c>
      <c r="BZ39" s="4">
        <v>2.0577691136722414E-3</v>
      </c>
      <c r="CA39" s="4">
        <v>6.5343918147569438E-3</v>
      </c>
      <c r="CB39" s="5">
        <v>1.576436919086939E-2</v>
      </c>
      <c r="CC39" s="5">
        <v>1.4240587700776837E-2</v>
      </c>
      <c r="CD39" s="5">
        <v>1.4778433352148764E-2</v>
      </c>
      <c r="CE39" s="5">
        <v>1.9083543441107378E-2</v>
      </c>
      <c r="CF39" s="4">
        <v>1.5460952009371153E-2</v>
      </c>
      <c r="CG39" s="5">
        <v>2.1464649677926207E-2</v>
      </c>
      <c r="CH39" s="5">
        <v>9.3647960117355725E-3</v>
      </c>
      <c r="CJ39" s="3" t="s">
        <v>175</v>
      </c>
      <c r="CK39" s="3" t="s">
        <v>133</v>
      </c>
      <c r="CL39" s="5">
        <v>1.2020595082546656E-2</v>
      </c>
      <c r="CM39" s="5">
        <v>1.7136378492782343E-2</v>
      </c>
      <c r="CN39" s="5">
        <v>9.1892596529660822E-3</v>
      </c>
      <c r="CO39" s="5">
        <v>7.5738392107739406E-3</v>
      </c>
      <c r="CP39" s="4">
        <v>1.7122768235230412E-2</v>
      </c>
      <c r="CQ39" s="5">
        <v>1.8133277908900045E-2</v>
      </c>
      <c r="CR39" s="5">
        <v>1.4288547814665199E-2</v>
      </c>
      <c r="CS39" s="5">
        <v>1.2661542027630986E-2</v>
      </c>
      <c r="CT39" s="5">
        <v>1.1655589728167756E-2</v>
      </c>
      <c r="CU39" s="5">
        <v>8.2904863383447252E-3</v>
      </c>
      <c r="CV39" s="5">
        <v>1.8211782661105427E-2</v>
      </c>
      <c r="CW39" s="5">
        <v>1.2422975551365052E-2</v>
      </c>
      <c r="CX39" s="5">
        <v>2.813058988435068E-3</v>
      </c>
      <c r="CY39" s="5">
        <v>9.927259409628842E-3</v>
      </c>
      <c r="CZ39" s="5">
        <v>1.797066273117269E-2</v>
      </c>
      <c r="DA39" s="5">
        <v>1.4666800934935428E-2</v>
      </c>
      <c r="DB39" s="5">
        <v>1.3564740591108236E-2</v>
      </c>
      <c r="DC39" s="5">
        <v>1.9488845925356425E-2</v>
      </c>
      <c r="DD39" s="5">
        <v>2.3582902292645123E-2</v>
      </c>
      <c r="DE39" s="5">
        <v>2.4655276100215489E-2</v>
      </c>
      <c r="DF39" s="5">
        <v>1.5077635226047194E-2</v>
      </c>
      <c r="DG39" s="5">
        <v>1.9211415031218114E-2</v>
      </c>
      <c r="DH39" s="5">
        <v>2.193177165446197E-2</v>
      </c>
      <c r="DI39" s="5">
        <v>1.0192418279596046E-2</v>
      </c>
      <c r="DJ39" s="5">
        <v>9.3170705181304988E-3</v>
      </c>
      <c r="DK39" s="5">
        <v>1.2673038212059336E-2</v>
      </c>
      <c r="DL39" s="5">
        <v>1.7439723721662918E-2</v>
      </c>
      <c r="DM39" s="5">
        <v>1.5667868146873303E-2</v>
      </c>
      <c r="DN39" s="5">
        <v>1.4261955035997443E-2</v>
      </c>
      <c r="DO39" s="4">
        <v>2.0155177187877019E-2</v>
      </c>
      <c r="DP39" s="5">
        <v>1.550769382894536E-2</v>
      </c>
      <c r="DQ39" s="5">
        <v>8.0319182152113252E-3</v>
      </c>
      <c r="DR39" s="5">
        <v>4.9499804398598305E-3</v>
      </c>
      <c r="DS39" s="5">
        <v>3.1409248640738179E-3</v>
      </c>
      <c r="DT39" s="4">
        <v>8.1148128010565656E-3</v>
      </c>
      <c r="DU39" s="5">
        <v>1.6103875571269719E-2</v>
      </c>
      <c r="DV39" s="5">
        <v>1.3038874656306548E-2</v>
      </c>
      <c r="DW39" s="5">
        <v>1.9894426583450777E-2</v>
      </c>
      <c r="DX39" s="5">
        <v>1.8631604811179037E-2</v>
      </c>
      <c r="DY39" s="5">
        <v>2.147426747323963E-2</v>
      </c>
      <c r="EA39" s="3" t="s">
        <v>175</v>
      </c>
      <c r="EB39" s="3" t="s">
        <v>134</v>
      </c>
      <c r="EC39" s="5">
        <v>4.7280041566104061E-2</v>
      </c>
      <c r="ED39" s="5">
        <v>4.5644518510299867E-2</v>
      </c>
      <c r="EE39" s="5">
        <v>4.77723972402717E-2</v>
      </c>
      <c r="EF39" s="5">
        <v>5.2977217009072021E-2</v>
      </c>
      <c r="EG39" s="5">
        <v>5.6963878974725539E-2</v>
      </c>
      <c r="EH39" s="5">
        <v>5.8059208081019907E-2</v>
      </c>
      <c r="EI39" s="5">
        <v>6.0226612886914291E-2</v>
      </c>
      <c r="EJ39" s="5">
        <v>5.3323847064906255E-2</v>
      </c>
      <c r="EK39" s="5">
        <v>4.9876789735963975E-2</v>
      </c>
      <c r="EL39" s="5">
        <v>5.022111194531214E-2</v>
      </c>
      <c r="EM39" s="5">
        <v>0.1330352687290853</v>
      </c>
      <c r="EN39" s="5">
        <v>0.14606185442292985</v>
      </c>
      <c r="EO39" s="5">
        <v>0.15213790743889466</v>
      </c>
      <c r="EP39" s="5">
        <v>0.14603244755261408</v>
      </c>
      <c r="EQ39" s="5">
        <v>0.13701889249171736</v>
      </c>
      <c r="ER39" s="5">
        <v>0.12430704495939299</v>
      </c>
      <c r="ES39" s="4">
        <v>0.1161353870834375</v>
      </c>
      <c r="ET39" s="5">
        <v>0.10597132622453233</v>
      </c>
      <c r="EU39" s="5">
        <v>0.10014974904648788</v>
      </c>
      <c r="EV39" s="5">
        <v>0.10711988607537015</v>
      </c>
      <c r="EW39" s="5">
        <v>0.14161437105229077</v>
      </c>
      <c r="EX39" s="5">
        <v>0.13693078961208832</v>
      </c>
      <c r="EY39" s="5">
        <v>0.13955793801512073</v>
      </c>
      <c r="EZ39" s="5">
        <v>0.15763982813657479</v>
      </c>
      <c r="FA39" s="5">
        <v>0.1580297413265907</v>
      </c>
      <c r="FB39" s="5">
        <v>0.15079265835642644</v>
      </c>
      <c r="FC39" s="5">
        <v>0.14932679686059366</v>
      </c>
      <c r="FD39" s="4">
        <v>0.15408612683334641</v>
      </c>
      <c r="FE39" s="5">
        <v>0.14776814986755635</v>
      </c>
      <c r="FF39" s="5">
        <v>0.13953574134024815</v>
      </c>
      <c r="FG39" s="5">
        <v>9.4166296230175431E-2</v>
      </c>
      <c r="FH39" s="5">
        <v>0.10061792806307729</v>
      </c>
      <c r="FI39" s="5">
        <v>0.10730997243050175</v>
      </c>
      <c r="FJ39" s="5">
        <v>0.10373920245685538</v>
      </c>
      <c r="FK39" s="5">
        <v>9.0710380838750146E-2</v>
      </c>
      <c r="FL39" s="5">
        <v>8.8473420944297693E-2</v>
      </c>
      <c r="FM39" s="5">
        <v>8.8076982526915745E-2</v>
      </c>
      <c r="FN39" s="5">
        <v>8.6066996062507437E-2</v>
      </c>
      <c r="FO39" s="5">
        <v>8.0771957051298596E-2</v>
      </c>
      <c r="FP39" s="5">
        <v>8.195897867297923E-2</v>
      </c>
      <c r="FZ39" s="3" t="s">
        <v>175</v>
      </c>
      <c r="GA39" s="5">
        <v>0.73415805840053583</v>
      </c>
      <c r="GB39" s="5">
        <v>0.73526340662004241</v>
      </c>
      <c r="GC39" s="4">
        <v>0.73936833293327187</v>
      </c>
      <c r="GD39" s="5">
        <v>0.72916719299228039</v>
      </c>
      <c r="GE39" s="5">
        <v>0.71214657387341573</v>
      </c>
      <c r="GF39" s="5">
        <v>0.70480738685482291</v>
      </c>
      <c r="GG39" s="5">
        <v>0.7172643864732019</v>
      </c>
      <c r="GH39" s="5">
        <v>0.73120219899977157</v>
      </c>
      <c r="GI39" s="5">
        <v>0.73554859034907483</v>
      </c>
      <c r="GJ39" s="5">
        <v>0.73989251025763081</v>
      </c>
      <c r="GK39" s="4">
        <v>0.55458698763130954</v>
      </c>
      <c r="GL39" s="5">
        <v>0.53760161125422312</v>
      </c>
      <c r="GM39" s="5">
        <v>0.53487515484741888</v>
      </c>
      <c r="GN39" s="5">
        <v>0.53923610005594247</v>
      </c>
      <c r="GO39" s="5">
        <v>0.54960423542601577</v>
      </c>
      <c r="GP39" s="5">
        <v>0.56212243505706427</v>
      </c>
      <c r="GQ39" s="5">
        <v>0.57739050052988827</v>
      </c>
      <c r="GR39" s="5">
        <v>0.58989259809864347</v>
      </c>
      <c r="GS39" s="5">
        <v>0.59696843407878353</v>
      </c>
      <c r="GT39" s="4">
        <v>0.58448404787088137</v>
      </c>
      <c r="GU39" s="4">
        <v>0.50745126432819954</v>
      </c>
      <c r="GV39" s="5">
        <v>0.50784417440700569</v>
      </c>
      <c r="GW39" s="5">
        <v>0.5044403862122695</v>
      </c>
      <c r="GX39" s="5">
        <v>0.49771074507886509</v>
      </c>
      <c r="GY39" s="5">
        <v>0.50324065971534149</v>
      </c>
      <c r="GZ39" s="5">
        <v>0.50461105739981682</v>
      </c>
      <c r="HA39" s="5">
        <v>0.5023554907945299</v>
      </c>
      <c r="HB39" s="5">
        <v>0.49939379461611005</v>
      </c>
      <c r="HC39" s="5">
        <v>0.50583037755360361</v>
      </c>
      <c r="HD39" s="4">
        <v>0.50295770436405129</v>
      </c>
      <c r="HE39" s="5">
        <v>0.63775643138305438</v>
      </c>
      <c r="HF39" s="4">
        <v>0.62141082979168683</v>
      </c>
      <c r="HG39" s="5">
        <v>0.6092865615521883</v>
      </c>
      <c r="HH39" s="5">
        <v>0.60385207798821017</v>
      </c>
      <c r="HI39" s="5">
        <v>0.61586985046793141</v>
      </c>
      <c r="HJ39" s="5">
        <v>0.61833848180704964</v>
      </c>
      <c r="HK39" s="5">
        <v>0.61974847935395228</v>
      </c>
      <c r="HL39" s="5">
        <v>0.62293704486281687</v>
      </c>
      <c r="HM39" s="4">
        <v>0.62570075508989653</v>
      </c>
      <c r="HN39" s="5">
        <v>0.64054305444924364</v>
      </c>
      <c r="HP39" s="3" t="s">
        <v>176</v>
      </c>
      <c r="HQ39" s="3" t="s">
        <v>140</v>
      </c>
      <c r="HR39" s="3" t="s">
        <v>141</v>
      </c>
      <c r="HS39" s="5">
        <v>0.44191753469119621</v>
      </c>
    </row>
    <row r="40" spans="2:227" x14ac:dyDescent="0.45">
      <c r="B40" s="6" t="s">
        <v>177</v>
      </c>
      <c r="C40" s="6" t="s">
        <v>131</v>
      </c>
      <c r="D40" s="8">
        <v>0.16306530749596698</v>
      </c>
      <c r="E40" s="8">
        <v>0.16887061725576674</v>
      </c>
      <c r="F40" s="8">
        <v>0.16924505775493823</v>
      </c>
      <c r="G40" s="8">
        <v>0.17916995852599152</v>
      </c>
      <c r="H40" s="8">
        <v>0.18702631124800342</v>
      </c>
      <c r="I40" s="8">
        <v>0.19843932865416572</v>
      </c>
      <c r="J40" s="8">
        <v>0.19899343132123368</v>
      </c>
      <c r="K40" s="8">
        <v>0.19281116047263008</v>
      </c>
      <c r="L40" s="8">
        <v>0.17114890327730159</v>
      </c>
      <c r="M40" s="8">
        <v>0.17235510078805988</v>
      </c>
      <c r="N40" s="8">
        <v>0.23877282855027709</v>
      </c>
      <c r="O40" s="8">
        <v>0.25276795779670441</v>
      </c>
      <c r="P40" s="8">
        <v>0.23780068086509276</v>
      </c>
      <c r="Q40" s="8">
        <v>0.22825261932337096</v>
      </c>
      <c r="R40" s="8">
        <v>0.23637948681998253</v>
      </c>
      <c r="S40" s="8">
        <v>0.24074124240013273</v>
      </c>
      <c r="T40" s="8">
        <v>0.24542929113409212</v>
      </c>
      <c r="U40" s="8">
        <v>0.24539029630395723</v>
      </c>
      <c r="V40" s="8">
        <v>0.23425091367306017</v>
      </c>
      <c r="W40" s="8">
        <v>0.22522775407088269</v>
      </c>
      <c r="X40" s="8">
        <v>0.35450998344831519</v>
      </c>
      <c r="Y40" s="8">
        <v>0.36933273131151856</v>
      </c>
      <c r="Z40" s="8">
        <v>0.37634491886792676</v>
      </c>
      <c r="AA40" s="8">
        <v>0.38498094090776919</v>
      </c>
      <c r="AB40" s="8">
        <v>0.38780607917701404</v>
      </c>
      <c r="AC40" s="8">
        <v>0.3687812717511032</v>
      </c>
      <c r="AD40" s="8">
        <v>0.34815264467673757</v>
      </c>
      <c r="AE40" s="8">
        <v>0.32650702377634594</v>
      </c>
      <c r="AF40" s="8">
        <v>0.32213296434789584</v>
      </c>
      <c r="AG40" s="8">
        <v>0.32085698560613191</v>
      </c>
      <c r="AH40" s="8">
        <v>0.22410304023123553</v>
      </c>
      <c r="AI40" s="8">
        <v>0.23384444073381838</v>
      </c>
      <c r="AJ40" s="8">
        <v>0.23550248709520891</v>
      </c>
      <c r="AK40" s="8">
        <v>0.23093251677512547</v>
      </c>
      <c r="AL40" s="8">
        <v>0.23351040052584043</v>
      </c>
      <c r="AM40" s="8">
        <v>0.23013818858286439</v>
      </c>
      <c r="AN40" s="8">
        <v>0.22355640332473059</v>
      </c>
      <c r="AO40" s="8">
        <v>0.21320694779071325</v>
      </c>
      <c r="AP40" s="8">
        <v>0.20799480881824148</v>
      </c>
      <c r="AQ40" s="8">
        <v>0.20510390827536482</v>
      </c>
      <c r="AS40" s="6" t="s">
        <v>177</v>
      </c>
      <c r="AT40" s="6" t="s">
        <v>132</v>
      </c>
      <c r="AU40" s="8">
        <v>1.0853758208368956E-2</v>
      </c>
      <c r="AV40" s="7">
        <v>8.1130323834176874E-3</v>
      </c>
      <c r="AW40" s="8">
        <v>1.1229994985854384E-2</v>
      </c>
      <c r="AX40" s="8">
        <v>1.7368852262988111E-2</v>
      </c>
      <c r="AY40" s="8">
        <v>1.4730821236059689E-2</v>
      </c>
      <c r="AZ40" s="8">
        <v>1.3586719019629129E-2</v>
      </c>
      <c r="BA40" s="8">
        <v>1.1360867062246144E-2</v>
      </c>
      <c r="BB40" s="8">
        <v>1.2813863859493072E-2</v>
      </c>
      <c r="BC40" s="8">
        <v>6.2818781200279514E-3</v>
      </c>
      <c r="BD40" s="8">
        <v>5.6533616156561146E-3</v>
      </c>
      <c r="BE40" s="8">
        <v>1.0837964025375013E-2</v>
      </c>
      <c r="BF40" s="8">
        <v>1.364148287206594E-2</v>
      </c>
      <c r="BG40" s="8">
        <v>1.4914344461431375E-2</v>
      </c>
      <c r="BH40" s="8">
        <v>1.2409519836593308E-2</v>
      </c>
      <c r="BI40" s="8">
        <v>8.8277260600076856E-3</v>
      </c>
      <c r="BJ40" s="8">
        <v>1.3245590753079933E-2</v>
      </c>
      <c r="BK40" s="8">
        <v>1.2611112057651431E-2</v>
      </c>
      <c r="BL40" s="7">
        <v>1.4845001062120208E-2</v>
      </c>
      <c r="BM40" s="8">
        <v>7.5971877718039316E-3</v>
      </c>
      <c r="BN40" s="8">
        <v>6.170761751983697E-3</v>
      </c>
      <c r="BO40" s="8">
        <v>2.0754023650661167E-2</v>
      </c>
      <c r="BP40" s="8">
        <v>1.7015229639266449E-2</v>
      </c>
      <c r="BQ40" s="8">
        <v>1.323017912573706E-2</v>
      </c>
      <c r="BR40" s="8">
        <v>1.7633611475911044E-2</v>
      </c>
      <c r="BS40" s="8">
        <v>1.7444774344570212E-2</v>
      </c>
      <c r="BT40" s="7">
        <v>1.0209381585606173E-2</v>
      </c>
      <c r="BU40" s="8">
        <v>2.5601804720365742E-2</v>
      </c>
      <c r="BV40" s="8">
        <v>2.7481396144771093E-2</v>
      </c>
      <c r="BW40" s="8">
        <v>2.8978261461350525E-2</v>
      </c>
      <c r="BX40" s="8">
        <v>2.8033796470307588E-2</v>
      </c>
      <c r="BY40" s="8">
        <v>1.0728201773997414E-2</v>
      </c>
      <c r="BZ40" s="7">
        <v>1.2089686624690888E-2</v>
      </c>
      <c r="CA40" s="7">
        <v>2.524577059045922E-2</v>
      </c>
      <c r="CB40" s="8">
        <v>2.6907076884424661E-2</v>
      </c>
      <c r="CC40" s="8">
        <v>1.4623840730651429E-2</v>
      </c>
      <c r="CD40" s="8">
        <v>1.5274512694410309E-2</v>
      </c>
      <c r="CE40" s="8">
        <v>7.1413419747103331E-3</v>
      </c>
      <c r="CF40" s="7">
        <v>7.1273596843818635E-3</v>
      </c>
      <c r="CG40" s="8">
        <v>1.6238347575225229E-2</v>
      </c>
      <c r="CH40" s="8">
        <v>1.5961709382204137E-2</v>
      </c>
      <c r="CJ40" s="6" t="s">
        <v>177</v>
      </c>
      <c r="CK40" s="6" t="s">
        <v>133</v>
      </c>
      <c r="CL40" s="8">
        <v>8.4354347662082118E-3</v>
      </c>
      <c r="CM40" s="8">
        <v>1.4492123957194483E-2</v>
      </c>
      <c r="CN40" s="8">
        <v>1.1640199892469368E-2</v>
      </c>
      <c r="CO40" s="8">
        <v>8.7689625446475197E-3</v>
      </c>
      <c r="CP40" s="7">
        <v>1.5610482602713598E-2</v>
      </c>
      <c r="CQ40" s="8">
        <v>2.0166811155455128E-2</v>
      </c>
      <c r="CR40" s="8">
        <v>1.8538990321330603E-2</v>
      </c>
      <c r="CS40" s="8">
        <v>1.6896682639514451E-2</v>
      </c>
      <c r="CT40" s="8">
        <v>1.6693371614988056E-2</v>
      </c>
      <c r="CU40" s="8">
        <v>1.0306155109541212E-2</v>
      </c>
      <c r="CV40" s="8">
        <v>8.5452575644345812E-3</v>
      </c>
      <c r="CW40" s="8">
        <v>1.8765339125737069E-2</v>
      </c>
      <c r="CX40" s="8">
        <v>1.6476454387832132E-2</v>
      </c>
      <c r="CY40" s="8">
        <v>1.7468803564498252E-2</v>
      </c>
      <c r="CZ40" s="8">
        <v>1.5287541843043966E-2</v>
      </c>
      <c r="DA40" s="8">
        <v>8.9585566130394399E-3</v>
      </c>
      <c r="DB40" s="8">
        <v>1.3533741819760709E-2</v>
      </c>
      <c r="DC40" s="8">
        <v>1.5441584167797187E-2</v>
      </c>
      <c r="DD40" s="8">
        <v>1.6302155070290786E-2</v>
      </c>
      <c r="DE40" s="8">
        <v>1.6481086788895594E-2</v>
      </c>
      <c r="DF40" s="8">
        <v>3.8636049629478267E-2</v>
      </c>
      <c r="DG40" s="8">
        <v>3.2982737738751669E-2</v>
      </c>
      <c r="DH40" s="8">
        <v>2.9907392508053444E-2</v>
      </c>
      <c r="DI40" s="8">
        <v>2.4964339309463429E-2</v>
      </c>
      <c r="DJ40" s="8">
        <v>3.0483635923921341E-2</v>
      </c>
      <c r="DK40" s="8">
        <v>2.309038022508169E-2</v>
      </c>
      <c r="DL40" s="8">
        <v>1.131244774612189E-2</v>
      </c>
      <c r="DM40" s="8">
        <v>1.6244697009394429E-2</v>
      </c>
      <c r="DN40" s="8">
        <v>3.4293465481822785E-2</v>
      </c>
      <c r="DO40" s="7">
        <v>3.6268138634858289E-2</v>
      </c>
      <c r="DP40" s="8">
        <v>2.4155619481647989E-2</v>
      </c>
      <c r="DQ40" s="8">
        <v>2.0221259863142587E-2</v>
      </c>
      <c r="DR40" s="8">
        <v>1.7246306916221924E-2</v>
      </c>
      <c r="DS40" s="8">
        <v>1.5965742724925142E-2</v>
      </c>
      <c r="DT40" s="7">
        <v>3.4245141027218463E-2</v>
      </c>
      <c r="DU40" s="8">
        <v>3.1166553647656657E-2</v>
      </c>
      <c r="DV40" s="8">
        <v>2.344832405335464E-2</v>
      </c>
      <c r="DW40" s="8">
        <v>1.2960232660346013E-2</v>
      </c>
      <c r="DX40" s="8">
        <v>6.603167211670531E-3</v>
      </c>
      <c r="DY40" s="8">
        <v>1.1017654488615686E-2</v>
      </c>
      <c r="EA40" s="6" t="s">
        <v>177</v>
      </c>
      <c r="EB40" s="6" t="s">
        <v>134</v>
      </c>
      <c r="EC40" s="8">
        <v>5.8230945522128486E-2</v>
      </c>
      <c r="ED40" s="8">
        <v>5.6488648196844911E-2</v>
      </c>
      <c r="EE40" s="8">
        <v>5.4947396177552787E-2</v>
      </c>
      <c r="EF40" s="8">
        <v>5.5921738019487001E-2</v>
      </c>
      <c r="EG40" s="8">
        <v>5.840368675594567E-2</v>
      </c>
      <c r="EH40" s="8">
        <v>5.7286706596878706E-2</v>
      </c>
      <c r="EI40" s="8">
        <v>5.9188148721004211E-2</v>
      </c>
      <c r="EJ40" s="8">
        <v>5.6927568251270579E-2</v>
      </c>
      <c r="EK40" s="8">
        <v>5.4220422756800904E-2</v>
      </c>
      <c r="EL40" s="8">
        <v>6.1749958238445618E-2</v>
      </c>
      <c r="EM40" s="8">
        <v>9.8901668548079913E-2</v>
      </c>
      <c r="EN40" s="8">
        <v>8.9753723382523048E-2</v>
      </c>
      <c r="EO40" s="8">
        <v>8.5378836066802077E-2</v>
      </c>
      <c r="EP40" s="8">
        <v>8.6049843772076154E-2</v>
      </c>
      <c r="EQ40" s="8">
        <v>9.9173826250380931E-2</v>
      </c>
      <c r="ER40" s="8">
        <v>0.10218826242421304</v>
      </c>
      <c r="ES40" s="7">
        <v>9.7562412999715784E-2</v>
      </c>
      <c r="ET40" s="8">
        <v>9.4859502095971465E-2</v>
      </c>
      <c r="EU40" s="8">
        <v>9.5861195946968542E-2</v>
      </c>
      <c r="EV40" s="8">
        <v>9.4210235913202045E-2</v>
      </c>
      <c r="EW40" s="8">
        <v>0.16434368568361574</v>
      </c>
      <c r="EX40" s="8">
        <v>0.18907794768505587</v>
      </c>
      <c r="EY40" s="8">
        <v>0.20101340424918307</v>
      </c>
      <c r="EZ40" s="8">
        <v>0.21970022937951175</v>
      </c>
      <c r="FA40" s="8">
        <v>0.21617788940525584</v>
      </c>
      <c r="FB40" s="8">
        <v>0.21154936980883463</v>
      </c>
      <c r="FC40" s="8">
        <v>0.18450253430423694</v>
      </c>
      <c r="FD40" s="7">
        <v>0.16895544202249896</v>
      </c>
      <c r="FE40" s="8">
        <v>0.14892055605796761</v>
      </c>
      <c r="FF40" s="8">
        <v>0.1435168193097679</v>
      </c>
      <c r="FG40" s="8">
        <v>8.4623456940477182E-2</v>
      </c>
      <c r="FH40" s="8">
        <v>8.5930863415641934E-2</v>
      </c>
      <c r="FI40" s="8">
        <v>7.7723148214413562E-2</v>
      </c>
      <c r="FJ40" s="8">
        <v>7.5162816515379677E-2</v>
      </c>
      <c r="FK40" s="8">
        <v>7.4147924394856554E-2</v>
      </c>
      <c r="FL40" s="8">
        <v>8.0521288978423713E-2</v>
      </c>
      <c r="FM40" s="8">
        <v>9.6097350177806962E-2</v>
      </c>
      <c r="FN40" s="8">
        <v>9.7302448355589335E-2</v>
      </c>
      <c r="FO40" s="8">
        <v>8.7935479574810793E-2</v>
      </c>
      <c r="FP40" s="8">
        <v>8.4641917694901647E-2</v>
      </c>
      <c r="FZ40" s="6" t="s">
        <v>177</v>
      </c>
      <c r="GA40" s="8">
        <v>0.72381404134960925</v>
      </c>
      <c r="GB40" s="8">
        <v>0.71064474850890413</v>
      </c>
      <c r="GC40" s="7">
        <v>0.70421226814786442</v>
      </c>
      <c r="GD40" s="8">
        <v>0.69346380919495998</v>
      </c>
      <c r="GE40" s="8">
        <v>0.68788764884048947</v>
      </c>
      <c r="GF40" s="8">
        <v>0.68845533451319385</v>
      </c>
      <c r="GG40" s="8">
        <v>0.69278575573144308</v>
      </c>
      <c r="GH40" s="8">
        <v>0.69789796640606605</v>
      </c>
      <c r="GI40" s="8">
        <v>0.72118888744329246</v>
      </c>
      <c r="GJ40" s="8">
        <v>0.72188435041585686</v>
      </c>
      <c r="GK40" s="7">
        <v>0.60182262540236198</v>
      </c>
      <c r="GL40" s="8">
        <v>0.59355305236051581</v>
      </c>
      <c r="GM40" s="8">
        <v>0.60453437565567458</v>
      </c>
      <c r="GN40" s="8">
        <v>0.60277192565904325</v>
      </c>
      <c r="GO40" s="8">
        <v>0.5911914377859091</v>
      </c>
      <c r="GP40" s="8">
        <v>0.58701863383406383</v>
      </c>
      <c r="GQ40" s="8">
        <v>0.58510519707676723</v>
      </c>
      <c r="GR40" s="8">
        <v>0.58312944760112539</v>
      </c>
      <c r="GS40" s="8">
        <v>0.59835287345312049</v>
      </c>
      <c r="GT40" s="7">
        <v>0.61180685851249139</v>
      </c>
      <c r="GU40" s="7">
        <v>0.34229426412173308</v>
      </c>
      <c r="GV40" s="8">
        <v>0.33435981381626634</v>
      </c>
      <c r="GW40" s="8">
        <v>0.3431466113125915</v>
      </c>
      <c r="GX40" s="8">
        <v>0.32964914062804135</v>
      </c>
      <c r="GY40" s="8">
        <v>0.32167145310241246</v>
      </c>
      <c r="GZ40" s="8">
        <v>0.33336946073941731</v>
      </c>
      <c r="HA40" s="8">
        <v>0.34615839899400902</v>
      </c>
      <c r="HB40" s="8">
        <v>0.35490556478581681</v>
      </c>
      <c r="HC40" s="8">
        <v>0.36191165017779225</v>
      </c>
      <c r="HD40" s="7">
        <v>0.3559838735084106</v>
      </c>
      <c r="HE40" s="8">
        <v>0.58898562418159028</v>
      </c>
      <c r="HF40" s="7">
        <v>0.58987717430655584</v>
      </c>
      <c r="HG40" s="8">
        <v>0.59733607114923315</v>
      </c>
      <c r="HH40" s="8">
        <v>0.60487001500700277</v>
      </c>
      <c r="HI40" s="8">
        <v>0.59821415820563184</v>
      </c>
      <c r="HJ40" s="8">
        <v>0.58433382942958656</v>
      </c>
      <c r="HK40" s="8">
        <v>0.57941246312351369</v>
      </c>
      <c r="HL40" s="8">
        <v>0.58939644666397206</v>
      </c>
      <c r="HM40" s="7">
        <v>0.60175223215998752</v>
      </c>
      <c r="HN40" s="8">
        <v>0.60676463204985498</v>
      </c>
      <c r="HP40" s="6" t="s">
        <v>178</v>
      </c>
      <c r="HQ40" s="6" t="s">
        <v>140</v>
      </c>
      <c r="HR40" s="6" t="s">
        <v>141</v>
      </c>
      <c r="HS40" s="8">
        <v>0.5410356480981291</v>
      </c>
    </row>
    <row r="41" spans="2:227" x14ac:dyDescent="0.45">
      <c r="B41" s="3" t="s">
        <v>179</v>
      </c>
      <c r="C41" s="3" t="s">
        <v>131</v>
      </c>
      <c r="D41" s="5">
        <v>0.18005507468300097</v>
      </c>
      <c r="E41" s="5">
        <v>0.18786296030968097</v>
      </c>
      <c r="F41" s="5">
        <v>0.18253486313764064</v>
      </c>
      <c r="G41" s="5">
        <v>0.18741577420104732</v>
      </c>
      <c r="H41" s="5">
        <v>0.20494244370617604</v>
      </c>
      <c r="I41" s="5">
        <v>0.21717529444277145</v>
      </c>
      <c r="J41" s="5">
        <v>0.22067740759694332</v>
      </c>
      <c r="K41" s="5">
        <v>0.21364338936206972</v>
      </c>
      <c r="L41" s="5">
        <v>0.18943005844076732</v>
      </c>
      <c r="M41" s="5">
        <v>0.18846008759507529</v>
      </c>
      <c r="N41" s="5">
        <v>0.24889677377078609</v>
      </c>
      <c r="O41" s="5">
        <v>0.26663156612968747</v>
      </c>
      <c r="P41" s="5">
        <v>0.25992649227199521</v>
      </c>
      <c r="Q41" s="5">
        <v>0.25149319517906721</v>
      </c>
      <c r="R41" s="5">
        <v>0.24965928840338569</v>
      </c>
      <c r="S41" s="5">
        <v>0.25628579164148002</v>
      </c>
      <c r="T41" s="5">
        <v>0.27382852301453287</v>
      </c>
      <c r="U41" s="5">
        <v>0.27109446661921677</v>
      </c>
      <c r="V41" s="5">
        <v>0.2538978657872708</v>
      </c>
      <c r="W41" s="5">
        <v>0.23474161865451387</v>
      </c>
      <c r="X41" s="5">
        <v>0.34361124881207755</v>
      </c>
      <c r="Y41" s="5">
        <v>0.37136421261929259</v>
      </c>
      <c r="Z41" s="5">
        <v>0.39693958959951214</v>
      </c>
      <c r="AA41" s="5">
        <v>0.41361840619926293</v>
      </c>
      <c r="AB41" s="5">
        <v>0.40815524846260276</v>
      </c>
      <c r="AC41" s="5">
        <v>0.39936129989217162</v>
      </c>
      <c r="AD41" s="5">
        <v>0.37792251948492295</v>
      </c>
      <c r="AE41" s="5">
        <v>0.35909275455392581</v>
      </c>
      <c r="AF41" s="5">
        <v>0.3539601189204869</v>
      </c>
      <c r="AG41" s="5">
        <v>0.34057027993199973</v>
      </c>
      <c r="AH41" s="5">
        <v>0.23629361899340517</v>
      </c>
      <c r="AI41" s="5">
        <v>0.24669498327158004</v>
      </c>
      <c r="AJ41" s="5">
        <v>0.25444634496211171</v>
      </c>
      <c r="AK41" s="5">
        <v>0.25081879646497801</v>
      </c>
      <c r="AL41" s="5">
        <v>0.25288725227601266</v>
      </c>
      <c r="AM41" s="5">
        <v>0.25557579056392488</v>
      </c>
      <c r="AN41" s="5">
        <v>0.2548223386917427</v>
      </c>
      <c r="AO41" s="5">
        <v>0.23993201356545177</v>
      </c>
      <c r="AP41" s="5">
        <v>0.22910591059065386</v>
      </c>
      <c r="AQ41" s="5">
        <v>0.21839251332173276</v>
      </c>
      <c r="AS41" s="3" t="s">
        <v>179</v>
      </c>
      <c r="AT41" s="3" t="s">
        <v>132</v>
      </c>
      <c r="AU41" s="5">
        <v>8.3350279502291905E-3</v>
      </c>
      <c r="AV41" s="4">
        <v>4.4424505169802725E-3</v>
      </c>
      <c r="AW41" s="5">
        <v>6.8969566062385967E-3</v>
      </c>
      <c r="AX41" s="5">
        <v>1.1877622860471242E-2</v>
      </c>
      <c r="AY41" s="5">
        <v>1.2730648341456067E-2</v>
      </c>
      <c r="AZ41" s="5">
        <v>1.2256346695801392E-2</v>
      </c>
      <c r="BA41" s="5">
        <v>1.4805475625496093E-2</v>
      </c>
      <c r="BB41" s="5">
        <v>1.7017098334537888E-2</v>
      </c>
      <c r="BC41" s="5">
        <v>1.0641856097834882E-2</v>
      </c>
      <c r="BD41" s="5">
        <v>9.636205953917093E-3</v>
      </c>
      <c r="BE41" s="5">
        <v>1.7121413340171584E-2</v>
      </c>
      <c r="BF41" s="5">
        <v>9.4623969143410279E-3</v>
      </c>
      <c r="BG41" s="5">
        <v>1.5330488392374218E-2</v>
      </c>
      <c r="BH41" s="5">
        <v>1.3123083958211035E-2</v>
      </c>
      <c r="BI41" s="5">
        <v>9.9520249030937216E-3</v>
      </c>
      <c r="BJ41" s="5">
        <v>1.9195378717813731E-2</v>
      </c>
      <c r="BK41" s="5">
        <v>2.3530822410510601E-2</v>
      </c>
      <c r="BL41" s="4">
        <v>1.6371630592438742E-2</v>
      </c>
      <c r="BM41" s="5">
        <v>6.3279021919197577E-3</v>
      </c>
      <c r="BN41" s="5">
        <v>8.406967473073651E-3</v>
      </c>
      <c r="BO41" s="5">
        <v>2.7060801802662945E-2</v>
      </c>
      <c r="BP41" s="5">
        <v>3.7030603855136998E-2</v>
      </c>
      <c r="BQ41" s="5">
        <v>4.7632889329375643E-2</v>
      </c>
      <c r="BR41" s="5">
        <v>3.4014924869125725E-2</v>
      </c>
      <c r="BS41" s="5">
        <v>2.792289270113443E-2</v>
      </c>
      <c r="BT41" s="4">
        <v>1.7780316679620219E-2</v>
      </c>
      <c r="BU41" s="5">
        <v>4.2556850569309544E-2</v>
      </c>
      <c r="BV41" s="5">
        <v>2.9857666358714355E-2</v>
      </c>
      <c r="BW41" s="5">
        <v>4.7554276806163809E-2</v>
      </c>
      <c r="BX41" s="5">
        <v>3.7647074815433987E-2</v>
      </c>
      <c r="BY41" s="5">
        <v>1.1097227496114812E-2</v>
      </c>
      <c r="BZ41" s="4">
        <v>6.8257180542968879E-3</v>
      </c>
      <c r="CA41" s="4">
        <v>2.1607213474072025E-2</v>
      </c>
      <c r="CB41" s="5">
        <v>3.4282504987650876E-2</v>
      </c>
      <c r="CC41" s="5">
        <v>1.5647812415313957E-2</v>
      </c>
      <c r="CD41" s="5">
        <v>1.6998196131512811E-2</v>
      </c>
      <c r="CE41" s="5">
        <v>1.4648200240763661E-2</v>
      </c>
      <c r="CF41" s="4">
        <v>8.7945666933828357E-3</v>
      </c>
      <c r="CG41" s="5">
        <v>1.3468112904059807E-2</v>
      </c>
      <c r="CH41" s="5">
        <v>1.7707117295366444E-2</v>
      </c>
      <c r="CJ41" s="3" t="s">
        <v>179</v>
      </c>
      <c r="CK41" s="3" t="s">
        <v>133</v>
      </c>
      <c r="CL41" s="5">
        <v>9.7689963128627672E-3</v>
      </c>
      <c r="CM41" s="5">
        <v>1.1518071206438444E-2</v>
      </c>
      <c r="CN41" s="5">
        <v>9.1695161643706325E-3</v>
      </c>
      <c r="CO41" s="5">
        <v>5.6719502067505024E-3</v>
      </c>
      <c r="CP41" s="4">
        <v>8.7601764805608721E-3</v>
      </c>
      <c r="CQ41" s="5">
        <v>1.5612639535954114E-2</v>
      </c>
      <c r="CR41" s="5">
        <v>1.8827008178971611E-2</v>
      </c>
      <c r="CS41" s="5">
        <v>1.5241434046147553E-2</v>
      </c>
      <c r="CT41" s="5">
        <v>1.3194536752036832E-2</v>
      </c>
      <c r="CU41" s="5">
        <v>1.2837921993409652E-2</v>
      </c>
      <c r="CV41" s="5">
        <v>1.0004915287210947E-2</v>
      </c>
      <c r="CW41" s="5">
        <v>2.2350948996627939E-2</v>
      </c>
      <c r="CX41" s="5">
        <v>1.5849237454610029E-2</v>
      </c>
      <c r="CY41" s="5">
        <v>1.2350787896918024E-2</v>
      </c>
      <c r="CZ41" s="5">
        <v>1.7489445693831738E-2</v>
      </c>
      <c r="DA41" s="5">
        <v>1.372157483537636E-2</v>
      </c>
      <c r="DB41" s="5">
        <v>1.3608123629583316E-2</v>
      </c>
      <c r="DC41" s="5">
        <v>2.1554613361361986E-2</v>
      </c>
      <c r="DD41" s="5">
        <v>2.4681354855378226E-2</v>
      </c>
      <c r="DE41" s="5">
        <v>1.5964870850961994E-2</v>
      </c>
      <c r="DF41" s="5">
        <v>4.2092631178694828E-2</v>
      </c>
      <c r="DG41" s="5">
        <v>4.0310158561977991E-2</v>
      </c>
      <c r="DH41" s="5">
        <v>4.1228782062275114E-2</v>
      </c>
      <c r="DI41" s="5">
        <v>7.7343641358343498E-2</v>
      </c>
      <c r="DJ41" s="5">
        <v>7.7362955084142315E-2</v>
      </c>
      <c r="DK41" s="5">
        <v>5.727718531140133E-2</v>
      </c>
      <c r="DL41" s="5">
        <v>1.1835171662386802E-2</v>
      </c>
      <c r="DM41" s="5">
        <v>2.533832616373375E-2</v>
      </c>
      <c r="DN41" s="5">
        <v>3.399822135654286E-2</v>
      </c>
      <c r="DO41" s="4">
        <v>3.866452237614177E-2</v>
      </c>
      <c r="DP41" s="5">
        <v>2.4841501706727758E-2</v>
      </c>
      <c r="DQ41" s="5">
        <v>1.9595867183501738E-2</v>
      </c>
      <c r="DR41" s="5">
        <v>1.603804921809306E-2</v>
      </c>
      <c r="DS41" s="5">
        <v>7.4264239104834115E-3</v>
      </c>
      <c r="DT41" s="4">
        <v>3.1334173909185969E-2</v>
      </c>
      <c r="DU41" s="5">
        <v>3.8955474110440182E-2</v>
      </c>
      <c r="DV41" s="5">
        <v>3.5199310467408582E-2</v>
      </c>
      <c r="DW41" s="5">
        <v>1.4624820947240295E-2</v>
      </c>
      <c r="DX41" s="5">
        <v>1.1638499885278718E-2</v>
      </c>
      <c r="DY41" s="5">
        <v>1.3678306871287937E-2</v>
      </c>
      <c r="EA41" s="3" t="s">
        <v>179</v>
      </c>
      <c r="EB41" s="3" t="s">
        <v>134</v>
      </c>
      <c r="EC41" s="5">
        <v>6.3063181825601236E-2</v>
      </c>
      <c r="ED41" s="5">
        <v>6.9265094378791262E-2</v>
      </c>
      <c r="EE41" s="5">
        <v>6.2121600043403037E-2</v>
      </c>
      <c r="EF41" s="5">
        <v>6.5720653366148213E-2</v>
      </c>
      <c r="EG41" s="5">
        <v>7.3836956312971297E-2</v>
      </c>
      <c r="EH41" s="5">
        <v>7.2348308101961745E-2</v>
      </c>
      <c r="EI41" s="5">
        <v>6.3450847375955188E-2</v>
      </c>
      <c r="EJ41" s="5">
        <v>6.3113377045168534E-2</v>
      </c>
      <c r="EK41" s="5">
        <v>5.6286174284792469E-2</v>
      </c>
      <c r="EL41" s="5">
        <v>5.7949225695686432E-2</v>
      </c>
      <c r="EM41" s="5">
        <v>9.3827215586652343E-2</v>
      </c>
      <c r="EN41" s="5">
        <v>9.6240292708076977E-2</v>
      </c>
      <c r="EO41" s="5">
        <v>9.4933119839812619E-2</v>
      </c>
      <c r="EP41" s="5">
        <v>9.9166874452817425E-2</v>
      </c>
      <c r="EQ41" s="5">
        <v>0.10082797484580662</v>
      </c>
      <c r="ER41" s="5">
        <v>0.1005576812940128</v>
      </c>
      <c r="ES41" s="4">
        <v>0.10153192488985488</v>
      </c>
      <c r="ET41" s="5">
        <v>0.10230796869687009</v>
      </c>
      <c r="EU41" s="5">
        <v>9.8860402196035632E-2</v>
      </c>
      <c r="EV41" s="5">
        <v>8.9523159089920409E-2</v>
      </c>
      <c r="EW41" s="5">
        <v>0.15396025287622836</v>
      </c>
      <c r="EX41" s="5">
        <v>0.16860086525099716</v>
      </c>
      <c r="EY41" s="5">
        <v>0.17169004955445491</v>
      </c>
      <c r="EZ41" s="5">
        <v>0.17650445306739496</v>
      </c>
      <c r="FA41" s="5">
        <v>0.18062916088404912</v>
      </c>
      <c r="FB41" s="5">
        <v>0.18712077347226605</v>
      </c>
      <c r="FC41" s="5">
        <v>0.19016671486950221</v>
      </c>
      <c r="FD41" s="4">
        <v>0.17703354505521246</v>
      </c>
      <c r="FE41" s="5">
        <v>0.15362670429290723</v>
      </c>
      <c r="FF41" s="5">
        <v>0.13986643408986196</v>
      </c>
      <c r="FG41" s="5">
        <v>9.1871653884263715E-2</v>
      </c>
      <c r="FH41" s="5">
        <v>0.10344175411659516</v>
      </c>
      <c r="FI41" s="5">
        <v>9.0241312597479306E-2</v>
      </c>
      <c r="FJ41" s="5">
        <v>8.6275646525768621E-2</v>
      </c>
      <c r="FK41" s="5">
        <v>8.5138717930740071E-2</v>
      </c>
      <c r="FL41" s="5">
        <v>8.2614589385398216E-2</v>
      </c>
      <c r="FM41" s="5">
        <v>9.4663829667330737E-2</v>
      </c>
      <c r="FN41" s="5">
        <v>0.10835071618467651</v>
      </c>
      <c r="FO41" s="5">
        <v>9.5015272358429798E-2</v>
      </c>
      <c r="FP41" s="5">
        <v>8.2526654522662946E-2</v>
      </c>
      <c r="FZ41" s="3" t="s">
        <v>179</v>
      </c>
      <c r="GA41" s="5">
        <v>0.72220852639715205</v>
      </c>
      <c r="GB41" s="5">
        <v>0.70333184693642203</v>
      </c>
      <c r="GC41" s="4">
        <v>0.71415195518981511</v>
      </c>
      <c r="GD41" s="5">
        <v>0.70348881517210282</v>
      </c>
      <c r="GE41" s="5">
        <v>0.68130519120177968</v>
      </c>
      <c r="GF41" s="5">
        <v>0.67763119819726525</v>
      </c>
      <c r="GG41" s="5">
        <v>0.68168816936681131</v>
      </c>
      <c r="GH41" s="5">
        <v>0.68962855648159394</v>
      </c>
      <c r="GI41" s="5">
        <v>0.71948402970133241</v>
      </c>
      <c r="GJ41" s="5">
        <v>0.72079730392864583</v>
      </c>
      <c r="GK41" s="4">
        <v>0.61414193219737967</v>
      </c>
      <c r="GL41" s="5">
        <v>0.60067764153415881</v>
      </c>
      <c r="GM41" s="5">
        <v>0.609618735504736</v>
      </c>
      <c r="GN41" s="5">
        <v>0.60561430208813849</v>
      </c>
      <c r="GO41" s="5">
        <v>0.59293564105695862</v>
      </c>
      <c r="GP41" s="5">
        <v>0.58257020031838891</v>
      </c>
      <c r="GQ41" s="5">
        <v>0.57310787780198347</v>
      </c>
      <c r="GR41" s="5">
        <v>0.57213425666677942</v>
      </c>
      <c r="GS41" s="5">
        <v>0.59188273545984638</v>
      </c>
      <c r="GT41" s="4">
        <v>0.61747877957282382</v>
      </c>
      <c r="GU41" s="4">
        <v>0.338606425774516</v>
      </c>
      <c r="GV41" s="5">
        <v>0.32905351207838263</v>
      </c>
      <c r="GW41" s="5">
        <v>0.33251316556747085</v>
      </c>
      <c r="GX41" s="5">
        <v>0.31673807951288174</v>
      </c>
      <c r="GY41" s="5">
        <v>0.30861190792755688</v>
      </c>
      <c r="GZ41" s="5">
        <v>0.32567843063034185</v>
      </c>
      <c r="HA41" s="5">
        <v>0.33834704365714657</v>
      </c>
      <c r="HB41" s="5">
        <v>0.34889509509502259</v>
      </c>
      <c r="HC41" s="5">
        <v>0.34878376342429901</v>
      </c>
      <c r="HD41" s="4">
        <v>0.34851702047575728</v>
      </c>
      <c r="HE41" s="5">
        <v>0.59066518362094256</v>
      </c>
      <c r="HF41" s="4">
        <v>0.58393179895926628</v>
      </c>
      <c r="HG41" s="5">
        <v>0.59320680941769333</v>
      </c>
      <c r="HH41" s="5">
        <v>0.59535650145424046</v>
      </c>
      <c r="HI41" s="5">
        <v>0.59012987256233351</v>
      </c>
      <c r="HJ41" s="5">
        <v>0.581563250476403</v>
      </c>
      <c r="HK41" s="5">
        <v>0.57774621519964142</v>
      </c>
      <c r="HL41" s="5">
        <v>0.58325614153312455</v>
      </c>
      <c r="HM41" s="4">
        <v>0.60264924364322736</v>
      </c>
      <c r="HN41" s="5">
        <v>0.61737194180407751</v>
      </c>
      <c r="HP41" s="3" t="s">
        <v>180</v>
      </c>
      <c r="HQ41" s="3" t="s">
        <v>140</v>
      </c>
      <c r="HR41" s="3" t="s">
        <v>141</v>
      </c>
      <c r="HS41" s="5">
        <v>0.51381913973027005</v>
      </c>
    </row>
    <row r="42" spans="2:227" x14ac:dyDescent="0.45">
      <c r="B42" s="6" t="s">
        <v>181</v>
      </c>
      <c r="C42" s="6" t="s">
        <v>131</v>
      </c>
      <c r="D42" s="8">
        <v>0.30880027369930896</v>
      </c>
      <c r="E42" s="8">
        <v>0.29920112968160295</v>
      </c>
      <c r="F42" s="8">
        <v>0.29768381697328045</v>
      </c>
      <c r="G42" s="8">
        <v>0.30248846461355622</v>
      </c>
      <c r="H42" s="8">
        <v>0.31748208602605543</v>
      </c>
      <c r="I42" s="8">
        <v>0.31833314362381188</v>
      </c>
      <c r="J42" s="8">
        <v>0.31167643747892487</v>
      </c>
      <c r="K42" s="8">
        <v>0.30495693665634699</v>
      </c>
      <c r="L42" s="8">
        <v>0.30397505497970506</v>
      </c>
      <c r="M42" s="8">
        <v>0.31216644582249886</v>
      </c>
      <c r="N42" s="8">
        <v>0.35253103521836437</v>
      </c>
      <c r="O42" s="8">
        <v>0.34843297627631542</v>
      </c>
      <c r="P42" s="8">
        <v>0.35997313893499144</v>
      </c>
      <c r="Q42" s="8">
        <v>0.34644038204489069</v>
      </c>
      <c r="R42" s="8">
        <v>0.34272860034934849</v>
      </c>
      <c r="S42" s="8">
        <v>0.34851440044459175</v>
      </c>
      <c r="T42" s="8">
        <v>0.34253862083633169</v>
      </c>
      <c r="U42" s="8">
        <v>0.34217504793085451</v>
      </c>
      <c r="V42" s="8">
        <v>0.33676432201620993</v>
      </c>
      <c r="W42" s="8">
        <v>0.33710978705281958</v>
      </c>
      <c r="X42" s="8">
        <v>0.38520824785692681</v>
      </c>
      <c r="Y42" s="8">
        <v>0.38606986996454873</v>
      </c>
      <c r="Z42" s="8">
        <v>0.42590450661935775</v>
      </c>
      <c r="AA42" s="8">
        <v>0.43525980784923318</v>
      </c>
      <c r="AB42" s="8">
        <v>0.43772510693474859</v>
      </c>
      <c r="AC42" s="8">
        <v>0.43745700320817998</v>
      </c>
      <c r="AD42" s="8">
        <v>0.42054895014323335</v>
      </c>
      <c r="AE42" s="8">
        <v>0.3798509989866376</v>
      </c>
      <c r="AF42" s="8">
        <v>0.33098456561469364</v>
      </c>
      <c r="AG42" s="8">
        <v>0.34206356909133312</v>
      </c>
      <c r="AH42" s="8">
        <v>0.28943600254279206</v>
      </c>
      <c r="AI42" s="8">
        <v>0.30366754904185739</v>
      </c>
      <c r="AJ42" s="8">
        <v>0.30744957826669456</v>
      </c>
      <c r="AK42" s="8">
        <v>0.31116226442589179</v>
      </c>
      <c r="AL42" s="8">
        <v>0.31373018442526762</v>
      </c>
      <c r="AM42" s="8">
        <v>0.31612968442768186</v>
      </c>
      <c r="AN42" s="8">
        <v>0.30463411695399117</v>
      </c>
      <c r="AO42" s="8">
        <v>0.28974042082957141</v>
      </c>
      <c r="AP42" s="8">
        <v>0.27959599530227852</v>
      </c>
      <c r="AQ42" s="8">
        <v>0.27732324138252418</v>
      </c>
      <c r="AS42" s="6" t="s">
        <v>181</v>
      </c>
      <c r="AT42" s="6" t="s">
        <v>132</v>
      </c>
      <c r="AU42" s="8">
        <v>1.8649603587407321E-2</v>
      </c>
      <c r="AV42" s="7">
        <v>7.5737801085017584E-3</v>
      </c>
      <c r="AW42" s="8">
        <v>1.4314227903160347E-2</v>
      </c>
      <c r="AX42" s="8">
        <v>1.5538574122294504E-2</v>
      </c>
      <c r="AY42" s="8">
        <v>2.4904826975902912E-2</v>
      </c>
      <c r="AZ42" s="8">
        <v>2.2874628915456708E-2</v>
      </c>
      <c r="BA42" s="8">
        <v>1.803565780751655E-2</v>
      </c>
      <c r="BB42" s="8">
        <v>1.4532919674721739E-2</v>
      </c>
      <c r="BC42" s="8">
        <v>1.2633123570705049E-2</v>
      </c>
      <c r="BD42" s="8">
        <v>2.6072881270833542E-2</v>
      </c>
      <c r="BE42" s="8">
        <v>2.5350286190270629E-2</v>
      </c>
      <c r="BF42" s="8">
        <v>1.513496049554844E-3</v>
      </c>
      <c r="BG42" s="8">
        <v>1.0320761075742644E-2</v>
      </c>
      <c r="BH42" s="8">
        <v>2.1649001902279235E-2</v>
      </c>
      <c r="BI42" s="8">
        <v>3.6210771005714799E-2</v>
      </c>
      <c r="BJ42" s="8">
        <v>3.8923450449142534E-2</v>
      </c>
      <c r="BK42" s="8">
        <v>2.9017377984677965E-2</v>
      </c>
      <c r="BL42" s="7">
        <v>2.4118097845652175E-2</v>
      </c>
      <c r="BM42" s="8">
        <v>2.3653826484776947E-2</v>
      </c>
      <c r="BN42" s="8">
        <v>1.9791122270405782E-2</v>
      </c>
      <c r="BO42" s="8">
        <v>6.2974532826581012E-2</v>
      </c>
      <c r="BP42" s="8">
        <v>3.4431613825653323E-2</v>
      </c>
      <c r="BQ42" s="8">
        <v>1.501204811596394E-2</v>
      </c>
      <c r="BR42" s="8">
        <v>2.4872714850562343E-2</v>
      </c>
      <c r="BS42" s="8">
        <v>2.1309235637954969E-2</v>
      </c>
      <c r="BT42" s="7">
        <v>1.8499946715378971E-2</v>
      </c>
      <c r="BU42" s="8">
        <v>3.5103634083193551E-2</v>
      </c>
      <c r="BV42" s="8">
        <v>1.9682039380598128E-2</v>
      </c>
      <c r="BW42" s="8">
        <v>2.6033840258535795E-3</v>
      </c>
      <c r="BX42" s="8">
        <v>1.6293915079401821E-2</v>
      </c>
      <c r="BY42" s="8">
        <v>3.3768485945976159E-2</v>
      </c>
      <c r="BZ42" s="7">
        <v>1.3897128871991325E-2</v>
      </c>
      <c r="CA42" s="7">
        <v>1.2568702273224847E-2</v>
      </c>
      <c r="CB42" s="8">
        <v>2.469268084342122E-2</v>
      </c>
      <c r="CC42" s="8">
        <v>1.7123169463411775E-2</v>
      </c>
      <c r="CD42" s="8">
        <v>2.7143172963179307E-2</v>
      </c>
      <c r="CE42" s="8">
        <v>2.8567418768005347E-2</v>
      </c>
      <c r="CF42" s="7">
        <v>2.2167621218289833E-2</v>
      </c>
      <c r="CG42" s="8">
        <v>2.226023764986931E-2</v>
      </c>
      <c r="CH42" s="8">
        <v>2.9594694533575938E-2</v>
      </c>
      <c r="CJ42" s="6" t="s">
        <v>181</v>
      </c>
      <c r="CK42" s="6" t="s">
        <v>133</v>
      </c>
      <c r="CL42" s="8">
        <v>2.6663779713888867E-2</v>
      </c>
      <c r="CM42" s="8">
        <v>3.2609768177871278E-2</v>
      </c>
      <c r="CN42" s="8">
        <v>2.1141299100089533E-2</v>
      </c>
      <c r="CO42" s="8">
        <v>1.911505168872565E-2</v>
      </c>
      <c r="CP42" s="7">
        <v>1.8331774272163117E-2</v>
      </c>
      <c r="CQ42" s="8">
        <v>1.7422004819286227E-2</v>
      </c>
      <c r="CR42" s="8">
        <v>3.1846192019671066E-2</v>
      </c>
      <c r="CS42" s="8">
        <v>3.4051674551406216E-2</v>
      </c>
      <c r="CT42" s="8">
        <v>3.0120723039757557E-2</v>
      </c>
      <c r="CU42" s="8">
        <v>1.6015541911838738E-2</v>
      </c>
      <c r="CV42" s="8">
        <v>3.17820584781374E-2</v>
      </c>
      <c r="CW42" s="8">
        <v>4.1389829982405646E-2</v>
      </c>
      <c r="CX42" s="8">
        <v>4.3142020658536957E-2</v>
      </c>
      <c r="CY42" s="8">
        <v>2.0327428720889017E-2</v>
      </c>
      <c r="CZ42" s="8">
        <v>5.30455432476655E-3</v>
      </c>
      <c r="DA42" s="8">
        <v>1.7158976841177571E-2</v>
      </c>
      <c r="DB42" s="8">
        <v>2.5442542641433075E-2</v>
      </c>
      <c r="DC42" s="8">
        <v>3.5103131418363201E-2</v>
      </c>
      <c r="DD42" s="8">
        <v>4.4272351040569577E-2</v>
      </c>
      <c r="DE42" s="8">
        <v>3.3396602443337198E-2</v>
      </c>
      <c r="DF42" s="8">
        <v>1.2818241058610952E-2</v>
      </c>
      <c r="DG42" s="8">
        <v>6.4965875979737284E-2</v>
      </c>
      <c r="DH42" s="8">
        <v>8.9224976049917512E-2</v>
      </c>
      <c r="DI42" s="8">
        <v>6.6820933420421835E-2</v>
      </c>
      <c r="DJ42" s="8">
        <v>5.7062079566132191E-2</v>
      </c>
      <c r="DK42" s="8">
        <v>2.9719798676517233E-2</v>
      </c>
      <c r="DL42" s="8">
        <v>1.1080650246115965E-2</v>
      </c>
      <c r="DM42" s="8">
        <v>1.800059080294204E-2</v>
      </c>
      <c r="DN42" s="8">
        <v>2.5464773817081315E-2</v>
      </c>
      <c r="DO42" s="7">
        <v>1.8352319336380665E-2</v>
      </c>
      <c r="DP42" s="8">
        <v>3.4403311226944441E-2</v>
      </c>
      <c r="DQ42" s="8">
        <v>5.4321252139079318E-2</v>
      </c>
      <c r="DR42" s="8">
        <v>5.4224828086494849E-2</v>
      </c>
      <c r="DS42" s="8">
        <v>2.2675402100128302E-2</v>
      </c>
      <c r="DT42" s="7">
        <v>1.8874918212375202E-2</v>
      </c>
      <c r="DU42" s="8">
        <v>1.6958022430076221E-2</v>
      </c>
      <c r="DV42" s="8">
        <v>2.632967779461131E-2</v>
      </c>
      <c r="DW42" s="8">
        <v>2.2772465517723224E-2</v>
      </c>
      <c r="DX42" s="8">
        <v>1.8395461226854263E-2</v>
      </c>
      <c r="DY42" s="8">
        <v>1.3848443058943161E-2</v>
      </c>
      <c r="EA42" s="6" t="s">
        <v>181</v>
      </c>
      <c r="EB42" s="6" t="s">
        <v>134</v>
      </c>
      <c r="EC42" s="8">
        <v>0.12215090711837212</v>
      </c>
      <c r="ED42" s="8">
        <v>0.12703321603163487</v>
      </c>
      <c r="EE42" s="8">
        <v>0.13142889542763456</v>
      </c>
      <c r="EF42" s="8">
        <v>0.1327171744666556</v>
      </c>
      <c r="EG42" s="8">
        <v>0.12564406544805495</v>
      </c>
      <c r="EH42" s="8">
        <v>0.13078584323684472</v>
      </c>
      <c r="EI42" s="8">
        <v>0.1258414477797396</v>
      </c>
      <c r="EJ42" s="8">
        <v>0.11956753598722356</v>
      </c>
      <c r="EK42" s="8">
        <v>0.11681009182170421</v>
      </c>
      <c r="EL42" s="8">
        <v>0.12153361806367942</v>
      </c>
      <c r="EM42" s="8">
        <v>0.17314044980614776</v>
      </c>
      <c r="EN42" s="8">
        <v>0.18466584983856596</v>
      </c>
      <c r="EO42" s="8">
        <v>0.17061817073860561</v>
      </c>
      <c r="EP42" s="8">
        <v>0.17005810782980457</v>
      </c>
      <c r="EQ42" s="8">
        <v>0.17130650027592617</v>
      </c>
      <c r="ER42" s="8">
        <v>0.15569713585382042</v>
      </c>
      <c r="ES42" s="7">
        <v>0.15328889121168679</v>
      </c>
      <c r="ET42" s="8">
        <v>0.14867767528465661</v>
      </c>
      <c r="EU42" s="8">
        <v>0.14621576319162971</v>
      </c>
      <c r="EV42" s="8">
        <v>0.1589210444265037</v>
      </c>
      <c r="EW42" s="8">
        <v>0.16816025388752531</v>
      </c>
      <c r="EX42" s="8">
        <v>0.14584646821832253</v>
      </c>
      <c r="EY42" s="8">
        <v>0.18622492417435077</v>
      </c>
      <c r="EZ42" s="8">
        <v>0.21892338774016601</v>
      </c>
      <c r="FA42" s="8">
        <v>0.23392831580389925</v>
      </c>
      <c r="FB42" s="8">
        <v>0.24663123348975444</v>
      </c>
      <c r="FC42" s="8">
        <v>0.23671902888313437</v>
      </c>
      <c r="FD42" s="7">
        <v>0.22473868530409291</v>
      </c>
      <c r="FE42" s="8">
        <v>0.20727513884541579</v>
      </c>
      <c r="FF42" s="8">
        <v>0.19680670940076511</v>
      </c>
      <c r="FG42" s="8">
        <v>0.10322363774489336</v>
      </c>
      <c r="FH42" s="8">
        <v>0.1156119168849</v>
      </c>
      <c r="FI42" s="8">
        <v>0.12035281585600954</v>
      </c>
      <c r="FJ42" s="8">
        <v>0.14065115861205799</v>
      </c>
      <c r="FK42" s="8">
        <v>0.14847550156921802</v>
      </c>
      <c r="FL42" s="8">
        <v>0.13815446726594854</v>
      </c>
      <c r="FM42" s="8">
        <v>0.1261737480530242</v>
      </c>
      <c r="FN42" s="8">
        <v>0.12967541239638186</v>
      </c>
      <c r="FO42" s="8">
        <v>0.12515043701877238</v>
      </c>
      <c r="FP42" s="8">
        <v>0.11894982819860229</v>
      </c>
      <c r="FZ42" s="6" t="s">
        <v>181</v>
      </c>
      <c r="GA42" s="8">
        <v>0.53111864577254486</v>
      </c>
      <c r="GB42" s="8">
        <v>0.51294753518369463</v>
      </c>
      <c r="GC42" s="7">
        <v>0.51283123556058852</v>
      </c>
      <c r="GD42" s="8">
        <v>0.51959591964259744</v>
      </c>
      <c r="GE42" s="8">
        <v>0.51583851237470901</v>
      </c>
      <c r="GF42" s="8">
        <v>0.51076881104769811</v>
      </c>
      <c r="GG42" s="8">
        <v>0.50068035346662831</v>
      </c>
      <c r="GH42" s="8">
        <v>0.51436367609163025</v>
      </c>
      <c r="GI42" s="8">
        <v>0.52994408929824</v>
      </c>
      <c r="GJ42" s="8">
        <v>0.53779603659554764</v>
      </c>
      <c r="GK42" s="7">
        <v>0.38568053116627121</v>
      </c>
      <c r="GL42" s="8">
        <v>0.39175168600986188</v>
      </c>
      <c r="GM42" s="8">
        <v>0.41457467952631821</v>
      </c>
      <c r="GN42" s="8">
        <v>0.439629071402242</v>
      </c>
      <c r="GO42" s="8">
        <v>0.43921946301871567</v>
      </c>
      <c r="GP42" s="8">
        <v>0.44287664097171964</v>
      </c>
      <c r="GQ42" s="8">
        <v>0.44789348001359031</v>
      </c>
      <c r="GR42" s="8">
        <v>0.42440674525341426</v>
      </c>
      <c r="GS42" s="8">
        <v>0.40448714589001611</v>
      </c>
      <c r="GT42" s="7">
        <v>0.39300112293162587</v>
      </c>
      <c r="GU42" s="7">
        <v>0.20204690984075727</v>
      </c>
      <c r="GV42" s="8">
        <v>0.18780478582535262</v>
      </c>
      <c r="GW42" s="8">
        <v>0.19700725660241797</v>
      </c>
      <c r="GX42" s="8">
        <v>0.214587308646119</v>
      </c>
      <c r="GY42" s="8">
        <v>0.23155757609334693</v>
      </c>
      <c r="GZ42" s="8">
        <v>0.2548982312209378</v>
      </c>
      <c r="HA42" s="8">
        <v>0.26739323446425894</v>
      </c>
      <c r="HB42" s="8">
        <v>0.25574254677706881</v>
      </c>
      <c r="HC42" s="8">
        <v>0.24158652350508972</v>
      </c>
      <c r="HD42" s="7">
        <v>0.22560247695967689</v>
      </c>
      <c r="HE42" s="8">
        <v>0.43545238792405022</v>
      </c>
      <c r="HF42" s="7">
        <v>0.40780439366750254</v>
      </c>
      <c r="HG42" s="8">
        <v>0.40563088466392849</v>
      </c>
      <c r="HH42" s="8">
        <v>0.41770040754812188</v>
      </c>
      <c r="HI42" s="8">
        <v>0.42727553410005276</v>
      </c>
      <c r="HJ42" s="8">
        <v>0.44763290760066399</v>
      </c>
      <c r="HK42" s="8">
        <v>0.45243175896805721</v>
      </c>
      <c r="HL42" s="8">
        <v>0.44380752405581564</v>
      </c>
      <c r="HM42" s="7">
        <v>0.43913923788324488</v>
      </c>
      <c r="HN42" s="8">
        <v>0.43918330724787774</v>
      </c>
      <c r="HP42" s="6" t="s">
        <v>182</v>
      </c>
      <c r="HQ42" s="6" t="s">
        <v>140</v>
      </c>
      <c r="HR42" s="6" t="s">
        <v>141</v>
      </c>
      <c r="HS42" s="8">
        <v>0.55501052691830532</v>
      </c>
    </row>
    <row r="43" spans="2:227" x14ac:dyDescent="0.45">
      <c r="B43" s="3" t="s">
        <v>183</v>
      </c>
      <c r="C43" s="3" t="s">
        <v>131</v>
      </c>
      <c r="D43" s="5">
        <v>0.21518194838266588</v>
      </c>
      <c r="E43" s="5">
        <v>0.2135247588584421</v>
      </c>
      <c r="F43" s="5">
        <v>0.21496632710487104</v>
      </c>
      <c r="G43" s="5">
        <v>0.21606834267341901</v>
      </c>
      <c r="H43" s="5">
        <v>0.22037010068100527</v>
      </c>
      <c r="I43" s="5">
        <v>0.22790910771603307</v>
      </c>
      <c r="J43" s="5">
        <v>0.22459219337776831</v>
      </c>
      <c r="K43" s="5">
        <v>0.21882688519391993</v>
      </c>
      <c r="L43" s="5">
        <v>0.20688787485306268</v>
      </c>
      <c r="M43" s="5">
        <v>0.20728759727095741</v>
      </c>
      <c r="N43" s="5">
        <v>0.25819164594617194</v>
      </c>
      <c r="O43" s="5">
        <v>0.25311208746845559</v>
      </c>
      <c r="P43" s="5">
        <v>0.24473268618015789</v>
      </c>
      <c r="Q43" s="5">
        <v>0.25363467271679802</v>
      </c>
      <c r="R43" s="5">
        <v>0.26752930431925348</v>
      </c>
      <c r="S43" s="5">
        <v>0.26403431810126499</v>
      </c>
      <c r="T43" s="5">
        <v>0.25854948534068534</v>
      </c>
      <c r="U43" s="5">
        <v>0.25881632674577626</v>
      </c>
      <c r="V43" s="5">
        <v>0.25392681271499973</v>
      </c>
      <c r="W43" s="5">
        <v>0.24960207545129751</v>
      </c>
      <c r="X43" s="5">
        <v>0.31982047929598595</v>
      </c>
      <c r="Y43" s="5">
        <v>0.34148503138563402</v>
      </c>
      <c r="Z43" s="5">
        <v>0.35464597414183457</v>
      </c>
      <c r="AA43" s="5">
        <v>0.37212969895966608</v>
      </c>
      <c r="AB43" s="5">
        <v>0.37046308567350777</v>
      </c>
      <c r="AC43" s="5">
        <v>0.33903475445514752</v>
      </c>
      <c r="AD43" s="5">
        <v>0.31434361054675813</v>
      </c>
      <c r="AE43" s="5">
        <v>0.29578209998743099</v>
      </c>
      <c r="AF43" s="5">
        <v>0.28620816545782163</v>
      </c>
      <c r="AG43" s="5">
        <v>0.28686444756779544</v>
      </c>
      <c r="AH43" s="5">
        <v>0.24856305995216538</v>
      </c>
      <c r="AI43" s="5">
        <v>0.25417525007970193</v>
      </c>
      <c r="AJ43" s="5">
        <v>0.25606041942569274</v>
      </c>
      <c r="AK43" s="5">
        <v>0.25220580204468063</v>
      </c>
      <c r="AL43" s="5">
        <v>0.26032116169753111</v>
      </c>
      <c r="AM43" s="5">
        <v>0.2656582041551287</v>
      </c>
      <c r="AN43" s="5">
        <v>0.2667042368592128</v>
      </c>
      <c r="AO43" s="5">
        <v>0.24812791218186103</v>
      </c>
      <c r="AP43" s="5">
        <v>0.24079271293092175</v>
      </c>
      <c r="AQ43" s="5">
        <v>0.23769801030321042</v>
      </c>
      <c r="AS43" s="3" t="s">
        <v>183</v>
      </c>
      <c r="AT43" s="3" t="s">
        <v>132</v>
      </c>
      <c r="AU43" s="5">
        <v>1.0159409559013224E-2</v>
      </c>
      <c r="AV43" s="4">
        <v>7.7573710010462298E-3</v>
      </c>
      <c r="AW43" s="5">
        <v>6.515578792463764E-3</v>
      </c>
      <c r="AX43" s="5">
        <v>1.0244207249809369E-2</v>
      </c>
      <c r="AY43" s="5">
        <v>9.6527771054591063E-3</v>
      </c>
      <c r="AZ43" s="5">
        <v>1.8138296801157722E-2</v>
      </c>
      <c r="BA43" s="5">
        <v>1.9723015998919881E-2</v>
      </c>
      <c r="BB43" s="5">
        <v>1.0903965731785644E-2</v>
      </c>
      <c r="BC43" s="5">
        <v>1.2632857911387282E-2</v>
      </c>
      <c r="BD43" s="5">
        <v>1.0347766987693059E-2</v>
      </c>
      <c r="BE43" s="5">
        <v>1.7630956453841554E-2</v>
      </c>
      <c r="BF43" s="5">
        <v>9.2977595621322393E-3</v>
      </c>
      <c r="BG43" s="5">
        <v>5.8712003423767962E-3</v>
      </c>
      <c r="BH43" s="5">
        <v>1.4658228539299416E-2</v>
      </c>
      <c r="BI43" s="5">
        <v>1.8500377382097033E-2</v>
      </c>
      <c r="BJ43" s="5">
        <v>4.5849312647330944E-3</v>
      </c>
      <c r="BK43" s="5">
        <v>5.8634044361333118E-3</v>
      </c>
      <c r="BL43" s="4">
        <v>9.120375468283419E-3</v>
      </c>
      <c r="BM43" s="5">
        <v>1.0928095980990848E-2</v>
      </c>
      <c r="BN43" s="5">
        <v>1.5431300749609952E-2</v>
      </c>
      <c r="BO43" s="5">
        <v>1.276957287631837E-2</v>
      </c>
      <c r="BP43" s="5">
        <v>2.2603847866450241E-2</v>
      </c>
      <c r="BQ43" s="5">
        <v>3.1916560556117815E-2</v>
      </c>
      <c r="BR43" s="5">
        <v>3.4065842153733733E-2</v>
      </c>
      <c r="BS43" s="5">
        <v>3.4387830934617489E-2</v>
      </c>
      <c r="BT43" s="4">
        <v>2.1330927602415565E-2</v>
      </c>
      <c r="BU43" s="5">
        <v>3.0145540573265604E-2</v>
      </c>
      <c r="BV43" s="5">
        <v>2.6165167273346831E-2</v>
      </c>
      <c r="BW43" s="5">
        <v>2.0153462466557016E-2</v>
      </c>
      <c r="BX43" s="5">
        <v>6.8783517300186753E-3</v>
      </c>
      <c r="BY43" s="5">
        <v>1.8902491486928737E-2</v>
      </c>
      <c r="BZ43" s="4">
        <v>2.5148347527935124E-2</v>
      </c>
      <c r="CA43" s="4">
        <v>3.9782643639568731E-2</v>
      </c>
      <c r="CB43" s="5">
        <v>3.3228602121354436E-2</v>
      </c>
      <c r="CC43" s="5">
        <v>1.6216187665473253E-2</v>
      </c>
      <c r="CD43" s="5">
        <v>1.4026979418906467E-2</v>
      </c>
      <c r="CE43" s="5">
        <v>2.1617015663665802E-3</v>
      </c>
      <c r="CF43" s="4">
        <v>4.6341219949713039E-3</v>
      </c>
      <c r="CG43" s="5">
        <v>9.9990986922300421E-3</v>
      </c>
      <c r="CH43" s="5">
        <v>1.4874935787361633E-2</v>
      </c>
      <c r="CJ43" s="3" t="s">
        <v>183</v>
      </c>
      <c r="CK43" s="3" t="s">
        <v>133</v>
      </c>
      <c r="CL43" s="5">
        <v>1.5182693643522448E-2</v>
      </c>
      <c r="CM43" s="5">
        <v>1.4402330205966788E-2</v>
      </c>
      <c r="CN43" s="5">
        <v>1.4585761742199544E-2</v>
      </c>
      <c r="CO43" s="5">
        <v>1.0442341648858957E-2</v>
      </c>
      <c r="CP43" s="4">
        <v>9.9298665167092976E-3</v>
      </c>
      <c r="CQ43" s="5">
        <v>9.0678715814501917E-3</v>
      </c>
      <c r="CR43" s="5">
        <v>1.12358860695661E-2</v>
      </c>
      <c r="CS43" s="5">
        <v>2.0098304673724681E-2</v>
      </c>
      <c r="CT43" s="5">
        <v>1.9004862688725577E-2</v>
      </c>
      <c r="CU43" s="5">
        <v>1.3165829373958961E-2</v>
      </c>
      <c r="CV43" s="5">
        <v>2.1579813404768642E-2</v>
      </c>
      <c r="CW43" s="5">
        <v>2.3018129217372167E-2</v>
      </c>
      <c r="CX43" s="5">
        <v>1.6026273215014937E-2</v>
      </c>
      <c r="CY43" s="5">
        <v>1.1247934869816742E-2</v>
      </c>
      <c r="CZ43" s="5">
        <v>8.4449162836077556E-3</v>
      </c>
      <c r="DA43" s="5">
        <v>1.9721292491254424E-2</v>
      </c>
      <c r="DB43" s="5">
        <v>2.1130170249848486E-2</v>
      </c>
      <c r="DC43" s="5">
        <v>1.3031546301498638E-2</v>
      </c>
      <c r="DD43" s="5">
        <v>5.7425659715544313E-3</v>
      </c>
      <c r="DE43" s="5">
        <v>1.6372890863559385E-2</v>
      </c>
      <c r="DF43" s="5">
        <v>3.0429297055538821E-2</v>
      </c>
      <c r="DG43" s="5">
        <v>9.1045811584843876E-3</v>
      </c>
      <c r="DH43" s="5">
        <v>1.5197448653398024E-2</v>
      </c>
      <c r="DI43" s="5">
        <v>3.358455498751594E-2</v>
      </c>
      <c r="DJ43" s="5">
        <v>4.9893077417301923E-2</v>
      </c>
      <c r="DK43" s="5">
        <v>3.8452935273571305E-2</v>
      </c>
      <c r="DL43" s="5">
        <v>2.2089186505207352E-2</v>
      </c>
      <c r="DM43" s="5">
        <v>2.9761773425896965E-2</v>
      </c>
      <c r="DN43" s="5">
        <v>3.6740396660166076E-2</v>
      </c>
      <c r="DO43" s="4">
        <v>3.9819444363981056E-2</v>
      </c>
      <c r="DP43" s="5">
        <v>1.6383904754121499E-2</v>
      </c>
      <c r="DQ43" s="5">
        <v>2.2992326316081887E-2</v>
      </c>
      <c r="DR43" s="5">
        <v>1.866639228945036E-2</v>
      </c>
      <c r="DS43" s="5">
        <v>2.3614216677778486E-2</v>
      </c>
      <c r="DT43" s="4">
        <v>4.0398478833112886E-2</v>
      </c>
      <c r="DU43" s="5">
        <v>4.514483404466689E-2</v>
      </c>
      <c r="DV43" s="5">
        <v>3.2439816357336032E-2</v>
      </c>
      <c r="DW43" s="5">
        <v>1.9065236016917338E-2</v>
      </c>
      <c r="DX43" s="5">
        <v>1.3091440750760866E-2</v>
      </c>
      <c r="DY43" s="5">
        <v>9.4254232262731587E-3</v>
      </c>
      <c r="EA43" s="3" t="s">
        <v>183</v>
      </c>
      <c r="EB43" s="3" t="s">
        <v>134</v>
      </c>
      <c r="EC43" s="5">
        <v>7.4498131839773732E-2</v>
      </c>
      <c r="ED43" s="5">
        <v>8.2988173424273226E-2</v>
      </c>
      <c r="EE43" s="5">
        <v>8.3062069164643038E-2</v>
      </c>
      <c r="EF43" s="5">
        <v>8.9936902941197883E-2</v>
      </c>
      <c r="EG43" s="5">
        <v>8.9524761844360201E-2</v>
      </c>
      <c r="EH43" s="5">
        <v>8.2881316563876595E-2</v>
      </c>
      <c r="EI43" s="5">
        <v>7.9010440187741546E-2</v>
      </c>
      <c r="EJ43" s="5">
        <v>7.27692898890058E-2</v>
      </c>
      <c r="EK43" s="5">
        <v>6.578779500433625E-2</v>
      </c>
      <c r="EL43" s="5">
        <v>7.1624720561787328E-2</v>
      </c>
      <c r="EM43" s="5">
        <v>8.9465584125949349E-2</v>
      </c>
      <c r="EN43" s="5">
        <v>9.6936905902035492E-2</v>
      </c>
      <c r="EO43" s="5">
        <v>9.9355803694087308E-2</v>
      </c>
      <c r="EP43" s="5">
        <v>9.9762508047821816E-2</v>
      </c>
      <c r="EQ43" s="5">
        <v>0.1130959623438705</v>
      </c>
      <c r="ER43" s="5">
        <v>0.12018601289780985</v>
      </c>
      <c r="ES43" s="4">
        <v>0.11391980401657685</v>
      </c>
      <c r="ET43" s="5">
        <v>0.11528907620205768</v>
      </c>
      <c r="EU43" s="5">
        <v>0.11509421135570183</v>
      </c>
      <c r="EV43" s="5">
        <v>9.5561026230486831E-2</v>
      </c>
      <c r="EW43" s="5">
        <v>0.16320304123693774</v>
      </c>
      <c r="EX43" s="5">
        <v>0.19310218747768973</v>
      </c>
      <c r="EY43" s="5">
        <v>0.19439550336698946</v>
      </c>
      <c r="EZ43" s="5">
        <v>0.19795604944479814</v>
      </c>
      <c r="FA43" s="5">
        <v>0.17502789405253674</v>
      </c>
      <c r="FB43" s="5">
        <v>0.16321913326190901</v>
      </c>
      <c r="FC43" s="5">
        <v>0.14328085545961222</v>
      </c>
      <c r="FD43" s="4">
        <v>0.13121547913495435</v>
      </c>
      <c r="FE43" s="5">
        <v>0.12509200485889171</v>
      </c>
      <c r="FF43" s="5">
        <v>0.13245348797926373</v>
      </c>
      <c r="FG43" s="5">
        <v>0.11029823877808931</v>
      </c>
      <c r="FH43" s="5">
        <v>9.7567213759641766E-2</v>
      </c>
      <c r="FI43" s="5">
        <v>8.9046918754410287E-2</v>
      </c>
      <c r="FJ43" s="5">
        <v>8.5712155120019062E-2</v>
      </c>
      <c r="FK43" s="5">
        <v>8.9904122124237831E-2</v>
      </c>
      <c r="FL43" s="5">
        <v>9.5072862295096372E-2</v>
      </c>
      <c r="FM43" s="5">
        <v>0.11951549248834846</v>
      </c>
      <c r="FN43" s="5">
        <v>0.11622627878175279</v>
      </c>
      <c r="FO43" s="5">
        <v>0.11432862318118137</v>
      </c>
      <c r="FP43" s="5">
        <v>0.11320640896927493</v>
      </c>
      <c r="FZ43" s="3" t="s">
        <v>183</v>
      </c>
      <c r="GA43" s="5">
        <v>0.6623790661166159</v>
      </c>
      <c r="GB43" s="5">
        <v>0.64857332612313312</v>
      </c>
      <c r="GC43" s="4">
        <v>0.65066606548699846</v>
      </c>
      <c r="GD43" s="5">
        <v>0.64176472300401299</v>
      </c>
      <c r="GE43" s="5">
        <v>0.64244636601169491</v>
      </c>
      <c r="GF43" s="5">
        <v>0.64377550470250455</v>
      </c>
      <c r="GG43" s="5">
        <v>0.64870117098359548</v>
      </c>
      <c r="GH43" s="5">
        <v>0.66117742844269756</v>
      </c>
      <c r="GI43" s="5">
        <v>0.67086102142908588</v>
      </c>
      <c r="GJ43" s="5">
        <v>0.67891517338792295</v>
      </c>
      <c r="GK43" s="4">
        <v>0.58763636123748964</v>
      </c>
      <c r="GL43" s="5">
        <v>0.59728430217316886</v>
      </c>
      <c r="GM43" s="5">
        <v>0.61371481163036834</v>
      </c>
      <c r="GN43" s="5">
        <v>0.60269931155443224</v>
      </c>
      <c r="GO43" s="5">
        <v>0.56824099676858875</v>
      </c>
      <c r="GP43" s="5">
        <v>0.55037315431108602</v>
      </c>
      <c r="GQ43" s="5">
        <v>0.54516855834233036</v>
      </c>
      <c r="GR43" s="5">
        <v>0.54386590305344518</v>
      </c>
      <c r="GS43" s="5">
        <v>0.55651164994824198</v>
      </c>
      <c r="GT43" s="4">
        <v>0.57991379489386974</v>
      </c>
      <c r="GU43" s="4">
        <v>0.35203116292845216</v>
      </c>
      <c r="GV43" s="5">
        <v>0.33083880334260146</v>
      </c>
      <c r="GW43" s="5">
        <v>0.33010981905712578</v>
      </c>
      <c r="GX43" s="5">
        <v>0.31298508994214003</v>
      </c>
      <c r="GY43" s="5">
        <v>0.3226345589622987</v>
      </c>
      <c r="GZ43" s="5">
        <v>0.36721084054939768</v>
      </c>
      <c r="HA43" s="5">
        <v>0.40610093575949585</v>
      </c>
      <c r="HB43" s="5">
        <v>0.4276118298544907</v>
      </c>
      <c r="HC43" s="5">
        <v>0.42080024981154296</v>
      </c>
      <c r="HD43" s="4">
        <v>0.40103016102681344</v>
      </c>
      <c r="HE43" s="5">
        <v>0.53526607637277457</v>
      </c>
      <c r="HF43" s="4">
        <v>0.54138713838188646</v>
      </c>
      <c r="HG43" s="5">
        <v>0.5526882874543414</v>
      </c>
      <c r="HH43" s="5">
        <v>0.56321162538441549</v>
      </c>
      <c r="HI43" s="5">
        <v>0.5572550408008965</v>
      </c>
      <c r="HJ43" s="5">
        <v>0.54620113736433229</v>
      </c>
      <c r="HK43" s="5">
        <v>0.54036847175777014</v>
      </c>
      <c r="HL43" s="5">
        <v>0.54264546536810443</v>
      </c>
      <c r="HM43" s="4">
        <v>0.55081177300494766</v>
      </c>
      <c r="HN43" s="5">
        <v>0.55111923167665433</v>
      </c>
      <c r="HP43" s="3" t="s">
        <v>184</v>
      </c>
      <c r="HQ43" s="3" t="s">
        <v>140</v>
      </c>
      <c r="HR43" s="3" t="s">
        <v>141</v>
      </c>
      <c r="HS43" s="5">
        <v>0.47396584675796699</v>
      </c>
    </row>
    <row r="44" spans="2:227" x14ac:dyDescent="0.45">
      <c r="B44" s="6" t="s">
        <v>185</v>
      </c>
      <c r="C44" s="6" t="s">
        <v>131</v>
      </c>
      <c r="D44" s="8">
        <v>0.23894637207617295</v>
      </c>
      <c r="E44" s="8">
        <v>0.23592793602143283</v>
      </c>
      <c r="F44" s="8">
        <v>0.24044619887479335</v>
      </c>
      <c r="G44" s="8">
        <v>0.24630739905735166</v>
      </c>
      <c r="H44" s="8">
        <v>0.25005714621879083</v>
      </c>
      <c r="I44" s="8">
        <v>0.25412956935368913</v>
      </c>
      <c r="J44" s="8">
        <v>0.25090722516004277</v>
      </c>
      <c r="K44" s="8">
        <v>0.23913109949550368</v>
      </c>
      <c r="L44" s="8">
        <v>0.21588752409952872</v>
      </c>
      <c r="M44" s="8">
        <v>0.2246275214354603</v>
      </c>
      <c r="N44" s="8">
        <v>0.27844813148105929</v>
      </c>
      <c r="O44" s="8">
        <v>0.25901621938062075</v>
      </c>
      <c r="P44" s="8">
        <v>0.25125102210012035</v>
      </c>
      <c r="Q44" s="8">
        <v>0.2587362202392981</v>
      </c>
      <c r="R44" s="8">
        <v>0.26722135836365968</v>
      </c>
      <c r="S44" s="8">
        <v>0.25774045033955412</v>
      </c>
      <c r="T44" s="8">
        <v>0.2448505520620935</v>
      </c>
      <c r="U44" s="8">
        <v>0.23911248370054641</v>
      </c>
      <c r="V44" s="8">
        <v>0.2368293577102058</v>
      </c>
      <c r="W44" s="8">
        <v>0.25631745342111373</v>
      </c>
      <c r="X44" s="8">
        <v>0.33010183848170666</v>
      </c>
      <c r="Y44" s="8">
        <v>0.33431328715867303</v>
      </c>
      <c r="Z44" s="8">
        <v>0.32981438540462388</v>
      </c>
      <c r="AA44" s="8">
        <v>0.34173750158931215</v>
      </c>
      <c r="AB44" s="8">
        <v>0.35160299872861583</v>
      </c>
      <c r="AC44" s="8">
        <v>0.33446358388263536</v>
      </c>
      <c r="AD44" s="8">
        <v>0.33900611087304311</v>
      </c>
      <c r="AE44" s="8">
        <v>0.33124526977199126</v>
      </c>
      <c r="AF44" s="8">
        <v>0.32166971867251731</v>
      </c>
      <c r="AG44" s="8">
        <v>0.31530910115904909</v>
      </c>
      <c r="AH44" s="8">
        <v>0.23908763818722498</v>
      </c>
      <c r="AI44" s="8">
        <v>0.25363176798315062</v>
      </c>
      <c r="AJ44" s="8">
        <v>0.24608610468343964</v>
      </c>
      <c r="AK44" s="8">
        <v>0.24683488856452634</v>
      </c>
      <c r="AL44" s="8">
        <v>0.24370338913319189</v>
      </c>
      <c r="AM44" s="8">
        <v>0.23685995507752369</v>
      </c>
      <c r="AN44" s="8">
        <v>0.24452628313213062</v>
      </c>
      <c r="AO44" s="8">
        <v>0.25563072398880676</v>
      </c>
      <c r="AP44" s="8">
        <v>0.25574389608387155</v>
      </c>
      <c r="AQ44" s="8">
        <v>0.24972794785538827</v>
      </c>
      <c r="AS44" s="6" t="s">
        <v>185</v>
      </c>
      <c r="AT44" s="6" t="s">
        <v>132</v>
      </c>
      <c r="AU44" s="8">
        <v>6.9916659705345791E-3</v>
      </c>
      <c r="AV44" s="7">
        <v>5.1647072320022379E-3</v>
      </c>
      <c r="AW44" s="8">
        <v>7.8519274753491089E-3</v>
      </c>
      <c r="AX44" s="8">
        <v>1.1196341604642964E-2</v>
      </c>
      <c r="AY44" s="8">
        <v>9.680237864686296E-3</v>
      </c>
      <c r="AZ44" s="8">
        <v>8.643102124601355E-3</v>
      </c>
      <c r="BA44" s="8">
        <v>9.821265313683927E-3</v>
      </c>
      <c r="BB44" s="8">
        <v>1.4623665192816248E-2</v>
      </c>
      <c r="BC44" s="8">
        <v>8.9043847968993551E-3</v>
      </c>
      <c r="BD44" s="8">
        <v>7.8165940941521458E-3</v>
      </c>
      <c r="BE44" s="8">
        <v>7.6675322979558608E-3</v>
      </c>
      <c r="BF44" s="8">
        <v>9.5212783250933578E-3</v>
      </c>
      <c r="BG44" s="8">
        <v>1.0131416540243054E-2</v>
      </c>
      <c r="BH44" s="8">
        <v>1.2990000467164304E-2</v>
      </c>
      <c r="BI44" s="8">
        <v>1.5944905482248334E-2</v>
      </c>
      <c r="BJ44" s="8">
        <v>1.1093230927150061E-2</v>
      </c>
      <c r="BK44" s="8">
        <v>6.1093132725283938E-3</v>
      </c>
      <c r="BL44" s="7">
        <v>1.0425904451100016E-2</v>
      </c>
      <c r="BM44" s="8">
        <v>1.6100476984894644E-2</v>
      </c>
      <c r="BN44" s="8">
        <v>8.944125076808444E-3</v>
      </c>
      <c r="BO44" s="8">
        <v>2.2609345005743939E-2</v>
      </c>
      <c r="BP44" s="8">
        <v>1.0199226390842513E-2</v>
      </c>
      <c r="BQ44" s="8">
        <v>1.0445407239931266E-2</v>
      </c>
      <c r="BR44" s="8">
        <v>1.8281573411884022E-2</v>
      </c>
      <c r="BS44" s="8">
        <v>2.8231204020596246E-2</v>
      </c>
      <c r="BT44" s="7">
        <v>1.3895947573376359E-2</v>
      </c>
      <c r="BU44" s="8">
        <v>2.1659172220958683E-2</v>
      </c>
      <c r="BV44" s="8">
        <v>3.3346218496614066E-2</v>
      </c>
      <c r="BW44" s="8">
        <v>3.0503903532069433E-2</v>
      </c>
      <c r="BX44" s="8">
        <v>1.5199555760256233E-2</v>
      </c>
      <c r="BY44" s="8">
        <v>7.9747835757047331E-3</v>
      </c>
      <c r="BZ44" s="7">
        <v>2.1153730173495994E-2</v>
      </c>
      <c r="CA44" s="7">
        <v>1.546628965167114E-2</v>
      </c>
      <c r="CB44" s="8">
        <v>1.4315313027891342E-2</v>
      </c>
      <c r="CC44" s="8">
        <v>1.3271254238036035E-2</v>
      </c>
      <c r="CD44" s="8">
        <v>8.6789857484533342E-3</v>
      </c>
      <c r="CE44" s="8">
        <v>1.1988227227224344E-2</v>
      </c>
      <c r="CF44" s="7">
        <v>1.6624906787352789E-2</v>
      </c>
      <c r="CG44" s="8">
        <v>1.3203617632047814E-2</v>
      </c>
      <c r="CH44" s="8">
        <v>7.9687278604181743E-3</v>
      </c>
      <c r="CJ44" s="6" t="s">
        <v>185</v>
      </c>
      <c r="CK44" s="6" t="s">
        <v>133</v>
      </c>
      <c r="CL44" s="8">
        <v>1.0120599937926576E-2</v>
      </c>
      <c r="CM44" s="8">
        <v>6.9546064598614392E-3</v>
      </c>
      <c r="CN44" s="8">
        <v>2.0750305733014877E-3</v>
      </c>
      <c r="CO44" s="8">
        <v>5.4416308142895839E-3</v>
      </c>
      <c r="CP44" s="7">
        <v>1.2364828337124257E-2</v>
      </c>
      <c r="CQ44" s="8">
        <v>1.6840824705123034E-2</v>
      </c>
      <c r="CR44" s="8">
        <v>1.2806606754253293E-2</v>
      </c>
      <c r="CS44" s="8">
        <v>1.1441433378658288E-2</v>
      </c>
      <c r="CT44" s="8">
        <v>1.0937969050993659E-2</v>
      </c>
      <c r="CU44" s="8">
        <v>1.6987262735147269E-2</v>
      </c>
      <c r="CV44" s="8">
        <v>1.6808060074319991E-2</v>
      </c>
      <c r="CW44" s="8">
        <v>9.7516690349178682E-3</v>
      </c>
      <c r="CX44" s="8">
        <v>6.5934845574477548E-3</v>
      </c>
      <c r="CY44" s="8">
        <v>1.0439615326654344E-2</v>
      </c>
      <c r="CZ44" s="8">
        <v>8.7190633407320996E-3</v>
      </c>
      <c r="DA44" s="8">
        <v>1.3478870949241302E-2</v>
      </c>
      <c r="DB44" s="8">
        <v>1.6596316785099246E-2</v>
      </c>
      <c r="DC44" s="8">
        <v>1.5752365582071073E-2</v>
      </c>
      <c r="DD44" s="8">
        <v>6.7983145734287686E-3</v>
      </c>
      <c r="DE44" s="8">
        <v>1.4352885626868529E-2</v>
      </c>
      <c r="DF44" s="8">
        <v>2.5462378475899598E-2</v>
      </c>
      <c r="DG44" s="8">
        <v>2.6646596421876067E-2</v>
      </c>
      <c r="DH44" s="8">
        <v>2.1657125168042711E-2</v>
      </c>
      <c r="DI44" s="8">
        <v>1.6861423683071794E-2</v>
      </c>
      <c r="DJ44" s="8">
        <v>1.3539657456806846E-2</v>
      </c>
      <c r="DK44" s="8">
        <v>2.5222020835048996E-2</v>
      </c>
      <c r="DL44" s="8">
        <v>2.566648260116753E-2</v>
      </c>
      <c r="DM44" s="8">
        <v>2.515671526536031E-2</v>
      </c>
      <c r="DN44" s="8">
        <v>2.0647069495688522E-2</v>
      </c>
      <c r="DO44" s="7">
        <v>4.6450960475517493E-2</v>
      </c>
      <c r="DP44" s="8">
        <v>1.3582013056750997E-2</v>
      </c>
      <c r="DQ44" s="8">
        <v>6.6493232255564697E-3</v>
      </c>
      <c r="DR44" s="8">
        <v>1.5902899411727945E-2</v>
      </c>
      <c r="DS44" s="8">
        <v>2.2721913769922275E-2</v>
      </c>
      <c r="DT44" s="7">
        <v>2.5224777685257941E-2</v>
      </c>
      <c r="DU44" s="8">
        <v>1.5355245392743713E-2</v>
      </c>
      <c r="DV44" s="8">
        <v>1.7724301359175194E-2</v>
      </c>
      <c r="DW44" s="8">
        <v>1.3625153254735871E-2</v>
      </c>
      <c r="DX44" s="8">
        <v>1.5702701865686671E-2</v>
      </c>
      <c r="DY44" s="8">
        <v>2.0934346088856561E-2</v>
      </c>
      <c r="EA44" s="6" t="s">
        <v>185</v>
      </c>
      <c r="EB44" s="6" t="s">
        <v>134</v>
      </c>
      <c r="EC44" s="8">
        <v>9.4909125705981728E-2</v>
      </c>
      <c r="ED44" s="8">
        <v>9.909759897559782E-2</v>
      </c>
      <c r="EE44" s="8">
        <v>0.10571026699986016</v>
      </c>
      <c r="EF44" s="8">
        <v>0.10661015863764005</v>
      </c>
      <c r="EG44" s="8">
        <v>0.1011886713953784</v>
      </c>
      <c r="EH44" s="8">
        <v>9.888406887512792E-2</v>
      </c>
      <c r="EI44" s="8">
        <v>9.980774996954983E-2</v>
      </c>
      <c r="EJ44" s="8">
        <v>8.9656269045008466E-2</v>
      </c>
      <c r="EK44" s="8">
        <v>8.4775715844002453E-2</v>
      </c>
      <c r="EL44" s="8">
        <v>8.0997009882987192E-2</v>
      </c>
      <c r="EM44" s="8">
        <v>0.12388388441609283</v>
      </c>
      <c r="EN44" s="8">
        <v>0.11813755261692076</v>
      </c>
      <c r="EO44" s="8">
        <v>0.11329207030597378</v>
      </c>
      <c r="EP44" s="8">
        <v>0.10970305827935227</v>
      </c>
      <c r="EQ44" s="8">
        <v>0.11642068193476091</v>
      </c>
      <c r="ER44" s="8">
        <v>0.10963454655033709</v>
      </c>
      <c r="ES44" s="7">
        <v>0.10343241619635973</v>
      </c>
      <c r="ET44" s="8">
        <v>9.8966573946880701E-2</v>
      </c>
      <c r="EU44" s="8">
        <v>0.10001949783323587</v>
      </c>
      <c r="EV44" s="8">
        <v>0.10934493478876155</v>
      </c>
      <c r="EW44" s="8">
        <v>0.15204967557329199</v>
      </c>
      <c r="EX44" s="8">
        <v>0.16667273428125284</v>
      </c>
      <c r="EY44" s="8">
        <v>0.16809804891764865</v>
      </c>
      <c r="EZ44" s="8">
        <v>0.17905340214703819</v>
      </c>
      <c r="FA44" s="8">
        <v>0.18357280555009842</v>
      </c>
      <c r="FB44" s="8">
        <v>0.17530836656975168</v>
      </c>
      <c r="FC44" s="8">
        <v>0.17299408015859941</v>
      </c>
      <c r="FD44" s="7">
        <v>0.15801915819082626</v>
      </c>
      <c r="FE44" s="8">
        <v>0.15976842472295197</v>
      </c>
      <c r="FF44" s="8">
        <v>0.14443962515273967</v>
      </c>
      <c r="FG44" s="8">
        <v>9.4418537621956136E-2</v>
      </c>
      <c r="FH44" s="8">
        <v>8.9904247931298226E-2</v>
      </c>
      <c r="FI44" s="8">
        <v>8.5046473061315395E-2</v>
      </c>
      <c r="FJ44" s="8">
        <v>8.1940188982216944E-2</v>
      </c>
      <c r="FK44" s="8">
        <v>7.9056371906899972E-2</v>
      </c>
      <c r="FL44" s="8">
        <v>9.0755816040646198E-2</v>
      </c>
      <c r="FM44" s="8">
        <v>8.6441091929588029E-2</v>
      </c>
      <c r="FN44" s="8">
        <v>9.3294008122602815E-2</v>
      </c>
      <c r="FO44" s="8">
        <v>9.9313966086770122E-2</v>
      </c>
      <c r="FP44" s="8">
        <v>9.975940061285625E-2</v>
      </c>
      <c r="FZ44" s="6" t="s">
        <v>185</v>
      </c>
      <c r="GA44" s="8">
        <v>0.6479860801781383</v>
      </c>
      <c r="GB44" s="8">
        <v>0.65326564010211452</v>
      </c>
      <c r="GC44" s="7">
        <v>0.64852005039432248</v>
      </c>
      <c r="GD44" s="8">
        <v>0.63758292106017267</v>
      </c>
      <c r="GE44" s="8">
        <v>0.6357081269075826</v>
      </c>
      <c r="GF44" s="8">
        <v>0.63107006406685373</v>
      </c>
      <c r="GG44" s="8">
        <v>0.63188386401396235</v>
      </c>
      <c r="GH44" s="8">
        <v>0.65205716347441767</v>
      </c>
      <c r="GI44" s="8">
        <v>0.66545448969637477</v>
      </c>
      <c r="GJ44" s="8">
        <v>0.66415025381360826</v>
      </c>
      <c r="GK44" s="7">
        <v>0.56607916109916823</v>
      </c>
      <c r="GL44" s="8">
        <v>0.5757287430901048</v>
      </c>
      <c r="GM44" s="8">
        <v>0.58826856987598841</v>
      </c>
      <c r="GN44" s="8">
        <v>0.58281264845285885</v>
      </c>
      <c r="GO44" s="8">
        <v>0.57286261612590561</v>
      </c>
      <c r="GP44" s="8">
        <v>0.58397564385029599</v>
      </c>
      <c r="GQ44" s="8">
        <v>0.59734176511933834</v>
      </c>
      <c r="GR44" s="8">
        <v>0.60200356203943461</v>
      </c>
      <c r="GS44" s="8">
        <v>0.60381969554935377</v>
      </c>
      <c r="GT44" s="7">
        <v>0.59136921971657819</v>
      </c>
      <c r="GU44" s="7">
        <v>0.41725852371792699</v>
      </c>
      <c r="GV44" s="8">
        <v>0.40132207950201049</v>
      </c>
      <c r="GW44" s="8">
        <v>0.39077683367016564</v>
      </c>
      <c r="GX44" s="8">
        <v>0.36853836524082262</v>
      </c>
      <c r="GY44" s="8">
        <v>0.35086260831151511</v>
      </c>
      <c r="GZ44" s="8">
        <v>0.35499210813124987</v>
      </c>
      <c r="HA44" s="8">
        <v>0.35637677900975639</v>
      </c>
      <c r="HB44" s="8">
        <v>0.35750341352586251</v>
      </c>
      <c r="HC44" s="8">
        <v>0.3695093532575312</v>
      </c>
      <c r="HD44" s="7">
        <v>0.38860747385617334</v>
      </c>
      <c r="HE44" s="8">
        <v>0.62911322058153418</v>
      </c>
      <c r="HF44" s="7">
        <v>0.61981856794007661</v>
      </c>
      <c r="HG44" s="8">
        <v>0.62419076803441564</v>
      </c>
      <c r="HH44" s="8">
        <v>0.62073485574208431</v>
      </c>
      <c r="HI44" s="8">
        <v>0.61975990187043095</v>
      </c>
      <c r="HJ44" s="8">
        <v>0.62208945191478948</v>
      </c>
      <c r="HK44" s="8">
        <v>0.62663838922614501</v>
      </c>
      <c r="HL44" s="8">
        <v>0.62439386798132168</v>
      </c>
      <c r="HM44" s="7">
        <v>0.62521280788074651</v>
      </c>
      <c r="HN44" s="8">
        <v>0.61708602320354622</v>
      </c>
      <c r="HP44" s="6" t="s">
        <v>186</v>
      </c>
      <c r="HQ44" s="6" t="s">
        <v>140</v>
      </c>
      <c r="HR44" s="6" t="s">
        <v>141</v>
      </c>
      <c r="HS44" s="8">
        <v>0.57892338742649752</v>
      </c>
    </row>
    <row r="45" spans="2:227" x14ac:dyDescent="0.45">
      <c r="B45" s="3" t="s">
        <v>187</v>
      </c>
      <c r="C45" s="3" t="s">
        <v>131</v>
      </c>
      <c r="D45" s="5">
        <v>0.20000508806537465</v>
      </c>
      <c r="E45" s="5">
        <v>0.20855602762717415</v>
      </c>
      <c r="F45" s="5">
        <v>0.20656589545387344</v>
      </c>
      <c r="G45" s="5">
        <v>0.21916786724475537</v>
      </c>
      <c r="H45" s="5">
        <v>0.22678943101335139</v>
      </c>
      <c r="I45" s="5">
        <v>0.23035619837008417</v>
      </c>
      <c r="J45" s="5">
        <v>0.23321176011214848</v>
      </c>
      <c r="K45" s="5">
        <v>0.22245108529909224</v>
      </c>
      <c r="L45" s="5">
        <v>0.21081388645718274</v>
      </c>
      <c r="M45" s="5">
        <v>0.20422020182920136</v>
      </c>
      <c r="N45" s="5">
        <v>0.29401416220387111</v>
      </c>
      <c r="O45" s="5">
        <v>0.30858891262701721</v>
      </c>
      <c r="P45" s="5">
        <v>0.30561170008989941</v>
      </c>
      <c r="Q45" s="5">
        <v>0.30328502150752357</v>
      </c>
      <c r="R45" s="5">
        <v>0.29659543398660604</v>
      </c>
      <c r="S45" s="5">
        <v>0.28895680432719129</v>
      </c>
      <c r="T45" s="5">
        <v>0.29075061668398866</v>
      </c>
      <c r="U45" s="5">
        <v>0.29450376167775588</v>
      </c>
      <c r="V45" s="5">
        <v>0.28174322625491477</v>
      </c>
      <c r="W45" s="5">
        <v>0.27284034746794766</v>
      </c>
      <c r="X45" s="5">
        <v>0.35886358309934968</v>
      </c>
      <c r="Y45" s="5">
        <v>0.3602267237919628</v>
      </c>
      <c r="Z45" s="5">
        <v>0.35411753943695562</v>
      </c>
      <c r="AA45" s="5">
        <v>0.35733400012137928</v>
      </c>
      <c r="AB45" s="5">
        <v>0.36673885060609379</v>
      </c>
      <c r="AC45" s="5">
        <v>0.36318674277222279</v>
      </c>
      <c r="AD45" s="5">
        <v>0.35434036853066775</v>
      </c>
      <c r="AE45" s="5">
        <v>0.34527551035515958</v>
      </c>
      <c r="AF45" s="5">
        <v>0.33894762129973532</v>
      </c>
      <c r="AG45" s="5">
        <v>0.3584131919725897</v>
      </c>
      <c r="AH45" s="5">
        <v>0.29560008220577794</v>
      </c>
      <c r="AI45" s="5">
        <v>0.2861655742486322</v>
      </c>
      <c r="AJ45" s="5">
        <v>0.27515701758384881</v>
      </c>
      <c r="AK45" s="5">
        <v>0.26967322480832379</v>
      </c>
      <c r="AL45" s="5">
        <v>0.2691370858028525</v>
      </c>
      <c r="AM45" s="5">
        <v>0.27343383218499173</v>
      </c>
      <c r="AN45" s="5">
        <v>0.27703618306702954</v>
      </c>
      <c r="AO45" s="5">
        <v>0.27360168310557187</v>
      </c>
      <c r="AP45" s="5">
        <v>0.27168227078082113</v>
      </c>
      <c r="AQ45" s="5">
        <v>0.28524907643759961</v>
      </c>
      <c r="AS45" s="3" t="s">
        <v>187</v>
      </c>
      <c r="AT45" s="3" t="s">
        <v>132</v>
      </c>
      <c r="AU45" s="5">
        <v>8.4218512838628058E-3</v>
      </c>
      <c r="AV45" s="4">
        <v>1.038386935291474E-2</v>
      </c>
      <c r="AW45" s="5">
        <v>1.3938210301295554E-2</v>
      </c>
      <c r="AX45" s="5">
        <v>1.1131913047953816E-2</v>
      </c>
      <c r="AY45" s="5">
        <v>9.341318884601834E-3</v>
      </c>
      <c r="AZ45" s="5">
        <v>7.4407307031670771E-3</v>
      </c>
      <c r="BA45" s="5">
        <v>9.9211590573805956E-3</v>
      </c>
      <c r="BB45" s="5">
        <v>1.2338483385530109E-2</v>
      </c>
      <c r="BC45" s="5">
        <v>6.2664016384849849E-3</v>
      </c>
      <c r="BD45" s="5">
        <v>7.4426345685245764E-3</v>
      </c>
      <c r="BE45" s="5">
        <v>8.2316236331700498E-3</v>
      </c>
      <c r="BF45" s="5">
        <v>5.3653095044265521E-3</v>
      </c>
      <c r="BG45" s="5">
        <v>1.5104365421024986E-2</v>
      </c>
      <c r="BH45" s="5">
        <v>2.3591436285081376E-2</v>
      </c>
      <c r="BI45" s="5">
        <v>1.2916465487833966E-2</v>
      </c>
      <c r="BJ45" s="5">
        <v>8.6315593125724527E-3</v>
      </c>
      <c r="BK45" s="5">
        <v>1.5125796501277954E-2</v>
      </c>
      <c r="BL45" s="4">
        <v>1.3967063492841859E-2</v>
      </c>
      <c r="BM45" s="5">
        <v>7.1400128155391504E-3</v>
      </c>
      <c r="BN45" s="5">
        <v>1.5304248316638503E-2</v>
      </c>
      <c r="BO45" s="5">
        <v>3.3926980630409609E-2</v>
      </c>
      <c r="BP45" s="5">
        <v>1.6764379806539519E-2</v>
      </c>
      <c r="BQ45" s="5">
        <v>5.2651633889335466E-3</v>
      </c>
      <c r="BR45" s="5">
        <v>7.3569270060450248E-3</v>
      </c>
      <c r="BS45" s="5">
        <v>1.2430438270307402E-2</v>
      </c>
      <c r="BT45" s="4">
        <v>1.3989252965305995E-2</v>
      </c>
      <c r="BU45" s="5">
        <v>1.0171343415151588E-2</v>
      </c>
      <c r="BV45" s="5">
        <v>1.333370635555259E-2</v>
      </c>
      <c r="BW45" s="5">
        <v>1.527449680485884E-2</v>
      </c>
      <c r="BX45" s="5">
        <v>2.5696214798669074E-2</v>
      </c>
      <c r="BY45" s="5">
        <v>1.1790244778452568E-2</v>
      </c>
      <c r="BZ45" s="4">
        <v>8.9840617232895114E-3</v>
      </c>
      <c r="CA45" s="4">
        <v>7.0166465689709932E-3</v>
      </c>
      <c r="CB45" s="5">
        <v>1.9948185972836041E-2</v>
      </c>
      <c r="CC45" s="5">
        <v>2.1001693833614461E-2</v>
      </c>
      <c r="CD45" s="5">
        <v>1.0472456843325189E-2</v>
      </c>
      <c r="CE45" s="5">
        <v>8.822025877044528E-3</v>
      </c>
      <c r="CF45" s="4">
        <v>2.0126950207679222E-2</v>
      </c>
      <c r="CG45" s="5">
        <v>2.1123753710023566E-2</v>
      </c>
      <c r="CH45" s="5">
        <v>1.7764546583830993E-2</v>
      </c>
      <c r="CJ45" s="3" t="s">
        <v>187</v>
      </c>
      <c r="CK45" s="3" t="s">
        <v>133</v>
      </c>
      <c r="CL45" s="5">
        <v>1.2540195393649171E-2</v>
      </c>
      <c r="CM45" s="5">
        <v>1.2636187483019661E-2</v>
      </c>
      <c r="CN45" s="5">
        <v>1.2402145403586418E-2</v>
      </c>
      <c r="CO45" s="5">
        <v>1.5739748075761888E-2</v>
      </c>
      <c r="CP45" s="4">
        <v>1.8212252241830682E-2</v>
      </c>
      <c r="CQ45" s="5">
        <v>1.7083038825096528E-2</v>
      </c>
      <c r="CR45" s="5">
        <v>1.322317132630386E-2</v>
      </c>
      <c r="CS45" s="5">
        <v>7.4110754625035117E-3</v>
      </c>
      <c r="CT45" s="5">
        <v>1.1993393456983152E-2</v>
      </c>
      <c r="CU45" s="5">
        <v>1.4915779210537741E-2</v>
      </c>
      <c r="CV45" s="5">
        <v>2.2858110178041222E-2</v>
      </c>
      <c r="CW45" s="5">
        <v>1.856170278313201E-2</v>
      </c>
      <c r="CX45" s="5">
        <v>1.0043952291478159E-2</v>
      </c>
      <c r="CY45" s="5">
        <v>7.770012761860603E-3</v>
      </c>
      <c r="CZ45" s="5">
        <v>1.5184540138341335E-2</v>
      </c>
      <c r="DA45" s="5">
        <v>1.5763955610171413E-2</v>
      </c>
      <c r="DB45" s="5">
        <v>1.5042682352459201E-2</v>
      </c>
      <c r="DC45" s="5">
        <v>2.0032078721188801E-2</v>
      </c>
      <c r="DD45" s="5">
        <v>2.6762637590556679E-2</v>
      </c>
      <c r="DE45" s="5">
        <v>2.6590185659774123E-2</v>
      </c>
      <c r="DF45" s="5">
        <v>3.8809105911721126E-2</v>
      </c>
      <c r="DG45" s="5">
        <v>7.2226146868669169E-2</v>
      </c>
      <c r="DH45" s="5">
        <v>5.941706061698894E-2</v>
      </c>
      <c r="DI45" s="5">
        <v>3.396721984509439E-2</v>
      </c>
      <c r="DJ45" s="5">
        <v>1.1772989531720603E-2</v>
      </c>
      <c r="DK45" s="5">
        <v>8.757876770042727E-3</v>
      </c>
      <c r="DL45" s="5">
        <v>1.6091896724146463E-2</v>
      </c>
      <c r="DM45" s="5">
        <v>1.718159031526675E-2</v>
      </c>
      <c r="DN45" s="5">
        <v>1.8388850786893625E-2</v>
      </c>
      <c r="DO45" s="4">
        <v>2.8045954175604043E-2</v>
      </c>
      <c r="DP45" s="5">
        <v>2.7301864804601696E-2</v>
      </c>
      <c r="DQ45" s="5">
        <v>2.098525216062325E-2</v>
      </c>
      <c r="DR45" s="5">
        <v>1.0093837342270227E-2</v>
      </c>
      <c r="DS45" s="5">
        <v>8.9460710211964525E-3</v>
      </c>
      <c r="DT45" s="4">
        <v>1.2184215480122267E-2</v>
      </c>
      <c r="DU45" s="5">
        <v>2.0755421128242791E-2</v>
      </c>
      <c r="DV45" s="5">
        <v>2.8849648133448237E-2</v>
      </c>
      <c r="DW45" s="5">
        <v>9.6099902827627599E-3</v>
      </c>
      <c r="DX45" s="5">
        <v>1.5018586537506824E-2</v>
      </c>
      <c r="DY45" s="5">
        <v>3.1767642726813483E-2</v>
      </c>
      <c r="EA45" s="3" t="s">
        <v>187</v>
      </c>
      <c r="EB45" s="3" t="s">
        <v>134</v>
      </c>
      <c r="EC45" s="5">
        <v>8.0603943722085084E-2</v>
      </c>
      <c r="ED45" s="5">
        <v>8.0252955976281515E-2</v>
      </c>
      <c r="EE45" s="5">
        <v>8.1751088215275242E-2</v>
      </c>
      <c r="EF45" s="5">
        <v>8.6472503013300547E-2</v>
      </c>
      <c r="EG45" s="5">
        <v>8.9098137708777364E-2</v>
      </c>
      <c r="EH45" s="5">
        <v>8.8200123427170693E-2</v>
      </c>
      <c r="EI45" s="5">
        <v>8.6574986830617165E-2</v>
      </c>
      <c r="EJ45" s="5">
        <v>8.7698238064175357E-2</v>
      </c>
      <c r="EK45" s="5">
        <v>8.3298639786404324E-2</v>
      </c>
      <c r="EL45" s="5">
        <v>7.7728135820666802E-2</v>
      </c>
      <c r="EM45" s="5">
        <v>0.14611246862223634</v>
      </c>
      <c r="EN45" s="5">
        <v>0.16263786270750435</v>
      </c>
      <c r="EO45" s="5">
        <v>0.15922895566810044</v>
      </c>
      <c r="EP45" s="5">
        <v>0.15405216631296434</v>
      </c>
      <c r="EQ45" s="5">
        <v>0.15014131395750829</v>
      </c>
      <c r="ER45" s="5">
        <v>0.14660432760947928</v>
      </c>
      <c r="ES45" s="4">
        <v>0.13529915835490802</v>
      </c>
      <c r="ET45" s="5">
        <v>0.12972229683603054</v>
      </c>
      <c r="EU45" s="5">
        <v>0.12691075253551728</v>
      </c>
      <c r="EV45" s="5">
        <v>0.11680915596552582</v>
      </c>
      <c r="EW45" s="5">
        <v>0.1653555853721759</v>
      </c>
      <c r="EX45" s="5">
        <v>0.1458662214665675</v>
      </c>
      <c r="EY45" s="5">
        <v>0.16980339998292207</v>
      </c>
      <c r="EZ45" s="5">
        <v>0.19429429507993631</v>
      </c>
      <c r="FA45" s="5">
        <v>0.20751984990708611</v>
      </c>
      <c r="FB45" s="5">
        <v>0.20294940525404692</v>
      </c>
      <c r="FC45" s="5">
        <v>0.19296253872725452</v>
      </c>
      <c r="FD45" s="4">
        <v>0.1973638515067222</v>
      </c>
      <c r="FE45" s="5">
        <v>0.20047651657449217</v>
      </c>
      <c r="FF45" s="5">
        <v>0.18840012069353609</v>
      </c>
      <c r="FG45" s="5">
        <v>0.1325477886199119</v>
      </c>
      <c r="FH45" s="5">
        <v>0.12963556789150371</v>
      </c>
      <c r="FI45" s="5">
        <v>0.13279361523050404</v>
      </c>
      <c r="FJ45" s="5">
        <v>0.11632816067104233</v>
      </c>
      <c r="FK45" s="5">
        <v>0.11487191076595196</v>
      </c>
      <c r="FL45" s="5">
        <v>0.11684317640273187</v>
      </c>
      <c r="FM45" s="5">
        <v>0.10973017770589362</v>
      </c>
      <c r="FN45" s="5">
        <v>0.11316794140874351</v>
      </c>
      <c r="FO45" s="5">
        <v>0.11103595820692595</v>
      </c>
      <c r="FP45" s="5">
        <v>0.1119820979934377</v>
      </c>
      <c r="FZ45" s="3" t="s">
        <v>187</v>
      </c>
      <c r="GA45" s="5">
        <v>0.64465310299338408</v>
      </c>
      <c r="GB45" s="5">
        <v>0.62782909464826853</v>
      </c>
      <c r="GC45" s="4">
        <v>0.61833177131164252</v>
      </c>
      <c r="GD45" s="5">
        <v>0.60634661571223036</v>
      </c>
      <c r="GE45" s="5">
        <v>0.6049525633080467</v>
      </c>
      <c r="GF45" s="5">
        <v>0.62154873787651677</v>
      </c>
      <c r="GG45" s="5">
        <v>0.62745437694383965</v>
      </c>
      <c r="GH45" s="5">
        <v>0.63413171810078117</v>
      </c>
      <c r="GI45" s="5">
        <v>0.64669276665542585</v>
      </c>
      <c r="GJ45" s="5">
        <v>0.64822869110715831</v>
      </c>
      <c r="GK45" s="4">
        <v>0.45729882731467736</v>
      </c>
      <c r="GL45" s="5">
        <v>0.43807403122859473</v>
      </c>
      <c r="GM45" s="5">
        <v>0.44698699586955654</v>
      </c>
      <c r="GN45" s="5">
        <v>0.45764669315653256</v>
      </c>
      <c r="GO45" s="5">
        <v>0.47032567741089637</v>
      </c>
      <c r="GP45" s="5">
        <v>0.48055962807223296</v>
      </c>
      <c r="GQ45" s="5">
        <v>0.4895046381390859</v>
      </c>
      <c r="GR45" s="5">
        <v>0.49591258785967346</v>
      </c>
      <c r="GS45" s="5">
        <v>0.49544946943171869</v>
      </c>
      <c r="GT45" s="4">
        <v>0.48549968434754392</v>
      </c>
      <c r="GU45" s="4">
        <v>0.31197870790455251</v>
      </c>
      <c r="GV45" s="5">
        <v>0.31241497877862096</v>
      </c>
      <c r="GW45" s="5">
        <v>0.32097516069833565</v>
      </c>
      <c r="GX45" s="5">
        <v>0.32779513271799615</v>
      </c>
      <c r="GY45" s="5">
        <v>0.33820969674699558</v>
      </c>
      <c r="GZ45" s="5">
        <v>0.34674342385101947</v>
      </c>
      <c r="HA45" s="5">
        <v>0.34531065437916836</v>
      </c>
      <c r="HB45" s="5">
        <v>0.33229291884018658</v>
      </c>
      <c r="HC45" s="5">
        <v>0.31083390502488129</v>
      </c>
      <c r="HD45" s="4">
        <v>0.30604419004609679</v>
      </c>
      <c r="HE45" s="5">
        <v>0.48895883114351218</v>
      </c>
      <c r="HF45" s="4">
        <v>0.49908992286118836</v>
      </c>
      <c r="HG45" s="5">
        <v>0.51275893729282562</v>
      </c>
      <c r="HH45" s="5">
        <v>0.52569527843357189</v>
      </c>
      <c r="HI45" s="5">
        <v>0.53056232137564019</v>
      </c>
      <c r="HJ45" s="5">
        <v>0.53106905661734172</v>
      </c>
      <c r="HK45" s="5">
        <v>0.52803624873695021</v>
      </c>
      <c r="HL45" s="5">
        <v>0.52203171279571536</v>
      </c>
      <c r="HM45" s="4">
        <v>0.51396150218853787</v>
      </c>
      <c r="HN45" s="5">
        <v>0.50111645342224065</v>
      </c>
      <c r="HP45" s="3" t="s">
        <v>188</v>
      </c>
      <c r="HQ45" s="3" t="s">
        <v>140</v>
      </c>
      <c r="HR45" s="3" t="s">
        <v>141</v>
      </c>
      <c r="HS45" s="5">
        <v>0.49097085198441442</v>
      </c>
    </row>
    <row r="46" spans="2:227" x14ac:dyDescent="0.45">
      <c r="B46" s="6" t="s">
        <v>189</v>
      </c>
      <c r="C46" s="6" t="s">
        <v>131</v>
      </c>
      <c r="D46" s="8">
        <v>0.20673226802990557</v>
      </c>
      <c r="E46" s="8">
        <v>0.19307444046998412</v>
      </c>
      <c r="F46" s="8">
        <v>0.19658692651598239</v>
      </c>
      <c r="G46" s="8">
        <v>0.19712012862531419</v>
      </c>
      <c r="H46" s="8">
        <v>0.19522292245580727</v>
      </c>
      <c r="I46" s="8">
        <v>0.19432356155146494</v>
      </c>
      <c r="J46" s="8">
        <v>0.19101120598843688</v>
      </c>
      <c r="K46" s="8">
        <v>0.19529315496276067</v>
      </c>
      <c r="L46" s="8">
        <v>0.19992449644481192</v>
      </c>
      <c r="M46" s="8">
        <v>0.20497993215166871</v>
      </c>
      <c r="N46" s="8">
        <v>0.1909773529890669</v>
      </c>
      <c r="O46" s="8">
        <v>0.20349278971966644</v>
      </c>
      <c r="P46" s="8">
        <v>0.20627762841497851</v>
      </c>
      <c r="Q46" s="8">
        <v>0.21675028714479169</v>
      </c>
      <c r="R46" s="8">
        <v>0.2223601061444902</v>
      </c>
      <c r="S46" s="8">
        <v>0.21749370876022026</v>
      </c>
      <c r="T46" s="8">
        <v>0.21179049922395093</v>
      </c>
      <c r="U46" s="8">
        <v>0.1997212814016375</v>
      </c>
      <c r="V46" s="8">
        <v>0.18841003857482821</v>
      </c>
      <c r="W46" s="8">
        <v>0.18957163463322776</v>
      </c>
      <c r="X46" s="8">
        <v>0.29436033492274732</v>
      </c>
      <c r="Y46" s="8">
        <v>0.30427272798505112</v>
      </c>
      <c r="Z46" s="8">
        <v>0.30750689657125757</v>
      </c>
      <c r="AA46" s="8">
        <v>0.31884481049871927</v>
      </c>
      <c r="AB46" s="8">
        <v>0.32799772884435496</v>
      </c>
      <c r="AC46" s="8">
        <v>0.31805149660783699</v>
      </c>
      <c r="AD46" s="8">
        <v>0.30036812323293749</v>
      </c>
      <c r="AE46" s="8">
        <v>0.28693684019150628</v>
      </c>
      <c r="AF46" s="8">
        <v>0.28337816146592015</v>
      </c>
      <c r="AG46" s="8">
        <v>0.29114085824917502</v>
      </c>
      <c r="AH46" s="8">
        <v>0.27749884238637534</v>
      </c>
      <c r="AI46" s="8">
        <v>0.28347333587714701</v>
      </c>
      <c r="AJ46" s="8">
        <v>0.28949575774494946</v>
      </c>
      <c r="AK46" s="8">
        <v>0.28882397664326687</v>
      </c>
      <c r="AL46" s="8">
        <v>0.28026322208446153</v>
      </c>
      <c r="AM46" s="8">
        <v>0.28075425932787484</v>
      </c>
      <c r="AN46" s="8">
        <v>0.27430089533954505</v>
      </c>
      <c r="AO46" s="8">
        <v>0.27021424043747994</v>
      </c>
      <c r="AP46" s="8">
        <v>0.27802617027499582</v>
      </c>
      <c r="AQ46" s="8">
        <v>0.2831991351803762</v>
      </c>
      <c r="AS46" s="6" t="s">
        <v>189</v>
      </c>
      <c r="AT46" s="6" t="s">
        <v>132</v>
      </c>
      <c r="AU46" s="8">
        <v>8.0275479471609169E-3</v>
      </c>
      <c r="AV46" s="7">
        <v>5.7004170862490055E-3</v>
      </c>
      <c r="AW46" s="8">
        <v>1.2262722711516497E-2</v>
      </c>
      <c r="AX46" s="8">
        <v>1.6998138074068501E-2</v>
      </c>
      <c r="AY46" s="8">
        <v>1.6336242909056786E-2</v>
      </c>
      <c r="AZ46" s="8">
        <v>1.9556335979177171E-2</v>
      </c>
      <c r="BA46" s="8">
        <v>1.3534591829641198E-2</v>
      </c>
      <c r="BB46" s="8">
        <v>8.1266341133890141E-3</v>
      </c>
      <c r="BC46" s="8">
        <v>3.2038564280157489E-3</v>
      </c>
      <c r="BD46" s="8">
        <v>5.558805563668983E-3</v>
      </c>
      <c r="BE46" s="8">
        <v>1.4268385110303011E-2</v>
      </c>
      <c r="BF46" s="8">
        <v>5.8251947082038225E-3</v>
      </c>
      <c r="BG46" s="8">
        <v>3.8303414165700095E-3</v>
      </c>
      <c r="BH46" s="8">
        <v>7.6870880472276184E-3</v>
      </c>
      <c r="BI46" s="8">
        <v>6.6252892692954561E-3</v>
      </c>
      <c r="BJ46" s="8">
        <v>3.4469055487897971E-3</v>
      </c>
      <c r="BK46" s="8">
        <v>2.1478627668247521E-3</v>
      </c>
      <c r="BL46" s="7">
        <v>4.8659836744939771E-3</v>
      </c>
      <c r="BM46" s="8">
        <v>4.1169528892156899E-3</v>
      </c>
      <c r="BN46" s="8">
        <v>1.0599208473480323E-2</v>
      </c>
      <c r="BO46" s="8">
        <v>1.5838813964811294E-2</v>
      </c>
      <c r="BP46" s="8">
        <v>2.8802297796372105E-2</v>
      </c>
      <c r="BQ46" s="8">
        <v>2.975696587973135E-2</v>
      </c>
      <c r="BR46" s="8">
        <v>2.9159542600352513E-3</v>
      </c>
      <c r="BS46" s="8">
        <v>1.1738556865666439E-2</v>
      </c>
      <c r="BT46" s="7">
        <v>1.9869942386755182E-2</v>
      </c>
      <c r="BU46" s="8">
        <v>2.1754091208271726E-2</v>
      </c>
      <c r="BV46" s="8">
        <v>9.6036573798390923E-3</v>
      </c>
      <c r="BW46" s="8">
        <v>1.1585243651280644E-2</v>
      </c>
      <c r="BX46" s="8">
        <v>1.7771887136553446E-2</v>
      </c>
      <c r="BY46" s="8">
        <v>1.4848691977225043E-2</v>
      </c>
      <c r="BZ46" s="7">
        <v>2.2110956554991432E-2</v>
      </c>
      <c r="CA46" s="7">
        <v>3.1004790706258376E-2</v>
      </c>
      <c r="CB46" s="8">
        <v>2.4380216499608316E-2</v>
      </c>
      <c r="CC46" s="8">
        <v>1.4568754350615203E-2</v>
      </c>
      <c r="CD46" s="8">
        <v>1.194311120816877E-2</v>
      </c>
      <c r="CE46" s="8">
        <v>1.8982519204653731E-2</v>
      </c>
      <c r="CF46" s="7">
        <v>2.5955148106467575E-2</v>
      </c>
      <c r="CG46" s="8">
        <v>1.5961141089041758E-2</v>
      </c>
      <c r="CH46" s="8">
        <v>1.0417477507379848E-2</v>
      </c>
      <c r="CJ46" s="6" t="s">
        <v>189</v>
      </c>
      <c r="CK46" s="6" t="s">
        <v>133</v>
      </c>
      <c r="CL46" s="8">
        <v>6.7061886851126429E-3</v>
      </c>
      <c r="CM46" s="8">
        <v>9.9629137463671195E-3</v>
      </c>
      <c r="CN46" s="8">
        <v>9.0089111758858125E-3</v>
      </c>
      <c r="CO46" s="8">
        <v>4.6107520582577902E-3</v>
      </c>
      <c r="CP46" s="7">
        <v>1.1283039727268381E-2</v>
      </c>
      <c r="CQ46" s="8">
        <v>8.9984873931803263E-3</v>
      </c>
      <c r="CR46" s="8">
        <v>1.9566056328797168E-2</v>
      </c>
      <c r="CS46" s="8">
        <v>2.2022402732016319E-2</v>
      </c>
      <c r="CT46" s="8">
        <v>1.6697522472744437E-2</v>
      </c>
      <c r="CU46" s="8">
        <v>9.3338371171846277E-3</v>
      </c>
      <c r="CV46" s="8">
        <v>1.0800914847802275E-2</v>
      </c>
      <c r="CW46" s="8">
        <v>2.3172150302580609E-2</v>
      </c>
      <c r="CX46" s="8">
        <v>1.7293566353688731E-2</v>
      </c>
      <c r="CY46" s="8">
        <v>1.4585246461410024E-2</v>
      </c>
      <c r="CZ46" s="8">
        <v>5.1791749270345775E-3</v>
      </c>
      <c r="DA46" s="8">
        <v>7.309431786382571E-3</v>
      </c>
      <c r="DB46" s="8">
        <v>1.0529291567526088E-2</v>
      </c>
      <c r="DC46" s="8">
        <v>2.0592773678676105E-3</v>
      </c>
      <c r="DD46" s="8">
        <v>5.7539804633450651E-3</v>
      </c>
      <c r="DE46" s="8">
        <v>5.7426367635188668E-3</v>
      </c>
      <c r="DF46" s="8">
        <v>3.0912736733990274E-2</v>
      </c>
      <c r="DG46" s="8">
        <v>2.2826997912517435E-2</v>
      </c>
      <c r="DH46" s="8">
        <v>2.742319655945499E-2</v>
      </c>
      <c r="DI46" s="8">
        <v>5.612324422708808E-2</v>
      </c>
      <c r="DJ46" s="8">
        <v>4.1827636398849018E-2</v>
      </c>
      <c r="DK46" s="8">
        <v>1.2560138342724111E-2</v>
      </c>
      <c r="DL46" s="8">
        <v>1.4483310411635775E-2</v>
      </c>
      <c r="DM46" s="8">
        <v>3.0923605505637386E-2</v>
      </c>
      <c r="DN46" s="8">
        <v>2.7149072771052468E-2</v>
      </c>
      <c r="DO46" s="7">
        <v>2.1912229446165811E-2</v>
      </c>
      <c r="DP46" s="8">
        <v>1.5481615502557292E-2</v>
      </c>
      <c r="DQ46" s="8">
        <v>1.6497376929550594E-2</v>
      </c>
      <c r="DR46" s="8">
        <v>1.7965303278156968E-2</v>
      </c>
      <c r="DS46" s="8">
        <v>2.4405701421966991E-2</v>
      </c>
      <c r="DT46" s="7">
        <v>3.3280339337993715E-2</v>
      </c>
      <c r="DU46" s="8">
        <v>2.8294982790234919E-2</v>
      </c>
      <c r="DV46" s="8">
        <v>1.5648412734081383E-2</v>
      </c>
      <c r="DW46" s="8">
        <v>1.0624262240600835E-2</v>
      </c>
      <c r="DX46" s="8">
        <v>2.9365683861230542E-2</v>
      </c>
      <c r="DY46" s="8">
        <v>3.8183936383182959E-2</v>
      </c>
      <c r="EA46" s="6" t="s">
        <v>189</v>
      </c>
      <c r="EB46" s="6" t="s">
        <v>134</v>
      </c>
      <c r="EC46" s="8">
        <v>8.4690131805302438E-2</v>
      </c>
      <c r="ED46" s="8">
        <v>7.5834365583393348E-2</v>
      </c>
      <c r="EE46" s="8">
        <v>7.3476136232036499E-2</v>
      </c>
      <c r="EF46" s="8">
        <v>6.9073544066031264E-2</v>
      </c>
      <c r="EG46" s="8">
        <v>5.8554553622048151E-2</v>
      </c>
      <c r="EH46" s="8">
        <v>5.6938403093373308E-2</v>
      </c>
      <c r="EI46" s="8">
        <v>5.2187266719542581E-2</v>
      </c>
      <c r="EJ46" s="8">
        <v>5.8021458965166729E-2</v>
      </c>
      <c r="EK46" s="8">
        <v>6.9094080033261437E-2</v>
      </c>
      <c r="EL46" s="8">
        <v>7.709954221825932E-2</v>
      </c>
      <c r="EM46" s="8">
        <v>6.5582220088476681E-2</v>
      </c>
      <c r="EN46" s="8">
        <v>6.8779058180466437E-2</v>
      </c>
      <c r="EO46" s="8">
        <v>7.7957681155954694E-2</v>
      </c>
      <c r="EP46" s="8">
        <v>8.4244281247995934E-2</v>
      </c>
      <c r="EQ46" s="8">
        <v>9.622786228570411E-2</v>
      </c>
      <c r="ER46" s="8">
        <v>9.858244282720742E-2</v>
      </c>
      <c r="ES46" s="7">
        <v>9.3905522907019909E-2</v>
      </c>
      <c r="ET46" s="8">
        <v>9.4099628129117374E-2</v>
      </c>
      <c r="EU46" s="8">
        <v>8.5859501561125789E-2</v>
      </c>
      <c r="EV46" s="8">
        <v>7.7713471693191483E-2</v>
      </c>
      <c r="EW46" s="8">
        <v>0.1226836317901948</v>
      </c>
      <c r="EX46" s="8">
        <v>0.13275136905042567</v>
      </c>
      <c r="EY46" s="8">
        <v>0.13439789330873195</v>
      </c>
      <c r="EZ46" s="8">
        <v>0.14893027650669396</v>
      </c>
      <c r="FA46" s="8">
        <v>0.16340233999257919</v>
      </c>
      <c r="FB46" s="8">
        <v>0.17094846242795861</v>
      </c>
      <c r="FC46" s="8">
        <v>0.15305656231793957</v>
      </c>
      <c r="FD46" s="7">
        <v>0.13391528355262156</v>
      </c>
      <c r="FE46" s="8">
        <v>0.13134776394033254</v>
      </c>
      <c r="FF46" s="8">
        <v>0.14143470455839502</v>
      </c>
      <c r="FG46" s="8">
        <v>0.1288025381046243</v>
      </c>
      <c r="FH46" s="8">
        <v>0.12347963680688012</v>
      </c>
      <c r="FI46" s="8">
        <v>0.12163206743408289</v>
      </c>
      <c r="FJ46" s="8">
        <v>0.1208116992114534</v>
      </c>
      <c r="FK46" s="8">
        <v>0.11211848238547445</v>
      </c>
      <c r="FL46" s="8">
        <v>0.11023074810244875</v>
      </c>
      <c r="FM46" s="8">
        <v>0.11328601149690046</v>
      </c>
      <c r="FN46" s="8">
        <v>0.10979976592809967</v>
      </c>
      <c r="FO46" s="8">
        <v>0.10865318068557291</v>
      </c>
      <c r="FP46" s="8">
        <v>0.10750186598783819</v>
      </c>
      <c r="FZ46" s="6" t="s">
        <v>189</v>
      </c>
      <c r="GA46" s="8">
        <v>0.68583747133993267</v>
      </c>
      <c r="GB46" s="8">
        <v>0.69018540677358842</v>
      </c>
      <c r="GC46" s="7">
        <v>0.68876692125291983</v>
      </c>
      <c r="GD46" s="8">
        <v>0.6897480667559539</v>
      </c>
      <c r="GE46" s="8">
        <v>0.69924636243322047</v>
      </c>
      <c r="GF46" s="8">
        <v>0.70696522555173713</v>
      </c>
      <c r="GG46" s="8">
        <v>0.71394343089016998</v>
      </c>
      <c r="GH46" s="8">
        <v>0.71161724384256719</v>
      </c>
      <c r="GI46" s="8">
        <v>0.70643825472137134</v>
      </c>
      <c r="GJ46" s="8">
        <v>0.69498360601364362</v>
      </c>
      <c r="GK46" s="7">
        <v>0.68115636681794756</v>
      </c>
      <c r="GL46" s="8">
        <v>0.67470470593571374</v>
      </c>
      <c r="GM46" s="8">
        <v>0.66752129588991682</v>
      </c>
      <c r="GN46" s="8">
        <v>0.65113063543956229</v>
      </c>
      <c r="GO46" s="8">
        <v>0.64368652442633933</v>
      </c>
      <c r="GP46" s="8">
        <v>0.64175975863849033</v>
      </c>
      <c r="GQ46" s="8">
        <v>0.64311785846626479</v>
      </c>
      <c r="GR46" s="8">
        <v>0.65224440289349706</v>
      </c>
      <c r="GS46" s="8">
        <v>0.66713881319138113</v>
      </c>
      <c r="GT46" s="7">
        <v>0.66639594970404714</v>
      </c>
      <c r="GU46" s="7">
        <v>0.45257452363617906</v>
      </c>
      <c r="GV46" s="8">
        <v>0.44090262455997975</v>
      </c>
      <c r="GW46" s="8">
        <v>0.43370805095590109</v>
      </c>
      <c r="GX46" s="8">
        <v>0.4067667137577447</v>
      </c>
      <c r="GY46" s="8">
        <v>0.39961018620234529</v>
      </c>
      <c r="GZ46" s="8">
        <v>0.41686651447896433</v>
      </c>
      <c r="HA46" s="8">
        <v>0.44678392323126048</v>
      </c>
      <c r="HB46" s="8">
        <v>0.46237102957375936</v>
      </c>
      <c r="HC46" s="8">
        <v>0.4552121706758504</v>
      </c>
      <c r="HD46" s="7">
        <v>0.44267789493033971</v>
      </c>
      <c r="HE46" s="8">
        <v>0.54029687305512764</v>
      </c>
      <c r="HF46" s="7">
        <v>0.54543118745217489</v>
      </c>
      <c r="HG46" s="8">
        <v>0.54454911831580388</v>
      </c>
      <c r="HH46" s="8">
        <v>0.54601246411078963</v>
      </c>
      <c r="HI46" s="8">
        <v>0.54883895119501924</v>
      </c>
      <c r="HJ46" s="8">
        <v>0.55877425598681352</v>
      </c>
      <c r="HK46" s="8">
        <v>0.56925983472818575</v>
      </c>
      <c r="HL46" s="8">
        <v>0.56432686096790419</v>
      </c>
      <c r="HM46" s="7">
        <v>0.55228278020346544</v>
      </c>
      <c r="HN46" s="8">
        <v>0.538893190206436</v>
      </c>
      <c r="HP46" s="6" t="s">
        <v>190</v>
      </c>
      <c r="HQ46" s="6" t="s">
        <v>140</v>
      </c>
      <c r="HR46" s="6" t="s">
        <v>141</v>
      </c>
      <c r="HS46" s="8">
        <v>0.59069422753348344</v>
      </c>
    </row>
    <row r="47" spans="2:227" x14ac:dyDescent="0.45">
      <c r="B47" s="3" t="s">
        <v>191</v>
      </c>
      <c r="C47" s="3" t="s">
        <v>131</v>
      </c>
      <c r="D47" s="5">
        <v>0.20912698542135261</v>
      </c>
      <c r="E47" s="5">
        <v>0.21078717286030585</v>
      </c>
      <c r="F47" s="5">
        <v>0.21021187109798176</v>
      </c>
      <c r="G47" s="5">
        <v>0.22058926211639687</v>
      </c>
      <c r="H47" s="5">
        <v>0.21866442540892406</v>
      </c>
      <c r="I47" s="5">
        <v>0.21903855880186451</v>
      </c>
      <c r="J47" s="5">
        <v>0.2175907942513792</v>
      </c>
      <c r="K47" s="5">
        <v>0.22128916700773019</v>
      </c>
      <c r="L47" s="5">
        <v>0.21986441043541816</v>
      </c>
      <c r="M47" s="5">
        <v>0.21637531714154321</v>
      </c>
      <c r="N47" s="5">
        <v>0.24048384766270603</v>
      </c>
      <c r="O47" s="5">
        <v>0.23078247713185221</v>
      </c>
      <c r="P47" s="5">
        <v>0.23175957233061428</v>
      </c>
      <c r="Q47" s="5">
        <v>0.23547931336922839</v>
      </c>
      <c r="R47" s="5">
        <v>0.243898497417154</v>
      </c>
      <c r="S47" s="5">
        <v>0.24514723081229045</v>
      </c>
      <c r="T47" s="5">
        <v>0.23947824269657586</v>
      </c>
      <c r="U47" s="5">
        <v>0.23511427956065542</v>
      </c>
      <c r="V47" s="5">
        <v>0.23792283855453894</v>
      </c>
      <c r="W47" s="5">
        <v>0.24236382489815311</v>
      </c>
      <c r="X47" s="5">
        <v>0.30289145303359766</v>
      </c>
      <c r="Y47" s="5">
        <v>0.30789254872982058</v>
      </c>
      <c r="Z47" s="5">
        <v>0.31041604132016604</v>
      </c>
      <c r="AA47" s="5">
        <v>0.32914928784431141</v>
      </c>
      <c r="AB47" s="5">
        <v>0.34127082428771099</v>
      </c>
      <c r="AC47" s="5">
        <v>0.32263858573964116</v>
      </c>
      <c r="AD47" s="5">
        <v>0.298094883307301</v>
      </c>
      <c r="AE47" s="5">
        <v>0.2859329283125755</v>
      </c>
      <c r="AF47" s="5">
        <v>0.28153660244299666</v>
      </c>
      <c r="AG47" s="5">
        <v>0.29793992281666482</v>
      </c>
      <c r="AH47" s="5">
        <v>0.27206796720730025</v>
      </c>
      <c r="AI47" s="5">
        <v>0.27056072472414838</v>
      </c>
      <c r="AJ47" s="5">
        <v>0.26978546229229866</v>
      </c>
      <c r="AK47" s="5">
        <v>0.27632279665651915</v>
      </c>
      <c r="AL47" s="5">
        <v>0.28277393824930103</v>
      </c>
      <c r="AM47" s="5">
        <v>0.28165866550319146</v>
      </c>
      <c r="AN47" s="5">
        <v>0.2707700686720908</v>
      </c>
      <c r="AO47" s="5">
        <v>0.2630681353264584</v>
      </c>
      <c r="AP47" s="5">
        <v>0.26535780888992966</v>
      </c>
      <c r="AQ47" s="5">
        <v>0.26948301973660521</v>
      </c>
      <c r="AS47" s="3" t="s">
        <v>191</v>
      </c>
      <c r="AT47" s="3" t="s">
        <v>132</v>
      </c>
      <c r="AU47" s="5">
        <v>8.5191103776771134E-3</v>
      </c>
      <c r="AV47" s="4">
        <v>5.8335285520510214E-3</v>
      </c>
      <c r="AW47" s="5">
        <v>1.6137755399424979E-2</v>
      </c>
      <c r="AX47" s="5">
        <v>1.887611819474767E-2</v>
      </c>
      <c r="AY47" s="5">
        <v>1.4508082046506166E-2</v>
      </c>
      <c r="AZ47" s="5">
        <v>1.8497584655758282E-2</v>
      </c>
      <c r="BA47" s="5">
        <v>1.5097774716590287E-2</v>
      </c>
      <c r="BB47" s="5">
        <v>8.2189651654335835E-3</v>
      </c>
      <c r="BC47" s="5">
        <v>4.3786298352491669E-3</v>
      </c>
      <c r="BD47" s="5">
        <v>4.3445417111355024E-3</v>
      </c>
      <c r="BE47" s="5">
        <v>1.5210259830155707E-2</v>
      </c>
      <c r="BF47" s="5">
        <v>6.0702192677890739E-3</v>
      </c>
      <c r="BG47" s="5">
        <v>8.639936398249325E-3</v>
      </c>
      <c r="BH47" s="5">
        <v>8.9756541139702582E-3</v>
      </c>
      <c r="BI47" s="5">
        <v>9.1228403310485793E-3</v>
      </c>
      <c r="BJ47" s="5">
        <v>1.0056490121901513E-2</v>
      </c>
      <c r="BK47" s="5">
        <v>4.5837839458097926E-3</v>
      </c>
      <c r="BL47" s="4">
        <v>2.802035236915443E-3</v>
      </c>
      <c r="BM47" s="5">
        <v>4.1928841987244414E-3</v>
      </c>
      <c r="BN47" s="5">
        <v>1.4130295141607081E-2</v>
      </c>
      <c r="BO47" s="5">
        <v>1.5607032124084567E-2</v>
      </c>
      <c r="BP47" s="5">
        <v>1.6031543812316647E-2</v>
      </c>
      <c r="BQ47" s="5">
        <v>1.9151830923812074E-2</v>
      </c>
      <c r="BR47" s="5">
        <v>2.1141208888537377E-2</v>
      </c>
      <c r="BS47" s="5">
        <v>3.2379329067514256E-2</v>
      </c>
      <c r="BT47" s="4">
        <v>1.9930188563862146E-2</v>
      </c>
      <c r="BU47" s="5">
        <v>1.2539360014642825E-2</v>
      </c>
      <c r="BV47" s="5">
        <v>1.481344232474794E-2</v>
      </c>
      <c r="BW47" s="5">
        <v>1.0928949175521677E-2</v>
      </c>
      <c r="BX47" s="5">
        <v>1.0244660041257701E-2</v>
      </c>
      <c r="BY47" s="5">
        <v>1.8453130547306733E-2</v>
      </c>
      <c r="BZ47" s="4">
        <v>2.4088564278718996E-2</v>
      </c>
      <c r="CA47" s="4">
        <v>2.2120681820105993E-2</v>
      </c>
      <c r="CB47" s="5">
        <v>2.6190323721682066E-2</v>
      </c>
      <c r="CC47" s="5">
        <v>2.0672262511154275E-2</v>
      </c>
      <c r="CD47" s="5">
        <v>8.9767503801185863E-3</v>
      </c>
      <c r="CE47" s="5">
        <v>9.2462358823358001E-3</v>
      </c>
      <c r="CF47" s="4">
        <v>8.0825614951837259E-3</v>
      </c>
      <c r="CG47" s="5">
        <v>1.1240801943220038E-2</v>
      </c>
      <c r="CH47" s="5">
        <v>1.4670078472633031E-2</v>
      </c>
      <c r="CJ47" s="3" t="s">
        <v>191</v>
      </c>
      <c r="CK47" s="3" t="s">
        <v>133</v>
      </c>
      <c r="CL47" s="5">
        <v>5.691333161190238E-3</v>
      </c>
      <c r="CM47" s="5">
        <v>1.236621853987337E-2</v>
      </c>
      <c r="CN47" s="5">
        <v>7.6451065906158796E-3</v>
      </c>
      <c r="CO47" s="5">
        <v>7.7010798188320564E-3</v>
      </c>
      <c r="CP47" s="4">
        <v>1.8147696133341912E-2</v>
      </c>
      <c r="CQ47" s="5">
        <v>1.9616884943326779E-2</v>
      </c>
      <c r="CR47" s="5">
        <v>1.7795804268876086E-2</v>
      </c>
      <c r="CS47" s="5">
        <v>2.1564755549069444E-2</v>
      </c>
      <c r="CT47" s="5">
        <v>1.2181160918699585E-2</v>
      </c>
      <c r="CU47" s="5">
        <v>8.6952773654505044E-3</v>
      </c>
      <c r="CV47" s="5">
        <v>1.2339779194611492E-2</v>
      </c>
      <c r="CW47" s="5">
        <v>2.4276481436474179E-2</v>
      </c>
      <c r="CX47" s="5">
        <v>1.6550441794345751E-2</v>
      </c>
      <c r="CY47" s="5">
        <v>1.1957425404127229E-2</v>
      </c>
      <c r="CZ47" s="5">
        <v>1.3004687974308227E-2</v>
      </c>
      <c r="DA47" s="5">
        <v>1.4866183964375838E-2</v>
      </c>
      <c r="DB47" s="5">
        <v>1.4602187799042442E-2</v>
      </c>
      <c r="DC47" s="5">
        <v>1.6016008961540745E-2</v>
      </c>
      <c r="DD47" s="5">
        <v>1.1964923061459959E-2</v>
      </c>
      <c r="DE47" s="5">
        <v>5.1637139787437149E-3</v>
      </c>
      <c r="DF47" s="5">
        <v>1.4069451361527343E-2</v>
      </c>
      <c r="DG47" s="5">
        <v>3.0106856901314271E-2</v>
      </c>
      <c r="DH47" s="5">
        <v>2.729177171767342E-2</v>
      </c>
      <c r="DI47" s="5">
        <v>3.5437823435842973E-2</v>
      </c>
      <c r="DJ47" s="5">
        <v>3.5580286687049517E-2</v>
      </c>
      <c r="DK47" s="5">
        <v>2.2368114358916929E-2</v>
      </c>
      <c r="DL47" s="5">
        <v>2.236952870662488E-2</v>
      </c>
      <c r="DM47" s="5">
        <v>1.929328847690541E-2</v>
      </c>
      <c r="DN47" s="5">
        <v>1.3403823008272999E-2</v>
      </c>
      <c r="DO47" s="4">
        <v>2.0473893822935903E-2</v>
      </c>
      <c r="DP47" s="5">
        <v>1.5661258320236935E-2</v>
      </c>
      <c r="DQ47" s="5">
        <v>1.842071129527513E-2</v>
      </c>
      <c r="DR47" s="5">
        <v>2.4128683631804985E-2</v>
      </c>
      <c r="DS47" s="5">
        <v>2.2621104682864084E-2</v>
      </c>
      <c r="DT47" s="4">
        <v>2.2975863129723582E-2</v>
      </c>
      <c r="DU47" s="5">
        <v>3.0057519938041573E-2</v>
      </c>
      <c r="DV47" s="5">
        <v>2.6440674420984196E-2</v>
      </c>
      <c r="DW47" s="5">
        <v>2.2294404768752916E-2</v>
      </c>
      <c r="DX47" s="5">
        <v>1.7444420497549958E-2</v>
      </c>
      <c r="DY47" s="5">
        <v>1.3254413285350795E-2</v>
      </c>
      <c r="EA47" s="3" t="s">
        <v>191</v>
      </c>
      <c r="EB47" s="3" t="s">
        <v>134</v>
      </c>
      <c r="EC47" s="5">
        <v>9.0369710347138879E-2</v>
      </c>
      <c r="ED47" s="5">
        <v>8.6184036648286097E-2</v>
      </c>
      <c r="EE47" s="5">
        <v>8.187870596199627E-2</v>
      </c>
      <c r="EF47" s="5">
        <v>8.3627706759952958E-2</v>
      </c>
      <c r="EG47" s="5">
        <v>7.2928426494084722E-2</v>
      </c>
      <c r="EH47" s="5">
        <v>6.8737022350509158E-2</v>
      </c>
      <c r="EI47" s="5">
        <v>6.9212835138188128E-2</v>
      </c>
      <c r="EJ47" s="5">
        <v>7.5492464421478486E-2</v>
      </c>
      <c r="EK47" s="5">
        <v>9.2686745652198324E-2</v>
      </c>
      <c r="EL47" s="5">
        <v>9.1810172575912063E-2</v>
      </c>
      <c r="EM47" s="5">
        <v>9.1741869155337927E-2</v>
      </c>
      <c r="EN47" s="5">
        <v>8.612959121296157E-2</v>
      </c>
      <c r="EO47" s="5">
        <v>8.8102051926348804E-2</v>
      </c>
      <c r="EP47" s="5">
        <v>9.3185454176724566E-2</v>
      </c>
      <c r="EQ47" s="5">
        <v>0.10095494959323482</v>
      </c>
      <c r="ER47" s="5">
        <v>0.10209672540923655</v>
      </c>
      <c r="ES47" s="4">
        <v>0.10578136758108078</v>
      </c>
      <c r="ET47" s="5">
        <v>0.10635412135912872</v>
      </c>
      <c r="EU47" s="5">
        <v>0.10723988805242143</v>
      </c>
      <c r="EV47" s="5">
        <v>0.10429993228377286</v>
      </c>
      <c r="EW47" s="5">
        <v>0.15885618018178124</v>
      </c>
      <c r="EX47" s="5">
        <v>0.14347267950093803</v>
      </c>
      <c r="EY47" s="5">
        <v>0.14375658285997073</v>
      </c>
      <c r="EZ47" s="5">
        <v>0.14253191687692998</v>
      </c>
      <c r="FA47" s="5">
        <v>0.14608989706675934</v>
      </c>
      <c r="FB47" s="5">
        <v>0.15971988463558856</v>
      </c>
      <c r="FC47" s="5">
        <v>0.14883853876139458</v>
      </c>
      <c r="FD47" s="4">
        <v>0.13945566194103884</v>
      </c>
      <c r="FE47" s="5">
        <v>0.14689904690237054</v>
      </c>
      <c r="FF47" s="5">
        <v>0.15680438748618389</v>
      </c>
      <c r="FG47" s="5">
        <v>0.11979177045384799</v>
      </c>
      <c r="FH47" s="5">
        <v>0.11236565063566772</v>
      </c>
      <c r="FI47" s="5">
        <v>0.10740376195270017</v>
      </c>
      <c r="FJ47" s="5">
        <v>0.1047973881802796</v>
      </c>
      <c r="FK47" s="5">
        <v>0.11173272967437024</v>
      </c>
      <c r="FL47" s="5">
        <v>0.11164695088792398</v>
      </c>
      <c r="FM47" s="5">
        <v>0.10962532286309667</v>
      </c>
      <c r="FN47" s="5">
        <v>0.11061241223489865</v>
      </c>
      <c r="FO47" s="5">
        <v>0.11524720451366788</v>
      </c>
      <c r="FP47" s="5">
        <v>0.12124422840271129</v>
      </c>
      <c r="FZ47" s="3" t="s">
        <v>191</v>
      </c>
      <c r="GA47" s="5">
        <v>0.66318945493303494</v>
      </c>
      <c r="GB47" s="5">
        <v>0.6526108565943165</v>
      </c>
      <c r="GC47" s="4">
        <v>0.65294463150942972</v>
      </c>
      <c r="GD47" s="5">
        <v>0.64493590252188759</v>
      </c>
      <c r="GE47" s="5">
        <v>0.65457970343548355</v>
      </c>
      <c r="GF47" s="5">
        <v>0.658488114335402</v>
      </c>
      <c r="GG47" s="5">
        <v>0.66640825182522578</v>
      </c>
      <c r="GH47" s="5">
        <v>0.67028301018259895</v>
      </c>
      <c r="GI47" s="5">
        <v>0.66463318117664172</v>
      </c>
      <c r="GJ47" s="5">
        <v>0.6702808393516051</v>
      </c>
      <c r="GK47" s="4">
        <v>0.61833171006591237</v>
      </c>
      <c r="GL47" s="5">
        <v>0.63260403248318742</v>
      </c>
      <c r="GM47" s="5">
        <v>0.63846173335760237</v>
      </c>
      <c r="GN47" s="5">
        <v>0.62813114388796198</v>
      </c>
      <c r="GO47" s="5">
        <v>0.60188949346041987</v>
      </c>
      <c r="GP47" s="5">
        <v>0.58824095072039895</v>
      </c>
      <c r="GQ47" s="5">
        <v>0.58639807535880162</v>
      </c>
      <c r="GR47" s="5">
        <v>0.58748983153759227</v>
      </c>
      <c r="GS47" s="5">
        <v>0.59444690361846253</v>
      </c>
      <c r="GT47" s="4">
        <v>0.59468952445372714</v>
      </c>
      <c r="GU47" s="4">
        <v>0.42389647344166564</v>
      </c>
      <c r="GV47" s="5">
        <v>0.39167219938856002</v>
      </c>
      <c r="GW47" s="5">
        <v>0.38664913692337122</v>
      </c>
      <c r="GX47" s="5">
        <v>0.37400946101065796</v>
      </c>
      <c r="GY47" s="5">
        <v>0.37230938980526518</v>
      </c>
      <c r="GZ47" s="5">
        <v>0.40478590653322993</v>
      </c>
      <c r="HA47" s="5">
        <v>0.44023460538214954</v>
      </c>
      <c r="HB47" s="5">
        <v>0.46217010197711061</v>
      </c>
      <c r="HC47" s="5">
        <v>0.464863896141888</v>
      </c>
      <c r="HD47" s="4">
        <v>0.44804506744663936</v>
      </c>
      <c r="HE47" s="5">
        <v>0.53023877666056118</v>
      </c>
      <c r="HF47" s="4">
        <v>0.53960503775476998</v>
      </c>
      <c r="HG47" s="5">
        <v>0.54846497817079032</v>
      </c>
      <c r="HH47" s="5">
        <v>0.5555333172207364</v>
      </c>
      <c r="HI47" s="5">
        <v>0.55268059568145878</v>
      </c>
      <c r="HJ47" s="5">
        <v>0.55811846897201112</v>
      </c>
      <c r="HK47" s="5">
        <v>0.56779201604064045</v>
      </c>
      <c r="HL47" s="5">
        <v>0.57791123565626068</v>
      </c>
      <c r="HM47" s="4">
        <v>0.56358812408907477</v>
      </c>
      <c r="HN47" s="5">
        <v>0.54298878588321398</v>
      </c>
      <c r="HP47" s="3" t="s">
        <v>192</v>
      </c>
      <c r="HQ47" s="3" t="s">
        <v>140</v>
      </c>
      <c r="HR47" s="3" t="s">
        <v>141</v>
      </c>
      <c r="HS47" s="5">
        <v>0.49987081154999891</v>
      </c>
    </row>
    <row r="48" spans="2:227" x14ac:dyDescent="0.45">
      <c r="B48" s="6" t="s">
        <v>193</v>
      </c>
      <c r="C48" s="6" t="s">
        <v>131</v>
      </c>
      <c r="D48" s="8">
        <v>0.21982588112436774</v>
      </c>
      <c r="E48" s="8">
        <v>0.21021920690869195</v>
      </c>
      <c r="F48" s="8">
        <v>0.19975979536571076</v>
      </c>
      <c r="G48" s="8">
        <v>0.20055433217460339</v>
      </c>
      <c r="H48" s="8">
        <v>0.20582330245990196</v>
      </c>
      <c r="I48" s="8">
        <v>0.20650279625361648</v>
      </c>
      <c r="J48" s="8">
        <v>0.2098879268092122</v>
      </c>
      <c r="K48" s="8">
        <v>0.21596874544293851</v>
      </c>
      <c r="L48" s="8">
        <v>0.22645290409410793</v>
      </c>
      <c r="M48" s="8">
        <v>0.22015531039572259</v>
      </c>
      <c r="N48" s="8">
        <v>0.20208754014620162</v>
      </c>
      <c r="O48" s="8">
        <v>0.21964273744371865</v>
      </c>
      <c r="P48" s="8">
        <v>0.23168207532060478</v>
      </c>
      <c r="Q48" s="8">
        <v>0.24480510476967701</v>
      </c>
      <c r="R48" s="8">
        <v>0.24706413738091659</v>
      </c>
      <c r="S48" s="8">
        <v>0.23381719446600771</v>
      </c>
      <c r="T48" s="8">
        <v>0.22287010143157154</v>
      </c>
      <c r="U48" s="8">
        <v>0.20463896310980997</v>
      </c>
      <c r="V48" s="8">
        <v>0.19927480970515418</v>
      </c>
      <c r="W48" s="8">
        <v>0.20823496766555419</v>
      </c>
      <c r="X48" s="8">
        <v>0.31621628791472567</v>
      </c>
      <c r="Y48" s="8">
        <v>0.32484485935296442</v>
      </c>
      <c r="Z48" s="8">
        <v>0.33119727568747387</v>
      </c>
      <c r="AA48" s="8">
        <v>0.35106352006481201</v>
      </c>
      <c r="AB48" s="8">
        <v>0.35084276602510311</v>
      </c>
      <c r="AC48" s="8">
        <v>0.32535991555069954</v>
      </c>
      <c r="AD48" s="8">
        <v>0.29542926721863527</v>
      </c>
      <c r="AE48" s="8">
        <v>0.27453757069225682</v>
      </c>
      <c r="AF48" s="8">
        <v>0.27812898928172952</v>
      </c>
      <c r="AG48" s="8">
        <v>0.30254450892651424</v>
      </c>
      <c r="AH48" s="8">
        <v>0.28827132792125382</v>
      </c>
      <c r="AI48" s="8">
        <v>0.30036209787008039</v>
      </c>
      <c r="AJ48" s="8">
        <v>0.30460276748891263</v>
      </c>
      <c r="AK48" s="8">
        <v>0.31244900855479663</v>
      </c>
      <c r="AL48" s="8">
        <v>0.31235662497378108</v>
      </c>
      <c r="AM48" s="8">
        <v>0.30883545057871759</v>
      </c>
      <c r="AN48" s="8">
        <v>0.28847780381406962</v>
      </c>
      <c r="AO48" s="8">
        <v>0.27147240934565575</v>
      </c>
      <c r="AP48" s="8">
        <v>0.25744925420473225</v>
      </c>
      <c r="AQ48" s="8">
        <v>0.26758102689058105</v>
      </c>
      <c r="AS48" s="6" t="s">
        <v>193</v>
      </c>
      <c r="AT48" s="6" t="s">
        <v>132</v>
      </c>
      <c r="AU48" s="8">
        <v>1.230033272896075E-2</v>
      </c>
      <c r="AV48" s="7">
        <v>5.0436044903216229E-3</v>
      </c>
      <c r="AW48" s="8">
        <v>4.9044887569808741E-3</v>
      </c>
      <c r="AX48" s="8">
        <v>1.0961545176192647E-2</v>
      </c>
      <c r="AY48" s="8">
        <v>1.6150052888897547E-2</v>
      </c>
      <c r="AZ48" s="8">
        <v>1.7635551519709674E-2</v>
      </c>
      <c r="BA48" s="8">
        <v>1.0141044051778066E-2</v>
      </c>
      <c r="BB48" s="8">
        <v>7.6400407730145949E-3</v>
      </c>
      <c r="BC48" s="8">
        <v>1.1280377633509177E-2</v>
      </c>
      <c r="BD48" s="8">
        <v>1.164008016117983E-2</v>
      </c>
      <c r="BE48" s="8">
        <v>1.5657928779935489E-2</v>
      </c>
      <c r="BF48" s="8">
        <v>1.377148658593391E-2</v>
      </c>
      <c r="BG48" s="8">
        <v>7.5638931413891239E-3</v>
      </c>
      <c r="BH48" s="8">
        <v>7.6582387565691315E-3</v>
      </c>
      <c r="BI48" s="8">
        <v>5.7230409094318532E-3</v>
      </c>
      <c r="BJ48" s="8">
        <v>4.0095640574068676E-3</v>
      </c>
      <c r="BK48" s="8">
        <v>4.5294941626188769E-3</v>
      </c>
      <c r="BL48" s="7">
        <v>9.0459899116100417E-3</v>
      </c>
      <c r="BM48" s="8">
        <v>7.4823444283480854E-3</v>
      </c>
      <c r="BN48" s="8">
        <v>1.0692338960810004E-2</v>
      </c>
      <c r="BO48" s="8">
        <v>1.2991485854368006E-2</v>
      </c>
      <c r="BP48" s="8">
        <v>2.5249969781008755E-2</v>
      </c>
      <c r="BQ48" s="8">
        <v>2.2316034139375232E-2</v>
      </c>
      <c r="BR48" s="8">
        <v>2.9080051617690898E-2</v>
      </c>
      <c r="BS48" s="8">
        <v>8.4718275892095296E-3</v>
      </c>
      <c r="BT48" s="7">
        <v>5.93555447547779E-3</v>
      </c>
      <c r="BU48" s="8">
        <v>1.9329657202647395E-2</v>
      </c>
      <c r="BV48" s="8">
        <v>2.4524391260802282E-2</v>
      </c>
      <c r="BW48" s="8">
        <v>2.2761571385815527E-2</v>
      </c>
      <c r="BX48" s="8">
        <v>2.6571898884929529E-2</v>
      </c>
      <c r="BY48" s="8">
        <v>1.9187365454203735E-2</v>
      </c>
      <c r="BZ48" s="7">
        <v>1.3816311686545242E-2</v>
      </c>
      <c r="CA48" s="7">
        <v>1.4528268209779625E-2</v>
      </c>
      <c r="CB48" s="8">
        <v>2.1534669383306615E-2</v>
      </c>
      <c r="CC48" s="8">
        <v>2.138900958497586E-2</v>
      </c>
      <c r="CD48" s="8">
        <v>1.6704609564214847E-2</v>
      </c>
      <c r="CE48" s="8">
        <v>1.4200820461343815E-2</v>
      </c>
      <c r="CF48" s="7">
        <v>6.3458518178744457E-3</v>
      </c>
      <c r="CG48" s="8">
        <v>6.9329875373127809E-3</v>
      </c>
      <c r="CH48" s="8">
        <v>1.7118821078336375E-2</v>
      </c>
      <c r="CJ48" s="6" t="s">
        <v>193</v>
      </c>
      <c r="CK48" s="6" t="s">
        <v>133</v>
      </c>
      <c r="CL48" s="8">
        <v>1.2902695765469735E-2</v>
      </c>
      <c r="CM48" s="8">
        <v>1.1964268482742749E-2</v>
      </c>
      <c r="CN48" s="8">
        <v>1.4164828549181089E-2</v>
      </c>
      <c r="CO48" s="8">
        <v>7.943479342663597E-3</v>
      </c>
      <c r="CP48" s="7">
        <v>4.2255836240238905E-3</v>
      </c>
      <c r="CQ48" s="8">
        <v>8.4183537516983667E-3</v>
      </c>
      <c r="CR48" s="8">
        <v>1.9028454363073512E-2</v>
      </c>
      <c r="CS48" s="8">
        <v>2.0252317995109473E-2</v>
      </c>
      <c r="CT48" s="8">
        <v>1.4508654186085899E-2</v>
      </c>
      <c r="CU48" s="8">
        <v>8.6480293932684089E-3</v>
      </c>
      <c r="CV48" s="8">
        <v>1.0255239273942595E-2</v>
      </c>
      <c r="CW48" s="8">
        <v>1.9469400452556306E-2</v>
      </c>
      <c r="CX48" s="8">
        <v>2.8568256090274333E-2</v>
      </c>
      <c r="CY48" s="8">
        <v>2.4924431454876841E-2</v>
      </c>
      <c r="CZ48" s="8">
        <v>1.9650693763067807E-2</v>
      </c>
      <c r="DA48" s="8">
        <v>1.0353078914930277E-2</v>
      </c>
      <c r="DB48" s="8">
        <v>5.1729118172038225E-3</v>
      </c>
      <c r="DC48" s="8">
        <v>3.8586855122904442E-3</v>
      </c>
      <c r="DD48" s="8">
        <v>3.440169254881787E-3</v>
      </c>
      <c r="DE48" s="8">
        <v>9.0428491734774637E-3</v>
      </c>
      <c r="DF48" s="8">
        <v>3.9482469226168035E-2</v>
      </c>
      <c r="DG48" s="8">
        <v>1.1264050648381383E-2</v>
      </c>
      <c r="DH48" s="8">
        <v>3.2833992876250932E-2</v>
      </c>
      <c r="DI48" s="8">
        <v>3.3584749986169692E-2</v>
      </c>
      <c r="DJ48" s="8">
        <v>3.8949471561219827E-2</v>
      </c>
      <c r="DK48" s="8">
        <v>4.139284484073185E-2</v>
      </c>
      <c r="DL48" s="8">
        <v>2.3234200557166806E-2</v>
      </c>
      <c r="DM48" s="8">
        <v>6.2962327205398219E-3</v>
      </c>
      <c r="DN48" s="8">
        <v>2.5382628157541002E-2</v>
      </c>
      <c r="DO48" s="7">
        <v>3.5900554404697069E-2</v>
      </c>
      <c r="DP48" s="8">
        <v>1.9772415367448264E-2</v>
      </c>
      <c r="DQ48" s="8">
        <v>3.3299784662060065E-2</v>
      </c>
      <c r="DR48" s="8">
        <v>3.1630925507850398E-2</v>
      </c>
      <c r="DS48" s="8">
        <v>1.9651947948621701E-2</v>
      </c>
      <c r="DT48" s="7">
        <v>2.2658825569671529E-2</v>
      </c>
      <c r="DU48" s="8">
        <v>2.8873641773743432E-2</v>
      </c>
      <c r="DV48" s="8">
        <v>2.7647449962230272E-2</v>
      </c>
      <c r="DW48" s="8">
        <v>2.2412793179337278E-2</v>
      </c>
      <c r="DX48" s="8">
        <v>1.5107896438713658E-2</v>
      </c>
      <c r="DY48" s="8">
        <v>6.8891558831312878E-3</v>
      </c>
      <c r="EA48" s="6" t="s">
        <v>193</v>
      </c>
      <c r="EB48" s="6" t="s">
        <v>134</v>
      </c>
      <c r="EC48" s="8">
        <v>7.6245053999317969E-2</v>
      </c>
      <c r="ED48" s="8">
        <v>8.3806778715209182E-2</v>
      </c>
      <c r="EE48" s="8">
        <v>7.5946775092160329E-2</v>
      </c>
      <c r="EF48" s="8">
        <v>7.6484134835358306E-2</v>
      </c>
      <c r="EG48" s="8">
        <v>7.7792319579100266E-2</v>
      </c>
      <c r="EH48" s="8">
        <v>7.5208178933082903E-2</v>
      </c>
      <c r="EI48" s="8">
        <v>7.2160043921864064E-2</v>
      </c>
      <c r="EJ48" s="8">
        <v>7.3668580252825841E-2</v>
      </c>
      <c r="EK48" s="8">
        <v>7.9173778926416749E-2</v>
      </c>
      <c r="EL48" s="8">
        <v>8.7635175538799709E-2</v>
      </c>
      <c r="EM48" s="8">
        <v>7.6895344129284962E-2</v>
      </c>
      <c r="EN48" s="8">
        <v>7.3719500426916065E-2</v>
      </c>
      <c r="EO48" s="8">
        <v>8.0496196581317292E-2</v>
      </c>
      <c r="EP48" s="8">
        <v>9.0198691209480139E-2</v>
      </c>
      <c r="EQ48" s="8">
        <v>0.102359248489566</v>
      </c>
      <c r="ER48" s="8">
        <v>0.10335219616598403</v>
      </c>
      <c r="ES48" s="7">
        <v>9.7220416650856567E-2</v>
      </c>
      <c r="ET48" s="8">
        <v>8.7746555548460586E-2</v>
      </c>
      <c r="EU48" s="8">
        <v>8.5861824200280101E-2</v>
      </c>
      <c r="EV48" s="8">
        <v>8.643363653920777E-2</v>
      </c>
      <c r="EW48" s="8">
        <v>0.13540960721709849</v>
      </c>
      <c r="EX48" s="8">
        <v>0.14869622240921387</v>
      </c>
      <c r="EY48" s="8">
        <v>0.14204217755041365</v>
      </c>
      <c r="EZ48" s="8">
        <v>0.15646608829677414</v>
      </c>
      <c r="FA48" s="8">
        <v>0.17324325331553359</v>
      </c>
      <c r="FB48" s="8">
        <v>0.14598254622946361</v>
      </c>
      <c r="FC48" s="8">
        <v>0.12612209899162957</v>
      </c>
      <c r="FD48" s="7">
        <v>0.12416618197057103</v>
      </c>
      <c r="FE48" s="8">
        <v>0.11491616200798248</v>
      </c>
      <c r="FF48" s="8">
        <v>0.12112932320274013</v>
      </c>
      <c r="FG48" s="8">
        <v>0.12413620491823536</v>
      </c>
      <c r="FH48" s="8">
        <v>0.11961409973766804</v>
      </c>
      <c r="FI48" s="8">
        <v>0.1225594529472832</v>
      </c>
      <c r="FJ48" s="8">
        <v>0.13283109151343744</v>
      </c>
      <c r="FK48" s="8">
        <v>0.12899355565743767</v>
      </c>
      <c r="FL48" s="8">
        <v>0.1316259117954483</v>
      </c>
      <c r="FM48" s="8">
        <v>0.12348836207712358</v>
      </c>
      <c r="FN48" s="8">
        <v>0.12404562951034573</v>
      </c>
      <c r="FO48" s="8">
        <v>0.11779559668351702</v>
      </c>
      <c r="FP48" s="8">
        <v>0.1266747344153171</v>
      </c>
      <c r="FZ48" s="6" t="s">
        <v>193</v>
      </c>
      <c r="GA48" s="8">
        <v>0.66843962525552469</v>
      </c>
      <c r="GB48" s="8">
        <v>0.67235911842395779</v>
      </c>
      <c r="GC48" s="7">
        <v>0.67713189386205441</v>
      </c>
      <c r="GD48" s="8">
        <v>0.67140397595359202</v>
      </c>
      <c r="GE48" s="8">
        <v>0.66579100380583833</v>
      </c>
      <c r="GF48" s="8">
        <v>0.6683030598787838</v>
      </c>
      <c r="GG48" s="8">
        <v>0.67349561945337588</v>
      </c>
      <c r="GH48" s="8">
        <v>0.67580088363884616</v>
      </c>
      <c r="GI48" s="8">
        <v>0.66862460803551738</v>
      </c>
      <c r="GJ48" s="8">
        <v>0.66476123540399501</v>
      </c>
      <c r="GK48" s="7">
        <v>0.64756346895903516</v>
      </c>
      <c r="GL48" s="8">
        <v>0.63715950514716091</v>
      </c>
      <c r="GM48" s="8">
        <v>0.62385002493476149</v>
      </c>
      <c r="GN48" s="8">
        <v>0.61192742008696854</v>
      </c>
      <c r="GO48" s="8">
        <v>0.61124694968454374</v>
      </c>
      <c r="GP48" s="8">
        <v>0.62673100911607216</v>
      </c>
      <c r="GQ48" s="8">
        <v>0.64518539036419897</v>
      </c>
      <c r="GR48" s="8">
        <v>0.65960626771706488</v>
      </c>
      <c r="GS48" s="8">
        <v>0.66426496920506362</v>
      </c>
      <c r="GT48" s="7">
        <v>0.64072947943677561</v>
      </c>
      <c r="GU48" s="7">
        <v>0.45810234917527282</v>
      </c>
      <c r="GV48" s="8">
        <v>0.44418143563479401</v>
      </c>
      <c r="GW48" s="8">
        <v>0.43352834395705697</v>
      </c>
      <c r="GX48" s="8">
        <v>0.42475231710165628</v>
      </c>
      <c r="GY48" s="8">
        <v>0.41633971089672928</v>
      </c>
      <c r="GZ48" s="8">
        <v>0.43887798235116643</v>
      </c>
      <c r="HA48" s="8">
        <v>0.47267431800920967</v>
      </c>
      <c r="HB48" s="8">
        <v>0.49101012037985486</v>
      </c>
      <c r="HC48" s="8">
        <v>0.47871844853539874</v>
      </c>
      <c r="HD48" s="7">
        <v>0.45648681818563952</v>
      </c>
      <c r="HE48" s="8">
        <v>0.54579986658357593</v>
      </c>
      <c r="HF48" s="7">
        <v>0.5402488461721856</v>
      </c>
      <c r="HG48" s="8">
        <v>0.54170527991844408</v>
      </c>
      <c r="HH48" s="8">
        <v>0.53636871493668004</v>
      </c>
      <c r="HI48" s="8">
        <v>0.53574542409899284</v>
      </c>
      <c r="HJ48" s="8">
        <v>0.53415032901792869</v>
      </c>
      <c r="HK48" s="8">
        <v>0.55418683275682601</v>
      </c>
      <c r="HL48" s="8">
        <v>0.57119897351596949</v>
      </c>
      <c r="HM48" s="7">
        <v>0.57781291273139723</v>
      </c>
      <c r="HN48" s="8">
        <v>0.56075418298792612</v>
      </c>
      <c r="HP48" s="6" t="s">
        <v>194</v>
      </c>
      <c r="HQ48" s="6" t="s">
        <v>140</v>
      </c>
      <c r="HR48" s="6" t="s">
        <v>141</v>
      </c>
      <c r="HS48" s="8">
        <v>0.51310161905811635</v>
      </c>
    </row>
    <row r="49" spans="2:227" x14ac:dyDescent="0.45">
      <c r="B49" s="3" t="s">
        <v>195</v>
      </c>
      <c r="C49" s="3" t="s">
        <v>131</v>
      </c>
      <c r="D49" s="5">
        <v>0.2441660264397377</v>
      </c>
      <c r="E49" s="5">
        <v>0.24289117755228551</v>
      </c>
      <c r="F49" s="5">
        <v>0.23085792783143388</v>
      </c>
      <c r="G49" s="5">
        <v>0.22685523240169478</v>
      </c>
      <c r="H49" s="5">
        <v>0.21838104117425258</v>
      </c>
      <c r="I49" s="5">
        <v>0.23120638684166736</v>
      </c>
      <c r="J49" s="5">
        <v>0.24307488766560556</v>
      </c>
      <c r="K49" s="5">
        <v>0.25952402183115481</v>
      </c>
      <c r="L49" s="5">
        <v>0.26275380751830812</v>
      </c>
      <c r="M49" s="5">
        <v>0.25676679179887318</v>
      </c>
      <c r="N49" s="5">
        <v>0.24156973037046278</v>
      </c>
      <c r="O49" s="5">
        <v>0.25631283744548317</v>
      </c>
      <c r="P49" s="5">
        <v>0.27090846633100391</v>
      </c>
      <c r="Q49" s="5">
        <v>0.28235157945127121</v>
      </c>
      <c r="R49" s="5">
        <v>0.28635697320222703</v>
      </c>
      <c r="S49" s="5">
        <v>0.27622470058852672</v>
      </c>
      <c r="T49" s="5">
        <v>0.26238432990690014</v>
      </c>
      <c r="U49" s="5">
        <v>0.2508164009097032</v>
      </c>
      <c r="V49" s="5">
        <v>0.23344216471328208</v>
      </c>
      <c r="W49" s="5">
        <v>0.23585497851070214</v>
      </c>
      <c r="X49" s="5">
        <v>0.33992158072940143</v>
      </c>
      <c r="Y49" s="5">
        <v>0.34777177819716965</v>
      </c>
      <c r="Z49" s="5">
        <v>0.34712207316848764</v>
      </c>
      <c r="AA49" s="5">
        <v>0.36064326760861032</v>
      </c>
      <c r="AB49" s="5">
        <v>0.37386199772235129</v>
      </c>
      <c r="AC49" s="5">
        <v>0.35180014837548179</v>
      </c>
      <c r="AD49" s="5">
        <v>0.31601782378513421</v>
      </c>
      <c r="AE49" s="5">
        <v>0.2947116702801445</v>
      </c>
      <c r="AF49" s="5">
        <v>0.28999352442477194</v>
      </c>
      <c r="AG49" s="5">
        <v>0.31645579948368568</v>
      </c>
      <c r="AH49" s="5">
        <v>0.27834226253495692</v>
      </c>
      <c r="AI49" s="5">
        <v>0.30150293206659351</v>
      </c>
      <c r="AJ49" s="5">
        <v>0.29599329045431627</v>
      </c>
      <c r="AK49" s="5">
        <v>0.29184019246165621</v>
      </c>
      <c r="AL49" s="5">
        <v>0.30338169111432939</v>
      </c>
      <c r="AM49" s="5">
        <v>0.28624266781153207</v>
      </c>
      <c r="AN49" s="5">
        <v>0.27142663746068579</v>
      </c>
      <c r="AO49" s="5">
        <v>0.27046484814732752</v>
      </c>
      <c r="AP49" s="5">
        <v>0.27686417970273175</v>
      </c>
      <c r="AQ49" s="5">
        <v>0.27399380409417762</v>
      </c>
      <c r="AS49" s="3" t="s">
        <v>195</v>
      </c>
      <c r="AT49" s="3" t="s">
        <v>132</v>
      </c>
      <c r="AU49" s="5">
        <v>1.3935957023663237E-2</v>
      </c>
      <c r="AV49" s="4">
        <v>8.5514376815463283E-3</v>
      </c>
      <c r="AW49" s="5">
        <v>6.5635856579203435E-3</v>
      </c>
      <c r="AX49" s="5">
        <v>1.8412697673562364E-2</v>
      </c>
      <c r="AY49" s="5">
        <v>2.6121432609399121E-2</v>
      </c>
      <c r="AZ49" s="5">
        <v>1.7191644627952037E-2</v>
      </c>
      <c r="BA49" s="5">
        <v>1.9158072320677632E-2</v>
      </c>
      <c r="BB49" s="5">
        <v>2.0690622009035851E-2</v>
      </c>
      <c r="BC49" s="5">
        <v>1.3086789730487301E-2</v>
      </c>
      <c r="BD49" s="5">
        <v>6.5399037518116369E-3</v>
      </c>
      <c r="BE49" s="5">
        <v>1.3840365106104325E-2</v>
      </c>
      <c r="BF49" s="5">
        <v>2.2906564691878479E-2</v>
      </c>
      <c r="BG49" s="5">
        <v>2.1171580017934354E-2</v>
      </c>
      <c r="BH49" s="5">
        <v>6.3523648528983467E-3</v>
      </c>
      <c r="BI49" s="5">
        <v>1.140845806139296E-2</v>
      </c>
      <c r="BJ49" s="5">
        <v>1.7986704337068414E-2</v>
      </c>
      <c r="BK49" s="5">
        <v>9.8957262331620041E-3</v>
      </c>
      <c r="BL49" s="4">
        <v>6.2201443912557608E-3</v>
      </c>
      <c r="BM49" s="5">
        <v>9.5097349857383925E-3</v>
      </c>
      <c r="BN49" s="5">
        <v>5.6383506387677794E-3</v>
      </c>
      <c r="BO49" s="5">
        <v>1.6864419150838663E-2</v>
      </c>
      <c r="BP49" s="5">
        <v>3.1449200558565503E-2</v>
      </c>
      <c r="BQ49" s="5">
        <v>1.7809310555209998E-2</v>
      </c>
      <c r="BR49" s="5">
        <v>1.7760347139822413E-2</v>
      </c>
      <c r="BS49" s="5">
        <v>2.1402592848193992E-2</v>
      </c>
      <c r="BT49" s="4">
        <v>1.2232538468575633E-2</v>
      </c>
      <c r="BU49" s="5">
        <v>3.7251256762887972E-3</v>
      </c>
      <c r="BV49" s="5">
        <v>4.5893935767675736E-3</v>
      </c>
      <c r="BW49" s="5">
        <v>1.0987601396229148E-2</v>
      </c>
      <c r="BX49" s="5">
        <v>1.6966795403383864E-2</v>
      </c>
      <c r="BY49" s="5">
        <v>2.2616421010601431E-2</v>
      </c>
      <c r="BZ49" s="4">
        <v>1.1025330174012303E-2</v>
      </c>
      <c r="CA49" s="4">
        <v>1.8957183859397417E-2</v>
      </c>
      <c r="CB49" s="5">
        <v>2.1597919470302245E-2</v>
      </c>
      <c r="CC49" s="5">
        <v>2.3503137574116043E-2</v>
      </c>
      <c r="CD49" s="5">
        <v>2.0267624219766172E-2</v>
      </c>
      <c r="CE49" s="5">
        <v>2.0043902720375612E-2</v>
      </c>
      <c r="CF49" s="4">
        <v>1.4265880490711895E-2</v>
      </c>
      <c r="CG49" s="5">
        <v>8.7820941822927146E-3</v>
      </c>
      <c r="CH49" s="5">
        <v>1.2446043128411466E-2</v>
      </c>
      <c r="CJ49" s="3" t="s">
        <v>195</v>
      </c>
      <c r="CK49" s="3" t="s">
        <v>133</v>
      </c>
      <c r="CL49" s="5">
        <v>9.1612758837157013E-3</v>
      </c>
      <c r="CM49" s="5">
        <v>1.1714534327968044E-2</v>
      </c>
      <c r="CN49" s="5">
        <v>1.4408564854256721E-2</v>
      </c>
      <c r="CO49" s="5">
        <v>1.3045938064518191E-2</v>
      </c>
      <c r="CP49" s="4">
        <v>2.7099448322288485E-3</v>
      </c>
      <c r="CQ49" s="5">
        <v>1.7855554481438399E-2</v>
      </c>
      <c r="CR49" s="5">
        <v>2.6240046015207016E-2</v>
      </c>
      <c r="CS49" s="5">
        <v>2.534020664947113E-2</v>
      </c>
      <c r="CT49" s="5">
        <v>2.3404455381163987E-2</v>
      </c>
      <c r="CU49" s="5">
        <v>2.3800997048905207E-2</v>
      </c>
      <c r="CV49" s="5">
        <v>4.9893575149353156E-3</v>
      </c>
      <c r="CW49" s="5">
        <v>1.019574131263618E-2</v>
      </c>
      <c r="CX49" s="5">
        <v>2.1302334987533773E-2</v>
      </c>
      <c r="CY49" s="5">
        <v>3.2909045961349456E-2</v>
      </c>
      <c r="CZ49" s="5">
        <v>2.70807090174058E-2</v>
      </c>
      <c r="DA49" s="5">
        <v>1.2477576860734323E-2</v>
      </c>
      <c r="DB49" s="5">
        <v>1.3850095273743993E-2</v>
      </c>
      <c r="DC49" s="5">
        <v>2.0201132815320242E-2</v>
      </c>
      <c r="DD49" s="5">
        <v>1.2084602842962837E-2</v>
      </c>
      <c r="DE49" s="5">
        <v>7.5920627886291257E-3</v>
      </c>
      <c r="DF49" s="5">
        <v>1.7075352240796846E-2</v>
      </c>
      <c r="DG49" s="5">
        <v>2.3155250253714229E-2</v>
      </c>
      <c r="DH49" s="5">
        <v>3.9433909739161076E-2</v>
      </c>
      <c r="DI49" s="5">
        <v>4.245932510040204E-2</v>
      </c>
      <c r="DJ49" s="5">
        <v>3.1628872966807726E-2</v>
      </c>
      <c r="DK49" s="5">
        <v>2.1906516017108361E-2</v>
      </c>
      <c r="DL49" s="5">
        <v>2.2010085235146189E-2</v>
      </c>
      <c r="DM49" s="5">
        <v>1.9776127115124765E-2</v>
      </c>
      <c r="DN49" s="5">
        <v>1.3081252971600246E-2</v>
      </c>
      <c r="DO49" s="4">
        <v>2.8482077434371974E-3</v>
      </c>
      <c r="DP49" s="5">
        <v>1.2711630039583987E-2</v>
      </c>
      <c r="DQ49" s="5">
        <v>3.3076114718216934E-2</v>
      </c>
      <c r="DR49" s="5">
        <v>2.3977959292402973E-2</v>
      </c>
      <c r="DS49" s="5">
        <v>2.1424233139895808E-2</v>
      </c>
      <c r="DT49" s="4">
        <v>2.0237540413817753E-2</v>
      </c>
      <c r="DU49" s="5">
        <v>2.4392719909899951E-2</v>
      </c>
      <c r="DV49" s="5">
        <v>2.2114370659285329E-2</v>
      </c>
      <c r="DW49" s="5">
        <v>2.5589761470265378E-2</v>
      </c>
      <c r="DX49" s="5">
        <v>2.5428324874852342E-2</v>
      </c>
      <c r="DY49" s="5">
        <v>9.5186459867503195E-3</v>
      </c>
      <c r="EA49" s="3" t="s">
        <v>195</v>
      </c>
      <c r="EB49" s="3" t="s">
        <v>134</v>
      </c>
      <c r="EC49" s="5">
        <v>0.10243166296705629</v>
      </c>
      <c r="ED49" s="5">
        <v>0.10123416541356575</v>
      </c>
      <c r="EE49" s="5">
        <v>9.3189971006322009E-2</v>
      </c>
      <c r="EF49" s="5">
        <v>8.0704017160627223E-2</v>
      </c>
      <c r="EG49" s="5">
        <v>8.6685216659859302E-2</v>
      </c>
      <c r="EH49" s="5">
        <v>8.5302071939884191E-2</v>
      </c>
      <c r="EI49" s="5">
        <v>7.9226612610004993E-2</v>
      </c>
      <c r="EJ49" s="5">
        <v>8.0255467077444353E-2</v>
      </c>
      <c r="EK49" s="5">
        <v>9.3957856251133134E-2</v>
      </c>
      <c r="EL49" s="5">
        <v>0.10268076254707138</v>
      </c>
      <c r="EM49" s="5">
        <v>0.11019552664973215</v>
      </c>
      <c r="EN49" s="5">
        <v>0.10561996536047055</v>
      </c>
      <c r="EO49" s="5">
        <v>0.10722232351360828</v>
      </c>
      <c r="EP49" s="5">
        <v>0.1145276336885357</v>
      </c>
      <c r="EQ49" s="5">
        <v>0.11268756641291015</v>
      </c>
      <c r="ER49" s="5">
        <v>0.11823890775117189</v>
      </c>
      <c r="ES49" s="4">
        <v>0.11096514748663415</v>
      </c>
      <c r="ET49" s="5">
        <v>9.81652222101973E-2</v>
      </c>
      <c r="EU49" s="5">
        <v>9.8045973225076272E-2</v>
      </c>
      <c r="EV49" s="5">
        <v>0.1131934101814558</v>
      </c>
      <c r="EW49" s="5">
        <v>0.16380707532660688</v>
      </c>
      <c r="EX49" s="5">
        <v>0.15060050739018269</v>
      </c>
      <c r="EY49" s="5">
        <v>0.15676142301881052</v>
      </c>
      <c r="EZ49" s="5">
        <v>0.16245636986709339</v>
      </c>
      <c r="FA49" s="5">
        <v>0.175545660007801</v>
      </c>
      <c r="FB49" s="5">
        <v>0.18050948921461438</v>
      </c>
      <c r="FC49" s="5">
        <v>0.16593435799447701</v>
      </c>
      <c r="FD49" s="4">
        <v>0.15521577640910189</v>
      </c>
      <c r="FE49" s="5">
        <v>0.15301505729825274</v>
      </c>
      <c r="FF49" s="5">
        <v>0.17701253268177675</v>
      </c>
      <c r="FG49" s="5">
        <v>0.12013617169362248</v>
      </c>
      <c r="FH49" s="5">
        <v>0.12198392422062554</v>
      </c>
      <c r="FI49" s="5">
        <v>0.1165836126821467</v>
      </c>
      <c r="FJ49" s="5">
        <v>0.11510067489719947</v>
      </c>
      <c r="FK49" s="5">
        <v>0.13006843187110451</v>
      </c>
      <c r="FL49" s="5">
        <v>0.11756727446812255</v>
      </c>
      <c r="FM49" s="5">
        <v>0.10809933301075081</v>
      </c>
      <c r="FN49" s="5">
        <v>0.10731915883186419</v>
      </c>
      <c r="FO49" s="5">
        <v>0.11621928815993379</v>
      </c>
      <c r="FP49" s="5">
        <v>0.12443079201314958</v>
      </c>
      <c r="FZ49" s="3" t="s">
        <v>195</v>
      </c>
      <c r="GA49" s="5">
        <v>0.62226854418920308</v>
      </c>
      <c r="GB49" s="5">
        <v>0.62544740861301562</v>
      </c>
      <c r="GC49" s="4">
        <v>0.63283939060208128</v>
      </c>
      <c r="GD49" s="5">
        <v>0.6249459764815799</v>
      </c>
      <c r="GE49" s="5">
        <v>0.62124802536751389</v>
      </c>
      <c r="GF49" s="5">
        <v>0.61728815191648967</v>
      </c>
      <c r="GG49" s="5">
        <v>0.61425428001944549</v>
      </c>
      <c r="GH49" s="5">
        <v>0.62057064166439468</v>
      </c>
      <c r="GI49" s="5">
        <v>0.61767442403685324</v>
      </c>
      <c r="GJ49" s="5">
        <v>0.61076565739925892</v>
      </c>
      <c r="GK49" s="4">
        <v>0.58813179700411378</v>
      </c>
      <c r="GL49" s="5">
        <v>0.5749325175285257</v>
      </c>
      <c r="GM49" s="5">
        <v>0.56439671006655967</v>
      </c>
      <c r="GN49" s="5">
        <v>0.55370989487015743</v>
      </c>
      <c r="GO49" s="5">
        <v>0.55431998920393188</v>
      </c>
      <c r="GP49" s="5">
        <v>0.56843565092345838</v>
      </c>
      <c r="GQ49" s="5">
        <v>0.59194016685243778</v>
      </c>
      <c r="GR49" s="5">
        <v>0.6109576627066815</v>
      </c>
      <c r="GS49" s="5">
        <v>0.61421131773110316</v>
      </c>
      <c r="GT49" s="4">
        <v>0.5867130338332408</v>
      </c>
      <c r="GU49" s="4">
        <v>0.42763273350102854</v>
      </c>
      <c r="GV49" s="5">
        <v>0.42161329336785341</v>
      </c>
      <c r="GW49" s="5">
        <v>0.41399656242384214</v>
      </c>
      <c r="GX49" s="5">
        <v>0.39488159103117865</v>
      </c>
      <c r="GY49" s="5">
        <v>0.38493876080446227</v>
      </c>
      <c r="GZ49" s="5">
        <v>0.40487256081507356</v>
      </c>
      <c r="HA49" s="5">
        <v>0.43339661232687948</v>
      </c>
      <c r="HB49" s="5">
        <v>0.44849724690961268</v>
      </c>
      <c r="HC49" s="5">
        <v>0.44689547974450089</v>
      </c>
      <c r="HD49" s="4">
        <v>0.42419394693643786</v>
      </c>
      <c r="HE49" s="5">
        <v>0.55223985780193474</v>
      </c>
      <c r="HF49" s="4">
        <v>0.53576161835433933</v>
      </c>
      <c r="HG49" s="5">
        <v>0.54227840092926571</v>
      </c>
      <c r="HH49" s="5">
        <v>0.53826982787444388</v>
      </c>
      <c r="HI49" s="5">
        <v>0.5250839185145636</v>
      </c>
      <c r="HJ49" s="5">
        <v>0.5428659448971046</v>
      </c>
      <c r="HK49" s="5">
        <v>0.57009806322778167</v>
      </c>
      <c r="HL49" s="5">
        <v>0.58104035042245838</v>
      </c>
      <c r="HM49" s="4">
        <v>0.57285743414258838</v>
      </c>
      <c r="HN49" s="5">
        <v>0.56093626626975412</v>
      </c>
      <c r="HP49" s="3" t="s">
        <v>196</v>
      </c>
      <c r="HQ49" s="3" t="s">
        <v>140</v>
      </c>
      <c r="HR49" s="3" t="s">
        <v>141</v>
      </c>
      <c r="HS49" s="5">
        <v>0.55641716251374773</v>
      </c>
    </row>
    <row r="50" spans="2:227" x14ac:dyDescent="0.45">
      <c r="B50" s="6" t="s">
        <v>197</v>
      </c>
      <c r="C50" s="6" t="s">
        <v>131</v>
      </c>
      <c r="D50" s="8">
        <v>0.21615154180267609</v>
      </c>
      <c r="E50" s="8">
        <v>0.21682022513200733</v>
      </c>
      <c r="F50" s="8">
        <v>0.21805785401785918</v>
      </c>
      <c r="G50" s="8">
        <v>0.22638141483425217</v>
      </c>
      <c r="H50" s="8">
        <v>0.23626676038845568</v>
      </c>
      <c r="I50" s="8">
        <v>0.24414225480221999</v>
      </c>
      <c r="J50" s="8">
        <v>0.24726792123968513</v>
      </c>
      <c r="K50" s="8">
        <v>0.23847173426478235</v>
      </c>
      <c r="L50" s="8">
        <v>0.21995188677814551</v>
      </c>
      <c r="M50" s="8">
        <v>0.21765359124267927</v>
      </c>
      <c r="N50" s="8">
        <v>0.26317409579828072</v>
      </c>
      <c r="O50" s="8">
        <v>0.27697413809902222</v>
      </c>
      <c r="P50" s="8">
        <v>0.26379224588629885</v>
      </c>
      <c r="Q50" s="8">
        <v>0.26662165415429745</v>
      </c>
      <c r="R50" s="8">
        <v>0.27435188635200947</v>
      </c>
      <c r="S50" s="8">
        <v>0.27249569225807463</v>
      </c>
      <c r="T50" s="8">
        <v>0.27446823132546694</v>
      </c>
      <c r="U50" s="8">
        <v>0.26977255852914145</v>
      </c>
      <c r="V50" s="8">
        <v>0.25810556985981015</v>
      </c>
      <c r="W50" s="8">
        <v>0.25131143606622158</v>
      </c>
      <c r="X50" s="8">
        <v>0.37245313349807002</v>
      </c>
      <c r="Y50" s="8">
        <v>0.38824800704645879</v>
      </c>
      <c r="Z50" s="8">
        <v>0.40312835337150521</v>
      </c>
      <c r="AA50" s="8">
        <v>0.42005801511542973</v>
      </c>
      <c r="AB50" s="8">
        <v>0.39885046655039574</v>
      </c>
      <c r="AC50" s="8">
        <v>0.37780857306217641</v>
      </c>
      <c r="AD50" s="8">
        <v>0.37350452850088117</v>
      </c>
      <c r="AE50" s="8">
        <v>0.37262952363772867</v>
      </c>
      <c r="AF50" s="8">
        <v>0.36825974336187312</v>
      </c>
      <c r="AG50" s="8">
        <v>0.35746235813256061</v>
      </c>
      <c r="AH50" s="8">
        <v>0.22378847019494669</v>
      </c>
      <c r="AI50" s="8">
        <v>0.24118464955745261</v>
      </c>
      <c r="AJ50" s="8">
        <v>0.24944287463867723</v>
      </c>
      <c r="AK50" s="8">
        <v>0.25698749120365472</v>
      </c>
      <c r="AL50" s="8">
        <v>0.26458230338398653</v>
      </c>
      <c r="AM50" s="8">
        <v>0.27103505311149118</v>
      </c>
      <c r="AN50" s="8">
        <v>0.27281201362551283</v>
      </c>
      <c r="AO50" s="8">
        <v>0.25653610003576172</v>
      </c>
      <c r="AP50" s="8">
        <v>0.23809116192969787</v>
      </c>
      <c r="AQ50" s="8">
        <v>0.22409978803346195</v>
      </c>
      <c r="AS50" s="6" t="s">
        <v>197</v>
      </c>
      <c r="AT50" s="6" t="s">
        <v>132</v>
      </c>
      <c r="AU50" s="8">
        <v>8.6043468562674533E-3</v>
      </c>
      <c r="AV50" s="7">
        <v>7.3298682428321231E-3</v>
      </c>
      <c r="AW50" s="8">
        <v>9.5672429503100027E-3</v>
      </c>
      <c r="AX50" s="8">
        <v>1.2048516181345888E-2</v>
      </c>
      <c r="AY50" s="8">
        <v>9.8469011148671088E-3</v>
      </c>
      <c r="AZ50" s="8">
        <v>1.5944141495221695E-2</v>
      </c>
      <c r="BA50" s="8">
        <v>1.74137513535393E-2</v>
      </c>
      <c r="BB50" s="8">
        <v>1.4759297690776139E-2</v>
      </c>
      <c r="BC50" s="8">
        <v>1.4456481218437144E-2</v>
      </c>
      <c r="BD50" s="8">
        <v>9.6258807577575163E-3</v>
      </c>
      <c r="BE50" s="8">
        <v>1.1872091814591685E-2</v>
      </c>
      <c r="BF50" s="8">
        <v>1.2765368876685354E-2</v>
      </c>
      <c r="BG50" s="8">
        <v>1.7917548943620437E-2</v>
      </c>
      <c r="BH50" s="8">
        <v>1.2135985206846044E-2</v>
      </c>
      <c r="BI50" s="8">
        <v>1.5675427058511382E-2</v>
      </c>
      <c r="BJ50" s="8">
        <v>1.2849484005166148E-2</v>
      </c>
      <c r="BK50" s="8">
        <v>1.4813962965138113E-2</v>
      </c>
      <c r="BL50" s="7">
        <v>1.6218936016390333E-2</v>
      </c>
      <c r="BM50" s="8">
        <v>1.1636749434541538E-2</v>
      </c>
      <c r="BN50" s="8">
        <v>1.0330021838684931E-2</v>
      </c>
      <c r="BO50" s="8">
        <v>1.5595183666375169E-2</v>
      </c>
      <c r="BP50" s="8">
        <v>2.9322841050836417E-2</v>
      </c>
      <c r="BQ50" s="8">
        <v>9.6960009212575683E-3</v>
      </c>
      <c r="BR50" s="8">
        <v>3.5601089867185937E-2</v>
      </c>
      <c r="BS50" s="8">
        <v>3.4103433846357049E-2</v>
      </c>
      <c r="BT50" s="7">
        <v>2.3497172053810293E-2</v>
      </c>
      <c r="BU50" s="8">
        <v>3.503616045334404E-2</v>
      </c>
      <c r="BV50" s="8">
        <v>4.7648292176869535E-2</v>
      </c>
      <c r="BW50" s="8">
        <v>5.9645317704061659E-2</v>
      </c>
      <c r="BX50" s="8">
        <v>3.4147995545941764E-2</v>
      </c>
      <c r="BY50" s="8">
        <v>1.3172228667063034E-2</v>
      </c>
      <c r="BZ50" s="7">
        <v>1.8394147600546862E-2</v>
      </c>
      <c r="CA50" s="7">
        <v>2.8365603498860269E-2</v>
      </c>
      <c r="CB50" s="8">
        <v>3.5351035083938991E-2</v>
      </c>
      <c r="CC50" s="8">
        <v>2.1065370701741422E-2</v>
      </c>
      <c r="CD50" s="8">
        <v>1.9178727490181676E-2</v>
      </c>
      <c r="CE50" s="8">
        <v>1.5514718771761846E-2</v>
      </c>
      <c r="CF50" s="7">
        <v>1.1077817339036412E-2</v>
      </c>
      <c r="CG50" s="8">
        <v>1.01492163566884E-2</v>
      </c>
      <c r="CH50" s="8">
        <v>1.3906249515827708E-2</v>
      </c>
      <c r="CJ50" s="6" t="s">
        <v>197</v>
      </c>
      <c r="CK50" s="6" t="s">
        <v>133</v>
      </c>
      <c r="CL50" s="8">
        <v>1.2666412346906479E-2</v>
      </c>
      <c r="CM50" s="8">
        <v>9.6364048913340841E-3</v>
      </c>
      <c r="CN50" s="8">
        <v>8.9483355675830534E-3</v>
      </c>
      <c r="CO50" s="8">
        <v>9.5871731339548204E-3</v>
      </c>
      <c r="CP50" s="7">
        <v>1.1797012398061843E-2</v>
      </c>
      <c r="CQ50" s="8">
        <v>1.332630605262085E-2</v>
      </c>
      <c r="CR50" s="8">
        <v>1.0053783452346973E-2</v>
      </c>
      <c r="CS50" s="8">
        <v>7.9312235670223451E-3</v>
      </c>
      <c r="CT50" s="8">
        <v>1.2341828776003353E-2</v>
      </c>
      <c r="CU50" s="8">
        <v>1.6939281511154692E-2</v>
      </c>
      <c r="CV50" s="8">
        <v>1.4978165343451927E-2</v>
      </c>
      <c r="CW50" s="8">
        <v>1.5607622630306173E-2</v>
      </c>
      <c r="CX50" s="8">
        <v>1.209393193087957E-2</v>
      </c>
      <c r="CY50" s="8">
        <v>2.0571241278932634E-2</v>
      </c>
      <c r="CZ50" s="8">
        <v>2.1428267978757146E-2</v>
      </c>
      <c r="DA50" s="8">
        <v>2.0834485259064048E-2</v>
      </c>
      <c r="DB50" s="8">
        <v>2.0119246183646314E-2</v>
      </c>
      <c r="DC50" s="8">
        <v>1.8784988689312755E-2</v>
      </c>
      <c r="DD50" s="8">
        <v>1.8989138737390516E-2</v>
      </c>
      <c r="DE50" s="8">
        <v>1.4836745724489496E-2</v>
      </c>
      <c r="DF50" s="8">
        <v>5.1022162046164748E-2</v>
      </c>
      <c r="DG50" s="8">
        <v>1.5169247751783986E-2</v>
      </c>
      <c r="DH50" s="8">
        <v>3.9095117966077363E-2</v>
      </c>
      <c r="DI50" s="8">
        <v>3.8089720354768347E-2</v>
      </c>
      <c r="DJ50" s="8">
        <v>2.6917249913017381E-2</v>
      </c>
      <c r="DK50" s="8">
        <v>3.1925751935513717E-2</v>
      </c>
      <c r="DL50" s="8">
        <v>3.0304375531906336E-2</v>
      </c>
      <c r="DM50" s="8">
        <v>2.1094196515073421E-2</v>
      </c>
      <c r="DN50" s="8">
        <v>2.5941090273158319E-2</v>
      </c>
      <c r="DO50" s="7">
        <v>5.7502199386516364E-2</v>
      </c>
      <c r="DP50" s="8">
        <v>1.8597783030622008E-2</v>
      </c>
      <c r="DQ50" s="8">
        <v>2.1350708888513505E-2</v>
      </c>
      <c r="DR50" s="8">
        <v>1.5609507812169321E-2</v>
      </c>
      <c r="DS50" s="8">
        <v>1.9010524717622199E-2</v>
      </c>
      <c r="DT50" s="7">
        <v>3.150481114242358E-2</v>
      </c>
      <c r="DU50" s="8">
        <v>4.0912384315190474E-2</v>
      </c>
      <c r="DV50" s="8">
        <v>3.4240590141203744E-2</v>
      </c>
      <c r="DW50" s="8">
        <v>2.1326769545138274E-2</v>
      </c>
      <c r="DX50" s="8">
        <v>1.3982506860785855E-2</v>
      </c>
      <c r="DY50" s="8">
        <v>1.0517876689307641E-2</v>
      </c>
      <c r="EA50" s="6" t="s">
        <v>197</v>
      </c>
      <c r="EB50" s="6" t="s">
        <v>134</v>
      </c>
      <c r="EC50" s="8">
        <v>7.9196207413471581E-2</v>
      </c>
      <c r="ED50" s="8">
        <v>8.694986112239074E-2</v>
      </c>
      <c r="EE50" s="8">
        <v>8.2033899415422371E-2</v>
      </c>
      <c r="EF50" s="8">
        <v>8.9591643867202087E-2</v>
      </c>
      <c r="EG50" s="8">
        <v>9.497452060732875E-2</v>
      </c>
      <c r="EH50" s="8">
        <v>8.5697689048731096E-2</v>
      </c>
      <c r="EI50" s="8">
        <v>8.533247339195979E-2</v>
      </c>
      <c r="EJ50" s="8">
        <v>8.2553598230631742E-2</v>
      </c>
      <c r="EK50" s="8">
        <v>7.0322718841437246E-2</v>
      </c>
      <c r="EL50" s="8">
        <v>6.9235490949578607E-2</v>
      </c>
      <c r="EM50" s="8">
        <v>0.10404132692650328</v>
      </c>
      <c r="EN50" s="8">
        <v>0.10339398367706561</v>
      </c>
      <c r="EO50" s="8">
        <v>9.5010412957986276E-2</v>
      </c>
      <c r="EP50" s="8">
        <v>0.10232938055130596</v>
      </c>
      <c r="EQ50" s="8">
        <v>0.10350613878947525</v>
      </c>
      <c r="ER50" s="8">
        <v>0.10538571394354945</v>
      </c>
      <c r="ES50" s="7">
        <v>0.10279852351337261</v>
      </c>
      <c r="ET50" s="8">
        <v>0.10542459573129508</v>
      </c>
      <c r="EU50" s="8">
        <v>0.10183231901164511</v>
      </c>
      <c r="EV50" s="8">
        <v>9.8049938876170431E-2</v>
      </c>
      <c r="EW50" s="8">
        <v>0.17232767728696091</v>
      </c>
      <c r="EX50" s="8">
        <v>0.21757140610190862</v>
      </c>
      <c r="EY50" s="8">
        <v>0.21869665213477227</v>
      </c>
      <c r="EZ50" s="8">
        <v>0.21041563866168084</v>
      </c>
      <c r="FA50" s="8">
        <v>0.2148856514759363</v>
      </c>
      <c r="FB50" s="8">
        <v>0.18996938648940992</v>
      </c>
      <c r="FC50" s="8">
        <v>0.17178755823525041</v>
      </c>
      <c r="FD50" s="7">
        <v>0.16868849137624697</v>
      </c>
      <c r="FE50" s="8">
        <v>0.14575506938887847</v>
      </c>
      <c r="FF50" s="8">
        <v>0.12982261521844762</v>
      </c>
      <c r="FG50" s="8">
        <v>8.7727832103830131E-2</v>
      </c>
      <c r="FH50" s="8">
        <v>8.2800821878174571E-2</v>
      </c>
      <c r="FI50" s="8">
        <v>8.4454189076326361E-2</v>
      </c>
      <c r="FJ50" s="8">
        <v>8.0852815721098564E-2</v>
      </c>
      <c r="FK50" s="8">
        <v>8.3133882413964716E-2</v>
      </c>
      <c r="FL50" s="8">
        <v>8.0167273476950671E-2</v>
      </c>
      <c r="FM50" s="8">
        <v>9.3146944636040924E-2</v>
      </c>
      <c r="FN50" s="8">
        <v>0.10196702121541971</v>
      </c>
      <c r="FO50" s="8">
        <v>8.9941915300447858E-2</v>
      </c>
      <c r="FP50" s="8">
        <v>8.3712290997354888E-2</v>
      </c>
      <c r="FZ50" s="6" t="s">
        <v>197</v>
      </c>
      <c r="GA50" s="8">
        <v>0.67826169491723354</v>
      </c>
      <c r="GB50" s="8">
        <v>0.66369315925271721</v>
      </c>
      <c r="GC50" s="7">
        <v>0.66331139081914792</v>
      </c>
      <c r="GD50" s="8">
        <v>0.64545021139971559</v>
      </c>
      <c r="GE50" s="8">
        <v>0.63160814930066511</v>
      </c>
      <c r="GF50" s="8">
        <v>0.63675902059502754</v>
      </c>
      <c r="GG50" s="8">
        <v>0.63973059543319277</v>
      </c>
      <c r="GH50" s="8">
        <v>0.6565232057098167</v>
      </c>
      <c r="GI50" s="8">
        <v>0.68294411979075931</v>
      </c>
      <c r="GJ50" s="8">
        <v>0.6838458209755488</v>
      </c>
      <c r="GK50" s="7">
        <v>0.59669123006081914</v>
      </c>
      <c r="GL50" s="8">
        <v>0.59075352098587475</v>
      </c>
      <c r="GM50" s="8">
        <v>0.60977019262661314</v>
      </c>
      <c r="GN50" s="8">
        <v>0.60409840580863683</v>
      </c>
      <c r="GO50" s="8">
        <v>0.5879802671209502</v>
      </c>
      <c r="GP50" s="8">
        <v>0.58506245771117305</v>
      </c>
      <c r="GQ50" s="8">
        <v>0.58058594117922713</v>
      </c>
      <c r="GR50" s="8">
        <v>0.57046391900506133</v>
      </c>
      <c r="GS50" s="8">
        <v>0.59428839733352967</v>
      </c>
      <c r="GT50" s="7">
        <v>0.61131056034341547</v>
      </c>
      <c r="GU50" s="7">
        <v>0.35518316982105003</v>
      </c>
      <c r="GV50" s="8">
        <v>0.33429470172140557</v>
      </c>
      <c r="GW50" s="8">
        <v>0.33504289780373503</v>
      </c>
      <c r="GX50" s="8">
        <v>0.32407060649286773</v>
      </c>
      <c r="GY50" s="8">
        <v>0.32690377621989086</v>
      </c>
      <c r="GZ50" s="8">
        <v>0.34669140533772497</v>
      </c>
      <c r="HA50" s="8">
        <v>0.35576162128537275</v>
      </c>
      <c r="HB50" s="8">
        <v>0.36814976742844668</v>
      </c>
      <c r="HC50" s="8">
        <v>0.3827553455592122</v>
      </c>
      <c r="HD50" s="7">
        <v>0.38308217000714906</v>
      </c>
      <c r="HE50" s="8">
        <v>0.59896170836125795</v>
      </c>
      <c r="HF50" s="7">
        <v>0.58300631529912228</v>
      </c>
      <c r="HG50" s="8">
        <v>0.58514421620458112</v>
      </c>
      <c r="HH50" s="8">
        <v>0.58758732402965941</v>
      </c>
      <c r="HI50" s="8">
        <v>0.59333127308689826</v>
      </c>
      <c r="HJ50" s="8">
        <v>0.58199719492522828</v>
      </c>
      <c r="HK50" s="8">
        <v>0.58202976226146996</v>
      </c>
      <c r="HL50" s="8">
        <v>0.59266054077313357</v>
      </c>
      <c r="HM50" s="7">
        <v>0.61149930737088243</v>
      </c>
      <c r="HN50" s="8">
        <v>0.62659420264946419</v>
      </c>
      <c r="HP50" s="6" t="s">
        <v>198</v>
      </c>
      <c r="HQ50" s="6" t="s">
        <v>140</v>
      </c>
      <c r="HR50" s="6" t="s">
        <v>141</v>
      </c>
      <c r="HS50" s="8">
        <v>0.59200994876834256</v>
      </c>
    </row>
    <row r="51" spans="2:227" x14ac:dyDescent="0.45">
      <c r="B51" s="3" t="s">
        <v>199</v>
      </c>
      <c r="C51" s="3" t="s">
        <v>131</v>
      </c>
      <c r="D51" s="5">
        <v>0.16324762719485661</v>
      </c>
      <c r="E51" s="5">
        <v>0.18852351963098513</v>
      </c>
      <c r="F51" s="5">
        <v>0.17714346649636051</v>
      </c>
      <c r="G51" s="5">
        <v>0.15681863153328832</v>
      </c>
      <c r="H51" s="5">
        <v>0.14656231060346275</v>
      </c>
      <c r="I51" s="5">
        <v>0.13938117144973461</v>
      </c>
      <c r="J51" s="5">
        <v>0.12009211352719867</v>
      </c>
      <c r="K51" s="5">
        <v>0.12550645872629521</v>
      </c>
      <c r="L51" s="5">
        <v>0.13802421406121254</v>
      </c>
      <c r="M51" s="5">
        <v>0.15043333972510986</v>
      </c>
      <c r="N51" s="5">
        <v>0.22670291846787216</v>
      </c>
      <c r="O51" s="5">
        <v>0.22473516881537178</v>
      </c>
      <c r="P51" s="5">
        <v>0.21747465302696711</v>
      </c>
      <c r="Q51" s="5">
        <v>0.21383880520875131</v>
      </c>
      <c r="R51" s="5">
        <v>0.21152987562145856</v>
      </c>
      <c r="S51" s="5">
        <v>0.21811927661515076</v>
      </c>
      <c r="T51" s="5">
        <v>0.22529257228894778</v>
      </c>
      <c r="U51" s="5">
        <v>0.22751477014123297</v>
      </c>
      <c r="V51" s="5">
        <v>0.22620071330686148</v>
      </c>
      <c r="W51" s="5">
        <v>0.22764477654888382</v>
      </c>
      <c r="X51" s="5">
        <v>0.25987087047604257</v>
      </c>
      <c r="Y51" s="5">
        <v>0.26205123510479583</v>
      </c>
      <c r="Z51" s="5">
        <v>0.27379684371054774</v>
      </c>
      <c r="AA51" s="5">
        <v>0.26398780170179392</v>
      </c>
      <c r="AB51" s="5">
        <v>0.25242949756174055</v>
      </c>
      <c r="AC51" s="5">
        <v>0.25102720005949553</v>
      </c>
      <c r="AD51" s="5">
        <v>0.25514020288354655</v>
      </c>
      <c r="AE51" s="5">
        <v>0.24703621844635629</v>
      </c>
      <c r="AF51" s="5">
        <v>0.25014455625547982</v>
      </c>
      <c r="AG51" s="5">
        <v>0.25422345203445529</v>
      </c>
      <c r="AH51" s="5">
        <v>0.24129979357785067</v>
      </c>
      <c r="AI51" s="5">
        <v>0.24949936869219932</v>
      </c>
      <c r="AJ51" s="5">
        <v>0.24940037728123612</v>
      </c>
      <c r="AK51" s="5">
        <v>0.26127197817784598</v>
      </c>
      <c r="AL51" s="5">
        <v>0.25955605004987664</v>
      </c>
      <c r="AM51" s="5">
        <v>0.24701439426314151</v>
      </c>
      <c r="AN51" s="5">
        <v>0.24162725075761118</v>
      </c>
      <c r="AO51" s="5">
        <v>0.25537646976226996</v>
      </c>
      <c r="AP51" s="5">
        <v>0.25462000391008122</v>
      </c>
      <c r="AQ51" s="5">
        <v>0.24968834306166349</v>
      </c>
      <c r="AS51" s="3" t="s">
        <v>199</v>
      </c>
      <c r="AT51" s="3" t="s">
        <v>132</v>
      </c>
      <c r="AU51" s="5">
        <v>1.1466855809457714E-2</v>
      </c>
      <c r="AV51" s="4">
        <v>1.3011114870853949E-2</v>
      </c>
      <c r="AW51" s="5">
        <v>9.6638102573053854E-3</v>
      </c>
      <c r="AX51" s="5">
        <v>8.7503107604553869E-3</v>
      </c>
      <c r="AY51" s="5">
        <v>1.0008137497716205E-2</v>
      </c>
      <c r="AZ51" s="5">
        <v>1.0844359196776515E-2</v>
      </c>
      <c r="BA51" s="5">
        <v>7.4363215912872788E-3</v>
      </c>
      <c r="BB51" s="5">
        <v>5.3856928148398068E-3</v>
      </c>
      <c r="BC51" s="5">
        <v>1.0212547332480341E-2</v>
      </c>
      <c r="BD51" s="5">
        <v>1.1229841456854472E-2</v>
      </c>
      <c r="BE51" s="5">
        <v>1.1124697720014216E-2</v>
      </c>
      <c r="BF51" s="5">
        <v>9.8508786312156964E-3</v>
      </c>
      <c r="BG51" s="5">
        <v>8.0738402087430824E-3</v>
      </c>
      <c r="BH51" s="5">
        <v>8.9977553584504148E-3</v>
      </c>
      <c r="BI51" s="5">
        <v>9.410356132006574E-3</v>
      </c>
      <c r="BJ51" s="5">
        <v>1.1617933088017089E-2</v>
      </c>
      <c r="BK51" s="5">
        <v>9.3151882398527543E-3</v>
      </c>
      <c r="BL51" s="4">
        <v>4.756734433789744E-3</v>
      </c>
      <c r="BM51" s="5">
        <v>1.2971668159059493E-3</v>
      </c>
      <c r="BN51" s="5">
        <v>7.5914588940368538E-3</v>
      </c>
      <c r="BO51" s="5">
        <v>1.4417402713225934E-2</v>
      </c>
      <c r="BP51" s="5">
        <v>8.4787454597014603E-3</v>
      </c>
      <c r="BQ51" s="5">
        <v>1.3068791992515365E-2</v>
      </c>
      <c r="BR51" s="5">
        <v>1.3239178643657153E-2</v>
      </c>
      <c r="BS51" s="5">
        <v>1.1375413870182847E-2</v>
      </c>
      <c r="BT51" s="4">
        <v>1.6272579027843688E-2</v>
      </c>
      <c r="BU51" s="5">
        <v>1.8877830921356351E-2</v>
      </c>
      <c r="BV51" s="5">
        <v>9.5496711551065882E-3</v>
      </c>
      <c r="BW51" s="5">
        <v>5.989789723191391E-3</v>
      </c>
      <c r="BX51" s="5">
        <v>1.6603751819995981E-2</v>
      </c>
      <c r="BY51" s="5">
        <v>1.006095818789848E-2</v>
      </c>
      <c r="BZ51" s="4">
        <v>9.8200744778434382E-3</v>
      </c>
      <c r="CA51" s="4">
        <v>1.0471443955201779E-2</v>
      </c>
      <c r="CB51" s="5">
        <v>1.5762069440920481E-2</v>
      </c>
      <c r="CC51" s="5">
        <v>2.0612416108505234E-2</v>
      </c>
      <c r="CD51" s="5">
        <v>1.7133682618348512E-2</v>
      </c>
      <c r="CE51" s="5">
        <v>6.087089709122989E-3</v>
      </c>
      <c r="CF51" s="4">
        <v>9.038065404472476E-3</v>
      </c>
      <c r="CG51" s="5">
        <v>1.2231218995992384E-2</v>
      </c>
      <c r="CH51" s="5">
        <v>1.2027421135951065E-2</v>
      </c>
      <c r="CJ51" s="3" t="s">
        <v>199</v>
      </c>
      <c r="CK51" s="3" t="s">
        <v>133</v>
      </c>
      <c r="CL51" s="5">
        <v>1.2961657165706127E-2</v>
      </c>
      <c r="CM51" s="5">
        <v>1.5250939856775315E-2</v>
      </c>
      <c r="CN51" s="5">
        <v>1.5083341423901485E-2</v>
      </c>
      <c r="CO51" s="5">
        <v>1.0867790078176271E-2</v>
      </c>
      <c r="CP51" s="4">
        <v>7.748172035915624E-3</v>
      </c>
      <c r="CQ51" s="5">
        <v>5.7908437905855627E-3</v>
      </c>
      <c r="CR51" s="5">
        <v>8.0042885045939361E-3</v>
      </c>
      <c r="CS51" s="5">
        <v>1.1205771893637266E-2</v>
      </c>
      <c r="CT51" s="5">
        <v>1.0933044025517294E-2</v>
      </c>
      <c r="CU51" s="5">
        <v>8.1174740499229316E-3</v>
      </c>
      <c r="CV51" s="5">
        <v>8.4170588371690874E-3</v>
      </c>
      <c r="CW51" s="5">
        <v>1.5376879683250659E-2</v>
      </c>
      <c r="CX51" s="5">
        <v>1.59159249452328E-2</v>
      </c>
      <c r="CY51" s="5">
        <v>1.2070568229401375E-2</v>
      </c>
      <c r="CZ51" s="5">
        <v>1.293323111479517E-2</v>
      </c>
      <c r="DA51" s="5">
        <v>9.3014547899425704E-3</v>
      </c>
      <c r="DB51" s="5">
        <v>1.3059243333978851E-2</v>
      </c>
      <c r="DC51" s="5">
        <v>1.222609431455431E-2</v>
      </c>
      <c r="DD51" s="5">
        <v>9.9802879004203971E-3</v>
      </c>
      <c r="DE51" s="5">
        <v>4.9408277368593583E-3</v>
      </c>
      <c r="DF51" s="5">
        <v>1.7951306354651121E-2</v>
      </c>
      <c r="DG51" s="5">
        <v>2.2059400066154155E-2</v>
      </c>
      <c r="DH51" s="5">
        <v>1.3444517568333118E-2</v>
      </c>
      <c r="DI51" s="5">
        <v>1.346538115144069E-2</v>
      </c>
      <c r="DJ51" s="5">
        <v>1.6289487219409045E-2</v>
      </c>
      <c r="DK51" s="5">
        <v>1.8159294281209618E-2</v>
      </c>
      <c r="DL51" s="5">
        <v>1.2260133930636279E-2</v>
      </c>
      <c r="DM51" s="5">
        <v>1.9023442991982439E-2</v>
      </c>
      <c r="DN51" s="5">
        <v>2.7265441675819718E-2</v>
      </c>
      <c r="DO51" s="4">
        <v>1.246097436474527E-2</v>
      </c>
      <c r="DP51" s="5">
        <v>1.3502080455945704E-2</v>
      </c>
      <c r="DQ51" s="5">
        <v>1.6559914466821965E-2</v>
      </c>
      <c r="DR51" s="5">
        <v>1.1061030721846596E-2</v>
      </c>
      <c r="DS51" s="5">
        <v>1.3792617323577717E-2</v>
      </c>
      <c r="DT51" s="4">
        <v>1.1328748368586697E-2</v>
      </c>
      <c r="DU51" s="5">
        <v>1.5138421860680774E-2</v>
      </c>
      <c r="DV51" s="5">
        <v>2.3615428777010509E-2</v>
      </c>
      <c r="DW51" s="5">
        <v>2.1318949831869601E-2</v>
      </c>
      <c r="DX51" s="5">
        <v>1.2379559319544637E-2</v>
      </c>
      <c r="DY51" s="5">
        <v>1.5418055370571757E-2</v>
      </c>
      <c r="EA51" s="3" t="s">
        <v>199</v>
      </c>
      <c r="EB51" s="3" t="s">
        <v>134</v>
      </c>
      <c r="EC51" s="5">
        <v>4.0856581228496308E-2</v>
      </c>
      <c r="ED51" s="5">
        <v>5.1774806496010864E-2</v>
      </c>
      <c r="EE51" s="5">
        <v>4.768549521671369E-2</v>
      </c>
      <c r="EF51" s="5">
        <v>3.9843685016744075E-2</v>
      </c>
      <c r="EG51" s="5">
        <v>3.8761660257050475E-2</v>
      </c>
      <c r="EH51" s="5">
        <v>3.8435268445142542E-2</v>
      </c>
      <c r="EI51" s="5">
        <v>3.3299255897300054E-2</v>
      </c>
      <c r="EJ51" s="5">
        <v>3.6094914574976697E-2</v>
      </c>
      <c r="EK51" s="5">
        <v>3.4273618165451526E-2</v>
      </c>
      <c r="EL51" s="5">
        <v>4.3038274064146023E-2</v>
      </c>
      <c r="EM51" s="5">
        <v>8.8668851070419205E-2</v>
      </c>
      <c r="EN51" s="5">
        <v>8.715692568686656E-2</v>
      </c>
      <c r="EO51" s="5">
        <v>8.2756601998173168E-2</v>
      </c>
      <c r="EP51" s="5">
        <v>8.4241361702771814E-2</v>
      </c>
      <c r="EQ51" s="5">
        <v>8.0293187063479654E-2</v>
      </c>
      <c r="ER51" s="5">
        <v>8.0810386578473406E-2</v>
      </c>
      <c r="ES51" s="4">
        <v>8.3612436997773557E-2</v>
      </c>
      <c r="ET51" s="5">
        <v>9.6208890451068452E-2</v>
      </c>
      <c r="EU51" s="5">
        <v>0.10049463504277927</v>
      </c>
      <c r="EV51" s="5">
        <v>9.6324469016463479E-2</v>
      </c>
      <c r="EW51" s="5">
        <v>0.11026135970361221</v>
      </c>
      <c r="EX51" s="5">
        <v>0.11822139196211424</v>
      </c>
      <c r="EY51" s="5">
        <v>0.12147009761083966</v>
      </c>
      <c r="EZ51" s="5">
        <v>0.12048122197292452</v>
      </c>
      <c r="FA51" s="5">
        <v>0.1131273288969685</v>
      </c>
      <c r="FB51" s="5">
        <v>9.9173917799611946E-2</v>
      </c>
      <c r="FC51" s="5">
        <v>0.10472764034512153</v>
      </c>
      <c r="FD51" s="4">
        <v>0.10632141657156018</v>
      </c>
      <c r="FE51" s="5">
        <v>0.10225606606413604</v>
      </c>
      <c r="FF51" s="5">
        <v>0.11276947278530207</v>
      </c>
      <c r="FG51" s="5">
        <v>9.524087514104293E-2</v>
      </c>
      <c r="FH51" s="5">
        <v>0.10581974712845876</v>
      </c>
      <c r="FI51" s="5">
        <v>0.10788171512431932</v>
      </c>
      <c r="FJ51" s="5">
        <v>0.10396348356734571</v>
      </c>
      <c r="FK51" s="5">
        <v>9.820459421156362E-2</v>
      </c>
      <c r="FL51" s="5">
        <v>8.8350229733041102E-2</v>
      </c>
      <c r="FM51" s="5">
        <v>9.1525037570324028E-2</v>
      </c>
      <c r="FN51" s="5">
        <v>9.5995984609375098E-2</v>
      </c>
      <c r="FO51" s="5">
        <v>0.10079984781340606</v>
      </c>
      <c r="FP51" s="5">
        <v>9.3317020559501113E-2</v>
      </c>
      <c r="FZ51" s="3" t="s">
        <v>199</v>
      </c>
      <c r="GA51" s="5">
        <v>0.76320709860844871</v>
      </c>
      <c r="GB51" s="5">
        <v>0.73344820339382566</v>
      </c>
      <c r="GC51" s="4">
        <v>0.74998477561568855</v>
      </c>
      <c r="GD51" s="5">
        <v>0.7768651178309508</v>
      </c>
      <c r="GE51" s="5">
        <v>0.78377289870280498</v>
      </c>
      <c r="GF51" s="5">
        <v>0.79352375852511581</v>
      </c>
      <c r="GG51" s="5">
        <v>0.81198288147266828</v>
      </c>
      <c r="GH51" s="5">
        <v>0.80256061880735674</v>
      </c>
      <c r="GI51" s="5">
        <v>0.79160123362737556</v>
      </c>
      <c r="GJ51" s="5">
        <v>0.77051613987069145</v>
      </c>
      <c r="GK51" s="4">
        <v>0.6558566079060969</v>
      </c>
      <c r="GL51" s="5">
        <v>0.65620467071613786</v>
      </c>
      <c r="GM51" s="5">
        <v>0.66788858475948321</v>
      </c>
      <c r="GN51" s="5">
        <v>0.66724279964360167</v>
      </c>
      <c r="GO51" s="5">
        <v>0.67590229277232794</v>
      </c>
      <c r="GP51" s="5">
        <v>0.68051025772040519</v>
      </c>
      <c r="GQ51" s="5">
        <v>0.66894062466147297</v>
      </c>
      <c r="GR51" s="5">
        <v>0.65217948380529056</v>
      </c>
      <c r="GS51" s="5">
        <v>0.64709933701621902</v>
      </c>
      <c r="GT51" s="4">
        <v>0.65200245242365829</v>
      </c>
      <c r="GU51" s="4">
        <v>0.5733034508255801</v>
      </c>
      <c r="GV51" s="5">
        <v>0.55664713828621304</v>
      </c>
      <c r="GW51" s="5">
        <v>0.55639894906873222</v>
      </c>
      <c r="GX51" s="5">
        <v>0.55869948253598001</v>
      </c>
      <c r="GY51" s="5">
        <v>0.57409205548405884</v>
      </c>
      <c r="GZ51" s="5">
        <v>0.59283552008933471</v>
      </c>
      <c r="HA51" s="5">
        <v>0.60031822880089813</v>
      </c>
      <c r="HB51" s="5">
        <v>0.59996764831369453</v>
      </c>
      <c r="HC51" s="5">
        <v>0.58828965162144242</v>
      </c>
      <c r="HD51" s="4">
        <v>0.57619130808642105</v>
      </c>
      <c r="HE51" s="5">
        <v>0.62345278444477636</v>
      </c>
      <c r="HF51" s="4">
        <v>0.60012516246380698</v>
      </c>
      <c r="HG51" s="5">
        <v>0.6096529488275485</v>
      </c>
      <c r="HH51" s="5">
        <v>0.6135349153606986</v>
      </c>
      <c r="HI51" s="5">
        <v>0.62440403237235931</v>
      </c>
      <c r="HJ51" s="5">
        <v>0.64047520266338709</v>
      </c>
      <c r="HK51" s="5">
        <v>0.63988082106173061</v>
      </c>
      <c r="HL51" s="5">
        <v>0.62623441023560444</v>
      </c>
      <c r="HM51" s="4">
        <v>0.62588690146072679</v>
      </c>
      <c r="HN51" s="5">
        <v>0.6283818462129962</v>
      </c>
      <c r="HP51" s="3" t="s">
        <v>200</v>
      </c>
      <c r="HQ51" s="3" t="s">
        <v>140</v>
      </c>
      <c r="HR51" s="3" t="s">
        <v>141</v>
      </c>
      <c r="HS51" s="5">
        <v>0.50103367109172026</v>
      </c>
    </row>
    <row r="52" spans="2:227" x14ac:dyDescent="0.45">
      <c r="B52" s="6" t="s">
        <v>201</v>
      </c>
      <c r="C52" s="6" t="s">
        <v>131</v>
      </c>
      <c r="D52" s="8">
        <v>0.14674118075366976</v>
      </c>
      <c r="E52" s="8">
        <v>0.15426513672091391</v>
      </c>
      <c r="F52" s="8">
        <v>0.16933120801699195</v>
      </c>
      <c r="G52" s="8">
        <v>0.17132179790130353</v>
      </c>
      <c r="H52" s="8">
        <v>0.17209091583348141</v>
      </c>
      <c r="I52" s="8">
        <v>0.17227867067614266</v>
      </c>
      <c r="J52" s="8">
        <v>0.1641677099651955</v>
      </c>
      <c r="K52" s="8">
        <v>0.15649985916057466</v>
      </c>
      <c r="L52" s="8">
        <v>0.14762201804771546</v>
      </c>
      <c r="M52" s="8">
        <v>0.15737569949973862</v>
      </c>
      <c r="N52" s="8">
        <v>0.25567068274244709</v>
      </c>
      <c r="O52" s="8">
        <v>0.24990371300956335</v>
      </c>
      <c r="P52" s="8">
        <v>0.24231646921260408</v>
      </c>
      <c r="Q52" s="8">
        <v>0.24074722126477002</v>
      </c>
      <c r="R52" s="8">
        <v>0.24518338164860287</v>
      </c>
      <c r="S52" s="8">
        <v>0.24077675423225881</v>
      </c>
      <c r="T52" s="8">
        <v>0.24240112813617026</v>
      </c>
      <c r="U52" s="8">
        <v>0.24489604892937733</v>
      </c>
      <c r="V52" s="8">
        <v>0.24107579804539059</v>
      </c>
      <c r="W52" s="8">
        <v>0.24679404102728672</v>
      </c>
      <c r="X52" s="8">
        <v>0.32372261265392488</v>
      </c>
      <c r="Y52" s="8">
        <v>0.31024030677220299</v>
      </c>
      <c r="Z52" s="8">
        <v>0.31419414819475122</v>
      </c>
      <c r="AA52" s="8">
        <v>0.33177967365926447</v>
      </c>
      <c r="AB52" s="8">
        <v>0.34104872341742298</v>
      </c>
      <c r="AC52" s="8">
        <v>0.34402620060968497</v>
      </c>
      <c r="AD52" s="8">
        <v>0.33515842677950503</v>
      </c>
      <c r="AE52" s="8">
        <v>0.31637200436048413</v>
      </c>
      <c r="AF52" s="8">
        <v>0.32514094597788223</v>
      </c>
      <c r="AG52" s="8">
        <v>0.34201572843480138</v>
      </c>
      <c r="AH52" s="8">
        <v>0.25865394455181806</v>
      </c>
      <c r="AI52" s="8">
        <v>0.25702740440286498</v>
      </c>
      <c r="AJ52" s="8">
        <v>0.25101118307363796</v>
      </c>
      <c r="AK52" s="8">
        <v>0.24736812478190276</v>
      </c>
      <c r="AL52" s="8">
        <v>0.24663300738230354</v>
      </c>
      <c r="AM52" s="8">
        <v>0.24758752104997997</v>
      </c>
      <c r="AN52" s="8">
        <v>0.24580417447484715</v>
      </c>
      <c r="AO52" s="8">
        <v>0.23795580517423026</v>
      </c>
      <c r="AP52" s="8">
        <v>0.23797016142868047</v>
      </c>
      <c r="AQ52" s="8">
        <v>0.24689706044580462</v>
      </c>
      <c r="AS52" s="6" t="s">
        <v>201</v>
      </c>
      <c r="AT52" s="6" t="s">
        <v>132</v>
      </c>
      <c r="AU52" s="8">
        <v>8.3265232091573587E-3</v>
      </c>
      <c r="AV52" s="7">
        <v>9.6496374501267943E-3</v>
      </c>
      <c r="AW52" s="8">
        <v>1.2517561961165069E-2</v>
      </c>
      <c r="AX52" s="8">
        <v>1.1972710058579422E-2</v>
      </c>
      <c r="AY52" s="8">
        <v>1.0260841318992945E-2</v>
      </c>
      <c r="AZ52" s="8">
        <v>8.9176922224085096E-3</v>
      </c>
      <c r="BA52" s="8">
        <v>7.9228800694826455E-3</v>
      </c>
      <c r="BB52" s="8">
        <v>7.6076222463898136E-3</v>
      </c>
      <c r="BC52" s="8">
        <v>6.3486006633837128E-3</v>
      </c>
      <c r="BD52" s="8">
        <v>8.3112608096421632E-3</v>
      </c>
      <c r="BE52" s="8">
        <v>6.1078248725918273E-3</v>
      </c>
      <c r="BF52" s="8">
        <v>8.3804840067595136E-3</v>
      </c>
      <c r="BG52" s="8">
        <v>1.215644377833525E-2</v>
      </c>
      <c r="BH52" s="8">
        <v>9.0302469188055338E-3</v>
      </c>
      <c r="BI52" s="8">
        <v>9.483764859695978E-3</v>
      </c>
      <c r="BJ52" s="8">
        <v>8.7050322965711423E-3</v>
      </c>
      <c r="BK52" s="8">
        <v>5.5911598741969918E-3</v>
      </c>
      <c r="BL52" s="7">
        <v>1.0610972405839051E-2</v>
      </c>
      <c r="BM52" s="8">
        <v>1.3249241848173268E-2</v>
      </c>
      <c r="BN52" s="8">
        <v>1.0745942106456189E-2</v>
      </c>
      <c r="BO52" s="8">
        <v>1.8356611338856299E-2</v>
      </c>
      <c r="BP52" s="8">
        <v>8.6064631240591865E-3</v>
      </c>
      <c r="BQ52" s="8">
        <v>9.5578601988989854E-3</v>
      </c>
      <c r="BR52" s="8">
        <v>1.464456069299609E-2</v>
      </c>
      <c r="BS52" s="8">
        <v>2.0950545115613853E-2</v>
      </c>
      <c r="BT52" s="7">
        <v>1.634754056271534E-2</v>
      </c>
      <c r="BU52" s="8">
        <v>1.8353969753153385E-2</v>
      </c>
      <c r="BV52" s="8">
        <v>1.8117842569617622E-2</v>
      </c>
      <c r="BW52" s="8">
        <v>2.8942984660463862E-2</v>
      </c>
      <c r="BX52" s="8">
        <v>4.095515195720819E-2</v>
      </c>
      <c r="BY52" s="8">
        <v>9.1137578540214838E-3</v>
      </c>
      <c r="BZ52" s="7">
        <v>1.296481021592687E-2</v>
      </c>
      <c r="CA52" s="7">
        <v>1.1702171745839214E-2</v>
      </c>
      <c r="CB52" s="8">
        <v>7.0849001837217469E-3</v>
      </c>
      <c r="CC52" s="8">
        <v>6.9738854239862046E-3</v>
      </c>
      <c r="CD52" s="8">
        <v>7.6242663297893315E-3</v>
      </c>
      <c r="CE52" s="8">
        <v>1.6442426743127549E-2</v>
      </c>
      <c r="CF52" s="7">
        <v>1.5556722565465673E-2</v>
      </c>
      <c r="CG52" s="8">
        <v>7.5124785746849797E-3</v>
      </c>
      <c r="CH52" s="8">
        <v>8.9600956148328959E-3</v>
      </c>
      <c r="CJ52" s="6" t="s">
        <v>201</v>
      </c>
      <c r="CK52" s="6" t="s">
        <v>133</v>
      </c>
      <c r="CL52" s="8">
        <v>8.3509788895537104E-3</v>
      </c>
      <c r="CM52" s="8">
        <v>9.0861210976855896E-3</v>
      </c>
      <c r="CN52" s="8">
        <v>1.0966796332009679E-2</v>
      </c>
      <c r="CO52" s="8">
        <v>1.1090110005930952E-2</v>
      </c>
      <c r="CP52" s="7">
        <v>1.1399895490450623E-2</v>
      </c>
      <c r="CQ52" s="8">
        <v>1.1277760764368764E-2</v>
      </c>
      <c r="CR52" s="8">
        <v>9.8154770287314508E-3</v>
      </c>
      <c r="CS52" s="8">
        <v>8.0273693938257614E-3</v>
      </c>
      <c r="CT52" s="8">
        <v>9.3862977528947171E-3</v>
      </c>
      <c r="CU52" s="8">
        <v>8.5535352239887279E-3</v>
      </c>
      <c r="CV52" s="8">
        <v>1.7922703301468407E-2</v>
      </c>
      <c r="CW52" s="8">
        <v>8.7256762413474697E-3</v>
      </c>
      <c r="CX52" s="8">
        <v>8.1517538669812796E-3</v>
      </c>
      <c r="CY52" s="8">
        <v>1.3459879082526587E-2</v>
      </c>
      <c r="CZ52" s="8">
        <v>1.7201275808882519E-2</v>
      </c>
      <c r="DA52" s="8">
        <v>1.120328052053508E-2</v>
      </c>
      <c r="DB52" s="8">
        <v>9.5535813387907353E-3</v>
      </c>
      <c r="DC52" s="8">
        <v>6.5143054043767974E-3</v>
      </c>
      <c r="DD52" s="8">
        <v>9.1675412828109547E-3</v>
      </c>
      <c r="DE52" s="8">
        <v>1.8511584247352497E-2</v>
      </c>
      <c r="DF52" s="8">
        <v>5.2068383009208581E-2</v>
      </c>
      <c r="DG52" s="8">
        <v>3.9475329878554018E-2</v>
      </c>
      <c r="DH52" s="8">
        <v>2.7227053302557837E-2</v>
      </c>
      <c r="DI52" s="8">
        <v>1.7814324695084309E-2</v>
      </c>
      <c r="DJ52" s="8">
        <v>8.451760628895898E-3</v>
      </c>
      <c r="DK52" s="8">
        <v>1.159418383776809E-2</v>
      </c>
      <c r="DL52" s="8">
        <v>2.0187432698648363E-2</v>
      </c>
      <c r="DM52" s="8">
        <v>2.4076340677206137E-2</v>
      </c>
      <c r="DN52" s="8">
        <v>2.6754908537306717E-2</v>
      </c>
      <c r="DO52" s="7">
        <v>2.9950056513983647E-2</v>
      </c>
      <c r="DP52" s="8">
        <v>1.1092086267962719E-2</v>
      </c>
      <c r="DQ52" s="8">
        <v>1.2376496032127537E-2</v>
      </c>
      <c r="DR52" s="8">
        <v>1.3838327858257721E-2</v>
      </c>
      <c r="DS52" s="8">
        <v>2.1052976771972896E-2</v>
      </c>
      <c r="DT52" s="7">
        <v>1.616335580209113E-2</v>
      </c>
      <c r="DU52" s="8">
        <v>1.181930995337043E-2</v>
      </c>
      <c r="DV52" s="8">
        <v>8.1914927814947611E-3</v>
      </c>
      <c r="DW52" s="8">
        <v>1.2298550074054266E-2</v>
      </c>
      <c r="DX52" s="8">
        <v>2.00343466638035E-2</v>
      </c>
      <c r="DY52" s="8">
        <v>1.794695160485069E-2</v>
      </c>
      <c r="EA52" s="6" t="s">
        <v>201</v>
      </c>
      <c r="EB52" s="6" t="s">
        <v>134</v>
      </c>
      <c r="EC52" s="8">
        <v>4.2132607395399001E-2</v>
      </c>
      <c r="ED52" s="8">
        <v>4.6458183012447744E-2</v>
      </c>
      <c r="EE52" s="8">
        <v>5.1061171013592296E-2</v>
      </c>
      <c r="EF52" s="8">
        <v>4.8486227093369381E-2</v>
      </c>
      <c r="EG52" s="8">
        <v>4.3937137640707072E-2</v>
      </c>
      <c r="EH52" s="8">
        <v>4.2643704317545834E-2</v>
      </c>
      <c r="EI52" s="8">
        <v>4.2067299649211742E-2</v>
      </c>
      <c r="EJ52" s="8">
        <v>4.0886338395918084E-2</v>
      </c>
      <c r="EK52" s="8">
        <v>3.8920768222744991E-2</v>
      </c>
      <c r="EL52" s="8">
        <v>4.4433350671465963E-2</v>
      </c>
      <c r="EM52" s="8">
        <v>0.10141382126576254</v>
      </c>
      <c r="EN52" s="8">
        <v>0.10437989899455197</v>
      </c>
      <c r="EO52" s="8">
        <v>9.8250544876444065E-2</v>
      </c>
      <c r="EP52" s="8">
        <v>9.7987767318665431E-2</v>
      </c>
      <c r="EQ52" s="8">
        <v>9.4748113526398156E-2</v>
      </c>
      <c r="ER52" s="8">
        <v>0.10095556385226982</v>
      </c>
      <c r="ES52" s="7">
        <v>0.1019665378506822</v>
      </c>
      <c r="ET52" s="8">
        <v>9.5176492785965738E-2</v>
      </c>
      <c r="EU52" s="8">
        <v>8.7817295190270539E-2</v>
      </c>
      <c r="EV52" s="8">
        <v>9.0229649746880747E-2</v>
      </c>
      <c r="EW52" s="8">
        <v>0.12196820254705398</v>
      </c>
      <c r="EX52" s="8">
        <v>0.13772285423793085</v>
      </c>
      <c r="EY52" s="8">
        <v>0.15258303829961997</v>
      </c>
      <c r="EZ52" s="8">
        <v>0.1664101293443728</v>
      </c>
      <c r="FA52" s="8">
        <v>0.17606351231842113</v>
      </c>
      <c r="FB52" s="8">
        <v>0.18017366841718038</v>
      </c>
      <c r="FC52" s="8">
        <v>0.16131896320947792</v>
      </c>
      <c r="FD52" s="7">
        <v>0.15141622054126833</v>
      </c>
      <c r="FE52" s="8">
        <v>0.1484088651942323</v>
      </c>
      <c r="FF52" s="8">
        <v>0.14010541298872528</v>
      </c>
      <c r="FG52" s="8">
        <v>0.10810330819194845</v>
      </c>
      <c r="FH52" s="8">
        <v>9.6169752005161896E-2</v>
      </c>
      <c r="FI52" s="8">
        <v>8.8460244176301286E-2</v>
      </c>
      <c r="FJ52" s="8">
        <v>8.65807099500637E-2</v>
      </c>
      <c r="FK52" s="8">
        <v>8.9734525176231844E-2</v>
      </c>
      <c r="FL52" s="8">
        <v>9.1558115306245413E-2</v>
      </c>
      <c r="FM52" s="8">
        <v>8.9224611715577079E-2</v>
      </c>
      <c r="FN52" s="8">
        <v>8.9852118756701557E-2</v>
      </c>
      <c r="FO52" s="8">
        <v>9.3447222989141154E-2</v>
      </c>
      <c r="FP52" s="8">
        <v>0.10132805448393296</v>
      </c>
      <c r="FZ52" s="6" t="s">
        <v>201</v>
      </c>
      <c r="GA52" s="8">
        <v>0.77782083698025994</v>
      </c>
      <c r="GB52" s="8">
        <v>0.76074549596017516</v>
      </c>
      <c r="GC52" s="7">
        <v>0.73552282376074751</v>
      </c>
      <c r="GD52" s="8">
        <v>0.74628285053775556</v>
      </c>
      <c r="GE52" s="8">
        <v>0.75339713715031309</v>
      </c>
      <c r="GF52" s="8">
        <v>0.75949338074128936</v>
      </c>
      <c r="GG52" s="8">
        <v>0.76974999736465011</v>
      </c>
      <c r="GH52" s="8">
        <v>0.77688184161303009</v>
      </c>
      <c r="GI52" s="8">
        <v>0.78841271059866802</v>
      </c>
      <c r="GJ52" s="8">
        <v>0.77214637686841481</v>
      </c>
      <c r="GK52" s="7">
        <v>0.60537736672555564</v>
      </c>
      <c r="GL52" s="8">
        <v>0.60854172237801762</v>
      </c>
      <c r="GM52" s="8">
        <v>0.62249964513835043</v>
      </c>
      <c r="GN52" s="8">
        <v>0.62243329661520652</v>
      </c>
      <c r="GO52" s="8">
        <v>0.62384300996225317</v>
      </c>
      <c r="GP52" s="8">
        <v>0.62590514888942927</v>
      </c>
      <c r="GQ52" s="8">
        <v>0.63198323477914353</v>
      </c>
      <c r="GR52" s="8">
        <v>0.63600376615965071</v>
      </c>
      <c r="GS52" s="8">
        <v>0.63576829808841151</v>
      </c>
      <c r="GT52" s="7">
        <v>0.62090498297366514</v>
      </c>
      <c r="GU52" s="7">
        <v>0.45343598677991248</v>
      </c>
      <c r="GV52" s="8">
        <v>0.45384676415020409</v>
      </c>
      <c r="GW52" s="8">
        <v>0.44913836753223935</v>
      </c>
      <c r="GX52" s="8">
        <v>0.43603321699721459</v>
      </c>
      <c r="GY52" s="8">
        <v>0.43249889747646147</v>
      </c>
      <c r="GZ52" s="8">
        <v>0.43229975679051125</v>
      </c>
      <c r="HA52" s="8">
        <v>0.43834302834183958</v>
      </c>
      <c r="HB52" s="8">
        <v>0.43862296911015497</v>
      </c>
      <c r="HC52" s="8">
        <v>0.43892336082034722</v>
      </c>
      <c r="HD52" s="7">
        <v>0.4415262577951658</v>
      </c>
      <c r="HE52" s="8">
        <v>0.62607782237411191</v>
      </c>
      <c r="HF52" s="7">
        <v>0.64623906475789483</v>
      </c>
      <c r="HG52" s="8">
        <v>0.65331086974937469</v>
      </c>
      <c r="HH52" s="8">
        <v>0.65109917793325334</v>
      </c>
      <c r="HI52" s="8">
        <v>0.65006030437080164</v>
      </c>
      <c r="HJ52" s="8">
        <v>0.6507075113281231</v>
      </c>
      <c r="HK52" s="8">
        <v>0.65233656104815363</v>
      </c>
      <c r="HL52" s="8">
        <v>0.64988475963130432</v>
      </c>
      <c r="HM52" s="7">
        <v>0.64362466466153634</v>
      </c>
      <c r="HN52" s="8">
        <v>0.62837875349802708</v>
      </c>
      <c r="HP52" s="6" t="s">
        <v>202</v>
      </c>
      <c r="HQ52" s="6" t="s">
        <v>140</v>
      </c>
      <c r="HR52" s="6" t="s">
        <v>141</v>
      </c>
      <c r="HS52" s="8">
        <v>0.52733484038086897</v>
      </c>
    </row>
    <row r="53" spans="2:227" x14ac:dyDescent="0.45">
      <c r="B53" s="3" t="s">
        <v>203</v>
      </c>
      <c r="C53" s="3" t="s">
        <v>131</v>
      </c>
      <c r="D53" s="5">
        <v>0.14547705877671036</v>
      </c>
      <c r="E53" s="5">
        <v>0.15751535555322088</v>
      </c>
      <c r="F53" s="5">
        <v>0.17124502221157925</v>
      </c>
      <c r="G53" s="5">
        <v>0.18373898219088011</v>
      </c>
      <c r="H53" s="5">
        <v>0.16353538617280716</v>
      </c>
      <c r="I53" s="5">
        <v>0.14865947493118875</v>
      </c>
      <c r="J53" s="5">
        <v>0.1639142882739055</v>
      </c>
      <c r="K53" s="5">
        <v>0.18247609009008486</v>
      </c>
      <c r="L53" s="5">
        <v>0.16887424926546285</v>
      </c>
      <c r="M53" s="5">
        <v>0.14785976168848819</v>
      </c>
      <c r="N53" s="5">
        <v>0.28426471265987302</v>
      </c>
      <c r="O53" s="5">
        <v>0.28222822495940292</v>
      </c>
      <c r="P53" s="5">
        <v>0.2695978957424775</v>
      </c>
      <c r="Q53" s="5">
        <v>0.2516009287144671</v>
      </c>
      <c r="R53" s="5">
        <v>0.24378345343304236</v>
      </c>
      <c r="S53" s="5">
        <v>0.2387450797429756</v>
      </c>
      <c r="T53" s="5">
        <v>0.2421467533712974</v>
      </c>
      <c r="U53" s="5">
        <v>0.25160813089371425</v>
      </c>
      <c r="V53" s="5">
        <v>0.25785332918784098</v>
      </c>
      <c r="W53" s="5">
        <v>0.26046546123394421</v>
      </c>
      <c r="X53" s="5">
        <v>0.28392471118814466</v>
      </c>
      <c r="Y53" s="5">
        <v>0.27872498431655252</v>
      </c>
      <c r="Z53" s="5">
        <v>0.2870992217516965</v>
      </c>
      <c r="AA53" s="5">
        <v>0.30218032733895045</v>
      </c>
      <c r="AB53" s="5">
        <v>0.30959973308284772</v>
      </c>
      <c r="AC53" s="5">
        <v>0.30111616510623879</v>
      </c>
      <c r="AD53" s="5">
        <v>0.29143277639109477</v>
      </c>
      <c r="AE53" s="5">
        <v>0.28870575601642456</v>
      </c>
      <c r="AF53" s="5">
        <v>0.28810241346980409</v>
      </c>
      <c r="AG53" s="5">
        <v>0.29651930874182852</v>
      </c>
      <c r="AH53" s="5">
        <v>0.24076099577910148</v>
      </c>
      <c r="AI53" s="5">
        <v>0.25927745094957227</v>
      </c>
      <c r="AJ53" s="5">
        <v>0.25274055730507367</v>
      </c>
      <c r="AK53" s="5">
        <v>0.24453864668888581</v>
      </c>
      <c r="AL53" s="5">
        <v>0.24039081234312856</v>
      </c>
      <c r="AM53" s="5">
        <v>0.2610377549652505</v>
      </c>
      <c r="AN53" s="5">
        <v>0.27458276705184348</v>
      </c>
      <c r="AO53" s="5">
        <v>0.26624726664868414</v>
      </c>
      <c r="AP53" s="5">
        <v>0.25817714953065751</v>
      </c>
      <c r="AQ53" s="5">
        <v>0.23797722699551743</v>
      </c>
      <c r="AS53" s="3" t="s">
        <v>203</v>
      </c>
      <c r="AT53" s="3" t="s">
        <v>132</v>
      </c>
      <c r="AU53" s="5">
        <v>1.1701433337692854E-2</v>
      </c>
      <c r="AV53" s="4">
        <v>1.1317926384135913E-2</v>
      </c>
      <c r="AW53" s="5">
        <v>1.2980884145292923E-2</v>
      </c>
      <c r="AX53" s="5">
        <v>1.6334602393031444E-2</v>
      </c>
      <c r="AY53" s="5">
        <v>1.1098809473207894E-2</v>
      </c>
      <c r="AZ53" s="5">
        <v>1.4467477395617403E-2</v>
      </c>
      <c r="BA53" s="5">
        <v>1.6368258674374872E-2</v>
      </c>
      <c r="BB53" s="5">
        <v>1.4821849342304187E-2</v>
      </c>
      <c r="BC53" s="5">
        <v>9.4746136102360247E-3</v>
      </c>
      <c r="BD53" s="5">
        <v>9.7774348609232006E-3</v>
      </c>
      <c r="BE53" s="5">
        <v>1.4798295280330604E-2</v>
      </c>
      <c r="BF53" s="5">
        <v>9.61777990434492E-3</v>
      </c>
      <c r="BG53" s="5">
        <v>4.212195742895177E-3</v>
      </c>
      <c r="BH53" s="5">
        <v>1.0838556013878021E-2</v>
      </c>
      <c r="BI53" s="5">
        <v>2.0102053276932312E-2</v>
      </c>
      <c r="BJ53" s="5">
        <v>1.3547671551527519E-2</v>
      </c>
      <c r="BK53" s="5">
        <v>8.5277238581221854E-3</v>
      </c>
      <c r="BL53" s="4">
        <v>1.017530755784541E-2</v>
      </c>
      <c r="BM53" s="5">
        <v>1.4686110794442105E-2</v>
      </c>
      <c r="BN53" s="5">
        <v>9.1324149192235724E-3</v>
      </c>
      <c r="BO53" s="5">
        <v>1.6298254143425398E-2</v>
      </c>
      <c r="BP53" s="5">
        <v>1.8626989083729958E-3</v>
      </c>
      <c r="BQ53" s="5">
        <v>4.9577021978540288E-3</v>
      </c>
      <c r="BR53" s="5">
        <v>2.3263563793031176E-2</v>
      </c>
      <c r="BS53" s="5">
        <v>2.8593628483004677E-2</v>
      </c>
      <c r="BT53" s="4">
        <v>1.0409955083007787E-2</v>
      </c>
      <c r="BU53" s="5">
        <v>1.4167547473687307E-2</v>
      </c>
      <c r="BV53" s="5">
        <v>1.4241306356512532E-2</v>
      </c>
      <c r="BW53" s="5">
        <v>8.6158917956368816E-3</v>
      </c>
      <c r="BX53" s="5">
        <v>1.6275030188300132E-2</v>
      </c>
      <c r="BY53" s="5">
        <v>7.2207140974092556E-3</v>
      </c>
      <c r="BZ53" s="4">
        <v>1.1460926227816201E-2</v>
      </c>
      <c r="CA53" s="4">
        <v>1.1886950734823015E-2</v>
      </c>
      <c r="CB53" s="5">
        <v>1.7204099703318668E-2</v>
      </c>
      <c r="CC53" s="5">
        <v>2.4175676837336076E-2</v>
      </c>
      <c r="CD53" s="5">
        <v>2.333130517793941E-2</v>
      </c>
      <c r="CE53" s="5">
        <v>2.4935147974749904E-2</v>
      </c>
      <c r="CF53" s="4">
        <v>1.3989072564321834E-2</v>
      </c>
      <c r="CG53" s="5">
        <v>1.2357677635685873E-3</v>
      </c>
      <c r="CH53" s="5">
        <v>5.0061051783215843E-3</v>
      </c>
      <c r="CJ53" s="3" t="s">
        <v>203</v>
      </c>
      <c r="CK53" s="3" t="s">
        <v>133</v>
      </c>
      <c r="CL53" s="5">
        <v>8.1615545596379277E-3</v>
      </c>
      <c r="CM53" s="5">
        <v>1.4475728323631707E-2</v>
      </c>
      <c r="CN53" s="5">
        <v>1.4355023207638875E-2</v>
      </c>
      <c r="CO53" s="5">
        <v>9.7379152056055861E-3</v>
      </c>
      <c r="CP53" s="4">
        <v>1.4826309362581979E-2</v>
      </c>
      <c r="CQ53" s="5">
        <v>1.0756898940276111E-2</v>
      </c>
      <c r="CR53" s="5">
        <v>1.2948704083146917E-2</v>
      </c>
      <c r="CS53" s="5">
        <v>1.2792813986493141E-2</v>
      </c>
      <c r="CT53" s="5">
        <v>1.4178202175796869E-2</v>
      </c>
      <c r="CU53" s="5">
        <v>1.0660112845748467E-2</v>
      </c>
      <c r="CV53" s="5">
        <v>1.2997944384734788E-2</v>
      </c>
      <c r="CW53" s="5">
        <v>1.6647749201887829E-2</v>
      </c>
      <c r="CX53" s="5">
        <v>1.8336481824667593E-2</v>
      </c>
      <c r="CY53" s="5">
        <v>7.812651434578306E-3</v>
      </c>
      <c r="CZ53" s="5">
        <v>4.2186412902709058E-3</v>
      </c>
      <c r="DA53" s="5">
        <v>1.5814220732711225E-2</v>
      </c>
      <c r="DB53" s="5">
        <v>2.3649698808767303E-2</v>
      </c>
      <c r="DC53" s="5">
        <v>2.5468362312245169E-2</v>
      </c>
      <c r="DD53" s="5">
        <v>1.0689042830772565E-2</v>
      </c>
      <c r="DE53" s="5">
        <v>1.2528123694024635E-2</v>
      </c>
      <c r="DF53" s="5">
        <v>1.7422450223566185E-2</v>
      </c>
      <c r="DG53" s="5">
        <v>2.2299420655449095E-2</v>
      </c>
      <c r="DH53" s="5">
        <v>1.7049985161482657E-2</v>
      </c>
      <c r="DI53" s="5">
        <v>6.7234819033583706E-3</v>
      </c>
      <c r="DJ53" s="5">
        <v>8.5445432649404254E-3</v>
      </c>
      <c r="DK53" s="5">
        <v>2.686739554096252E-2</v>
      </c>
      <c r="DL53" s="5">
        <v>2.5612736827219561E-2</v>
      </c>
      <c r="DM53" s="5">
        <v>2.0548076866916794E-2</v>
      </c>
      <c r="DN53" s="5">
        <v>2.5985427916661745E-2</v>
      </c>
      <c r="DO53" s="4">
        <v>1.9026519399826112E-2</v>
      </c>
      <c r="DP53" s="5">
        <v>2.1078924437059336E-3</v>
      </c>
      <c r="DQ53" s="5">
        <v>8.4086703615394061E-3</v>
      </c>
      <c r="DR53" s="5">
        <v>1.1976616627367744E-2</v>
      </c>
      <c r="DS53" s="5">
        <v>1.2665317538075236E-2</v>
      </c>
      <c r="DT53" s="4">
        <v>7.4937952366814602E-3</v>
      </c>
      <c r="DU53" s="5">
        <v>1.8566907459999032E-2</v>
      </c>
      <c r="DV53" s="5">
        <v>2.5020270231053E-2</v>
      </c>
      <c r="DW53" s="5">
        <v>3.375208825707475E-2</v>
      </c>
      <c r="DX53" s="5">
        <v>2.8312573260112914E-2</v>
      </c>
      <c r="DY53" s="5">
        <v>1.4518944662454002E-2</v>
      </c>
      <c r="EA53" s="3" t="s">
        <v>203</v>
      </c>
      <c r="EB53" s="3" t="s">
        <v>134</v>
      </c>
      <c r="EC53" s="5">
        <v>3.7760961165265491E-2</v>
      </c>
      <c r="ED53" s="5">
        <v>3.6375821064612103E-2</v>
      </c>
      <c r="EE53" s="5">
        <v>4.6985334321000279E-2</v>
      </c>
      <c r="EF53" s="5">
        <v>5.2997997792460491E-2</v>
      </c>
      <c r="EG53" s="5">
        <v>4.5442920556932422E-2</v>
      </c>
      <c r="EH53" s="5">
        <v>3.7584140349176773E-2</v>
      </c>
      <c r="EI53" s="5">
        <v>3.617967582325015E-2</v>
      </c>
      <c r="EJ53" s="5">
        <v>4.5223301955932493E-2</v>
      </c>
      <c r="EK53" s="5">
        <v>4.4667217169840671E-2</v>
      </c>
      <c r="EL53" s="5">
        <v>3.7174731733730482E-2</v>
      </c>
      <c r="EM53" s="5">
        <v>0.12427130036119968</v>
      </c>
      <c r="EN53" s="5">
        <v>0.11882108029663445</v>
      </c>
      <c r="EO53" s="5">
        <v>0.11379719899548062</v>
      </c>
      <c r="EP53" s="5">
        <v>0.11270778394338223</v>
      </c>
      <c r="EQ53" s="5">
        <v>0.10156998289830535</v>
      </c>
      <c r="ER53" s="5">
        <v>0.10020189352223879</v>
      </c>
      <c r="ES53" s="4">
        <v>9.7703225965616883E-2</v>
      </c>
      <c r="ET53" s="5">
        <v>0.10260439940145068</v>
      </c>
      <c r="EU53" s="5">
        <v>0.11459619575545606</v>
      </c>
      <c r="EV53" s="5">
        <v>0.12364247367527961</v>
      </c>
      <c r="EW53" s="5">
        <v>0.12986585445329876</v>
      </c>
      <c r="EX53" s="5">
        <v>0.13794866319929369</v>
      </c>
      <c r="EY53" s="5">
        <v>0.13568838500081823</v>
      </c>
      <c r="EZ53" s="5">
        <v>0.13369924531732641</v>
      </c>
      <c r="FA53" s="5">
        <v>0.13430214192584086</v>
      </c>
      <c r="FB53" s="5">
        <v>0.12676309882687459</v>
      </c>
      <c r="FC53" s="5">
        <v>0.12512258488489705</v>
      </c>
      <c r="FD53" s="4">
        <v>0.13349084263251421</v>
      </c>
      <c r="FE53" s="5">
        <v>0.1368955941437959</v>
      </c>
      <c r="FF53" s="5">
        <v>0.13260426799351366</v>
      </c>
      <c r="FG53" s="5">
        <v>0.11329654688640768</v>
      </c>
      <c r="FH53" s="5">
        <v>0.12120535754250458</v>
      </c>
      <c r="FI53" s="5">
        <v>0.11028810987175065</v>
      </c>
      <c r="FJ53" s="5">
        <v>9.471433810902935E-2</v>
      </c>
      <c r="FK53" s="5">
        <v>8.8970287969357964E-2</v>
      </c>
      <c r="FL53" s="5">
        <v>8.4063751589781979E-2</v>
      </c>
      <c r="FM53" s="5">
        <v>9.1422522900285533E-2</v>
      </c>
      <c r="FN53" s="5">
        <v>9.7180791074446146E-2</v>
      </c>
      <c r="FO53" s="5">
        <v>0.10886076999345817</v>
      </c>
      <c r="FP53" s="5">
        <v>0.10905815107436108</v>
      </c>
      <c r="FZ53" s="3" t="s">
        <v>203</v>
      </c>
      <c r="GA53" s="5">
        <v>0.78550485107775092</v>
      </c>
      <c r="GB53" s="5">
        <v>0.76742567589910016</v>
      </c>
      <c r="GC53" s="4">
        <v>0.73990223532398225</v>
      </c>
      <c r="GD53" s="5">
        <v>0.72414610200001606</v>
      </c>
      <c r="GE53" s="5">
        <v>0.74409296790199431</v>
      </c>
      <c r="GF53" s="5">
        <v>0.76906669832798025</v>
      </c>
      <c r="GG53" s="5">
        <v>0.76178009096119392</v>
      </c>
      <c r="GH53" s="5">
        <v>0.74483551536033854</v>
      </c>
      <c r="GI53" s="5">
        <v>0.75719638606905981</v>
      </c>
      <c r="GJ53" s="5">
        <v>0.78213214565374301</v>
      </c>
      <c r="GK53" s="4">
        <v>0.58513866809938819</v>
      </c>
      <c r="GL53" s="5">
        <v>0.58935774041107647</v>
      </c>
      <c r="GM53" s="5">
        <v>0.59494188705241247</v>
      </c>
      <c r="GN53" s="5">
        <v>0.60315079049573272</v>
      </c>
      <c r="GO53" s="5">
        <v>0.61645335783446098</v>
      </c>
      <c r="GP53" s="5">
        <v>0.61658839937408738</v>
      </c>
      <c r="GQ53" s="5">
        <v>0.61294344597614037</v>
      </c>
      <c r="GR53" s="5">
        <v>0.61035442805739737</v>
      </c>
      <c r="GS53" s="5">
        <v>0.60555340231035437</v>
      </c>
      <c r="GT53" s="4">
        <v>0.5921467938113294</v>
      </c>
      <c r="GU53" s="4">
        <v>0.53566403117369965</v>
      </c>
      <c r="GV53" s="5">
        <v>0.52919202463010895</v>
      </c>
      <c r="GW53" s="5">
        <v>0.52983075687301806</v>
      </c>
      <c r="GX53" s="5">
        <v>0.52894207552450645</v>
      </c>
      <c r="GY53" s="5">
        <v>0.52733075539692253</v>
      </c>
      <c r="GZ53" s="5">
        <v>0.52959050853952905</v>
      </c>
      <c r="HA53" s="5">
        <v>0.52937194196960957</v>
      </c>
      <c r="HB53" s="5">
        <v>0.52746428657177002</v>
      </c>
      <c r="HC53" s="5">
        <v>0.52868484963138385</v>
      </c>
      <c r="HD53" s="4">
        <v>0.53146584478055292</v>
      </c>
      <c r="HE53" s="5">
        <v>0.61690513785403422</v>
      </c>
      <c r="HF53" s="4">
        <v>0.59273808504033731</v>
      </c>
      <c r="HG53" s="5">
        <v>0.59595258561159414</v>
      </c>
      <c r="HH53" s="5">
        <v>0.61597830648699348</v>
      </c>
      <c r="HI53" s="5">
        <v>0.63009280010428259</v>
      </c>
      <c r="HJ53" s="5">
        <v>0.62297780836443972</v>
      </c>
      <c r="HK53" s="5">
        <v>0.60983170834159928</v>
      </c>
      <c r="HL53" s="5">
        <v>0.60946870242006101</v>
      </c>
      <c r="HM53" s="4">
        <v>0.61484522929504515</v>
      </c>
      <c r="HN53" s="5">
        <v>0.62366765337862429</v>
      </c>
      <c r="HP53" s="3" t="s">
        <v>204</v>
      </c>
      <c r="HQ53" s="3" t="s">
        <v>140</v>
      </c>
      <c r="HR53" s="3" t="s">
        <v>141</v>
      </c>
      <c r="HS53" s="5">
        <v>0.49355708989162977</v>
      </c>
    </row>
    <row r="54" spans="2:227" x14ac:dyDescent="0.45">
      <c r="B54" s="6" t="s">
        <v>205</v>
      </c>
      <c r="C54" s="6" t="s">
        <v>131</v>
      </c>
      <c r="D54" s="8">
        <v>0.14463303887651602</v>
      </c>
      <c r="E54" s="8">
        <v>0.15527640299297382</v>
      </c>
      <c r="F54" s="8">
        <v>0.1636095692858312</v>
      </c>
      <c r="G54" s="8">
        <v>0.17340391697231911</v>
      </c>
      <c r="H54" s="8">
        <v>0.1665277539981411</v>
      </c>
      <c r="I54" s="8">
        <v>0.15374529566260811</v>
      </c>
      <c r="J54" s="8">
        <v>0.14437445589177797</v>
      </c>
      <c r="K54" s="8">
        <v>0.14421150011596112</v>
      </c>
      <c r="L54" s="8">
        <v>0.13727711137100948</v>
      </c>
      <c r="M54" s="8">
        <v>0.13578747705501223</v>
      </c>
      <c r="N54" s="8">
        <v>0.26573485644036543</v>
      </c>
      <c r="O54" s="8">
        <v>0.26133900548259681</v>
      </c>
      <c r="P54" s="8">
        <v>0.25960164944780301</v>
      </c>
      <c r="Q54" s="8">
        <v>0.25553368428298778</v>
      </c>
      <c r="R54" s="8">
        <v>0.25540945807223087</v>
      </c>
      <c r="S54" s="8">
        <v>0.25568739529666351</v>
      </c>
      <c r="T54" s="8">
        <v>0.26377979629091403</v>
      </c>
      <c r="U54" s="8">
        <v>0.26996903610951012</v>
      </c>
      <c r="V54" s="8">
        <v>0.270491147119653</v>
      </c>
      <c r="W54" s="8">
        <v>0.26299955759451454</v>
      </c>
      <c r="X54" s="8">
        <v>0.28593907873220792</v>
      </c>
      <c r="Y54" s="8">
        <v>0.28747138245832426</v>
      </c>
      <c r="Z54" s="8">
        <v>0.29892189887637877</v>
      </c>
      <c r="AA54" s="8">
        <v>0.30542676863955398</v>
      </c>
      <c r="AB54" s="8">
        <v>0.30601363111857771</v>
      </c>
      <c r="AC54" s="8">
        <v>0.29809389836110872</v>
      </c>
      <c r="AD54" s="8">
        <v>0.28640078262743546</v>
      </c>
      <c r="AE54" s="8">
        <v>0.27570356391894935</v>
      </c>
      <c r="AF54" s="8">
        <v>0.2867563433812888</v>
      </c>
      <c r="AG54" s="8">
        <v>0.2867038255729249</v>
      </c>
      <c r="AH54" s="8">
        <v>0.24879400113370628</v>
      </c>
      <c r="AI54" s="8">
        <v>0.23742797329688051</v>
      </c>
      <c r="AJ54" s="8">
        <v>0.2313441298846256</v>
      </c>
      <c r="AK54" s="8">
        <v>0.23559666387557701</v>
      </c>
      <c r="AL54" s="8">
        <v>0.24657826423972831</v>
      </c>
      <c r="AM54" s="8">
        <v>0.25395464916892346</v>
      </c>
      <c r="AN54" s="8">
        <v>0.2459894263796</v>
      </c>
      <c r="AO54" s="8">
        <v>0.24186677611966137</v>
      </c>
      <c r="AP54" s="8">
        <v>0.23735318942460665</v>
      </c>
      <c r="AQ54" s="8">
        <v>0.24152135046216824</v>
      </c>
      <c r="AS54" s="6" t="s">
        <v>205</v>
      </c>
      <c r="AT54" s="6" t="s">
        <v>132</v>
      </c>
      <c r="AU54" s="8">
        <v>7.1335852388907722E-3</v>
      </c>
      <c r="AV54" s="7">
        <v>1.2114603989125641E-2</v>
      </c>
      <c r="AW54" s="8">
        <v>1.5232703350106227E-2</v>
      </c>
      <c r="AX54" s="8">
        <v>1.5151169419102915E-2</v>
      </c>
      <c r="AY54" s="8">
        <v>1.1174858413917715E-2</v>
      </c>
      <c r="AZ54" s="8">
        <v>4.8986265836924473E-3</v>
      </c>
      <c r="BA54" s="8">
        <v>4.1330042187893261E-3</v>
      </c>
      <c r="BB54" s="8">
        <v>7.0365581664141707E-3</v>
      </c>
      <c r="BC54" s="8">
        <v>1.0020247435897101E-2</v>
      </c>
      <c r="BD54" s="8">
        <v>7.981445148452301E-3</v>
      </c>
      <c r="BE54" s="8">
        <v>7.1983385170017612E-3</v>
      </c>
      <c r="BF54" s="8">
        <v>8.9067957433437324E-3</v>
      </c>
      <c r="BG54" s="8">
        <v>7.0363016932835087E-3</v>
      </c>
      <c r="BH54" s="8">
        <v>4.6348867231859447E-3</v>
      </c>
      <c r="BI54" s="8">
        <v>4.531071096868595E-3</v>
      </c>
      <c r="BJ54" s="8">
        <v>9.555478066780386E-3</v>
      </c>
      <c r="BK54" s="8">
        <v>1.9072869414536765E-2</v>
      </c>
      <c r="BL54" s="7">
        <v>1.7335259163105337E-2</v>
      </c>
      <c r="BM54" s="8">
        <v>5.4839087456907054E-3</v>
      </c>
      <c r="BN54" s="8">
        <v>7.5063296924849851E-3</v>
      </c>
      <c r="BO54" s="8">
        <v>1.5241062958905588E-2</v>
      </c>
      <c r="BP54" s="8">
        <v>8.4339335751415154E-3</v>
      </c>
      <c r="BQ54" s="8">
        <v>2.5843028842575549E-3</v>
      </c>
      <c r="BR54" s="8">
        <v>4.519258384257061E-3</v>
      </c>
      <c r="BS54" s="8">
        <v>1.1371510154918007E-2</v>
      </c>
      <c r="BT54" s="7">
        <v>1.9719639085979714E-2</v>
      </c>
      <c r="BU54" s="8">
        <v>1.9242930655443958E-2</v>
      </c>
      <c r="BV54" s="8">
        <v>1.2756442288782414E-2</v>
      </c>
      <c r="BW54" s="8">
        <v>1.4083283676220203E-2</v>
      </c>
      <c r="BX54" s="8">
        <v>2.0121768783511247E-2</v>
      </c>
      <c r="BY54" s="8">
        <v>8.3187405177811164E-3</v>
      </c>
      <c r="BZ54" s="7">
        <v>1.1089406473107816E-2</v>
      </c>
      <c r="CA54" s="7">
        <v>1.0754744183307645E-2</v>
      </c>
      <c r="CB54" s="8">
        <v>1.5502879040333694E-2</v>
      </c>
      <c r="CC54" s="8">
        <v>1.6138358922475379E-2</v>
      </c>
      <c r="CD54" s="8">
        <v>1.6702459163726917E-2</v>
      </c>
      <c r="CE54" s="8">
        <v>1.4961001993501212E-2</v>
      </c>
      <c r="CF54" s="7">
        <v>1.1111625496346152E-2</v>
      </c>
      <c r="CG54" s="8">
        <v>1.0169761088673799E-2</v>
      </c>
      <c r="CH54" s="8">
        <v>8.1215204522510388E-3</v>
      </c>
      <c r="CJ54" s="6" t="s">
        <v>205</v>
      </c>
      <c r="CK54" s="6" t="s">
        <v>133</v>
      </c>
      <c r="CL54" s="8">
        <v>1.0949031140740266E-2</v>
      </c>
      <c r="CM54" s="8">
        <v>6.9148717088665561E-3</v>
      </c>
      <c r="CN54" s="8">
        <v>9.2513628633648596E-3</v>
      </c>
      <c r="CO54" s="8">
        <v>1.2959924841842767E-2</v>
      </c>
      <c r="CP54" s="7">
        <v>1.5254785884246485E-2</v>
      </c>
      <c r="CQ54" s="8">
        <v>1.5374489987237484E-2</v>
      </c>
      <c r="CR54" s="8">
        <v>1.1909679805659405E-2</v>
      </c>
      <c r="CS54" s="8">
        <v>8.0388120083173652E-3</v>
      </c>
      <c r="CT54" s="8">
        <v>4.1750469978019409E-3</v>
      </c>
      <c r="CU54" s="8">
        <v>7.5290716490368356E-3</v>
      </c>
      <c r="CV54" s="8">
        <v>1.0378936864590481E-2</v>
      </c>
      <c r="CW54" s="8">
        <v>9.6478450482480101E-3</v>
      </c>
      <c r="CX54" s="8">
        <v>1.3129416718249297E-2</v>
      </c>
      <c r="CY54" s="8">
        <v>1.3819126758224635E-2</v>
      </c>
      <c r="CZ54" s="8">
        <v>1.0160667090582571E-2</v>
      </c>
      <c r="DA54" s="8">
        <v>3.9701772917693119E-3</v>
      </c>
      <c r="DB54" s="8">
        <v>6.1721120239790744E-3</v>
      </c>
      <c r="DC54" s="8">
        <v>1.0230484219193037E-2</v>
      </c>
      <c r="DD54" s="8">
        <v>2.1330591555603833E-2</v>
      </c>
      <c r="DE54" s="8">
        <v>2.032673873316284E-2</v>
      </c>
      <c r="DF54" s="8">
        <v>1.9311578344576721E-2</v>
      </c>
      <c r="DG54" s="8">
        <v>2.1751719445826479E-2</v>
      </c>
      <c r="DH54" s="8">
        <v>3.1709419169271905E-2</v>
      </c>
      <c r="DI54" s="8">
        <v>2.1986734568506642E-2</v>
      </c>
      <c r="DJ54" s="8">
        <v>7.3450752562611949E-3</v>
      </c>
      <c r="DK54" s="8">
        <v>4.903900527610615E-3</v>
      </c>
      <c r="DL54" s="8">
        <v>1.0798855637782169E-2</v>
      </c>
      <c r="DM54" s="8">
        <v>2.1012586144196911E-2</v>
      </c>
      <c r="DN54" s="8">
        <v>3.1767624289006174E-2</v>
      </c>
      <c r="DO54" s="7">
        <v>2.6343487044818589E-2</v>
      </c>
      <c r="DP54" s="8">
        <v>1.0717339014463699E-2</v>
      </c>
      <c r="DQ54" s="8">
        <v>1.0059251557403582E-2</v>
      </c>
      <c r="DR54" s="8">
        <v>1.5098843868602451E-2</v>
      </c>
      <c r="DS54" s="8">
        <v>1.8100094907893327E-2</v>
      </c>
      <c r="DT54" s="7">
        <v>1.4582815085595039E-2</v>
      </c>
      <c r="DU54" s="8">
        <v>1.4413290852277081E-2</v>
      </c>
      <c r="DV54" s="8">
        <v>2.0495496742020568E-2</v>
      </c>
      <c r="DW54" s="8">
        <v>2.4437721494985069E-2</v>
      </c>
      <c r="DX54" s="8">
        <v>2.1123917885217065E-2</v>
      </c>
      <c r="DY54" s="8">
        <v>1.6351665978382432E-2</v>
      </c>
      <c r="EA54" s="6" t="s">
        <v>205</v>
      </c>
      <c r="EB54" s="6" t="s">
        <v>134</v>
      </c>
      <c r="EC54" s="8">
        <v>4.2148553143786675E-2</v>
      </c>
      <c r="ED54" s="8">
        <v>4.2760982784477854E-2</v>
      </c>
      <c r="EE54" s="8">
        <v>4.3941767144754763E-2</v>
      </c>
      <c r="EF54" s="8">
        <v>4.6822299161335658E-2</v>
      </c>
      <c r="EG54" s="8">
        <v>4.6221376521413803E-2</v>
      </c>
      <c r="EH54" s="8">
        <v>4.4556215360358843E-2</v>
      </c>
      <c r="EI54" s="8">
        <v>4.4510539141977459E-2</v>
      </c>
      <c r="EJ54" s="8">
        <v>4.5472767587607203E-2</v>
      </c>
      <c r="EK54" s="8">
        <v>3.9881740258544192E-2</v>
      </c>
      <c r="EL54" s="8">
        <v>4.1157665787350466E-2</v>
      </c>
      <c r="EM54" s="8">
        <v>0.12119765280530237</v>
      </c>
      <c r="EN54" s="8">
        <v>0.12059868269933235</v>
      </c>
      <c r="EO54" s="8">
        <v>0.11362126717354074</v>
      </c>
      <c r="EP54" s="8">
        <v>0.11418712461237467</v>
      </c>
      <c r="EQ54" s="8">
        <v>0.11429148358376434</v>
      </c>
      <c r="ER54" s="8">
        <v>0.11497360400081726</v>
      </c>
      <c r="ES54" s="7">
        <v>0.11160470424056185</v>
      </c>
      <c r="ET54" s="8">
        <v>0.11467093179542405</v>
      </c>
      <c r="EU54" s="8">
        <v>0.10877955977928999</v>
      </c>
      <c r="EV54" s="8">
        <v>0.10813709376724515</v>
      </c>
      <c r="EW54" s="8">
        <v>0.12931155951757212</v>
      </c>
      <c r="EX54" s="8">
        <v>0.14450306213437122</v>
      </c>
      <c r="EY54" s="8">
        <v>0.15157176118843629</v>
      </c>
      <c r="EZ54" s="8">
        <v>0.16090874341643971</v>
      </c>
      <c r="FA54" s="8">
        <v>0.16178223424994362</v>
      </c>
      <c r="FB54" s="8">
        <v>0.15035484136829441</v>
      </c>
      <c r="FC54" s="8">
        <v>0.13618843714368456</v>
      </c>
      <c r="FD54" s="7">
        <v>0.12977206224185206</v>
      </c>
      <c r="FE54" s="8">
        <v>0.12231947764842278</v>
      </c>
      <c r="FF54" s="8">
        <v>0.12615085618997027</v>
      </c>
      <c r="FG54" s="8">
        <v>0.10647554644283816</v>
      </c>
      <c r="FH54" s="8">
        <v>9.0117850831110222E-2</v>
      </c>
      <c r="FI54" s="8">
        <v>8.4840312071168086E-2</v>
      </c>
      <c r="FJ54" s="8">
        <v>8.4663529285954386E-2</v>
      </c>
      <c r="FK54" s="8">
        <v>8.8584032928996942E-2</v>
      </c>
      <c r="FL54" s="8">
        <v>9.0992238224123737E-2</v>
      </c>
      <c r="FM54" s="8">
        <v>8.2014324800857588E-2</v>
      </c>
      <c r="FN54" s="8">
        <v>8.2263842280081712E-2</v>
      </c>
      <c r="FO54" s="8">
        <v>8.7208136797383221E-2</v>
      </c>
      <c r="FP54" s="8">
        <v>0.10095185036183491</v>
      </c>
      <c r="FZ54" s="6" t="s">
        <v>205</v>
      </c>
      <c r="GA54" s="8">
        <v>0.76629301812885842</v>
      </c>
      <c r="GB54" s="8">
        <v>0.75595296121573674</v>
      </c>
      <c r="GC54" s="7">
        <v>0.74250197212492941</v>
      </c>
      <c r="GD54" s="8">
        <v>0.73530824190202881</v>
      </c>
      <c r="GE54" s="8">
        <v>0.74364488419272134</v>
      </c>
      <c r="GF54" s="8">
        <v>0.76167654184170663</v>
      </c>
      <c r="GG54" s="8">
        <v>0.76915117738748207</v>
      </c>
      <c r="GH54" s="8">
        <v>0.77265305012095209</v>
      </c>
      <c r="GI54" s="8">
        <v>0.7877708369759181</v>
      </c>
      <c r="GJ54" s="8">
        <v>0.78369369417942525</v>
      </c>
      <c r="GK54" s="7">
        <v>0.58784377919681718</v>
      </c>
      <c r="GL54" s="8">
        <v>0.59062589186189884</v>
      </c>
      <c r="GM54" s="8">
        <v>0.59789071142533534</v>
      </c>
      <c r="GN54" s="8">
        <v>0.60306142414751718</v>
      </c>
      <c r="GO54" s="8">
        <v>0.60728503493143937</v>
      </c>
      <c r="GP54" s="8">
        <v>0.61237017399036564</v>
      </c>
      <c r="GQ54" s="8">
        <v>0.60707665083990858</v>
      </c>
      <c r="GR54" s="8">
        <v>0.60350524123604288</v>
      </c>
      <c r="GS54" s="8">
        <v>0.60322445439786088</v>
      </c>
      <c r="GT54" s="7">
        <v>0.5952863794289146</v>
      </c>
      <c r="GU54" s="7">
        <v>0.50778402501558684</v>
      </c>
      <c r="GV54" s="8">
        <v>0.4980400212577748</v>
      </c>
      <c r="GW54" s="8">
        <v>0.48947830951000249</v>
      </c>
      <c r="GX54" s="8">
        <v>0.48010046617431046</v>
      </c>
      <c r="GY54" s="8">
        <v>0.48596421994624056</v>
      </c>
      <c r="GZ54" s="8">
        <v>0.49892918173816453</v>
      </c>
      <c r="HA54" s="8">
        <v>0.50527354052964168</v>
      </c>
      <c r="HB54" s="8">
        <v>0.50349824924875053</v>
      </c>
      <c r="HC54" s="8">
        <v>0.49549072463423172</v>
      </c>
      <c r="HD54" s="7">
        <v>0.49604034114502182</v>
      </c>
      <c r="HE54" s="8">
        <v>0.61838003368606032</v>
      </c>
      <c r="HF54" s="7">
        <v>0.63316402106955016</v>
      </c>
      <c r="HG54" s="8">
        <v>0.63376599902133768</v>
      </c>
      <c r="HH54" s="8">
        <v>0.62786676718834267</v>
      </c>
      <c r="HI54" s="8">
        <v>0.63130956224344292</v>
      </c>
      <c r="HJ54" s="8">
        <v>0.63383204786161884</v>
      </c>
      <c r="HK54" s="8">
        <v>0.64418403533624635</v>
      </c>
      <c r="HL54" s="8">
        <v>0.64220936307234044</v>
      </c>
      <c r="HM54" s="7">
        <v>0.63781751932041431</v>
      </c>
      <c r="HN54" s="8">
        <v>0.62014669198728634</v>
      </c>
      <c r="HP54" s="6" t="s">
        <v>206</v>
      </c>
      <c r="HQ54" s="6" t="s">
        <v>140</v>
      </c>
      <c r="HR54" s="6" t="s">
        <v>141</v>
      </c>
      <c r="HS54" s="8">
        <v>0.73926713232947849</v>
      </c>
    </row>
    <row r="55" spans="2:227" x14ac:dyDescent="0.45">
      <c r="B55" s="3" t="s">
        <v>207</v>
      </c>
      <c r="C55" s="3" t="s">
        <v>131</v>
      </c>
      <c r="D55" s="5">
        <v>0.23116712970142742</v>
      </c>
      <c r="E55" s="5">
        <v>0.22087311233091075</v>
      </c>
      <c r="F55" s="5">
        <v>0.21987300690660205</v>
      </c>
      <c r="G55" s="5">
        <v>0.21912816005671054</v>
      </c>
      <c r="H55" s="5">
        <v>0.22934905404254058</v>
      </c>
      <c r="I55" s="5">
        <v>0.22956998949222848</v>
      </c>
      <c r="J55" s="5">
        <v>0.23497943659747389</v>
      </c>
      <c r="K55" s="5">
        <v>0.22858645009436299</v>
      </c>
      <c r="L55" s="5">
        <v>0.22044664093740607</v>
      </c>
      <c r="M55" s="5">
        <v>0.22252781626722912</v>
      </c>
      <c r="N55" s="5">
        <v>0.32755002983438847</v>
      </c>
      <c r="O55" s="5">
        <v>0.32781353345636005</v>
      </c>
      <c r="P55" s="5">
        <v>0.33634440388979187</v>
      </c>
      <c r="Q55" s="5">
        <v>0.34834571079967652</v>
      </c>
      <c r="R55" s="5">
        <v>0.36315673856833869</v>
      </c>
      <c r="S55" s="5">
        <v>0.3503875591705124</v>
      </c>
      <c r="T55" s="5">
        <v>0.32311944117289704</v>
      </c>
      <c r="U55" s="5">
        <v>0.2996963030248051</v>
      </c>
      <c r="V55" s="5">
        <v>0.29019657764649914</v>
      </c>
      <c r="W55" s="5">
        <v>0.30414187096097062</v>
      </c>
      <c r="X55" s="5">
        <v>0.33382305083617803</v>
      </c>
      <c r="Y55" s="5">
        <v>0.33605080703895152</v>
      </c>
      <c r="Z55" s="5">
        <v>0.34994266963633974</v>
      </c>
      <c r="AA55" s="5">
        <v>0.3575270281055658</v>
      </c>
      <c r="AB55" s="5">
        <v>0.37994631812602597</v>
      </c>
      <c r="AC55" s="5">
        <v>0.382791422947589</v>
      </c>
      <c r="AD55" s="5">
        <v>0.36438166007537787</v>
      </c>
      <c r="AE55" s="5">
        <v>0.35613570234244668</v>
      </c>
      <c r="AF55" s="5">
        <v>0.35501367666002082</v>
      </c>
      <c r="AG55" s="5">
        <v>0.35680143922496971</v>
      </c>
      <c r="AH55" s="5">
        <v>0.24503590944301115</v>
      </c>
      <c r="AI55" s="5">
        <v>0.25929198691609684</v>
      </c>
      <c r="AJ55" s="5">
        <v>0.2615883176360454</v>
      </c>
      <c r="AK55" s="5">
        <v>0.25790701651589443</v>
      </c>
      <c r="AL55" s="5">
        <v>0.25279750636656301</v>
      </c>
      <c r="AM55" s="5">
        <v>0.24968949372370022</v>
      </c>
      <c r="AN55" s="5">
        <v>0.25115913106057103</v>
      </c>
      <c r="AO55" s="5">
        <v>0.23998709137085827</v>
      </c>
      <c r="AP55" s="5">
        <v>0.21157941973309302</v>
      </c>
      <c r="AQ55" s="5">
        <v>0.21990238577692134</v>
      </c>
      <c r="AS55" s="3" t="s">
        <v>207</v>
      </c>
      <c r="AT55" s="3" t="s">
        <v>132</v>
      </c>
      <c r="AU55" s="5">
        <v>1.4606109911498926E-2</v>
      </c>
      <c r="AV55" s="4">
        <v>8.7279107714423963E-3</v>
      </c>
      <c r="AW55" s="5">
        <v>1.132367132737269E-2</v>
      </c>
      <c r="AX55" s="5">
        <v>1.1782736344892575E-2</v>
      </c>
      <c r="AY55" s="5">
        <v>7.0455908360073372E-3</v>
      </c>
      <c r="AZ55" s="5">
        <v>1.0870830344468781E-2</v>
      </c>
      <c r="BA55" s="5">
        <v>1.0411836931986461E-2</v>
      </c>
      <c r="BB55" s="5">
        <v>1.0183202225692349E-2</v>
      </c>
      <c r="BC55" s="5">
        <v>1.2772824129274576E-2</v>
      </c>
      <c r="BD55" s="5">
        <v>1.9345533462597347E-2</v>
      </c>
      <c r="BE55" s="5">
        <v>1.6742267558345198E-2</v>
      </c>
      <c r="BF55" s="5">
        <v>2.0367256144127092E-3</v>
      </c>
      <c r="BG55" s="5">
        <v>8.528378462954872E-3</v>
      </c>
      <c r="BH55" s="5">
        <v>9.3738953494156649E-3</v>
      </c>
      <c r="BI55" s="5">
        <v>1.1051278025321029E-2</v>
      </c>
      <c r="BJ55" s="5">
        <v>2.8585732952672426E-2</v>
      </c>
      <c r="BK55" s="5">
        <v>3.1527382809232778E-2</v>
      </c>
      <c r="BL55" s="4">
        <v>1.9445454501676514E-2</v>
      </c>
      <c r="BM55" s="5">
        <v>1.7513761310108313E-2</v>
      </c>
      <c r="BN55" s="5">
        <v>2.4614341698613235E-2</v>
      </c>
      <c r="BO55" s="5">
        <v>1.6455931083874123E-2</v>
      </c>
      <c r="BP55" s="5">
        <v>3.1627799523937156E-2</v>
      </c>
      <c r="BQ55" s="5">
        <v>4.0725619473628655E-2</v>
      </c>
      <c r="BR55" s="5">
        <v>1.5808231210877943E-2</v>
      </c>
      <c r="BS55" s="5">
        <v>3.0169529954226695E-2</v>
      </c>
      <c r="BT55" s="4">
        <v>4.5552645573007533E-2</v>
      </c>
      <c r="BU55" s="5">
        <v>2.2824931831974968E-2</v>
      </c>
      <c r="BV55" s="5">
        <v>2.1276973561543823E-2</v>
      </c>
      <c r="BW55" s="5">
        <v>3.2889004301492518E-2</v>
      </c>
      <c r="BX55" s="5">
        <v>1.4154371631558657E-2</v>
      </c>
      <c r="BY55" s="5">
        <v>1.5358001054708843E-2</v>
      </c>
      <c r="BZ55" s="4">
        <v>1.5889625667329075E-2</v>
      </c>
      <c r="CA55" s="4">
        <v>1.0097059186376421E-2</v>
      </c>
      <c r="CB55" s="5">
        <v>5.3004259929452626E-3</v>
      </c>
      <c r="CC55" s="5">
        <v>6.6465734526867703E-3</v>
      </c>
      <c r="CD55" s="5">
        <v>1.107413808527216E-2</v>
      </c>
      <c r="CE55" s="5">
        <v>9.1871417105243974E-3</v>
      </c>
      <c r="CF55" s="4">
        <v>7.7740206566913241E-3</v>
      </c>
      <c r="CG55" s="5">
        <v>9.1515890428029278E-3</v>
      </c>
      <c r="CH55" s="5">
        <v>1.7174524764605292E-2</v>
      </c>
      <c r="CJ55" s="3" t="s">
        <v>207</v>
      </c>
      <c r="CK55" s="3" t="s">
        <v>133</v>
      </c>
      <c r="CL55" s="5">
        <v>1.4581283386277297E-2</v>
      </c>
      <c r="CM55" s="5">
        <v>1.9095266648955247E-2</v>
      </c>
      <c r="CN55" s="5">
        <v>1.6677407100706341E-2</v>
      </c>
      <c r="CO55" s="5">
        <v>1.8822773513867408E-2</v>
      </c>
      <c r="CP55" s="4">
        <v>1.8361295875845531E-2</v>
      </c>
      <c r="CQ55" s="5">
        <v>9.2674128427796369E-3</v>
      </c>
      <c r="CR55" s="5">
        <v>8.8772225284967157E-3</v>
      </c>
      <c r="CS55" s="5">
        <v>8.0175955460020064E-3</v>
      </c>
      <c r="CT55" s="5">
        <v>1.1095783351551503E-2</v>
      </c>
      <c r="CU55" s="5">
        <v>9.0295130647324428E-3</v>
      </c>
      <c r="CV55" s="5">
        <v>2.9716798917054661E-2</v>
      </c>
      <c r="CW55" s="5">
        <v>3.5935873263402821E-2</v>
      </c>
      <c r="CX55" s="5">
        <v>2.386899034063927E-2</v>
      </c>
      <c r="CY55" s="5">
        <v>1.2929561989151496E-2</v>
      </c>
      <c r="CZ55" s="5">
        <v>1.2692914466906128E-2</v>
      </c>
      <c r="DA55" s="5">
        <v>1.175765464252702E-2</v>
      </c>
      <c r="DB55" s="5">
        <v>1.3722483169274156E-2</v>
      </c>
      <c r="DC55" s="5">
        <v>2.6464447339839998E-2</v>
      </c>
      <c r="DD55" s="5">
        <v>3.0364101832503022E-2</v>
      </c>
      <c r="DE55" s="5">
        <v>2.4226720732827736E-2</v>
      </c>
      <c r="DF55" s="5">
        <v>1.8886298875511971E-2</v>
      </c>
      <c r="DG55" s="5">
        <v>1.5943313497189002E-2</v>
      </c>
      <c r="DH55" s="5">
        <v>2.1446372795297888E-2</v>
      </c>
      <c r="DI55" s="5">
        <v>5.8454789237044967E-2</v>
      </c>
      <c r="DJ55" s="5">
        <v>5.1350559454921792E-2</v>
      </c>
      <c r="DK55" s="5">
        <v>3.6362958730248265E-2</v>
      </c>
      <c r="DL55" s="5">
        <v>5.3126002686853344E-2</v>
      </c>
      <c r="DM55" s="5">
        <v>6.6671697885225617E-2</v>
      </c>
      <c r="DN55" s="5">
        <v>3.8779873745040709E-2</v>
      </c>
      <c r="DO55" s="4">
        <v>2.9911335759422411E-2</v>
      </c>
      <c r="DP55" s="5">
        <v>1.9054918391368112E-2</v>
      </c>
      <c r="DQ55" s="5">
        <v>1.6636017797420011E-2</v>
      </c>
      <c r="DR55" s="5">
        <v>1.8622683876037226E-2</v>
      </c>
      <c r="DS55" s="5">
        <v>1.7502808580577869E-2</v>
      </c>
      <c r="DT55" s="4">
        <v>1.7779485998182812E-2</v>
      </c>
      <c r="DU55" s="5">
        <v>1.1955308262931378E-2</v>
      </c>
      <c r="DV55" s="5">
        <v>1.4062859232874307E-2</v>
      </c>
      <c r="DW55" s="5">
        <v>1.6173130481753943E-2</v>
      </c>
      <c r="DX55" s="5">
        <v>9.8955752929388418E-3</v>
      </c>
      <c r="DY55" s="5">
        <v>5.8691504004806869E-3</v>
      </c>
      <c r="EA55" s="3" t="s">
        <v>207</v>
      </c>
      <c r="EB55" s="3" t="s">
        <v>134</v>
      </c>
      <c r="EC55" s="5">
        <v>6.8289437332394759E-2</v>
      </c>
      <c r="ED55" s="5">
        <v>6.9539383019432133E-2</v>
      </c>
      <c r="EE55" s="5">
        <v>6.8335742496525784E-2</v>
      </c>
      <c r="EF55" s="5">
        <v>7.0391016385806943E-2</v>
      </c>
      <c r="EG55" s="5">
        <v>7.8242707688907912E-2</v>
      </c>
      <c r="EH55" s="5">
        <v>8.6399648997971243E-2</v>
      </c>
      <c r="EI55" s="5">
        <v>9.5527244717952778E-2</v>
      </c>
      <c r="EJ55" s="5">
        <v>9.264288861741457E-2</v>
      </c>
      <c r="EK55" s="5">
        <v>7.8422560784538048E-2</v>
      </c>
      <c r="EL55" s="5">
        <v>6.9021810933176761E-2</v>
      </c>
      <c r="EM55" s="5">
        <v>0.12418156550623932</v>
      </c>
      <c r="EN55" s="5">
        <v>0.13905624597539859</v>
      </c>
      <c r="EO55" s="5">
        <v>0.15576591048565092</v>
      </c>
      <c r="EP55" s="5">
        <v>0.18080594523756777</v>
      </c>
      <c r="EQ55" s="5">
        <v>0.18213626719396414</v>
      </c>
      <c r="ER55" s="5">
        <v>0.15694918960554241</v>
      </c>
      <c r="ES55" s="4">
        <v>0.13812766279725699</v>
      </c>
      <c r="ET55" s="5">
        <v>0.12547244019567597</v>
      </c>
      <c r="EU55" s="5">
        <v>0.11470840718482092</v>
      </c>
      <c r="EV55" s="5">
        <v>0.11729391260866587</v>
      </c>
      <c r="EW55" s="5">
        <v>0.18478279621707144</v>
      </c>
      <c r="EX55" s="5">
        <v>0.16842474249487552</v>
      </c>
      <c r="EY55" s="5">
        <v>0.1516808649638107</v>
      </c>
      <c r="EZ55" s="5">
        <v>0.14784446069408563</v>
      </c>
      <c r="FA55" s="5">
        <v>0.15602477302892115</v>
      </c>
      <c r="FB55" s="5">
        <v>0.16562616507958242</v>
      </c>
      <c r="FC55" s="5">
        <v>0.14822959206019012</v>
      </c>
      <c r="FD55" s="4">
        <v>0.12760901252452642</v>
      </c>
      <c r="FE55" s="5">
        <v>0.14696730128251748</v>
      </c>
      <c r="FF55" s="5">
        <v>0.18335296288889089</v>
      </c>
      <c r="FG55" s="5">
        <v>8.6714230683351753E-2</v>
      </c>
      <c r="FH55" s="5">
        <v>0.10224821076283759</v>
      </c>
      <c r="FI55" s="5">
        <v>0.10392338066076653</v>
      </c>
      <c r="FJ55" s="5">
        <v>0.10851193936011845</v>
      </c>
      <c r="FK55" s="5">
        <v>0.10620513248163514</v>
      </c>
      <c r="FL55" s="5">
        <v>0.10198214190701631</v>
      </c>
      <c r="FM55" s="5">
        <v>0.10322263481979566</v>
      </c>
      <c r="FN55" s="5">
        <v>9.2963019398862118E-2</v>
      </c>
      <c r="FO55" s="5">
        <v>8.5783957763848645E-2</v>
      </c>
      <c r="FP55" s="5">
        <v>8.6033195697976989E-2</v>
      </c>
      <c r="FZ55" s="3" t="s">
        <v>207</v>
      </c>
      <c r="GA55" s="5">
        <v>0.65944648457575639</v>
      </c>
      <c r="GB55" s="5">
        <v>0.65974000487727402</v>
      </c>
      <c r="GC55" s="4">
        <v>0.66145038703444436</v>
      </c>
      <c r="GD55" s="5">
        <v>0.65103398548336522</v>
      </c>
      <c r="GE55" s="5">
        <v>0.62952114005172932</v>
      </c>
      <c r="GF55" s="5">
        <v>0.62618128435822296</v>
      </c>
      <c r="GG55" s="5">
        <v>0.61281174772735059</v>
      </c>
      <c r="GH55" s="5">
        <v>0.62058973733658174</v>
      </c>
      <c r="GI55" s="5">
        <v>0.64551920398233875</v>
      </c>
      <c r="GJ55" s="5">
        <v>0.65462132144773333</v>
      </c>
      <c r="GK55" s="4">
        <v>0.50286932747949487</v>
      </c>
      <c r="GL55" s="5">
        <v>0.47865957444565094</v>
      </c>
      <c r="GM55" s="5">
        <v>0.46692903012772546</v>
      </c>
      <c r="GN55" s="5">
        <v>0.45699117584571447</v>
      </c>
      <c r="GO55" s="5">
        <v>0.45025241832396679</v>
      </c>
      <c r="GP55" s="5">
        <v>0.46372196516147091</v>
      </c>
      <c r="GQ55" s="5">
        <v>0.48403761629831027</v>
      </c>
      <c r="GR55" s="5">
        <v>0.50340006378968927</v>
      </c>
      <c r="GS55" s="5">
        <v>0.51567915855128343</v>
      </c>
      <c r="GT55" s="4">
        <v>0.51515512911195527</v>
      </c>
      <c r="GU55" s="4">
        <v>0.32462068493269597</v>
      </c>
      <c r="GV55" s="5">
        <v>0.33082611818331659</v>
      </c>
      <c r="GW55" s="5">
        <v>0.33023025735684147</v>
      </c>
      <c r="GX55" s="5">
        <v>0.31906158305559573</v>
      </c>
      <c r="GY55" s="5">
        <v>0.30726357928221665</v>
      </c>
      <c r="GZ55" s="5">
        <v>0.31301987038626089</v>
      </c>
      <c r="HA55" s="5">
        <v>0.33922270650292435</v>
      </c>
      <c r="HB55" s="5">
        <v>0.35868109082110838</v>
      </c>
      <c r="HC55" s="5">
        <v>0.35950954553655307</v>
      </c>
      <c r="HD55" s="4">
        <v>0.3412590477145212</v>
      </c>
      <c r="HE55" s="5">
        <v>0.59397699303944651</v>
      </c>
      <c r="HF55" s="4">
        <v>0.57741618450215026</v>
      </c>
      <c r="HG55" s="5">
        <v>0.5765507529183842</v>
      </c>
      <c r="HH55" s="5">
        <v>0.57083299299912327</v>
      </c>
      <c r="HI55" s="5">
        <v>0.57127663875231749</v>
      </c>
      <c r="HJ55" s="5">
        <v>0.58444992636977433</v>
      </c>
      <c r="HK55" s="5">
        <v>0.58423920551622022</v>
      </c>
      <c r="HL55" s="5">
        <v>0.59619744711903999</v>
      </c>
      <c r="HM55" s="4">
        <v>0.62076262263654225</v>
      </c>
      <c r="HN55" s="5">
        <v>0.61773887018224327</v>
      </c>
      <c r="HP55" s="3" t="s">
        <v>163</v>
      </c>
      <c r="HQ55" s="3" t="s">
        <v>140</v>
      </c>
      <c r="HR55" s="3" t="s">
        <v>141</v>
      </c>
      <c r="HS55" s="5">
        <v>0.69057131669962291</v>
      </c>
    </row>
    <row r="56" spans="2:227" x14ac:dyDescent="0.45">
      <c r="B56" s="6" t="s">
        <v>208</v>
      </c>
      <c r="C56" s="6" t="s">
        <v>131</v>
      </c>
      <c r="D56" s="8">
        <v>0.25312268567513074</v>
      </c>
      <c r="E56" s="8">
        <v>0.23615284761789246</v>
      </c>
      <c r="F56" s="8">
        <v>0.23739309500310085</v>
      </c>
      <c r="G56" s="8">
        <v>0.24927034008789128</v>
      </c>
      <c r="H56" s="8">
        <v>0.24737175213371085</v>
      </c>
      <c r="I56" s="8">
        <v>0.24694222322285861</v>
      </c>
      <c r="J56" s="8">
        <v>0.2488262109067346</v>
      </c>
      <c r="K56" s="8">
        <v>0.24417982361109331</v>
      </c>
      <c r="L56" s="8">
        <v>0.24690012623357593</v>
      </c>
      <c r="M56" s="8">
        <v>0.25959553613117303</v>
      </c>
      <c r="N56" s="8">
        <v>0.25787790221528578</v>
      </c>
      <c r="O56" s="8">
        <v>0.2703885190471767</v>
      </c>
      <c r="P56" s="8">
        <v>0.270938367172674</v>
      </c>
      <c r="Q56" s="8">
        <v>0.28752697822727996</v>
      </c>
      <c r="R56" s="8">
        <v>0.3040604594459182</v>
      </c>
      <c r="S56" s="8">
        <v>0.30113118497588376</v>
      </c>
      <c r="T56" s="8">
        <v>0.29453874755585951</v>
      </c>
      <c r="U56" s="8">
        <v>0.27917654655299262</v>
      </c>
      <c r="V56" s="8">
        <v>0.26068118601796131</v>
      </c>
      <c r="W56" s="8">
        <v>0.25470743966031373</v>
      </c>
      <c r="X56" s="8">
        <v>0.31790672206485715</v>
      </c>
      <c r="Y56" s="8">
        <v>0.32287250837947667</v>
      </c>
      <c r="Z56" s="8">
        <v>0.33160527718379562</v>
      </c>
      <c r="AA56" s="8">
        <v>0.34978556113586229</v>
      </c>
      <c r="AB56" s="8">
        <v>0.35937967997689624</v>
      </c>
      <c r="AC56" s="8">
        <v>0.35556432942065219</v>
      </c>
      <c r="AD56" s="8">
        <v>0.34515677428072461</v>
      </c>
      <c r="AE56" s="8">
        <v>0.32633512312104929</v>
      </c>
      <c r="AF56" s="8">
        <v>0.30446322094050943</v>
      </c>
      <c r="AG56" s="8">
        <v>0.29865191013041459</v>
      </c>
      <c r="AH56" s="8">
        <v>0.30398803620168735</v>
      </c>
      <c r="AI56" s="8">
        <v>0.32234556687076377</v>
      </c>
      <c r="AJ56" s="8">
        <v>0.30602604966798141</v>
      </c>
      <c r="AK56" s="8">
        <v>0.29085964606903925</v>
      </c>
      <c r="AL56" s="8">
        <v>0.29312088671871361</v>
      </c>
      <c r="AM56" s="8">
        <v>0.28517448125399869</v>
      </c>
      <c r="AN56" s="8">
        <v>0.26957515645744418</v>
      </c>
      <c r="AO56" s="8">
        <v>0.25824007221735895</v>
      </c>
      <c r="AP56" s="8">
        <v>0.26519444099882578</v>
      </c>
      <c r="AQ56" s="8">
        <v>0.28156650231902247</v>
      </c>
      <c r="AS56" s="6" t="s">
        <v>208</v>
      </c>
      <c r="AT56" s="6" t="s">
        <v>132</v>
      </c>
      <c r="AU56" s="8">
        <v>9.1645563713037871E-3</v>
      </c>
      <c r="AV56" s="7">
        <v>1.3151351369422486E-2</v>
      </c>
      <c r="AW56" s="8">
        <v>1.5026558003312443E-2</v>
      </c>
      <c r="AX56" s="8">
        <v>2.1039541927698333E-2</v>
      </c>
      <c r="AY56" s="8">
        <v>2.6237967821126449E-2</v>
      </c>
      <c r="AZ56" s="8">
        <v>1.2163916928616646E-2</v>
      </c>
      <c r="BA56" s="8">
        <v>9.5058990498276957E-3</v>
      </c>
      <c r="BB56" s="8">
        <v>1.6161832937207288E-2</v>
      </c>
      <c r="BC56" s="8">
        <v>1.907539171467116E-2</v>
      </c>
      <c r="BD56" s="8">
        <v>1.1510678549174393E-2</v>
      </c>
      <c r="BE56" s="8">
        <v>1.0697630761467574E-2</v>
      </c>
      <c r="BF56" s="8">
        <v>1.1087235481999948E-2</v>
      </c>
      <c r="BG56" s="8">
        <v>1.1796852610016858E-2</v>
      </c>
      <c r="BH56" s="8">
        <v>1.3664869720088995E-2</v>
      </c>
      <c r="BI56" s="8">
        <v>1.2438559635630233E-2</v>
      </c>
      <c r="BJ56" s="8">
        <v>1.1658880990725774E-2</v>
      </c>
      <c r="BK56" s="8">
        <v>1.5905902166590609E-2</v>
      </c>
      <c r="BL56" s="7">
        <v>1.494951993198289E-2</v>
      </c>
      <c r="BM56" s="8">
        <v>1.2554463212370741E-2</v>
      </c>
      <c r="BN56" s="8">
        <v>1.240249595010488E-2</v>
      </c>
      <c r="BO56" s="8">
        <v>3.3992111790165438E-2</v>
      </c>
      <c r="BP56" s="8">
        <v>8.3132121744963813E-3</v>
      </c>
      <c r="BQ56" s="8">
        <v>1.3660775787831729E-2</v>
      </c>
      <c r="BR56" s="8">
        <v>2.3716503335174846E-2</v>
      </c>
      <c r="BS56" s="8">
        <v>1.40294351644106E-2</v>
      </c>
      <c r="BT56" s="7">
        <v>1.0811143948438443E-2</v>
      </c>
      <c r="BU56" s="8">
        <v>1.815722255871562E-2</v>
      </c>
      <c r="BV56" s="8">
        <v>1.6270916334440368E-2</v>
      </c>
      <c r="BW56" s="8">
        <v>5.7568814886372671E-3</v>
      </c>
      <c r="BX56" s="8">
        <v>2.5071823402418932E-2</v>
      </c>
      <c r="BY56" s="8">
        <v>1.203831438486062E-2</v>
      </c>
      <c r="BZ56" s="7">
        <v>1.7852871281589276E-2</v>
      </c>
      <c r="CA56" s="7">
        <v>2.1298125796925454E-2</v>
      </c>
      <c r="CB56" s="8">
        <v>2.4969488174155185E-2</v>
      </c>
      <c r="CC56" s="8">
        <v>2.224606446025058E-2</v>
      </c>
      <c r="CD56" s="8">
        <v>1.8293836292291574E-2</v>
      </c>
      <c r="CE56" s="8">
        <v>1.5484628139786506E-2</v>
      </c>
      <c r="CF56" s="7">
        <v>2.1072671916539078E-2</v>
      </c>
      <c r="CG56" s="8">
        <v>1.1408511157982132E-2</v>
      </c>
      <c r="CH56" s="8">
        <v>2.1339357741881914E-3</v>
      </c>
      <c r="CJ56" s="6" t="s">
        <v>208</v>
      </c>
      <c r="CK56" s="6" t="s">
        <v>133</v>
      </c>
      <c r="CL56" s="8">
        <v>1.5413867538505438E-2</v>
      </c>
      <c r="CM56" s="8">
        <v>9.2045587280858484E-3</v>
      </c>
      <c r="CN56" s="8">
        <v>1.0304154363561555E-2</v>
      </c>
      <c r="CO56" s="8">
        <v>1.2401722131679862E-2</v>
      </c>
      <c r="CP56" s="7">
        <v>1.5106152750590435E-2</v>
      </c>
      <c r="CQ56" s="8">
        <v>2.1636917584523539E-2</v>
      </c>
      <c r="CR56" s="8">
        <v>2.435922233578942E-2</v>
      </c>
      <c r="CS56" s="8">
        <v>1.7721911219803769E-2</v>
      </c>
      <c r="CT56" s="8">
        <v>1.4549276968991614E-2</v>
      </c>
      <c r="CU56" s="8">
        <v>2.0775956668989608E-2</v>
      </c>
      <c r="CV56" s="8">
        <v>1.3046103202561849E-2</v>
      </c>
      <c r="CW56" s="8">
        <v>1.4454176155549938E-2</v>
      </c>
      <c r="CX56" s="8">
        <v>1.3105259638067902E-2</v>
      </c>
      <c r="CY56" s="8">
        <v>1.6006103624744295E-2</v>
      </c>
      <c r="CZ56" s="8">
        <v>1.8836721856354155E-2</v>
      </c>
      <c r="DA56" s="8">
        <v>1.7277842350803266E-2</v>
      </c>
      <c r="DB56" s="8">
        <v>1.9133633284711824E-2</v>
      </c>
      <c r="DC56" s="8">
        <v>1.7670515931067433E-2</v>
      </c>
      <c r="DD56" s="8">
        <v>1.6848931349183562E-2</v>
      </c>
      <c r="DE56" s="8">
        <v>1.797175966484419E-2</v>
      </c>
      <c r="DF56" s="8">
        <v>3.2175488572911581E-2</v>
      </c>
      <c r="DG56" s="8">
        <v>5.8295601720710577E-2</v>
      </c>
      <c r="DH56" s="8">
        <v>2.1140280933538914E-2</v>
      </c>
      <c r="DI56" s="8">
        <v>5.9795153150710347E-3</v>
      </c>
      <c r="DJ56" s="8">
        <v>1.9981681596608503E-2</v>
      </c>
      <c r="DK56" s="8">
        <v>3.1063079185282051E-2</v>
      </c>
      <c r="DL56" s="8">
        <v>2.1306287242723689E-2</v>
      </c>
      <c r="DM56" s="8">
        <v>2.1616154419140794E-2</v>
      </c>
      <c r="DN56" s="8">
        <v>1.6385327087516763E-2</v>
      </c>
      <c r="DO56" s="7">
        <v>8.5535674862904625E-3</v>
      </c>
      <c r="DP56" s="8">
        <v>5.6534455208043207E-3</v>
      </c>
      <c r="DQ56" s="8">
        <v>1.0028813515679682E-2</v>
      </c>
      <c r="DR56" s="8">
        <v>1.6507403663538599E-2</v>
      </c>
      <c r="DS56" s="8">
        <v>1.4119310583860756E-2</v>
      </c>
      <c r="DT56" s="7">
        <v>2.093501953380858E-2</v>
      </c>
      <c r="DU56" s="8">
        <v>3.0245527655893476E-2</v>
      </c>
      <c r="DV56" s="8">
        <v>2.6489492480731288E-2</v>
      </c>
      <c r="DW56" s="8">
        <v>1.7585555193957922E-2</v>
      </c>
      <c r="DX56" s="8">
        <v>2.140774148311592E-2</v>
      </c>
      <c r="DY56" s="8">
        <v>2.7359401743691794E-2</v>
      </c>
      <c r="EA56" s="6" t="s">
        <v>208</v>
      </c>
      <c r="EB56" s="6" t="s">
        <v>134</v>
      </c>
      <c r="EC56" s="8">
        <v>0.10547067291001999</v>
      </c>
      <c r="ED56" s="8">
        <v>0.10197239383717416</v>
      </c>
      <c r="EE56" s="8">
        <v>9.2616775734774962E-2</v>
      </c>
      <c r="EF56" s="8">
        <v>8.9873503331083099E-2</v>
      </c>
      <c r="EG56" s="8">
        <v>8.9607696351769822E-2</v>
      </c>
      <c r="EH56" s="8">
        <v>9.7614470957492885E-2</v>
      </c>
      <c r="EI56" s="8">
        <v>9.3625523498444774E-2</v>
      </c>
      <c r="EJ56" s="8">
        <v>9.4407628082621445E-2</v>
      </c>
      <c r="EK56" s="8">
        <v>9.2916412318661323E-2</v>
      </c>
      <c r="EL56" s="8">
        <v>9.6230510174682912E-2</v>
      </c>
      <c r="EM56" s="8">
        <v>0.10897158206943575</v>
      </c>
      <c r="EN56" s="8">
        <v>0.11577876825219741</v>
      </c>
      <c r="EO56" s="8">
        <v>0.12154565945269263</v>
      </c>
      <c r="EP56" s="8">
        <v>0.13470852960985569</v>
      </c>
      <c r="EQ56" s="8">
        <v>0.14370167099250761</v>
      </c>
      <c r="ER56" s="8">
        <v>0.14648654052545929</v>
      </c>
      <c r="ES56" s="7">
        <v>0.13276584300613406</v>
      </c>
      <c r="ET56" s="8">
        <v>0.12544949497672156</v>
      </c>
      <c r="EU56" s="8">
        <v>0.11323540385122985</v>
      </c>
      <c r="EV56" s="8">
        <v>0.10270248670857389</v>
      </c>
      <c r="EW56" s="8">
        <v>0.13112377812964249</v>
      </c>
      <c r="EX56" s="8">
        <v>0.1302696766592924</v>
      </c>
      <c r="EY56" s="8">
        <v>0.16300366523210652</v>
      </c>
      <c r="EZ56" s="8">
        <v>0.18481309680376834</v>
      </c>
      <c r="FA56" s="8">
        <v>0.18924727737961053</v>
      </c>
      <c r="FB56" s="8">
        <v>0.17527530672541858</v>
      </c>
      <c r="FC56" s="8">
        <v>0.17410225583601305</v>
      </c>
      <c r="FD56" s="7">
        <v>0.1651951225170844</v>
      </c>
      <c r="FE56" s="8">
        <v>0.15677730289759792</v>
      </c>
      <c r="FF56" s="8">
        <v>0.14236858576842917</v>
      </c>
      <c r="FG56" s="8">
        <v>0.14817252569464859</v>
      </c>
      <c r="FH56" s="8">
        <v>0.14117338930113749</v>
      </c>
      <c r="FI56" s="8">
        <v>0.12273954448050357</v>
      </c>
      <c r="FJ56" s="8">
        <v>0.11266536090094714</v>
      </c>
      <c r="FK56" s="8">
        <v>0.11485989229100098</v>
      </c>
      <c r="FL56" s="8">
        <v>0.1068814826373909</v>
      </c>
      <c r="FM56" s="8">
        <v>0.10030404883980776</v>
      </c>
      <c r="FN56" s="8">
        <v>9.586785446001192E-2</v>
      </c>
      <c r="FO56" s="8">
        <v>0.10642935377289324</v>
      </c>
      <c r="FP56" s="8">
        <v>0.12119150290609525</v>
      </c>
      <c r="FZ56" s="6" t="s">
        <v>208</v>
      </c>
      <c r="GA56" s="8">
        <v>0.60980983050889359</v>
      </c>
      <c r="GB56" s="8">
        <v>0.61865303974985975</v>
      </c>
      <c r="GC56" s="7">
        <v>0.6262809586095105</v>
      </c>
      <c r="GD56" s="8">
        <v>0.61397296943637203</v>
      </c>
      <c r="GE56" s="8">
        <v>0.59955294473350185</v>
      </c>
      <c r="GF56" s="8">
        <v>0.59452022379338965</v>
      </c>
      <c r="GG56" s="8">
        <v>0.59761574810721507</v>
      </c>
      <c r="GH56" s="8">
        <v>0.60551699830438621</v>
      </c>
      <c r="GI56" s="8">
        <v>0.61695308397314108</v>
      </c>
      <c r="GJ56" s="8">
        <v>0.61127151398305046</v>
      </c>
      <c r="GK56" s="7">
        <v>0.57719351007583186</v>
      </c>
      <c r="GL56" s="8">
        <v>0.56661256286406703</v>
      </c>
      <c r="GM56" s="8">
        <v>0.55815654930116121</v>
      </c>
      <c r="GN56" s="8">
        <v>0.52959495057272965</v>
      </c>
      <c r="GO56" s="8">
        <v>0.51312879826575142</v>
      </c>
      <c r="GP56" s="8">
        <v>0.51800942898330826</v>
      </c>
      <c r="GQ56" s="8">
        <v>0.53602237167153366</v>
      </c>
      <c r="GR56" s="8">
        <v>0.56145107942134787</v>
      </c>
      <c r="GS56" s="8">
        <v>0.58217166580763546</v>
      </c>
      <c r="GT56" s="7">
        <v>0.57960012253464666</v>
      </c>
      <c r="GU56" s="7">
        <v>0.44311067080548394</v>
      </c>
      <c r="GV56" s="8">
        <v>0.42316762945927366</v>
      </c>
      <c r="GW56" s="8">
        <v>0.42403835888661912</v>
      </c>
      <c r="GX56" s="8">
        <v>0.40083044389868544</v>
      </c>
      <c r="GY56" s="8">
        <v>0.39195882855535458</v>
      </c>
      <c r="GZ56" s="8">
        <v>0.40719681085585824</v>
      </c>
      <c r="HA56" s="8">
        <v>0.42659412452042067</v>
      </c>
      <c r="HB56" s="8">
        <v>0.4510584099768899</v>
      </c>
      <c r="HC56" s="8">
        <v>0.47309710706917052</v>
      </c>
      <c r="HD56" s="7">
        <v>0.47489046024318793</v>
      </c>
      <c r="HE56" s="8">
        <v>0.54694596710346988</v>
      </c>
      <c r="HF56" s="7">
        <v>0.53393666959993569</v>
      </c>
      <c r="HG56" s="8">
        <v>0.54882530311034949</v>
      </c>
      <c r="HH56" s="8">
        <v>0.55921177996963201</v>
      </c>
      <c r="HI56" s="8">
        <v>0.54988224102380756</v>
      </c>
      <c r="HJ56" s="8">
        <v>0.55673229738321195</v>
      </c>
      <c r="HK56" s="8">
        <v>0.57984859512114606</v>
      </c>
      <c r="HL56" s="8">
        <v>0.5999161128669408</v>
      </c>
      <c r="HM56" s="7">
        <v>0.59301052102804186</v>
      </c>
      <c r="HN56" s="8">
        <v>0.57368729001773977</v>
      </c>
      <c r="HP56" s="6" t="s">
        <v>165</v>
      </c>
      <c r="HQ56" s="6" t="s">
        <v>140</v>
      </c>
      <c r="HR56" s="6" t="s">
        <v>141</v>
      </c>
      <c r="HS56" s="8">
        <v>0.63194418337230607</v>
      </c>
    </row>
    <row r="57" spans="2:227" x14ac:dyDescent="0.45">
      <c r="B57" s="3" t="s">
        <v>209</v>
      </c>
      <c r="C57" s="3" t="s">
        <v>131</v>
      </c>
      <c r="D57" s="5">
        <v>0.21765288690252235</v>
      </c>
      <c r="E57" s="5">
        <v>0.22078547013751759</v>
      </c>
      <c r="F57" s="5">
        <v>0.22132823594100678</v>
      </c>
      <c r="G57" s="5">
        <v>0.21889404540067936</v>
      </c>
      <c r="H57" s="5">
        <v>0.2133938803906878</v>
      </c>
      <c r="I57" s="5">
        <v>0.21652890658392279</v>
      </c>
      <c r="J57" s="5">
        <v>0.21578082184867495</v>
      </c>
      <c r="K57" s="5">
        <v>0.21361129245447963</v>
      </c>
      <c r="L57" s="5">
        <v>0.20410678942731583</v>
      </c>
      <c r="M57" s="5">
        <v>0.21089759451082593</v>
      </c>
      <c r="N57" s="5">
        <v>0.2516769985409047</v>
      </c>
      <c r="O57" s="5">
        <v>0.24426704846912217</v>
      </c>
      <c r="P57" s="5">
        <v>0.24266466122465494</v>
      </c>
      <c r="Q57" s="5">
        <v>0.24353249954459325</v>
      </c>
      <c r="R57" s="5">
        <v>0.25176201075831922</v>
      </c>
      <c r="S57" s="5">
        <v>0.25606952980512204</v>
      </c>
      <c r="T57" s="5">
        <v>0.2561261748891463</v>
      </c>
      <c r="U57" s="5">
        <v>0.26774013673503216</v>
      </c>
      <c r="V57" s="5">
        <v>0.2632337376880533</v>
      </c>
      <c r="W57" s="5">
        <v>0.25352224944338914</v>
      </c>
      <c r="X57" s="5">
        <v>0.32506466205010198</v>
      </c>
      <c r="Y57" s="5">
        <v>0.33655838557146611</v>
      </c>
      <c r="Z57" s="5">
        <v>0.33466354491524569</v>
      </c>
      <c r="AA57" s="5">
        <v>0.34666078760544317</v>
      </c>
      <c r="AB57" s="5">
        <v>0.36058837212842454</v>
      </c>
      <c r="AC57" s="5">
        <v>0.37499360412363741</v>
      </c>
      <c r="AD57" s="5">
        <v>0.38988889567931495</v>
      </c>
      <c r="AE57" s="5">
        <v>0.37977367713193411</v>
      </c>
      <c r="AF57" s="5">
        <v>0.35067807272679097</v>
      </c>
      <c r="AG57" s="5">
        <v>0.3225313953356726</v>
      </c>
      <c r="AH57" s="5">
        <v>0.19782943872319031</v>
      </c>
      <c r="AI57" s="5">
        <v>0.21760809235644035</v>
      </c>
      <c r="AJ57" s="5">
        <v>0.23401971818913209</v>
      </c>
      <c r="AK57" s="5">
        <v>0.23295168940963426</v>
      </c>
      <c r="AL57" s="5">
        <v>0.21697604158810893</v>
      </c>
      <c r="AM57" s="5">
        <v>0.20343076860774345</v>
      </c>
      <c r="AN57" s="5">
        <v>0.19859241092465099</v>
      </c>
      <c r="AO57" s="5">
        <v>0.20072536844662364</v>
      </c>
      <c r="AP57" s="5">
        <v>0.19241915743309726</v>
      </c>
      <c r="AQ57" s="5">
        <v>0.1857198182688532</v>
      </c>
      <c r="AS57" s="3" t="s">
        <v>209</v>
      </c>
      <c r="AT57" s="3" t="s">
        <v>132</v>
      </c>
      <c r="AU57" s="5">
        <v>1.2951002339900363E-2</v>
      </c>
      <c r="AV57" s="4">
        <v>1.0987972366005544E-2</v>
      </c>
      <c r="AW57" s="5">
        <v>1.0822911068901408E-2</v>
      </c>
      <c r="AX57" s="5">
        <v>8.9889061053061037E-3</v>
      </c>
      <c r="AY57" s="5">
        <v>7.8130502882862198E-3</v>
      </c>
      <c r="AZ57" s="5">
        <v>4.7395404247048637E-3</v>
      </c>
      <c r="BA57" s="5">
        <v>4.8997183467568732E-3</v>
      </c>
      <c r="BB57" s="5">
        <v>1.050080015265085E-2</v>
      </c>
      <c r="BC57" s="5">
        <v>1.4731457320665714E-2</v>
      </c>
      <c r="BD57" s="5">
        <v>1.662673478568923E-2</v>
      </c>
      <c r="BE57" s="5">
        <v>9.3688866902249864E-3</v>
      </c>
      <c r="BF57" s="5">
        <v>6.0339697235218806E-3</v>
      </c>
      <c r="BG57" s="5">
        <v>1.0707578977357092E-2</v>
      </c>
      <c r="BH57" s="5">
        <v>6.3561169144084276E-3</v>
      </c>
      <c r="BI57" s="5">
        <v>5.7858822684332886E-3</v>
      </c>
      <c r="BJ57" s="5">
        <v>1.0796432166184882E-2</v>
      </c>
      <c r="BK57" s="5">
        <v>1.1814719300622598E-2</v>
      </c>
      <c r="BL57" s="4">
        <v>1.8446306376288361E-2</v>
      </c>
      <c r="BM57" s="5">
        <v>2.3789535408417606E-2</v>
      </c>
      <c r="BN57" s="5">
        <v>1.2345588532837338E-2</v>
      </c>
      <c r="BO57" s="5">
        <v>2.6410931926658998E-2</v>
      </c>
      <c r="BP57" s="5">
        <v>3.0196180955479872E-2</v>
      </c>
      <c r="BQ57" s="5">
        <v>2.7055136792861745E-2</v>
      </c>
      <c r="BR57" s="5">
        <v>5.3469725043011888E-2</v>
      </c>
      <c r="BS57" s="5">
        <v>2.2764521768074742E-2</v>
      </c>
      <c r="BT57" s="4">
        <v>2.0238483609421942E-2</v>
      </c>
      <c r="BU57" s="5">
        <v>1.9199901638333895E-2</v>
      </c>
      <c r="BV57" s="5">
        <v>1.7697804864830968E-2</v>
      </c>
      <c r="BW57" s="5">
        <v>7.8448583120977484E-3</v>
      </c>
      <c r="BX57" s="5">
        <v>1.4607255580281628E-2</v>
      </c>
      <c r="BY57" s="5">
        <v>1.3384182468721636E-2</v>
      </c>
      <c r="BZ57" s="4">
        <v>1.0598090829233579E-2</v>
      </c>
      <c r="CA57" s="4">
        <v>1.5425174036728223E-2</v>
      </c>
      <c r="CB57" s="5">
        <v>1.142334181380893E-2</v>
      </c>
      <c r="CC57" s="5">
        <v>2.0298879851237536E-3</v>
      </c>
      <c r="CD57" s="5">
        <v>4.909358686911839E-3</v>
      </c>
      <c r="CE57" s="5">
        <v>1.0709581435427646E-2</v>
      </c>
      <c r="CF57" s="4">
        <v>1.472736568185907E-2</v>
      </c>
      <c r="CG57" s="5">
        <v>1.0930821238237227E-2</v>
      </c>
      <c r="CH57" s="5">
        <v>1.28147470664775E-2</v>
      </c>
      <c r="CJ57" s="3" t="s">
        <v>209</v>
      </c>
      <c r="CK57" s="3" t="s">
        <v>133</v>
      </c>
      <c r="CL57" s="5">
        <v>1.5772193674041864E-2</v>
      </c>
      <c r="CM57" s="5">
        <v>1.1314720918822402E-2</v>
      </c>
      <c r="CN57" s="5">
        <v>1.2124367478493662E-2</v>
      </c>
      <c r="CO57" s="5">
        <v>1.4676186365372412E-2</v>
      </c>
      <c r="CP57" s="4">
        <v>1.4728698187058641E-2</v>
      </c>
      <c r="CQ57" s="5">
        <v>1.4265702074816053E-2</v>
      </c>
      <c r="CR57" s="5">
        <v>1.247597092290767E-2</v>
      </c>
      <c r="CS57" s="5">
        <v>6.9787285514448915E-3</v>
      </c>
      <c r="CT57" s="5">
        <v>6.8836177382005058E-3</v>
      </c>
      <c r="CU57" s="5">
        <v>1.4196892508491456E-2</v>
      </c>
      <c r="CV57" s="5">
        <v>1.9422704943117305E-2</v>
      </c>
      <c r="CW57" s="5">
        <v>1.4034582443203306E-2</v>
      </c>
      <c r="CX57" s="5">
        <v>5.4485048578171132E-3</v>
      </c>
      <c r="CY57" s="5">
        <v>1.0927767828883342E-2</v>
      </c>
      <c r="CZ57" s="5">
        <v>1.2211942131366624E-2</v>
      </c>
      <c r="DA57" s="5">
        <v>9.7852124599417892E-3</v>
      </c>
      <c r="DB57" s="5">
        <v>1.1842398038574292E-2</v>
      </c>
      <c r="DC57" s="5">
        <v>1.7616718004044726E-2</v>
      </c>
      <c r="DD57" s="5">
        <v>1.5846577451419281E-2</v>
      </c>
      <c r="DE57" s="5">
        <v>2.3095811365670595E-2</v>
      </c>
      <c r="DF57" s="5">
        <v>1.896926570474948E-2</v>
      </c>
      <c r="DG57" s="5">
        <v>4.4553968183797761E-2</v>
      </c>
      <c r="DH57" s="5">
        <v>4.6072091038579163E-2</v>
      </c>
      <c r="DI57" s="5">
        <v>3.6071448723565637E-2</v>
      </c>
      <c r="DJ57" s="5">
        <v>5.9360833498463057E-2</v>
      </c>
      <c r="DK57" s="5">
        <v>6.6704145821742042E-2</v>
      </c>
      <c r="DL57" s="5">
        <v>6.2787078016835599E-2</v>
      </c>
      <c r="DM57" s="5">
        <v>4.1090457553815241E-2</v>
      </c>
      <c r="DN57" s="5">
        <v>3.7877573534309705E-2</v>
      </c>
      <c r="DO57" s="4">
        <v>1.6934550749121407E-2</v>
      </c>
      <c r="DP57" s="5">
        <v>1.3729491303558846E-2</v>
      </c>
      <c r="DQ57" s="5">
        <v>2.3919908382295921E-2</v>
      </c>
      <c r="DR57" s="5">
        <v>1.9220384728946854E-2</v>
      </c>
      <c r="DS57" s="5">
        <v>1.3939844866060848E-2</v>
      </c>
      <c r="DT57" s="4">
        <v>1.8920905467580896E-2</v>
      </c>
      <c r="DU57" s="5">
        <v>1.2081780475140058E-2</v>
      </c>
      <c r="DV57" s="5">
        <v>4.7810470546826951E-3</v>
      </c>
      <c r="DW57" s="5">
        <v>3.8698122596328281E-3</v>
      </c>
      <c r="DX57" s="5">
        <v>1.200626208934151E-2</v>
      </c>
      <c r="DY57" s="5">
        <v>1.5873122986136547E-2</v>
      </c>
      <c r="EA57" s="3" t="s">
        <v>209</v>
      </c>
      <c r="EB57" s="3" t="s">
        <v>134</v>
      </c>
      <c r="EC57" s="5">
        <v>6.8844063325716978E-2</v>
      </c>
      <c r="ED57" s="5">
        <v>8.0429814201012931E-2</v>
      </c>
      <c r="EE57" s="5">
        <v>7.4363211923870576E-2</v>
      </c>
      <c r="EF57" s="5">
        <v>7.6296450029170571E-2</v>
      </c>
      <c r="EG57" s="5">
        <v>7.6137044939306814E-2</v>
      </c>
      <c r="EH57" s="5">
        <v>8.2541574855660452E-2</v>
      </c>
      <c r="EI57" s="5">
        <v>8.1628533498771014E-2</v>
      </c>
      <c r="EJ57" s="5">
        <v>7.5980215887976751E-2</v>
      </c>
      <c r="EK57" s="5">
        <v>7.3026859847809406E-2</v>
      </c>
      <c r="EL57" s="5">
        <v>7.2444967766191651E-2</v>
      </c>
      <c r="EM57" s="5">
        <v>0.10271220819275688</v>
      </c>
      <c r="EN57" s="5">
        <v>0.10081833372733914</v>
      </c>
      <c r="EO57" s="5">
        <v>0.10218934400795561</v>
      </c>
      <c r="EP57" s="5">
        <v>0.10198803156381796</v>
      </c>
      <c r="EQ57" s="5">
        <v>0.10652188904202313</v>
      </c>
      <c r="ER57" s="5">
        <v>0.11028082190920735</v>
      </c>
      <c r="ES57" s="4">
        <v>0.11234294135805725</v>
      </c>
      <c r="ET57" s="5">
        <v>0.10380650405071201</v>
      </c>
      <c r="EU57" s="5">
        <v>9.7945515247072124E-2</v>
      </c>
      <c r="EV57" s="5">
        <v>9.4387917469275759E-2</v>
      </c>
      <c r="EW57" s="5">
        <v>0.15201138117300028</v>
      </c>
      <c r="EX57" s="5">
        <v>0.13298784172098238</v>
      </c>
      <c r="EY57" s="5">
        <v>0.13350862139063391</v>
      </c>
      <c r="EZ57" s="5">
        <v>0.12440944885140098</v>
      </c>
      <c r="FA57" s="5">
        <v>0.15536075649054554</v>
      </c>
      <c r="FB57" s="5">
        <v>0.16541852127474657</v>
      </c>
      <c r="FC57" s="5">
        <v>0.17771004759136158</v>
      </c>
      <c r="FD57" s="4">
        <v>0.19048905022003876</v>
      </c>
      <c r="FE57" s="5">
        <v>0.17837199093123143</v>
      </c>
      <c r="FF57" s="5">
        <v>0.16590902237928701</v>
      </c>
      <c r="FG57" s="5">
        <v>6.4994094105852593E-2</v>
      </c>
      <c r="FH57" s="5">
        <v>6.515969495717458E-2</v>
      </c>
      <c r="FI57" s="5">
        <v>7.8384056224233167E-2</v>
      </c>
      <c r="FJ57" s="5">
        <v>9.147242853333741E-2</v>
      </c>
      <c r="FK57" s="5">
        <v>9.1798100730359128E-2</v>
      </c>
      <c r="FL57" s="5">
        <v>8.9296261673087088E-2</v>
      </c>
      <c r="FM57" s="5">
        <v>8.5659216804737898E-2</v>
      </c>
      <c r="FN57" s="5">
        <v>7.8441936850570992E-2</v>
      </c>
      <c r="FO57" s="5">
        <v>6.6398829820980276E-2</v>
      </c>
      <c r="FP57" s="5">
        <v>5.518060047555793E-2</v>
      </c>
      <c r="FZ57" s="3" t="s">
        <v>209</v>
      </c>
      <c r="GA57" s="5">
        <v>0.69026096914927404</v>
      </c>
      <c r="GB57" s="5">
        <v>0.68022866724745035</v>
      </c>
      <c r="GC57" s="4">
        <v>0.68457692451657171</v>
      </c>
      <c r="GD57" s="5">
        <v>0.68944631525223221</v>
      </c>
      <c r="GE57" s="5">
        <v>0.69402210470288472</v>
      </c>
      <c r="GF57" s="5">
        <v>0.68594487022687411</v>
      </c>
      <c r="GG57" s="5">
        <v>0.6804779405898036</v>
      </c>
      <c r="GH57" s="5">
        <v>0.67969912538359667</v>
      </c>
      <c r="GI57" s="5">
        <v>0.68105113748103474</v>
      </c>
      <c r="GJ57" s="5">
        <v>0.67852821305594224</v>
      </c>
      <c r="GK57" s="4">
        <v>0.60149910459348443</v>
      </c>
      <c r="GL57" s="5">
        <v>0.6184611439985046</v>
      </c>
      <c r="GM57" s="5">
        <v>0.62966907506630831</v>
      </c>
      <c r="GN57" s="5">
        <v>0.62838219897599912</v>
      </c>
      <c r="GO57" s="5">
        <v>0.61350146722646626</v>
      </c>
      <c r="GP57" s="5">
        <v>0.5959724369691809</v>
      </c>
      <c r="GQ57" s="5">
        <v>0.58478707863408075</v>
      </c>
      <c r="GR57" s="5">
        <v>0.58576934905231137</v>
      </c>
      <c r="GS57" s="5">
        <v>0.59622187378204361</v>
      </c>
      <c r="GT57" s="4">
        <v>0.60715973574268634</v>
      </c>
      <c r="GU57" s="4">
        <v>0.37568804363813435</v>
      </c>
      <c r="GV57" s="5">
        <v>0.35502648751122928</v>
      </c>
      <c r="GW57" s="5">
        <v>0.35836867531156746</v>
      </c>
      <c r="GX57" s="5">
        <v>0.34728231617514616</v>
      </c>
      <c r="GY57" s="5">
        <v>0.33571611262736706</v>
      </c>
      <c r="GZ57" s="5">
        <v>0.33819792178189312</v>
      </c>
      <c r="HA57" s="5">
        <v>0.34278690178743071</v>
      </c>
      <c r="HB57" s="5">
        <v>0.35097645719690673</v>
      </c>
      <c r="HC57" s="5">
        <v>0.3732708714908064</v>
      </c>
      <c r="HD57" s="4">
        <v>0.38882534740179614</v>
      </c>
      <c r="HE57" s="5">
        <v>0.68002261984155399</v>
      </c>
      <c r="HF57" s="4">
        <v>0.66204184542520705</v>
      </c>
      <c r="HG57" s="5">
        <v>0.64146251037283797</v>
      </c>
      <c r="HH57" s="5">
        <v>0.63385630329415976</v>
      </c>
      <c r="HI57" s="5">
        <v>0.64284152140580908</v>
      </c>
      <c r="HJ57" s="5">
        <v>0.65301874693520778</v>
      </c>
      <c r="HK57" s="5">
        <v>0.660403935072154</v>
      </c>
      <c r="HL57" s="5">
        <v>0.66912485156968526</v>
      </c>
      <c r="HM57" s="4">
        <v>0.68768142801060672</v>
      </c>
      <c r="HN57" s="5">
        <v>0.70026891208425346</v>
      </c>
      <c r="HP57" s="3" t="s">
        <v>167</v>
      </c>
      <c r="HQ57" s="3" t="s">
        <v>140</v>
      </c>
      <c r="HR57" s="3" t="s">
        <v>141</v>
      </c>
      <c r="HS57" s="5">
        <v>0.63733281829649668</v>
      </c>
    </row>
    <row r="58" spans="2:227" x14ac:dyDescent="0.45">
      <c r="B58" s="6" t="s">
        <v>210</v>
      </c>
      <c r="C58" s="6" t="s">
        <v>131</v>
      </c>
      <c r="D58" s="8">
        <v>0.21547317253780079</v>
      </c>
      <c r="E58" s="8">
        <v>0.21408385001090124</v>
      </c>
      <c r="F58" s="8">
        <v>0.21425769215814278</v>
      </c>
      <c r="G58" s="8">
        <v>0.21547870485933865</v>
      </c>
      <c r="H58" s="8">
        <v>0.21646419222592406</v>
      </c>
      <c r="I58" s="8">
        <v>0.22404200557455886</v>
      </c>
      <c r="J58" s="8">
        <v>0.20996889642956698</v>
      </c>
      <c r="K58" s="8">
        <v>0.19959046576189715</v>
      </c>
      <c r="L58" s="8">
        <v>0.19190230508022993</v>
      </c>
      <c r="M58" s="8">
        <v>0.20092518970489912</v>
      </c>
      <c r="N58" s="8">
        <v>0.24903639319359122</v>
      </c>
      <c r="O58" s="8">
        <v>0.23464730907735468</v>
      </c>
      <c r="P58" s="8">
        <v>0.23663601883512234</v>
      </c>
      <c r="Q58" s="8">
        <v>0.24689293180564947</v>
      </c>
      <c r="R58" s="8">
        <v>0.24822915066032797</v>
      </c>
      <c r="S58" s="8">
        <v>0.25207955213194222</v>
      </c>
      <c r="T58" s="8">
        <v>0.26258335166874447</v>
      </c>
      <c r="U58" s="8">
        <v>0.26668385694543884</v>
      </c>
      <c r="V58" s="8">
        <v>0.25685326490053029</v>
      </c>
      <c r="W58" s="8">
        <v>0.24174685375536198</v>
      </c>
      <c r="X58" s="8">
        <v>0.35165537858756668</v>
      </c>
      <c r="Y58" s="8">
        <v>0.34298887740581929</v>
      </c>
      <c r="Z58" s="8">
        <v>0.34173176641147679</v>
      </c>
      <c r="AA58" s="8">
        <v>0.37136667842606996</v>
      </c>
      <c r="AB58" s="8">
        <v>0.41474472666538142</v>
      </c>
      <c r="AC58" s="8">
        <v>0.43705845924533687</v>
      </c>
      <c r="AD58" s="8">
        <v>0.4133094225313157</v>
      </c>
      <c r="AE58" s="8">
        <v>0.3676129611986913</v>
      </c>
      <c r="AF58" s="8">
        <v>0.3417485503640928</v>
      </c>
      <c r="AG58" s="8">
        <v>0.33647089038920475</v>
      </c>
      <c r="AH58" s="8">
        <v>0.18690160378747803</v>
      </c>
      <c r="AI58" s="8">
        <v>0.21344828086025894</v>
      </c>
      <c r="AJ58" s="8">
        <v>0.22545893592400826</v>
      </c>
      <c r="AK58" s="8">
        <v>0.21672260935903309</v>
      </c>
      <c r="AL58" s="8">
        <v>0.21358056701361181</v>
      </c>
      <c r="AM58" s="8">
        <v>0.21730548740476915</v>
      </c>
      <c r="AN58" s="8">
        <v>0.21701748302365947</v>
      </c>
      <c r="AO58" s="8">
        <v>0.20030651041948516</v>
      </c>
      <c r="AP58" s="8">
        <v>0.18601181430534222</v>
      </c>
      <c r="AQ58" s="8">
        <v>0.17813359458125386</v>
      </c>
      <c r="AS58" s="6" t="s">
        <v>210</v>
      </c>
      <c r="AT58" s="6" t="s">
        <v>132</v>
      </c>
      <c r="AU58" s="8">
        <v>7.3821747664640234E-3</v>
      </c>
      <c r="AV58" s="7">
        <v>8.4353812426271862E-3</v>
      </c>
      <c r="AW58" s="8">
        <v>8.8193029391826234E-3</v>
      </c>
      <c r="AX58" s="8">
        <v>1.2512168820916382E-2</v>
      </c>
      <c r="AY58" s="8">
        <v>1.1402086043171968E-2</v>
      </c>
      <c r="AZ58" s="8">
        <v>7.888546173642326E-3</v>
      </c>
      <c r="BA58" s="8">
        <v>7.8707228884901236E-3</v>
      </c>
      <c r="BB58" s="8">
        <v>4.525638302470188E-3</v>
      </c>
      <c r="BC58" s="8">
        <v>1.0215991120611908E-2</v>
      </c>
      <c r="BD58" s="8">
        <v>1.5080276515346753E-2</v>
      </c>
      <c r="BE58" s="8">
        <v>4.3737002933167081E-3</v>
      </c>
      <c r="BF58" s="8">
        <v>6.9945521109475942E-3</v>
      </c>
      <c r="BG58" s="8">
        <v>1.122625625065646E-2</v>
      </c>
      <c r="BH58" s="8">
        <v>1.3675390149050849E-2</v>
      </c>
      <c r="BI58" s="8">
        <v>1.3109873516167256E-2</v>
      </c>
      <c r="BJ58" s="8">
        <v>1.06796566793919E-2</v>
      </c>
      <c r="BK58" s="8">
        <v>1.1432982633663928E-2</v>
      </c>
      <c r="BL58" s="7">
        <v>2.0556300517843022E-2</v>
      </c>
      <c r="BM58" s="8">
        <v>1.2901432740183346E-2</v>
      </c>
      <c r="BN58" s="8">
        <v>6.7892879885635042E-3</v>
      </c>
      <c r="BO58" s="8">
        <v>3.1629938406439122E-2</v>
      </c>
      <c r="BP58" s="8">
        <v>2.8294474909754525E-2</v>
      </c>
      <c r="BQ58" s="8">
        <v>5.1003059017660966E-2</v>
      </c>
      <c r="BR58" s="8">
        <v>3.2411567049856448E-2</v>
      </c>
      <c r="BS58" s="8">
        <v>2.8224997252009894E-2</v>
      </c>
      <c r="BT58" s="7">
        <v>4.4857007885805447E-2</v>
      </c>
      <c r="BU58" s="8">
        <v>3.2676283476480349E-2</v>
      </c>
      <c r="BV58" s="8">
        <v>1.1365813038227117E-2</v>
      </c>
      <c r="BW58" s="8">
        <v>2.4998368585024033E-2</v>
      </c>
      <c r="BX58" s="8">
        <v>2.8989479103606185E-2</v>
      </c>
      <c r="BY58" s="8">
        <v>1.2002096085360056E-2</v>
      </c>
      <c r="BZ58" s="7">
        <v>1.6172098999053874E-2</v>
      </c>
      <c r="CA58" s="7">
        <v>1.4195150994527837E-2</v>
      </c>
      <c r="CB58" s="8">
        <v>8.9748289372458458E-3</v>
      </c>
      <c r="CC58" s="8">
        <v>9.2779031825846632E-3</v>
      </c>
      <c r="CD58" s="8">
        <v>1.3635415186945329E-2</v>
      </c>
      <c r="CE58" s="8">
        <v>1.206302378409207E-2</v>
      </c>
      <c r="CF58" s="7">
        <v>8.6908720572033086E-3</v>
      </c>
      <c r="CG58" s="8">
        <v>5.8469948466374922E-3</v>
      </c>
      <c r="CH58" s="8">
        <v>7.9094470990082426E-3</v>
      </c>
      <c r="CJ58" s="6" t="s">
        <v>210</v>
      </c>
      <c r="CK58" s="6" t="s">
        <v>133</v>
      </c>
      <c r="CL58" s="8">
        <v>1.5627382422385684E-2</v>
      </c>
      <c r="CM58" s="8">
        <v>8.527095848874882E-3</v>
      </c>
      <c r="CN58" s="8">
        <v>9.8855177911567112E-3</v>
      </c>
      <c r="CO58" s="8">
        <v>8.1045438166462685E-3</v>
      </c>
      <c r="CP58" s="7">
        <v>1.0944172325113704E-2</v>
      </c>
      <c r="CQ58" s="8">
        <v>1.5482961214789226E-2</v>
      </c>
      <c r="CR58" s="8">
        <v>1.8935932611605703E-2</v>
      </c>
      <c r="CS58" s="8">
        <v>1.2177247167051652E-2</v>
      </c>
      <c r="CT58" s="8">
        <v>6.8063769158306963E-3</v>
      </c>
      <c r="CU58" s="8">
        <v>8.8537619907853096E-3</v>
      </c>
      <c r="CV58" s="8">
        <v>1.6121341979973981E-2</v>
      </c>
      <c r="CW58" s="8">
        <v>8.7753120340897852E-3</v>
      </c>
      <c r="CX58" s="8">
        <v>9.6772290667866273E-3</v>
      </c>
      <c r="CY58" s="8">
        <v>7.5619778459357764E-3</v>
      </c>
      <c r="CZ58" s="8">
        <v>1.2437328813802944E-2</v>
      </c>
      <c r="DA58" s="8">
        <v>1.8225405635469691E-2</v>
      </c>
      <c r="DB58" s="8">
        <v>2.2589693000827638E-2</v>
      </c>
      <c r="DC58" s="8">
        <v>1.0078691837478834E-2</v>
      </c>
      <c r="DD58" s="8">
        <v>1.4274548338493277E-2</v>
      </c>
      <c r="DE58" s="8">
        <v>2.1862742982074298E-2</v>
      </c>
      <c r="DF58" s="8">
        <v>3.1889080588014422E-2</v>
      </c>
      <c r="DG58" s="8">
        <v>4.0445967062330564E-2</v>
      </c>
      <c r="DH58" s="8">
        <v>2.9552706981807727E-2</v>
      </c>
      <c r="DI58" s="8">
        <v>5.2605150052725168E-2</v>
      </c>
      <c r="DJ58" s="8">
        <v>6.8364409159597031E-2</v>
      </c>
      <c r="DK58" s="8">
        <v>7.4477386954560604E-2</v>
      </c>
      <c r="DL58" s="8">
        <v>6.009672591789867E-2</v>
      </c>
      <c r="DM58" s="8">
        <v>5.054144499476261E-2</v>
      </c>
      <c r="DN58" s="8">
        <v>3.7640945412434325E-2</v>
      </c>
      <c r="DO58" s="7">
        <v>1.2471287515041165E-2</v>
      </c>
      <c r="DP58" s="8">
        <v>7.6628717618320054E-3</v>
      </c>
      <c r="DQ58" s="8">
        <v>1.6679369303987522E-2</v>
      </c>
      <c r="DR58" s="8">
        <v>1.8299817479213689E-2</v>
      </c>
      <c r="DS58" s="8">
        <v>1.9533338012410001E-2</v>
      </c>
      <c r="DT58" s="7">
        <v>1.7191667726765409E-2</v>
      </c>
      <c r="DU58" s="8">
        <v>1.205892550275035E-2</v>
      </c>
      <c r="DV58" s="8">
        <v>1.2411845618948371E-2</v>
      </c>
      <c r="DW58" s="8">
        <v>1.3512335945588207E-2</v>
      </c>
      <c r="DX58" s="8">
        <v>1.3532649390281952E-2</v>
      </c>
      <c r="DY58" s="8">
        <v>9.488340518815884E-3</v>
      </c>
      <c r="EA58" s="6" t="s">
        <v>210</v>
      </c>
      <c r="EB58" s="6" t="s">
        <v>134</v>
      </c>
      <c r="EC58" s="8">
        <v>7.0231786057457196E-2</v>
      </c>
      <c r="ED58" s="8">
        <v>7.8921356126905595E-2</v>
      </c>
      <c r="EE58" s="8">
        <v>8.2090381488796146E-2</v>
      </c>
      <c r="EF58" s="8">
        <v>8.3111025954979004E-2</v>
      </c>
      <c r="EG58" s="8">
        <v>7.6001197924909322E-2</v>
      </c>
      <c r="EH58" s="8">
        <v>7.9018183728709321E-2</v>
      </c>
      <c r="EI58" s="8">
        <v>7.4504500973169824E-2</v>
      </c>
      <c r="EJ58" s="8">
        <v>7.6688872248887097E-2</v>
      </c>
      <c r="EK58" s="8">
        <v>6.8798550097811204E-2</v>
      </c>
      <c r="EL58" s="8">
        <v>6.5648832435482196E-2</v>
      </c>
      <c r="EM58" s="8">
        <v>0.1098786956148522</v>
      </c>
      <c r="EN58" s="8">
        <v>0.10600063796807715</v>
      </c>
      <c r="EO58" s="8">
        <v>9.6874208948105056E-2</v>
      </c>
      <c r="EP58" s="8">
        <v>0.10178306634333027</v>
      </c>
      <c r="EQ58" s="8">
        <v>0.11013440764827098</v>
      </c>
      <c r="ER58" s="8">
        <v>0.11071930651956394</v>
      </c>
      <c r="ES58" s="7">
        <v>0.10407392428088343</v>
      </c>
      <c r="ET58" s="8">
        <v>0.10861886501712471</v>
      </c>
      <c r="EU58" s="8">
        <v>0.10997109730279425</v>
      </c>
      <c r="EV58" s="8">
        <v>9.8957661216771797E-2</v>
      </c>
      <c r="EW58" s="8">
        <v>0.14719737701479818</v>
      </c>
      <c r="EX58" s="8">
        <v>0.13655942247457753</v>
      </c>
      <c r="EY58" s="8">
        <v>0.13234610529735749</v>
      </c>
      <c r="EZ58" s="8">
        <v>0.15733183008254373</v>
      </c>
      <c r="FA58" s="8">
        <v>0.1738274254730296</v>
      </c>
      <c r="FB58" s="8">
        <v>0.17902363108802594</v>
      </c>
      <c r="FC58" s="8">
        <v>0.18576368333319235</v>
      </c>
      <c r="FD58" s="7">
        <v>0.1751654513311047</v>
      </c>
      <c r="FE58" s="8">
        <v>0.15592993535646343</v>
      </c>
      <c r="FF58" s="8">
        <v>0.16288163630881919</v>
      </c>
      <c r="FG58" s="8">
        <v>6.8309348728033181E-2</v>
      </c>
      <c r="FH58" s="8">
        <v>6.7769177036968498E-2</v>
      </c>
      <c r="FI58" s="8">
        <v>7.8429971973351581E-2</v>
      </c>
      <c r="FJ58" s="8">
        <v>7.6444062669560844E-2</v>
      </c>
      <c r="FK58" s="8">
        <v>8.0785447519808193E-2</v>
      </c>
      <c r="FL58" s="8">
        <v>8.1405230482445412E-2</v>
      </c>
      <c r="FM58" s="8">
        <v>8.062510155405847E-2</v>
      </c>
      <c r="FN58" s="8">
        <v>7.642128647007583E-2</v>
      </c>
      <c r="FO58" s="8">
        <v>7.1476694094319851E-2</v>
      </c>
      <c r="FP58" s="8">
        <v>6.7132633947574433E-2</v>
      </c>
      <c r="FZ58" s="6" t="s">
        <v>210</v>
      </c>
      <c r="GA58" s="8">
        <v>0.68485697591362893</v>
      </c>
      <c r="GB58" s="8">
        <v>0.67507656527147142</v>
      </c>
      <c r="GC58" s="7">
        <v>0.66753251219305076</v>
      </c>
      <c r="GD58" s="8">
        <v>0.67263028037279093</v>
      </c>
      <c r="GE58" s="8">
        <v>0.67869456929080374</v>
      </c>
      <c r="GF58" s="8">
        <v>0.66573126628228241</v>
      </c>
      <c r="GG58" s="8">
        <v>0.66601575107930633</v>
      </c>
      <c r="GH58" s="8">
        <v>0.67948735930829463</v>
      </c>
      <c r="GI58" s="8">
        <v>0.69524696785906481</v>
      </c>
      <c r="GJ58" s="8">
        <v>0.69798477463405462</v>
      </c>
      <c r="GK58" s="7">
        <v>0.57339214240330116</v>
      </c>
      <c r="GL58" s="8">
        <v>0.59418528016427463</v>
      </c>
      <c r="GM58" s="8">
        <v>0.60715027958208012</v>
      </c>
      <c r="GN58" s="8">
        <v>0.59651303547039491</v>
      </c>
      <c r="GO58" s="8">
        <v>0.57622336346038094</v>
      </c>
      <c r="GP58" s="8">
        <v>0.5615654530677493</v>
      </c>
      <c r="GQ58" s="8">
        <v>0.55817450625180043</v>
      </c>
      <c r="GR58" s="8">
        <v>0.56127605045648399</v>
      </c>
      <c r="GS58" s="8">
        <v>0.56871223484900069</v>
      </c>
      <c r="GT58" s="7">
        <v>0.57945374094491686</v>
      </c>
      <c r="GU58" s="7">
        <v>0.33853974395333103</v>
      </c>
      <c r="GV58" s="8">
        <v>0.32296839223529783</v>
      </c>
      <c r="GW58" s="8">
        <v>0.31631751041859091</v>
      </c>
      <c r="GX58" s="8">
        <v>0.30138701339880919</v>
      </c>
      <c r="GY58" s="8">
        <v>0.27780372636623346</v>
      </c>
      <c r="GZ58" s="8">
        <v>0.2729858156566945</v>
      </c>
      <c r="HA58" s="8">
        <v>0.29459291988282105</v>
      </c>
      <c r="HB58" s="8">
        <v>0.32426659994484297</v>
      </c>
      <c r="HC58" s="8">
        <v>0.34758003494078321</v>
      </c>
      <c r="HD58" s="7">
        <v>0.35812376888482439</v>
      </c>
      <c r="HE58" s="8">
        <v>0.66437181388103561</v>
      </c>
      <c r="HF58" s="7">
        <v>0.63512670853559583</v>
      </c>
      <c r="HG58" s="8">
        <v>0.61984113725108281</v>
      </c>
      <c r="HH58" s="8">
        <v>0.62377572379721435</v>
      </c>
      <c r="HI58" s="8">
        <v>0.63053800381156244</v>
      </c>
      <c r="HJ58" s="8">
        <v>0.63483681411542059</v>
      </c>
      <c r="HK58" s="8">
        <v>0.63641207843483061</v>
      </c>
      <c r="HL58" s="8">
        <v>0.65517334494230473</v>
      </c>
      <c r="HM58" s="7">
        <v>0.66983542096493232</v>
      </c>
      <c r="HN58" s="8">
        <v>0.68204012131310965</v>
      </c>
      <c r="HP58" s="6" t="s">
        <v>169</v>
      </c>
      <c r="HQ58" s="6" t="s">
        <v>140</v>
      </c>
      <c r="HR58" s="6" t="s">
        <v>141</v>
      </c>
      <c r="HS58" s="8">
        <v>0.65903022083928819</v>
      </c>
    </row>
    <row r="59" spans="2:227" x14ac:dyDescent="0.45">
      <c r="B59" s="3" t="s">
        <v>211</v>
      </c>
      <c r="C59" s="3" t="s">
        <v>131</v>
      </c>
      <c r="D59" s="5">
        <v>0.27229295487756455</v>
      </c>
      <c r="E59" s="5">
        <v>0.26296420477238341</v>
      </c>
      <c r="F59" s="5">
        <v>0.26268647615758806</v>
      </c>
      <c r="G59" s="5">
        <v>0.27629782442457235</v>
      </c>
      <c r="H59" s="5">
        <v>0.29418929136638627</v>
      </c>
      <c r="I59" s="5">
        <v>0.29301302940225982</v>
      </c>
      <c r="J59" s="5">
        <v>0.28808817008844917</v>
      </c>
      <c r="K59" s="5">
        <v>0.2723450077018415</v>
      </c>
      <c r="L59" s="5">
        <v>0.26490009342554566</v>
      </c>
      <c r="M59" s="5">
        <v>0.26537388717646099</v>
      </c>
      <c r="N59" s="5">
        <v>0.28538543070366673</v>
      </c>
      <c r="O59" s="5">
        <v>0.27883911165949771</v>
      </c>
      <c r="P59" s="5">
        <v>0.28960588366864226</v>
      </c>
      <c r="Q59" s="5">
        <v>0.32392469802188489</v>
      </c>
      <c r="R59" s="5">
        <v>0.33497100571093252</v>
      </c>
      <c r="S59" s="5">
        <v>0.32602646477584035</v>
      </c>
      <c r="T59" s="5">
        <v>0.30847326115214002</v>
      </c>
      <c r="U59" s="5">
        <v>0.29164617581169033</v>
      </c>
      <c r="V59" s="5">
        <v>0.28010844582657679</v>
      </c>
      <c r="W59" s="5">
        <v>0.28719407051661777</v>
      </c>
      <c r="X59" s="5">
        <v>0.33238059669830078</v>
      </c>
      <c r="Y59" s="5">
        <v>0.35659286245470961</v>
      </c>
      <c r="Z59" s="5">
        <v>0.3725845052548255</v>
      </c>
      <c r="AA59" s="5">
        <v>0.37850902074014753</v>
      </c>
      <c r="AB59" s="5">
        <v>0.37476158199493148</v>
      </c>
      <c r="AC59" s="5">
        <v>0.35949467950467801</v>
      </c>
      <c r="AD59" s="5">
        <v>0.33126437508241169</v>
      </c>
      <c r="AE59" s="5">
        <v>0.32409378565631131</v>
      </c>
      <c r="AF59" s="5">
        <v>0.31012713275364506</v>
      </c>
      <c r="AG59" s="5">
        <v>0.31113010433192279</v>
      </c>
      <c r="AH59" s="5">
        <v>0.33359522131864455</v>
      </c>
      <c r="AI59" s="5">
        <v>0.34073958175956337</v>
      </c>
      <c r="AJ59" s="5">
        <v>0.35879883960182701</v>
      </c>
      <c r="AK59" s="5">
        <v>0.3504715444018901</v>
      </c>
      <c r="AL59" s="5">
        <v>0.33691448289151699</v>
      </c>
      <c r="AM59" s="5">
        <v>0.32179236142034584</v>
      </c>
      <c r="AN59" s="5">
        <v>0.30671489854669098</v>
      </c>
      <c r="AO59" s="5">
        <v>0.28566267630396669</v>
      </c>
      <c r="AP59" s="5">
        <v>0.28328395906526649</v>
      </c>
      <c r="AQ59" s="5">
        <v>0.30543444939851649</v>
      </c>
      <c r="AS59" s="3" t="s">
        <v>211</v>
      </c>
      <c r="AT59" s="3" t="s">
        <v>132</v>
      </c>
      <c r="AU59" s="5">
        <v>1.5533042506461031E-2</v>
      </c>
      <c r="AV59" s="4">
        <v>7.5125377879376688E-3</v>
      </c>
      <c r="AW59" s="5">
        <v>1.0336075119552715E-2</v>
      </c>
      <c r="AX59" s="5">
        <v>1.7711008602832198E-2</v>
      </c>
      <c r="AY59" s="5">
        <v>1.6651266459210237E-2</v>
      </c>
      <c r="AZ59" s="5">
        <v>1.418091368396463E-2</v>
      </c>
      <c r="BA59" s="5">
        <v>1.5456064136379241E-2</v>
      </c>
      <c r="BB59" s="5">
        <v>9.0109875722447063E-3</v>
      </c>
      <c r="BC59" s="5">
        <v>1.3138478718752112E-2</v>
      </c>
      <c r="BD59" s="5">
        <v>3.1752381242721374E-2</v>
      </c>
      <c r="BE59" s="5">
        <v>1.9869573717120882E-2</v>
      </c>
      <c r="BF59" s="5">
        <v>2.0000882928663335E-2</v>
      </c>
      <c r="BG59" s="5">
        <v>2.3066401689701303E-2</v>
      </c>
      <c r="BH59" s="5">
        <v>2.1528973315703706E-2</v>
      </c>
      <c r="BI59" s="5">
        <v>1.3438388315082117E-2</v>
      </c>
      <c r="BJ59" s="5">
        <v>1.2929282998174075E-2</v>
      </c>
      <c r="BK59" s="5">
        <v>1.5916683719292876E-2</v>
      </c>
      <c r="BL59" s="4">
        <v>1.0078833625574124E-2</v>
      </c>
      <c r="BM59" s="5">
        <v>1.7803425674467053E-2</v>
      </c>
      <c r="BN59" s="5">
        <v>2.6556220305370817E-2</v>
      </c>
      <c r="BO59" s="5">
        <v>2.6417777190174418E-2</v>
      </c>
      <c r="BP59" s="5">
        <v>5.2289221647594253E-3</v>
      </c>
      <c r="BQ59" s="5">
        <v>1.3972197542779998E-2</v>
      </c>
      <c r="BR59" s="5">
        <v>1.7728094473196097E-2</v>
      </c>
      <c r="BS59" s="5">
        <v>2.4434368346451543E-2</v>
      </c>
      <c r="BT59" s="4">
        <v>2.046572305067762E-2</v>
      </c>
      <c r="BU59" s="5">
        <v>1.9572391414146757E-2</v>
      </c>
      <c r="BV59" s="5">
        <v>7.2925862775248306E-3</v>
      </c>
      <c r="BW59" s="5">
        <v>1.6327170558938241E-2</v>
      </c>
      <c r="BX59" s="5">
        <v>2.3893228511100113E-2</v>
      </c>
      <c r="BY59" s="5">
        <v>9.7325150808037272E-3</v>
      </c>
      <c r="BZ59" s="4">
        <v>2.4425410467254743E-2</v>
      </c>
      <c r="CA59" s="4">
        <v>3.0859527861046895E-2</v>
      </c>
      <c r="CB59" s="5">
        <v>3.6646827179331244E-2</v>
      </c>
      <c r="CC59" s="5">
        <v>3.6538358901954567E-2</v>
      </c>
      <c r="CD59" s="5">
        <v>4.3463906589573512E-2</v>
      </c>
      <c r="CE59" s="5">
        <v>3.5207155439202865E-2</v>
      </c>
      <c r="CF59" s="4">
        <v>1.351945874655229E-2</v>
      </c>
      <c r="CG59" s="5">
        <v>2.3972973553988905E-2</v>
      </c>
      <c r="CH59" s="5">
        <v>1.9504049531561121E-2</v>
      </c>
      <c r="CJ59" s="3" t="s">
        <v>211</v>
      </c>
      <c r="CK59" s="3" t="s">
        <v>133</v>
      </c>
      <c r="CL59" s="5">
        <v>2.658122647450524E-2</v>
      </c>
      <c r="CM59" s="5">
        <v>1.9856852904687847E-2</v>
      </c>
      <c r="CN59" s="5">
        <v>1.67864136796325E-2</v>
      </c>
      <c r="CO59" s="5">
        <v>1.1616721325775811E-2</v>
      </c>
      <c r="CP59" s="4">
        <v>1.070716419274228E-2</v>
      </c>
      <c r="CQ59" s="5">
        <v>2.0968113068308709E-2</v>
      </c>
      <c r="CR59" s="5">
        <v>2.7300625067734948E-2</v>
      </c>
      <c r="CS59" s="5">
        <v>2.157759869315224E-2</v>
      </c>
      <c r="CT59" s="5">
        <v>1.6093686391076466E-2</v>
      </c>
      <c r="CU59" s="5">
        <v>3.7346408593814263E-3</v>
      </c>
      <c r="CV59" s="5">
        <v>2.5476815492320597E-2</v>
      </c>
      <c r="CW59" s="5">
        <v>2.0943456015802213E-2</v>
      </c>
      <c r="CX59" s="5">
        <v>2.3349503019355466E-2</v>
      </c>
      <c r="CY59" s="5">
        <v>2.7556904306451052E-2</v>
      </c>
      <c r="CZ59" s="5">
        <v>2.5203425448245005E-2</v>
      </c>
      <c r="DA59" s="5">
        <v>2.0996669901714619E-2</v>
      </c>
      <c r="DB59" s="5">
        <v>1.3888928263892647E-2</v>
      </c>
      <c r="DC59" s="5">
        <v>1.35324915722056E-2</v>
      </c>
      <c r="DD59" s="5">
        <v>1.9471118977833771E-2</v>
      </c>
      <c r="DE59" s="5">
        <v>1.7695589592794825E-2</v>
      </c>
      <c r="DF59" s="5">
        <v>3.4338460059069008E-2</v>
      </c>
      <c r="DG59" s="5">
        <v>4.8434936485235058E-2</v>
      </c>
      <c r="DH59" s="5">
        <v>3.5028650265045272E-2</v>
      </c>
      <c r="DI59" s="5">
        <v>2.7025133210325611E-2</v>
      </c>
      <c r="DJ59" s="5">
        <v>1.1576280400745338E-2</v>
      </c>
      <c r="DK59" s="5">
        <v>2.1162563550162716E-2</v>
      </c>
      <c r="DL59" s="5">
        <v>2.4533514525199446E-2</v>
      </c>
      <c r="DM59" s="5">
        <v>3.1191983439427435E-2</v>
      </c>
      <c r="DN59" s="5">
        <v>2.5942391897755247E-2</v>
      </c>
      <c r="DO59" s="4">
        <v>1.3290894823279078E-2</v>
      </c>
      <c r="DP59" s="5">
        <v>3.0224430888060001E-2</v>
      </c>
      <c r="DQ59" s="5">
        <v>6.2034561163889458E-3</v>
      </c>
      <c r="DR59" s="5">
        <v>1.6886031820047848E-2</v>
      </c>
      <c r="DS59" s="5">
        <v>2.3570353407670341E-2</v>
      </c>
      <c r="DT59" s="4">
        <v>2.0615758205559224E-2</v>
      </c>
      <c r="DU59" s="5">
        <v>2.3553774219875524E-2</v>
      </c>
      <c r="DV59" s="5">
        <v>3.0502740077409701E-2</v>
      </c>
      <c r="DW59" s="5">
        <v>4.9388683227896683E-2</v>
      </c>
      <c r="DX59" s="5">
        <v>4.0742336538938863E-2</v>
      </c>
      <c r="DY59" s="5">
        <v>2.8941492686895134E-2</v>
      </c>
      <c r="EA59" s="3" t="s">
        <v>211</v>
      </c>
      <c r="EB59" s="3" t="s">
        <v>134</v>
      </c>
      <c r="EC59" s="5">
        <v>0.10507067646806012</v>
      </c>
      <c r="ED59" s="5">
        <v>0.12170525097322336</v>
      </c>
      <c r="EE59" s="5">
        <v>0.12347752639371566</v>
      </c>
      <c r="EF59" s="5">
        <v>0.13026180014956507</v>
      </c>
      <c r="EG59" s="5">
        <v>0.1370622056171503</v>
      </c>
      <c r="EH59" s="5">
        <v>0.13451907502553673</v>
      </c>
      <c r="EI59" s="5">
        <v>0.12324873661131225</v>
      </c>
      <c r="EJ59" s="5">
        <v>0.12388771460814106</v>
      </c>
      <c r="EK59" s="5">
        <v>0.11353594690841178</v>
      </c>
      <c r="EL59" s="5">
        <v>0.10420608849979107</v>
      </c>
      <c r="EM59" s="5">
        <v>0.12611779727031086</v>
      </c>
      <c r="EN59" s="5">
        <v>0.11656865223500353</v>
      </c>
      <c r="EO59" s="5">
        <v>0.12089272508921453</v>
      </c>
      <c r="EP59" s="5">
        <v>0.14583839154034239</v>
      </c>
      <c r="EQ59" s="5">
        <v>0.16432317026964446</v>
      </c>
      <c r="ER59" s="5">
        <v>0.165325440834134</v>
      </c>
      <c r="ES59" s="4">
        <v>0.16077088586333954</v>
      </c>
      <c r="ET59" s="5">
        <v>0.15733577922128977</v>
      </c>
      <c r="EU59" s="5">
        <v>0.13512459199649574</v>
      </c>
      <c r="EV59" s="5">
        <v>0.12602971486580272</v>
      </c>
      <c r="EW59" s="5">
        <v>0.15569941485336633</v>
      </c>
      <c r="EX59" s="5">
        <v>0.17262594601365538</v>
      </c>
      <c r="EY59" s="5">
        <v>0.178473101340409</v>
      </c>
      <c r="EZ59" s="5">
        <v>0.19155548749765064</v>
      </c>
      <c r="FA59" s="5">
        <v>0.18933691718054343</v>
      </c>
      <c r="FB59" s="5">
        <v>0.1673064321174654</v>
      </c>
      <c r="FC59" s="5">
        <v>0.15063785847684041</v>
      </c>
      <c r="FD59" s="4">
        <v>0.15299693478085638</v>
      </c>
      <c r="FE59" s="5">
        <v>0.15219705021268762</v>
      </c>
      <c r="FF59" s="5">
        <v>0.15297113907772156</v>
      </c>
      <c r="FG59" s="5">
        <v>0.15148019664742915</v>
      </c>
      <c r="FH59" s="5">
        <v>0.16669240821912448</v>
      </c>
      <c r="FI59" s="5">
        <v>0.16607380383108278</v>
      </c>
      <c r="FJ59" s="5">
        <v>0.14368599987106107</v>
      </c>
      <c r="FK59" s="5">
        <v>0.12731523495517383</v>
      </c>
      <c r="FL59" s="5">
        <v>0.11009592033374842</v>
      </c>
      <c r="FM59" s="5">
        <v>0.11158146590099625</v>
      </c>
      <c r="FN59" s="5">
        <v>9.8210391272442313E-2</v>
      </c>
      <c r="FO59" s="5">
        <v>9.3637188317092931E-2</v>
      </c>
      <c r="FP59" s="5">
        <v>0.12913542195529604</v>
      </c>
      <c r="FZ59" s="3" t="s">
        <v>211</v>
      </c>
      <c r="GA59" s="5">
        <v>0.55480850408793592</v>
      </c>
      <c r="GB59" s="5">
        <v>0.54853789672473086</v>
      </c>
      <c r="GC59" s="4">
        <v>0.55212084234918757</v>
      </c>
      <c r="GD59" s="5">
        <v>0.54007692290007792</v>
      </c>
      <c r="GE59" s="5">
        <v>0.52336015953550885</v>
      </c>
      <c r="GF59" s="5">
        <v>0.53038113072848725</v>
      </c>
      <c r="GG59" s="5">
        <v>0.54373446062194219</v>
      </c>
      <c r="GH59" s="5">
        <v>0.5542396787312811</v>
      </c>
      <c r="GI59" s="5">
        <v>0.56754767002650752</v>
      </c>
      <c r="GJ59" s="5">
        <v>0.5701518347435981</v>
      </c>
      <c r="GK59" s="4">
        <v>0.47858782250896031</v>
      </c>
      <c r="GL59" s="5">
        <v>0.48904157309195284</v>
      </c>
      <c r="GM59" s="5">
        <v>0.48148443542736113</v>
      </c>
      <c r="GN59" s="5">
        <v>0.45703877408194377</v>
      </c>
      <c r="GO59" s="5">
        <v>0.44890770821838605</v>
      </c>
      <c r="GP59" s="5">
        <v>0.46264279709101414</v>
      </c>
      <c r="GQ59" s="5">
        <v>0.47703018883233084</v>
      </c>
      <c r="GR59" s="5">
        <v>0.48347959791943734</v>
      </c>
      <c r="GS59" s="5">
        <v>0.49885879960347695</v>
      </c>
      <c r="GT59" s="4">
        <v>0.49347668755830848</v>
      </c>
      <c r="GU59" s="4">
        <v>0.38100292788057871</v>
      </c>
      <c r="GV59" s="5">
        <v>0.35626753624457658</v>
      </c>
      <c r="GW59" s="5">
        <v>0.35003223810583728</v>
      </c>
      <c r="GX59" s="5">
        <v>0.35497538261618466</v>
      </c>
      <c r="GY59" s="5">
        <v>0.37707835258839451</v>
      </c>
      <c r="GZ59" s="5">
        <v>0.40789966526124727</v>
      </c>
      <c r="HA59" s="5">
        <v>0.4353036236224842</v>
      </c>
      <c r="HB59" s="5">
        <v>0.43583827158331834</v>
      </c>
      <c r="HC59" s="5">
        <v>0.43750781997675547</v>
      </c>
      <c r="HD59" s="4">
        <v>0.43298878751443637</v>
      </c>
      <c r="HE59" s="5">
        <v>0.47293623689157749</v>
      </c>
      <c r="HF59" s="4">
        <v>0.460706502976931</v>
      </c>
      <c r="HG59" s="5">
        <v>0.4557452979214961</v>
      </c>
      <c r="HH59" s="5">
        <v>0.45598821409649554</v>
      </c>
      <c r="HI59" s="5">
        <v>0.47561324681360589</v>
      </c>
      <c r="HJ59" s="5">
        <v>0.5013672400090472</v>
      </c>
      <c r="HK59" s="5">
        <v>0.50140507163467862</v>
      </c>
      <c r="HL59" s="5">
        <v>0.51841195992024591</v>
      </c>
      <c r="HM59" s="4">
        <v>0.53098340170967051</v>
      </c>
      <c r="HN59" s="5">
        <v>0.50583282414046049</v>
      </c>
      <c r="HP59" s="3" t="s">
        <v>171</v>
      </c>
      <c r="HQ59" s="3" t="s">
        <v>140</v>
      </c>
      <c r="HR59" s="3" t="s">
        <v>141</v>
      </c>
      <c r="HS59" s="5">
        <v>0.67570537967986466</v>
      </c>
    </row>
    <row r="60" spans="2:227" x14ac:dyDescent="0.45">
      <c r="B60" s="6" t="s">
        <v>212</v>
      </c>
      <c r="C60" s="6" t="s">
        <v>131</v>
      </c>
      <c r="D60" s="8">
        <v>0.25676087340267306</v>
      </c>
      <c r="E60" s="8">
        <v>0.26010952906322643</v>
      </c>
      <c r="F60" s="8">
        <v>0.2481806721365353</v>
      </c>
      <c r="G60" s="8">
        <v>0.25010515380584303</v>
      </c>
      <c r="H60" s="8">
        <v>0.25436111468141676</v>
      </c>
      <c r="I60" s="8">
        <v>0.26365822787489118</v>
      </c>
      <c r="J60" s="8">
        <v>0.27148028267737412</v>
      </c>
      <c r="K60" s="8">
        <v>0.26368006808522831</v>
      </c>
      <c r="L60" s="8">
        <v>0.25574804227578252</v>
      </c>
      <c r="M60" s="8">
        <v>0.25153891409831103</v>
      </c>
      <c r="N60" s="8">
        <v>0.30586927832586425</v>
      </c>
      <c r="O60" s="8">
        <v>0.31439919083266171</v>
      </c>
      <c r="P60" s="8">
        <v>0.32146244631989174</v>
      </c>
      <c r="Q60" s="8">
        <v>0.32389173020426631</v>
      </c>
      <c r="R60" s="8">
        <v>0.31921751709536322</v>
      </c>
      <c r="S60" s="8">
        <v>0.31936081219136181</v>
      </c>
      <c r="T60" s="8">
        <v>0.3182969990955053</v>
      </c>
      <c r="U60" s="8">
        <v>0.3152173109233346</v>
      </c>
      <c r="V60" s="8">
        <v>0.29192078804426036</v>
      </c>
      <c r="W60" s="8">
        <v>0.29640883060613543</v>
      </c>
      <c r="X60" s="8">
        <v>0.43269995839906106</v>
      </c>
      <c r="Y60" s="8">
        <v>0.45083941425449103</v>
      </c>
      <c r="Z60" s="8">
        <v>0.46059265192703286</v>
      </c>
      <c r="AA60" s="8">
        <v>0.45986540390783004</v>
      </c>
      <c r="AB60" s="8">
        <v>0.44671284149656298</v>
      </c>
      <c r="AC60" s="8">
        <v>0.426256934779636</v>
      </c>
      <c r="AD60" s="8">
        <v>0.44104946809748252</v>
      </c>
      <c r="AE60" s="8">
        <v>0.43289381734402166</v>
      </c>
      <c r="AF60" s="8">
        <v>0.42985870031241735</v>
      </c>
      <c r="AG60" s="8">
        <v>0.41598479068154193</v>
      </c>
      <c r="AH60" s="8">
        <v>0.27325604381883434</v>
      </c>
      <c r="AI60" s="8">
        <v>0.27226514495854415</v>
      </c>
      <c r="AJ60" s="8">
        <v>0.27672588775639312</v>
      </c>
      <c r="AK60" s="8">
        <v>0.28925299261639087</v>
      </c>
      <c r="AL60" s="8">
        <v>0.29910511655673433</v>
      </c>
      <c r="AM60" s="8">
        <v>0.29621768042966851</v>
      </c>
      <c r="AN60" s="8">
        <v>0.29908510150820733</v>
      </c>
      <c r="AO60" s="8">
        <v>0.28871206030968039</v>
      </c>
      <c r="AP60" s="8">
        <v>0.26974117099158645</v>
      </c>
      <c r="AQ60" s="8">
        <v>0.25912589726736346</v>
      </c>
      <c r="AS60" s="6" t="s">
        <v>212</v>
      </c>
      <c r="AT60" s="6" t="s">
        <v>132</v>
      </c>
      <c r="AU60" s="8">
        <v>6.9975337615912946E-3</v>
      </c>
      <c r="AV60" s="7">
        <v>8.8621769398899881E-3</v>
      </c>
      <c r="AW60" s="8">
        <v>4.1409554471529284E-3</v>
      </c>
      <c r="AX60" s="8">
        <v>9.8346670717025502E-3</v>
      </c>
      <c r="AY60" s="8">
        <v>1.1571219014542904E-2</v>
      </c>
      <c r="AZ60" s="8">
        <v>1.5938480632438131E-2</v>
      </c>
      <c r="BA60" s="8">
        <v>1.9369906283431864E-2</v>
      </c>
      <c r="BB60" s="8">
        <v>1.7290779704281525E-2</v>
      </c>
      <c r="BC60" s="8">
        <v>1.904128488158717E-2</v>
      </c>
      <c r="BD60" s="8">
        <v>9.204471620454133E-3</v>
      </c>
      <c r="BE60" s="8">
        <v>2.090167626987369E-2</v>
      </c>
      <c r="BF60" s="8">
        <v>1.5504992503700993E-2</v>
      </c>
      <c r="BG60" s="8">
        <v>1.3760007354801875E-2</v>
      </c>
      <c r="BH60" s="8">
        <v>1.4152519945851266E-2</v>
      </c>
      <c r="BI60" s="8">
        <v>2.3492338607892568E-2</v>
      </c>
      <c r="BJ60" s="8">
        <v>1.9600088138389562E-2</v>
      </c>
      <c r="BK60" s="8">
        <v>1.5171530666625887E-2</v>
      </c>
      <c r="BL60" s="7">
        <v>1.8252267279733725E-2</v>
      </c>
      <c r="BM60" s="8">
        <v>1.2438922235809552E-2</v>
      </c>
      <c r="BN60" s="8">
        <v>1.8348770149500152E-2</v>
      </c>
      <c r="BO60" s="8">
        <v>2.7848819730128083E-2</v>
      </c>
      <c r="BP60" s="8">
        <v>5.28081340331343E-2</v>
      </c>
      <c r="BQ60" s="8">
        <v>1.3790611559354383E-2</v>
      </c>
      <c r="BR60" s="8">
        <v>2.1067683763219987E-2</v>
      </c>
      <c r="BS60" s="8">
        <v>2.4399078341231152E-2</v>
      </c>
      <c r="BT60" s="7">
        <v>5.1720471804187918E-3</v>
      </c>
      <c r="BU60" s="8">
        <v>1.26675346947873E-2</v>
      </c>
      <c r="BV60" s="8">
        <v>2.6998713152201752E-2</v>
      </c>
      <c r="BW60" s="8">
        <v>2.9249888676126375E-2</v>
      </c>
      <c r="BX60" s="8">
        <v>5.4736479584824874E-2</v>
      </c>
      <c r="BY60" s="8">
        <v>1.9732531194553548E-2</v>
      </c>
      <c r="BZ60" s="7">
        <v>1.3532243706295749E-2</v>
      </c>
      <c r="CA60" s="7">
        <v>1.7769646726546386E-2</v>
      </c>
      <c r="CB60" s="8">
        <v>3.3670340195018376E-2</v>
      </c>
      <c r="CC60" s="8">
        <v>3.8480770479457728E-2</v>
      </c>
      <c r="CD60" s="8">
        <v>1.843453664596852E-2</v>
      </c>
      <c r="CE60" s="8">
        <v>1.4301301357294849E-2</v>
      </c>
      <c r="CF60" s="7">
        <v>2.0089568071952502E-2</v>
      </c>
      <c r="CG60" s="8">
        <v>1.2066465064486349E-2</v>
      </c>
      <c r="CH60" s="8">
        <v>1.5351229903723045E-2</v>
      </c>
      <c r="CJ60" s="6" t="s">
        <v>212</v>
      </c>
      <c r="CK60" s="6" t="s">
        <v>133</v>
      </c>
      <c r="CL60" s="8">
        <v>1.3996850851217621E-2</v>
      </c>
      <c r="CM60" s="8">
        <v>4.973517425986047E-3</v>
      </c>
      <c r="CN60" s="8">
        <v>1.3369026844451752E-2</v>
      </c>
      <c r="CO60" s="8">
        <v>1.4463943155704751E-2</v>
      </c>
      <c r="CP60" s="7">
        <v>1.18853453769719E-2</v>
      </c>
      <c r="CQ60" s="8">
        <v>1.4546855741940042E-2</v>
      </c>
      <c r="CR60" s="8">
        <v>1.3049689810554557E-2</v>
      </c>
      <c r="CS60" s="8">
        <v>1.4592790283379758E-2</v>
      </c>
      <c r="CT60" s="8">
        <v>1.6847606167697083E-2</v>
      </c>
      <c r="CU60" s="8">
        <v>2.2272967966286184E-2</v>
      </c>
      <c r="CV60" s="8">
        <v>2.3768048822908786E-2</v>
      </c>
      <c r="CW60" s="8">
        <v>3.0449180277199867E-2</v>
      </c>
      <c r="CX60" s="8">
        <v>2.5902178458956777E-2</v>
      </c>
      <c r="CY60" s="8">
        <v>1.823295549659263E-2</v>
      </c>
      <c r="CZ60" s="8">
        <v>1.4705908713308265E-2</v>
      </c>
      <c r="DA60" s="8">
        <v>1.7227949123292681E-2</v>
      </c>
      <c r="DB60" s="8">
        <v>2.7481429216958213E-2</v>
      </c>
      <c r="DC60" s="8">
        <v>2.1059446577643751E-2</v>
      </c>
      <c r="DD60" s="8">
        <v>2.4836121259468026E-2</v>
      </c>
      <c r="DE60" s="8">
        <v>2.5419706326141198E-2</v>
      </c>
      <c r="DF60" s="8">
        <v>8.6847626628934443E-2</v>
      </c>
      <c r="DG60" s="8">
        <v>4.2234134636048054E-2</v>
      </c>
      <c r="DH60" s="8">
        <v>8.7502618482560371E-2</v>
      </c>
      <c r="DI60" s="8">
        <v>8.0948580064239384E-2</v>
      </c>
      <c r="DJ60" s="8">
        <v>3.5094855377768519E-2</v>
      </c>
      <c r="DK60" s="8">
        <v>3.5588978564590826E-2</v>
      </c>
      <c r="DL60" s="8">
        <v>2.8183286513654857E-2</v>
      </c>
      <c r="DM60" s="8">
        <v>1.7725960228813772E-2</v>
      </c>
      <c r="DN60" s="8">
        <v>9.7991928875753396E-3</v>
      </c>
      <c r="DO60" s="7">
        <v>2.4227673653844796E-2</v>
      </c>
      <c r="DP60" s="8">
        <v>1.4352673343512064E-2</v>
      </c>
      <c r="DQ60" s="8">
        <v>3.1799944656040524E-2</v>
      </c>
      <c r="DR60" s="8">
        <v>2.9851430424751229E-2</v>
      </c>
      <c r="DS60" s="8">
        <v>2.6239854400699987E-2</v>
      </c>
      <c r="DT60" s="7">
        <v>1.8339236071536452E-2</v>
      </c>
      <c r="DU60" s="8">
        <v>4.2323235210442609E-2</v>
      </c>
      <c r="DV60" s="8">
        <v>5.1140797265594562E-2</v>
      </c>
      <c r="DW60" s="8">
        <v>2.9340789587610439E-2</v>
      </c>
      <c r="DX60" s="8">
        <v>1.9968543693702805E-2</v>
      </c>
      <c r="DY60" s="8">
        <v>1.6417308388671184E-2</v>
      </c>
      <c r="EA60" s="6" t="s">
        <v>212</v>
      </c>
      <c r="EB60" s="6" t="s">
        <v>134</v>
      </c>
      <c r="EC60" s="8">
        <v>0.11042241731530285</v>
      </c>
      <c r="ED60" s="8">
        <v>0.12259892874861335</v>
      </c>
      <c r="EE60" s="8">
        <v>0.11121776922388225</v>
      </c>
      <c r="EF60" s="8">
        <v>0.10886739840277553</v>
      </c>
      <c r="EG60" s="8">
        <v>0.11243630727190392</v>
      </c>
      <c r="EH60" s="8">
        <v>0.11284202989827967</v>
      </c>
      <c r="EI60" s="8">
        <v>0.1057759171187571</v>
      </c>
      <c r="EJ60" s="8">
        <v>9.9384563221928401E-2</v>
      </c>
      <c r="EK60" s="8">
        <v>8.7942189784103966E-2</v>
      </c>
      <c r="EL60" s="8">
        <v>9.2827934694139649E-2</v>
      </c>
      <c r="EM60" s="8">
        <v>0.1396845385031113</v>
      </c>
      <c r="EN60" s="8">
        <v>0.14459158786962539</v>
      </c>
      <c r="EO60" s="8">
        <v>0.15016810038980044</v>
      </c>
      <c r="EP60" s="8">
        <v>0.15103896229491326</v>
      </c>
      <c r="EQ60" s="8">
        <v>0.14211029951731571</v>
      </c>
      <c r="ER60" s="8">
        <v>0.13880460452190593</v>
      </c>
      <c r="ES60" s="7">
        <v>0.13274667966967235</v>
      </c>
      <c r="ET60" s="8">
        <v>0.13129212895887737</v>
      </c>
      <c r="EU60" s="8">
        <v>0.12434536924157537</v>
      </c>
      <c r="EV60" s="8">
        <v>0.12399577885691025</v>
      </c>
      <c r="EW60" s="8">
        <v>0.18228709237290386</v>
      </c>
      <c r="EX60" s="8">
        <v>0.22443062128024366</v>
      </c>
      <c r="EY60" s="8">
        <v>0.220781713617383</v>
      </c>
      <c r="EZ60" s="8">
        <v>0.22094761133632121</v>
      </c>
      <c r="FA60" s="8">
        <v>0.25221663352011292</v>
      </c>
      <c r="FB60" s="8">
        <v>0.24896915318774013</v>
      </c>
      <c r="FC60" s="8">
        <v>0.24965881133594905</v>
      </c>
      <c r="FD60" s="7">
        <v>0.2451466404158037</v>
      </c>
      <c r="FE60" s="8">
        <v>0.24104466163423768</v>
      </c>
      <c r="FF60" s="8">
        <v>0.20224185369662545</v>
      </c>
      <c r="FG60" s="8">
        <v>0.11625816717930278</v>
      </c>
      <c r="FH60" s="8">
        <v>0.11253308833808882</v>
      </c>
      <c r="FI60" s="8">
        <v>0.10190088432779582</v>
      </c>
      <c r="FJ60" s="8">
        <v>9.1918890992997632E-2</v>
      </c>
      <c r="FK60" s="8">
        <v>0.10484946829441646</v>
      </c>
      <c r="FL60" s="8">
        <v>0.10527810864638484</v>
      </c>
      <c r="FM60" s="8">
        <v>0.10077090943725306</v>
      </c>
      <c r="FN60" s="8">
        <v>0.1094470509619714</v>
      </c>
      <c r="FO60" s="8">
        <v>0.11258608890209978</v>
      </c>
      <c r="FP60" s="8">
        <v>0.10859903792193817</v>
      </c>
      <c r="FZ60" s="6" t="s">
        <v>212</v>
      </c>
      <c r="GA60" s="8">
        <v>0.61277475947100257</v>
      </c>
      <c r="GB60" s="8">
        <v>0.59651433913903829</v>
      </c>
      <c r="GC60" s="7">
        <v>0.60628744735279017</v>
      </c>
      <c r="GD60" s="8">
        <v>0.5959321446483955</v>
      </c>
      <c r="GE60" s="8">
        <v>0.59083868667043538</v>
      </c>
      <c r="GF60" s="8">
        <v>0.57964236644976252</v>
      </c>
      <c r="GG60" s="8">
        <v>0.58484780370619971</v>
      </c>
      <c r="GH60" s="8">
        <v>0.60414450265881092</v>
      </c>
      <c r="GI60" s="8">
        <v>0.6216816295714428</v>
      </c>
      <c r="GJ60" s="8">
        <v>0.6215267996286491</v>
      </c>
      <c r="GK60" s="7">
        <v>0.47367963028221349</v>
      </c>
      <c r="GL60" s="8">
        <v>0.4799168955815612</v>
      </c>
      <c r="GM60" s="8">
        <v>0.49051858583824587</v>
      </c>
      <c r="GN60" s="8">
        <v>0.49526898491160903</v>
      </c>
      <c r="GO60" s="8">
        <v>0.48973467861018749</v>
      </c>
      <c r="GP60" s="8">
        <v>0.49558408834222378</v>
      </c>
      <c r="GQ60" s="8">
        <v>0.50065978805018263</v>
      </c>
      <c r="GR60" s="8">
        <v>0.4926443857586254</v>
      </c>
      <c r="GS60" s="8">
        <v>0.49247669666226063</v>
      </c>
      <c r="GT60" s="7">
        <v>0.479777597516026</v>
      </c>
      <c r="GU60" s="7">
        <v>0.26430220347019318</v>
      </c>
      <c r="GV60" s="8">
        <v>0.27321740846357145</v>
      </c>
      <c r="GW60" s="8">
        <v>0.27602025341247616</v>
      </c>
      <c r="GX60" s="8">
        <v>0.28288976682613237</v>
      </c>
      <c r="GY60" s="8">
        <v>0.29632797273339034</v>
      </c>
      <c r="GZ60" s="8">
        <v>0.30664107128066698</v>
      </c>
      <c r="HA60" s="8">
        <v>0.30252393362689356</v>
      </c>
      <c r="HB60" s="8">
        <v>0.28877425271481194</v>
      </c>
      <c r="HC60" s="8">
        <v>0.27877800419367343</v>
      </c>
      <c r="HD60" s="7">
        <v>0.28317589060980419</v>
      </c>
      <c r="HE60" s="8">
        <v>0.52191052732702636</v>
      </c>
      <c r="HF60" s="7">
        <v>0.49365604783352057</v>
      </c>
      <c r="HG60" s="8">
        <v>0.51277156220237308</v>
      </c>
      <c r="HH60" s="8">
        <v>0.52417033896615195</v>
      </c>
      <c r="HI60" s="8">
        <v>0.53247598271399921</v>
      </c>
      <c r="HJ60" s="8">
        <v>0.52303735259856399</v>
      </c>
      <c r="HK60" s="8">
        <v>0.52247712286355508</v>
      </c>
      <c r="HL60" s="8">
        <v>0.52569589869165279</v>
      </c>
      <c r="HM60" s="7">
        <v>0.53697711594433495</v>
      </c>
      <c r="HN60" s="8">
        <v>0.54824865125409661</v>
      </c>
      <c r="HP60" s="6" t="s">
        <v>173</v>
      </c>
      <c r="HQ60" s="6" t="s">
        <v>140</v>
      </c>
      <c r="HR60" s="6" t="s">
        <v>141</v>
      </c>
      <c r="HS60" s="8">
        <v>0.73676129073265273</v>
      </c>
    </row>
    <row r="61" spans="2:227" x14ac:dyDescent="0.45">
      <c r="B61" s="3" t="s">
        <v>213</v>
      </c>
      <c r="C61" s="3" t="s">
        <v>131</v>
      </c>
      <c r="D61" s="5">
        <v>0.22470157885113495</v>
      </c>
      <c r="E61" s="5">
        <v>0.22683023140124464</v>
      </c>
      <c r="F61" s="5">
        <v>0.22535247321264607</v>
      </c>
      <c r="G61" s="5">
        <v>0.23133384687590211</v>
      </c>
      <c r="H61" s="5">
        <v>0.23144103197021967</v>
      </c>
      <c r="I61" s="5">
        <v>0.24002204261693844</v>
      </c>
      <c r="J61" s="5">
        <v>0.23364561381179436</v>
      </c>
      <c r="K61" s="5">
        <v>0.22696446322187602</v>
      </c>
      <c r="L61" s="5">
        <v>0.21548555770605135</v>
      </c>
      <c r="M61" s="5">
        <v>0.21013442018100159</v>
      </c>
      <c r="N61" s="5">
        <v>0.27930784734969549</v>
      </c>
      <c r="O61" s="5">
        <v>0.27183266475406709</v>
      </c>
      <c r="P61" s="5">
        <v>0.26299079340771597</v>
      </c>
      <c r="Q61" s="5">
        <v>0.27457212009444493</v>
      </c>
      <c r="R61" s="5">
        <v>0.29700247195996687</v>
      </c>
      <c r="S61" s="5">
        <v>0.2983548100750496</v>
      </c>
      <c r="T61" s="5">
        <v>0.29065568116190543</v>
      </c>
      <c r="U61" s="5">
        <v>0.28724751140607424</v>
      </c>
      <c r="V61" s="5">
        <v>0.28087217438601592</v>
      </c>
      <c r="W61" s="5">
        <v>0.27098984167387774</v>
      </c>
      <c r="X61" s="5">
        <v>0.35156227424087844</v>
      </c>
      <c r="Y61" s="5">
        <v>0.3667990733395633</v>
      </c>
      <c r="Z61" s="5">
        <v>0.37391384261491889</v>
      </c>
      <c r="AA61" s="5">
        <v>0.39100256055060351</v>
      </c>
      <c r="AB61" s="5">
        <v>0.39277661943738207</v>
      </c>
      <c r="AC61" s="5">
        <v>0.36431473338009263</v>
      </c>
      <c r="AD61" s="5">
        <v>0.32254511795133811</v>
      </c>
      <c r="AE61" s="5">
        <v>0.31086260834804813</v>
      </c>
      <c r="AF61" s="5">
        <v>0.31449278763147787</v>
      </c>
      <c r="AG61" s="5">
        <v>0.31849913394856916</v>
      </c>
      <c r="AH61" s="5">
        <v>0.26339229540423931</v>
      </c>
      <c r="AI61" s="5">
        <v>0.26891140134654917</v>
      </c>
      <c r="AJ61" s="5">
        <v>0.27747912486597831</v>
      </c>
      <c r="AK61" s="5">
        <v>0.2718302200524555</v>
      </c>
      <c r="AL61" s="5">
        <v>0.27533393804788447</v>
      </c>
      <c r="AM61" s="5">
        <v>0.28920459937926907</v>
      </c>
      <c r="AN61" s="5">
        <v>0.28952283735137979</v>
      </c>
      <c r="AO61" s="5">
        <v>0.26903888758432976</v>
      </c>
      <c r="AP61" s="5">
        <v>0.26487870396078511</v>
      </c>
      <c r="AQ61" s="5">
        <v>0.26644939309280824</v>
      </c>
      <c r="AS61" s="3" t="s">
        <v>213</v>
      </c>
      <c r="AT61" s="3" t="s">
        <v>132</v>
      </c>
      <c r="AU61" s="5">
        <v>1.1987789222181107E-2</v>
      </c>
      <c r="AV61" s="4">
        <v>9.6606288085179775E-3</v>
      </c>
      <c r="AW61" s="5">
        <v>9.6925121955889863E-3</v>
      </c>
      <c r="AX61" s="5">
        <v>1.0475377446081105E-2</v>
      </c>
      <c r="AY61" s="5">
        <v>9.4831771454200898E-3</v>
      </c>
      <c r="AZ61" s="5">
        <v>1.5670075254162745E-2</v>
      </c>
      <c r="BA61" s="5">
        <v>1.9196502897261339E-2</v>
      </c>
      <c r="BB61" s="5">
        <v>1.8216323481289817E-2</v>
      </c>
      <c r="BC61" s="5">
        <v>1.567193325089301E-2</v>
      </c>
      <c r="BD61" s="5">
        <v>1.0628060131441535E-2</v>
      </c>
      <c r="BE61" s="5">
        <v>1.574523294687798E-2</v>
      </c>
      <c r="BF61" s="5">
        <v>1.0760972385736048E-2</v>
      </c>
      <c r="BG61" s="5">
        <v>1.1557500303306432E-2</v>
      </c>
      <c r="BH61" s="5">
        <v>1.6761988253258392E-2</v>
      </c>
      <c r="BI61" s="5">
        <v>2.3244776357820528E-2</v>
      </c>
      <c r="BJ61" s="5">
        <v>8.9577172242881527E-3</v>
      </c>
      <c r="BK61" s="5">
        <v>1.303324812609971E-2</v>
      </c>
      <c r="BL61" s="4">
        <v>1.4000486064625181E-2</v>
      </c>
      <c r="BM61" s="5">
        <v>1.1855542424322052E-2</v>
      </c>
      <c r="BN61" s="5">
        <v>1.7986047775325694E-2</v>
      </c>
      <c r="BO61" s="5">
        <v>2.2009431373391689E-2</v>
      </c>
      <c r="BP61" s="5">
        <v>9.9286116917745183E-3</v>
      </c>
      <c r="BQ61" s="5">
        <v>2.0147791918619099E-2</v>
      </c>
      <c r="BR61" s="5">
        <v>3.4653466826516231E-2</v>
      </c>
      <c r="BS61" s="5">
        <v>4.2320699395478556E-2</v>
      </c>
      <c r="BT61" s="4">
        <v>4.3537286826922747E-2</v>
      </c>
      <c r="BU61" s="5">
        <v>4.9409111392112355E-2</v>
      </c>
      <c r="BV61" s="5">
        <v>3.6147673918119447E-2</v>
      </c>
      <c r="BW61" s="5">
        <v>2.4014832521884931E-2</v>
      </c>
      <c r="BX61" s="5">
        <v>6.0435980235490749E-3</v>
      </c>
      <c r="BY61" s="5">
        <v>2.3826621722353881E-2</v>
      </c>
      <c r="BZ61" s="4">
        <v>2.2909357192240014E-2</v>
      </c>
      <c r="CA61" s="4">
        <v>3.4247399349302904E-2</v>
      </c>
      <c r="CB61" s="5">
        <v>3.3137364808470113E-2</v>
      </c>
      <c r="CC61" s="5">
        <v>1.5571543066464015E-2</v>
      </c>
      <c r="CD61" s="5">
        <v>1.7079605816969431E-2</v>
      </c>
      <c r="CE61" s="5">
        <v>6.3895292376790133E-3</v>
      </c>
      <c r="CF61" s="4">
        <v>6.6233242799593117E-3</v>
      </c>
      <c r="CG61" s="5">
        <v>1.2445724441964809E-2</v>
      </c>
      <c r="CH61" s="5">
        <v>1.5513195850372691E-2</v>
      </c>
      <c r="CJ61" s="3" t="s">
        <v>213</v>
      </c>
      <c r="CK61" s="3" t="s">
        <v>133</v>
      </c>
      <c r="CL61" s="5">
        <v>1.6219286606222068E-2</v>
      </c>
      <c r="CM61" s="5">
        <v>1.9166158460166935E-2</v>
      </c>
      <c r="CN61" s="5">
        <v>1.7338769121479088E-2</v>
      </c>
      <c r="CO61" s="5">
        <v>1.1801080492245191E-2</v>
      </c>
      <c r="CP61" s="4">
        <v>7.6003939799341872E-3</v>
      </c>
      <c r="CQ61" s="5">
        <v>1.1440243066203967E-2</v>
      </c>
      <c r="CR61" s="5">
        <v>1.422289653701274E-2</v>
      </c>
      <c r="CS61" s="5">
        <v>1.3104976587038618E-2</v>
      </c>
      <c r="CT61" s="5">
        <v>1.5934633335385633E-2</v>
      </c>
      <c r="CU61" s="5">
        <v>1.5808609057732553E-2</v>
      </c>
      <c r="CV61" s="5">
        <v>2.43587682708689E-2</v>
      </c>
      <c r="CW61" s="5">
        <v>2.4253338811504703E-2</v>
      </c>
      <c r="CX61" s="5">
        <v>1.1467771459099101E-2</v>
      </c>
      <c r="CY61" s="5">
        <v>1.1012722305885667E-2</v>
      </c>
      <c r="CZ61" s="5">
        <v>1.5018359426676595E-2</v>
      </c>
      <c r="DA61" s="5">
        <v>2.6175419357216966E-2</v>
      </c>
      <c r="DB61" s="5">
        <v>2.3413974836334197E-2</v>
      </c>
      <c r="DC61" s="5">
        <v>1.5266741289211598E-2</v>
      </c>
      <c r="DD61" s="5">
        <v>1.1545485602714779E-2</v>
      </c>
      <c r="DE61" s="5">
        <v>1.7738949259259392E-2</v>
      </c>
      <c r="DF61" s="5">
        <v>1.9796130275714953E-2</v>
      </c>
      <c r="DG61" s="5">
        <v>3.228288487861386E-2</v>
      </c>
      <c r="DH61" s="5">
        <v>3.0398155564742461E-2</v>
      </c>
      <c r="DI61" s="5">
        <v>9.5759858445917615E-3</v>
      </c>
      <c r="DJ61" s="5">
        <v>2.9621306192880337E-2</v>
      </c>
      <c r="DK61" s="5">
        <v>3.2233561702493953E-2</v>
      </c>
      <c r="DL61" s="5">
        <v>1.7235317013127763E-2</v>
      </c>
      <c r="DM61" s="5">
        <v>2.6379262355028101E-2</v>
      </c>
      <c r="DN61" s="5">
        <v>4.6009102000202425E-2</v>
      </c>
      <c r="DO61" s="4">
        <v>4.9972467689924888E-2</v>
      </c>
      <c r="DP61" s="5">
        <v>1.7424912668854514E-2</v>
      </c>
      <c r="DQ61" s="5">
        <v>2.8318829042362721E-2</v>
      </c>
      <c r="DR61" s="5">
        <v>2.1583482329517231E-2</v>
      </c>
      <c r="DS61" s="5">
        <v>2.11865637653708E-2</v>
      </c>
      <c r="DT61" s="4">
        <v>3.864770544619562E-2</v>
      </c>
      <c r="DU61" s="5">
        <v>3.9772819641393162E-2</v>
      </c>
      <c r="DV61" s="5">
        <v>2.9575343421069412E-2</v>
      </c>
      <c r="DW61" s="5">
        <v>2.1128964346210938E-2</v>
      </c>
      <c r="DX61" s="5">
        <v>1.4778851067919449E-2</v>
      </c>
      <c r="DY61" s="5">
        <v>9.3730027680631652E-3</v>
      </c>
      <c r="EA61" s="3" t="s">
        <v>213</v>
      </c>
      <c r="EB61" s="3" t="s">
        <v>134</v>
      </c>
      <c r="EC61" s="5">
        <v>7.0866870685286104E-2</v>
      </c>
      <c r="ED61" s="5">
        <v>7.5951370915895169E-2</v>
      </c>
      <c r="EE61" s="5">
        <v>7.8683984261176843E-2</v>
      </c>
      <c r="EF61" s="5">
        <v>9.0833749968832395E-2</v>
      </c>
      <c r="EG61" s="5">
        <v>9.9224696956102448E-2</v>
      </c>
      <c r="EH61" s="5">
        <v>8.7844096660619805E-2</v>
      </c>
      <c r="EI61" s="5">
        <v>8.4027929370227405E-2</v>
      </c>
      <c r="EJ61" s="5">
        <v>8.0120705762094527E-2</v>
      </c>
      <c r="EK61" s="5">
        <v>6.9089953751261382E-2</v>
      </c>
      <c r="EL61" s="5">
        <v>7.047240034957386E-2</v>
      </c>
      <c r="EM61" s="5">
        <v>0.10451294162724779</v>
      </c>
      <c r="EN61" s="5">
        <v>0.1050126740886299</v>
      </c>
      <c r="EO61" s="5">
        <v>0.10502075115962312</v>
      </c>
      <c r="EP61" s="5">
        <v>0.10585443883406996</v>
      </c>
      <c r="EQ61" s="5">
        <v>0.11555519351007669</v>
      </c>
      <c r="ER61" s="5">
        <v>0.12854560429386844</v>
      </c>
      <c r="ES61" s="4">
        <v>0.12500412797621083</v>
      </c>
      <c r="ET61" s="5">
        <v>0.12965254765769557</v>
      </c>
      <c r="EU61" s="5">
        <v>0.12248974309299591</v>
      </c>
      <c r="EV61" s="5">
        <v>0.10020761486976203</v>
      </c>
      <c r="EW61" s="5">
        <v>0.18160407514070737</v>
      </c>
      <c r="EX61" s="5">
        <v>0.20466927307086522</v>
      </c>
      <c r="EY61" s="5">
        <v>0.20390311444786063</v>
      </c>
      <c r="EZ61" s="5">
        <v>0.22455514718710226</v>
      </c>
      <c r="FA61" s="5">
        <v>0.20137024529000375</v>
      </c>
      <c r="FB61" s="5">
        <v>0.16057254094014009</v>
      </c>
      <c r="FC61" s="5">
        <v>0.12383970138990827</v>
      </c>
      <c r="FD61" s="4">
        <v>0.11149584037553682</v>
      </c>
      <c r="FE61" s="5">
        <v>0.11588886493470939</v>
      </c>
      <c r="FF61" s="5">
        <v>0.14035797675299325</v>
      </c>
      <c r="FG61" s="5">
        <v>0.10728720782637464</v>
      </c>
      <c r="FH61" s="5">
        <v>0.10031074114280628</v>
      </c>
      <c r="FI61" s="5">
        <v>9.6221926180236145E-2</v>
      </c>
      <c r="FJ61" s="5">
        <v>9.0852537406405698E-2</v>
      </c>
      <c r="FK61" s="5">
        <v>9.5505384792441111E-2</v>
      </c>
      <c r="FL61" s="5">
        <v>0.10205375890954405</v>
      </c>
      <c r="FM61" s="5">
        <v>0.12360256407919105</v>
      </c>
      <c r="FN61" s="5">
        <v>0.11848128825067268</v>
      </c>
      <c r="FO61" s="5">
        <v>0.11869135846751527</v>
      </c>
      <c r="FP61" s="5">
        <v>0.12202460375412326</v>
      </c>
      <c r="FZ61" s="3" t="s">
        <v>213</v>
      </c>
      <c r="GA61" s="5">
        <v>0.67324960742704754</v>
      </c>
      <c r="GB61" s="5">
        <v>0.65926122961142575</v>
      </c>
      <c r="GC61" s="4">
        <v>0.66137137924675715</v>
      </c>
      <c r="GD61" s="5">
        <v>0.64657594432932375</v>
      </c>
      <c r="GE61" s="5">
        <v>0.64244182568568609</v>
      </c>
      <c r="GF61" s="5">
        <v>0.63672219370144389</v>
      </c>
      <c r="GG61" s="5">
        <v>0.63649761888026768</v>
      </c>
      <c r="GH61" s="5">
        <v>0.65988779719934199</v>
      </c>
      <c r="GI61" s="5">
        <v>0.67690120534176734</v>
      </c>
      <c r="GJ61" s="5">
        <v>0.68361770189883631</v>
      </c>
      <c r="GK61" s="4">
        <v>0.56995700553689532</v>
      </c>
      <c r="GL61" s="5">
        <v>0.584579109202224</v>
      </c>
      <c r="GM61" s="5">
        <v>0.60464922048852021</v>
      </c>
      <c r="GN61" s="5">
        <v>0.59694842122011615</v>
      </c>
      <c r="GO61" s="5">
        <v>0.56021620072368039</v>
      </c>
      <c r="GP61" s="5">
        <v>0.54102727577777021</v>
      </c>
      <c r="GQ61" s="5">
        <v>0.53641515206668544</v>
      </c>
      <c r="GR61" s="5">
        <v>0.54126572727007938</v>
      </c>
      <c r="GS61" s="5">
        <v>0.55497255249545396</v>
      </c>
      <c r="GT61" s="4">
        <v>0.57105156821118574</v>
      </c>
      <c r="GU61" s="4">
        <v>0.37571514698077729</v>
      </c>
      <c r="GV61" s="5">
        <v>0.34060948751536285</v>
      </c>
      <c r="GW61" s="5">
        <v>0.33662233528193453</v>
      </c>
      <c r="GX61" s="5">
        <v>0.31787682741417561</v>
      </c>
      <c r="GY61" s="5">
        <v>0.32415859155136206</v>
      </c>
      <c r="GZ61" s="5">
        <v>0.37504607778603455</v>
      </c>
      <c r="HA61" s="5">
        <v>0.43367559865467142</v>
      </c>
      <c r="HB61" s="5">
        <v>0.46684532194426931</v>
      </c>
      <c r="HC61" s="5">
        <v>0.4468147577966024</v>
      </c>
      <c r="HD61" s="4">
        <v>0.42165760648179956</v>
      </c>
      <c r="HE61" s="5">
        <v>0.55470653012863635</v>
      </c>
      <c r="HF61" s="4">
        <v>0.55230837498174457</v>
      </c>
      <c r="HG61" s="5">
        <v>0.56375039925267079</v>
      </c>
      <c r="HH61" s="5">
        <v>0.57845736594156139</v>
      </c>
      <c r="HI61" s="5">
        <v>0.57097139024411869</v>
      </c>
      <c r="HJ61" s="5">
        <v>0.55692857975911136</v>
      </c>
      <c r="HK61" s="5">
        <v>0.55189535971290282</v>
      </c>
      <c r="HL61" s="5">
        <v>0.55901866178200654</v>
      </c>
      <c r="HM61" s="4">
        <v>0.56235344569488299</v>
      </c>
      <c r="HN61" s="5">
        <v>0.56298433138642712</v>
      </c>
      <c r="HP61" s="3" t="s">
        <v>175</v>
      </c>
      <c r="HQ61" s="3" t="s">
        <v>140</v>
      </c>
      <c r="HR61" s="3" t="s">
        <v>141</v>
      </c>
      <c r="HS61" s="5">
        <v>0.71365363656946124</v>
      </c>
    </row>
    <row r="62" spans="2:227" x14ac:dyDescent="0.45">
      <c r="B62" s="6" t="s">
        <v>214</v>
      </c>
      <c r="C62" s="6" t="s">
        <v>131</v>
      </c>
      <c r="D62" s="8">
        <v>0.22719682043495115</v>
      </c>
      <c r="E62" s="8">
        <v>0.23175028320082944</v>
      </c>
      <c r="F62" s="8">
        <v>0.2467324160004413</v>
      </c>
      <c r="G62" s="8">
        <v>0.25233307284209672</v>
      </c>
      <c r="H62" s="8">
        <v>0.2501163026064554</v>
      </c>
      <c r="I62" s="8">
        <v>0.24249845043837004</v>
      </c>
      <c r="J62" s="8">
        <v>0.24823609811280695</v>
      </c>
      <c r="K62" s="8">
        <v>0.250117878257613</v>
      </c>
      <c r="L62" s="8">
        <v>0.25085356369497974</v>
      </c>
      <c r="M62" s="8">
        <v>0.23435561997272658</v>
      </c>
      <c r="N62" s="8">
        <v>0.29637750222495468</v>
      </c>
      <c r="O62" s="8">
        <v>0.29835330610163951</v>
      </c>
      <c r="P62" s="8">
        <v>0.3047398774223008</v>
      </c>
      <c r="Q62" s="8">
        <v>0.31710048754587938</v>
      </c>
      <c r="R62" s="8">
        <v>0.31322470449306139</v>
      </c>
      <c r="S62" s="8">
        <v>0.30541972036857717</v>
      </c>
      <c r="T62" s="8">
        <v>0.30257906283720326</v>
      </c>
      <c r="U62" s="8">
        <v>0.29466668417545211</v>
      </c>
      <c r="V62" s="8">
        <v>0.28356091988567106</v>
      </c>
      <c r="W62" s="8">
        <v>0.28600220118846803</v>
      </c>
      <c r="X62" s="8">
        <v>0.31809587141246642</v>
      </c>
      <c r="Y62" s="8">
        <v>0.33404758793819683</v>
      </c>
      <c r="Z62" s="8">
        <v>0.32302221919597257</v>
      </c>
      <c r="AA62" s="8">
        <v>0.30418192585059467</v>
      </c>
      <c r="AB62" s="8">
        <v>0.30220649276494033</v>
      </c>
      <c r="AC62" s="8">
        <v>0.29434219893205593</v>
      </c>
      <c r="AD62" s="8">
        <v>0.29271017611569217</v>
      </c>
      <c r="AE62" s="8">
        <v>0.29914783814858997</v>
      </c>
      <c r="AF62" s="8">
        <v>0.30413350160977276</v>
      </c>
      <c r="AG62" s="8">
        <v>0.30315215951900187</v>
      </c>
      <c r="AH62" s="8">
        <v>0.24708439945078547</v>
      </c>
      <c r="AI62" s="8">
        <v>0.23414125510322809</v>
      </c>
      <c r="AJ62" s="8">
        <v>0.22268635395392236</v>
      </c>
      <c r="AK62" s="8">
        <v>0.22879968884629603</v>
      </c>
      <c r="AL62" s="8">
        <v>0.24997967145860597</v>
      </c>
      <c r="AM62" s="8">
        <v>0.24573756225678017</v>
      </c>
      <c r="AN62" s="8">
        <v>0.2484381760572224</v>
      </c>
      <c r="AO62" s="8">
        <v>0.24644499820968843</v>
      </c>
      <c r="AP62" s="8">
        <v>0.24053854041546233</v>
      </c>
      <c r="AQ62" s="8">
        <v>0.24773147241399582</v>
      </c>
      <c r="AS62" s="6" t="s">
        <v>214</v>
      </c>
      <c r="AT62" s="6" t="s">
        <v>132</v>
      </c>
      <c r="AU62" s="8">
        <v>1.8956877518751084E-2</v>
      </c>
      <c r="AV62" s="7">
        <v>1.6323899009425661E-2</v>
      </c>
      <c r="AW62" s="8">
        <v>1.7011811924067151E-2</v>
      </c>
      <c r="AX62" s="8">
        <v>2.1069516124383132E-2</v>
      </c>
      <c r="AY62" s="8">
        <v>1.5809806621752062E-2</v>
      </c>
      <c r="AZ62" s="8">
        <v>1.7290378948011276E-2</v>
      </c>
      <c r="BA62" s="8">
        <v>2.0627102764529961E-2</v>
      </c>
      <c r="BB62" s="8">
        <v>1.7949201596701686E-2</v>
      </c>
      <c r="BC62" s="8">
        <v>1.5620906059087744E-2</v>
      </c>
      <c r="BD62" s="8">
        <v>2.116524622000613E-2</v>
      </c>
      <c r="BE62" s="8">
        <v>1.7731536952906378E-2</v>
      </c>
      <c r="BF62" s="8">
        <v>1.8671606201339206E-2</v>
      </c>
      <c r="BG62" s="8">
        <v>1.4560185134355242E-2</v>
      </c>
      <c r="BH62" s="8">
        <v>8.4295991848178705E-3</v>
      </c>
      <c r="BI62" s="8">
        <v>6.8085628698030219E-3</v>
      </c>
      <c r="BJ62" s="8">
        <v>1.2163118530251702E-2</v>
      </c>
      <c r="BK62" s="8">
        <v>1.2609890557039196E-2</v>
      </c>
      <c r="BL62" s="7">
        <v>1.5784896236196798E-2</v>
      </c>
      <c r="BM62" s="8">
        <v>2.0037295988054399E-2</v>
      </c>
      <c r="BN62" s="8">
        <v>2.919265942744622E-2</v>
      </c>
      <c r="BO62" s="8">
        <v>1.9479537974788796E-2</v>
      </c>
      <c r="BP62" s="8">
        <v>1.3824756539494701E-2</v>
      </c>
      <c r="BQ62" s="8">
        <v>2.6937345543090692E-2</v>
      </c>
      <c r="BR62" s="8">
        <v>2.2410474252742396E-2</v>
      </c>
      <c r="BS62" s="8">
        <v>1.7617188615002877E-2</v>
      </c>
      <c r="BT62" s="7">
        <v>2.6136044277683627E-2</v>
      </c>
      <c r="BU62" s="8">
        <v>1.3150866241006072E-2</v>
      </c>
      <c r="BV62" s="8">
        <v>8.0397089388230657E-3</v>
      </c>
      <c r="BW62" s="8">
        <v>1.472226872672181E-2</v>
      </c>
      <c r="BX62" s="8">
        <v>2.214877830262045E-2</v>
      </c>
      <c r="BY62" s="8">
        <v>1.5536932495807516E-2</v>
      </c>
      <c r="BZ62" s="7">
        <v>2.4203569852638676E-2</v>
      </c>
      <c r="CA62" s="7">
        <v>1.6958790148185708E-2</v>
      </c>
      <c r="CB62" s="8">
        <v>1.0350020292081525E-2</v>
      </c>
      <c r="CC62" s="8">
        <v>1.6686815027343278E-2</v>
      </c>
      <c r="CD62" s="8">
        <v>1.8629853531708915E-2</v>
      </c>
      <c r="CE62" s="8">
        <v>1.5122365386076968E-2</v>
      </c>
      <c r="CF62" s="7">
        <v>1.3272232640095229E-2</v>
      </c>
      <c r="CG62" s="8">
        <v>1.6019014937594007E-2</v>
      </c>
      <c r="CH62" s="8">
        <v>1.7403967987928003E-2</v>
      </c>
      <c r="CJ62" s="6" t="s">
        <v>214</v>
      </c>
      <c r="CK62" s="6" t="s">
        <v>133</v>
      </c>
      <c r="CL62" s="8">
        <v>1.9451734138733655E-2</v>
      </c>
      <c r="CM62" s="8">
        <v>1.8787895985262915E-2</v>
      </c>
      <c r="CN62" s="8">
        <v>2.2421067863753426E-2</v>
      </c>
      <c r="CO62" s="8">
        <v>2.151366097041784E-2</v>
      </c>
      <c r="CP62" s="7">
        <v>2.3470518290468312E-2</v>
      </c>
      <c r="CQ62" s="8">
        <v>2.2618999701080986E-2</v>
      </c>
      <c r="CR62" s="8">
        <v>2.8741338065052822E-2</v>
      </c>
      <c r="CS62" s="8">
        <v>1.9697715672442998E-2</v>
      </c>
      <c r="CT62" s="8">
        <v>2.1949942026667335E-2</v>
      </c>
      <c r="CU62" s="8">
        <v>1.9342118595742662E-2</v>
      </c>
      <c r="CV62" s="8">
        <v>2.4614806693631204E-2</v>
      </c>
      <c r="CW62" s="8">
        <v>2.2713675207791301E-2</v>
      </c>
      <c r="CX62" s="8">
        <v>2.3249194600646898E-2</v>
      </c>
      <c r="CY62" s="8">
        <v>3.1949354163746196E-2</v>
      </c>
      <c r="CZ62" s="8">
        <v>1.5390793761897784E-2</v>
      </c>
      <c r="DA62" s="8">
        <v>5.893685553653054E-3</v>
      </c>
      <c r="DB62" s="8">
        <v>9.825863557555669E-3</v>
      </c>
      <c r="DC62" s="8">
        <v>1.6334509562308475E-2</v>
      </c>
      <c r="DD62" s="8">
        <v>1.8923011341712453E-2</v>
      </c>
      <c r="DE62" s="8">
        <v>1.940639672122671E-2</v>
      </c>
      <c r="DF62" s="8">
        <v>2.9350868639254239E-2</v>
      </c>
      <c r="DG62" s="8">
        <v>3.0771844696606411E-2</v>
      </c>
      <c r="DH62" s="8">
        <v>1.5583061987410701E-2</v>
      </c>
      <c r="DI62" s="8">
        <v>1.9137871059920365E-2</v>
      </c>
      <c r="DJ62" s="8">
        <v>3.6850190438960075E-2</v>
      </c>
      <c r="DK62" s="8">
        <v>3.7106456928411295E-2</v>
      </c>
      <c r="DL62" s="8">
        <v>3.8165315634107778E-2</v>
      </c>
      <c r="DM62" s="8">
        <v>4.1823400820824641E-2</v>
      </c>
      <c r="DN62" s="8">
        <v>2.9644776516340982E-2</v>
      </c>
      <c r="DO62" s="7">
        <v>1.7700663258028583E-2</v>
      </c>
      <c r="DP62" s="8">
        <v>1.6464141587291124E-2</v>
      </c>
      <c r="DQ62" s="8">
        <v>1.2556667506778111E-2</v>
      </c>
      <c r="DR62" s="8">
        <v>2.0714753448855289E-2</v>
      </c>
      <c r="DS62" s="8">
        <v>2.6763194867254984E-2</v>
      </c>
      <c r="DT62" s="7">
        <v>2.094924670510049E-2</v>
      </c>
      <c r="DU62" s="8">
        <v>1.2886815687306487E-2</v>
      </c>
      <c r="DV62" s="8">
        <v>1.6598477349529295E-2</v>
      </c>
      <c r="DW62" s="8">
        <v>2.034918813177514E-2</v>
      </c>
      <c r="DX62" s="8">
        <v>2.347297641713576E-2</v>
      </c>
      <c r="DY62" s="8">
        <v>1.8096880932963907E-2</v>
      </c>
      <c r="EA62" s="6" t="s">
        <v>214</v>
      </c>
      <c r="EB62" s="6" t="s">
        <v>134</v>
      </c>
      <c r="EC62" s="8">
        <v>6.5892780662202444E-2</v>
      </c>
      <c r="ED62" s="8">
        <v>7.696933965325703E-2</v>
      </c>
      <c r="EE62" s="8">
        <v>8.293533358996287E-2</v>
      </c>
      <c r="EF62" s="8">
        <v>8.5278113718560061E-2</v>
      </c>
      <c r="EG62" s="8">
        <v>7.8770237074251528E-2</v>
      </c>
      <c r="EH62" s="8">
        <v>7.3083069255037922E-2</v>
      </c>
      <c r="EI62" s="8">
        <v>7.0173499179946613E-2</v>
      </c>
      <c r="EJ62" s="8">
        <v>8.8157226171067124E-2</v>
      </c>
      <c r="EK62" s="8">
        <v>8.3308483238111852E-2</v>
      </c>
      <c r="EL62" s="8">
        <v>6.8029871429970204E-2</v>
      </c>
      <c r="EM62" s="8">
        <v>0.12288461806203248</v>
      </c>
      <c r="EN62" s="8">
        <v>0.1252984614693442</v>
      </c>
      <c r="EO62" s="8">
        <v>0.13292627739875565</v>
      </c>
      <c r="EP62" s="8">
        <v>0.13719301371171166</v>
      </c>
      <c r="EQ62" s="8">
        <v>0.16082021112563075</v>
      </c>
      <c r="ER62" s="8">
        <v>0.15906115563470663</v>
      </c>
      <c r="ES62" s="7">
        <v>0.15408820539097762</v>
      </c>
      <c r="ET62" s="8">
        <v>0.13871664430004846</v>
      </c>
      <c r="EU62" s="8">
        <v>0.11823345023785613</v>
      </c>
      <c r="EV62" s="8">
        <v>0.11370640728396841</v>
      </c>
      <c r="EW62" s="8">
        <v>0.14821945606231418</v>
      </c>
      <c r="EX62" s="8">
        <v>0.15674034515137059</v>
      </c>
      <c r="EY62" s="8">
        <v>0.15389771893401091</v>
      </c>
      <c r="EZ62" s="8">
        <v>0.13685576815108316</v>
      </c>
      <c r="FA62" s="8">
        <v>0.12058312808677607</v>
      </c>
      <c r="FB62" s="8">
        <v>0.10895567856906603</v>
      </c>
      <c r="FC62" s="8">
        <v>0.12499237342719895</v>
      </c>
      <c r="FD62" s="7">
        <v>0.13126455404752105</v>
      </c>
      <c r="FE62" s="8">
        <v>0.13953135824983195</v>
      </c>
      <c r="FF62" s="8">
        <v>0.15174301464137246</v>
      </c>
      <c r="FG62" s="8">
        <v>9.1464780710958288E-2</v>
      </c>
      <c r="FH62" s="8">
        <v>8.2718508887167655E-2</v>
      </c>
      <c r="FI62" s="8">
        <v>8.3464416049673792E-2</v>
      </c>
      <c r="FJ62" s="8">
        <v>8.5107498167627221E-2</v>
      </c>
      <c r="FK62" s="8">
        <v>8.9863969947611977E-2</v>
      </c>
      <c r="FL62" s="8">
        <v>8.9756949335039554E-2</v>
      </c>
      <c r="FM62" s="8">
        <v>8.2709309950228238E-2</v>
      </c>
      <c r="FN62" s="8">
        <v>8.4932634929243578E-2</v>
      </c>
      <c r="FO62" s="8">
        <v>7.5741245267730573E-2</v>
      </c>
      <c r="FP62" s="8">
        <v>8.9606101159325019E-2</v>
      </c>
      <c r="FZ62" s="6" t="s">
        <v>214</v>
      </c>
      <c r="GA62" s="8">
        <v>0.66705214649095945</v>
      </c>
      <c r="GB62" s="8">
        <v>0.65599810614802723</v>
      </c>
      <c r="GC62" s="7">
        <v>0.63906359652726141</v>
      </c>
      <c r="GD62" s="8">
        <v>0.62550730980905977</v>
      </c>
      <c r="GE62" s="8">
        <v>0.62951287231915076</v>
      </c>
      <c r="GF62" s="8">
        <v>0.6419003777736112</v>
      </c>
      <c r="GG62" s="8">
        <v>0.63194991498723219</v>
      </c>
      <c r="GH62" s="8">
        <v>0.62541502121304349</v>
      </c>
      <c r="GI62" s="8">
        <v>0.63320384215150716</v>
      </c>
      <c r="GJ62" s="8">
        <v>0.6493773955729597</v>
      </c>
      <c r="GK62" s="7">
        <v>0.53055411959824117</v>
      </c>
      <c r="GL62" s="8">
        <v>0.52932088360707907</v>
      </c>
      <c r="GM62" s="8">
        <v>0.52209044972626795</v>
      </c>
      <c r="GN62" s="8">
        <v>0.50494162530525766</v>
      </c>
      <c r="GO62" s="8">
        <v>0.49113297240143833</v>
      </c>
      <c r="GP62" s="8">
        <v>0.49074088999478899</v>
      </c>
      <c r="GQ62" s="8">
        <v>0.49375259767443397</v>
      </c>
      <c r="GR62" s="8">
        <v>0.50725425552024628</v>
      </c>
      <c r="GS62" s="8">
        <v>0.53461180707456679</v>
      </c>
      <c r="GT62" s="7">
        <v>0.53553785115734709</v>
      </c>
      <c r="GU62" s="7">
        <v>0.43374454606790219</v>
      </c>
      <c r="GV62" s="8">
        <v>0.44237588276912082</v>
      </c>
      <c r="GW62" s="8">
        <v>0.45831891374883721</v>
      </c>
      <c r="GX62" s="8">
        <v>0.47247417412119652</v>
      </c>
      <c r="GY62" s="8">
        <v>0.47966444989240109</v>
      </c>
      <c r="GZ62" s="8">
        <v>0.48625085414580821</v>
      </c>
      <c r="HA62" s="8">
        <v>0.47284531976667837</v>
      </c>
      <c r="HB62" s="8">
        <v>0.45115183251539032</v>
      </c>
      <c r="HC62" s="8">
        <v>0.43354300729126277</v>
      </c>
      <c r="HD62" s="7">
        <v>0.42926928297736994</v>
      </c>
      <c r="HE62" s="8">
        <v>0.62770065000146968</v>
      </c>
      <c r="HF62" s="7">
        <v>0.62229261613657194</v>
      </c>
      <c r="HG62" s="8">
        <v>0.60842015628641255</v>
      </c>
      <c r="HH62" s="8">
        <v>0.60529715030515241</v>
      </c>
      <c r="HI62" s="8">
        <v>0.60126338914691047</v>
      </c>
      <c r="HJ62" s="8">
        <v>0.61794736387247162</v>
      </c>
      <c r="HK62" s="8">
        <v>0.62033937660529359</v>
      </c>
      <c r="HL62" s="8">
        <v>0.61724936163716393</v>
      </c>
      <c r="HM62" s="7">
        <v>0.62926978466474193</v>
      </c>
      <c r="HN62" s="8">
        <v>0.62303084783033436</v>
      </c>
      <c r="HP62" s="6" t="s">
        <v>177</v>
      </c>
      <c r="HQ62" s="6" t="s">
        <v>140</v>
      </c>
      <c r="HR62" s="6" t="s">
        <v>141</v>
      </c>
      <c r="HS62" s="8">
        <v>0.71093284711387239</v>
      </c>
    </row>
    <row r="63" spans="2:227" x14ac:dyDescent="0.45">
      <c r="B63" s="3" t="s">
        <v>215</v>
      </c>
      <c r="C63" s="3" t="s">
        <v>131</v>
      </c>
      <c r="D63" s="5">
        <v>0.22875639144957624</v>
      </c>
      <c r="E63" s="5">
        <v>0.23782467040098104</v>
      </c>
      <c r="F63" s="5">
        <v>0.21621516867818846</v>
      </c>
      <c r="G63" s="5">
        <v>0.2154822803575159</v>
      </c>
      <c r="H63" s="5">
        <v>0.21304065353659163</v>
      </c>
      <c r="I63" s="5">
        <v>0.22184766439215792</v>
      </c>
      <c r="J63" s="5">
        <v>0.22770854716993608</v>
      </c>
      <c r="K63" s="5">
        <v>0.23102338258534499</v>
      </c>
      <c r="L63" s="5">
        <v>0.20193502870862173</v>
      </c>
      <c r="M63" s="5">
        <v>0.20150100186260653</v>
      </c>
      <c r="N63" s="5">
        <v>0.28950826155465442</v>
      </c>
      <c r="O63" s="5">
        <v>0.30181455675908803</v>
      </c>
      <c r="P63" s="5">
        <v>0.31566112661799234</v>
      </c>
      <c r="Q63" s="5">
        <v>0.3219739125900819</v>
      </c>
      <c r="R63" s="5">
        <v>0.33177256881359463</v>
      </c>
      <c r="S63" s="5">
        <v>0.32527116584674343</v>
      </c>
      <c r="T63" s="5">
        <v>0.30633868238781786</v>
      </c>
      <c r="U63" s="5">
        <v>0.28679540405190185</v>
      </c>
      <c r="V63" s="5">
        <v>0.27844697123268619</v>
      </c>
      <c r="W63" s="5">
        <v>0.28538281854845721</v>
      </c>
      <c r="X63" s="5">
        <v>0.33900861135873511</v>
      </c>
      <c r="Y63" s="5">
        <v>0.33401696198083064</v>
      </c>
      <c r="Z63" s="5">
        <v>0.32637170601402299</v>
      </c>
      <c r="AA63" s="5">
        <v>0.31867411388758576</v>
      </c>
      <c r="AB63" s="5">
        <v>0.31608017666145566</v>
      </c>
      <c r="AC63" s="5">
        <v>0.31299768728776678</v>
      </c>
      <c r="AD63" s="5">
        <v>0.32022713795247015</v>
      </c>
      <c r="AE63" s="5">
        <v>0.31909473949488754</v>
      </c>
      <c r="AF63" s="5">
        <v>0.32203217454736288</v>
      </c>
      <c r="AG63" s="5">
        <v>0.34077670027479667</v>
      </c>
      <c r="AH63" s="5">
        <v>0.23918328022476082</v>
      </c>
      <c r="AI63" s="5">
        <v>0.23231596390289233</v>
      </c>
      <c r="AJ63" s="5">
        <v>0.22178918937573497</v>
      </c>
      <c r="AK63" s="5">
        <v>0.23397520956352652</v>
      </c>
      <c r="AL63" s="5">
        <v>0.25628677641263237</v>
      </c>
      <c r="AM63" s="5">
        <v>0.25482879333497821</v>
      </c>
      <c r="AN63" s="5">
        <v>0.24682402074732235</v>
      </c>
      <c r="AO63" s="5">
        <v>0.24087378939097764</v>
      </c>
      <c r="AP63" s="5">
        <v>0.2272095189889092</v>
      </c>
      <c r="AQ63" s="5">
        <v>0.23704865769083255</v>
      </c>
      <c r="AS63" s="3" t="s">
        <v>215</v>
      </c>
      <c r="AT63" s="3" t="s">
        <v>132</v>
      </c>
      <c r="AU63" s="5">
        <v>2.0985076052787755E-2</v>
      </c>
      <c r="AV63" s="4">
        <v>4.5694514915691296E-3</v>
      </c>
      <c r="AW63" s="5">
        <v>8.9161627917001534E-3</v>
      </c>
      <c r="AX63" s="5">
        <v>1.4445392768400817E-2</v>
      </c>
      <c r="AY63" s="5">
        <v>2.2205886025832414E-2</v>
      </c>
      <c r="AZ63" s="5">
        <v>1.9889679517373551E-2</v>
      </c>
      <c r="BA63" s="5">
        <v>1.4469334639559123E-2</v>
      </c>
      <c r="BB63" s="5">
        <v>1.443742458156539E-2</v>
      </c>
      <c r="BC63" s="5">
        <v>1.2502539120188429E-2</v>
      </c>
      <c r="BD63" s="5">
        <v>1.9355752059213562E-2</v>
      </c>
      <c r="BE63" s="5">
        <v>1.4833354384365975E-2</v>
      </c>
      <c r="BF63" s="5">
        <v>1.48710991335255E-2</v>
      </c>
      <c r="BG63" s="5">
        <v>1.0752898777463637E-2</v>
      </c>
      <c r="BH63" s="5">
        <v>1.5135703653263658E-3</v>
      </c>
      <c r="BI63" s="5">
        <v>7.1923206703577965E-3</v>
      </c>
      <c r="BJ63" s="5">
        <v>1.2358985701463888E-2</v>
      </c>
      <c r="BK63" s="5">
        <v>1.699575927898278E-2</v>
      </c>
      <c r="BL63" s="4">
        <v>1.2071633603444079E-2</v>
      </c>
      <c r="BM63" s="5">
        <v>1.9474360491417323E-2</v>
      </c>
      <c r="BN63" s="5">
        <v>2.290494774572871E-2</v>
      </c>
      <c r="BO63" s="5">
        <v>2.3644144657950131E-2</v>
      </c>
      <c r="BP63" s="5">
        <v>2.5040437837414255E-2</v>
      </c>
      <c r="BQ63" s="5">
        <v>1.4082097855679671E-2</v>
      </c>
      <c r="BR63" s="5">
        <v>2.0757156719059366E-2</v>
      </c>
      <c r="BS63" s="5">
        <v>1.6817345612698532E-2</v>
      </c>
      <c r="BT63" s="4">
        <v>2.9691216694933024E-2</v>
      </c>
      <c r="BU63" s="5">
        <v>1.7571994817144502E-2</v>
      </c>
      <c r="BV63" s="5">
        <v>1.1717406785600928E-2</v>
      </c>
      <c r="BW63" s="5">
        <v>2.7245835914642743E-2</v>
      </c>
      <c r="BX63" s="5">
        <v>3.4003025559350884E-2</v>
      </c>
      <c r="BY63" s="5">
        <v>1.3647962108393714E-2</v>
      </c>
      <c r="BZ63" s="4">
        <v>9.3402874391411827E-3</v>
      </c>
      <c r="CA63" s="4">
        <v>7.3218118172633561E-3</v>
      </c>
      <c r="CB63" s="5">
        <v>8.9989892104365126E-3</v>
      </c>
      <c r="CC63" s="5">
        <v>1.5568058128199076E-2</v>
      </c>
      <c r="CD63" s="5">
        <v>1.6424515700007455E-2</v>
      </c>
      <c r="CE63" s="5">
        <v>1.3495152662449602E-2</v>
      </c>
      <c r="CF63" s="4">
        <v>1.6485504265954142E-2</v>
      </c>
      <c r="CG63" s="5">
        <v>1.7396265147774034E-2</v>
      </c>
      <c r="CH63" s="5">
        <v>1.3336652076133429E-2</v>
      </c>
      <c r="CJ63" s="3" t="s">
        <v>215</v>
      </c>
      <c r="CK63" s="3" t="s">
        <v>133</v>
      </c>
      <c r="CL63" s="5">
        <v>1.7022959235822432E-2</v>
      </c>
      <c r="CM63" s="5">
        <v>3.2372963787732259E-2</v>
      </c>
      <c r="CN63" s="5">
        <v>1.8392007986285042E-2</v>
      </c>
      <c r="CO63" s="5">
        <v>6.6138308882979779E-3</v>
      </c>
      <c r="CP63" s="4">
        <v>4.2546736839301786E-3</v>
      </c>
      <c r="CQ63" s="5">
        <v>1.2322413021349104E-2</v>
      </c>
      <c r="CR63" s="5">
        <v>2.2195435404722415E-2</v>
      </c>
      <c r="CS63" s="5">
        <v>2.1471439416528217E-2</v>
      </c>
      <c r="CT63" s="5">
        <v>1.773954986580175E-2</v>
      </c>
      <c r="CU63" s="5">
        <v>9.4459930802788319E-3</v>
      </c>
      <c r="CV63" s="5">
        <v>2.1205573182612372E-2</v>
      </c>
      <c r="CW63" s="5">
        <v>2.3967269180295674E-2</v>
      </c>
      <c r="CX63" s="5">
        <v>2.5099753272319954E-2</v>
      </c>
      <c r="CY63" s="5">
        <v>3.3449092176545479E-2</v>
      </c>
      <c r="CZ63" s="5">
        <v>2.1743959732275026E-2</v>
      </c>
      <c r="DA63" s="5">
        <v>8.7827366033799252E-3</v>
      </c>
      <c r="DB63" s="5">
        <v>4.2297839897027321E-3</v>
      </c>
      <c r="DC63" s="5">
        <v>1.3303662196647798E-2</v>
      </c>
      <c r="DD63" s="5">
        <v>1.2606528223162859E-2</v>
      </c>
      <c r="DE63" s="5">
        <v>1.7033997105451722E-2</v>
      </c>
      <c r="DF63" s="5">
        <v>3.2622182883388341E-2</v>
      </c>
      <c r="DG63" s="5">
        <v>2.4172581403463858E-2</v>
      </c>
      <c r="DH63" s="5">
        <v>4.1841768993807489E-2</v>
      </c>
      <c r="DI63" s="5">
        <v>2.8934054094187908E-2</v>
      </c>
      <c r="DJ63" s="5">
        <v>2.5956956090212067E-2</v>
      </c>
      <c r="DK63" s="5">
        <v>2.5085458936037888E-2</v>
      </c>
      <c r="DL63" s="5">
        <v>4.8089803910560301E-2</v>
      </c>
      <c r="DM63" s="5">
        <v>3.6612931198123581E-2</v>
      </c>
      <c r="DN63" s="5">
        <v>3.2389512908194959E-2</v>
      </c>
      <c r="DO63" s="4">
        <v>1.7463998203688904E-2</v>
      </c>
      <c r="DP63" s="5">
        <v>1.6269662884776492E-2</v>
      </c>
      <c r="DQ63" s="5">
        <v>2.4250193163167174E-2</v>
      </c>
      <c r="DR63" s="5">
        <v>1.5017844466015354E-2</v>
      </c>
      <c r="DS63" s="5">
        <v>1.4114593377593567E-2</v>
      </c>
      <c r="DT63" s="4">
        <v>8.0783747568151168E-3</v>
      </c>
      <c r="DU63" s="5">
        <v>8.8558411545198498E-3</v>
      </c>
      <c r="DV63" s="5">
        <v>1.517529352831125E-2</v>
      </c>
      <c r="DW63" s="5">
        <v>1.7018234757966204E-2</v>
      </c>
      <c r="DX63" s="5">
        <v>1.721901748764133E-2</v>
      </c>
      <c r="DY63" s="5">
        <v>1.9432823752876964E-2</v>
      </c>
      <c r="EA63" s="3" t="s">
        <v>215</v>
      </c>
      <c r="EB63" s="3" t="s">
        <v>134</v>
      </c>
      <c r="EC63" s="5">
        <v>5.6745593403945901E-2</v>
      </c>
      <c r="ED63" s="5">
        <v>7.1268957795784557E-2</v>
      </c>
      <c r="EE63" s="5">
        <v>6.9519925498639737E-2</v>
      </c>
      <c r="EF63" s="5">
        <v>6.7833886546943695E-2</v>
      </c>
      <c r="EG63" s="5">
        <v>6.7840730678256772E-2</v>
      </c>
      <c r="EH63" s="5">
        <v>6.6496075172222363E-2</v>
      </c>
      <c r="EI63" s="5">
        <v>6.7369852463203692E-2</v>
      </c>
      <c r="EJ63" s="5">
        <v>7.0719008760515109E-2</v>
      </c>
      <c r="EK63" s="5">
        <v>6.0864438405374269E-2</v>
      </c>
      <c r="EL63" s="5">
        <v>5.2894704206519982E-2</v>
      </c>
      <c r="EM63" s="5">
        <v>0.11128645391356225</v>
      </c>
      <c r="EN63" s="5">
        <v>0.12046734478095979</v>
      </c>
      <c r="EO63" s="5">
        <v>0.13561007922448237</v>
      </c>
      <c r="EP63" s="5">
        <v>0.14035445706451277</v>
      </c>
      <c r="EQ63" s="5">
        <v>0.15174704730362634</v>
      </c>
      <c r="ER63" s="5">
        <v>0.15907288046519028</v>
      </c>
      <c r="ES63" s="4">
        <v>0.14485290197204861</v>
      </c>
      <c r="ET63" s="5">
        <v>0.12337805199554616</v>
      </c>
      <c r="EU63" s="5">
        <v>0.11084139845135632</v>
      </c>
      <c r="EV63" s="5">
        <v>0.10680034005130309</v>
      </c>
      <c r="EW63" s="5">
        <v>0.15529526748600772</v>
      </c>
      <c r="EX63" s="5">
        <v>0.15569299114883065</v>
      </c>
      <c r="EY63" s="5">
        <v>0.14159040766841685</v>
      </c>
      <c r="EZ63" s="5">
        <v>0.147883028160539</v>
      </c>
      <c r="FA63" s="5">
        <v>0.14691906027445509</v>
      </c>
      <c r="FB63" s="5">
        <v>0.13369320544229527</v>
      </c>
      <c r="FC63" s="5">
        <v>0.14035106900582084</v>
      </c>
      <c r="FD63" s="4">
        <v>0.15793410675614128</v>
      </c>
      <c r="FE63" s="5">
        <v>0.14591002437525857</v>
      </c>
      <c r="FF63" s="5">
        <v>0.16192408854296664</v>
      </c>
      <c r="FG63" s="5">
        <v>7.3849125769990254E-2</v>
      </c>
      <c r="FH63" s="5">
        <v>7.7165626347162425E-2</v>
      </c>
      <c r="FI63" s="5">
        <v>8.4727178556376306E-2</v>
      </c>
      <c r="FJ63" s="5">
        <v>8.9697454670689514E-2</v>
      </c>
      <c r="FK63" s="5">
        <v>9.2756105917072507E-2</v>
      </c>
      <c r="FL63" s="5">
        <v>9.476620336334296E-2</v>
      </c>
      <c r="FM63" s="5">
        <v>8.6333654125656162E-2</v>
      </c>
      <c r="FN63" s="5">
        <v>7.8956857918703521E-2</v>
      </c>
      <c r="FO63" s="5">
        <v>7.2394943039356396E-2</v>
      </c>
      <c r="FP63" s="5">
        <v>7.2137674562978343E-2</v>
      </c>
      <c r="FZ63" s="3" t="s">
        <v>215</v>
      </c>
      <c r="GA63" s="5">
        <v>0.69949524291903298</v>
      </c>
      <c r="GB63" s="5">
        <v>0.67673428184917572</v>
      </c>
      <c r="GC63" s="4">
        <v>0.6950016013777407</v>
      </c>
      <c r="GD63" s="5">
        <v>0.70155608529663471</v>
      </c>
      <c r="GE63" s="5">
        <v>0.69622230112351058</v>
      </c>
      <c r="GF63" s="5">
        <v>0.68371216062245221</v>
      </c>
      <c r="GG63" s="5">
        <v>0.67641052917831501</v>
      </c>
      <c r="GH63" s="5">
        <v>0.67268735034724325</v>
      </c>
      <c r="GI63" s="5">
        <v>0.6953524804145309</v>
      </c>
      <c r="GJ63" s="5">
        <v>0.71673457789939432</v>
      </c>
      <c r="GK63" s="4">
        <v>0.57961209477348752</v>
      </c>
      <c r="GL63" s="5">
        <v>0.5620491106604939</v>
      </c>
      <c r="GM63" s="5">
        <v>0.5453021958086558</v>
      </c>
      <c r="GN63" s="5">
        <v>0.53231356165696553</v>
      </c>
      <c r="GO63" s="5">
        <v>0.52099605779082125</v>
      </c>
      <c r="GP63" s="5">
        <v>0.52468276647262213</v>
      </c>
      <c r="GQ63" s="5">
        <v>0.54442911328585519</v>
      </c>
      <c r="GR63" s="5">
        <v>0.56857140985933541</v>
      </c>
      <c r="GS63" s="5">
        <v>0.58386338458095532</v>
      </c>
      <c r="GT63" s="4">
        <v>0.58883513108919294</v>
      </c>
      <c r="GU63" s="4">
        <v>0.43082031143066291</v>
      </c>
      <c r="GV63" s="5">
        <v>0.43827870790050882</v>
      </c>
      <c r="GW63" s="5">
        <v>0.44903651311893461</v>
      </c>
      <c r="GX63" s="5">
        <v>0.4495464619873456</v>
      </c>
      <c r="GY63" s="5">
        <v>0.44572713077412557</v>
      </c>
      <c r="GZ63" s="5">
        <v>0.43936843726285163</v>
      </c>
      <c r="HA63" s="5">
        <v>0.41948881816842581</v>
      </c>
      <c r="HB63" s="5">
        <v>0.41010678414536256</v>
      </c>
      <c r="HC63" s="5">
        <v>0.41692510729844834</v>
      </c>
      <c r="HD63" s="4">
        <v>0.42762831150204944</v>
      </c>
      <c r="HE63" s="5">
        <v>0.67390918160163149</v>
      </c>
      <c r="HF63" s="4">
        <v>0.65838049793804354</v>
      </c>
      <c r="HG63" s="5">
        <v>0.66118794537018644</v>
      </c>
      <c r="HH63" s="5">
        <v>0.65132148212347418</v>
      </c>
      <c r="HI63" s="5">
        <v>0.63383784308356983</v>
      </c>
      <c r="HJ63" s="5">
        <v>0.63103150583046075</v>
      </c>
      <c r="HK63" s="5">
        <v>0.64320632124829424</v>
      </c>
      <c r="HL63" s="5">
        <v>0.65145584031955006</v>
      </c>
      <c r="HM63" s="4">
        <v>0.66850778040272063</v>
      </c>
      <c r="HN63" s="5">
        <v>0.66990502089148152</v>
      </c>
      <c r="HP63" s="3" t="s">
        <v>179</v>
      </c>
      <c r="HQ63" s="3" t="s">
        <v>140</v>
      </c>
      <c r="HR63" s="3" t="s">
        <v>141</v>
      </c>
      <c r="HS63" s="5">
        <v>0.71088710432021274</v>
      </c>
    </row>
    <row r="64" spans="2:227" x14ac:dyDescent="0.45">
      <c r="B64" s="6" t="s">
        <v>216</v>
      </c>
      <c r="C64" s="6" t="s">
        <v>131</v>
      </c>
      <c r="D64" s="8">
        <v>0.23022413067252354</v>
      </c>
      <c r="E64" s="8">
        <v>0.22951339941005106</v>
      </c>
      <c r="F64" s="8">
        <v>0.23774363488386005</v>
      </c>
      <c r="G64" s="8">
        <v>0.23760517501494738</v>
      </c>
      <c r="H64" s="8">
        <v>0.24362502551638257</v>
      </c>
      <c r="I64" s="8">
        <v>0.24828271376044703</v>
      </c>
      <c r="J64" s="8">
        <v>0.24675167149541882</v>
      </c>
      <c r="K64" s="8">
        <v>0.24945556197914454</v>
      </c>
      <c r="L64" s="8">
        <v>0.25355268712789875</v>
      </c>
      <c r="M64" s="8">
        <v>0.24690005866618525</v>
      </c>
      <c r="N64" s="8">
        <v>0.27704155424187732</v>
      </c>
      <c r="O64" s="8">
        <v>0.26828691321267395</v>
      </c>
      <c r="P64" s="8">
        <v>0.27087107295740781</v>
      </c>
      <c r="Q64" s="8">
        <v>0.28367655517116869</v>
      </c>
      <c r="R64" s="8">
        <v>0.30778257083397009</v>
      </c>
      <c r="S64" s="8">
        <v>0.3155046189993857</v>
      </c>
      <c r="T64" s="8">
        <v>0.30601285649377735</v>
      </c>
      <c r="U64" s="8">
        <v>0.29688777674473571</v>
      </c>
      <c r="V64" s="8">
        <v>0.27970223351658763</v>
      </c>
      <c r="W64" s="8">
        <v>0.27478302162157892</v>
      </c>
      <c r="X64" s="8">
        <v>0.32047639692320157</v>
      </c>
      <c r="Y64" s="8">
        <v>0.31677643413219858</v>
      </c>
      <c r="Z64" s="8">
        <v>0.30566961358003081</v>
      </c>
      <c r="AA64" s="8">
        <v>0.30096091996745206</v>
      </c>
      <c r="AB64" s="8">
        <v>0.30088670752827851</v>
      </c>
      <c r="AC64" s="8">
        <v>0.29766529604706715</v>
      </c>
      <c r="AD64" s="8">
        <v>0.30607099304499258</v>
      </c>
      <c r="AE64" s="8">
        <v>0.31798804011676413</v>
      </c>
      <c r="AF64" s="8">
        <v>0.31917743644464869</v>
      </c>
      <c r="AG64" s="8">
        <v>0.32197947147924488</v>
      </c>
      <c r="AH64" s="8">
        <v>0.22574237412822801</v>
      </c>
      <c r="AI64" s="8">
        <v>0.23021808794473508</v>
      </c>
      <c r="AJ64" s="8">
        <v>0.2456576266815475</v>
      </c>
      <c r="AK64" s="8">
        <v>0.2529556519185876</v>
      </c>
      <c r="AL64" s="8">
        <v>0.24236653733301738</v>
      </c>
      <c r="AM64" s="8">
        <v>0.23670238287905959</v>
      </c>
      <c r="AN64" s="8">
        <v>0.23528547393275401</v>
      </c>
      <c r="AO64" s="8">
        <v>0.24130567075753609</v>
      </c>
      <c r="AP64" s="8">
        <v>0.23526806337604941</v>
      </c>
      <c r="AQ64" s="8">
        <v>0.22481614435746916</v>
      </c>
      <c r="AS64" s="6" t="s">
        <v>216</v>
      </c>
      <c r="AT64" s="6" t="s">
        <v>132</v>
      </c>
      <c r="AU64" s="8">
        <v>1.7619496532684051E-2</v>
      </c>
      <c r="AV64" s="7">
        <v>1.6566906634430431E-2</v>
      </c>
      <c r="AW64" s="8">
        <v>1.0591084071760857E-2</v>
      </c>
      <c r="AX64" s="8">
        <v>1.0993026794830706E-2</v>
      </c>
      <c r="AY64" s="8">
        <v>1.3538229803591303E-2</v>
      </c>
      <c r="AZ64" s="8">
        <v>1.162444618598389E-2</v>
      </c>
      <c r="BA64" s="8">
        <v>1.0209819082421561E-2</v>
      </c>
      <c r="BB64" s="8">
        <v>6.5073179816216202E-3</v>
      </c>
      <c r="BC64" s="8">
        <v>1.4315179164977963E-2</v>
      </c>
      <c r="BD64" s="8">
        <v>1.9281911950126976E-2</v>
      </c>
      <c r="BE64" s="8">
        <v>1.6092658346895959E-2</v>
      </c>
      <c r="BF64" s="8">
        <v>7.1838793391173338E-3</v>
      </c>
      <c r="BG64" s="8">
        <v>1.3842974487084847E-2</v>
      </c>
      <c r="BH64" s="8">
        <v>1.4981028666404456E-2</v>
      </c>
      <c r="BI64" s="8">
        <v>1.0460861612070486E-2</v>
      </c>
      <c r="BJ64" s="8">
        <v>5.1045235645533751E-3</v>
      </c>
      <c r="BK64" s="8">
        <v>2.0182278766122655E-3</v>
      </c>
      <c r="BL64" s="7">
        <v>1.1233490803513853E-2</v>
      </c>
      <c r="BM64" s="8">
        <v>1.6534794950746792E-2</v>
      </c>
      <c r="BN64" s="8">
        <v>2.0948811940961726E-2</v>
      </c>
      <c r="BO64" s="8">
        <v>3.8543820746026858E-2</v>
      </c>
      <c r="BP64" s="8">
        <v>3.3056353318936325E-2</v>
      </c>
      <c r="BQ64" s="8">
        <v>1.858844003450693E-2</v>
      </c>
      <c r="BR64" s="8">
        <v>2.6836778421870419E-2</v>
      </c>
      <c r="BS64" s="8">
        <v>2.727764324144695E-2</v>
      </c>
      <c r="BT64" s="7">
        <v>2.915764402868078E-2</v>
      </c>
      <c r="BU64" s="8">
        <v>2.747337976642894E-2</v>
      </c>
      <c r="BV64" s="8">
        <v>2.4181695384998755E-2</v>
      </c>
      <c r="BW64" s="8">
        <v>1.4079974013138541E-2</v>
      </c>
      <c r="BX64" s="8">
        <v>1.7774837148620208E-2</v>
      </c>
      <c r="BY64" s="8">
        <v>1.3086427730614143E-2</v>
      </c>
      <c r="BZ64" s="7">
        <v>1.636386510013085E-2</v>
      </c>
      <c r="CA64" s="7">
        <v>2.2105906628522666E-2</v>
      </c>
      <c r="CB64" s="8">
        <v>1.4754492097625237E-2</v>
      </c>
      <c r="CC64" s="8">
        <v>9.700634496709595E-3</v>
      </c>
      <c r="CD64" s="8">
        <v>9.2056229725386036E-3</v>
      </c>
      <c r="CE64" s="8">
        <v>7.950109379695541E-3</v>
      </c>
      <c r="CF64" s="7">
        <v>1.6662773870213966E-2</v>
      </c>
      <c r="CG64" s="8">
        <v>1.7518754681585678E-2</v>
      </c>
      <c r="CH64" s="8">
        <v>1.2653757861666897E-2</v>
      </c>
      <c r="CJ64" s="6" t="s">
        <v>216</v>
      </c>
      <c r="CK64" s="6" t="s">
        <v>133</v>
      </c>
      <c r="CL64" s="8">
        <v>1.2337155112797274E-2</v>
      </c>
      <c r="CM64" s="8">
        <v>1.1060923017141613E-2</v>
      </c>
      <c r="CN64" s="8">
        <v>2.254048315428224E-2</v>
      </c>
      <c r="CO64" s="8">
        <v>2.3640636006587078E-2</v>
      </c>
      <c r="CP64" s="7">
        <v>1.742834340045233E-2</v>
      </c>
      <c r="CQ64" s="8">
        <v>1.202556542572375E-2</v>
      </c>
      <c r="CR64" s="8">
        <v>1.5974029546216205E-2</v>
      </c>
      <c r="CS64" s="8">
        <v>1.7714285804125433E-2</v>
      </c>
      <c r="CT64" s="8">
        <v>1.0701788147824619E-2</v>
      </c>
      <c r="CU64" s="8">
        <v>1.1477434299332257E-2</v>
      </c>
      <c r="CV64" s="8">
        <v>2.0100788795176398E-2</v>
      </c>
      <c r="CW64" s="8">
        <v>2.2067274764675713E-2</v>
      </c>
      <c r="CX64" s="8">
        <v>1.188119423054757E-2</v>
      </c>
      <c r="CY64" s="8">
        <v>1.0220022850352093E-2</v>
      </c>
      <c r="CZ64" s="8">
        <v>1.1008732789607638E-2</v>
      </c>
      <c r="DA64" s="8">
        <v>1.5204747734402052E-2</v>
      </c>
      <c r="DB64" s="8">
        <v>1.3997407999398786E-2</v>
      </c>
      <c r="DC64" s="8">
        <v>1.2556766208717223E-2</v>
      </c>
      <c r="DD64" s="8">
        <v>4.716810614936214E-3</v>
      </c>
      <c r="DE64" s="8">
        <v>1.0759264283231431E-2</v>
      </c>
      <c r="DF64" s="8">
        <v>2.8283831805232324E-2</v>
      </c>
      <c r="DG64" s="8">
        <v>5.6846924476158293E-2</v>
      </c>
      <c r="DH64" s="8">
        <v>5.4700593838091525E-2</v>
      </c>
      <c r="DI64" s="8">
        <v>3.8540623322510431E-2</v>
      </c>
      <c r="DJ64" s="8">
        <v>4.0422351367535622E-2</v>
      </c>
      <c r="DK64" s="8">
        <v>3.3009175328685948E-2</v>
      </c>
      <c r="DL64" s="8">
        <v>4.1407784158995993E-2</v>
      </c>
      <c r="DM64" s="8">
        <v>3.7742912669423756E-2</v>
      </c>
      <c r="DN64" s="8">
        <v>4.063185282232426E-2</v>
      </c>
      <c r="DO64" s="7">
        <v>2.972902223154927E-2</v>
      </c>
      <c r="DP64" s="8">
        <v>1.3246890341297175E-2</v>
      </c>
      <c r="DQ64" s="8">
        <v>1.5212016836512351E-2</v>
      </c>
      <c r="DR64" s="8">
        <v>1.6741274077705825E-2</v>
      </c>
      <c r="DS64" s="8">
        <v>2.2103359161953422E-2</v>
      </c>
      <c r="DT64" s="7">
        <v>2.1337273025655881E-2</v>
      </c>
      <c r="DU64" s="8">
        <v>2.4159948972201643E-2</v>
      </c>
      <c r="DV64" s="8">
        <v>1.5155141654868034E-2</v>
      </c>
      <c r="DW64" s="8">
        <v>9.9640209282226243E-3</v>
      </c>
      <c r="DX64" s="8">
        <v>9.6248205543115611E-3</v>
      </c>
      <c r="DY64" s="8">
        <v>1.4523927945923496E-2</v>
      </c>
      <c r="EA64" s="6" t="s">
        <v>216</v>
      </c>
      <c r="EB64" s="6" t="s">
        <v>134</v>
      </c>
      <c r="EC64" s="8">
        <v>6.8055642188420404E-2</v>
      </c>
      <c r="ED64" s="8">
        <v>7.1479905197464652E-2</v>
      </c>
      <c r="EE64" s="8">
        <v>7.0584918446221445E-2</v>
      </c>
      <c r="EF64" s="8">
        <v>6.9305202433983137E-2</v>
      </c>
      <c r="EG64" s="8">
        <v>7.5049392087171915E-2</v>
      </c>
      <c r="EH64" s="8">
        <v>8.7431395492175962E-2</v>
      </c>
      <c r="EI64" s="8">
        <v>8.3946366854294324E-2</v>
      </c>
      <c r="EJ64" s="8">
        <v>8.7367082175892424E-2</v>
      </c>
      <c r="EK64" s="8">
        <v>8.4481768514065747E-2</v>
      </c>
      <c r="EL64" s="8">
        <v>8.0506443867791447E-2</v>
      </c>
      <c r="EM64" s="8">
        <v>0.1092062906633466</v>
      </c>
      <c r="EN64" s="8">
        <v>0.10294315188572703</v>
      </c>
      <c r="EO64" s="8">
        <v>0.10729207893314552</v>
      </c>
      <c r="EP64" s="8">
        <v>0.11982334201938766</v>
      </c>
      <c r="EQ64" s="8">
        <v>0.13728428008915744</v>
      </c>
      <c r="ER64" s="8">
        <v>0.14405773186096199</v>
      </c>
      <c r="ES64" s="7">
        <v>0.14790282777163671</v>
      </c>
      <c r="ET64" s="8">
        <v>0.13477843043541921</v>
      </c>
      <c r="EU64" s="8">
        <v>0.11980726638273301</v>
      </c>
      <c r="EV64" s="8">
        <v>0.11163440469276009</v>
      </c>
      <c r="EW64" s="8">
        <v>0.13212717770319524</v>
      </c>
      <c r="EX64" s="8">
        <v>0.1046104350987721</v>
      </c>
      <c r="EY64" s="8">
        <v>0.11253418036813004</v>
      </c>
      <c r="EZ64" s="8">
        <v>0.1184764489244389</v>
      </c>
      <c r="FA64" s="8">
        <v>0.11196999838303875</v>
      </c>
      <c r="FB64" s="8">
        <v>0.12347085874899877</v>
      </c>
      <c r="FC64" s="8">
        <v>0.12559913198995545</v>
      </c>
      <c r="FD64" s="7">
        <v>0.14520543529397828</v>
      </c>
      <c r="FE64" s="8">
        <v>0.16062037601215615</v>
      </c>
      <c r="FF64" s="8">
        <v>0.16525386305409276</v>
      </c>
      <c r="FG64" s="8">
        <v>8.2829323571737459E-2</v>
      </c>
      <c r="FH64" s="8">
        <v>8.0403824806325394E-2</v>
      </c>
      <c r="FI64" s="8">
        <v>8.3865925825231377E-2</v>
      </c>
      <c r="FJ64" s="8">
        <v>8.8238305055078264E-2</v>
      </c>
      <c r="FK64" s="8">
        <v>9.232764740585668E-2</v>
      </c>
      <c r="FL64" s="8">
        <v>8.6759973323902312E-2</v>
      </c>
      <c r="FM64" s="8">
        <v>9.2275389848352124E-2</v>
      </c>
      <c r="FN64" s="8">
        <v>8.5148604740730105E-2</v>
      </c>
      <c r="FO64" s="8">
        <v>7.9972088333537861E-2</v>
      </c>
      <c r="FP64" s="8">
        <v>7.9334987703375798E-2</v>
      </c>
      <c r="FZ64" s="6" t="s">
        <v>216</v>
      </c>
      <c r="GA64" s="8">
        <v>0.68646164229020856</v>
      </c>
      <c r="GB64" s="8">
        <v>0.68432327529905501</v>
      </c>
      <c r="GC64" s="7">
        <v>0.67851398524271167</v>
      </c>
      <c r="GD64" s="8">
        <v>0.67814508699610032</v>
      </c>
      <c r="GE64" s="8">
        <v>0.66902348025398106</v>
      </c>
      <c r="GF64" s="8">
        <v>0.65862671284906904</v>
      </c>
      <c r="GG64" s="8">
        <v>0.64962138900502631</v>
      </c>
      <c r="GH64" s="8">
        <v>0.64405903860374791</v>
      </c>
      <c r="GI64" s="8">
        <v>0.6486964845548997</v>
      </c>
      <c r="GJ64" s="8">
        <v>0.6534414945759105</v>
      </c>
      <c r="GK64" s="7">
        <v>0.57611159549647173</v>
      </c>
      <c r="GL64" s="8">
        <v>0.59258201702350777</v>
      </c>
      <c r="GM64" s="8">
        <v>0.59045751712097383</v>
      </c>
      <c r="GN64" s="8">
        <v>0.5621673238004441</v>
      </c>
      <c r="GO64" s="8">
        <v>0.53667850338421785</v>
      </c>
      <c r="GP64" s="8">
        <v>0.53015164908121892</v>
      </c>
      <c r="GQ64" s="8">
        <v>0.53329192739834241</v>
      </c>
      <c r="GR64" s="8">
        <v>0.55035116379532389</v>
      </c>
      <c r="GS64" s="8">
        <v>0.57228346286115628</v>
      </c>
      <c r="GT64" s="7">
        <v>0.57338933374035517</v>
      </c>
      <c r="GU64" s="7">
        <v>0.39578621521233143</v>
      </c>
      <c r="GV64" s="8">
        <v>0.40902624522326947</v>
      </c>
      <c r="GW64" s="8">
        <v>0.42661492761048775</v>
      </c>
      <c r="GX64" s="8">
        <v>0.44065198612588297</v>
      </c>
      <c r="GY64" s="8">
        <v>0.44375126148514932</v>
      </c>
      <c r="GZ64" s="8">
        <v>0.43296741363174601</v>
      </c>
      <c r="HA64" s="8">
        <v>0.40599553263440391</v>
      </c>
      <c r="HB64" s="8">
        <v>0.38214865254469055</v>
      </c>
      <c r="HC64" s="8">
        <v>0.37434974291620088</v>
      </c>
      <c r="HD64" s="7">
        <v>0.38106879993573489</v>
      </c>
      <c r="HE64" s="8">
        <v>0.66023323793133226</v>
      </c>
      <c r="HF64" s="7">
        <v>0.64389141543158779</v>
      </c>
      <c r="HG64" s="8">
        <v>0.62769492076588773</v>
      </c>
      <c r="HH64" s="8">
        <v>0.6250803268369044</v>
      </c>
      <c r="HI64" s="8">
        <v>0.62461640765588933</v>
      </c>
      <c r="HJ64" s="8">
        <v>0.63478044646089005</v>
      </c>
      <c r="HK64" s="8">
        <v>0.64503398901032372</v>
      </c>
      <c r="HL64" s="8">
        <v>0.65128256409215479</v>
      </c>
      <c r="HM64" s="7">
        <v>0.66431822825125209</v>
      </c>
      <c r="HN64" s="8">
        <v>0.6669991025239238</v>
      </c>
      <c r="HP64" s="6" t="s">
        <v>181</v>
      </c>
      <c r="HQ64" s="6" t="s">
        <v>140</v>
      </c>
      <c r="HR64" s="6" t="s">
        <v>141</v>
      </c>
      <c r="HS64" s="8">
        <v>0.53339257908433124</v>
      </c>
    </row>
    <row r="65" spans="2:227" x14ac:dyDescent="0.45">
      <c r="B65" s="3" t="s">
        <v>217</v>
      </c>
      <c r="C65" s="3" t="s">
        <v>131</v>
      </c>
      <c r="D65" s="5">
        <v>0.24295700541800841</v>
      </c>
      <c r="E65" s="5">
        <v>0.23710990533413875</v>
      </c>
      <c r="F65" s="5">
        <v>0.24358323087030007</v>
      </c>
      <c r="G65" s="5">
        <v>0.24503884336021292</v>
      </c>
      <c r="H65" s="5">
        <v>0.24987219097673069</v>
      </c>
      <c r="I65" s="5">
        <v>0.23615015433610126</v>
      </c>
      <c r="J65" s="5">
        <v>0.24576840548181161</v>
      </c>
      <c r="K65" s="5">
        <v>0.2574259413612659</v>
      </c>
      <c r="L65" s="5">
        <v>0.25990766127215142</v>
      </c>
      <c r="M65" s="5">
        <v>0.25761739278591067</v>
      </c>
      <c r="N65" s="5">
        <v>0.3245308913922228</v>
      </c>
      <c r="O65" s="5">
        <v>0.32378577287448468</v>
      </c>
      <c r="P65" s="5">
        <v>0.33606445462743417</v>
      </c>
      <c r="Q65" s="5">
        <v>0.34779975448878747</v>
      </c>
      <c r="R65" s="5">
        <v>0.34513569510103786</v>
      </c>
      <c r="S65" s="5">
        <v>0.34012921405973506</v>
      </c>
      <c r="T65" s="5">
        <v>0.33596494631999568</v>
      </c>
      <c r="U65" s="5">
        <v>0.32030395463489764</v>
      </c>
      <c r="V65" s="5">
        <v>0.30514684492463423</v>
      </c>
      <c r="W65" s="5">
        <v>0.31556641956275477</v>
      </c>
      <c r="X65" s="5">
        <v>0.34786018614410547</v>
      </c>
      <c r="Y65" s="5">
        <v>0.34226550765150704</v>
      </c>
      <c r="Z65" s="5">
        <v>0.33475624821276179</v>
      </c>
      <c r="AA65" s="5">
        <v>0.33582492556041027</v>
      </c>
      <c r="AB65" s="5">
        <v>0.34104356522307921</v>
      </c>
      <c r="AC65" s="5">
        <v>0.34225433153507462</v>
      </c>
      <c r="AD65" s="5">
        <v>0.33621920804827293</v>
      </c>
      <c r="AE65" s="5">
        <v>0.33109391885666384</v>
      </c>
      <c r="AF65" s="5">
        <v>0.3247182478361727</v>
      </c>
      <c r="AG65" s="5">
        <v>0.33434559205719488</v>
      </c>
      <c r="AH65" s="5">
        <v>0.27251550852448031</v>
      </c>
      <c r="AI65" s="5">
        <v>0.27541586579761118</v>
      </c>
      <c r="AJ65" s="5">
        <v>0.2682118469668347</v>
      </c>
      <c r="AK65" s="5">
        <v>0.25989155430619593</v>
      </c>
      <c r="AL65" s="5">
        <v>0.25276156700967484</v>
      </c>
      <c r="AM65" s="5">
        <v>0.25033677817263789</v>
      </c>
      <c r="AN65" s="5">
        <v>0.24936526545030191</v>
      </c>
      <c r="AO65" s="5">
        <v>0.25731741793979623</v>
      </c>
      <c r="AP65" s="5">
        <v>0.25137966344167917</v>
      </c>
      <c r="AQ65" s="5">
        <v>0.25272650482625009</v>
      </c>
      <c r="AS65" s="3" t="s">
        <v>217</v>
      </c>
      <c r="AT65" s="3" t="s">
        <v>132</v>
      </c>
      <c r="AU65" s="5">
        <v>1.6353274227457575E-2</v>
      </c>
      <c r="AV65" s="4">
        <v>1.6321762594828201E-2</v>
      </c>
      <c r="AW65" s="5">
        <v>1.9650646517955624E-2</v>
      </c>
      <c r="AX65" s="5">
        <v>1.715760372078378E-2</v>
      </c>
      <c r="AY65" s="5">
        <v>1.3812941037193591E-2</v>
      </c>
      <c r="AZ65" s="5">
        <v>1.3611831238550047E-2</v>
      </c>
      <c r="BA65" s="5">
        <v>1.8852227022391126E-2</v>
      </c>
      <c r="BB65" s="5">
        <v>3.2816139198236602E-2</v>
      </c>
      <c r="BC65" s="5">
        <v>3.0337680430858081E-2</v>
      </c>
      <c r="BD65" s="5">
        <v>1.9051340479490073E-2</v>
      </c>
      <c r="BE65" s="5">
        <v>2.1543754782521542E-2</v>
      </c>
      <c r="BF65" s="5">
        <v>1.2847471163723392E-2</v>
      </c>
      <c r="BG65" s="5">
        <v>1.3085666038196527E-2</v>
      </c>
      <c r="BH65" s="5">
        <v>1.567513844929655E-2</v>
      </c>
      <c r="BI65" s="5">
        <v>1.326679241321385E-2</v>
      </c>
      <c r="BJ65" s="5">
        <v>1.5477838908201022E-2</v>
      </c>
      <c r="BK65" s="5">
        <v>1.5382761215567276E-2</v>
      </c>
      <c r="BL65" s="4">
        <v>2.0830411049226387E-2</v>
      </c>
      <c r="BM65" s="5">
        <v>3.0018915727375372E-2</v>
      </c>
      <c r="BN65" s="5">
        <v>3.6506588916222937E-2</v>
      </c>
      <c r="BO65" s="5">
        <v>2.119155263180459E-2</v>
      </c>
      <c r="BP65" s="5">
        <v>3.6801816825310124E-3</v>
      </c>
      <c r="BQ65" s="5">
        <v>1.3613278521633116E-2</v>
      </c>
      <c r="BR65" s="5">
        <v>2.6428795736551797E-2</v>
      </c>
      <c r="BS65" s="5">
        <v>3.4791238272896804E-2</v>
      </c>
      <c r="BT65" s="4">
        <v>2.5829381046155113E-2</v>
      </c>
      <c r="BU65" s="5">
        <v>1.2097594053122614E-2</v>
      </c>
      <c r="BV65" s="5">
        <v>1.1115461684135287E-2</v>
      </c>
      <c r="BW65" s="5">
        <v>1.3176589500683473E-2</v>
      </c>
      <c r="BX65" s="5">
        <v>1.4224960996629175E-2</v>
      </c>
      <c r="BY65" s="5">
        <v>2.8841297227327676E-2</v>
      </c>
      <c r="BZ65" s="4">
        <v>2.5799449766627933E-2</v>
      </c>
      <c r="CA65" s="4">
        <v>1.3156074498481808E-2</v>
      </c>
      <c r="CB65" s="5">
        <v>1.4297249920431854E-2</v>
      </c>
      <c r="CC65" s="5">
        <v>2.0221701108013156E-2</v>
      </c>
      <c r="CD65" s="5">
        <v>2.5924857680964433E-2</v>
      </c>
      <c r="CE65" s="5">
        <v>3.0557003764757003E-2</v>
      </c>
      <c r="CF65" s="4">
        <v>2.154113052347292E-2</v>
      </c>
      <c r="CG65" s="5">
        <v>1.48200330054512E-2</v>
      </c>
      <c r="CH65" s="5">
        <v>1.660445268396914E-2</v>
      </c>
      <c r="CJ65" s="3" t="s">
        <v>217</v>
      </c>
      <c r="CK65" s="3" t="s">
        <v>133</v>
      </c>
      <c r="CL65" s="5">
        <v>1.8092662881204011E-2</v>
      </c>
      <c r="CM65" s="5">
        <v>1.4761835367198025E-2</v>
      </c>
      <c r="CN65" s="5">
        <v>2.4587057612511766E-2</v>
      </c>
      <c r="CO65" s="5">
        <v>2.4425060942339812E-2</v>
      </c>
      <c r="CP65" s="4">
        <v>2.1840352090212782E-2</v>
      </c>
      <c r="CQ65" s="5">
        <v>1.8691387344582717E-2</v>
      </c>
      <c r="CR65" s="5">
        <v>1.557120297016946E-2</v>
      </c>
      <c r="CS65" s="5">
        <v>1.6698268644224436E-2</v>
      </c>
      <c r="CT65" s="5">
        <v>2.3917327447177828E-2</v>
      </c>
      <c r="CU65" s="5">
        <v>3.6329980770307434E-2</v>
      </c>
      <c r="CV65" s="5">
        <v>3.8276583315565611E-2</v>
      </c>
      <c r="CW65" s="5">
        <v>3.2443260454586738E-2</v>
      </c>
      <c r="CX65" s="5">
        <v>2.8379913867541875E-2</v>
      </c>
      <c r="CY65" s="5">
        <v>1.7556993127694695E-2</v>
      </c>
      <c r="CZ65" s="5">
        <v>1.6263580750194448E-2</v>
      </c>
      <c r="DA65" s="5">
        <v>1.8315046490346484E-2</v>
      </c>
      <c r="DB65" s="5">
        <v>2.2398533801190241E-2</v>
      </c>
      <c r="DC65" s="5">
        <v>1.5053423150814427E-2</v>
      </c>
      <c r="DD65" s="5">
        <v>1.7140786807906622E-2</v>
      </c>
      <c r="DE65" s="5">
        <v>2.3847018097132747E-2</v>
      </c>
      <c r="DF65" s="5">
        <v>1.7701135684834238E-2</v>
      </c>
      <c r="DG65" s="5">
        <v>3.6041555044596454E-2</v>
      </c>
      <c r="DH65" s="5">
        <v>2.9511638250453873E-2</v>
      </c>
      <c r="DI65" s="5">
        <v>1.2782575036919723E-2</v>
      </c>
      <c r="DJ65" s="5">
        <v>1.8240725019459635E-2</v>
      </c>
      <c r="DK65" s="5">
        <v>3.8473778124319256E-2</v>
      </c>
      <c r="DL65" s="5">
        <v>4.668649251142002E-2</v>
      </c>
      <c r="DM65" s="5">
        <v>4.1516228809056033E-2</v>
      </c>
      <c r="DN65" s="5">
        <v>2.8249139885654615E-2</v>
      </c>
      <c r="DO65" s="4">
        <v>1.178504174722267E-2</v>
      </c>
      <c r="DP65" s="5">
        <v>1.6855937543251917E-2</v>
      </c>
      <c r="DQ65" s="5">
        <v>2.8598455337558035E-2</v>
      </c>
      <c r="DR65" s="5">
        <v>3.3597387459383087E-2</v>
      </c>
      <c r="DS65" s="5">
        <v>2.3657758312552603E-2</v>
      </c>
      <c r="DT65" s="4">
        <v>1.1540583415858759E-2</v>
      </c>
      <c r="DU65" s="5">
        <v>1.0621535949061588E-2</v>
      </c>
      <c r="DV65" s="5">
        <v>1.6885218784373608E-2</v>
      </c>
      <c r="DW65" s="5">
        <v>3.0608833855871615E-2</v>
      </c>
      <c r="DX65" s="5">
        <v>3.9269206514427973E-2</v>
      </c>
      <c r="DY65" s="5">
        <v>3.1776193838693192E-2</v>
      </c>
      <c r="EA65" s="3" t="s">
        <v>217</v>
      </c>
      <c r="EB65" s="3" t="s">
        <v>134</v>
      </c>
      <c r="EC65" s="5">
        <v>7.6059305271877944E-2</v>
      </c>
      <c r="ED65" s="5">
        <v>7.4024078050995243E-2</v>
      </c>
      <c r="EE65" s="5">
        <v>7.333822865337021E-2</v>
      </c>
      <c r="EF65" s="5">
        <v>7.8297851426657586E-2</v>
      </c>
      <c r="EG65" s="5">
        <v>8.2764082992538734E-2</v>
      </c>
      <c r="EH65" s="5">
        <v>8.2656762866992722E-2</v>
      </c>
      <c r="EI65" s="5">
        <v>7.8547605208896781E-2</v>
      </c>
      <c r="EJ65" s="5">
        <v>7.3713393175028299E-2</v>
      </c>
      <c r="EK65" s="5">
        <v>7.1964569091119368E-2</v>
      </c>
      <c r="EL65" s="5">
        <v>6.8462983074046052E-2</v>
      </c>
      <c r="EM65" s="5">
        <v>0.10983912597422611</v>
      </c>
      <c r="EN65" s="5">
        <v>0.12911805462958897</v>
      </c>
      <c r="EO65" s="5">
        <v>0.14665038640514544</v>
      </c>
      <c r="EP65" s="5">
        <v>0.16832374287762383</v>
      </c>
      <c r="EQ65" s="5">
        <v>0.17823264795647786</v>
      </c>
      <c r="ER65" s="5">
        <v>0.17527270379880786</v>
      </c>
      <c r="ES65" s="4">
        <v>0.16614554325714948</v>
      </c>
      <c r="ET65" s="5">
        <v>0.14819121538896859</v>
      </c>
      <c r="EU65" s="5">
        <v>0.12224423451116567</v>
      </c>
      <c r="EV65" s="5">
        <v>0.11091449172301381</v>
      </c>
      <c r="EW65" s="5">
        <v>0.17516762470897115</v>
      </c>
      <c r="EX65" s="5">
        <v>0.17844832938675415</v>
      </c>
      <c r="EY65" s="5">
        <v>0.16268145273149456</v>
      </c>
      <c r="EZ65" s="5">
        <v>0.15816097478501581</v>
      </c>
      <c r="FA65" s="5">
        <v>0.14230431370267857</v>
      </c>
      <c r="FB65" s="5">
        <v>0.13433826822116693</v>
      </c>
      <c r="FC65" s="5">
        <v>0.136515028158818</v>
      </c>
      <c r="FD65" s="4">
        <v>0.14333901129121501</v>
      </c>
      <c r="FE65" s="5">
        <v>0.1599105024590346</v>
      </c>
      <c r="FF65" s="5">
        <v>0.1783974784206549</v>
      </c>
      <c r="FG65" s="5">
        <v>8.4836564830953837E-2</v>
      </c>
      <c r="FH65" s="5">
        <v>8.3488476353534222E-2</v>
      </c>
      <c r="FI65" s="5">
        <v>9.4675971645714715E-2</v>
      </c>
      <c r="FJ65" s="5">
        <v>9.5537119542432075E-2</v>
      </c>
      <c r="FK65" s="5">
        <v>9.6805556791241212E-2</v>
      </c>
      <c r="FL65" s="5">
        <v>8.6355877217611177E-2</v>
      </c>
      <c r="FM65" s="5">
        <v>8.0002024111505254E-2</v>
      </c>
      <c r="FN65" s="5">
        <v>8.2575736521360077E-2</v>
      </c>
      <c r="FO65" s="5">
        <v>8.2945854764750152E-2</v>
      </c>
      <c r="FP65" s="5">
        <v>8.4055565146877356E-2</v>
      </c>
      <c r="FZ65" s="3" t="s">
        <v>217</v>
      </c>
      <c r="GA65" s="5">
        <v>0.65229837577774707</v>
      </c>
      <c r="GB65" s="5">
        <v>0.65614254426407981</v>
      </c>
      <c r="GC65" s="4">
        <v>0.64620779235517034</v>
      </c>
      <c r="GD65" s="5">
        <v>0.64118864540021336</v>
      </c>
      <c r="GE65" s="5">
        <v>0.64158526229985835</v>
      </c>
      <c r="GF65" s="5">
        <v>0.64723184190503291</v>
      </c>
      <c r="GG65" s="5">
        <v>0.64230967021688479</v>
      </c>
      <c r="GH65" s="5">
        <v>0.63153678865595608</v>
      </c>
      <c r="GI65" s="5">
        <v>0.630955267732352</v>
      </c>
      <c r="GJ65" s="5">
        <v>0.6313885052769872</v>
      </c>
      <c r="GK65" s="4">
        <v>0.53426931532010169</v>
      </c>
      <c r="GL65" s="5">
        <v>0.51754578799136208</v>
      </c>
      <c r="GM65" s="5">
        <v>0.50612227834022072</v>
      </c>
      <c r="GN65" s="5">
        <v>0.48900192224169675</v>
      </c>
      <c r="GO65" s="5">
        <v>0.47259161104476044</v>
      </c>
      <c r="GP65" s="5">
        <v>0.46612235864705037</v>
      </c>
      <c r="GQ65" s="5">
        <v>0.47413591225648866</v>
      </c>
      <c r="GR65" s="5">
        <v>0.49878978161103066</v>
      </c>
      <c r="GS65" s="5">
        <v>0.52721277727783378</v>
      </c>
      <c r="GT65" s="4">
        <v>0.53686006465887692</v>
      </c>
      <c r="GU65" s="4">
        <v>0.44242317957140898</v>
      </c>
      <c r="GV65" s="5">
        <v>0.44574379678038367</v>
      </c>
      <c r="GW65" s="5">
        <v>0.4646088244463783</v>
      </c>
      <c r="GX65" s="5">
        <v>0.47336218682337028</v>
      </c>
      <c r="GY65" s="5">
        <v>0.48227123499327612</v>
      </c>
      <c r="GZ65" s="5">
        <v>0.49128716577745296</v>
      </c>
      <c r="HA65" s="5">
        <v>0.48938594807364544</v>
      </c>
      <c r="HB65" s="5">
        <v>0.48058067138492866</v>
      </c>
      <c r="HC65" s="5">
        <v>0.47171436512111908</v>
      </c>
      <c r="HD65" s="4">
        <v>0.46456352710575255</v>
      </c>
      <c r="HE65" s="5">
        <v>0.59880454897854385</v>
      </c>
      <c r="HF65" s="4">
        <v>0.59352397283388181</v>
      </c>
      <c r="HG65" s="5">
        <v>0.58778577066377036</v>
      </c>
      <c r="HH65" s="5">
        <v>0.59002304407024131</v>
      </c>
      <c r="HI65" s="5">
        <v>0.59595954408950758</v>
      </c>
      <c r="HJ65" s="5">
        <v>0.60569811368562354</v>
      </c>
      <c r="HK65" s="5">
        <v>0.60370872826849931</v>
      </c>
      <c r="HL65" s="5">
        <v>0.59535709467270259</v>
      </c>
      <c r="HM65" s="4">
        <v>0.59405495076309622</v>
      </c>
      <c r="HN65" s="5">
        <v>0.59671219752298454</v>
      </c>
      <c r="HP65" s="3" t="s">
        <v>183</v>
      </c>
      <c r="HQ65" s="3" t="s">
        <v>140</v>
      </c>
      <c r="HR65" s="3" t="s">
        <v>141</v>
      </c>
      <c r="HS65" s="5">
        <v>0.67010828311660764</v>
      </c>
    </row>
    <row r="66" spans="2:227" x14ac:dyDescent="0.45">
      <c r="B66" s="6" t="s">
        <v>218</v>
      </c>
      <c r="C66" s="6" t="s">
        <v>131</v>
      </c>
      <c r="D66" s="8">
        <v>0.20603651558599673</v>
      </c>
      <c r="E66" s="8">
        <v>0.22680281754748588</v>
      </c>
      <c r="F66" s="8">
        <v>0.20812605012237687</v>
      </c>
      <c r="G66" s="8">
        <v>0.19433665139368364</v>
      </c>
      <c r="H66" s="8">
        <v>0.19054426943518152</v>
      </c>
      <c r="I66" s="8">
        <v>0.19400266401292535</v>
      </c>
      <c r="J66" s="8">
        <v>0.21225083031262726</v>
      </c>
      <c r="K66" s="8">
        <v>0.22759644500368462</v>
      </c>
      <c r="L66" s="8">
        <v>0.21296844742356724</v>
      </c>
      <c r="M66" s="8">
        <v>0.18375221312385329</v>
      </c>
      <c r="N66" s="8">
        <v>0.29869608142100568</v>
      </c>
      <c r="O66" s="8">
        <v>0.29934854231083041</v>
      </c>
      <c r="P66" s="8">
        <v>0.29750188280088136</v>
      </c>
      <c r="Q66" s="8">
        <v>0.29920942977103776</v>
      </c>
      <c r="R66" s="8">
        <v>0.29926270943823147</v>
      </c>
      <c r="S66" s="8">
        <v>0.29548242322276391</v>
      </c>
      <c r="T66" s="8">
        <v>0.28759320734675192</v>
      </c>
      <c r="U66" s="8">
        <v>0.28716746151545153</v>
      </c>
      <c r="V66" s="8">
        <v>0.28043135391549401</v>
      </c>
      <c r="W66" s="8">
        <v>0.28172056687894342</v>
      </c>
      <c r="X66" s="8">
        <v>0.328477120982617</v>
      </c>
      <c r="Y66" s="8">
        <v>0.33627024222429852</v>
      </c>
      <c r="Z66" s="8">
        <v>0.33497421435714692</v>
      </c>
      <c r="AA66" s="8">
        <v>0.34263829034419108</v>
      </c>
      <c r="AB66" s="8">
        <v>0.33615994956115686</v>
      </c>
      <c r="AC66" s="8">
        <v>0.3223939972577366</v>
      </c>
      <c r="AD66" s="8">
        <v>0.31989028390581464</v>
      </c>
      <c r="AE66" s="8">
        <v>0.32549293854624117</v>
      </c>
      <c r="AF66" s="8">
        <v>0.33054642387570876</v>
      </c>
      <c r="AG66" s="8">
        <v>0.3307497430203527</v>
      </c>
      <c r="AH66" s="8">
        <v>0.27412058179813509</v>
      </c>
      <c r="AI66" s="8">
        <v>0.25280707696431043</v>
      </c>
      <c r="AJ66" s="8">
        <v>0.23765597371273656</v>
      </c>
      <c r="AK66" s="8">
        <v>0.24126292127280616</v>
      </c>
      <c r="AL66" s="8">
        <v>0.25203998881410827</v>
      </c>
      <c r="AM66" s="8">
        <v>0.25853670519229349</v>
      </c>
      <c r="AN66" s="8">
        <v>0.26974769809720628</v>
      </c>
      <c r="AO66" s="8">
        <v>0.26571768237393889</v>
      </c>
      <c r="AP66" s="8">
        <v>0.25082029520188376</v>
      </c>
      <c r="AQ66" s="8">
        <v>0.26105088409195698</v>
      </c>
      <c r="AS66" s="6" t="s">
        <v>218</v>
      </c>
      <c r="AT66" s="6" t="s">
        <v>132</v>
      </c>
      <c r="AU66" s="8">
        <v>1.7368868207804488E-2</v>
      </c>
      <c r="AV66" s="7">
        <v>1.8785519676883008E-2</v>
      </c>
      <c r="AW66" s="8">
        <v>4.539980881370977E-3</v>
      </c>
      <c r="AX66" s="8">
        <v>4.6647310062673999E-3</v>
      </c>
      <c r="AY66" s="8">
        <v>1.5006038217111549E-2</v>
      </c>
      <c r="AZ66" s="8">
        <v>1.8341063327525463E-2</v>
      </c>
      <c r="BA66" s="8">
        <v>1.2532383178681779E-2</v>
      </c>
      <c r="BB66" s="8">
        <v>1.3342559750186984E-2</v>
      </c>
      <c r="BC66" s="8">
        <v>1.2744664686497494E-2</v>
      </c>
      <c r="BD66" s="8">
        <v>9.3935631829327043E-3</v>
      </c>
      <c r="BE66" s="8">
        <v>1.4907275482937766E-2</v>
      </c>
      <c r="BF66" s="8">
        <v>6.2811588497058146E-3</v>
      </c>
      <c r="BG66" s="8">
        <v>7.9790564569419496E-3</v>
      </c>
      <c r="BH66" s="8">
        <v>1.74993811425283E-2</v>
      </c>
      <c r="BI66" s="8">
        <v>1.9271285005759416E-2</v>
      </c>
      <c r="BJ66" s="8">
        <v>1.8644642564898992E-2</v>
      </c>
      <c r="BK66" s="8">
        <v>2.1584489045065137E-2</v>
      </c>
      <c r="BL66" s="7">
        <v>2.4483026824720273E-2</v>
      </c>
      <c r="BM66" s="8">
        <v>2.8279075909242484E-2</v>
      </c>
      <c r="BN66" s="8">
        <v>1.4798071615020985E-2</v>
      </c>
      <c r="BO66" s="8">
        <v>9.4863788075289918E-3</v>
      </c>
      <c r="BP66" s="8">
        <v>1.8267673571274391E-2</v>
      </c>
      <c r="BQ66" s="8">
        <v>3.0978233598094113E-2</v>
      </c>
      <c r="BR66" s="8">
        <v>2.8468044212257262E-2</v>
      </c>
      <c r="BS66" s="8">
        <v>1.2356598951676956E-2</v>
      </c>
      <c r="BT66" s="7">
        <v>9.7559102281331476E-4</v>
      </c>
      <c r="BU66" s="8">
        <v>5.892315131141781E-3</v>
      </c>
      <c r="BV66" s="8">
        <v>1.5781427154657791E-2</v>
      </c>
      <c r="BW66" s="8">
        <v>1.454856232826459E-2</v>
      </c>
      <c r="BX66" s="8">
        <v>1.1173465488115601E-2</v>
      </c>
      <c r="BY66" s="8">
        <v>1.6750912578668117E-2</v>
      </c>
      <c r="BZ66" s="7">
        <v>8.3867415473229453E-3</v>
      </c>
      <c r="CA66" s="7">
        <v>8.1937868722433433E-3</v>
      </c>
      <c r="CB66" s="8">
        <v>1.2428816383716946E-2</v>
      </c>
      <c r="CC66" s="8">
        <v>1.7229475145825991E-2</v>
      </c>
      <c r="CD66" s="8">
        <v>2.6427192833546984E-2</v>
      </c>
      <c r="CE66" s="8">
        <v>2.4553928691168139E-2</v>
      </c>
      <c r="CF66" s="7">
        <v>9.1637811775310447E-3</v>
      </c>
      <c r="CG66" s="8">
        <v>8.1090741551883873E-3</v>
      </c>
      <c r="CH66" s="8">
        <v>2.2126283575321429E-2</v>
      </c>
      <c r="CJ66" s="6" t="s">
        <v>218</v>
      </c>
      <c r="CK66" s="6" t="s">
        <v>133</v>
      </c>
      <c r="CL66" s="8">
        <v>1.3860952630328494E-2</v>
      </c>
      <c r="CM66" s="8">
        <v>2.0685236114618717E-2</v>
      </c>
      <c r="CN66" s="8">
        <v>2.7638946742610054E-2</v>
      </c>
      <c r="CO66" s="8">
        <v>2.2392469279766417E-2</v>
      </c>
      <c r="CP66" s="7">
        <v>1.0096698380682848E-2</v>
      </c>
      <c r="CQ66" s="8">
        <v>7.0786718076172352E-3</v>
      </c>
      <c r="CR66" s="8">
        <v>1.9421359332110383E-2</v>
      </c>
      <c r="CS66" s="8">
        <v>2.4034706642757399E-2</v>
      </c>
      <c r="CT66" s="8">
        <v>1.7817924915755408E-2</v>
      </c>
      <c r="CU66" s="8">
        <v>1.4861008283376059E-2</v>
      </c>
      <c r="CV66" s="8">
        <v>2.7104783794887188E-2</v>
      </c>
      <c r="CW66" s="8">
        <v>2.7574424770995774E-2</v>
      </c>
      <c r="CX66" s="8">
        <v>2.3523863903756496E-2</v>
      </c>
      <c r="CY66" s="8">
        <v>8.9901331637953878E-3</v>
      </c>
      <c r="CZ66" s="8">
        <v>1.5741279405193938E-2</v>
      </c>
      <c r="DA66" s="8">
        <v>1.9507756292388493E-2</v>
      </c>
      <c r="DB66" s="8">
        <v>2.0443947860030197E-2</v>
      </c>
      <c r="DC66" s="8">
        <v>2.5637835660027218E-2</v>
      </c>
      <c r="DD66" s="8">
        <v>2.6609520621874543E-2</v>
      </c>
      <c r="DE66" s="8">
        <v>2.8583713109642417E-2</v>
      </c>
      <c r="DF66" s="8">
        <v>2.3429019049339014E-2</v>
      </c>
      <c r="DG66" s="8">
        <v>2.0134437867582611E-2</v>
      </c>
      <c r="DH66" s="8">
        <v>3.8513701198648171E-3</v>
      </c>
      <c r="DI66" s="8">
        <v>2.2370698017034753E-2</v>
      </c>
      <c r="DJ66" s="8">
        <v>4.4339627382938132E-2</v>
      </c>
      <c r="DK66" s="8">
        <v>3.9883090663677692E-2</v>
      </c>
      <c r="DL66" s="8">
        <v>2.4523761796099303E-2</v>
      </c>
      <c r="DM66" s="8">
        <v>7.3737748516707839E-3</v>
      </c>
      <c r="DN66" s="8">
        <v>3.0911013937344124E-3</v>
      </c>
      <c r="DO66" s="7">
        <v>1.3704757575285794E-2</v>
      </c>
      <c r="DP66" s="8">
        <v>2.0655033369788543E-2</v>
      </c>
      <c r="DQ66" s="8">
        <v>2.2720959762432609E-2</v>
      </c>
      <c r="DR66" s="8">
        <v>1.2993756404607149E-2</v>
      </c>
      <c r="DS66" s="8">
        <v>1.2096698771872527E-2</v>
      </c>
      <c r="DT66" s="7">
        <v>9.7560309017262481E-3</v>
      </c>
      <c r="DU66" s="8">
        <v>9.6453561766927133E-3</v>
      </c>
      <c r="DV66" s="8">
        <v>1.6020870247114953E-2</v>
      </c>
      <c r="DW66" s="8">
        <v>3.3856027823281828E-2</v>
      </c>
      <c r="DX66" s="8">
        <v>3.2259017657285956E-2</v>
      </c>
      <c r="DY66" s="8">
        <v>1.180631977651112E-2</v>
      </c>
      <c r="EA66" s="6" t="s">
        <v>218</v>
      </c>
      <c r="EB66" s="6" t="s">
        <v>134</v>
      </c>
      <c r="EC66" s="8">
        <v>5.8535525149449E-2</v>
      </c>
      <c r="ED66" s="8">
        <v>6.3348198904857017E-2</v>
      </c>
      <c r="EE66" s="8">
        <v>6.7821229891778342E-2</v>
      </c>
      <c r="EF66" s="8">
        <v>6.3008664041788884E-2</v>
      </c>
      <c r="EG66" s="8">
        <v>5.6924062585541432E-2</v>
      </c>
      <c r="EH66" s="8">
        <v>6.0045218866781172E-2</v>
      </c>
      <c r="EI66" s="8">
        <v>6.4221787067970326E-2</v>
      </c>
      <c r="EJ66" s="8">
        <v>6.4946682972279998E-2</v>
      </c>
      <c r="EK66" s="8">
        <v>6.3143705075179232E-2</v>
      </c>
      <c r="EL66" s="8">
        <v>5.635579903668702E-2</v>
      </c>
      <c r="EM66" s="8">
        <v>0.11161387229616335</v>
      </c>
      <c r="EN66" s="8">
        <v>0.12777003719581423</v>
      </c>
      <c r="EO66" s="8">
        <v>0.13107943096250124</v>
      </c>
      <c r="EP66" s="8">
        <v>0.1338685290252051</v>
      </c>
      <c r="EQ66" s="8">
        <v>0.12334738747291074</v>
      </c>
      <c r="ER66" s="8">
        <v>0.11903904246204743</v>
      </c>
      <c r="ES66" s="7">
        <v>0.11146350781234692</v>
      </c>
      <c r="ET66" s="8">
        <v>9.8313547658317318E-2</v>
      </c>
      <c r="EU66" s="8">
        <v>9.1985432403215675E-2</v>
      </c>
      <c r="EV66" s="8">
        <v>0.10264451955792311</v>
      </c>
      <c r="EW66" s="8">
        <v>0.16124983270460969</v>
      </c>
      <c r="EX66" s="8">
        <v>0.1529391541861416</v>
      </c>
      <c r="EY66" s="8">
        <v>0.1546505546860267</v>
      </c>
      <c r="EZ66" s="8">
        <v>0.14758657462997415</v>
      </c>
      <c r="FA66" s="8">
        <v>0.1406485601294965</v>
      </c>
      <c r="FB66" s="8">
        <v>0.15029963615353367</v>
      </c>
      <c r="FC66" s="8">
        <v>0.1595137177472449</v>
      </c>
      <c r="FD66" s="7">
        <v>0.16805863431358722</v>
      </c>
      <c r="FE66" s="8">
        <v>0.17250759335665602</v>
      </c>
      <c r="FF66" s="8">
        <v>0.1636548759985049</v>
      </c>
      <c r="FG66" s="8">
        <v>0.10012142278494576</v>
      </c>
      <c r="FH66" s="8">
        <v>0.10123423836234043</v>
      </c>
      <c r="FI66" s="8">
        <v>0.10586654896305263</v>
      </c>
      <c r="FJ66" s="8">
        <v>9.8389877707584006E-2</v>
      </c>
      <c r="FK66" s="8">
        <v>9.626269884689985E-2</v>
      </c>
      <c r="FL66" s="8">
        <v>9.3096287880785944E-2</v>
      </c>
      <c r="FM66" s="8">
        <v>9.6930014230867445E-2</v>
      </c>
      <c r="FN66" s="8">
        <v>9.6995754057797964E-2</v>
      </c>
      <c r="FO66" s="8">
        <v>8.6824701101956808E-2</v>
      </c>
      <c r="FP66" s="8">
        <v>9.436546825148133E-2</v>
      </c>
      <c r="FZ66" s="6" t="s">
        <v>218</v>
      </c>
      <c r="GA66" s="8">
        <v>0.69381748865294945</v>
      </c>
      <c r="GB66" s="8">
        <v>0.67588055913108225</v>
      </c>
      <c r="GC66" s="7">
        <v>0.6766794997186566</v>
      </c>
      <c r="GD66" s="8">
        <v>0.69185366222730549</v>
      </c>
      <c r="GE66" s="8">
        <v>0.70977545583711477</v>
      </c>
      <c r="GF66" s="8">
        <v>0.70095622195572993</v>
      </c>
      <c r="GG66" s="8">
        <v>0.68044538507824359</v>
      </c>
      <c r="GH66" s="8">
        <v>0.6766801114528983</v>
      </c>
      <c r="GI66" s="8">
        <v>0.69166896536287226</v>
      </c>
      <c r="GJ66" s="8">
        <v>0.71246273476784283</v>
      </c>
      <c r="GK66" s="7">
        <v>0.55563807102630058</v>
      </c>
      <c r="GL66" s="8">
        <v>0.54235489611181253</v>
      </c>
      <c r="GM66" s="8">
        <v>0.53710566388824177</v>
      </c>
      <c r="GN66" s="8">
        <v>0.53464284286366071</v>
      </c>
      <c r="GO66" s="8">
        <v>0.53314282879591857</v>
      </c>
      <c r="GP66" s="8">
        <v>0.53561033964282923</v>
      </c>
      <c r="GQ66" s="8">
        <v>0.54500146546396255</v>
      </c>
      <c r="GR66" s="8">
        <v>0.56202905403776882</v>
      </c>
      <c r="GS66" s="8">
        <v>0.57697929997750719</v>
      </c>
      <c r="GT66" s="7">
        <v>0.56954986721542555</v>
      </c>
      <c r="GU66" s="7">
        <v>0.46576903685512733</v>
      </c>
      <c r="GV66" s="8">
        <v>0.46237294213211932</v>
      </c>
      <c r="GW66" s="8">
        <v>0.46918967837207126</v>
      </c>
      <c r="GX66" s="8">
        <v>0.46531013686253042</v>
      </c>
      <c r="GY66" s="8">
        <v>0.47081123616713877</v>
      </c>
      <c r="GZ66" s="8">
        <v>0.48109130311866233</v>
      </c>
      <c r="HA66" s="8">
        <v>0.48417625275440096</v>
      </c>
      <c r="HB66" s="8">
        <v>0.48188155732959298</v>
      </c>
      <c r="HC66" s="8">
        <v>0.47593185364626062</v>
      </c>
      <c r="HD66" s="7">
        <v>0.47571145578353791</v>
      </c>
      <c r="HE66" s="8">
        <v>0.60110863623798672</v>
      </c>
      <c r="HF66" s="7">
        <v>0.60612439478496538</v>
      </c>
      <c r="HG66" s="8">
        <v>0.61193317038788186</v>
      </c>
      <c r="HH66" s="8">
        <v>0.61530296786212124</v>
      </c>
      <c r="HI66" s="8">
        <v>0.60825367512494621</v>
      </c>
      <c r="HJ66" s="8">
        <v>0.60517592314922841</v>
      </c>
      <c r="HK66" s="8">
        <v>0.59569512181640116</v>
      </c>
      <c r="HL66" s="8">
        <v>0.59189963790925804</v>
      </c>
      <c r="HM66" s="7">
        <v>0.60989742714831829</v>
      </c>
      <c r="HN66" s="8">
        <v>0.61287660735442595</v>
      </c>
      <c r="HP66" s="6" t="s">
        <v>185</v>
      </c>
      <c r="HQ66" s="6" t="s">
        <v>140</v>
      </c>
      <c r="HR66" s="6" t="s">
        <v>141</v>
      </c>
      <c r="HS66" s="8">
        <v>0.65214642480216989</v>
      </c>
    </row>
    <row r="67" spans="2:227" x14ac:dyDescent="0.45">
      <c r="B67" s="3" t="s">
        <v>164</v>
      </c>
      <c r="C67" s="3" t="s">
        <v>131</v>
      </c>
      <c r="D67" s="5">
        <v>0.27096161097372878</v>
      </c>
      <c r="E67" s="5">
        <v>0.26444090741109555</v>
      </c>
      <c r="F67" s="5">
        <v>0.26948208017129505</v>
      </c>
      <c r="G67" s="5">
        <v>0.2894047813582703</v>
      </c>
      <c r="H67" s="5">
        <v>0.29634052346434803</v>
      </c>
      <c r="I67" s="5">
        <v>0.29819978438395933</v>
      </c>
      <c r="J67" s="5">
        <v>0.29386650289555605</v>
      </c>
      <c r="K67" s="5">
        <v>0.28226445399480538</v>
      </c>
      <c r="L67" s="5">
        <v>0.26697522316200761</v>
      </c>
      <c r="M67" s="5">
        <v>0.26767549166201987</v>
      </c>
      <c r="N67" s="5">
        <v>0.29797459607843996</v>
      </c>
      <c r="O67" s="5">
        <v>0.29496252656312544</v>
      </c>
      <c r="P67" s="5">
        <v>0.32581091950883234</v>
      </c>
      <c r="Q67" s="5">
        <v>0.33072803825995739</v>
      </c>
      <c r="R67" s="5">
        <v>0.33333033631160924</v>
      </c>
      <c r="S67" s="5">
        <v>0.32920346930242878</v>
      </c>
      <c r="T67" s="5">
        <v>0.31199112066314438</v>
      </c>
      <c r="U67" s="5">
        <v>0.29591560167409819</v>
      </c>
      <c r="V67" s="5">
        <v>0.27192384841333878</v>
      </c>
      <c r="W67" s="5">
        <v>0.27050354605624899</v>
      </c>
      <c r="X67" s="5">
        <v>0.33408879865026453</v>
      </c>
      <c r="Y67" s="5">
        <v>0.33324319233284699</v>
      </c>
      <c r="Z67" s="5">
        <v>0.39074812074865056</v>
      </c>
      <c r="AA67" s="5">
        <v>0.38912411553645254</v>
      </c>
      <c r="AB67" s="5">
        <v>0.38854310930187608</v>
      </c>
      <c r="AC67" s="5">
        <v>0.379961291425917</v>
      </c>
      <c r="AD67" s="5">
        <v>0.36673937033593795</v>
      </c>
      <c r="AE67" s="5">
        <v>0.35590371675047511</v>
      </c>
      <c r="AF67" s="5">
        <v>0.32705879747415129</v>
      </c>
      <c r="AG67" s="5">
        <v>0.30808518822776998</v>
      </c>
      <c r="AH67" s="5">
        <v>0.27278271176286478</v>
      </c>
      <c r="AI67" s="5">
        <v>0.27910764768724011</v>
      </c>
      <c r="AJ67" s="5">
        <v>0.28083608263749643</v>
      </c>
      <c r="AK67" s="5">
        <v>0.30811025596075792</v>
      </c>
      <c r="AL67" s="5">
        <v>0.33363329820779092</v>
      </c>
      <c r="AM67" s="5">
        <v>0.34021492022848254</v>
      </c>
      <c r="AN67" s="5">
        <v>0.3398766937337267</v>
      </c>
      <c r="AO67" s="5">
        <v>0.32115434185120723</v>
      </c>
      <c r="AP67" s="5">
        <v>0.29732255114766754</v>
      </c>
      <c r="AQ67" s="5">
        <v>0.2774058363830168</v>
      </c>
      <c r="AS67" s="3" t="s">
        <v>164</v>
      </c>
      <c r="AT67" s="3" t="s">
        <v>132</v>
      </c>
      <c r="AU67" s="5">
        <v>1.1989283478388417E-2</v>
      </c>
      <c r="AV67" s="4">
        <v>8.5113277213484991E-3</v>
      </c>
      <c r="AW67" s="5">
        <v>1.6244060335647872E-2</v>
      </c>
      <c r="AX67" s="5">
        <v>1.4998079921093681E-2</v>
      </c>
      <c r="AY67" s="5">
        <v>5.119203226492927E-3</v>
      </c>
      <c r="AZ67" s="5">
        <v>1.5550846493424956E-2</v>
      </c>
      <c r="BA67" s="5">
        <v>1.826113494385764E-2</v>
      </c>
      <c r="BB67" s="5">
        <v>1.5425765092563545E-3</v>
      </c>
      <c r="BC67" s="5">
        <v>8.1362681889403515E-3</v>
      </c>
      <c r="BD67" s="5">
        <v>1.3886523837696363E-2</v>
      </c>
      <c r="BE67" s="5">
        <v>5.073447536475561E-3</v>
      </c>
      <c r="BF67" s="5">
        <v>1.0429577891356224E-2</v>
      </c>
      <c r="BG67" s="5">
        <v>1.9646882832930927E-2</v>
      </c>
      <c r="BH67" s="5">
        <v>2.5389448269054281E-2</v>
      </c>
      <c r="BI67" s="5">
        <v>2.6222441812577199E-2</v>
      </c>
      <c r="BJ67" s="5">
        <v>2.5461815840628853E-2</v>
      </c>
      <c r="BK67" s="5">
        <v>1.937355994811981E-2</v>
      </c>
      <c r="BL67" s="4">
        <v>1.0034650567271998E-2</v>
      </c>
      <c r="BM67" s="5">
        <v>1.5496906044021814E-2</v>
      </c>
      <c r="BN67" s="5">
        <v>1.1004934585257383E-2</v>
      </c>
      <c r="BO67" s="5">
        <v>2.1082230786543012E-2</v>
      </c>
      <c r="BP67" s="5">
        <v>2.6538507490615284E-2</v>
      </c>
      <c r="BQ67" s="5">
        <v>1.6619261762052275E-2</v>
      </c>
      <c r="BR67" s="5">
        <v>3.940622956457164E-2</v>
      </c>
      <c r="BS67" s="5">
        <v>7.2476542347817793E-2</v>
      </c>
      <c r="BT67" s="4">
        <v>4.0204144301025202E-2</v>
      </c>
      <c r="BU67" s="5">
        <v>1.8409108612065041E-2</v>
      </c>
      <c r="BV67" s="5">
        <v>1.1485370630925178E-2</v>
      </c>
      <c r="BW67" s="5">
        <v>1.5890725706101255E-2</v>
      </c>
      <c r="BX67" s="5">
        <v>1.5367751417882681E-2</v>
      </c>
      <c r="BY67" s="5">
        <v>1.5626639577591309E-2</v>
      </c>
      <c r="BZ67" s="4">
        <v>1.3741812819937615E-2</v>
      </c>
      <c r="CA67" s="4">
        <v>2.7103468275872601E-2</v>
      </c>
      <c r="CB67" s="5">
        <v>3.3520626076938224E-2</v>
      </c>
      <c r="CC67" s="5">
        <v>4.5798995221562951E-2</v>
      </c>
      <c r="CD67" s="5">
        <v>4.9649130895588998E-2</v>
      </c>
      <c r="CE67" s="5">
        <v>3.2438666657124769E-2</v>
      </c>
      <c r="CF67" s="4">
        <v>1.6385248981844996E-2</v>
      </c>
      <c r="CG67" s="5">
        <v>1.6728188093438606E-2</v>
      </c>
      <c r="CH67" s="5">
        <v>7.9537982874403317E-3</v>
      </c>
      <c r="CJ67" s="3" t="s">
        <v>164</v>
      </c>
      <c r="CK67" s="3" t="s">
        <v>133</v>
      </c>
      <c r="CL67" s="5">
        <v>1.7171482333084791E-2</v>
      </c>
      <c r="CM67" s="5">
        <v>2.3869605610914141E-2</v>
      </c>
      <c r="CN67" s="5">
        <v>2.2330983765665783E-2</v>
      </c>
      <c r="CO67" s="5">
        <v>1.4448030050385335E-2</v>
      </c>
      <c r="CP67" s="4">
        <v>1.7975492870917466E-2</v>
      </c>
      <c r="CQ67" s="5">
        <v>1.4263874091087389E-2</v>
      </c>
      <c r="CR67" s="5">
        <v>7.213402487692735E-3</v>
      </c>
      <c r="CS67" s="5">
        <v>2.7716556650310128E-2</v>
      </c>
      <c r="CT67" s="5">
        <v>2.842083646361954E-2</v>
      </c>
      <c r="CU67" s="5">
        <v>9.6283984324719487E-3</v>
      </c>
      <c r="CV67" s="5">
        <v>1.2257077769350097E-2</v>
      </c>
      <c r="CW67" s="5">
        <v>0</v>
      </c>
      <c r="CX67" s="5">
        <v>2.6229921480552358E-3</v>
      </c>
      <c r="CY67" s="5">
        <v>1.5839737386832173E-2</v>
      </c>
      <c r="CZ67" s="5">
        <v>2.7311109913979736E-2</v>
      </c>
      <c r="DA67" s="5">
        <v>3.0733734377413929E-2</v>
      </c>
      <c r="DB67" s="5">
        <v>2.5546591599494781E-2</v>
      </c>
      <c r="DC67" s="5">
        <v>2.7421896301493866E-2</v>
      </c>
      <c r="DD67" s="5">
        <v>2.3869580726602283E-2</v>
      </c>
      <c r="DE67" s="5">
        <v>1.8621553342182379E-2</v>
      </c>
      <c r="DF67" s="5">
        <v>2.3724497390100446E-2</v>
      </c>
      <c r="DG67" s="5">
        <v>3.8797912046178752E-2</v>
      </c>
      <c r="DH67" s="5">
        <v>3.3921275065601365E-2</v>
      </c>
      <c r="DI67" s="5">
        <v>3.4622263605336073E-2</v>
      </c>
      <c r="DJ67" s="5">
        <v>2.1464401436639635E-2</v>
      </c>
      <c r="DK67" s="5">
        <v>4.8087563939110088E-2</v>
      </c>
      <c r="DL67" s="5">
        <v>7.3349931558192971E-2</v>
      </c>
      <c r="DM67" s="5">
        <v>7.1074486519649968E-2</v>
      </c>
      <c r="DN67" s="5">
        <v>3.743779691005656E-2</v>
      </c>
      <c r="DO67" s="4">
        <v>8.5677359485469839E-3</v>
      </c>
      <c r="DP67" s="5">
        <v>1.5856948693687208E-2</v>
      </c>
      <c r="DQ67" s="5">
        <v>2.9029688597977926E-2</v>
      </c>
      <c r="DR67" s="5">
        <v>3.039344210645548E-2</v>
      </c>
      <c r="DS67" s="5">
        <v>2.9256089998297985E-2</v>
      </c>
      <c r="DT67" s="4">
        <v>2.6459350260526031E-2</v>
      </c>
      <c r="DU67" s="5">
        <v>2.9935309774679553E-2</v>
      </c>
      <c r="DV67" s="5">
        <v>5.522969733062924E-2</v>
      </c>
      <c r="DW67" s="5">
        <v>5.6450846103571109E-2</v>
      </c>
      <c r="DX67" s="5">
        <v>4.0248591834763099E-2</v>
      </c>
      <c r="DY67" s="5">
        <v>2.1853457131834488E-2</v>
      </c>
      <c r="EA67" s="3" t="s">
        <v>164</v>
      </c>
      <c r="EB67" s="3" t="s">
        <v>134</v>
      </c>
      <c r="EC67" s="5">
        <v>0.12497148132123875</v>
      </c>
      <c r="ED67" s="5">
        <v>0.12123602525942455</v>
      </c>
      <c r="EE67" s="5">
        <v>0.12056974364814317</v>
      </c>
      <c r="EF67" s="5">
        <v>0.14396055982161562</v>
      </c>
      <c r="EG67" s="5">
        <v>0.15419233477825328</v>
      </c>
      <c r="EH67" s="5">
        <v>0.15055673039125886</v>
      </c>
      <c r="EI67" s="5">
        <v>0.1567430889112815</v>
      </c>
      <c r="EJ67" s="5">
        <v>0.14479750538125288</v>
      </c>
      <c r="EK67" s="5">
        <v>0.12523058150100691</v>
      </c>
      <c r="EL67" s="5">
        <v>0.13650220211576877</v>
      </c>
      <c r="EM67" s="5">
        <v>0.17026699829903724</v>
      </c>
      <c r="EN67" s="5">
        <v>0.17228372171187228</v>
      </c>
      <c r="EO67" s="5">
        <v>0.17654767098037943</v>
      </c>
      <c r="EP67" s="5">
        <v>0.15893232996289905</v>
      </c>
      <c r="EQ67" s="5">
        <v>0.14267665143490529</v>
      </c>
      <c r="ER67" s="5">
        <v>0.14155438922640076</v>
      </c>
      <c r="ES67" s="4">
        <v>0.14277293007040426</v>
      </c>
      <c r="ET67" s="5">
        <v>0.14741864343753158</v>
      </c>
      <c r="EU67" s="5">
        <v>0.13042739510539855</v>
      </c>
      <c r="EV67" s="5">
        <v>0.14027550393293403</v>
      </c>
      <c r="EW67" s="5">
        <v>0.17712276939521338</v>
      </c>
      <c r="EX67" s="5">
        <v>0.16710899306580179</v>
      </c>
      <c r="EY67" s="5">
        <v>0.22821351416015659</v>
      </c>
      <c r="EZ67" s="5">
        <v>0.19169088237039017</v>
      </c>
      <c r="FA67" s="5">
        <v>0.16623564634059762</v>
      </c>
      <c r="FB67" s="5">
        <v>0.16504209887141066</v>
      </c>
      <c r="FC67" s="5">
        <v>0.14570365781374714</v>
      </c>
      <c r="FD67" s="4">
        <v>0.15676917946970084</v>
      </c>
      <c r="FE67" s="5">
        <v>0.17507143970077516</v>
      </c>
      <c r="FF67" s="5">
        <v>0.18811352576018664</v>
      </c>
      <c r="FG67" s="5">
        <v>0.13472100431964359</v>
      </c>
      <c r="FH67" s="5">
        <v>0.13265668799572844</v>
      </c>
      <c r="FI67" s="5">
        <v>0.12519842088277192</v>
      </c>
      <c r="FJ67" s="5">
        <v>0.1347985705917997</v>
      </c>
      <c r="FK67" s="5">
        <v>0.13963445659844914</v>
      </c>
      <c r="FL67" s="5">
        <v>0.13048484228090915</v>
      </c>
      <c r="FM67" s="5">
        <v>0.12045309143001461</v>
      </c>
      <c r="FN67" s="5">
        <v>0.11999960014309183</v>
      </c>
      <c r="FO67" s="5">
        <v>0.11753768422334528</v>
      </c>
      <c r="FP67" s="5">
        <v>0.13865435439335461</v>
      </c>
      <c r="FZ67" s="3" t="s">
        <v>164</v>
      </c>
      <c r="GA67" s="5">
        <v>0.51935965756436198</v>
      </c>
      <c r="GB67" s="5">
        <v>0.50377057337697351</v>
      </c>
      <c r="GC67" s="4">
        <v>0.50274980129939084</v>
      </c>
      <c r="GD67" s="5">
        <v>0.4861944790544464</v>
      </c>
      <c r="GE67" s="5">
        <v>0.48939271351376512</v>
      </c>
      <c r="GF67" s="5">
        <v>0.49184396231885408</v>
      </c>
      <c r="GG67" s="5">
        <v>0.49192757130593889</v>
      </c>
      <c r="GH67" s="5">
        <v>0.50600345650604472</v>
      </c>
      <c r="GI67" s="5">
        <v>0.52210684826709197</v>
      </c>
      <c r="GJ67" s="5">
        <v>0.52889000870339975</v>
      </c>
      <c r="GK67" s="4">
        <v>0.41404581575742661</v>
      </c>
      <c r="GL67" s="5">
        <v>0.41347849173009854</v>
      </c>
      <c r="GM67" s="5">
        <v>0.41781746839622275</v>
      </c>
      <c r="GN67" s="5">
        <v>0.43216175430714621</v>
      </c>
      <c r="GO67" s="5">
        <v>0.44833075904386399</v>
      </c>
      <c r="GP67" s="5">
        <v>0.46038500027542112</v>
      </c>
      <c r="GQ67" s="5">
        <v>0.46503139159440599</v>
      </c>
      <c r="GR67" s="5">
        <v>0.44682666565497009</v>
      </c>
      <c r="GS67" s="5">
        <v>0.44183709699779583</v>
      </c>
      <c r="GT67" s="4">
        <v>0.4334831560611887</v>
      </c>
      <c r="GU67" s="4">
        <v>0.29338075037144062</v>
      </c>
      <c r="GV67" s="5">
        <v>0.2555288957416158</v>
      </c>
      <c r="GW67" s="5">
        <v>0.25196884238025519</v>
      </c>
      <c r="GX67" s="5">
        <v>0.24697706176220693</v>
      </c>
      <c r="GY67" s="5">
        <v>0.26230114845357749</v>
      </c>
      <c r="GZ67" s="5">
        <v>0.29135968082373559</v>
      </c>
      <c r="HA67" s="5">
        <v>0.29999443400256348</v>
      </c>
      <c r="HB67" s="5">
        <v>0.29416854892143945</v>
      </c>
      <c r="HC67" s="5">
        <v>0.29704126575965989</v>
      </c>
      <c r="HD67" s="4">
        <v>0.30721048843998233</v>
      </c>
      <c r="HE67" s="5">
        <v>0.44751595492428797</v>
      </c>
      <c r="HF67" s="4">
        <v>0.43216319562338362</v>
      </c>
      <c r="HG67" s="5">
        <v>0.42516492752815405</v>
      </c>
      <c r="HH67" s="5">
        <v>0.40152100256438689</v>
      </c>
      <c r="HI67" s="5">
        <v>0.41091241406802592</v>
      </c>
      <c r="HJ67" s="5">
        <v>0.42574241402660995</v>
      </c>
      <c r="HK67" s="5">
        <v>0.41819521811951949</v>
      </c>
      <c r="HL67" s="5">
        <v>0.42767228606128355</v>
      </c>
      <c r="HM67" s="4">
        <v>0.45667330794853672</v>
      </c>
      <c r="HN67" s="5">
        <v>0.45562154947059269</v>
      </c>
      <c r="HP67" s="3" t="s">
        <v>187</v>
      </c>
      <c r="HQ67" s="3" t="s">
        <v>140</v>
      </c>
      <c r="HR67" s="3" t="s">
        <v>141</v>
      </c>
      <c r="HS67" s="5">
        <v>0.6301802488881626</v>
      </c>
    </row>
    <row r="68" spans="2:227" x14ac:dyDescent="0.45">
      <c r="B68" s="6" t="s">
        <v>166</v>
      </c>
      <c r="C68" s="6" t="s">
        <v>131</v>
      </c>
      <c r="D68" s="8">
        <v>0.24322428341962182</v>
      </c>
      <c r="E68" s="8">
        <v>0.24746979646104472</v>
      </c>
      <c r="F68" s="8">
        <v>0.25376281347578067</v>
      </c>
      <c r="G68" s="8">
        <v>0.27222407603687931</v>
      </c>
      <c r="H68" s="8">
        <v>0.30766607262010642</v>
      </c>
      <c r="I68" s="8">
        <v>0.30449179965513523</v>
      </c>
      <c r="J68" s="8">
        <v>0.29471514246778302</v>
      </c>
      <c r="K68" s="8">
        <v>0.27203602601234156</v>
      </c>
      <c r="L68" s="8">
        <v>0.26359917482388062</v>
      </c>
      <c r="M68" s="8">
        <v>0.25269386179121689</v>
      </c>
      <c r="N68" s="8">
        <v>0.27936614697759399</v>
      </c>
      <c r="O68" s="8">
        <v>0.28037818184038821</v>
      </c>
      <c r="P68" s="8">
        <v>0.29992388415239868</v>
      </c>
      <c r="Q68" s="8">
        <v>0.33108782023748956</v>
      </c>
      <c r="R68" s="8">
        <v>0.34947864784507859</v>
      </c>
      <c r="S68" s="8">
        <v>0.32781555308077004</v>
      </c>
      <c r="T68" s="8">
        <v>0.31033446107787027</v>
      </c>
      <c r="U68" s="8">
        <v>0.29341992295221669</v>
      </c>
      <c r="V68" s="8">
        <v>0.27750907069466069</v>
      </c>
      <c r="W68" s="8">
        <v>0.27881540998524246</v>
      </c>
      <c r="X68" s="8">
        <v>0.31105732771497591</v>
      </c>
      <c r="Y68" s="8">
        <v>0.33571924595127001</v>
      </c>
      <c r="Z68" s="8">
        <v>0.37210006905547871</v>
      </c>
      <c r="AA68" s="8">
        <v>0.37003771748059289</v>
      </c>
      <c r="AB68" s="8">
        <v>0.36490213965699247</v>
      </c>
      <c r="AC68" s="8">
        <v>0.34735380283909167</v>
      </c>
      <c r="AD68" s="8">
        <v>0.3248973954514815</v>
      </c>
      <c r="AE68" s="8">
        <v>0.31891474750023469</v>
      </c>
      <c r="AF68" s="8">
        <v>0.29933230665133131</v>
      </c>
      <c r="AG68" s="8">
        <v>0.29045677821600752</v>
      </c>
      <c r="AH68" s="8">
        <v>0.31068201261024625</v>
      </c>
      <c r="AI68" s="8">
        <v>0.33453632733577371</v>
      </c>
      <c r="AJ68" s="8">
        <v>0.33790449156408947</v>
      </c>
      <c r="AK68" s="8">
        <v>0.34127672689973076</v>
      </c>
      <c r="AL68" s="8">
        <v>0.33194499101002212</v>
      </c>
      <c r="AM68" s="8">
        <v>0.32574877945894631</v>
      </c>
      <c r="AN68" s="8">
        <v>0.31526055176373646</v>
      </c>
      <c r="AO68" s="8">
        <v>0.28686713169247319</v>
      </c>
      <c r="AP68" s="8">
        <v>0.27108171209852877</v>
      </c>
      <c r="AQ68" s="8">
        <v>0.27626510464555343</v>
      </c>
      <c r="AS68" s="6" t="s">
        <v>166</v>
      </c>
      <c r="AT68" s="6" t="s">
        <v>132</v>
      </c>
      <c r="AU68" s="8">
        <v>1.7155310828758756E-2</v>
      </c>
      <c r="AV68" s="7">
        <v>1.652761488459779E-2</v>
      </c>
      <c r="AW68" s="8">
        <v>2.3591274117491855E-2</v>
      </c>
      <c r="AX68" s="8">
        <v>2.9403340457267831E-2</v>
      </c>
      <c r="AY68" s="8">
        <v>2.4571303122091073E-2</v>
      </c>
      <c r="AZ68" s="8">
        <v>1.8104163131951234E-2</v>
      </c>
      <c r="BA68" s="8">
        <v>9.3308829709751479E-3</v>
      </c>
      <c r="BB68" s="8">
        <v>1.5838498552544048E-2</v>
      </c>
      <c r="BC68" s="8">
        <v>2.502133248902344E-2</v>
      </c>
      <c r="BD68" s="8">
        <v>3.2630661191356554E-2</v>
      </c>
      <c r="BE68" s="8">
        <v>1.4626831619006813E-2</v>
      </c>
      <c r="BF68" s="8">
        <v>8.999686493791275E-3</v>
      </c>
      <c r="BG68" s="8">
        <v>2.4954275372682248E-2</v>
      </c>
      <c r="BH68" s="8">
        <v>3.0065066753819866E-2</v>
      </c>
      <c r="BI68" s="8">
        <v>2.5475132284381575E-2</v>
      </c>
      <c r="BJ68" s="8">
        <v>1.3727642196042739E-2</v>
      </c>
      <c r="BK68" s="8">
        <v>8.7140958531854232E-3</v>
      </c>
      <c r="BL68" s="7">
        <v>8.359187468469394E-3</v>
      </c>
      <c r="BM68" s="8">
        <v>1.6733695764590349E-2</v>
      </c>
      <c r="BN68" s="8">
        <v>1.8043587259343071E-2</v>
      </c>
      <c r="BO68" s="8">
        <v>3.1292810007700379E-2</v>
      </c>
      <c r="BP68" s="8">
        <v>5.7445148630804752E-3</v>
      </c>
      <c r="BQ68" s="8">
        <v>1.6193383812444406E-2</v>
      </c>
      <c r="BR68" s="8">
        <v>1.5687140722925479E-2</v>
      </c>
      <c r="BS68" s="8">
        <v>2.2428326397582046E-2</v>
      </c>
      <c r="BT68" s="7">
        <v>2.9593135140799094E-2</v>
      </c>
      <c r="BU68" s="8">
        <v>2.0608205861860483E-2</v>
      </c>
      <c r="BV68" s="8">
        <v>1.7158579776280089E-2</v>
      </c>
      <c r="BW68" s="8">
        <v>1.3881445888914897E-2</v>
      </c>
      <c r="BX68" s="8">
        <v>1.9398775404639919E-2</v>
      </c>
      <c r="BY68" s="8">
        <v>1.3084991253965457E-2</v>
      </c>
      <c r="BZ68" s="7">
        <v>2.3196536569352975E-2</v>
      </c>
      <c r="CA68" s="7">
        <v>2.7621772480844787E-2</v>
      </c>
      <c r="CB68" s="8">
        <v>3.0772434991045098E-2</v>
      </c>
      <c r="CC68" s="8">
        <v>4.2679043684696084E-2</v>
      </c>
      <c r="CD68" s="8">
        <v>4.0570607005553712E-2</v>
      </c>
      <c r="CE68" s="8">
        <v>1.7232496785019216E-2</v>
      </c>
      <c r="CF68" s="7">
        <v>1.3714711341464035E-2</v>
      </c>
      <c r="CG68" s="8">
        <v>2.4922338595995637E-2</v>
      </c>
      <c r="CH68" s="8">
        <v>1.7461787171569289E-2</v>
      </c>
      <c r="CJ68" s="6" t="s">
        <v>166</v>
      </c>
      <c r="CK68" s="6" t="s">
        <v>133</v>
      </c>
      <c r="CL68" s="8">
        <v>3.3578288838243084E-2</v>
      </c>
      <c r="CM68" s="8">
        <v>2.2679493062435989E-2</v>
      </c>
      <c r="CN68" s="8">
        <v>1.6616064096391742E-2</v>
      </c>
      <c r="CO68" s="8">
        <v>1.9725458418469767E-2</v>
      </c>
      <c r="CP68" s="7">
        <v>4.3591397801733163E-2</v>
      </c>
      <c r="CQ68" s="8">
        <v>4.0863760525365125E-2</v>
      </c>
      <c r="CR68" s="8">
        <v>4.3050573309712757E-2</v>
      </c>
      <c r="CS68" s="8">
        <v>1.8058535595844905E-2</v>
      </c>
      <c r="CT68" s="8">
        <v>1.0790431839786646E-2</v>
      </c>
      <c r="CU68" s="8">
        <v>1.117550172871923E-2</v>
      </c>
      <c r="CV68" s="8">
        <v>1.3512346675824379E-2</v>
      </c>
      <c r="CW68" s="8">
        <v>1.9503331476216482E-2</v>
      </c>
      <c r="CX68" s="8">
        <v>1.8376496311217683E-2</v>
      </c>
      <c r="CY68" s="8">
        <v>1.068502421869973E-2</v>
      </c>
      <c r="CZ68" s="8">
        <v>2.3052504728053789E-2</v>
      </c>
      <c r="DA68" s="8">
        <v>2.8833039344607868E-2</v>
      </c>
      <c r="DB68" s="8">
        <v>3.0051089716238134E-2</v>
      </c>
      <c r="DC68" s="8">
        <v>3.2387805771218872E-2</v>
      </c>
      <c r="DD68" s="8">
        <v>1.7833112769501724E-2</v>
      </c>
      <c r="DE68" s="8">
        <v>1.4406003705462928E-2</v>
      </c>
      <c r="DF68" s="8">
        <v>2.6496906391482045E-2</v>
      </c>
      <c r="DG68" s="8">
        <v>5.1729567242109323E-2</v>
      </c>
      <c r="DH68" s="8">
        <v>2.2928672820744449E-2</v>
      </c>
      <c r="DI68" s="8">
        <v>1.429388111340095E-2</v>
      </c>
      <c r="DJ68" s="8">
        <v>1.7455922381860452E-2</v>
      </c>
      <c r="DK68" s="8">
        <v>2.0623003960791881E-2</v>
      </c>
      <c r="DL68" s="8">
        <v>2.9162842099511223E-2</v>
      </c>
      <c r="DM68" s="8">
        <v>4.0015809340479672E-2</v>
      </c>
      <c r="DN68" s="8">
        <v>3.2402128127282263E-2</v>
      </c>
      <c r="DO68" s="7">
        <v>1.2230023740939002E-2</v>
      </c>
      <c r="DP68" s="8">
        <v>2.7133020859459275E-2</v>
      </c>
      <c r="DQ68" s="8">
        <v>1.5862383126393133E-2</v>
      </c>
      <c r="DR68" s="8">
        <v>1.7809637838558566E-2</v>
      </c>
      <c r="DS68" s="8">
        <v>2.4953406496144175E-2</v>
      </c>
      <c r="DT68" s="7">
        <v>3.2416624846433685E-2</v>
      </c>
      <c r="DU68" s="8">
        <v>3.2925158974255971E-2</v>
      </c>
      <c r="DV68" s="8">
        <v>5.0594976065417838E-2</v>
      </c>
      <c r="DW68" s="8">
        <v>5.1421801274591838E-2</v>
      </c>
      <c r="DX68" s="8">
        <v>2.8493166987256097E-2</v>
      </c>
      <c r="DY68" s="8">
        <v>2.6115775606605558E-2</v>
      </c>
      <c r="EA68" s="6" t="s">
        <v>166</v>
      </c>
      <c r="EB68" s="6" t="s">
        <v>134</v>
      </c>
      <c r="EC68" s="8">
        <v>9.2452454645566853E-2</v>
      </c>
      <c r="ED68" s="8">
        <v>0.10817168161419501</v>
      </c>
      <c r="EE68" s="8">
        <v>0.11466360325416969</v>
      </c>
      <c r="EF68" s="8">
        <v>0.11112913998707208</v>
      </c>
      <c r="EG68" s="8">
        <v>0.11655850604700893</v>
      </c>
      <c r="EH68" s="8">
        <v>0.12411335394395931</v>
      </c>
      <c r="EI68" s="8">
        <v>0.12124432868343966</v>
      </c>
      <c r="EJ68" s="8">
        <v>0.12013770465114978</v>
      </c>
      <c r="EK68" s="8">
        <v>0.1117374431735923</v>
      </c>
      <c r="EL68" s="8">
        <v>0.10363276746615975</v>
      </c>
      <c r="EM68" s="8">
        <v>0.14080360126381086</v>
      </c>
      <c r="EN68" s="8">
        <v>0.13666006077836387</v>
      </c>
      <c r="EO68" s="8">
        <v>0.13947454417648769</v>
      </c>
      <c r="EP68" s="8">
        <v>0.16385539394437634</v>
      </c>
      <c r="EQ68" s="8">
        <v>0.17414693342790308</v>
      </c>
      <c r="ER68" s="8">
        <v>0.16547223492071791</v>
      </c>
      <c r="ES68" s="7">
        <v>0.15455533063744395</v>
      </c>
      <c r="ET68" s="8">
        <v>0.14783395565708651</v>
      </c>
      <c r="EU68" s="8">
        <v>0.14135653733587825</v>
      </c>
      <c r="EV68" s="8">
        <v>0.13920594119436197</v>
      </c>
      <c r="EW68" s="8">
        <v>0.14466976486662117</v>
      </c>
      <c r="EX68" s="8">
        <v>0.15248041416627836</v>
      </c>
      <c r="EY68" s="8">
        <v>0.19072491275390302</v>
      </c>
      <c r="EZ68" s="8">
        <v>0.2049464374696815</v>
      </c>
      <c r="FA68" s="8">
        <v>0.19372011056773375</v>
      </c>
      <c r="FB68" s="8">
        <v>0.16745454660615283</v>
      </c>
      <c r="FC68" s="8">
        <v>0.15132306131387666</v>
      </c>
      <c r="FD68" s="7">
        <v>0.15272040775932771</v>
      </c>
      <c r="FE68" s="8">
        <v>0.15627681272492608</v>
      </c>
      <c r="FF68" s="8">
        <v>0.15336894064759971</v>
      </c>
      <c r="FG68" s="8">
        <v>0.14045727128518032</v>
      </c>
      <c r="FH68" s="8">
        <v>0.14878496800399191</v>
      </c>
      <c r="FI68" s="8">
        <v>0.15372359797392729</v>
      </c>
      <c r="FJ68" s="8">
        <v>0.14333502648291352</v>
      </c>
      <c r="FK68" s="8">
        <v>0.12466449865494102</v>
      </c>
      <c r="FL68" s="8">
        <v>0.12342442803931061</v>
      </c>
      <c r="FM68" s="8">
        <v>0.11840005374147865</v>
      </c>
      <c r="FN68" s="8">
        <v>0.10264202088956925</v>
      </c>
      <c r="FO68" s="8">
        <v>0.10564063705971874</v>
      </c>
      <c r="FP68" s="8">
        <v>0.12032114910891363</v>
      </c>
      <c r="FZ68" s="6" t="s">
        <v>166</v>
      </c>
      <c r="GA68" s="8">
        <v>0.52192889825351219</v>
      </c>
      <c r="GB68" s="8">
        <v>0.5061960222520383</v>
      </c>
      <c r="GC68" s="7">
        <v>0.50137153268039669</v>
      </c>
      <c r="GD68" s="8">
        <v>0.48645183938737707</v>
      </c>
      <c r="GE68" s="8">
        <v>0.47690480457728435</v>
      </c>
      <c r="GF68" s="8">
        <v>0.49266205829611115</v>
      </c>
      <c r="GG68" s="8">
        <v>0.49556904139628855</v>
      </c>
      <c r="GH68" s="8">
        <v>0.50963269461424276</v>
      </c>
      <c r="GI68" s="8">
        <v>0.52345960989364315</v>
      </c>
      <c r="GJ68" s="8">
        <v>0.52390794173643962</v>
      </c>
      <c r="GK68" s="7">
        <v>0.44819338893047223</v>
      </c>
      <c r="GL68" s="8">
        <v>0.43577344927609135</v>
      </c>
      <c r="GM68" s="8">
        <v>0.44124096722102235</v>
      </c>
      <c r="GN68" s="8">
        <v>0.42702767528181323</v>
      </c>
      <c r="GO68" s="8">
        <v>0.41893033563033144</v>
      </c>
      <c r="GP68" s="8">
        <v>0.44093485632357049</v>
      </c>
      <c r="GQ68" s="8">
        <v>0.45075393135218911</v>
      </c>
      <c r="GR68" s="8">
        <v>0.43718550215045743</v>
      </c>
      <c r="GS68" s="8">
        <v>0.45709019090474512</v>
      </c>
      <c r="GT68" s="7">
        <v>0.45794815658006965</v>
      </c>
      <c r="GU68" s="7">
        <v>0.34124996191982132</v>
      </c>
      <c r="GV68" s="8">
        <v>0.31623276479629436</v>
      </c>
      <c r="GW68" s="8">
        <v>0.30403373795255467</v>
      </c>
      <c r="GX68" s="8">
        <v>0.28807512431817039</v>
      </c>
      <c r="GY68" s="8">
        <v>0.30172283264862648</v>
      </c>
      <c r="GZ68" s="8">
        <v>0.32909740398555631</v>
      </c>
      <c r="HA68" s="8">
        <v>0.34919846103931323</v>
      </c>
      <c r="HB68" s="8">
        <v>0.34163984526864793</v>
      </c>
      <c r="HC68" s="8">
        <v>0.34582024595250971</v>
      </c>
      <c r="HD68" s="7">
        <v>0.35678192901401051</v>
      </c>
      <c r="HE68" s="8">
        <v>0.45327345632185823</v>
      </c>
      <c r="HF68" s="7">
        <v>0.43829371979010062</v>
      </c>
      <c r="HG68" s="8">
        <v>0.43407410991197176</v>
      </c>
      <c r="HH68" s="8">
        <v>0.42600137962345203</v>
      </c>
      <c r="HI68" s="8">
        <v>0.42976308118786732</v>
      </c>
      <c r="HJ68" s="8">
        <v>0.44448504605871442</v>
      </c>
      <c r="HK68" s="8">
        <v>0.44800325438412514</v>
      </c>
      <c r="HL68" s="8">
        <v>0.46221578052665924</v>
      </c>
      <c r="HM68" s="7">
        <v>0.47729451397221134</v>
      </c>
      <c r="HN68" s="8">
        <v>0.47028817098067488</v>
      </c>
      <c r="HP68" s="6" t="s">
        <v>189</v>
      </c>
      <c r="HQ68" s="6" t="s">
        <v>140</v>
      </c>
      <c r="HR68" s="6" t="s">
        <v>141</v>
      </c>
      <c r="HS68" s="8">
        <v>0.69370002702586731</v>
      </c>
    </row>
    <row r="69" spans="2:227" x14ac:dyDescent="0.45">
      <c r="B69" s="3" t="s">
        <v>168</v>
      </c>
      <c r="C69" s="3" t="s">
        <v>131</v>
      </c>
      <c r="D69" s="5">
        <v>0.2947016796713105</v>
      </c>
      <c r="E69" s="5">
        <v>0.29361263084471989</v>
      </c>
      <c r="F69" s="5">
        <v>0.2965308607958892</v>
      </c>
      <c r="G69" s="5">
        <v>0.29491904261498719</v>
      </c>
      <c r="H69" s="5">
        <v>0.29276038617710876</v>
      </c>
      <c r="I69" s="5">
        <v>0.28622611831220002</v>
      </c>
      <c r="J69" s="5">
        <v>0.29515317770766364</v>
      </c>
      <c r="K69" s="5">
        <v>0.29855245401535763</v>
      </c>
      <c r="L69" s="5">
        <v>0.30459265448319517</v>
      </c>
      <c r="M69" s="5">
        <v>0.30313393994968141</v>
      </c>
      <c r="N69" s="5">
        <v>0.36511518635046863</v>
      </c>
      <c r="O69" s="5">
        <v>0.36074832917425587</v>
      </c>
      <c r="P69" s="5">
        <v>0.36142175854308217</v>
      </c>
      <c r="Q69" s="5">
        <v>0.32926798215348591</v>
      </c>
      <c r="R69" s="5">
        <v>0.3281173726392746</v>
      </c>
      <c r="S69" s="5">
        <v>0.32546043260997853</v>
      </c>
      <c r="T69" s="5">
        <v>0.33080118349211751</v>
      </c>
      <c r="U69" s="5">
        <v>0.35130077369088591</v>
      </c>
      <c r="V69" s="5">
        <v>0.35294696585492003</v>
      </c>
      <c r="W69" s="5">
        <v>0.3690035987035058</v>
      </c>
      <c r="X69" s="5">
        <v>0.40715721802332716</v>
      </c>
      <c r="Y69" s="5">
        <v>0.42082316013017018</v>
      </c>
      <c r="Z69" s="5">
        <v>0.45527215350433392</v>
      </c>
      <c r="AA69" s="5">
        <v>0.45266808309853845</v>
      </c>
      <c r="AB69" s="5">
        <v>0.42446871739514053</v>
      </c>
      <c r="AC69" s="5">
        <v>0.39778594290987046</v>
      </c>
      <c r="AD69" s="5">
        <v>0.37425486646731237</v>
      </c>
      <c r="AE69" s="5">
        <v>0.36054402034809635</v>
      </c>
      <c r="AF69" s="5">
        <v>0.36181323808976795</v>
      </c>
      <c r="AG69" s="5">
        <v>0.38234858868440313</v>
      </c>
      <c r="AH69" s="5">
        <v>0.30357182188193815</v>
      </c>
      <c r="AI69" s="5">
        <v>0.31625631410752603</v>
      </c>
      <c r="AJ69" s="5">
        <v>0.31986737066639626</v>
      </c>
      <c r="AK69" s="5">
        <v>0.31674632433662742</v>
      </c>
      <c r="AL69" s="5">
        <v>0.30684605448405561</v>
      </c>
      <c r="AM69" s="5">
        <v>0.30222883893745295</v>
      </c>
      <c r="AN69" s="5">
        <v>0.31932052857605531</v>
      </c>
      <c r="AO69" s="5">
        <v>0.30671778208293771</v>
      </c>
      <c r="AP69" s="5">
        <v>0.29501556868725043</v>
      </c>
      <c r="AQ69" s="5">
        <v>0.2943314077484373</v>
      </c>
      <c r="AS69" s="3" t="s">
        <v>168</v>
      </c>
      <c r="AT69" s="3" t="s">
        <v>132</v>
      </c>
      <c r="AU69" s="5">
        <v>1.7245313878774694E-2</v>
      </c>
      <c r="AV69" s="4">
        <v>9.3865729249141463E-3</v>
      </c>
      <c r="AW69" s="5">
        <v>1.2473517355820592E-2</v>
      </c>
      <c r="AX69" s="5">
        <v>1.80707057745862E-2</v>
      </c>
      <c r="AY69" s="5">
        <v>2.4467967757403522E-2</v>
      </c>
      <c r="AZ69" s="5">
        <v>1.7794518905316286E-2</v>
      </c>
      <c r="BA69" s="5">
        <v>1.6537560394967E-2</v>
      </c>
      <c r="BB69" s="5">
        <v>1.2786093212521618E-2</v>
      </c>
      <c r="BC69" s="5">
        <v>1.0510908026562828E-2</v>
      </c>
      <c r="BD69" s="5">
        <v>1.8381569534198637E-2</v>
      </c>
      <c r="BE69" s="5">
        <v>1.9822361483935423E-2</v>
      </c>
      <c r="BF69" s="5">
        <v>2.0259976084618203E-3</v>
      </c>
      <c r="BG69" s="5">
        <v>5.9505440276334202E-3</v>
      </c>
      <c r="BH69" s="5">
        <v>1.7062948894997033E-2</v>
      </c>
      <c r="BI69" s="5">
        <v>2.9127253870976012E-2</v>
      </c>
      <c r="BJ69" s="5">
        <v>3.3305460042250719E-2</v>
      </c>
      <c r="BK69" s="5">
        <v>3.578033252040947E-2</v>
      </c>
      <c r="BL69" s="4">
        <v>3.4635217966703012E-2</v>
      </c>
      <c r="BM69" s="5">
        <v>3.0203004595890252E-2</v>
      </c>
      <c r="BN69" s="5">
        <v>1.87776585633102E-2</v>
      </c>
      <c r="BO69" s="5">
        <v>3.5900162252205957E-2</v>
      </c>
      <c r="BP69" s="5">
        <v>2.6782193303208735E-2</v>
      </c>
      <c r="BQ69" s="5">
        <v>2.5745204457943285E-2</v>
      </c>
      <c r="BR69" s="5">
        <v>6.1332726638763817E-2</v>
      </c>
      <c r="BS69" s="5">
        <v>5.1004799091010841E-2</v>
      </c>
      <c r="BT69" s="4">
        <v>1.5987797572766069E-2</v>
      </c>
      <c r="BU69" s="5">
        <v>1.1011218845509955E-2</v>
      </c>
      <c r="BV69" s="5">
        <v>1.6305578318849424E-2</v>
      </c>
      <c r="BW69" s="5">
        <v>1.5110154373955114E-2</v>
      </c>
      <c r="BX69" s="5">
        <v>3.0060303867764624E-2</v>
      </c>
      <c r="BY69" s="5">
        <v>3.4683939375888234E-2</v>
      </c>
      <c r="BZ69" s="4">
        <v>3.0728464863072982E-2</v>
      </c>
      <c r="CA69" s="4">
        <v>1.9864364976920762E-2</v>
      </c>
      <c r="CB69" s="5">
        <v>2.29030736923309E-2</v>
      </c>
      <c r="CC69" s="5">
        <v>2.0379009352845263E-2</v>
      </c>
      <c r="CD69" s="5">
        <v>2.6103401948718675E-2</v>
      </c>
      <c r="CE69" s="5">
        <v>3.8489821235027609E-2</v>
      </c>
      <c r="CF69" s="4">
        <v>1.8705023927297931E-2</v>
      </c>
      <c r="CG69" s="5">
        <v>2.1742602651790625E-2</v>
      </c>
      <c r="CH69" s="5">
        <v>2.6044846950277967E-2</v>
      </c>
      <c r="CJ69" s="3" t="s">
        <v>168</v>
      </c>
      <c r="CK69" s="3" t="s">
        <v>133</v>
      </c>
      <c r="CL69" s="5">
        <v>1.699279565020172E-2</v>
      </c>
      <c r="CM69" s="5">
        <v>2.5011947862073839E-2</v>
      </c>
      <c r="CN69" s="5">
        <v>1.9198027646232622E-2</v>
      </c>
      <c r="CO69" s="5">
        <v>1.6562445815965811E-2</v>
      </c>
      <c r="CP69" s="4">
        <v>1.8172400757299187E-2</v>
      </c>
      <c r="CQ69" s="5">
        <v>2.2932432541885629E-2</v>
      </c>
      <c r="CR69" s="5">
        <v>1.3832443690213383E-2</v>
      </c>
      <c r="CS69" s="5">
        <v>1.6551521224953281E-2</v>
      </c>
      <c r="CT69" s="5">
        <v>2.7871026584711182E-2</v>
      </c>
      <c r="CU69" s="5">
        <v>1.7350196802694676E-2</v>
      </c>
      <c r="CV69" s="5">
        <v>3.0419441877750527E-2</v>
      </c>
      <c r="CW69" s="5">
        <v>3.1636273805501873E-2</v>
      </c>
      <c r="CX69" s="5">
        <v>2.2593775965152777E-2</v>
      </c>
      <c r="CY69" s="5">
        <v>7.6631584790995029E-3</v>
      </c>
      <c r="CZ69" s="5">
        <v>5.3927886306904772E-3</v>
      </c>
      <c r="DA69" s="5">
        <v>1.0852571918094519E-2</v>
      </c>
      <c r="DB69" s="5">
        <v>2.126008042063943E-2</v>
      </c>
      <c r="DC69" s="5">
        <v>3.2177882835420175E-2</v>
      </c>
      <c r="DD69" s="5">
        <v>4.5727558532751643E-2</v>
      </c>
      <c r="DE69" s="5">
        <v>6.5696319190837543E-2</v>
      </c>
      <c r="DF69" s="5">
        <v>5.6740408013312843E-2</v>
      </c>
      <c r="DG69" s="5">
        <v>6.6686924191840358E-2</v>
      </c>
      <c r="DH69" s="5">
        <v>3.0591751764882279E-2</v>
      </c>
      <c r="DI69" s="5">
        <v>1.7881669371052138E-3</v>
      </c>
      <c r="DJ69" s="5">
        <v>3.8486945014306391E-2</v>
      </c>
      <c r="DK69" s="5">
        <v>8.4906448995383743E-2</v>
      </c>
      <c r="DL69" s="5">
        <v>9.3872094356855604E-2</v>
      </c>
      <c r="DM69" s="5">
        <v>1.5442427154512089E-2</v>
      </c>
      <c r="DN69" s="5">
        <v>8.4074905711342355E-3</v>
      </c>
      <c r="DO69" s="4">
        <v>1.4373377692384141E-2</v>
      </c>
      <c r="DP69" s="5">
        <v>2.8466231267645151E-2</v>
      </c>
      <c r="DQ69" s="5">
        <v>3.7724530629139996E-2</v>
      </c>
      <c r="DR69" s="5">
        <v>5.3681885395032686E-2</v>
      </c>
      <c r="DS69" s="5">
        <v>4.8905555105479115E-2</v>
      </c>
      <c r="DT69" s="4">
        <v>2.4907432328553324E-2</v>
      </c>
      <c r="DU69" s="5">
        <v>2.4303049668725922E-2</v>
      </c>
      <c r="DV69" s="5">
        <v>2.1310016422798502E-2</v>
      </c>
      <c r="DW69" s="5">
        <v>3.7239276491345473E-2</v>
      </c>
      <c r="DX69" s="5">
        <v>3.2327325230253556E-2</v>
      </c>
      <c r="DY69" s="5">
        <v>1.435490457389051E-2</v>
      </c>
      <c r="EA69" s="3" t="s">
        <v>168</v>
      </c>
      <c r="EB69" s="3" t="s">
        <v>134</v>
      </c>
      <c r="EC69" s="5">
        <v>0.12914932492425443</v>
      </c>
      <c r="ED69" s="5">
        <v>0.12777919350766495</v>
      </c>
      <c r="EE69" s="5">
        <v>0.12482300421534209</v>
      </c>
      <c r="EF69" s="5">
        <v>0.12259095009026114</v>
      </c>
      <c r="EG69" s="5">
        <v>0.12029551152909633</v>
      </c>
      <c r="EH69" s="5">
        <v>0.12018784599117734</v>
      </c>
      <c r="EI69" s="5">
        <v>0.13671635937038207</v>
      </c>
      <c r="EJ69" s="5">
        <v>0.14201802387178988</v>
      </c>
      <c r="EK69" s="5">
        <v>0.13181904160466579</v>
      </c>
      <c r="EL69" s="5">
        <v>0.13253974583675515</v>
      </c>
      <c r="EM69" s="5">
        <v>0.1745756230229559</v>
      </c>
      <c r="EN69" s="5">
        <v>0.19144213988582284</v>
      </c>
      <c r="EO69" s="5">
        <v>0.19337589449977063</v>
      </c>
      <c r="EP69" s="5">
        <v>0.18526607111146987</v>
      </c>
      <c r="EQ69" s="5">
        <v>0.17246506542925438</v>
      </c>
      <c r="ER69" s="5">
        <v>0.16064615830646878</v>
      </c>
      <c r="ES69" s="4">
        <v>0.14218195121186264</v>
      </c>
      <c r="ET69" s="5">
        <v>0.14713209958752602</v>
      </c>
      <c r="EU69" s="5">
        <v>0.14114705995763435</v>
      </c>
      <c r="EV69" s="5">
        <v>0.13668975148448431</v>
      </c>
      <c r="EW69" s="5">
        <v>0.1848270542206211</v>
      </c>
      <c r="EX69" s="5">
        <v>0.1950825556546168</v>
      </c>
      <c r="EY69" s="5">
        <v>0.26310218645180061</v>
      </c>
      <c r="EZ69" s="5">
        <v>0.25725744452522603</v>
      </c>
      <c r="FA69" s="5">
        <v>0.20927943568146354</v>
      </c>
      <c r="FB69" s="5">
        <v>0.18233875046368997</v>
      </c>
      <c r="FC69" s="5">
        <v>0.1524009779739493</v>
      </c>
      <c r="FD69" s="4">
        <v>0.22304479115279091</v>
      </c>
      <c r="FE69" s="5">
        <v>0.2309416998699971</v>
      </c>
      <c r="FF69" s="5">
        <v>0.21389323187262499</v>
      </c>
      <c r="FG69" s="5">
        <v>0.11662142902835361</v>
      </c>
      <c r="FH69" s="5">
        <v>0.11672814279148545</v>
      </c>
      <c r="FI69" s="5">
        <v>0.11583185048679555</v>
      </c>
      <c r="FJ69" s="5">
        <v>0.11731215453151757</v>
      </c>
      <c r="FK69" s="5">
        <v>0.14104912820822077</v>
      </c>
      <c r="FL69" s="5">
        <v>0.12426711923055837</v>
      </c>
      <c r="FM69" s="5">
        <v>0.13199421333983188</v>
      </c>
      <c r="FN69" s="5">
        <v>0.12515560151791705</v>
      </c>
      <c r="FO69" s="5">
        <v>0.11989469055823417</v>
      </c>
      <c r="FP69" s="5">
        <v>0.13191199516486468</v>
      </c>
      <c r="FZ69" s="3" t="s">
        <v>168</v>
      </c>
      <c r="GA69" s="5">
        <v>0.52918545852537413</v>
      </c>
      <c r="GB69" s="5">
        <v>0.51440421410016246</v>
      </c>
      <c r="GC69" s="4">
        <v>0.5108126178885134</v>
      </c>
      <c r="GD69" s="5">
        <v>0.50034673252524864</v>
      </c>
      <c r="GE69" s="5">
        <v>0.49432115376456603</v>
      </c>
      <c r="GF69" s="5">
        <v>0.5087125010947684</v>
      </c>
      <c r="GG69" s="5">
        <v>0.49923556607807146</v>
      </c>
      <c r="GH69" s="5">
        <v>0.49531075447788392</v>
      </c>
      <c r="GI69" s="5">
        <v>0.50946323054249365</v>
      </c>
      <c r="GJ69" s="5">
        <v>0.52062081821570805</v>
      </c>
      <c r="GK69" s="4">
        <v>0.36681195442466946</v>
      </c>
      <c r="GL69" s="5">
        <v>0.35457063916087944</v>
      </c>
      <c r="GM69" s="5">
        <v>0.36741001136891865</v>
      </c>
      <c r="GN69" s="5">
        <v>0.39177823321767119</v>
      </c>
      <c r="GO69" s="5">
        <v>0.4069392345437694</v>
      </c>
      <c r="GP69" s="5">
        <v>0.40477069164999296</v>
      </c>
      <c r="GQ69" s="5">
        <v>0.40217127269947045</v>
      </c>
      <c r="GR69" s="5">
        <v>0.37448730567619615</v>
      </c>
      <c r="GS69" s="5">
        <v>0.35630059889396565</v>
      </c>
      <c r="GT69" s="4">
        <v>0.36495839215918452</v>
      </c>
      <c r="GU69" s="4">
        <v>0.15742615722496076</v>
      </c>
      <c r="GV69" s="5">
        <v>0.15041425854662058</v>
      </c>
      <c r="GW69" s="5">
        <v>0.1639286846979964</v>
      </c>
      <c r="GX69" s="5">
        <v>0.18780256327384298</v>
      </c>
      <c r="GY69" s="5">
        <v>0.20629367487631783</v>
      </c>
      <c r="GZ69" s="5">
        <v>0.22615972751728905</v>
      </c>
      <c r="HA69" s="5">
        <v>0.23648297518977371</v>
      </c>
      <c r="HB69" s="5">
        <v>0.21297869985798101</v>
      </c>
      <c r="HC69" s="5">
        <v>0.18752431571869307</v>
      </c>
      <c r="HD69" s="4">
        <v>0.16697877290322879</v>
      </c>
      <c r="HE69" s="5">
        <v>0.41335446862582503</v>
      </c>
      <c r="HF69" s="4">
        <v>0.40696411164424534</v>
      </c>
      <c r="HG69" s="5">
        <v>0.39572358566525345</v>
      </c>
      <c r="HH69" s="5">
        <v>0.40773197064413252</v>
      </c>
      <c r="HI69" s="5">
        <v>0.43307662185696971</v>
      </c>
      <c r="HJ69" s="5">
        <v>0.43901248673049359</v>
      </c>
      <c r="HK69" s="5">
        <v>0.43512662660581736</v>
      </c>
      <c r="HL69" s="5">
        <v>0.42113300487937166</v>
      </c>
      <c r="HM69" s="4">
        <v>0.41936275286693059</v>
      </c>
      <c r="HN69" s="5">
        <v>0.41425401208140428</v>
      </c>
      <c r="HP69" s="3" t="s">
        <v>191</v>
      </c>
      <c r="HQ69" s="3" t="s">
        <v>140</v>
      </c>
      <c r="HR69" s="3" t="s">
        <v>141</v>
      </c>
      <c r="HS69" s="5">
        <v>0.65016898686351943</v>
      </c>
    </row>
    <row r="70" spans="2:227" x14ac:dyDescent="0.45">
      <c r="B70" s="6" t="s">
        <v>170</v>
      </c>
      <c r="C70" s="6" t="s">
        <v>131</v>
      </c>
      <c r="D70" s="8">
        <v>0.23378702437229154</v>
      </c>
      <c r="E70" s="8">
        <v>0.23483205121542214</v>
      </c>
      <c r="F70" s="8">
        <v>0.22186170243386333</v>
      </c>
      <c r="G70" s="8">
        <v>0.22418283742711137</v>
      </c>
      <c r="H70" s="8">
        <v>0.2367927845460065</v>
      </c>
      <c r="I70" s="8">
        <v>0.24737008939285071</v>
      </c>
      <c r="J70" s="8">
        <v>0.25511916760162012</v>
      </c>
      <c r="K70" s="8">
        <v>0.24118420757389902</v>
      </c>
      <c r="L70" s="8">
        <v>0.23517855904594487</v>
      </c>
      <c r="M70" s="8">
        <v>0.2319326242979794</v>
      </c>
      <c r="N70" s="8">
        <v>0.32978375138256338</v>
      </c>
      <c r="O70" s="8">
        <v>0.3384698566515279</v>
      </c>
      <c r="P70" s="8">
        <v>0.35577255617855202</v>
      </c>
      <c r="Q70" s="8">
        <v>0.35711429330090905</v>
      </c>
      <c r="R70" s="8">
        <v>0.34140592699702554</v>
      </c>
      <c r="S70" s="8">
        <v>0.32395035521829979</v>
      </c>
      <c r="T70" s="8">
        <v>0.30253509557320218</v>
      </c>
      <c r="U70" s="8">
        <v>0.28783104290595624</v>
      </c>
      <c r="V70" s="8">
        <v>0.28645741307723382</v>
      </c>
      <c r="W70" s="8">
        <v>0.30078373747551784</v>
      </c>
      <c r="X70" s="8">
        <v>0.31214287529904106</v>
      </c>
      <c r="Y70" s="8">
        <v>0.31607667984432269</v>
      </c>
      <c r="Z70" s="8">
        <v>0.33403211880627659</v>
      </c>
      <c r="AA70" s="8">
        <v>0.34195092343228894</v>
      </c>
      <c r="AB70" s="8">
        <v>0.34268650397110534</v>
      </c>
      <c r="AC70" s="8">
        <v>0.33577620118314189</v>
      </c>
      <c r="AD70" s="8">
        <v>0.31832491496394721</v>
      </c>
      <c r="AE70" s="8">
        <v>0.31651852526696717</v>
      </c>
      <c r="AF70" s="8">
        <v>0.3151125123821184</v>
      </c>
      <c r="AG70" s="8">
        <v>0.31518932707266695</v>
      </c>
      <c r="AH70" s="8">
        <v>0.26472169436482867</v>
      </c>
      <c r="AI70" s="8">
        <v>0.26967575929878712</v>
      </c>
      <c r="AJ70" s="8">
        <v>0.26721384485646649</v>
      </c>
      <c r="AK70" s="8">
        <v>0.25964385503883397</v>
      </c>
      <c r="AL70" s="8">
        <v>0.25602729617175712</v>
      </c>
      <c r="AM70" s="8">
        <v>0.25455604746302801</v>
      </c>
      <c r="AN70" s="8">
        <v>0.26041891472041184</v>
      </c>
      <c r="AO70" s="8">
        <v>0.24905202140060886</v>
      </c>
      <c r="AP70" s="8">
        <v>0.24107200760242839</v>
      </c>
      <c r="AQ70" s="8">
        <v>0.24298639387704293</v>
      </c>
      <c r="AS70" s="6" t="s">
        <v>170</v>
      </c>
      <c r="AT70" s="6" t="s">
        <v>132</v>
      </c>
      <c r="AU70" s="8">
        <v>1.0709645170042262E-2</v>
      </c>
      <c r="AV70" s="7">
        <v>5.5983322402102026E-3</v>
      </c>
      <c r="AW70" s="8">
        <v>4.7154435584123421E-3</v>
      </c>
      <c r="AX70" s="8">
        <v>1.6211996403051675E-2</v>
      </c>
      <c r="AY70" s="8">
        <v>1.7110728208138647E-2</v>
      </c>
      <c r="AZ70" s="8">
        <v>1.2909649936524109E-2</v>
      </c>
      <c r="BA70" s="8">
        <v>1.7220765586726458E-2</v>
      </c>
      <c r="BB70" s="8">
        <v>1.5792297335817721E-2</v>
      </c>
      <c r="BC70" s="8">
        <v>9.4896877397240911E-3</v>
      </c>
      <c r="BD70" s="8">
        <v>1.048267454197338E-2</v>
      </c>
      <c r="BE70" s="8">
        <v>1.5985356127618779E-2</v>
      </c>
      <c r="BF70" s="8">
        <v>1.1105289523936348E-2</v>
      </c>
      <c r="BG70" s="8">
        <v>1.2877890059738467E-2</v>
      </c>
      <c r="BH70" s="8">
        <v>1.7407054290887278E-2</v>
      </c>
      <c r="BI70" s="8">
        <v>1.6967104957330354E-2</v>
      </c>
      <c r="BJ70" s="8">
        <v>2.2753509382045886E-2</v>
      </c>
      <c r="BK70" s="8">
        <v>1.8712303573646727E-2</v>
      </c>
      <c r="BL70" s="7">
        <v>1.4533874925793753E-2</v>
      </c>
      <c r="BM70" s="8">
        <v>1.9554745007859604E-2</v>
      </c>
      <c r="BN70" s="8">
        <v>1.2092603877849875E-2</v>
      </c>
      <c r="BO70" s="8">
        <v>1.0986640680534936E-2</v>
      </c>
      <c r="BP70" s="8">
        <v>2.6869385331597814E-2</v>
      </c>
      <c r="BQ70" s="8">
        <v>2.4012946211530457E-2</v>
      </c>
      <c r="BR70" s="8">
        <v>7.9516773842195059E-3</v>
      </c>
      <c r="BS70" s="8">
        <v>3.4415212518474582E-3</v>
      </c>
      <c r="BT70" s="7">
        <v>1.3160862330840718E-2</v>
      </c>
      <c r="BU70" s="8">
        <v>1.1510332844191368E-2</v>
      </c>
      <c r="BV70" s="8">
        <v>3.6626348046898171E-3</v>
      </c>
      <c r="BW70" s="8">
        <v>1.2734819685758514E-2</v>
      </c>
      <c r="BX70" s="8">
        <v>8.6707652825581596E-3</v>
      </c>
      <c r="BY70" s="8">
        <v>1.5513757685150146E-2</v>
      </c>
      <c r="BZ70" s="7">
        <v>9.0347186152880431E-5</v>
      </c>
      <c r="CA70" s="7">
        <v>9.337518397425314E-4</v>
      </c>
      <c r="CB70" s="8">
        <v>1.1500406815571823E-2</v>
      </c>
      <c r="CC70" s="8">
        <v>2.0546659994251933E-2</v>
      </c>
      <c r="CD70" s="8">
        <v>1.3166099888775786E-2</v>
      </c>
      <c r="CE70" s="8">
        <v>1.0949100887103625E-2</v>
      </c>
      <c r="CF70" s="7">
        <v>7.9276587466941759E-3</v>
      </c>
      <c r="CG70" s="8">
        <v>9.0055008943980049E-3</v>
      </c>
      <c r="CH70" s="8">
        <v>2.382798801871526E-2</v>
      </c>
      <c r="CJ70" s="6" t="s">
        <v>170</v>
      </c>
      <c r="CK70" s="6" t="s">
        <v>133</v>
      </c>
      <c r="CL70" s="8">
        <v>7.4823860157165875E-3</v>
      </c>
      <c r="CM70" s="8">
        <v>1.3555087432334452E-2</v>
      </c>
      <c r="CN70" s="8">
        <v>1.6569870562598402E-2</v>
      </c>
      <c r="CO70" s="8">
        <v>1.0001747008851475E-2</v>
      </c>
      <c r="CP70" s="7">
        <v>1.5442254896768121E-2</v>
      </c>
      <c r="CQ70" s="8">
        <v>1.9022810123497998E-2</v>
      </c>
      <c r="CR70" s="8">
        <v>1.7843335670627864E-2</v>
      </c>
      <c r="CS70" s="8">
        <v>1.2771966373065487E-2</v>
      </c>
      <c r="CT70" s="8">
        <v>1.5095325891350667E-2</v>
      </c>
      <c r="CU70" s="8">
        <v>1.3436749731402339E-2</v>
      </c>
      <c r="CV70" s="8">
        <v>2.0227681840655615E-2</v>
      </c>
      <c r="CW70" s="8">
        <v>2.7909078885480099E-2</v>
      </c>
      <c r="CX70" s="8">
        <v>2.800003119910744E-2</v>
      </c>
      <c r="CY70" s="8">
        <v>1.5897671975557585E-2</v>
      </c>
      <c r="CZ70" s="8">
        <v>1.582706323962188E-2</v>
      </c>
      <c r="DA70" s="8">
        <v>1.29617546687076E-2</v>
      </c>
      <c r="DB70" s="8">
        <v>1.6168294956098023E-2</v>
      </c>
      <c r="DC70" s="8">
        <v>2.1003001374466125E-2</v>
      </c>
      <c r="DD70" s="8">
        <v>2.6143641852927942E-2</v>
      </c>
      <c r="DE70" s="8">
        <v>3.2377107400190341E-2</v>
      </c>
      <c r="DF70" s="8">
        <v>1.2170573267552375E-2</v>
      </c>
      <c r="DG70" s="8">
        <v>1.1054561224869704E-2</v>
      </c>
      <c r="DH70" s="8">
        <v>2.8865472876051335E-2</v>
      </c>
      <c r="DI70" s="8">
        <v>4.2609139395841315E-2</v>
      </c>
      <c r="DJ70" s="8">
        <v>5.126670994522612E-2</v>
      </c>
      <c r="DK70" s="8">
        <v>1.0323345819007644E-2</v>
      </c>
      <c r="DL70" s="8">
        <v>1.0129438550695229E-3</v>
      </c>
      <c r="DM70" s="8">
        <v>1.3369423002352934E-2</v>
      </c>
      <c r="DN70" s="8">
        <v>1.3482994442870138E-2</v>
      </c>
      <c r="DO70" s="7">
        <v>1.0732848003904175E-2</v>
      </c>
      <c r="DP70" s="8">
        <v>3.0485367235744729E-2</v>
      </c>
      <c r="DQ70" s="8">
        <v>3.6921551580977673E-2</v>
      </c>
      <c r="DR70" s="8">
        <v>2.6496214496382585E-2</v>
      </c>
      <c r="DS70" s="8">
        <v>6.4194219053010848E-3</v>
      </c>
      <c r="DT70" s="7">
        <v>4.9799731650028314E-4</v>
      </c>
      <c r="DU70" s="8">
        <v>1.5327531407491844E-2</v>
      </c>
      <c r="DV70" s="8">
        <v>2.6026906192360401E-2</v>
      </c>
      <c r="DW70" s="8">
        <v>2.4926998120860949E-2</v>
      </c>
      <c r="DX70" s="8">
        <v>1.885018918760465E-2</v>
      </c>
      <c r="DY70" s="8">
        <v>8.0586290162363797E-3</v>
      </c>
      <c r="EA70" s="6" t="s">
        <v>170</v>
      </c>
      <c r="EB70" s="6" t="s">
        <v>134</v>
      </c>
      <c r="EC70" s="8">
        <v>9.6746709395543237E-2</v>
      </c>
      <c r="ED70" s="8">
        <v>9.7304202601611184E-2</v>
      </c>
      <c r="EE70" s="8">
        <v>8.7930560489373838E-2</v>
      </c>
      <c r="EF70" s="8">
        <v>9.1713030608595522E-2</v>
      </c>
      <c r="EG70" s="8">
        <v>9.2611960425889581E-2</v>
      </c>
      <c r="EH70" s="8">
        <v>9.6404276851723217E-2</v>
      </c>
      <c r="EI70" s="8">
        <v>9.6260819900936087E-2</v>
      </c>
      <c r="EJ70" s="8">
        <v>9.5302194397972606E-2</v>
      </c>
      <c r="EK70" s="8">
        <v>9.4178296592210428E-2</v>
      </c>
      <c r="EL70" s="8">
        <v>8.9132945182918477E-2</v>
      </c>
      <c r="EM70" s="8">
        <v>0.16076731994660973</v>
      </c>
      <c r="EN70" s="8">
        <v>0.17518257209908797</v>
      </c>
      <c r="EO70" s="8">
        <v>0.18084817747689538</v>
      </c>
      <c r="EP70" s="8">
        <v>0.1829566822917803</v>
      </c>
      <c r="EQ70" s="8">
        <v>0.16950277086165075</v>
      </c>
      <c r="ER70" s="8">
        <v>0.15190170644443485</v>
      </c>
      <c r="ES70" s="7">
        <v>0.13680300802808595</v>
      </c>
      <c r="ET70" s="8">
        <v>0.13027871197412291</v>
      </c>
      <c r="EU70" s="8">
        <v>0.12524753249208917</v>
      </c>
      <c r="EV70" s="8">
        <v>0.13658826810174385</v>
      </c>
      <c r="EW70" s="8">
        <v>0.1918106595705214</v>
      </c>
      <c r="EX70" s="8">
        <v>0.16613218795161588</v>
      </c>
      <c r="EY70" s="8">
        <v>0.16168886997914952</v>
      </c>
      <c r="EZ70" s="8">
        <v>0.17023636386732285</v>
      </c>
      <c r="FA70" s="8">
        <v>0.16755703451947324</v>
      </c>
      <c r="FB70" s="8">
        <v>0.19378715924815942</v>
      </c>
      <c r="FC70" s="8">
        <v>0.20201768391862321</v>
      </c>
      <c r="FD70" s="7">
        <v>0.20041791747234602</v>
      </c>
      <c r="FE70" s="8">
        <v>0.19468934314319664</v>
      </c>
      <c r="FF70" s="8">
        <v>0.20528777149664537</v>
      </c>
      <c r="FG70" s="8">
        <v>9.5461118639635217E-2</v>
      </c>
      <c r="FH70" s="8">
        <v>0.11532111470667573</v>
      </c>
      <c r="FI70" s="8">
        <v>0.11703196417375344</v>
      </c>
      <c r="FJ70" s="8">
        <v>0.12361876894893208</v>
      </c>
      <c r="FK70" s="8">
        <v>0.11660536684652917</v>
      </c>
      <c r="FL70" s="8">
        <v>0.11259275423535987</v>
      </c>
      <c r="FM70" s="8">
        <v>0.11142762938062085</v>
      </c>
      <c r="FN70" s="8">
        <v>0.10452897156428941</v>
      </c>
      <c r="FO70" s="8">
        <v>0.10010285370077623</v>
      </c>
      <c r="FP70" s="8">
        <v>9.4639179611772886E-2</v>
      </c>
      <c r="FZ70" s="6" t="s">
        <v>170</v>
      </c>
      <c r="GA70" s="8">
        <v>0.61650616278291304</v>
      </c>
      <c r="GB70" s="8">
        <v>0.59974333111816114</v>
      </c>
      <c r="GC70" s="7">
        <v>0.60311970526562986</v>
      </c>
      <c r="GD70" s="8">
        <v>0.58895405878764173</v>
      </c>
      <c r="GE70" s="8">
        <v>0.57140891638308111</v>
      </c>
      <c r="GF70" s="8">
        <v>0.57545701130928018</v>
      </c>
      <c r="GG70" s="8">
        <v>0.57950539928198352</v>
      </c>
      <c r="GH70" s="8">
        <v>0.5914486067212309</v>
      </c>
      <c r="GI70" s="8">
        <v>0.60893851380366182</v>
      </c>
      <c r="GJ70" s="8">
        <v>0.61527965342860902</v>
      </c>
      <c r="GK70" s="7">
        <v>0.43605011646172187</v>
      </c>
      <c r="GL70" s="8">
        <v>0.41042164887153793</v>
      </c>
      <c r="GM70" s="8">
        <v>0.41198550121242389</v>
      </c>
      <c r="GN70" s="8">
        <v>0.43528134588637729</v>
      </c>
      <c r="GO70" s="8">
        <v>0.45787790587852945</v>
      </c>
      <c r="GP70" s="8">
        <v>0.47948176596681596</v>
      </c>
      <c r="GQ70" s="8">
        <v>0.49075522597640941</v>
      </c>
      <c r="GR70" s="8">
        <v>0.48573017149438191</v>
      </c>
      <c r="GS70" s="8">
        <v>0.48211122536602163</v>
      </c>
      <c r="GT70" s="7">
        <v>0.46797897807519284</v>
      </c>
      <c r="GU70" s="7">
        <v>0.3279985431494124</v>
      </c>
      <c r="GV70" s="8">
        <v>0.33632733464059655</v>
      </c>
      <c r="GW70" s="8">
        <v>0.3544081761451533</v>
      </c>
      <c r="GX70" s="8">
        <v>0.36984182727982601</v>
      </c>
      <c r="GY70" s="8">
        <v>0.38091153043598242</v>
      </c>
      <c r="GZ70" s="8">
        <v>0.38378756073978537</v>
      </c>
      <c r="HA70" s="8">
        <v>0.37573838723895514</v>
      </c>
      <c r="HB70" s="8">
        <v>0.35820605952812062</v>
      </c>
      <c r="HC70" s="8">
        <v>0.33878271052690101</v>
      </c>
      <c r="HD70" s="7">
        <v>0.32488972589297949</v>
      </c>
      <c r="HE70" s="8">
        <v>0.52920890344483551</v>
      </c>
      <c r="HF70" s="7">
        <v>0.51610728195996058</v>
      </c>
      <c r="HG70" s="8">
        <v>0.51861169468755741</v>
      </c>
      <c r="HH70" s="8">
        <v>0.53110858915332226</v>
      </c>
      <c r="HI70" s="8">
        <v>0.54706675270614913</v>
      </c>
      <c r="HJ70" s="8">
        <v>0.54658013981671638</v>
      </c>
      <c r="HK70" s="8">
        <v>0.53838236168664289</v>
      </c>
      <c r="HL70" s="8">
        <v>0.53541841579416338</v>
      </c>
      <c r="HM70" s="7">
        <v>0.54456967362872366</v>
      </c>
      <c r="HN70" s="8">
        <v>0.54710506975696871</v>
      </c>
      <c r="HP70" s="6" t="s">
        <v>193</v>
      </c>
      <c r="HQ70" s="6" t="s">
        <v>140</v>
      </c>
      <c r="HR70" s="6" t="s">
        <v>141</v>
      </c>
      <c r="HS70" s="8">
        <v>0.67243621631782435</v>
      </c>
    </row>
    <row r="71" spans="2:227" x14ac:dyDescent="0.45">
      <c r="B71" s="3" t="s">
        <v>172</v>
      </c>
      <c r="C71" s="3" t="s">
        <v>131</v>
      </c>
      <c r="D71" s="5">
        <v>0.16509127987501163</v>
      </c>
      <c r="E71" s="5">
        <v>0.16882142564780789</v>
      </c>
      <c r="F71" s="5">
        <v>0.16861824351782889</v>
      </c>
      <c r="G71" s="5">
        <v>0.17764293980333135</v>
      </c>
      <c r="H71" s="5">
        <v>0.19411895622041661</v>
      </c>
      <c r="I71" s="5">
        <v>0.20317905058798669</v>
      </c>
      <c r="J71" s="5">
        <v>0.20362308607392487</v>
      </c>
      <c r="K71" s="5">
        <v>0.19338599347334068</v>
      </c>
      <c r="L71" s="5">
        <v>0.17228139420750571</v>
      </c>
      <c r="M71" s="5">
        <v>0.17129645328912152</v>
      </c>
      <c r="N71" s="5">
        <v>0.24566512009560768</v>
      </c>
      <c r="O71" s="5">
        <v>0.259427431879105</v>
      </c>
      <c r="P71" s="5">
        <v>0.24957942820206835</v>
      </c>
      <c r="Q71" s="5">
        <v>0.23750362282149493</v>
      </c>
      <c r="R71" s="5">
        <v>0.23873938134629683</v>
      </c>
      <c r="S71" s="5">
        <v>0.24002481419977056</v>
      </c>
      <c r="T71" s="5">
        <v>0.24954359286384895</v>
      </c>
      <c r="U71" s="5">
        <v>0.25180744082711182</v>
      </c>
      <c r="V71" s="5">
        <v>0.24097705321473009</v>
      </c>
      <c r="W71" s="5">
        <v>0.23333826278612793</v>
      </c>
      <c r="X71" s="5">
        <v>0.35250625145320458</v>
      </c>
      <c r="Y71" s="5">
        <v>0.36672120105909856</v>
      </c>
      <c r="Z71" s="5">
        <v>0.38415889836902023</v>
      </c>
      <c r="AA71" s="5">
        <v>0.39286657751138321</v>
      </c>
      <c r="AB71" s="5">
        <v>0.39079580480078657</v>
      </c>
      <c r="AC71" s="5">
        <v>0.37427130716449014</v>
      </c>
      <c r="AD71" s="5">
        <v>0.35118493740392231</v>
      </c>
      <c r="AE71" s="5">
        <v>0.34766230437447726</v>
      </c>
      <c r="AF71" s="5">
        <v>0.34409012499565494</v>
      </c>
      <c r="AG71" s="5">
        <v>0.32749472992939921</v>
      </c>
      <c r="AH71" s="5">
        <v>0.23662061273165969</v>
      </c>
      <c r="AI71" s="5">
        <v>0.24182247257973002</v>
      </c>
      <c r="AJ71" s="5">
        <v>0.2419361522230383</v>
      </c>
      <c r="AK71" s="5">
        <v>0.23880428081601066</v>
      </c>
      <c r="AL71" s="5">
        <v>0.24422545627374864</v>
      </c>
      <c r="AM71" s="5">
        <v>0.24167240666753922</v>
      </c>
      <c r="AN71" s="5">
        <v>0.24085329546144074</v>
      </c>
      <c r="AO71" s="5">
        <v>0.2283935096551224</v>
      </c>
      <c r="AP71" s="5">
        <v>0.21902090457596574</v>
      </c>
      <c r="AQ71" s="5">
        <v>0.21829795079727699</v>
      </c>
      <c r="AS71" s="3" t="s">
        <v>172</v>
      </c>
      <c r="AT71" s="3" t="s">
        <v>132</v>
      </c>
      <c r="AU71" s="5">
        <v>9.8835693138483241E-3</v>
      </c>
      <c r="AV71" s="4">
        <v>8.1717029871545381E-3</v>
      </c>
      <c r="AW71" s="5">
        <v>1.2467498716953461E-2</v>
      </c>
      <c r="AX71" s="5">
        <v>1.4025907812015889E-2</v>
      </c>
      <c r="AY71" s="5">
        <v>1.2517964178771233E-2</v>
      </c>
      <c r="AZ71" s="5">
        <v>1.1905039457998787E-2</v>
      </c>
      <c r="BA71" s="5">
        <v>1.1172837043760799E-2</v>
      </c>
      <c r="BB71" s="5">
        <v>8.683203788797323E-3</v>
      </c>
      <c r="BC71" s="5">
        <v>3.9942026281309679E-3</v>
      </c>
      <c r="BD71" s="5">
        <v>7.5516385347495401E-3</v>
      </c>
      <c r="BE71" s="5">
        <v>1.0829984212117271E-2</v>
      </c>
      <c r="BF71" s="5">
        <v>1.0202171873894416E-2</v>
      </c>
      <c r="BG71" s="5">
        <v>2.1332549405048973E-2</v>
      </c>
      <c r="BH71" s="5">
        <v>1.6867716496593854E-2</v>
      </c>
      <c r="BI71" s="5">
        <v>1.1031564989834436E-2</v>
      </c>
      <c r="BJ71" s="5">
        <v>1.2206880562725833E-2</v>
      </c>
      <c r="BK71" s="5">
        <v>1.1988895766946601E-2</v>
      </c>
      <c r="BL71" s="4">
        <v>7.2823303681241285E-3</v>
      </c>
      <c r="BM71" s="5">
        <v>2.6557987588692617E-3</v>
      </c>
      <c r="BN71" s="5">
        <v>5.9214141585481718E-3</v>
      </c>
      <c r="BO71" s="5">
        <v>2.054666541632658E-2</v>
      </c>
      <c r="BP71" s="5">
        <v>2.0874780036423162E-2</v>
      </c>
      <c r="BQ71" s="5">
        <v>1.9201266104414864E-2</v>
      </c>
      <c r="BR71" s="5">
        <v>2.0743615216863971E-2</v>
      </c>
      <c r="BS71" s="5">
        <v>1.8851654840918736E-2</v>
      </c>
      <c r="BT71" s="4">
        <v>9.9580197267951677E-3</v>
      </c>
      <c r="BU71" s="5">
        <v>2.2358805079245956E-2</v>
      </c>
      <c r="BV71" s="5">
        <v>3.296667978933316E-2</v>
      </c>
      <c r="BW71" s="5">
        <v>2.7174078647915451E-2</v>
      </c>
      <c r="BX71" s="5">
        <v>2.5010021351524098E-2</v>
      </c>
      <c r="BY71" s="5">
        <v>1.4462016583416525E-2</v>
      </c>
      <c r="BZ71" s="4">
        <v>9.2082113521211647E-3</v>
      </c>
      <c r="CA71" s="4">
        <v>2.54004254135205E-2</v>
      </c>
      <c r="CB71" s="5">
        <v>2.8201573064282E-2</v>
      </c>
      <c r="CC71" s="5">
        <v>1.1912114314601277E-2</v>
      </c>
      <c r="CD71" s="5">
        <v>1.1777046854793688E-2</v>
      </c>
      <c r="CE71" s="5">
        <v>7.9920717485190643E-3</v>
      </c>
      <c r="CF71" s="4">
        <v>7.3590620484642747E-3</v>
      </c>
      <c r="CG71" s="5">
        <v>1.4958795402465639E-2</v>
      </c>
      <c r="CH71" s="5">
        <v>1.6358478796219118E-2</v>
      </c>
      <c r="CJ71" s="3" t="s">
        <v>172</v>
      </c>
      <c r="CK71" s="3" t="s">
        <v>133</v>
      </c>
      <c r="CL71" s="5">
        <v>8.0041345608947538E-3</v>
      </c>
      <c r="CM71" s="5">
        <v>1.4241227601853425E-2</v>
      </c>
      <c r="CN71" s="5">
        <v>8.6493070908069073E-3</v>
      </c>
      <c r="CO71" s="5">
        <v>7.0671096813801132E-3</v>
      </c>
      <c r="CP71" s="4">
        <v>1.182060146969926E-2</v>
      </c>
      <c r="CQ71" s="5">
        <v>1.5810462823052068E-2</v>
      </c>
      <c r="CR71" s="5">
        <v>1.3683476583868292E-2</v>
      </c>
      <c r="CS71" s="5">
        <v>1.1661676214638265E-2</v>
      </c>
      <c r="CT71" s="5">
        <v>1.268876854769457E-2</v>
      </c>
      <c r="CU71" s="5">
        <v>8.0727980941999386E-3</v>
      </c>
      <c r="CV71" s="5">
        <v>7.2032575979978381E-3</v>
      </c>
      <c r="CW71" s="5">
        <v>1.5873009639905653E-2</v>
      </c>
      <c r="CX71" s="5">
        <v>8.3513079923842413E-3</v>
      </c>
      <c r="CY71" s="5">
        <v>1.2141137515135136E-2</v>
      </c>
      <c r="CZ71" s="5">
        <v>1.9608810415541415E-2</v>
      </c>
      <c r="DA71" s="5">
        <v>2.1089240694308786E-2</v>
      </c>
      <c r="DB71" s="5">
        <v>1.5474393367726333E-2</v>
      </c>
      <c r="DC71" s="5">
        <v>1.5232974845536172E-2</v>
      </c>
      <c r="DD71" s="5">
        <v>1.5502340635791164E-2</v>
      </c>
      <c r="DE71" s="5">
        <v>1.0866372716705167E-2</v>
      </c>
      <c r="DF71" s="5">
        <v>3.8556178701623534E-2</v>
      </c>
      <c r="DG71" s="5">
        <v>3.1694859502598663E-2</v>
      </c>
      <c r="DH71" s="5">
        <v>3.3586149258904761E-2</v>
      </c>
      <c r="DI71" s="5">
        <v>3.1449430159109545E-2</v>
      </c>
      <c r="DJ71" s="5">
        <v>3.9725187485229581E-2</v>
      </c>
      <c r="DK71" s="5">
        <v>4.0037255603199685E-2</v>
      </c>
      <c r="DL71" s="5">
        <v>1.7650391499001956E-2</v>
      </c>
      <c r="DM71" s="5">
        <v>1.2746182992346013E-2</v>
      </c>
      <c r="DN71" s="5">
        <v>3.2820588057085494E-2</v>
      </c>
      <c r="DO71" s="4">
        <v>4.3247321283839908E-2</v>
      </c>
      <c r="DP71" s="5">
        <v>2.2479690372504635E-2</v>
      </c>
      <c r="DQ71" s="5">
        <v>2.3309570539763517E-2</v>
      </c>
      <c r="DR71" s="5">
        <v>1.9132267633695927E-2</v>
      </c>
      <c r="DS71" s="5">
        <v>1.6286277740166995E-2</v>
      </c>
      <c r="DT71" s="4">
        <v>3.6251982981276056E-2</v>
      </c>
      <c r="DU71" s="5">
        <v>4.1706620716315444E-2</v>
      </c>
      <c r="DV71" s="5">
        <v>2.5003936697020349E-2</v>
      </c>
      <c r="DW71" s="5">
        <v>7.2465430539925581E-3</v>
      </c>
      <c r="DX71" s="5">
        <v>7.2007717896447549E-3</v>
      </c>
      <c r="DY71" s="5">
        <v>1.3503218409844482E-2</v>
      </c>
      <c r="EA71" s="3" t="s">
        <v>172</v>
      </c>
      <c r="EB71" s="3" t="s">
        <v>134</v>
      </c>
      <c r="EC71" s="5">
        <v>6.0318963194737368E-2</v>
      </c>
      <c r="ED71" s="5">
        <v>5.7523978702574023E-2</v>
      </c>
      <c r="EE71" s="5">
        <v>5.7100296017267918E-2</v>
      </c>
      <c r="EF71" s="5">
        <v>5.8705274249157946E-2</v>
      </c>
      <c r="EG71" s="5">
        <v>6.2766228744264241E-2</v>
      </c>
      <c r="EH71" s="5">
        <v>5.991670025894956E-2</v>
      </c>
      <c r="EI71" s="5">
        <v>6.4146892096431651E-2</v>
      </c>
      <c r="EJ71" s="5">
        <v>6.4077894433136121E-2</v>
      </c>
      <c r="EK71" s="5">
        <v>6.1051712268062032E-2</v>
      </c>
      <c r="EL71" s="5">
        <v>6.1238732157308531E-2</v>
      </c>
      <c r="EM71" s="5">
        <v>0.10401673611347684</v>
      </c>
      <c r="EN71" s="5">
        <v>9.4682161470357198E-2</v>
      </c>
      <c r="EO71" s="5">
        <v>9.2064759300152177E-2</v>
      </c>
      <c r="EP71" s="5">
        <v>9.1853087849127393E-2</v>
      </c>
      <c r="EQ71" s="5">
        <v>8.9853849117248197E-2</v>
      </c>
      <c r="ER71" s="5">
        <v>8.9174544978587331E-2</v>
      </c>
      <c r="ES71" s="4">
        <v>9.9838451051663196E-2</v>
      </c>
      <c r="ET71" s="5">
        <v>0.1104928305098397</v>
      </c>
      <c r="EU71" s="5">
        <v>0.11012802754589358</v>
      </c>
      <c r="EV71" s="5">
        <v>0.10503382203131723</v>
      </c>
      <c r="EW71" s="5">
        <v>0.1647948770248967</v>
      </c>
      <c r="EX71" s="5">
        <v>0.18096406345934701</v>
      </c>
      <c r="EY71" s="5">
        <v>0.1900930185233996</v>
      </c>
      <c r="EZ71" s="5">
        <v>0.21169721800483063</v>
      </c>
      <c r="FA71" s="5">
        <v>0.20589055333927653</v>
      </c>
      <c r="FB71" s="5">
        <v>0.20243888689960515</v>
      </c>
      <c r="FC71" s="5">
        <v>0.18635282288452598</v>
      </c>
      <c r="FD71" s="4">
        <v>0.17560134040761763</v>
      </c>
      <c r="FE71" s="5">
        <v>0.16407504947123139</v>
      </c>
      <c r="FF71" s="5">
        <v>0.1469769344180572</v>
      </c>
      <c r="FG71" s="5">
        <v>9.2758463588626036E-2</v>
      </c>
      <c r="FH71" s="5">
        <v>9.2043878365358794E-2</v>
      </c>
      <c r="FI71" s="5">
        <v>8.1959426009333758E-2</v>
      </c>
      <c r="FJ71" s="5">
        <v>7.8698271065142933E-2</v>
      </c>
      <c r="FK71" s="5">
        <v>8.2508097306551287E-2</v>
      </c>
      <c r="FL71" s="5">
        <v>8.0747567845670831E-2</v>
      </c>
      <c r="FM71" s="5">
        <v>0.10299656219561072</v>
      </c>
      <c r="FN71" s="5">
        <v>0.11243135328074771</v>
      </c>
      <c r="FO71" s="5">
        <v>9.8280908768600864E-2</v>
      </c>
      <c r="FP71" s="5">
        <v>9.2169475103694387E-2</v>
      </c>
      <c r="FZ71" s="3" t="s">
        <v>172</v>
      </c>
      <c r="GA71" s="5">
        <v>0.71462502554392027</v>
      </c>
      <c r="GB71" s="5">
        <v>0.69800348942909463</v>
      </c>
      <c r="GC71" s="4">
        <v>0.699429530068711</v>
      </c>
      <c r="GD71" s="5">
        <v>0.6953622264660867</v>
      </c>
      <c r="GE71" s="5">
        <v>0.68539583509365931</v>
      </c>
      <c r="GF71" s="5">
        <v>0.68836712166936498</v>
      </c>
      <c r="GG71" s="5">
        <v>0.68876742365828569</v>
      </c>
      <c r="GH71" s="5">
        <v>0.69276292570228459</v>
      </c>
      <c r="GI71" s="5">
        <v>0.71106830610784255</v>
      </c>
      <c r="GJ71" s="5">
        <v>0.71866037804589988</v>
      </c>
      <c r="GK71" s="4">
        <v>0.5941335753661362</v>
      </c>
      <c r="GL71" s="5">
        <v>0.58529048390870475</v>
      </c>
      <c r="GM71" s="5">
        <v>0.59284361025666488</v>
      </c>
      <c r="GN71" s="5">
        <v>0.60030104233882542</v>
      </c>
      <c r="GO71" s="5">
        <v>0.59615048798419745</v>
      </c>
      <c r="GP71" s="5">
        <v>0.58920966008419651</v>
      </c>
      <c r="GQ71" s="5">
        <v>0.5827507459096174</v>
      </c>
      <c r="GR71" s="5">
        <v>0.57400403640969766</v>
      </c>
      <c r="GS71" s="5">
        <v>0.58409396986345496</v>
      </c>
      <c r="GT71" s="4">
        <v>0.59856519917355167</v>
      </c>
      <c r="GU71" s="4">
        <v>0.32441947793558529</v>
      </c>
      <c r="GV71" s="5">
        <v>0.3227300252243776</v>
      </c>
      <c r="GW71" s="5">
        <v>0.3314256864574659</v>
      </c>
      <c r="GX71" s="5">
        <v>0.32109173027257365</v>
      </c>
      <c r="GY71" s="5">
        <v>0.31347786276646122</v>
      </c>
      <c r="GZ71" s="5">
        <v>0.32338556884199859</v>
      </c>
      <c r="HA71" s="5">
        <v>0.32943782996248566</v>
      </c>
      <c r="HB71" s="5">
        <v>0.3290968272864267</v>
      </c>
      <c r="HC71" s="5">
        <v>0.32275397485503926</v>
      </c>
      <c r="HD71" s="4">
        <v>0.32256685732551033</v>
      </c>
      <c r="HE71" s="5">
        <v>0.56265843393616677</v>
      </c>
      <c r="HF71" s="4">
        <v>0.56579879418368395</v>
      </c>
      <c r="HG71" s="5">
        <v>0.57727992877806344</v>
      </c>
      <c r="HH71" s="5">
        <v>0.58708866968714501</v>
      </c>
      <c r="HI71" s="5">
        <v>0.5775519469182977</v>
      </c>
      <c r="HJ71" s="5">
        <v>0.56987005817077574</v>
      </c>
      <c r="HK71" s="5">
        <v>0.55980500757748342</v>
      </c>
      <c r="HL71" s="5">
        <v>0.55911378472868145</v>
      </c>
      <c r="HM71" s="4">
        <v>0.57176921420148064</v>
      </c>
      <c r="HN71" s="5">
        <v>0.57765218543437602</v>
      </c>
      <c r="HP71" s="3" t="s">
        <v>195</v>
      </c>
      <c r="HQ71" s="3" t="s">
        <v>140</v>
      </c>
      <c r="HR71" s="3" t="s">
        <v>141</v>
      </c>
      <c r="HS71" s="5">
        <v>0.62482211387900721</v>
      </c>
    </row>
    <row r="72" spans="2:227" x14ac:dyDescent="0.45">
      <c r="B72" s="6" t="s">
        <v>174</v>
      </c>
      <c r="C72" s="6" t="s">
        <v>131</v>
      </c>
      <c r="D72" s="8">
        <v>0.20981387453982192</v>
      </c>
      <c r="E72" s="8">
        <v>0.20936037248900594</v>
      </c>
      <c r="F72" s="8">
        <v>0.19826445505449208</v>
      </c>
      <c r="G72" s="8">
        <v>0.20512784467135703</v>
      </c>
      <c r="H72" s="8">
        <v>0.221853012097563</v>
      </c>
      <c r="I72" s="8">
        <v>0.23954984175951252</v>
      </c>
      <c r="J72" s="8">
        <v>0.24317527391106061</v>
      </c>
      <c r="K72" s="8">
        <v>0.22847955580020066</v>
      </c>
      <c r="L72" s="8">
        <v>0.21052220011845327</v>
      </c>
      <c r="M72" s="8">
        <v>0.2079974475618982</v>
      </c>
      <c r="N72" s="8">
        <v>0.26120728227804513</v>
      </c>
      <c r="O72" s="8">
        <v>0.27157586221757551</v>
      </c>
      <c r="P72" s="8">
        <v>0.27800080462613402</v>
      </c>
      <c r="Q72" s="8">
        <v>0.27487054043934989</v>
      </c>
      <c r="R72" s="8">
        <v>0.27052942677837954</v>
      </c>
      <c r="S72" s="8">
        <v>0.26621760472010703</v>
      </c>
      <c r="T72" s="8">
        <v>0.27306055104527638</v>
      </c>
      <c r="U72" s="8">
        <v>0.27825079065728942</v>
      </c>
      <c r="V72" s="8">
        <v>0.27203041922525367</v>
      </c>
      <c r="W72" s="8">
        <v>0.24956607597771185</v>
      </c>
      <c r="X72" s="8">
        <v>0.36440264310574749</v>
      </c>
      <c r="Y72" s="8">
        <v>0.39391314407130001</v>
      </c>
      <c r="Z72" s="8">
        <v>0.41086575564669953</v>
      </c>
      <c r="AA72" s="8">
        <v>0.42345825653769853</v>
      </c>
      <c r="AB72" s="8">
        <v>0.40944792765524035</v>
      </c>
      <c r="AC72" s="8">
        <v>0.39422219773452805</v>
      </c>
      <c r="AD72" s="8">
        <v>0.39025672828837271</v>
      </c>
      <c r="AE72" s="8">
        <v>0.38546295162676619</v>
      </c>
      <c r="AF72" s="8">
        <v>0.38647794589350298</v>
      </c>
      <c r="AG72" s="8">
        <v>0.35932681773442471</v>
      </c>
      <c r="AH72" s="8">
        <v>0.23874462695485804</v>
      </c>
      <c r="AI72" s="8">
        <v>0.23484888796469799</v>
      </c>
      <c r="AJ72" s="8">
        <v>0.2440646647527025</v>
      </c>
      <c r="AK72" s="8">
        <v>0.25644120757398525</v>
      </c>
      <c r="AL72" s="8">
        <v>0.26324293180147856</v>
      </c>
      <c r="AM72" s="8">
        <v>0.2547526642358367</v>
      </c>
      <c r="AN72" s="8">
        <v>0.25205144513383476</v>
      </c>
      <c r="AO72" s="8">
        <v>0.23631073482497592</v>
      </c>
      <c r="AP72" s="8">
        <v>0.22355395906632539</v>
      </c>
      <c r="AQ72" s="8">
        <v>0.2240066971834182</v>
      </c>
      <c r="AS72" s="6" t="s">
        <v>174</v>
      </c>
      <c r="AT72" s="6" t="s">
        <v>132</v>
      </c>
      <c r="AU72" s="8">
        <v>9.0760412272870086E-3</v>
      </c>
      <c r="AV72" s="7">
        <v>3.9476880973495707E-3</v>
      </c>
      <c r="AW72" s="8">
        <v>4.4362721795826558E-3</v>
      </c>
      <c r="AX72" s="8">
        <v>6.5161681876588886E-3</v>
      </c>
      <c r="AY72" s="8">
        <v>1.2873074951816665E-2</v>
      </c>
      <c r="AZ72" s="8">
        <v>1.7672030479631097E-2</v>
      </c>
      <c r="BA72" s="8">
        <v>1.2852183218634983E-2</v>
      </c>
      <c r="BB72" s="8">
        <v>1.1620455194723227E-2</v>
      </c>
      <c r="BC72" s="8">
        <v>1.4711822714473939E-2</v>
      </c>
      <c r="BD72" s="8">
        <v>4.3957583471937118E-3</v>
      </c>
      <c r="BE72" s="8">
        <v>1.6230696114061135E-2</v>
      </c>
      <c r="BF72" s="8">
        <v>1.0780631480944297E-2</v>
      </c>
      <c r="BG72" s="8">
        <v>1.19205248674637E-2</v>
      </c>
      <c r="BH72" s="8">
        <v>1.5008194562087698E-2</v>
      </c>
      <c r="BI72" s="8">
        <v>1.1316517253903162E-2</v>
      </c>
      <c r="BJ72" s="8">
        <v>9.9038647794409771E-3</v>
      </c>
      <c r="BK72" s="8">
        <v>8.6146248650645421E-3</v>
      </c>
      <c r="BL72" s="7">
        <v>6.3101423700995755E-3</v>
      </c>
      <c r="BM72" s="8">
        <v>6.3591868009750972E-3</v>
      </c>
      <c r="BN72" s="8">
        <v>1.1788888315570104E-2</v>
      </c>
      <c r="BO72" s="8">
        <v>2.0035020461867913E-2</v>
      </c>
      <c r="BP72" s="8">
        <v>3.120138060208465E-2</v>
      </c>
      <c r="BQ72" s="8">
        <v>2.7001131569962703E-2</v>
      </c>
      <c r="BR72" s="8">
        <v>2.1858813990843991E-2</v>
      </c>
      <c r="BS72" s="8">
        <v>1.8489440206202318E-2</v>
      </c>
      <c r="BT72" s="7">
        <v>7.6440243032996052E-3</v>
      </c>
      <c r="BU72" s="8">
        <v>2.0094788912211455E-2</v>
      </c>
      <c r="BV72" s="8">
        <v>2.7810385370228615E-2</v>
      </c>
      <c r="BW72" s="8">
        <v>3.6812377948810593E-2</v>
      </c>
      <c r="BX72" s="8">
        <v>4.144389805045727E-2</v>
      </c>
      <c r="BY72" s="8">
        <v>1.4318814087309419E-2</v>
      </c>
      <c r="BZ72" s="7">
        <v>8.239941593219148E-3</v>
      </c>
      <c r="CA72" s="7">
        <v>1.4548400746718962E-2</v>
      </c>
      <c r="CB72" s="8">
        <v>2.1761379457272325E-2</v>
      </c>
      <c r="CC72" s="8">
        <v>2.9323506712088589E-2</v>
      </c>
      <c r="CD72" s="8">
        <v>1.2749473774733044E-2</v>
      </c>
      <c r="CE72" s="8">
        <v>5.1365681869689241E-3</v>
      </c>
      <c r="CF72" s="7">
        <v>1.1967487831093507E-2</v>
      </c>
      <c r="CG72" s="8">
        <v>1.9144763593869941E-2</v>
      </c>
      <c r="CH72" s="8">
        <v>1.8661285405977276E-2</v>
      </c>
      <c r="CJ72" s="6" t="s">
        <v>174</v>
      </c>
      <c r="CK72" s="6" t="s">
        <v>133</v>
      </c>
      <c r="CL72" s="8">
        <v>9.0997851413221094E-3</v>
      </c>
      <c r="CM72" s="8">
        <v>1.1838021298706774E-2</v>
      </c>
      <c r="CN72" s="8">
        <v>1.3641616777864539E-2</v>
      </c>
      <c r="CO72" s="8">
        <v>1.1238305269349755E-2</v>
      </c>
      <c r="CP72" s="7">
        <v>3.0154417222041864E-3</v>
      </c>
      <c r="CQ72" s="8">
        <v>7.0547934213377973E-3</v>
      </c>
      <c r="CR72" s="8">
        <v>1.2605413651694682E-2</v>
      </c>
      <c r="CS72" s="8">
        <v>1.2257416248630181E-2</v>
      </c>
      <c r="CT72" s="8">
        <v>1.2468408198045757E-2</v>
      </c>
      <c r="CU72" s="8">
        <v>1.6947602019694776E-2</v>
      </c>
      <c r="CV72" s="8">
        <v>1.1341239349111704E-2</v>
      </c>
      <c r="CW72" s="8">
        <v>2.3192145887522858E-2</v>
      </c>
      <c r="CX72" s="8">
        <v>1.9558993602307326E-2</v>
      </c>
      <c r="CY72" s="8">
        <v>1.2316276871204996E-2</v>
      </c>
      <c r="CZ72" s="8">
        <v>1.4371816389307578E-2</v>
      </c>
      <c r="DA72" s="8">
        <v>1.4896281902022081E-2</v>
      </c>
      <c r="DB72" s="8">
        <v>1.0331598530231745E-2</v>
      </c>
      <c r="DC72" s="8">
        <v>1.2085757121243903E-2</v>
      </c>
      <c r="DD72" s="8">
        <v>1.523024815543053E-2</v>
      </c>
      <c r="DE72" s="8">
        <v>9.066723650891919E-3</v>
      </c>
      <c r="DF72" s="8">
        <v>6.3669971095790118E-2</v>
      </c>
      <c r="DG72" s="8">
        <v>4.5337748014711805E-2</v>
      </c>
      <c r="DH72" s="8">
        <v>5.7057364290338974E-2</v>
      </c>
      <c r="DI72" s="8">
        <v>6.2585695052089579E-2</v>
      </c>
      <c r="DJ72" s="8">
        <v>4.7778679636836817E-2</v>
      </c>
      <c r="DK72" s="8">
        <v>4.057493795345183E-2</v>
      </c>
      <c r="DL72" s="8">
        <v>3.5290285660349287E-2</v>
      </c>
      <c r="DM72" s="8">
        <v>8.5019758780167237E-3</v>
      </c>
      <c r="DN72" s="8">
        <v>2.3063995390902547E-2</v>
      </c>
      <c r="DO72" s="7">
        <v>2.6893987278927289E-2</v>
      </c>
      <c r="DP72" s="8">
        <v>2.6411351060917573E-2</v>
      </c>
      <c r="DQ72" s="8">
        <v>2.4618358959098037E-2</v>
      </c>
      <c r="DR72" s="8">
        <v>2.1145000665556482E-2</v>
      </c>
      <c r="DS72" s="8">
        <v>1.9384254338321638E-2</v>
      </c>
      <c r="DT72" s="7">
        <v>1.7992992045662515E-2</v>
      </c>
      <c r="DU72" s="8">
        <v>3.7783513939571405E-2</v>
      </c>
      <c r="DV72" s="8">
        <v>3.9595680652735103E-2</v>
      </c>
      <c r="DW72" s="8">
        <v>1.8542907466507923E-2</v>
      </c>
      <c r="DX72" s="8">
        <v>5.2525350133144919E-3</v>
      </c>
      <c r="DY72" s="8">
        <v>7.0572433365372863E-3</v>
      </c>
      <c r="EA72" s="6" t="s">
        <v>174</v>
      </c>
      <c r="EB72" s="6" t="s">
        <v>134</v>
      </c>
      <c r="EC72" s="8">
        <v>8.8010495036943234E-2</v>
      </c>
      <c r="ED72" s="8">
        <v>8.8850224490687524E-2</v>
      </c>
      <c r="EE72" s="8">
        <v>8.2082799381414148E-2</v>
      </c>
      <c r="EF72" s="8">
        <v>8.9193179224664326E-2</v>
      </c>
      <c r="EG72" s="8">
        <v>9.795217635874727E-2</v>
      </c>
      <c r="EH72" s="8">
        <v>9.3672168933237862E-2</v>
      </c>
      <c r="EI72" s="8">
        <v>8.8285968929757833E-2</v>
      </c>
      <c r="EJ72" s="8">
        <v>8.0221047810689297E-2</v>
      </c>
      <c r="EK72" s="8">
        <v>6.9912014937120709E-2</v>
      </c>
      <c r="EL72" s="8">
        <v>8.0378382968260401E-2</v>
      </c>
      <c r="EM72" s="8">
        <v>0.11393941390760871</v>
      </c>
      <c r="EN72" s="8">
        <v>0.11474316888174074</v>
      </c>
      <c r="EO72" s="8">
        <v>0.119335827096911</v>
      </c>
      <c r="EP72" s="8">
        <v>0.11572944547917825</v>
      </c>
      <c r="EQ72" s="8">
        <v>0.11583638993219078</v>
      </c>
      <c r="ER72" s="8">
        <v>0.11722338206401768</v>
      </c>
      <c r="ES72" s="7">
        <v>0.12572599284373862</v>
      </c>
      <c r="ET72" s="8">
        <v>0.13198704499293104</v>
      </c>
      <c r="EU72" s="8">
        <v>0.11971371551634759</v>
      </c>
      <c r="EV72" s="8">
        <v>0.11228041788192925</v>
      </c>
      <c r="EW72" s="8">
        <v>0.16278292130241245</v>
      </c>
      <c r="EX72" s="8">
        <v>0.19135437409549258</v>
      </c>
      <c r="EY72" s="8">
        <v>0.19575240402466074</v>
      </c>
      <c r="EZ72" s="8">
        <v>0.20612264959035378</v>
      </c>
      <c r="FA72" s="8">
        <v>0.21457759212800065</v>
      </c>
      <c r="FB72" s="8">
        <v>0.21578782412661834</v>
      </c>
      <c r="FC72" s="8">
        <v>0.19447686519186491</v>
      </c>
      <c r="FD72" s="7">
        <v>0.21040591177809601</v>
      </c>
      <c r="FE72" s="8">
        <v>0.19050715812121122</v>
      </c>
      <c r="FF72" s="8">
        <v>0.1625597909282876</v>
      </c>
      <c r="FG72" s="8">
        <v>8.676040824040207E-2</v>
      </c>
      <c r="FH72" s="8">
        <v>9.0142863742916052E-2</v>
      </c>
      <c r="FI72" s="8">
        <v>8.8305188463118647E-2</v>
      </c>
      <c r="FJ72" s="8">
        <v>9.2295283980778672E-2</v>
      </c>
      <c r="FK72" s="8">
        <v>9.1837388295416586E-2</v>
      </c>
      <c r="FL72" s="8">
        <v>9.4826558492721785E-2</v>
      </c>
      <c r="FM72" s="8">
        <v>0.1001891770587082</v>
      </c>
      <c r="FN72" s="8">
        <v>0.10483615475063957</v>
      </c>
      <c r="FO72" s="8">
        <v>9.3371038214539043E-2</v>
      </c>
      <c r="FP72" s="8">
        <v>8.9326492995867438E-2</v>
      </c>
      <c r="FZ72" s="6" t="s">
        <v>174</v>
      </c>
      <c r="GA72" s="8">
        <v>0.64878699642239568</v>
      </c>
      <c r="GB72" s="8">
        <v>0.63329272493891708</v>
      </c>
      <c r="GC72" s="7">
        <v>0.64230712334157325</v>
      </c>
      <c r="GD72" s="8">
        <v>0.63187132978853922</v>
      </c>
      <c r="GE72" s="8">
        <v>0.62489535103100124</v>
      </c>
      <c r="GF72" s="8">
        <v>0.61470166314675589</v>
      </c>
      <c r="GG72" s="8">
        <v>0.61660067918255301</v>
      </c>
      <c r="GH72" s="8">
        <v>0.63096314894768168</v>
      </c>
      <c r="GI72" s="8">
        <v>0.65186446374362261</v>
      </c>
      <c r="GJ72" s="8">
        <v>0.64869382113147012</v>
      </c>
      <c r="GK72" s="7">
        <v>0.52951160749148241</v>
      </c>
      <c r="GL72" s="8">
        <v>0.52936678178139329</v>
      </c>
      <c r="GM72" s="8">
        <v>0.53668671127267131</v>
      </c>
      <c r="GN72" s="8">
        <v>0.54537756310390417</v>
      </c>
      <c r="GO72" s="8">
        <v>0.54149659990154986</v>
      </c>
      <c r="GP72" s="8">
        <v>0.53774173333070319</v>
      </c>
      <c r="GQ72" s="8">
        <v>0.53331298648756953</v>
      </c>
      <c r="GR72" s="8">
        <v>0.51944305020653492</v>
      </c>
      <c r="GS72" s="8">
        <v>0.52741150146680749</v>
      </c>
      <c r="GT72" s="7">
        <v>0.53486946642492017</v>
      </c>
      <c r="GU72" s="7">
        <v>0.28501192260064656</v>
      </c>
      <c r="GV72" s="8">
        <v>0.28648263537330149</v>
      </c>
      <c r="GW72" s="8">
        <v>0.292401958878999</v>
      </c>
      <c r="GX72" s="8">
        <v>0.2977484189550515</v>
      </c>
      <c r="GY72" s="8">
        <v>0.30461121917180617</v>
      </c>
      <c r="GZ72" s="8">
        <v>0.31901758152513443</v>
      </c>
      <c r="HA72" s="8">
        <v>0.3179170245968162</v>
      </c>
      <c r="HB72" s="8">
        <v>0.30629974032923823</v>
      </c>
      <c r="HC72" s="8">
        <v>0.29561472649843884</v>
      </c>
      <c r="HD72" s="7">
        <v>0.29770010490582349</v>
      </c>
      <c r="HE72" s="8">
        <v>0.54255420982190683</v>
      </c>
      <c r="HF72" s="7">
        <v>0.52511269959037177</v>
      </c>
      <c r="HG72" s="8">
        <v>0.53215082401859781</v>
      </c>
      <c r="HH72" s="8">
        <v>0.53863400732578537</v>
      </c>
      <c r="HI72" s="8">
        <v>0.54472771964730304</v>
      </c>
      <c r="HJ72" s="8">
        <v>0.54013345603157115</v>
      </c>
      <c r="HK72" s="8">
        <v>0.53964963790258491</v>
      </c>
      <c r="HL72" s="8">
        <v>0.54249641613984656</v>
      </c>
      <c r="HM72" s="7">
        <v>0.55431647741780044</v>
      </c>
      <c r="HN72" s="8">
        <v>0.56321569204127941</v>
      </c>
      <c r="HP72" s="6" t="s">
        <v>197</v>
      </c>
      <c r="HQ72" s="6" t="s">
        <v>140</v>
      </c>
      <c r="HR72" s="6" t="s">
        <v>141</v>
      </c>
      <c r="HS72" s="8">
        <v>0.67332172732348705</v>
      </c>
    </row>
    <row r="73" spans="2:227" x14ac:dyDescent="0.45">
      <c r="B73" s="3" t="s">
        <v>176</v>
      </c>
      <c r="C73" s="3" t="s">
        <v>131</v>
      </c>
      <c r="D73" s="5">
        <v>0.31714013399275526</v>
      </c>
      <c r="E73" s="5">
        <v>0.310904015677331</v>
      </c>
      <c r="F73" s="5">
        <v>0.30511742151486027</v>
      </c>
      <c r="G73" s="5">
        <v>0.3103273581923609</v>
      </c>
      <c r="H73" s="5">
        <v>0.31338467568512968</v>
      </c>
      <c r="I73" s="5">
        <v>0.31424080048003805</v>
      </c>
      <c r="J73" s="5">
        <v>0.31924321490850593</v>
      </c>
      <c r="K73" s="5">
        <v>0.30958247574832787</v>
      </c>
      <c r="L73" s="5">
        <v>0.31087331765607268</v>
      </c>
      <c r="M73" s="5">
        <v>0.32564575715713334</v>
      </c>
      <c r="N73" s="5">
        <v>0.34590370205953291</v>
      </c>
      <c r="O73" s="5">
        <v>0.35615882146438183</v>
      </c>
      <c r="P73" s="5">
        <v>0.35802607905818778</v>
      </c>
      <c r="Q73" s="5">
        <v>0.33633835801409273</v>
      </c>
      <c r="R73" s="5">
        <v>0.32443663206121204</v>
      </c>
      <c r="S73" s="5">
        <v>0.31268191549074276</v>
      </c>
      <c r="T73" s="5">
        <v>0.3069721476684239</v>
      </c>
      <c r="U73" s="5">
        <v>0.31139053549192253</v>
      </c>
      <c r="V73" s="5">
        <v>0.31741717058011448</v>
      </c>
      <c r="W73" s="5">
        <v>0.32189715323911855</v>
      </c>
      <c r="X73" s="5">
        <v>0.38554708461001153</v>
      </c>
      <c r="Y73" s="5">
        <v>0.40871301260027959</v>
      </c>
      <c r="Z73" s="5">
        <v>0.43014904848806618</v>
      </c>
      <c r="AA73" s="5">
        <v>0.41526971126843631</v>
      </c>
      <c r="AB73" s="5">
        <v>0.40151302003426786</v>
      </c>
      <c r="AC73" s="5">
        <v>0.39050239222048327</v>
      </c>
      <c r="AD73" s="5">
        <v>0.37448495891230715</v>
      </c>
      <c r="AE73" s="5">
        <v>0.37358588227791206</v>
      </c>
      <c r="AF73" s="5">
        <v>0.34695135295050372</v>
      </c>
      <c r="AG73" s="5">
        <v>0.35638629543725558</v>
      </c>
      <c r="AH73" s="5">
        <v>0.32025419220240398</v>
      </c>
      <c r="AI73" s="5">
        <v>0.32789865577192312</v>
      </c>
      <c r="AJ73" s="5">
        <v>0.32228087759911384</v>
      </c>
      <c r="AK73" s="5">
        <v>0.3037909325981355</v>
      </c>
      <c r="AL73" s="5">
        <v>0.30277243382536728</v>
      </c>
      <c r="AM73" s="5">
        <v>0.3027211665219306</v>
      </c>
      <c r="AN73" s="5">
        <v>0.29923818240907246</v>
      </c>
      <c r="AO73" s="5">
        <v>0.29643872619572631</v>
      </c>
      <c r="AP73" s="5">
        <v>0.29187372397182371</v>
      </c>
      <c r="AQ73" s="5">
        <v>0.29492657854415755</v>
      </c>
      <c r="AS73" s="3" t="s">
        <v>176</v>
      </c>
      <c r="AT73" s="3" t="s">
        <v>132</v>
      </c>
      <c r="AU73" s="5">
        <v>1.6198745135973348E-2</v>
      </c>
      <c r="AV73" s="4">
        <v>4.5604736959231479E-3</v>
      </c>
      <c r="AW73" s="5">
        <v>1.4636001622212423E-2</v>
      </c>
      <c r="AX73" s="5">
        <v>2.1185263521000669E-2</v>
      </c>
      <c r="AY73" s="5">
        <v>2.0603296758098653E-2</v>
      </c>
      <c r="AZ73" s="5">
        <v>1.5240586257576712E-2</v>
      </c>
      <c r="BA73" s="5">
        <v>1.2724108335411806E-2</v>
      </c>
      <c r="BB73" s="5">
        <v>1.1879129497740025E-2</v>
      </c>
      <c r="BC73" s="5">
        <v>1.122674222707914E-2</v>
      </c>
      <c r="BD73" s="5">
        <v>2.8456084000262498E-2</v>
      </c>
      <c r="BE73" s="5">
        <v>1.5372794423589792E-2</v>
      </c>
      <c r="BF73" s="5">
        <v>5.1727986449859485E-3</v>
      </c>
      <c r="BG73" s="5">
        <v>1.4394380698757769E-2</v>
      </c>
      <c r="BH73" s="5">
        <v>1.7039998981224477E-2</v>
      </c>
      <c r="BI73" s="5">
        <v>2.8125756042735116E-2</v>
      </c>
      <c r="BJ73" s="5">
        <v>2.912800293330163E-2</v>
      </c>
      <c r="BK73" s="5">
        <v>1.6119787446923502E-2</v>
      </c>
      <c r="BL73" s="4">
        <v>1.2460394050609476E-2</v>
      </c>
      <c r="BM73" s="5">
        <v>1.5544066488050739E-2</v>
      </c>
      <c r="BN73" s="5">
        <v>1.1660271183307423E-2</v>
      </c>
      <c r="BO73" s="5">
        <v>3.9731264032592854E-2</v>
      </c>
      <c r="BP73" s="5">
        <v>3.7404192380423466E-2</v>
      </c>
      <c r="BQ73" s="5">
        <v>3.705048255149844E-2</v>
      </c>
      <c r="BR73" s="5">
        <v>3.2200384318508829E-2</v>
      </c>
      <c r="BS73" s="5">
        <v>5.824895586265027E-3</v>
      </c>
      <c r="BT73" s="4">
        <v>1.1051077405065817E-2</v>
      </c>
      <c r="BU73" s="5">
        <v>6.951315259133649E-3</v>
      </c>
      <c r="BV73" s="5">
        <v>7.189577563912441E-3</v>
      </c>
      <c r="BW73" s="5">
        <v>3.6614922715849951E-3</v>
      </c>
      <c r="BX73" s="5">
        <v>1.3477137366006805E-2</v>
      </c>
      <c r="BY73" s="5">
        <v>4.0656415443228087E-2</v>
      </c>
      <c r="BZ73" s="4">
        <v>2.4542440193632427E-3</v>
      </c>
      <c r="CA73" s="4">
        <v>9.637666606412831E-3</v>
      </c>
      <c r="CB73" s="5">
        <v>7.3340582191141011E-3</v>
      </c>
      <c r="CC73" s="5">
        <v>1.906183006047699E-2</v>
      </c>
      <c r="CD73" s="5">
        <v>3.0289920599050685E-2</v>
      </c>
      <c r="CE73" s="5">
        <v>2.3615525736448203E-2</v>
      </c>
      <c r="CF73" s="4">
        <v>5.1375335825379845E-3</v>
      </c>
      <c r="CG73" s="5">
        <v>1.738511198549399E-2</v>
      </c>
      <c r="CH73" s="5">
        <v>3.0254731927256057E-2</v>
      </c>
      <c r="CJ73" s="3" t="s">
        <v>176</v>
      </c>
      <c r="CK73" s="3" t="s">
        <v>133</v>
      </c>
      <c r="CL73" s="5">
        <v>2.6093983452594394E-2</v>
      </c>
      <c r="CM73" s="5">
        <v>3.1680934112667772E-2</v>
      </c>
      <c r="CN73" s="5">
        <v>1.2517971278426562E-2</v>
      </c>
      <c r="CO73" s="5">
        <v>9.001825984050995E-3</v>
      </c>
      <c r="CP73" s="4">
        <v>1.6696877149300682E-2</v>
      </c>
      <c r="CQ73" s="5">
        <v>2.5489103796244639E-2</v>
      </c>
      <c r="CR73" s="5">
        <v>1.3675015282251308E-2</v>
      </c>
      <c r="CS73" s="5">
        <v>1.0110913263806131E-2</v>
      </c>
      <c r="CT73" s="5">
        <v>2.050738356067603E-2</v>
      </c>
      <c r="CU73" s="5">
        <v>1.2093565125649967E-2</v>
      </c>
      <c r="CV73" s="5">
        <v>2.220548102687973E-2</v>
      </c>
      <c r="CW73" s="5">
        <v>3.1483399694434921E-2</v>
      </c>
      <c r="CX73" s="5">
        <v>1.208518240284581E-2</v>
      </c>
      <c r="CY73" s="5">
        <v>1.582511586988768E-2</v>
      </c>
      <c r="CZ73" s="5">
        <v>2.0514691601645232E-2</v>
      </c>
      <c r="DA73" s="5">
        <v>1.9096688765672498E-2</v>
      </c>
      <c r="DB73" s="5">
        <v>2.9003305346358359E-2</v>
      </c>
      <c r="DC73" s="5">
        <v>3.6901851886885578E-2</v>
      </c>
      <c r="DD73" s="5">
        <v>5.0239327892586151E-2</v>
      </c>
      <c r="DE73" s="5">
        <v>3.400069738739056E-2</v>
      </c>
      <c r="DF73" s="5">
        <v>1.6541526600165841E-2</v>
      </c>
      <c r="DG73" s="5">
        <v>5.5900746091758019E-2</v>
      </c>
      <c r="DH73" s="5">
        <v>7.0630908140342008E-2</v>
      </c>
      <c r="DI73" s="5">
        <v>7.9091674369815693E-2</v>
      </c>
      <c r="DJ73" s="5">
        <v>7.7868800363669846E-2</v>
      </c>
      <c r="DK73" s="5">
        <v>5.0362095464655539E-2</v>
      </c>
      <c r="DL73" s="5">
        <v>2.8896436147507563E-2</v>
      </c>
      <c r="DM73" s="5">
        <v>1.4875416301657129E-2</v>
      </c>
      <c r="DN73" s="5">
        <v>6.3935568539661555E-3</v>
      </c>
      <c r="DO73" s="4">
        <v>5.4969310692720773E-4</v>
      </c>
      <c r="DP73" s="5">
        <v>3.1911199777975137E-2</v>
      </c>
      <c r="DQ73" s="5">
        <v>6.0972720386590379E-2</v>
      </c>
      <c r="DR73" s="5">
        <v>3.9651151109011219E-2</v>
      </c>
      <c r="DS73" s="5">
        <v>2.2979556069704855E-2</v>
      </c>
      <c r="DT73" s="4">
        <v>7.3726012537215363E-3</v>
      </c>
      <c r="DU73" s="5">
        <v>7.1900421931430595E-3</v>
      </c>
      <c r="DV73" s="5">
        <v>1.5802238348806889E-2</v>
      </c>
      <c r="DW73" s="5">
        <v>3.2516091088112355E-2</v>
      </c>
      <c r="DX73" s="5">
        <v>1.6659837657073014E-2</v>
      </c>
      <c r="DY73" s="5">
        <v>1.1870628244939717E-2</v>
      </c>
      <c r="EA73" s="3" t="s">
        <v>176</v>
      </c>
      <c r="EB73" s="3" t="s">
        <v>134</v>
      </c>
      <c r="EC73" s="5">
        <v>0.1397325968895653</v>
      </c>
      <c r="ED73" s="5">
        <v>0.14664818162882809</v>
      </c>
      <c r="EE73" s="5">
        <v>0.1560169264407022</v>
      </c>
      <c r="EF73" s="5">
        <v>0.15428528591377974</v>
      </c>
      <c r="EG73" s="5">
        <v>0.14156052185113777</v>
      </c>
      <c r="EH73" s="5">
        <v>0.14101885694006416</v>
      </c>
      <c r="EI73" s="5">
        <v>0.15807560023239092</v>
      </c>
      <c r="EJ73" s="5">
        <v>0.15634548915904245</v>
      </c>
      <c r="EK73" s="5">
        <v>0.14331868636199285</v>
      </c>
      <c r="EL73" s="5">
        <v>0.14072009649861655</v>
      </c>
      <c r="EM73" s="5">
        <v>0.19478509803046032</v>
      </c>
      <c r="EN73" s="5">
        <v>0.19825035742161878</v>
      </c>
      <c r="EO73" s="5">
        <v>0.201092907762773</v>
      </c>
      <c r="EP73" s="5">
        <v>0.1727427366601777</v>
      </c>
      <c r="EQ73" s="5">
        <v>0.15441717760213472</v>
      </c>
      <c r="ER73" s="5">
        <v>0.14611441514864743</v>
      </c>
      <c r="ES73" s="4">
        <v>0.14198993156437331</v>
      </c>
      <c r="ET73" s="5">
        <v>0.14827107434158177</v>
      </c>
      <c r="EU73" s="5">
        <v>0.14000463988426951</v>
      </c>
      <c r="EV73" s="5">
        <v>0.16812583792942673</v>
      </c>
      <c r="EW73" s="5">
        <v>0.20648077766965803</v>
      </c>
      <c r="EX73" s="5">
        <v>0.18556964904711903</v>
      </c>
      <c r="EY73" s="5">
        <v>0.1831685023195074</v>
      </c>
      <c r="EZ73" s="5">
        <v>0.17172635042068601</v>
      </c>
      <c r="FA73" s="5">
        <v>0.18662736196754581</v>
      </c>
      <c r="FB73" s="5">
        <v>0.19714411052341677</v>
      </c>
      <c r="FC73" s="5">
        <v>0.21294261696236003</v>
      </c>
      <c r="FD73" s="4">
        <v>0.23733956259861644</v>
      </c>
      <c r="FE73" s="5">
        <v>0.24307016006404566</v>
      </c>
      <c r="FF73" s="5">
        <v>0.23611233592770461</v>
      </c>
      <c r="FG73" s="5">
        <v>0.12405476442925641</v>
      </c>
      <c r="FH73" s="5">
        <v>0.13906777485325153</v>
      </c>
      <c r="FI73" s="5">
        <v>0.14775812818207734</v>
      </c>
      <c r="FJ73" s="5">
        <v>0.15249418532589629</v>
      </c>
      <c r="FK73" s="5">
        <v>0.14333752578780987</v>
      </c>
      <c r="FL73" s="5">
        <v>0.1394166179646994</v>
      </c>
      <c r="FM73" s="5">
        <v>0.14139621730110219</v>
      </c>
      <c r="FN73" s="5">
        <v>0.14750437482973083</v>
      </c>
      <c r="FO73" s="5">
        <v>0.14646494533164792</v>
      </c>
      <c r="FP73" s="5">
        <v>0.13589795771456692</v>
      </c>
      <c r="FZ73" s="3" t="s">
        <v>176</v>
      </c>
      <c r="GA73" s="5">
        <v>0.452963914614403</v>
      </c>
      <c r="GB73" s="5">
        <v>0.43498141355154585</v>
      </c>
      <c r="GC73" s="4">
        <v>0.43327681187190736</v>
      </c>
      <c r="GD73" s="5">
        <v>0.42911991904913432</v>
      </c>
      <c r="GE73" s="5">
        <v>0.43423360019540558</v>
      </c>
      <c r="GF73" s="5">
        <v>0.44083318710326352</v>
      </c>
      <c r="GG73" s="5">
        <v>0.43042696960193216</v>
      </c>
      <c r="GH73" s="5">
        <v>0.43355623096227985</v>
      </c>
      <c r="GI73" s="5">
        <v>0.4499519230231826</v>
      </c>
      <c r="GJ73" s="5">
        <v>0.45554227402763492</v>
      </c>
      <c r="GK73" s="4">
        <v>0.32335309241628774</v>
      </c>
      <c r="GL73" s="5">
        <v>0.31877060280867864</v>
      </c>
      <c r="GM73" s="5">
        <v>0.33634706482853566</v>
      </c>
      <c r="GN73" s="5">
        <v>0.38247681794502225</v>
      </c>
      <c r="GO73" s="5">
        <v>0.39986481206644092</v>
      </c>
      <c r="GP73" s="5">
        <v>0.40760197364673328</v>
      </c>
      <c r="GQ73" s="5">
        <v>0.40571491429550927</v>
      </c>
      <c r="GR73" s="5">
        <v>0.37212142724604902</v>
      </c>
      <c r="GS73" s="5">
        <v>0.35393309785745353</v>
      </c>
      <c r="GT73" s="4">
        <v>0.33721331222551959</v>
      </c>
      <c r="GU73" s="4">
        <v>0.1527641785653199</v>
      </c>
      <c r="GV73" s="5">
        <v>0.15003493211758506</v>
      </c>
      <c r="GW73" s="5">
        <v>0.17169085739528159</v>
      </c>
      <c r="GX73" s="5">
        <v>0.19920573997942775</v>
      </c>
      <c r="GY73" s="5">
        <v>0.22657375579811254</v>
      </c>
      <c r="GZ73" s="5">
        <v>0.24718529585565871</v>
      </c>
      <c r="HA73" s="5">
        <v>0.24331961639424796</v>
      </c>
      <c r="HB73" s="5">
        <v>0.22024986152468576</v>
      </c>
      <c r="HC73" s="5">
        <v>0.18780168100207864</v>
      </c>
      <c r="HD73" s="4">
        <v>0.16596532478136727</v>
      </c>
      <c r="HE73" s="5">
        <v>0.33936506116286413</v>
      </c>
      <c r="HF73" s="4">
        <v>0.32737741519987484</v>
      </c>
      <c r="HG73" s="5">
        <v>0.3346249491458046</v>
      </c>
      <c r="HH73" s="5">
        <v>0.35869168005428792</v>
      </c>
      <c r="HI73" s="5">
        <v>0.38644387928536006</v>
      </c>
      <c r="HJ73" s="5">
        <v>0.40091903829927311</v>
      </c>
      <c r="HK73" s="5">
        <v>0.39387168539565037</v>
      </c>
      <c r="HL73" s="5">
        <v>0.36345172023354555</v>
      </c>
      <c r="HM73" s="4">
        <v>0.351212985564411</v>
      </c>
      <c r="HN73" s="5">
        <v>0.34332317922981287</v>
      </c>
      <c r="HP73" s="3" t="s">
        <v>199</v>
      </c>
      <c r="HQ73" s="3" t="s">
        <v>140</v>
      </c>
      <c r="HR73" s="3" t="s">
        <v>141</v>
      </c>
      <c r="HS73" s="5">
        <v>0.78297301874732894</v>
      </c>
    </row>
    <row r="74" spans="2:227" x14ac:dyDescent="0.45">
      <c r="B74" s="6" t="s">
        <v>178</v>
      </c>
      <c r="C74" s="6" t="s">
        <v>131</v>
      </c>
      <c r="D74" s="8">
        <v>0.25374345426131323</v>
      </c>
      <c r="E74" s="8">
        <v>0.25427211808101191</v>
      </c>
      <c r="F74" s="8">
        <v>0.25366874740746781</v>
      </c>
      <c r="G74" s="8">
        <v>0.25454475864418996</v>
      </c>
      <c r="H74" s="8">
        <v>0.26793613388843884</v>
      </c>
      <c r="I74" s="8">
        <v>0.26706707736063018</v>
      </c>
      <c r="J74" s="8">
        <v>0.27008585514010836</v>
      </c>
      <c r="K74" s="8">
        <v>0.26024109792786543</v>
      </c>
      <c r="L74" s="8">
        <v>0.25274304199628372</v>
      </c>
      <c r="M74" s="8">
        <v>0.24906025394935821</v>
      </c>
      <c r="N74" s="8">
        <v>0.29925553567152263</v>
      </c>
      <c r="O74" s="8">
        <v>0.28560097499605541</v>
      </c>
      <c r="P74" s="8">
        <v>0.29162870662097734</v>
      </c>
      <c r="Q74" s="8">
        <v>0.29186646445138587</v>
      </c>
      <c r="R74" s="8">
        <v>0.29382379795089042</v>
      </c>
      <c r="S74" s="8">
        <v>0.2899776634608297</v>
      </c>
      <c r="T74" s="8">
        <v>0.289580459845663</v>
      </c>
      <c r="U74" s="8">
        <v>0.30462600756995006</v>
      </c>
      <c r="V74" s="8">
        <v>0.30968037886369781</v>
      </c>
      <c r="W74" s="8">
        <v>0.30104181724331225</v>
      </c>
      <c r="X74" s="8">
        <v>0.37938646355030187</v>
      </c>
      <c r="Y74" s="8">
        <v>0.38866741273948302</v>
      </c>
      <c r="Z74" s="8">
        <v>0.42500955990225037</v>
      </c>
      <c r="AA74" s="8">
        <v>0.44012178287248122</v>
      </c>
      <c r="AB74" s="8">
        <v>0.41005731332761314</v>
      </c>
      <c r="AC74" s="8">
        <v>0.39164858475321856</v>
      </c>
      <c r="AD74" s="8">
        <v>0.38368570603814217</v>
      </c>
      <c r="AE74" s="8">
        <v>0.39018094636946532</v>
      </c>
      <c r="AF74" s="8">
        <v>0.37660472176875898</v>
      </c>
      <c r="AG74" s="8">
        <v>0.35082927439693762</v>
      </c>
      <c r="AH74" s="8">
        <v>0.29015985651741566</v>
      </c>
      <c r="AI74" s="8">
        <v>0.28916800762325495</v>
      </c>
      <c r="AJ74" s="8">
        <v>0.28811715043045771</v>
      </c>
      <c r="AK74" s="8">
        <v>0.29151495556502049</v>
      </c>
      <c r="AL74" s="8">
        <v>0.29787353474921713</v>
      </c>
      <c r="AM74" s="8">
        <v>0.3095983951151397</v>
      </c>
      <c r="AN74" s="8">
        <v>0.3174579522277487</v>
      </c>
      <c r="AO74" s="8">
        <v>0.29214533370727425</v>
      </c>
      <c r="AP74" s="8">
        <v>0.28056591335394043</v>
      </c>
      <c r="AQ74" s="8">
        <v>0.2849575758423632</v>
      </c>
      <c r="AS74" s="6" t="s">
        <v>178</v>
      </c>
      <c r="AT74" s="6" t="s">
        <v>132</v>
      </c>
      <c r="AU74" s="8">
        <v>1.4219910306759479E-2</v>
      </c>
      <c r="AV74" s="7">
        <v>1.1672726230839457E-2</v>
      </c>
      <c r="AW74" s="8">
        <v>1.8091560976654712E-2</v>
      </c>
      <c r="AX74" s="8">
        <v>1.6709608428696617E-2</v>
      </c>
      <c r="AY74" s="8">
        <v>1.1333076799658238E-2</v>
      </c>
      <c r="AZ74" s="8">
        <v>1.6615005968601521E-2</v>
      </c>
      <c r="BA74" s="8">
        <v>1.7439241155699559E-2</v>
      </c>
      <c r="BB74" s="8">
        <v>1.8226488907077204E-2</v>
      </c>
      <c r="BC74" s="8">
        <v>1.6732366482104407E-2</v>
      </c>
      <c r="BD74" s="8">
        <v>1.7612048551603341E-2</v>
      </c>
      <c r="BE74" s="8">
        <v>1.9127298637849215E-2</v>
      </c>
      <c r="BF74" s="8">
        <v>2.8932373035297571E-2</v>
      </c>
      <c r="BG74" s="8">
        <v>2.7416083223300552E-2</v>
      </c>
      <c r="BH74" s="8">
        <v>2.3189022912654806E-2</v>
      </c>
      <c r="BI74" s="8">
        <v>2.4782819835471221E-2</v>
      </c>
      <c r="BJ74" s="8">
        <v>2.1437592573663657E-2</v>
      </c>
      <c r="BK74" s="8">
        <v>5.8131631769634991E-3</v>
      </c>
      <c r="BL74" s="7">
        <v>3.6461577272348142E-3</v>
      </c>
      <c r="BM74" s="8">
        <v>1.290808489623123E-2</v>
      </c>
      <c r="BN74" s="8">
        <v>1.3625242143929264E-2</v>
      </c>
      <c r="BO74" s="8">
        <v>2.0737285198263233E-2</v>
      </c>
      <c r="BP74" s="8">
        <v>1.8284252425511731E-2</v>
      </c>
      <c r="BQ74" s="8">
        <v>1.161375754354638E-2</v>
      </c>
      <c r="BR74" s="8">
        <v>2.2234120696842608E-2</v>
      </c>
      <c r="BS74" s="8">
        <v>2.5803665168089875E-2</v>
      </c>
      <c r="BT74" s="7">
        <v>2.2654540856088371E-2</v>
      </c>
      <c r="BU74" s="8">
        <v>1.7559621649520726E-2</v>
      </c>
      <c r="BV74" s="8">
        <v>3.0102357781725486E-2</v>
      </c>
      <c r="BW74" s="8">
        <v>1.8167300497283493E-2</v>
      </c>
      <c r="BX74" s="8">
        <v>3.9153292966491018E-2</v>
      </c>
      <c r="BY74" s="8">
        <v>2.4466540191130429E-2</v>
      </c>
      <c r="BZ74" s="7">
        <v>2.0193833838884075E-2</v>
      </c>
      <c r="CA74" s="7">
        <v>4.0446870820226216E-2</v>
      </c>
      <c r="CB74" s="8">
        <v>5.6938553914399781E-2</v>
      </c>
      <c r="CC74" s="8">
        <v>3.883845391723733E-2</v>
      </c>
      <c r="CD74" s="8">
        <v>2.6607978147197092E-2</v>
      </c>
      <c r="CE74" s="8">
        <v>1.0414882310304383E-2</v>
      </c>
      <c r="CF74" s="7">
        <v>6.1883755530825323E-3</v>
      </c>
      <c r="CG74" s="8">
        <v>2.2501136116661376E-2</v>
      </c>
      <c r="CH74" s="8">
        <v>2.6962741706061808E-2</v>
      </c>
      <c r="CJ74" s="6" t="s">
        <v>178</v>
      </c>
      <c r="CK74" s="6" t="s">
        <v>133</v>
      </c>
      <c r="CL74" s="8">
        <v>2.0324022393261393E-2</v>
      </c>
      <c r="CM74" s="8">
        <v>2.8562784679486263E-2</v>
      </c>
      <c r="CN74" s="8">
        <v>1.586026403866192E-2</v>
      </c>
      <c r="CO74" s="8">
        <v>1.3798167926439727E-2</v>
      </c>
      <c r="CP74" s="7">
        <v>1.8323101664061463E-2</v>
      </c>
      <c r="CQ74" s="8">
        <v>1.4181345206263525E-2</v>
      </c>
      <c r="CR74" s="8">
        <v>1.1807300034725901E-2</v>
      </c>
      <c r="CS74" s="8">
        <v>2.1214225097498901E-2</v>
      </c>
      <c r="CT74" s="8">
        <v>1.6367764647995827E-2</v>
      </c>
      <c r="CU74" s="8">
        <v>1.8397417039307449E-2</v>
      </c>
      <c r="CV74" s="8">
        <v>1.8514674231449372E-2</v>
      </c>
      <c r="CW74" s="8">
        <v>1.3442485089045069E-2</v>
      </c>
      <c r="CX74" s="8">
        <v>2.4544205936951852E-2</v>
      </c>
      <c r="CY74" s="8">
        <v>3.1906230436848565E-2</v>
      </c>
      <c r="CZ74" s="8">
        <v>2.7623106931893078E-2</v>
      </c>
      <c r="DA74" s="8">
        <v>2.4585672558265045E-2</v>
      </c>
      <c r="DB74" s="8">
        <v>2.4376092285059547E-2</v>
      </c>
      <c r="DC74" s="8">
        <v>2.4128632820366862E-2</v>
      </c>
      <c r="DD74" s="8">
        <v>1.3139959372152182E-2</v>
      </c>
      <c r="DE74" s="8">
        <v>5.9626085323932609E-3</v>
      </c>
      <c r="DF74" s="8">
        <v>4.2668585069647075E-2</v>
      </c>
      <c r="DG74" s="8">
        <v>4.4808601304950603E-2</v>
      </c>
      <c r="DH74" s="8">
        <v>4.4932843816080162E-2</v>
      </c>
      <c r="DI74" s="8">
        <v>3.0179853166330289E-2</v>
      </c>
      <c r="DJ74" s="8">
        <v>3.3275390283005808E-2</v>
      </c>
      <c r="DK74" s="8">
        <v>4.6261326366960717E-2</v>
      </c>
      <c r="DL74" s="8">
        <v>3.5085449756038764E-2</v>
      </c>
      <c r="DM74" s="8">
        <v>2.2480093127109208E-2</v>
      </c>
      <c r="DN74" s="8">
        <v>3.1956532870225991E-2</v>
      </c>
      <c r="DO74" s="7">
        <v>4.1332617982915133E-2</v>
      </c>
      <c r="DP74" s="8">
        <v>3.9458419197974479E-2</v>
      </c>
      <c r="DQ74" s="8">
        <v>4.1858083349025424E-2</v>
      </c>
      <c r="DR74" s="8">
        <v>3.72948241242953E-2</v>
      </c>
      <c r="DS74" s="8">
        <v>2.5364447626316625E-2</v>
      </c>
      <c r="DT74" s="7">
        <v>5.5623102363685631E-2</v>
      </c>
      <c r="DU74" s="8">
        <v>7.4617823723619497E-2</v>
      </c>
      <c r="DV74" s="8">
        <v>6.0114977830999936E-2</v>
      </c>
      <c r="DW74" s="8">
        <v>1.0375663866661928E-2</v>
      </c>
      <c r="DX74" s="8">
        <v>2.2848772135091303E-3</v>
      </c>
      <c r="DY74" s="8">
        <v>1.3645754769647075E-2</v>
      </c>
      <c r="EA74" s="6" t="s">
        <v>178</v>
      </c>
      <c r="EB74" s="6" t="s">
        <v>134</v>
      </c>
      <c r="EC74" s="8">
        <v>0.10494015108453138</v>
      </c>
      <c r="ED74" s="8">
        <v>0.10580424473913769</v>
      </c>
      <c r="EE74" s="8">
        <v>0.11572001334868638</v>
      </c>
      <c r="EF74" s="8">
        <v>0.12412256318771575</v>
      </c>
      <c r="EG74" s="8">
        <v>0.12551882425598751</v>
      </c>
      <c r="EH74" s="8">
        <v>0.11523603504359752</v>
      </c>
      <c r="EI74" s="8">
        <v>0.12082362535326036</v>
      </c>
      <c r="EJ74" s="8">
        <v>0.10880574416656755</v>
      </c>
      <c r="EK74" s="8">
        <v>0.10732645958371016</v>
      </c>
      <c r="EL74" s="8">
        <v>9.9001608603822622E-2</v>
      </c>
      <c r="EM74" s="8">
        <v>0.13961657251415602</v>
      </c>
      <c r="EN74" s="8">
        <v>0.12606863862824408</v>
      </c>
      <c r="EO74" s="8">
        <v>0.12037877291840673</v>
      </c>
      <c r="EP74" s="8">
        <v>0.10581589378550492</v>
      </c>
      <c r="EQ74" s="8">
        <v>0.11236227196212899</v>
      </c>
      <c r="ER74" s="8">
        <v>0.12120973647520158</v>
      </c>
      <c r="ES74" s="7">
        <v>0.13859973132232781</v>
      </c>
      <c r="ET74" s="8">
        <v>0.14959568165015083</v>
      </c>
      <c r="EU74" s="8">
        <v>0.16181059259103719</v>
      </c>
      <c r="EV74" s="8">
        <v>0.15689389934942238</v>
      </c>
      <c r="EW74" s="8">
        <v>0.20507349848223758</v>
      </c>
      <c r="EX74" s="8">
        <v>0.21492992557119703</v>
      </c>
      <c r="EY74" s="8">
        <v>0.24187118122063681</v>
      </c>
      <c r="EZ74" s="8">
        <v>0.25514124293208723</v>
      </c>
      <c r="FA74" s="8">
        <v>0.22829479524515381</v>
      </c>
      <c r="FB74" s="8">
        <v>0.19524652124947761</v>
      </c>
      <c r="FC74" s="8">
        <v>0.19883376174558029</v>
      </c>
      <c r="FD74" s="7">
        <v>0.20798167327262132</v>
      </c>
      <c r="FE74" s="8">
        <v>0.20691570192046621</v>
      </c>
      <c r="FF74" s="8">
        <v>0.16126965385333561</v>
      </c>
      <c r="FG74" s="8">
        <v>0.11944098518108553</v>
      </c>
      <c r="FH74" s="8">
        <v>0.11674597226037303</v>
      </c>
      <c r="FI74" s="8">
        <v>0.10147491597163129</v>
      </c>
      <c r="FJ74" s="8">
        <v>9.6471045853742235E-2</v>
      </c>
      <c r="FK74" s="8">
        <v>9.2733057489955181E-2</v>
      </c>
      <c r="FL74" s="8">
        <v>9.3308992324679083E-2</v>
      </c>
      <c r="FM74" s="8">
        <v>0.13152433640449704</v>
      </c>
      <c r="FN74" s="8">
        <v>0.17100211492637052</v>
      </c>
      <c r="FO74" s="8">
        <v>0.15911812624674443</v>
      </c>
      <c r="FP74" s="8">
        <v>0.14109313886377686</v>
      </c>
      <c r="FZ74" s="6" t="s">
        <v>178</v>
      </c>
      <c r="GA74" s="8">
        <v>0.53270749843906517</v>
      </c>
      <c r="GB74" s="8">
        <v>0.51383268626146439</v>
      </c>
      <c r="GC74" s="7">
        <v>0.50939814531765337</v>
      </c>
      <c r="GD74" s="8">
        <v>0.51412497212816222</v>
      </c>
      <c r="GE74" s="8">
        <v>0.51566854725195033</v>
      </c>
      <c r="GF74" s="8">
        <v>0.5346123678263015</v>
      </c>
      <c r="GG74" s="8">
        <v>0.5351684984185594</v>
      </c>
      <c r="GH74" s="8">
        <v>0.53704234027618714</v>
      </c>
      <c r="GI74" s="8">
        <v>0.54541059826125948</v>
      </c>
      <c r="GJ74" s="8">
        <v>0.56451370053054073</v>
      </c>
      <c r="GK74" s="7">
        <v>0.43418295368126653</v>
      </c>
      <c r="GL74" s="8">
        <v>0.43516235025886035</v>
      </c>
      <c r="GM74" s="8">
        <v>0.4383992760456758</v>
      </c>
      <c r="GN74" s="8">
        <v>0.47541372941745552</v>
      </c>
      <c r="GO74" s="8">
        <v>0.47978890343520381</v>
      </c>
      <c r="GP74" s="8">
        <v>0.47748948559519666</v>
      </c>
      <c r="GQ74" s="8">
        <v>0.47270388138774277</v>
      </c>
      <c r="GR74" s="8">
        <v>0.44136747745978494</v>
      </c>
      <c r="GS74" s="8">
        <v>0.42144359124063518</v>
      </c>
      <c r="GT74" s="7">
        <v>0.42909847611380875</v>
      </c>
      <c r="GU74" s="7">
        <v>0.20714007845303264</v>
      </c>
      <c r="GV74" s="8">
        <v>0.21229675059308512</v>
      </c>
      <c r="GW74" s="8">
        <v>0.22327600960344518</v>
      </c>
      <c r="GX74" s="8">
        <v>0.23034607653248707</v>
      </c>
      <c r="GY74" s="8">
        <v>0.23590534969644122</v>
      </c>
      <c r="GZ74" s="8">
        <v>0.24886882967299667</v>
      </c>
      <c r="HA74" s="8">
        <v>0.24382653791746586</v>
      </c>
      <c r="HB74" s="8">
        <v>0.2242504427808272</v>
      </c>
      <c r="HC74" s="8">
        <v>0.20175743222476469</v>
      </c>
      <c r="HD74" s="7">
        <v>0.20280973213387554</v>
      </c>
      <c r="HE74" s="8">
        <v>0.37082925987595972</v>
      </c>
      <c r="HF74" s="7">
        <v>0.38230271711874969</v>
      </c>
      <c r="HG74" s="8">
        <v>0.39795704760254391</v>
      </c>
      <c r="HH74" s="8">
        <v>0.41559497884340429</v>
      </c>
      <c r="HI74" s="8">
        <v>0.41617901603248825</v>
      </c>
      <c r="HJ74" s="8">
        <v>0.41397786144018689</v>
      </c>
      <c r="HK74" s="8">
        <v>0.39267891119799719</v>
      </c>
      <c r="HL74" s="8">
        <v>0.36552614313381943</v>
      </c>
      <c r="HM74" s="7">
        <v>0.37218523062953207</v>
      </c>
      <c r="HN74" s="8">
        <v>0.37758566050499809</v>
      </c>
      <c r="HP74" s="6" t="s">
        <v>201</v>
      </c>
      <c r="HQ74" s="6" t="s">
        <v>140</v>
      </c>
      <c r="HR74" s="6" t="s">
        <v>141</v>
      </c>
      <c r="HS74" s="8">
        <v>0.76848558735034778</v>
      </c>
    </row>
    <row r="75" spans="2:227" x14ac:dyDescent="0.45">
      <c r="B75" s="3" t="s">
        <v>180</v>
      </c>
      <c r="C75" s="3" t="s">
        <v>131</v>
      </c>
      <c r="D75" s="5">
        <v>0.28126992493257846</v>
      </c>
      <c r="E75" s="5">
        <v>0.26929725930224652</v>
      </c>
      <c r="F75" s="5">
        <v>0.27032330819318234</v>
      </c>
      <c r="G75" s="5">
        <v>0.2834641396803137</v>
      </c>
      <c r="H75" s="5">
        <v>0.30029415742307014</v>
      </c>
      <c r="I75" s="5">
        <v>0.3142764548139339</v>
      </c>
      <c r="J75" s="5">
        <v>0.30147082311910184</v>
      </c>
      <c r="K75" s="5">
        <v>0.28522874421849165</v>
      </c>
      <c r="L75" s="5">
        <v>0.27306985979766207</v>
      </c>
      <c r="M75" s="5">
        <v>0.28263714766028819</v>
      </c>
      <c r="N75" s="5">
        <v>0.3045459287518178</v>
      </c>
      <c r="O75" s="5">
        <v>0.29879554709149098</v>
      </c>
      <c r="P75" s="5">
        <v>0.31893367963081792</v>
      </c>
      <c r="Q75" s="5">
        <v>0.31740861401508835</v>
      </c>
      <c r="R75" s="5">
        <v>0.32414305301117569</v>
      </c>
      <c r="S75" s="5">
        <v>0.32012321519516956</v>
      </c>
      <c r="T75" s="5">
        <v>0.30087881224022811</v>
      </c>
      <c r="U75" s="5">
        <v>0.3055829016988526</v>
      </c>
      <c r="V75" s="5">
        <v>0.310594689903676</v>
      </c>
      <c r="W75" s="5">
        <v>0.31622551097787965</v>
      </c>
      <c r="X75" s="5">
        <v>0.330958420124427</v>
      </c>
      <c r="Y75" s="5">
        <v>0.33500076489968422</v>
      </c>
      <c r="Z75" s="5">
        <v>0.38721019854465738</v>
      </c>
      <c r="AA75" s="5">
        <v>0.3644854547582389</v>
      </c>
      <c r="AB75" s="5">
        <v>0.3764805960779895</v>
      </c>
      <c r="AC75" s="5">
        <v>0.36722962805460124</v>
      </c>
      <c r="AD75" s="5">
        <v>0.36491832409932384</v>
      </c>
      <c r="AE75" s="5">
        <v>0.3668770988616824</v>
      </c>
      <c r="AF75" s="5">
        <v>0.34211515655146868</v>
      </c>
      <c r="AG75" s="5">
        <v>0.32265467341068199</v>
      </c>
      <c r="AH75" s="5">
        <v>0.2790393755190026</v>
      </c>
      <c r="AI75" s="5">
        <v>0.28190629062128186</v>
      </c>
      <c r="AJ75" s="5">
        <v>0.30988795629192156</v>
      </c>
      <c r="AK75" s="5">
        <v>0.33527693903646277</v>
      </c>
      <c r="AL75" s="5">
        <v>0.33846784151548726</v>
      </c>
      <c r="AM75" s="5">
        <v>0.32458067369287996</v>
      </c>
      <c r="AN75" s="5">
        <v>0.32338605976929624</v>
      </c>
      <c r="AO75" s="5">
        <v>0.3082467485624783</v>
      </c>
      <c r="AP75" s="5">
        <v>0.2905616722039111</v>
      </c>
      <c r="AQ75" s="5">
        <v>0.29019317147052026</v>
      </c>
      <c r="AS75" s="3" t="s">
        <v>180</v>
      </c>
      <c r="AT75" s="3" t="s">
        <v>132</v>
      </c>
      <c r="AU75" s="5">
        <v>1.5028699720944869E-2</v>
      </c>
      <c r="AV75" s="4">
        <v>3.8731611009265444E-3</v>
      </c>
      <c r="AW75" s="5">
        <v>9.0356969929021071E-3</v>
      </c>
      <c r="AX75" s="5">
        <v>2.0693709612318433E-2</v>
      </c>
      <c r="AY75" s="5">
        <v>3.3518552637757597E-2</v>
      </c>
      <c r="AZ75" s="5">
        <v>3.418169424847798E-2</v>
      </c>
      <c r="BA75" s="5">
        <v>1.0004455040719422E-2</v>
      </c>
      <c r="BB75" s="5">
        <v>1.4715762478516197E-2</v>
      </c>
      <c r="BC75" s="5">
        <v>1.7508850220589102E-2</v>
      </c>
      <c r="BD75" s="5">
        <v>1.4304598267524638E-2</v>
      </c>
      <c r="BE75" s="5">
        <v>5.1228586318814891E-3</v>
      </c>
      <c r="BF75" s="5">
        <v>1.5268522369952903E-2</v>
      </c>
      <c r="BG75" s="5">
        <v>1.4495976419323769E-2</v>
      </c>
      <c r="BH75" s="5">
        <v>1.5581411404326152E-2</v>
      </c>
      <c r="BI75" s="5">
        <v>1.3751835763595992E-2</v>
      </c>
      <c r="BJ75" s="5">
        <v>1.8980666205745747E-2</v>
      </c>
      <c r="BK75" s="5">
        <v>2.4353712427976619E-2</v>
      </c>
      <c r="BL75" s="4">
        <v>1.4450331982567994E-2</v>
      </c>
      <c r="BM75" s="5">
        <v>8.4701431283404297E-3</v>
      </c>
      <c r="BN75" s="5">
        <v>1.5982510005678387E-2</v>
      </c>
      <c r="BO75" s="5">
        <v>2.1951298156788007E-2</v>
      </c>
      <c r="BP75" s="5">
        <v>2.4311533544113997E-2</v>
      </c>
      <c r="BQ75" s="5">
        <v>1.9147218066763158E-2</v>
      </c>
      <c r="BR75" s="5">
        <v>2.841428505752755E-2</v>
      </c>
      <c r="BS75" s="5">
        <v>5.1503682090781149E-2</v>
      </c>
      <c r="BT75" s="4">
        <v>5.2751738066815379E-2</v>
      </c>
      <c r="BU75" s="5">
        <v>2.3802470613229165E-2</v>
      </c>
      <c r="BV75" s="5">
        <v>1.4739916207488024E-2</v>
      </c>
      <c r="BW75" s="5">
        <v>1.8735443902864329E-2</v>
      </c>
      <c r="BX75" s="5">
        <v>2.2070063491919912E-2</v>
      </c>
      <c r="BY75" s="5">
        <v>1.4485002252774796E-2</v>
      </c>
      <c r="BZ75" s="4">
        <v>2.5433219562463315E-2</v>
      </c>
      <c r="CA75" s="4">
        <v>3.0769194878838845E-2</v>
      </c>
      <c r="CB75" s="5">
        <v>2.3641547588769549E-2</v>
      </c>
      <c r="CC75" s="5">
        <v>2.4140158392573628E-2</v>
      </c>
      <c r="CD75" s="5">
        <v>3.7259916289964994E-2</v>
      </c>
      <c r="CE75" s="5">
        <v>4.2987329297716328E-2</v>
      </c>
      <c r="CF75" s="4">
        <v>2.4687976395747879E-2</v>
      </c>
      <c r="CG75" s="5">
        <v>3.252926891619716E-2</v>
      </c>
      <c r="CH75" s="5">
        <v>2.3827447070951965E-2</v>
      </c>
      <c r="CJ75" s="3" t="s">
        <v>180</v>
      </c>
      <c r="CK75" s="3" t="s">
        <v>133</v>
      </c>
      <c r="CL75" s="5">
        <v>2.4696690615775608E-2</v>
      </c>
      <c r="CM75" s="5">
        <v>2.9428585676924145E-2</v>
      </c>
      <c r="CN75" s="5">
        <v>2.0134784722656993E-2</v>
      </c>
      <c r="CO75" s="5">
        <v>6.6328494737262654E-3</v>
      </c>
      <c r="CP75" s="4">
        <v>1.1391443903918568E-2</v>
      </c>
      <c r="CQ75" s="5">
        <v>2.0042964956521483E-2</v>
      </c>
      <c r="CR75" s="5">
        <v>4.3736715877692636E-2</v>
      </c>
      <c r="CS75" s="5">
        <v>3.9761393422366544E-2</v>
      </c>
      <c r="CT75" s="5">
        <v>2.1421647374740359E-2</v>
      </c>
      <c r="CU75" s="5">
        <v>2.3173012927967838E-2</v>
      </c>
      <c r="CV75" s="5">
        <v>2.5999527071276049E-2</v>
      </c>
      <c r="CW75" s="5">
        <v>4.972499173854783E-3</v>
      </c>
      <c r="CX75" s="5">
        <v>8.1106499503229672E-3</v>
      </c>
      <c r="CY75" s="5">
        <v>9.7029769551614867E-3</v>
      </c>
      <c r="CZ75" s="5">
        <v>1.216921910357845E-2</v>
      </c>
      <c r="DA75" s="5">
        <v>1.4072300495335617E-2</v>
      </c>
      <c r="DB75" s="5">
        <v>1.2475009853553E-2</v>
      </c>
      <c r="DC75" s="5">
        <v>2.181740379543292E-2</v>
      </c>
      <c r="DD75" s="5">
        <v>2.8875032911939935E-2</v>
      </c>
      <c r="DE75" s="5">
        <v>1.937851426251707E-2</v>
      </c>
      <c r="DF75" s="5">
        <v>2.9263100775766868E-2</v>
      </c>
      <c r="DG75" s="5">
        <v>3.364860701848283E-2</v>
      </c>
      <c r="DH75" s="5">
        <v>2.5640960058388118E-2</v>
      </c>
      <c r="DI75" s="5">
        <v>2.9540911022273481E-2</v>
      </c>
      <c r="DJ75" s="5">
        <v>2.9607751243232339E-2</v>
      </c>
      <c r="DK75" s="5">
        <v>2.9693881696230929E-2</v>
      </c>
      <c r="DL75" s="5">
        <v>5.4637574044216229E-2</v>
      </c>
      <c r="DM75" s="5">
        <v>7.3353718797259437E-2</v>
      </c>
      <c r="DN75" s="5">
        <v>5.6334586847644939E-2</v>
      </c>
      <c r="DO75" s="4">
        <v>2.9086876235545695E-2</v>
      </c>
      <c r="DP75" s="5">
        <v>1.9539856741830161E-2</v>
      </c>
      <c r="DQ75" s="5">
        <v>1.5236110730194754E-2</v>
      </c>
      <c r="DR75" s="5">
        <v>2.8541559096866266E-2</v>
      </c>
      <c r="DS75" s="5">
        <v>4.1736570528480087E-2</v>
      </c>
      <c r="DT75" s="4">
        <v>3.0642105846110868E-2</v>
      </c>
      <c r="DU75" s="5">
        <v>2.2095495409242709E-2</v>
      </c>
      <c r="DV75" s="5">
        <v>2.8894033995729283E-2</v>
      </c>
      <c r="DW75" s="5">
        <v>4.7766071511683529E-2</v>
      </c>
      <c r="DX75" s="5">
        <v>4.09977304517282E-2</v>
      </c>
      <c r="DY75" s="5">
        <v>3.336519036915183E-2</v>
      </c>
      <c r="EA75" s="3" t="s">
        <v>180</v>
      </c>
      <c r="EB75" s="3" t="s">
        <v>134</v>
      </c>
      <c r="EC75" s="5">
        <v>0.12705191501118152</v>
      </c>
      <c r="ED75" s="5">
        <v>0.12295509042987786</v>
      </c>
      <c r="EE75" s="5">
        <v>0.12545054032564162</v>
      </c>
      <c r="EF75" s="5">
        <v>0.13152807101710914</v>
      </c>
      <c r="EG75" s="5">
        <v>0.13124834963290483</v>
      </c>
      <c r="EH75" s="5">
        <v>0.13205505978013424</v>
      </c>
      <c r="EI75" s="5">
        <v>0.12496489025279332</v>
      </c>
      <c r="EJ75" s="5">
        <v>0.11684743432579626</v>
      </c>
      <c r="EK75" s="5">
        <v>0.12554645267903403</v>
      </c>
      <c r="EL75" s="5">
        <v>0.12832450221843986</v>
      </c>
      <c r="EM75" s="5">
        <v>0.15913060316244149</v>
      </c>
      <c r="EN75" s="5">
        <v>0.16728111322841027</v>
      </c>
      <c r="EO75" s="5">
        <v>0.17681143940976543</v>
      </c>
      <c r="EP75" s="5">
        <v>0.17198022829256965</v>
      </c>
      <c r="EQ75" s="5">
        <v>0.17375202092807454</v>
      </c>
      <c r="ER75" s="5">
        <v>0.15028997593090224</v>
      </c>
      <c r="ES75" s="4">
        <v>0.1402508524471813</v>
      </c>
      <c r="ET75" s="5">
        <v>0.15376651731297869</v>
      </c>
      <c r="EU75" s="5">
        <v>0.15742306745762638</v>
      </c>
      <c r="EV75" s="5">
        <v>0.16115693329918929</v>
      </c>
      <c r="EW75" s="5">
        <v>0.17166853914310776</v>
      </c>
      <c r="EX75" s="5">
        <v>0.17005582014232984</v>
      </c>
      <c r="EY75" s="5">
        <v>0.2227848700271019</v>
      </c>
      <c r="EZ75" s="5">
        <v>0.19352357991188035</v>
      </c>
      <c r="FA75" s="5">
        <v>0.18125451250132976</v>
      </c>
      <c r="FB75" s="5">
        <v>0.17091573101916674</v>
      </c>
      <c r="FC75" s="5">
        <v>0.17469472538613143</v>
      </c>
      <c r="FD75" s="4">
        <v>0.16313010153441479</v>
      </c>
      <c r="FE75" s="5">
        <v>0.15559156369737839</v>
      </c>
      <c r="FF75" s="5">
        <v>0.1601494239804469</v>
      </c>
      <c r="FG75" s="5">
        <v>0.12962686171137419</v>
      </c>
      <c r="FH75" s="5">
        <v>0.12284961256163354</v>
      </c>
      <c r="FI75" s="5">
        <v>0.12154250064169249</v>
      </c>
      <c r="FJ75" s="5">
        <v>0.13645779088063223</v>
      </c>
      <c r="FK75" s="5">
        <v>0.14267112936406506</v>
      </c>
      <c r="FL75" s="5">
        <v>0.12488355935643905</v>
      </c>
      <c r="FM75" s="5">
        <v>0.11401693003542294</v>
      </c>
      <c r="FN75" s="5">
        <v>0.10347069044829592</v>
      </c>
      <c r="FO75" s="5">
        <v>9.7076023389298452E-2</v>
      </c>
      <c r="FP75" s="5">
        <v>0.11941483513126118</v>
      </c>
      <c r="FZ75" s="3" t="s">
        <v>180</v>
      </c>
      <c r="GA75" s="5">
        <v>0.51336932568716465</v>
      </c>
      <c r="GB75" s="5">
        <v>0.5219742508567784</v>
      </c>
      <c r="GC75" s="4">
        <v>0.5138637672541656</v>
      </c>
      <c r="GD75" s="5">
        <v>0.49816333699351029</v>
      </c>
      <c r="GE75" s="5">
        <v>0.49521491291260261</v>
      </c>
      <c r="GF75" s="5">
        <v>0.4988926370666445</v>
      </c>
      <c r="GG75" s="5">
        <v>0.49636322103065866</v>
      </c>
      <c r="GH75" s="5">
        <v>0.51360114833920245</v>
      </c>
      <c r="GI75" s="5">
        <v>0.52792484859233568</v>
      </c>
      <c r="GJ75" s="5">
        <v>0.51943347498508452</v>
      </c>
      <c r="GK75" s="4">
        <v>0.42893125360047268</v>
      </c>
      <c r="GL75" s="5">
        <v>0.42129057491437649</v>
      </c>
      <c r="GM75" s="5">
        <v>0.42710735856615523</v>
      </c>
      <c r="GN75" s="5">
        <v>0.44554818145998903</v>
      </c>
      <c r="GO75" s="5">
        <v>0.44744410696756354</v>
      </c>
      <c r="GP75" s="5">
        <v>0.46919050629093922</v>
      </c>
      <c r="GQ75" s="5">
        <v>0.46770006134504488</v>
      </c>
      <c r="GR75" s="5">
        <v>0.43438550568268514</v>
      </c>
      <c r="GS75" s="5">
        <v>0.41904346749981497</v>
      </c>
      <c r="GT75" s="4">
        <v>0.42836344715607466</v>
      </c>
      <c r="GU75" s="4">
        <v>0.29270988843461737</v>
      </c>
      <c r="GV75" s="5">
        <v>0.27388155204710829</v>
      </c>
      <c r="GW75" s="5">
        <v>0.24914281448746206</v>
      </c>
      <c r="GX75" s="5">
        <v>0.24122798794557615</v>
      </c>
      <c r="GY75" s="5">
        <v>0.25583977034194488</v>
      </c>
      <c r="GZ75" s="5">
        <v>0.27531298316246583</v>
      </c>
      <c r="HA75" s="5">
        <v>0.2748836338737991</v>
      </c>
      <c r="HB75" s="5">
        <v>0.27668689106019723</v>
      </c>
      <c r="HC75" s="5">
        <v>0.29816127047476809</v>
      </c>
      <c r="HD75" s="4">
        <v>0.30893405712319461</v>
      </c>
      <c r="HE75" s="5">
        <v>0.47646938119513599</v>
      </c>
      <c r="HF75" s="4">
        <v>0.47808143917306317</v>
      </c>
      <c r="HG75" s="5">
        <v>0.45876434486022571</v>
      </c>
      <c r="HH75" s="5">
        <v>0.42831147102258693</v>
      </c>
      <c r="HI75" s="5">
        <v>0.44040920722297972</v>
      </c>
      <c r="HJ75" s="5">
        <v>0.4572465774376685</v>
      </c>
      <c r="HK75" s="5">
        <v>0.45548065451057707</v>
      </c>
      <c r="HL75" s="5">
        <v>0.45756375990249254</v>
      </c>
      <c r="HM75" s="4">
        <v>0.47804235948749335</v>
      </c>
      <c r="HN75" s="5">
        <v>0.47600240924139053</v>
      </c>
      <c r="HP75" s="3" t="s">
        <v>203</v>
      </c>
      <c r="HQ75" s="3" t="s">
        <v>140</v>
      </c>
      <c r="HR75" s="3" t="s">
        <v>141</v>
      </c>
      <c r="HS75" s="5">
        <v>0.78481648097654899</v>
      </c>
    </row>
    <row r="76" spans="2:227" x14ac:dyDescent="0.45">
      <c r="B76" s="6" t="s">
        <v>182</v>
      </c>
      <c r="C76" s="6" t="s">
        <v>131</v>
      </c>
      <c r="D76" s="8">
        <v>0.22942307279676455</v>
      </c>
      <c r="E76" s="8">
        <v>0.22697443024856037</v>
      </c>
      <c r="F76" s="8">
        <v>0.22392247307121155</v>
      </c>
      <c r="G76" s="8">
        <v>0.23546141998118225</v>
      </c>
      <c r="H76" s="8">
        <v>0.24164698344198723</v>
      </c>
      <c r="I76" s="8">
        <v>0.24823461783234863</v>
      </c>
      <c r="J76" s="8">
        <v>0.25127519640631296</v>
      </c>
      <c r="K76" s="8">
        <v>0.24563254706066401</v>
      </c>
      <c r="L76" s="8">
        <v>0.23583301268437254</v>
      </c>
      <c r="M76" s="8">
        <v>0.23507671356854942</v>
      </c>
      <c r="N76" s="8">
        <v>0.31371824098963236</v>
      </c>
      <c r="O76" s="8">
        <v>0.33017753133095001</v>
      </c>
      <c r="P76" s="8">
        <v>0.32659053781073399</v>
      </c>
      <c r="Q76" s="8">
        <v>0.31822824829346458</v>
      </c>
      <c r="R76" s="8">
        <v>0.30494388478042506</v>
      </c>
      <c r="S76" s="8">
        <v>0.29104890218715795</v>
      </c>
      <c r="T76" s="8">
        <v>0.2909813092137678</v>
      </c>
      <c r="U76" s="8">
        <v>0.30046892225619337</v>
      </c>
      <c r="V76" s="8">
        <v>0.29328016173458604</v>
      </c>
      <c r="W76" s="8">
        <v>0.28664181261446542</v>
      </c>
      <c r="X76" s="8">
        <v>0.37520598131268151</v>
      </c>
      <c r="Y76" s="8">
        <v>0.37530643340993874</v>
      </c>
      <c r="Z76" s="8">
        <v>0.37096149359020464</v>
      </c>
      <c r="AA76" s="8">
        <v>0.36589908924672082</v>
      </c>
      <c r="AB76" s="8">
        <v>0.37073946242944505</v>
      </c>
      <c r="AC76" s="8">
        <v>0.36481126750510384</v>
      </c>
      <c r="AD76" s="8">
        <v>0.35707145718725714</v>
      </c>
      <c r="AE76" s="8">
        <v>0.3554916230297353</v>
      </c>
      <c r="AF76" s="8">
        <v>0.3537149453013082</v>
      </c>
      <c r="AG76" s="8">
        <v>0.37297825977613647</v>
      </c>
      <c r="AH76" s="8">
        <v>0.31195805469705834</v>
      </c>
      <c r="AI76" s="8">
        <v>0.299940238123308</v>
      </c>
      <c r="AJ76" s="8">
        <v>0.29134151782517848</v>
      </c>
      <c r="AK76" s="8">
        <v>0.28725002794138255</v>
      </c>
      <c r="AL76" s="8">
        <v>0.28378838393823852</v>
      </c>
      <c r="AM76" s="8">
        <v>0.28512660887434699</v>
      </c>
      <c r="AN76" s="8">
        <v>0.28491960274299255</v>
      </c>
      <c r="AO76" s="8">
        <v>0.28022812798633345</v>
      </c>
      <c r="AP76" s="8">
        <v>0.28404258944502747</v>
      </c>
      <c r="AQ76" s="8">
        <v>0.30223064250619358</v>
      </c>
      <c r="AS76" s="6" t="s">
        <v>182</v>
      </c>
      <c r="AT76" s="6" t="s">
        <v>132</v>
      </c>
      <c r="AU76" s="8">
        <v>8.9965571387972711E-3</v>
      </c>
      <c r="AV76" s="7">
        <v>6.9581110697901289E-3</v>
      </c>
      <c r="AW76" s="8">
        <v>8.3556043047928723E-3</v>
      </c>
      <c r="AX76" s="8">
        <v>1.9916111339329346E-2</v>
      </c>
      <c r="AY76" s="8">
        <v>1.6468242357477427E-2</v>
      </c>
      <c r="AZ76" s="8">
        <v>5.5044192075888653E-3</v>
      </c>
      <c r="BA76" s="8">
        <v>9.5247666590774337E-3</v>
      </c>
      <c r="BB76" s="8">
        <v>1.5402126097746017E-2</v>
      </c>
      <c r="BC76" s="8">
        <v>1.5520847686310025E-2</v>
      </c>
      <c r="BD76" s="8">
        <v>5.7459127193331466E-3</v>
      </c>
      <c r="BE76" s="8">
        <v>9.2687383402239049E-3</v>
      </c>
      <c r="BF76" s="8">
        <v>8.7289260629746443E-3</v>
      </c>
      <c r="BG76" s="8">
        <v>1.1656987233369829E-2</v>
      </c>
      <c r="BH76" s="8">
        <v>2.026336444079279E-2</v>
      </c>
      <c r="BI76" s="8">
        <v>1.2795871897624381E-2</v>
      </c>
      <c r="BJ76" s="8">
        <v>7.2353255711449455E-3</v>
      </c>
      <c r="BK76" s="8">
        <v>9.5354833098641387E-3</v>
      </c>
      <c r="BL76" s="7">
        <v>1.523745845980218E-2</v>
      </c>
      <c r="BM76" s="8">
        <v>5.2518228722194457E-3</v>
      </c>
      <c r="BN76" s="8">
        <v>1.8849520752436733E-2</v>
      </c>
      <c r="BO76" s="8">
        <v>3.3757151177880265E-2</v>
      </c>
      <c r="BP76" s="8">
        <v>1.6590066347372406E-2</v>
      </c>
      <c r="BQ76" s="8">
        <v>7.1182745707009439E-3</v>
      </c>
      <c r="BR76" s="8">
        <v>7.5992806588646563E-3</v>
      </c>
      <c r="BS76" s="8">
        <v>1.5009235236567166E-2</v>
      </c>
      <c r="BT76" s="7">
        <v>1.4358423572498025E-2</v>
      </c>
      <c r="BU76" s="8">
        <v>1.3386239044583002E-2</v>
      </c>
      <c r="BV76" s="8">
        <v>1.1937396663523392E-2</v>
      </c>
      <c r="BW76" s="8">
        <v>1.3582834806191395E-2</v>
      </c>
      <c r="BX76" s="8">
        <v>2.9190183014521972E-2</v>
      </c>
      <c r="BY76" s="8">
        <v>1.3386757361304265E-2</v>
      </c>
      <c r="BZ76" s="7">
        <v>3.7630172205560136E-3</v>
      </c>
      <c r="CA76" s="7">
        <v>1.0129488211521577E-2</v>
      </c>
      <c r="CB76" s="8">
        <v>2.2864565783589228E-2</v>
      </c>
      <c r="CC76" s="8">
        <v>2.3704710005144198E-2</v>
      </c>
      <c r="CD76" s="8">
        <v>1.6646549300473375E-2</v>
      </c>
      <c r="CE76" s="8">
        <v>1.9264866479372104E-3</v>
      </c>
      <c r="CF76" s="7">
        <v>1.1959150773570971E-2</v>
      </c>
      <c r="CG76" s="8">
        <v>2.6281786893366504E-2</v>
      </c>
      <c r="CH76" s="8">
        <v>2.4068358505251526E-2</v>
      </c>
      <c r="CJ76" s="6" t="s">
        <v>182</v>
      </c>
      <c r="CK76" s="6" t="s">
        <v>133</v>
      </c>
      <c r="CL76" s="8">
        <v>1.141083327375165E-2</v>
      </c>
      <c r="CM76" s="8">
        <v>1.4022565024568777E-2</v>
      </c>
      <c r="CN76" s="8">
        <v>1.6405396664567678E-2</v>
      </c>
      <c r="CO76" s="8">
        <v>1.0531950389010808E-2</v>
      </c>
      <c r="CP76" s="7">
        <v>9.4404596693957454E-3</v>
      </c>
      <c r="CQ76" s="8">
        <v>1.9131900357415618E-2</v>
      </c>
      <c r="CR76" s="8">
        <v>1.5555343477980493E-2</v>
      </c>
      <c r="CS76" s="8">
        <v>6.6553104894654736E-3</v>
      </c>
      <c r="CT76" s="8">
        <v>8.9049453917493682E-3</v>
      </c>
      <c r="CU76" s="8">
        <v>2.4718506662720935E-2</v>
      </c>
      <c r="CV76" s="8">
        <v>2.7983404263538229E-2</v>
      </c>
      <c r="CW76" s="8">
        <v>2.1895188660561931E-2</v>
      </c>
      <c r="CX76" s="8">
        <v>1.366707186993746E-2</v>
      </c>
      <c r="CY76" s="8">
        <v>1.2646345524638948E-2</v>
      </c>
      <c r="CZ76" s="8">
        <v>1.7991697390790578E-2</v>
      </c>
      <c r="DA76" s="8">
        <v>1.5941339818596953E-2</v>
      </c>
      <c r="DB76" s="8">
        <v>1.6991391648344508E-2</v>
      </c>
      <c r="DC76" s="8">
        <v>1.4830618310862275E-2</v>
      </c>
      <c r="DD76" s="8">
        <v>2.5833571355359294E-2</v>
      </c>
      <c r="DE76" s="8">
        <v>1.9578149979132039E-2</v>
      </c>
      <c r="DF76" s="8">
        <v>3.3450259852711155E-2</v>
      </c>
      <c r="DG76" s="8">
        <v>6.3450995233066881E-2</v>
      </c>
      <c r="DH76" s="8">
        <v>6.0846063535853041E-2</v>
      </c>
      <c r="DI76" s="8">
        <v>3.5347433876357436E-2</v>
      </c>
      <c r="DJ76" s="8">
        <v>1.3829684157525345E-2</v>
      </c>
      <c r="DK76" s="8">
        <v>1.057876307384302E-2</v>
      </c>
      <c r="DL76" s="8">
        <v>1.2732046489603285E-2</v>
      </c>
      <c r="DM76" s="8">
        <v>1.6418391521718551E-2</v>
      </c>
      <c r="DN76" s="8">
        <v>2.0022204493647652E-2</v>
      </c>
      <c r="DO76" s="7">
        <v>3.1069384420005102E-2</v>
      </c>
      <c r="DP76" s="8">
        <v>4.382131756039935E-2</v>
      </c>
      <c r="DQ76" s="8">
        <v>3.9800607278434465E-2</v>
      </c>
      <c r="DR76" s="8">
        <v>1.3843767567028884E-2</v>
      </c>
      <c r="DS76" s="8">
        <v>1.6315025643058943E-3</v>
      </c>
      <c r="DT76" s="7">
        <v>9.8794410742426477E-3</v>
      </c>
      <c r="DU76" s="8">
        <v>2.105752025282993E-2</v>
      </c>
      <c r="DV76" s="8">
        <v>3.8603889795329076E-2</v>
      </c>
      <c r="DW76" s="8">
        <v>1.3735365580666008E-2</v>
      </c>
      <c r="DX76" s="8">
        <v>7.2504562990273209E-3</v>
      </c>
      <c r="DY76" s="8">
        <v>2.8091699875423554E-2</v>
      </c>
      <c r="EA76" s="6" t="s">
        <v>182</v>
      </c>
      <c r="EB76" s="6" t="s">
        <v>134</v>
      </c>
      <c r="EC76" s="8">
        <v>0.10285145511238633</v>
      </c>
      <c r="ED76" s="8">
        <v>0.1047657740009504</v>
      </c>
      <c r="EE76" s="8">
        <v>9.7421416776457631E-2</v>
      </c>
      <c r="EF76" s="8">
        <v>9.9470315850234053E-2</v>
      </c>
      <c r="EG76" s="8">
        <v>0.1073146551648911</v>
      </c>
      <c r="EH76" s="8">
        <v>0.10799915401059612</v>
      </c>
      <c r="EI76" s="8">
        <v>0.10277324322501651</v>
      </c>
      <c r="EJ76" s="8">
        <v>0.10409201876928462</v>
      </c>
      <c r="EK76" s="8">
        <v>9.9741593171752824E-2</v>
      </c>
      <c r="EL76" s="8">
        <v>9.2712707578869957E-2</v>
      </c>
      <c r="EM76" s="8">
        <v>0.15686630880028204</v>
      </c>
      <c r="EN76" s="8">
        <v>0.17607998642639267</v>
      </c>
      <c r="EO76" s="8">
        <v>0.17458884697360053</v>
      </c>
      <c r="EP76" s="8">
        <v>0.16438617345272491</v>
      </c>
      <c r="EQ76" s="8">
        <v>0.15791830595375037</v>
      </c>
      <c r="ER76" s="8">
        <v>0.15378030470149798</v>
      </c>
      <c r="ES76" s="7">
        <v>0.14796176584252504</v>
      </c>
      <c r="ET76" s="8">
        <v>0.1462925625434667</v>
      </c>
      <c r="EU76" s="8">
        <v>0.1434491879884898</v>
      </c>
      <c r="EV76" s="8">
        <v>0.1398267138205247</v>
      </c>
      <c r="EW76" s="8">
        <v>0.18376835899638952</v>
      </c>
      <c r="EX76" s="8">
        <v>0.16640851519384045</v>
      </c>
      <c r="EY76" s="8">
        <v>0.18272889402250378</v>
      </c>
      <c r="EZ76" s="8">
        <v>0.2028076421507628</v>
      </c>
      <c r="FA76" s="8">
        <v>0.20797585407973199</v>
      </c>
      <c r="FB76" s="8">
        <v>0.20687583716665336</v>
      </c>
      <c r="FC76" s="8">
        <v>0.20452574597211853</v>
      </c>
      <c r="FD76" s="7">
        <v>0.20926622973206074</v>
      </c>
      <c r="FE76" s="8">
        <v>0.21128031451784265</v>
      </c>
      <c r="FF76" s="8">
        <v>0.19598000026384368</v>
      </c>
      <c r="FG76" s="8">
        <v>0.12685817935440419</v>
      </c>
      <c r="FH76" s="8">
        <v>0.13277330803187323</v>
      </c>
      <c r="FI76" s="8">
        <v>0.14176844850143203</v>
      </c>
      <c r="FJ76" s="8">
        <v>0.13271851001825327</v>
      </c>
      <c r="FK76" s="8">
        <v>0.1227172693589791</v>
      </c>
      <c r="FL76" s="8">
        <v>0.12377913213091801</v>
      </c>
      <c r="FM76" s="8">
        <v>0.11933624310246425</v>
      </c>
      <c r="FN76" s="8">
        <v>0.13049238712874156</v>
      </c>
      <c r="FO76" s="8">
        <v>0.12688640950297611</v>
      </c>
      <c r="FP76" s="8">
        <v>0.12163190385902246</v>
      </c>
      <c r="FZ76" s="6" t="s">
        <v>182</v>
      </c>
      <c r="GA76" s="8">
        <v>0.56573444421969421</v>
      </c>
      <c r="GB76" s="8">
        <v>0.54787264053978957</v>
      </c>
      <c r="GC76" s="7">
        <v>0.5423279846308614</v>
      </c>
      <c r="GD76" s="8">
        <v>0.53067145845031671</v>
      </c>
      <c r="GE76" s="8">
        <v>0.53254304665188212</v>
      </c>
      <c r="GF76" s="8">
        <v>0.54903419689985267</v>
      </c>
      <c r="GG76" s="8">
        <v>0.54800409490886415</v>
      </c>
      <c r="GH76" s="8">
        <v>0.55453745084597161</v>
      </c>
      <c r="GI76" s="8">
        <v>0.56729548573910349</v>
      </c>
      <c r="GJ76" s="8">
        <v>0.57110048267532754</v>
      </c>
      <c r="GK76" s="7">
        <v>0.40002917460941145</v>
      </c>
      <c r="GL76" s="8">
        <v>0.38019006806908406</v>
      </c>
      <c r="GM76" s="8">
        <v>0.39195682795883435</v>
      </c>
      <c r="GN76" s="8">
        <v>0.42031902092074547</v>
      </c>
      <c r="GO76" s="8">
        <v>0.44036334250812753</v>
      </c>
      <c r="GP76" s="8">
        <v>0.45027005574775919</v>
      </c>
      <c r="GQ76" s="8">
        <v>0.45094736185822593</v>
      </c>
      <c r="GR76" s="8">
        <v>0.44732245087679884</v>
      </c>
      <c r="GS76" s="8">
        <v>0.44337174839896321</v>
      </c>
      <c r="GT76" s="7">
        <v>0.42836591500060017</v>
      </c>
      <c r="GU76" s="7">
        <v>0.24851504088831153</v>
      </c>
      <c r="GV76" s="8">
        <v>0.24822369863031932</v>
      </c>
      <c r="GW76" s="8">
        <v>0.26389453964752907</v>
      </c>
      <c r="GX76" s="8">
        <v>0.28024491473182833</v>
      </c>
      <c r="GY76" s="8">
        <v>0.29774577629103421</v>
      </c>
      <c r="GZ76" s="8">
        <v>0.30789404722051861</v>
      </c>
      <c r="HA76" s="8">
        <v>0.30552216785523217</v>
      </c>
      <c r="HB76" s="8">
        <v>0.29029414436234602</v>
      </c>
      <c r="HC76" s="8">
        <v>0.26172977342015086</v>
      </c>
      <c r="HD76" s="7">
        <v>0.2480892110403467</v>
      </c>
      <c r="HE76" s="8">
        <v>0.41702972095230578</v>
      </c>
      <c r="HF76" s="7">
        <v>0.42442873866858027</v>
      </c>
      <c r="HG76" s="8">
        <v>0.43770369071367138</v>
      </c>
      <c r="HH76" s="8">
        <v>0.45437575270198705</v>
      </c>
      <c r="HI76" s="8">
        <v>0.46831111948978293</v>
      </c>
      <c r="HJ76" s="8">
        <v>0.47370152714096631</v>
      </c>
      <c r="HK76" s="8">
        <v>0.46984064893900063</v>
      </c>
      <c r="HL76" s="8">
        <v>0.45171579656816063</v>
      </c>
      <c r="HM76" s="7">
        <v>0.43791203362845776</v>
      </c>
      <c r="HN76" s="8">
        <v>0.42269019868481844</v>
      </c>
      <c r="HP76" s="6" t="s">
        <v>205</v>
      </c>
      <c r="HQ76" s="6" t="s">
        <v>140</v>
      </c>
      <c r="HR76" s="6" t="s">
        <v>141</v>
      </c>
      <c r="HS76" s="8">
        <v>0.76237939558205448</v>
      </c>
    </row>
    <row r="77" spans="2:227" x14ac:dyDescent="0.45">
      <c r="B77" s="3" t="s">
        <v>184</v>
      </c>
      <c r="C77" s="3" t="s">
        <v>131</v>
      </c>
      <c r="D77" s="5">
        <v>0.2621170788188415</v>
      </c>
      <c r="E77" s="5">
        <v>0.2603012993037036</v>
      </c>
      <c r="F77" s="5">
        <v>0.25809356073193879</v>
      </c>
      <c r="G77" s="5">
        <v>0.28931536183509343</v>
      </c>
      <c r="H77" s="5">
        <v>0.31650536650124694</v>
      </c>
      <c r="I77" s="5">
        <v>0.30632627572893323</v>
      </c>
      <c r="J77" s="5">
        <v>0.30455326141848821</v>
      </c>
      <c r="K77" s="5">
        <v>0.29260605156516029</v>
      </c>
      <c r="L77" s="5">
        <v>0.27596783318159718</v>
      </c>
      <c r="M77" s="5">
        <v>0.26681977422359854</v>
      </c>
      <c r="N77" s="5">
        <v>0.30602994447132303</v>
      </c>
      <c r="O77" s="5">
        <v>0.31725681636736036</v>
      </c>
      <c r="P77" s="5">
        <v>0.34802037873489794</v>
      </c>
      <c r="Q77" s="5">
        <v>0.35514594650137321</v>
      </c>
      <c r="R77" s="5">
        <v>0.35287961357727909</v>
      </c>
      <c r="S77" s="5">
        <v>0.33615873110914957</v>
      </c>
      <c r="T77" s="5">
        <v>0.32288715631454495</v>
      </c>
      <c r="U77" s="5">
        <v>0.31503917737591525</v>
      </c>
      <c r="V77" s="5">
        <v>0.2910377400287219</v>
      </c>
      <c r="W77" s="5">
        <v>0.28429577043141446</v>
      </c>
      <c r="X77" s="5">
        <v>0.28920849400133308</v>
      </c>
      <c r="Y77" s="5">
        <v>0.31769295326930952</v>
      </c>
      <c r="Z77" s="5">
        <v>0.37706081575618544</v>
      </c>
      <c r="AA77" s="5">
        <v>0.38153931142338948</v>
      </c>
      <c r="AB77" s="5">
        <v>0.37578289067317228</v>
      </c>
      <c r="AC77" s="5">
        <v>0.35967922242705924</v>
      </c>
      <c r="AD77" s="5">
        <v>0.34268213811526704</v>
      </c>
      <c r="AE77" s="5">
        <v>0.32639585378150809</v>
      </c>
      <c r="AF77" s="5">
        <v>0.30412175558353477</v>
      </c>
      <c r="AG77" s="5">
        <v>0.27085076269660141</v>
      </c>
      <c r="AH77" s="5">
        <v>0.31179604174101516</v>
      </c>
      <c r="AI77" s="5">
        <v>0.31772286264854371</v>
      </c>
      <c r="AJ77" s="5">
        <v>0.32387924610956303</v>
      </c>
      <c r="AK77" s="5">
        <v>0.35138392871421203</v>
      </c>
      <c r="AL77" s="5">
        <v>0.37367035066971804</v>
      </c>
      <c r="AM77" s="5">
        <v>0.36125244856084299</v>
      </c>
      <c r="AN77" s="5">
        <v>0.34722178516271868</v>
      </c>
      <c r="AO77" s="5">
        <v>0.32698014851438811</v>
      </c>
      <c r="AP77" s="5">
        <v>0.29980840822920063</v>
      </c>
      <c r="AQ77" s="5">
        <v>0.2966942992232019</v>
      </c>
      <c r="AS77" s="3" t="s">
        <v>184</v>
      </c>
      <c r="AT77" s="3" t="s">
        <v>132</v>
      </c>
      <c r="AU77" s="5">
        <v>1.1393736487425908E-2</v>
      </c>
      <c r="AV77" s="4">
        <v>1.8253564589871752E-2</v>
      </c>
      <c r="AW77" s="5">
        <v>2.7186968240500382E-2</v>
      </c>
      <c r="AX77" s="5">
        <v>1.8781810111247962E-2</v>
      </c>
      <c r="AY77" s="5">
        <v>1.9352176255302979E-2</v>
      </c>
      <c r="AZ77" s="5">
        <v>1.451917840321223E-2</v>
      </c>
      <c r="BA77" s="5">
        <v>1.3852162448185408E-2</v>
      </c>
      <c r="BB77" s="5">
        <v>1.5529436957056776E-2</v>
      </c>
      <c r="BC77" s="5">
        <v>2.5093294807538261E-2</v>
      </c>
      <c r="BD77" s="5">
        <v>2.0097087206393676E-2</v>
      </c>
      <c r="BE77" s="5">
        <v>9.7081087877499486E-3</v>
      </c>
      <c r="BF77" s="5">
        <v>1.1612206940666879E-2</v>
      </c>
      <c r="BG77" s="5">
        <v>2.5143305059545377E-2</v>
      </c>
      <c r="BH77" s="5">
        <v>2.363223377217941E-2</v>
      </c>
      <c r="BI77" s="5">
        <v>2.6769083890892061E-2</v>
      </c>
      <c r="BJ77" s="5">
        <v>2.5455007301278101E-2</v>
      </c>
      <c r="BK77" s="5">
        <v>1.6998572785608266E-2</v>
      </c>
      <c r="BL77" s="4">
        <v>1.2870943258343776E-2</v>
      </c>
      <c r="BM77" s="5">
        <v>1.3093190143341123E-2</v>
      </c>
      <c r="BN77" s="5">
        <v>7.0201032725759564E-3</v>
      </c>
      <c r="BO77" s="5">
        <v>1.9458141326051202E-2</v>
      </c>
      <c r="BP77" s="5">
        <v>1.1110360286047085E-2</v>
      </c>
      <c r="BQ77" s="5">
        <v>2.195699141497582E-2</v>
      </c>
      <c r="BR77" s="5">
        <v>4.9045013967973471E-2</v>
      </c>
      <c r="BS77" s="5">
        <v>5.9937095953366645E-2</v>
      </c>
      <c r="BT77" s="4">
        <v>1.940113662995329E-2</v>
      </c>
      <c r="BU77" s="5">
        <v>7.8346173566867707E-3</v>
      </c>
      <c r="BV77" s="5">
        <v>1.3538279718261706E-2</v>
      </c>
      <c r="BW77" s="5">
        <v>8.8170804932484956E-3</v>
      </c>
      <c r="BX77" s="5">
        <v>1.3107534543894522E-2</v>
      </c>
      <c r="BY77" s="5">
        <v>1.5741131424716767E-2</v>
      </c>
      <c r="BZ77" s="4">
        <v>2.1330686832942286E-2</v>
      </c>
      <c r="CA77" s="4">
        <v>1.8054698154525744E-2</v>
      </c>
      <c r="CB77" s="5">
        <v>4.2528706489243596E-2</v>
      </c>
      <c r="CC77" s="5">
        <v>5.4122210676913564E-2</v>
      </c>
      <c r="CD77" s="5">
        <v>2.3061181647022033E-2</v>
      </c>
      <c r="CE77" s="5">
        <v>2.7626323161556735E-2</v>
      </c>
      <c r="CF77" s="4">
        <v>3.878275927496886E-2</v>
      </c>
      <c r="CG77" s="5">
        <v>1.9373077353274582E-2</v>
      </c>
      <c r="CH77" s="5">
        <v>1.851820019774094E-2</v>
      </c>
      <c r="CJ77" s="3" t="s">
        <v>184</v>
      </c>
      <c r="CK77" s="3" t="s">
        <v>133</v>
      </c>
      <c r="CL77" s="5">
        <v>2.312766044394635E-2</v>
      </c>
      <c r="CM77" s="5">
        <v>1.4925401929251113E-2</v>
      </c>
      <c r="CN77" s="5">
        <v>1.082109005362451E-2</v>
      </c>
      <c r="CO77" s="5">
        <v>3.8208870483663206E-2</v>
      </c>
      <c r="CP77" s="4">
        <v>3.5804593381488087E-2</v>
      </c>
      <c r="CQ77" s="5">
        <v>2.484878435331582E-2</v>
      </c>
      <c r="CR77" s="5">
        <v>1.3291426718838782E-2</v>
      </c>
      <c r="CS77" s="5">
        <v>2.1265447260373004E-2</v>
      </c>
      <c r="CT77" s="5">
        <v>1.7114410837392104E-2</v>
      </c>
      <c r="CU77" s="5">
        <v>3.0447041679336585E-2</v>
      </c>
      <c r="CV77" s="5">
        <v>7.1624743868906535E-3</v>
      </c>
      <c r="CW77" s="5">
        <v>1.1816786959344525E-2</v>
      </c>
      <c r="CX77" s="5">
        <v>1.6275873761982612E-2</v>
      </c>
      <c r="CY77" s="5">
        <v>1.8508462694998944E-2</v>
      </c>
      <c r="CZ77" s="5">
        <v>3.2143188757991922E-2</v>
      </c>
      <c r="DA77" s="5">
        <v>3.0243944573089675E-2</v>
      </c>
      <c r="DB77" s="5">
        <v>2.7398738148273285E-2</v>
      </c>
      <c r="DC77" s="5">
        <v>2.9924844425107639E-2</v>
      </c>
      <c r="DD77" s="5">
        <v>2.839288056647344E-2</v>
      </c>
      <c r="DE77" s="5">
        <v>1.8806667441769381E-2</v>
      </c>
      <c r="DF77" s="5">
        <v>2.066138002955779E-2</v>
      </c>
      <c r="DG77" s="5">
        <v>2.2200801951246196E-2</v>
      </c>
      <c r="DH77" s="5">
        <v>1.9466329209841406E-2</v>
      </c>
      <c r="DI77" s="5">
        <v>1.6008640163395781E-2</v>
      </c>
      <c r="DJ77" s="5">
        <v>3.1583907863244415E-2</v>
      </c>
      <c r="DK77" s="5">
        <v>6.2605325672540901E-2</v>
      </c>
      <c r="DL77" s="5">
        <v>5.4717927610504445E-2</v>
      </c>
      <c r="DM77" s="5">
        <v>4.2894888452729533E-2</v>
      </c>
      <c r="DN77" s="5">
        <v>2.6588245084728731E-2</v>
      </c>
      <c r="DO77" s="4">
        <v>7.1993502514413801E-3</v>
      </c>
      <c r="DP77" s="5">
        <v>2.5171045362744823E-2</v>
      </c>
      <c r="DQ77" s="5">
        <v>2.2939255407602631E-2</v>
      </c>
      <c r="DR77" s="5">
        <v>2.5201261955179365E-2</v>
      </c>
      <c r="DS77" s="5">
        <v>3.1226440233838845E-2</v>
      </c>
      <c r="DT77" s="4">
        <v>3.3807004194210059E-2</v>
      </c>
      <c r="DU77" s="5">
        <v>5.2506224741391563E-2</v>
      </c>
      <c r="DV77" s="5">
        <v>6.1842013060071088E-2</v>
      </c>
      <c r="DW77" s="5">
        <v>2.9423879885756191E-2</v>
      </c>
      <c r="DX77" s="5">
        <v>3.2169540304234523E-2</v>
      </c>
      <c r="DY77" s="5">
        <v>3.7416277228314067E-2</v>
      </c>
      <c r="EA77" s="3" t="s">
        <v>184</v>
      </c>
      <c r="EB77" s="3" t="s">
        <v>134</v>
      </c>
      <c r="EC77" s="5">
        <v>0.12249941078994832</v>
      </c>
      <c r="ED77" s="5">
        <v>0.12795215474208402</v>
      </c>
      <c r="EE77" s="5">
        <v>0.12741571306675298</v>
      </c>
      <c r="EF77" s="5">
        <v>0.13100515299790499</v>
      </c>
      <c r="EG77" s="5">
        <v>0.14652260115246932</v>
      </c>
      <c r="EH77" s="5">
        <v>0.15378687944124467</v>
      </c>
      <c r="EI77" s="5">
        <v>0.16117253489959943</v>
      </c>
      <c r="EJ77" s="5">
        <v>0.1421842494779828</v>
      </c>
      <c r="EK77" s="5">
        <v>0.12304415467365688</v>
      </c>
      <c r="EL77" s="5">
        <v>0.11661181768188697</v>
      </c>
      <c r="EM77" s="5">
        <v>0.16859770874433511</v>
      </c>
      <c r="EN77" s="5">
        <v>0.17474292767116087</v>
      </c>
      <c r="EO77" s="5">
        <v>0.1757631537135971</v>
      </c>
      <c r="EP77" s="5">
        <v>0.17766359717085004</v>
      </c>
      <c r="EQ77" s="5">
        <v>0.16333960643390213</v>
      </c>
      <c r="ER77" s="5">
        <v>0.15608869374102388</v>
      </c>
      <c r="ES77" s="4">
        <v>0.15611657939371104</v>
      </c>
      <c r="ET77" s="5">
        <v>0.15509260167259672</v>
      </c>
      <c r="EU77" s="5">
        <v>0.14683239065700782</v>
      </c>
      <c r="EV77" s="5">
        <v>0.15193324334153332</v>
      </c>
      <c r="EW77" s="5">
        <v>0.15297679773961087</v>
      </c>
      <c r="EX77" s="5">
        <v>0.17251664386103591</v>
      </c>
      <c r="EY77" s="5">
        <v>0.20597326767210961</v>
      </c>
      <c r="EZ77" s="5">
        <v>0.18779387270641357</v>
      </c>
      <c r="FA77" s="5">
        <v>0.16073031583712721</v>
      </c>
      <c r="FB77" s="5">
        <v>0.15815944367307522</v>
      </c>
      <c r="FC77" s="5">
        <v>0.16554896391911264</v>
      </c>
      <c r="FD77" s="4">
        <v>0.1563202339978112</v>
      </c>
      <c r="FE77" s="5">
        <v>0.1618445198239529</v>
      </c>
      <c r="FF77" s="5">
        <v>0.15439628648668652</v>
      </c>
      <c r="FG77" s="5">
        <v>0.15069333654196485</v>
      </c>
      <c r="FH77" s="5">
        <v>0.16475702971101219</v>
      </c>
      <c r="FI77" s="5">
        <v>0.1623011306300684</v>
      </c>
      <c r="FJ77" s="5">
        <v>0.15603972796462551</v>
      </c>
      <c r="FK77" s="5">
        <v>0.16002619754547326</v>
      </c>
      <c r="FL77" s="5">
        <v>0.14826037002875653</v>
      </c>
      <c r="FM77" s="5">
        <v>0.12710934797360296</v>
      </c>
      <c r="FN77" s="5">
        <v>0.14100471773289885</v>
      </c>
      <c r="FO77" s="5">
        <v>0.14426997565372915</v>
      </c>
      <c r="FP77" s="5">
        <v>0.13104847680867693</v>
      </c>
      <c r="FZ77" s="3" t="s">
        <v>184</v>
      </c>
      <c r="GA77" s="5">
        <v>0.48551815741059928</v>
      </c>
      <c r="GB77" s="5">
        <v>0.46656068658799715</v>
      </c>
      <c r="GC77" s="4">
        <v>0.46949494386106422</v>
      </c>
      <c r="GD77" s="5">
        <v>0.44470840811120127</v>
      </c>
      <c r="GE77" s="5">
        <v>0.43821286285399452</v>
      </c>
      <c r="GF77" s="5">
        <v>0.45739444646510224</v>
      </c>
      <c r="GG77" s="5">
        <v>0.45902086958763638</v>
      </c>
      <c r="GH77" s="5">
        <v>0.47352884137875556</v>
      </c>
      <c r="GI77" s="5">
        <v>0.48803576559541756</v>
      </c>
      <c r="GJ77" s="5">
        <v>0.49008546402200032</v>
      </c>
      <c r="GK77" s="4">
        <v>0.39927904890788457</v>
      </c>
      <c r="GL77" s="5">
        <v>0.38522961141479145</v>
      </c>
      <c r="GM77" s="5">
        <v>0.38871977480065423</v>
      </c>
      <c r="GN77" s="5">
        <v>0.39745128121391071</v>
      </c>
      <c r="GO77" s="5">
        <v>0.39785110495354559</v>
      </c>
      <c r="GP77" s="5">
        <v>0.42174441927060846</v>
      </c>
      <c r="GQ77" s="5">
        <v>0.43247266553230729</v>
      </c>
      <c r="GR77" s="5">
        <v>0.4115463051920108</v>
      </c>
      <c r="GS77" s="5">
        <v>0.41879793574524032</v>
      </c>
      <c r="GT77" s="4">
        <v>0.41499727931630237</v>
      </c>
      <c r="GU77" s="4">
        <v>0.28193318079425889</v>
      </c>
      <c r="GV77" s="5">
        <v>0.25324768638799766</v>
      </c>
      <c r="GW77" s="5">
        <v>0.2485954029615918</v>
      </c>
      <c r="GX77" s="5">
        <v>0.23647704948498494</v>
      </c>
      <c r="GY77" s="5">
        <v>0.24731385989341118</v>
      </c>
      <c r="GZ77" s="5">
        <v>0.27625904997151235</v>
      </c>
      <c r="HA77" s="5">
        <v>0.29637109867247891</v>
      </c>
      <c r="HB77" s="5">
        <v>0.29117447997156043</v>
      </c>
      <c r="HC77" s="5">
        <v>0.29825163802298577</v>
      </c>
      <c r="HD77" s="4">
        <v>0.30435242932752898</v>
      </c>
      <c r="HE77" s="5">
        <v>0.40118049569311875</v>
      </c>
      <c r="HF77" s="4">
        <v>0.38996130568147769</v>
      </c>
      <c r="HG77" s="5">
        <v>0.38280652045413804</v>
      </c>
      <c r="HH77" s="5">
        <v>0.36331940214944108</v>
      </c>
      <c r="HI77" s="5">
        <v>0.37419568229703931</v>
      </c>
      <c r="HJ77" s="5">
        <v>0.39730701862973683</v>
      </c>
      <c r="HK77" s="5">
        <v>0.39267824225602715</v>
      </c>
      <c r="HL77" s="5">
        <v>0.40004343113312452</v>
      </c>
      <c r="HM77" s="4">
        <v>0.41796411634021952</v>
      </c>
      <c r="HN77" s="5">
        <v>0.40962652171172498</v>
      </c>
      <c r="HP77" s="3" t="s">
        <v>207</v>
      </c>
      <c r="HQ77" s="3" t="s">
        <v>140</v>
      </c>
      <c r="HR77" s="3" t="s">
        <v>141</v>
      </c>
      <c r="HS77" s="5">
        <v>0.653163670031779</v>
      </c>
    </row>
    <row r="78" spans="2:227" x14ac:dyDescent="0.45">
      <c r="B78" s="6" t="s">
        <v>186</v>
      </c>
      <c r="C78" s="6" t="s">
        <v>131</v>
      </c>
      <c r="D78" s="8">
        <v>0.22408500402186998</v>
      </c>
      <c r="E78" s="8">
        <v>0.22946699626855946</v>
      </c>
      <c r="F78" s="8">
        <v>0.22974014439744855</v>
      </c>
      <c r="G78" s="8">
        <v>0.24592704354515971</v>
      </c>
      <c r="H78" s="8">
        <v>0.24963703791675707</v>
      </c>
      <c r="I78" s="8">
        <v>0.25833826052250519</v>
      </c>
      <c r="J78" s="8">
        <v>0.26139361336923944</v>
      </c>
      <c r="K78" s="8">
        <v>0.25958331102646581</v>
      </c>
      <c r="L78" s="8">
        <v>0.2504790868804827</v>
      </c>
      <c r="M78" s="8">
        <v>0.23372913840131271</v>
      </c>
      <c r="N78" s="8">
        <v>0.28207331799869401</v>
      </c>
      <c r="O78" s="8">
        <v>0.28603829455801971</v>
      </c>
      <c r="P78" s="8">
        <v>0.29460056571379656</v>
      </c>
      <c r="Q78" s="8">
        <v>0.28572959194529307</v>
      </c>
      <c r="R78" s="8">
        <v>0.27344982700639675</v>
      </c>
      <c r="S78" s="8">
        <v>0.26017702938235476</v>
      </c>
      <c r="T78" s="8">
        <v>0.2586609777587674</v>
      </c>
      <c r="U78" s="8">
        <v>0.254626380310571</v>
      </c>
      <c r="V78" s="8">
        <v>0.2505710207130406</v>
      </c>
      <c r="W78" s="8">
        <v>0.26680493332964145</v>
      </c>
      <c r="X78" s="8">
        <v>0.33774450297764108</v>
      </c>
      <c r="Y78" s="8">
        <v>0.3438948170739462</v>
      </c>
      <c r="Z78" s="8">
        <v>0.36277164577612525</v>
      </c>
      <c r="AA78" s="8">
        <v>0.36291192363077529</v>
      </c>
      <c r="AB78" s="8">
        <v>0.364088228867811</v>
      </c>
      <c r="AC78" s="8">
        <v>0.34489708350260456</v>
      </c>
      <c r="AD78" s="8">
        <v>0.31787857118960594</v>
      </c>
      <c r="AE78" s="8">
        <v>0.30699976758048936</v>
      </c>
      <c r="AF78" s="8">
        <v>0.29864212515281346</v>
      </c>
      <c r="AG78" s="8">
        <v>0.31683177582965782</v>
      </c>
      <c r="AH78" s="8">
        <v>0.29286388275545894</v>
      </c>
      <c r="AI78" s="8">
        <v>0.30123577637331317</v>
      </c>
      <c r="AJ78" s="8">
        <v>0.31179517323954897</v>
      </c>
      <c r="AK78" s="8">
        <v>0.32018707199918728</v>
      </c>
      <c r="AL78" s="8">
        <v>0.30620948548918286</v>
      </c>
      <c r="AM78" s="8">
        <v>0.2861948039954017</v>
      </c>
      <c r="AN78" s="8">
        <v>0.29037934974583146</v>
      </c>
      <c r="AO78" s="8">
        <v>0.30034380072893369</v>
      </c>
      <c r="AP78" s="8">
        <v>0.30183089884231362</v>
      </c>
      <c r="AQ78" s="8">
        <v>0.29234115206748895</v>
      </c>
      <c r="AS78" s="6" t="s">
        <v>186</v>
      </c>
      <c r="AT78" s="6" t="s">
        <v>132</v>
      </c>
      <c r="AU78" s="8">
        <v>8.4864512236229785E-3</v>
      </c>
      <c r="AV78" s="7">
        <v>7.7138643579082325E-3</v>
      </c>
      <c r="AW78" s="8">
        <v>2.0798031728119372E-2</v>
      </c>
      <c r="AX78" s="8">
        <v>3.2652330490728708E-2</v>
      </c>
      <c r="AY78" s="8">
        <v>1.8545447146491409E-2</v>
      </c>
      <c r="AZ78" s="8">
        <v>1.9896892559495821E-2</v>
      </c>
      <c r="BA78" s="8">
        <v>1.7657386317108725E-2</v>
      </c>
      <c r="BB78" s="8">
        <v>1.3446060921827468E-2</v>
      </c>
      <c r="BC78" s="8">
        <v>1.3901193501529839E-2</v>
      </c>
      <c r="BD78" s="8">
        <v>5.8759490804524061E-3</v>
      </c>
      <c r="BE78" s="8">
        <v>1.5145230362610958E-2</v>
      </c>
      <c r="BF78" s="8">
        <v>1.9764030277327389E-2</v>
      </c>
      <c r="BG78" s="8">
        <v>1.0072540007674003E-2</v>
      </c>
      <c r="BH78" s="8">
        <v>1.4460719761021534E-2</v>
      </c>
      <c r="BI78" s="8">
        <v>1.2196412624910766E-2</v>
      </c>
      <c r="BJ78" s="8">
        <v>1.0742165825069594E-2</v>
      </c>
      <c r="BK78" s="8">
        <v>1.2180656679229011E-2</v>
      </c>
      <c r="BL78" s="7">
        <v>1.1311808795769667E-2</v>
      </c>
      <c r="BM78" s="8">
        <v>1.1226069623050958E-2</v>
      </c>
      <c r="BN78" s="8">
        <v>1.1280941873219047E-2</v>
      </c>
      <c r="BO78" s="8">
        <v>2.2312674761216372E-2</v>
      </c>
      <c r="BP78" s="8">
        <v>1.7390114524633692E-2</v>
      </c>
      <c r="BQ78" s="8">
        <v>2.5667668036710667E-2</v>
      </c>
      <c r="BR78" s="8">
        <v>3.862372479908175E-2</v>
      </c>
      <c r="BS78" s="8">
        <v>2.379996633068851E-2</v>
      </c>
      <c r="BT78" s="7">
        <v>1.9596103576238536E-2</v>
      </c>
      <c r="BU78" s="8">
        <v>1.5659622809982152E-2</v>
      </c>
      <c r="BV78" s="8">
        <v>1.7166962590685446E-2</v>
      </c>
      <c r="BW78" s="8">
        <v>1.1526583348656602E-2</v>
      </c>
      <c r="BX78" s="8">
        <v>2.2722582449797517E-2</v>
      </c>
      <c r="BY78" s="8">
        <v>1.6368931662048676E-2</v>
      </c>
      <c r="BZ78" s="7">
        <v>1.6503409765760792E-2</v>
      </c>
      <c r="CA78" s="7">
        <v>1.7719648970162847E-2</v>
      </c>
      <c r="CB78" s="8">
        <v>3.3743599914432272E-2</v>
      </c>
      <c r="CC78" s="8">
        <v>2.7514498584734978E-2</v>
      </c>
      <c r="CD78" s="8">
        <v>1.9203985949418984E-2</v>
      </c>
      <c r="CE78" s="8">
        <v>1.4551189880988941E-2</v>
      </c>
      <c r="CF78" s="7">
        <v>7.7190166972246196E-3</v>
      </c>
      <c r="CG78" s="8">
        <v>1.4857377111577089E-2</v>
      </c>
      <c r="CH78" s="8">
        <v>1.3847541369734742E-2</v>
      </c>
      <c r="CJ78" s="6" t="s">
        <v>186</v>
      </c>
      <c r="CK78" s="6" t="s">
        <v>133</v>
      </c>
      <c r="CL78" s="8">
        <v>7.5344482941635477E-3</v>
      </c>
      <c r="CM78" s="8">
        <v>1.1843349581452466E-2</v>
      </c>
      <c r="CN78" s="8">
        <v>8.7290243856147608E-3</v>
      </c>
      <c r="CO78" s="8">
        <v>1.2529401639894293E-2</v>
      </c>
      <c r="CP78" s="7">
        <v>2.2441536086119485E-2</v>
      </c>
      <c r="CQ78" s="8">
        <v>3.2340735933898253E-2</v>
      </c>
      <c r="CR78" s="8">
        <v>2.3196224114205199E-2</v>
      </c>
      <c r="CS78" s="8">
        <v>2.3725097864602897E-2</v>
      </c>
      <c r="CT78" s="8">
        <v>2.1842319320287757E-2</v>
      </c>
      <c r="CU78" s="8">
        <v>1.6501512931920651E-2</v>
      </c>
      <c r="CV78" s="8">
        <v>1.5128955378985388E-2</v>
      </c>
      <c r="CW78" s="8">
        <v>2.2354677532969661E-2</v>
      </c>
      <c r="CX78" s="8">
        <v>3.5746136390188261E-2</v>
      </c>
      <c r="CY78" s="8">
        <v>2.6208564053050921E-2</v>
      </c>
      <c r="CZ78" s="8">
        <v>1.7622181280277902E-2</v>
      </c>
      <c r="DA78" s="8">
        <v>1.8796989080610439E-2</v>
      </c>
      <c r="DB78" s="8">
        <v>1.4897620744393577E-2</v>
      </c>
      <c r="DC78" s="8">
        <v>8.1810447956186909E-3</v>
      </c>
      <c r="DD78" s="8">
        <v>8.7526860175531438E-3</v>
      </c>
      <c r="DE78" s="8">
        <v>1.115106159710035E-2</v>
      </c>
      <c r="DF78" s="8">
        <v>2.8624507839262344E-2</v>
      </c>
      <c r="DG78" s="8">
        <v>4.1958184915277537E-2</v>
      </c>
      <c r="DH78" s="8">
        <v>3.4787031935971109E-2</v>
      </c>
      <c r="DI78" s="8">
        <v>3.4421583479441985E-2</v>
      </c>
      <c r="DJ78" s="8">
        <v>4.4827501039548766E-2</v>
      </c>
      <c r="DK78" s="8">
        <v>5.0905387572303035E-2</v>
      </c>
      <c r="DL78" s="8">
        <v>3.6983664687303623E-2</v>
      </c>
      <c r="DM78" s="8">
        <v>1.755610561796243E-2</v>
      </c>
      <c r="DN78" s="8">
        <v>1.3587608556006362E-2</v>
      </c>
      <c r="DO78" s="7">
        <v>1.9426449397840159E-2</v>
      </c>
      <c r="DP78" s="8">
        <v>1.9036794689427951E-2</v>
      </c>
      <c r="DQ78" s="8">
        <v>2.0003249147426839E-2</v>
      </c>
      <c r="DR78" s="8">
        <v>2.7185540341516108E-2</v>
      </c>
      <c r="DS78" s="8">
        <v>2.6187453999494622E-2</v>
      </c>
      <c r="DT78" s="7">
        <v>2.9057563197886514E-2</v>
      </c>
      <c r="DU78" s="8">
        <v>3.3367589517333894E-2</v>
      </c>
      <c r="DV78" s="8">
        <v>3.5072951737046401E-2</v>
      </c>
      <c r="DW78" s="8">
        <v>2.7863559130049235E-2</v>
      </c>
      <c r="DX78" s="8">
        <v>2.2817632033921439E-2</v>
      </c>
      <c r="DY78" s="8">
        <v>1.1026046682404044E-2</v>
      </c>
      <c r="EA78" s="6" t="s">
        <v>186</v>
      </c>
      <c r="EB78" s="6" t="s">
        <v>134</v>
      </c>
      <c r="EC78" s="8">
        <v>0.11047787007276444</v>
      </c>
      <c r="ED78" s="8">
        <v>0.10367639354875871</v>
      </c>
      <c r="EE78" s="8">
        <v>9.6355251650430171E-2</v>
      </c>
      <c r="EF78" s="8">
        <v>9.0346678649089671E-2</v>
      </c>
      <c r="EG78" s="8">
        <v>9.310562162463723E-2</v>
      </c>
      <c r="EH78" s="8">
        <v>8.586239555212638E-2</v>
      </c>
      <c r="EI78" s="8">
        <v>9.9562706825251132E-2</v>
      </c>
      <c r="EJ78" s="8">
        <v>0.10080104134961287</v>
      </c>
      <c r="EK78" s="8">
        <v>0.10034934403003076</v>
      </c>
      <c r="EL78" s="8">
        <v>0.10497195137304917</v>
      </c>
      <c r="EM78" s="8">
        <v>0.11904212226758337</v>
      </c>
      <c r="EN78" s="8">
        <v>0.11027376631075003</v>
      </c>
      <c r="EO78" s="8">
        <v>0.1111631723615091</v>
      </c>
      <c r="EP78" s="8">
        <v>0.11272214579005614</v>
      </c>
      <c r="EQ78" s="8">
        <v>0.1176824653033524</v>
      </c>
      <c r="ER78" s="8">
        <v>0.11202898521194095</v>
      </c>
      <c r="ES78" s="7">
        <v>0.10968822553657265</v>
      </c>
      <c r="ET78" s="8">
        <v>0.11268590637630176</v>
      </c>
      <c r="EU78" s="8">
        <v>0.11791853680630539</v>
      </c>
      <c r="EV78" s="8">
        <v>0.12580424491463593</v>
      </c>
      <c r="EW78" s="8">
        <v>0.1609917149933523</v>
      </c>
      <c r="EX78" s="8">
        <v>0.16278671715804616</v>
      </c>
      <c r="EY78" s="8">
        <v>0.17457435208770142</v>
      </c>
      <c r="EZ78" s="8">
        <v>0.16267567613918302</v>
      </c>
      <c r="FA78" s="8">
        <v>0.16904341093798067</v>
      </c>
      <c r="FB78" s="8">
        <v>0.14648072535218873</v>
      </c>
      <c r="FC78" s="8">
        <v>0.14542537815201101</v>
      </c>
      <c r="FD78" s="7">
        <v>0.15260483238575559</v>
      </c>
      <c r="FE78" s="8">
        <v>0.16352076787032757</v>
      </c>
      <c r="FF78" s="8">
        <v>0.1605532035429266</v>
      </c>
      <c r="FG78" s="8">
        <v>0.13537540665032424</v>
      </c>
      <c r="FH78" s="8">
        <v>0.14240417965483188</v>
      </c>
      <c r="FI78" s="8">
        <v>0.13309240455503338</v>
      </c>
      <c r="FJ78" s="8">
        <v>0.12434145849829351</v>
      </c>
      <c r="FK78" s="8">
        <v>0.12112340212163282</v>
      </c>
      <c r="FL78" s="8">
        <v>0.11724757477406596</v>
      </c>
      <c r="FM78" s="8">
        <v>0.11619072151358208</v>
      </c>
      <c r="FN78" s="8">
        <v>0.13045064307074591</v>
      </c>
      <c r="FO78" s="8">
        <v>0.13307178456217122</v>
      </c>
      <c r="FP78" s="8">
        <v>0.14461307860346026</v>
      </c>
      <c r="FZ78" s="6" t="s">
        <v>186</v>
      </c>
      <c r="GA78" s="8">
        <v>0.58728497868737173</v>
      </c>
      <c r="GB78" s="8">
        <v>0.57985501481026713</v>
      </c>
      <c r="GC78" s="7">
        <v>0.58316538511442961</v>
      </c>
      <c r="GD78" s="8">
        <v>0.55893610477566336</v>
      </c>
      <c r="GE78" s="8">
        <v>0.56231602913577516</v>
      </c>
      <c r="GF78" s="8">
        <v>0.57317510962581786</v>
      </c>
      <c r="GG78" s="8">
        <v>0.56815142582893463</v>
      </c>
      <c r="GH78" s="8">
        <v>0.57979047996902822</v>
      </c>
      <c r="GI78" s="8">
        <v>0.58648857802419707</v>
      </c>
      <c r="GJ78" s="8">
        <v>0.58744765569486734</v>
      </c>
      <c r="GK78" s="7">
        <v>0.51158308321968882</v>
      </c>
      <c r="GL78" s="8">
        <v>0.50896076705482662</v>
      </c>
      <c r="GM78" s="8">
        <v>0.52396339979258544</v>
      </c>
      <c r="GN78" s="8">
        <v>0.5325208751407785</v>
      </c>
      <c r="GO78" s="8">
        <v>0.52770909350664041</v>
      </c>
      <c r="GP78" s="8">
        <v>0.54327784598964179</v>
      </c>
      <c r="GQ78" s="8">
        <v>0.5569543325341384</v>
      </c>
      <c r="GR78" s="8">
        <v>0.55112693304526372</v>
      </c>
      <c r="GS78" s="8">
        <v>0.53751857587489327</v>
      </c>
      <c r="GT78" s="7">
        <v>0.50932036247570822</v>
      </c>
      <c r="GU78" s="7">
        <v>0.35479559819647866</v>
      </c>
      <c r="GV78" s="8">
        <v>0.32958627186568207</v>
      </c>
      <c r="GW78" s="8">
        <v>0.32349061460652867</v>
      </c>
      <c r="GX78" s="8">
        <v>0.31356281274793518</v>
      </c>
      <c r="GY78" s="8">
        <v>0.31440213379807674</v>
      </c>
      <c r="GZ78" s="8">
        <v>0.34585028044185856</v>
      </c>
      <c r="HA78" s="8">
        <v>0.3718420884571258</v>
      </c>
      <c r="HB78" s="8">
        <v>0.37861358144458679</v>
      </c>
      <c r="HC78" s="8">
        <v>0.36645504470047036</v>
      </c>
      <c r="HD78" s="7">
        <v>0.35476449597231774</v>
      </c>
      <c r="HE78" s="8">
        <v>0.4715922612876049</v>
      </c>
      <c r="HF78" s="7">
        <v>0.46420430859149692</v>
      </c>
      <c r="HG78" s="8">
        <v>0.46829187084836654</v>
      </c>
      <c r="HH78" s="8">
        <v>0.47222681466022459</v>
      </c>
      <c r="HI78" s="8">
        <v>0.48423143510691091</v>
      </c>
      <c r="HJ78" s="8">
        <v>0.5114659067245817</v>
      </c>
      <c r="HK78" s="8">
        <v>0.52059912394431518</v>
      </c>
      <c r="HL78" s="8">
        <v>0.51918989881772182</v>
      </c>
      <c r="HM78" s="7">
        <v>0.5010532558870695</v>
      </c>
      <c r="HN78" s="8">
        <v>0.47444265634515648</v>
      </c>
      <c r="HP78" s="6" t="s">
        <v>208</v>
      </c>
      <c r="HQ78" s="6" t="s">
        <v>140</v>
      </c>
      <c r="HR78" s="6" t="s">
        <v>141</v>
      </c>
      <c r="HS78" s="8">
        <v>0.60754978148660554</v>
      </c>
    </row>
    <row r="79" spans="2:227" x14ac:dyDescent="0.45">
      <c r="B79" s="3" t="s">
        <v>188</v>
      </c>
      <c r="C79" s="3" t="s">
        <v>131</v>
      </c>
      <c r="D79" s="5">
        <v>0.27725268188154673</v>
      </c>
      <c r="E79" s="5">
        <v>0.2794700233115105</v>
      </c>
      <c r="F79" s="5">
        <v>0.27672891482901629</v>
      </c>
      <c r="G79" s="5">
        <v>0.29012999577519494</v>
      </c>
      <c r="H79" s="5">
        <v>0.29049247774119091</v>
      </c>
      <c r="I79" s="5">
        <v>0.28933448908998127</v>
      </c>
      <c r="J79" s="5">
        <v>0.29903515018457133</v>
      </c>
      <c r="K79" s="5">
        <v>0.295915037690473</v>
      </c>
      <c r="L79" s="5">
        <v>0.27684576217421875</v>
      </c>
      <c r="M79" s="5">
        <v>0.26814142627497067</v>
      </c>
      <c r="N79" s="5">
        <v>0.31887958156213925</v>
      </c>
      <c r="O79" s="5">
        <v>0.32341555138345379</v>
      </c>
      <c r="P79" s="5">
        <v>0.32225259176629945</v>
      </c>
      <c r="Q79" s="5">
        <v>0.32354446741276416</v>
      </c>
      <c r="R79" s="5">
        <v>0.32503178981427644</v>
      </c>
      <c r="S79" s="5">
        <v>0.31874481833756524</v>
      </c>
      <c r="T79" s="5">
        <v>0.31219700065047773</v>
      </c>
      <c r="U79" s="5">
        <v>0.30770537115210239</v>
      </c>
      <c r="V79" s="5">
        <v>0.29369623512036558</v>
      </c>
      <c r="W79" s="5">
        <v>0.29725024081689511</v>
      </c>
      <c r="X79" s="5">
        <v>0.37374001736279155</v>
      </c>
      <c r="Y79" s="5">
        <v>0.40229826849149825</v>
      </c>
      <c r="Z79" s="5">
        <v>0.42979741257137727</v>
      </c>
      <c r="AA79" s="5">
        <v>0.41452444324715115</v>
      </c>
      <c r="AB79" s="5">
        <v>0.39348596728455132</v>
      </c>
      <c r="AC79" s="5">
        <v>0.35770841671328535</v>
      </c>
      <c r="AD79" s="5">
        <v>0.34263578052594285</v>
      </c>
      <c r="AE79" s="5">
        <v>0.34029541370623284</v>
      </c>
      <c r="AF79" s="5">
        <v>0.34085771493041905</v>
      </c>
      <c r="AG79" s="5">
        <v>0.34675734122925517</v>
      </c>
      <c r="AH79" s="5">
        <v>0.29189298616747766</v>
      </c>
      <c r="AI79" s="5">
        <v>0.28974908125672161</v>
      </c>
      <c r="AJ79" s="5">
        <v>0.29344851389490928</v>
      </c>
      <c r="AK79" s="5">
        <v>0.31040456844666625</v>
      </c>
      <c r="AL79" s="5">
        <v>0.31543251356780583</v>
      </c>
      <c r="AM79" s="5">
        <v>0.31894341512543312</v>
      </c>
      <c r="AN79" s="5">
        <v>0.33226809198748947</v>
      </c>
      <c r="AO79" s="5">
        <v>0.31904486235891977</v>
      </c>
      <c r="AP79" s="5">
        <v>0.31492213826925664</v>
      </c>
      <c r="AQ79" s="5">
        <v>0.2993810920902385</v>
      </c>
      <c r="AS79" s="3" t="s">
        <v>188</v>
      </c>
      <c r="AT79" s="3" t="s">
        <v>132</v>
      </c>
      <c r="AU79" s="5">
        <v>1.7326826871835448E-2</v>
      </c>
      <c r="AV79" s="4">
        <v>9.2576980847277855E-3</v>
      </c>
      <c r="AW79" s="5">
        <v>1.6006472442837316E-2</v>
      </c>
      <c r="AX79" s="5">
        <v>2.900906536670993E-2</v>
      </c>
      <c r="AY79" s="5">
        <v>2.1667879853052473E-2</v>
      </c>
      <c r="AZ79" s="5">
        <v>3.9791992196884394E-3</v>
      </c>
      <c r="BA79" s="5">
        <v>8.0407591730069297E-3</v>
      </c>
      <c r="BB79" s="5">
        <v>1.1550026426821413E-2</v>
      </c>
      <c r="BC79" s="5">
        <v>1.5265006069138254E-2</v>
      </c>
      <c r="BD79" s="5">
        <v>1.7374529290759066E-2</v>
      </c>
      <c r="BE79" s="5">
        <v>1.3999572671488178E-2</v>
      </c>
      <c r="BF79" s="5">
        <v>2.1141374965247636E-2</v>
      </c>
      <c r="BG79" s="5">
        <v>2.5797951721684517E-2</v>
      </c>
      <c r="BH79" s="5">
        <v>1.4094094154290943E-2</v>
      </c>
      <c r="BI79" s="5">
        <v>3.0952251874413774E-2</v>
      </c>
      <c r="BJ79" s="5">
        <v>3.8252513855928934E-2</v>
      </c>
      <c r="BK79" s="5">
        <v>4.556378776000126E-3</v>
      </c>
      <c r="BL79" s="4">
        <v>4.7767946413021875E-4</v>
      </c>
      <c r="BM79" s="5">
        <v>2.9192839986144949E-3</v>
      </c>
      <c r="BN79" s="5">
        <v>9.1134991048897416E-3</v>
      </c>
      <c r="BO79" s="5">
        <v>2.4729526683204089E-2</v>
      </c>
      <c r="BP79" s="5">
        <v>1.8693915952070785E-2</v>
      </c>
      <c r="BQ79" s="5">
        <v>2.4526190501347106E-2</v>
      </c>
      <c r="BR79" s="5">
        <v>4.2492330784490905E-2</v>
      </c>
      <c r="BS79" s="5">
        <v>3.4240341968171717E-2</v>
      </c>
      <c r="BT79" s="4">
        <v>8.6040604512013039E-3</v>
      </c>
      <c r="BU79" s="5">
        <v>8.0858997861218782E-3</v>
      </c>
      <c r="BV79" s="5">
        <v>1.8822749311752381E-2</v>
      </c>
      <c r="BW79" s="5">
        <v>1.4562249582855818E-2</v>
      </c>
      <c r="BX79" s="5">
        <v>2.2086921601117047E-2</v>
      </c>
      <c r="BY79" s="5">
        <v>2.0524934406553532E-2</v>
      </c>
      <c r="BZ79" s="4">
        <v>3.1448393210866558E-2</v>
      </c>
      <c r="CA79" s="4">
        <v>4.8207202538631866E-2</v>
      </c>
      <c r="CB79" s="5">
        <v>4.5131983140796118E-2</v>
      </c>
      <c r="CC79" s="5">
        <v>6.1840255811798243E-2</v>
      </c>
      <c r="CD79" s="5">
        <v>5.356815812395465E-2</v>
      </c>
      <c r="CE79" s="5">
        <v>1.8513573963372366E-2</v>
      </c>
      <c r="CF79" s="4">
        <v>3.5248334581611918E-4</v>
      </c>
      <c r="CG79" s="5">
        <v>9.0115239715783182E-3</v>
      </c>
      <c r="CH79" s="5">
        <v>1.8647161986574363E-2</v>
      </c>
      <c r="CJ79" s="3" t="s">
        <v>188</v>
      </c>
      <c r="CK79" s="3" t="s">
        <v>133</v>
      </c>
      <c r="CL79" s="5">
        <v>2.1340871099015911E-2</v>
      </c>
      <c r="CM79" s="5">
        <v>3.1969462912304868E-2</v>
      </c>
      <c r="CN79" s="5">
        <v>3.4147917661936138E-2</v>
      </c>
      <c r="CO79" s="5">
        <v>1.9485814869426295E-2</v>
      </c>
      <c r="CP79" s="4">
        <v>1.3070918772350261E-2</v>
      </c>
      <c r="CQ79" s="5">
        <v>3.048816309502448E-2</v>
      </c>
      <c r="CR79" s="5">
        <v>3.0246230226543807E-2</v>
      </c>
      <c r="CS79" s="5">
        <v>1.044546767727274E-2</v>
      </c>
      <c r="CT79" s="5">
        <v>9.7335251539484805E-3</v>
      </c>
      <c r="CU79" s="5">
        <v>1.4407439097354714E-2</v>
      </c>
      <c r="CV79" s="5">
        <v>1.1292924796456478E-2</v>
      </c>
      <c r="CW79" s="5">
        <v>2.128555386340469E-2</v>
      </c>
      <c r="CX79" s="5">
        <v>1.7441211245441131E-2</v>
      </c>
      <c r="CY79" s="5">
        <v>2.9026452731081877E-2</v>
      </c>
      <c r="CZ79" s="5">
        <v>2.8511688381643953E-2</v>
      </c>
      <c r="DA79" s="5">
        <v>2.0394131207022156E-2</v>
      </c>
      <c r="DB79" s="5">
        <v>4.0987081907235184E-2</v>
      </c>
      <c r="DC79" s="5">
        <v>3.1583192782125472E-2</v>
      </c>
      <c r="DD79" s="5">
        <v>1.1576076694891996E-2</v>
      </c>
      <c r="DE79" s="5">
        <v>1.6098311551037857E-3</v>
      </c>
      <c r="DF79" s="5">
        <v>3.3819720219254897E-2</v>
      </c>
      <c r="DG79" s="5">
        <v>6.8969852997171496E-2</v>
      </c>
      <c r="DH79" s="5">
        <v>5.7061664770543655E-2</v>
      </c>
      <c r="DI79" s="5">
        <v>3.9341410770576499E-2</v>
      </c>
      <c r="DJ79" s="5">
        <v>4.1129503439027978E-2</v>
      </c>
      <c r="DK79" s="5">
        <v>4.1042773540730451E-2</v>
      </c>
      <c r="DL79" s="5">
        <v>3.6614543864680743E-2</v>
      </c>
      <c r="DM79" s="5">
        <v>1.6922861759163993E-2</v>
      </c>
      <c r="DN79" s="5">
        <v>1.5711478892305134E-2</v>
      </c>
      <c r="DO79" s="4">
        <v>1.225392991153725E-2</v>
      </c>
      <c r="DP79" s="5">
        <v>2.0156190003812118E-2</v>
      </c>
      <c r="DQ79" s="5">
        <v>3.3827230724515954E-2</v>
      </c>
      <c r="DR79" s="5">
        <v>3.3362757506521679E-2</v>
      </c>
      <c r="DS79" s="5">
        <v>4.2218317638650679E-2</v>
      </c>
      <c r="DT79" s="4">
        <v>5.1668016014938131E-2</v>
      </c>
      <c r="DU79" s="5">
        <v>5.427832613659913E-2</v>
      </c>
      <c r="DV79" s="5">
        <v>7.3706897442578079E-2</v>
      </c>
      <c r="DW79" s="5">
        <v>7.5524319017853628E-2</v>
      </c>
      <c r="DX79" s="5">
        <v>3.5926403315056601E-2</v>
      </c>
      <c r="DY79" s="5">
        <v>3.7538962125922178E-3</v>
      </c>
      <c r="EA79" s="3" t="s">
        <v>188</v>
      </c>
      <c r="EB79" s="3" t="s">
        <v>134</v>
      </c>
      <c r="EC79" s="5">
        <v>0.12181756504986169</v>
      </c>
      <c r="ED79" s="5">
        <v>0.13192528442046306</v>
      </c>
      <c r="EE79" s="5">
        <v>0.12345396028095525</v>
      </c>
      <c r="EF79" s="5">
        <v>0.13095418775804299</v>
      </c>
      <c r="EG79" s="5">
        <v>0.14153079238691346</v>
      </c>
      <c r="EH79" s="5">
        <v>0.14153239453083019</v>
      </c>
      <c r="EI79" s="5">
        <v>0.14544745755226235</v>
      </c>
      <c r="EJ79" s="5">
        <v>0.15621104500644872</v>
      </c>
      <c r="EK79" s="5">
        <v>0.13765767676012586</v>
      </c>
      <c r="EL79" s="5">
        <v>0.12813131266000544</v>
      </c>
      <c r="EM79" s="5">
        <v>0.17843018373885902</v>
      </c>
      <c r="EN79" s="5">
        <v>0.15860886637995777</v>
      </c>
      <c r="EO79" s="5">
        <v>0.15410690853271578</v>
      </c>
      <c r="EP79" s="5">
        <v>0.14504963876481924</v>
      </c>
      <c r="EQ79" s="5">
        <v>0.12631782735099195</v>
      </c>
      <c r="ER79" s="5">
        <v>0.13183880144488266</v>
      </c>
      <c r="ES79" s="4">
        <v>0.14209482722716557</v>
      </c>
      <c r="ET79" s="5">
        <v>0.15739017307685951</v>
      </c>
      <c r="EU79" s="5">
        <v>0.16810488398725093</v>
      </c>
      <c r="EV79" s="5">
        <v>0.17738681189545416</v>
      </c>
      <c r="EW79" s="5">
        <v>0.18549407071839039</v>
      </c>
      <c r="EX79" s="5">
        <v>0.17298879590919167</v>
      </c>
      <c r="EY79" s="5">
        <v>0.19810274775813771</v>
      </c>
      <c r="EZ79" s="5">
        <v>0.18505170537248328</v>
      </c>
      <c r="FA79" s="5">
        <v>0.18713071603148809</v>
      </c>
      <c r="FB79" s="5">
        <v>0.18726251518671239</v>
      </c>
      <c r="FC79" s="5">
        <v>0.18658045618395419</v>
      </c>
      <c r="FD79" s="4">
        <v>0.20676868617940475</v>
      </c>
      <c r="FE79" s="5">
        <v>0.21724899634869854</v>
      </c>
      <c r="FF79" s="5">
        <v>0.20664201522845707</v>
      </c>
      <c r="FG79" s="5">
        <v>0.14756119957241948</v>
      </c>
      <c r="FH79" s="5">
        <v>0.12677515280548554</v>
      </c>
      <c r="FI79" s="5">
        <v>0.10925348048757662</v>
      </c>
      <c r="FJ79" s="5">
        <v>0.10471781145237939</v>
      </c>
      <c r="FK79" s="5">
        <v>7.7666672893653033E-2</v>
      </c>
      <c r="FL79" s="5">
        <v>8.6081062515837595E-2</v>
      </c>
      <c r="FM79" s="5">
        <v>0.11472883411414966</v>
      </c>
      <c r="FN79" s="5">
        <v>0.12064982804502236</v>
      </c>
      <c r="FO79" s="5">
        <v>0.14145264760264345</v>
      </c>
      <c r="FP79" s="5">
        <v>0.15661764548556245</v>
      </c>
      <c r="FZ79" s="3" t="s">
        <v>188</v>
      </c>
      <c r="GA79" s="5">
        <v>0.49830223320480171</v>
      </c>
      <c r="GB79" s="5">
        <v>0.47210479049318166</v>
      </c>
      <c r="GC79" s="4">
        <v>0.48075981950606361</v>
      </c>
      <c r="GD79" s="5">
        <v>0.47609643215055147</v>
      </c>
      <c r="GE79" s="5">
        <v>0.48835089769263179</v>
      </c>
      <c r="GF79" s="5">
        <v>0.49493104370223101</v>
      </c>
      <c r="GG79" s="5">
        <v>0.48892278575650189</v>
      </c>
      <c r="GH79" s="5">
        <v>0.48874566081543408</v>
      </c>
      <c r="GI79" s="5">
        <v>0.50570468055699491</v>
      </c>
      <c r="GJ79" s="5">
        <v>0.50501465905309639</v>
      </c>
      <c r="GK79" s="4">
        <v>0.38621627181398582</v>
      </c>
      <c r="GL79" s="5">
        <v>0.38798571650937813</v>
      </c>
      <c r="GM79" s="5">
        <v>0.41391288573171592</v>
      </c>
      <c r="GN79" s="5">
        <v>0.44296446701448866</v>
      </c>
      <c r="GO79" s="5">
        <v>0.45326810380887655</v>
      </c>
      <c r="GP79" s="5">
        <v>0.46194760185159928</v>
      </c>
      <c r="GQ79" s="5">
        <v>0.4532809046237346</v>
      </c>
      <c r="GR79" s="5">
        <v>0.41804374872671191</v>
      </c>
      <c r="GS79" s="5">
        <v>0.40916923180548226</v>
      </c>
      <c r="GT79" s="4">
        <v>0.40384819875412875</v>
      </c>
      <c r="GU79" s="4">
        <v>0.22313963439623488</v>
      </c>
      <c r="GV79" s="5">
        <v>0.20785745894645588</v>
      </c>
      <c r="GW79" s="5">
        <v>0.22937052215374412</v>
      </c>
      <c r="GX79" s="5">
        <v>0.23302506986312882</v>
      </c>
      <c r="GY79" s="5">
        <v>0.24332877921125567</v>
      </c>
      <c r="GZ79" s="5">
        <v>0.26264141343642594</v>
      </c>
      <c r="HA79" s="5">
        <v>0.27170851468333801</v>
      </c>
      <c r="HB79" s="5">
        <v>0.27503686807075434</v>
      </c>
      <c r="HC79" s="5">
        <v>0.25809278375748851</v>
      </c>
      <c r="HD79" s="4">
        <v>0.24779684990223852</v>
      </c>
      <c r="HE79" s="5">
        <v>0.38113749595084834</v>
      </c>
      <c r="HF79" s="4">
        <v>0.36501901123543701</v>
      </c>
      <c r="HG79" s="5">
        <v>0.37320423807696429</v>
      </c>
      <c r="HH79" s="5">
        <v>0.39182339666443927</v>
      </c>
      <c r="HI79" s="5">
        <v>0.41073656016579274</v>
      </c>
      <c r="HJ79" s="5">
        <v>0.42278690843702971</v>
      </c>
      <c r="HK79" s="5">
        <v>0.42329046293570666</v>
      </c>
      <c r="HL79" s="5">
        <v>0.40773063602086829</v>
      </c>
      <c r="HM79" s="4">
        <v>0.40162434558738724</v>
      </c>
      <c r="HN79" s="5">
        <v>0.39354785882237131</v>
      </c>
      <c r="HP79" s="3" t="s">
        <v>209</v>
      </c>
      <c r="HQ79" s="3" t="s">
        <v>140</v>
      </c>
      <c r="HR79" s="3" t="s">
        <v>141</v>
      </c>
      <c r="HS79" s="5">
        <v>0.69447160688891951</v>
      </c>
    </row>
    <row r="80" spans="2:227" x14ac:dyDescent="0.45">
      <c r="B80" s="6" t="s">
        <v>190</v>
      </c>
      <c r="C80" s="6" t="s">
        <v>131</v>
      </c>
      <c r="D80" s="8">
        <v>0.20979661999124588</v>
      </c>
      <c r="E80" s="8">
        <v>0.21424842674011818</v>
      </c>
      <c r="F80" s="8">
        <v>0.21997060163251714</v>
      </c>
      <c r="G80" s="8">
        <v>0.22297523668902106</v>
      </c>
      <c r="H80" s="8">
        <v>0.22110646212037294</v>
      </c>
      <c r="I80" s="8">
        <v>0.21914660032004976</v>
      </c>
      <c r="J80" s="8">
        <v>0.22015459128728238</v>
      </c>
      <c r="K80" s="8">
        <v>0.20936185927500456</v>
      </c>
      <c r="L80" s="8">
        <v>0.20204001490954121</v>
      </c>
      <c r="M80" s="8">
        <v>0.20647741379291518</v>
      </c>
      <c r="N80" s="8">
        <v>0.2842656319548888</v>
      </c>
      <c r="O80" s="8">
        <v>0.26785587184698384</v>
      </c>
      <c r="P80" s="8">
        <v>0.25648533059032663</v>
      </c>
      <c r="Q80" s="8">
        <v>0.25554669798243979</v>
      </c>
      <c r="R80" s="8">
        <v>0.26874125822831091</v>
      </c>
      <c r="S80" s="8">
        <v>0.26488638527501329</v>
      </c>
      <c r="T80" s="8">
        <v>0.25843794998447178</v>
      </c>
      <c r="U80" s="8">
        <v>0.257423641686022</v>
      </c>
      <c r="V80" s="8">
        <v>0.26630612565675199</v>
      </c>
      <c r="W80" s="8">
        <v>0.26976376956956194</v>
      </c>
      <c r="X80" s="8">
        <v>0.35925633487671144</v>
      </c>
      <c r="Y80" s="8">
        <v>0.35358902267501963</v>
      </c>
      <c r="Z80" s="8">
        <v>0.36975590820453058</v>
      </c>
      <c r="AA80" s="8">
        <v>0.36518016933974506</v>
      </c>
      <c r="AB80" s="8">
        <v>0.34642426321156711</v>
      </c>
      <c r="AC80" s="8">
        <v>0.33917333023183033</v>
      </c>
      <c r="AD80" s="8">
        <v>0.33637067697603046</v>
      </c>
      <c r="AE80" s="8">
        <v>0.32994239719007301</v>
      </c>
      <c r="AF80" s="8">
        <v>0.32823167795473535</v>
      </c>
      <c r="AG80" s="8">
        <v>0.34631212257108063</v>
      </c>
      <c r="AH80" s="8">
        <v>0.27511176077054467</v>
      </c>
      <c r="AI80" s="8">
        <v>0.27083760782172128</v>
      </c>
      <c r="AJ80" s="8">
        <v>0.26853917518145282</v>
      </c>
      <c r="AK80" s="8">
        <v>0.26186854267984722</v>
      </c>
      <c r="AL80" s="8">
        <v>0.27064451548456103</v>
      </c>
      <c r="AM80" s="8">
        <v>0.27228712152934081</v>
      </c>
      <c r="AN80" s="8">
        <v>0.26846744945800871</v>
      </c>
      <c r="AO80" s="8">
        <v>0.2579342139950182</v>
      </c>
      <c r="AP80" s="8">
        <v>0.25172883736962032</v>
      </c>
      <c r="AQ80" s="8">
        <v>0.26811655606425772</v>
      </c>
      <c r="AS80" s="6" t="s">
        <v>190</v>
      </c>
      <c r="AT80" s="6" t="s">
        <v>132</v>
      </c>
      <c r="AU80" s="8">
        <v>1.1944829162340563E-2</v>
      </c>
      <c r="AV80" s="7">
        <v>9.6905096605166743E-3</v>
      </c>
      <c r="AW80" s="8">
        <v>1.3217986463391233E-2</v>
      </c>
      <c r="AX80" s="8">
        <v>1.5422764655031139E-2</v>
      </c>
      <c r="AY80" s="8">
        <v>1.5027553038076779E-2</v>
      </c>
      <c r="AZ80" s="8">
        <v>1.210926478458923E-2</v>
      </c>
      <c r="BA80" s="8">
        <v>1.0535175879061909E-2</v>
      </c>
      <c r="BB80" s="8">
        <v>1.1752186031251586E-2</v>
      </c>
      <c r="BC80" s="8">
        <v>1.1295116340777097E-2</v>
      </c>
      <c r="BD80" s="8">
        <v>1.9834163887173243E-2</v>
      </c>
      <c r="BE80" s="8">
        <v>1.2667253531760876E-2</v>
      </c>
      <c r="BF80" s="8">
        <v>1.7206587619195253E-2</v>
      </c>
      <c r="BG80" s="8">
        <v>2.4087046927131622E-2</v>
      </c>
      <c r="BH80" s="8">
        <v>2.0205484481190854E-2</v>
      </c>
      <c r="BI80" s="8">
        <v>2.3570935207613775E-2</v>
      </c>
      <c r="BJ80" s="8">
        <v>1.3086781204321177E-2</v>
      </c>
      <c r="BK80" s="8">
        <v>1.9698117695558003E-3</v>
      </c>
      <c r="BL80" s="7">
        <v>3.2398861518063817E-3</v>
      </c>
      <c r="BM80" s="8">
        <v>1.0852646649258099E-2</v>
      </c>
      <c r="BN80" s="8">
        <v>1.3471563455994868E-2</v>
      </c>
      <c r="BO80" s="8">
        <v>2.4830824453994163E-2</v>
      </c>
      <c r="BP80" s="8">
        <v>2.085532076125882E-2</v>
      </c>
      <c r="BQ80" s="8">
        <v>7.730670928668912E-3</v>
      </c>
      <c r="BR80" s="8">
        <v>9.8310102246312245E-3</v>
      </c>
      <c r="BS80" s="8">
        <v>6.62053835341241E-3</v>
      </c>
      <c r="BT80" s="7">
        <v>1.629508872283927E-2</v>
      </c>
      <c r="BU80" s="8">
        <v>2.3724190379227485E-2</v>
      </c>
      <c r="BV80" s="8">
        <v>2.0490113832537897E-2</v>
      </c>
      <c r="BW80" s="8">
        <v>2.0382002930315491E-2</v>
      </c>
      <c r="BX80" s="8">
        <v>4.0491831925944612E-2</v>
      </c>
      <c r="BY80" s="8">
        <v>1.8271312480617544E-2</v>
      </c>
      <c r="BZ80" s="7">
        <v>1.3966697211606528E-2</v>
      </c>
      <c r="CA80" s="7">
        <v>2.887972693481658E-2</v>
      </c>
      <c r="CB80" s="8">
        <v>2.6215801458540296E-2</v>
      </c>
      <c r="CC80" s="8">
        <v>1.2845078303043931E-2</v>
      </c>
      <c r="CD80" s="8">
        <v>1.1107124756995979E-2</v>
      </c>
      <c r="CE80" s="8">
        <v>1.3487406277815729E-2</v>
      </c>
      <c r="CF80" s="7">
        <v>2.8097051266300316E-2</v>
      </c>
      <c r="CG80" s="8">
        <v>3.3254387096164989E-2</v>
      </c>
      <c r="CH80" s="8">
        <v>1.510091682515154E-2</v>
      </c>
      <c r="CJ80" s="6" t="s">
        <v>190</v>
      </c>
      <c r="CK80" s="6" t="s">
        <v>133</v>
      </c>
      <c r="CL80" s="8">
        <v>2.1218198245430767E-2</v>
      </c>
      <c r="CM80" s="8">
        <v>1.7425037452317538E-2</v>
      </c>
      <c r="CN80" s="8">
        <v>1.0056954995128793E-2</v>
      </c>
      <c r="CO80" s="8">
        <v>6.7626029409484792E-3</v>
      </c>
      <c r="CP80" s="7">
        <v>1.0861370652374623E-2</v>
      </c>
      <c r="CQ80" s="8">
        <v>1.4944914214776115E-2</v>
      </c>
      <c r="CR80" s="8">
        <v>1.3147132789273458E-2</v>
      </c>
      <c r="CS80" s="8">
        <v>9.3489642334812165E-3</v>
      </c>
      <c r="CT80" s="8">
        <v>1.2210597422714681E-2</v>
      </c>
      <c r="CU80" s="8">
        <v>9.6944053186144123E-3</v>
      </c>
      <c r="CV80" s="8">
        <v>1.800566066052495E-2</v>
      </c>
      <c r="CW80" s="8">
        <v>2.1941062180482342E-2</v>
      </c>
      <c r="CX80" s="8">
        <v>1.6250451462395198E-2</v>
      </c>
      <c r="CY80" s="8">
        <v>1.6608072760849645E-2</v>
      </c>
      <c r="CZ80" s="8">
        <v>1.888489803993303E-2</v>
      </c>
      <c r="DA80" s="8">
        <v>2.3414555517901139E-2</v>
      </c>
      <c r="DB80" s="8">
        <v>2.6567108861759225E-2</v>
      </c>
      <c r="DC80" s="8">
        <v>1.7380408051778561E-2</v>
      </c>
      <c r="DD80" s="8">
        <v>6.3651412033814215E-3</v>
      </c>
      <c r="DE80" s="8">
        <v>8.8378645585253639E-3</v>
      </c>
      <c r="DF80" s="8">
        <v>3.7839659693715978E-2</v>
      </c>
      <c r="DG80" s="8">
        <v>4.2706120456371691E-2</v>
      </c>
      <c r="DH80" s="8">
        <v>4.5553017717914604E-2</v>
      </c>
      <c r="DI80" s="8">
        <v>3.11365066672456E-2</v>
      </c>
      <c r="DJ80" s="8">
        <v>3.2416881717137729E-3</v>
      </c>
      <c r="DK80" s="8">
        <v>2.3804102780960986E-3</v>
      </c>
      <c r="DL80" s="8">
        <v>4.0142884254996732E-3</v>
      </c>
      <c r="DM80" s="8">
        <v>1.8507622940903055E-2</v>
      </c>
      <c r="DN80" s="8">
        <v>3.5861086868945763E-2</v>
      </c>
      <c r="DO80" s="7">
        <v>3.537295902213914E-2</v>
      </c>
      <c r="DP80" s="8">
        <v>3.3592286875679167E-2</v>
      </c>
      <c r="DQ80" s="8">
        <v>3.3512197494645943E-2</v>
      </c>
      <c r="DR80" s="8">
        <v>1.822075046954965E-2</v>
      </c>
      <c r="DS80" s="8">
        <v>1.9424443590529396E-2</v>
      </c>
      <c r="DT80" s="7">
        <v>4.478604714619247E-2</v>
      </c>
      <c r="DU80" s="8">
        <v>4.2581917074280551E-2</v>
      </c>
      <c r="DV80" s="8">
        <v>1.3609564328639976E-2</v>
      </c>
      <c r="DW80" s="8">
        <v>6.0486575687244302E-3</v>
      </c>
      <c r="DX80" s="8">
        <v>1.365465838886498E-2</v>
      </c>
      <c r="DY80" s="8">
        <v>3.726939157671702E-2</v>
      </c>
      <c r="EA80" s="6" t="s">
        <v>190</v>
      </c>
      <c r="EB80" s="6" t="s">
        <v>134</v>
      </c>
      <c r="EC80" s="8">
        <v>7.6568135234872173E-2</v>
      </c>
      <c r="ED80" s="8">
        <v>8.6825308739937448E-2</v>
      </c>
      <c r="EE80" s="8">
        <v>9.5653916675043596E-2</v>
      </c>
      <c r="EF80" s="8">
        <v>9.8554849527652227E-2</v>
      </c>
      <c r="EG80" s="8">
        <v>9.1073980281096201E-2</v>
      </c>
      <c r="EH80" s="8">
        <v>8.0815009246212405E-2</v>
      </c>
      <c r="EI80" s="8">
        <v>8.765110566603429E-2</v>
      </c>
      <c r="EJ80" s="8">
        <v>8.8213727381715248E-2</v>
      </c>
      <c r="EK80" s="8">
        <v>8.2175822125823444E-2</v>
      </c>
      <c r="EL80" s="8">
        <v>7.646284083928237E-2</v>
      </c>
      <c r="EM80" s="8">
        <v>0.12846637479060788</v>
      </c>
      <c r="EN80" s="8">
        <v>0.11381532516568099</v>
      </c>
      <c r="EO80" s="8">
        <v>0.10849412762469046</v>
      </c>
      <c r="EP80" s="8">
        <v>0.10914718924104114</v>
      </c>
      <c r="EQ80" s="8">
        <v>0.11000404319526634</v>
      </c>
      <c r="ER80" s="8">
        <v>0.11228022725815884</v>
      </c>
      <c r="ES80" s="7">
        <v>0.11256070616010597</v>
      </c>
      <c r="ET80" s="8">
        <v>0.12417455597073147</v>
      </c>
      <c r="EU80" s="8">
        <v>0.13713356400170276</v>
      </c>
      <c r="EV80" s="8">
        <v>0.13521300653113191</v>
      </c>
      <c r="EW80" s="8">
        <v>0.18081981010395926</v>
      </c>
      <c r="EX80" s="8">
        <v>0.17658085521851349</v>
      </c>
      <c r="EY80" s="8">
        <v>0.18572997100642391</v>
      </c>
      <c r="EZ80" s="8">
        <v>0.19795112686172767</v>
      </c>
      <c r="FA80" s="8">
        <v>0.21244061802803041</v>
      </c>
      <c r="FB80" s="8">
        <v>0.20492665824674861</v>
      </c>
      <c r="FC80" s="8">
        <v>0.19538940238980362</v>
      </c>
      <c r="FD80" s="7">
        <v>0.17594270622153702</v>
      </c>
      <c r="FE80" s="8">
        <v>0.16572942207150043</v>
      </c>
      <c r="FF80" s="8">
        <v>0.16225761723643048</v>
      </c>
      <c r="FG80" s="8">
        <v>0.11036122966375043</v>
      </c>
      <c r="FH80" s="8">
        <v>0.10315710603092867</v>
      </c>
      <c r="FI80" s="8">
        <v>0.10545957279780599</v>
      </c>
      <c r="FJ80" s="8">
        <v>0.1082857655536509</v>
      </c>
      <c r="FK80" s="8">
        <v>0.10497842478628328</v>
      </c>
      <c r="FL80" s="8">
        <v>0.11031930843565954</v>
      </c>
      <c r="FM80" s="8">
        <v>0.13337205059537974</v>
      </c>
      <c r="FN80" s="8">
        <v>0.11904920460365347</v>
      </c>
      <c r="FO80" s="8">
        <v>0.11142627438549393</v>
      </c>
      <c r="FP80" s="8">
        <v>0.10992765988290919</v>
      </c>
      <c r="FZ80" s="6" t="s">
        <v>190</v>
      </c>
      <c r="GA80" s="8">
        <v>0.59200369173456091</v>
      </c>
      <c r="GB80" s="8">
        <v>0.57322129055953863</v>
      </c>
      <c r="GC80" s="7">
        <v>0.56490728418128477</v>
      </c>
      <c r="GD80" s="8">
        <v>0.57263430837073725</v>
      </c>
      <c r="GE80" s="8">
        <v>0.5840920298656479</v>
      </c>
      <c r="GF80" s="8">
        <v>0.60067335159259394</v>
      </c>
      <c r="GG80" s="8">
        <v>0.60233471514241088</v>
      </c>
      <c r="GH80" s="8">
        <v>0.6044419640271611</v>
      </c>
      <c r="GI80" s="8">
        <v>0.61576374665490097</v>
      </c>
      <c r="GJ80" s="8">
        <v>0.6163090202260183</v>
      </c>
      <c r="GK80" s="7">
        <v>0.45301597220911743</v>
      </c>
      <c r="GL80" s="8">
        <v>0.45900726950100945</v>
      </c>
      <c r="GM80" s="8">
        <v>0.46557124580948622</v>
      </c>
      <c r="GN80" s="8">
        <v>0.49622234308216212</v>
      </c>
      <c r="GO80" s="8">
        <v>0.50698763939899794</v>
      </c>
      <c r="GP80" s="8">
        <v>0.5145207161450841</v>
      </c>
      <c r="GQ80" s="8">
        <v>0.51371970901397401</v>
      </c>
      <c r="GR80" s="8">
        <v>0.50043086784512791</v>
      </c>
      <c r="GS80" s="8">
        <v>0.47417714830238217</v>
      </c>
      <c r="GT80" s="7">
        <v>0.46085835210851739</v>
      </c>
      <c r="GU80" s="7">
        <v>0.27050679394647714</v>
      </c>
      <c r="GV80" s="8">
        <v>0.27586307599930554</v>
      </c>
      <c r="GW80" s="8">
        <v>0.28776664469394159</v>
      </c>
      <c r="GX80" s="8">
        <v>0.2950481207083962</v>
      </c>
      <c r="GY80" s="8">
        <v>0.29799877569336847</v>
      </c>
      <c r="GZ80" s="8">
        <v>0.30737652469761995</v>
      </c>
      <c r="HA80" s="8">
        <v>0.30677336336638911</v>
      </c>
      <c r="HB80" s="8">
        <v>0.29366847699578869</v>
      </c>
      <c r="HC80" s="8">
        <v>0.27163344549212037</v>
      </c>
      <c r="HD80" s="7">
        <v>0.26244974121449305</v>
      </c>
      <c r="HE80" s="8">
        <v>0.43169187403567555</v>
      </c>
      <c r="HF80" s="7">
        <v>0.4464086783074705</v>
      </c>
      <c r="HG80" s="8">
        <v>0.46151160543177999</v>
      </c>
      <c r="HH80" s="8">
        <v>0.47899183656097072</v>
      </c>
      <c r="HI80" s="8">
        <v>0.48182328711899203</v>
      </c>
      <c r="HJ80" s="8">
        <v>0.47391636663293119</v>
      </c>
      <c r="HK80" s="8">
        <v>0.46698312015034465</v>
      </c>
      <c r="HL80" s="8">
        <v>0.44254568367388386</v>
      </c>
      <c r="HM80" s="7">
        <v>0.43289315210373414</v>
      </c>
      <c r="HN80" s="8">
        <v>0.42975787990459136</v>
      </c>
      <c r="HP80" s="6" t="s">
        <v>210</v>
      </c>
      <c r="HQ80" s="6" t="s">
        <v>140</v>
      </c>
      <c r="HR80" s="6" t="s">
        <v>141</v>
      </c>
      <c r="HS80" s="8">
        <v>0.67911105797984272</v>
      </c>
    </row>
    <row r="81" spans="2:227" x14ac:dyDescent="0.45">
      <c r="B81" s="3" t="s">
        <v>192</v>
      </c>
      <c r="C81" s="3" t="s">
        <v>131</v>
      </c>
      <c r="D81" s="5">
        <v>0.30737749661550656</v>
      </c>
      <c r="E81" s="5">
        <v>0.31452577648263474</v>
      </c>
      <c r="F81" s="5">
        <v>0.30700806982237627</v>
      </c>
      <c r="G81" s="5">
        <v>0.30538727948666916</v>
      </c>
      <c r="H81" s="5">
        <v>0.30597569614991671</v>
      </c>
      <c r="I81" s="5">
        <v>0.31043792104222595</v>
      </c>
      <c r="J81" s="5">
        <v>0.32424918678527986</v>
      </c>
      <c r="K81" s="5">
        <v>0.32011345594785201</v>
      </c>
      <c r="L81" s="5">
        <v>0.32289548669898138</v>
      </c>
      <c r="M81" s="5">
        <v>0.31784314040486894</v>
      </c>
      <c r="N81" s="5">
        <v>0.38339888449563397</v>
      </c>
      <c r="O81" s="5">
        <v>0.3878319025790789</v>
      </c>
      <c r="P81" s="5">
        <v>0.38615888255114528</v>
      </c>
      <c r="Q81" s="5">
        <v>0.36050426201688379</v>
      </c>
      <c r="R81" s="5">
        <v>0.34483999055482606</v>
      </c>
      <c r="S81" s="5">
        <v>0.33567170500282945</v>
      </c>
      <c r="T81" s="5">
        <v>0.32073367338668946</v>
      </c>
      <c r="U81" s="5">
        <v>0.34319025282572252</v>
      </c>
      <c r="V81" s="5">
        <v>0.36196417572452716</v>
      </c>
      <c r="W81" s="5">
        <v>0.38302279432820413</v>
      </c>
      <c r="X81" s="5">
        <v>0.40749945754343164</v>
      </c>
      <c r="Y81" s="5">
        <v>0.42921989699236895</v>
      </c>
      <c r="Z81" s="5">
        <v>0.45155177007350611</v>
      </c>
      <c r="AA81" s="5">
        <v>0.43501172175232333</v>
      </c>
      <c r="AB81" s="5">
        <v>0.41351833336836175</v>
      </c>
      <c r="AC81" s="5">
        <v>0.40278910663686113</v>
      </c>
      <c r="AD81" s="5">
        <v>0.38198740393403025</v>
      </c>
      <c r="AE81" s="5">
        <v>0.38516893772195321</v>
      </c>
      <c r="AF81" s="5">
        <v>0.38538181436359614</v>
      </c>
      <c r="AG81" s="5">
        <v>0.39073894575987489</v>
      </c>
      <c r="AH81" s="5">
        <v>0.32718708786728651</v>
      </c>
      <c r="AI81" s="5">
        <v>0.3413133039272907</v>
      </c>
      <c r="AJ81" s="5">
        <v>0.34212553857685113</v>
      </c>
      <c r="AK81" s="5">
        <v>0.32785214755916209</v>
      </c>
      <c r="AL81" s="5">
        <v>0.31066292481706159</v>
      </c>
      <c r="AM81" s="5">
        <v>0.30596873632274391</v>
      </c>
      <c r="AN81" s="5">
        <v>0.32684599140965248</v>
      </c>
      <c r="AO81" s="5">
        <v>0.32468194514223353</v>
      </c>
      <c r="AP81" s="5">
        <v>0.31622993807252403</v>
      </c>
      <c r="AQ81" s="5">
        <v>0.31076741058772928</v>
      </c>
      <c r="AS81" s="3" t="s">
        <v>192</v>
      </c>
      <c r="AT81" s="3" t="s">
        <v>132</v>
      </c>
      <c r="AU81" s="5">
        <v>1.0932373325492625E-2</v>
      </c>
      <c r="AV81" s="4">
        <v>1.0471883626065539E-2</v>
      </c>
      <c r="AW81" s="5">
        <v>7.0864724700333663E-3</v>
      </c>
      <c r="AX81" s="5">
        <v>2.5903822512608102E-2</v>
      </c>
      <c r="AY81" s="5">
        <v>3.4635457815088186E-2</v>
      </c>
      <c r="AZ81" s="5">
        <v>2.4722427677359715E-2</v>
      </c>
      <c r="BA81" s="5">
        <v>2.6536319314063951E-2</v>
      </c>
      <c r="BB81" s="5">
        <v>2.5243396193844518E-2</v>
      </c>
      <c r="BC81" s="5">
        <v>1.177702825922175E-2</v>
      </c>
      <c r="BD81" s="5">
        <v>1.5998730796408095E-2</v>
      </c>
      <c r="BE81" s="5">
        <v>1.6782209221561456E-2</v>
      </c>
      <c r="BF81" s="5">
        <v>7.462881160057163E-3</v>
      </c>
      <c r="BG81" s="5">
        <v>1.2956585653820548E-2</v>
      </c>
      <c r="BH81" s="5">
        <v>1.6836349692616139E-2</v>
      </c>
      <c r="BI81" s="5">
        <v>3.0069620515938249E-2</v>
      </c>
      <c r="BJ81" s="5">
        <v>2.821960991378443E-2</v>
      </c>
      <c r="BK81" s="5">
        <v>1.7479794535386825E-2</v>
      </c>
      <c r="BL81" s="4">
        <v>3.136511038490454E-2</v>
      </c>
      <c r="BM81" s="5">
        <v>3.0592650907839615E-2</v>
      </c>
      <c r="BN81" s="5">
        <v>3.2480302493621459E-2</v>
      </c>
      <c r="BO81" s="5">
        <v>3.1786442043053448E-2</v>
      </c>
      <c r="BP81" s="5">
        <v>4.8567711793188438E-2</v>
      </c>
      <c r="BQ81" s="5">
        <v>7.7028108431673485E-3</v>
      </c>
      <c r="BR81" s="5">
        <v>1.8337667378252598E-2</v>
      </c>
      <c r="BS81" s="5">
        <v>4.930015617504592E-2</v>
      </c>
      <c r="BT81" s="4">
        <v>8.7563458295857356E-3</v>
      </c>
      <c r="BU81" s="5">
        <v>1.0981436103317093E-2</v>
      </c>
      <c r="BV81" s="5">
        <v>1.528711223262838E-2</v>
      </c>
      <c r="BW81" s="5">
        <v>1.4636824963344825E-2</v>
      </c>
      <c r="BX81" s="5">
        <v>2.5331351617278629E-2</v>
      </c>
      <c r="BY81" s="5">
        <v>4.0204054667898996E-2</v>
      </c>
      <c r="BZ81" s="4">
        <v>2.4670095191021511E-2</v>
      </c>
      <c r="CA81" s="4">
        <v>1.6457211983384481E-2</v>
      </c>
      <c r="CB81" s="5">
        <v>1.1211183001138424E-2</v>
      </c>
      <c r="CC81" s="5">
        <v>2.1406406711425508E-2</v>
      </c>
      <c r="CD81" s="5">
        <v>3.1129558183774643E-2</v>
      </c>
      <c r="CE81" s="5">
        <v>3.3142807919690619E-2</v>
      </c>
      <c r="CF81" s="4">
        <v>2.0498270128079362E-2</v>
      </c>
      <c r="CG81" s="5">
        <v>1.409287944139441E-2</v>
      </c>
      <c r="CH81" s="5">
        <v>2.3141137245690533E-2</v>
      </c>
      <c r="CJ81" s="3" t="s">
        <v>192</v>
      </c>
      <c r="CK81" s="3" t="s">
        <v>133</v>
      </c>
      <c r="CL81" s="5">
        <v>1.4202973334471864E-2</v>
      </c>
      <c r="CM81" s="5">
        <v>1.4889797194046161E-2</v>
      </c>
      <c r="CN81" s="5">
        <v>1.4428803621363805E-2</v>
      </c>
      <c r="CO81" s="5">
        <v>2.0533371627082041E-2</v>
      </c>
      <c r="CP81" s="4">
        <v>1.7488883579796791E-2</v>
      </c>
      <c r="CQ81" s="5">
        <v>2.7592472475838178E-2</v>
      </c>
      <c r="CR81" s="5">
        <v>2.7736444845542198E-2</v>
      </c>
      <c r="CS81" s="5">
        <v>2.8755029535917312E-2</v>
      </c>
      <c r="CT81" s="5">
        <v>3.5839650860870896E-2</v>
      </c>
      <c r="CU81" s="5">
        <v>2.6666727299539582E-2</v>
      </c>
      <c r="CV81" s="5">
        <v>4.1672516141882041E-2</v>
      </c>
      <c r="CW81" s="5">
        <v>4.2254582404447731E-2</v>
      </c>
      <c r="CX81" s="5">
        <v>2.1769327179791503E-2</v>
      </c>
      <c r="CY81" s="5">
        <v>1.5105584347913665E-2</v>
      </c>
      <c r="CZ81" s="5">
        <v>1.3844629930201299E-2</v>
      </c>
      <c r="DA81" s="5">
        <v>2.1136599886766562E-2</v>
      </c>
      <c r="DB81" s="5">
        <v>1.3358149729387064E-2</v>
      </c>
      <c r="DC81" s="5">
        <v>1.4451471786370719E-2</v>
      </c>
      <c r="DD81" s="5">
        <v>4.1203212359995259E-2</v>
      </c>
      <c r="DE81" s="5">
        <v>5.4669136091198278E-2</v>
      </c>
      <c r="DF81" s="5">
        <v>4.0413030303872187E-2</v>
      </c>
      <c r="DG81" s="5">
        <v>1.9633679660662404E-2</v>
      </c>
      <c r="DH81" s="5">
        <v>6.6331202514553864E-2</v>
      </c>
      <c r="DI81" s="5">
        <v>5.2148082716399119E-2</v>
      </c>
      <c r="DJ81" s="5">
        <v>1.4627036500150858E-2</v>
      </c>
      <c r="DK81" s="5">
        <v>5.5890991819385616E-2</v>
      </c>
      <c r="DL81" s="5">
        <v>6.4020531217721693E-2</v>
      </c>
      <c r="DM81" s="5">
        <v>4.3420159335004441E-2</v>
      </c>
      <c r="DN81" s="5">
        <v>1.0224487967408678E-2</v>
      </c>
      <c r="DO81" s="4">
        <v>2.4623853277494633E-2</v>
      </c>
      <c r="DP81" s="5">
        <v>2.6974613970259031E-2</v>
      </c>
      <c r="DQ81" s="5">
        <v>4.5554825644279581E-2</v>
      </c>
      <c r="DR81" s="5">
        <v>6.2859468358323081E-2</v>
      </c>
      <c r="DS81" s="5">
        <v>5.0430667257296315E-2</v>
      </c>
      <c r="DT81" s="4">
        <v>1.9942461209680469E-2</v>
      </c>
      <c r="DU81" s="5">
        <v>7.6525107032637263E-3</v>
      </c>
      <c r="DV81" s="5">
        <v>2.0247012471380711E-2</v>
      </c>
      <c r="DW81" s="5">
        <v>3.5591143013572857E-2</v>
      </c>
      <c r="DX81" s="5">
        <v>3.3966410430421097E-2</v>
      </c>
      <c r="DY81" s="5">
        <v>2.6796419397750054E-2</v>
      </c>
      <c r="EA81" s="3" t="s">
        <v>192</v>
      </c>
      <c r="EB81" s="3" t="s">
        <v>134</v>
      </c>
      <c r="EC81" s="5">
        <v>0.14921392829925134</v>
      </c>
      <c r="ED81" s="5">
        <v>0.1485681301758397</v>
      </c>
      <c r="EE81" s="5">
        <v>0.14354559093016458</v>
      </c>
      <c r="EF81" s="5">
        <v>0.12361253004372481</v>
      </c>
      <c r="EG81" s="5">
        <v>0.11987561509376116</v>
      </c>
      <c r="EH81" s="5">
        <v>0.12055249387570065</v>
      </c>
      <c r="EI81" s="5">
        <v>0.13311800151585604</v>
      </c>
      <c r="EJ81" s="5">
        <v>0.13537050187045943</v>
      </c>
      <c r="EK81" s="5">
        <v>0.13257938723787194</v>
      </c>
      <c r="EL81" s="5">
        <v>0.1349953339813614</v>
      </c>
      <c r="EM81" s="5">
        <v>0.18475289934976483</v>
      </c>
      <c r="EN81" s="5">
        <v>0.20499323341828873</v>
      </c>
      <c r="EO81" s="5">
        <v>0.2244573567122711</v>
      </c>
      <c r="EP81" s="5">
        <v>0.2036371745564565</v>
      </c>
      <c r="EQ81" s="5">
        <v>0.17465083933650938</v>
      </c>
      <c r="ER81" s="5">
        <v>0.1664866615404722</v>
      </c>
      <c r="ES81" s="4">
        <v>0.17121178070302309</v>
      </c>
      <c r="ET81" s="5">
        <v>0.1742542488734807</v>
      </c>
      <c r="EU81" s="5">
        <v>0.16426556770086728</v>
      </c>
      <c r="EV81" s="5">
        <v>0.15422879140131299</v>
      </c>
      <c r="EW81" s="5">
        <v>0.21185708586755714</v>
      </c>
      <c r="EX81" s="5">
        <v>0.21934065331400937</v>
      </c>
      <c r="EY81" s="5">
        <v>0.23024306730117378</v>
      </c>
      <c r="EZ81" s="5">
        <v>0.23122669106544752</v>
      </c>
      <c r="FA81" s="5">
        <v>0.22117696198039402</v>
      </c>
      <c r="FB81" s="5">
        <v>0.21327319026960451</v>
      </c>
      <c r="FC81" s="5">
        <v>0.18616562473694831</v>
      </c>
      <c r="FD81" s="4">
        <v>0.20912383388946026</v>
      </c>
      <c r="FE81" s="5">
        <v>0.25050840908109567</v>
      </c>
      <c r="FF81" s="5">
        <v>0.24047319210337367</v>
      </c>
      <c r="FG81" s="5">
        <v>0.13329030423361876</v>
      </c>
      <c r="FH81" s="5">
        <v>0.13720662047643728</v>
      </c>
      <c r="FI81" s="5">
        <v>0.12749822003122571</v>
      </c>
      <c r="FJ81" s="5">
        <v>0.13824846146544884</v>
      </c>
      <c r="FK81" s="5">
        <v>0.14262458176252349</v>
      </c>
      <c r="FL81" s="5">
        <v>0.13417248699249149</v>
      </c>
      <c r="FM81" s="5">
        <v>0.13792888194469088</v>
      </c>
      <c r="FN81" s="5">
        <v>0.13425322518441257</v>
      </c>
      <c r="FO81" s="5">
        <v>0.13756811462881824</v>
      </c>
      <c r="FP81" s="5">
        <v>0.13993077977646676</v>
      </c>
      <c r="FZ81" s="3" t="s">
        <v>192</v>
      </c>
      <c r="GA81" s="5">
        <v>0.50314580485271332</v>
      </c>
      <c r="GB81" s="5">
        <v>0.48434130015868532</v>
      </c>
      <c r="GC81" s="4">
        <v>0.47864974636808755</v>
      </c>
      <c r="GD81" s="5">
        <v>0.46987590690910069</v>
      </c>
      <c r="GE81" s="5">
        <v>0.46785748250533915</v>
      </c>
      <c r="GF81" s="5">
        <v>0.47570286111611404</v>
      </c>
      <c r="GG81" s="5">
        <v>0.464269157342174</v>
      </c>
      <c r="GH81" s="5">
        <v>0.45415055880723099</v>
      </c>
      <c r="GI81" s="5">
        <v>0.47948753428755075</v>
      </c>
      <c r="GJ81" s="5">
        <v>0.49274492176567319</v>
      </c>
      <c r="GK81" s="4">
        <v>0.32817765552033384</v>
      </c>
      <c r="GL81" s="5">
        <v>0.30775539416309605</v>
      </c>
      <c r="GM81" s="5">
        <v>0.31835889462199807</v>
      </c>
      <c r="GN81" s="5">
        <v>0.35759451997761749</v>
      </c>
      <c r="GO81" s="5">
        <v>0.38462021179187245</v>
      </c>
      <c r="GP81" s="5">
        <v>0.38755041495485865</v>
      </c>
      <c r="GQ81" s="5">
        <v>0.38575682304797848</v>
      </c>
      <c r="GR81" s="5">
        <v>0.35717601034518531</v>
      </c>
      <c r="GS81" s="5">
        <v>0.33362054643548722</v>
      </c>
      <c r="GT81" s="4">
        <v>0.33083221431781468</v>
      </c>
      <c r="GU81" s="4">
        <v>0.15682730866127442</v>
      </c>
      <c r="GV81" s="5">
        <v>0.15607921439173367</v>
      </c>
      <c r="GW81" s="5">
        <v>0.17460757280494296</v>
      </c>
      <c r="GX81" s="5">
        <v>0.20264430339268319</v>
      </c>
      <c r="GY81" s="5">
        <v>0.23012181728254735</v>
      </c>
      <c r="GZ81" s="5">
        <v>0.24312124291551623</v>
      </c>
      <c r="HA81" s="5">
        <v>0.24166272062906813</v>
      </c>
      <c r="HB81" s="5">
        <v>0.21939910436407106</v>
      </c>
      <c r="HC81" s="5">
        <v>0.18532767743773357</v>
      </c>
      <c r="HD81" s="4">
        <v>0.16359337788717729</v>
      </c>
      <c r="HE81" s="5">
        <v>0.38199109474377507</v>
      </c>
      <c r="HF81" s="4">
        <v>0.37809214443743949</v>
      </c>
      <c r="HG81" s="5">
        <v>0.37566296167306684</v>
      </c>
      <c r="HH81" s="5">
        <v>0.39384752641676124</v>
      </c>
      <c r="HI81" s="5">
        <v>0.42471343320669019</v>
      </c>
      <c r="HJ81" s="5">
        <v>0.4359011623974352</v>
      </c>
      <c r="HK81" s="5">
        <v>0.42291519549266948</v>
      </c>
      <c r="HL81" s="5">
        <v>0.39787307914130798</v>
      </c>
      <c r="HM81" s="4">
        <v>0.39763781053936437</v>
      </c>
      <c r="HN81" s="5">
        <v>0.38771415405765891</v>
      </c>
      <c r="HP81" s="3" t="s">
        <v>211</v>
      </c>
      <c r="HQ81" s="3" t="s">
        <v>140</v>
      </c>
      <c r="HR81" s="3" t="s">
        <v>141</v>
      </c>
      <c r="HS81" s="5">
        <v>0.5542190255489049</v>
      </c>
    </row>
    <row r="82" spans="2:227" x14ac:dyDescent="0.45">
      <c r="B82" s="6" t="s">
        <v>194</v>
      </c>
      <c r="C82" s="6" t="s">
        <v>131</v>
      </c>
      <c r="D82" s="8">
        <v>0.24432909476394693</v>
      </c>
      <c r="E82" s="8">
        <v>0.25127113367094628</v>
      </c>
      <c r="F82" s="8">
        <v>0.24623923130359054</v>
      </c>
      <c r="G82" s="8">
        <v>0.26800314527544228</v>
      </c>
      <c r="H82" s="8">
        <v>0.29244117366417532</v>
      </c>
      <c r="I82" s="8">
        <v>0.27903169016693563</v>
      </c>
      <c r="J82" s="8">
        <v>0.28221893224022948</v>
      </c>
      <c r="K82" s="8">
        <v>0.27310152118469067</v>
      </c>
      <c r="L82" s="8">
        <v>0.26732652850550698</v>
      </c>
      <c r="M82" s="8">
        <v>0.25598346778381664</v>
      </c>
      <c r="N82" s="8">
        <v>0.28089558790489766</v>
      </c>
      <c r="O82" s="8">
        <v>0.29515810614664584</v>
      </c>
      <c r="P82" s="8">
        <v>0.31502410441838363</v>
      </c>
      <c r="Q82" s="8">
        <v>0.33508677793352343</v>
      </c>
      <c r="R82" s="8">
        <v>0.32790026310932757</v>
      </c>
      <c r="S82" s="8">
        <v>0.31187144732018263</v>
      </c>
      <c r="T82" s="8">
        <v>0.29377101877696227</v>
      </c>
      <c r="U82" s="8">
        <v>0.29195881356270248</v>
      </c>
      <c r="V82" s="8">
        <v>0.27516533328371567</v>
      </c>
      <c r="W82" s="8">
        <v>0.27607477550975495</v>
      </c>
      <c r="X82" s="8">
        <v>0.29612435722813008</v>
      </c>
      <c r="Y82" s="8">
        <v>0.31316919339206062</v>
      </c>
      <c r="Z82" s="8">
        <v>0.36411954823943515</v>
      </c>
      <c r="AA82" s="8">
        <v>0.36879503772831257</v>
      </c>
      <c r="AB82" s="8">
        <v>0.35086578510427002</v>
      </c>
      <c r="AC82" s="8">
        <v>0.32961896666087181</v>
      </c>
      <c r="AD82" s="8">
        <v>0.30539338285358086</v>
      </c>
      <c r="AE82" s="8">
        <v>0.29161020055970643</v>
      </c>
      <c r="AF82" s="8">
        <v>0.28262388905726887</v>
      </c>
      <c r="AG82" s="8">
        <v>0.26829803114366946</v>
      </c>
      <c r="AH82" s="8">
        <v>0.31491863438527684</v>
      </c>
      <c r="AI82" s="8">
        <v>0.32922811120600487</v>
      </c>
      <c r="AJ82" s="8">
        <v>0.31624247184382126</v>
      </c>
      <c r="AK82" s="8">
        <v>0.32030308158419429</v>
      </c>
      <c r="AL82" s="8">
        <v>0.32981745505976862</v>
      </c>
      <c r="AM82" s="8">
        <v>0.31842510936610074</v>
      </c>
      <c r="AN82" s="8">
        <v>0.30529361797994903</v>
      </c>
      <c r="AO82" s="8">
        <v>0.29790143921550172</v>
      </c>
      <c r="AP82" s="8">
        <v>0.29301460495274889</v>
      </c>
      <c r="AQ82" s="8">
        <v>0.30389575678531744</v>
      </c>
      <c r="AS82" s="6" t="s">
        <v>194</v>
      </c>
      <c r="AT82" s="6" t="s">
        <v>132</v>
      </c>
      <c r="AU82" s="8">
        <v>1.1959388906680942E-2</v>
      </c>
      <c r="AV82" s="7">
        <v>1.4935097144674158E-2</v>
      </c>
      <c r="AW82" s="8">
        <v>2.0319477777912525E-2</v>
      </c>
      <c r="AX82" s="8">
        <v>2.7934679942489958E-2</v>
      </c>
      <c r="AY82" s="8">
        <v>2.9336018829989367E-2</v>
      </c>
      <c r="AZ82" s="8">
        <v>8.345220962273343E-3</v>
      </c>
      <c r="BA82" s="8">
        <v>1.2331501678292544E-2</v>
      </c>
      <c r="BB82" s="8">
        <v>1.8828339659131485E-2</v>
      </c>
      <c r="BC82" s="8">
        <v>2.8159358416087413E-2</v>
      </c>
      <c r="BD82" s="8">
        <v>2.0832828045494411E-2</v>
      </c>
      <c r="BE82" s="8">
        <v>1.3828132065796016E-2</v>
      </c>
      <c r="BF82" s="8">
        <v>1.6564757974820498E-2</v>
      </c>
      <c r="BG82" s="8">
        <v>2.3309617943536674E-2</v>
      </c>
      <c r="BH82" s="8">
        <v>1.6578643175185138E-2</v>
      </c>
      <c r="BI82" s="8">
        <v>1.5072300619322916E-2</v>
      </c>
      <c r="BJ82" s="8">
        <v>8.5362328415628588E-3</v>
      </c>
      <c r="BK82" s="8">
        <v>1.3668819290641523E-2</v>
      </c>
      <c r="BL82" s="7">
        <v>1.7097040903086433E-2</v>
      </c>
      <c r="BM82" s="8">
        <v>9.1108667669936617E-3</v>
      </c>
      <c r="BN82" s="8">
        <v>1.7310429229534623E-2</v>
      </c>
      <c r="BO82" s="8">
        <v>3.36479506508187E-2</v>
      </c>
      <c r="BP82" s="8">
        <v>1.5207205622112962E-2</v>
      </c>
      <c r="BQ82" s="8">
        <v>3.6948575942159841E-2</v>
      </c>
      <c r="BR82" s="8">
        <v>4.5966260979349791E-2</v>
      </c>
      <c r="BS82" s="8">
        <v>2.6333187063553795E-2</v>
      </c>
      <c r="BT82" s="7">
        <v>8.6554383104641298E-3</v>
      </c>
      <c r="BU82" s="8">
        <v>1.7962332234925993E-2</v>
      </c>
      <c r="BV82" s="8">
        <v>1.401146654515336E-2</v>
      </c>
      <c r="BW82" s="8">
        <v>1.365071620099171E-2</v>
      </c>
      <c r="BX82" s="8">
        <v>1.8127442321509053E-2</v>
      </c>
      <c r="BY82" s="8">
        <v>1.770717900707524E-2</v>
      </c>
      <c r="BZ82" s="7">
        <v>2.0056017609203905E-2</v>
      </c>
      <c r="CA82" s="7">
        <v>2.920969648546869E-2</v>
      </c>
      <c r="CB82" s="8">
        <v>3.4338291384825574E-2</v>
      </c>
      <c r="CC82" s="8">
        <v>4.2462995098343205E-2</v>
      </c>
      <c r="CD82" s="8">
        <v>2.9152353860449599E-2</v>
      </c>
      <c r="CE82" s="8">
        <v>2.4808442032428189E-2</v>
      </c>
      <c r="CF82" s="7">
        <v>2.4621017407663266E-2</v>
      </c>
      <c r="CG82" s="8">
        <v>1.8435890884642758E-2</v>
      </c>
      <c r="CH82" s="8">
        <v>2.2634210626213663E-2</v>
      </c>
      <c r="CJ82" s="6" t="s">
        <v>194</v>
      </c>
      <c r="CK82" s="6" t="s">
        <v>133</v>
      </c>
      <c r="CL82" s="8">
        <v>2.2659891594408257E-2</v>
      </c>
      <c r="CM82" s="8">
        <v>1.4972147214529438E-2</v>
      </c>
      <c r="CN82" s="8">
        <v>1.5588507280721536E-2</v>
      </c>
      <c r="CO82" s="8">
        <v>1.9381923295937062E-2</v>
      </c>
      <c r="CP82" s="7">
        <v>2.6094265435179002E-2</v>
      </c>
      <c r="CQ82" s="8">
        <v>3.9288313110301912E-2</v>
      </c>
      <c r="CR82" s="8">
        <v>1.9486598979471012E-2</v>
      </c>
      <c r="CS82" s="8">
        <v>1.7171558042454488E-2</v>
      </c>
      <c r="CT82" s="8">
        <v>1.5830424765862109E-2</v>
      </c>
      <c r="CU82" s="8">
        <v>2.7307247215580279E-2</v>
      </c>
      <c r="CV82" s="8">
        <v>8.8963903837472394E-3</v>
      </c>
      <c r="CW82" s="8">
        <v>1.4822288696085947E-2</v>
      </c>
      <c r="CX82" s="8">
        <v>2.4229567756413804E-2</v>
      </c>
      <c r="CY82" s="8">
        <v>3.2606193556937252E-2</v>
      </c>
      <c r="CZ82" s="8">
        <v>3.7799099040758094E-2</v>
      </c>
      <c r="DA82" s="8">
        <v>2.7203217291827776E-2</v>
      </c>
      <c r="DB82" s="8">
        <v>1.3425502851626097E-2</v>
      </c>
      <c r="DC82" s="8">
        <v>9.9099637384565276E-3</v>
      </c>
      <c r="DD82" s="8">
        <v>2.0480177348718834E-2</v>
      </c>
      <c r="DE82" s="8">
        <v>1.1679650859509545E-2</v>
      </c>
      <c r="DF82" s="8">
        <v>2.5816238596710291E-2</v>
      </c>
      <c r="DG82" s="8">
        <v>3.7623077249098115E-2</v>
      </c>
      <c r="DH82" s="8">
        <v>4.1286926550234408E-2</v>
      </c>
      <c r="DI82" s="8">
        <v>3.2104219129775215E-2</v>
      </c>
      <c r="DJ82" s="8">
        <v>4.5513190664992813E-2</v>
      </c>
      <c r="DK82" s="8">
        <v>4.5070073182445228E-2</v>
      </c>
      <c r="DL82" s="8">
        <v>2.615211741195134E-2</v>
      </c>
      <c r="DM82" s="8">
        <v>2.9274095309694277E-2</v>
      </c>
      <c r="DN82" s="8">
        <v>2.1112163464445124E-2</v>
      </c>
      <c r="DO82" s="7">
        <v>1.3952419630343037E-2</v>
      </c>
      <c r="DP82" s="8">
        <v>1.9463728528244729E-2</v>
      </c>
      <c r="DQ82" s="8">
        <v>2.7708772009486272E-2</v>
      </c>
      <c r="DR82" s="8">
        <v>1.4361804720578577E-2</v>
      </c>
      <c r="DS82" s="8">
        <v>2.9660491266747167E-2</v>
      </c>
      <c r="DT82" s="7">
        <v>3.7292254357788282E-2</v>
      </c>
      <c r="DU82" s="8">
        <v>4.4319971453476929E-2</v>
      </c>
      <c r="DV82" s="8">
        <v>3.7519726151571238E-2</v>
      </c>
      <c r="DW82" s="8">
        <v>4.5931772951184814E-2</v>
      </c>
      <c r="DX82" s="8">
        <v>3.2854322541312181E-2</v>
      </c>
      <c r="DY82" s="8">
        <v>2.9841435522321779E-2</v>
      </c>
      <c r="EA82" s="6" t="s">
        <v>194</v>
      </c>
      <c r="EB82" s="6" t="s">
        <v>134</v>
      </c>
      <c r="EC82" s="8">
        <v>0.10227153326500454</v>
      </c>
      <c r="ED82" s="8">
        <v>0.11453687555681927</v>
      </c>
      <c r="EE82" s="8">
        <v>0.10739626100222767</v>
      </c>
      <c r="EF82" s="8">
        <v>0.11745367317219536</v>
      </c>
      <c r="EG82" s="8">
        <v>0.12471627825237128</v>
      </c>
      <c r="EH82" s="8">
        <v>0.1188252037877057</v>
      </c>
      <c r="EI82" s="8">
        <v>0.13080635177804728</v>
      </c>
      <c r="EJ82" s="8">
        <v>0.1248242318989574</v>
      </c>
      <c r="EK82" s="8">
        <v>0.1125155394998195</v>
      </c>
      <c r="EL82" s="8">
        <v>9.8873278538882822E-2</v>
      </c>
      <c r="EM82" s="8">
        <v>0.13908450783684101</v>
      </c>
      <c r="EN82" s="8">
        <v>0.13997596211855562</v>
      </c>
      <c r="EO82" s="8">
        <v>0.13837643438329872</v>
      </c>
      <c r="EP82" s="8">
        <v>0.14860685121443309</v>
      </c>
      <c r="EQ82" s="8">
        <v>0.14720407567971402</v>
      </c>
      <c r="ER82" s="8">
        <v>0.15545623151933929</v>
      </c>
      <c r="ES82" s="7">
        <v>0.14931351220090175</v>
      </c>
      <c r="ET82" s="8">
        <v>0.14834059861865376</v>
      </c>
      <c r="EU82" s="8">
        <v>0.13628556828324395</v>
      </c>
      <c r="EV82" s="8">
        <v>0.12964694330678089</v>
      </c>
      <c r="EW82" s="8">
        <v>0.12899510400801273</v>
      </c>
      <c r="EX82" s="8">
        <v>0.13230208542523123</v>
      </c>
      <c r="EY82" s="8">
        <v>0.14053014253805551</v>
      </c>
      <c r="EZ82" s="8">
        <v>0.16034605387643794</v>
      </c>
      <c r="FA82" s="8">
        <v>0.15560204067789035</v>
      </c>
      <c r="FB82" s="8">
        <v>0.15382537084432352</v>
      </c>
      <c r="FC82" s="8">
        <v>0.14271748593356992</v>
      </c>
      <c r="FD82" s="7">
        <v>0.13831504381480941</v>
      </c>
      <c r="FE82" s="8">
        <v>0.14485597338135403</v>
      </c>
      <c r="FF82" s="8">
        <v>0.13792896403161406</v>
      </c>
      <c r="FG82" s="8">
        <v>0.14852375535601073</v>
      </c>
      <c r="FH82" s="8">
        <v>0.15232375229956749</v>
      </c>
      <c r="FI82" s="8">
        <v>0.14963800974904964</v>
      </c>
      <c r="FJ82" s="8">
        <v>0.13132072241037782</v>
      </c>
      <c r="FK82" s="8">
        <v>0.12909677505382561</v>
      </c>
      <c r="FL82" s="8">
        <v>0.12206042884181184</v>
      </c>
      <c r="FM82" s="8">
        <v>0.12503403562040738</v>
      </c>
      <c r="FN82" s="8">
        <v>0.11372814020666402</v>
      </c>
      <c r="FO82" s="8">
        <v>0.1278837546940278</v>
      </c>
      <c r="FP82" s="8">
        <v>0.12954978436093581</v>
      </c>
      <c r="FZ82" s="6" t="s">
        <v>194</v>
      </c>
      <c r="GA82" s="8">
        <v>0.52219765235215543</v>
      </c>
      <c r="GB82" s="8">
        <v>0.51063647207406526</v>
      </c>
      <c r="GC82" s="7">
        <v>0.51347009400744559</v>
      </c>
      <c r="GD82" s="8">
        <v>0.48939213278833227</v>
      </c>
      <c r="GE82" s="8">
        <v>0.47498447698844759</v>
      </c>
      <c r="GF82" s="8">
        <v>0.49495589754722319</v>
      </c>
      <c r="GG82" s="8">
        <v>0.49142382520251021</v>
      </c>
      <c r="GH82" s="8">
        <v>0.49765529315238693</v>
      </c>
      <c r="GI82" s="8">
        <v>0.51633795316300535</v>
      </c>
      <c r="GJ82" s="8">
        <v>0.51697651887156082</v>
      </c>
      <c r="GK82" s="7">
        <v>0.45345760585300304</v>
      </c>
      <c r="GL82" s="8">
        <v>0.43857077836263419</v>
      </c>
      <c r="GM82" s="8">
        <v>0.44122126586189386</v>
      </c>
      <c r="GN82" s="8">
        <v>0.43688539572216095</v>
      </c>
      <c r="GO82" s="8">
        <v>0.43175329197598145</v>
      </c>
      <c r="GP82" s="8">
        <v>0.45045797656678704</v>
      </c>
      <c r="GQ82" s="8">
        <v>0.46908580495992369</v>
      </c>
      <c r="GR82" s="8">
        <v>0.45669382479595</v>
      </c>
      <c r="GS82" s="8">
        <v>0.46235977447636101</v>
      </c>
      <c r="GT82" s="7">
        <v>0.45605827613356065</v>
      </c>
      <c r="GU82" s="7">
        <v>0.32046825749046343</v>
      </c>
      <c r="GV82" s="8">
        <v>0.29709579987700002</v>
      </c>
      <c r="GW82" s="8">
        <v>0.29364699200377148</v>
      </c>
      <c r="GX82" s="8">
        <v>0.28303718703254643</v>
      </c>
      <c r="GY82" s="8">
        <v>0.2842667706607534</v>
      </c>
      <c r="GZ82" s="8">
        <v>0.31508478490714287</v>
      </c>
      <c r="HA82" s="8">
        <v>0.33743595493483958</v>
      </c>
      <c r="HB82" s="8">
        <v>0.33614606306697853</v>
      </c>
      <c r="HC82" s="8">
        <v>0.34063006139635837</v>
      </c>
      <c r="HD82" s="7">
        <v>0.33653781607240435</v>
      </c>
      <c r="HE82" s="8">
        <v>0.42855448712500999</v>
      </c>
      <c r="HF82" s="7">
        <v>0.41684969614381928</v>
      </c>
      <c r="HG82" s="8">
        <v>0.42414214897274743</v>
      </c>
      <c r="HH82" s="8">
        <v>0.4136365580510814</v>
      </c>
      <c r="HI82" s="8">
        <v>0.42117083888796658</v>
      </c>
      <c r="HJ82" s="8">
        <v>0.44473202659869793</v>
      </c>
      <c r="HK82" s="8">
        <v>0.44839766195367936</v>
      </c>
      <c r="HL82" s="8">
        <v>0.4589475053032584</v>
      </c>
      <c r="HM82" s="7">
        <v>0.46086604980195478</v>
      </c>
      <c r="HN82" s="8">
        <v>0.44318446830682023</v>
      </c>
      <c r="HP82" s="6" t="s">
        <v>212</v>
      </c>
      <c r="HQ82" s="6" t="s">
        <v>140</v>
      </c>
      <c r="HR82" s="6" t="s">
        <v>141</v>
      </c>
      <c r="HS82" s="8">
        <v>0.61385057028210555</v>
      </c>
    </row>
    <row r="83" spans="2:227" x14ac:dyDescent="0.45">
      <c r="B83" s="3" t="s">
        <v>196</v>
      </c>
      <c r="C83" s="3" t="s">
        <v>131</v>
      </c>
      <c r="D83" s="5">
        <v>0.2747230380492604</v>
      </c>
      <c r="E83" s="5">
        <v>0.26948841513963678</v>
      </c>
      <c r="F83" s="5">
        <v>0.26537271324005152</v>
      </c>
      <c r="G83" s="5">
        <v>0.26758799142901546</v>
      </c>
      <c r="H83" s="5">
        <v>0.27557546514456094</v>
      </c>
      <c r="I83" s="5">
        <v>0.28088138552898384</v>
      </c>
      <c r="J83" s="5">
        <v>0.28068485400312343</v>
      </c>
      <c r="K83" s="5">
        <v>0.26614159572164614</v>
      </c>
      <c r="L83" s="5">
        <v>0.26083241548487857</v>
      </c>
      <c r="M83" s="5">
        <v>0.2716809551324692</v>
      </c>
      <c r="N83" s="5">
        <v>0.29582637204925233</v>
      </c>
      <c r="O83" s="5">
        <v>0.30425612802775154</v>
      </c>
      <c r="P83" s="5">
        <v>0.31762279242982439</v>
      </c>
      <c r="Q83" s="5">
        <v>0.31021446931255359</v>
      </c>
      <c r="R83" s="5">
        <v>0.29166049589833093</v>
      </c>
      <c r="S83" s="5">
        <v>0.28334120746896846</v>
      </c>
      <c r="T83" s="5">
        <v>0.28729329128611086</v>
      </c>
      <c r="U83" s="5">
        <v>0.29650384993398804</v>
      </c>
      <c r="V83" s="5">
        <v>0.29022614001785857</v>
      </c>
      <c r="W83" s="5">
        <v>0.28873145008186113</v>
      </c>
      <c r="X83" s="5">
        <v>0.37008157108759487</v>
      </c>
      <c r="Y83" s="5">
        <v>0.37578196469489022</v>
      </c>
      <c r="Z83" s="5">
        <v>0.41321664492191307</v>
      </c>
      <c r="AA83" s="5">
        <v>0.41895007667278555</v>
      </c>
      <c r="AB83" s="5">
        <v>0.41931984931440186</v>
      </c>
      <c r="AC83" s="5">
        <v>0.40501407851862392</v>
      </c>
      <c r="AD83" s="5">
        <v>0.3759161858472671</v>
      </c>
      <c r="AE83" s="5">
        <v>0.35622042972584045</v>
      </c>
      <c r="AF83" s="5">
        <v>0.33512613069393121</v>
      </c>
      <c r="AG83" s="5">
        <v>0.34747039491484955</v>
      </c>
      <c r="AH83" s="5">
        <v>0.24581956796711643</v>
      </c>
      <c r="AI83" s="5">
        <v>0.26874428578922799</v>
      </c>
      <c r="AJ83" s="5">
        <v>0.27497988627964864</v>
      </c>
      <c r="AK83" s="5">
        <v>0.27643937793834672</v>
      </c>
      <c r="AL83" s="5">
        <v>0.27407231411438387</v>
      </c>
      <c r="AM83" s="5">
        <v>0.27908815976195078</v>
      </c>
      <c r="AN83" s="5">
        <v>0.2623681123867142</v>
      </c>
      <c r="AO83" s="5">
        <v>0.24922221220975191</v>
      </c>
      <c r="AP83" s="5">
        <v>0.23955301502397827</v>
      </c>
      <c r="AQ83" s="5">
        <v>0.23040676597431661</v>
      </c>
      <c r="AS83" s="3" t="s">
        <v>196</v>
      </c>
      <c r="AT83" s="3" t="s">
        <v>132</v>
      </c>
      <c r="AU83" s="5">
        <v>1.1760338192442186E-2</v>
      </c>
      <c r="AV83" s="4">
        <v>1.2543623055497067E-2</v>
      </c>
      <c r="AW83" s="5">
        <v>6.6669698906162657E-3</v>
      </c>
      <c r="AX83" s="5">
        <v>1.0830222540593296E-2</v>
      </c>
      <c r="AY83" s="5">
        <v>1.4281133672933726E-2</v>
      </c>
      <c r="AZ83" s="5">
        <v>1.5074501136410842E-2</v>
      </c>
      <c r="BA83" s="5">
        <v>1.5431723858129333E-2</v>
      </c>
      <c r="BB83" s="5">
        <v>1.2547466069293522E-2</v>
      </c>
      <c r="BC83" s="5">
        <v>6.8331022354696774E-3</v>
      </c>
      <c r="BD83" s="5">
        <v>2.0236268964292221E-2</v>
      </c>
      <c r="BE83" s="5">
        <v>1.6266236215464466E-2</v>
      </c>
      <c r="BF83" s="5">
        <v>2.911807055196209E-2</v>
      </c>
      <c r="BG83" s="5">
        <v>1.8856653370760305E-2</v>
      </c>
      <c r="BH83" s="5">
        <v>2.6327699966111198E-2</v>
      </c>
      <c r="BI83" s="5">
        <v>2.4490886099703877E-2</v>
      </c>
      <c r="BJ83" s="5">
        <v>1.1087605889911298E-2</v>
      </c>
      <c r="BK83" s="5">
        <v>1.0971494383970109E-2</v>
      </c>
      <c r="BL83" s="4">
        <v>1.3039694054138296E-2</v>
      </c>
      <c r="BM83" s="5">
        <v>1.9161656349926691E-2</v>
      </c>
      <c r="BN83" s="5">
        <v>9.8673164382062049E-3</v>
      </c>
      <c r="BO83" s="5">
        <v>3.9130267141716892E-2</v>
      </c>
      <c r="BP83" s="5">
        <v>4.0216055127778941E-2</v>
      </c>
      <c r="BQ83" s="5">
        <v>5.6191185243724517E-2</v>
      </c>
      <c r="BR83" s="5">
        <v>5.2568403133655232E-2</v>
      </c>
      <c r="BS83" s="5">
        <v>2.3235509673523762E-2</v>
      </c>
      <c r="BT83" s="4">
        <v>1.4380515223044265E-2</v>
      </c>
      <c r="BU83" s="5">
        <v>2.173751398884154E-2</v>
      </c>
      <c r="BV83" s="5">
        <v>1.9221923397828678E-2</v>
      </c>
      <c r="BW83" s="5">
        <v>7.1381915953923894E-3</v>
      </c>
      <c r="BX83" s="5">
        <v>1.7565123632149411E-2</v>
      </c>
      <c r="BY83" s="5">
        <v>1.5867599348235631E-2</v>
      </c>
      <c r="BZ83" s="4">
        <v>2.5536829866170275E-2</v>
      </c>
      <c r="CA83" s="4">
        <v>2.0522186550012016E-2</v>
      </c>
      <c r="CB83" s="5">
        <v>1.3569243798784303E-2</v>
      </c>
      <c r="CC83" s="5">
        <v>2.541777586715253E-2</v>
      </c>
      <c r="CD83" s="5">
        <v>3.8512858546216125E-2</v>
      </c>
      <c r="CE83" s="5">
        <v>2.7839570001878061E-2</v>
      </c>
      <c r="CF83" s="4">
        <v>1.1551735520426105E-2</v>
      </c>
      <c r="CG83" s="5">
        <v>8.7655986779420717E-3</v>
      </c>
      <c r="CH83" s="5">
        <v>1.6530640653005739E-2</v>
      </c>
      <c r="CJ83" s="3" t="s">
        <v>196</v>
      </c>
      <c r="CK83" s="3" t="s">
        <v>133</v>
      </c>
      <c r="CL83" s="5">
        <v>2.2267123170847173E-2</v>
      </c>
      <c r="CM83" s="5">
        <v>2.1710995182300963E-2</v>
      </c>
      <c r="CN83" s="5">
        <v>2.2514881175638712E-2</v>
      </c>
      <c r="CO83" s="5">
        <v>1.7908919043844999E-2</v>
      </c>
      <c r="CP83" s="4">
        <v>1.273455259271244E-2</v>
      </c>
      <c r="CQ83" s="5">
        <v>8.2065303207734235E-3</v>
      </c>
      <c r="CR83" s="5">
        <v>1.6303694823457851E-2</v>
      </c>
      <c r="CS83" s="5">
        <v>2.0457937115493763E-2</v>
      </c>
      <c r="CT83" s="5">
        <v>1.8916459829518627E-2</v>
      </c>
      <c r="CU83" s="5">
        <v>1.1442018904434439E-2</v>
      </c>
      <c r="CV83" s="5">
        <v>1.6095273535706851E-2</v>
      </c>
      <c r="CW83" s="5">
        <v>6.9865809500422558E-3</v>
      </c>
      <c r="CX83" s="5">
        <v>3.0082857141375693E-2</v>
      </c>
      <c r="CY83" s="5">
        <v>2.6614248083797757E-2</v>
      </c>
      <c r="CZ83" s="5">
        <v>1.7660915506056907E-2</v>
      </c>
      <c r="DA83" s="5">
        <v>2.6344115447852239E-2</v>
      </c>
      <c r="DB83" s="5">
        <v>2.8023551030877919E-2</v>
      </c>
      <c r="DC83" s="5">
        <v>2.475752700803922E-2</v>
      </c>
      <c r="DD83" s="5">
        <v>1.100083381675197E-2</v>
      </c>
      <c r="DE83" s="5">
        <v>1.9187231821799652E-2</v>
      </c>
      <c r="DF83" s="5">
        <v>1.7402414369281648E-2</v>
      </c>
      <c r="DG83" s="5">
        <v>5.007851183963833E-2</v>
      </c>
      <c r="DH83" s="5">
        <v>6.6744343021556587E-2</v>
      </c>
      <c r="DI83" s="5">
        <v>7.426300093496585E-2</v>
      </c>
      <c r="DJ83" s="5">
        <v>6.5905590732429478E-2</v>
      </c>
      <c r="DK83" s="5">
        <v>6.8084932351232891E-2</v>
      </c>
      <c r="DL83" s="5">
        <v>4.5967253553965033E-2</v>
      </c>
      <c r="DM83" s="5">
        <v>1.0429406697188792E-2</v>
      </c>
      <c r="DN83" s="5">
        <v>2.4087792073581606E-2</v>
      </c>
      <c r="DO83" s="4">
        <v>2.7326177733073689E-2</v>
      </c>
      <c r="DP83" s="5">
        <v>2.2246458385231552E-2</v>
      </c>
      <c r="DQ83" s="5">
        <v>2.3348225216318963E-2</v>
      </c>
      <c r="DR83" s="5">
        <v>2.6366502834594057E-2</v>
      </c>
      <c r="DS83" s="5">
        <v>3.5254388811541491E-2</v>
      </c>
      <c r="DT83" s="4">
        <v>1.8479045468349047E-2</v>
      </c>
      <c r="DU83" s="5">
        <v>1.2986575777067209E-2</v>
      </c>
      <c r="DV83" s="5">
        <v>2.6889587587678159E-2</v>
      </c>
      <c r="DW83" s="5">
        <v>4.2773415607712646E-2</v>
      </c>
      <c r="DX83" s="5">
        <v>3.4046211761090309E-2</v>
      </c>
      <c r="DY83" s="5">
        <v>9.8627168834253005E-3</v>
      </c>
      <c r="EA83" s="3" t="s">
        <v>196</v>
      </c>
      <c r="EB83" s="3" t="s">
        <v>134</v>
      </c>
      <c r="EC83" s="5">
        <v>0.11648106918468387</v>
      </c>
      <c r="ED83" s="5">
        <v>0.11710002243891021</v>
      </c>
      <c r="EE83" s="5">
        <v>0.11983612105209444</v>
      </c>
      <c r="EF83" s="5">
        <v>0.11692644264610487</v>
      </c>
      <c r="EG83" s="5">
        <v>0.12439020580370455</v>
      </c>
      <c r="EH83" s="5">
        <v>0.12935900412203977</v>
      </c>
      <c r="EI83" s="5">
        <v>0.12490437176750954</v>
      </c>
      <c r="EJ83" s="5">
        <v>0.1056445125690248</v>
      </c>
      <c r="EK83" s="5">
        <v>9.880115469637224E-2</v>
      </c>
      <c r="EL83" s="5">
        <v>0.10625431030643465</v>
      </c>
      <c r="EM83" s="5">
        <v>0.1503781770723934</v>
      </c>
      <c r="EN83" s="5">
        <v>0.14250039002539161</v>
      </c>
      <c r="EO83" s="5">
        <v>0.12915510379259151</v>
      </c>
      <c r="EP83" s="5">
        <v>0.11147667082235631</v>
      </c>
      <c r="EQ83" s="5">
        <v>0.11439809507804266</v>
      </c>
      <c r="ER83" s="5">
        <v>0.12479737632158416</v>
      </c>
      <c r="ES83" s="4">
        <v>0.13200037052405048</v>
      </c>
      <c r="ET83" s="5">
        <v>0.14272625869452205</v>
      </c>
      <c r="EU83" s="5">
        <v>0.15031084836497419</v>
      </c>
      <c r="EV83" s="5">
        <v>0.15211277532595738</v>
      </c>
      <c r="EW83" s="5">
        <v>0.18612819756471174</v>
      </c>
      <c r="EX83" s="5">
        <v>0.145375949333958</v>
      </c>
      <c r="EY83" s="5">
        <v>0.15307689181123282</v>
      </c>
      <c r="EZ83" s="5">
        <v>0.15842111953871207</v>
      </c>
      <c r="FA83" s="5">
        <v>0.1945595563548112</v>
      </c>
      <c r="FB83" s="5">
        <v>0.18375758282368779</v>
      </c>
      <c r="FC83" s="5">
        <v>0.18584395263749262</v>
      </c>
      <c r="FD83" s="4">
        <v>0.2174879072702475</v>
      </c>
      <c r="FE83" s="5">
        <v>0.20698718891397458</v>
      </c>
      <c r="FF83" s="5">
        <v>0.19227950492909543</v>
      </c>
      <c r="FG83" s="5">
        <v>0.10467640540534011</v>
      </c>
      <c r="FH83" s="5">
        <v>0.10849569114778598</v>
      </c>
      <c r="FI83" s="5">
        <v>0.11253420439093605</v>
      </c>
      <c r="FJ83" s="5">
        <v>0.10795519249273008</v>
      </c>
      <c r="FK83" s="5">
        <v>0.10105597818391077</v>
      </c>
      <c r="FL83" s="5">
        <v>9.6314011439372724E-2</v>
      </c>
      <c r="FM83" s="5">
        <v>9.2939325400435605E-2</v>
      </c>
      <c r="FN83" s="5">
        <v>8.7003464741152226E-2</v>
      </c>
      <c r="FO83" s="5">
        <v>8.9944844045508052E-2</v>
      </c>
      <c r="FP83" s="5">
        <v>0.10548832520027696</v>
      </c>
      <c r="FZ83" s="3" t="s">
        <v>196</v>
      </c>
      <c r="GA83" s="5">
        <v>0.5512893479632488</v>
      </c>
      <c r="GB83" s="5">
        <v>0.54199678348887403</v>
      </c>
      <c r="GC83" s="4">
        <v>0.54552197137901048</v>
      </c>
      <c r="GD83" s="5">
        <v>0.5462390671307642</v>
      </c>
      <c r="GE83" s="5">
        <v>0.5479863515404847</v>
      </c>
      <c r="GF83" s="5">
        <v>0.54295171402593723</v>
      </c>
      <c r="GG83" s="5">
        <v>0.53711188236155039</v>
      </c>
      <c r="GH83" s="5">
        <v>0.5530967939800463</v>
      </c>
      <c r="GI83" s="5">
        <v>0.57095534386030755</v>
      </c>
      <c r="GJ83" s="5">
        <v>0.56654338527130754</v>
      </c>
      <c r="GK83" s="4">
        <v>0.41062518625025735</v>
      </c>
      <c r="GL83" s="5">
        <v>0.42592256675388673</v>
      </c>
      <c r="GM83" s="5">
        <v>0.45508334753396718</v>
      </c>
      <c r="GN83" s="5">
        <v>0.4913665071236864</v>
      </c>
      <c r="GO83" s="5">
        <v>0.49038628141617047</v>
      </c>
      <c r="GP83" s="5">
        <v>0.4826815378898659</v>
      </c>
      <c r="GQ83" s="5">
        <v>0.47172570583819057</v>
      </c>
      <c r="GR83" s="5">
        <v>0.43926949519520303</v>
      </c>
      <c r="GS83" s="5">
        <v>0.41472879603689489</v>
      </c>
      <c r="GT83" s="4">
        <v>0.40742734714642431</v>
      </c>
      <c r="GU83" s="4">
        <v>0.2151874348276876</v>
      </c>
      <c r="GV83" s="5">
        <v>0.19965393029939546</v>
      </c>
      <c r="GW83" s="5">
        <v>0.21237529261493462</v>
      </c>
      <c r="GX83" s="5">
        <v>0.23835344243589032</v>
      </c>
      <c r="GY83" s="5">
        <v>0.25599224223975697</v>
      </c>
      <c r="GZ83" s="5">
        <v>0.26983529281140972</v>
      </c>
      <c r="HA83" s="5">
        <v>0.28135726109724946</v>
      </c>
      <c r="HB83" s="5">
        <v>0.26224291665542426</v>
      </c>
      <c r="HC83" s="5">
        <v>0.23848161135819576</v>
      </c>
      <c r="HD83" s="4">
        <v>0.23168753600104194</v>
      </c>
      <c r="HE83" s="5">
        <v>0.48759852331710357</v>
      </c>
      <c r="HF83" s="4">
        <v>0.45599510877699084</v>
      </c>
      <c r="HG83" s="5">
        <v>0.4498858574455642</v>
      </c>
      <c r="HH83" s="5">
        <v>0.46759232798729333</v>
      </c>
      <c r="HI83" s="5">
        <v>0.48575144795904102</v>
      </c>
      <c r="HJ83" s="5">
        <v>0.49887130046698724</v>
      </c>
      <c r="HK83" s="5">
        <v>0.5026495869492158</v>
      </c>
      <c r="HL83" s="5">
        <v>0.49350377146382707</v>
      </c>
      <c r="HM83" s="4">
        <v>0.49277035212415943</v>
      </c>
      <c r="HN83" s="5">
        <v>0.50166191875191612</v>
      </c>
      <c r="HP83" s="3" t="s">
        <v>213</v>
      </c>
      <c r="HQ83" s="3" t="s">
        <v>140</v>
      </c>
      <c r="HR83" s="3" t="s">
        <v>141</v>
      </c>
      <c r="HS83" s="5">
        <v>0.67142529608165469</v>
      </c>
    </row>
    <row r="84" spans="2:227" x14ac:dyDescent="0.45">
      <c r="B84" s="6" t="s">
        <v>198</v>
      </c>
      <c r="C84" s="6" t="s">
        <v>131</v>
      </c>
      <c r="D84" s="8">
        <v>0.23881673401498058</v>
      </c>
      <c r="E84" s="8">
        <v>0.23700753507093031</v>
      </c>
      <c r="F84" s="8">
        <v>0.24196699922683826</v>
      </c>
      <c r="G84" s="8">
        <v>0.25273446107804548</v>
      </c>
      <c r="H84" s="8">
        <v>0.27480478195800873</v>
      </c>
      <c r="I84" s="8">
        <v>0.2686042422795144</v>
      </c>
      <c r="J84" s="8">
        <v>0.25844272619486452</v>
      </c>
      <c r="K84" s="8">
        <v>0.24488333531179202</v>
      </c>
      <c r="L84" s="8">
        <v>0.23552901435841034</v>
      </c>
      <c r="M84" s="8">
        <v>0.22959156607583833</v>
      </c>
      <c r="N84" s="8">
        <v>0.26393692109768557</v>
      </c>
      <c r="O84" s="8">
        <v>0.25874941010904606</v>
      </c>
      <c r="P84" s="8">
        <v>0.26960478697917317</v>
      </c>
      <c r="Q84" s="8">
        <v>0.30417198206235629</v>
      </c>
      <c r="R84" s="8">
        <v>0.32453953038888128</v>
      </c>
      <c r="S84" s="8">
        <v>0.30853699257661854</v>
      </c>
      <c r="T84" s="8">
        <v>0.28473323024973063</v>
      </c>
      <c r="U84" s="8">
        <v>0.27269003561773947</v>
      </c>
      <c r="V84" s="8">
        <v>0.25914947241325137</v>
      </c>
      <c r="W84" s="8">
        <v>0.26379960111256451</v>
      </c>
      <c r="X84" s="8">
        <v>0.31249542080479986</v>
      </c>
      <c r="Y84" s="8">
        <v>0.34204250098071493</v>
      </c>
      <c r="Z84" s="8">
        <v>0.35046223871603266</v>
      </c>
      <c r="AA84" s="8">
        <v>0.36228970333363564</v>
      </c>
      <c r="AB84" s="8">
        <v>0.36540429487546472</v>
      </c>
      <c r="AC84" s="8">
        <v>0.34438377192832165</v>
      </c>
      <c r="AD84" s="8">
        <v>0.32083262162225556</v>
      </c>
      <c r="AE84" s="8">
        <v>0.31706813929523897</v>
      </c>
      <c r="AF84" s="8">
        <v>0.29179914130162138</v>
      </c>
      <c r="AG84" s="8">
        <v>0.28925392354974805</v>
      </c>
      <c r="AH84" s="8">
        <v>0.30601830252946055</v>
      </c>
      <c r="AI84" s="8">
        <v>0.32658828373013182</v>
      </c>
      <c r="AJ84" s="8">
        <v>0.33261419854273616</v>
      </c>
      <c r="AK84" s="8">
        <v>0.31935196566363766</v>
      </c>
      <c r="AL84" s="8">
        <v>0.3096841355269927</v>
      </c>
      <c r="AM84" s="8">
        <v>0.29588938647199275</v>
      </c>
      <c r="AN84" s="8">
        <v>0.27797470119259471</v>
      </c>
      <c r="AO84" s="8">
        <v>0.25853938790614561</v>
      </c>
      <c r="AP84" s="8">
        <v>0.25498630826353363</v>
      </c>
      <c r="AQ84" s="8">
        <v>0.26756079509674213</v>
      </c>
      <c r="AS84" s="6" t="s">
        <v>198</v>
      </c>
      <c r="AT84" s="6" t="s">
        <v>132</v>
      </c>
      <c r="AU84" s="8">
        <v>1.2505237944840928E-2</v>
      </c>
      <c r="AV84" s="7">
        <v>8.7123100917884232E-3</v>
      </c>
      <c r="AW84" s="8">
        <v>1.3999204916579265E-2</v>
      </c>
      <c r="AX84" s="8">
        <v>1.7318291799690886E-2</v>
      </c>
      <c r="AY84" s="8">
        <v>1.2423071016658642E-2</v>
      </c>
      <c r="AZ84" s="8">
        <v>7.1442401748487046E-3</v>
      </c>
      <c r="BA84" s="8">
        <v>5.308626253197518E-3</v>
      </c>
      <c r="BB84" s="8">
        <v>7.1348040470273358E-3</v>
      </c>
      <c r="BC84" s="8">
        <v>1.7140531115958139E-2</v>
      </c>
      <c r="BD84" s="8">
        <v>2.4884276746129516E-2</v>
      </c>
      <c r="BE84" s="8">
        <v>1.6800668801646008E-2</v>
      </c>
      <c r="BF84" s="8">
        <v>1.1495553276063324E-2</v>
      </c>
      <c r="BG84" s="8">
        <v>1.8136034874223328E-2</v>
      </c>
      <c r="BH84" s="8">
        <v>1.6708602951371193E-2</v>
      </c>
      <c r="BI84" s="8">
        <v>1.1648542164832246E-2</v>
      </c>
      <c r="BJ84" s="8">
        <v>9.0082251363026427E-3</v>
      </c>
      <c r="BK84" s="8">
        <v>9.580500607148627E-3</v>
      </c>
      <c r="BL84" s="7">
        <v>1.2790110907229243E-2</v>
      </c>
      <c r="BM84" s="8">
        <v>1.7554312480217805E-2</v>
      </c>
      <c r="BN84" s="8">
        <v>2.6042756956556324E-2</v>
      </c>
      <c r="BO84" s="8">
        <v>2.533467392301901E-2</v>
      </c>
      <c r="BP84" s="8">
        <v>3.9912690842930764E-3</v>
      </c>
      <c r="BQ84" s="8">
        <v>9.9772867839013745E-3</v>
      </c>
      <c r="BR84" s="8">
        <v>1.9870207498144651E-2</v>
      </c>
      <c r="BS84" s="8">
        <v>2.4083022474981942E-2</v>
      </c>
      <c r="BT84" s="7">
        <v>2.2613723277816782E-2</v>
      </c>
      <c r="BU84" s="8">
        <v>1.7857516156360758E-2</v>
      </c>
      <c r="BV84" s="8">
        <v>1.7256286934494644E-2</v>
      </c>
      <c r="BW84" s="8">
        <v>1.4473078904002236E-2</v>
      </c>
      <c r="BX84" s="8">
        <v>2.1285022953737371E-2</v>
      </c>
      <c r="BY84" s="8">
        <v>9.7871459254730425E-3</v>
      </c>
      <c r="BZ84" s="7">
        <v>2.0710976417304156E-2</v>
      </c>
      <c r="CA84" s="7">
        <v>2.607240678315902E-2</v>
      </c>
      <c r="CB84" s="8">
        <v>2.7552264920300138E-2</v>
      </c>
      <c r="CC84" s="8">
        <v>4.2764732002667935E-2</v>
      </c>
      <c r="CD84" s="8">
        <v>3.3506415293010475E-2</v>
      </c>
      <c r="CE84" s="8">
        <v>1.4833908602459461E-2</v>
      </c>
      <c r="CF84" s="7">
        <v>9.1977026930555473E-3</v>
      </c>
      <c r="CG84" s="8">
        <v>1.8170601240034754E-2</v>
      </c>
      <c r="CH84" s="8">
        <v>1.5396215432122022E-2</v>
      </c>
      <c r="CJ84" s="6" t="s">
        <v>198</v>
      </c>
      <c r="CK84" s="6" t="s">
        <v>133</v>
      </c>
      <c r="CL84" s="8">
        <v>2.3470141771253339E-2</v>
      </c>
      <c r="CM84" s="8">
        <v>1.5264549496221037E-2</v>
      </c>
      <c r="CN84" s="8">
        <v>1.5360553326894393E-2</v>
      </c>
      <c r="CO84" s="8">
        <v>1.3129439966564035E-2</v>
      </c>
      <c r="CP84" s="7">
        <v>2.0897811603657553E-2</v>
      </c>
      <c r="CQ84" s="8">
        <v>2.0221423778841684E-2</v>
      </c>
      <c r="CR84" s="8">
        <v>2.0975570200615107E-2</v>
      </c>
      <c r="CS84" s="8">
        <v>1.5416739057088196E-2</v>
      </c>
      <c r="CT84" s="8">
        <v>9.2365214741292109E-3</v>
      </c>
      <c r="CU84" s="8">
        <v>4.266284941165965E-3</v>
      </c>
      <c r="CV84" s="8">
        <v>1.9876036707625791E-2</v>
      </c>
      <c r="CW84" s="8">
        <v>2.416764222482189E-2</v>
      </c>
      <c r="CX84" s="8">
        <v>2.1062873916157496E-2</v>
      </c>
      <c r="CY84" s="8">
        <v>1.7023126636105713E-2</v>
      </c>
      <c r="CZ84" s="8">
        <v>1.9144796232839392E-2</v>
      </c>
      <c r="DA84" s="8">
        <v>1.2834762064180879E-2</v>
      </c>
      <c r="DB84" s="8">
        <v>9.825274844046274E-3</v>
      </c>
      <c r="DC84" s="8">
        <v>8.2330091692340446E-3</v>
      </c>
      <c r="DD84" s="8">
        <v>1.7028186613996289E-2</v>
      </c>
      <c r="DE84" s="8">
        <v>1.6113150924496493E-2</v>
      </c>
      <c r="DF84" s="8">
        <v>2.2496218185931942E-2</v>
      </c>
      <c r="DG84" s="8">
        <v>3.8992299327832436E-2</v>
      </c>
      <c r="DH84" s="8">
        <v>2.6098481183010589E-2</v>
      </c>
      <c r="DI84" s="8">
        <v>1.5535777177844781E-2</v>
      </c>
      <c r="DJ84" s="8">
        <v>7.59232186333768E-3</v>
      </c>
      <c r="DK84" s="8">
        <v>2.1130782530533035E-2</v>
      </c>
      <c r="DL84" s="8">
        <v>2.9395942328595617E-2</v>
      </c>
      <c r="DM84" s="8">
        <v>2.784487421953467E-2</v>
      </c>
      <c r="DN84" s="8">
        <v>1.9684547733003547E-2</v>
      </c>
      <c r="DO84" s="7">
        <v>1.7248485144953127E-2</v>
      </c>
      <c r="DP84" s="8">
        <v>1.9117568520328816E-2</v>
      </c>
      <c r="DQ84" s="8">
        <v>1.1753468072805095E-2</v>
      </c>
      <c r="DR84" s="8">
        <v>1.6526894719101907E-2</v>
      </c>
      <c r="DS84" s="8">
        <v>2.2901704341974083E-2</v>
      </c>
      <c r="DT84" s="7">
        <v>1.518932075088413E-2</v>
      </c>
      <c r="DU84" s="8">
        <v>3.0887411965827279E-2</v>
      </c>
      <c r="DV84" s="8">
        <v>3.7506500320814047E-2</v>
      </c>
      <c r="DW84" s="8">
        <v>4.4367006281725789E-2</v>
      </c>
      <c r="DX84" s="8">
        <v>2.4358592013415975E-2</v>
      </c>
      <c r="DY84" s="8">
        <v>1.3157559146870876E-2</v>
      </c>
      <c r="EA84" s="6" t="s">
        <v>198</v>
      </c>
      <c r="EB84" s="6" t="s">
        <v>134</v>
      </c>
      <c r="EC84" s="8">
        <v>8.9181267265240602E-2</v>
      </c>
      <c r="ED84" s="8">
        <v>0.10152540213100605</v>
      </c>
      <c r="EE84" s="8">
        <v>0.10272929548084835</v>
      </c>
      <c r="EF84" s="8">
        <v>0.10356401883767036</v>
      </c>
      <c r="EG84" s="8">
        <v>0.11540691059444695</v>
      </c>
      <c r="EH84" s="8">
        <v>0.12260240855746908</v>
      </c>
      <c r="EI84" s="8">
        <v>0.11834671872854985</v>
      </c>
      <c r="EJ84" s="8">
        <v>0.11022632555983582</v>
      </c>
      <c r="EK84" s="8">
        <v>9.1646837053871333E-2</v>
      </c>
      <c r="EL84" s="8">
        <v>8.9227314322394058E-2</v>
      </c>
      <c r="EM84" s="8">
        <v>0.11173223716197149</v>
      </c>
      <c r="EN84" s="8">
        <v>0.1043865672466904</v>
      </c>
      <c r="EO84" s="8">
        <v>0.11148204395080361</v>
      </c>
      <c r="EP84" s="8">
        <v>0.14675066874072468</v>
      </c>
      <c r="EQ84" s="8">
        <v>0.16932739073787156</v>
      </c>
      <c r="ER84" s="8">
        <v>0.16551835808353399</v>
      </c>
      <c r="ES84" s="7">
        <v>0.15386365967785459</v>
      </c>
      <c r="ET84" s="8">
        <v>0.13965248511754391</v>
      </c>
      <c r="EU84" s="8">
        <v>0.11446648603670993</v>
      </c>
      <c r="EV84" s="8">
        <v>0.10386475666025465</v>
      </c>
      <c r="EW84" s="8">
        <v>0.14549997946192228</v>
      </c>
      <c r="EX84" s="8">
        <v>0.1626392024583411</v>
      </c>
      <c r="EY84" s="8">
        <v>0.17694680094004464</v>
      </c>
      <c r="EZ84" s="8">
        <v>0.18938911343456166</v>
      </c>
      <c r="FA84" s="8">
        <v>0.18322226236570824</v>
      </c>
      <c r="FB84" s="8">
        <v>0.15217222453132612</v>
      </c>
      <c r="FC84" s="8">
        <v>0.12779367142050704</v>
      </c>
      <c r="FD84" s="7">
        <v>0.12904194184830098</v>
      </c>
      <c r="FE84" s="8">
        <v>0.13215276593026756</v>
      </c>
      <c r="FF84" s="8">
        <v>0.12779070081119992</v>
      </c>
      <c r="FG84" s="8">
        <v>0.13643194348717003</v>
      </c>
      <c r="FH84" s="8">
        <v>0.14801007858682719</v>
      </c>
      <c r="FI84" s="8">
        <v>0.14408974963342661</v>
      </c>
      <c r="FJ84" s="8">
        <v>0.12062375785768593</v>
      </c>
      <c r="FK84" s="8">
        <v>0.10716128806750479</v>
      </c>
      <c r="FL84" s="8">
        <v>9.8378385009011401E-2</v>
      </c>
      <c r="FM84" s="8">
        <v>0.10180500345726913</v>
      </c>
      <c r="FN84" s="8">
        <v>8.4959930097941838E-2</v>
      </c>
      <c r="FO84" s="8">
        <v>9.2319327953158267E-2</v>
      </c>
      <c r="FP84" s="8">
        <v>0.11690303194434352</v>
      </c>
      <c r="FZ84" s="6" t="s">
        <v>198</v>
      </c>
      <c r="GA84" s="8">
        <v>0.59113332677425612</v>
      </c>
      <c r="GB84" s="8">
        <v>0.5825521492606236</v>
      </c>
      <c r="GC84" s="7">
        <v>0.57766453929555917</v>
      </c>
      <c r="GD84" s="8">
        <v>0.57344406080535715</v>
      </c>
      <c r="GE84" s="8">
        <v>0.55809419144514116</v>
      </c>
      <c r="GF84" s="8">
        <v>0.56877041020391816</v>
      </c>
      <c r="GG84" s="8">
        <v>0.57657089627917024</v>
      </c>
      <c r="GH84" s="8">
        <v>0.58745510971898007</v>
      </c>
      <c r="GI84" s="8">
        <v>0.60691069738628967</v>
      </c>
      <c r="GJ84" s="8">
        <v>0.6063413209040408</v>
      </c>
      <c r="GK84" s="7">
        <v>0.52813691481259528</v>
      </c>
      <c r="GL84" s="8">
        <v>0.52862021762816969</v>
      </c>
      <c r="GM84" s="8">
        <v>0.5247632204554975</v>
      </c>
      <c r="GN84" s="8">
        <v>0.49050958317441301</v>
      </c>
      <c r="GO84" s="8">
        <v>0.47070692563885014</v>
      </c>
      <c r="GP84" s="8">
        <v>0.48857968922137568</v>
      </c>
      <c r="GQ84" s="8">
        <v>0.51086705250908504</v>
      </c>
      <c r="GR84" s="8">
        <v>0.5179215567287706</v>
      </c>
      <c r="GS84" s="8">
        <v>0.53941857865530718</v>
      </c>
      <c r="GT84" s="7">
        <v>0.54118249370662519</v>
      </c>
      <c r="GU84" s="7">
        <v>0.43653937909731882</v>
      </c>
      <c r="GV84" s="8">
        <v>0.39992299970522849</v>
      </c>
      <c r="GW84" s="8">
        <v>0.39096930049582507</v>
      </c>
      <c r="GX84" s="8">
        <v>0.38537914215323882</v>
      </c>
      <c r="GY84" s="8">
        <v>0.39869122926915146</v>
      </c>
      <c r="GZ84" s="8">
        <v>0.43127445151027211</v>
      </c>
      <c r="HA84" s="8">
        <v>0.46776300675296428</v>
      </c>
      <c r="HB84" s="8">
        <v>0.46950427121887711</v>
      </c>
      <c r="HC84" s="8">
        <v>0.4782820675400612</v>
      </c>
      <c r="HD84" s="7">
        <v>0.48092374352711265</v>
      </c>
      <c r="HE84" s="8">
        <v>0.51767755087342238</v>
      </c>
      <c r="HF84" s="7">
        <v>0.4980476799185623</v>
      </c>
      <c r="HG84" s="8">
        <v>0.49080668106306713</v>
      </c>
      <c r="HH84" s="8">
        <v>0.50339867002688921</v>
      </c>
      <c r="HI84" s="8">
        <v>0.51437927644884029</v>
      </c>
      <c r="HJ84" s="8">
        <v>0.52700589327678948</v>
      </c>
      <c r="HK84" s="8">
        <v>0.53574532183439849</v>
      </c>
      <c r="HL84" s="8">
        <v>0.55638948172474134</v>
      </c>
      <c r="HM84" s="7">
        <v>0.56779386656829611</v>
      </c>
      <c r="HN84" s="8">
        <v>0.55232486331617059</v>
      </c>
      <c r="HP84" s="6" t="s">
        <v>214</v>
      </c>
      <c r="HQ84" s="6" t="s">
        <v>140</v>
      </c>
      <c r="HR84" s="6" t="s">
        <v>141</v>
      </c>
      <c r="HS84" s="8">
        <v>0.65825528183720361</v>
      </c>
    </row>
    <row r="85" spans="2:227" x14ac:dyDescent="0.45">
      <c r="B85" s="3" t="s">
        <v>200</v>
      </c>
      <c r="C85" s="3" t="s">
        <v>131</v>
      </c>
      <c r="D85" s="5">
        <v>0.27776711672705012</v>
      </c>
      <c r="E85" s="5">
        <v>0.28911248888268593</v>
      </c>
      <c r="F85" s="5">
        <v>0.28822420158464457</v>
      </c>
      <c r="G85" s="5">
        <v>0.29914876485530556</v>
      </c>
      <c r="H85" s="5">
        <v>0.30155890819577247</v>
      </c>
      <c r="I85" s="5">
        <v>0.30716032779280883</v>
      </c>
      <c r="J85" s="5">
        <v>0.30932421262005488</v>
      </c>
      <c r="K85" s="5">
        <v>0.2942192528423675</v>
      </c>
      <c r="L85" s="5">
        <v>0.27426164606013792</v>
      </c>
      <c r="M85" s="5">
        <v>0.27298327498017588</v>
      </c>
      <c r="N85" s="5">
        <v>0.30912132157847522</v>
      </c>
      <c r="O85" s="5">
        <v>0.31285375524860831</v>
      </c>
      <c r="P85" s="5">
        <v>0.32492732339939739</v>
      </c>
      <c r="Q85" s="5">
        <v>0.32117316577651361</v>
      </c>
      <c r="R85" s="5">
        <v>0.31931907869516779</v>
      </c>
      <c r="S85" s="5">
        <v>0.32026011590335524</v>
      </c>
      <c r="T85" s="5">
        <v>0.30783940954370559</v>
      </c>
      <c r="U85" s="5">
        <v>0.30620101858051635</v>
      </c>
      <c r="V85" s="5">
        <v>0.28851354024719333</v>
      </c>
      <c r="W85" s="5">
        <v>0.29244631065092613</v>
      </c>
      <c r="X85" s="5">
        <v>0.34878940551266324</v>
      </c>
      <c r="Y85" s="5">
        <v>0.36113179815791036</v>
      </c>
      <c r="Z85" s="5">
        <v>0.39376106428393332</v>
      </c>
      <c r="AA85" s="5">
        <v>0.39613462226050261</v>
      </c>
      <c r="AB85" s="5">
        <v>0.38362890322079518</v>
      </c>
      <c r="AC85" s="5">
        <v>0.37480735810170801</v>
      </c>
      <c r="AD85" s="5">
        <v>0.36196300107685631</v>
      </c>
      <c r="AE85" s="5">
        <v>0.35188027979034103</v>
      </c>
      <c r="AF85" s="5">
        <v>0.33386255828018746</v>
      </c>
      <c r="AG85" s="5">
        <v>0.32996006890765323</v>
      </c>
      <c r="AH85" s="5">
        <v>0.28598478228288954</v>
      </c>
      <c r="AI85" s="5">
        <v>0.28830404231116241</v>
      </c>
      <c r="AJ85" s="5">
        <v>0.28319428681771092</v>
      </c>
      <c r="AK85" s="5">
        <v>0.29477860032176106</v>
      </c>
      <c r="AL85" s="5">
        <v>0.30935040712856698</v>
      </c>
      <c r="AM85" s="5">
        <v>0.31186168669415426</v>
      </c>
      <c r="AN85" s="5">
        <v>0.31851431320773155</v>
      </c>
      <c r="AO85" s="5">
        <v>0.31948366690783003</v>
      </c>
      <c r="AP85" s="5">
        <v>0.31689126838796372</v>
      </c>
      <c r="AQ85" s="5">
        <v>0.2875797737188861</v>
      </c>
      <c r="AS85" s="3" t="s">
        <v>200</v>
      </c>
      <c r="AT85" s="3" t="s">
        <v>132</v>
      </c>
      <c r="AU85" s="5">
        <v>8.6539308442935801E-3</v>
      </c>
      <c r="AV85" s="4">
        <v>9.7159846838364618E-3</v>
      </c>
      <c r="AW85" s="5">
        <v>1.5227431783683869E-2</v>
      </c>
      <c r="AX85" s="5">
        <v>9.1133384526267888E-3</v>
      </c>
      <c r="AY85" s="5">
        <v>1.5073442890353367E-2</v>
      </c>
      <c r="AZ85" s="5">
        <v>1.9295338813941638E-2</v>
      </c>
      <c r="BA85" s="5">
        <v>1.0675274530753122E-2</v>
      </c>
      <c r="BB85" s="5">
        <v>8.2843367978298176E-3</v>
      </c>
      <c r="BC85" s="5">
        <v>9.3324583079271994E-3</v>
      </c>
      <c r="BD85" s="5">
        <v>1.4508564538239189E-2</v>
      </c>
      <c r="BE85" s="5">
        <v>8.5635524846811462E-3</v>
      </c>
      <c r="BF85" s="5">
        <v>8.0706812633566435E-3</v>
      </c>
      <c r="BG85" s="5">
        <v>2.0663912308031624E-2</v>
      </c>
      <c r="BH85" s="5">
        <v>2.9395106925394415E-2</v>
      </c>
      <c r="BI85" s="5">
        <v>2.2027404694681074E-2</v>
      </c>
      <c r="BJ85" s="5">
        <v>1.8318590937672883E-2</v>
      </c>
      <c r="BK85" s="5">
        <v>1.6170574111851584E-2</v>
      </c>
      <c r="BL85" s="4">
        <v>1.7949399607751954E-2</v>
      </c>
      <c r="BM85" s="5">
        <v>8.9238782318529549E-3</v>
      </c>
      <c r="BN85" s="5">
        <v>3.3292335984466924E-3</v>
      </c>
      <c r="BO85" s="5">
        <v>2.5418521195499717E-2</v>
      </c>
      <c r="BP85" s="5">
        <v>4.4907251352240878E-2</v>
      </c>
      <c r="BQ85" s="5">
        <v>4.9430780753044801E-2</v>
      </c>
      <c r="BR85" s="5">
        <v>4.9254743842153045E-2</v>
      </c>
      <c r="BS85" s="5">
        <v>4.0823842061963746E-2</v>
      </c>
      <c r="BT85" s="4">
        <v>1.4181703209519237E-2</v>
      </c>
      <c r="BU85" s="5">
        <v>1.0212547154624151E-3</v>
      </c>
      <c r="BV85" s="5">
        <v>2.1385588932691111E-3</v>
      </c>
      <c r="BW85" s="5">
        <v>1.028842668808322E-2</v>
      </c>
      <c r="BX85" s="5">
        <v>2.0074901014605871E-2</v>
      </c>
      <c r="BY85" s="5">
        <v>2.2327454324051033E-2</v>
      </c>
      <c r="BZ85" s="4">
        <v>1.6408389220945563E-2</v>
      </c>
      <c r="CA85" s="4">
        <v>2.0564248096164528E-2</v>
      </c>
      <c r="CB85" s="5">
        <v>3.4064118042816144E-2</v>
      </c>
      <c r="CC85" s="5">
        <v>4.3578200974442427E-2</v>
      </c>
      <c r="CD85" s="5">
        <v>5.2824206820984244E-2</v>
      </c>
      <c r="CE85" s="5">
        <v>3.3379644111263512E-2</v>
      </c>
      <c r="CF85" s="4">
        <v>1.0740711981615355E-2</v>
      </c>
      <c r="CG85" s="5">
        <v>1.2468587387715363E-2</v>
      </c>
      <c r="CH85" s="5">
        <v>6.6058333568608492E-3</v>
      </c>
      <c r="CJ85" s="3" t="s">
        <v>200</v>
      </c>
      <c r="CK85" s="3" t="s">
        <v>133</v>
      </c>
      <c r="CL85" s="5">
        <v>1.5361301932636866E-2</v>
      </c>
      <c r="CM85" s="5">
        <v>1.7549763854182339E-2</v>
      </c>
      <c r="CN85" s="5">
        <v>1.4934478869851681E-2</v>
      </c>
      <c r="CO85" s="5">
        <v>2.0537737266389917E-2</v>
      </c>
      <c r="CP85" s="4">
        <v>2.2654560101824772E-2</v>
      </c>
      <c r="CQ85" s="5">
        <v>1.4271984854906562E-2</v>
      </c>
      <c r="CR85" s="5">
        <v>1.7103000781980484E-2</v>
      </c>
      <c r="CS85" s="5">
        <v>2.5701430264801439E-2</v>
      </c>
      <c r="CT85" s="5">
        <v>2.161113820504031E-2</v>
      </c>
      <c r="CU85" s="5">
        <v>1.4883097490072279E-2</v>
      </c>
      <c r="CV85" s="5">
        <v>4.3595279436282617E-3</v>
      </c>
      <c r="CW85" s="5">
        <v>7.8286336533046879E-3</v>
      </c>
      <c r="CX85" s="5">
        <v>1.1841626460884895E-2</v>
      </c>
      <c r="CY85" s="5">
        <v>8.6281238785350049E-3</v>
      </c>
      <c r="CZ85" s="5">
        <v>2.7913211578592407E-2</v>
      </c>
      <c r="DA85" s="5">
        <v>2.6608361175592489E-2</v>
      </c>
      <c r="DB85" s="5">
        <v>2.7206399555853269E-2</v>
      </c>
      <c r="DC85" s="5">
        <v>2.1284792020472981E-2</v>
      </c>
      <c r="DD85" s="5">
        <v>2.7131167334762608E-2</v>
      </c>
      <c r="DE85" s="5">
        <v>2.7120572777247717E-2</v>
      </c>
      <c r="DF85" s="5">
        <v>2.0674977422109869E-2</v>
      </c>
      <c r="DG85" s="5">
        <v>3.965149577199651E-2</v>
      </c>
      <c r="DH85" s="5">
        <v>6.803222668865784E-2</v>
      </c>
      <c r="DI85" s="5">
        <v>9.3149939174307431E-2</v>
      </c>
      <c r="DJ85" s="5">
        <v>6.5458407743251193E-2</v>
      </c>
      <c r="DK85" s="5">
        <v>5.7432389804257022E-2</v>
      </c>
      <c r="DL85" s="5">
        <v>3.4143420832249166E-2</v>
      </c>
      <c r="DM85" s="5">
        <v>3.8285517983706011E-2</v>
      </c>
      <c r="DN85" s="5">
        <v>7.6664004656184287E-3</v>
      </c>
      <c r="DO85" s="4">
        <v>0</v>
      </c>
      <c r="DP85" s="5">
        <v>1.0977084292620972E-2</v>
      </c>
      <c r="DQ85" s="5">
        <v>4.0756924997459865E-2</v>
      </c>
      <c r="DR85" s="5">
        <v>4.5191910083234484E-2</v>
      </c>
      <c r="DS85" s="5">
        <v>2.8443533181333094E-2</v>
      </c>
      <c r="DT85" s="4">
        <v>3.0758321794771129E-2</v>
      </c>
      <c r="DU85" s="5">
        <v>3.0772613690702746E-2</v>
      </c>
      <c r="DV85" s="5">
        <v>6.0817867126144225E-2</v>
      </c>
      <c r="DW85" s="5">
        <v>7.3100949719750868E-2</v>
      </c>
      <c r="DX85" s="5">
        <v>4.8135409751946377E-2</v>
      </c>
      <c r="DY85" s="5">
        <v>1.9517058775805299E-2</v>
      </c>
      <c r="EA85" s="3" t="s">
        <v>200</v>
      </c>
      <c r="EB85" s="3" t="s">
        <v>134</v>
      </c>
      <c r="EC85" s="5">
        <v>0.13523479800038127</v>
      </c>
      <c r="ED85" s="5">
        <v>0.14295210632661359</v>
      </c>
      <c r="EE85" s="5">
        <v>0.137141091701484</v>
      </c>
      <c r="EF85" s="5">
        <v>0.14105651074928813</v>
      </c>
      <c r="EG85" s="5">
        <v>0.13594642287852499</v>
      </c>
      <c r="EH85" s="5">
        <v>0.15052609783017587</v>
      </c>
      <c r="EI85" s="5">
        <v>0.16165759120217515</v>
      </c>
      <c r="EJ85" s="5">
        <v>0.14597934235113683</v>
      </c>
      <c r="EK85" s="5">
        <v>0.12935004018240978</v>
      </c>
      <c r="EL85" s="5">
        <v>0.1254034800036507</v>
      </c>
      <c r="EM85" s="5">
        <v>0.18376553761338424</v>
      </c>
      <c r="EN85" s="5">
        <v>0.17122365550131785</v>
      </c>
      <c r="EO85" s="5">
        <v>0.16025680863899841</v>
      </c>
      <c r="EP85" s="5">
        <v>0.15354136677724822</v>
      </c>
      <c r="EQ85" s="5">
        <v>0.13244018987420567</v>
      </c>
      <c r="ER85" s="5">
        <v>0.13219399904758819</v>
      </c>
      <c r="ES85" s="4">
        <v>0.13360062267176401</v>
      </c>
      <c r="ET85" s="5">
        <v>0.14515328776983125</v>
      </c>
      <c r="EU85" s="5">
        <v>0.13790664339824574</v>
      </c>
      <c r="EV85" s="5">
        <v>0.14797476537626406</v>
      </c>
      <c r="EW85" s="5">
        <v>0.18325318710642535</v>
      </c>
      <c r="EX85" s="5">
        <v>0.1436891487802176</v>
      </c>
      <c r="EY85" s="5">
        <v>0.14074966772462519</v>
      </c>
      <c r="EZ85" s="5">
        <v>0.11350174374769931</v>
      </c>
      <c r="FA85" s="5">
        <v>0.13418823511996938</v>
      </c>
      <c r="FB85" s="5">
        <v>0.17148932570224026</v>
      </c>
      <c r="FC85" s="5">
        <v>0.20058108937814717</v>
      </c>
      <c r="FD85" s="4">
        <v>0.20217883171061332</v>
      </c>
      <c r="FE85" s="5">
        <v>0.2177451386121588</v>
      </c>
      <c r="FF85" s="5">
        <v>0.2131644051207878</v>
      </c>
      <c r="FG85" s="5">
        <v>0.13669571004915868</v>
      </c>
      <c r="FH85" s="5">
        <v>0.12290672700100461</v>
      </c>
      <c r="FI85" s="5">
        <v>0.11680722486659326</v>
      </c>
      <c r="FJ85" s="5">
        <v>0.12337968606861131</v>
      </c>
      <c r="FK85" s="5">
        <v>0.10505022243565083</v>
      </c>
      <c r="FL85" s="5">
        <v>9.7408076047822784E-2</v>
      </c>
      <c r="FM85" s="5">
        <v>9.532899411471038E-2</v>
      </c>
      <c r="FN85" s="5">
        <v>0.10989047433503753</v>
      </c>
      <c r="FO85" s="5">
        <v>0.12854352542426437</v>
      </c>
      <c r="FP85" s="5">
        <v>0.14457573895539877</v>
      </c>
      <c r="FZ85" s="3" t="s">
        <v>200</v>
      </c>
      <c r="GA85" s="5">
        <v>0.50907840261400761</v>
      </c>
      <c r="GB85" s="5">
        <v>0.49192919360841131</v>
      </c>
      <c r="GC85" s="4">
        <v>0.49650087010903926</v>
      </c>
      <c r="GD85" s="5">
        <v>0.4826799400725289</v>
      </c>
      <c r="GE85" s="5">
        <v>0.48363291239159462</v>
      </c>
      <c r="GF85" s="5">
        <v>0.48882406724555982</v>
      </c>
      <c r="GG85" s="5">
        <v>0.48811647506298639</v>
      </c>
      <c r="GH85" s="5">
        <v>0.49704854773922735</v>
      </c>
      <c r="GI85" s="5">
        <v>0.51958809223367797</v>
      </c>
      <c r="GJ85" s="5">
        <v>0.52494063706016192</v>
      </c>
      <c r="GK85" s="4">
        <v>0.39806343031692293</v>
      </c>
      <c r="GL85" s="5">
        <v>0.39864104678668749</v>
      </c>
      <c r="GM85" s="5">
        <v>0.4210519220824131</v>
      </c>
      <c r="GN85" s="5">
        <v>0.45098741577911045</v>
      </c>
      <c r="GO85" s="5">
        <v>0.47275883868089491</v>
      </c>
      <c r="GP85" s="5">
        <v>0.47695085908007112</v>
      </c>
      <c r="GQ85" s="5">
        <v>0.47025277922544684</v>
      </c>
      <c r="GR85" s="5">
        <v>0.44014512118064575</v>
      </c>
      <c r="GS85" s="5">
        <v>0.43255017347929298</v>
      </c>
      <c r="GT85" s="4">
        <v>0.41364467452358195</v>
      </c>
      <c r="GU85" s="4">
        <v>0.23869443431488388</v>
      </c>
      <c r="GV85" s="5">
        <v>0.21565293492820412</v>
      </c>
      <c r="GW85" s="5">
        <v>0.23338552484983055</v>
      </c>
      <c r="GX85" s="5">
        <v>0.24489799979977803</v>
      </c>
      <c r="GY85" s="5">
        <v>0.26852737684796701</v>
      </c>
      <c r="GZ85" s="5">
        <v>0.28738886497570454</v>
      </c>
      <c r="HA85" s="5">
        <v>0.28752953108380863</v>
      </c>
      <c r="HB85" s="5">
        <v>0.26884885077502291</v>
      </c>
      <c r="HC85" s="5">
        <v>0.2595831126232831</v>
      </c>
      <c r="HD85" s="4">
        <v>0.25659397604689865</v>
      </c>
      <c r="HE85" s="5">
        <v>0.43405444856537356</v>
      </c>
      <c r="HF85" s="4">
        <v>0.41036964776434059</v>
      </c>
      <c r="HG85" s="5">
        <v>0.4095324481968059</v>
      </c>
      <c r="HH85" s="5">
        <v>0.41051547627091756</v>
      </c>
      <c r="HI85" s="5">
        <v>0.42531942174881721</v>
      </c>
      <c r="HJ85" s="5">
        <v>0.44179577768970107</v>
      </c>
      <c r="HK85" s="5">
        <v>0.444830588631205</v>
      </c>
      <c r="HL85" s="5">
        <v>0.44309261568928549</v>
      </c>
      <c r="HM85" s="4">
        <v>0.44612452185347107</v>
      </c>
      <c r="HN85" s="5">
        <v>0.44304164074551217</v>
      </c>
      <c r="HP85" s="3" t="s">
        <v>215</v>
      </c>
      <c r="HQ85" s="3" t="s">
        <v>140</v>
      </c>
      <c r="HR85" s="3" t="s">
        <v>141</v>
      </c>
      <c r="HS85" s="5">
        <v>0.70234066244854254</v>
      </c>
    </row>
    <row r="86" spans="2:227" x14ac:dyDescent="0.45">
      <c r="B86" s="6" t="s">
        <v>202</v>
      </c>
      <c r="C86" s="6" t="s">
        <v>131</v>
      </c>
      <c r="D86" s="8">
        <v>0.29596198248680267</v>
      </c>
      <c r="E86" s="8">
        <v>0.3018283851536076</v>
      </c>
      <c r="F86" s="8">
        <v>0.29444433646517404</v>
      </c>
      <c r="G86" s="8">
        <v>0.29305344247685378</v>
      </c>
      <c r="H86" s="8">
        <v>0.28944702833638813</v>
      </c>
      <c r="I86" s="8">
        <v>0.29448964015391543</v>
      </c>
      <c r="J86" s="8">
        <v>0.29562108038425949</v>
      </c>
      <c r="K86" s="8">
        <v>0.28207276951267907</v>
      </c>
      <c r="L86" s="8">
        <v>0.27154443554415592</v>
      </c>
      <c r="M86" s="8">
        <v>0.28104891633837215</v>
      </c>
      <c r="N86" s="8">
        <v>0.31490906607424179</v>
      </c>
      <c r="O86" s="8">
        <v>0.3294511507756237</v>
      </c>
      <c r="P86" s="8">
        <v>0.3388413132147034</v>
      </c>
      <c r="Q86" s="8">
        <v>0.3299034544405462</v>
      </c>
      <c r="R86" s="8">
        <v>0.31149797768657517</v>
      </c>
      <c r="S86" s="8">
        <v>0.30509670676284689</v>
      </c>
      <c r="T86" s="8">
        <v>0.30575541551366531</v>
      </c>
      <c r="U86" s="8">
        <v>0.30867453430838032</v>
      </c>
      <c r="V86" s="8">
        <v>0.29282716830486599</v>
      </c>
      <c r="W86" s="8">
        <v>0.29998444235811533</v>
      </c>
      <c r="X86" s="8">
        <v>0.38306259389982777</v>
      </c>
      <c r="Y86" s="8">
        <v>0.40638457698015079</v>
      </c>
      <c r="Z86" s="8">
        <v>0.43619021354752219</v>
      </c>
      <c r="AA86" s="8">
        <v>0.42350662096939357</v>
      </c>
      <c r="AB86" s="8">
        <v>0.41467969587151421</v>
      </c>
      <c r="AC86" s="8">
        <v>0.39714663425258639</v>
      </c>
      <c r="AD86" s="8">
        <v>0.39528700782202042</v>
      </c>
      <c r="AE86" s="8">
        <v>0.39332448834521055</v>
      </c>
      <c r="AF86" s="8">
        <v>0.37281999275634825</v>
      </c>
      <c r="AG86" s="8">
        <v>0.36702703257270708</v>
      </c>
      <c r="AH86" s="8">
        <v>0.28546498446363966</v>
      </c>
      <c r="AI86" s="8">
        <v>0.2966369008189006</v>
      </c>
      <c r="AJ86" s="8">
        <v>0.29343341631861092</v>
      </c>
      <c r="AK86" s="8">
        <v>0.2988444530506788</v>
      </c>
      <c r="AL86" s="8">
        <v>0.30042946117976277</v>
      </c>
      <c r="AM86" s="8">
        <v>0.30092366909510204</v>
      </c>
      <c r="AN86" s="8">
        <v>0.29618491070948516</v>
      </c>
      <c r="AO86" s="8">
        <v>0.2907884079886342</v>
      </c>
      <c r="AP86" s="8">
        <v>0.2811912608521705</v>
      </c>
      <c r="AQ86" s="8">
        <v>0.27319668709928574</v>
      </c>
      <c r="AS86" s="6" t="s">
        <v>202</v>
      </c>
      <c r="AT86" s="6" t="s">
        <v>132</v>
      </c>
      <c r="AU86" s="8">
        <v>8.8122547249426964E-3</v>
      </c>
      <c r="AV86" s="7">
        <v>1.6508374856569183E-2</v>
      </c>
      <c r="AW86" s="8">
        <v>1.1675102433305761E-2</v>
      </c>
      <c r="AX86" s="8">
        <v>6.0384523520440984E-3</v>
      </c>
      <c r="AY86" s="8">
        <v>8.421463182860597E-3</v>
      </c>
      <c r="AZ86" s="8">
        <v>5.9992932531615457E-3</v>
      </c>
      <c r="BA86" s="8">
        <v>7.2732699836100811E-3</v>
      </c>
      <c r="BB86" s="8">
        <v>3.8529077305108034E-3</v>
      </c>
      <c r="BC86" s="8">
        <v>9.8246518315495534E-3</v>
      </c>
      <c r="BD86" s="8">
        <v>1.6092883756785688E-2</v>
      </c>
      <c r="BE86" s="8">
        <v>1.1796227351148471E-2</v>
      </c>
      <c r="BF86" s="8">
        <v>3.3551773324419831E-2</v>
      </c>
      <c r="BG86" s="8">
        <v>2.3253089004226419E-2</v>
      </c>
      <c r="BH86" s="8">
        <v>2.4034302442616423E-2</v>
      </c>
      <c r="BI86" s="8">
        <v>2.6212124357201556E-2</v>
      </c>
      <c r="BJ86" s="8">
        <v>1.7573980511431109E-2</v>
      </c>
      <c r="BK86" s="8">
        <v>2.0609530088521177E-2</v>
      </c>
      <c r="BL86" s="7">
        <v>1.6292453337251423E-2</v>
      </c>
      <c r="BM86" s="8">
        <v>6.2948574577054031E-3</v>
      </c>
      <c r="BN86" s="8">
        <v>3.4193499616101929E-3</v>
      </c>
      <c r="BO86" s="8">
        <v>4.5466799277601E-2</v>
      </c>
      <c r="BP86" s="8">
        <v>3.7883351503243665E-2</v>
      </c>
      <c r="BQ86" s="8">
        <v>5.3557352806252699E-2</v>
      </c>
      <c r="BR86" s="8">
        <v>2.5701151606623063E-2</v>
      </c>
      <c r="BS86" s="8">
        <v>2.7162398447834999E-2</v>
      </c>
      <c r="BT86" s="7">
        <v>1.005487783982934E-2</v>
      </c>
      <c r="BU86" s="8">
        <v>7.2344870222453847E-3</v>
      </c>
      <c r="BV86" s="8">
        <v>5.8477380442802799E-3</v>
      </c>
      <c r="BW86" s="8">
        <v>5.6464007276762727E-3</v>
      </c>
      <c r="BX86" s="8">
        <v>1.8674031083088894E-2</v>
      </c>
      <c r="BY86" s="8">
        <v>2.4228710741964216E-2</v>
      </c>
      <c r="BZ86" s="7">
        <v>2.6999166579848417E-2</v>
      </c>
      <c r="CA86" s="7">
        <v>1.8823517043603223E-2</v>
      </c>
      <c r="CB86" s="8">
        <v>2.8070839007759005E-2</v>
      </c>
      <c r="CC86" s="8">
        <v>4.626155951778959E-2</v>
      </c>
      <c r="CD86" s="8">
        <v>4.0383620661500218E-2</v>
      </c>
      <c r="CE86" s="8">
        <v>2.8156315889203223E-2</v>
      </c>
      <c r="CF86" s="7">
        <v>1.4702482544996016E-2</v>
      </c>
      <c r="CG86" s="8">
        <v>1.4686180739922434E-2</v>
      </c>
      <c r="CH86" s="8">
        <v>1.4432272518402839E-2</v>
      </c>
      <c r="CJ86" s="6" t="s">
        <v>202</v>
      </c>
      <c r="CK86" s="6" t="s">
        <v>133</v>
      </c>
      <c r="CL86" s="8">
        <v>2.1996866551886939E-2</v>
      </c>
      <c r="CM86" s="8">
        <v>1.5234803670910459E-2</v>
      </c>
      <c r="CN86" s="8">
        <v>1.2924648146425764E-2</v>
      </c>
      <c r="CO86" s="8">
        <v>1.9919004477153102E-2</v>
      </c>
      <c r="CP86" s="7">
        <v>1.42551343087423E-2</v>
      </c>
      <c r="CQ86" s="8">
        <v>1.2763893901605193E-2</v>
      </c>
      <c r="CR86" s="8">
        <v>9.4373148398379757E-3</v>
      </c>
      <c r="CS86" s="8">
        <v>1.4532264667066686E-2</v>
      </c>
      <c r="CT86" s="8">
        <v>1.1338447064105167E-2</v>
      </c>
      <c r="CU86" s="8">
        <v>9.5168397823955399E-3</v>
      </c>
      <c r="CV86" s="8">
        <v>4.5324258638915604E-3</v>
      </c>
      <c r="CW86" s="8">
        <v>7.4916668558356377E-3</v>
      </c>
      <c r="CX86" s="8">
        <v>2.9407525097563492E-2</v>
      </c>
      <c r="CY86" s="8">
        <v>2.789278698074036E-2</v>
      </c>
      <c r="CZ86" s="8">
        <v>1.8750882761724947E-2</v>
      </c>
      <c r="DA86" s="8">
        <v>2.4810232778949056E-2</v>
      </c>
      <c r="DB86" s="8">
        <v>2.6800013969319369E-2</v>
      </c>
      <c r="DC86" s="8">
        <v>2.8707351726155551E-2</v>
      </c>
      <c r="DD86" s="8">
        <v>2.8027174854099356E-2</v>
      </c>
      <c r="DE86" s="8">
        <v>2.2468888648594202E-2</v>
      </c>
      <c r="DF86" s="8">
        <v>2.8212298222152075E-2</v>
      </c>
      <c r="DG86" s="8">
        <v>9.8044429653332085E-2</v>
      </c>
      <c r="DH86" s="8">
        <v>0.10630006344035357</v>
      </c>
      <c r="DI86" s="8">
        <v>8.483882599472245E-2</v>
      </c>
      <c r="DJ86" s="8">
        <v>5.3909655924042468E-2</v>
      </c>
      <c r="DK86" s="8">
        <v>5.331962637429441E-2</v>
      </c>
      <c r="DL86" s="8">
        <v>4.2474555716224813E-2</v>
      </c>
      <c r="DM86" s="8">
        <v>1.6442621878325264E-2</v>
      </c>
      <c r="DN86" s="8">
        <v>1.0990919956918907E-2</v>
      </c>
      <c r="DO86" s="7">
        <v>6.6599128668820857E-3</v>
      </c>
      <c r="DP86" s="8">
        <v>1.7819421716144441E-2</v>
      </c>
      <c r="DQ86" s="8">
        <v>3.4113091191950468E-2</v>
      </c>
      <c r="DR86" s="8">
        <v>3.9462183625700961E-2</v>
      </c>
      <c r="DS86" s="8">
        <v>3.8838888731104373E-2</v>
      </c>
      <c r="DT86" s="7">
        <v>3.0269841325418764E-2</v>
      </c>
      <c r="DU86" s="8">
        <v>2.6970724479126663E-2</v>
      </c>
      <c r="DV86" s="8">
        <v>4.9736500474667988E-2</v>
      </c>
      <c r="DW86" s="8">
        <v>5.9179841089992587E-2</v>
      </c>
      <c r="DX86" s="8">
        <v>3.5705563178565831E-2</v>
      </c>
      <c r="DY86" s="8">
        <v>1.7126439487148083E-2</v>
      </c>
      <c r="EA86" s="6" t="s">
        <v>202</v>
      </c>
      <c r="EB86" s="6" t="s">
        <v>134</v>
      </c>
      <c r="EC86" s="8">
        <v>0.14113832467799539</v>
      </c>
      <c r="ED86" s="8">
        <v>0.14168522420354668</v>
      </c>
      <c r="EE86" s="8">
        <v>0.13843626964104463</v>
      </c>
      <c r="EF86" s="8">
        <v>0.13757130806410833</v>
      </c>
      <c r="EG86" s="8">
        <v>0.13867664017053105</v>
      </c>
      <c r="EH86" s="8">
        <v>0.15176565435510145</v>
      </c>
      <c r="EI86" s="8">
        <v>0.15518204774515221</v>
      </c>
      <c r="EJ86" s="8">
        <v>0.1441688823794704</v>
      </c>
      <c r="EK86" s="8">
        <v>0.12851388554211568</v>
      </c>
      <c r="EL86" s="8">
        <v>0.13517109682466028</v>
      </c>
      <c r="EM86" s="8">
        <v>0.18270730035079616</v>
      </c>
      <c r="EN86" s="8">
        <v>0.16556234933726291</v>
      </c>
      <c r="EO86" s="8">
        <v>0.14702516242038477</v>
      </c>
      <c r="EP86" s="8">
        <v>0.12565312349852367</v>
      </c>
      <c r="EQ86" s="8">
        <v>0.12072237098275908</v>
      </c>
      <c r="ER86" s="8">
        <v>0.12335423350592303</v>
      </c>
      <c r="ES86" s="7">
        <v>0.12926483435474057</v>
      </c>
      <c r="ET86" s="8">
        <v>0.14138484563326711</v>
      </c>
      <c r="EU86" s="8">
        <v>0.14791724740782622</v>
      </c>
      <c r="EV86" s="8">
        <v>0.16270068488256409</v>
      </c>
      <c r="EW86" s="8">
        <v>0.17994880305314367</v>
      </c>
      <c r="EX86" s="8">
        <v>0.13796153913011072</v>
      </c>
      <c r="EY86" s="8">
        <v>0.1349283373827265</v>
      </c>
      <c r="EZ86" s="8">
        <v>0.17687510345271823</v>
      </c>
      <c r="FA86" s="8">
        <v>0.19752865322834165</v>
      </c>
      <c r="FB86" s="8">
        <v>0.20866168003509417</v>
      </c>
      <c r="FC86" s="8">
        <v>0.22082964860639182</v>
      </c>
      <c r="FD86" s="7">
        <v>0.25484265821723179</v>
      </c>
      <c r="FE86" s="8">
        <v>0.2521051763090365</v>
      </c>
      <c r="FF86" s="8">
        <v>0.230126471741991</v>
      </c>
      <c r="FG86" s="8">
        <v>0.12368118667897654</v>
      </c>
      <c r="FH86" s="8">
        <v>0.1181443132716362</v>
      </c>
      <c r="FI86" s="8">
        <v>0.11770339239071455</v>
      </c>
      <c r="FJ86" s="8">
        <v>0.10245536481383195</v>
      </c>
      <c r="FK86" s="8">
        <v>9.1976989683626442E-2</v>
      </c>
      <c r="FL86" s="8">
        <v>9.7844356639868679E-2</v>
      </c>
      <c r="FM86" s="8">
        <v>8.9932875331912729E-2</v>
      </c>
      <c r="FN86" s="8">
        <v>9.5141206560692484E-2</v>
      </c>
      <c r="FO86" s="8">
        <v>0.11847477992086217</v>
      </c>
      <c r="FP86" s="8">
        <v>0.12782392149899185</v>
      </c>
      <c r="FZ86" s="6" t="s">
        <v>202</v>
      </c>
      <c r="GA86" s="8">
        <v>0.51402988642974279</v>
      </c>
      <c r="GB86" s="8">
        <v>0.49960946037005699</v>
      </c>
      <c r="GC86" s="7">
        <v>0.50841431032647699</v>
      </c>
      <c r="GD86" s="8">
        <v>0.5060066566700433</v>
      </c>
      <c r="GE86" s="8">
        <v>0.51166307739462413</v>
      </c>
      <c r="GF86" s="8">
        <v>0.51202255560814125</v>
      </c>
      <c r="GG86" s="8">
        <v>0.50348694353360712</v>
      </c>
      <c r="GH86" s="8">
        <v>0.51569014814642311</v>
      </c>
      <c r="GI86" s="8">
        <v>0.53385427451357381</v>
      </c>
      <c r="GJ86" s="8">
        <v>0.53138049216625982</v>
      </c>
      <c r="GK86" s="7">
        <v>0.38786712658195494</v>
      </c>
      <c r="GL86" s="8">
        <v>0.39990039332779914</v>
      </c>
      <c r="GM86" s="8">
        <v>0.42929088980043573</v>
      </c>
      <c r="GN86" s="8">
        <v>0.46997080927849355</v>
      </c>
      <c r="GO86" s="8">
        <v>0.47756975695872877</v>
      </c>
      <c r="GP86" s="8">
        <v>0.47760383597660827</v>
      </c>
      <c r="GQ86" s="8">
        <v>0.46612954887176594</v>
      </c>
      <c r="GR86" s="8">
        <v>0.43366199352028589</v>
      </c>
      <c r="GS86" s="8">
        <v>0.41632006031129049</v>
      </c>
      <c r="GT86" s="7">
        <v>0.39773858016484731</v>
      </c>
      <c r="GU86" s="7">
        <v>0.19549486633197133</v>
      </c>
      <c r="GV86" s="8">
        <v>0.18907658829796789</v>
      </c>
      <c r="GW86" s="8">
        <v>0.2095926295905523</v>
      </c>
      <c r="GX86" s="8">
        <v>0.23207974750759211</v>
      </c>
      <c r="GY86" s="8">
        <v>0.2576053604991711</v>
      </c>
      <c r="GZ86" s="8">
        <v>0.27333542728466437</v>
      </c>
      <c r="HA86" s="8">
        <v>0.27502302868651834</v>
      </c>
      <c r="HB86" s="8">
        <v>0.24802336436776126</v>
      </c>
      <c r="HC86" s="8">
        <v>0.222578699389613</v>
      </c>
      <c r="HD86" s="7">
        <v>0.21378318501416649</v>
      </c>
      <c r="HE86" s="8">
        <v>0.43259469822173241</v>
      </c>
      <c r="HF86" s="7">
        <v>0.40425158337557493</v>
      </c>
      <c r="HG86" s="8">
        <v>0.40707870904947058</v>
      </c>
      <c r="HH86" s="8">
        <v>0.42888694129149796</v>
      </c>
      <c r="HI86" s="8">
        <v>0.45244606314776759</v>
      </c>
      <c r="HJ86" s="8">
        <v>0.46673690578919269</v>
      </c>
      <c r="HK86" s="8">
        <v>0.46416345624054067</v>
      </c>
      <c r="HL86" s="8">
        <v>0.44525055617060688</v>
      </c>
      <c r="HM86" s="7">
        <v>0.44037588457957771</v>
      </c>
      <c r="HN86" s="8">
        <v>0.44626628685417713</v>
      </c>
      <c r="HP86" s="6" t="s">
        <v>216</v>
      </c>
      <c r="HQ86" s="6" t="s">
        <v>140</v>
      </c>
      <c r="HR86" s="6" t="s">
        <v>141</v>
      </c>
      <c r="HS86" s="8">
        <v>0.67180565779432322</v>
      </c>
    </row>
    <row r="87" spans="2:227" x14ac:dyDescent="0.45">
      <c r="B87" s="3" t="s">
        <v>204</v>
      </c>
      <c r="C87" s="3" t="s">
        <v>131</v>
      </c>
      <c r="D87" s="5">
        <v>0.24838806977540343</v>
      </c>
      <c r="E87" s="5">
        <v>0.24800039274997418</v>
      </c>
      <c r="F87" s="5">
        <v>0.25310631087993218</v>
      </c>
      <c r="G87" s="5">
        <v>0.27215069125895902</v>
      </c>
      <c r="H87" s="5">
        <v>0.27481382178427416</v>
      </c>
      <c r="I87" s="5">
        <v>0.28304196539378318</v>
      </c>
      <c r="J87" s="5">
        <v>0.29219529305788233</v>
      </c>
      <c r="K87" s="5">
        <v>0.28508351094667</v>
      </c>
      <c r="L87" s="5">
        <v>0.27393626472854887</v>
      </c>
      <c r="M87" s="5">
        <v>0.26024454434822741</v>
      </c>
      <c r="N87" s="5">
        <v>0.30668543335989246</v>
      </c>
      <c r="O87" s="5">
        <v>0.32361307931143768</v>
      </c>
      <c r="P87" s="5">
        <v>0.31960396464756496</v>
      </c>
      <c r="Q87" s="5">
        <v>0.31477846986818153</v>
      </c>
      <c r="R87" s="5">
        <v>0.31336069885512796</v>
      </c>
      <c r="S87" s="5">
        <v>0.30007387044993866</v>
      </c>
      <c r="T87" s="5">
        <v>0.28861215123744871</v>
      </c>
      <c r="U87" s="5">
        <v>0.28421974501196262</v>
      </c>
      <c r="V87" s="5">
        <v>0.2752210770898591</v>
      </c>
      <c r="W87" s="5">
        <v>0.28669898934328514</v>
      </c>
      <c r="X87" s="5">
        <v>0.32135062384995966</v>
      </c>
      <c r="Y87" s="5">
        <v>0.33819321479558118</v>
      </c>
      <c r="Z87" s="5">
        <v>0.37080176554912275</v>
      </c>
      <c r="AA87" s="5">
        <v>0.37171496523414699</v>
      </c>
      <c r="AB87" s="5">
        <v>0.36874172394886456</v>
      </c>
      <c r="AC87" s="5">
        <v>0.34076462610253805</v>
      </c>
      <c r="AD87" s="5">
        <v>0.31372150927896064</v>
      </c>
      <c r="AE87" s="5">
        <v>0.30970105215946714</v>
      </c>
      <c r="AF87" s="5">
        <v>0.30627021247096364</v>
      </c>
      <c r="AG87" s="5">
        <v>0.30650385257134605</v>
      </c>
      <c r="AH87" s="5">
        <v>0.3090545884180031</v>
      </c>
      <c r="AI87" s="5">
        <v>0.31488577551427493</v>
      </c>
      <c r="AJ87" s="5">
        <v>0.32040955437094282</v>
      </c>
      <c r="AK87" s="5">
        <v>0.33272936155936272</v>
      </c>
      <c r="AL87" s="5">
        <v>0.32107994193054612</v>
      </c>
      <c r="AM87" s="5">
        <v>0.31220348065565962</v>
      </c>
      <c r="AN87" s="5">
        <v>0.32246416826188967</v>
      </c>
      <c r="AO87" s="5">
        <v>0.31787752648928069</v>
      </c>
      <c r="AP87" s="5">
        <v>0.31904282783351329</v>
      </c>
      <c r="AQ87" s="5">
        <v>0.31338401924745352</v>
      </c>
      <c r="AS87" s="3" t="s">
        <v>204</v>
      </c>
      <c r="AT87" s="3" t="s">
        <v>132</v>
      </c>
      <c r="AU87" s="5">
        <v>9.8927641397709119E-3</v>
      </c>
      <c r="AV87" s="4">
        <v>2.0360796410351659E-2</v>
      </c>
      <c r="AW87" s="5">
        <v>1.6790787040260529E-2</v>
      </c>
      <c r="AX87" s="5">
        <v>2.9480418127301514E-2</v>
      </c>
      <c r="AY87" s="5">
        <v>2.2878249519117284E-2</v>
      </c>
      <c r="AZ87" s="5">
        <v>8.7128229482015835E-3</v>
      </c>
      <c r="BA87" s="5">
        <v>9.6204832357577735E-3</v>
      </c>
      <c r="BB87" s="5">
        <v>1.2592433455043964E-2</v>
      </c>
      <c r="BC87" s="5">
        <v>1.6745766006712036E-2</v>
      </c>
      <c r="BD87" s="5">
        <v>8.0108796564821883E-3</v>
      </c>
      <c r="BE87" s="5">
        <v>9.9181450752988294E-3</v>
      </c>
      <c r="BF87" s="5">
        <v>2.0226963369803185E-2</v>
      </c>
      <c r="BG87" s="5">
        <v>1.6036361949737392E-2</v>
      </c>
      <c r="BH87" s="5">
        <v>1.2981117293410213E-2</v>
      </c>
      <c r="BI87" s="5">
        <v>1.3482819129483152E-2</v>
      </c>
      <c r="BJ87" s="5">
        <v>1.2000925347234778E-2</v>
      </c>
      <c r="BK87" s="5">
        <v>1.1923909908134108E-2</v>
      </c>
      <c r="BL87" s="4">
        <v>5.3632799234615038E-3</v>
      </c>
      <c r="BM87" s="5">
        <v>6.1361391385986027E-3</v>
      </c>
      <c r="BN87" s="5">
        <v>1.4699494873530752E-2</v>
      </c>
      <c r="BO87" s="5">
        <v>2.0653775743769198E-2</v>
      </c>
      <c r="BP87" s="5">
        <v>1.4629133652351972E-2</v>
      </c>
      <c r="BQ87" s="5">
        <v>2.4168781089451547E-2</v>
      </c>
      <c r="BR87" s="5">
        <v>4.3511228953601606E-2</v>
      </c>
      <c r="BS87" s="5">
        <v>3.7112709083284123E-2</v>
      </c>
      <c r="BT87" s="4">
        <v>1.5718034972659421E-2</v>
      </c>
      <c r="BU87" s="5">
        <v>1.1811027536488855E-2</v>
      </c>
      <c r="BV87" s="5">
        <v>4.4019613881187804E-3</v>
      </c>
      <c r="BW87" s="5">
        <v>1.4994705830525548E-2</v>
      </c>
      <c r="BX87" s="5">
        <v>1.9047557156703077E-2</v>
      </c>
      <c r="BY87" s="5">
        <v>1.7807716585422666E-2</v>
      </c>
      <c r="BZ87" s="4">
        <v>3.5044650823471968E-2</v>
      </c>
      <c r="CA87" s="4">
        <v>2.6696822648402035E-2</v>
      </c>
      <c r="CB87" s="5">
        <v>4.1173441305660634E-2</v>
      </c>
      <c r="CC87" s="5">
        <v>3.0481310115555403E-2</v>
      </c>
      <c r="CD87" s="5">
        <v>2.7108332663530001E-2</v>
      </c>
      <c r="CE87" s="5">
        <v>2.4455450934157897E-2</v>
      </c>
      <c r="CF87" s="4">
        <v>2.1876294631247573E-2</v>
      </c>
      <c r="CG87" s="5">
        <v>2.0943749653175144E-2</v>
      </c>
      <c r="CH87" s="5">
        <v>1.0960359567948896E-2</v>
      </c>
      <c r="CJ87" s="3" t="s">
        <v>204</v>
      </c>
      <c r="CK87" s="3" t="s">
        <v>133</v>
      </c>
      <c r="CL87" s="5">
        <v>1.8745028201945371E-2</v>
      </c>
      <c r="CM87" s="5">
        <v>1.3276560214061735E-2</v>
      </c>
      <c r="CN87" s="5">
        <v>2.2476206350068452E-2</v>
      </c>
      <c r="CO87" s="5">
        <v>2.4024251827559861E-2</v>
      </c>
      <c r="CP87" s="4">
        <v>2.7419960952043375E-2</v>
      </c>
      <c r="CQ87" s="5">
        <v>3.1101436062842932E-2</v>
      </c>
      <c r="CR87" s="5">
        <v>3.2097920444552071E-2</v>
      </c>
      <c r="CS87" s="5">
        <v>1.9639764886617807E-2</v>
      </c>
      <c r="CT87" s="5">
        <v>1.6470618664467723E-2</v>
      </c>
      <c r="CU87" s="5">
        <v>2.8407208150269651E-2</v>
      </c>
      <c r="CV87" s="5">
        <v>2.0944420222413353E-2</v>
      </c>
      <c r="CW87" s="5">
        <v>1.8043648306926605E-2</v>
      </c>
      <c r="CX87" s="5">
        <v>2.6919876012955174E-2</v>
      </c>
      <c r="CY87" s="5">
        <v>3.0077952547670844E-2</v>
      </c>
      <c r="CZ87" s="5">
        <v>2.8199038095975185E-2</v>
      </c>
      <c r="DA87" s="5">
        <v>2.0399325880807749E-2</v>
      </c>
      <c r="DB87" s="5">
        <v>1.2218396700332706E-2</v>
      </c>
      <c r="DC87" s="5">
        <v>1.2661597439116488E-2</v>
      </c>
      <c r="DD87" s="5">
        <v>1.0824875822006507E-2</v>
      </c>
      <c r="DE87" s="5">
        <v>6.1923972287208301E-3</v>
      </c>
      <c r="DF87" s="5">
        <v>2.5004447480575231E-2</v>
      </c>
      <c r="DG87" s="5">
        <v>5.3310753612419479E-2</v>
      </c>
      <c r="DH87" s="5">
        <v>4.7328466045749432E-2</v>
      </c>
      <c r="DI87" s="5">
        <v>3.2998493180092195E-2</v>
      </c>
      <c r="DJ87" s="5">
        <v>3.8627673645264426E-2</v>
      </c>
      <c r="DK87" s="5">
        <v>6.1542750186259099E-2</v>
      </c>
      <c r="DL87" s="5">
        <v>4.7860446727688612E-2</v>
      </c>
      <c r="DM87" s="5">
        <v>2.5662587151845089E-2</v>
      </c>
      <c r="DN87" s="5">
        <v>6.299459508244197E-3</v>
      </c>
      <c r="DO87" s="4">
        <v>1.5543167091236109E-2</v>
      </c>
      <c r="DP87" s="5">
        <v>1.5606711356401428E-2</v>
      </c>
      <c r="DQ87" s="5">
        <v>1.7689198595964344E-2</v>
      </c>
      <c r="DR87" s="5">
        <v>4.0607489401666488E-2</v>
      </c>
      <c r="DS87" s="5">
        <v>4.5023698421028373E-2</v>
      </c>
      <c r="DT87" s="4">
        <v>4.5678607244661662E-2</v>
      </c>
      <c r="DU87" s="5">
        <v>4.0776419118017972E-2</v>
      </c>
      <c r="DV87" s="5">
        <v>4.0908774672447197E-2</v>
      </c>
      <c r="DW87" s="5">
        <v>3.6153245822981663E-2</v>
      </c>
      <c r="DX87" s="5">
        <v>2.9168843475973032E-2</v>
      </c>
      <c r="DY87" s="5">
        <v>2.9884862704909015E-2</v>
      </c>
      <c r="EA87" s="3" t="s">
        <v>204</v>
      </c>
      <c r="EB87" s="3" t="s">
        <v>134</v>
      </c>
      <c r="EC87" s="5">
        <v>0.11771286254972474</v>
      </c>
      <c r="ED87" s="5">
        <v>0.11593796419059957</v>
      </c>
      <c r="EE87" s="5">
        <v>0.11827549648889753</v>
      </c>
      <c r="EF87" s="5">
        <v>0.11479542280888025</v>
      </c>
      <c r="EG87" s="5">
        <v>0.11811005515360681</v>
      </c>
      <c r="EH87" s="5">
        <v>0.12691384430964012</v>
      </c>
      <c r="EI87" s="5">
        <v>0.13142602664639025</v>
      </c>
      <c r="EJ87" s="5">
        <v>0.13575148431127904</v>
      </c>
      <c r="EK87" s="5">
        <v>0.1222271576458165</v>
      </c>
      <c r="EL87" s="5">
        <v>0.1116901105510951</v>
      </c>
      <c r="EM87" s="5">
        <v>0.15350460980426889</v>
      </c>
      <c r="EN87" s="5">
        <v>0.1574537581620872</v>
      </c>
      <c r="EO87" s="5">
        <v>0.150940137131712</v>
      </c>
      <c r="EP87" s="5">
        <v>0.14540014752306563</v>
      </c>
      <c r="EQ87" s="5">
        <v>0.13914795054724782</v>
      </c>
      <c r="ER87" s="5">
        <v>0.14520146470784204</v>
      </c>
      <c r="ES87" s="4">
        <v>0.14504908394664007</v>
      </c>
      <c r="ET87" s="5">
        <v>0.15464620897244666</v>
      </c>
      <c r="EU87" s="5">
        <v>0.15483838635835317</v>
      </c>
      <c r="EV87" s="5">
        <v>0.15367120383009003</v>
      </c>
      <c r="EW87" s="5">
        <v>0.16006234947386017</v>
      </c>
      <c r="EX87" s="5">
        <v>0.16210875686788515</v>
      </c>
      <c r="EY87" s="5">
        <v>0.17837885526990621</v>
      </c>
      <c r="EZ87" s="5">
        <v>0.16808251118972534</v>
      </c>
      <c r="FA87" s="5">
        <v>0.16259756626225227</v>
      </c>
      <c r="FB87" s="5">
        <v>0.14153869304886457</v>
      </c>
      <c r="FC87" s="5">
        <v>0.15529215658849987</v>
      </c>
      <c r="FD87" s="4">
        <v>0.18823658786841485</v>
      </c>
      <c r="FE87" s="5">
        <v>0.19213394662231792</v>
      </c>
      <c r="FF87" s="5">
        <v>0.17110051867985418</v>
      </c>
      <c r="FG87" s="5">
        <v>0.1568018929932668</v>
      </c>
      <c r="FH87" s="5">
        <v>0.14506356704369336</v>
      </c>
      <c r="FI87" s="5">
        <v>0.13944938627356943</v>
      </c>
      <c r="FJ87" s="5">
        <v>0.11956044315424805</v>
      </c>
      <c r="FK87" s="5">
        <v>0.12073935033485957</v>
      </c>
      <c r="FL87" s="5">
        <v>0.12124288540761734</v>
      </c>
      <c r="FM87" s="5">
        <v>0.12432340333018438</v>
      </c>
      <c r="FN87" s="5">
        <v>0.13498960365343657</v>
      </c>
      <c r="FO87" s="5">
        <v>0.14460074444852439</v>
      </c>
      <c r="FP87" s="5">
        <v>0.15074199420741616</v>
      </c>
      <c r="FZ87" s="3" t="s">
        <v>204</v>
      </c>
      <c r="GA87" s="5">
        <v>0.51203343884853814</v>
      </c>
      <c r="GB87" s="5">
        <v>0.49587823963880862</v>
      </c>
      <c r="GC87" s="4">
        <v>0.5028688779231647</v>
      </c>
      <c r="GD87" s="5">
        <v>0.4880250400366638</v>
      </c>
      <c r="GE87" s="5">
        <v>0.49245153220267546</v>
      </c>
      <c r="GF87" s="5">
        <v>0.50243638187347495</v>
      </c>
      <c r="GG87" s="5">
        <v>0.49587740401824798</v>
      </c>
      <c r="GH87" s="5">
        <v>0.50110843303304398</v>
      </c>
      <c r="GI87" s="5">
        <v>0.51789406535122962</v>
      </c>
      <c r="GJ87" s="5">
        <v>0.51708860662906664</v>
      </c>
      <c r="GK87" s="4">
        <v>0.42126620059285608</v>
      </c>
      <c r="GL87" s="5">
        <v>0.41760289744567142</v>
      </c>
      <c r="GM87" s="5">
        <v>0.43872641844960569</v>
      </c>
      <c r="GN87" s="5">
        <v>0.45785749044973678</v>
      </c>
      <c r="GO87" s="5">
        <v>0.46007575658198674</v>
      </c>
      <c r="GP87" s="5">
        <v>0.46427784265817451</v>
      </c>
      <c r="GQ87" s="5">
        <v>0.46906081999708371</v>
      </c>
      <c r="GR87" s="5">
        <v>0.44973630633279876</v>
      </c>
      <c r="GS87" s="5">
        <v>0.4400983486561173</v>
      </c>
      <c r="GT87" s="4">
        <v>0.42602612313617144</v>
      </c>
      <c r="GU87" s="4">
        <v>0.27578580080406634</v>
      </c>
      <c r="GV87" s="5">
        <v>0.2514827494621279</v>
      </c>
      <c r="GW87" s="5">
        <v>0.25644241711404325</v>
      </c>
      <c r="GX87" s="5">
        <v>0.25093762047707591</v>
      </c>
      <c r="GY87" s="5">
        <v>0.25909549014442923</v>
      </c>
      <c r="GZ87" s="5">
        <v>0.28647656771851948</v>
      </c>
      <c r="HA87" s="5">
        <v>0.31312123090465505</v>
      </c>
      <c r="HB87" s="5">
        <v>0.3178479329541008</v>
      </c>
      <c r="HC87" s="5">
        <v>0.29842532311715514</v>
      </c>
      <c r="HD87" s="4">
        <v>0.28712103525800942</v>
      </c>
      <c r="HE87" s="5">
        <v>0.38477779834474207</v>
      </c>
      <c r="HF87" s="4">
        <v>0.37870248099714482</v>
      </c>
      <c r="HG87" s="5">
        <v>0.39294909091084756</v>
      </c>
      <c r="HH87" s="5">
        <v>0.40149995853814779</v>
      </c>
      <c r="HI87" s="5">
        <v>0.4142879194837949</v>
      </c>
      <c r="HJ87" s="5">
        <v>0.43216763907380629</v>
      </c>
      <c r="HK87" s="5">
        <v>0.43663770588551737</v>
      </c>
      <c r="HL87" s="5">
        <v>0.4287282464935761</v>
      </c>
      <c r="HM87" s="4">
        <v>0.41273850460794254</v>
      </c>
      <c r="HN87" s="5">
        <v>0.39137508985673858</v>
      </c>
      <c r="HP87" s="3" t="s">
        <v>217</v>
      </c>
      <c r="HQ87" s="3" t="s">
        <v>140</v>
      </c>
      <c r="HR87" s="3" t="s">
        <v>141</v>
      </c>
      <c r="HS87" s="5">
        <v>0.64833385117380615</v>
      </c>
    </row>
    <row r="88" spans="2:227" x14ac:dyDescent="0.45">
      <c r="B88" s="6" t="s">
        <v>206</v>
      </c>
      <c r="C88" s="6" t="s">
        <v>131</v>
      </c>
      <c r="D88" s="8">
        <v>0.21000769565137081</v>
      </c>
      <c r="E88" s="8">
        <v>0.21722566330853377</v>
      </c>
      <c r="F88" s="8">
        <v>0.19858199782296043</v>
      </c>
      <c r="G88" s="8">
        <v>0.19829947153594796</v>
      </c>
      <c r="H88" s="8">
        <v>0.19576051629735144</v>
      </c>
      <c r="I88" s="8">
        <v>0.20507726045348634</v>
      </c>
      <c r="J88" s="8">
        <v>0.21648730842503786</v>
      </c>
      <c r="K88" s="8">
        <v>0.22249241016593951</v>
      </c>
      <c r="L88" s="8">
        <v>0.19426731561016436</v>
      </c>
      <c r="M88" s="8">
        <v>0.18301055333096922</v>
      </c>
      <c r="N88" s="8">
        <v>0.2705404321637207</v>
      </c>
      <c r="O88" s="8">
        <v>0.28838232546436399</v>
      </c>
      <c r="P88" s="8">
        <v>0.29861639108357851</v>
      </c>
      <c r="Q88" s="8">
        <v>0.29923531488499794</v>
      </c>
      <c r="R88" s="8">
        <v>0.30169657050733195</v>
      </c>
      <c r="S88" s="8">
        <v>0.29158789435269244</v>
      </c>
      <c r="T88" s="8">
        <v>0.27906052164837958</v>
      </c>
      <c r="U88" s="8">
        <v>0.26392026664652085</v>
      </c>
      <c r="V88" s="8">
        <v>0.24949635665368608</v>
      </c>
      <c r="W88" s="8">
        <v>0.26067078954365336</v>
      </c>
      <c r="X88" s="8">
        <v>0.31019749505565131</v>
      </c>
      <c r="Y88" s="8">
        <v>0.30821416861947942</v>
      </c>
      <c r="Z88" s="8">
        <v>0.30522222810943861</v>
      </c>
      <c r="AA88" s="8">
        <v>0.29620808572922619</v>
      </c>
      <c r="AB88" s="8">
        <v>0.28705173573757142</v>
      </c>
      <c r="AC88" s="8">
        <v>0.28436616348393273</v>
      </c>
      <c r="AD88" s="8">
        <v>0.29187679829261665</v>
      </c>
      <c r="AE88" s="8">
        <v>0.28849344110152403</v>
      </c>
      <c r="AF88" s="8">
        <v>0.29768824599906857</v>
      </c>
      <c r="AG88" s="8">
        <v>0.30777453437628116</v>
      </c>
      <c r="AH88" s="8">
        <v>0.2277329068954427</v>
      </c>
      <c r="AI88" s="8">
        <v>0.2272957139237923</v>
      </c>
      <c r="AJ88" s="8">
        <v>0.21692403908130606</v>
      </c>
      <c r="AK88" s="8">
        <v>0.22286445772588973</v>
      </c>
      <c r="AL88" s="8">
        <v>0.24447129656039229</v>
      </c>
      <c r="AM88" s="8">
        <v>0.24516182849130183</v>
      </c>
      <c r="AN88" s="8">
        <v>0.23939857665684869</v>
      </c>
      <c r="AO88" s="8">
        <v>0.22974770072673648</v>
      </c>
      <c r="AP88" s="8">
        <v>0.21303666655736761</v>
      </c>
      <c r="AQ88" s="8">
        <v>0.22611206237498802</v>
      </c>
      <c r="AS88" s="6" t="s">
        <v>206</v>
      </c>
      <c r="AT88" s="6" t="s">
        <v>132</v>
      </c>
      <c r="AU88" s="8">
        <v>1.4319756125101024E-2</v>
      </c>
      <c r="AV88" s="7">
        <v>5.8842688109468719E-4</v>
      </c>
      <c r="AW88" s="8">
        <v>4.2045881888517506E-3</v>
      </c>
      <c r="AX88" s="8">
        <v>1.2839106404225049E-2</v>
      </c>
      <c r="AY88" s="8">
        <v>1.7293684902473332E-2</v>
      </c>
      <c r="AZ88" s="8">
        <v>1.7062337923370349E-2</v>
      </c>
      <c r="BA88" s="8">
        <v>1.4122959389976668E-2</v>
      </c>
      <c r="BB88" s="8">
        <v>1.4054587958713697E-2</v>
      </c>
      <c r="BC88" s="8">
        <v>1.1193897990127424E-2</v>
      </c>
      <c r="BD88" s="8">
        <v>1.4111215613326313E-2</v>
      </c>
      <c r="BE88" s="8">
        <v>1.6762156444529407E-2</v>
      </c>
      <c r="BF88" s="8">
        <v>1.5118007757238936E-2</v>
      </c>
      <c r="BG88" s="8">
        <v>6.8971431510707788E-3</v>
      </c>
      <c r="BH88" s="8">
        <v>6.6973402406369613E-3</v>
      </c>
      <c r="BI88" s="8">
        <v>1.5878486462590942E-2</v>
      </c>
      <c r="BJ88" s="8">
        <v>1.8133921615201429E-2</v>
      </c>
      <c r="BK88" s="8">
        <v>1.0056151698735576E-2</v>
      </c>
      <c r="BL88" s="7">
        <v>1.2961454003158441E-2</v>
      </c>
      <c r="BM88" s="8">
        <v>1.8917469139746155E-2</v>
      </c>
      <c r="BN88" s="8">
        <v>1.4385707526560942E-2</v>
      </c>
      <c r="BO88" s="8">
        <v>2.0983579907027785E-2</v>
      </c>
      <c r="BP88" s="8">
        <v>2.1487984818533364E-2</v>
      </c>
      <c r="BQ88" s="8">
        <v>1.9929554119507392E-2</v>
      </c>
      <c r="BR88" s="8">
        <v>2.0764015639972263E-2</v>
      </c>
      <c r="BS88" s="8">
        <v>9.443019716064217E-3</v>
      </c>
      <c r="BT88" s="7">
        <v>2.0853452539208936E-2</v>
      </c>
      <c r="BU88" s="8">
        <v>2.0124963081799303E-2</v>
      </c>
      <c r="BV88" s="8">
        <v>1.2077352016064673E-2</v>
      </c>
      <c r="BW88" s="8">
        <v>1.5832510480123477E-2</v>
      </c>
      <c r="BX88" s="8">
        <v>2.1908256767804713E-2</v>
      </c>
      <c r="BY88" s="8">
        <v>1.1770690591038812E-2</v>
      </c>
      <c r="BZ88" s="7">
        <v>5.4568690111928874E-3</v>
      </c>
      <c r="CA88" s="7">
        <v>6.0819325406973662E-3</v>
      </c>
      <c r="CB88" s="8">
        <v>1.1331517888164581E-2</v>
      </c>
      <c r="CC88" s="8">
        <v>1.3077004115701054E-2</v>
      </c>
      <c r="CD88" s="8">
        <v>1.1401173285935581E-2</v>
      </c>
      <c r="CE88" s="8">
        <v>1.0831148736371943E-2</v>
      </c>
      <c r="CF88" s="7">
        <v>1.2263632368839658E-2</v>
      </c>
      <c r="CG88" s="8">
        <v>9.5420378658798467E-3</v>
      </c>
      <c r="CH88" s="8">
        <v>1.2973134185308282E-2</v>
      </c>
      <c r="CJ88" s="6" t="s">
        <v>206</v>
      </c>
      <c r="CK88" s="6" t="s">
        <v>133</v>
      </c>
      <c r="CL88" s="8">
        <v>1.8165259113555866E-2</v>
      </c>
      <c r="CM88" s="8">
        <v>2.5767915837203455E-2</v>
      </c>
      <c r="CN88" s="8">
        <v>1.0106395570590648E-2</v>
      </c>
      <c r="CO88" s="8">
        <v>3.6499706004183745E-3</v>
      </c>
      <c r="CP88" s="7">
        <v>8.6046438882194873E-4</v>
      </c>
      <c r="CQ88" s="8">
        <v>8.9483943105460699E-3</v>
      </c>
      <c r="CR88" s="8">
        <v>1.7771802401388682E-2</v>
      </c>
      <c r="CS88" s="8">
        <v>2.0242398352827224E-2</v>
      </c>
      <c r="CT88" s="8">
        <v>1.4960743098821555E-2</v>
      </c>
      <c r="CU88" s="8">
        <v>1.1700550139313945E-2</v>
      </c>
      <c r="CV88" s="8">
        <v>1.7690645057390677E-2</v>
      </c>
      <c r="CW88" s="8">
        <v>2.3116220949601404E-2</v>
      </c>
      <c r="CX88" s="8">
        <v>2.7912442208933606E-2</v>
      </c>
      <c r="CY88" s="8">
        <v>1.8733594241303404E-2</v>
      </c>
      <c r="CZ88" s="8">
        <v>8.6604685944320636E-3</v>
      </c>
      <c r="DA88" s="8">
        <v>5.0651035718134113E-3</v>
      </c>
      <c r="DB88" s="8">
        <v>1.8473229027849689E-2</v>
      </c>
      <c r="DC88" s="8">
        <v>1.9714093556957871E-2</v>
      </c>
      <c r="DD88" s="8">
        <v>1.2403499356002783E-2</v>
      </c>
      <c r="DE88" s="8">
        <v>1.9540153377585603E-2</v>
      </c>
      <c r="DF88" s="8">
        <v>2.4665711321952527E-2</v>
      </c>
      <c r="DG88" s="8">
        <v>2.6537658370760182E-2</v>
      </c>
      <c r="DH88" s="8">
        <v>2.0624741035614895E-2</v>
      </c>
      <c r="DI88" s="8">
        <v>1.5344055022426981E-2</v>
      </c>
      <c r="DJ88" s="8">
        <v>3.2670171879757112E-2</v>
      </c>
      <c r="DK88" s="8">
        <v>2.1899413993732981E-2</v>
      </c>
      <c r="DL88" s="8">
        <v>2.3890465194958247E-2</v>
      </c>
      <c r="DM88" s="8">
        <v>2.9967044941010074E-2</v>
      </c>
      <c r="DN88" s="8">
        <v>2.7324152013297274E-2</v>
      </c>
      <c r="DO88" s="7">
        <v>2.4415766304836061E-2</v>
      </c>
      <c r="DP88" s="8">
        <v>1.1553270738446529E-2</v>
      </c>
      <c r="DQ88" s="8">
        <v>1.817513419332566E-2</v>
      </c>
      <c r="DR88" s="8">
        <v>1.1648197801034745E-2</v>
      </c>
      <c r="DS88" s="8">
        <v>7.2724144447074163E-3</v>
      </c>
      <c r="DT88" s="7">
        <v>5.9353462859069962E-3</v>
      </c>
      <c r="DU88" s="8">
        <v>1.5042217639468043E-2</v>
      </c>
      <c r="DV88" s="8">
        <v>1.4677867243348131E-2</v>
      </c>
      <c r="DW88" s="8">
        <v>1.0224348126112944E-2</v>
      </c>
      <c r="DX88" s="8">
        <v>1.4193922303787899E-2</v>
      </c>
      <c r="DY88" s="8">
        <v>1.5738290963598012E-2</v>
      </c>
      <c r="EA88" s="6" t="s">
        <v>206</v>
      </c>
      <c r="EB88" s="6" t="s">
        <v>134</v>
      </c>
      <c r="EC88" s="8">
        <v>5.3512370282289778E-2</v>
      </c>
      <c r="ED88" s="8">
        <v>7.4142366718754238E-2</v>
      </c>
      <c r="EE88" s="8">
        <v>7.228540955940875E-2</v>
      </c>
      <c r="EF88" s="8">
        <v>6.4873842780306987E-2</v>
      </c>
      <c r="EG88" s="8">
        <v>5.9152513746170775E-2</v>
      </c>
      <c r="EH88" s="8">
        <v>5.6567185436145688E-2</v>
      </c>
      <c r="EI88" s="8">
        <v>5.9846564469114093E-2</v>
      </c>
      <c r="EJ88" s="8">
        <v>6.1136155060477662E-2</v>
      </c>
      <c r="EK88" s="8">
        <v>5.3417932709191915E-2</v>
      </c>
      <c r="EL88" s="8">
        <v>4.2375850623752799E-2</v>
      </c>
      <c r="EM88" s="8">
        <v>9.6694016562644383E-2</v>
      </c>
      <c r="EN88" s="8">
        <v>0.1093728542233173</v>
      </c>
      <c r="EO88" s="8">
        <v>0.12105647646575758</v>
      </c>
      <c r="EP88" s="8">
        <v>0.12701766761589844</v>
      </c>
      <c r="EQ88" s="8">
        <v>0.12779031684955927</v>
      </c>
      <c r="ER88" s="8">
        <v>0.12823936579612505</v>
      </c>
      <c r="ES88" s="7">
        <v>0.11300921171064356</v>
      </c>
      <c r="ET88" s="8">
        <v>9.2913114927603374E-2</v>
      </c>
      <c r="EU88" s="8">
        <v>9.4195469595465445E-2</v>
      </c>
      <c r="EV88" s="8">
        <v>9.4755882784008039E-2</v>
      </c>
      <c r="EW88" s="8">
        <v>0.14111068963063897</v>
      </c>
      <c r="EX88" s="8">
        <v>0.13626615825492461</v>
      </c>
      <c r="EY88" s="8">
        <v>0.13601777933386144</v>
      </c>
      <c r="EZ88" s="8">
        <v>0.13865839348959796</v>
      </c>
      <c r="FA88" s="8">
        <v>0.12793077789136323</v>
      </c>
      <c r="FB88" s="8">
        <v>0.11998286372644774</v>
      </c>
      <c r="FC88" s="8">
        <v>0.12826354702812426</v>
      </c>
      <c r="FD88" s="7">
        <v>0.13495806614870889</v>
      </c>
      <c r="FE88" s="8">
        <v>0.13274207722681633</v>
      </c>
      <c r="FF88" s="8">
        <v>0.13374829231430088</v>
      </c>
      <c r="FG88" s="8">
        <v>7.2297744766549737E-2</v>
      </c>
      <c r="FH88" s="8">
        <v>7.5624848150735891E-2</v>
      </c>
      <c r="FI88" s="8">
        <v>7.5390144508384452E-2</v>
      </c>
      <c r="FJ88" s="8">
        <v>8.1288806333081276E-2</v>
      </c>
      <c r="FK88" s="8">
        <v>8.735350925420253E-2</v>
      </c>
      <c r="FL88" s="8">
        <v>8.2619712601807713E-2</v>
      </c>
      <c r="FM88" s="8">
        <v>8.1975205178610164E-2</v>
      </c>
      <c r="FN88" s="8">
        <v>7.9748684238487397E-2</v>
      </c>
      <c r="FO88" s="8">
        <v>7.2238414868985204E-2</v>
      </c>
      <c r="FP88" s="8">
        <v>7.0996454915571827E-2</v>
      </c>
      <c r="FZ88" s="6" t="s">
        <v>206</v>
      </c>
      <c r="GA88" s="8">
        <v>0.72265416822029083</v>
      </c>
      <c r="GB88" s="8">
        <v>0.69628312891752464</v>
      </c>
      <c r="GC88" s="7">
        <v>0.71787009777905619</v>
      </c>
      <c r="GD88" s="8">
        <v>0.72600827468411111</v>
      </c>
      <c r="GE88" s="8">
        <v>0.73002696139228207</v>
      </c>
      <c r="GF88" s="8">
        <v>0.71914819918794137</v>
      </c>
      <c r="GG88" s="8">
        <v>0.70281578415033596</v>
      </c>
      <c r="GH88" s="8">
        <v>0.69638771773000085</v>
      </c>
      <c r="GI88" s="8">
        <v>0.72376287584384424</v>
      </c>
      <c r="GJ88" s="8">
        <v>0.750699882847084</v>
      </c>
      <c r="GK88" s="7">
        <v>0.61360428617681118</v>
      </c>
      <c r="GL88" s="8">
        <v>0.59158723975624705</v>
      </c>
      <c r="GM88" s="8">
        <v>0.57553154153938213</v>
      </c>
      <c r="GN88" s="8">
        <v>0.56961212554797858</v>
      </c>
      <c r="GO88" s="8">
        <v>0.56517368495598153</v>
      </c>
      <c r="GP88" s="8">
        <v>0.57217646520257515</v>
      </c>
      <c r="GQ88" s="8">
        <v>0.58744008603065379</v>
      </c>
      <c r="GR88" s="8">
        <v>0.61238829653225335</v>
      </c>
      <c r="GS88" s="8">
        <v>0.62332902118883848</v>
      </c>
      <c r="GT88" s="7">
        <v>0.61972773014995042</v>
      </c>
      <c r="GU88" s="7">
        <v>0.49365137596615843</v>
      </c>
      <c r="GV88" s="8">
        <v>0.49884149620710216</v>
      </c>
      <c r="GW88" s="8">
        <v>0.50793298307770984</v>
      </c>
      <c r="GX88" s="8">
        <v>0.50297238637460906</v>
      </c>
      <c r="GY88" s="8">
        <v>0.50608788414885519</v>
      </c>
      <c r="GZ88" s="8">
        <v>0.51460317525881816</v>
      </c>
      <c r="HA88" s="8">
        <v>0.50008650156479095</v>
      </c>
      <c r="HB88" s="8">
        <v>0.4921722232499306</v>
      </c>
      <c r="HC88" s="8">
        <v>0.48766197466848937</v>
      </c>
      <c r="HD88" s="7">
        <v>0.49560588577146442</v>
      </c>
      <c r="HE88" s="8">
        <v>0.69073333358142475</v>
      </c>
      <c r="HF88" s="7">
        <v>0.68236059055276321</v>
      </c>
      <c r="HG88" s="8">
        <v>0.69165826145398335</v>
      </c>
      <c r="HH88" s="8">
        <v>0.6851264805015268</v>
      </c>
      <c r="HI88" s="8">
        <v>0.6616529092368979</v>
      </c>
      <c r="HJ88" s="8">
        <v>0.6562274564629702</v>
      </c>
      <c r="HK88" s="8">
        <v>0.66196367765817199</v>
      </c>
      <c r="HL88" s="8">
        <v>0.66916776168588465</v>
      </c>
      <c r="HM88" s="7">
        <v>0.69208397799045329</v>
      </c>
      <c r="HN88" s="8">
        <v>0.68776502306733911</v>
      </c>
      <c r="HP88" s="6" t="s">
        <v>218</v>
      </c>
      <c r="HQ88" s="6" t="s">
        <v>140</v>
      </c>
      <c r="HR88" s="6" t="s">
        <v>141</v>
      </c>
      <c r="HS88" s="8">
        <v>0.706489857816327</v>
      </c>
    </row>
  </sheetData>
  <mergeCells count="1">
    <mergeCell ref="A1:A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9167-1FB4-4F07-8087-15F4B156DDE1}">
  <dimension ref="A1:S126"/>
  <sheetViews>
    <sheetView workbookViewId="0">
      <selection sqref="A1:H1"/>
    </sheetView>
  </sheetViews>
  <sheetFormatPr defaultRowHeight="14.25" x14ac:dyDescent="0.45"/>
  <cols>
    <col min="3" max="5" width="10.59765625" customWidth="1"/>
    <col min="6" max="6" width="13.06640625" bestFit="1" customWidth="1"/>
    <col min="8" max="8" width="10.59765625" bestFit="1" customWidth="1"/>
    <col min="9" max="10" width="10.59765625" customWidth="1"/>
    <col min="12" max="12" width="10.59765625" bestFit="1" customWidth="1"/>
    <col min="13" max="14" width="10.59765625" customWidth="1"/>
    <col min="16" max="19" width="10.59765625" customWidth="1"/>
  </cols>
  <sheetData>
    <row r="1" spans="1:19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9" ht="14.65" thickBot="1" x14ac:dyDescent="0.5">
      <c r="C9" s="1" t="str">
        <f>IF(A11="x","DeActivated","~TFM_DINS-AT: region=GBR")</f>
        <v>~TFM_DINS-AT: region=GBR</v>
      </c>
      <c r="H9" s="1" t="str">
        <f>IF(A11="x","DeActivated","~TFM_DINS-AT: region=GBR")</f>
        <v>~TFM_DINS-AT: region=GBR</v>
      </c>
      <c r="L9" s="1" t="str">
        <f>IF(A11="x","DeActivated","~TFM_DINS-AT: region=GBR")</f>
        <v>~TFM_DINS-AT: region=GBR</v>
      </c>
      <c r="P9" s="1" t="str">
        <f>IF(A11="x","DeActivated","~TFM_INS-AT: region=GBR")</f>
        <v>~TFM_INS-AT: region=GBR</v>
      </c>
    </row>
    <row r="10" spans="1:19" ht="15.75" thickBot="1" x14ac:dyDescent="0.6">
      <c r="A10" t="s">
        <v>219</v>
      </c>
      <c r="C10" s="2" t="s">
        <v>220</v>
      </c>
      <c r="D10" s="2" t="s">
        <v>3</v>
      </c>
      <c r="E10" s="2" t="s">
        <v>2</v>
      </c>
      <c r="F10" s="2" t="s">
        <v>1</v>
      </c>
      <c r="H10" s="2" t="s">
        <v>1</v>
      </c>
      <c r="I10" s="2" t="s">
        <v>2</v>
      </c>
      <c r="J10" s="2" t="s">
        <v>3</v>
      </c>
      <c r="L10" s="2" t="s">
        <v>1</v>
      </c>
      <c r="M10" s="2" t="s">
        <v>2</v>
      </c>
      <c r="N10" s="2" t="s">
        <v>221</v>
      </c>
      <c r="P10" s="2" t="s">
        <v>222</v>
      </c>
      <c r="Q10" s="2" t="s">
        <v>2</v>
      </c>
      <c r="R10" s="2" t="s">
        <v>223</v>
      </c>
      <c r="S10" s="2" t="s">
        <v>224</v>
      </c>
    </row>
    <row r="11" spans="1:19" x14ac:dyDescent="0.45">
      <c r="C11" s="5">
        <v>5.1369863013698627E-2</v>
      </c>
      <c r="D11" s="5">
        <v>7.995425502821769E-3</v>
      </c>
      <c r="E11" s="3" t="s">
        <v>6</v>
      </c>
      <c r="F11" s="3" t="s">
        <v>225</v>
      </c>
      <c r="H11" s="3" t="s">
        <v>226</v>
      </c>
      <c r="I11" s="3" t="s">
        <v>6</v>
      </c>
      <c r="J11" s="3"/>
      <c r="L11" s="3" t="s">
        <v>227</v>
      </c>
      <c r="M11" s="3" t="s">
        <v>6</v>
      </c>
      <c r="N11" s="5">
        <v>0.10750406611201591</v>
      </c>
      <c r="P11" s="11">
        <v>2020</v>
      </c>
      <c r="Q11" s="3" t="s">
        <v>228</v>
      </c>
      <c r="R11" s="5">
        <v>0.31829999999999997</v>
      </c>
      <c r="S11" s="3" t="s">
        <v>229</v>
      </c>
    </row>
    <row r="12" spans="1:19" x14ac:dyDescent="0.45">
      <c r="C12" s="8">
        <v>2.0547945205479451E-2</v>
      </c>
      <c r="D12" s="8">
        <v>2.0406235238545112E-2</v>
      </c>
      <c r="E12" s="6" t="s">
        <v>10</v>
      </c>
      <c r="F12" s="6" t="s">
        <v>225</v>
      </c>
      <c r="H12" s="6" t="s">
        <v>226</v>
      </c>
      <c r="I12" s="6" t="s">
        <v>10</v>
      </c>
      <c r="J12" s="6"/>
      <c r="L12" s="6" t="s">
        <v>227</v>
      </c>
      <c r="M12" s="6" t="s">
        <v>10</v>
      </c>
      <c r="N12" s="8">
        <v>0.2079793793245186</v>
      </c>
      <c r="P12" s="12">
        <v>2020</v>
      </c>
      <c r="Q12" s="6" t="s">
        <v>230</v>
      </c>
      <c r="R12" s="8">
        <v>0.20230000000000001</v>
      </c>
      <c r="S12" s="6" t="s">
        <v>229</v>
      </c>
    </row>
    <row r="13" spans="1:19" x14ac:dyDescent="0.45">
      <c r="C13" s="5">
        <v>2.0547945205479451E-2</v>
      </c>
      <c r="D13" s="5">
        <v>3.0281182408074987E-2</v>
      </c>
      <c r="E13" s="3" t="s">
        <v>11</v>
      </c>
      <c r="F13" s="3" t="s">
        <v>225</v>
      </c>
      <c r="H13" s="3" t="s">
        <v>226</v>
      </c>
      <c r="I13" s="3" t="s">
        <v>11</v>
      </c>
      <c r="J13" s="3"/>
      <c r="L13" s="3" t="s">
        <v>227</v>
      </c>
      <c r="M13" s="3" t="s">
        <v>11</v>
      </c>
      <c r="N13" s="5">
        <v>0.13715989280427499</v>
      </c>
      <c r="P13" s="11">
        <v>2020</v>
      </c>
      <c r="Q13" s="3" t="s">
        <v>231</v>
      </c>
      <c r="R13" s="5">
        <v>0.14046666666666666</v>
      </c>
      <c r="S13" s="3" t="s">
        <v>229</v>
      </c>
    </row>
    <row r="14" spans="1:19" x14ac:dyDescent="0.45">
      <c r="C14" s="8">
        <v>2.0547945205479451E-2</v>
      </c>
      <c r="D14" s="8">
        <v>2.5686796111677408E-2</v>
      </c>
      <c r="E14" s="6" t="s">
        <v>12</v>
      </c>
      <c r="F14" s="6" t="s">
        <v>225</v>
      </c>
      <c r="H14" s="6" t="s">
        <v>226</v>
      </c>
      <c r="I14" s="6" t="s">
        <v>12</v>
      </c>
      <c r="J14" s="6"/>
      <c r="L14" s="6" t="s">
        <v>227</v>
      </c>
      <c r="M14" s="6" t="s">
        <v>12</v>
      </c>
      <c r="N14" s="8">
        <v>8.965083829214282E-2</v>
      </c>
      <c r="P14" s="12">
        <v>2020</v>
      </c>
      <c r="Q14" s="6" t="s">
        <v>232</v>
      </c>
      <c r="R14" s="8">
        <v>0.23416666666666663</v>
      </c>
      <c r="S14" s="6" t="s">
        <v>229</v>
      </c>
    </row>
    <row r="15" spans="1:19" x14ac:dyDescent="0.45">
      <c r="C15" s="5">
        <v>2.0547945205479451E-2</v>
      </c>
      <c r="D15" s="5">
        <v>2.5477960370932053E-2</v>
      </c>
      <c r="E15" s="3" t="s">
        <v>13</v>
      </c>
      <c r="F15" s="3" t="s">
        <v>225</v>
      </c>
      <c r="H15" s="3" t="s">
        <v>226</v>
      </c>
      <c r="I15" s="3" t="s">
        <v>13</v>
      </c>
      <c r="J15" s="3"/>
      <c r="L15" s="3" t="s">
        <v>227</v>
      </c>
      <c r="M15" s="3" t="s">
        <v>13</v>
      </c>
      <c r="N15" s="5">
        <v>8.3160548890277575E-2</v>
      </c>
      <c r="P15" s="11">
        <v>2021</v>
      </c>
      <c r="Q15" s="3" t="s">
        <v>228</v>
      </c>
      <c r="R15" s="5">
        <v>0.21483333333333332</v>
      </c>
      <c r="S15" s="3" t="s">
        <v>229</v>
      </c>
    </row>
    <row r="16" spans="1:19" x14ac:dyDescent="0.45">
      <c r="C16" s="8">
        <v>2.0547945205479451E-2</v>
      </c>
      <c r="D16" s="8">
        <v>2.6939810556149468E-2</v>
      </c>
      <c r="E16" s="6" t="s">
        <v>14</v>
      </c>
      <c r="F16" s="6" t="s">
        <v>225</v>
      </c>
      <c r="H16" s="6" t="s">
        <v>226</v>
      </c>
      <c r="I16" s="6" t="s">
        <v>14</v>
      </c>
      <c r="J16" s="6"/>
      <c r="L16" s="6" t="s">
        <v>227</v>
      </c>
      <c r="M16" s="6" t="s">
        <v>14</v>
      </c>
      <c r="N16" s="8">
        <v>8.8274397359270784E-2</v>
      </c>
      <c r="P16" s="12">
        <v>2021</v>
      </c>
      <c r="Q16" s="6" t="s">
        <v>230</v>
      </c>
      <c r="R16" s="8">
        <v>0.18423333333333333</v>
      </c>
      <c r="S16" s="6" t="s">
        <v>229</v>
      </c>
    </row>
    <row r="17" spans="3:19" x14ac:dyDescent="0.45">
      <c r="C17" s="5">
        <v>2.0547945205479451E-2</v>
      </c>
      <c r="D17" s="5">
        <v>3.5502075926708607E-2</v>
      </c>
      <c r="E17" s="3" t="s">
        <v>15</v>
      </c>
      <c r="F17" s="3" t="s">
        <v>225</v>
      </c>
      <c r="H17" s="3" t="s">
        <v>226</v>
      </c>
      <c r="I17" s="3" t="s">
        <v>15</v>
      </c>
      <c r="J17" s="3"/>
      <c r="L17" s="3" t="s">
        <v>227</v>
      </c>
      <c r="M17" s="3" t="s">
        <v>15</v>
      </c>
      <c r="N17" s="5">
        <v>8.6869304654512591E-2</v>
      </c>
      <c r="P17" s="11">
        <v>2021</v>
      </c>
      <c r="Q17" s="3" t="s">
        <v>231</v>
      </c>
      <c r="R17" s="5">
        <v>7.2433333333333336E-2</v>
      </c>
      <c r="S17" s="3" t="s">
        <v>229</v>
      </c>
    </row>
    <row r="18" spans="3:19" x14ac:dyDescent="0.45">
      <c r="C18" s="8">
        <v>2.0547945205479451E-2</v>
      </c>
      <c r="D18" s="8">
        <v>3.5502075926708607E-2</v>
      </c>
      <c r="E18" s="6" t="s">
        <v>16</v>
      </c>
      <c r="F18" s="6" t="s">
        <v>225</v>
      </c>
      <c r="H18" s="6" t="s">
        <v>226</v>
      </c>
      <c r="I18" s="6" t="s">
        <v>16</v>
      </c>
      <c r="J18" s="6"/>
      <c r="L18" s="6" t="s">
        <v>227</v>
      </c>
      <c r="M18" s="6" t="s">
        <v>16</v>
      </c>
      <c r="N18" s="8">
        <v>7.7059865628238189E-2</v>
      </c>
      <c r="P18" s="12">
        <v>2021</v>
      </c>
      <c r="Q18" s="6" t="s">
        <v>232</v>
      </c>
      <c r="R18" s="8">
        <v>0.20033333333333334</v>
      </c>
      <c r="S18" s="6" t="s">
        <v>229</v>
      </c>
    </row>
    <row r="19" spans="3:19" x14ac:dyDescent="0.45">
      <c r="C19" s="5">
        <v>2.0547945205479451E-2</v>
      </c>
      <c r="D19" s="5">
        <v>2.386694179946797E-2</v>
      </c>
      <c r="E19" s="3" t="s">
        <v>17</v>
      </c>
      <c r="F19" s="3" t="s">
        <v>225</v>
      </c>
      <c r="H19" s="3" t="s">
        <v>226</v>
      </c>
      <c r="I19" s="3" t="s">
        <v>17</v>
      </c>
      <c r="J19" s="3"/>
      <c r="L19" s="3" t="s">
        <v>227</v>
      </c>
      <c r="M19" s="3" t="s">
        <v>17</v>
      </c>
      <c r="N19" s="5">
        <v>8.8036391219134646E-2</v>
      </c>
      <c r="P19" s="11">
        <v>2022</v>
      </c>
      <c r="Q19" s="3" t="s">
        <v>228</v>
      </c>
      <c r="R19" s="5">
        <v>0.23490000000000003</v>
      </c>
      <c r="S19" s="3" t="s">
        <v>229</v>
      </c>
    </row>
    <row r="20" spans="3:19" x14ac:dyDescent="0.45">
      <c r="C20" s="8">
        <v>3.0821917808219176E-2</v>
      </c>
      <c r="D20" s="8">
        <v>1.4916838624667481E-2</v>
      </c>
      <c r="E20" s="6" t="s">
        <v>18</v>
      </c>
      <c r="F20" s="6" t="s">
        <v>225</v>
      </c>
      <c r="H20" s="6" t="s">
        <v>226</v>
      </c>
      <c r="I20" s="6" t="s">
        <v>18</v>
      </c>
      <c r="J20" s="6"/>
      <c r="L20" s="6" t="s">
        <v>227</v>
      </c>
      <c r="M20" s="6" t="s">
        <v>18</v>
      </c>
      <c r="N20" s="8">
        <v>0.1121143324881011</v>
      </c>
      <c r="P20" s="12">
        <v>2022</v>
      </c>
      <c r="Q20" s="6" t="s">
        <v>230</v>
      </c>
      <c r="R20" s="8">
        <v>0.16093333333333334</v>
      </c>
      <c r="S20" s="6" t="s">
        <v>229</v>
      </c>
    </row>
    <row r="21" spans="3:19" x14ac:dyDescent="0.45">
      <c r="C21" s="5">
        <v>5.2511415525114152E-2</v>
      </c>
      <c r="D21" s="5">
        <v>8.1731016251066976E-3</v>
      </c>
      <c r="E21" s="3" t="s">
        <v>19</v>
      </c>
      <c r="F21" s="3" t="s">
        <v>225</v>
      </c>
      <c r="H21" s="3" t="s">
        <v>226</v>
      </c>
      <c r="I21" s="3" t="s">
        <v>19</v>
      </c>
      <c r="J21" s="3"/>
      <c r="L21" s="3" t="s">
        <v>227</v>
      </c>
      <c r="M21" s="3" t="s">
        <v>19</v>
      </c>
      <c r="N21" s="5">
        <v>0.14730880917712708</v>
      </c>
      <c r="P21" s="11">
        <v>2022</v>
      </c>
      <c r="Q21" s="3" t="s">
        <v>231</v>
      </c>
      <c r="R21" s="5">
        <v>0.10766666666666667</v>
      </c>
      <c r="S21" s="3" t="s">
        <v>229</v>
      </c>
    </row>
    <row r="22" spans="3:19" x14ac:dyDescent="0.45">
      <c r="C22" s="8">
        <v>2.1004566210045664E-2</v>
      </c>
      <c r="D22" s="8">
        <v>2.0859707132735002E-2</v>
      </c>
      <c r="E22" s="6" t="s">
        <v>20</v>
      </c>
      <c r="F22" s="6" t="s">
        <v>225</v>
      </c>
      <c r="H22" s="6" t="s">
        <v>226</v>
      </c>
      <c r="I22" s="6" t="s">
        <v>20</v>
      </c>
      <c r="J22" s="6"/>
      <c r="L22" s="6" t="s">
        <v>227</v>
      </c>
      <c r="M22" s="6" t="s">
        <v>20</v>
      </c>
      <c r="N22" s="8">
        <v>0.21934546003863353</v>
      </c>
      <c r="P22" s="12">
        <v>2022</v>
      </c>
      <c r="Q22" s="6" t="s">
        <v>232</v>
      </c>
      <c r="R22" s="8">
        <v>0.19613333333333335</v>
      </c>
      <c r="S22" s="6" t="s">
        <v>229</v>
      </c>
    </row>
    <row r="23" spans="3:19" x14ac:dyDescent="0.45">
      <c r="C23" s="5">
        <v>2.1004566210045664E-2</v>
      </c>
      <c r="D23" s="5">
        <v>3.0954097572698874E-2</v>
      </c>
      <c r="E23" s="3" t="s">
        <v>21</v>
      </c>
      <c r="F23" s="3" t="s">
        <v>225</v>
      </c>
      <c r="H23" s="3" t="s">
        <v>226</v>
      </c>
      <c r="I23" s="3" t="s">
        <v>21</v>
      </c>
      <c r="J23" s="3"/>
      <c r="L23" s="3" t="s">
        <v>227</v>
      </c>
      <c r="M23" s="3" t="s">
        <v>21</v>
      </c>
      <c r="N23" s="5">
        <v>0.16776843015128939</v>
      </c>
      <c r="P23" s="11">
        <v>2025</v>
      </c>
      <c r="Q23" s="3" t="s">
        <v>228</v>
      </c>
      <c r="R23" s="5">
        <v>0.44616666666666666</v>
      </c>
      <c r="S23" s="3" t="s">
        <v>229</v>
      </c>
    </row>
    <row r="24" spans="3:19" x14ac:dyDescent="0.45">
      <c r="C24" s="8">
        <v>2.1004566210045664E-2</v>
      </c>
      <c r="D24" s="8">
        <v>2.6257613803048016E-2</v>
      </c>
      <c r="E24" s="6" t="s">
        <v>22</v>
      </c>
      <c r="F24" s="6" t="s">
        <v>225</v>
      </c>
      <c r="H24" s="6" t="s">
        <v>226</v>
      </c>
      <c r="I24" s="6" t="s">
        <v>22</v>
      </c>
      <c r="J24" s="6"/>
      <c r="L24" s="6" t="s">
        <v>227</v>
      </c>
      <c r="M24" s="6" t="s">
        <v>22</v>
      </c>
      <c r="N24" s="8">
        <v>0.11405495011102085</v>
      </c>
      <c r="P24" s="12">
        <v>2025</v>
      </c>
      <c r="Q24" s="6" t="s">
        <v>230</v>
      </c>
      <c r="R24" s="8">
        <v>0.34959999999999997</v>
      </c>
      <c r="S24" s="6" t="s">
        <v>229</v>
      </c>
    </row>
    <row r="25" spans="3:19" x14ac:dyDescent="0.45">
      <c r="C25" s="5">
        <v>2.1004566210045664E-2</v>
      </c>
      <c r="D25" s="5">
        <v>2.6044137268063879E-2</v>
      </c>
      <c r="E25" s="3" t="s">
        <v>23</v>
      </c>
      <c r="F25" s="3" t="s">
        <v>225</v>
      </c>
      <c r="H25" s="3" t="s">
        <v>226</v>
      </c>
      <c r="I25" s="3" t="s">
        <v>23</v>
      </c>
      <c r="J25" s="3"/>
      <c r="L25" s="3" t="s">
        <v>227</v>
      </c>
      <c r="M25" s="3" t="s">
        <v>23</v>
      </c>
      <c r="N25" s="5">
        <v>0.11760048255837541</v>
      </c>
      <c r="P25" s="11">
        <v>2025</v>
      </c>
      <c r="Q25" s="3" t="s">
        <v>231</v>
      </c>
      <c r="R25" s="5">
        <v>0.22736666666666669</v>
      </c>
      <c r="S25" s="3" t="s">
        <v>229</v>
      </c>
    </row>
    <row r="26" spans="3:19" x14ac:dyDescent="0.45">
      <c r="C26" s="8">
        <v>2.1004566210045664E-2</v>
      </c>
      <c r="D26" s="8">
        <v>2.7538473012952789E-2</v>
      </c>
      <c r="E26" s="6" t="s">
        <v>24</v>
      </c>
      <c r="F26" s="6" t="s">
        <v>225</v>
      </c>
      <c r="H26" s="6" t="s">
        <v>226</v>
      </c>
      <c r="I26" s="6" t="s">
        <v>24</v>
      </c>
      <c r="J26" s="6"/>
      <c r="L26" s="6" t="s">
        <v>227</v>
      </c>
      <c r="M26" s="6" t="s">
        <v>24</v>
      </c>
      <c r="N26" s="8">
        <v>0.12489814890703976</v>
      </c>
      <c r="P26" s="12">
        <v>2025</v>
      </c>
      <c r="Q26" s="6" t="s">
        <v>232</v>
      </c>
      <c r="R26" s="8">
        <v>0.31419999999999998</v>
      </c>
      <c r="S26" s="6" t="s">
        <v>229</v>
      </c>
    </row>
    <row r="27" spans="3:19" x14ac:dyDescent="0.45">
      <c r="C27" s="5">
        <v>2.1004566210045664E-2</v>
      </c>
      <c r="D27" s="5">
        <v>3.6291010947302131E-2</v>
      </c>
      <c r="E27" s="3" t="s">
        <v>25</v>
      </c>
      <c r="F27" s="3" t="s">
        <v>225</v>
      </c>
      <c r="H27" s="3" t="s">
        <v>226</v>
      </c>
      <c r="I27" s="3" t="s">
        <v>25</v>
      </c>
      <c r="J27" s="3"/>
      <c r="L27" s="3" t="s">
        <v>227</v>
      </c>
      <c r="M27" s="3" t="s">
        <v>25</v>
      </c>
      <c r="N27" s="5">
        <v>0.12890884784635737</v>
      </c>
      <c r="P27" s="11">
        <v>2026</v>
      </c>
      <c r="Q27" s="3" t="s">
        <v>228</v>
      </c>
      <c r="R27" s="5">
        <v>0.46543333333333337</v>
      </c>
      <c r="S27" s="3" t="s">
        <v>229</v>
      </c>
    </row>
    <row r="28" spans="3:19" x14ac:dyDescent="0.45">
      <c r="C28" s="8">
        <v>2.1004566210045664E-2</v>
      </c>
      <c r="D28" s="8">
        <v>3.6291010947302131E-2</v>
      </c>
      <c r="E28" s="6" t="s">
        <v>26</v>
      </c>
      <c r="F28" s="6" t="s">
        <v>225</v>
      </c>
      <c r="H28" s="6" t="s">
        <v>226</v>
      </c>
      <c r="I28" s="6" t="s">
        <v>26</v>
      </c>
      <c r="J28" s="6"/>
      <c r="L28" s="6" t="s">
        <v>227</v>
      </c>
      <c r="M28" s="6" t="s">
        <v>26</v>
      </c>
      <c r="N28" s="8">
        <v>0.12172630000696993</v>
      </c>
      <c r="P28" s="12">
        <v>2026</v>
      </c>
      <c r="Q28" s="6" t="s">
        <v>230</v>
      </c>
      <c r="R28" s="8">
        <v>0.33889999999999998</v>
      </c>
      <c r="S28" s="6" t="s">
        <v>229</v>
      </c>
    </row>
    <row r="29" spans="3:19" x14ac:dyDescent="0.45">
      <c r="C29" s="5">
        <v>2.1004566210045664E-2</v>
      </c>
      <c r="D29" s="5">
        <v>2.4397318283900592E-2</v>
      </c>
      <c r="E29" s="3" t="s">
        <v>27</v>
      </c>
      <c r="F29" s="3" t="s">
        <v>225</v>
      </c>
      <c r="H29" s="3" t="s">
        <v>226</v>
      </c>
      <c r="I29" s="3" t="s">
        <v>27</v>
      </c>
      <c r="J29" s="3"/>
      <c r="L29" s="3" t="s">
        <v>227</v>
      </c>
      <c r="M29" s="3" t="s">
        <v>27</v>
      </c>
      <c r="N29" s="5">
        <v>0.13466384749017624</v>
      </c>
      <c r="P29" s="11">
        <v>2026</v>
      </c>
      <c r="Q29" s="3" t="s">
        <v>231</v>
      </c>
      <c r="R29" s="5">
        <v>0.18806666666666669</v>
      </c>
      <c r="S29" s="3" t="s">
        <v>229</v>
      </c>
    </row>
    <row r="30" spans="3:19" x14ac:dyDescent="0.45">
      <c r="C30" s="8">
        <v>3.1506849315068496E-2</v>
      </c>
      <c r="D30" s="8">
        <v>1.5248323927437872E-2</v>
      </c>
      <c r="E30" s="6" t="s">
        <v>28</v>
      </c>
      <c r="F30" s="6" t="s">
        <v>225</v>
      </c>
      <c r="H30" s="6" t="s">
        <v>226</v>
      </c>
      <c r="I30" s="6" t="s">
        <v>28</v>
      </c>
      <c r="J30" s="6"/>
      <c r="L30" s="6" t="s">
        <v>227</v>
      </c>
      <c r="M30" s="6" t="s">
        <v>28</v>
      </c>
      <c r="N30" s="8">
        <v>0.16172881916879112</v>
      </c>
      <c r="P30" s="12">
        <v>2026</v>
      </c>
      <c r="Q30" s="6" t="s">
        <v>232</v>
      </c>
      <c r="R30" s="8">
        <v>0.32076666666666664</v>
      </c>
      <c r="S30" s="6" t="s">
        <v>229</v>
      </c>
    </row>
    <row r="31" spans="3:19" x14ac:dyDescent="0.45">
      <c r="C31" s="5">
        <v>5.2511415525114152E-2</v>
      </c>
      <c r="D31" s="5">
        <v>8.1731016251066976E-3</v>
      </c>
      <c r="E31" s="3" t="s">
        <v>29</v>
      </c>
      <c r="F31" s="3" t="s">
        <v>225</v>
      </c>
      <c r="H31" s="3" t="s">
        <v>226</v>
      </c>
      <c r="I31" s="3" t="s">
        <v>29</v>
      </c>
      <c r="J31" s="3"/>
      <c r="L31" s="3" t="s">
        <v>227</v>
      </c>
      <c r="M31" s="3" t="s">
        <v>29</v>
      </c>
      <c r="N31" s="5">
        <v>0.12554284984921171</v>
      </c>
      <c r="P31" s="11">
        <v>2027</v>
      </c>
      <c r="Q31" s="3" t="s">
        <v>228</v>
      </c>
      <c r="R31" s="5">
        <v>0.46616666666666667</v>
      </c>
      <c r="S31" s="3" t="s">
        <v>229</v>
      </c>
    </row>
    <row r="32" spans="3:19" x14ac:dyDescent="0.45">
      <c r="C32" s="8">
        <v>2.1004566210045664E-2</v>
      </c>
      <c r="D32" s="8">
        <v>2.0859707132735002E-2</v>
      </c>
      <c r="E32" s="6" t="s">
        <v>30</v>
      </c>
      <c r="F32" s="6" t="s">
        <v>225</v>
      </c>
      <c r="H32" s="6" t="s">
        <v>226</v>
      </c>
      <c r="I32" s="6" t="s">
        <v>30</v>
      </c>
      <c r="J32" s="6"/>
      <c r="L32" s="6" t="s">
        <v>227</v>
      </c>
      <c r="M32" s="6" t="s">
        <v>30</v>
      </c>
      <c r="N32" s="8">
        <v>0.102791085619508</v>
      </c>
      <c r="P32" s="12">
        <v>2027</v>
      </c>
      <c r="Q32" s="6" t="s">
        <v>230</v>
      </c>
      <c r="R32" s="8">
        <v>0.2591</v>
      </c>
      <c r="S32" s="6" t="s">
        <v>229</v>
      </c>
    </row>
    <row r="33" spans="3:19" x14ac:dyDescent="0.45">
      <c r="C33" s="5">
        <v>2.1004566210045664E-2</v>
      </c>
      <c r="D33" s="5">
        <v>3.0954097572698874E-2</v>
      </c>
      <c r="E33" s="3" t="s">
        <v>31</v>
      </c>
      <c r="F33" s="3" t="s">
        <v>225</v>
      </c>
      <c r="H33" s="3" t="s">
        <v>226</v>
      </c>
      <c r="I33" s="3" t="s">
        <v>31</v>
      </c>
      <c r="J33" s="3"/>
      <c r="L33" s="3" t="s">
        <v>227</v>
      </c>
      <c r="M33" s="3" t="s">
        <v>31</v>
      </c>
      <c r="N33" s="5">
        <v>0.12280370688377662</v>
      </c>
      <c r="P33" s="11">
        <v>2027</v>
      </c>
      <c r="Q33" s="3" t="s">
        <v>231</v>
      </c>
      <c r="R33" s="5">
        <v>0.25046666666666667</v>
      </c>
      <c r="S33" s="3" t="s">
        <v>229</v>
      </c>
    </row>
    <row r="34" spans="3:19" x14ac:dyDescent="0.45">
      <c r="C34" s="8">
        <v>2.1004566210045664E-2</v>
      </c>
      <c r="D34" s="8">
        <v>2.6257613803048016E-2</v>
      </c>
      <c r="E34" s="6" t="s">
        <v>32</v>
      </c>
      <c r="F34" s="6" t="s">
        <v>225</v>
      </c>
      <c r="H34" s="6" t="s">
        <v>226</v>
      </c>
      <c r="I34" s="6" t="s">
        <v>32</v>
      </c>
      <c r="J34" s="6"/>
      <c r="L34" s="6" t="s">
        <v>227</v>
      </c>
      <c r="M34" s="6" t="s">
        <v>32</v>
      </c>
      <c r="N34" s="8">
        <v>6.7665591721603358E-2</v>
      </c>
      <c r="P34" s="12">
        <v>2027</v>
      </c>
      <c r="Q34" s="6" t="s">
        <v>232</v>
      </c>
      <c r="R34" s="8">
        <v>0.37133333333333329</v>
      </c>
      <c r="S34" s="6" t="s">
        <v>229</v>
      </c>
    </row>
    <row r="35" spans="3:19" x14ac:dyDescent="0.45">
      <c r="C35" s="5">
        <v>2.1004566210045664E-2</v>
      </c>
      <c r="D35" s="5">
        <v>2.6044137268063879E-2</v>
      </c>
      <c r="E35" s="3" t="s">
        <v>33</v>
      </c>
      <c r="F35" s="3" t="s">
        <v>225</v>
      </c>
      <c r="H35" s="3" t="s">
        <v>226</v>
      </c>
      <c r="I35" s="3" t="s">
        <v>33</v>
      </c>
      <c r="J35" s="3"/>
      <c r="L35" s="3" t="s">
        <v>227</v>
      </c>
      <c r="M35" s="3" t="s">
        <v>33</v>
      </c>
      <c r="N35" s="5">
        <v>7.4657842720088796E-2</v>
      </c>
      <c r="P35" s="11">
        <v>2028</v>
      </c>
      <c r="Q35" s="3" t="s">
        <v>228</v>
      </c>
      <c r="R35" s="5">
        <v>0.48456666666666665</v>
      </c>
      <c r="S35" s="3" t="s">
        <v>229</v>
      </c>
    </row>
    <row r="36" spans="3:19" x14ac:dyDescent="0.45">
      <c r="C36" s="8">
        <v>2.1004566210045664E-2</v>
      </c>
      <c r="D36" s="8">
        <v>2.7538473012952789E-2</v>
      </c>
      <c r="E36" s="6" t="s">
        <v>34</v>
      </c>
      <c r="F36" s="6" t="s">
        <v>225</v>
      </c>
      <c r="H36" s="6" t="s">
        <v>226</v>
      </c>
      <c r="I36" s="6" t="s">
        <v>34</v>
      </c>
      <c r="J36" s="6"/>
      <c r="L36" s="6" t="s">
        <v>227</v>
      </c>
      <c r="M36" s="6" t="s">
        <v>34</v>
      </c>
      <c r="N36" s="8">
        <v>8.022787928991626E-2</v>
      </c>
      <c r="P36" s="12">
        <v>2028</v>
      </c>
      <c r="Q36" s="6" t="s">
        <v>230</v>
      </c>
      <c r="R36" s="8">
        <v>0.29560000000000003</v>
      </c>
      <c r="S36" s="6" t="s">
        <v>229</v>
      </c>
    </row>
    <row r="37" spans="3:19" x14ac:dyDescent="0.45">
      <c r="C37" s="5">
        <v>2.1004566210045664E-2</v>
      </c>
      <c r="D37" s="5">
        <v>3.6291010947302131E-2</v>
      </c>
      <c r="E37" s="3" t="s">
        <v>35</v>
      </c>
      <c r="F37" s="3" t="s">
        <v>225</v>
      </c>
      <c r="H37" s="3" t="s">
        <v>226</v>
      </c>
      <c r="I37" s="3" t="s">
        <v>35</v>
      </c>
      <c r="J37" s="3"/>
      <c r="L37" s="3" t="s">
        <v>227</v>
      </c>
      <c r="M37" s="3" t="s">
        <v>35</v>
      </c>
      <c r="N37" s="5">
        <v>7.7151624911962813E-2</v>
      </c>
      <c r="P37" s="11">
        <v>2028</v>
      </c>
      <c r="Q37" s="3" t="s">
        <v>231</v>
      </c>
      <c r="R37" s="5">
        <v>0.18820000000000001</v>
      </c>
      <c r="S37" s="3" t="s">
        <v>229</v>
      </c>
    </row>
    <row r="38" spans="3:19" x14ac:dyDescent="0.45">
      <c r="C38" s="8">
        <v>2.1004566210045664E-2</v>
      </c>
      <c r="D38" s="8">
        <v>3.6291010947302131E-2</v>
      </c>
      <c r="E38" s="6" t="s">
        <v>36</v>
      </c>
      <c r="F38" s="6" t="s">
        <v>225</v>
      </c>
      <c r="H38" s="6" t="s">
        <v>226</v>
      </c>
      <c r="I38" s="6" t="s">
        <v>36</v>
      </c>
      <c r="J38" s="6"/>
      <c r="L38" s="6" t="s">
        <v>227</v>
      </c>
      <c r="M38" s="6" t="s">
        <v>36</v>
      </c>
      <c r="N38" s="8">
        <v>7.5317195713238361E-2</v>
      </c>
      <c r="P38" s="12">
        <v>2028</v>
      </c>
      <c r="Q38" s="6" t="s">
        <v>232</v>
      </c>
      <c r="R38" s="8">
        <v>0.35716666666666663</v>
      </c>
      <c r="S38" s="6" t="s">
        <v>229</v>
      </c>
    </row>
    <row r="39" spans="3:19" x14ac:dyDescent="0.45">
      <c r="C39" s="5">
        <v>2.1004566210045664E-2</v>
      </c>
      <c r="D39" s="5">
        <v>2.4397318283900592E-2</v>
      </c>
      <c r="E39" s="3" t="s">
        <v>37</v>
      </c>
      <c r="F39" s="3" t="s">
        <v>225</v>
      </c>
      <c r="H39" s="3" t="s">
        <v>226</v>
      </c>
      <c r="I39" s="3" t="s">
        <v>37</v>
      </c>
      <c r="J39" s="3"/>
      <c r="L39" s="3" t="s">
        <v>227</v>
      </c>
      <c r="M39" s="3" t="s">
        <v>37</v>
      </c>
      <c r="N39" s="5">
        <v>7.2545793049725305E-2</v>
      </c>
      <c r="P39" s="11">
        <v>2029</v>
      </c>
      <c r="Q39" s="3" t="s">
        <v>228</v>
      </c>
      <c r="R39" s="5">
        <v>0.4956666666666667</v>
      </c>
      <c r="S39" s="3" t="s">
        <v>229</v>
      </c>
    </row>
    <row r="40" spans="3:19" x14ac:dyDescent="0.45">
      <c r="C40" s="8">
        <v>3.1506849315068496E-2</v>
      </c>
      <c r="D40" s="8">
        <v>1.5248323927437872E-2</v>
      </c>
      <c r="E40" s="6" t="s">
        <v>38</v>
      </c>
      <c r="F40" s="6" t="s">
        <v>225</v>
      </c>
      <c r="H40" s="6" t="s">
        <v>226</v>
      </c>
      <c r="I40" s="6" t="s">
        <v>38</v>
      </c>
      <c r="J40" s="6"/>
      <c r="L40" s="6" t="s">
        <v>227</v>
      </c>
      <c r="M40" s="6" t="s">
        <v>38</v>
      </c>
      <c r="N40" s="8">
        <v>0.12718143918167502</v>
      </c>
      <c r="P40" s="12">
        <v>2029</v>
      </c>
      <c r="Q40" s="6" t="s">
        <v>230</v>
      </c>
      <c r="R40" s="8">
        <v>0.30980000000000002</v>
      </c>
      <c r="S40" s="6" t="s">
        <v>229</v>
      </c>
    </row>
    <row r="41" spans="3:19" x14ac:dyDescent="0.45">
      <c r="C41" s="5">
        <v>5.194063926940639E-2</v>
      </c>
      <c r="D41" s="5">
        <v>8.0842635639642325E-3</v>
      </c>
      <c r="E41" s="3" t="s">
        <v>39</v>
      </c>
      <c r="F41" s="3" t="s">
        <v>225</v>
      </c>
      <c r="H41" s="3" t="s">
        <v>226</v>
      </c>
      <c r="I41" s="3" t="s">
        <v>39</v>
      </c>
      <c r="J41" s="3"/>
      <c r="L41" s="3" t="s">
        <v>227</v>
      </c>
      <c r="M41" s="3" t="s">
        <v>39</v>
      </c>
      <c r="N41" s="5">
        <v>0.17688967100587139</v>
      </c>
      <c r="P41" s="11">
        <v>2029</v>
      </c>
      <c r="Q41" s="3" t="s">
        <v>231</v>
      </c>
      <c r="R41" s="5">
        <v>0.16796666666666668</v>
      </c>
      <c r="S41" s="3" t="s">
        <v>229</v>
      </c>
    </row>
    <row r="42" spans="3:19" x14ac:dyDescent="0.45">
      <c r="C42" s="8">
        <v>2.0776255707762557E-2</v>
      </c>
      <c r="D42" s="8">
        <v>2.0632971185640059E-2</v>
      </c>
      <c r="E42" s="6" t="s">
        <v>40</v>
      </c>
      <c r="F42" s="6" t="s">
        <v>225</v>
      </c>
      <c r="H42" s="6" t="s">
        <v>226</v>
      </c>
      <c r="I42" s="6" t="s">
        <v>40</v>
      </c>
      <c r="J42" s="6"/>
      <c r="L42" s="6" t="s">
        <v>227</v>
      </c>
      <c r="M42" s="6" t="s">
        <v>40</v>
      </c>
      <c r="N42" s="8">
        <v>0.23365609963271416</v>
      </c>
      <c r="P42" s="12">
        <v>2029</v>
      </c>
      <c r="Q42" s="6" t="s">
        <v>232</v>
      </c>
      <c r="R42" s="8">
        <v>0.36343333333333333</v>
      </c>
      <c r="S42" s="6" t="s">
        <v>229</v>
      </c>
    </row>
    <row r="43" spans="3:19" x14ac:dyDescent="0.45">
      <c r="C43" s="5">
        <v>2.0776255707762557E-2</v>
      </c>
      <c r="D43" s="5">
        <v>3.0617639990386931E-2</v>
      </c>
      <c r="E43" s="3" t="s">
        <v>41</v>
      </c>
      <c r="F43" s="3" t="s">
        <v>225</v>
      </c>
      <c r="H43" s="3" t="s">
        <v>226</v>
      </c>
      <c r="I43" s="3" t="s">
        <v>41</v>
      </c>
      <c r="J43" s="3"/>
      <c r="L43" s="3" t="s">
        <v>227</v>
      </c>
      <c r="M43" s="3" t="s">
        <v>41</v>
      </c>
      <c r="N43" s="5">
        <v>0.22679645121920466</v>
      </c>
      <c r="P43" s="11">
        <v>2030</v>
      </c>
      <c r="Q43" s="3" t="s">
        <v>228</v>
      </c>
      <c r="R43" s="5">
        <v>0.48489999999999994</v>
      </c>
      <c r="S43" s="3" t="s">
        <v>229</v>
      </c>
    </row>
    <row r="44" spans="3:19" x14ac:dyDescent="0.45">
      <c r="C44" s="8">
        <v>2.0776255707762557E-2</v>
      </c>
      <c r="D44" s="8">
        <v>2.5972204957362712E-2</v>
      </c>
      <c r="E44" s="6" t="s">
        <v>42</v>
      </c>
      <c r="F44" s="6" t="s">
        <v>225</v>
      </c>
      <c r="H44" s="6" t="s">
        <v>226</v>
      </c>
      <c r="I44" s="6" t="s">
        <v>42</v>
      </c>
      <c r="J44" s="6"/>
      <c r="L44" s="6" t="s">
        <v>227</v>
      </c>
      <c r="M44" s="6" t="s">
        <v>42</v>
      </c>
      <c r="N44" s="8">
        <v>0.16897317970062264</v>
      </c>
      <c r="P44" s="12">
        <v>2030</v>
      </c>
      <c r="Q44" s="6" t="s">
        <v>230</v>
      </c>
      <c r="R44" s="8">
        <v>0.35726666666666668</v>
      </c>
      <c r="S44" s="6" t="s">
        <v>229</v>
      </c>
    </row>
    <row r="45" spans="3:19" x14ac:dyDescent="0.45">
      <c r="C45" s="5">
        <v>2.0776255707762557E-2</v>
      </c>
      <c r="D45" s="5">
        <v>2.5761048819497968E-2</v>
      </c>
      <c r="E45" s="3" t="s">
        <v>43</v>
      </c>
      <c r="F45" s="3" t="s">
        <v>225</v>
      </c>
      <c r="H45" s="3" t="s">
        <v>226</v>
      </c>
      <c r="I45" s="3" t="s">
        <v>43</v>
      </c>
      <c r="J45" s="3"/>
      <c r="L45" s="3" t="s">
        <v>227</v>
      </c>
      <c r="M45" s="3" t="s">
        <v>43</v>
      </c>
      <c r="N45" s="5">
        <v>0.16156316198476506</v>
      </c>
      <c r="P45" s="11">
        <v>2030</v>
      </c>
      <c r="Q45" s="3" t="s">
        <v>231</v>
      </c>
      <c r="R45" s="5">
        <v>0.20366666666666666</v>
      </c>
      <c r="S45" s="3" t="s">
        <v>229</v>
      </c>
    </row>
    <row r="46" spans="3:19" x14ac:dyDescent="0.45">
      <c r="C46" s="8">
        <v>2.0776255707762557E-2</v>
      </c>
      <c r="D46" s="8">
        <v>2.723914178455113E-2</v>
      </c>
      <c r="E46" s="6" t="s">
        <v>44</v>
      </c>
      <c r="F46" s="6" t="s">
        <v>225</v>
      </c>
      <c r="H46" s="6" t="s">
        <v>226</v>
      </c>
      <c r="I46" s="6" t="s">
        <v>44</v>
      </c>
      <c r="J46" s="6"/>
      <c r="L46" s="6" t="s">
        <v>227</v>
      </c>
      <c r="M46" s="6" t="s">
        <v>44</v>
      </c>
      <c r="N46" s="8">
        <v>0.16247551546438488</v>
      </c>
      <c r="P46" s="12">
        <v>2030</v>
      </c>
      <c r="Q46" s="6" t="s">
        <v>232</v>
      </c>
      <c r="R46" s="8">
        <v>0.39660000000000001</v>
      </c>
      <c r="S46" s="6" t="s">
        <v>229</v>
      </c>
    </row>
    <row r="47" spans="3:19" x14ac:dyDescent="0.45">
      <c r="C47" s="5">
        <v>2.0776255707762557E-2</v>
      </c>
      <c r="D47" s="5">
        <v>3.5896543437005365E-2</v>
      </c>
      <c r="E47" s="3" t="s">
        <v>45</v>
      </c>
      <c r="F47" s="3" t="s">
        <v>225</v>
      </c>
      <c r="H47" s="3" t="s">
        <v>226</v>
      </c>
      <c r="I47" s="3" t="s">
        <v>45</v>
      </c>
      <c r="J47" s="3"/>
      <c r="L47" s="3" t="s">
        <v>227</v>
      </c>
      <c r="M47" s="3" t="s">
        <v>45</v>
      </c>
      <c r="N47" s="5">
        <v>0.17546743147096144</v>
      </c>
      <c r="P47" s="11">
        <v>2031</v>
      </c>
      <c r="Q47" s="3" t="s">
        <v>228</v>
      </c>
      <c r="R47" s="5">
        <v>0.41359999999999997</v>
      </c>
      <c r="S47" s="3" t="s">
        <v>229</v>
      </c>
    </row>
    <row r="48" spans="3:19" x14ac:dyDescent="0.45">
      <c r="C48" s="8">
        <v>2.0776255707762557E-2</v>
      </c>
      <c r="D48" s="8">
        <v>3.5896543437005365E-2</v>
      </c>
      <c r="E48" s="6" t="s">
        <v>46</v>
      </c>
      <c r="F48" s="6" t="s">
        <v>225</v>
      </c>
      <c r="H48" s="6" t="s">
        <v>226</v>
      </c>
      <c r="I48" s="6" t="s">
        <v>46</v>
      </c>
      <c r="J48" s="6"/>
      <c r="L48" s="6" t="s">
        <v>227</v>
      </c>
      <c r="M48" s="6" t="s">
        <v>46</v>
      </c>
      <c r="N48" s="8">
        <v>0.17346533414660859</v>
      </c>
      <c r="P48" s="12">
        <v>2031</v>
      </c>
      <c r="Q48" s="6" t="s">
        <v>230</v>
      </c>
      <c r="R48" s="8">
        <v>0.28076666666666666</v>
      </c>
      <c r="S48" s="6" t="s">
        <v>229</v>
      </c>
    </row>
    <row r="49" spans="3:19" x14ac:dyDescent="0.45">
      <c r="C49" s="5">
        <v>2.0776255707762557E-2</v>
      </c>
      <c r="D49" s="5">
        <v>2.4132130041684283E-2</v>
      </c>
      <c r="E49" s="3" t="s">
        <v>47</v>
      </c>
      <c r="F49" s="3" t="s">
        <v>225</v>
      </c>
      <c r="H49" s="3" t="s">
        <v>226</v>
      </c>
      <c r="I49" s="3" t="s">
        <v>47</v>
      </c>
      <c r="J49" s="3"/>
      <c r="L49" s="3" t="s">
        <v>227</v>
      </c>
      <c r="M49" s="3" t="s">
        <v>47</v>
      </c>
      <c r="N49" s="5">
        <v>0.17349168445299123</v>
      </c>
      <c r="P49" s="11">
        <v>2031</v>
      </c>
      <c r="Q49" s="3" t="s">
        <v>231</v>
      </c>
      <c r="R49" s="5">
        <v>0.18770000000000001</v>
      </c>
      <c r="S49" s="3" t="s">
        <v>229</v>
      </c>
    </row>
    <row r="50" spans="3:19" x14ac:dyDescent="0.45">
      <c r="C50" s="8">
        <v>3.1164383561643836E-2</v>
      </c>
      <c r="D50" s="8">
        <v>1.5082581276052677E-2</v>
      </c>
      <c r="E50" s="6" t="s">
        <v>48</v>
      </c>
      <c r="F50" s="6" t="s">
        <v>225</v>
      </c>
      <c r="H50" s="6" t="s">
        <v>226</v>
      </c>
      <c r="I50" s="6" t="s">
        <v>48</v>
      </c>
      <c r="J50" s="6"/>
      <c r="L50" s="6" t="s">
        <v>227</v>
      </c>
      <c r="M50" s="6" t="s">
        <v>48</v>
      </c>
      <c r="N50" s="8">
        <v>0.14712067657623007</v>
      </c>
      <c r="P50" s="12">
        <v>2031</v>
      </c>
      <c r="Q50" s="6" t="s">
        <v>232</v>
      </c>
      <c r="R50" s="8">
        <v>0.32346666666666668</v>
      </c>
      <c r="S50" s="6" t="s">
        <v>229</v>
      </c>
    </row>
    <row r="51" spans="3:19" x14ac:dyDescent="0.45">
      <c r="H51" s="3" t="s">
        <v>233</v>
      </c>
      <c r="I51" s="3" t="s">
        <v>6</v>
      </c>
      <c r="J51" s="3"/>
      <c r="P51" s="11">
        <v>2032</v>
      </c>
      <c r="Q51" s="3" t="s">
        <v>228</v>
      </c>
      <c r="R51" s="5">
        <v>0.40599999999999997</v>
      </c>
      <c r="S51" s="3" t="s">
        <v>229</v>
      </c>
    </row>
    <row r="52" spans="3:19" x14ac:dyDescent="0.45">
      <c r="H52" s="6" t="s">
        <v>233</v>
      </c>
      <c r="I52" s="6" t="s">
        <v>10</v>
      </c>
      <c r="J52" s="6"/>
      <c r="P52" s="12">
        <v>2032</v>
      </c>
      <c r="Q52" s="6" t="s">
        <v>230</v>
      </c>
      <c r="R52" s="8">
        <v>0.22276666666666667</v>
      </c>
      <c r="S52" s="6" t="s">
        <v>229</v>
      </c>
    </row>
    <row r="53" spans="3:19" x14ac:dyDescent="0.45">
      <c r="H53" s="3" t="s">
        <v>233</v>
      </c>
      <c r="I53" s="3" t="s">
        <v>11</v>
      </c>
      <c r="J53" s="3"/>
      <c r="P53" s="11">
        <v>2032</v>
      </c>
      <c r="Q53" s="3" t="s">
        <v>231</v>
      </c>
      <c r="R53" s="5">
        <v>0.18836666666666668</v>
      </c>
      <c r="S53" s="3" t="s">
        <v>229</v>
      </c>
    </row>
    <row r="54" spans="3:19" x14ac:dyDescent="0.45">
      <c r="H54" s="6" t="s">
        <v>233</v>
      </c>
      <c r="I54" s="6" t="s">
        <v>12</v>
      </c>
      <c r="J54" s="6"/>
      <c r="P54" s="12">
        <v>2032</v>
      </c>
      <c r="Q54" s="6" t="s">
        <v>232</v>
      </c>
      <c r="R54" s="8">
        <v>0.31570000000000004</v>
      </c>
      <c r="S54" s="6" t="s">
        <v>229</v>
      </c>
    </row>
    <row r="55" spans="3:19" x14ac:dyDescent="0.45">
      <c r="H55" s="3" t="s">
        <v>233</v>
      </c>
      <c r="I55" s="3" t="s">
        <v>13</v>
      </c>
      <c r="J55" s="3"/>
      <c r="P55" s="11">
        <v>2033</v>
      </c>
      <c r="Q55" s="3" t="s">
        <v>228</v>
      </c>
      <c r="R55" s="5">
        <v>0.3318666666666667</v>
      </c>
      <c r="S55" s="3" t="s">
        <v>229</v>
      </c>
    </row>
    <row r="56" spans="3:19" x14ac:dyDescent="0.45">
      <c r="H56" s="6" t="s">
        <v>233</v>
      </c>
      <c r="I56" s="6" t="s">
        <v>14</v>
      </c>
      <c r="J56" s="6"/>
      <c r="P56" s="12">
        <v>2033</v>
      </c>
      <c r="Q56" s="6" t="s">
        <v>230</v>
      </c>
      <c r="R56" s="8">
        <v>0.19993333333333332</v>
      </c>
      <c r="S56" s="6" t="s">
        <v>229</v>
      </c>
    </row>
    <row r="57" spans="3:19" x14ac:dyDescent="0.45">
      <c r="H57" s="3" t="s">
        <v>233</v>
      </c>
      <c r="I57" s="3" t="s">
        <v>15</v>
      </c>
      <c r="J57" s="3"/>
      <c r="P57" s="11">
        <v>2033</v>
      </c>
      <c r="Q57" s="3" t="s">
        <v>231</v>
      </c>
      <c r="R57" s="5">
        <v>0.13639999999999999</v>
      </c>
      <c r="S57" s="3" t="s">
        <v>229</v>
      </c>
    </row>
    <row r="58" spans="3:19" x14ac:dyDescent="0.45">
      <c r="H58" s="6" t="s">
        <v>233</v>
      </c>
      <c r="I58" s="6" t="s">
        <v>16</v>
      </c>
      <c r="J58" s="6"/>
      <c r="P58" s="12">
        <v>2033</v>
      </c>
      <c r="Q58" s="6" t="s">
        <v>232</v>
      </c>
      <c r="R58" s="8">
        <v>0.29836666666666667</v>
      </c>
      <c r="S58" s="6" t="s">
        <v>229</v>
      </c>
    </row>
    <row r="59" spans="3:19" x14ac:dyDescent="0.45">
      <c r="H59" s="3" t="s">
        <v>233</v>
      </c>
      <c r="I59" s="3" t="s">
        <v>17</v>
      </c>
      <c r="J59" s="3"/>
      <c r="P59" s="11">
        <v>2034</v>
      </c>
      <c r="Q59" s="3" t="s">
        <v>228</v>
      </c>
      <c r="R59" s="5">
        <v>0.39840000000000003</v>
      </c>
      <c r="S59" s="3" t="s">
        <v>229</v>
      </c>
    </row>
    <row r="60" spans="3:19" x14ac:dyDescent="0.45">
      <c r="H60" s="6" t="s">
        <v>233</v>
      </c>
      <c r="I60" s="6" t="s">
        <v>18</v>
      </c>
      <c r="J60" s="6"/>
      <c r="P60" s="12">
        <v>2034</v>
      </c>
      <c r="Q60" s="6" t="s">
        <v>230</v>
      </c>
      <c r="R60" s="8">
        <v>0.25580000000000003</v>
      </c>
      <c r="S60" s="6" t="s">
        <v>229</v>
      </c>
    </row>
    <row r="61" spans="3:19" x14ac:dyDescent="0.45">
      <c r="H61" s="3" t="s">
        <v>233</v>
      </c>
      <c r="I61" s="3" t="s">
        <v>19</v>
      </c>
      <c r="J61" s="3"/>
      <c r="P61" s="11">
        <v>2034</v>
      </c>
      <c r="Q61" s="3" t="s">
        <v>231</v>
      </c>
      <c r="R61" s="5">
        <v>0.13743333333333332</v>
      </c>
      <c r="S61" s="3" t="s">
        <v>229</v>
      </c>
    </row>
    <row r="62" spans="3:19" x14ac:dyDescent="0.45">
      <c r="H62" s="6" t="s">
        <v>233</v>
      </c>
      <c r="I62" s="6" t="s">
        <v>20</v>
      </c>
      <c r="J62" s="6"/>
      <c r="P62" s="12">
        <v>2034</v>
      </c>
      <c r="Q62" s="6" t="s">
        <v>232</v>
      </c>
      <c r="R62" s="8">
        <v>0.27073333333333333</v>
      </c>
      <c r="S62" s="6" t="s">
        <v>229</v>
      </c>
    </row>
    <row r="63" spans="3:19" x14ac:dyDescent="0.45">
      <c r="H63" s="3" t="s">
        <v>233</v>
      </c>
      <c r="I63" s="3" t="s">
        <v>21</v>
      </c>
      <c r="J63" s="3"/>
      <c r="P63" s="11">
        <v>2035</v>
      </c>
      <c r="Q63" s="3" t="s">
        <v>228</v>
      </c>
      <c r="R63" s="5">
        <v>0.40686666666666671</v>
      </c>
      <c r="S63" s="3" t="s">
        <v>229</v>
      </c>
    </row>
    <row r="64" spans="3:19" x14ac:dyDescent="0.45">
      <c r="H64" s="6" t="s">
        <v>233</v>
      </c>
      <c r="I64" s="6" t="s">
        <v>22</v>
      </c>
      <c r="J64" s="6"/>
      <c r="P64" s="12">
        <v>2035</v>
      </c>
      <c r="Q64" s="6" t="s">
        <v>230</v>
      </c>
      <c r="R64" s="8">
        <v>0.20440000000000003</v>
      </c>
      <c r="S64" s="6" t="s">
        <v>229</v>
      </c>
    </row>
    <row r="65" spans="8:19" x14ac:dyDescent="0.45">
      <c r="H65" s="3" t="s">
        <v>233</v>
      </c>
      <c r="I65" s="3" t="s">
        <v>23</v>
      </c>
      <c r="J65" s="3"/>
      <c r="P65" s="11">
        <v>2035</v>
      </c>
      <c r="Q65" s="3" t="s">
        <v>231</v>
      </c>
      <c r="R65" s="5">
        <v>0.17936666666666667</v>
      </c>
      <c r="S65" s="3" t="s">
        <v>229</v>
      </c>
    </row>
    <row r="66" spans="8:19" x14ac:dyDescent="0.45">
      <c r="H66" s="6" t="s">
        <v>233</v>
      </c>
      <c r="I66" s="6" t="s">
        <v>24</v>
      </c>
      <c r="J66" s="6"/>
      <c r="P66" s="12">
        <v>2035</v>
      </c>
      <c r="Q66" s="6" t="s">
        <v>232</v>
      </c>
      <c r="R66" s="8">
        <v>0.27663333333333334</v>
      </c>
      <c r="S66" s="6" t="s">
        <v>229</v>
      </c>
    </row>
    <row r="67" spans="8:19" x14ac:dyDescent="0.45">
      <c r="H67" s="3" t="s">
        <v>233</v>
      </c>
      <c r="I67" s="3" t="s">
        <v>25</v>
      </c>
      <c r="J67" s="3"/>
      <c r="P67" s="11">
        <v>2036</v>
      </c>
      <c r="Q67" s="3" t="s">
        <v>228</v>
      </c>
      <c r="R67" s="5">
        <v>0.35573333333333329</v>
      </c>
      <c r="S67" s="3" t="s">
        <v>229</v>
      </c>
    </row>
    <row r="68" spans="8:19" x14ac:dyDescent="0.45">
      <c r="H68" s="6" t="s">
        <v>233</v>
      </c>
      <c r="I68" s="6" t="s">
        <v>26</v>
      </c>
      <c r="J68" s="6"/>
      <c r="P68" s="12">
        <v>2036</v>
      </c>
      <c r="Q68" s="6" t="s">
        <v>230</v>
      </c>
      <c r="R68" s="8">
        <v>0.20973333333333333</v>
      </c>
      <c r="S68" s="6" t="s">
        <v>229</v>
      </c>
    </row>
    <row r="69" spans="8:19" x14ac:dyDescent="0.45">
      <c r="H69" s="3" t="s">
        <v>233</v>
      </c>
      <c r="I69" s="3" t="s">
        <v>27</v>
      </c>
      <c r="J69" s="3"/>
      <c r="P69" s="11">
        <v>2036</v>
      </c>
      <c r="Q69" s="3" t="s">
        <v>231</v>
      </c>
      <c r="R69" s="5">
        <v>0.21096666666666666</v>
      </c>
      <c r="S69" s="3" t="s">
        <v>229</v>
      </c>
    </row>
    <row r="70" spans="8:19" x14ac:dyDescent="0.45">
      <c r="H70" s="6" t="s">
        <v>233</v>
      </c>
      <c r="I70" s="6" t="s">
        <v>28</v>
      </c>
      <c r="J70" s="6"/>
      <c r="P70" s="12">
        <v>2036</v>
      </c>
      <c r="Q70" s="6" t="s">
        <v>232</v>
      </c>
      <c r="R70" s="8">
        <v>0.34016666666666667</v>
      </c>
      <c r="S70" s="6" t="s">
        <v>229</v>
      </c>
    </row>
    <row r="71" spans="8:19" x14ac:dyDescent="0.45">
      <c r="H71" s="3" t="s">
        <v>233</v>
      </c>
      <c r="I71" s="3" t="s">
        <v>29</v>
      </c>
      <c r="J71" s="3"/>
      <c r="P71" s="11">
        <v>2037</v>
      </c>
      <c r="Q71" s="3" t="s">
        <v>228</v>
      </c>
      <c r="R71" s="5">
        <v>0.34559999999999996</v>
      </c>
      <c r="S71" s="3" t="s">
        <v>229</v>
      </c>
    </row>
    <row r="72" spans="8:19" x14ac:dyDescent="0.45">
      <c r="H72" s="6" t="s">
        <v>233</v>
      </c>
      <c r="I72" s="6" t="s">
        <v>30</v>
      </c>
      <c r="J72" s="6"/>
      <c r="P72" s="12">
        <v>2037</v>
      </c>
      <c r="Q72" s="6" t="s">
        <v>230</v>
      </c>
      <c r="R72" s="8">
        <v>0.2109</v>
      </c>
      <c r="S72" s="6" t="s">
        <v>229</v>
      </c>
    </row>
    <row r="73" spans="8:19" x14ac:dyDescent="0.45">
      <c r="H73" s="3" t="s">
        <v>233</v>
      </c>
      <c r="I73" s="3" t="s">
        <v>31</v>
      </c>
      <c r="J73" s="3"/>
      <c r="P73" s="11">
        <v>2037</v>
      </c>
      <c r="Q73" s="3" t="s">
        <v>231</v>
      </c>
      <c r="R73" s="5">
        <v>0.16183333333333336</v>
      </c>
      <c r="S73" s="3" t="s">
        <v>229</v>
      </c>
    </row>
    <row r="74" spans="8:19" x14ac:dyDescent="0.45">
      <c r="H74" s="6" t="s">
        <v>233</v>
      </c>
      <c r="I74" s="6" t="s">
        <v>32</v>
      </c>
      <c r="J74" s="6"/>
      <c r="P74" s="12">
        <v>2037</v>
      </c>
      <c r="Q74" s="6" t="s">
        <v>232</v>
      </c>
      <c r="R74" s="8">
        <v>0.22196666666666665</v>
      </c>
      <c r="S74" s="6" t="s">
        <v>229</v>
      </c>
    </row>
    <row r="75" spans="8:19" x14ac:dyDescent="0.45">
      <c r="H75" s="3" t="s">
        <v>233</v>
      </c>
      <c r="I75" s="3" t="s">
        <v>33</v>
      </c>
      <c r="J75" s="3"/>
      <c r="P75" s="11">
        <v>2038</v>
      </c>
      <c r="Q75" s="3" t="s">
        <v>228</v>
      </c>
      <c r="R75" s="5">
        <v>0.42173333333333335</v>
      </c>
      <c r="S75" s="3" t="s">
        <v>229</v>
      </c>
    </row>
    <row r="76" spans="8:19" x14ac:dyDescent="0.45">
      <c r="H76" s="6" t="s">
        <v>233</v>
      </c>
      <c r="I76" s="6" t="s">
        <v>34</v>
      </c>
      <c r="J76" s="6"/>
      <c r="P76" s="12">
        <v>2038</v>
      </c>
      <c r="Q76" s="6" t="s">
        <v>230</v>
      </c>
      <c r="R76" s="8">
        <v>0.27389999999999998</v>
      </c>
      <c r="S76" s="6" t="s">
        <v>229</v>
      </c>
    </row>
    <row r="77" spans="8:19" x14ac:dyDescent="0.45">
      <c r="H77" s="3" t="s">
        <v>233</v>
      </c>
      <c r="I77" s="3" t="s">
        <v>35</v>
      </c>
      <c r="J77" s="3"/>
      <c r="P77" s="11">
        <v>2038</v>
      </c>
      <c r="Q77" s="3" t="s">
        <v>231</v>
      </c>
      <c r="R77" s="5">
        <v>0.15846666666666667</v>
      </c>
      <c r="S77" s="3" t="s">
        <v>229</v>
      </c>
    </row>
    <row r="78" spans="8:19" x14ac:dyDescent="0.45">
      <c r="H78" s="6" t="s">
        <v>233</v>
      </c>
      <c r="I78" s="6" t="s">
        <v>36</v>
      </c>
      <c r="J78" s="6"/>
      <c r="P78" s="12">
        <v>2038</v>
      </c>
      <c r="Q78" s="6" t="s">
        <v>232</v>
      </c>
      <c r="R78" s="8">
        <v>0.25323333333333337</v>
      </c>
      <c r="S78" s="6" t="s">
        <v>229</v>
      </c>
    </row>
    <row r="79" spans="8:19" x14ac:dyDescent="0.45">
      <c r="H79" s="3" t="s">
        <v>233</v>
      </c>
      <c r="I79" s="3" t="s">
        <v>37</v>
      </c>
      <c r="J79" s="3"/>
      <c r="P79" s="11">
        <v>2039</v>
      </c>
      <c r="Q79" s="3" t="s">
        <v>228</v>
      </c>
      <c r="R79" s="5">
        <v>0.3681666666666667</v>
      </c>
      <c r="S79" s="3" t="s">
        <v>229</v>
      </c>
    </row>
    <row r="80" spans="8:19" x14ac:dyDescent="0.45">
      <c r="H80" s="6" t="s">
        <v>233</v>
      </c>
      <c r="I80" s="6" t="s">
        <v>38</v>
      </c>
      <c r="J80" s="6"/>
      <c r="P80" s="12">
        <v>2039</v>
      </c>
      <c r="Q80" s="6" t="s">
        <v>230</v>
      </c>
      <c r="R80" s="8">
        <v>0.17446666666666666</v>
      </c>
      <c r="S80" s="6" t="s">
        <v>229</v>
      </c>
    </row>
    <row r="81" spans="8:19" x14ac:dyDescent="0.45">
      <c r="H81" s="3" t="s">
        <v>233</v>
      </c>
      <c r="I81" s="3" t="s">
        <v>39</v>
      </c>
      <c r="J81" s="3"/>
      <c r="P81" s="11">
        <v>2039</v>
      </c>
      <c r="Q81" s="3" t="s">
        <v>231</v>
      </c>
      <c r="R81" s="5">
        <v>0.16873333333333332</v>
      </c>
      <c r="S81" s="3" t="s">
        <v>229</v>
      </c>
    </row>
    <row r="82" spans="8:19" x14ac:dyDescent="0.45">
      <c r="H82" s="6" t="s">
        <v>233</v>
      </c>
      <c r="I82" s="6" t="s">
        <v>40</v>
      </c>
      <c r="J82" s="6"/>
      <c r="P82" s="12">
        <v>2039</v>
      </c>
      <c r="Q82" s="6" t="s">
        <v>232</v>
      </c>
      <c r="R82" s="8">
        <v>0.27656666666666668</v>
      </c>
      <c r="S82" s="6" t="s">
        <v>229</v>
      </c>
    </row>
    <row r="83" spans="8:19" x14ac:dyDescent="0.45">
      <c r="H83" s="3" t="s">
        <v>233</v>
      </c>
      <c r="I83" s="3" t="s">
        <v>41</v>
      </c>
      <c r="J83" s="3"/>
      <c r="P83" s="11">
        <v>2040</v>
      </c>
      <c r="Q83" s="3" t="s">
        <v>228</v>
      </c>
      <c r="R83" s="5">
        <v>0.34093333333333331</v>
      </c>
      <c r="S83" s="3" t="s">
        <v>229</v>
      </c>
    </row>
    <row r="84" spans="8:19" x14ac:dyDescent="0.45">
      <c r="H84" s="6" t="s">
        <v>233</v>
      </c>
      <c r="I84" s="6" t="s">
        <v>42</v>
      </c>
      <c r="J84" s="6"/>
      <c r="P84" s="12">
        <v>2040</v>
      </c>
      <c r="Q84" s="6" t="s">
        <v>230</v>
      </c>
      <c r="R84" s="8">
        <v>0.19736666666666669</v>
      </c>
      <c r="S84" s="6" t="s">
        <v>229</v>
      </c>
    </row>
    <row r="85" spans="8:19" x14ac:dyDescent="0.45">
      <c r="H85" s="3" t="s">
        <v>233</v>
      </c>
      <c r="I85" s="3" t="s">
        <v>43</v>
      </c>
      <c r="J85" s="3"/>
      <c r="P85" s="11">
        <v>2040</v>
      </c>
      <c r="Q85" s="3" t="s">
        <v>231</v>
      </c>
      <c r="R85" s="5">
        <v>0.16566666666666668</v>
      </c>
      <c r="S85" s="3" t="s">
        <v>229</v>
      </c>
    </row>
    <row r="86" spans="8:19" x14ac:dyDescent="0.45">
      <c r="H86" s="6" t="s">
        <v>233</v>
      </c>
      <c r="I86" s="6" t="s">
        <v>44</v>
      </c>
      <c r="J86" s="6"/>
      <c r="P86" s="12">
        <v>2040</v>
      </c>
      <c r="Q86" s="6" t="s">
        <v>232</v>
      </c>
      <c r="R86" s="8">
        <v>0.28623333333333334</v>
      </c>
      <c r="S86" s="6" t="s">
        <v>229</v>
      </c>
    </row>
    <row r="87" spans="8:19" x14ac:dyDescent="0.45">
      <c r="H87" s="3" t="s">
        <v>233</v>
      </c>
      <c r="I87" s="3" t="s">
        <v>45</v>
      </c>
      <c r="J87" s="3"/>
      <c r="P87" s="11">
        <v>2041</v>
      </c>
      <c r="Q87" s="3" t="s">
        <v>228</v>
      </c>
      <c r="R87" s="5">
        <v>0.42363333333333336</v>
      </c>
      <c r="S87" s="3" t="s">
        <v>229</v>
      </c>
    </row>
    <row r="88" spans="8:19" x14ac:dyDescent="0.45">
      <c r="H88" s="6" t="s">
        <v>233</v>
      </c>
      <c r="I88" s="6" t="s">
        <v>46</v>
      </c>
      <c r="J88" s="6"/>
      <c r="P88" s="12">
        <v>2041</v>
      </c>
      <c r="Q88" s="6" t="s">
        <v>230</v>
      </c>
      <c r="R88" s="8">
        <v>0.25426666666666664</v>
      </c>
      <c r="S88" s="6" t="s">
        <v>229</v>
      </c>
    </row>
    <row r="89" spans="8:19" x14ac:dyDescent="0.45">
      <c r="H89" s="3" t="s">
        <v>233</v>
      </c>
      <c r="I89" s="3" t="s">
        <v>47</v>
      </c>
      <c r="J89" s="3"/>
      <c r="P89" s="11">
        <v>2041</v>
      </c>
      <c r="Q89" s="3" t="s">
        <v>231</v>
      </c>
      <c r="R89" s="5">
        <v>0.21049999999999999</v>
      </c>
      <c r="S89" s="3" t="s">
        <v>229</v>
      </c>
    </row>
    <row r="90" spans="8:19" x14ac:dyDescent="0.45">
      <c r="H90" s="6" t="s">
        <v>233</v>
      </c>
      <c r="I90" s="6" t="s">
        <v>48</v>
      </c>
      <c r="J90" s="6"/>
      <c r="P90" s="12">
        <v>2041</v>
      </c>
      <c r="Q90" s="6" t="s">
        <v>232</v>
      </c>
      <c r="R90" s="8">
        <v>0.32973333333333332</v>
      </c>
      <c r="S90" s="6" t="s">
        <v>229</v>
      </c>
    </row>
    <row r="91" spans="8:19" x14ac:dyDescent="0.45">
      <c r="P91" s="11">
        <v>2042</v>
      </c>
      <c r="Q91" s="3" t="s">
        <v>228</v>
      </c>
      <c r="R91" s="5">
        <v>0.4463333333333333</v>
      </c>
      <c r="S91" s="3" t="s">
        <v>229</v>
      </c>
    </row>
    <row r="92" spans="8:19" x14ac:dyDescent="0.45">
      <c r="P92" s="12">
        <v>2042</v>
      </c>
      <c r="Q92" s="6" t="s">
        <v>230</v>
      </c>
      <c r="R92" s="8">
        <v>0.27553333333333335</v>
      </c>
      <c r="S92" s="6" t="s">
        <v>229</v>
      </c>
    </row>
    <row r="93" spans="8:19" x14ac:dyDescent="0.45">
      <c r="P93" s="11">
        <v>2042</v>
      </c>
      <c r="Q93" s="3" t="s">
        <v>231</v>
      </c>
      <c r="R93" s="5">
        <v>0.17826666666666668</v>
      </c>
      <c r="S93" s="3" t="s">
        <v>229</v>
      </c>
    </row>
    <row r="94" spans="8:19" x14ac:dyDescent="0.45">
      <c r="P94" s="12">
        <v>2042</v>
      </c>
      <c r="Q94" s="6" t="s">
        <v>232</v>
      </c>
      <c r="R94" s="8">
        <v>0.33363333333333328</v>
      </c>
      <c r="S94" s="6" t="s">
        <v>229</v>
      </c>
    </row>
    <row r="95" spans="8:19" x14ac:dyDescent="0.45">
      <c r="P95" s="11">
        <v>2043</v>
      </c>
      <c r="Q95" s="3" t="s">
        <v>228</v>
      </c>
      <c r="R95" s="5">
        <v>0.44593333333333335</v>
      </c>
      <c r="S95" s="3" t="s">
        <v>229</v>
      </c>
    </row>
    <row r="96" spans="8:19" x14ac:dyDescent="0.45">
      <c r="P96" s="12">
        <v>2043</v>
      </c>
      <c r="Q96" s="6" t="s">
        <v>230</v>
      </c>
      <c r="R96" s="8">
        <v>0.26879999999999998</v>
      </c>
      <c r="S96" s="6" t="s">
        <v>229</v>
      </c>
    </row>
    <row r="97" spans="16:19" x14ac:dyDescent="0.45">
      <c r="P97" s="11">
        <v>2043</v>
      </c>
      <c r="Q97" s="3" t="s">
        <v>231</v>
      </c>
      <c r="R97" s="5">
        <v>0.20633333333333334</v>
      </c>
      <c r="S97" s="3" t="s">
        <v>229</v>
      </c>
    </row>
    <row r="98" spans="16:19" x14ac:dyDescent="0.45">
      <c r="P98" s="12">
        <v>2043</v>
      </c>
      <c r="Q98" s="6" t="s">
        <v>232</v>
      </c>
      <c r="R98" s="8">
        <v>0.32190000000000002</v>
      </c>
      <c r="S98" s="6" t="s">
        <v>229</v>
      </c>
    </row>
    <row r="99" spans="16:19" x14ac:dyDescent="0.45">
      <c r="P99" s="11">
        <v>2044</v>
      </c>
      <c r="Q99" s="3" t="s">
        <v>228</v>
      </c>
      <c r="R99" s="5">
        <v>0.46713333333333334</v>
      </c>
      <c r="S99" s="3" t="s">
        <v>229</v>
      </c>
    </row>
    <row r="100" spans="16:19" x14ac:dyDescent="0.45">
      <c r="P100" s="12">
        <v>2044</v>
      </c>
      <c r="Q100" s="6" t="s">
        <v>230</v>
      </c>
      <c r="R100" s="8">
        <v>0.33363333333333339</v>
      </c>
      <c r="S100" s="6" t="s">
        <v>229</v>
      </c>
    </row>
    <row r="101" spans="16:19" x14ac:dyDescent="0.45">
      <c r="P101" s="11">
        <v>2044</v>
      </c>
      <c r="Q101" s="3" t="s">
        <v>231</v>
      </c>
      <c r="R101" s="5">
        <v>0.16406666666666667</v>
      </c>
      <c r="S101" s="3" t="s">
        <v>229</v>
      </c>
    </row>
    <row r="102" spans="16:19" x14ac:dyDescent="0.45">
      <c r="P102" s="12">
        <v>2044</v>
      </c>
      <c r="Q102" s="6" t="s">
        <v>232</v>
      </c>
      <c r="R102" s="8">
        <v>0.35766666666666663</v>
      </c>
      <c r="S102" s="6" t="s">
        <v>229</v>
      </c>
    </row>
    <row r="103" spans="16:19" x14ac:dyDescent="0.45">
      <c r="P103" s="11">
        <v>2045</v>
      </c>
      <c r="Q103" s="3" t="s">
        <v>228</v>
      </c>
      <c r="R103" s="5">
        <v>0.47876666666666662</v>
      </c>
      <c r="S103" s="3" t="s">
        <v>229</v>
      </c>
    </row>
    <row r="104" spans="16:19" x14ac:dyDescent="0.45">
      <c r="P104" s="12">
        <v>2045</v>
      </c>
      <c r="Q104" s="6" t="s">
        <v>230</v>
      </c>
      <c r="R104" s="8">
        <v>0.35499999999999998</v>
      </c>
      <c r="S104" s="6" t="s">
        <v>229</v>
      </c>
    </row>
    <row r="105" spans="16:19" x14ac:dyDescent="0.45">
      <c r="P105" s="11">
        <v>2045</v>
      </c>
      <c r="Q105" s="3" t="s">
        <v>231</v>
      </c>
      <c r="R105" s="5">
        <v>0.17576666666666665</v>
      </c>
      <c r="S105" s="3" t="s">
        <v>229</v>
      </c>
    </row>
    <row r="106" spans="16:19" x14ac:dyDescent="0.45">
      <c r="P106" s="12">
        <v>2045</v>
      </c>
      <c r="Q106" s="6" t="s">
        <v>232</v>
      </c>
      <c r="R106" s="8">
        <v>0.36703333333333332</v>
      </c>
      <c r="S106" s="6" t="s">
        <v>229</v>
      </c>
    </row>
    <row r="107" spans="16:19" x14ac:dyDescent="0.45">
      <c r="P107" s="11">
        <v>2046</v>
      </c>
      <c r="Q107" s="3" t="s">
        <v>228</v>
      </c>
      <c r="R107" s="5">
        <v>0.4017</v>
      </c>
      <c r="S107" s="3" t="s">
        <v>229</v>
      </c>
    </row>
    <row r="108" spans="16:19" x14ac:dyDescent="0.45">
      <c r="P108" s="12">
        <v>2046</v>
      </c>
      <c r="Q108" s="6" t="s">
        <v>230</v>
      </c>
      <c r="R108" s="8">
        <v>0.17300000000000001</v>
      </c>
      <c r="S108" s="6" t="s">
        <v>229</v>
      </c>
    </row>
    <row r="109" spans="16:19" x14ac:dyDescent="0.45">
      <c r="P109" s="11">
        <v>2046</v>
      </c>
      <c r="Q109" s="3" t="s">
        <v>231</v>
      </c>
      <c r="R109" s="5">
        <v>0.12866666666666668</v>
      </c>
      <c r="S109" s="3" t="s">
        <v>229</v>
      </c>
    </row>
    <row r="110" spans="16:19" x14ac:dyDescent="0.45">
      <c r="P110" s="12">
        <v>2046</v>
      </c>
      <c r="Q110" s="6" t="s">
        <v>232</v>
      </c>
      <c r="R110" s="8">
        <v>0.26300000000000001</v>
      </c>
      <c r="S110" s="6" t="s">
        <v>229</v>
      </c>
    </row>
    <row r="111" spans="16:19" x14ac:dyDescent="0.45">
      <c r="P111" s="11">
        <v>2047</v>
      </c>
      <c r="Q111" s="3" t="s">
        <v>228</v>
      </c>
      <c r="R111" s="5">
        <v>0.45990000000000003</v>
      </c>
      <c r="S111" s="3" t="s">
        <v>229</v>
      </c>
    </row>
    <row r="112" spans="16:19" x14ac:dyDescent="0.45">
      <c r="P112" s="12">
        <v>2047</v>
      </c>
      <c r="Q112" s="6" t="s">
        <v>230</v>
      </c>
      <c r="R112" s="8">
        <v>0.26593333333333335</v>
      </c>
      <c r="S112" s="6" t="s">
        <v>229</v>
      </c>
    </row>
    <row r="113" spans="16:19" x14ac:dyDescent="0.45">
      <c r="P113" s="11">
        <v>2047</v>
      </c>
      <c r="Q113" s="3" t="s">
        <v>231</v>
      </c>
      <c r="R113" s="5">
        <v>0.18060000000000001</v>
      </c>
      <c r="S113" s="3" t="s">
        <v>229</v>
      </c>
    </row>
    <row r="114" spans="16:19" x14ac:dyDescent="0.45">
      <c r="P114" s="12">
        <v>2047</v>
      </c>
      <c r="Q114" s="6" t="s">
        <v>232</v>
      </c>
      <c r="R114" s="8">
        <v>0.32306666666666667</v>
      </c>
      <c r="S114" s="6" t="s">
        <v>229</v>
      </c>
    </row>
    <row r="115" spans="16:19" x14ac:dyDescent="0.45">
      <c r="P115" s="11">
        <v>2048</v>
      </c>
      <c r="Q115" s="3" t="s">
        <v>228</v>
      </c>
      <c r="R115" s="5">
        <v>0.40523333333333333</v>
      </c>
      <c r="S115" s="3" t="s">
        <v>229</v>
      </c>
    </row>
    <row r="116" spans="16:19" x14ac:dyDescent="0.45">
      <c r="P116" s="12">
        <v>2048</v>
      </c>
      <c r="Q116" s="6" t="s">
        <v>230</v>
      </c>
      <c r="R116" s="8">
        <v>0.29409999999999997</v>
      </c>
      <c r="S116" s="6" t="s">
        <v>229</v>
      </c>
    </row>
    <row r="117" spans="16:19" x14ac:dyDescent="0.45">
      <c r="P117" s="11">
        <v>2048</v>
      </c>
      <c r="Q117" s="3" t="s">
        <v>231</v>
      </c>
      <c r="R117" s="5">
        <v>0.19243333333333335</v>
      </c>
      <c r="S117" s="3" t="s">
        <v>229</v>
      </c>
    </row>
    <row r="118" spans="16:19" x14ac:dyDescent="0.45">
      <c r="P118" s="12">
        <v>2048</v>
      </c>
      <c r="Q118" s="6" t="s">
        <v>232</v>
      </c>
      <c r="R118" s="8">
        <v>0.29696666666666666</v>
      </c>
      <c r="S118" s="6" t="s">
        <v>229</v>
      </c>
    </row>
    <row r="119" spans="16:19" x14ac:dyDescent="0.45">
      <c r="P119" s="11">
        <v>2049</v>
      </c>
      <c r="Q119" s="3" t="s">
        <v>228</v>
      </c>
      <c r="R119" s="5">
        <v>0.42746666666666666</v>
      </c>
      <c r="S119" s="3" t="s">
        <v>229</v>
      </c>
    </row>
    <row r="120" spans="16:19" x14ac:dyDescent="0.45">
      <c r="P120" s="12">
        <v>2049</v>
      </c>
      <c r="Q120" s="6" t="s">
        <v>230</v>
      </c>
      <c r="R120" s="8">
        <v>0.30656666666666665</v>
      </c>
      <c r="S120" s="6" t="s">
        <v>229</v>
      </c>
    </row>
    <row r="121" spans="16:19" x14ac:dyDescent="0.45">
      <c r="P121" s="11">
        <v>2049</v>
      </c>
      <c r="Q121" s="3" t="s">
        <v>231</v>
      </c>
      <c r="R121" s="5">
        <v>0.11843333333333333</v>
      </c>
      <c r="S121" s="3" t="s">
        <v>229</v>
      </c>
    </row>
    <row r="122" spans="16:19" x14ac:dyDescent="0.45">
      <c r="P122" s="12">
        <v>2049</v>
      </c>
      <c r="Q122" s="6" t="s">
        <v>232</v>
      </c>
      <c r="R122" s="8">
        <v>0.26919999999999999</v>
      </c>
      <c r="S122" s="6" t="s">
        <v>229</v>
      </c>
    </row>
    <row r="123" spans="16:19" x14ac:dyDescent="0.45">
      <c r="P123" s="11">
        <v>2050</v>
      </c>
      <c r="Q123" s="3" t="s">
        <v>228</v>
      </c>
      <c r="R123" s="5">
        <v>0.40840000000000004</v>
      </c>
      <c r="S123" s="3" t="s">
        <v>229</v>
      </c>
    </row>
    <row r="124" spans="16:19" x14ac:dyDescent="0.45">
      <c r="P124" s="12">
        <v>2050</v>
      </c>
      <c r="Q124" s="6" t="s">
        <v>230</v>
      </c>
      <c r="R124" s="8">
        <v>0.27373333333333333</v>
      </c>
      <c r="S124" s="6" t="s">
        <v>229</v>
      </c>
    </row>
    <row r="125" spans="16:19" x14ac:dyDescent="0.45">
      <c r="P125" s="11">
        <v>2050</v>
      </c>
      <c r="Q125" s="3" t="s">
        <v>231</v>
      </c>
      <c r="R125" s="5">
        <v>0.18489999999999998</v>
      </c>
      <c r="S125" s="3" t="s">
        <v>229</v>
      </c>
    </row>
    <row r="126" spans="16:19" x14ac:dyDescent="0.45">
      <c r="P126" s="12">
        <v>2050</v>
      </c>
      <c r="Q126" s="6" t="s">
        <v>232</v>
      </c>
      <c r="R126" s="8">
        <v>0.25993333333333335</v>
      </c>
      <c r="S126" s="6" t="s">
        <v>229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5BDC-AEAA-46B2-A2CF-002FC989ECEF}">
  <dimension ref="A1:O730"/>
  <sheetViews>
    <sheetView workbookViewId="0">
      <selection sqref="A1:H1"/>
    </sheetView>
  </sheetViews>
  <sheetFormatPr defaultRowHeight="14.25" x14ac:dyDescent="0.45"/>
  <cols>
    <col min="2" max="2" width="11.796875" bestFit="1" customWidth="1"/>
    <col min="3" max="5" width="10.59765625" customWidth="1"/>
    <col min="7" max="7" width="12.3984375" bestFit="1" customWidth="1"/>
    <col min="8" max="10" width="10.59765625" customWidth="1"/>
    <col min="12" max="12" width="12" bestFit="1" customWidth="1"/>
    <col min="13" max="15" width="10.59765625" customWidth="1"/>
  </cols>
  <sheetData>
    <row r="1" spans="1:15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5" ht="14.65" thickBot="1" x14ac:dyDescent="0.5">
      <c r="B9" s="1" t="str">
        <f>IF(A11="x","DeActivated","~TFM_DINS-AT: region=IRL")</f>
        <v>~TFM_DINS-AT: region=IRL</v>
      </c>
      <c r="G9" s="1" t="str">
        <f>IF(A11="x","DeActivated","~TFM_DINS-AT: region=IRL")</f>
        <v>~TFM_DINS-AT: region=IRL</v>
      </c>
      <c r="L9" s="1" t="str">
        <f>IF(A11="x","DeActivated","~TFM_DINS-AT: region=IRL")</f>
        <v>~TFM_DINS-AT: region=IRL</v>
      </c>
    </row>
    <row r="10" spans="1:15" ht="15.75" thickBot="1" x14ac:dyDescent="0.6">
      <c r="B10" s="2" t="s">
        <v>1</v>
      </c>
      <c r="C10" s="2" t="s">
        <v>2</v>
      </c>
      <c r="D10" s="2" t="s">
        <v>3</v>
      </c>
      <c r="E10" s="2" t="s">
        <v>4</v>
      </c>
      <c r="G10" s="2" t="s">
        <v>1</v>
      </c>
      <c r="H10" s="2" t="s">
        <v>2</v>
      </c>
      <c r="I10" s="2" t="s">
        <v>3</v>
      </c>
      <c r="J10" s="2" t="s">
        <v>4</v>
      </c>
      <c r="L10" s="2" t="s">
        <v>1</v>
      </c>
      <c r="M10" s="2" t="s">
        <v>2</v>
      </c>
      <c r="N10" s="2" t="s">
        <v>3</v>
      </c>
      <c r="O10" s="2" t="s">
        <v>4</v>
      </c>
    </row>
    <row r="11" spans="1:15" x14ac:dyDescent="0.45">
      <c r="B11" s="3" t="s">
        <v>234</v>
      </c>
      <c r="C11" s="3" t="s">
        <v>6</v>
      </c>
      <c r="D11" s="4">
        <v>0</v>
      </c>
      <c r="E11" s="3" t="s">
        <v>7</v>
      </c>
      <c r="G11" s="3" t="s">
        <v>235</v>
      </c>
      <c r="H11" s="3" t="s">
        <v>6</v>
      </c>
      <c r="I11" s="5">
        <v>6.1667642623510092E-2</v>
      </c>
      <c r="J11" s="3" t="s">
        <v>7</v>
      </c>
      <c r="L11" s="3" t="s">
        <v>236</v>
      </c>
      <c r="M11" s="3" t="s">
        <v>6</v>
      </c>
      <c r="N11" s="5">
        <v>6.0428627853282464E-2</v>
      </c>
      <c r="O11" s="3" t="s">
        <v>7</v>
      </c>
    </row>
    <row r="12" spans="1:15" x14ac:dyDescent="0.45">
      <c r="B12" s="6" t="s">
        <v>234</v>
      </c>
      <c r="C12" s="6" t="s">
        <v>10</v>
      </c>
      <c r="D12" s="7">
        <v>0</v>
      </c>
      <c r="E12" s="6" t="s">
        <v>7</v>
      </c>
      <c r="G12" s="6" t="s">
        <v>235</v>
      </c>
      <c r="H12" s="6" t="s">
        <v>10</v>
      </c>
      <c r="I12" s="8">
        <v>2.5019601088669817E-2</v>
      </c>
      <c r="J12" s="6" t="s">
        <v>7</v>
      </c>
      <c r="L12" s="6" t="s">
        <v>236</v>
      </c>
      <c r="M12" s="6" t="s">
        <v>10</v>
      </c>
      <c r="N12" s="8">
        <v>2.4318647435253898E-2</v>
      </c>
      <c r="O12" s="6" t="s">
        <v>7</v>
      </c>
    </row>
    <row r="13" spans="1:15" x14ac:dyDescent="0.45">
      <c r="B13" s="3" t="s">
        <v>234</v>
      </c>
      <c r="C13" s="3" t="s">
        <v>11</v>
      </c>
      <c r="D13" s="4">
        <v>0</v>
      </c>
      <c r="E13" s="3" t="s">
        <v>7</v>
      </c>
      <c r="G13" s="3" t="s">
        <v>235</v>
      </c>
      <c r="H13" s="3" t="s">
        <v>11</v>
      </c>
      <c r="I13" s="5">
        <v>2.5672388064569479E-2</v>
      </c>
      <c r="J13" s="3" t="s">
        <v>7</v>
      </c>
      <c r="L13" s="3" t="s">
        <v>236</v>
      </c>
      <c r="M13" s="3" t="s">
        <v>11</v>
      </c>
      <c r="N13" s="5">
        <v>2.4351044494533527E-2</v>
      </c>
      <c r="O13" s="3" t="s">
        <v>7</v>
      </c>
    </row>
    <row r="14" spans="1:15" x14ac:dyDescent="0.45">
      <c r="B14" s="6" t="s">
        <v>234</v>
      </c>
      <c r="C14" s="6" t="s">
        <v>12</v>
      </c>
      <c r="D14" s="7">
        <v>1.4024657569493991E-3</v>
      </c>
      <c r="E14" s="6" t="s">
        <v>7</v>
      </c>
      <c r="G14" s="6" t="s">
        <v>235</v>
      </c>
      <c r="H14" s="6" t="s">
        <v>12</v>
      </c>
      <c r="I14" s="8">
        <v>2.6509681622127121E-2</v>
      </c>
      <c r="J14" s="6" t="s">
        <v>7</v>
      </c>
      <c r="L14" s="6" t="s">
        <v>236</v>
      </c>
      <c r="M14" s="6" t="s">
        <v>12</v>
      </c>
      <c r="N14" s="8">
        <v>2.4353508888438645E-2</v>
      </c>
      <c r="O14" s="6" t="s">
        <v>7</v>
      </c>
    </row>
    <row r="15" spans="1:15" x14ac:dyDescent="0.45">
      <c r="B15" s="3" t="s">
        <v>234</v>
      </c>
      <c r="C15" s="3" t="s">
        <v>13</v>
      </c>
      <c r="D15" s="4">
        <v>2.3679811273150848E-2</v>
      </c>
      <c r="E15" s="3" t="s">
        <v>7</v>
      </c>
      <c r="G15" s="3" t="s">
        <v>235</v>
      </c>
      <c r="H15" s="3" t="s">
        <v>13</v>
      </c>
      <c r="I15" s="5">
        <v>2.8174372490663544E-2</v>
      </c>
      <c r="J15" s="3" t="s">
        <v>7</v>
      </c>
      <c r="L15" s="3" t="s">
        <v>236</v>
      </c>
      <c r="M15" s="3" t="s">
        <v>13</v>
      </c>
      <c r="N15" s="5">
        <v>2.5187749548888701E-2</v>
      </c>
      <c r="O15" s="3" t="s">
        <v>7</v>
      </c>
    </row>
    <row r="16" spans="1:15" x14ac:dyDescent="0.45">
      <c r="B16" s="6" t="s">
        <v>234</v>
      </c>
      <c r="C16" s="6" t="s">
        <v>14</v>
      </c>
      <c r="D16" s="7">
        <v>4.3372190460640697E-2</v>
      </c>
      <c r="E16" s="6" t="s">
        <v>7</v>
      </c>
      <c r="G16" s="6" t="s">
        <v>235</v>
      </c>
      <c r="H16" s="6" t="s">
        <v>14</v>
      </c>
      <c r="I16" s="8">
        <v>2.9744015271370026E-2</v>
      </c>
      <c r="J16" s="6" t="s">
        <v>7</v>
      </c>
      <c r="L16" s="6" t="s">
        <v>236</v>
      </c>
      <c r="M16" s="6" t="s">
        <v>14</v>
      </c>
      <c r="N16" s="8">
        <v>2.5762145663103767E-2</v>
      </c>
      <c r="O16" s="6" t="s">
        <v>7</v>
      </c>
    </row>
    <row r="17" spans="2:15" x14ac:dyDescent="0.45">
      <c r="B17" s="3" t="s">
        <v>234</v>
      </c>
      <c r="C17" s="3" t="s">
        <v>15</v>
      </c>
      <c r="D17" s="4">
        <v>3.8724271766375849E-2</v>
      </c>
      <c r="E17" s="3" t="s">
        <v>7</v>
      </c>
      <c r="G17" s="3" t="s">
        <v>235</v>
      </c>
      <c r="H17" s="3" t="s">
        <v>15</v>
      </c>
      <c r="I17" s="5">
        <v>2.9530548396830471E-2</v>
      </c>
      <c r="J17" s="3" t="s">
        <v>7</v>
      </c>
      <c r="L17" s="3" t="s">
        <v>236</v>
      </c>
      <c r="M17" s="3" t="s">
        <v>15</v>
      </c>
      <c r="N17" s="5">
        <v>2.5747264772204691E-2</v>
      </c>
      <c r="O17" s="3" t="s">
        <v>7</v>
      </c>
    </row>
    <row r="18" spans="2:15" x14ac:dyDescent="0.45">
      <c r="B18" s="6" t="s">
        <v>234</v>
      </c>
      <c r="C18" s="6" t="s">
        <v>16</v>
      </c>
      <c r="D18" s="7">
        <v>1.5290299619657425E-2</v>
      </c>
      <c r="E18" s="6" t="s">
        <v>7</v>
      </c>
      <c r="G18" s="6" t="s">
        <v>235</v>
      </c>
      <c r="H18" s="6" t="s">
        <v>16</v>
      </c>
      <c r="I18" s="8">
        <v>2.8327504625989788E-2</v>
      </c>
      <c r="J18" s="6" t="s">
        <v>7</v>
      </c>
      <c r="L18" s="6" t="s">
        <v>236</v>
      </c>
      <c r="M18" s="6" t="s">
        <v>16</v>
      </c>
      <c r="N18" s="8">
        <v>2.5155746407937912E-2</v>
      </c>
      <c r="O18" s="6" t="s">
        <v>7</v>
      </c>
    </row>
    <row r="19" spans="2:15" x14ac:dyDescent="0.45">
      <c r="B19" s="3" t="s">
        <v>234</v>
      </c>
      <c r="C19" s="3" t="s">
        <v>17</v>
      </c>
      <c r="D19" s="4">
        <v>5.5481296296032673E-4</v>
      </c>
      <c r="E19" s="3" t="s">
        <v>7</v>
      </c>
      <c r="G19" s="3" t="s">
        <v>235</v>
      </c>
      <c r="H19" s="3" t="s">
        <v>17</v>
      </c>
      <c r="I19" s="5">
        <v>2.786002901840148E-2</v>
      </c>
      <c r="J19" s="3" t="s">
        <v>7</v>
      </c>
      <c r="L19" s="3" t="s">
        <v>236</v>
      </c>
      <c r="M19" s="3" t="s">
        <v>17</v>
      </c>
      <c r="N19" s="5">
        <v>2.4504369973389849E-2</v>
      </c>
      <c r="O19" s="3" t="s">
        <v>7</v>
      </c>
    </row>
    <row r="20" spans="2:15" x14ac:dyDescent="0.45">
      <c r="B20" s="6" t="s">
        <v>234</v>
      </c>
      <c r="C20" s="6" t="s">
        <v>18</v>
      </c>
      <c r="D20" s="7">
        <v>0</v>
      </c>
      <c r="E20" s="6" t="s">
        <v>7</v>
      </c>
      <c r="G20" s="6" t="s">
        <v>235</v>
      </c>
      <c r="H20" s="6" t="s">
        <v>18</v>
      </c>
      <c r="I20" s="8">
        <v>4.0689934177492865E-2</v>
      </c>
      <c r="J20" s="6" t="s">
        <v>7</v>
      </c>
      <c r="L20" s="6" t="s">
        <v>236</v>
      </c>
      <c r="M20" s="6" t="s">
        <v>18</v>
      </c>
      <c r="N20" s="8">
        <v>3.643246822872287E-2</v>
      </c>
      <c r="O20" s="6" t="s">
        <v>7</v>
      </c>
    </row>
    <row r="21" spans="2:15" x14ac:dyDescent="0.45">
      <c r="B21" s="3" t="s">
        <v>234</v>
      </c>
      <c r="C21" s="3" t="s">
        <v>19</v>
      </c>
      <c r="D21" s="4">
        <v>0</v>
      </c>
      <c r="E21" s="3" t="s">
        <v>7</v>
      </c>
      <c r="G21" s="3" t="s">
        <v>235</v>
      </c>
      <c r="H21" s="3" t="s">
        <v>19</v>
      </c>
      <c r="I21" s="5">
        <v>5.8416411627708907E-2</v>
      </c>
      <c r="J21" s="3" t="s">
        <v>7</v>
      </c>
      <c r="L21" s="3" t="s">
        <v>236</v>
      </c>
      <c r="M21" s="3" t="s">
        <v>19</v>
      </c>
      <c r="N21" s="5">
        <v>6.0863440832202118E-2</v>
      </c>
      <c r="O21" s="3" t="s">
        <v>7</v>
      </c>
    </row>
    <row r="22" spans="2:15" x14ac:dyDescent="0.45">
      <c r="B22" s="6" t="s">
        <v>234</v>
      </c>
      <c r="C22" s="6" t="s">
        <v>20</v>
      </c>
      <c r="D22" s="7">
        <v>0</v>
      </c>
      <c r="E22" s="6" t="s">
        <v>7</v>
      </c>
      <c r="G22" s="6" t="s">
        <v>235</v>
      </c>
      <c r="H22" s="6" t="s">
        <v>20</v>
      </c>
      <c r="I22" s="8">
        <v>2.2768822512003784E-2</v>
      </c>
      <c r="J22" s="6" t="s">
        <v>7</v>
      </c>
      <c r="L22" s="6" t="s">
        <v>236</v>
      </c>
      <c r="M22" s="6" t="s">
        <v>20</v>
      </c>
      <c r="N22" s="8">
        <v>2.40459656490431E-2</v>
      </c>
      <c r="O22" s="6" t="s">
        <v>7</v>
      </c>
    </row>
    <row r="23" spans="2:15" x14ac:dyDescent="0.45">
      <c r="B23" s="3" t="s">
        <v>234</v>
      </c>
      <c r="C23" s="3" t="s">
        <v>21</v>
      </c>
      <c r="D23" s="4">
        <v>2.2624510002783975E-3</v>
      </c>
      <c r="E23" s="3" t="s">
        <v>7</v>
      </c>
      <c r="G23" s="3" t="s">
        <v>235</v>
      </c>
      <c r="H23" s="3" t="s">
        <v>21</v>
      </c>
      <c r="I23" s="5">
        <v>2.2722744670983206E-2</v>
      </c>
      <c r="J23" s="3" t="s">
        <v>7</v>
      </c>
      <c r="L23" s="3" t="s">
        <v>236</v>
      </c>
      <c r="M23" s="3" t="s">
        <v>21</v>
      </c>
      <c r="N23" s="5">
        <v>2.3904525915022786E-2</v>
      </c>
      <c r="O23" s="3" t="s">
        <v>7</v>
      </c>
    </row>
    <row r="24" spans="2:15" x14ac:dyDescent="0.45">
      <c r="B24" s="6" t="s">
        <v>234</v>
      </c>
      <c r="C24" s="6" t="s">
        <v>22</v>
      </c>
      <c r="D24" s="7">
        <v>2.9232492340806618E-2</v>
      </c>
      <c r="E24" s="6" t="s">
        <v>7</v>
      </c>
      <c r="G24" s="6" t="s">
        <v>235</v>
      </c>
      <c r="H24" s="6" t="s">
        <v>22</v>
      </c>
      <c r="I24" s="8">
        <v>2.4981065914075503E-2</v>
      </c>
      <c r="J24" s="6" t="s">
        <v>7</v>
      </c>
      <c r="L24" s="6" t="s">
        <v>236</v>
      </c>
      <c r="M24" s="6" t="s">
        <v>22</v>
      </c>
      <c r="N24" s="8">
        <v>2.3389434974359451E-2</v>
      </c>
      <c r="O24" s="6" t="s">
        <v>7</v>
      </c>
    </row>
    <row r="25" spans="2:15" x14ac:dyDescent="0.45">
      <c r="B25" s="3" t="s">
        <v>234</v>
      </c>
      <c r="C25" s="3" t="s">
        <v>23</v>
      </c>
      <c r="D25" s="4">
        <v>6.9388910558919339E-2</v>
      </c>
      <c r="E25" s="3" t="s">
        <v>7</v>
      </c>
      <c r="G25" s="3" t="s">
        <v>235</v>
      </c>
      <c r="H25" s="3" t="s">
        <v>23</v>
      </c>
      <c r="I25" s="5">
        <v>2.6467268949641059E-2</v>
      </c>
      <c r="J25" s="3" t="s">
        <v>7</v>
      </c>
      <c r="L25" s="3" t="s">
        <v>236</v>
      </c>
      <c r="M25" s="3" t="s">
        <v>23</v>
      </c>
      <c r="N25" s="5">
        <v>2.3347286170571271E-2</v>
      </c>
      <c r="O25" s="3" t="s">
        <v>7</v>
      </c>
    </row>
    <row r="26" spans="2:15" x14ac:dyDescent="0.45">
      <c r="B26" s="6" t="s">
        <v>234</v>
      </c>
      <c r="C26" s="6" t="s">
        <v>24</v>
      </c>
      <c r="D26" s="7">
        <v>8.5104216493712803E-2</v>
      </c>
      <c r="E26" s="6" t="s">
        <v>7</v>
      </c>
      <c r="G26" s="6" t="s">
        <v>235</v>
      </c>
      <c r="H26" s="6" t="s">
        <v>24</v>
      </c>
      <c r="I26" s="8">
        <v>2.7394685449896872E-2</v>
      </c>
      <c r="J26" s="6" t="s">
        <v>7</v>
      </c>
      <c r="L26" s="6" t="s">
        <v>236</v>
      </c>
      <c r="M26" s="6" t="s">
        <v>24</v>
      </c>
      <c r="N26" s="8">
        <v>2.3575981296611318E-2</v>
      </c>
      <c r="O26" s="6" t="s">
        <v>7</v>
      </c>
    </row>
    <row r="27" spans="2:15" x14ac:dyDescent="0.45">
      <c r="B27" s="3" t="s">
        <v>234</v>
      </c>
      <c r="C27" s="3" t="s">
        <v>25</v>
      </c>
      <c r="D27" s="4">
        <v>7.8359548974662435E-2</v>
      </c>
      <c r="E27" s="3" t="s">
        <v>7</v>
      </c>
      <c r="G27" s="3" t="s">
        <v>235</v>
      </c>
      <c r="H27" s="3" t="s">
        <v>25</v>
      </c>
      <c r="I27" s="5">
        <v>2.8168817838508112E-2</v>
      </c>
      <c r="J27" s="3" t="s">
        <v>7</v>
      </c>
      <c r="L27" s="3" t="s">
        <v>236</v>
      </c>
      <c r="M27" s="3" t="s">
        <v>25</v>
      </c>
      <c r="N27" s="5">
        <v>2.4239988860715881E-2</v>
      </c>
      <c r="O27" s="3" t="s">
        <v>7</v>
      </c>
    </row>
    <row r="28" spans="2:15" x14ac:dyDescent="0.45">
      <c r="B28" s="6" t="s">
        <v>234</v>
      </c>
      <c r="C28" s="6" t="s">
        <v>26</v>
      </c>
      <c r="D28" s="7">
        <v>5.1769004206250004E-2</v>
      </c>
      <c r="E28" s="6" t="s">
        <v>7</v>
      </c>
      <c r="G28" s="6" t="s">
        <v>235</v>
      </c>
      <c r="H28" s="6" t="s">
        <v>26</v>
      </c>
      <c r="I28" s="8">
        <v>2.8294530405279846E-2</v>
      </c>
      <c r="J28" s="6" t="s">
        <v>7</v>
      </c>
      <c r="L28" s="6" t="s">
        <v>236</v>
      </c>
      <c r="M28" s="6" t="s">
        <v>26</v>
      </c>
      <c r="N28" s="8">
        <v>2.5155585561389561E-2</v>
      </c>
      <c r="O28" s="6" t="s">
        <v>7</v>
      </c>
    </row>
    <row r="29" spans="2:15" x14ac:dyDescent="0.45">
      <c r="B29" s="3" t="s">
        <v>234</v>
      </c>
      <c r="C29" s="3" t="s">
        <v>27</v>
      </c>
      <c r="D29" s="4">
        <v>1.4770614244629186E-2</v>
      </c>
      <c r="E29" s="3" t="s">
        <v>7</v>
      </c>
      <c r="G29" s="3" t="s">
        <v>235</v>
      </c>
      <c r="H29" s="3" t="s">
        <v>27</v>
      </c>
      <c r="I29" s="5">
        <v>2.6466645476420796E-2</v>
      </c>
      <c r="J29" s="3" t="s">
        <v>7</v>
      </c>
      <c r="L29" s="3" t="s">
        <v>236</v>
      </c>
      <c r="M29" s="3" t="s">
        <v>27</v>
      </c>
      <c r="N29" s="5">
        <v>2.5831567962071835E-2</v>
      </c>
      <c r="O29" s="3" t="s">
        <v>7</v>
      </c>
    </row>
    <row r="30" spans="2:15" x14ac:dyDescent="0.45">
      <c r="B30" s="6" t="s">
        <v>234</v>
      </c>
      <c r="C30" s="6" t="s">
        <v>28</v>
      </c>
      <c r="D30" s="7">
        <v>4.7645417349232794E-4</v>
      </c>
      <c r="E30" s="6" t="s">
        <v>7</v>
      </c>
      <c r="G30" s="6" t="s">
        <v>235</v>
      </c>
      <c r="H30" s="6" t="s">
        <v>28</v>
      </c>
      <c r="I30" s="8">
        <v>3.6575797415727675E-2</v>
      </c>
      <c r="J30" s="6" t="s">
        <v>7</v>
      </c>
      <c r="L30" s="6" t="s">
        <v>236</v>
      </c>
      <c r="M30" s="6" t="s">
        <v>28</v>
      </c>
      <c r="N30" s="8">
        <v>3.7799240203042164E-2</v>
      </c>
      <c r="O30" s="6" t="s">
        <v>7</v>
      </c>
    </row>
    <row r="31" spans="2:15" x14ac:dyDescent="0.45">
      <c r="B31" s="3" t="s">
        <v>234</v>
      </c>
      <c r="C31" s="3" t="s">
        <v>29</v>
      </c>
      <c r="D31" s="4">
        <v>0</v>
      </c>
      <c r="E31" s="3" t="s">
        <v>7</v>
      </c>
      <c r="G31" s="3" t="s">
        <v>235</v>
      </c>
      <c r="H31" s="3" t="s">
        <v>29</v>
      </c>
      <c r="I31" s="5">
        <v>2.8642281591739736E-2</v>
      </c>
      <c r="J31" s="3" t="s">
        <v>7</v>
      </c>
      <c r="L31" s="3" t="s">
        <v>236</v>
      </c>
      <c r="M31" s="3" t="s">
        <v>29</v>
      </c>
      <c r="N31" s="5">
        <v>3.9206489205490067E-2</v>
      </c>
      <c r="O31" s="3" t="s">
        <v>7</v>
      </c>
    </row>
    <row r="32" spans="2:15" x14ac:dyDescent="0.45">
      <c r="B32" s="6" t="s">
        <v>234</v>
      </c>
      <c r="C32" s="6" t="s">
        <v>30</v>
      </c>
      <c r="D32" s="7">
        <v>0</v>
      </c>
      <c r="E32" s="6" t="s">
        <v>7</v>
      </c>
      <c r="G32" s="6" t="s">
        <v>235</v>
      </c>
      <c r="H32" s="6" t="s">
        <v>30</v>
      </c>
      <c r="I32" s="8">
        <v>1.1281965628619599E-2</v>
      </c>
      <c r="J32" s="6" t="s">
        <v>7</v>
      </c>
      <c r="L32" s="6" t="s">
        <v>236</v>
      </c>
      <c r="M32" s="6" t="s">
        <v>30</v>
      </c>
      <c r="N32" s="8">
        <v>1.5114623588189472E-2</v>
      </c>
      <c r="O32" s="6" t="s">
        <v>7</v>
      </c>
    </row>
    <row r="33" spans="2:15" x14ac:dyDescent="0.45">
      <c r="B33" s="3" t="s">
        <v>234</v>
      </c>
      <c r="C33" s="3" t="s">
        <v>31</v>
      </c>
      <c r="D33" s="4">
        <v>4.5083176584557556E-3</v>
      </c>
      <c r="E33" s="3" t="s">
        <v>7</v>
      </c>
      <c r="G33" s="3" t="s">
        <v>235</v>
      </c>
      <c r="H33" s="3" t="s">
        <v>31</v>
      </c>
      <c r="I33" s="5">
        <v>1.1361456099528551E-2</v>
      </c>
      <c r="J33" s="3" t="s">
        <v>7</v>
      </c>
      <c r="L33" s="3" t="s">
        <v>236</v>
      </c>
      <c r="M33" s="3" t="s">
        <v>31</v>
      </c>
      <c r="N33" s="5">
        <v>1.4500867122926881E-2</v>
      </c>
      <c r="O33" s="3" t="s">
        <v>7</v>
      </c>
    </row>
    <row r="34" spans="2:15" x14ac:dyDescent="0.45">
      <c r="B34" s="6" t="s">
        <v>234</v>
      </c>
      <c r="C34" s="6" t="s">
        <v>32</v>
      </c>
      <c r="D34" s="7">
        <v>3.3973890816912919E-2</v>
      </c>
      <c r="E34" s="6" t="s">
        <v>7</v>
      </c>
      <c r="G34" s="6" t="s">
        <v>235</v>
      </c>
      <c r="H34" s="6" t="s">
        <v>32</v>
      </c>
      <c r="I34" s="8">
        <v>1.3136695532161758E-2</v>
      </c>
      <c r="J34" s="6" t="s">
        <v>7</v>
      </c>
      <c r="L34" s="6" t="s">
        <v>236</v>
      </c>
      <c r="M34" s="6" t="s">
        <v>32</v>
      </c>
      <c r="N34" s="8">
        <v>1.3521722195331506E-2</v>
      </c>
      <c r="O34" s="6" t="s">
        <v>7</v>
      </c>
    </row>
    <row r="35" spans="2:15" x14ac:dyDescent="0.45">
      <c r="B35" s="3" t="s">
        <v>234</v>
      </c>
      <c r="C35" s="3" t="s">
        <v>33</v>
      </c>
      <c r="D35" s="4">
        <v>6.7780451900014124E-2</v>
      </c>
      <c r="E35" s="3" t="s">
        <v>7</v>
      </c>
      <c r="G35" s="3" t="s">
        <v>235</v>
      </c>
      <c r="H35" s="3" t="s">
        <v>33</v>
      </c>
      <c r="I35" s="5">
        <v>1.4623785736741142E-2</v>
      </c>
      <c r="J35" s="3" t="s">
        <v>7</v>
      </c>
      <c r="L35" s="3" t="s">
        <v>236</v>
      </c>
      <c r="M35" s="3" t="s">
        <v>33</v>
      </c>
      <c r="N35" s="5">
        <v>1.4535992830589558E-2</v>
      </c>
      <c r="O35" s="3" t="s">
        <v>7</v>
      </c>
    </row>
    <row r="36" spans="2:15" x14ac:dyDescent="0.45">
      <c r="B36" s="6" t="s">
        <v>234</v>
      </c>
      <c r="C36" s="6" t="s">
        <v>34</v>
      </c>
      <c r="D36" s="7">
        <v>8.402476906021987E-2</v>
      </c>
      <c r="E36" s="6" t="s">
        <v>7</v>
      </c>
      <c r="G36" s="6" t="s">
        <v>235</v>
      </c>
      <c r="H36" s="6" t="s">
        <v>34</v>
      </c>
      <c r="I36" s="8">
        <v>1.6162751405840638E-2</v>
      </c>
      <c r="J36" s="6" t="s">
        <v>7</v>
      </c>
      <c r="L36" s="6" t="s">
        <v>236</v>
      </c>
      <c r="M36" s="6" t="s">
        <v>34</v>
      </c>
      <c r="N36" s="8">
        <v>1.54081918054421E-2</v>
      </c>
      <c r="O36" s="6" t="s">
        <v>7</v>
      </c>
    </row>
    <row r="37" spans="2:15" x14ac:dyDescent="0.45">
      <c r="B37" s="3" t="s">
        <v>234</v>
      </c>
      <c r="C37" s="3" t="s">
        <v>35</v>
      </c>
      <c r="D37" s="4">
        <v>8.1448381682230758E-2</v>
      </c>
      <c r="E37" s="3" t="s">
        <v>7</v>
      </c>
      <c r="G37" s="3" t="s">
        <v>235</v>
      </c>
      <c r="H37" s="3" t="s">
        <v>35</v>
      </c>
      <c r="I37" s="5">
        <v>1.7015410009825691E-2</v>
      </c>
      <c r="J37" s="3" t="s">
        <v>7</v>
      </c>
      <c r="L37" s="3" t="s">
        <v>236</v>
      </c>
      <c r="M37" s="3" t="s">
        <v>35</v>
      </c>
      <c r="N37" s="5">
        <v>1.5798018581262157E-2</v>
      </c>
      <c r="O37" s="3" t="s">
        <v>7</v>
      </c>
    </row>
    <row r="38" spans="2:15" x14ac:dyDescent="0.45">
      <c r="B38" s="6" t="s">
        <v>234</v>
      </c>
      <c r="C38" s="6" t="s">
        <v>36</v>
      </c>
      <c r="D38" s="7">
        <v>5.9336057359245555E-2</v>
      </c>
      <c r="E38" s="6" t="s">
        <v>7</v>
      </c>
      <c r="G38" s="6" t="s">
        <v>235</v>
      </c>
      <c r="H38" s="6" t="s">
        <v>36</v>
      </c>
      <c r="I38" s="8">
        <v>1.646966503952875E-2</v>
      </c>
      <c r="J38" s="6" t="s">
        <v>7</v>
      </c>
      <c r="L38" s="6" t="s">
        <v>236</v>
      </c>
      <c r="M38" s="6" t="s">
        <v>36</v>
      </c>
      <c r="N38" s="8">
        <v>1.5707937672053977E-2</v>
      </c>
      <c r="O38" s="6" t="s">
        <v>7</v>
      </c>
    </row>
    <row r="39" spans="2:15" x14ac:dyDescent="0.45">
      <c r="B39" s="3" t="s">
        <v>234</v>
      </c>
      <c r="C39" s="3" t="s">
        <v>37</v>
      </c>
      <c r="D39" s="4">
        <v>2.238918679508152E-2</v>
      </c>
      <c r="E39" s="3" t="s">
        <v>7</v>
      </c>
      <c r="G39" s="3" t="s">
        <v>235</v>
      </c>
      <c r="H39" s="3" t="s">
        <v>37</v>
      </c>
      <c r="I39" s="5">
        <v>1.442383829211131E-2</v>
      </c>
      <c r="J39" s="3" t="s">
        <v>7</v>
      </c>
      <c r="L39" s="3" t="s">
        <v>236</v>
      </c>
      <c r="M39" s="3" t="s">
        <v>37</v>
      </c>
      <c r="N39" s="5">
        <v>1.5359341760609584E-2</v>
      </c>
      <c r="O39" s="3" t="s">
        <v>7</v>
      </c>
    </row>
    <row r="40" spans="2:15" x14ac:dyDescent="0.45">
      <c r="B40" s="6" t="s">
        <v>234</v>
      </c>
      <c r="C40" s="6" t="s">
        <v>38</v>
      </c>
      <c r="D40" s="7">
        <v>1.6435760079646319E-3</v>
      </c>
      <c r="E40" s="6" t="s">
        <v>7</v>
      </c>
      <c r="G40" s="6" t="s">
        <v>235</v>
      </c>
      <c r="H40" s="6" t="s">
        <v>38</v>
      </c>
      <c r="I40" s="8">
        <v>1.7439177916773629E-2</v>
      </c>
      <c r="J40" s="6" t="s">
        <v>7</v>
      </c>
      <c r="L40" s="6" t="s">
        <v>236</v>
      </c>
      <c r="M40" s="6" t="s">
        <v>38</v>
      </c>
      <c r="N40" s="8">
        <v>2.259169774877896E-2</v>
      </c>
      <c r="O40" s="6" t="s">
        <v>7</v>
      </c>
    </row>
    <row r="41" spans="2:15" x14ac:dyDescent="0.45">
      <c r="B41" s="3" t="s">
        <v>234</v>
      </c>
      <c r="C41" s="3" t="s">
        <v>39</v>
      </c>
      <c r="D41" s="4">
        <v>0</v>
      </c>
      <c r="E41" s="3" t="s">
        <v>7</v>
      </c>
      <c r="G41" s="3" t="s">
        <v>235</v>
      </c>
      <c r="H41" s="3" t="s">
        <v>39</v>
      </c>
      <c r="I41" s="5">
        <v>4.1033418304686153E-2</v>
      </c>
      <c r="J41" s="3" t="s">
        <v>7</v>
      </c>
      <c r="L41" s="3" t="s">
        <v>236</v>
      </c>
      <c r="M41" s="3" t="s">
        <v>39</v>
      </c>
      <c r="N41" s="5">
        <v>4.9111435388485891E-2</v>
      </c>
      <c r="O41" s="3" t="s">
        <v>7</v>
      </c>
    </row>
    <row r="42" spans="2:15" x14ac:dyDescent="0.45">
      <c r="B42" s="6" t="s">
        <v>234</v>
      </c>
      <c r="C42" s="6" t="s">
        <v>40</v>
      </c>
      <c r="D42" s="7">
        <v>0</v>
      </c>
      <c r="E42" s="6" t="s">
        <v>7</v>
      </c>
      <c r="G42" s="6" t="s">
        <v>235</v>
      </c>
      <c r="H42" s="6" t="s">
        <v>40</v>
      </c>
      <c r="I42" s="8">
        <v>1.7003017143373607E-2</v>
      </c>
      <c r="J42" s="6" t="s">
        <v>7</v>
      </c>
      <c r="L42" s="6" t="s">
        <v>236</v>
      </c>
      <c r="M42" s="6" t="s">
        <v>40</v>
      </c>
      <c r="N42" s="8">
        <v>1.9221656226259921E-2</v>
      </c>
      <c r="O42" s="6" t="s">
        <v>7</v>
      </c>
    </row>
    <row r="43" spans="2:15" x14ac:dyDescent="0.45">
      <c r="B43" s="3" t="s">
        <v>234</v>
      </c>
      <c r="C43" s="3" t="s">
        <v>41</v>
      </c>
      <c r="D43" s="4">
        <v>8.7636579160238823E-5</v>
      </c>
      <c r="E43" s="3" t="s">
        <v>7</v>
      </c>
      <c r="G43" s="3" t="s">
        <v>235</v>
      </c>
      <c r="H43" s="3" t="s">
        <v>41</v>
      </c>
      <c r="I43" s="5">
        <v>1.7468557315003738E-2</v>
      </c>
      <c r="J43" s="3" t="s">
        <v>7</v>
      </c>
      <c r="L43" s="3" t="s">
        <v>236</v>
      </c>
      <c r="M43" s="3" t="s">
        <v>41</v>
      </c>
      <c r="N43" s="5">
        <v>1.907430701600292E-2</v>
      </c>
      <c r="O43" s="3" t="s">
        <v>7</v>
      </c>
    </row>
    <row r="44" spans="2:15" x14ac:dyDescent="0.45">
      <c r="B44" s="6" t="s">
        <v>234</v>
      </c>
      <c r="C44" s="6" t="s">
        <v>42</v>
      </c>
      <c r="D44" s="7">
        <v>1.198673900507996E-2</v>
      </c>
      <c r="E44" s="6" t="s">
        <v>7</v>
      </c>
      <c r="G44" s="6" t="s">
        <v>235</v>
      </c>
      <c r="H44" s="6" t="s">
        <v>42</v>
      </c>
      <c r="I44" s="8">
        <v>1.8099589552762085E-2</v>
      </c>
      <c r="J44" s="6" t="s">
        <v>7</v>
      </c>
      <c r="L44" s="6" t="s">
        <v>236</v>
      </c>
      <c r="M44" s="6" t="s">
        <v>42</v>
      </c>
      <c r="N44" s="8">
        <v>1.9152369904630782E-2</v>
      </c>
      <c r="O44" s="6" t="s">
        <v>7</v>
      </c>
    </row>
    <row r="45" spans="2:15" x14ac:dyDescent="0.45">
      <c r="B45" s="3" t="s">
        <v>234</v>
      </c>
      <c r="C45" s="3" t="s">
        <v>43</v>
      </c>
      <c r="D45" s="4">
        <v>4.3177950138357415E-2</v>
      </c>
      <c r="E45" s="3" t="s">
        <v>7</v>
      </c>
      <c r="G45" s="3" t="s">
        <v>235</v>
      </c>
      <c r="H45" s="3" t="s">
        <v>43</v>
      </c>
      <c r="I45" s="5">
        <v>1.9184272820017015E-2</v>
      </c>
      <c r="J45" s="3" t="s">
        <v>7</v>
      </c>
      <c r="L45" s="3" t="s">
        <v>236</v>
      </c>
      <c r="M45" s="3" t="s">
        <v>43</v>
      </c>
      <c r="N45" s="5">
        <v>1.9423329248543685E-2</v>
      </c>
      <c r="O45" s="3" t="s">
        <v>7</v>
      </c>
    </row>
    <row r="46" spans="2:15" x14ac:dyDescent="0.45">
      <c r="B46" s="6" t="s">
        <v>234</v>
      </c>
      <c r="C46" s="6" t="s">
        <v>44</v>
      </c>
      <c r="D46" s="7">
        <v>5.7809641161702861E-2</v>
      </c>
      <c r="E46" s="6" t="s">
        <v>7</v>
      </c>
      <c r="G46" s="6" t="s">
        <v>235</v>
      </c>
      <c r="H46" s="6" t="s">
        <v>44</v>
      </c>
      <c r="I46" s="8">
        <v>2.0627419884851242E-2</v>
      </c>
      <c r="J46" s="6" t="s">
        <v>7</v>
      </c>
      <c r="L46" s="6" t="s">
        <v>236</v>
      </c>
      <c r="M46" s="6" t="s">
        <v>44</v>
      </c>
      <c r="N46" s="8">
        <v>1.9368093926732412E-2</v>
      </c>
      <c r="O46" s="6" t="s">
        <v>7</v>
      </c>
    </row>
    <row r="47" spans="2:15" x14ac:dyDescent="0.45">
      <c r="B47" s="3" t="s">
        <v>234</v>
      </c>
      <c r="C47" s="3" t="s">
        <v>45</v>
      </c>
      <c r="D47" s="4">
        <v>5.0357840793770356E-2</v>
      </c>
      <c r="E47" s="3" t="s">
        <v>7</v>
      </c>
      <c r="G47" s="3" t="s">
        <v>235</v>
      </c>
      <c r="H47" s="3" t="s">
        <v>45</v>
      </c>
      <c r="I47" s="5">
        <v>2.0400569751939438E-2</v>
      </c>
      <c r="J47" s="3" t="s">
        <v>7</v>
      </c>
      <c r="L47" s="3" t="s">
        <v>236</v>
      </c>
      <c r="M47" s="3" t="s">
        <v>45</v>
      </c>
      <c r="N47" s="5">
        <v>1.8840604432755814E-2</v>
      </c>
      <c r="O47" s="3" t="s">
        <v>7</v>
      </c>
    </row>
    <row r="48" spans="2:15" x14ac:dyDescent="0.45">
      <c r="B48" s="6" t="s">
        <v>234</v>
      </c>
      <c r="C48" s="6" t="s">
        <v>46</v>
      </c>
      <c r="D48" s="7">
        <v>2.4239613383454279E-2</v>
      </c>
      <c r="E48" s="6" t="s">
        <v>7</v>
      </c>
      <c r="G48" s="6" t="s">
        <v>235</v>
      </c>
      <c r="H48" s="6" t="s">
        <v>46</v>
      </c>
      <c r="I48" s="8">
        <v>1.9366277047120257E-2</v>
      </c>
      <c r="J48" s="6" t="s">
        <v>7</v>
      </c>
      <c r="L48" s="6" t="s">
        <v>236</v>
      </c>
      <c r="M48" s="6" t="s">
        <v>46</v>
      </c>
      <c r="N48" s="8">
        <v>1.8379701374072712E-2</v>
      </c>
      <c r="O48" s="6" t="s">
        <v>7</v>
      </c>
    </row>
    <row r="49" spans="2:15" x14ac:dyDescent="0.45">
      <c r="B49" s="3" t="s">
        <v>234</v>
      </c>
      <c r="C49" s="3" t="s">
        <v>47</v>
      </c>
      <c r="D49" s="4">
        <v>2.848403825864103E-3</v>
      </c>
      <c r="E49" s="3" t="s">
        <v>7</v>
      </c>
      <c r="G49" s="3" t="s">
        <v>235</v>
      </c>
      <c r="H49" s="3" t="s">
        <v>47</v>
      </c>
      <c r="I49" s="5">
        <v>1.7106330120990977E-2</v>
      </c>
      <c r="J49" s="3" t="s">
        <v>7</v>
      </c>
      <c r="L49" s="3" t="s">
        <v>236</v>
      </c>
      <c r="M49" s="3" t="s">
        <v>47</v>
      </c>
      <c r="N49" s="5">
        <v>1.8163310226629144E-2</v>
      </c>
      <c r="O49" s="3" t="s">
        <v>7</v>
      </c>
    </row>
    <row r="50" spans="2:15" x14ac:dyDescent="0.45">
      <c r="B50" s="6" t="s">
        <v>234</v>
      </c>
      <c r="C50" s="6" t="s">
        <v>48</v>
      </c>
      <c r="D50" s="7">
        <v>0</v>
      </c>
      <c r="E50" s="6" t="s">
        <v>7</v>
      </c>
      <c r="G50" s="6" t="s">
        <v>235</v>
      </c>
      <c r="H50" s="6" t="s">
        <v>48</v>
      </c>
      <c r="I50" s="8">
        <v>2.3701013166514233E-2</v>
      </c>
      <c r="J50" s="6" t="s">
        <v>7</v>
      </c>
      <c r="L50" s="6" t="s">
        <v>236</v>
      </c>
      <c r="M50" s="6" t="s">
        <v>48</v>
      </c>
      <c r="N50" s="8">
        <v>2.9125719054426572E-2</v>
      </c>
      <c r="O50" s="6" t="s">
        <v>7</v>
      </c>
    </row>
    <row r="51" spans="2:15" x14ac:dyDescent="0.45">
      <c r="B51" s="3" t="s">
        <v>237</v>
      </c>
      <c r="C51" s="3" t="s">
        <v>6</v>
      </c>
      <c r="D51" s="4">
        <v>0</v>
      </c>
      <c r="E51" s="3" t="s">
        <v>7</v>
      </c>
      <c r="G51" s="3" t="s">
        <v>238</v>
      </c>
      <c r="H51" s="3" t="s">
        <v>6</v>
      </c>
      <c r="I51" s="5">
        <v>6.3608526140732272E-2</v>
      </c>
      <c r="J51" s="3" t="s">
        <v>7</v>
      </c>
      <c r="L51" s="3" t="s">
        <v>239</v>
      </c>
      <c r="M51" s="3" t="s">
        <v>6</v>
      </c>
      <c r="N51" s="5">
        <v>6.2158347640223058E-2</v>
      </c>
      <c r="O51" s="3" t="s">
        <v>7</v>
      </c>
    </row>
    <row r="52" spans="2:15" x14ac:dyDescent="0.45">
      <c r="B52" s="6" t="s">
        <v>237</v>
      </c>
      <c r="C52" s="6" t="s">
        <v>10</v>
      </c>
      <c r="D52" s="7">
        <v>0</v>
      </c>
      <c r="E52" s="6" t="s">
        <v>7</v>
      </c>
      <c r="G52" s="6" t="s">
        <v>238</v>
      </c>
      <c r="H52" s="6" t="s">
        <v>10</v>
      </c>
      <c r="I52" s="8">
        <v>2.4210614073920854E-2</v>
      </c>
      <c r="J52" s="6" t="s">
        <v>7</v>
      </c>
      <c r="L52" s="6" t="s">
        <v>239</v>
      </c>
      <c r="M52" s="6" t="s">
        <v>10</v>
      </c>
      <c r="N52" s="8">
        <v>2.6199625704227767E-2</v>
      </c>
      <c r="O52" s="6" t="s">
        <v>7</v>
      </c>
    </row>
    <row r="53" spans="2:15" x14ac:dyDescent="0.45">
      <c r="B53" s="3" t="s">
        <v>237</v>
      </c>
      <c r="C53" s="3" t="s">
        <v>11</v>
      </c>
      <c r="D53" s="4">
        <v>0</v>
      </c>
      <c r="E53" s="3" t="s">
        <v>7</v>
      </c>
      <c r="G53" s="3" t="s">
        <v>238</v>
      </c>
      <c r="H53" s="3" t="s">
        <v>11</v>
      </c>
      <c r="I53" s="5">
        <v>2.4517546830091379E-2</v>
      </c>
      <c r="J53" s="3" t="s">
        <v>7</v>
      </c>
      <c r="L53" s="3" t="s">
        <v>239</v>
      </c>
      <c r="M53" s="3" t="s">
        <v>11</v>
      </c>
      <c r="N53" s="5">
        <v>2.6867672359849062E-2</v>
      </c>
      <c r="O53" s="3" t="s">
        <v>7</v>
      </c>
    </row>
    <row r="54" spans="2:15" x14ac:dyDescent="0.45">
      <c r="B54" s="6" t="s">
        <v>237</v>
      </c>
      <c r="C54" s="6" t="s">
        <v>12</v>
      </c>
      <c r="D54" s="7">
        <v>1.5247263525354391E-3</v>
      </c>
      <c r="E54" s="6" t="s">
        <v>7</v>
      </c>
      <c r="G54" s="6" t="s">
        <v>238</v>
      </c>
      <c r="H54" s="6" t="s">
        <v>12</v>
      </c>
      <c r="I54" s="8">
        <v>2.5603718253783707E-2</v>
      </c>
      <c r="J54" s="6" t="s">
        <v>7</v>
      </c>
      <c r="L54" s="6" t="s">
        <v>239</v>
      </c>
      <c r="M54" s="6" t="s">
        <v>12</v>
      </c>
      <c r="N54" s="8">
        <v>2.8140687578905844E-2</v>
      </c>
      <c r="O54" s="6" t="s">
        <v>7</v>
      </c>
    </row>
    <row r="55" spans="2:15" x14ac:dyDescent="0.45">
      <c r="B55" s="3" t="s">
        <v>237</v>
      </c>
      <c r="C55" s="3" t="s">
        <v>13</v>
      </c>
      <c r="D55" s="4">
        <v>2.4794700487546124E-2</v>
      </c>
      <c r="E55" s="3" t="s">
        <v>7</v>
      </c>
      <c r="G55" s="3" t="s">
        <v>238</v>
      </c>
      <c r="H55" s="3" t="s">
        <v>13</v>
      </c>
      <c r="I55" s="5">
        <v>2.7020149606311897E-2</v>
      </c>
      <c r="J55" s="3" t="s">
        <v>7</v>
      </c>
      <c r="L55" s="3" t="s">
        <v>239</v>
      </c>
      <c r="M55" s="3" t="s">
        <v>13</v>
      </c>
      <c r="N55" s="5">
        <v>2.9563577044036591E-2</v>
      </c>
      <c r="O55" s="3" t="s">
        <v>7</v>
      </c>
    </row>
    <row r="56" spans="2:15" x14ac:dyDescent="0.45">
      <c r="B56" s="6" t="s">
        <v>237</v>
      </c>
      <c r="C56" s="6" t="s">
        <v>14</v>
      </c>
      <c r="D56" s="7">
        <v>4.4694471499116185E-2</v>
      </c>
      <c r="E56" s="6" t="s">
        <v>7</v>
      </c>
      <c r="G56" s="6" t="s">
        <v>238</v>
      </c>
      <c r="H56" s="6" t="s">
        <v>14</v>
      </c>
      <c r="I56" s="8">
        <v>2.8363220527067589E-2</v>
      </c>
      <c r="J56" s="6" t="s">
        <v>7</v>
      </c>
      <c r="L56" s="6" t="s">
        <v>239</v>
      </c>
      <c r="M56" s="6" t="s">
        <v>14</v>
      </c>
      <c r="N56" s="8">
        <v>2.9408438739063309E-2</v>
      </c>
      <c r="O56" s="6" t="s">
        <v>7</v>
      </c>
    </row>
    <row r="57" spans="2:15" x14ac:dyDescent="0.45">
      <c r="B57" s="3" t="s">
        <v>237</v>
      </c>
      <c r="C57" s="3" t="s">
        <v>15</v>
      </c>
      <c r="D57" s="4">
        <v>3.8127998346816967E-2</v>
      </c>
      <c r="E57" s="3" t="s">
        <v>7</v>
      </c>
      <c r="G57" s="3" t="s">
        <v>238</v>
      </c>
      <c r="H57" s="3" t="s">
        <v>15</v>
      </c>
      <c r="I57" s="5">
        <v>2.8427858358905458E-2</v>
      </c>
      <c r="J57" s="3" t="s">
        <v>7</v>
      </c>
      <c r="L57" s="3" t="s">
        <v>239</v>
      </c>
      <c r="M57" s="3" t="s">
        <v>15</v>
      </c>
      <c r="N57" s="5">
        <v>2.8490167944729562E-2</v>
      </c>
      <c r="O57" s="3" t="s">
        <v>7</v>
      </c>
    </row>
    <row r="58" spans="2:15" x14ac:dyDescent="0.45">
      <c r="B58" s="6" t="s">
        <v>237</v>
      </c>
      <c r="C58" s="6" t="s">
        <v>16</v>
      </c>
      <c r="D58" s="7">
        <v>1.418682115983015E-2</v>
      </c>
      <c r="E58" s="6" t="s">
        <v>7</v>
      </c>
      <c r="G58" s="6" t="s">
        <v>238</v>
      </c>
      <c r="H58" s="6" t="s">
        <v>16</v>
      </c>
      <c r="I58" s="8">
        <v>2.720611320338771E-2</v>
      </c>
      <c r="J58" s="6" t="s">
        <v>7</v>
      </c>
      <c r="L58" s="6" t="s">
        <v>239</v>
      </c>
      <c r="M58" s="6" t="s">
        <v>16</v>
      </c>
      <c r="N58" s="8">
        <v>2.7928018785852427E-2</v>
      </c>
      <c r="O58" s="6" t="s">
        <v>7</v>
      </c>
    </row>
    <row r="59" spans="2:15" x14ac:dyDescent="0.45">
      <c r="B59" s="3" t="s">
        <v>237</v>
      </c>
      <c r="C59" s="3" t="s">
        <v>17</v>
      </c>
      <c r="D59" s="4">
        <v>5.0312730039073369E-4</v>
      </c>
      <c r="E59" s="3" t="s">
        <v>7</v>
      </c>
      <c r="G59" s="3" t="s">
        <v>238</v>
      </c>
      <c r="H59" s="3" t="s">
        <v>17</v>
      </c>
      <c r="I59" s="5">
        <v>2.6964017430288222E-2</v>
      </c>
      <c r="J59" s="3" t="s">
        <v>7</v>
      </c>
      <c r="L59" s="3" t="s">
        <v>239</v>
      </c>
      <c r="M59" s="3" t="s">
        <v>17</v>
      </c>
      <c r="N59" s="5">
        <v>2.67954998713275E-2</v>
      </c>
      <c r="O59" s="3" t="s">
        <v>7</v>
      </c>
    </row>
    <row r="60" spans="2:15" x14ac:dyDescent="0.45">
      <c r="B60" s="6" t="s">
        <v>237</v>
      </c>
      <c r="C60" s="6" t="s">
        <v>18</v>
      </c>
      <c r="D60" s="7">
        <v>0</v>
      </c>
      <c r="E60" s="6" t="s">
        <v>7</v>
      </c>
      <c r="G60" s="6" t="s">
        <v>238</v>
      </c>
      <c r="H60" s="6" t="s">
        <v>18</v>
      </c>
      <c r="I60" s="8">
        <v>4.0935991733566858E-2</v>
      </c>
      <c r="J60" s="6" t="s">
        <v>7</v>
      </c>
      <c r="L60" s="6" t="s">
        <v>239</v>
      </c>
      <c r="M60" s="6" t="s">
        <v>18</v>
      </c>
      <c r="N60" s="8">
        <v>3.8147906277544066E-2</v>
      </c>
      <c r="O60" s="6" t="s">
        <v>7</v>
      </c>
    </row>
    <row r="61" spans="2:15" x14ac:dyDescent="0.45">
      <c r="B61" s="3" t="s">
        <v>237</v>
      </c>
      <c r="C61" s="3" t="s">
        <v>19</v>
      </c>
      <c r="D61" s="4">
        <v>0</v>
      </c>
      <c r="E61" s="3" t="s">
        <v>7</v>
      </c>
      <c r="G61" s="3" t="s">
        <v>238</v>
      </c>
      <c r="H61" s="3" t="s">
        <v>19</v>
      </c>
      <c r="I61" s="5">
        <v>6.0452692382246459E-2</v>
      </c>
      <c r="J61" s="3" t="s">
        <v>7</v>
      </c>
      <c r="L61" s="3" t="s">
        <v>239</v>
      </c>
      <c r="M61" s="3" t="s">
        <v>19</v>
      </c>
      <c r="N61" s="5">
        <v>5.7579991059229979E-2</v>
      </c>
      <c r="O61" s="3" t="s">
        <v>7</v>
      </c>
    </row>
    <row r="62" spans="2:15" x14ac:dyDescent="0.45">
      <c r="B62" s="6" t="s">
        <v>237</v>
      </c>
      <c r="C62" s="6" t="s">
        <v>20</v>
      </c>
      <c r="D62" s="7">
        <v>0</v>
      </c>
      <c r="E62" s="6" t="s">
        <v>7</v>
      </c>
      <c r="G62" s="6" t="s">
        <v>238</v>
      </c>
      <c r="H62" s="6" t="s">
        <v>20</v>
      </c>
      <c r="I62" s="8">
        <v>2.3599956814131757E-2</v>
      </c>
      <c r="J62" s="6" t="s">
        <v>7</v>
      </c>
      <c r="L62" s="6" t="s">
        <v>239</v>
      </c>
      <c r="M62" s="6" t="s">
        <v>20</v>
      </c>
      <c r="N62" s="8">
        <v>2.2839692189822337E-2</v>
      </c>
      <c r="O62" s="6" t="s">
        <v>7</v>
      </c>
    </row>
    <row r="63" spans="2:15" x14ac:dyDescent="0.45">
      <c r="B63" s="3" t="s">
        <v>237</v>
      </c>
      <c r="C63" s="3" t="s">
        <v>21</v>
      </c>
      <c r="D63" s="4">
        <v>2.6016543018598732E-3</v>
      </c>
      <c r="E63" s="3" t="s">
        <v>7</v>
      </c>
      <c r="G63" s="3" t="s">
        <v>238</v>
      </c>
      <c r="H63" s="3" t="s">
        <v>21</v>
      </c>
      <c r="I63" s="5">
        <v>2.3394354878137253E-2</v>
      </c>
      <c r="J63" s="3" t="s">
        <v>7</v>
      </c>
      <c r="L63" s="3" t="s">
        <v>239</v>
      </c>
      <c r="M63" s="3" t="s">
        <v>21</v>
      </c>
      <c r="N63" s="5">
        <v>2.473768306906066E-2</v>
      </c>
      <c r="O63" s="3" t="s">
        <v>7</v>
      </c>
    </row>
    <row r="64" spans="2:15" x14ac:dyDescent="0.45">
      <c r="B64" s="6" t="s">
        <v>237</v>
      </c>
      <c r="C64" s="6" t="s">
        <v>22</v>
      </c>
      <c r="D64" s="7">
        <v>2.9961690946506213E-2</v>
      </c>
      <c r="E64" s="6" t="s">
        <v>7</v>
      </c>
      <c r="G64" s="6" t="s">
        <v>238</v>
      </c>
      <c r="H64" s="6" t="s">
        <v>22</v>
      </c>
      <c r="I64" s="8">
        <v>2.4778539960335754E-2</v>
      </c>
      <c r="J64" s="6" t="s">
        <v>7</v>
      </c>
      <c r="L64" s="6" t="s">
        <v>239</v>
      </c>
      <c r="M64" s="6" t="s">
        <v>22</v>
      </c>
      <c r="N64" s="8">
        <v>2.5918377228083773E-2</v>
      </c>
      <c r="O64" s="6" t="s">
        <v>7</v>
      </c>
    </row>
    <row r="65" spans="2:15" x14ac:dyDescent="0.45">
      <c r="B65" s="3" t="s">
        <v>237</v>
      </c>
      <c r="C65" s="3" t="s">
        <v>23</v>
      </c>
      <c r="D65" s="4">
        <v>6.8254305493514786E-2</v>
      </c>
      <c r="E65" s="3" t="s">
        <v>7</v>
      </c>
      <c r="G65" s="3" t="s">
        <v>238</v>
      </c>
      <c r="H65" s="3" t="s">
        <v>23</v>
      </c>
      <c r="I65" s="5">
        <v>2.6161388146283337E-2</v>
      </c>
      <c r="J65" s="3" t="s">
        <v>7</v>
      </c>
      <c r="L65" s="3" t="s">
        <v>239</v>
      </c>
      <c r="M65" s="3" t="s">
        <v>23</v>
      </c>
      <c r="N65" s="5">
        <v>2.6639882429855509E-2</v>
      </c>
      <c r="O65" s="3" t="s">
        <v>7</v>
      </c>
    </row>
    <row r="66" spans="2:15" x14ac:dyDescent="0.45">
      <c r="B66" s="6" t="s">
        <v>237</v>
      </c>
      <c r="C66" s="6" t="s">
        <v>24</v>
      </c>
      <c r="D66" s="7">
        <v>8.3351389543631305E-2</v>
      </c>
      <c r="E66" s="6" t="s">
        <v>7</v>
      </c>
      <c r="G66" s="6" t="s">
        <v>238</v>
      </c>
      <c r="H66" s="6" t="s">
        <v>24</v>
      </c>
      <c r="I66" s="8">
        <v>2.6536213946022371E-2</v>
      </c>
      <c r="J66" s="6" t="s">
        <v>7</v>
      </c>
      <c r="L66" s="6" t="s">
        <v>239</v>
      </c>
      <c r="M66" s="6" t="s">
        <v>24</v>
      </c>
      <c r="N66" s="8">
        <v>2.7549127326618187E-2</v>
      </c>
      <c r="O66" s="6" t="s">
        <v>7</v>
      </c>
    </row>
    <row r="67" spans="2:15" x14ac:dyDescent="0.45">
      <c r="B67" s="3" t="s">
        <v>237</v>
      </c>
      <c r="C67" s="3" t="s">
        <v>25</v>
      </c>
      <c r="D67" s="4">
        <v>7.819728051276946E-2</v>
      </c>
      <c r="E67" s="3" t="s">
        <v>7</v>
      </c>
      <c r="G67" s="3" t="s">
        <v>238</v>
      </c>
      <c r="H67" s="3" t="s">
        <v>25</v>
      </c>
      <c r="I67" s="5">
        <v>2.6905670032137952E-2</v>
      </c>
      <c r="J67" s="3" t="s">
        <v>7</v>
      </c>
      <c r="L67" s="3" t="s">
        <v>239</v>
      </c>
      <c r="M67" s="3" t="s">
        <v>25</v>
      </c>
      <c r="N67" s="5">
        <v>2.776755540321256E-2</v>
      </c>
      <c r="O67" s="3" t="s">
        <v>7</v>
      </c>
    </row>
    <row r="68" spans="2:15" x14ac:dyDescent="0.45">
      <c r="B68" s="6" t="s">
        <v>237</v>
      </c>
      <c r="C68" s="6" t="s">
        <v>26</v>
      </c>
      <c r="D68" s="7">
        <v>5.1023336354804105E-2</v>
      </c>
      <c r="E68" s="6" t="s">
        <v>7</v>
      </c>
      <c r="G68" s="6" t="s">
        <v>238</v>
      </c>
      <c r="H68" s="6" t="s">
        <v>26</v>
      </c>
      <c r="I68" s="8">
        <v>2.6485482581907922E-2</v>
      </c>
      <c r="J68" s="6" t="s">
        <v>7</v>
      </c>
      <c r="L68" s="6" t="s">
        <v>239</v>
      </c>
      <c r="M68" s="6" t="s">
        <v>26</v>
      </c>
      <c r="N68" s="8">
        <v>2.6118912997661971E-2</v>
      </c>
      <c r="O68" s="6" t="s">
        <v>7</v>
      </c>
    </row>
    <row r="69" spans="2:15" x14ac:dyDescent="0.45">
      <c r="B69" s="3" t="s">
        <v>237</v>
      </c>
      <c r="C69" s="3" t="s">
        <v>27</v>
      </c>
      <c r="D69" s="4">
        <v>1.3933293662647755E-2</v>
      </c>
      <c r="E69" s="3" t="s">
        <v>7</v>
      </c>
      <c r="G69" s="3" t="s">
        <v>238</v>
      </c>
      <c r="H69" s="3" t="s">
        <v>27</v>
      </c>
      <c r="I69" s="5">
        <v>2.4902672621098073E-2</v>
      </c>
      <c r="J69" s="3" t="s">
        <v>7</v>
      </c>
      <c r="L69" s="3" t="s">
        <v>239</v>
      </c>
      <c r="M69" s="3" t="s">
        <v>27</v>
      </c>
      <c r="N69" s="5">
        <v>2.445365198014952E-2</v>
      </c>
      <c r="O69" s="3" t="s">
        <v>7</v>
      </c>
    </row>
    <row r="70" spans="2:15" x14ac:dyDescent="0.45">
      <c r="B70" s="6" t="s">
        <v>237</v>
      </c>
      <c r="C70" s="6" t="s">
        <v>28</v>
      </c>
      <c r="D70" s="7">
        <v>4.3750623871324741E-4</v>
      </c>
      <c r="E70" s="6" t="s">
        <v>7</v>
      </c>
      <c r="G70" s="6" t="s">
        <v>238</v>
      </c>
      <c r="H70" s="6" t="s">
        <v>28</v>
      </c>
      <c r="I70" s="8">
        <v>3.6454331030883878E-2</v>
      </c>
      <c r="J70" s="6" t="s">
        <v>7</v>
      </c>
      <c r="L70" s="6" t="s">
        <v>239</v>
      </c>
      <c r="M70" s="6" t="s">
        <v>28</v>
      </c>
      <c r="N70" s="8">
        <v>3.5395796337044171E-2</v>
      </c>
      <c r="O70" s="6" t="s">
        <v>7</v>
      </c>
    </row>
    <row r="71" spans="2:15" x14ac:dyDescent="0.45">
      <c r="B71" s="3" t="s">
        <v>237</v>
      </c>
      <c r="C71" s="3" t="s">
        <v>29</v>
      </c>
      <c r="D71" s="4">
        <v>0</v>
      </c>
      <c r="E71" s="3" t="s">
        <v>7</v>
      </c>
      <c r="G71" s="3" t="s">
        <v>238</v>
      </c>
      <c r="H71" s="3" t="s">
        <v>29</v>
      </c>
      <c r="I71" s="5">
        <v>2.9765525912763886E-2</v>
      </c>
      <c r="J71" s="3" t="s">
        <v>7</v>
      </c>
      <c r="L71" s="3" t="s">
        <v>239</v>
      </c>
      <c r="M71" s="3" t="s">
        <v>29</v>
      </c>
      <c r="N71" s="5">
        <v>2.9697531247541223E-2</v>
      </c>
      <c r="O71" s="3" t="s">
        <v>7</v>
      </c>
    </row>
    <row r="72" spans="2:15" x14ac:dyDescent="0.45">
      <c r="B72" s="6" t="s">
        <v>237</v>
      </c>
      <c r="C72" s="6" t="s">
        <v>30</v>
      </c>
      <c r="D72" s="7">
        <v>1.2291475792298966E-5</v>
      </c>
      <c r="E72" s="6" t="s">
        <v>7</v>
      </c>
      <c r="G72" s="6" t="s">
        <v>238</v>
      </c>
      <c r="H72" s="6" t="s">
        <v>30</v>
      </c>
      <c r="I72" s="8">
        <v>1.1723952268752971E-2</v>
      </c>
      <c r="J72" s="6" t="s">
        <v>7</v>
      </c>
      <c r="L72" s="6" t="s">
        <v>239</v>
      </c>
      <c r="M72" s="6" t="s">
        <v>30</v>
      </c>
      <c r="N72" s="8">
        <v>1.1935360509962679E-2</v>
      </c>
      <c r="O72" s="6" t="s">
        <v>7</v>
      </c>
    </row>
    <row r="73" spans="2:15" x14ac:dyDescent="0.45">
      <c r="B73" s="3" t="s">
        <v>237</v>
      </c>
      <c r="C73" s="3" t="s">
        <v>31</v>
      </c>
      <c r="D73" s="4">
        <v>5.2122744355286577E-3</v>
      </c>
      <c r="E73" s="3" t="s">
        <v>7</v>
      </c>
      <c r="G73" s="3" t="s">
        <v>238</v>
      </c>
      <c r="H73" s="3" t="s">
        <v>31</v>
      </c>
      <c r="I73" s="5">
        <v>1.1648054992483139E-2</v>
      </c>
      <c r="J73" s="3" t="s">
        <v>7</v>
      </c>
      <c r="L73" s="3" t="s">
        <v>239</v>
      </c>
      <c r="M73" s="3" t="s">
        <v>31</v>
      </c>
      <c r="N73" s="5">
        <v>1.3267556040431819E-2</v>
      </c>
      <c r="O73" s="3" t="s">
        <v>7</v>
      </c>
    </row>
    <row r="74" spans="2:15" x14ac:dyDescent="0.45">
      <c r="B74" s="6" t="s">
        <v>237</v>
      </c>
      <c r="C74" s="6" t="s">
        <v>32</v>
      </c>
      <c r="D74" s="7">
        <v>3.656261593680496E-2</v>
      </c>
      <c r="E74" s="6" t="s">
        <v>7</v>
      </c>
      <c r="G74" s="6" t="s">
        <v>238</v>
      </c>
      <c r="H74" s="6" t="s">
        <v>32</v>
      </c>
      <c r="I74" s="8">
        <v>1.2598979619041913E-2</v>
      </c>
      <c r="J74" s="6" t="s">
        <v>7</v>
      </c>
      <c r="L74" s="6" t="s">
        <v>239</v>
      </c>
      <c r="M74" s="6" t="s">
        <v>32</v>
      </c>
      <c r="N74" s="8">
        <v>1.4231674584666534E-2</v>
      </c>
      <c r="O74" s="6" t="s">
        <v>7</v>
      </c>
    </row>
    <row r="75" spans="2:15" x14ac:dyDescent="0.45">
      <c r="B75" s="3" t="s">
        <v>237</v>
      </c>
      <c r="C75" s="3" t="s">
        <v>33</v>
      </c>
      <c r="D75" s="4">
        <v>7.1075028967600637E-2</v>
      </c>
      <c r="E75" s="3" t="s">
        <v>7</v>
      </c>
      <c r="G75" s="3" t="s">
        <v>238</v>
      </c>
      <c r="H75" s="3" t="s">
        <v>33</v>
      </c>
      <c r="I75" s="5">
        <v>1.4064762953354067E-2</v>
      </c>
      <c r="J75" s="3" t="s">
        <v>7</v>
      </c>
      <c r="L75" s="3" t="s">
        <v>239</v>
      </c>
      <c r="M75" s="3" t="s">
        <v>33</v>
      </c>
      <c r="N75" s="5">
        <v>1.5507545998383582E-2</v>
      </c>
      <c r="O75" s="3" t="s">
        <v>7</v>
      </c>
    </row>
    <row r="76" spans="2:15" x14ac:dyDescent="0.45">
      <c r="B76" s="6" t="s">
        <v>237</v>
      </c>
      <c r="C76" s="6" t="s">
        <v>34</v>
      </c>
      <c r="D76" s="7">
        <v>8.5772251051285608E-2</v>
      </c>
      <c r="E76" s="6" t="s">
        <v>7</v>
      </c>
      <c r="G76" s="6" t="s">
        <v>238</v>
      </c>
      <c r="H76" s="6" t="s">
        <v>34</v>
      </c>
      <c r="I76" s="8">
        <v>1.5627447718492646E-2</v>
      </c>
      <c r="J76" s="6" t="s">
        <v>7</v>
      </c>
      <c r="L76" s="6" t="s">
        <v>239</v>
      </c>
      <c r="M76" s="6" t="s">
        <v>34</v>
      </c>
      <c r="N76" s="8">
        <v>1.6548474815014383E-2</v>
      </c>
      <c r="O76" s="6" t="s">
        <v>7</v>
      </c>
    </row>
    <row r="77" spans="2:15" x14ac:dyDescent="0.45">
      <c r="B77" s="3" t="s">
        <v>237</v>
      </c>
      <c r="C77" s="3" t="s">
        <v>35</v>
      </c>
      <c r="D77" s="4">
        <v>8.1626626433733918E-2</v>
      </c>
      <c r="E77" s="3" t="s">
        <v>7</v>
      </c>
      <c r="G77" s="3" t="s">
        <v>238</v>
      </c>
      <c r="H77" s="3" t="s">
        <v>35</v>
      </c>
      <c r="I77" s="5">
        <v>1.6659641512070077E-2</v>
      </c>
      <c r="J77" s="3" t="s">
        <v>7</v>
      </c>
      <c r="L77" s="3" t="s">
        <v>239</v>
      </c>
      <c r="M77" s="3" t="s">
        <v>35</v>
      </c>
      <c r="N77" s="5">
        <v>1.6404363506652385E-2</v>
      </c>
      <c r="O77" s="3" t="s">
        <v>7</v>
      </c>
    </row>
    <row r="78" spans="2:15" x14ac:dyDescent="0.45">
      <c r="B78" s="6" t="s">
        <v>237</v>
      </c>
      <c r="C78" s="6" t="s">
        <v>36</v>
      </c>
      <c r="D78" s="7">
        <v>5.9378815734355522E-2</v>
      </c>
      <c r="E78" s="6" t="s">
        <v>7</v>
      </c>
      <c r="G78" s="6" t="s">
        <v>238</v>
      </c>
      <c r="H78" s="6" t="s">
        <v>36</v>
      </c>
      <c r="I78" s="8">
        <v>1.6198351073803848E-2</v>
      </c>
      <c r="J78" s="6" t="s">
        <v>7</v>
      </c>
      <c r="L78" s="6" t="s">
        <v>239</v>
      </c>
      <c r="M78" s="6" t="s">
        <v>36</v>
      </c>
      <c r="N78" s="8">
        <v>1.4591365954827969E-2</v>
      </c>
      <c r="O78" s="6" t="s">
        <v>7</v>
      </c>
    </row>
    <row r="79" spans="2:15" x14ac:dyDescent="0.45">
      <c r="B79" s="3" t="s">
        <v>237</v>
      </c>
      <c r="C79" s="3" t="s">
        <v>37</v>
      </c>
      <c r="D79" s="4">
        <v>2.1376549004334115E-2</v>
      </c>
      <c r="E79" s="3" t="s">
        <v>7</v>
      </c>
      <c r="G79" s="3" t="s">
        <v>238</v>
      </c>
      <c r="H79" s="3" t="s">
        <v>37</v>
      </c>
      <c r="I79" s="5">
        <v>1.4102542701921506E-2</v>
      </c>
      <c r="J79" s="3" t="s">
        <v>7</v>
      </c>
      <c r="L79" s="3" t="s">
        <v>239</v>
      </c>
      <c r="M79" s="3" t="s">
        <v>37</v>
      </c>
      <c r="N79" s="5">
        <v>1.2161226600583693E-2</v>
      </c>
      <c r="O79" s="3" t="s">
        <v>7</v>
      </c>
    </row>
    <row r="80" spans="2:15" x14ac:dyDescent="0.45">
      <c r="B80" s="6" t="s">
        <v>237</v>
      </c>
      <c r="C80" s="6" t="s">
        <v>38</v>
      </c>
      <c r="D80" s="7">
        <v>1.5032808966554056E-3</v>
      </c>
      <c r="E80" s="6" t="s">
        <v>7</v>
      </c>
      <c r="G80" s="6" t="s">
        <v>238</v>
      </c>
      <c r="H80" s="6" t="s">
        <v>38</v>
      </c>
      <c r="I80" s="8">
        <v>1.8418687888393317E-2</v>
      </c>
      <c r="J80" s="6" t="s">
        <v>7</v>
      </c>
      <c r="L80" s="6" t="s">
        <v>239</v>
      </c>
      <c r="M80" s="6" t="s">
        <v>38</v>
      </c>
      <c r="N80" s="8">
        <v>1.755692397596248E-2</v>
      </c>
      <c r="O80" s="6" t="s">
        <v>7</v>
      </c>
    </row>
    <row r="81" spans="2:15" x14ac:dyDescent="0.45">
      <c r="B81" s="3" t="s">
        <v>237</v>
      </c>
      <c r="C81" s="3" t="s">
        <v>39</v>
      </c>
      <c r="D81" s="4">
        <v>0</v>
      </c>
      <c r="E81" s="3" t="s">
        <v>7</v>
      </c>
      <c r="G81" s="3" t="s">
        <v>238</v>
      </c>
      <c r="H81" s="3" t="s">
        <v>39</v>
      </c>
      <c r="I81" s="5">
        <v>4.3264010628582088E-2</v>
      </c>
      <c r="J81" s="3" t="s">
        <v>7</v>
      </c>
      <c r="L81" s="3" t="s">
        <v>239</v>
      </c>
      <c r="M81" s="3" t="s">
        <v>39</v>
      </c>
      <c r="N81" s="5">
        <v>4.2505261587525815E-2</v>
      </c>
      <c r="O81" s="3" t="s">
        <v>7</v>
      </c>
    </row>
    <row r="82" spans="2:15" x14ac:dyDescent="0.45">
      <c r="B82" s="6" t="s">
        <v>237</v>
      </c>
      <c r="C82" s="6" t="s">
        <v>40</v>
      </c>
      <c r="D82" s="7">
        <v>0</v>
      </c>
      <c r="E82" s="6" t="s">
        <v>7</v>
      </c>
      <c r="G82" s="6" t="s">
        <v>238</v>
      </c>
      <c r="H82" s="6" t="s">
        <v>40</v>
      </c>
      <c r="I82" s="8">
        <v>1.8038949589261971E-2</v>
      </c>
      <c r="J82" s="6" t="s">
        <v>7</v>
      </c>
      <c r="L82" s="6" t="s">
        <v>239</v>
      </c>
      <c r="M82" s="6" t="s">
        <v>40</v>
      </c>
      <c r="N82" s="8">
        <v>1.7656462086716715E-2</v>
      </c>
      <c r="O82" s="6" t="s">
        <v>7</v>
      </c>
    </row>
    <row r="83" spans="2:15" x14ac:dyDescent="0.45">
      <c r="B83" s="3" t="s">
        <v>237</v>
      </c>
      <c r="C83" s="3" t="s">
        <v>41</v>
      </c>
      <c r="D83" s="4">
        <v>1.3515137766620337E-4</v>
      </c>
      <c r="E83" s="3" t="s">
        <v>7</v>
      </c>
      <c r="G83" s="3" t="s">
        <v>238</v>
      </c>
      <c r="H83" s="3" t="s">
        <v>41</v>
      </c>
      <c r="I83" s="5">
        <v>1.8654903397269287E-2</v>
      </c>
      <c r="J83" s="3" t="s">
        <v>7</v>
      </c>
      <c r="L83" s="3" t="s">
        <v>239</v>
      </c>
      <c r="M83" s="3" t="s">
        <v>41</v>
      </c>
      <c r="N83" s="5">
        <v>1.8163180610107819E-2</v>
      </c>
      <c r="O83" s="3" t="s">
        <v>7</v>
      </c>
    </row>
    <row r="84" spans="2:15" x14ac:dyDescent="0.45">
      <c r="B84" s="6" t="s">
        <v>237</v>
      </c>
      <c r="C84" s="6" t="s">
        <v>42</v>
      </c>
      <c r="D84" s="7">
        <v>1.2497176011444622E-2</v>
      </c>
      <c r="E84" s="6" t="s">
        <v>7</v>
      </c>
      <c r="G84" s="6" t="s">
        <v>238</v>
      </c>
      <c r="H84" s="6" t="s">
        <v>42</v>
      </c>
      <c r="I84" s="8">
        <v>1.9045145121557298E-2</v>
      </c>
      <c r="J84" s="6" t="s">
        <v>7</v>
      </c>
      <c r="L84" s="6" t="s">
        <v>239</v>
      </c>
      <c r="M84" s="6" t="s">
        <v>42</v>
      </c>
      <c r="N84" s="8">
        <v>1.8904136719628869E-2</v>
      </c>
      <c r="O84" s="6" t="s">
        <v>7</v>
      </c>
    </row>
    <row r="85" spans="2:15" x14ac:dyDescent="0.45">
      <c r="B85" s="3" t="s">
        <v>237</v>
      </c>
      <c r="C85" s="3" t="s">
        <v>43</v>
      </c>
      <c r="D85" s="4">
        <v>4.4003304858495067E-2</v>
      </c>
      <c r="E85" s="3" t="s">
        <v>7</v>
      </c>
      <c r="G85" s="3" t="s">
        <v>238</v>
      </c>
      <c r="H85" s="3" t="s">
        <v>43</v>
      </c>
      <c r="I85" s="5">
        <v>1.9589854142979909E-2</v>
      </c>
      <c r="J85" s="3" t="s">
        <v>7</v>
      </c>
      <c r="L85" s="3" t="s">
        <v>239</v>
      </c>
      <c r="M85" s="3" t="s">
        <v>43</v>
      </c>
      <c r="N85" s="5">
        <v>2.0131726327967704E-2</v>
      </c>
      <c r="O85" s="3" t="s">
        <v>7</v>
      </c>
    </row>
    <row r="86" spans="2:15" x14ac:dyDescent="0.45">
      <c r="B86" s="6" t="s">
        <v>237</v>
      </c>
      <c r="C86" s="6" t="s">
        <v>44</v>
      </c>
      <c r="D86" s="7">
        <v>5.7434899235524285E-2</v>
      </c>
      <c r="E86" s="6" t="s">
        <v>7</v>
      </c>
      <c r="G86" s="6" t="s">
        <v>238</v>
      </c>
      <c r="H86" s="6" t="s">
        <v>44</v>
      </c>
      <c r="I86" s="8">
        <v>2.0639383290545633E-2</v>
      </c>
      <c r="J86" s="6" t="s">
        <v>7</v>
      </c>
      <c r="L86" s="6" t="s">
        <v>239</v>
      </c>
      <c r="M86" s="6" t="s">
        <v>44</v>
      </c>
      <c r="N86" s="8">
        <v>2.0313047235908235E-2</v>
      </c>
      <c r="O86" s="6" t="s">
        <v>7</v>
      </c>
    </row>
    <row r="87" spans="2:15" x14ac:dyDescent="0.45">
      <c r="B87" s="3" t="s">
        <v>237</v>
      </c>
      <c r="C87" s="3" t="s">
        <v>45</v>
      </c>
      <c r="D87" s="4">
        <v>4.7586406035675627E-2</v>
      </c>
      <c r="E87" s="3" t="s">
        <v>7</v>
      </c>
      <c r="G87" s="3" t="s">
        <v>238</v>
      </c>
      <c r="H87" s="3" t="s">
        <v>45</v>
      </c>
      <c r="I87" s="5">
        <v>2.0198168967694753E-2</v>
      </c>
      <c r="J87" s="3" t="s">
        <v>7</v>
      </c>
      <c r="L87" s="3" t="s">
        <v>239</v>
      </c>
      <c r="M87" s="3" t="s">
        <v>45</v>
      </c>
      <c r="N87" s="5">
        <v>1.9561214804913022E-2</v>
      </c>
      <c r="O87" s="3" t="s">
        <v>7</v>
      </c>
    </row>
    <row r="88" spans="2:15" x14ac:dyDescent="0.45">
      <c r="B88" s="6" t="s">
        <v>237</v>
      </c>
      <c r="C88" s="6" t="s">
        <v>46</v>
      </c>
      <c r="D88" s="7">
        <v>2.1932180548588982E-2</v>
      </c>
      <c r="E88" s="6" t="s">
        <v>7</v>
      </c>
      <c r="G88" s="6" t="s">
        <v>238</v>
      </c>
      <c r="H88" s="6" t="s">
        <v>46</v>
      </c>
      <c r="I88" s="8">
        <v>1.9400955405486166E-2</v>
      </c>
      <c r="J88" s="6" t="s">
        <v>7</v>
      </c>
      <c r="L88" s="6" t="s">
        <v>239</v>
      </c>
      <c r="M88" s="6" t="s">
        <v>46</v>
      </c>
      <c r="N88" s="8">
        <v>1.7484331548481929E-2</v>
      </c>
      <c r="O88" s="6" t="s">
        <v>7</v>
      </c>
    </row>
    <row r="89" spans="2:15" x14ac:dyDescent="0.45">
      <c r="B89" s="3" t="s">
        <v>237</v>
      </c>
      <c r="C89" s="3" t="s">
        <v>47</v>
      </c>
      <c r="D89" s="4">
        <v>2.2988457958317732E-3</v>
      </c>
      <c r="E89" s="3" t="s">
        <v>7</v>
      </c>
      <c r="G89" s="3" t="s">
        <v>238</v>
      </c>
      <c r="H89" s="3" t="s">
        <v>47</v>
      </c>
      <c r="I89" s="5">
        <v>1.8070697815052748E-2</v>
      </c>
      <c r="J89" s="3" t="s">
        <v>7</v>
      </c>
      <c r="L89" s="3" t="s">
        <v>239</v>
      </c>
      <c r="M89" s="3" t="s">
        <v>47</v>
      </c>
      <c r="N89" s="5">
        <v>1.6209773760003942E-2</v>
      </c>
      <c r="O89" s="3" t="s">
        <v>7</v>
      </c>
    </row>
    <row r="90" spans="2:15" x14ac:dyDescent="0.45">
      <c r="B90" s="6" t="s">
        <v>237</v>
      </c>
      <c r="C90" s="6" t="s">
        <v>48</v>
      </c>
      <c r="D90" s="7">
        <v>0</v>
      </c>
      <c r="E90" s="6" t="s">
        <v>7</v>
      </c>
      <c r="G90" s="6" t="s">
        <v>238</v>
      </c>
      <c r="H90" s="6" t="s">
        <v>48</v>
      </c>
      <c r="I90" s="8">
        <v>2.5760926449252129E-2</v>
      </c>
      <c r="J90" s="6" t="s">
        <v>7</v>
      </c>
      <c r="L90" s="6" t="s">
        <v>239</v>
      </c>
      <c r="M90" s="6" t="s">
        <v>48</v>
      </c>
      <c r="N90" s="8">
        <v>2.4468230118221353E-2</v>
      </c>
      <c r="O90" s="6" t="s">
        <v>7</v>
      </c>
    </row>
    <row r="91" spans="2:15" x14ac:dyDescent="0.45">
      <c r="B91" s="3" t="s">
        <v>240</v>
      </c>
      <c r="C91" s="3" t="s">
        <v>6</v>
      </c>
      <c r="D91" s="4">
        <v>0</v>
      </c>
      <c r="E91" s="3" t="s">
        <v>7</v>
      </c>
      <c r="G91" s="3" t="s">
        <v>241</v>
      </c>
      <c r="H91" s="3" t="s">
        <v>6</v>
      </c>
      <c r="I91" s="5">
        <v>6.6435623518611556E-2</v>
      </c>
      <c r="J91" s="3" t="s">
        <v>7</v>
      </c>
      <c r="L91" s="3" t="s">
        <v>242</v>
      </c>
      <c r="M91" s="3" t="s">
        <v>6</v>
      </c>
      <c r="N91" s="5">
        <v>5.9149275944360959E-2</v>
      </c>
      <c r="O91" s="3" t="s">
        <v>7</v>
      </c>
    </row>
    <row r="92" spans="2:15" x14ac:dyDescent="0.45">
      <c r="B92" s="6" t="s">
        <v>240</v>
      </c>
      <c r="C92" s="6" t="s">
        <v>10</v>
      </c>
      <c r="D92" s="7">
        <v>0</v>
      </c>
      <c r="E92" s="6" t="s">
        <v>7</v>
      </c>
      <c r="G92" s="6" t="s">
        <v>241</v>
      </c>
      <c r="H92" s="6" t="s">
        <v>10</v>
      </c>
      <c r="I92" s="8">
        <v>2.5481556781441112E-2</v>
      </c>
      <c r="J92" s="6" t="s">
        <v>7</v>
      </c>
      <c r="L92" s="6" t="s">
        <v>242</v>
      </c>
      <c r="M92" s="6" t="s">
        <v>10</v>
      </c>
      <c r="N92" s="8">
        <v>2.4106757358415682E-2</v>
      </c>
      <c r="O92" s="6" t="s">
        <v>7</v>
      </c>
    </row>
    <row r="93" spans="2:15" x14ac:dyDescent="0.45">
      <c r="B93" s="3" t="s">
        <v>240</v>
      </c>
      <c r="C93" s="3" t="s">
        <v>11</v>
      </c>
      <c r="D93" s="4">
        <v>0</v>
      </c>
      <c r="E93" s="3" t="s">
        <v>7</v>
      </c>
      <c r="G93" s="3" t="s">
        <v>241</v>
      </c>
      <c r="H93" s="3" t="s">
        <v>11</v>
      </c>
      <c r="I93" s="5">
        <v>2.5211284705592193E-2</v>
      </c>
      <c r="J93" s="3" t="s">
        <v>7</v>
      </c>
      <c r="L93" s="3" t="s">
        <v>242</v>
      </c>
      <c r="M93" s="3" t="s">
        <v>11</v>
      </c>
      <c r="N93" s="5">
        <v>2.4299470155388227E-2</v>
      </c>
      <c r="O93" s="3" t="s">
        <v>7</v>
      </c>
    </row>
    <row r="94" spans="2:15" x14ac:dyDescent="0.45">
      <c r="B94" s="6" t="s">
        <v>240</v>
      </c>
      <c r="C94" s="6" t="s">
        <v>12</v>
      </c>
      <c r="D94" s="7">
        <v>2.0859038185889276E-3</v>
      </c>
      <c r="E94" s="6" t="s">
        <v>7</v>
      </c>
      <c r="G94" s="6" t="s">
        <v>241</v>
      </c>
      <c r="H94" s="6" t="s">
        <v>12</v>
      </c>
      <c r="I94" s="8">
        <v>2.612492050757766E-2</v>
      </c>
      <c r="J94" s="6" t="s">
        <v>7</v>
      </c>
      <c r="L94" s="6" t="s">
        <v>242</v>
      </c>
      <c r="M94" s="6" t="s">
        <v>12</v>
      </c>
      <c r="N94" s="8">
        <v>2.4537200735366558E-2</v>
      </c>
      <c r="O94" s="6" t="s">
        <v>7</v>
      </c>
    </row>
    <row r="95" spans="2:15" x14ac:dyDescent="0.45">
      <c r="B95" s="3" t="s">
        <v>240</v>
      </c>
      <c r="C95" s="3" t="s">
        <v>13</v>
      </c>
      <c r="D95" s="4">
        <v>2.5482364703639897E-2</v>
      </c>
      <c r="E95" s="3" t="s">
        <v>7</v>
      </c>
      <c r="G95" s="3" t="s">
        <v>241</v>
      </c>
      <c r="H95" s="3" t="s">
        <v>13</v>
      </c>
      <c r="I95" s="5">
        <v>2.620720244326943E-2</v>
      </c>
      <c r="J95" s="3" t="s">
        <v>7</v>
      </c>
      <c r="L95" s="3" t="s">
        <v>242</v>
      </c>
      <c r="M95" s="3" t="s">
        <v>13</v>
      </c>
      <c r="N95" s="5">
        <v>2.5142407415106611E-2</v>
      </c>
      <c r="O95" s="3" t="s">
        <v>7</v>
      </c>
    </row>
    <row r="96" spans="2:15" x14ac:dyDescent="0.45">
      <c r="B96" s="6" t="s">
        <v>240</v>
      </c>
      <c r="C96" s="6" t="s">
        <v>14</v>
      </c>
      <c r="D96" s="7">
        <v>4.3251455849653446E-2</v>
      </c>
      <c r="E96" s="6" t="s">
        <v>7</v>
      </c>
      <c r="G96" s="6" t="s">
        <v>241</v>
      </c>
      <c r="H96" s="6" t="s">
        <v>14</v>
      </c>
      <c r="I96" s="8">
        <v>2.7274471499705934E-2</v>
      </c>
      <c r="J96" s="6" t="s">
        <v>7</v>
      </c>
      <c r="L96" s="6" t="s">
        <v>242</v>
      </c>
      <c r="M96" s="6" t="s">
        <v>14</v>
      </c>
      <c r="N96" s="8">
        <v>2.5657514466274355E-2</v>
      </c>
      <c r="O96" s="6" t="s">
        <v>7</v>
      </c>
    </row>
    <row r="97" spans="2:15" x14ac:dyDescent="0.45">
      <c r="B97" s="3" t="s">
        <v>240</v>
      </c>
      <c r="C97" s="3" t="s">
        <v>15</v>
      </c>
      <c r="D97" s="4">
        <v>3.6081635793983623E-2</v>
      </c>
      <c r="E97" s="3" t="s">
        <v>7</v>
      </c>
      <c r="G97" s="3" t="s">
        <v>241</v>
      </c>
      <c r="H97" s="3" t="s">
        <v>15</v>
      </c>
      <c r="I97" s="5">
        <v>2.7886189595699412E-2</v>
      </c>
      <c r="J97" s="3" t="s">
        <v>7</v>
      </c>
      <c r="L97" s="3" t="s">
        <v>242</v>
      </c>
      <c r="M97" s="3" t="s">
        <v>15</v>
      </c>
      <c r="N97" s="5">
        <v>2.5758494978622162E-2</v>
      </c>
      <c r="O97" s="3" t="s">
        <v>7</v>
      </c>
    </row>
    <row r="98" spans="2:15" x14ac:dyDescent="0.45">
      <c r="B98" s="6" t="s">
        <v>240</v>
      </c>
      <c r="C98" s="6" t="s">
        <v>16</v>
      </c>
      <c r="D98" s="7">
        <v>1.2528385749270421E-2</v>
      </c>
      <c r="E98" s="6" t="s">
        <v>7</v>
      </c>
      <c r="G98" s="6" t="s">
        <v>241</v>
      </c>
      <c r="H98" s="6" t="s">
        <v>16</v>
      </c>
      <c r="I98" s="8">
        <v>2.7119052990634124E-2</v>
      </c>
      <c r="J98" s="6" t="s">
        <v>7</v>
      </c>
      <c r="L98" s="6" t="s">
        <v>242</v>
      </c>
      <c r="M98" s="6" t="s">
        <v>16</v>
      </c>
      <c r="N98" s="8">
        <v>2.5140546559983237E-2</v>
      </c>
      <c r="O98" s="6" t="s">
        <v>7</v>
      </c>
    </row>
    <row r="99" spans="2:15" x14ac:dyDescent="0.45">
      <c r="B99" s="3" t="s">
        <v>240</v>
      </c>
      <c r="C99" s="3" t="s">
        <v>17</v>
      </c>
      <c r="D99" s="4">
        <v>3.8042556846264603E-4</v>
      </c>
      <c r="E99" s="3" t="s">
        <v>7</v>
      </c>
      <c r="G99" s="3" t="s">
        <v>241</v>
      </c>
      <c r="H99" s="3" t="s">
        <v>17</v>
      </c>
      <c r="I99" s="5">
        <v>2.6891822941216652E-2</v>
      </c>
      <c r="J99" s="3" t="s">
        <v>7</v>
      </c>
      <c r="L99" s="3" t="s">
        <v>242</v>
      </c>
      <c r="M99" s="3" t="s">
        <v>17</v>
      </c>
      <c r="N99" s="5">
        <v>2.432013834409865E-2</v>
      </c>
      <c r="O99" s="3" t="s">
        <v>7</v>
      </c>
    </row>
    <row r="100" spans="2:15" x14ac:dyDescent="0.45">
      <c r="B100" s="6" t="s">
        <v>240</v>
      </c>
      <c r="C100" s="6" t="s">
        <v>18</v>
      </c>
      <c r="D100" s="7">
        <v>0</v>
      </c>
      <c r="E100" s="6" t="s">
        <v>7</v>
      </c>
      <c r="G100" s="6" t="s">
        <v>241</v>
      </c>
      <c r="H100" s="6" t="s">
        <v>18</v>
      </c>
      <c r="I100" s="8">
        <v>4.1249486951185993E-2</v>
      </c>
      <c r="J100" s="6" t="s">
        <v>7</v>
      </c>
      <c r="L100" s="6" t="s">
        <v>242</v>
      </c>
      <c r="M100" s="6" t="s">
        <v>18</v>
      </c>
      <c r="N100" s="8">
        <v>3.5876640896874513E-2</v>
      </c>
      <c r="O100" s="6" t="s">
        <v>7</v>
      </c>
    </row>
    <row r="101" spans="2:15" x14ac:dyDescent="0.45">
      <c r="B101" s="3" t="s">
        <v>240</v>
      </c>
      <c r="C101" s="3" t="s">
        <v>19</v>
      </c>
      <c r="D101" s="4">
        <v>0</v>
      </c>
      <c r="E101" s="3" t="s">
        <v>7</v>
      </c>
      <c r="G101" s="3" t="s">
        <v>241</v>
      </c>
      <c r="H101" s="3" t="s">
        <v>19</v>
      </c>
      <c r="I101" s="5">
        <v>5.8213179156412435E-2</v>
      </c>
      <c r="J101" s="3" t="s">
        <v>7</v>
      </c>
      <c r="L101" s="3" t="s">
        <v>242</v>
      </c>
      <c r="M101" s="3" t="s">
        <v>19</v>
      </c>
      <c r="N101" s="5">
        <v>6.0981272761156377E-2</v>
      </c>
      <c r="O101" s="3" t="s">
        <v>7</v>
      </c>
    </row>
    <row r="102" spans="2:15" x14ac:dyDescent="0.45">
      <c r="B102" s="6" t="s">
        <v>240</v>
      </c>
      <c r="C102" s="6" t="s">
        <v>20</v>
      </c>
      <c r="D102" s="7">
        <v>5.3677840219794979E-6</v>
      </c>
      <c r="E102" s="6" t="s">
        <v>7</v>
      </c>
      <c r="G102" s="6" t="s">
        <v>241</v>
      </c>
      <c r="H102" s="6" t="s">
        <v>20</v>
      </c>
      <c r="I102" s="8">
        <v>2.3357999671326055E-2</v>
      </c>
      <c r="J102" s="6" t="s">
        <v>7</v>
      </c>
      <c r="L102" s="6" t="s">
        <v>242</v>
      </c>
      <c r="M102" s="6" t="s">
        <v>20</v>
      </c>
      <c r="N102" s="8">
        <v>2.4115673706481947E-2</v>
      </c>
      <c r="O102" s="6" t="s">
        <v>7</v>
      </c>
    </row>
    <row r="103" spans="2:15" x14ac:dyDescent="0.45">
      <c r="B103" s="3" t="s">
        <v>240</v>
      </c>
      <c r="C103" s="3" t="s">
        <v>21</v>
      </c>
      <c r="D103" s="4">
        <v>3.4951342552932544E-3</v>
      </c>
      <c r="E103" s="3" t="s">
        <v>7</v>
      </c>
      <c r="G103" s="3" t="s">
        <v>241</v>
      </c>
      <c r="H103" s="3" t="s">
        <v>21</v>
      </c>
      <c r="I103" s="5">
        <v>2.3499990551245697E-2</v>
      </c>
      <c r="J103" s="3" t="s">
        <v>7</v>
      </c>
      <c r="L103" s="3" t="s">
        <v>242</v>
      </c>
      <c r="M103" s="3" t="s">
        <v>21</v>
      </c>
      <c r="N103" s="5">
        <v>2.441687643629787E-2</v>
      </c>
      <c r="O103" s="3" t="s">
        <v>7</v>
      </c>
    </row>
    <row r="104" spans="2:15" x14ac:dyDescent="0.45">
      <c r="B104" s="6" t="s">
        <v>240</v>
      </c>
      <c r="C104" s="6" t="s">
        <v>22</v>
      </c>
      <c r="D104" s="7">
        <v>3.2071340505756454E-2</v>
      </c>
      <c r="E104" s="6" t="s">
        <v>7</v>
      </c>
      <c r="G104" s="6" t="s">
        <v>241</v>
      </c>
      <c r="H104" s="6" t="s">
        <v>22</v>
      </c>
      <c r="I104" s="8">
        <v>2.5181468213732235E-2</v>
      </c>
      <c r="J104" s="6" t="s">
        <v>7</v>
      </c>
      <c r="L104" s="6" t="s">
        <v>242</v>
      </c>
      <c r="M104" s="6" t="s">
        <v>22</v>
      </c>
      <c r="N104" s="8">
        <v>2.3915367185450429E-2</v>
      </c>
      <c r="O104" s="6" t="s">
        <v>7</v>
      </c>
    </row>
    <row r="105" spans="2:15" x14ac:dyDescent="0.45">
      <c r="B105" s="3" t="s">
        <v>240</v>
      </c>
      <c r="C105" s="3" t="s">
        <v>23</v>
      </c>
      <c r="D105" s="4">
        <v>6.6284702598069456E-2</v>
      </c>
      <c r="E105" s="3" t="s">
        <v>7</v>
      </c>
      <c r="G105" s="3" t="s">
        <v>241</v>
      </c>
      <c r="H105" s="3" t="s">
        <v>23</v>
      </c>
      <c r="I105" s="5">
        <v>2.5031845864696492E-2</v>
      </c>
      <c r="J105" s="3" t="s">
        <v>7</v>
      </c>
      <c r="L105" s="3" t="s">
        <v>242</v>
      </c>
      <c r="M105" s="3" t="s">
        <v>23</v>
      </c>
      <c r="N105" s="5">
        <v>2.3775229003132628E-2</v>
      </c>
      <c r="O105" s="3" t="s">
        <v>7</v>
      </c>
    </row>
    <row r="106" spans="2:15" x14ac:dyDescent="0.45">
      <c r="B106" s="6" t="s">
        <v>240</v>
      </c>
      <c r="C106" s="6" t="s">
        <v>24</v>
      </c>
      <c r="D106" s="7">
        <v>8.5291167894681552E-2</v>
      </c>
      <c r="E106" s="6" t="s">
        <v>7</v>
      </c>
      <c r="G106" s="6" t="s">
        <v>241</v>
      </c>
      <c r="H106" s="6" t="s">
        <v>24</v>
      </c>
      <c r="I106" s="8">
        <v>2.4490257019217247E-2</v>
      </c>
      <c r="J106" s="6" t="s">
        <v>7</v>
      </c>
      <c r="L106" s="6" t="s">
        <v>242</v>
      </c>
      <c r="M106" s="6" t="s">
        <v>24</v>
      </c>
      <c r="N106" s="8">
        <v>2.4125640938600507E-2</v>
      </c>
      <c r="O106" s="6" t="s">
        <v>7</v>
      </c>
    </row>
    <row r="107" spans="2:15" x14ac:dyDescent="0.45">
      <c r="B107" s="3" t="s">
        <v>240</v>
      </c>
      <c r="C107" s="3" t="s">
        <v>25</v>
      </c>
      <c r="D107" s="4">
        <v>7.8990688183754862E-2</v>
      </c>
      <c r="E107" s="3" t="s">
        <v>7</v>
      </c>
      <c r="G107" s="3" t="s">
        <v>241</v>
      </c>
      <c r="H107" s="3" t="s">
        <v>25</v>
      </c>
      <c r="I107" s="5">
        <v>2.4323949443338704E-2</v>
      </c>
      <c r="J107" s="3" t="s">
        <v>7</v>
      </c>
      <c r="L107" s="3" t="s">
        <v>242</v>
      </c>
      <c r="M107" s="3" t="s">
        <v>25</v>
      </c>
      <c r="N107" s="5">
        <v>2.4652682525135219E-2</v>
      </c>
      <c r="O107" s="3" t="s">
        <v>7</v>
      </c>
    </row>
    <row r="108" spans="2:15" x14ac:dyDescent="0.45">
      <c r="B108" s="6" t="s">
        <v>240</v>
      </c>
      <c r="C108" s="6" t="s">
        <v>26</v>
      </c>
      <c r="D108" s="7">
        <v>5.0614033356586492E-2</v>
      </c>
      <c r="E108" s="6" t="s">
        <v>7</v>
      </c>
      <c r="G108" s="6" t="s">
        <v>241</v>
      </c>
      <c r="H108" s="6" t="s">
        <v>26</v>
      </c>
      <c r="I108" s="8">
        <v>2.3864712585161318E-2</v>
      </c>
      <c r="J108" s="6" t="s">
        <v>7</v>
      </c>
      <c r="L108" s="6" t="s">
        <v>242</v>
      </c>
      <c r="M108" s="6" t="s">
        <v>26</v>
      </c>
      <c r="N108" s="8">
        <v>2.5238614051754427E-2</v>
      </c>
      <c r="O108" s="6" t="s">
        <v>7</v>
      </c>
    </row>
    <row r="109" spans="2:15" x14ac:dyDescent="0.45">
      <c r="B109" s="3" t="s">
        <v>240</v>
      </c>
      <c r="C109" s="3" t="s">
        <v>27</v>
      </c>
      <c r="D109" s="4">
        <v>1.2682801734615988E-2</v>
      </c>
      <c r="E109" s="3" t="s">
        <v>7</v>
      </c>
      <c r="G109" s="3" t="s">
        <v>241</v>
      </c>
      <c r="H109" s="3" t="s">
        <v>27</v>
      </c>
      <c r="I109" s="5">
        <v>2.1888080946284836E-2</v>
      </c>
      <c r="J109" s="3" t="s">
        <v>7</v>
      </c>
      <c r="L109" s="3" t="s">
        <v>242</v>
      </c>
      <c r="M109" s="3" t="s">
        <v>27</v>
      </c>
      <c r="N109" s="5">
        <v>2.5538235677284974E-2</v>
      </c>
      <c r="O109" s="3" t="s">
        <v>7</v>
      </c>
    </row>
    <row r="110" spans="2:15" x14ac:dyDescent="0.45">
      <c r="B110" s="6" t="s">
        <v>240</v>
      </c>
      <c r="C110" s="6" t="s">
        <v>28</v>
      </c>
      <c r="D110" s="7">
        <v>3.4624345641080757E-4</v>
      </c>
      <c r="E110" s="6" t="s">
        <v>7</v>
      </c>
      <c r="G110" s="6" t="s">
        <v>241</v>
      </c>
      <c r="H110" s="6" t="s">
        <v>28</v>
      </c>
      <c r="I110" s="8">
        <v>3.3947924077719821E-2</v>
      </c>
      <c r="J110" s="6" t="s">
        <v>7</v>
      </c>
      <c r="L110" s="6" t="s">
        <v>242</v>
      </c>
      <c r="M110" s="6" t="s">
        <v>28</v>
      </c>
      <c r="N110" s="8">
        <v>3.7606429357674623E-2</v>
      </c>
      <c r="O110" s="6" t="s">
        <v>7</v>
      </c>
    </row>
    <row r="111" spans="2:15" x14ac:dyDescent="0.45">
      <c r="B111" s="3" t="s">
        <v>240</v>
      </c>
      <c r="C111" s="3" t="s">
        <v>29</v>
      </c>
      <c r="D111" s="4">
        <v>0</v>
      </c>
      <c r="E111" s="3" t="s">
        <v>7</v>
      </c>
      <c r="G111" s="3" t="s">
        <v>241</v>
      </c>
      <c r="H111" s="3" t="s">
        <v>29</v>
      </c>
      <c r="I111" s="5">
        <v>2.9718720644964215E-2</v>
      </c>
      <c r="J111" s="3" t="s">
        <v>7</v>
      </c>
      <c r="L111" s="3" t="s">
        <v>242</v>
      </c>
      <c r="M111" s="3" t="s">
        <v>29</v>
      </c>
      <c r="N111" s="5">
        <v>3.7086113392221939E-2</v>
      </c>
      <c r="O111" s="3" t="s">
        <v>7</v>
      </c>
    </row>
    <row r="112" spans="2:15" x14ac:dyDescent="0.45">
      <c r="B112" s="6" t="s">
        <v>240</v>
      </c>
      <c r="C112" s="6" t="s">
        <v>30</v>
      </c>
      <c r="D112" s="7">
        <v>7.19662485716306E-5</v>
      </c>
      <c r="E112" s="6" t="s">
        <v>7</v>
      </c>
      <c r="G112" s="6" t="s">
        <v>241</v>
      </c>
      <c r="H112" s="6" t="s">
        <v>30</v>
      </c>
      <c r="I112" s="8">
        <v>1.1437291063519728E-2</v>
      </c>
      <c r="J112" s="6" t="s">
        <v>7</v>
      </c>
      <c r="L112" s="6" t="s">
        <v>242</v>
      </c>
      <c r="M112" s="6" t="s">
        <v>30</v>
      </c>
      <c r="N112" s="8">
        <v>1.467770069745738E-2</v>
      </c>
      <c r="O112" s="6" t="s">
        <v>7</v>
      </c>
    </row>
    <row r="113" spans="2:15" x14ac:dyDescent="0.45">
      <c r="B113" s="3" t="s">
        <v>240</v>
      </c>
      <c r="C113" s="3" t="s">
        <v>31</v>
      </c>
      <c r="D113" s="4">
        <v>6.4303110154928771E-3</v>
      </c>
      <c r="E113" s="3" t="s">
        <v>7</v>
      </c>
      <c r="G113" s="3" t="s">
        <v>241</v>
      </c>
      <c r="H113" s="3" t="s">
        <v>31</v>
      </c>
      <c r="I113" s="5">
        <v>1.1563231913901408E-2</v>
      </c>
      <c r="J113" s="3" t="s">
        <v>7</v>
      </c>
      <c r="L113" s="3" t="s">
        <v>242</v>
      </c>
      <c r="M113" s="3" t="s">
        <v>31</v>
      </c>
      <c r="N113" s="5">
        <v>1.4554327067934227E-2</v>
      </c>
      <c r="O113" s="3" t="s">
        <v>7</v>
      </c>
    </row>
    <row r="114" spans="2:15" x14ac:dyDescent="0.45">
      <c r="B114" s="6" t="s">
        <v>240</v>
      </c>
      <c r="C114" s="6" t="s">
        <v>32</v>
      </c>
      <c r="D114" s="7">
        <v>3.9282838407584522E-2</v>
      </c>
      <c r="E114" s="6" t="s">
        <v>7</v>
      </c>
      <c r="G114" s="6" t="s">
        <v>241</v>
      </c>
      <c r="H114" s="6" t="s">
        <v>32</v>
      </c>
      <c r="I114" s="8">
        <v>1.1818575066104595E-2</v>
      </c>
      <c r="J114" s="6" t="s">
        <v>7</v>
      </c>
      <c r="L114" s="6" t="s">
        <v>242</v>
      </c>
      <c r="M114" s="6" t="s">
        <v>32</v>
      </c>
      <c r="N114" s="8">
        <v>1.3964329979454808E-2</v>
      </c>
      <c r="O114" s="6" t="s">
        <v>7</v>
      </c>
    </row>
    <row r="115" spans="2:15" x14ac:dyDescent="0.45">
      <c r="B115" s="3" t="s">
        <v>240</v>
      </c>
      <c r="C115" s="3" t="s">
        <v>33</v>
      </c>
      <c r="D115" s="4">
        <v>7.2445278238395208E-2</v>
      </c>
      <c r="E115" s="3" t="s">
        <v>7</v>
      </c>
      <c r="G115" s="3" t="s">
        <v>241</v>
      </c>
      <c r="H115" s="3" t="s">
        <v>33</v>
      </c>
      <c r="I115" s="5">
        <v>1.2139651280416259E-2</v>
      </c>
      <c r="J115" s="3" t="s">
        <v>7</v>
      </c>
      <c r="L115" s="3" t="s">
        <v>242</v>
      </c>
      <c r="M115" s="3" t="s">
        <v>33</v>
      </c>
      <c r="N115" s="5">
        <v>1.5082273703701566E-2</v>
      </c>
      <c r="O115" s="3" t="s">
        <v>7</v>
      </c>
    </row>
    <row r="116" spans="2:15" x14ac:dyDescent="0.45">
      <c r="B116" s="6" t="s">
        <v>240</v>
      </c>
      <c r="C116" s="6" t="s">
        <v>34</v>
      </c>
      <c r="D116" s="7">
        <v>8.6182145948996675E-2</v>
      </c>
      <c r="E116" s="6" t="s">
        <v>7</v>
      </c>
      <c r="G116" s="6" t="s">
        <v>241</v>
      </c>
      <c r="H116" s="6" t="s">
        <v>34</v>
      </c>
      <c r="I116" s="8">
        <v>1.4218105104801907E-2</v>
      </c>
      <c r="J116" s="6" t="s">
        <v>7</v>
      </c>
      <c r="L116" s="6" t="s">
        <v>242</v>
      </c>
      <c r="M116" s="6" t="s">
        <v>34</v>
      </c>
      <c r="N116" s="8">
        <v>1.6319109347008275E-2</v>
      </c>
      <c r="O116" s="6" t="s">
        <v>7</v>
      </c>
    </row>
    <row r="117" spans="2:15" x14ac:dyDescent="0.45">
      <c r="B117" s="3" t="s">
        <v>240</v>
      </c>
      <c r="C117" s="3" t="s">
        <v>35</v>
      </c>
      <c r="D117" s="4">
        <v>8.2884285218091713E-2</v>
      </c>
      <c r="E117" s="3" t="s">
        <v>7</v>
      </c>
      <c r="G117" s="3" t="s">
        <v>241</v>
      </c>
      <c r="H117" s="3" t="s">
        <v>35</v>
      </c>
      <c r="I117" s="5">
        <v>1.5683912276340591E-2</v>
      </c>
      <c r="J117" s="3" t="s">
        <v>7</v>
      </c>
      <c r="L117" s="3" t="s">
        <v>242</v>
      </c>
      <c r="M117" s="3" t="s">
        <v>35</v>
      </c>
      <c r="N117" s="5">
        <v>1.6679853470051707E-2</v>
      </c>
      <c r="O117" s="3" t="s">
        <v>7</v>
      </c>
    </row>
    <row r="118" spans="2:15" x14ac:dyDescent="0.45">
      <c r="B118" s="6" t="s">
        <v>240</v>
      </c>
      <c r="C118" s="6" t="s">
        <v>36</v>
      </c>
      <c r="D118" s="7">
        <v>5.6836712049949889E-2</v>
      </c>
      <c r="E118" s="6" t="s">
        <v>7</v>
      </c>
      <c r="G118" s="6" t="s">
        <v>241</v>
      </c>
      <c r="H118" s="6" t="s">
        <v>36</v>
      </c>
      <c r="I118" s="8">
        <v>1.6008407440519509E-2</v>
      </c>
      <c r="J118" s="6" t="s">
        <v>7</v>
      </c>
      <c r="L118" s="6" t="s">
        <v>242</v>
      </c>
      <c r="M118" s="6" t="s">
        <v>36</v>
      </c>
      <c r="N118" s="8">
        <v>1.6341619954029624E-2</v>
      </c>
      <c r="O118" s="6" t="s">
        <v>7</v>
      </c>
    </row>
    <row r="119" spans="2:15" x14ac:dyDescent="0.45">
      <c r="B119" s="3" t="s">
        <v>240</v>
      </c>
      <c r="C119" s="3" t="s">
        <v>37</v>
      </c>
      <c r="D119" s="4">
        <v>1.9524123903811978E-2</v>
      </c>
      <c r="E119" s="3" t="s">
        <v>7</v>
      </c>
      <c r="G119" s="3" t="s">
        <v>241</v>
      </c>
      <c r="H119" s="3" t="s">
        <v>37</v>
      </c>
      <c r="I119" s="5">
        <v>1.4175182438732814E-2</v>
      </c>
      <c r="J119" s="3" t="s">
        <v>7</v>
      </c>
      <c r="L119" s="3" t="s">
        <v>242</v>
      </c>
      <c r="M119" s="3" t="s">
        <v>37</v>
      </c>
      <c r="N119" s="5">
        <v>1.5457853876900901E-2</v>
      </c>
      <c r="O119" s="3" t="s">
        <v>7</v>
      </c>
    </row>
    <row r="120" spans="2:15" x14ac:dyDescent="0.45">
      <c r="B120" s="6" t="s">
        <v>240</v>
      </c>
      <c r="C120" s="6" t="s">
        <v>38</v>
      </c>
      <c r="D120" s="7">
        <v>1.309574576870259E-3</v>
      </c>
      <c r="E120" s="6" t="s">
        <v>7</v>
      </c>
      <c r="G120" s="6" t="s">
        <v>241</v>
      </c>
      <c r="H120" s="6" t="s">
        <v>38</v>
      </c>
      <c r="I120" s="8">
        <v>1.9377870209167442E-2</v>
      </c>
      <c r="J120" s="6" t="s">
        <v>7</v>
      </c>
      <c r="L120" s="6" t="s">
        <v>242</v>
      </c>
      <c r="M120" s="6" t="s">
        <v>38</v>
      </c>
      <c r="N120" s="8">
        <v>2.2243809348276182E-2</v>
      </c>
      <c r="O120" s="6" t="s">
        <v>7</v>
      </c>
    </row>
    <row r="121" spans="2:15" x14ac:dyDescent="0.45">
      <c r="B121" s="3" t="s">
        <v>240</v>
      </c>
      <c r="C121" s="3" t="s">
        <v>39</v>
      </c>
      <c r="D121" s="4">
        <v>0</v>
      </c>
      <c r="E121" s="3" t="s">
        <v>7</v>
      </c>
      <c r="G121" s="3" t="s">
        <v>241</v>
      </c>
      <c r="H121" s="3" t="s">
        <v>39</v>
      </c>
      <c r="I121" s="5">
        <v>4.6914387403113988E-2</v>
      </c>
      <c r="J121" s="3" t="s">
        <v>7</v>
      </c>
      <c r="L121" s="3" t="s">
        <v>242</v>
      </c>
      <c r="M121" s="3" t="s">
        <v>39</v>
      </c>
      <c r="N121" s="5">
        <v>4.7577641705581347E-2</v>
      </c>
      <c r="O121" s="3" t="s">
        <v>7</v>
      </c>
    </row>
    <row r="122" spans="2:15" x14ac:dyDescent="0.45">
      <c r="B122" s="6" t="s">
        <v>240</v>
      </c>
      <c r="C122" s="6" t="s">
        <v>40</v>
      </c>
      <c r="D122" s="7">
        <v>0</v>
      </c>
      <c r="E122" s="6" t="s">
        <v>7</v>
      </c>
      <c r="G122" s="6" t="s">
        <v>241</v>
      </c>
      <c r="H122" s="6" t="s">
        <v>40</v>
      </c>
      <c r="I122" s="8">
        <v>1.944433756816321E-2</v>
      </c>
      <c r="J122" s="6" t="s">
        <v>7</v>
      </c>
      <c r="L122" s="6" t="s">
        <v>242</v>
      </c>
      <c r="M122" s="6" t="s">
        <v>40</v>
      </c>
      <c r="N122" s="8">
        <v>1.8886814006048976E-2</v>
      </c>
      <c r="O122" s="6" t="s">
        <v>7</v>
      </c>
    </row>
    <row r="123" spans="2:15" x14ac:dyDescent="0.45">
      <c r="B123" s="3" t="s">
        <v>240</v>
      </c>
      <c r="C123" s="3" t="s">
        <v>41</v>
      </c>
      <c r="D123" s="4">
        <v>2.4464074839963639E-4</v>
      </c>
      <c r="E123" s="3" t="s">
        <v>7</v>
      </c>
      <c r="G123" s="3" t="s">
        <v>241</v>
      </c>
      <c r="H123" s="3" t="s">
        <v>41</v>
      </c>
      <c r="I123" s="5">
        <v>2.0186427704129588E-2</v>
      </c>
      <c r="J123" s="3" t="s">
        <v>7</v>
      </c>
      <c r="L123" s="3" t="s">
        <v>242</v>
      </c>
      <c r="M123" s="3" t="s">
        <v>41</v>
      </c>
      <c r="N123" s="5">
        <v>1.8809348972674514E-2</v>
      </c>
      <c r="O123" s="3" t="s">
        <v>7</v>
      </c>
    </row>
    <row r="124" spans="2:15" x14ac:dyDescent="0.45">
      <c r="B124" s="6" t="s">
        <v>240</v>
      </c>
      <c r="C124" s="6" t="s">
        <v>42</v>
      </c>
      <c r="D124" s="7">
        <v>1.3649959060448904E-2</v>
      </c>
      <c r="E124" s="6" t="s">
        <v>7</v>
      </c>
      <c r="G124" s="6" t="s">
        <v>241</v>
      </c>
      <c r="H124" s="6" t="s">
        <v>42</v>
      </c>
      <c r="I124" s="8">
        <v>2.0899057518977047E-2</v>
      </c>
      <c r="J124" s="6" t="s">
        <v>7</v>
      </c>
      <c r="L124" s="6" t="s">
        <v>242</v>
      </c>
      <c r="M124" s="6" t="s">
        <v>42</v>
      </c>
      <c r="N124" s="8">
        <v>1.882057512728829E-2</v>
      </c>
      <c r="O124" s="6" t="s">
        <v>7</v>
      </c>
    </row>
    <row r="125" spans="2:15" x14ac:dyDescent="0.45">
      <c r="B125" s="3" t="s">
        <v>240</v>
      </c>
      <c r="C125" s="3" t="s">
        <v>43</v>
      </c>
      <c r="D125" s="4">
        <v>4.6089058982007707E-2</v>
      </c>
      <c r="E125" s="3" t="s">
        <v>7</v>
      </c>
      <c r="G125" s="3" t="s">
        <v>241</v>
      </c>
      <c r="H125" s="3" t="s">
        <v>43</v>
      </c>
      <c r="I125" s="5">
        <v>2.1078427200955183E-2</v>
      </c>
      <c r="J125" s="3" t="s">
        <v>7</v>
      </c>
      <c r="L125" s="3" t="s">
        <v>242</v>
      </c>
      <c r="M125" s="3" t="s">
        <v>43</v>
      </c>
      <c r="N125" s="5">
        <v>1.9558759350270512E-2</v>
      </c>
      <c r="O125" s="3" t="s">
        <v>7</v>
      </c>
    </row>
    <row r="126" spans="2:15" x14ac:dyDescent="0.45">
      <c r="B126" s="6" t="s">
        <v>240</v>
      </c>
      <c r="C126" s="6" t="s">
        <v>44</v>
      </c>
      <c r="D126" s="7">
        <v>5.8448141032505972E-2</v>
      </c>
      <c r="E126" s="6" t="s">
        <v>7</v>
      </c>
      <c r="G126" s="6" t="s">
        <v>241</v>
      </c>
      <c r="H126" s="6" t="s">
        <v>44</v>
      </c>
      <c r="I126" s="8">
        <v>2.1825554301095389E-2</v>
      </c>
      <c r="J126" s="6" t="s">
        <v>7</v>
      </c>
      <c r="L126" s="6" t="s">
        <v>242</v>
      </c>
      <c r="M126" s="6" t="s">
        <v>44</v>
      </c>
      <c r="N126" s="8">
        <v>1.9999178048463094E-2</v>
      </c>
      <c r="O126" s="6" t="s">
        <v>7</v>
      </c>
    </row>
    <row r="127" spans="2:15" x14ac:dyDescent="0.45">
      <c r="B127" s="3" t="s">
        <v>240</v>
      </c>
      <c r="C127" s="3" t="s">
        <v>45</v>
      </c>
      <c r="D127" s="4">
        <v>4.5943828676060991E-2</v>
      </c>
      <c r="E127" s="3" t="s">
        <v>7</v>
      </c>
      <c r="G127" s="3" t="s">
        <v>241</v>
      </c>
      <c r="H127" s="3" t="s">
        <v>45</v>
      </c>
      <c r="I127" s="5">
        <v>2.1428637748113766E-2</v>
      </c>
      <c r="J127" s="3" t="s">
        <v>7</v>
      </c>
      <c r="L127" s="3" t="s">
        <v>242</v>
      </c>
      <c r="M127" s="3" t="s">
        <v>45</v>
      </c>
      <c r="N127" s="5">
        <v>1.9868041162661314E-2</v>
      </c>
      <c r="O127" s="3" t="s">
        <v>7</v>
      </c>
    </row>
    <row r="128" spans="2:15" x14ac:dyDescent="0.45">
      <c r="B128" s="6" t="s">
        <v>240</v>
      </c>
      <c r="C128" s="6" t="s">
        <v>46</v>
      </c>
      <c r="D128" s="7">
        <v>1.927279120565133E-2</v>
      </c>
      <c r="E128" s="6" t="s">
        <v>7</v>
      </c>
      <c r="G128" s="6" t="s">
        <v>241</v>
      </c>
      <c r="H128" s="6" t="s">
        <v>46</v>
      </c>
      <c r="I128" s="8">
        <v>1.9923584280464424E-2</v>
      </c>
      <c r="J128" s="6" t="s">
        <v>7</v>
      </c>
      <c r="L128" s="6" t="s">
        <v>242</v>
      </c>
      <c r="M128" s="6" t="s">
        <v>46</v>
      </c>
      <c r="N128" s="8">
        <v>1.900080998358377E-2</v>
      </c>
      <c r="O128" s="6" t="s">
        <v>7</v>
      </c>
    </row>
    <row r="129" spans="2:15" x14ac:dyDescent="0.45">
      <c r="B129" s="3" t="s">
        <v>240</v>
      </c>
      <c r="C129" s="3" t="s">
        <v>47</v>
      </c>
      <c r="D129" s="4">
        <v>1.7926934343709001E-3</v>
      </c>
      <c r="E129" s="3" t="s">
        <v>7</v>
      </c>
      <c r="G129" s="3" t="s">
        <v>241</v>
      </c>
      <c r="H129" s="3" t="s">
        <v>47</v>
      </c>
      <c r="I129" s="5">
        <v>1.9395950032122477E-2</v>
      </c>
      <c r="J129" s="3" t="s">
        <v>7</v>
      </c>
      <c r="L129" s="3" t="s">
        <v>242</v>
      </c>
      <c r="M129" s="3" t="s">
        <v>47</v>
      </c>
      <c r="N129" s="5">
        <v>1.8424412964280146E-2</v>
      </c>
      <c r="O129" s="3" t="s">
        <v>7</v>
      </c>
    </row>
    <row r="130" spans="2:15" x14ac:dyDescent="0.45">
      <c r="B130" s="6" t="s">
        <v>240</v>
      </c>
      <c r="C130" s="6" t="s">
        <v>48</v>
      </c>
      <c r="D130" s="7">
        <v>0</v>
      </c>
      <c r="E130" s="6" t="s">
        <v>7</v>
      </c>
      <c r="G130" s="6" t="s">
        <v>241</v>
      </c>
      <c r="H130" s="6" t="s">
        <v>48</v>
      </c>
      <c r="I130" s="8">
        <v>2.9081669340327555E-2</v>
      </c>
      <c r="J130" s="6" t="s">
        <v>7</v>
      </c>
      <c r="L130" s="6" t="s">
        <v>242</v>
      </c>
      <c r="M130" s="6" t="s">
        <v>48</v>
      </c>
      <c r="N130" s="8">
        <v>2.8292959344651428E-2</v>
      </c>
      <c r="O130" s="6" t="s">
        <v>7</v>
      </c>
    </row>
    <row r="131" spans="2:15" x14ac:dyDescent="0.45">
      <c r="B131" s="3" t="s">
        <v>243</v>
      </c>
      <c r="C131" s="3" t="s">
        <v>6</v>
      </c>
      <c r="D131" s="4">
        <v>0</v>
      </c>
      <c r="E131" s="3" t="s">
        <v>7</v>
      </c>
      <c r="G131" s="3" t="s">
        <v>244</v>
      </c>
      <c r="H131" s="3" t="s">
        <v>6</v>
      </c>
      <c r="I131" s="5">
        <v>6.6183553257386923E-2</v>
      </c>
      <c r="J131" s="3" t="s">
        <v>7</v>
      </c>
      <c r="L131" s="3" t="s">
        <v>245</v>
      </c>
      <c r="M131" s="3" t="s">
        <v>6</v>
      </c>
      <c r="N131" s="5">
        <v>5.8518065633888144E-2</v>
      </c>
      <c r="O131" s="3" t="s">
        <v>7</v>
      </c>
    </row>
    <row r="132" spans="2:15" x14ac:dyDescent="0.45">
      <c r="B132" s="6" t="s">
        <v>243</v>
      </c>
      <c r="C132" s="6" t="s">
        <v>10</v>
      </c>
      <c r="D132" s="7">
        <v>0</v>
      </c>
      <c r="E132" s="6" t="s">
        <v>7</v>
      </c>
      <c r="G132" s="6" t="s">
        <v>244</v>
      </c>
      <c r="H132" s="6" t="s">
        <v>10</v>
      </c>
      <c r="I132" s="8">
        <v>2.508340573793888E-2</v>
      </c>
      <c r="J132" s="6" t="s">
        <v>7</v>
      </c>
      <c r="L132" s="6" t="s">
        <v>245</v>
      </c>
      <c r="M132" s="6" t="s">
        <v>10</v>
      </c>
      <c r="N132" s="8">
        <v>2.3232792762662092E-2</v>
      </c>
      <c r="O132" s="6" t="s">
        <v>7</v>
      </c>
    </row>
    <row r="133" spans="2:15" x14ac:dyDescent="0.45">
      <c r="B133" s="3" t="s">
        <v>243</v>
      </c>
      <c r="C133" s="3" t="s">
        <v>11</v>
      </c>
      <c r="D133" s="4">
        <v>0</v>
      </c>
      <c r="E133" s="3" t="s">
        <v>7</v>
      </c>
      <c r="G133" s="3" t="s">
        <v>244</v>
      </c>
      <c r="H133" s="3" t="s">
        <v>11</v>
      </c>
      <c r="I133" s="5">
        <v>2.5547883716121777E-2</v>
      </c>
      <c r="J133" s="3" t="s">
        <v>7</v>
      </c>
      <c r="L133" s="3" t="s">
        <v>245</v>
      </c>
      <c r="M133" s="3" t="s">
        <v>11</v>
      </c>
      <c r="N133" s="5">
        <v>2.4120308308260136E-2</v>
      </c>
      <c r="O133" s="3" t="s">
        <v>7</v>
      </c>
    </row>
    <row r="134" spans="2:15" x14ac:dyDescent="0.45">
      <c r="B134" s="6" t="s">
        <v>243</v>
      </c>
      <c r="C134" s="6" t="s">
        <v>12</v>
      </c>
      <c r="D134" s="7">
        <v>1.4960935122103694E-3</v>
      </c>
      <c r="E134" s="6" t="s">
        <v>7</v>
      </c>
      <c r="G134" s="6" t="s">
        <v>244</v>
      </c>
      <c r="H134" s="6" t="s">
        <v>12</v>
      </c>
      <c r="I134" s="8">
        <v>2.6457556148486397E-2</v>
      </c>
      <c r="J134" s="6" t="s">
        <v>7</v>
      </c>
      <c r="L134" s="6" t="s">
        <v>245</v>
      </c>
      <c r="M134" s="6" t="s">
        <v>12</v>
      </c>
      <c r="N134" s="8">
        <v>2.4535914288816775E-2</v>
      </c>
      <c r="O134" s="6" t="s">
        <v>7</v>
      </c>
    </row>
    <row r="135" spans="2:15" x14ac:dyDescent="0.45">
      <c r="B135" s="3" t="s">
        <v>243</v>
      </c>
      <c r="C135" s="3" t="s">
        <v>13</v>
      </c>
      <c r="D135" s="4">
        <v>2.3677453433823506E-2</v>
      </c>
      <c r="E135" s="3" t="s">
        <v>7</v>
      </c>
      <c r="G135" s="3" t="s">
        <v>244</v>
      </c>
      <c r="H135" s="3" t="s">
        <v>13</v>
      </c>
      <c r="I135" s="5">
        <v>2.8219891875359612E-2</v>
      </c>
      <c r="J135" s="3" t="s">
        <v>7</v>
      </c>
      <c r="L135" s="3" t="s">
        <v>245</v>
      </c>
      <c r="M135" s="3" t="s">
        <v>13</v>
      </c>
      <c r="N135" s="5">
        <v>2.4930493409500393E-2</v>
      </c>
      <c r="O135" s="3" t="s">
        <v>7</v>
      </c>
    </row>
    <row r="136" spans="2:15" x14ac:dyDescent="0.45">
      <c r="B136" s="6" t="s">
        <v>243</v>
      </c>
      <c r="C136" s="6" t="s">
        <v>14</v>
      </c>
      <c r="D136" s="7">
        <v>4.3808831623666916E-2</v>
      </c>
      <c r="E136" s="6" t="s">
        <v>7</v>
      </c>
      <c r="G136" s="6" t="s">
        <v>244</v>
      </c>
      <c r="H136" s="6" t="s">
        <v>14</v>
      </c>
      <c r="I136" s="8">
        <v>2.9745146155225055E-2</v>
      </c>
      <c r="J136" s="6" t="s">
        <v>7</v>
      </c>
      <c r="L136" s="6" t="s">
        <v>245</v>
      </c>
      <c r="M136" s="6" t="s">
        <v>14</v>
      </c>
      <c r="N136" s="8">
        <v>2.5632159671258696E-2</v>
      </c>
      <c r="O136" s="6" t="s">
        <v>7</v>
      </c>
    </row>
    <row r="137" spans="2:15" x14ac:dyDescent="0.45">
      <c r="B137" s="3" t="s">
        <v>243</v>
      </c>
      <c r="C137" s="3" t="s">
        <v>15</v>
      </c>
      <c r="D137" s="4">
        <v>3.7146553900981975E-2</v>
      </c>
      <c r="E137" s="3" t="s">
        <v>7</v>
      </c>
      <c r="G137" s="3" t="s">
        <v>244</v>
      </c>
      <c r="H137" s="3" t="s">
        <v>15</v>
      </c>
      <c r="I137" s="5">
        <v>2.9175449325375455E-2</v>
      </c>
      <c r="J137" s="3" t="s">
        <v>7</v>
      </c>
      <c r="L137" s="3" t="s">
        <v>245</v>
      </c>
      <c r="M137" s="3" t="s">
        <v>15</v>
      </c>
      <c r="N137" s="5">
        <v>2.5690994994349198E-2</v>
      </c>
      <c r="O137" s="3" t="s">
        <v>7</v>
      </c>
    </row>
    <row r="138" spans="2:15" x14ac:dyDescent="0.45">
      <c r="B138" s="6" t="s">
        <v>243</v>
      </c>
      <c r="C138" s="6" t="s">
        <v>16</v>
      </c>
      <c r="D138" s="7">
        <v>1.4917748965314127E-2</v>
      </c>
      <c r="E138" s="6" t="s">
        <v>7</v>
      </c>
      <c r="G138" s="6" t="s">
        <v>244</v>
      </c>
      <c r="H138" s="6" t="s">
        <v>16</v>
      </c>
      <c r="I138" s="8">
        <v>2.8019547687275131E-2</v>
      </c>
      <c r="J138" s="6" t="s">
        <v>7</v>
      </c>
      <c r="L138" s="6" t="s">
        <v>245</v>
      </c>
      <c r="M138" s="6" t="s">
        <v>16</v>
      </c>
      <c r="N138" s="8">
        <v>2.5368009740100131E-2</v>
      </c>
      <c r="O138" s="6" t="s">
        <v>7</v>
      </c>
    </row>
    <row r="139" spans="2:15" x14ac:dyDescent="0.45">
      <c r="B139" s="3" t="s">
        <v>243</v>
      </c>
      <c r="C139" s="3" t="s">
        <v>17</v>
      </c>
      <c r="D139" s="4">
        <v>6.1387900721618339E-4</v>
      </c>
      <c r="E139" s="3" t="s">
        <v>7</v>
      </c>
      <c r="G139" s="3" t="s">
        <v>244</v>
      </c>
      <c r="H139" s="3" t="s">
        <v>17</v>
      </c>
      <c r="I139" s="5">
        <v>2.785069728291888E-2</v>
      </c>
      <c r="J139" s="3" t="s">
        <v>7</v>
      </c>
      <c r="L139" s="3" t="s">
        <v>245</v>
      </c>
      <c r="M139" s="3" t="s">
        <v>17</v>
      </c>
      <c r="N139" s="5">
        <v>2.5307131425824265E-2</v>
      </c>
      <c r="O139" s="3" t="s">
        <v>7</v>
      </c>
    </row>
    <row r="140" spans="2:15" x14ac:dyDescent="0.45">
      <c r="B140" s="6" t="s">
        <v>243</v>
      </c>
      <c r="C140" s="6" t="s">
        <v>18</v>
      </c>
      <c r="D140" s="7">
        <v>0</v>
      </c>
      <c r="E140" s="6" t="s">
        <v>7</v>
      </c>
      <c r="G140" s="6" t="s">
        <v>244</v>
      </c>
      <c r="H140" s="6" t="s">
        <v>18</v>
      </c>
      <c r="I140" s="8">
        <v>4.2884519368759533E-2</v>
      </c>
      <c r="J140" s="6" t="s">
        <v>7</v>
      </c>
      <c r="L140" s="6" t="s">
        <v>245</v>
      </c>
      <c r="M140" s="6" t="s">
        <v>18</v>
      </c>
      <c r="N140" s="8">
        <v>3.757674140739866E-2</v>
      </c>
      <c r="O140" s="6" t="s">
        <v>7</v>
      </c>
    </row>
    <row r="141" spans="2:15" x14ac:dyDescent="0.45">
      <c r="B141" s="3" t="s">
        <v>243</v>
      </c>
      <c r="C141" s="3" t="s">
        <v>19</v>
      </c>
      <c r="D141" s="4">
        <v>0</v>
      </c>
      <c r="E141" s="3" t="s">
        <v>7</v>
      </c>
      <c r="G141" s="3" t="s">
        <v>244</v>
      </c>
      <c r="H141" s="3" t="s">
        <v>19</v>
      </c>
      <c r="I141" s="5">
        <v>5.7431453031299311E-2</v>
      </c>
      <c r="J141" s="3" t="s">
        <v>7</v>
      </c>
      <c r="L141" s="3" t="s">
        <v>245</v>
      </c>
      <c r="M141" s="3" t="s">
        <v>19</v>
      </c>
      <c r="N141" s="5">
        <v>6.1213628715915777E-2</v>
      </c>
      <c r="O141" s="3" t="s">
        <v>7</v>
      </c>
    </row>
    <row r="142" spans="2:15" x14ac:dyDescent="0.45">
      <c r="B142" s="6" t="s">
        <v>243</v>
      </c>
      <c r="C142" s="6" t="s">
        <v>20</v>
      </c>
      <c r="D142" s="7">
        <v>0</v>
      </c>
      <c r="E142" s="6" t="s">
        <v>7</v>
      </c>
      <c r="G142" s="6" t="s">
        <v>244</v>
      </c>
      <c r="H142" s="6" t="s">
        <v>20</v>
      </c>
      <c r="I142" s="8">
        <v>2.2531188870254792E-2</v>
      </c>
      <c r="J142" s="6" t="s">
        <v>7</v>
      </c>
      <c r="L142" s="6" t="s">
        <v>245</v>
      </c>
      <c r="M142" s="6" t="s">
        <v>20</v>
      </c>
      <c r="N142" s="8">
        <v>2.4285122780971263E-2</v>
      </c>
      <c r="O142" s="6" t="s">
        <v>7</v>
      </c>
    </row>
    <row r="143" spans="2:15" x14ac:dyDescent="0.45">
      <c r="B143" s="3" t="s">
        <v>243</v>
      </c>
      <c r="C143" s="3" t="s">
        <v>21</v>
      </c>
      <c r="D143" s="4">
        <v>2.6616132032547856E-3</v>
      </c>
      <c r="E143" s="3" t="s">
        <v>7</v>
      </c>
      <c r="G143" s="3" t="s">
        <v>244</v>
      </c>
      <c r="H143" s="3" t="s">
        <v>21</v>
      </c>
      <c r="I143" s="5">
        <v>2.2173528007439502E-2</v>
      </c>
      <c r="J143" s="3" t="s">
        <v>7</v>
      </c>
      <c r="L143" s="3" t="s">
        <v>245</v>
      </c>
      <c r="M143" s="3" t="s">
        <v>21</v>
      </c>
      <c r="N143" s="5">
        <v>2.4240932286846702E-2</v>
      </c>
      <c r="O143" s="3" t="s">
        <v>7</v>
      </c>
    </row>
    <row r="144" spans="2:15" x14ac:dyDescent="0.45">
      <c r="B144" s="6" t="s">
        <v>243</v>
      </c>
      <c r="C144" s="6" t="s">
        <v>22</v>
      </c>
      <c r="D144" s="7">
        <v>3.1499174877715398E-2</v>
      </c>
      <c r="E144" s="6" t="s">
        <v>7</v>
      </c>
      <c r="G144" s="6" t="s">
        <v>244</v>
      </c>
      <c r="H144" s="6" t="s">
        <v>22</v>
      </c>
      <c r="I144" s="8">
        <v>2.3755943688288893E-2</v>
      </c>
      <c r="J144" s="6" t="s">
        <v>7</v>
      </c>
      <c r="L144" s="6" t="s">
        <v>245</v>
      </c>
      <c r="M144" s="6" t="s">
        <v>22</v>
      </c>
      <c r="N144" s="8">
        <v>2.3754954289615535E-2</v>
      </c>
      <c r="O144" s="6" t="s">
        <v>7</v>
      </c>
    </row>
    <row r="145" spans="2:15" x14ac:dyDescent="0.45">
      <c r="B145" s="3" t="s">
        <v>243</v>
      </c>
      <c r="C145" s="3" t="s">
        <v>23</v>
      </c>
      <c r="D145" s="4">
        <v>7.1077672884698129E-2</v>
      </c>
      <c r="E145" s="3" t="s">
        <v>7</v>
      </c>
      <c r="G145" s="3" t="s">
        <v>244</v>
      </c>
      <c r="H145" s="3" t="s">
        <v>23</v>
      </c>
      <c r="I145" s="5">
        <v>2.6003145442650987E-2</v>
      </c>
      <c r="J145" s="3" t="s">
        <v>7</v>
      </c>
      <c r="L145" s="3" t="s">
        <v>245</v>
      </c>
      <c r="M145" s="3" t="s">
        <v>23</v>
      </c>
      <c r="N145" s="5">
        <v>2.3133700943067697E-2</v>
      </c>
      <c r="O145" s="3" t="s">
        <v>7</v>
      </c>
    </row>
    <row r="146" spans="2:15" x14ac:dyDescent="0.45">
      <c r="B146" s="6" t="s">
        <v>243</v>
      </c>
      <c r="C146" s="6" t="s">
        <v>24</v>
      </c>
      <c r="D146" s="7">
        <v>8.6428809719670666E-2</v>
      </c>
      <c r="E146" s="6" t="s">
        <v>7</v>
      </c>
      <c r="G146" s="6" t="s">
        <v>244</v>
      </c>
      <c r="H146" s="6" t="s">
        <v>24</v>
      </c>
      <c r="I146" s="8">
        <v>2.6884998064803069E-2</v>
      </c>
      <c r="J146" s="6" t="s">
        <v>7</v>
      </c>
      <c r="L146" s="6" t="s">
        <v>245</v>
      </c>
      <c r="M146" s="6" t="s">
        <v>24</v>
      </c>
      <c r="N146" s="8">
        <v>2.2870820360745982E-2</v>
      </c>
      <c r="O146" s="6" t="s">
        <v>7</v>
      </c>
    </row>
    <row r="147" spans="2:15" x14ac:dyDescent="0.45">
      <c r="B147" s="3" t="s">
        <v>243</v>
      </c>
      <c r="C147" s="3" t="s">
        <v>25</v>
      </c>
      <c r="D147" s="4">
        <v>8.0125517378198591E-2</v>
      </c>
      <c r="E147" s="3" t="s">
        <v>7</v>
      </c>
      <c r="G147" s="3" t="s">
        <v>244</v>
      </c>
      <c r="H147" s="3" t="s">
        <v>25</v>
      </c>
      <c r="I147" s="5">
        <v>2.7323802536854919E-2</v>
      </c>
      <c r="J147" s="3" t="s">
        <v>7</v>
      </c>
      <c r="L147" s="3" t="s">
        <v>245</v>
      </c>
      <c r="M147" s="3" t="s">
        <v>25</v>
      </c>
      <c r="N147" s="5">
        <v>2.2863543285999675E-2</v>
      </c>
      <c r="O147" s="3" t="s">
        <v>7</v>
      </c>
    </row>
    <row r="148" spans="2:15" x14ac:dyDescent="0.45">
      <c r="B148" s="6" t="s">
        <v>243</v>
      </c>
      <c r="C148" s="6" t="s">
        <v>26</v>
      </c>
      <c r="D148" s="7">
        <v>5.2314969201869822E-2</v>
      </c>
      <c r="E148" s="6" t="s">
        <v>7</v>
      </c>
      <c r="G148" s="6" t="s">
        <v>244</v>
      </c>
      <c r="H148" s="6" t="s">
        <v>26</v>
      </c>
      <c r="I148" s="8">
        <v>2.6696141012177616E-2</v>
      </c>
      <c r="J148" s="6" t="s">
        <v>7</v>
      </c>
      <c r="L148" s="6" t="s">
        <v>245</v>
      </c>
      <c r="M148" s="6" t="s">
        <v>26</v>
      </c>
      <c r="N148" s="8">
        <v>2.3437972444004973E-2</v>
      </c>
      <c r="O148" s="6" t="s">
        <v>7</v>
      </c>
    </row>
    <row r="149" spans="2:15" x14ac:dyDescent="0.45">
      <c r="B149" s="3" t="s">
        <v>243</v>
      </c>
      <c r="C149" s="3" t="s">
        <v>27</v>
      </c>
      <c r="D149" s="4">
        <v>1.4828766697336158E-2</v>
      </c>
      <c r="E149" s="3" t="s">
        <v>7</v>
      </c>
      <c r="G149" s="3" t="s">
        <v>244</v>
      </c>
      <c r="H149" s="3" t="s">
        <v>27</v>
      </c>
      <c r="I149" s="5">
        <v>2.4491793592329319E-2</v>
      </c>
      <c r="J149" s="3" t="s">
        <v>7</v>
      </c>
      <c r="L149" s="3" t="s">
        <v>245</v>
      </c>
      <c r="M149" s="3" t="s">
        <v>27</v>
      </c>
      <c r="N149" s="5">
        <v>2.4189970292419007E-2</v>
      </c>
      <c r="O149" s="3" t="s">
        <v>7</v>
      </c>
    </row>
    <row r="150" spans="2:15" x14ac:dyDescent="0.45">
      <c r="B150" s="6" t="s">
        <v>243</v>
      </c>
      <c r="C150" s="6" t="s">
        <v>28</v>
      </c>
      <c r="D150" s="7">
        <v>4.5607927293072714E-4</v>
      </c>
      <c r="E150" s="6" t="s">
        <v>7</v>
      </c>
      <c r="G150" s="6" t="s">
        <v>244</v>
      </c>
      <c r="H150" s="6" t="s">
        <v>28</v>
      </c>
      <c r="I150" s="8">
        <v>3.4729855657789709E-2</v>
      </c>
      <c r="J150" s="6" t="s">
        <v>7</v>
      </c>
      <c r="L150" s="6" t="s">
        <v>245</v>
      </c>
      <c r="M150" s="6" t="s">
        <v>28</v>
      </c>
      <c r="N150" s="8">
        <v>3.6766062388929613E-2</v>
      </c>
      <c r="O150" s="6" t="s">
        <v>7</v>
      </c>
    </row>
    <row r="151" spans="2:15" x14ac:dyDescent="0.45">
      <c r="B151" s="3" t="s">
        <v>243</v>
      </c>
      <c r="C151" s="3" t="s">
        <v>29</v>
      </c>
      <c r="D151" s="4">
        <v>0</v>
      </c>
      <c r="E151" s="3" t="s">
        <v>7</v>
      </c>
      <c r="G151" s="3" t="s">
        <v>244</v>
      </c>
      <c r="H151" s="3" t="s">
        <v>29</v>
      </c>
      <c r="I151" s="5">
        <v>2.881100351765474E-2</v>
      </c>
      <c r="J151" s="3" t="s">
        <v>7</v>
      </c>
      <c r="L151" s="3" t="s">
        <v>245</v>
      </c>
      <c r="M151" s="3" t="s">
        <v>29</v>
      </c>
      <c r="N151" s="5">
        <v>3.6544289595774576E-2</v>
      </c>
      <c r="O151" s="3" t="s">
        <v>7</v>
      </c>
    </row>
    <row r="152" spans="2:15" x14ac:dyDescent="0.45">
      <c r="B152" s="6" t="s">
        <v>243</v>
      </c>
      <c r="C152" s="6" t="s">
        <v>30</v>
      </c>
      <c r="D152" s="7">
        <v>1.9794240979017425E-5</v>
      </c>
      <c r="E152" s="6" t="s">
        <v>7</v>
      </c>
      <c r="G152" s="6" t="s">
        <v>244</v>
      </c>
      <c r="H152" s="6" t="s">
        <v>30</v>
      </c>
      <c r="I152" s="8">
        <v>1.1472419076184695E-2</v>
      </c>
      <c r="J152" s="6" t="s">
        <v>7</v>
      </c>
      <c r="L152" s="6" t="s">
        <v>245</v>
      </c>
      <c r="M152" s="6" t="s">
        <v>30</v>
      </c>
      <c r="N152" s="8">
        <v>1.4324372837365377E-2</v>
      </c>
      <c r="O152" s="6" t="s">
        <v>7</v>
      </c>
    </row>
    <row r="153" spans="2:15" x14ac:dyDescent="0.45">
      <c r="B153" s="3" t="s">
        <v>243</v>
      </c>
      <c r="C153" s="3" t="s">
        <v>31</v>
      </c>
      <c r="D153" s="4">
        <v>5.4635337405609958E-3</v>
      </c>
      <c r="E153" s="3" t="s">
        <v>7</v>
      </c>
      <c r="G153" s="3" t="s">
        <v>244</v>
      </c>
      <c r="H153" s="3" t="s">
        <v>31</v>
      </c>
      <c r="I153" s="5">
        <v>1.114422141599811E-2</v>
      </c>
      <c r="J153" s="3" t="s">
        <v>7</v>
      </c>
      <c r="L153" s="3" t="s">
        <v>245</v>
      </c>
      <c r="M153" s="3" t="s">
        <v>31</v>
      </c>
      <c r="N153" s="5">
        <v>1.4563537367035835E-2</v>
      </c>
      <c r="O153" s="3" t="s">
        <v>7</v>
      </c>
    </row>
    <row r="154" spans="2:15" x14ac:dyDescent="0.45">
      <c r="B154" s="6" t="s">
        <v>243</v>
      </c>
      <c r="C154" s="6" t="s">
        <v>32</v>
      </c>
      <c r="D154" s="7">
        <v>3.5876096778941928E-2</v>
      </c>
      <c r="E154" s="6" t="s">
        <v>7</v>
      </c>
      <c r="G154" s="6" t="s">
        <v>244</v>
      </c>
      <c r="H154" s="6" t="s">
        <v>32</v>
      </c>
      <c r="I154" s="8">
        <v>1.2075826907298715E-2</v>
      </c>
      <c r="J154" s="6" t="s">
        <v>7</v>
      </c>
      <c r="L154" s="6" t="s">
        <v>245</v>
      </c>
      <c r="M154" s="6" t="s">
        <v>32</v>
      </c>
      <c r="N154" s="8">
        <v>1.4435322541585997E-2</v>
      </c>
      <c r="O154" s="6" t="s">
        <v>7</v>
      </c>
    </row>
    <row r="155" spans="2:15" x14ac:dyDescent="0.45">
      <c r="B155" s="3" t="s">
        <v>243</v>
      </c>
      <c r="C155" s="3" t="s">
        <v>33</v>
      </c>
      <c r="D155" s="4">
        <v>6.9973994173928786E-2</v>
      </c>
      <c r="E155" s="3" t="s">
        <v>7</v>
      </c>
      <c r="G155" s="3" t="s">
        <v>244</v>
      </c>
      <c r="H155" s="3" t="s">
        <v>33</v>
      </c>
      <c r="I155" s="5">
        <v>1.3934455585981951E-2</v>
      </c>
      <c r="J155" s="3" t="s">
        <v>7</v>
      </c>
      <c r="L155" s="3" t="s">
        <v>245</v>
      </c>
      <c r="M155" s="3" t="s">
        <v>33</v>
      </c>
      <c r="N155" s="5">
        <v>1.558720867073916E-2</v>
      </c>
      <c r="O155" s="3" t="s">
        <v>7</v>
      </c>
    </row>
    <row r="156" spans="2:15" x14ac:dyDescent="0.45">
      <c r="B156" s="6" t="s">
        <v>243</v>
      </c>
      <c r="C156" s="6" t="s">
        <v>34</v>
      </c>
      <c r="D156" s="7">
        <v>8.4971011789448561E-2</v>
      </c>
      <c r="E156" s="6" t="s">
        <v>7</v>
      </c>
      <c r="G156" s="6" t="s">
        <v>244</v>
      </c>
      <c r="H156" s="6" t="s">
        <v>34</v>
      </c>
      <c r="I156" s="8">
        <v>1.5548669659393357E-2</v>
      </c>
      <c r="J156" s="6" t="s">
        <v>7</v>
      </c>
      <c r="L156" s="6" t="s">
        <v>245</v>
      </c>
      <c r="M156" s="6" t="s">
        <v>34</v>
      </c>
      <c r="N156" s="8">
        <v>1.6883607370727562E-2</v>
      </c>
      <c r="O156" s="6" t="s">
        <v>7</v>
      </c>
    </row>
    <row r="157" spans="2:15" x14ac:dyDescent="0.45">
      <c r="B157" s="3" t="s">
        <v>243</v>
      </c>
      <c r="C157" s="3" t="s">
        <v>35</v>
      </c>
      <c r="D157" s="4">
        <v>7.9193763991023125E-2</v>
      </c>
      <c r="E157" s="3" t="s">
        <v>7</v>
      </c>
      <c r="G157" s="3" t="s">
        <v>244</v>
      </c>
      <c r="H157" s="3" t="s">
        <v>35</v>
      </c>
      <c r="I157" s="5">
        <v>1.6398116078048919E-2</v>
      </c>
      <c r="J157" s="3" t="s">
        <v>7</v>
      </c>
      <c r="L157" s="3" t="s">
        <v>245</v>
      </c>
      <c r="M157" s="3" t="s">
        <v>35</v>
      </c>
      <c r="N157" s="5">
        <v>1.7765181865996377E-2</v>
      </c>
      <c r="O157" s="3" t="s">
        <v>7</v>
      </c>
    </row>
    <row r="158" spans="2:15" x14ac:dyDescent="0.45">
      <c r="B158" s="6" t="s">
        <v>243</v>
      </c>
      <c r="C158" s="6" t="s">
        <v>36</v>
      </c>
      <c r="D158" s="7">
        <v>5.7245178178612473E-2</v>
      </c>
      <c r="E158" s="6" t="s">
        <v>7</v>
      </c>
      <c r="G158" s="6" t="s">
        <v>244</v>
      </c>
      <c r="H158" s="6" t="s">
        <v>36</v>
      </c>
      <c r="I158" s="8">
        <v>1.5677896780225544E-2</v>
      </c>
      <c r="J158" s="6" t="s">
        <v>7</v>
      </c>
      <c r="L158" s="6" t="s">
        <v>245</v>
      </c>
      <c r="M158" s="6" t="s">
        <v>36</v>
      </c>
      <c r="N158" s="8">
        <v>1.7278910875576568E-2</v>
      </c>
      <c r="O158" s="6" t="s">
        <v>7</v>
      </c>
    </row>
    <row r="159" spans="2:15" x14ac:dyDescent="0.45">
      <c r="B159" s="3" t="s">
        <v>243</v>
      </c>
      <c r="C159" s="3" t="s">
        <v>37</v>
      </c>
      <c r="D159" s="4">
        <v>2.1394317394603981E-2</v>
      </c>
      <c r="E159" s="3" t="s">
        <v>7</v>
      </c>
      <c r="G159" s="3" t="s">
        <v>244</v>
      </c>
      <c r="H159" s="3" t="s">
        <v>37</v>
      </c>
      <c r="I159" s="5">
        <v>1.3473029467243982E-2</v>
      </c>
      <c r="J159" s="3" t="s">
        <v>7</v>
      </c>
      <c r="L159" s="3" t="s">
        <v>245</v>
      </c>
      <c r="M159" s="3" t="s">
        <v>37</v>
      </c>
      <c r="N159" s="5">
        <v>1.6179456989734373E-2</v>
      </c>
      <c r="O159" s="3" t="s">
        <v>7</v>
      </c>
    </row>
    <row r="160" spans="2:15" x14ac:dyDescent="0.45">
      <c r="B160" s="6" t="s">
        <v>243</v>
      </c>
      <c r="C160" s="6" t="s">
        <v>38</v>
      </c>
      <c r="D160" s="7">
        <v>1.6959291355825765E-3</v>
      </c>
      <c r="E160" s="6" t="s">
        <v>7</v>
      </c>
      <c r="G160" s="6" t="s">
        <v>244</v>
      </c>
      <c r="H160" s="6" t="s">
        <v>38</v>
      </c>
      <c r="I160" s="8">
        <v>1.7673561636068858E-2</v>
      </c>
      <c r="J160" s="6" t="s">
        <v>7</v>
      </c>
      <c r="L160" s="6" t="s">
        <v>245</v>
      </c>
      <c r="M160" s="6" t="s">
        <v>38</v>
      </c>
      <c r="N160" s="8">
        <v>2.2855910109187843E-2</v>
      </c>
      <c r="O160" s="6" t="s">
        <v>7</v>
      </c>
    </row>
    <row r="161" spans="2:15" x14ac:dyDescent="0.45">
      <c r="B161" s="3" t="s">
        <v>243</v>
      </c>
      <c r="C161" s="3" t="s">
        <v>39</v>
      </c>
      <c r="D161" s="4">
        <v>0</v>
      </c>
      <c r="E161" s="3" t="s">
        <v>7</v>
      </c>
      <c r="G161" s="3" t="s">
        <v>244</v>
      </c>
      <c r="H161" s="3" t="s">
        <v>39</v>
      </c>
      <c r="I161" s="5">
        <v>4.3495348742676451E-2</v>
      </c>
      <c r="J161" s="3" t="s">
        <v>7</v>
      </c>
      <c r="L161" s="3" t="s">
        <v>245</v>
      </c>
      <c r="M161" s="3" t="s">
        <v>39</v>
      </c>
      <c r="N161" s="5">
        <v>4.705487539181117E-2</v>
      </c>
      <c r="O161" s="3" t="s">
        <v>7</v>
      </c>
    </row>
    <row r="162" spans="2:15" x14ac:dyDescent="0.45">
      <c r="B162" s="6" t="s">
        <v>243</v>
      </c>
      <c r="C162" s="6" t="s">
        <v>40</v>
      </c>
      <c r="D162" s="7">
        <v>0</v>
      </c>
      <c r="E162" s="6" t="s">
        <v>7</v>
      </c>
      <c r="G162" s="6" t="s">
        <v>244</v>
      </c>
      <c r="H162" s="6" t="s">
        <v>40</v>
      </c>
      <c r="I162" s="8">
        <v>1.8049299355598684E-2</v>
      </c>
      <c r="J162" s="6" t="s">
        <v>7</v>
      </c>
      <c r="L162" s="6" t="s">
        <v>245</v>
      </c>
      <c r="M162" s="6" t="s">
        <v>40</v>
      </c>
      <c r="N162" s="8">
        <v>1.9451967839073096E-2</v>
      </c>
      <c r="O162" s="6" t="s">
        <v>7</v>
      </c>
    </row>
    <row r="163" spans="2:15" x14ac:dyDescent="0.45">
      <c r="B163" s="3" t="s">
        <v>243</v>
      </c>
      <c r="C163" s="3" t="s">
        <v>41</v>
      </c>
      <c r="D163" s="4">
        <v>1.2259719402842072E-4</v>
      </c>
      <c r="E163" s="3" t="s">
        <v>7</v>
      </c>
      <c r="G163" s="3" t="s">
        <v>244</v>
      </c>
      <c r="H163" s="3" t="s">
        <v>41</v>
      </c>
      <c r="I163" s="5">
        <v>1.8364844392444325E-2</v>
      </c>
      <c r="J163" s="3" t="s">
        <v>7</v>
      </c>
      <c r="L163" s="3" t="s">
        <v>245</v>
      </c>
      <c r="M163" s="3" t="s">
        <v>41</v>
      </c>
      <c r="N163" s="5">
        <v>1.9887644705198444E-2</v>
      </c>
      <c r="O163" s="3" t="s">
        <v>7</v>
      </c>
    </row>
    <row r="164" spans="2:15" x14ac:dyDescent="0.45">
      <c r="B164" s="6" t="s">
        <v>243</v>
      </c>
      <c r="C164" s="6" t="s">
        <v>42</v>
      </c>
      <c r="D164" s="7">
        <v>1.1881326197939959E-2</v>
      </c>
      <c r="E164" s="6" t="s">
        <v>7</v>
      </c>
      <c r="G164" s="6" t="s">
        <v>244</v>
      </c>
      <c r="H164" s="6" t="s">
        <v>42</v>
      </c>
      <c r="I164" s="8">
        <v>1.8921999119767816E-2</v>
      </c>
      <c r="J164" s="6" t="s">
        <v>7</v>
      </c>
      <c r="L164" s="6" t="s">
        <v>245</v>
      </c>
      <c r="M164" s="6" t="s">
        <v>42</v>
      </c>
      <c r="N164" s="8">
        <v>1.9447738024217544E-2</v>
      </c>
      <c r="O164" s="6" t="s">
        <v>7</v>
      </c>
    </row>
    <row r="165" spans="2:15" x14ac:dyDescent="0.45">
      <c r="B165" s="3" t="s">
        <v>243</v>
      </c>
      <c r="C165" s="3" t="s">
        <v>43</v>
      </c>
      <c r="D165" s="4">
        <v>4.2639890637982986E-2</v>
      </c>
      <c r="E165" s="3" t="s">
        <v>7</v>
      </c>
      <c r="G165" s="3" t="s">
        <v>244</v>
      </c>
      <c r="H165" s="3" t="s">
        <v>43</v>
      </c>
      <c r="I165" s="5">
        <v>1.9846164768119279E-2</v>
      </c>
      <c r="J165" s="3" t="s">
        <v>7</v>
      </c>
      <c r="L165" s="3" t="s">
        <v>245</v>
      </c>
      <c r="M165" s="3" t="s">
        <v>43</v>
      </c>
      <c r="N165" s="5">
        <v>1.971581377775947E-2</v>
      </c>
      <c r="O165" s="3" t="s">
        <v>7</v>
      </c>
    </row>
    <row r="166" spans="2:15" x14ac:dyDescent="0.45">
      <c r="B166" s="6" t="s">
        <v>243</v>
      </c>
      <c r="C166" s="6" t="s">
        <v>44</v>
      </c>
      <c r="D166" s="7">
        <v>5.6715601974821006E-2</v>
      </c>
      <c r="E166" s="6" t="s">
        <v>7</v>
      </c>
      <c r="G166" s="6" t="s">
        <v>244</v>
      </c>
      <c r="H166" s="6" t="s">
        <v>44</v>
      </c>
      <c r="I166" s="8">
        <v>2.0821594999143069E-2</v>
      </c>
      <c r="J166" s="6" t="s">
        <v>7</v>
      </c>
      <c r="L166" s="6" t="s">
        <v>245</v>
      </c>
      <c r="M166" s="6" t="s">
        <v>44</v>
      </c>
      <c r="N166" s="8">
        <v>2.0102198011310548E-2</v>
      </c>
      <c r="O166" s="6" t="s">
        <v>7</v>
      </c>
    </row>
    <row r="167" spans="2:15" x14ac:dyDescent="0.45">
      <c r="B167" s="3" t="s">
        <v>243</v>
      </c>
      <c r="C167" s="3" t="s">
        <v>45</v>
      </c>
      <c r="D167" s="4">
        <v>4.787963528244444E-2</v>
      </c>
      <c r="E167" s="3" t="s">
        <v>7</v>
      </c>
      <c r="G167" s="3" t="s">
        <v>244</v>
      </c>
      <c r="H167" s="3" t="s">
        <v>45</v>
      </c>
      <c r="I167" s="5">
        <v>2.0255454782903158E-2</v>
      </c>
      <c r="J167" s="3" t="s">
        <v>7</v>
      </c>
      <c r="L167" s="3" t="s">
        <v>245</v>
      </c>
      <c r="M167" s="3" t="s">
        <v>45</v>
      </c>
      <c r="N167" s="5">
        <v>2.0297718141467375E-2</v>
      </c>
      <c r="O167" s="3" t="s">
        <v>7</v>
      </c>
    </row>
    <row r="168" spans="2:15" x14ac:dyDescent="0.45">
      <c r="B168" s="6" t="s">
        <v>243</v>
      </c>
      <c r="C168" s="6" t="s">
        <v>46</v>
      </c>
      <c r="D168" s="7">
        <v>2.1654998733649757E-2</v>
      </c>
      <c r="E168" s="6" t="s">
        <v>7</v>
      </c>
      <c r="G168" s="6" t="s">
        <v>244</v>
      </c>
      <c r="H168" s="6" t="s">
        <v>46</v>
      </c>
      <c r="I168" s="8">
        <v>1.9263501855671522E-2</v>
      </c>
      <c r="J168" s="6" t="s">
        <v>7</v>
      </c>
      <c r="L168" s="6" t="s">
        <v>245</v>
      </c>
      <c r="M168" s="6" t="s">
        <v>46</v>
      </c>
      <c r="N168" s="8">
        <v>1.9888011813001739E-2</v>
      </c>
      <c r="O168" s="6" t="s">
        <v>7</v>
      </c>
    </row>
    <row r="169" spans="2:15" x14ac:dyDescent="0.45">
      <c r="B169" s="3" t="s">
        <v>243</v>
      </c>
      <c r="C169" s="3" t="s">
        <v>47</v>
      </c>
      <c r="D169" s="4">
        <v>2.2191668765646718E-3</v>
      </c>
      <c r="E169" s="3" t="s">
        <v>7</v>
      </c>
      <c r="G169" s="3" t="s">
        <v>244</v>
      </c>
      <c r="H169" s="3" t="s">
        <v>47</v>
      </c>
      <c r="I169" s="5">
        <v>1.7728599332525848E-2</v>
      </c>
      <c r="J169" s="3" t="s">
        <v>7</v>
      </c>
      <c r="L169" s="3" t="s">
        <v>245</v>
      </c>
      <c r="M169" s="3" t="s">
        <v>47</v>
      </c>
      <c r="N169" s="5">
        <v>1.8877455431833192E-2</v>
      </c>
      <c r="O169" s="3" t="s">
        <v>7</v>
      </c>
    </row>
    <row r="170" spans="2:15" x14ac:dyDescent="0.45">
      <c r="B170" s="6" t="s">
        <v>243</v>
      </c>
      <c r="C170" s="6" t="s">
        <v>48</v>
      </c>
      <c r="D170" s="7">
        <v>0</v>
      </c>
      <c r="E170" s="6" t="s">
        <v>7</v>
      </c>
      <c r="G170" s="6" t="s">
        <v>244</v>
      </c>
      <c r="H170" s="6" t="s">
        <v>48</v>
      </c>
      <c r="I170" s="8">
        <v>2.5854492068315259E-2</v>
      </c>
      <c r="J170" s="6" t="s">
        <v>7</v>
      </c>
      <c r="L170" s="6" t="s">
        <v>245</v>
      </c>
      <c r="M170" s="6" t="s">
        <v>48</v>
      </c>
      <c r="N170" s="8">
        <v>2.7189459210029122E-2</v>
      </c>
      <c r="O170" s="6" t="s">
        <v>7</v>
      </c>
    </row>
    <row r="171" spans="2:15" x14ac:dyDescent="0.45">
      <c r="B171" s="3" t="s">
        <v>246</v>
      </c>
      <c r="C171" s="3" t="s">
        <v>6</v>
      </c>
      <c r="D171" s="4">
        <v>0</v>
      </c>
      <c r="E171" s="3" t="s">
        <v>7</v>
      </c>
      <c r="G171" s="3" t="s">
        <v>247</v>
      </c>
      <c r="H171" s="3" t="s">
        <v>6</v>
      </c>
      <c r="I171" s="5">
        <v>6.7361240230377692E-2</v>
      </c>
      <c r="J171" s="3" t="s">
        <v>7</v>
      </c>
      <c r="L171" s="3" t="s">
        <v>248</v>
      </c>
      <c r="M171" s="3" t="s">
        <v>6</v>
      </c>
      <c r="N171" s="5">
        <v>5.8936540181866448E-2</v>
      </c>
      <c r="O171" s="3" t="s">
        <v>7</v>
      </c>
    </row>
    <row r="172" spans="2:15" x14ac:dyDescent="0.45">
      <c r="B172" s="6" t="s">
        <v>246</v>
      </c>
      <c r="C172" s="6" t="s">
        <v>10</v>
      </c>
      <c r="D172" s="7">
        <v>0</v>
      </c>
      <c r="E172" s="6" t="s">
        <v>7</v>
      </c>
      <c r="G172" s="6" t="s">
        <v>247</v>
      </c>
      <c r="H172" s="6" t="s">
        <v>10</v>
      </c>
      <c r="I172" s="8">
        <v>2.5665730103895792E-2</v>
      </c>
      <c r="J172" s="6" t="s">
        <v>7</v>
      </c>
      <c r="L172" s="6" t="s">
        <v>248</v>
      </c>
      <c r="M172" s="6" t="s">
        <v>10</v>
      </c>
      <c r="N172" s="8">
        <v>2.3606340016590108E-2</v>
      </c>
      <c r="O172" s="6" t="s">
        <v>7</v>
      </c>
    </row>
    <row r="173" spans="2:15" x14ac:dyDescent="0.45">
      <c r="B173" s="3" t="s">
        <v>246</v>
      </c>
      <c r="C173" s="3" t="s">
        <v>11</v>
      </c>
      <c r="D173" s="4">
        <v>0</v>
      </c>
      <c r="E173" s="3" t="s">
        <v>7</v>
      </c>
      <c r="G173" s="3" t="s">
        <v>247</v>
      </c>
      <c r="H173" s="3" t="s">
        <v>11</v>
      </c>
      <c r="I173" s="5">
        <v>2.5601574064809802E-2</v>
      </c>
      <c r="J173" s="3" t="s">
        <v>7</v>
      </c>
      <c r="L173" s="3" t="s">
        <v>248</v>
      </c>
      <c r="M173" s="3" t="s">
        <v>11</v>
      </c>
      <c r="N173" s="5">
        <v>2.4067267368249916E-2</v>
      </c>
      <c r="O173" s="3" t="s">
        <v>7</v>
      </c>
    </row>
    <row r="174" spans="2:15" x14ac:dyDescent="0.45">
      <c r="B174" s="6" t="s">
        <v>246</v>
      </c>
      <c r="C174" s="6" t="s">
        <v>12</v>
      </c>
      <c r="D174" s="7">
        <v>1.5102861408903484E-3</v>
      </c>
      <c r="E174" s="6" t="s">
        <v>7</v>
      </c>
      <c r="G174" s="6" t="s">
        <v>247</v>
      </c>
      <c r="H174" s="6" t="s">
        <v>12</v>
      </c>
      <c r="I174" s="8">
        <v>2.6480350920926512E-2</v>
      </c>
      <c r="J174" s="6" t="s">
        <v>7</v>
      </c>
      <c r="L174" s="6" t="s">
        <v>248</v>
      </c>
      <c r="M174" s="6" t="s">
        <v>12</v>
      </c>
      <c r="N174" s="8">
        <v>2.4552234257737712E-2</v>
      </c>
      <c r="O174" s="6" t="s">
        <v>7</v>
      </c>
    </row>
    <row r="175" spans="2:15" x14ac:dyDescent="0.45">
      <c r="B175" s="3" t="s">
        <v>246</v>
      </c>
      <c r="C175" s="3" t="s">
        <v>13</v>
      </c>
      <c r="D175" s="4">
        <v>2.247966939758602E-2</v>
      </c>
      <c r="E175" s="3" t="s">
        <v>7</v>
      </c>
      <c r="G175" s="3" t="s">
        <v>247</v>
      </c>
      <c r="H175" s="3" t="s">
        <v>13</v>
      </c>
      <c r="I175" s="5">
        <v>2.739128718753725E-2</v>
      </c>
      <c r="J175" s="3" t="s">
        <v>7</v>
      </c>
      <c r="L175" s="3" t="s">
        <v>248</v>
      </c>
      <c r="M175" s="3" t="s">
        <v>13</v>
      </c>
      <c r="N175" s="5">
        <v>2.4838277481143894E-2</v>
      </c>
      <c r="O175" s="3" t="s">
        <v>7</v>
      </c>
    </row>
    <row r="176" spans="2:15" x14ac:dyDescent="0.45">
      <c r="B176" s="6" t="s">
        <v>246</v>
      </c>
      <c r="C176" s="6" t="s">
        <v>14</v>
      </c>
      <c r="D176" s="7">
        <v>4.2653389132254048E-2</v>
      </c>
      <c r="E176" s="6" t="s">
        <v>7</v>
      </c>
      <c r="G176" s="6" t="s">
        <v>247</v>
      </c>
      <c r="H176" s="6" t="s">
        <v>14</v>
      </c>
      <c r="I176" s="8">
        <v>2.8410286302017057E-2</v>
      </c>
      <c r="J176" s="6" t="s">
        <v>7</v>
      </c>
      <c r="L176" s="6" t="s">
        <v>248</v>
      </c>
      <c r="M176" s="6" t="s">
        <v>14</v>
      </c>
      <c r="N176" s="8">
        <v>2.4944658558952747E-2</v>
      </c>
      <c r="O176" s="6" t="s">
        <v>7</v>
      </c>
    </row>
    <row r="177" spans="2:15" x14ac:dyDescent="0.45">
      <c r="B177" s="3" t="s">
        <v>246</v>
      </c>
      <c r="C177" s="3" t="s">
        <v>15</v>
      </c>
      <c r="D177" s="4">
        <v>3.7778808248017687E-2</v>
      </c>
      <c r="E177" s="3" t="s">
        <v>7</v>
      </c>
      <c r="G177" s="3" t="s">
        <v>247</v>
      </c>
      <c r="H177" s="3" t="s">
        <v>15</v>
      </c>
      <c r="I177" s="5">
        <v>2.8178069799076035E-2</v>
      </c>
      <c r="J177" s="3" t="s">
        <v>7</v>
      </c>
      <c r="L177" s="3" t="s">
        <v>248</v>
      </c>
      <c r="M177" s="3" t="s">
        <v>15</v>
      </c>
      <c r="N177" s="5">
        <v>2.5140236202028494E-2</v>
      </c>
      <c r="O177" s="3" t="s">
        <v>7</v>
      </c>
    </row>
    <row r="178" spans="2:15" x14ac:dyDescent="0.45">
      <c r="B178" s="6" t="s">
        <v>246</v>
      </c>
      <c r="C178" s="6" t="s">
        <v>16</v>
      </c>
      <c r="D178" s="7">
        <v>1.5296314449973702E-2</v>
      </c>
      <c r="E178" s="6" t="s">
        <v>7</v>
      </c>
      <c r="G178" s="6" t="s">
        <v>247</v>
      </c>
      <c r="H178" s="6" t="s">
        <v>16</v>
      </c>
      <c r="I178" s="8">
        <v>2.7595371427165113E-2</v>
      </c>
      <c r="J178" s="6" t="s">
        <v>7</v>
      </c>
      <c r="L178" s="6" t="s">
        <v>248</v>
      </c>
      <c r="M178" s="6" t="s">
        <v>16</v>
      </c>
      <c r="N178" s="8">
        <v>2.5141789265469134E-2</v>
      </c>
      <c r="O178" s="6" t="s">
        <v>7</v>
      </c>
    </row>
    <row r="179" spans="2:15" x14ac:dyDescent="0.45">
      <c r="B179" s="3" t="s">
        <v>246</v>
      </c>
      <c r="C179" s="3" t="s">
        <v>17</v>
      </c>
      <c r="D179" s="4">
        <v>6.9701947295533549E-4</v>
      </c>
      <c r="E179" s="3" t="s">
        <v>7</v>
      </c>
      <c r="G179" s="3" t="s">
        <v>247</v>
      </c>
      <c r="H179" s="3" t="s">
        <v>17</v>
      </c>
      <c r="I179" s="5">
        <v>2.7798401389832954E-2</v>
      </c>
      <c r="J179" s="3" t="s">
        <v>7</v>
      </c>
      <c r="L179" s="3" t="s">
        <v>248</v>
      </c>
      <c r="M179" s="3" t="s">
        <v>17</v>
      </c>
      <c r="N179" s="5">
        <v>2.4740099246313301E-2</v>
      </c>
      <c r="O179" s="3" t="s">
        <v>7</v>
      </c>
    </row>
    <row r="180" spans="2:15" x14ac:dyDescent="0.45">
      <c r="B180" s="6" t="s">
        <v>246</v>
      </c>
      <c r="C180" s="6" t="s">
        <v>18</v>
      </c>
      <c r="D180" s="7">
        <v>0</v>
      </c>
      <c r="E180" s="6" t="s">
        <v>7</v>
      </c>
      <c r="G180" s="6" t="s">
        <v>247</v>
      </c>
      <c r="H180" s="6" t="s">
        <v>18</v>
      </c>
      <c r="I180" s="8">
        <v>4.2617165632068355E-2</v>
      </c>
      <c r="J180" s="6" t="s">
        <v>7</v>
      </c>
      <c r="L180" s="6" t="s">
        <v>248</v>
      </c>
      <c r="M180" s="6" t="s">
        <v>18</v>
      </c>
      <c r="N180" s="8">
        <v>3.6521400176197309E-2</v>
      </c>
      <c r="O180" s="6" t="s">
        <v>7</v>
      </c>
    </row>
    <row r="181" spans="2:15" x14ac:dyDescent="0.45">
      <c r="B181" s="3" t="s">
        <v>246</v>
      </c>
      <c r="C181" s="3" t="s">
        <v>19</v>
      </c>
      <c r="D181" s="4">
        <v>0</v>
      </c>
      <c r="E181" s="3" t="s">
        <v>7</v>
      </c>
      <c r="G181" s="3" t="s">
        <v>247</v>
      </c>
      <c r="H181" s="3" t="s">
        <v>19</v>
      </c>
      <c r="I181" s="5">
        <v>5.4816564974131711E-2</v>
      </c>
      <c r="J181" s="3" t="s">
        <v>7</v>
      </c>
      <c r="L181" s="3" t="s">
        <v>248</v>
      </c>
      <c r="M181" s="3" t="s">
        <v>19</v>
      </c>
      <c r="N181" s="5">
        <v>6.115397426890707E-2</v>
      </c>
      <c r="O181" s="3" t="s">
        <v>7</v>
      </c>
    </row>
    <row r="182" spans="2:15" x14ac:dyDescent="0.45">
      <c r="B182" s="6" t="s">
        <v>246</v>
      </c>
      <c r="C182" s="6" t="s">
        <v>20</v>
      </c>
      <c r="D182" s="7">
        <v>2.4941646626342423E-6</v>
      </c>
      <c r="E182" s="6" t="s">
        <v>7</v>
      </c>
      <c r="G182" s="6" t="s">
        <v>247</v>
      </c>
      <c r="H182" s="6" t="s">
        <v>20</v>
      </c>
      <c r="I182" s="8">
        <v>2.2265128914794517E-2</v>
      </c>
      <c r="J182" s="6" t="s">
        <v>7</v>
      </c>
      <c r="L182" s="6" t="s">
        <v>248</v>
      </c>
      <c r="M182" s="6" t="s">
        <v>20</v>
      </c>
      <c r="N182" s="8">
        <v>2.4269475304002575E-2</v>
      </c>
      <c r="O182" s="6" t="s">
        <v>7</v>
      </c>
    </row>
    <row r="183" spans="2:15" x14ac:dyDescent="0.45">
      <c r="B183" s="3" t="s">
        <v>246</v>
      </c>
      <c r="C183" s="3" t="s">
        <v>21</v>
      </c>
      <c r="D183" s="4">
        <v>2.7327237537628046E-3</v>
      </c>
      <c r="E183" s="3" t="s">
        <v>7</v>
      </c>
      <c r="G183" s="3" t="s">
        <v>247</v>
      </c>
      <c r="H183" s="3" t="s">
        <v>21</v>
      </c>
      <c r="I183" s="5">
        <v>2.2258415941748835E-2</v>
      </c>
      <c r="J183" s="3" t="s">
        <v>7</v>
      </c>
      <c r="L183" s="3" t="s">
        <v>248</v>
      </c>
      <c r="M183" s="3" t="s">
        <v>21</v>
      </c>
      <c r="N183" s="5">
        <v>2.4000297494050801E-2</v>
      </c>
      <c r="O183" s="3" t="s">
        <v>7</v>
      </c>
    </row>
    <row r="184" spans="2:15" x14ac:dyDescent="0.45">
      <c r="B184" s="6" t="s">
        <v>246</v>
      </c>
      <c r="C184" s="6" t="s">
        <v>22</v>
      </c>
      <c r="D184" s="7">
        <v>3.0977808064840896E-2</v>
      </c>
      <c r="E184" s="6" t="s">
        <v>7</v>
      </c>
      <c r="G184" s="6" t="s">
        <v>247</v>
      </c>
      <c r="H184" s="6" t="s">
        <v>22</v>
      </c>
      <c r="I184" s="8">
        <v>2.3111537784901014E-2</v>
      </c>
      <c r="J184" s="6" t="s">
        <v>7</v>
      </c>
      <c r="L184" s="6" t="s">
        <v>248</v>
      </c>
      <c r="M184" s="6" t="s">
        <v>22</v>
      </c>
      <c r="N184" s="8">
        <v>2.2975967554471739E-2</v>
      </c>
      <c r="O184" s="6" t="s">
        <v>7</v>
      </c>
    </row>
    <row r="185" spans="2:15" x14ac:dyDescent="0.45">
      <c r="B185" s="3" t="s">
        <v>246</v>
      </c>
      <c r="C185" s="3" t="s">
        <v>23</v>
      </c>
      <c r="D185" s="4">
        <v>6.9192099998314771E-2</v>
      </c>
      <c r="E185" s="3" t="s">
        <v>7</v>
      </c>
      <c r="G185" s="3" t="s">
        <v>247</v>
      </c>
      <c r="H185" s="3" t="s">
        <v>23</v>
      </c>
      <c r="I185" s="5">
        <v>2.5138156154473415E-2</v>
      </c>
      <c r="J185" s="3" t="s">
        <v>7</v>
      </c>
      <c r="L185" s="3" t="s">
        <v>248</v>
      </c>
      <c r="M185" s="3" t="s">
        <v>23</v>
      </c>
      <c r="N185" s="5">
        <v>2.2611683183555883E-2</v>
      </c>
      <c r="O185" s="3" t="s">
        <v>7</v>
      </c>
    </row>
    <row r="186" spans="2:15" x14ac:dyDescent="0.45">
      <c r="B186" s="6" t="s">
        <v>246</v>
      </c>
      <c r="C186" s="6" t="s">
        <v>24</v>
      </c>
      <c r="D186" s="7">
        <v>8.5719958676584787E-2</v>
      </c>
      <c r="E186" s="6" t="s">
        <v>7</v>
      </c>
      <c r="G186" s="6" t="s">
        <v>247</v>
      </c>
      <c r="H186" s="6" t="s">
        <v>24</v>
      </c>
      <c r="I186" s="8">
        <v>2.5735599238641133E-2</v>
      </c>
      <c r="J186" s="6" t="s">
        <v>7</v>
      </c>
      <c r="L186" s="6" t="s">
        <v>248</v>
      </c>
      <c r="M186" s="6" t="s">
        <v>24</v>
      </c>
      <c r="N186" s="8">
        <v>2.2309573142678649E-2</v>
      </c>
      <c r="O186" s="6" t="s">
        <v>7</v>
      </c>
    </row>
    <row r="187" spans="2:15" x14ac:dyDescent="0.45">
      <c r="B187" s="3" t="s">
        <v>246</v>
      </c>
      <c r="C187" s="3" t="s">
        <v>25</v>
      </c>
      <c r="D187" s="4">
        <v>8.0810028449441573E-2</v>
      </c>
      <c r="E187" s="3" t="s">
        <v>7</v>
      </c>
      <c r="G187" s="3" t="s">
        <v>247</v>
      </c>
      <c r="H187" s="3" t="s">
        <v>25</v>
      </c>
      <c r="I187" s="5">
        <v>2.5695033677350425E-2</v>
      </c>
      <c r="J187" s="3" t="s">
        <v>7</v>
      </c>
      <c r="L187" s="3" t="s">
        <v>248</v>
      </c>
      <c r="M187" s="3" t="s">
        <v>25</v>
      </c>
      <c r="N187" s="5">
        <v>2.2564749562259474E-2</v>
      </c>
      <c r="O187" s="3" t="s">
        <v>7</v>
      </c>
    </row>
    <row r="188" spans="2:15" x14ac:dyDescent="0.45">
      <c r="B188" s="6" t="s">
        <v>246</v>
      </c>
      <c r="C188" s="6" t="s">
        <v>26</v>
      </c>
      <c r="D188" s="7">
        <v>5.4232749382947615E-2</v>
      </c>
      <c r="E188" s="6" t="s">
        <v>7</v>
      </c>
      <c r="G188" s="6" t="s">
        <v>247</v>
      </c>
      <c r="H188" s="6" t="s">
        <v>26</v>
      </c>
      <c r="I188" s="8">
        <v>2.5272653285619718E-2</v>
      </c>
      <c r="J188" s="6" t="s">
        <v>7</v>
      </c>
      <c r="L188" s="6" t="s">
        <v>248</v>
      </c>
      <c r="M188" s="6" t="s">
        <v>26</v>
      </c>
      <c r="N188" s="8">
        <v>2.3250131644382568E-2</v>
      </c>
      <c r="O188" s="6" t="s">
        <v>7</v>
      </c>
    </row>
    <row r="189" spans="2:15" x14ac:dyDescent="0.45">
      <c r="B189" s="3" t="s">
        <v>246</v>
      </c>
      <c r="C189" s="3" t="s">
        <v>27</v>
      </c>
      <c r="D189" s="4">
        <v>1.5147855745672716E-2</v>
      </c>
      <c r="E189" s="3" t="s">
        <v>7</v>
      </c>
      <c r="G189" s="3" t="s">
        <v>247</v>
      </c>
      <c r="H189" s="3" t="s">
        <v>27</v>
      </c>
      <c r="I189" s="5">
        <v>2.355739806812799E-2</v>
      </c>
      <c r="J189" s="3" t="s">
        <v>7</v>
      </c>
      <c r="L189" s="3" t="s">
        <v>248</v>
      </c>
      <c r="M189" s="3" t="s">
        <v>27</v>
      </c>
      <c r="N189" s="5">
        <v>2.4196685681876509E-2</v>
      </c>
      <c r="O189" s="3" t="s">
        <v>7</v>
      </c>
    </row>
    <row r="190" spans="2:15" x14ac:dyDescent="0.45">
      <c r="B190" s="6" t="s">
        <v>246</v>
      </c>
      <c r="C190" s="6" t="s">
        <v>28</v>
      </c>
      <c r="D190" s="7">
        <v>5.0410796126538462E-4</v>
      </c>
      <c r="E190" s="6" t="s">
        <v>7</v>
      </c>
      <c r="G190" s="6" t="s">
        <v>247</v>
      </c>
      <c r="H190" s="6" t="s">
        <v>28</v>
      </c>
      <c r="I190" s="8">
        <v>3.3291350261433275E-2</v>
      </c>
      <c r="J190" s="6" t="s">
        <v>7</v>
      </c>
      <c r="L190" s="6" t="s">
        <v>248</v>
      </c>
      <c r="M190" s="6" t="s">
        <v>28</v>
      </c>
      <c r="N190" s="8">
        <v>3.6878159296945393E-2</v>
      </c>
      <c r="O190" s="6" t="s">
        <v>7</v>
      </c>
    </row>
    <row r="191" spans="2:15" x14ac:dyDescent="0.45">
      <c r="B191" s="3" t="s">
        <v>246</v>
      </c>
      <c r="C191" s="3" t="s">
        <v>29</v>
      </c>
      <c r="D191" s="4">
        <v>0</v>
      </c>
      <c r="E191" s="3" t="s">
        <v>7</v>
      </c>
      <c r="G191" s="3" t="s">
        <v>247</v>
      </c>
      <c r="H191" s="3" t="s">
        <v>29</v>
      </c>
      <c r="I191" s="5">
        <v>3.0699777974996623E-2</v>
      </c>
      <c r="J191" s="3" t="s">
        <v>7</v>
      </c>
      <c r="L191" s="3" t="s">
        <v>248</v>
      </c>
      <c r="M191" s="3" t="s">
        <v>29</v>
      </c>
      <c r="N191" s="5">
        <v>3.9942078930503069E-2</v>
      </c>
      <c r="O191" s="3" t="s">
        <v>7</v>
      </c>
    </row>
    <row r="192" spans="2:15" x14ac:dyDescent="0.45">
      <c r="B192" s="6" t="s">
        <v>246</v>
      </c>
      <c r="C192" s="6" t="s">
        <v>30</v>
      </c>
      <c r="D192" s="7">
        <v>5.0628406042520384E-5</v>
      </c>
      <c r="E192" s="6" t="s">
        <v>7</v>
      </c>
      <c r="G192" s="6" t="s">
        <v>247</v>
      </c>
      <c r="H192" s="6" t="s">
        <v>30</v>
      </c>
      <c r="I192" s="8">
        <v>1.2149038798664219E-2</v>
      </c>
      <c r="J192" s="6" t="s">
        <v>7</v>
      </c>
      <c r="L192" s="6" t="s">
        <v>248</v>
      </c>
      <c r="M192" s="6" t="s">
        <v>30</v>
      </c>
      <c r="N192" s="8">
        <v>1.5491010545931338E-2</v>
      </c>
      <c r="O192" s="6" t="s">
        <v>7</v>
      </c>
    </row>
    <row r="193" spans="2:15" x14ac:dyDescent="0.45">
      <c r="B193" s="3" t="s">
        <v>246</v>
      </c>
      <c r="C193" s="3" t="s">
        <v>31</v>
      </c>
      <c r="D193" s="4">
        <v>5.8422487086795521E-3</v>
      </c>
      <c r="E193" s="3" t="s">
        <v>7</v>
      </c>
      <c r="G193" s="3" t="s">
        <v>247</v>
      </c>
      <c r="H193" s="3" t="s">
        <v>31</v>
      </c>
      <c r="I193" s="5">
        <v>1.1919330874762013E-2</v>
      </c>
      <c r="J193" s="3" t="s">
        <v>7</v>
      </c>
      <c r="L193" s="3" t="s">
        <v>248</v>
      </c>
      <c r="M193" s="3" t="s">
        <v>31</v>
      </c>
      <c r="N193" s="5">
        <v>1.5035572984625174E-2</v>
      </c>
      <c r="O193" s="3" t="s">
        <v>7</v>
      </c>
    </row>
    <row r="194" spans="2:15" x14ac:dyDescent="0.45">
      <c r="B194" s="6" t="s">
        <v>246</v>
      </c>
      <c r="C194" s="6" t="s">
        <v>32</v>
      </c>
      <c r="D194" s="7">
        <v>3.5896167789168168E-2</v>
      </c>
      <c r="E194" s="6" t="s">
        <v>7</v>
      </c>
      <c r="G194" s="6" t="s">
        <v>247</v>
      </c>
      <c r="H194" s="6" t="s">
        <v>32</v>
      </c>
      <c r="I194" s="8">
        <v>1.2608810734059592E-2</v>
      </c>
      <c r="J194" s="6" t="s">
        <v>7</v>
      </c>
      <c r="L194" s="6" t="s">
        <v>248</v>
      </c>
      <c r="M194" s="6" t="s">
        <v>32</v>
      </c>
      <c r="N194" s="8">
        <v>1.3985573341777651E-2</v>
      </c>
      <c r="O194" s="6" t="s">
        <v>7</v>
      </c>
    </row>
    <row r="195" spans="2:15" x14ac:dyDescent="0.45">
      <c r="B195" s="3" t="s">
        <v>246</v>
      </c>
      <c r="C195" s="3" t="s">
        <v>33</v>
      </c>
      <c r="D195" s="4">
        <v>6.9596567902362724E-2</v>
      </c>
      <c r="E195" s="3" t="s">
        <v>7</v>
      </c>
      <c r="G195" s="3" t="s">
        <v>247</v>
      </c>
      <c r="H195" s="3" t="s">
        <v>33</v>
      </c>
      <c r="I195" s="5">
        <v>1.3202849329879014E-2</v>
      </c>
      <c r="J195" s="3" t="s">
        <v>7</v>
      </c>
      <c r="L195" s="3" t="s">
        <v>248</v>
      </c>
      <c r="M195" s="3" t="s">
        <v>33</v>
      </c>
      <c r="N195" s="5">
        <v>1.4817153151570868E-2</v>
      </c>
      <c r="O195" s="3" t="s">
        <v>7</v>
      </c>
    </row>
    <row r="196" spans="2:15" x14ac:dyDescent="0.45">
      <c r="B196" s="6" t="s">
        <v>246</v>
      </c>
      <c r="C196" s="6" t="s">
        <v>34</v>
      </c>
      <c r="D196" s="7">
        <v>8.5121980102367309E-2</v>
      </c>
      <c r="E196" s="6" t="s">
        <v>7</v>
      </c>
      <c r="G196" s="6" t="s">
        <v>247</v>
      </c>
      <c r="H196" s="6" t="s">
        <v>34</v>
      </c>
      <c r="I196" s="8">
        <v>1.4128616470118194E-2</v>
      </c>
      <c r="J196" s="6" t="s">
        <v>7</v>
      </c>
      <c r="L196" s="6" t="s">
        <v>248</v>
      </c>
      <c r="M196" s="6" t="s">
        <v>34</v>
      </c>
      <c r="N196" s="8">
        <v>1.5836303558454452E-2</v>
      </c>
      <c r="O196" s="6" t="s">
        <v>7</v>
      </c>
    </row>
    <row r="197" spans="2:15" x14ac:dyDescent="0.45">
      <c r="B197" s="3" t="s">
        <v>246</v>
      </c>
      <c r="C197" s="3" t="s">
        <v>35</v>
      </c>
      <c r="D197" s="4">
        <v>8.1114711391601896E-2</v>
      </c>
      <c r="E197" s="3" t="s">
        <v>7</v>
      </c>
      <c r="G197" s="3" t="s">
        <v>247</v>
      </c>
      <c r="H197" s="3" t="s">
        <v>35</v>
      </c>
      <c r="I197" s="5">
        <v>1.4740183015861998E-2</v>
      </c>
      <c r="J197" s="3" t="s">
        <v>7</v>
      </c>
      <c r="L197" s="3" t="s">
        <v>248</v>
      </c>
      <c r="M197" s="3" t="s">
        <v>35</v>
      </c>
      <c r="N197" s="5">
        <v>1.6851827378943311E-2</v>
      </c>
      <c r="O197" s="3" t="s">
        <v>7</v>
      </c>
    </row>
    <row r="198" spans="2:15" x14ac:dyDescent="0.45">
      <c r="B198" s="6" t="s">
        <v>246</v>
      </c>
      <c r="C198" s="6" t="s">
        <v>36</v>
      </c>
      <c r="D198" s="7">
        <v>5.6729377996967131E-2</v>
      </c>
      <c r="E198" s="6" t="s">
        <v>7</v>
      </c>
      <c r="G198" s="6" t="s">
        <v>247</v>
      </c>
      <c r="H198" s="6" t="s">
        <v>36</v>
      </c>
      <c r="I198" s="8">
        <v>1.4261997847896677E-2</v>
      </c>
      <c r="J198" s="6" t="s">
        <v>7</v>
      </c>
      <c r="L198" s="6" t="s">
        <v>248</v>
      </c>
      <c r="M198" s="6" t="s">
        <v>36</v>
      </c>
      <c r="N198" s="8">
        <v>1.6911247021162416E-2</v>
      </c>
      <c r="O198" s="6" t="s">
        <v>7</v>
      </c>
    </row>
    <row r="199" spans="2:15" x14ac:dyDescent="0.45">
      <c r="B199" s="3" t="s">
        <v>246</v>
      </c>
      <c r="C199" s="3" t="s">
        <v>37</v>
      </c>
      <c r="D199" s="4">
        <v>2.1439480671625724E-2</v>
      </c>
      <c r="E199" s="3" t="s">
        <v>7</v>
      </c>
      <c r="G199" s="3" t="s">
        <v>247</v>
      </c>
      <c r="H199" s="3" t="s">
        <v>37</v>
      </c>
      <c r="I199" s="5">
        <v>1.2899453639518485E-2</v>
      </c>
      <c r="J199" s="3" t="s">
        <v>7</v>
      </c>
      <c r="L199" s="3" t="s">
        <v>248</v>
      </c>
      <c r="M199" s="3" t="s">
        <v>37</v>
      </c>
      <c r="N199" s="5">
        <v>1.6503428827736342E-2</v>
      </c>
      <c r="O199" s="3" t="s">
        <v>7</v>
      </c>
    </row>
    <row r="200" spans="2:15" x14ac:dyDescent="0.45">
      <c r="B200" s="6" t="s">
        <v>246</v>
      </c>
      <c r="C200" s="6" t="s">
        <v>38</v>
      </c>
      <c r="D200" s="7">
        <v>1.8139197709677586E-3</v>
      </c>
      <c r="E200" s="6" t="s">
        <v>7</v>
      </c>
      <c r="G200" s="6" t="s">
        <v>247</v>
      </c>
      <c r="H200" s="6" t="s">
        <v>38</v>
      </c>
      <c r="I200" s="8">
        <v>1.7967860136519725E-2</v>
      </c>
      <c r="J200" s="6" t="s">
        <v>7</v>
      </c>
      <c r="L200" s="6" t="s">
        <v>248</v>
      </c>
      <c r="M200" s="6" t="s">
        <v>38</v>
      </c>
      <c r="N200" s="8">
        <v>2.4267535241756941E-2</v>
      </c>
      <c r="O200" s="6" t="s">
        <v>7</v>
      </c>
    </row>
    <row r="201" spans="2:15" x14ac:dyDescent="0.45">
      <c r="B201" s="3" t="s">
        <v>246</v>
      </c>
      <c r="C201" s="3" t="s">
        <v>39</v>
      </c>
      <c r="D201" s="4">
        <v>0</v>
      </c>
      <c r="E201" s="3" t="s">
        <v>7</v>
      </c>
      <c r="G201" s="3" t="s">
        <v>247</v>
      </c>
      <c r="H201" s="3" t="s">
        <v>39</v>
      </c>
      <c r="I201" s="5">
        <v>4.7034239241574544E-2</v>
      </c>
      <c r="J201" s="3" t="s">
        <v>7</v>
      </c>
      <c r="L201" s="3" t="s">
        <v>248</v>
      </c>
      <c r="M201" s="3" t="s">
        <v>39</v>
      </c>
      <c r="N201" s="5">
        <v>4.800788046527725E-2</v>
      </c>
      <c r="O201" s="3" t="s">
        <v>7</v>
      </c>
    </row>
    <row r="202" spans="2:15" x14ac:dyDescent="0.45">
      <c r="B202" s="6" t="s">
        <v>246</v>
      </c>
      <c r="C202" s="6" t="s">
        <v>40</v>
      </c>
      <c r="D202" s="7">
        <v>0</v>
      </c>
      <c r="E202" s="6" t="s">
        <v>7</v>
      </c>
      <c r="G202" s="6" t="s">
        <v>247</v>
      </c>
      <c r="H202" s="6" t="s">
        <v>40</v>
      </c>
      <c r="I202" s="8">
        <v>1.9599882731278977E-2</v>
      </c>
      <c r="J202" s="6" t="s">
        <v>7</v>
      </c>
      <c r="L202" s="6" t="s">
        <v>248</v>
      </c>
      <c r="M202" s="6" t="s">
        <v>40</v>
      </c>
      <c r="N202" s="8">
        <v>1.9480272428673197E-2</v>
      </c>
      <c r="O202" s="6" t="s">
        <v>7</v>
      </c>
    </row>
    <row r="203" spans="2:15" x14ac:dyDescent="0.45">
      <c r="B203" s="3" t="s">
        <v>246</v>
      </c>
      <c r="C203" s="3" t="s">
        <v>41</v>
      </c>
      <c r="D203" s="4">
        <v>1.2574605855033254E-4</v>
      </c>
      <c r="E203" s="3" t="s">
        <v>7</v>
      </c>
      <c r="G203" s="3" t="s">
        <v>247</v>
      </c>
      <c r="H203" s="3" t="s">
        <v>41</v>
      </c>
      <c r="I203" s="5">
        <v>2.0027617634416999E-2</v>
      </c>
      <c r="J203" s="3" t="s">
        <v>7</v>
      </c>
      <c r="L203" s="3" t="s">
        <v>248</v>
      </c>
      <c r="M203" s="3" t="s">
        <v>41</v>
      </c>
      <c r="N203" s="5">
        <v>1.9630711341572512E-2</v>
      </c>
      <c r="O203" s="3" t="s">
        <v>7</v>
      </c>
    </row>
    <row r="204" spans="2:15" x14ac:dyDescent="0.45">
      <c r="B204" s="6" t="s">
        <v>246</v>
      </c>
      <c r="C204" s="6" t="s">
        <v>42</v>
      </c>
      <c r="D204" s="7">
        <v>1.1772005426448288E-2</v>
      </c>
      <c r="E204" s="6" t="s">
        <v>7</v>
      </c>
      <c r="G204" s="6" t="s">
        <v>247</v>
      </c>
      <c r="H204" s="6" t="s">
        <v>42</v>
      </c>
      <c r="I204" s="8">
        <v>2.0553312807067618E-2</v>
      </c>
      <c r="J204" s="6" t="s">
        <v>7</v>
      </c>
      <c r="L204" s="6" t="s">
        <v>248</v>
      </c>
      <c r="M204" s="6" t="s">
        <v>42</v>
      </c>
      <c r="N204" s="8">
        <v>1.9473866190160515E-2</v>
      </c>
      <c r="O204" s="6" t="s">
        <v>7</v>
      </c>
    </row>
    <row r="205" spans="2:15" x14ac:dyDescent="0.45">
      <c r="B205" s="3" t="s">
        <v>246</v>
      </c>
      <c r="C205" s="3" t="s">
        <v>43</v>
      </c>
      <c r="D205" s="4">
        <v>4.1495154367961321E-2</v>
      </c>
      <c r="E205" s="3" t="s">
        <v>7</v>
      </c>
      <c r="G205" s="3" t="s">
        <v>247</v>
      </c>
      <c r="H205" s="3" t="s">
        <v>43</v>
      </c>
      <c r="I205" s="5">
        <v>2.0810267274409745E-2</v>
      </c>
      <c r="J205" s="3" t="s">
        <v>7</v>
      </c>
      <c r="L205" s="3" t="s">
        <v>248</v>
      </c>
      <c r="M205" s="3" t="s">
        <v>43</v>
      </c>
      <c r="N205" s="5">
        <v>1.9750027487143485E-2</v>
      </c>
      <c r="O205" s="3" t="s">
        <v>7</v>
      </c>
    </row>
    <row r="206" spans="2:15" x14ac:dyDescent="0.45">
      <c r="B206" s="6" t="s">
        <v>246</v>
      </c>
      <c r="C206" s="6" t="s">
        <v>44</v>
      </c>
      <c r="D206" s="7">
        <v>5.6462087524278018E-2</v>
      </c>
      <c r="E206" s="6" t="s">
        <v>7</v>
      </c>
      <c r="G206" s="6" t="s">
        <v>247</v>
      </c>
      <c r="H206" s="6" t="s">
        <v>44</v>
      </c>
      <c r="I206" s="8">
        <v>2.1184486896262962E-2</v>
      </c>
      <c r="J206" s="6" t="s">
        <v>7</v>
      </c>
      <c r="L206" s="6" t="s">
        <v>248</v>
      </c>
      <c r="M206" s="6" t="s">
        <v>44</v>
      </c>
      <c r="N206" s="8">
        <v>2.017927387505981E-2</v>
      </c>
      <c r="O206" s="6" t="s">
        <v>7</v>
      </c>
    </row>
    <row r="207" spans="2:15" x14ac:dyDescent="0.45">
      <c r="B207" s="3" t="s">
        <v>246</v>
      </c>
      <c r="C207" s="3" t="s">
        <v>45</v>
      </c>
      <c r="D207" s="4">
        <v>4.8656563069950622E-2</v>
      </c>
      <c r="E207" s="3" t="s">
        <v>7</v>
      </c>
      <c r="G207" s="3" t="s">
        <v>247</v>
      </c>
      <c r="H207" s="3" t="s">
        <v>45</v>
      </c>
      <c r="I207" s="5">
        <v>2.1079576364529562E-2</v>
      </c>
      <c r="J207" s="3" t="s">
        <v>7</v>
      </c>
      <c r="L207" s="3" t="s">
        <v>248</v>
      </c>
      <c r="M207" s="3" t="s">
        <v>45</v>
      </c>
      <c r="N207" s="5">
        <v>2.0167719433855626E-2</v>
      </c>
      <c r="O207" s="3" t="s">
        <v>7</v>
      </c>
    </row>
    <row r="208" spans="2:15" x14ac:dyDescent="0.45">
      <c r="B208" s="6" t="s">
        <v>246</v>
      </c>
      <c r="C208" s="6" t="s">
        <v>46</v>
      </c>
      <c r="D208" s="7">
        <v>2.1956822629221905E-2</v>
      </c>
      <c r="E208" s="6" t="s">
        <v>7</v>
      </c>
      <c r="G208" s="6" t="s">
        <v>247</v>
      </c>
      <c r="H208" s="6" t="s">
        <v>46</v>
      </c>
      <c r="I208" s="8">
        <v>1.9920365878042866E-2</v>
      </c>
      <c r="J208" s="6" t="s">
        <v>7</v>
      </c>
      <c r="L208" s="6" t="s">
        <v>248</v>
      </c>
      <c r="M208" s="6" t="s">
        <v>46</v>
      </c>
      <c r="N208" s="8">
        <v>1.9698080423373988E-2</v>
      </c>
      <c r="O208" s="6" t="s">
        <v>7</v>
      </c>
    </row>
    <row r="209" spans="2:15" x14ac:dyDescent="0.45">
      <c r="B209" s="3" t="s">
        <v>246</v>
      </c>
      <c r="C209" s="3" t="s">
        <v>47</v>
      </c>
      <c r="D209" s="4">
        <v>2.1912251446364172E-3</v>
      </c>
      <c r="E209" s="3" t="s">
        <v>7</v>
      </c>
      <c r="G209" s="3" t="s">
        <v>247</v>
      </c>
      <c r="H209" s="3" t="s">
        <v>47</v>
      </c>
      <c r="I209" s="5">
        <v>1.8901102836607328E-2</v>
      </c>
      <c r="J209" s="3" t="s">
        <v>7</v>
      </c>
      <c r="L209" s="3" t="s">
        <v>248</v>
      </c>
      <c r="M209" s="3" t="s">
        <v>47</v>
      </c>
      <c r="N209" s="5">
        <v>1.9023275542336866E-2</v>
      </c>
      <c r="O209" s="3" t="s">
        <v>7</v>
      </c>
    </row>
    <row r="210" spans="2:15" x14ac:dyDescent="0.45">
      <c r="B210" s="6" t="s">
        <v>246</v>
      </c>
      <c r="C210" s="6" t="s">
        <v>48</v>
      </c>
      <c r="D210" s="7">
        <v>0</v>
      </c>
      <c r="E210" s="6" t="s">
        <v>7</v>
      </c>
      <c r="G210" s="6" t="s">
        <v>247</v>
      </c>
      <c r="H210" s="6" t="s">
        <v>48</v>
      </c>
      <c r="I210" s="8">
        <v>2.8069914154604209E-2</v>
      </c>
      <c r="J210" s="6" t="s">
        <v>7</v>
      </c>
      <c r="L210" s="6" t="s">
        <v>248</v>
      </c>
      <c r="M210" s="6" t="s">
        <v>48</v>
      </c>
      <c r="N210" s="8">
        <v>2.8247621942405498E-2</v>
      </c>
      <c r="O210" s="6" t="s">
        <v>7</v>
      </c>
    </row>
    <row r="211" spans="2:15" x14ac:dyDescent="0.45">
      <c r="B211" s="3" t="s">
        <v>249</v>
      </c>
      <c r="C211" s="3" t="s">
        <v>6</v>
      </c>
      <c r="D211" s="4">
        <v>0</v>
      </c>
      <c r="E211" s="3" t="s">
        <v>7</v>
      </c>
      <c r="G211" s="3" t="s">
        <v>250</v>
      </c>
      <c r="H211" s="3" t="s">
        <v>6</v>
      </c>
      <c r="I211" s="5">
        <v>6.8679773500886693E-2</v>
      </c>
      <c r="J211" s="3" t="s">
        <v>7</v>
      </c>
      <c r="L211" s="3" t="s">
        <v>251</v>
      </c>
      <c r="M211" s="3" t="s">
        <v>6</v>
      </c>
      <c r="N211" s="5">
        <v>6.225938327162657E-2</v>
      </c>
      <c r="O211" s="3" t="s">
        <v>7</v>
      </c>
    </row>
    <row r="212" spans="2:15" x14ac:dyDescent="0.45">
      <c r="B212" s="6" t="s">
        <v>249</v>
      </c>
      <c r="C212" s="6" t="s">
        <v>10</v>
      </c>
      <c r="D212" s="7">
        <v>0</v>
      </c>
      <c r="E212" s="6" t="s">
        <v>7</v>
      </c>
      <c r="G212" s="6" t="s">
        <v>250</v>
      </c>
      <c r="H212" s="6" t="s">
        <v>10</v>
      </c>
      <c r="I212" s="8">
        <v>2.5970113234297178E-2</v>
      </c>
      <c r="J212" s="6" t="s">
        <v>7</v>
      </c>
      <c r="L212" s="6" t="s">
        <v>251</v>
      </c>
      <c r="M212" s="6" t="s">
        <v>10</v>
      </c>
      <c r="N212" s="8">
        <v>2.4564846652756659E-2</v>
      </c>
      <c r="O212" s="6" t="s">
        <v>7</v>
      </c>
    </row>
    <row r="213" spans="2:15" x14ac:dyDescent="0.45">
      <c r="B213" s="3" t="s">
        <v>249</v>
      </c>
      <c r="C213" s="3" t="s">
        <v>11</v>
      </c>
      <c r="D213" s="4">
        <v>0</v>
      </c>
      <c r="E213" s="3" t="s">
        <v>7</v>
      </c>
      <c r="G213" s="3" t="s">
        <v>250</v>
      </c>
      <c r="H213" s="3" t="s">
        <v>11</v>
      </c>
      <c r="I213" s="5">
        <v>2.5661205380670626E-2</v>
      </c>
      <c r="J213" s="3" t="s">
        <v>7</v>
      </c>
      <c r="L213" s="3" t="s">
        <v>251</v>
      </c>
      <c r="M213" s="3" t="s">
        <v>11</v>
      </c>
      <c r="N213" s="5">
        <v>2.4635274519185853E-2</v>
      </c>
      <c r="O213" s="3" t="s">
        <v>7</v>
      </c>
    </row>
    <row r="214" spans="2:15" x14ac:dyDescent="0.45">
      <c r="B214" s="6" t="s">
        <v>249</v>
      </c>
      <c r="C214" s="6" t="s">
        <v>12</v>
      </c>
      <c r="D214" s="7">
        <v>1.9697308605691392E-3</v>
      </c>
      <c r="E214" s="6" t="s">
        <v>7</v>
      </c>
      <c r="G214" s="6" t="s">
        <v>250</v>
      </c>
      <c r="H214" s="6" t="s">
        <v>12</v>
      </c>
      <c r="I214" s="8">
        <v>2.645901344152176E-2</v>
      </c>
      <c r="J214" s="6" t="s">
        <v>7</v>
      </c>
      <c r="L214" s="6" t="s">
        <v>251</v>
      </c>
      <c r="M214" s="6" t="s">
        <v>12</v>
      </c>
      <c r="N214" s="8">
        <v>2.420287101276886E-2</v>
      </c>
      <c r="O214" s="6" t="s">
        <v>7</v>
      </c>
    </row>
    <row r="215" spans="2:15" x14ac:dyDescent="0.45">
      <c r="B215" s="3" t="s">
        <v>249</v>
      </c>
      <c r="C215" s="3" t="s">
        <v>13</v>
      </c>
      <c r="D215" s="4">
        <v>2.5029879601078941E-2</v>
      </c>
      <c r="E215" s="3" t="s">
        <v>7</v>
      </c>
      <c r="G215" s="3" t="s">
        <v>250</v>
      </c>
      <c r="H215" s="3" t="s">
        <v>13</v>
      </c>
      <c r="I215" s="5">
        <v>2.669119630734584E-2</v>
      </c>
      <c r="J215" s="3" t="s">
        <v>7</v>
      </c>
      <c r="L215" s="3" t="s">
        <v>251</v>
      </c>
      <c r="M215" s="3" t="s">
        <v>13</v>
      </c>
      <c r="N215" s="5">
        <v>2.4540870180608E-2</v>
      </c>
      <c r="O215" s="3" t="s">
        <v>7</v>
      </c>
    </row>
    <row r="216" spans="2:15" x14ac:dyDescent="0.45">
      <c r="B216" s="6" t="s">
        <v>249</v>
      </c>
      <c r="C216" s="6" t="s">
        <v>14</v>
      </c>
      <c r="D216" s="7">
        <v>4.3453219179239035E-2</v>
      </c>
      <c r="E216" s="6" t="s">
        <v>7</v>
      </c>
      <c r="G216" s="6" t="s">
        <v>250</v>
      </c>
      <c r="H216" s="6" t="s">
        <v>14</v>
      </c>
      <c r="I216" s="8">
        <v>2.7593468916157302E-2</v>
      </c>
      <c r="J216" s="6" t="s">
        <v>7</v>
      </c>
      <c r="L216" s="6" t="s">
        <v>251</v>
      </c>
      <c r="M216" s="6" t="s">
        <v>14</v>
      </c>
      <c r="N216" s="8">
        <v>2.4749480209493527E-2</v>
      </c>
      <c r="O216" s="6" t="s">
        <v>7</v>
      </c>
    </row>
    <row r="217" spans="2:15" x14ac:dyDescent="0.45">
      <c r="B217" s="3" t="s">
        <v>249</v>
      </c>
      <c r="C217" s="3" t="s">
        <v>15</v>
      </c>
      <c r="D217" s="4">
        <v>3.7057519618909296E-2</v>
      </c>
      <c r="E217" s="3" t="s">
        <v>7</v>
      </c>
      <c r="G217" s="3" t="s">
        <v>250</v>
      </c>
      <c r="H217" s="3" t="s">
        <v>15</v>
      </c>
      <c r="I217" s="5">
        <v>2.7994378083145064E-2</v>
      </c>
      <c r="J217" s="3" t="s">
        <v>7</v>
      </c>
      <c r="L217" s="3" t="s">
        <v>251</v>
      </c>
      <c r="M217" s="3" t="s">
        <v>15</v>
      </c>
      <c r="N217" s="5">
        <v>2.5094236672699038E-2</v>
      </c>
      <c r="O217" s="3" t="s">
        <v>7</v>
      </c>
    </row>
    <row r="218" spans="2:15" x14ac:dyDescent="0.45">
      <c r="B218" s="6" t="s">
        <v>249</v>
      </c>
      <c r="C218" s="6" t="s">
        <v>16</v>
      </c>
      <c r="D218" s="7">
        <v>1.3523870512733963E-2</v>
      </c>
      <c r="E218" s="6" t="s">
        <v>7</v>
      </c>
      <c r="G218" s="6" t="s">
        <v>250</v>
      </c>
      <c r="H218" s="6" t="s">
        <v>16</v>
      </c>
      <c r="I218" s="8">
        <v>2.7578484799985033E-2</v>
      </c>
      <c r="J218" s="6" t="s">
        <v>7</v>
      </c>
      <c r="L218" s="6" t="s">
        <v>251</v>
      </c>
      <c r="M218" s="6" t="s">
        <v>16</v>
      </c>
      <c r="N218" s="8">
        <v>2.5528026766359315E-2</v>
      </c>
      <c r="O218" s="6" t="s">
        <v>7</v>
      </c>
    </row>
    <row r="219" spans="2:15" x14ac:dyDescent="0.45">
      <c r="B219" s="3" t="s">
        <v>249</v>
      </c>
      <c r="C219" s="3" t="s">
        <v>17</v>
      </c>
      <c r="D219" s="4">
        <v>4.8864198477836991E-4</v>
      </c>
      <c r="E219" s="3" t="s">
        <v>7</v>
      </c>
      <c r="G219" s="3" t="s">
        <v>250</v>
      </c>
      <c r="H219" s="3" t="s">
        <v>17</v>
      </c>
      <c r="I219" s="5">
        <v>2.7633664993171349E-2</v>
      </c>
      <c r="J219" s="3" t="s">
        <v>7</v>
      </c>
      <c r="L219" s="3" t="s">
        <v>251</v>
      </c>
      <c r="M219" s="3" t="s">
        <v>17</v>
      </c>
      <c r="N219" s="5">
        <v>2.5445536694760944E-2</v>
      </c>
      <c r="O219" s="3" t="s">
        <v>7</v>
      </c>
    </row>
    <row r="220" spans="2:15" x14ac:dyDescent="0.45">
      <c r="B220" s="6" t="s">
        <v>249</v>
      </c>
      <c r="C220" s="6" t="s">
        <v>18</v>
      </c>
      <c r="D220" s="7">
        <v>0</v>
      </c>
      <c r="E220" s="6" t="s">
        <v>7</v>
      </c>
      <c r="G220" s="6" t="s">
        <v>250</v>
      </c>
      <c r="H220" s="6" t="s">
        <v>18</v>
      </c>
      <c r="I220" s="8">
        <v>4.3166186575645728E-2</v>
      </c>
      <c r="J220" s="6" t="s">
        <v>7</v>
      </c>
      <c r="L220" s="6" t="s">
        <v>251</v>
      </c>
      <c r="M220" s="6" t="s">
        <v>18</v>
      </c>
      <c r="N220" s="8">
        <v>3.897495320577346E-2</v>
      </c>
      <c r="O220" s="6" t="s">
        <v>7</v>
      </c>
    </row>
    <row r="221" spans="2:15" x14ac:dyDescent="0.45">
      <c r="B221" s="3" t="s">
        <v>249</v>
      </c>
      <c r="C221" s="3" t="s">
        <v>19</v>
      </c>
      <c r="D221" s="4">
        <v>0</v>
      </c>
      <c r="E221" s="3" t="s">
        <v>7</v>
      </c>
      <c r="G221" s="3" t="s">
        <v>250</v>
      </c>
      <c r="H221" s="3" t="s">
        <v>19</v>
      </c>
      <c r="I221" s="5">
        <v>5.7404954411700751E-2</v>
      </c>
      <c r="J221" s="3" t="s">
        <v>7</v>
      </c>
      <c r="L221" s="3" t="s">
        <v>251</v>
      </c>
      <c r="M221" s="3" t="s">
        <v>19</v>
      </c>
      <c r="N221" s="5">
        <v>5.7257220479338469E-2</v>
      </c>
      <c r="O221" s="3" t="s">
        <v>7</v>
      </c>
    </row>
    <row r="222" spans="2:15" x14ac:dyDescent="0.45">
      <c r="B222" s="6" t="s">
        <v>249</v>
      </c>
      <c r="C222" s="6" t="s">
        <v>20</v>
      </c>
      <c r="D222" s="7">
        <v>6.5612736191581888E-6</v>
      </c>
      <c r="E222" s="6" t="s">
        <v>7</v>
      </c>
      <c r="G222" s="6" t="s">
        <v>250</v>
      </c>
      <c r="H222" s="6" t="s">
        <v>20</v>
      </c>
      <c r="I222" s="8">
        <v>2.3154480334385767E-2</v>
      </c>
      <c r="J222" s="6" t="s">
        <v>7</v>
      </c>
      <c r="L222" s="6" t="s">
        <v>251</v>
      </c>
      <c r="M222" s="6" t="s">
        <v>20</v>
      </c>
      <c r="N222" s="8">
        <v>2.3727802873942459E-2</v>
      </c>
      <c r="O222" s="6" t="s">
        <v>7</v>
      </c>
    </row>
    <row r="223" spans="2:15" x14ac:dyDescent="0.45">
      <c r="B223" s="3" t="s">
        <v>249</v>
      </c>
      <c r="C223" s="3" t="s">
        <v>21</v>
      </c>
      <c r="D223" s="4">
        <v>3.3132338679685829E-3</v>
      </c>
      <c r="E223" s="3" t="s">
        <v>7</v>
      </c>
      <c r="G223" s="3" t="s">
        <v>250</v>
      </c>
      <c r="H223" s="3" t="s">
        <v>21</v>
      </c>
      <c r="I223" s="5">
        <v>2.3050838877414503E-2</v>
      </c>
      <c r="J223" s="3" t="s">
        <v>7</v>
      </c>
      <c r="L223" s="3" t="s">
        <v>251</v>
      </c>
      <c r="M223" s="3" t="s">
        <v>21</v>
      </c>
      <c r="N223" s="5">
        <v>2.417011441687757E-2</v>
      </c>
      <c r="O223" s="3" t="s">
        <v>7</v>
      </c>
    </row>
    <row r="224" spans="2:15" x14ac:dyDescent="0.45">
      <c r="B224" s="6" t="s">
        <v>249</v>
      </c>
      <c r="C224" s="6" t="s">
        <v>22</v>
      </c>
      <c r="D224" s="7">
        <v>3.2375966387805613E-2</v>
      </c>
      <c r="E224" s="6" t="s">
        <v>7</v>
      </c>
      <c r="G224" s="6" t="s">
        <v>250</v>
      </c>
      <c r="H224" s="6" t="s">
        <v>22</v>
      </c>
      <c r="I224" s="8">
        <v>2.4266929036237003E-2</v>
      </c>
      <c r="J224" s="6" t="s">
        <v>7</v>
      </c>
      <c r="L224" s="6" t="s">
        <v>251</v>
      </c>
      <c r="M224" s="6" t="s">
        <v>22</v>
      </c>
      <c r="N224" s="8">
        <v>2.2762770561740191E-2</v>
      </c>
      <c r="O224" s="6" t="s">
        <v>7</v>
      </c>
    </row>
    <row r="225" spans="2:15" x14ac:dyDescent="0.45">
      <c r="B225" s="3" t="s">
        <v>249</v>
      </c>
      <c r="C225" s="3" t="s">
        <v>23</v>
      </c>
      <c r="D225" s="4">
        <v>6.8025350130810375E-2</v>
      </c>
      <c r="E225" s="3" t="s">
        <v>7</v>
      </c>
      <c r="G225" s="3" t="s">
        <v>250</v>
      </c>
      <c r="H225" s="3" t="s">
        <v>23</v>
      </c>
      <c r="I225" s="5">
        <v>2.5530680057572079E-2</v>
      </c>
      <c r="J225" s="3" t="s">
        <v>7</v>
      </c>
      <c r="L225" s="3" t="s">
        <v>251</v>
      </c>
      <c r="M225" s="3" t="s">
        <v>23</v>
      </c>
      <c r="N225" s="5">
        <v>2.149287387327788E-2</v>
      </c>
      <c r="O225" s="3" t="s">
        <v>7</v>
      </c>
    </row>
    <row r="226" spans="2:15" x14ac:dyDescent="0.45">
      <c r="B226" s="6" t="s">
        <v>249</v>
      </c>
      <c r="C226" s="6" t="s">
        <v>24</v>
      </c>
      <c r="D226" s="7">
        <v>8.5027053650310477E-2</v>
      </c>
      <c r="E226" s="6" t="s">
        <v>7</v>
      </c>
      <c r="G226" s="6" t="s">
        <v>250</v>
      </c>
      <c r="H226" s="6" t="s">
        <v>24</v>
      </c>
      <c r="I226" s="8">
        <v>2.5657084894894704E-2</v>
      </c>
      <c r="J226" s="6" t="s">
        <v>7</v>
      </c>
      <c r="L226" s="6" t="s">
        <v>251</v>
      </c>
      <c r="M226" s="6" t="s">
        <v>24</v>
      </c>
      <c r="N226" s="8">
        <v>2.1160451334912476E-2</v>
      </c>
      <c r="O226" s="6" t="s">
        <v>7</v>
      </c>
    </row>
    <row r="227" spans="2:15" x14ac:dyDescent="0.45">
      <c r="B227" s="3" t="s">
        <v>249</v>
      </c>
      <c r="C227" s="3" t="s">
        <v>25</v>
      </c>
      <c r="D227" s="4">
        <v>7.80476154762271E-2</v>
      </c>
      <c r="E227" s="3" t="s">
        <v>7</v>
      </c>
      <c r="G227" s="3" t="s">
        <v>250</v>
      </c>
      <c r="H227" s="3" t="s">
        <v>25</v>
      </c>
      <c r="I227" s="5">
        <v>2.5618889173092466E-2</v>
      </c>
      <c r="J227" s="3" t="s">
        <v>7</v>
      </c>
      <c r="L227" s="3" t="s">
        <v>251</v>
      </c>
      <c r="M227" s="3" t="s">
        <v>25</v>
      </c>
      <c r="N227" s="5">
        <v>2.1218153701714745E-2</v>
      </c>
      <c r="O227" s="3" t="s">
        <v>7</v>
      </c>
    </row>
    <row r="228" spans="2:15" x14ac:dyDescent="0.45">
      <c r="B228" s="6" t="s">
        <v>249</v>
      </c>
      <c r="C228" s="6" t="s">
        <v>26</v>
      </c>
      <c r="D228" s="7">
        <v>5.0524240907500503E-2</v>
      </c>
      <c r="E228" s="6" t="s">
        <v>7</v>
      </c>
      <c r="G228" s="6" t="s">
        <v>250</v>
      </c>
      <c r="H228" s="6" t="s">
        <v>26</v>
      </c>
      <c r="I228" s="8">
        <v>2.4794580022600203E-2</v>
      </c>
      <c r="J228" s="6" t="s">
        <v>7</v>
      </c>
      <c r="L228" s="6" t="s">
        <v>251</v>
      </c>
      <c r="M228" s="6" t="s">
        <v>26</v>
      </c>
      <c r="N228" s="8">
        <v>2.1373874984546338E-2</v>
      </c>
      <c r="O228" s="6" t="s">
        <v>7</v>
      </c>
    </row>
    <row r="229" spans="2:15" x14ac:dyDescent="0.45">
      <c r="B229" s="3" t="s">
        <v>249</v>
      </c>
      <c r="C229" s="3" t="s">
        <v>27</v>
      </c>
      <c r="D229" s="4">
        <v>1.3603751284259927E-2</v>
      </c>
      <c r="E229" s="3" t="s">
        <v>7</v>
      </c>
      <c r="G229" s="3" t="s">
        <v>250</v>
      </c>
      <c r="H229" s="3" t="s">
        <v>27</v>
      </c>
      <c r="I229" s="5">
        <v>2.2475180708745775E-2</v>
      </c>
      <c r="J229" s="3" t="s">
        <v>7</v>
      </c>
      <c r="L229" s="3" t="s">
        <v>251</v>
      </c>
      <c r="M229" s="3" t="s">
        <v>27</v>
      </c>
      <c r="N229" s="5">
        <v>2.1957995358276888E-2</v>
      </c>
      <c r="O229" s="3" t="s">
        <v>7</v>
      </c>
    </row>
    <row r="230" spans="2:15" x14ac:dyDescent="0.45">
      <c r="B230" s="6" t="s">
        <v>249</v>
      </c>
      <c r="C230" s="6" t="s">
        <v>28</v>
      </c>
      <c r="D230" s="7">
        <v>4.1427628664354564E-4</v>
      </c>
      <c r="E230" s="6" t="s">
        <v>7</v>
      </c>
      <c r="G230" s="6" t="s">
        <v>250</v>
      </c>
      <c r="H230" s="6" t="s">
        <v>28</v>
      </c>
      <c r="I230" s="8">
        <v>3.3770099896693828E-2</v>
      </c>
      <c r="J230" s="6" t="s">
        <v>7</v>
      </c>
      <c r="L230" s="6" t="s">
        <v>251</v>
      </c>
      <c r="M230" s="6" t="s">
        <v>28</v>
      </c>
      <c r="N230" s="8">
        <v>3.3550609855687322E-2</v>
      </c>
      <c r="O230" s="6" t="s">
        <v>7</v>
      </c>
    </row>
    <row r="231" spans="2:15" x14ac:dyDescent="0.45">
      <c r="B231" s="3" t="s">
        <v>249</v>
      </c>
      <c r="C231" s="3" t="s">
        <v>29</v>
      </c>
      <c r="D231" s="4">
        <v>0</v>
      </c>
      <c r="E231" s="3" t="s">
        <v>7</v>
      </c>
      <c r="G231" s="3" t="s">
        <v>250</v>
      </c>
      <c r="H231" s="3" t="s">
        <v>29</v>
      </c>
      <c r="I231" s="5">
        <v>2.8656104386862717E-2</v>
      </c>
      <c r="J231" s="3" t="s">
        <v>7</v>
      </c>
      <c r="L231" s="3" t="s">
        <v>251</v>
      </c>
      <c r="M231" s="3" t="s">
        <v>29</v>
      </c>
      <c r="N231" s="5">
        <v>3.4803427187438438E-2</v>
      </c>
      <c r="O231" s="3" t="s">
        <v>7</v>
      </c>
    </row>
    <row r="232" spans="2:15" x14ac:dyDescent="0.45">
      <c r="B232" s="6" t="s">
        <v>249</v>
      </c>
      <c r="C232" s="6" t="s">
        <v>30</v>
      </c>
      <c r="D232" s="7">
        <v>7.5489251271238674E-5</v>
      </c>
      <c r="E232" s="6" t="s">
        <v>7</v>
      </c>
      <c r="G232" s="6" t="s">
        <v>250</v>
      </c>
      <c r="H232" s="6" t="s">
        <v>30</v>
      </c>
      <c r="I232" s="8">
        <v>1.152839712163301E-2</v>
      </c>
      <c r="J232" s="6" t="s">
        <v>7</v>
      </c>
      <c r="L232" s="6" t="s">
        <v>251</v>
      </c>
      <c r="M232" s="6" t="s">
        <v>30</v>
      </c>
      <c r="N232" s="8">
        <v>1.3204501504230493E-2</v>
      </c>
      <c r="O232" s="6" t="s">
        <v>7</v>
      </c>
    </row>
    <row r="233" spans="2:15" x14ac:dyDescent="0.45">
      <c r="B233" s="3" t="s">
        <v>249</v>
      </c>
      <c r="C233" s="3" t="s">
        <v>31</v>
      </c>
      <c r="D233" s="4">
        <v>6.4974036174897569E-3</v>
      </c>
      <c r="E233" s="3" t="s">
        <v>7</v>
      </c>
      <c r="G233" s="3" t="s">
        <v>250</v>
      </c>
      <c r="H233" s="3" t="s">
        <v>31</v>
      </c>
      <c r="I233" s="5">
        <v>1.1450953906340216E-2</v>
      </c>
      <c r="J233" s="3" t="s">
        <v>7</v>
      </c>
      <c r="L233" s="3" t="s">
        <v>251</v>
      </c>
      <c r="M233" s="3" t="s">
        <v>31</v>
      </c>
      <c r="N233" s="5">
        <v>1.2801029793755903E-2</v>
      </c>
      <c r="O233" s="3" t="s">
        <v>7</v>
      </c>
    </row>
    <row r="234" spans="2:15" x14ac:dyDescent="0.45">
      <c r="B234" s="6" t="s">
        <v>249</v>
      </c>
      <c r="C234" s="6" t="s">
        <v>32</v>
      </c>
      <c r="D234" s="7">
        <v>3.8859516785884153E-2</v>
      </c>
      <c r="E234" s="6" t="s">
        <v>7</v>
      </c>
      <c r="G234" s="6" t="s">
        <v>250</v>
      </c>
      <c r="H234" s="6" t="s">
        <v>32</v>
      </c>
      <c r="I234" s="8">
        <v>1.2023268124894026E-2</v>
      </c>
      <c r="J234" s="6" t="s">
        <v>7</v>
      </c>
      <c r="L234" s="6" t="s">
        <v>251</v>
      </c>
      <c r="M234" s="6" t="s">
        <v>32</v>
      </c>
      <c r="N234" s="8">
        <v>1.2374584903888292E-2</v>
      </c>
      <c r="O234" s="6" t="s">
        <v>7</v>
      </c>
    </row>
    <row r="235" spans="2:15" x14ac:dyDescent="0.45">
      <c r="B235" s="3" t="s">
        <v>249</v>
      </c>
      <c r="C235" s="3" t="s">
        <v>33</v>
      </c>
      <c r="D235" s="4">
        <v>7.0807535697523391E-2</v>
      </c>
      <c r="E235" s="3" t="s">
        <v>7</v>
      </c>
      <c r="G235" s="3" t="s">
        <v>250</v>
      </c>
      <c r="H235" s="3" t="s">
        <v>33</v>
      </c>
      <c r="I235" s="5">
        <v>1.2317755532893248E-2</v>
      </c>
      <c r="J235" s="3" t="s">
        <v>7</v>
      </c>
      <c r="L235" s="3" t="s">
        <v>251</v>
      </c>
      <c r="M235" s="3" t="s">
        <v>33</v>
      </c>
      <c r="N235" s="5">
        <v>1.398920183586337E-2</v>
      </c>
      <c r="O235" s="3" t="s">
        <v>7</v>
      </c>
    </row>
    <row r="236" spans="2:15" x14ac:dyDescent="0.45">
      <c r="B236" s="6" t="s">
        <v>249</v>
      </c>
      <c r="C236" s="6" t="s">
        <v>34</v>
      </c>
      <c r="D236" s="7">
        <v>8.3809415361581055E-2</v>
      </c>
      <c r="E236" s="6" t="s">
        <v>7</v>
      </c>
      <c r="G236" s="6" t="s">
        <v>250</v>
      </c>
      <c r="H236" s="6" t="s">
        <v>34</v>
      </c>
      <c r="I236" s="8">
        <v>1.3898079940987367E-2</v>
      </c>
      <c r="J236" s="6" t="s">
        <v>7</v>
      </c>
      <c r="L236" s="6" t="s">
        <v>251</v>
      </c>
      <c r="M236" s="6" t="s">
        <v>34</v>
      </c>
      <c r="N236" s="8">
        <v>1.6002895950418421E-2</v>
      </c>
      <c r="O236" s="6" t="s">
        <v>7</v>
      </c>
    </row>
    <row r="237" spans="2:15" x14ac:dyDescent="0.45">
      <c r="B237" s="3" t="s">
        <v>249</v>
      </c>
      <c r="C237" s="3" t="s">
        <v>35</v>
      </c>
      <c r="D237" s="4">
        <v>8.0759525209983363E-2</v>
      </c>
      <c r="E237" s="3" t="s">
        <v>7</v>
      </c>
      <c r="G237" s="3" t="s">
        <v>250</v>
      </c>
      <c r="H237" s="3" t="s">
        <v>35</v>
      </c>
      <c r="I237" s="5">
        <v>1.4734309187982205E-2</v>
      </c>
      <c r="J237" s="3" t="s">
        <v>7</v>
      </c>
      <c r="L237" s="3" t="s">
        <v>251</v>
      </c>
      <c r="M237" s="3" t="s">
        <v>35</v>
      </c>
      <c r="N237" s="5">
        <v>1.761483967996353E-2</v>
      </c>
      <c r="O237" s="3" t="s">
        <v>7</v>
      </c>
    </row>
    <row r="238" spans="2:15" x14ac:dyDescent="0.45">
      <c r="B238" s="6" t="s">
        <v>249</v>
      </c>
      <c r="C238" s="6" t="s">
        <v>36</v>
      </c>
      <c r="D238" s="7">
        <v>5.5848744755901965E-2</v>
      </c>
      <c r="E238" s="6" t="s">
        <v>7</v>
      </c>
      <c r="G238" s="6" t="s">
        <v>250</v>
      </c>
      <c r="H238" s="6" t="s">
        <v>36</v>
      </c>
      <c r="I238" s="8">
        <v>1.4389914916976493E-2</v>
      </c>
      <c r="J238" s="6" t="s">
        <v>7</v>
      </c>
      <c r="L238" s="6" t="s">
        <v>251</v>
      </c>
      <c r="M238" s="6" t="s">
        <v>36</v>
      </c>
      <c r="N238" s="8">
        <v>1.7857145305462379E-2</v>
      </c>
      <c r="O238" s="6" t="s">
        <v>7</v>
      </c>
    </row>
    <row r="239" spans="2:15" x14ac:dyDescent="0.45">
      <c r="B239" s="3" t="s">
        <v>249</v>
      </c>
      <c r="C239" s="3" t="s">
        <v>37</v>
      </c>
      <c r="D239" s="4">
        <v>2.0067913411892565E-2</v>
      </c>
      <c r="E239" s="3" t="s">
        <v>7</v>
      </c>
      <c r="G239" s="3" t="s">
        <v>250</v>
      </c>
      <c r="H239" s="3" t="s">
        <v>37</v>
      </c>
      <c r="I239" s="5">
        <v>1.2422039252541971E-2</v>
      </c>
      <c r="J239" s="3" t="s">
        <v>7</v>
      </c>
      <c r="L239" s="3" t="s">
        <v>251</v>
      </c>
      <c r="M239" s="3" t="s">
        <v>37</v>
      </c>
      <c r="N239" s="5">
        <v>1.7297622962021864E-2</v>
      </c>
      <c r="O239" s="3" t="s">
        <v>7</v>
      </c>
    </row>
    <row r="240" spans="2:15" x14ac:dyDescent="0.45">
      <c r="B240" s="6" t="s">
        <v>249</v>
      </c>
      <c r="C240" s="6" t="s">
        <v>38</v>
      </c>
      <c r="D240" s="7">
        <v>1.483003257397748E-3</v>
      </c>
      <c r="E240" s="6" t="s">
        <v>7</v>
      </c>
      <c r="G240" s="6" t="s">
        <v>250</v>
      </c>
      <c r="H240" s="6" t="s">
        <v>38</v>
      </c>
      <c r="I240" s="8">
        <v>1.7701465550853682E-2</v>
      </c>
      <c r="J240" s="6" t="s">
        <v>7</v>
      </c>
      <c r="L240" s="6" t="s">
        <v>251</v>
      </c>
      <c r="M240" s="6" t="s">
        <v>38</v>
      </c>
      <c r="N240" s="8">
        <v>2.3951494247374045E-2</v>
      </c>
      <c r="O240" s="6" t="s">
        <v>7</v>
      </c>
    </row>
    <row r="241" spans="2:15" x14ac:dyDescent="0.45">
      <c r="B241" s="3" t="s">
        <v>249</v>
      </c>
      <c r="C241" s="3" t="s">
        <v>39</v>
      </c>
      <c r="D241" s="4">
        <v>0</v>
      </c>
      <c r="E241" s="3" t="s">
        <v>7</v>
      </c>
      <c r="G241" s="3" t="s">
        <v>250</v>
      </c>
      <c r="H241" s="3" t="s">
        <v>39</v>
      </c>
      <c r="I241" s="5">
        <v>4.7216950720388048E-2</v>
      </c>
      <c r="J241" s="3" t="s">
        <v>7</v>
      </c>
      <c r="L241" s="3" t="s">
        <v>251</v>
      </c>
      <c r="M241" s="3" t="s">
        <v>39</v>
      </c>
      <c r="N241" s="5">
        <v>5.0908948228787894E-2</v>
      </c>
      <c r="O241" s="3" t="s">
        <v>7</v>
      </c>
    </row>
    <row r="242" spans="2:15" x14ac:dyDescent="0.45">
      <c r="B242" s="6" t="s">
        <v>249</v>
      </c>
      <c r="C242" s="6" t="s">
        <v>40</v>
      </c>
      <c r="D242" s="7">
        <v>0</v>
      </c>
      <c r="E242" s="6" t="s">
        <v>7</v>
      </c>
      <c r="G242" s="6" t="s">
        <v>250</v>
      </c>
      <c r="H242" s="6" t="s">
        <v>40</v>
      </c>
      <c r="I242" s="8">
        <v>1.9285930037943082E-2</v>
      </c>
      <c r="J242" s="6" t="s">
        <v>7</v>
      </c>
      <c r="L242" s="6" t="s">
        <v>251</v>
      </c>
      <c r="M242" s="6" t="s">
        <v>40</v>
      </c>
      <c r="N242" s="8">
        <v>2.090951958417402E-2</v>
      </c>
      <c r="O242" s="6" t="s">
        <v>7</v>
      </c>
    </row>
    <row r="243" spans="2:15" x14ac:dyDescent="0.45">
      <c r="B243" s="3" t="s">
        <v>249</v>
      </c>
      <c r="C243" s="3" t="s">
        <v>41</v>
      </c>
      <c r="D243" s="4">
        <v>2.0449548233886277E-4</v>
      </c>
      <c r="E243" s="3" t="s">
        <v>7</v>
      </c>
      <c r="G243" s="3" t="s">
        <v>250</v>
      </c>
      <c r="H243" s="3" t="s">
        <v>41</v>
      </c>
      <c r="I243" s="5">
        <v>2.0016281595985085E-2</v>
      </c>
      <c r="J243" s="3" t="s">
        <v>7</v>
      </c>
      <c r="L243" s="3" t="s">
        <v>251</v>
      </c>
      <c r="M243" s="3" t="s">
        <v>41</v>
      </c>
      <c r="N243" s="5">
        <v>2.152834937512688E-2</v>
      </c>
      <c r="O243" s="3" t="s">
        <v>7</v>
      </c>
    </row>
    <row r="244" spans="2:15" x14ac:dyDescent="0.45">
      <c r="B244" s="6" t="s">
        <v>249</v>
      </c>
      <c r="C244" s="6" t="s">
        <v>42</v>
      </c>
      <c r="D244" s="7">
        <v>1.3302187775863233E-2</v>
      </c>
      <c r="E244" s="6" t="s">
        <v>7</v>
      </c>
      <c r="G244" s="6" t="s">
        <v>250</v>
      </c>
      <c r="H244" s="6" t="s">
        <v>42</v>
      </c>
      <c r="I244" s="8">
        <v>2.0789633587090968E-2</v>
      </c>
      <c r="J244" s="6" t="s">
        <v>7</v>
      </c>
      <c r="L244" s="6" t="s">
        <v>251</v>
      </c>
      <c r="M244" s="6" t="s">
        <v>42</v>
      </c>
      <c r="N244" s="8">
        <v>2.1555262703829726E-2</v>
      </c>
      <c r="O244" s="6" t="s">
        <v>7</v>
      </c>
    </row>
    <row r="245" spans="2:15" x14ac:dyDescent="0.45">
      <c r="B245" s="3" t="s">
        <v>249</v>
      </c>
      <c r="C245" s="3" t="s">
        <v>43</v>
      </c>
      <c r="D245" s="4">
        <v>4.6835297145351278E-2</v>
      </c>
      <c r="E245" s="3" t="s">
        <v>7</v>
      </c>
      <c r="G245" s="3" t="s">
        <v>250</v>
      </c>
      <c r="H245" s="3" t="s">
        <v>43</v>
      </c>
      <c r="I245" s="5">
        <v>2.0803965280944334E-2</v>
      </c>
      <c r="J245" s="3" t="s">
        <v>7</v>
      </c>
      <c r="L245" s="3" t="s">
        <v>251</v>
      </c>
      <c r="M245" s="3" t="s">
        <v>43</v>
      </c>
      <c r="N245" s="5">
        <v>2.1233329186673717E-2</v>
      </c>
      <c r="O245" s="3" t="s">
        <v>7</v>
      </c>
    </row>
    <row r="246" spans="2:15" x14ac:dyDescent="0.45">
      <c r="B246" s="6" t="s">
        <v>249</v>
      </c>
      <c r="C246" s="6" t="s">
        <v>44</v>
      </c>
      <c r="D246" s="7">
        <v>5.876733718181875E-2</v>
      </c>
      <c r="E246" s="6" t="s">
        <v>7</v>
      </c>
      <c r="G246" s="6" t="s">
        <v>250</v>
      </c>
      <c r="H246" s="6" t="s">
        <v>44</v>
      </c>
      <c r="I246" s="8">
        <v>2.14363210954269E-2</v>
      </c>
      <c r="J246" s="6" t="s">
        <v>7</v>
      </c>
      <c r="L246" s="6" t="s">
        <v>251</v>
      </c>
      <c r="M246" s="6" t="s">
        <v>44</v>
      </c>
      <c r="N246" s="8">
        <v>2.0888641657092588E-2</v>
      </c>
      <c r="O246" s="6" t="s">
        <v>7</v>
      </c>
    </row>
    <row r="247" spans="2:15" x14ac:dyDescent="0.45">
      <c r="B247" s="3" t="s">
        <v>249</v>
      </c>
      <c r="C247" s="3" t="s">
        <v>45</v>
      </c>
      <c r="D247" s="4">
        <v>4.7608936435772874E-2</v>
      </c>
      <c r="E247" s="3" t="s">
        <v>7</v>
      </c>
      <c r="G247" s="3" t="s">
        <v>250</v>
      </c>
      <c r="H247" s="3" t="s">
        <v>45</v>
      </c>
      <c r="I247" s="5">
        <v>2.096364287680258E-2</v>
      </c>
      <c r="J247" s="3" t="s">
        <v>7</v>
      </c>
      <c r="L247" s="3" t="s">
        <v>251</v>
      </c>
      <c r="M247" s="3" t="s">
        <v>45</v>
      </c>
      <c r="N247" s="5">
        <v>2.100359774830517E-2</v>
      </c>
      <c r="O247" s="3" t="s">
        <v>7</v>
      </c>
    </row>
    <row r="248" spans="2:15" x14ac:dyDescent="0.45">
      <c r="B248" s="6" t="s">
        <v>249</v>
      </c>
      <c r="C248" s="6" t="s">
        <v>46</v>
      </c>
      <c r="D248" s="7">
        <v>2.0247137524996354E-2</v>
      </c>
      <c r="E248" s="6" t="s">
        <v>7</v>
      </c>
      <c r="G248" s="6" t="s">
        <v>250</v>
      </c>
      <c r="H248" s="6" t="s">
        <v>46</v>
      </c>
      <c r="I248" s="8">
        <v>1.9051726560276327E-2</v>
      </c>
      <c r="J248" s="6" t="s">
        <v>7</v>
      </c>
      <c r="L248" s="6" t="s">
        <v>251</v>
      </c>
      <c r="M248" s="6" t="s">
        <v>46</v>
      </c>
      <c r="N248" s="8">
        <v>2.1148635788514513E-2</v>
      </c>
      <c r="O248" s="6" t="s">
        <v>7</v>
      </c>
    </row>
    <row r="249" spans="2:15" x14ac:dyDescent="0.45">
      <c r="B249" s="3" t="s">
        <v>249</v>
      </c>
      <c r="C249" s="3" t="s">
        <v>47</v>
      </c>
      <c r="D249" s="4">
        <v>1.9651500824794236E-3</v>
      </c>
      <c r="E249" s="3" t="s">
        <v>7</v>
      </c>
      <c r="G249" s="3" t="s">
        <v>250</v>
      </c>
      <c r="H249" s="3" t="s">
        <v>47</v>
      </c>
      <c r="I249" s="5">
        <v>1.8911163483314307E-2</v>
      </c>
      <c r="J249" s="3" t="s">
        <v>7</v>
      </c>
      <c r="L249" s="3" t="s">
        <v>251</v>
      </c>
      <c r="M249" s="3" t="s">
        <v>47</v>
      </c>
      <c r="N249" s="5">
        <v>2.0902020883574707E-2</v>
      </c>
      <c r="O249" s="3" t="s">
        <v>7</v>
      </c>
    </row>
    <row r="250" spans="2:15" x14ac:dyDescent="0.45">
      <c r="B250" s="6" t="s">
        <v>249</v>
      </c>
      <c r="C250" s="6" t="s">
        <v>48</v>
      </c>
      <c r="D250" s="7">
        <v>0</v>
      </c>
      <c r="E250" s="6" t="s">
        <v>7</v>
      </c>
      <c r="G250" s="6" t="s">
        <v>250</v>
      </c>
      <c r="H250" s="6" t="s">
        <v>48</v>
      </c>
      <c r="I250" s="8">
        <v>2.9250894193699754E-2</v>
      </c>
      <c r="J250" s="6" t="s">
        <v>7</v>
      </c>
      <c r="L250" s="6" t="s">
        <v>251</v>
      </c>
      <c r="M250" s="6" t="s">
        <v>48</v>
      </c>
      <c r="N250" s="8">
        <v>3.1357604847157459E-2</v>
      </c>
      <c r="O250" s="6" t="s">
        <v>7</v>
      </c>
    </row>
    <row r="251" spans="2:15" x14ac:dyDescent="0.45">
      <c r="B251" s="3" t="s">
        <v>252</v>
      </c>
      <c r="C251" s="3" t="s">
        <v>6</v>
      </c>
      <c r="D251" s="4">
        <v>0</v>
      </c>
      <c r="E251" s="3" t="s">
        <v>7</v>
      </c>
      <c r="G251" s="3" t="s">
        <v>253</v>
      </c>
      <c r="H251" s="3" t="s">
        <v>6</v>
      </c>
      <c r="I251" s="5">
        <v>7.0131004409303282E-2</v>
      </c>
      <c r="J251" s="3" t="s">
        <v>7</v>
      </c>
      <c r="L251" s="3" t="s">
        <v>254</v>
      </c>
      <c r="M251" s="3" t="s">
        <v>6</v>
      </c>
      <c r="N251" s="5">
        <v>6.4539820090671676E-2</v>
      </c>
      <c r="O251" s="3" t="s">
        <v>7</v>
      </c>
    </row>
    <row r="252" spans="2:15" x14ac:dyDescent="0.45">
      <c r="B252" s="6" t="s">
        <v>252</v>
      </c>
      <c r="C252" s="6" t="s">
        <v>10</v>
      </c>
      <c r="D252" s="7">
        <v>0</v>
      </c>
      <c r="E252" s="6" t="s">
        <v>7</v>
      </c>
      <c r="G252" s="6" t="s">
        <v>253</v>
      </c>
      <c r="H252" s="6" t="s">
        <v>10</v>
      </c>
      <c r="I252" s="8">
        <v>2.6674702532925212E-2</v>
      </c>
      <c r="J252" s="6" t="s">
        <v>7</v>
      </c>
      <c r="L252" s="6" t="s">
        <v>254</v>
      </c>
      <c r="M252" s="6" t="s">
        <v>10</v>
      </c>
      <c r="N252" s="8">
        <v>2.5533493506581757E-2</v>
      </c>
      <c r="O252" s="6" t="s">
        <v>7</v>
      </c>
    </row>
    <row r="253" spans="2:15" x14ac:dyDescent="0.45">
      <c r="B253" s="3" t="s">
        <v>252</v>
      </c>
      <c r="C253" s="3" t="s">
        <v>11</v>
      </c>
      <c r="D253" s="4">
        <v>0</v>
      </c>
      <c r="E253" s="3" t="s">
        <v>7</v>
      </c>
      <c r="G253" s="3" t="s">
        <v>253</v>
      </c>
      <c r="H253" s="3" t="s">
        <v>11</v>
      </c>
      <c r="I253" s="5">
        <v>2.6048784127197751E-2</v>
      </c>
      <c r="J253" s="3" t="s">
        <v>7</v>
      </c>
      <c r="L253" s="3" t="s">
        <v>254</v>
      </c>
      <c r="M253" s="3" t="s">
        <v>11</v>
      </c>
      <c r="N253" s="5">
        <v>2.5508405722214782E-2</v>
      </c>
      <c r="O253" s="3" t="s">
        <v>7</v>
      </c>
    </row>
    <row r="254" spans="2:15" x14ac:dyDescent="0.45">
      <c r="B254" s="6" t="s">
        <v>252</v>
      </c>
      <c r="C254" s="6" t="s">
        <v>12</v>
      </c>
      <c r="D254" s="7">
        <v>1.7829518433218677E-3</v>
      </c>
      <c r="E254" s="6" t="s">
        <v>7</v>
      </c>
      <c r="G254" s="6" t="s">
        <v>253</v>
      </c>
      <c r="H254" s="6" t="s">
        <v>12</v>
      </c>
      <c r="I254" s="8">
        <v>2.6372585758638174E-2</v>
      </c>
      <c r="J254" s="6" t="s">
        <v>7</v>
      </c>
      <c r="L254" s="6" t="s">
        <v>254</v>
      </c>
      <c r="M254" s="6" t="s">
        <v>12</v>
      </c>
      <c r="N254" s="8">
        <v>2.4850506982235374E-2</v>
      </c>
      <c r="O254" s="6" t="s">
        <v>7</v>
      </c>
    </row>
    <row r="255" spans="2:15" x14ac:dyDescent="0.45">
      <c r="B255" s="3" t="s">
        <v>252</v>
      </c>
      <c r="C255" s="3" t="s">
        <v>13</v>
      </c>
      <c r="D255" s="4">
        <v>2.3788371499060185E-2</v>
      </c>
      <c r="E255" s="3" t="s">
        <v>7</v>
      </c>
      <c r="G255" s="3" t="s">
        <v>253</v>
      </c>
      <c r="H255" s="3" t="s">
        <v>13</v>
      </c>
      <c r="I255" s="5">
        <v>2.6751983632045402E-2</v>
      </c>
      <c r="J255" s="3" t="s">
        <v>7</v>
      </c>
      <c r="L255" s="3" t="s">
        <v>254</v>
      </c>
      <c r="M255" s="3" t="s">
        <v>13</v>
      </c>
      <c r="N255" s="5">
        <v>2.5191182279822363E-2</v>
      </c>
      <c r="O255" s="3" t="s">
        <v>7</v>
      </c>
    </row>
    <row r="256" spans="2:15" x14ac:dyDescent="0.45">
      <c r="B256" s="6" t="s">
        <v>252</v>
      </c>
      <c r="C256" s="6" t="s">
        <v>14</v>
      </c>
      <c r="D256" s="7">
        <v>4.3952789033111735E-2</v>
      </c>
      <c r="E256" s="6" t="s">
        <v>7</v>
      </c>
      <c r="G256" s="6" t="s">
        <v>253</v>
      </c>
      <c r="H256" s="6" t="s">
        <v>14</v>
      </c>
      <c r="I256" s="8">
        <v>2.7970967547906841E-2</v>
      </c>
      <c r="J256" s="6" t="s">
        <v>7</v>
      </c>
      <c r="L256" s="6" t="s">
        <v>254</v>
      </c>
      <c r="M256" s="6" t="s">
        <v>14</v>
      </c>
      <c r="N256" s="8">
        <v>2.5246379939551995E-2</v>
      </c>
      <c r="O256" s="6" t="s">
        <v>7</v>
      </c>
    </row>
    <row r="257" spans="2:15" x14ac:dyDescent="0.45">
      <c r="B257" s="3" t="s">
        <v>252</v>
      </c>
      <c r="C257" s="3" t="s">
        <v>15</v>
      </c>
      <c r="D257" s="4">
        <v>3.7130335532481656E-2</v>
      </c>
      <c r="E257" s="3" t="s">
        <v>7</v>
      </c>
      <c r="G257" s="3" t="s">
        <v>253</v>
      </c>
      <c r="H257" s="3" t="s">
        <v>15</v>
      </c>
      <c r="I257" s="5">
        <v>2.8506960661594395E-2</v>
      </c>
      <c r="J257" s="3" t="s">
        <v>7</v>
      </c>
      <c r="L257" s="3" t="s">
        <v>254</v>
      </c>
      <c r="M257" s="3" t="s">
        <v>15</v>
      </c>
      <c r="N257" s="5">
        <v>2.5341743989817044E-2</v>
      </c>
      <c r="O257" s="3" t="s">
        <v>7</v>
      </c>
    </row>
    <row r="258" spans="2:15" x14ac:dyDescent="0.45">
      <c r="B258" s="6" t="s">
        <v>252</v>
      </c>
      <c r="C258" s="6" t="s">
        <v>16</v>
      </c>
      <c r="D258" s="7">
        <v>1.3510893655109157E-2</v>
      </c>
      <c r="E258" s="6" t="s">
        <v>7</v>
      </c>
      <c r="G258" s="6" t="s">
        <v>253</v>
      </c>
      <c r="H258" s="6" t="s">
        <v>16</v>
      </c>
      <c r="I258" s="8">
        <v>2.8192533683653941E-2</v>
      </c>
      <c r="J258" s="6" t="s">
        <v>7</v>
      </c>
      <c r="L258" s="6" t="s">
        <v>254</v>
      </c>
      <c r="M258" s="6" t="s">
        <v>16</v>
      </c>
      <c r="N258" s="8">
        <v>2.6204185316058455E-2</v>
      </c>
      <c r="O258" s="6" t="s">
        <v>7</v>
      </c>
    </row>
    <row r="259" spans="2:15" x14ac:dyDescent="0.45">
      <c r="B259" s="3" t="s">
        <v>252</v>
      </c>
      <c r="C259" s="3" t="s">
        <v>17</v>
      </c>
      <c r="D259" s="4">
        <v>5.4563833746462285E-4</v>
      </c>
      <c r="E259" s="3" t="s">
        <v>7</v>
      </c>
      <c r="G259" s="3" t="s">
        <v>253</v>
      </c>
      <c r="H259" s="3" t="s">
        <v>17</v>
      </c>
      <c r="I259" s="5">
        <v>2.8413411579701404E-2</v>
      </c>
      <c r="J259" s="3" t="s">
        <v>7</v>
      </c>
      <c r="L259" s="3" t="s">
        <v>254</v>
      </c>
      <c r="M259" s="3" t="s">
        <v>17</v>
      </c>
      <c r="N259" s="5">
        <v>2.6337298918579197E-2</v>
      </c>
      <c r="O259" s="3" t="s">
        <v>7</v>
      </c>
    </row>
    <row r="260" spans="2:15" x14ac:dyDescent="0.45">
      <c r="B260" s="6" t="s">
        <v>252</v>
      </c>
      <c r="C260" s="6" t="s">
        <v>18</v>
      </c>
      <c r="D260" s="7">
        <v>0</v>
      </c>
      <c r="E260" s="6" t="s">
        <v>7</v>
      </c>
      <c r="G260" s="6" t="s">
        <v>253</v>
      </c>
      <c r="H260" s="6" t="s">
        <v>18</v>
      </c>
      <c r="I260" s="8">
        <v>4.4264533793451584E-2</v>
      </c>
      <c r="J260" s="6" t="s">
        <v>7</v>
      </c>
      <c r="L260" s="6" t="s">
        <v>254</v>
      </c>
      <c r="M260" s="6" t="s">
        <v>18</v>
      </c>
      <c r="N260" s="8">
        <v>4.0155014812838064E-2</v>
      </c>
      <c r="O260" s="6" t="s">
        <v>7</v>
      </c>
    </row>
    <row r="261" spans="2:15" x14ac:dyDescent="0.45">
      <c r="B261" s="3" t="s">
        <v>252</v>
      </c>
      <c r="C261" s="3" t="s">
        <v>19</v>
      </c>
      <c r="D261" s="4">
        <v>0</v>
      </c>
      <c r="E261" s="3" t="s">
        <v>7</v>
      </c>
      <c r="G261" s="3" t="s">
        <v>253</v>
      </c>
      <c r="H261" s="3" t="s">
        <v>19</v>
      </c>
      <c r="I261" s="5">
        <v>5.6159076892551257E-2</v>
      </c>
      <c r="J261" s="3" t="s">
        <v>7</v>
      </c>
      <c r="L261" s="3" t="s">
        <v>254</v>
      </c>
      <c r="M261" s="3" t="s">
        <v>19</v>
      </c>
      <c r="N261" s="5">
        <v>5.7440803920146909E-2</v>
      </c>
      <c r="O261" s="3" t="s">
        <v>7</v>
      </c>
    </row>
    <row r="262" spans="2:15" x14ac:dyDescent="0.45">
      <c r="B262" s="6" t="s">
        <v>252</v>
      </c>
      <c r="C262" s="6" t="s">
        <v>20</v>
      </c>
      <c r="D262" s="7">
        <v>8.4565093867837844E-6</v>
      </c>
      <c r="E262" s="6" t="s">
        <v>7</v>
      </c>
      <c r="G262" s="6" t="s">
        <v>253</v>
      </c>
      <c r="H262" s="6" t="s">
        <v>20</v>
      </c>
      <c r="I262" s="8">
        <v>2.270309090251784E-2</v>
      </c>
      <c r="J262" s="6" t="s">
        <v>7</v>
      </c>
      <c r="L262" s="6" t="s">
        <v>254</v>
      </c>
      <c r="M262" s="6" t="s">
        <v>20</v>
      </c>
      <c r="N262" s="8">
        <v>2.3600920933758433E-2</v>
      </c>
      <c r="O262" s="6" t="s">
        <v>7</v>
      </c>
    </row>
    <row r="263" spans="2:15" x14ac:dyDescent="0.45">
      <c r="B263" s="3" t="s">
        <v>252</v>
      </c>
      <c r="C263" s="3" t="s">
        <v>21</v>
      </c>
      <c r="D263" s="4">
        <v>3.3057255421616283E-3</v>
      </c>
      <c r="E263" s="3" t="s">
        <v>7</v>
      </c>
      <c r="G263" s="3" t="s">
        <v>253</v>
      </c>
      <c r="H263" s="3" t="s">
        <v>21</v>
      </c>
      <c r="I263" s="5">
        <v>2.2594117049935129E-2</v>
      </c>
      <c r="J263" s="3" t="s">
        <v>7</v>
      </c>
      <c r="L263" s="3" t="s">
        <v>254</v>
      </c>
      <c r="M263" s="3" t="s">
        <v>21</v>
      </c>
      <c r="N263" s="5">
        <v>2.4061452735218047E-2</v>
      </c>
      <c r="O263" s="3" t="s">
        <v>7</v>
      </c>
    </row>
    <row r="264" spans="2:15" x14ac:dyDescent="0.45">
      <c r="B264" s="6" t="s">
        <v>252</v>
      </c>
      <c r="C264" s="6" t="s">
        <v>22</v>
      </c>
      <c r="D264" s="7">
        <v>3.2475627053423314E-2</v>
      </c>
      <c r="E264" s="6" t="s">
        <v>7</v>
      </c>
      <c r="G264" s="6" t="s">
        <v>253</v>
      </c>
      <c r="H264" s="6" t="s">
        <v>22</v>
      </c>
      <c r="I264" s="8">
        <v>2.39722928439037E-2</v>
      </c>
      <c r="J264" s="6" t="s">
        <v>7</v>
      </c>
      <c r="L264" s="6" t="s">
        <v>254</v>
      </c>
      <c r="M264" s="6" t="s">
        <v>22</v>
      </c>
      <c r="N264" s="8">
        <v>2.2842598922297629E-2</v>
      </c>
      <c r="O264" s="6" t="s">
        <v>7</v>
      </c>
    </row>
    <row r="265" spans="2:15" x14ac:dyDescent="0.45">
      <c r="B265" s="3" t="s">
        <v>252</v>
      </c>
      <c r="C265" s="3" t="s">
        <v>23</v>
      </c>
      <c r="D265" s="4">
        <v>6.8689368207077328E-2</v>
      </c>
      <c r="E265" s="3" t="s">
        <v>7</v>
      </c>
      <c r="G265" s="3" t="s">
        <v>253</v>
      </c>
      <c r="H265" s="3" t="s">
        <v>23</v>
      </c>
      <c r="I265" s="5">
        <v>2.5507608179582846E-2</v>
      </c>
      <c r="J265" s="3" t="s">
        <v>7</v>
      </c>
      <c r="L265" s="3" t="s">
        <v>254</v>
      </c>
      <c r="M265" s="3" t="s">
        <v>23</v>
      </c>
      <c r="N265" s="5">
        <v>2.209890372315218E-2</v>
      </c>
      <c r="O265" s="3" t="s">
        <v>7</v>
      </c>
    </row>
    <row r="266" spans="2:15" x14ac:dyDescent="0.45">
      <c r="B266" s="6" t="s">
        <v>252</v>
      </c>
      <c r="C266" s="6" t="s">
        <v>24</v>
      </c>
      <c r="D266" s="7">
        <v>8.343350439522533E-2</v>
      </c>
      <c r="E266" s="6" t="s">
        <v>7</v>
      </c>
      <c r="G266" s="6" t="s">
        <v>253</v>
      </c>
      <c r="H266" s="6" t="s">
        <v>24</v>
      </c>
      <c r="I266" s="8">
        <v>2.6122469377186226E-2</v>
      </c>
      <c r="J266" s="6" t="s">
        <v>7</v>
      </c>
      <c r="L266" s="6" t="s">
        <v>254</v>
      </c>
      <c r="M266" s="6" t="s">
        <v>24</v>
      </c>
      <c r="N266" s="8">
        <v>2.1726682663770987E-2</v>
      </c>
      <c r="O266" s="6" t="s">
        <v>7</v>
      </c>
    </row>
    <row r="267" spans="2:15" x14ac:dyDescent="0.45">
      <c r="B267" s="3" t="s">
        <v>252</v>
      </c>
      <c r="C267" s="3" t="s">
        <v>25</v>
      </c>
      <c r="D267" s="4">
        <v>7.8128828946242124E-2</v>
      </c>
      <c r="E267" s="3" t="s">
        <v>7</v>
      </c>
      <c r="G267" s="3" t="s">
        <v>253</v>
      </c>
      <c r="H267" s="3" t="s">
        <v>25</v>
      </c>
      <c r="I267" s="5">
        <v>2.600374530459806E-2</v>
      </c>
      <c r="J267" s="3" t="s">
        <v>7</v>
      </c>
      <c r="L267" s="3" t="s">
        <v>254</v>
      </c>
      <c r="M267" s="3" t="s">
        <v>25</v>
      </c>
      <c r="N267" s="5">
        <v>2.1305255029486898E-2</v>
      </c>
      <c r="O267" s="3" t="s">
        <v>7</v>
      </c>
    </row>
    <row r="268" spans="2:15" x14ac:dyDescent="0.45">
      <c r="B268" s="6" t="s">
        <v>252</v>
      </c>
      <c r="C268" s="6" t="s">
        <v>26</v>
      </c>
      <c r="D268" s="7">
        <v>5.208792229684759E-2</v>
      </c>
      <c r="E268" s="6" t="s">
        <v>7</v>
      </c>
      <c r="G268" s="6" t="s">
        <v>253</v>
      </c>
      <c r="H268" s="6" t="s">
        <v>26</v>
      </c>
      <c r="I268" s="8">
        <v>2.5321495142308928E-2</v>
      </c>
      <c r="J268" s="6" t="s">
        <v>7</v>
      </c>
      <c r="L268" s="6" t="s">
        <v>254</v>
      </c>
      <c r="M268" s="6" t="s">
        <v>26</v>
      </c>
      <c r="N268" s="8">
        <v>2.1639406103333699E-2</v>
      </c>
      <c r="O268" s="6" t="s">
        <v>7</v>
      </c>
    </row>
    <row r="269" spans="2:15" x14ac:dyDescent="0.45">
      <c r="B269" s="3" t="s">
        <v>252</v>
      </c>
      <c r="C269" s="3" t="s">
        <v>27</v>
      </c>
      <c r="D269" s="4">
        <v>1.4546511606371751E-2</v>
      </c>
      <c r="E269" s="3" t="s">
        <v>7</v>
      </c>
      <c r="G269" s="3" t="s">
        <v>253</v>
      </c>
      <c r="H269" s="3" t="s">
        <v>27</v>
      </c>
      <c r="I269" s="5">
        <v>2.3193071769074734E-2</v>
      </c>
      <c r="J269" s="3" t="s">
        <v>7</v>
      </c>
      <c r="L269" s="3" t="s">
        <v>254</v>
      </c>
      <c r="M269" s="3" t="s">
        <v>27</v>
      </c>
      <c r="N269" s="5">
        <v>2.2620713033643814E-2</v>
      </c>
      <c r="O269" s="3" t="s">
        <v>7</v>
      </c>
    </row>
    <row r="270" spans="2:15" x14ac:dyDescent="0.45">
      <c r="B270" s="6" t="s">
        <v>252</v>
      </c>
      <c r="C270" s="6" t="s">
        <v>28</v>
      </c>
      <c r="D270" s="7">
        <v>4.8409808765354981E-4</v>
      </c>
      <c r="E270" s="6" t="s">
        <v>7</v>
      </c>
      <c r="G270" s="6" t="s">
        <v>253</v>
      </c>
      <c r="H270" s="6" t="s">
        <v>28</v>
      </c>
      <c r="I270" s="8">
        <v>3.3495331068812625E-2</v>
      </c>
      <c r="J270" s="6" t="s">
        <v>7</v>
      </c>
      <c r="L270" s="6" t="s">
        <v>254</v>
      </c>
      <c r="M270" s="6" t="s">
        <v>28</v>
      </c>
      <c r="N270" s="8">
        <v>3.5334166883978911E-2</v>
      </c>
      <c r="O270" s="6" t="s">
        <v>7</v>
      </c>
    </row>
    <row r="271" spans="2:15" x14ac:dyDescent="0.45">
      <c r="B271" s="3" t="s">
        <v>252</v>
      </c>
      <c r="C271" s="3" t="s">
        <v>29</v>
      </c>
      <c r="D271" s="4">
        <v>0</v>
      </c>
      <c r="E271" s="3" t="s">
        <v>7</v>
      </c>
      <c r="G271" s="3" t="s">
        <v>253</v>
      </c>
      <c r="H271" s="3" t="s">
        <v>29</v>
      </c>
      <c r="I271" s="5">
        <v>2.7569155178596538E-2</v>
      </c>
      <c r="J271" s="3" t="s">
        <v>7</v>
      </c>
      <c r="L271" s="3" t="s">
        <v>254</v>
      </c>
      <c r="M271" s="3" t="s">
        <v>29</v>
      </c>
      <c r="N271" s="5">
        <v>3.1166997497860321E-2</v>
      </c>
      <c r="O271" s="3" t="s">
        <v>7</v>
      </c>
    </row>
    <row r="272" spans="2:15" x14ac:dyDescent="0.45">
      <c r="B272" s="6" t="s">
        <v>252</v>
      </c>
      <c r="C272" s="6" t="s">
        <v>30</v>
      </c>
      <c r="D272" s="7">
        <v>1.0764806774510188E-4</v>
      </c>
      <c r="E272" s="6" t="s">
        <v>7</v>
      </c>
      <c r="G272" s="6" t="s">
        <v>253</v>
      </c>
      <c r="H272" s="6" t="s">
        <v>30</v>
      </c>
      <c r="I272" s="8">
        <v>1.1381134921645308E-2</v>
      </c>
      <c r="J272" s="6" t="s">
        <v>7</v>
      </c>
      <c r="L272" s="6" t="s">
        <v>254</v>
      </c>
      <c r="M272" s="6" t="s">
        <v>30</v>
      </c>
      <c r="N272" s="8">
        <v>1.2401149955087305E-2</v>
      </c>
      <c r="O272" s="6" t="s">
        <v>7</v>
      </c>
    </row>
    <row r="273" spans="2:15" x14ac:dyDescent="0.45">
      <c r="B273" s="3" t="s">
        <v>252</v>
      </c>
      <c r="C273" s="3" t="s">
        <v>31</v>
      </c>
      <c r="D273" s="4">
        <v>6.999247025629758E-3</v>
      </c>
      <c r="E273" s="3" t="s">
        <v>7</v>
      </c>
      <c r="G273" s="3" t="s">
        <v>253</v>
      </c>
      <c r="H273" s="3" t="s">
        <v>31</v>
      </c>
      <c r="I273" s="5">
        <v>1.160524123793889E-2</v>
      </c>
      <c r="J273" s="3" t="s">
        <v>7</v>
      </c>
      <c r="L273" s="3" t="s">
        <v>254</v>
      </c>
      <c r="M273" s="3" t="s">
        <v>31</v>
      </c>
      <c r="N273" s="5">
        <v>1.2220729154846212E-2</v>
      </c>
      <c r="O273" s="3" t="s">
        <v>7</v>
      </c>
    </row>
    <row r="274" spans="2:15" x14ac:dyDescent="0.45">
      <c r="B274" s="6" t="s">
        <v>252</v>
      </c>
      <c r="C274" s="6" t="s">
        <v>32</v>
      </c>
      <c r="D274" s="7">
        <v>3.8428692464179091E-2</v>
      </c>
      <c r="E274" s="6" t="s">
        <v>7</v>
      </c>
      <c r="G274" s="6" t="s">
        <v>253</v>
      </c>
      <c r="H274" s="6" t="s">
        <v>32</v>
      </c>
      <c r="I274" s="8">
        <v>1.2645091225405908E-2</v>
      </c>
      <c r="J274" s="6" t="s">
        <v>7</v>
      </c>
      <c r="L274" s="6" t="s">
        <v>254</v>
      </c>
      <c r="M274" s="6" t="s">
        <v>32</v>
      </c>
      <c r="N274" s="8">
        <v>1.1189162717025415E-2</v>
      </c>
      <c r="O274" s="6" t="s">
        <v>7</v>
      </c>
    </row>
    <row r="275" spans="2:15" x14ac:dyDescent="0.45">
      <c r="B275" s="3" t="s">
        <v>252</v>
      </c>
      <c r="C275" s="3" t="s">
        <v>33</v>
      </c>
      <c r="D275" s="4">
        <v>6.9876377457533917E-2</v>
      </c>
      <c r="E275" s="3" t="s">
        <v>7</v>
      </c>
      <c r="G275" s="3" t="s">
        <v>253</v>
      </c>
      <c r="H275" s="3" t="s">
        <v>33</v>
      </c>
      <c r="I275" s="5">
        <v>1.2447282857017043E-2</v>
      </c>
      <c r="J275" s="3" t="s">
        <v>7</v>
      </c>
      <c r="L275" s="3" t="s">
        <v>254</v>
      </c>
      <c r="M275" s="3" t="s">
        <v>33</v>
      </c>
      <c r="N275" s="5">
        <v>1.2508288446154097E-2</v>
      </c>
      <c r="O275" s="3" t="s">
        <v>7</v>
      </c>
    </row>
    <row r="276" spans="2:15" x14ac:dyDescent="0.45">
      <c r="B276" s="6" t="s">
        <v>252</v>
      </c>
      <c r="C276" s="6" t="s">
        <v>34</v>
      </c>
      <c r="D276" s="7">
        <v>8.4910790520165424E-2</v>
      </c>
      <c r="E276" s="6" t="s">
        <v>7</v>
      </c>
      <c r="G276" s="6" t="s">
        <v>253</v>
      </c>
      <c r="H276" s="6" t="s">
        <v>34</v>
      </c>
      <c r="I276" s="8">
        <v>1.3318390867643399E-2</v>
      </c>
      <c r="J276" s="6" t="s">
        <v>7</v>
      </c>
      <c r="L276" s="6" t="s">
        <v>254</v>
      </c>
      <c r="M276" s="6" t="s">
        <v>34</v>
      </c>
      <c r="N276" s="8">
        <v>1.3945695673468582E-2</v>
      </c>
      <c r="O276" s="6" t="s">
        <v>7</v>
      </c>
    </row>
    <row r="277" spans="2:15" x14ac:dyDescent="0.45">
      <c r="B277" s="3" t="s">
        <v>252</v>
      </c>
      <c r="C277" s="3" t="s">
        <v>35</v>
      </c>
      <c r="D277" s="4">
        <v>7.9881693250573357E-2</v>
      </c>
      <c r="E277" s="3" t="s">
        <v>7</v>
      </c>
      <c r="G277" s="3" t="s">
        <v>253</v>
      </c>
      <c r="H277" s="3" t="s">
        <v>35</v>
      </c>
      <c r="I277" s="5">
        <v>1.3600891142189505E-2</v>
      </c>
      <c r="J277" s="3" t="s">
        <v>7</v>
      </c>
      <c r="L277" s="3" t="s">
        <v>254</v>
      </c>
      <c r="M277" s="3" t="s">
        <v>35</v>
      </c>
      <c r="N277" s="5">
        <v>1.4989423555099112E-2</v>
      </c>
      <c r="O277" s="3" t="s">
        <v>7</v>
      </c>
    </row>
    <row r="278" spans="2:15" x14ac:dyDescent="0.45">
      <c r="B278" s="6" t="s">
        <v>252</v>
      </c>
      <c r="C278" s="6" t="s">
        <v>36</v>
      </c>
      <c r="D278" s="7">
        <v>5.6446634700521775E-2</v>
      </c>
      <c r="E278" s="6" t="s">
        <v>7</v>
      </c>
      <c r="G278" s="6" t="s">
        <v>253</v>
      </c>
      <c r="H278" s="6" t="s">
        <v>36</v>
      </c>
      <c r="I278" s="8">
        <v>1.297808162063027E-2</v>
      </c>
      <c r="J278" s="6" t="s">
        <v>7</v>
      </c>
      <c r="L278" s="6" t="s">
        <v>254</v>
      </c>
      <c r="M278" s="6" t="s">
        <v>36</v>
      </c>
      <c r="N278" s="8">
        <v>1.5202470275560279E-2</v>
      </c>
      <c r="O278" s="6" t="s">
        <v>7</v>
      </c>
    </row>
    <row r="279" spans="2:15" x14ac:dyDescent="0.45">
      <c r="B279" s="3" t="s">
        <v>252</v>
      </c>
      <c r="C279" s="3" t="s">
        <v>37</v>
      </c>
      <c r="D279" s="4">
        <v>2.0761797002019487E-2</v>
      </c>
      <c r="E279" s="3" t="s">
        <v>7</v>
      </c>
      <c r="G279" s="3" t="s">
        <v>253</v>
      </c>
      <c r="H279" s="3" t="s">
        <v>37</v>
      </c>
      <c r="I279" s="5">
        <v>1.1283825658409017E-2</v>
      </c>
      <c r="J279" s="3" t="s">
        <v>7</v>
      </c>
      <c r="L279" s="3" t="s">
        <v>254</v>
      </c>
      <c r="M279" s="3" t="s">
        <v>37</v>
      </c>
      <c r="N279" s="5">
        <v>1.4667763322455028E-2</v>
      </c>
      <c r="O279" s="3" t="s">
        <v>7</v>
      </c>
    </row>
    <row r="280" spans="2:15" x14ac:dyDescent="0.45">
      <c r="B280" s="6" t="s">
        <v>252</v>
      </c>
      <c r="C280" s="6" t="s">
        <v>38</v>
      </c>
      <c r="D280" s="7">
        <v>1.7318150686080861E-3</v>
      </c>
      <c r="E280" s="6" t="s">
        <v>7</v>
      </c>
      <c r="G280" s="6" t="s">
        <v>253</v>
      </c>
      <c r="H280" s="6" t="s">
        <v>38</v>
      </c>
      <c r="I280" s="8">
        <v>1.6148885791066873E-2</v>
      </c>
      <c r="J280" s="6" t="s">
        <v>7</v>
      </c>
      <c r="L280" s="6" t="s">
        <v>254</v>
      </c>
      <c r="M280" s="6" t="s">
        <v>38</v>
      </c>
      <c r="N280" s="8">
        <v>2.1521197766763766E-2</v>
      </c>
      <c r="O280" s="6" t="s">
        <v>7</v>
      </c>
    </row>
    <row r="281" spans="2:15" x14ac:dyDescent="0.45">
      <c r="B281" s="3" t="s">
        <v>252</v>
      </c>
      <c r="C281" s="3" t="s">
        <v>39</v>
      </c>
      <c r="D281" s="4">
        <v>0</v>
      </c>
      <c r="E281" s="3" t="s">
        <v>7</v>
      </c>
      <c r="G281" s="3" t="s">
        <v>253</v>
      </c>
      <c r="H281" s="3" t="s">
        <v>39</v>
      </c>
      <c r="I281" s="5">
        <v>4.6730327241600658E-2</v>
      </c>
      <c r="J281" s="3" t="s">
        <v>7</v>
      </c>
      <c r="L281" s="3" t="s">
        <v>254</v>
      </c>
      <c r="M281" s="3" t="s">
        <v>39</v>
      </c>
      <c r="N281" s="5">
        <v>5.2163339096445598E-2</v>
      </c>
      <c r="O281" s="3" t="s">
        <v>7</v>
      </c>
    </row>
    <row r="282" spans="2:15" x14ac:dyDescent="0.45">
      <c r="B282" s="6" t="s">
        <v>252</v>
      </c>
      <c r="C282" s="6" t="s">
        <v>40</v>
      </c>
      <c r="D282" s="7">
        <v>0</v>
      </c>
      <c r="E282" s="6" t="s">
        <v>7</v>
      </c>
      <c r="G282" s="6" t="s">
        <v>253</v>
      </c>
      <c r="H282" s="6" t="s">
        <v>40</v>
      </c>
      <c r="I282" s="8">
        <v>1.9110243351734408E-2</v>
      </c>
      <c r="J282" s="6" t="s">
        <v>7</v>
      </c>
      <c r="L282" s="6" t="s">
        <v>254</v>
      </c>
      <c r="M282" s="6" t="s">
        <v>40</v>
      </c>
      <c r="N282" s="8">
        <v>2.1425663392730946E-2</v>
      </c>
      <c r="O282" s="6" t="s">
        <v>7</v>
      </c>
    </row>
    <row r="283" spans="2:15" x14ac:dyDescent="0.45">
      <c r="B283" s="3" t="s">
        <v>252</v>
      </c>
      <c r="C283" s="3" t="s">
        <v>41</v>
      </c>
      <c r="D283" s="4">
        <v>2.0014127492370165E-4</v>
      </c>
      <c r="E283" s="3" t="s">
        <v>7</v>
      </c>
      <c r="G283" s="3" t="s">
        <v>253</v>
      </c>
      <c r="H283" s="3" t="s">
        <v>41</v>
      </c>
      <c r="I283" s="5">
        <v>1.9996878533487843E-2</v>
      </c>
      <c r="J283" s="3" t="s">
        <v>7</v>
      </c>
      <c r="L283" s="3" t="s">
        <v>254</v>
      </c>
      <c r="M283" s="3" t="s">
        <v>41</v>
      </c>
      <c r="N283" s="5">
        <v>2.2031922434683722E-2</v>
      </c>
      <c r="O283" s="3" t="s">
        <v>7</v>
      </c>
    </row>
    <row r="284" spans="2:15" x14ac:dyDescent="0.45">
      <c r="B284" s="6" t="s">
        <v>252</v>
      </c>
      <c r="C284" s="6" t="s">
        <v>42</v>
      </c>
      <c r="D284" s="7">
        <v>1.3050675748815271E-2</v>
      </c>
      <c r="E284" s="6" t="s">
        <v>7</v>
      </c>
      <c r="G284" s="6" t="s">
        <v>253</v>
      </c>
      <c r="H284" s="6" t="s">
        <v>42</v>
      </c>
      <c r="I284" s="8">
        <v>2.1385668169471666E-2</v>
      </c>
      <c r="J284" s="6" t="s">
        <v>7</v>
      </c>
      <c r="L284" s="6" t="s">
        <v>254</v>
      </c>
      <c r="M284" s="6" t="s">
        <v>42</v>
      </c>
      <c r="N284" s="8">
        <v>2.2156255529397807E-2</v>
      </c>
      <c r="O284" s="6" t="s">
        <v>7</v>
      </c>
    </row>
    <row r="285" spans="2:15" x14ac:dyDescent="0.45">
      <c r="B285" s="3" t="s">
        <v>252</v>
      </c>
      <c r="C285" s="3" t="s">
        <v>43</v>
      </c>
      <c r="D285" s="4">
        <v>4.3865859972323833E-2</v>
      </c>
      <c r="E285" s="3" t="s">
        <v>7</v>
      </c>
      <c r="G285" s="3" t="s">
        <v>253</v>
      </c>
      <c r="H285" s="3" t="s">
        <v>43</v>
      </c>
      <c r="I285" s="5">
        <v>2.1868993540123199E-2</v>
      </c>
      <c r="J285" s="3" t="s">
        <v>7</v>
      </c>
      <c r="L285" s="3" t="s">
        <v>254</v>
      </c>
      <c r="M285" s="3" t="s">
        <v>43</v>
      </c>
      <c r="N285" s="5">
        <v>2.1889501223960637E-2</v>
      </c>
      <c r="O285" s="3" t="s">
        <v>7</v>
      </c>
    </row>
    <row r="286" spans="2:15" x14ac:dyDescent="0.45">
      <c r="B286" s="6" t="s">
        <v>252</v>
      </c>
      <c r="C286" s="6" t="s">
        <v>44</v>
      </c>
      <c r="D286" s="7">
        <v>5.7778305174145762E-2</v>
      </c>
      <c r="E286" s="6" t="s">
        <v>7</v>
      </c>
      <c r="G286" s="6" t="s">
        <v>253</v>
      </c>
      <c r="H286" s="6" t="s">
        <v>44</v>
      </c>
      <c r="I286" s="8">
        <v>2.1909632416055199E-2</v>
      </c>
      <c r="J286" s="6" t="s">
        <v>7</v>
      </c>
      <c r="L286" s="6" t="s">
        <v>254</v>
      </c>
      <c r="M286" s="6" t="s">
        <v>44</v>
      </c>
      <c r="N286" s="8">
        <v>2.1519957014747227E-2</v>
      </c>
      <c r="O286" s="6" t="s">
        <v>7</v>
      </c>
    </row>
    <row r="287" spans="2:15" x14ac:dyDescent="0.45">
      <c r="B287" s="3" t="s">
        <v>252</v>
      </c>
      <c r="C287" s="3" t="s">
        <v>45</v>
      </c>
      <c r="D287" s="4">
        <v>4.877260337236819E-2</v>
      </c>
      <c r="E287" s="3" t="s">
        <v>7</v>
      </c>
      <c r="G287" s="3" t="s">
        <v>253</v>
      </c>
      <c r="H287" s="3" t="s">
        <v>45</v>
      </c>
      <c r="I287" s="5">
        <v>2.1403110937367152E-2</v>
      </c>
      <c r="J287" s="3" t="s">
        <v>7</v>
      </c>
      <c r="L287" s="3" t="s">
        <v>254</v>
      </c>
      <c r="M287" s="3" t="s">
        <v>45</v>
      </c>
      <c r="N287" s="5">
        <v>2.1056299047883704E-2</v>
      </c>
      <c r="O287" s="3" t="s">
        <v>7</v>
      </c>
    </row>
    <row r="288" spans="2:15" x14ac:dyDescent="0.45">
      <c r="B288" s="6" t="s">
        <v>252</v>
      </c>
      <c r="C288" s="6" t="s">
        <v>46</v>
      </c>
      <c r="D288" s="7">
        <v>2.130240483016416E-2</v>
      </c>
      <c r="E288" s="6" t="s">
        <v>7</v>
      </c>
      <c r="G288" s="6" t="s">
        <v>253</v>
      </c>
      <c r="H288" s="6" t="s">
        <v>46</v>
      </c>
      <c r="I288" s="8">
        <v>1.9499798359163399E-2</v>
      </c>
      <c r="J288" s="6" t="s">
        <v>7</v>
      </c>
      <c r="L288" s="6" t="s">
        <v>254</v>
      </c>
      <c r="M288" s="6" t="s">
        <v>46</v>
      </c>
      <c r="N288" s="8">
        <v>2.1306008292002184E-2</v>
      </c>
      <c r="O288" s="6" t="s">
        <v>7</v>
      </c>
    </row>
    <row r="289" spans="2:15" x14ac:dyDescent="0.45">
      <c r="B289" s="3" t="s">
        <v>252</v>
      </c>
      <c r="C289" s="3" t="s">
        <v>47</v>
      </c>
      <c r="D289" s="4">
        <v>2.0142915253445379E-3</v>
      </c>
      <c r="E289" s="3" t="s">
        <v>7</v>
      </c>
      <c r="G289" s="3" t="s">
        <v>253</v>
      </c>
      <c r="H289" s="3" t="s">
        <v>47</v>
      </c>
      <c r="I289" s="5">
        <v>1.8703576307995805E-2</v>
      </c>
      <c r="J289" s="3" t="s">
        <v>7</v>
      </c>
      <c r="L289" s="3" t="s">
        <v>254</v>
      </c>
      <c r="M289" s="3" t="s">
        <v>47</v>
      </c>
      <c r="N289" s="5">
        <v>2.2052515655071613E-2</v>
      </c>
      <c r="O289" s="3" t="s">
        <v>7</v>
      </c>
    </row>
    <row r="290" spans="2:15" x14ac:dyDescent="0.45">
      <c r="B290" s="6" t="s">
        <v>252</v>
      </c>
      <c r="C290" s="6" t="s">
        <v>48</v>
      </c>
      <c r="D290" s="7">
        <v>0</v>
      </c>
      <c r="E290" s="6" t="s">
        <v>7</v>
      </c>
      <c r="G290" s="6" t="s">
        <v>253</v>
      </c>
      <c r="H290" s="6" t="s">
        <v>48</v>
      </c>
      <c r="I290" s="8">
        <v>2.8014024385568683E-2</v>
      </c>
      <c r="J290" s="6" t="s">
        <v>7</v>
      </c>
      <c r="L290" s="6" t="s">
        <v>254</v>
      </c>
      <c r="M290" s="6" t="s">
        <v>48</v>
      </c>
      <c r="N290" s="8">
        <v>3.3006724441598224E-2</v>
      </c>
      <c r="O290" s="6" t="s">
        <v>7</v>
      </c>
    </row>
    <row r="291" spans="2:15" x14ac:dyDescent="0.45">
      <c r="B291" s="3" t="s">
        <v>255</v>
      </c>
      <c r="C291" s="3" t="s">
        <v>6</v>
      </c>
      <c r="D291" s="4">
        <v>0</v>
      </c>
      <c r="E291" s="3" t="s">
        <v>7</v>
      </c>
      <c r="G291" s="3" t="s">
        <v>256</v>
      </c>
      <c r="H291" s="3" t="s">
        <v>6</v>
      </c>
      <c r="I291" s="5">
        <v>7.0519671768658948E-2</v>
      </c>
      <c r="J291" s="3" t="s">
        <v>7</v>
      </c>
      <c r="L291" s="3" t="s">
        <v>257</v>
      </c>
      <c r="M291" s="3" t="s">
        <v>6</v>
      </c>
      <c r="N291" s="5">
        <v>6.7105461341665104E-2</v>
      </c>
      <c r="O291" s="3" t="s">
        <v>7</v>
      </c>
    </row>
    <row r="292" spans="2:15" x14ac:dyDescent="0.45">
      <c r="B292" s="6" t="s">
        <v>255</v>
      </c>
      <c r="C292" s="6" t="s">
        <v>10</v>
      </c>
      <c r="D292" s="7">
        <v>0</v>
      </c>
      <c r="E292" s="6" t="s">
        <v>7</v>
      </c>
      <c r="G292" s="6" t="s">
        <v>256</v>
      </c>
      <c r="H292" s="6" t="s">
        <v>10</v>
      </c>
      <c r="I292" s="8">
        <v>2.6966047290017319E-2</v>
      </c>
      <c r="J292" s="6" t="s">
        <v>7</v>
      </c>
      <c r="L292" s="6" t="s">
        <v>257</v>
      </c>
      <c r="M292" s="6" t="s">
        <v>10</v>
      </c>
      <c r="N292" s="8">
        <v>2.6040920672862636E-2</v>
      </c>
      <c r="O292" s="6" t="s">
        <v>7</v>
      </c>
    </row>
    <row r="293" spans="2:15" x14ac:dyDescent="0.45">
      <c r="B293" s="3" t="s">
        <v>255</v>
      </c>
      <c r="C293" s="3" t="s">
        <v>11</v>
      </c>
      <c r="D293" s="4">
        <v>0</v>
      </c>
      <c r="E293" s="3" t="s">
        <v>7</v>
      </c>
      <c r="G293" s="3" t="s">
        <v>256</v>
      </c>
      <c r="H293" s="3" t="s">
        <v>11</v>
      </c>
      <c r="I293" s="5">
        <v>2.6509951954872758E-2</v>
      </c>
      <c r="J293" s="3" t="s">
        <v>7</v>
      </c>
      <c r="L293" s="3" t="s">
        <v>257</v>
      </c>
      <c r="M293" s="3" t="s">
        <v>11</v>
      </c>
      <c r="N293" s="5">
        <v>2.7076674462489722E-2</v>
      </c>
      <c r="O293" s="3" t="s">
        <v>7</v>
      </c>
    </row>
    <row r="294" spans="2:15" x14ac:dyDescent="0.45">
      <c r="B294" s="6" t="s">
        <v>255</v>
      </c>
      <c r="C294" s="6" t="s">
        <v>12</v>
      </c>
      <c r="D294" s="7">
        <v>1.9848824620322799E-3</v>
      </c>
      <c r="E294" s="6" t="s">
        <v>7</v>
      </c>
      <c r="G294" s="6" t="s">
        <v>256</v>
      </c>
      <c r="H294" s="6" t="s">
        <v>12</v>
      </c>
      <c r="I294" s="8">
        <v>2.6630013648633741E-2</v>
      </c>
      <c r="J294" s="6" t="s">
        <v>7</v>
      </c>
      <c r="L294" s="6" t="s">
        <v>257</v>
      </c>
      <c r="M294" s="6" t="s">
        <v>12</v>
      </c>
      <c r="N294" s="8">
        <v>2.8158565120110616E-2</v>
      </c>
      <c r="O294" s="6" t="s">
        <v>7</v>
      </c>
    </row>
    <row r="295" spans="2:15" x14ac:dyDescent="0.45">
      <c r="B295" s="3" t="s">
        <v>255</v>
      </c>
      <c r="C295" s="3" t="s">
        <v>13</v>
      </c>
      <c r="D295" s="4">
        <v>2.467840854812255E-2</v>
      </c>
      <c r="E295" s="3" t="s">
        <v>7</v>
      </c>
      <c r="G295" s="3" t="s">
        <v>256</v>
      </c>
      <c r="H295" s="3" t="s">
        <v>13</v>
      </c>
      <c r="I295" s="5">
        <v>2.6521716263441984E-2</v>
      </c>
      <c r="J295" s="3" t="s">
        <v>7</v>
      </c>
      <c r="L295" s="3" t="s">
        <v>257</v>
      </c>
      <c r="M295" s="3" t="s">
        <v>13</v>
      </c>
      <c r="N295" s="5">
        <v>2.9522325625497566E-2</v>
      </c>
      <c r="O295" s="3" t="s">
        <v>7</v>
      </c>
    </row>
    <row r="296" spans="2:15" x14ac:dyDescent="0.45">
      <c r="B296" s="6" t="s">
        <v>255</v>
      </c>
      <c r="C296" s="6" t="s">
        <v>14</v>
      </c>
      <c r="D296" s="7">
        <v>4.4080328584110103E-2</v>
      </c>
      <c r="E296" s="6" t="s">
        <v>7</v>
      </c>
      <c r="G296" s="6" t="s">
        <v>256</v>
      </c>
      <c r="H296" s="6" t="s">
        <v>14</v>
      </c>
      <c r="I296" s="8">
        <v>2.7239473009012145E-2</v>
      </c>
      <c r="J296" s="6" t="s">
        <v>7</v>
      </c>
      <c r="L296" s="6" t="s">
        <v>257</v>
      </c>
      <c r="M296" s="6" t="s">
        <v>14</v>
      </c>
      <c r="N296" s="8">
        <v>2.9891754818062433E-2</v>
      </c>
      <c r="O296" s="6" t="s">
        <v>7</v>
      </c>
    </row>
    <row r="297" spans="2:15" x14ac:dyDescent="0.45">
      <c r="B297" s="3" t="s">
        <v>255</v>
      </c>
      <c r="C297" s="3" t="s">
        <v>15</v>
      </c>
      <c r="D297" s="4">
        <v>3.6766142365932043E-2</v>
      </c>
      <c r="E297" s="3" t="s">
        <v>7</v>
      </c>
      <c r="G297" s="3" t="s">
        <v>256</v>
      </c>
      <c r="H297" s="3" t="s">
        <v>15</v>
      </c>
      <c r="I297" s="5">
        <v>2.7995122345322952E-2</v>
      </c>
      <c r="J297" s="3" t="s">
        <v>7</v>
      </c>
      <c r="L297" s="3" t="s">
        <v>257</v>
      </c>
      <c r="M297" s="3" t="s">
        <v>15</v>
      </c>
      <c r="N297" s="5">
        <v>2.9232292560125613E-2</v>
      </c>
      <c r="O297" s="3" t="s">
        <v>7</v>
      </c>
    </row>
    <row r="298" spans="2:15" x14ac:dyDescent="0.45">
      <c r="B298" s="6" t="s">
        <v>255</v>
      </c>
      <c r="C298" s="6" t="s">
        <v>16</v>
      </c>
      <c r="D298" s="7">
        <v>1.2456701027727484E-2</v>
      </c>
      <c r="E298" s="6" t="s">
        <v>7</v>
      </c>
      <c r="G298" s="6" t="s">
        <v>256</v>
      </c>
      <c r="H298" s="6" t="s">
        <v>16</v>
      </c>
      <c r="I298" s="8">
        <v>2.7896967932880844E-2</v>
      </c>
      <c r="J298" s="6" t="s">
        <v>7</v>
      </c>
      <c r="L298" s="6" t="s">
        <v>257</v>
      </c>
      <c r="M298" s="6" t="s">
        <v>16</v>
      </c>
      <c r="N298" s="8">
        <v>2.8970594202671722E-2</v>
      </c>
      <c r="O298" s="6" t="s">
        <v>7</v>
      </c>
    </row>
    <row r="299" spans="2:15" x14ac:dyDescent="0.45">
      <c r="B299" s="3" t="s">
        <v>255</v>
      </c>
      <c r="C299" s="3" t="s">
        <v>17</v>
      </c>
      <c r="D299" s="4">
        <v>4.1887222256574463E-4</v>
      </c>
      <c r="E299" s="3" t="s">
        <v>7</v>
      </c>
      <c r="G299" s="3" t="s">
        <v>256</v>
      </c>
      <c r="H299" s="3" t="s">
        <v>17</v>
      </c>
      <c r="I299" s="5">
        <v>2.8252294276308831E-2</v>
      </c>
      <c r="J299" s="3" t="s">
        <v>7</v>
      </c>
      <c r="L299" s="3" t="s">
        <v>257</v>
      </c>
      <c r="M299" s="3" t="s">
        <v>17</v>
      </c>
      <c r="N299" s="5">
        <v>2.8834528740027478E-2</v>
      </c>
      <c r="O299" s="3" t="s">
        <v>7</v>
      </c>
    </row>
    <row r="300" spans="2:15" x14ac:dyDescent="0.45">
      <c r="B300" s="6" t="s">
        <v>255</v>
      </c>
      <c r="C300" s="6" t="s">
        <v>18</v>
      </c>
      <c r="D300" s="7">
        <v>0</v>
      </c>
      <c r="E300" s="6" t="s">
        <v>7</v>
      </c>
      <c r="G300" s="6" t="s">
        <v>256</v>
      </c>
      <c r="H300" s="6" t="s">
        <v>18</v>
      </c>
      <c r="I300" s="8">
        <v>4.3698807774423608E-2</v>
      </c>
      <c r="J300" s="6" t="s">
        <v>7</v>
      </c>
      <c r="L300" s="6" t="s">
        <v>257</v>
      </c>
      <c r="M300" s="6" t="s">
        <v>18</v>
      </c>
      <c r="N300" s="8">
        <v>4.3035869749634317E-2</v>
      </c>
      <c r="O300" s="6" t="s">
        <v>7</v>
      </c>
    </row>
    <row r="301" spans="2:15" x14ac:dyDescent="0.45">
      <c r="B301" s="3" t="s">
        <v>255</v>
      </c>
      <c r="C301" s="3" t="s">
        <v>19</v>
      </c>
      <c r="D301" s="4">
        <v>0</v>
      </c>
      <c r="E301" s="3" t="s">
        <v>7</v>
      </c>
      <c r="G301" s="3" t="s">
        <v>256</v>
      </c>
      <c r="H301" s="3" t="s">
        <v>19</v>
      </c>
      <c r="I301" s="5">
        <v>5.6431247654945539E-2</v>
      </c>
      <c r="J301" s="3" t="s">
        <v>7</v>
      </c>
      <c r="L301" s="3" t="s">
        <v>257</v>
      </c>
      <c r="M301" s="3" t="s">
        <v>19</v>
      </c>
      <c r="N301" s="5">
        <v>5.3085173033659068E-2</v>
      </c>
      <c r="O301" s="3" t="s">
        <v>7</v>
      </c>
    </row>
    <row r="302" spans="2:15" x14ac:dyDescent="0.45">
      <c r="B302" s="6" t="s">
        <v>255</v>
      </c>
      <c r="C302" s="6" t="s">
        <v>20</v>
      </c>
      <c r="D302" s="7">
        <v>1.4836362286115473E-5</v>
      </c>
      <c r="E302" s="6" t="s">
        <v>7</v>
      </c>
      <c r="G302" s="6" t="s">
        <v>256</v>
      </c>
      <c r="H302" s="6" t="s">
        <v>20</v>
      </c>
      <c r="I302" s="8">
        <v>2.2769975553008623E-2</v>
      </c>
      <c r="J302" s="6" t="s">
        <v>7</v>
      </c>
      <c r="L302" s="6" t="s">
        <v>257</v>
      </c>
      <c r="M302" s="6" t="s">
        <v>20</v>
      </c>
      <c r="N302" s="8">
        <v>2.2122317769706266E-2</v>
      </c>
      <c r="O302" s="6" t="s">
        <v>7</v>
      </c>
    </row>
    <row r="303" spans="2:15" x14ac:dyDescent="0.45">
      <c r="B303" s="3" t="s">
        <v>255</v>
      </c>
      <c r="C303" s="3" t="s">
        <v>21</v>
      </c>
      <c r="D303" s="4">
        <v>3.6167983207393366E-3</v>
      </c>
      <c r="E303" s="3" t="s">
        <v>7</v>
      </c>
      <c r="G303" s="3" t="s">
        <v>256</v>
      </c>
      <c r="H303" s="3" t="s">
        <v>21</v>
      </c>
      <c r="I303" s="5">
        <v>2.271587902608244E-2</v>
      </c>
      <c r="J303" s="3" t="s">
        <v>7</v>
      </c>
      <c r="L303" s="3" t="s">
        <v>257</v>
      </c>
      <c r="M303" s="3" t="s">
        <v>21</v>
      </c>
      <c r="N303" s="5">
        <v>2.2958902949378895E-2</v>
      </c>
      <c r="O303" s="3" t="s">
        <v>7</v>
      </c>
    </row>
    <row r="304" spans="2:15" x14ac:dyDescent="0.45">
      <c r="B304" s="6" t="s">
        <v>255</v>
      </c>
      <c r="C304" s="6" t="s">
        <v>22</v>
      </c>
      <c r="D304" s="7">
        <v>3.2492695613768087E-2</v>
      </c>
      <c r="E304" s="6" t="s">
        <v>7</v>
      </c>
      <c r="G304" s="6" t="s">
        <v>256</v>
      </c>
      <c r="H304" s="6" t="s">
        <v>22</v>
      </c>
      <c r="I304" s="8">
        <v>2.4321966880357367E-2</v>
      </c>
      <c r="J304" s="6" t="s">
        <v>7</v>
      </c>
      <c r="L304" s="6" t="s">
        <v>257</v>
      </c>
      <c r="M304" s="6" t="s">
        <v>22</v>
      </c>
      <c r="N304" s="8">
        <v>2.5021250917427979E-2</v>
      </c>
      <c r="O304" s="6" t="s">
        <v>7</v>
      </c>
    </row>
    <row r="305" spans="2:15" x14ac:dyDescent="0.45">
      <c r="B305" s="3" t="s">
        <v>255</v>
      </c>
      <c r="C305" s="3" t="s">
        <v>23</v>
      </c>
      <c r="D305" s="4">
        <v>6.8591883905741086E-2</v>
      </c>
      <c r="E305" s="3" t="s">
        <v>7</v>
      </c>
      <c r="G305" s="3" t="s">
        <v>256</v>
      </c>
      <c r="H305" s="3" t="s">
        <v>23</v>
      </c>
      <c r="I305" s="5">
        <v>2.5088320598408924E-2</v>
      </c>
      <c r="J305" s="3" t="s">
        <v>7</v>
      </c>
      <c r="L305" s="3" t="s">
        <v>257</v>
      </c>
      <c r="M305" s="3" t="s">
        <v>23</v>
      </c>
      <c r="N305" s="5">
        <v>2.576744192412115E-2</v>
      </c>
      <c r="O305" s="3" t="s">
        <v>7</v>
      </c>
    </row>
    <row r="306" spans="2:15" x14ac:dyDescent="0.45">
      <c r="B306" s="6" t="s">
        <v>255</v>
      </c>
      <c r="C306" s="6" t="s">
        <v>24</v>
      </c>
      <c r="D306" s="7">
        <v>8.4036738639294659E-2</v>
      </c>
      <c r="E306" s="6" t="s">
        <v>7</v>
      </c>
      <c r="G306" s="6" t="s">
        <v>256</v>
      </c>
      <c r="H306" s="6" t="s">
        <v>24</v>
      </c>
      <c r="I306" s="8">
        <v>2.5368430425157198E-2</v>
      </c>
      <c r="J306" s="6" t="s">
        <v>7</v>
      </c>
      <c r="L306" s="6" t="s">
        <v>257</v>
      </c>
      <c r="M306" s="6" t="s">
        <v>24</v>
      </c>
      <c r="N306" s="8">
        <v>2.5533150617237217E-2</v>
      </c>
      <c r="O306" s="6" t="s">
        <v>7</v>
      </c>
    </row>
    <row r="307" spans="2:15" x14ac:dyDescent="0.45">
      <c r="B307" s="3" t="s">
        <v>255</v>
      </c>
      <c r="C307" s="3" t="s">
        <v>25</v>
      </c>
      <c r="D307" s="4">
        <v>7.7932994308342385E-2</v>
      </c>
      <c r="E307" s="3" t="s">
        <v>7</v>
      </c>
      <c r="G307" s="3" t="s">
        <v>256</v>
      </c>
      <c r="H307" s="3" t="s">
        <v>25</v>
      </c>
      <c r="I307" s="5">
        <v>2.5227176816637265E-2</v>
      </c>
      <c r="J307" s="3" t="s">
        <v>7</v>
      </c>
      <c r="L307" s="3" t="s">
        <v>257</v>
      </c>
      <c r="M307" s="3" t="s">
        <v>25</v>
      </c>
      <c r="N307" s="5">
        <v>2.4826185629085416E-2</v>
      </c>
      <c r="O307" s="3" t="s">
        <v>7</v>
      </c>
    </row>
    <row r="308" spans="2:15" x14ac:dyDescent="0.45">
      <c r="B308" s="6" t="s">
        <v>255</v>
      </c>
      <c r="C308" s="6" t="s">
        <v>26</v>
      </c>
      <c r="D308" s="7">
        <v>5.1202872615702166E-2</v>
      </c>
      <c r="E308" s="6" t="s">
        <v>7</v>
      </c>
      <c r="G308" s="6" t="s">
        <v>256</v>
      </c>
      <c r="H308" s="6" t="s">
        <v>26</v>
      </c>
      <c r="I308" s="8">
        <v>2.4676212121485536E-2</v>
      </c>
      <c r="J308" s="6" t="s">
        <v>7</v>
      </c>
      <c r="L308" s="6" t="s">
        <v>257</v>
      </c>
      <c r="M308" s="6" t="s">
        <v>26</v>
      </c>
      <c r="N308" s="8">
        <v>2.3228381676353459E-2</v>
      </c>
      <c r="O308" s="6" t="s">
        <v>7</v>
      </c>
    </row>
    <row r="309" spans="2:15" x14ac:dyDescent="0.45">
      <c r="B309" s="3" t="s">
        <v>255</v>
      </c>
      <c r="C309" s="3" t="s">
        <v>27</v>
      </c>
      <c r="D309" s="4">
        <v>1.3691968880485433E-2</v>
      </c>
      <c r="E309" s="3" t="s">
        <v>7</v>
      </c>
      <c r="G309" s="3" t="s">
        <v>256</v>
      </c>
      <c r="H309" s="3" t="s">
        <v>27</v>
      </c>
      <c r="I309" s="5">
        <v>2.273270094367465E-2</v>
      </c>
      <c r="J309" s="3" t="s">
        <v>7</v>
      </c>
      <c r="L309" s="3" t="s">
        <v>257</v>
      </c>
      <c r="M309" s="3" t="s">
        <v>27</v>
      </c>
      <c r="N309" s="5">
        <v>2.1510119283415754E-2</v>
      </c>
      <c r="O309" s="3" t="s">
        <v>7</v>
      </c>
    </row>
    <row r="310" spans="2:15" x14ac:dyDescent="0.45">
      <c r="B310" s="6" t="s">
        <v>255</v>
      </c>
      <c r="C310" s="6" t="s">
        <v>28</v>
      </c>
      <c r="D310" s="7">
        <v>4.2884105111230179E-4</v>
      </c>
      <c r="E310" s="6" t="s">
        <v>7</v>
      </c>
      <c r="G310" s="6" t="s">
        <v>256</v>
      </c>
      <c r="H310" s="6" t="s">
        <v>28</v>
      </c>
      <c r="I310" s="8">
        <v>3.3502152715770818E-2</v>
      </c>
      <c r="J310" s="6" t="s">
        <v>7</v>
      </c>
      <c r="L310" s="6" t="s">
        <v>257</v>
      </c>
      <c r="M310" s="6" t="s">
        <v>28</v>
      </c>
      <c r="N310" s="8">
        <v>3.17575359183098E-2</v>
      </c>
      <c r="O310" s="6" t="s">
        <v>7</v>
      </c>
    </row>
    <row r="311" spans="2:15" x14ac:dyDescent="0.45">
      <c r="B311" s="3" t="s">
        <v>255</v>
      </c>
      <c r="C311" s="3" t="s">
        <v>29</v>
      </c>
      <c r="D311" s="4">
        <v>0</v>
      </c>
      <c r="E311" s="3" t="s">
        <v>7</v>
      </c>
      <c r="G311" s="3" t="s">
        <v>256</v>
      </c>
      <c r="H311" s="3" t="s">
        <v>29</v>
      </c>
      <c r="I311" s="5">
        <v>2.6651617320371478E-2</v>
      </c>
      <c r="J311" s="3" t="s">
        <v>7</v>
      </c>
      <c r="L311" s="3" t="s">
        <v>257</v>
      </c>
      <c r="M311" s="3" t="s">
        <v>29</v>
      </c>
      <c r="N311" s="5">
        <v>2.8802042440055488E-2</v>
      </c>
      <c r="O311" s="3" t="s">
        <v>7</v>
      </c>
    </row>
    <row r="312" spans="2:15" x14ac:dyDescent="0.45">
      <c r="B312" s="6" t="s">
        <v>255</v>
      </c>
      <c r="C312" s="6" t="s">
        <v>30</v>
      </c>
      <c r="D312" s="7">
        <v>1.3254266268659376E-4</v>
      </c>
      <c r="E312" s="6" t="s">
        <v>7</v>
      </c>
      <c r="G312" s="6" t="s">
        <v>256</v>
      </c>
      <c r="H312" s="6" t="s">
        <v>30</v>
      </c>
      <c r="I312" s="8">
        <v>1.1059343961204353E-2</v>
      </c>
      <c r="J312" s="6" t="s">
        <v>7</v>
      </c>
      <c r="L312" s="6" t="s">
        <v>257</v>
      </c>
      <c r="M312" s="6" t="s">
        <v>30</v>
      </c>
      <c r="N312" s="8">
        <v>1.1482406191353527E-2</v>
      </c>
      <c r="O312" s="6" t="s">
        <v>7</v>
      </c>
    </row>
    <row r="313" spans="2:15" x14ac:dyDescent="0.45">
      <c r="B313" s="3" t="s">
        <v>255</v>
      </c>
      <c r="C313" s="3" t="s">
        <v>31</v>
      </c>
      <c r="D313" s="4">
        <v>7.2987903078935512E-3</v>
      </c>
      <c r="E313" s="3" t="s">
        <v>7</v>
      </c>
      <c r="G313" s="3" t="s">
        <v>256</v>
      </c>
      <c r="H313" s="3" t="s">
        <v>31</v>
      </c>
      <c r="I313" s="5">
        <v>1.1382919022217742E-2</v>
      </c>
      <c r="J313" s="3" t="s">
        <v>7</v>
      </c>
      <c r="L313" s="3" t="s">
        <v>257</v>
      </c>
      <c r="M313" s="3" t="s">
        <v>31</v>
      </c>
      <c r="N313" s="5">
        <v>1.2601923616272635E-2</v>
      </c>
      <c r="O313" s="3" t="s">
        <v>7</v>
      </c>
    </row>
    <row r="314" spans="2:15" x14ac:dyDescent="0.45">
      <c r="B314" s="6" t="s">
        <v>255</v>
      </c>
      <c r="C314" s="6" t="s">
        <v>32</v>
      </c>
      <c r="D314" s="7">
        <v>3.9256457297567993E-2</v>
      </c>
      <c r="E314" s="6" t="s">
        <v>7</v>
      </c>
      <c r="G314" s="6" t="s">
        <v>256</v>
      </c>
      <c r="H314" s="6" t="s">
        <v>32</v>
      </c>
      <c r="I314" s="8">
        <v>1.2539888562897929E-2</v>
      </c>
      <c r="J314" s="6" t="s">
        <v>7</v>
      </c>
      <c r="L314" s="6" t="s">
        <v>257</v>
      </c>
      <c r="M314" s="6" t="s">
        <v>32</v>
      </c>
      <c r="N314" s="8">
        <v>1.2750344067720623E-2</v>
      </c>
      <c r="O314" s="6" t="s">
        <v>7</v>
      </c>
    </row>
    <row r="315" spans="2:15" x14ac:dyDescent="0.45">
      <c r="B315" s="3" t="s">
        <v>255</v>
      </c>
      <c r="C315" s="3" t="s">
        <v>33</v>
      </c>
      <c r="D315" s="4">
        <v>7.1085598255199597E-2</v>
      </c>
      <c r="E315" s="3" t="s">
        <v>7</v>
      </c>
      <c r="G315" s="3" t="s">
        <v>256</v>
      </c>
      <c r="H315" s="3" t="s">
        <v>33</v>
      </c>
      <c r="I315" s="5">
        <v>1.2406739010559211E-2</v>
      </c>
      <c r="J315" s="3" t="s">
        <v>7</v>
      </c>
      <c r="L315" s="3" t="s">
        <v>257</v>
      </c>
      <c r="M315" s="3" t="s">
        <v>33</v>
      </c>
      <c r="N315" s="5">
        <v>1.3122468485673357E-2</v>
      </c>
      <c r="O315" s="3" t="s">
        <v>7</v>
      </c>
    </row>
    <row r="316" spans="2:15" x14ac:dyDescent="0.45">
      <c r="B316" s="6" t="s">
        <v>255</v>
      </c>
      <c r="C316" s="6" t="s">
        <v>34</v>
      </c>
      <c r="D316" s="7">
        <v>8.4257189399702101E-2</v>
      </c>
      <c r="E316" s="6" t="s">
        <v>7</v>
      </c>
      <c r="G316" s="6" t="s">
        <v>256</v>
      </c>
      <c r="H316" s="6" t="s">
        <v>34</v>
      </c>
      <c r="I316" s="8">
        <v>1.3020510168353901E-2</v>
      </c>
      <c r="J316" s="6" t="s">
        <v>7</v>
      </c>
      <c r="L316" s="6" t="s">
        <v>257</v>
      </c>
      <c r="M316" s="6" t="s">
        <v>34</v>
      </c>
      <c r="N316" s="8">
        <v>1.3787898499804793E-2</v>
      </c>
      <c r="O316" s="6" t="s">
        <v>7</v>
      </c>
    </row>
    <row r="317" spans="2:15" x14ac:dyDescent="0.45">
      <c r="B317" s="3" t="s">
        <v>255</v>
      </c>
      <c r="C317" s="3" t="s">
        <v>35</v>
      </c>
      <c r="D317" s="4">
        <v>7.8716353738643316E-2</v>
      </c>
      <c r="E317" s="3" t="s">
        <v>7</v>
      </c>
      <c r="G317" s="3" t="s">
        <v>256</v>
      </c>
      <c r="H317" s="3" t="s">
        <v>35</v>
      </c>
      <c r="I317" s="5">
        <v>1.3301052456116437E-2</v>
      </c>
      <c r="J317" s="3" t="s">
        <v>7</v>
      </c>
      <c r="L317" s="3" t="s">
        <v>257</v>
      </c>
      <c r="M317" s="3" t="s">
        <v>35</v>
      </c>
      <c r="N317" s="5">
        <v>1.356127893275289E-2</v>
      </c>
      <c r="O317" s="3" t="s">
        <v>7</v>
      </c>
    </row>
    <row r="318" spans="2:15" x14ac:dyDescent="0.45">
      <c r="B318" s="6" t="s">
        <v>255</v>
      </c>
      <c r="C318" s="6" t="s">
        <v>36</v>
      </c>
      <c r="D318" s="7">
        <v>5.5686243793591189E-2</v>
      </c>
      <c r="E318" s="6" t="s">
        <v>7</v>
      </c>
      <c r="G318" s="6" t="s">
        <v>256</v>
      </c>
      <c r="H318" s="6" t="s">
        <v>36</v>
      </c>
      <c r="I318" s="8">
        <v>1.269332688643926E-2</v>
      </c>
      <c r="J318" s="6" t="s">
        <v>7</v>
      </c>
      <c r="L318" s="6" t="s">
        <v>257</v>
      </c>
      <c r="M318" s="6" t="s">
        <v>36</v>
      </c>
      <c r="N318" s="8">
        <v>1.2143052974879302E-2</v>
      </c>
      <c r="O318" s="6" t="s">
        <v>7</v>
      </c>
    </row>
    <row r="319" spans="2:15" x14ac:dyDescent="0.45">
      <c r="B319" s="3" t="s">
        <v>255</v>
      </c>
      <c r="C319" s="3" t="s">
        <v>37</v>
      </c>
      <c r="D319" s="4">
        <v>2.0168920923955672E-2</v>
      </c>
      <c r="E319" s="3" t="s">
        <v>7</v>
      </c>
      <c r="G319" s="3" t="s">
        <v>256</v>
      </c>
      <c r="H319" s="3" t="s">
        <v>37</v>
      </c>
      <c r="I319" s="5">
        <v>1.1173981932833201E-2</v>
      </c>
      <c r="J319" s="3" t="s">
        <v>7</v>
      </c>
      <c r="L319" s="3" t="s">
        <v>257</v>
      </c>
      <c r="M319" s="3" t="s">
        <v>37</v>
      </c>
      <c r="N319" s="5">
        <v>1.0713834526897059E-2</v>
      </c>
      <c r="O319" s="3" t="s">
        <v>7</v>
      </c>
    </row>
    <row r="320" spans="2:15" x14ac:dyDescent="0.45">
      <c r="B320" s="6" t="s">
        <v>255</v>
      </c>
      <c r="C320" s="6" t="s">
        <v>38</v>
      </c>
      <c r="D320" s="7">
        <v>1.6300655547600328E-3</v>
      </c>
      <c r="E320" s="6" t="s">
        <v>7</v>
      </c>
      <c r="G320" s="6" t="s">
        <v>256</v>
      </c>
      <c r="H320" s="6" t="s">
        <v>38</v>
      </c>
      <c r="I320" s="8">
        <v>1.5799056756724023E-2</v>
      </c>
      <c r="J320" s="6" t="s">
        <v>7</v>
      </c>
      <c r="L320" s="6" t="s">
        <v>257</v>
      </c>
      <c r="M320" s="6" t="s">
        <v>38</v>
      </c>
      <c r="N320" s="8">
        <v>1.7103936059319071E-2</v>
      </c>
      <c r="O320" s="6" t="s">
        <v>7</v>
      </c>
    </row>
    <row r="321" spans="2:15" x14ac:dyDescent="0.45">
      <c r="B321" s="3" t="s">
        <v>255</v>
      </c>
      <c r="C321" s="3" t="s">
        <v>39</v>
      </c>
      <c r="D321" s="4">
        <v>0</v>
      </c>
      <c r="E321" s="3" t="s">
        <v>7</v>
      </c>
      <c r="G321" s="3" t="s">
        <v>256</v>
      </c>
      <c r="H321" s="3" t="s">
        <v>39</v>
      </c>
      <c r="I321" s="5">
        <v>4.8783262719942225E-2</v>
      </c>
      <c r="J321" s="3" t="s">
        <v>7</v>
      </c>
      <c r="L321" s="3" t="s">
        <v>257</v>
      </c>
      <c r="M321" s="3" t="s">
        <v>39</v>
      </c>
      <c r="N321" s="5">
        <v>4.7509411551464868E-2</v>
      </c>
      <c r="O321" s="3" t="s">
        <v>7</v>
      </c>
    </row>
    <row r="322" spans="2:15" x14ac:dyDescent="0.45">
      <c r="B322" s="6" t="s">
        <v>255</v>
      </c>
      <c r="C322" s="6" t="s">
        <v>40</v>
      </c>
      <c r="D322" s="7">
        <v>0</v>
      </c>
      <c r="E322" s="6" t="s">
        <v>7</v>
      </c>
      <c r="G322" s="6" t="s">
        <v>256</v>
      </c>
      <c r="H322" s="6" t="s">
        <v>40</v>
      </c>
      <c r="I322" s="8">
        <v>1.9763368078849496E-2</v>
      </c>
      <c r="J322" s="6" t="s">
        <v>7</v>
      </c>
      <c r="L322" s="6" t="s">
        <v>257</v>
      </c>
      <c r="M322" s="6" t="s">
        <v>40</v>
      </c>
      <c r="N322" s="8">
        <v>2.027733104489246E-2</v>
      </c>
      <c r="O322" s="6" t="s">
        <v>7</v>
      </c>
    </row>
    <row r="323" spans="2:15" x14ac:dyDescent="0.45">
      <c r="B323" s="3" t="s">
        <v>255</v>
      </c>
      <c r="C323" s="3" t="s">
        <v>41</v>
      </c>
      <c r="D323" s="4">
        <v>2.457242626215371E-4</v>
      </c>
      <c r="E323" s="3" t="s">
        <v>7</v>
      </c>
      <c r="G323" s="3" t="s">
        <v>256</v>
      </c>
      <c r="H323" s="3" t="s">
        <v>41</v>
      </c>
      <c r="I323" s="5">
        <v>2.0538862815946465E-2</v>
      </c>
      <c r="J323" s="3" t="s">
        <v>7</v>
      </c>
      <c r="L323" s="3" t="s">
        <v>257</v>
      </c>
      <c r="M323" s="3" t="s">
        <v>41</v>
      </c>
      <c r="N323" s="5">
        <v>2.1391195815897501E-2</v>
      </c>
      <c r="O323" s="3" t="s">
        <v>7</v>
      </c>
    </row>
    <row r="324" spans="2:15" x14ac:dyDescent="0.45">
      <c r="B324" s="6" t="s">
        <v>255</v>
      </c>
      <c r="C324" s="6" t="s">
        <v>42</v>
      </c>
      <c r="D324" s="7">
        <v>1.3709126781977173E-2</v>
      </c>
      <c r="E324" s="6" t="s">
        <v>7</v>
      </c>
      <c r="G324" s="6" t="s">
        <v>256</v>
      </c>
      <c r="H324" s="6" t="s">
        <v>42</v>
      </c>
      <c r="I324" s="8">
        <v>2.1586801839781452E-2</v>
      </c>
      <c r="J324" s="6" t="s">
        <v>7</v>
      </c>
      <c r="L324" s="6" t="s">
        <v>257</v>
      </c>
      <c r="M324" s="6" t="s">
        <v>42</v>
      </c>
      <c r="N324" s="8">
        <v>2.1528982227422867E-2</v>
      </c>
      <c r="O324" s="6" t="s">
        <v>7</v>
      </c>
    </row>
    <row r="325" spans="2:15" x14ac:dyDescent="0.45">
      <c r="B325" s="3" t="s">
        <v>255</v>
      </c>
      <c r="C325" s="3" t="s">
        <v>43</v>
      </c>
      <c r="D325" s="4">
        <v>4.533006009490869E-2</v>
      </c>
      <c r="E325" s="3" t="s">
        <v>7</v>
      </c>
      <c r="G325" s="3" t="s">
        <v>256</v>
      </c>
      <c r="H325" s="3" t="s">
        <v>43</v>
      </c>
      <c r="I325" s="5">
        <v>2.2016701051603516E-2</v>
      </c>
      <c r="J325" s="3" t="s">
        <v>7</v>
      </c>
      <c r="L325" s="3" t="s">
        <v>257</v>
      </c>
      <c r="M325" s="3" t="s">
        <v>43</v>
      </c>
      <c r="N325" s="5">
        <v>2.1761298858046729E-2</v>
      </c>
      <c r="O325" s="3" t="s">
        <v>7</v>
      </c>
    </row>
    <row r="326" spans="2:15" x14ac:dyDescent="0.45">
      <c r="B326" s="6" t="s">
        <v>255</v>
      </c>
      <c r="C326" s="6" t="s">
        <v>44</v>
      </c>
      <c r="D326" s="7">
        <v>5.8743876144808686E-2</v>
      </c>
      <c r="E326" s="6" t="s">
        <v>7</v>
      </c>
      <c r="G326" s="6" t="s">
        <v>256</v>
      </c>
      <c r="H326" s="6" t="s">
        <v>44</v>
      </c>
      <c r="I326" s="8">
        <v>2.207767280065831E-2</v>
      </c>
      <c r="J326" s="6" t="s">
        <v>7</v>
      </c>
      <c r="L326" s="6" t="s">
        <v>257</v>
      </c>
      <c r="M326" s="6" t="s">
        <v>44</v>
      </c>
      <c r="N326" s="8">
        <v>2.2098468769180778E-2</v>
      </c>
      <c r="O326" s="6" t="s">
        <v>7</v>
      </c>
    </row>
    <row r="327" spans="2:15" x14ac:dyDescent="0.45">
      <c r="B327" s="3" t="s">
        <v>255</v>
      </c>
      <c r="C327" s="3" t="s">
        <v>45</v>
      </c>
      <c r="D327" s="4">
        <v>4.8744266171562592E-2</v>
      </c>
      <c r="E327" s="3" t="s">
        <v>7</v>
      </c>
      <c r="G327" s="3" t="s">
        <v>256</v>
      </c>
      <c r="H327" s="3" t="s">
        <v>45</v>
      </c>
      <c r="I327" s="5">
        <v>2.1499464651090514E-2</v>
      </c>
      <c r="J327" s="3" t="s">
        <v>7</v>
      </c>
      <c r="L327" s="3" t="s">
        <v>257</v>
      </c>
      <c r="M327" s="3" t="s">
        <v>45</v>
      </c>
      <c r="N327" s="5">
        <v>2.0463923243162159E-2</v>
      </c>
      <c r="O327" s="3" t="s">
        <v>7</v>
      </c>
    </row>
    <row r="328" spans="2:15" x14ac:dyDescent="0.45">
      <c r="B328" s="6" t="s">
        <v>255</v>
      </c>
      <c r="C328" s="6" t="s">
        <v>46</v>
      </c>
      <c r="D328" s="7">
        <v>2.0661282018622606E-2</v>
      </c>
      <c r="E328" s="6" t="s">
        <v>7</v>
      </c>
      <c r="G328" s="6" t="s">
        <v>256</v>
      </c>
      <c r="H328" s="6" t="s">
        <v>46</v>
      </c>
      <c r="I328" s="8">
        <v>1.9842109909541113E-2</v>
      </c>
      <c r="J328" s="6" t="s">
        <v>7</v>
      </c>
      <c r="L328" s="6" t="s">
        <v>257</v>
      </c>
      <c r="M328" s="6" t="s">
        <v>46</v>
      </c>
      <c r="N328" s="8">
        <v>1.9043198979507528E-2</v>
      </c>
      <c r="O328" s="6" t="s">
        <v>7</v>
      </c>
    </row>
    <row r="329" spans="2:15" x14ac:dyDescent="0.45">
      <c r="B329" s="3" t="s">
        <v>255</v>
      </c>
      <c r="C329" s="3" t="s">
        <v>47</v>
      </c>
      <c r="D329" s="4">
        <v>1.9385376835369076E-3</v>
      </c>
      <c r="E329" s="3" t="s">
        <v>7</v>
      </c>
      <c r="G329" s="3" t="s">
        <v>256</v>
      </c>
      <c r="H329" s="3" t="s">
        <v>47</v>
      </c>
      <c r="I329" s="5">
        <v>1.930706248780301E-2</v>
      </c>
      <c r="J329" s="3" t="s">
        <v>7</v>
      </c>
      <c r="L329" s="3" t="s">
        <v>257</v>
      </c>
      <c r="M329" s="3" t="s">
        <v>47</v>
      </c>
      <c r="N329" s="5">
        <v>1.8551398570378522E-2</v>
      </c>
      <c r="O329" s="3" t="s">
        <v>7</v>
      </c>
    </row>
    <row r="330" spans="2:15" x14ac:dyDescent="0.45">
      <c r="B330" s="6" t="s">
        <v>255</v>
      </c>
      <c r="C330" s="6" t="s">
        <v>48</v>
      </c>
      <c r="D330" s="7">
        <v>0</v>
      </c>
      <c r="E330" s="6" t="s">
        <v>7</v>
      </c>
      <c r="G330" s="6" t="s">
        <v>256</v>
      </c>
      <c r="H330" s="6" t="s">
        <v>48</v>
      </c>
      <c r="I330" s="8">
        <v>2.949212856796482E-2</v>
      </c>
      <c r="J330" s="6" t="s">
        <v>7</v>
      </c>
      <c r="L330" s="6" t="s">
        <v>257</v>
      </c>
      <c r="M330" s="6" t="s">
        <v>48</v>
      </c>
      <c r="N330" s="8">
        <v>2.762615813347552E-2</v>
      </c>
      <c r="O330" s="6" t="s">
        <v>7</v>
      </c>
    </row>
    <row r="331" spans="2:15" x14ac:dyDescent="0.45">
      <c r="B331" s="3" t="s">
        <v>258</v>
      </c>
      <c r="C331" s="3" t="s">
        <v>6</v>
      </c>
      <c r="D331" s="4">
        <v>0</v>
      </c>
      <c r="E331" s="3" t="s">
        <v>7</v>
      </c>
      <c r="G331" s="3" t="s">
        <v>259</v>
      </c>
      <c r="H331" s="3" t="s">
        <v>6</v>
      </c>
      <c r="I331" s="5">
        <v>6.3763086515996756E-2</v>
      </c>
      <c r="J331" s="3" t="s">
        <v>7</v>
      </c>
      <c r="L331" s="3" t="s">
        <v>260</v>
      </c>
      <c r="M331" s="3" t="s">
        <v>6</v>
      </c>
      <c r="N331" s="5">
        <v>6.3330497651858053E-2</v>
      </c>
      <c r="O331" s="3" t="s">
        <v>7</v>
      </c>
    </row>
    <row r="332" spans="2:15" x14ac:dyDescent="0.45">
      <c r="B332" s="6" t="s">
        <v>258</v>
      </c>
      <c r="C332" s="6" t="s">
        <v>10</v>
      </c>
      <c r="D332" s="7">
        <v>0</v>
      </c>
      <c r="E332" s="6" t="s">
        <v>7</v>
      </c>
      <c r="G332" s="6" t="s">
        <v>259</v>
      </c>
      <c r="H332" s="6" t="s">
        <v>10</v>
      </c>
      <c r="I332" s="8">
        <v>2.5161301623116267E-2</v>
      </c>
      <c r="J332" s="6" t="s">
        <v>7</v>
      </c>
      <c r="L332" s="6" t="s">
        <v>260</v>
      </c>
      <c r="M332" s="6" t="s">
        <v>10</v>
      </c>
      <c r="N332" s="8">
        <v>2.4776524637571528E-2</v>
      </c>
      <c r="O332" s="6" t="s">
        <v>7</v>
      </c>
    </row>
    <row r="333" spans="2:15" x14ac:dyDescent="0.45">
      <c r="B333" s="3" t="s">
        <v>258</v>
      </c>
      <c r="C333" s="3" t="s">
        <v>11</v>
      </c>
      <c r="D333" s="4">
        <v>0</v>
      </c>
      <c r="E333" s="3" t="s">
        <v>7</v>
      </c>
      <c r="G333" s="3" t="s">
        <v>259</v>
      </c>
      <c r="H333" s="3" t="s">
        <v>11</v>
      </c>
      <c r="I333" s="5">
        <v>2.5493732200769365E-2</v>
      </c>
      <c r="J333" s="3" t="s">
        <v>7</v>
      </c>
      <c r="L333" s="3" t="s">
        <v>260</v>
      </c>
      <c r="M333" s="3" t="s">
        <v>11</v>
      </c>
      <c r="N333" s="5">
        <v>2.5218141486707483E-2</v>
      </c>
      <c r="O333" s="3" t="s">
        <v>7</v>
      </c>
    </row>
    <row r="334" spans="2:15" x14ac:dyDescent="0.45">
      <c r="B334" s="6" t="s">
        <v>258</v>
      </c>
      <c r="C334" s="6" t="s">
        <v>12</v>
      </c>
      <c r="D334" s="7">
        <v>1.323731342320665E-3</v>
      </c>
      <c r="E334" s="6" t="s">
        <v>7</v>
      </c>
      <c r="G334" s="6" t="s">
        <v>259</v>
      </c>
      <c r="H334" s="6" t="s">
        <v>12</v>
      </c>
      <c r="I334" s="8">
        <v>2.605759546260461E-2</v>
      </c>
      <c r="J334" s="6" t="s">
        <v>7</v>
      </c>
      <c r="L334" s="6" t="s">
        <v>260</v>
      </c>
      <c r="M334" s="6" t="s">
        <v>12</v>
      </c>
      <c r="N334" s="8">
        <v>2.5926280966581745E-2</v>
      </c>
      <c r="O334" s="6" t="s">
        <v>7</v>
      </c>
    </row>
    <row r="335" spans="2:15" x14ac:dyDescent="0.45">
      <c r="B335" s="3" t="s">
        <v>258</v>
      </c>
      <c r="C335" s="3" t="s">
        <v>13</v>
      </c>
      <c r="D335" s="4">
        <v>2.1883738138786309E-2</v>
      </c>
      <c r="E335" s="3" t="s">
        <v>7</v>
      </c>
      <c r="G335" s="3" t="s">
        <v>259</v>
      </c>
      <c r="H335" s="3" t="s">
        <v>13</v>
      </c>
      <c r="I335" s="5">
        <v>2.7463985164687892E-2</v>
      </c>
      <c r="J335" s="3" t="s">
        <v>7</v>
      </c>
      <c r="L335" s="3" t="s">
        <v>260</v>
      </c>
      <c r="M335" s="3" t="s">
        <v>13</v>
      </c>
      <c r="N335" s="5">
        <v>2.6079606978185222E-2</v>
      </c>
      <c r="O335" s="3" t="s">
        <v>7</v>
      </c>
    </row>
    <row r="336" spans="2:15" x14ac:dyDescent="0.45">
      <c r="B336" s="6" t="s">
        <v>258</v>
      </c>
      <c r="C336" s="6" t="s">
        <v>14</v>
      </c>
      <c r="D336" s="7">
        <v>4.1285085880114807E-2</v>
      </c>
      <c r="E336" s="6" t="s">
        <v>7</v>
      </c>
      <c r="G336" s="6" t="s">
        <v>259</v>
      </c>
      <c r="H336" s="6" t="s">
        <v>14</v>
      </c>
      <c r="I336" s="8">
        <v>2.83032974819931E-2</v>
      </c>
      <c r="J336" s="6" t="s">
        <v>7</v>
      </c>
      <c r="L336" s="6" t="s">
        <v>260</v>
      </c>
      <c r="M336" s="6" t="s">
        <v>14</v>
      </c>
      <c r="N336" s="8">
        <v>2.5906499123726286E-2</v>
      </c>
      <c r="O336" s="6" t="s">
        <v>7</v>
      </c>
    </row>
    <row r="337" spans="2:15" x14ac:dyDescent="0.45">
      <c r="B337" s="3" t="s">
        <v>258</v>
      </c>
      <c r="C337" s="3" t="s">
        <v>15</v>
      </c>
      <c r="D337" s="4">
        <v>3.7914785108692603E-2</v>
      </c>
      <c r="E337" s="3" t="s">
        <v>7</v>
      </c>
      <c r="G337" s="3" t="s">
        <v>259</v>
      </c>
      <c r="H337" s="3" t="s">
        <v>15</v>
      </c>
      <c r="I337" s="5">
        <v>2.8054250556294163E-2</v>
      </c>
      <c r="J337" s="3" t="s">
        <v>7</v>
      </c>
      <c r="L337" s="3" t="s">
        <v>260</v>
      </c>
      <c r="M337" s="3" t="s">
        <v>15</v>
      </c>
      <c r="N337" s="5">
        <v>2.5913815435228926E-2</v>
      </c>
      <c r="O337" s="3" t="s">
        <v>7</v>
      </c>
    </row>
    <row r="338" spans="2:15" x14ac:dyDescent="0.45">
      <c r="B338" s="6" t="s">
        <v>258</v>
      </c>
      <c r="C338" s="6" t="s">
        <v>16</v>
      </c>
      <c r="D338" s="7">
        <v>1.5851288778604762E-2</v>
      </c>
      <c r="E338" s="6" t="s">
        <v>7</v>
      </c>
      <c r="G338" s="6" t="s">
        <v>259</v>
      </c>
      <c r="H338" s="6" t="s">
        <v>16</v>
      </c>
      <c r="I338" s="8">
        <v>2.7234395722171293E-2</v>
      </c>
      <c r="J338" s="6" t="s">
        <v>7</v>
      </c>
      <c r="L338" s="6" t="s">
        <v>260</v>
      </c>
      <c r="M338" s="6" t="s">
        <v>16</v>
      </c>
      <c r="N338" s="8">
        <v>2.6000030101723439E-2</v>
      </c>
      <c r="O338" s="6" t="s">
        <v>7</v>
      </c>
    </row>
    <row r="339" spans="2:15" x14ac:dyDescent="0.45">
      <c r="B339" s="3" t="s">
        <v>258</v>
      </c>
      <c r="C339" s="3" t="s">
        <v>17</v>
      </c>
      <c r="D339" s="4">
        <v>7.3228683232217176E-4</v>
      </c>
      <c r="E339" s="3" t="s">
        <v>7</v>
      </c>
      <c r="G339" s="3" t="s">
        <v>259</v>
      </c>
      <c r="H339" s="3" t="s">
        <v>17</v>
      </c>
      <c r="I339" s="5">
        <v>2.7038868053823113E-2</v>
      </c>
      <c r="J339" s="3" t="s">
        <v>7</v>
      </c>
      <c r="L339" s="3" t="s">
        <v>260</v>
      </c>
      <c r="M339" s="3" t="s">
        <v>17</v>
      </c>
      <c r="N339" s="5">
        <v>2.5821485839314793E-2</v>
      </c>
      <c r="O339" s="3" t="s">
        <v>7</v>
      </c>
    </row>
    <row r="340" spans="2:15" x14ac:dyDescent="0.45">
      <c r="B340" s="6" t="s">
        <v>258</v>
      </c>
      <c r="C340" s="6" t="s">
        <v>18</v>
      </c>
      <c r="D340" s="7">
        <v>0</v>
      </c>
      <c r="E340" s="6" t="s">
        <v>7</v>
      </c>
      <c r="G340" s="6" t="s">
        <v>259</v>
      </c>
      <c r="H340" s="6" t="s">
        <v>18</v>
      </c>
      <c r="I340" s="8">
        <v>4.0594498767962818E-2</v>
      </c>
      <c r="J340" s="6" t="s">
        <v>7</v>
      </c>
      <c r="L340" s="6" t="s">
        <v>260</v>
      </c>
      <c r="M340" s="6" t="s">
        <v>18</v>
      </c>
      <c r="N340" s="8">
        <v>3.8596903537915277E-2</v>
      </c>
      <c r="O340" s="6" t="s">
        <v>7</v>
      </c>
    </row>
    <row r="341" spans="2:15" x14ac:dyDescent="0.45">
      <c r="B341" s="3" t="s">
        <v>258</v>
      </c>
      <c r="C341" s="3" t="s">
        <v>19</v>
      </c>
      <c r="D341" s="4">
        <v>0</v>
      </c>
      <c r="E341" s="3" t="s">
        <v>7</v>
      </c>
      <c r="G341" s="3" t="s">
        <v>259</v>
      </c>
      <c r="H341" s="3" t="s">
        <v>19</v>
      </c>
      <c r="I341" s="5">
        <v>5.6512634041273727E-2</v>
      </c>
      <c r="J341" s="3" t="s">
        <v>7</v>
      </c>
      <c r="L341" s="3" t="s">
        <v>260</v>
      </c>
      <c r="M341" s="3" t="s">
        <v>19</v>
      </c>
      <c r="N341" s="5">
        <v>5.3695775314852104E-2</v>
      </c>
      <c r="O341" s="3" t="s">
        <v>7</v>
      </c>
    </row>
    <row r="342" spans="2:15" x14ac:dyDescent="0.45">
      <c r="B342" s="6" t="s">
        <v>258</v>
      </c>
      <c r="C342" s="6" t="s">
        <v>20</v>
      </c>
      <c r="D342" s="7">
        <v>0</v>
      </c>
      <c r="E342" s="6" t="s">
        <v>7</v>
      </c>
      <c r="G342" s="6" t="s">
        <v>259</v>
      </c>
      <c r="H342" s="6" t="s">
        <v>20</v>
      </c>
      <c r="I342" s="8">
        <v>2.243652997090986E-2</v>
      </c>
      <c r="J342" s="6" t="s">
        <v>7</v>
      </c>
      <c r="L342" s="6" t="s">
        <v>260</v>
      </c>
      <c r="M342" s="6" t="s">
        <v>20</v>
      </c>
      <c r="N342" s="8">
        <v>2.2243936547735179E-2</v>
      </c>
      <c r="O342" s="6" t="s">
        <v>7</v>
      </c>
    </row>
    <row r="343" spans="2:15" x14ac:dyDescent="0.45">
      <c r="B343" s="3" t="s">
        <v>258</v>
      </c>
      <c r="C343" s="3" t="s">
        <v>21</v>
      </c>
      <c r="D343" s="4">
        <v>2.2664237096667169E-3</v>
      </c>
      <c r="E343" s="3" t="s">
        <v>7</v>
      </c>
      <c r="G343" s="3" t="s">
        <v>259</v>
      </c>
      <c r="H343" s="3" t="s">
        <v>21</v>
      </c>
      <c r="I343" s="5">
        <v>2.2565534639673934E-2</v>
      </c>
      <c r="J343" s="3" t="s">
        <v>7</v>
      </c>
      <c r="L343" s="3" t="s">
        <v>260</v>
      </c>
      <c r="M343" s="3" t="s">
        <v>21</v>
      </c>
      <c r="N343" s="5">
        <v>2.2266447710267975E-2</v>
      </c>
      <c r="O343" s="3" t="s">
        <v>7</v>
      </c>
    </row>
    <row r="344" spans="2:15" x14ac:dyDescent="0.45">
      <c r="B344" s="6" t="s">
        <v>258</v>
      </c>
      <c r="C344" s="6" t="s">
        <v>22</v>
      </c>
      <c r="D344" s="7">
        <v>2.9332785696742289E-2</v>
      </c>
      <c r="E344" s="6" t="s">
        <v>7</v>
      </c>
      <c r="G344" s="6" t="s">
        <v>259</v>
      </c>
      <c r="H344" s="6" t="s">
        <v>22</v>
      </c>
      <c r="I344" s="8">
        <v>2.3679015066419607E-2</v>
      </c>
      <c r="J344" s="6" t="s">
        <v>7</v>
      </c>
      <c r="L344" s="6" t="s">
        <v>260</v>
      </c>
      <c r="M344" s="6" t="s">
        <v>22</v>
      </c>
      <c r="N344" s="8">
        <v>2.1980648327486595E-2</v>
      </c>
      <c r="O344" s="6" t="s">
        <v>7</v>
      </c>
    </row>
    <row r="345" spans="2:15" x14ac:dyDescent="0.45">
      <c r="B345" s="3" t="s">
        <v>258</v>
      </c>
      <c r="C345" s="3" t="s">
        <v>23</v>
      </c>
      <c r="D345" s="4">
        <v>7.0644725657466378E-2</v>
      </c>
      <c r="E345" s="3" t="s">
        <v>7</v>
      </c>
      <c r="G345" s="3" t="s">
        <v>259</v>
      </c>
      <c r="H345" s="3" t="s">
        <v>23</v>
      </c>
      <c r="I345" s="5">
        <v>2.5093884674873859E-2</v>
      </c>
      <c r="J345" s="3" t="s">
        <v>7</v>
      </c>
      <c r="L345" s="3" t="s">
        <v>260</v>
      </c>
      <c r="M345" s="3" t="s">
        <v>23</v>
      </c>
      <c r="N345" s="5">
        <v>2.2061763853298645E-2</v>
      </c>
      <c r="O345" s="3" t="s">
        <v>7</v>
      </c>
    </row>
    <row r="346" spans="2:15" x14ac:dyDescent="0.45">
      <c r="B346" s="6" t="s">
        <v>258</v>
      </c>
      <c r="C346" s="6" t="s">
        <v>24</v>
      </c>
      <c r="D346" s="7">
        <v>8.8083846346234826E-2</v>
      </c>
      <c r="E346" s="6" t="s">
        <v>7</v>
      </c>
      <c r="G346" s="6" t="s">
        <v>259</v>
      </c>
      <c r="H346" s="6" t="s">
        <v>24</v>
      </c>
      <c r="I346" s="8">
        <v>2.564668697543868E-2</v>
      </c>
      <c r="J346" s="6" t="s">
        <v>7</v>
      </c>
      <c r="L346" s="6" t="s">
        <v>260</v>
      </c>
      <c r="M346" s="6" t="s">
        <v>24</v>
      </c>
      <c r="N346" s="8">
        <v>2.2237488475679437E-2</v>
      </c>
      <c r="O346" s="6" t="s">
        <v>7</v>
      </c>
    </row>
    <row r="347" spans="2:15" x14ac:dyDescent="0.45">
      <c r="B347" s="3" t="s">
        <v>258</v>
      </c>
      <c r="C347" s="3" t="s">
        <v>25</v>
      </c>
      <c r="D347" s="4">
        <v>8.1367967495186114E-2</v>
      </c>
      <c r="E347" s="3" t="s">
        <v>7</v>
      </c>
      <c r="G347" s="3" t="s">
        <v>259</v>
      </c>
      <c r="H347" s="3" t="s">
        <v>25</v>
      </c>
      <c r="I347" s="5">
        <v>2.6052487832513366E-2</v>
      </c>
      <c r="J347" s="3" t="s">
        <v>7</v>
      </c>
      <c r="L347" s="3" t="s">
        <v>260</v>
      </c>
      <c r="M347" s="3" t="s">
        <v>25</v>
      </c>
      <c r="N347" s="5">
        <v>2.2741597280426181E-2</v>
      </c>
      <c r="O347" s="3" t="s">
        <v>7</v>
      </c>
    </row>
    <row r="348" spans="2:15" x14ac:dyDescent="0.45">
      <c r="B348" s="6" t="s">
        <v>258</v>
      </c>
      <c r="C348" s="6" t="s">
        <v>26</v>
      </c>
      <c r="D348" s="7">
        <v>5.3879331799853616E-2</v>
      </c>
      <c r="E348" s="6" t="s">
        <v>7</v>
      </c>
      <c r="G348" s="6" t="s">
        <v>259</v>
      </c>
      <c r="H348" s="6" t="s">
        <v>26</v>
      </c>
      <c r="I348" s="8">
        <v>2.5838392995915678E-2</v>
      </c>
      <c r="J348" s="6" t="s">
        <v>7</v>
      </c>
      <c r="L348" s="6" t="s">
        <v>260</v>
      </c>
      <c r="M348" s="6" t="s">
        <v>26</v>
      </c>
      <c r="N348" s="8">
        <v>2.287301259363159E-2</v>
      </c>
      <c r="O348" s="6" t="s">
        <v>7</v>
      </c>
    </row>
    <row r="349" spans="2:15" x14ac:dyDescent="0.45">
      <c r="B349" s="3" t="s">
        <v>258</v>
      </c>
      <c r="C349" s="3" t="s">
        <v>27</v>
      </c>
      <c r="D349" s="4">
        <v>1.5446527656269188E-2</v>
      </c>
      <c r="E349" s="3" t="s">
        <v>7</v>
      </c>
      <c r="G349" s="3" t="s">
        <v>259</v>
      </c>
      <c r="H349" s="3" t="s">
        <v>27</v>
      </c>
      <c r="I349" s="5">
        <v>2.4212923403162348E-2</v>
      </c>
      <c r="J349" s="3" t="s">
        <v>7</v>
      </c>
      <c r="L349" s="3" t="s">
        <v>260</v>
      </c>
      <c r="M349" s="3" t="s">
        <v>27</v>
      </c>
      <c r="N349" s="5">
        <v>2.2398452488555334E-2</v>
      </c>
      <c r="O349" s="3" t="s">
        <v>7</v>
      </c>
    </row>
    <row r="350" spans="2:15" x14ac:dyDescent="0.45">
      <c r="B350" s="6" t="s">
        <v>258</v>
      </c>
      <c r="C350" s="6" t="s">
        <v>28</v>
      </c>
      <c r="D350" s="7">
        <v>4.9845388883011578E-4</v>
      </c>
      <c r="E350" s="6" t="s">
        <v>7</v>
      </c>
      <c r="G350" s="6" t="s">
        <v>259</v>
      </c>
      <c r="H350" s="6" t="s">
        <v>28</v>
      </c>
      <c r="I350" s="8">
        <v>3.4442649490675693E-2</v>
      </c>
      <c r="J350" s="6" t="s">
        <v>7</v>
      </c>
      <c r="L350" s="6" t="s">
        <v>260</v>
      </c>
      <c r="M350" s="6" t="s">
        <v>28</v>
      </c>
      <c r="N350" s="8">
        <v>3.2624074741108816E-2</v>
      </c>
      <c r="O350" s="6" t="s">
        <v>7</v>
      </c>
    </row>
    <row r="351" spans="2:15" x14ac:dyDescent="0.45">
      <c r="B351" s="3" t="s">
        <v>258</v>
      </c>
      <c r="C351" s="3" t="s">
        <v>29</v>
      </c>
      <c r="D351" s="4">
        <v>0</v>
      </c>
      <c r="E351" s="3" t="s">
        <v>7</v>
      </c>
      <c r="G351" s="3" t="s">
        <v>259</v>
      </c>
      <c r="H351" s="3" t="s">
        <v>29</v>
      </c>
      <c r="I351" s="5">
        <v>3.2312886723565047E-2</v>
      </c>
      <c r="J351" s="3" t="s">
        <v>7</v>
      </c>
      <c r="L351" s="3" t="s">
        <v>260</v>
      </c>
      <c r="M351" s="3" t="s">
        <v>29</v>
      </c>
      <c r="N351" s="5">
        <v>3.667276733420901E-2</v>
      </c>
      <c r="O351" s="3" t="s">
        <v>7</v>
      </c>
    </row>
    <row r="352" spans="2:15" x14ac:dyDescent="0.45">
      <c r="B352" s="6" t="s">
        <v>258</v>
      </c>
      <c r="C352" s="6" t="s">
        <v>30</v>
      </c>
      <c r="D352" s="7">
        <v>8.1573142656837244E-6</v>
      </c>
      <c r="E352" s="6" t="s">
        <v>7</v>
      </c>
      <c r="G352" s="6" t="s">
        <v>259</v>
      </c>
      <c r="H352" s="6" t="s">
        <v>30</v>
      </c>
      <c r="I352" s="8">
        <v>1.2597487024955344E-2</v>
      </c>
      <c r="J352" s="6" t="s">
        <v>7</v>
      </c>
      <c r="L352" s="6" t="s">
        <v>260</v>
      </c>
      <c r="M352" s="6" t="s">
        <v>30</v>
      </c>
      <c r="N352" s="8">
        <v>1.4525126446722221E-2</v>
      </c>
      <c r="O352" s="6" t="s">
        <v>7</v>
      </c>
    </row>
    <row r="353" spans="2:15" x14ac:dyDescent="0.45">
      <c r="B353" s="3" t="s">
        <v>258</v>
      </c>
      <c r="C353" s="3" t="s">
        <v>31</v>
      </c>
      <c r="D353" s="4">
        <v>4.6558797282025095E-3</v>
      </c>
      <c r="E353" s="3" t="s">
        <v>7</v>
      </c>
      <c r="G353" s="3" t="s">
        <v>259</v>
      </c>
      <c r="H353" s="3" t="s">
        <v>31</v>
      </c>
      <c r="I353" s="5">
        <v>1.2389344630023412E-2</v>
      </c>
      <c r="J353" s="3" t="s">
        <v>7</v>
      </c>
      <c r="L353" s="3" t="s">
        <v>260</v>
      </c>
      <c r="M353" s="3" t="s">
        <v>31</v>
      </c>
      <c r="N353" s="5">
        <v>1.4319845982643997E-2</v>
      </c>
      <c r="O353" s="3" t="s">
        <v>7</v>
      </c>
    </row>
    <row r="354" spans="2:15" x14ac:dyDescent="0.45">
      <c r="B354" s="6" t="s">
        <v>258</v>
      </c>
      <c r="C354" s="6" t="s">
        <v>32</v>
      </c>
      <c r="D354" s="7">
        <v>3.2940501885788641E-2</v>
      </c>
      <c r="E354" s="6" t="s">
        <v>7</v>
      </c>
      <c r="G354" s="6" t="s">
        <v>259</v>
      </c>
      <c r="H354" s="6" t="s">
        <v>32</v>
      </c>
      <c r="I354" s="8">
        <v>1.3129570394125585E-2</v>
      </c>
      <c r="J354" s="6" t="s">
        <v>7</v>
      </c>
      <c r="L354" s="6" t="s">
        <v>260</v>
      </c>
      <c r="M354" s="6" t="s">
        <v>32</v>
      </c>
      <c r="N354" s="8">
        <v>1.3622934168516131E-2</v>
      </c>
      <c r="O354" s="6" t="s">
        <v>7</v>
      </c>
    </row>
    <row r="355" spans="2:15" x14ac:dyDescent="0.45">
      <c r="B355" s="3" t="s">
        <v>258</v>
      </c>
      <c r="C355" s="3" t="s">
        <v>33</v>
      </c>
      <c r="D355" s="4">
        <v>6.8002243465796502E-2</v>
      </c>
      <c r="E355" s="3" t="s">
        <v>7</v>
      </c>
      <c r="G355" s="3" t="s">
        <v>259</v>
      </c>
      <c r="H355" s="3" t="s">
        <v>33</v>
      </c>
      <c r="I355" s="5">
        <v>1.4189524656544465E-2</v>
      </c>
      <c r="J355" s="3" t="s">
        <v>7</v>
      </c>
      <c r="L355" s="3" t="s">
        <v>260</v>
      </c>
      <c r="M355" s="3" t="s">
        <v>33</v>
      </c>
      <c r="N355" s="5">
        <v>1.3684332319396258E-2</v>
      </c>
      <c r="O355" s="3" t="s">
        <v>7</v>
      </c>
    </row>
    <row r="356" spans="2:15" x14ac:dyDescent="0.45">
      <c r="B356" s="6" t="s">
        <v>258</v>
      </c>
      <c r="C356" s="6" t="s">
        <v>34</v>
      </c>
      <c r="D356" s="7">
        <v>8.6440739593601421E-2</v>
      </c>
      <c r="E356" s="6" t="s">
        <v>7</v>
      </c>
      <c r="G356" s="6" t="s">
        <v>259</v>
      </c>
      <c r="H356" s="6" t="s">
        <v>34</v>
      </c>
      <c r="I356" s="8">
        <v>1.5150647609244406E-2</v>
      </c>
      <c r="J356" s="6" t="s">
        <v>7</v>
      </c>
      <c r="L356" s="6" t="s">
        <v>260</v>
      </c>
      <c r="M356" s="6" t="s">
        <v>34</v>
      </c>
      <c r="N356" s="8">
        <v>1.4006588655323329E-2</v>
      </c>
      <c r="O356" s="6" t="s">
        <v>7</v>
      </c>
    </row>
    <row r="357" spans="2:15" x14ac:dyDescent="0.45">
      <c r="B357" s="3" t="s">
        <v>258</v>
      </c>
      <c r="C357" s="3" t="s">
        <v>35</v>
      </c>
      <c r="D357" s="4">
        <v>8.1113442644240474E-2</v>
      </c>
      <c r="E357" s="3" t="s">
        <v>7</v>
      </c>
      <c r="G357" s="3" t="s">
        <v>259</v>
      </c>
      <c r="H357" s="3" t="s">
        <v>35</v>
      </c>
      <c r="I357" s="5">
        <v>1.5700966578346354E-2</v>
      </c>
      <c r="J357" s="3" t="s">
        <v>7</v>
      </c>
      <c r="L357" s="3" t="s">
        <v>260</v>
      </c>
      <c r="M357" s="3" t="s">
        <v>35</v>
      </c>
      <c r="N357" s="5">
        <v>1.4428964983684452E-2</v>
      </c>
      <c r="O357" s="3" t="s">
        <v>7</v>
      </c>
    </row>
    <row r="358" spans="2:15" x14ac:dyDescent="0.45">
      <c r="B358" s="6" t="s">
        <v>258</v>
      </c>
      <c r="C358" s="6" t="s">
        <v>36</v>
      </c>
      <c r="D358" s="7">
        <v>5.8727657704071123E-2</v>
      </c>
      <c r="E358" s="6" t="s">
        <v>7</v>
      </c>
      <c r="G358" s="6" t="s">
        <v>259</v>
      </c>
      <c r="H358" s="6" t="s">
        <v>36</v>
      </c>
      <c r="I358" s="8">
        <v>1.5236729390595014E-2</v>
      </c>
      <c r="J358" s="6" t="s">
        <v>7</v>
      </c>
      <c r="L358" s="6" t="s">
        <v>260</v>
      </c>
      <c r="M358" s="6" t="s">
        <v>36</v>
      </c>
      <c r="N358" s="8">
        <v>1.4744739194362212E-2</v>
      </c>
      <c r="O358" s="6" t="s">
        <v>7</v>
      </c>
    </row>
    <row r="359" spans="2:15" x14ac:dyDescent="0.45">
      <c r="B359" s="3" t="s">
        <v>258</v>
      </c>
      <c r="C359" s="3" t="s">
        <v>37</v>
      </c>
      <c r="D359" s="4">
        <v>2.2481076137877847E-2</v>
      </c>
      <c r="E359" s="3" t="s">
        <v>7</v>
      </c>
      <c r="G359" s="3" t="s">
        <v>259</v>
      </c>
      <c r="H359" s="3" t="s">
        <v>37</v>
      </c>
      <c r="I359" s="5">
        <v>1.3945958728432913E-2</v>
      </c>
      <c r="J359" s="3" t="s">
        <v>7</v>
      </c>
      <c r="L359" s="3" t="s">
        <v>260</v>
      </c>
      <c r="M359" s="3" t="s">
        <v>37</v>
      </c>
      <c r="N359" s="5">
        <v>1.4483625510976463E-2</v>
      </c>
      <c r="O359" s="3" t="s">
        <v>7</v>
      </c>
    </row>
    <row r="360" spans="2:15" x14ac:dyDescent="0.45">
      <c r="B360" s="6" t="s">
        <v>258</v>
      </c>
      <c r="C360" s="6" t="s">
        <v>38</v>
      </c>
      <c r="D360" s="7">
        <v>1.8622340732304342E-3</v>
      </c>
      <c r="E360" s="6" t="s">
        <v>7</v>
      </c>
      <c r="G360" s="6" t="s">
        <v>259</v>
      </c>
      <c r="H360" s="6" t="s">
        <v>38</v>
      </c>
      <c r="I360" s="8">
        <v>1.8697780665026604E-2</v>
      </c>
      <c r="J360" s="6" t="s">
        <v>7</v>
      </c>
      <c r="L360" s="6" t="s">
        <v>260</v>
      </c>
      <c r="M360" s="6" t="s">
        <v>38</v>
      </c>
      <c r="N360" s="8">
        <v>2.1762485451221118E-2</v>
      </c>
      <c r="O360" s="6" t="s">
        <v>7</v>
      </c>
    </row>
    <row r="361" spans="2:15" x14ac:dyDescent="0.45">
      <c r="B361" s="3" t="s">
        <v>258</v>
      </c>
      <c r="C361" s="3" t="s">
        <v>39</v>
      </c>
      <c r="D361" s="4">
        <v>0</v>
      </c>
      <c r="E361" s="3" t="s">
        <v>7</v>
      </c>
      <c r="G361" s="3" t="s">
        <v>259</v>
      </c>
      <c r="H361" s="3" t="s">
        <v>39</v>
      </c>
      <c r="I361" s="5">
        <v>4.6489435179102208E-2</v>
      </c>
      <c r="J361" s="3" t="s">
        <v>7</v>
      </c>
      <c r="L361" s="3" t="s">
        <v>260</v>
      </c>
      <c r="M361" s="3" t="s">
        <v>39</v>
      </c>
      <c r="N361" s="5">
        <v>5.3700705445715806E-2</v>
      </c>
      <c r="O361" s="3" t="s">
        <v>7</v>
      </c>
    </row>
    <row r="362" spans="2:15" x14ac:dyDescent="0.45">
      <c r="B362" s="6" t="s">
        <v>258</v>
      </c>
      <c r="C362" s="6" t="s">
        <v>40</v>
      </c>
      <c r="D362" s="7">
        <v>0</v>
      </c>
      <c r="E362" s="6" t="s">
        <v>7</v>
      </c>
      <c r="G362" s="6" t="s">
        <v>259</v>
      </c>
      <c r="H362" s="6" t="s">
        <v>40</v>
      </c>
      <c r="I362" s="8">
        <v>1.9061838306340808E-2</v>
      </c>
      <c r="J362" s="6" t="s">
        <v>7</v>
      </c>
      <c r="L362" s="6" t="s">
        <v>260</v>
      </c>
      <c r="M362" s="6" t="s">
        <v>40</v>
      </c>
      <c r="N362" s="8">
        <v>2.1837560230607064E-2</v>
      </c>
      <c r="O362" s="6" t="s">
        <v>7</v>
      </c>
    </row>
    <row r="363" spans="2:15" x14ac:dyDescent="0.45">
      <c r="B363" s="3" t="s">
        <v>258</v>
      </c>
      <c r="C363" s="3" t="s">
        <v>41</v>
      </c>
      <c r="D363" s="4">
        <v>7.1439340516590204E-5</v>
      </c>
      <c r="E363" s="3" t="s">
        <v>7</v>
      </c>
      <c r="G363" s="3" t="s">
        <v>259</v>
      </c>
      <c r="H363" s="3" t="s">
        <v>41</v>
      </c>
      <c r="I363" s="5">
        <v>1.9229964750178033E-2</v>
      </c>
      <c r="J363" s="3" t="s">
        <v>7</v>
      </c>
      <c r="L363" s="3" t="s">
        <v>260</v>
      </c>
      <c r="M363" s="3" t="s">
        <v>41</v>
      </c>
      <c r="N363" s="5">
        <v>2.1738130709584663E-2</v>
      </c>
      <c r="O363" s="3" t="s">
        <v>7</v>
      </c>
    </row>
    <row r="364" spans="2:15" x14ac:dyDescent="0.45">
      <c r="B364" s="6" t="s">
        <v>258</v>
      </c>
      <c r="C364" s="6" t="s">
        <v>42</v>
      </c>
      <c r="D364" s="7">
        <v>1.0815525135632923E-2</v>
      </c>
      <c r="E364" s="6" t="s">
        <v>7</v>
      </c>
      <c r="G364" s="6" t="s">
        <v>259</v>
      </c>
      <c r="H364" s="6" t="s">
        <v>42</v>
      </c>
      <c r="I364" s="8">
        <v>1.9653798709037988E-2</v>
      </c>
      <c r="J364" s="6" t="s">
        <v>7</v>
      </c>
      <c r="L364" s="6" t="s">
        <v>260</v>
      </c>
      <c r="M364" s="6" t="s">
        <v>42</v>
      </c>
      <c r="N364" s="8">
        <v>2.1154705890270183E-2</v>
      </c>
      <c r="O364" s="6" t="s">
        <v>7</v>
      </c>
    </row>
    <row r="365" spans="2:15" x14ac:dyDescent="0.45">
      <c r="B365" s="3" t="s">
        <v>258</v>
      </c>
      <c r="C365" s="3" t="s">
        <v>43</v>
      </c>
      <c r="D365" s="4">
        <v>3.982094367761526E-2</v>
      </c>
      <c r="E365" s="3" t="s">
        <v>7</v>
      </c>
      <c r="G365" s="3" t="s">
        <v>259</v>
      </c>
      <c r="H365" s="3" t="s">
        <v>43</v>
      </c>
      <c r="I365" s="5">
        <v>2.0056794096763274E-2</v>
      </c>
      <c r="J365" s="3" t="s">
        <v>7</v>
      </c>
      <c r="L365" s="3" t="s">
        <v>260</v>
      </c>
      <c r="M365" s="3" t="s">
        <v>43</v>
      </c>
      <c r="N365" s="5">
        <v>2.1107920201212282E-2</v>
      </c>
      <c r="O365" s="3" t="s">
        <v>7</v>
      </c>
    </row>
    <row r="366" spans="2:15" x14ac:dyDescent="0.45">
      <c r="B366" s="6" t="s">
        <v>258</v>
      </c>
      <c r="C366" s="6" t="s">
        <v>44</v>
      </c>
      <c r="D366" s="7">
        <v>5.64502945280978E-2</v>
      </c>
      <c r="E366" s="6" t="s">
        <v>7</v>
      </c>
      <c r="G366" s="6" t="s">
        <v>259</v>
      </c>
      <c r="H366" s="6" t="s">
        <v>44</v>
      </c>
      <c r="I366" s="8">
        <v>2.0722071511487881E-2</v>
      </c>
      <c r="J366" s="6" t="s">
        <v>7</v>
      </c>
      <c r="L366" s="6" t="s">
        <v>260</v>
      </c>
      <c r="M366" s="6" t="s">
        <v>44</v>
      </c>
      <c r="N366" s="8">
        <v>2.1249613733415228E-2</v>
      </c>
      <c r="O366" s="6" t="s">
        <v>7</v>
      </c>
    </row>
    <row r="367" spans="2:15" x14ac:dyDescent="0.45">
      <c r="B367" s="3" t="s">
        <v>258</v>
      </c>
      <c r="C367" s="3" t="s">
        <v>45</v>
      </c>
      <c r="D367" s="4">
        <v>5.0015256987274243E-2</v>
      </c>
      <c r="E367" s="3" t="s">
        <v>7</v>
      </c>
      <c r="G367" s="3" t="s">
        <v>259</v>
      </c>
      <c r="H367" s="3" t="s">
        <v>45</v>
      </c>
      <c r="I367" s="5">
        <v>2.0582009016165866E-2</v>
      </c>
      <c r="J367" s="3" t="s">
        <v>7</v>
      </c>
      <c r="L367" s="3" t="s">
        <v>260</v>
      </c>
      <c r="M367" s="3" t="s">
        <v>45</v>
      </c>
      <c r="N367" s="5">
        <v>2.1217861063385517E-2</v>
      </c>
      <c r="O367" s="3" t="s">
        <v>7</v>
      </c>
    </row>
    <row r="368" spans="2:15" x14ac:dyDescent="0.45">
      <c r="B368" s="6" t="s">
        <v>258</v>
      </c>
      <c r="C368" s="6" t="s">
        <v>46</v>
      </c>
      <c r="D368" s="7">
        <v>2.3481249163383063E-2</v>
      </c>
      <c r="E368" s="6" t="s">
        <v>7</v>
      </c>
      <c r="G368" s="6" t="s">
        <v>259</v>
      </c>
      <c r="H368" s="6" t="s">
        <v>46</v>
      </c>
      <c r="I368" s="8">
        <v>1.9887785392832473E-2</v>
      </c>
      <c r="J368" s="6" t="s">
        <v>7</v>
      </c>
      <c r="L368" s="6" t="s">
        <v>260</v>
      </c>
      <c r="M368" s="6" t="s">
        <v>46</v>
      </c>
      <c r="N368" s="8">
        <v>2.1119786707111676E-2</v>
      </c>
      <c r="O368" s="6" t="s">
        <v>7</v>
      </c>
    </row>
    <row r="369" spans="2:15" x14ac:dyDescent="0.45">
      <c r="B369" s="3" t="s">
        <v>258</v>
      </c>
      <c r="C369" s="3" t="s">
        <v>47</v>
      </c>
      <c r="D369" s="4">
        <v>2.6023802893149366E-3</v>
      </c>
      <c r="E369" s="3" t="s">
        <v>7</v>
      </c>
      <c r="G369" s="3" t="s">
        <v>259</v>
      </c>
      <c r="H369" s="3" t="s">
        <v>47</v>
      </c>
      <c r="I369" s="5">
        <v>1.8439644774951146E-2</v>
      </c>
      <c r="J369" s="3" t="s">
        <v>7</v>
      </c>
      <c r="L369" s="3" t="s">
        <v>260</v>
      </c>
      <c r="M369" s="3" t="s">
        <v>47</v>
      </c>
      <c r="N369" s="5">
        <v>2.0962365475195054E-2</v>
      </c>
      <c r="O369" s="3" t="s">
        <v>7</v>
      </c>
    </row>
    <row r="370" spans="2:15" x14ac:dyDescent="0.45">
      <c r="B370" s="6" t="s">
        <v>258</v>
      </c>
      <c r="C370" s="6" t="s">
        <v>48</v>
      </c>
      <c r="D370" s="7">
        <v>0</v>
      </c>
      <c r="E370" s="6" t="s">
        <v>7</v>
      </c>
      <c r="G370" s="6" t="s">
        <v>259</v>
      </c>
      <c r="H370" s="6" t="s">
        <v>48</v>
      </c>
      <c r="I370" s="8">
        <v>2.6880011222005017E-2</v>
      </c>
      <c r="J370" s="6" t="s">
        <v>7</v>
      </c>
      <c r="L370" s="6" t="s">
        <v>260</v>
      </c>
      <c r="M370" s="6" t="s">
        <v>48</v>
      </c>
      <c r="N370" s="8">
        <v>3.0966957404592786E-2</v>
      </c>
      <c r="O370" s="6" t="s">
        <v>7</v>
      </c>
    </row>
    <row r="371" spans="2:15" x14ac:dyDescent="0.45">
      <c r="B371" s="3" t="s">
        <v>261</v>
      </c>
      <c r="C371" s="3" t="s">
        <v>6</v>
      </c>
      <c r="D371" s="4">
        <v>0</v>
      </c>
      <c r="E371" s="3" t="s">
        <v>7</v>
      </c>
      <c r="G371" s="3" t="s">
        <v>262</v>
      </c>
      <c r="H371" s="3" t="s">
        <v>6</v>
      </c>
      <c r="I371" s="5">
        <v>6.5147414832784051E-2</v>
      </c>
      <c r="J371" s="3" t="s">
        <v>7</v>
      </c>
      <c r="L371" s="3" t="s">
        <v>263</v>
      </c>
      <c r="M371" s="3" t="s">
        <v>6</v>
      </c>
      <c r="N371" s="5">
        <v>6.3250834396731348E-2</v>
      </c>
      <c r="O371" s="3" t="s">
        <v>7</v>
      </c>
    </row>
    <row r="372" spans="2:15" x14ac:dyDescent="0.45">
      <c r="B372" s="6" t="s">
        <v>261</v>
      </c>
      <c r="C372" s="6" t="s">
        <v>10</v>
      </c>
      <c r="D372" s="7">
        <v>0</v>
      </c>
      <c r="E372" s="6" t="s">
        <v>7</v>
      </c>
      <c r="G372" s="6" t="s">
        <v>262</v>
      </c>
      <c r="H372" s="6" t="s">
        <v>10</v>
      </c>
      <c r="I372" s="8">
        <v>2.4862126690875591E-2</v>
      </c>
      <c r="J372" s="6" t="s">
        <v>7</v>
      </c>
      <c r="L372" s="6" t="s">
        <v>263</v>
      </c>
      <c r="M372" s="6" t="s">
        <v>10</v>
      </c>
      <c r="N372" s="8">
        <v>2.4445052210390967E-2</v>
      </c>
      <c r="O372" s="6" t="s">
        <v>7</v>
      </c>
    </row>
    <row r="373" spans="2:15" x14ac:dyDescent="0.45">
      <c r="B373" s="3" t="s">
        <v>261</v>
      </c>
      <c r="C373" s="3" t="s">
        <v>11</v>
      </c>
      <c r="D373" s="4">
        <v>0</v>
      </c>
      <c r="E373" s="3" t="s">
        <v>7</v>
      </c>
      <c r="G373" s="3" t="s">
        <v>262</v>
      </c>
      <c r="H373" s="3" t="s">
        <v>11</v>
      </c>
      <c r="I373" s="5">
        <v>2.4843699149192218E-2</v>
      </c>
      <c r="J373" s="3" t="s">
        <v>7</v>
      </c>
      <c r="L373" s="3" t="s">
        <v>263</v>
      </c>
      <c r="M373" s="3" t="s">
        <v>11</v>
      </c>
      <c r="N373" s="5">
        <v>2.4462440141740982E-2</v>
      </c>
      <c r="O373" s="3" t="s">
        <v>7</v>
      </c>
    </row>
    <row r="374" spans="2:15" x14ac:dyDescent="0.45">
      <c r="B374" s="6" t="s">
        <v>261</v>
      </c>
      <c r="C374" s="6" t="s">
        <v>12</v>
      </c>
      <c r="D374" s="7">
        <v>1.8798378172318281E-3</v>
      </c>
      <c r="E374" s="6" t="s">
        <v>7</v>
      </c>
      <c r="G374" s="6" t="s">
        <v>262</v>
      </c>
      <c r="H374" s="6" t="s">
        <v>12</v>
      </c>
      <c r="I374" s="8">
        <v>2.584815419754917E-2</v>
      </c>
      <c r="J374" s="6" t="s">
        <v>7</v>
      </c>
      <c r="L374" s="6" t="s">
        <v>263</v>
      </c>
      <c r="M374" s="6" t="s">
        <v>12</v>
      </c>
      <c r="N374" s="8">
        <v>2.5391088965869519E-2</v>
      </c>
      <c r="O374" s="6" t="s">
        <v>7</v>
      </c>
    </row>
    <row r="375" spans="2:15" x14ac:dyDescent="0.45">
      <c r="B375" s="3" t="s">
        <v>261</v>
      </c>
      <c r="C375" s="3" t="s">
        <v>13</v>
      </c>
      <c r="D375" s="4">
        <v>2.5226461373177068E-2</v>
      </c>
      <c r="E375" s="3" t="s">
        <v>7</v>
      </c>
      <c r="G375" s="3" t="s">
        <v>262</v>
      </c>
      <c r="H375" s="3" t="s">
        <v>13</v>
      </c>
      <c r="I375" s="5">
        <v>2.6442077949955473E-2</v>
      </c>
      <c r="J375" s="3" t="s">
        <v>7</v>
      </c>
      <c r="L375" s="3" t="s">
        <v>263</v>
      </c>
      <c r="M375" s="3" t="s">
        <v>13</v>
      </c>
      <c r="N375" s="5">
        <v>2.5462910212664155E-2</v>
      </c>
      <c r="O375" s="3" t="s">
        <v>7</v>
      </c>
    </row>
    <row r="376" spans="2:15" x14ac:dyDescent="0.45">
      <c r="B376" s="6" t="s">
        <v>261</v>
      </c>
      <c r="C376" s="6" t="s">
        <v>14</v>
      </c>
      <c r="D376" s="7">
        <v>4.4241424443943037E-2</v>
      </c>
      <c r="E376" s="6" t="s">
        <v>7</v>
      </c>
      <c r="G376" s="6" t="s">
        <v>262</v>
      </c>
      <c r="H376" s="6" t="s">
        <v>14</v>
      </c>
      <c r="I376" s="8">
        <v>2.7820365654220885E-2</v>
      </c>
      <c r="J376" s="6" t="s">
        <v>7</v>
      </c>
      <c r="L376" s="6" t="s">
        <v>263</v>
      </c>
      <c r="M376" s="6" t="s">
        <v>14</v>
      </c>
      <c r="N376" s="8">
        <v>2.5438577390791799E-2</v>
      </c>
      <c r="O376" s="6" t="s">
        <v>7</v>
      </c>
    </row>
    <row r="377" spans="2:15" x14ac:dyDescent="0.45">
      <c r="B377" s="3" t="s">
        <v>261</v>
      </c>
      <c r="C377" s="3" t="s">
        <v>15</v>
      </c>
      <c r="D377" s="4">
        <v>3.7168227458395153E-2</v>
      </c>
      <c r="E377" s="3" t="s">
        <v>7</v>
      </c>
      <c r="G377" s="3" t="s">
        <v>262</v>
      </c>
      <c r="H377" s="3" t="s">
        <v>15</v>
      </c>
      <c r="I377" s="5">
        <v>2.7806878535686773E-2</v>
      </c>
      <c r="J377" s="3" t="s">
        <v>7</v>
      </c>
      <c r="L377" s="3" t="s">
        <v>263</v>
      </c>
      <c r="M377" s="3" t="s">
        <v>15</v>
      </c>
      <c r="N377" s="5">
        <v>2.5461541409675038E-2</v>
      </c>
      <c r="O377" s="3" t="s">
        <v>7</v>
      </c>
    </row>
    <row r="378" spans="2:15" x14ac:dyDescent="0.45">
      <c r="B378" s="6" t="s">
        <v>261</v>
      </c>
      <c r="C378" s="6" t="s">
        <v>16</v>
      </c>
      <c r="D378" s="7">
        <v>1.2970317806810747E-2</v>
      </c>
      <c r="E378" s="6" t="s">
        <v>7</v>
      </c>
      <c r="G378" s="6" t="s">
        <v>262</v>
      </c>
      <c r="H378" s="6" t="s">
        <v>16</v>
      </c>
      <c r="I378" s="8">
        <v>2.669147126486154E-2</v>
      </c>
      <c r="J378" s="6" t="s">
        <v>7</v>
      </c>
      <c r="L378" s="6" t="s">
        <v>263</v>
      </c>
      <c r="M378" s="6" t="s">
        <v>16</v>
      </c>
      <c r="N378" s="8">
        <v>2.5627801355519172E-2</v>
      </c>
      <c r="O378" s="6" t="s">
        <v>7</v>
      </c>
    </row>
    <row r="379" spans="2:15" x14ac:dyDescent="0.45">
      <c r="B379" s="3" t="s">
        <v>261</v>
      </c>
      <c r="C379" s="3" t="s">
        <v>17</v>
      </c>
      <c r="D379" s="4">
        <v>3.9252807869528359E-4</v>
      </c>
      <c r="E379" s="3" t="s">
        <v>7</v>
      </c>
      <c r="G379" s="3" t="s">
        <v>262</v>
      </c>
      <c r="H379" s="3" t="s">
        <v>17</v>
      </c>
      <c r="I379" s="5">
        <v>2.6450189021674026E-2</v>
      </c>
      <c r="J379" s="3" t="s">
        <v>7</v>
      </c>
      <c r="L379" s="3" t="s">
        <v>263</v>
      </c>
      <c r="M379" s="3" t="s">
        <v>17</v>
      </c>
      <c r="N379" s="5">
        <v>2.5235468987790204E-2</v>
      </c>
      <c r="O379" s="3" t="s">
        <v>7</v>
      </c>
    </row>
    <row r="380" spans="2:15" x14ac:dyDescent="0.45">
      <c r="B380" s="6" t="s">
        <v>261</v>
      </c>
      <c r="C380" s="6" t="s">
        <v>18</v>
      </c>
      <c r="D380" s="7">
        <v>0</v>
      </c>
      <c r="E380" s="6" t="s">
        <v>7</v>
      </c>
      <c r="G380" s="6" t="s">
        <v>262</v>
      </c>
      <c r="H380" s="6" t="s">
        <v>18</v>
      </c>
      <c r="I380" s="8">
        <v>4.0936392780867061E-2</v>
      </c>
      <c r="J380" s="6" t="s">
        <v>7</v>
      </c>
      <c r="L380" s="6" t="s">
        <v>263</v>
      </c>
      <c r="M380" s="6" t="s">
        <v>18</v>
      </c>
      <c r="N380" s="8">
        <v>3.764396092420854E-2</v>
      </c>
      <c r="O380" s="6" t="s">
        <v>7</v>
      </c>
    </row>
    <row r="381" spans="2:15" x14ac:dyDescent="0.45">
      <c r="B381" s="3" t="s">
        <v>261</v>
      </c>
      <c r="C381" s="3" t="s">
        <v>19</v>
      </c>
      <c r="D381" s="4">
        <v>0</v>
      </c>
      <c r="E381" s="3" t="s">
        <v>7</v>
      </c>
      <c r="G381" s="3" t="s">
        <v>262</v>
      </c>
      <c r="H381" s="3" t="s">
        <v>19</v>
      </c>
      <c r="I381" s="5">
        <v>5.8992448901202546E-2</v>
      </c>
      <c r="J381" s="3" t="s">
        <v>7</v>
      </c>
      <c r="L381" s="3" t="s">
        <v>263</v>
      </c>
      <c r="M381" s="3" t="s">
        <v>19</v>
      </c>
      <c r="N381" s="5">
        <v>5.3526500253961683E-2</v>
      </c>
      <c r="O381" s="3" t="s">
        <v>7</v>
      </c>
    </row>
    <row r="382" spans="2:15" x14ac:dyDescent="0.45">
      <c r="B382" s="6" t="s">
        <v>261</v>
      </c>
      <c r="C382" s="6" t="s">
        <v>20</v>
      </c>
      <c r="D382" s="7">
        <v>1.8801157115555381E-6</v>
      </c>
      <c r="E382" s="6" t="s">
        <v>7</v>
      </c>
      <c r="G382" s="6" t="s">
        <v>262</v>
      </c>
      <c r="H382" s="6" t="s">
        <v>20</v>
      </c>
      <c r="I382" s="8">
        <v>2.3333779476000412E-2</v>
      </c>
      <c r="J382" s="6" t="s">
        <v>7</v>
      </c>
      <c r="L382" s="6" t="s">
        <v>263</v>
      </c>
      <c r="M382" s="6" t="s">
        <v>20</v>
      </c>
      <c r="N382" s="8">
        <v>2.1983351842848126E-2</v>
      </c>
      <c r="O382" s="6" t="s">
        <v>7</v>
      </c>
    </row>
    <row r="383" spans="2:15" x14ac:dyDescent="0.45">
      <c r="B383" s="3" t="s">
        <v>261</v>
      </c>
      <c r="C383" s="3" t="s">
        <v>21</v>
      </c>
      <c r="D383" s="4">
        <v>3.1311141334699581E-3</v>
      </c>
      <c r="E383" s="3" t="s">
        <v>7</v>
      </c>
      <c r="G383" s="3" t="s">
        <v>262</v>
      </c>
      <c r="H383" s="3" t="s">
        <v>21</v>
      </c>
      <c r="I383" s="5">
        <v>2.3111232487581731E-2</v>
      </c>
      <c r="J383" s="3" t="s">
        <v>7</v>
      </c>
      <c r="L383" s="3" t="s">
        <v>263</v>
      </c>
      <c r="M383" s="3" t="s">
        <v>21</v>
      </c>
      <c r="N383" s="5">
        <v>2.2040294075677154E-2</v>
      </c>
      <c r="O383" s="3" t="s">
        <v>7</v>
      </c>
    </row>
    <row r="384" spans="2:15" x14ac:dyDescent="0.45">
      <c r="B384" s="6" t="s">
        <v>261</v>
      </c>
      <c r="C384" s="6" t="s">
        <v>22</v>
      </c>
      <c r="D384" s="7">
        <v>3.1717400517801989E-2</v>
      </c>
      <c r="E384" s="6" t="s">
        <v>7</v>
      </c>
      <c r="G384" s="6" t="s">
        <v>262</v>
      </c>
      <c r="H384" s="6" t="s">
        <v>22</v>
      </c>
      <c r="I384" s="8">
        <v>2.4539938948656009E-2</v>
      </c>
      <c r="J384" s="6" t="s">
        <v>7</v>
      </c>
      <c r="L384" s="6" t="s">
        <v>263</v>
      </c>
      <c r="M384" s="6" t="s">
        <v>22</v>
      </c>
      <c r="N384" s="8">
        <v>2.1798755628675288E-2</v>
      </c>
      <c r="O384" s="6" t="s">
        <v>7</v>
      </c>
    </row>
    <row r="385" spans="2:15" x14ac:dyDescent="0.45">
      <c r="B385" s="3" t="s">
        <v>261</v>
      </c>
      <c r="C385" s="3" t="s">
        <v>23</v>
      </c>
      <c r="D385" s="4">
        <v>6.6838234689639842E-2</v>
      </c>
      <c r="E385" s="3" t="s">
        <v>7</v>
      </c>
      <c r="G385" s="3" t="s">
        <v>262</v>
      </c>
      <c r="H385" s="3" t="s">
        <v>23</v>
      </c>
      <c r="I385" s="5">
        <v>2.5551300883409137E-2</v>
      </c>
      <c r="J385" s="3" t="s">
        <v>7</v>
      </c>
      <c r="L385" s="3" t="s">
        <v>263</v>
      </c>
      <c r="M385" s="3" t="s">
        <v>23</v>
      </c>
      <c r="N385" s="5">
        <v>2.1871358560815752E-2</v>
      </c>
      <c r="O385" s="3" t="s">
        <v>7</v>
      </c>
    </row>
    <row r="386" spans="2:15" x14ac:dyDescent="0.45">
      <c r="B386" s="6" t="s">
        <v>261</v>
      </c>
      <c r="C386" s="6" t="s">
        <v>24</v>
      </c>
      <c r="D386" s="7">
        <v>8.4337782830838731E-2</v>
      </c>
      <c r="E386" s="6" t="s">
        <v>7</v>
      </c>
      <c r="G386" s="6" t="s">
        <v>262</v>
      </c>
      <c r="H386" s="6" t="s">
        <v>24</v>
      </c>
      <c r="I386" s="8">
        <v>2.5478951215446615E-2</v>
      </c>
      <c r="J386" s="6" t="s">
        <v>7</v>
      </c>
      <c r="L386" s="6" t="s">
        <v>263</v>
      </c>
      <c r="M386" s="6" t="s">
        <v>24</v>
      </c>
      <c r="N386" s="8">
        <v>2.2222183804694162E-2</v>
      </c>
      <c r="O386" s="6" t="s">
        <v>7</v>
      </c>
    </row>
    <row r="387" spans="2:15" x14ac:dyDescent="0.45">
      <c r="B387" s="3" t="s">
        <v>261</v>
      </c>
      <c r="C387" s="3" t="s">
        <v>25</v>
      </c>
      <c r="D387" s="4">
        <v>7.8479936034029502E-2</v>
      </c>
      <c r="E387" s="3" t="s">
        <v>7</v>
      </c>
      <c r="G387" s="3" t="s">
        <v>262</v>
      </c>
      <c r="H387" s="3" t="s">
        <v>25</v>
      </c>
      <c r="I387" s="5">
        <v>2.5580710789832289E-2</v>
      </c>
      <c r="J387" s="3" t="s">
        <v>7</v>
      </c>
      <c r="L387" s="3" t="s">
        <v>263</v>
      </c>
      <c r="M387" s="3" t="s">
        <v>25</v>
      </c>
      <c r="N387" s="5">
        <v>2.2608442126488652E-2</v>
      </c>
      <c r="O387" s="3" t="s">
        <v>7</v>
      </c>
    </row>
    <row r="388" spans="2:15" x14ac:dyDescent="0.45">
      <c r="B388" s="6" t="s">
        <v>261</v>
      </c>
      <c r="C388" s="6" t="s">
        <v>26</v>
      </c>
      <c r="D388" s="7">
        <v>5.0910178505728543E-2</v>
      </c>
      <c r="E388" s="6" t="s">
        <v>7</v>
      </c>
      <c r="G388" s="6" t="s">
        <v>262</v>
      </c>
      <c r="H388" s="6" t="s">
        <v>26</v>
      </c>
      <c r="I388" s="8">
        <v>2.5048608084524429E-2</v>
      </c>
      <c r="J388" s="6" t="s">
        <v>7</v>
      </c>
      <c r="L388" s="6" t="s">
        <v>263</v>
      </c>
      <c r="M388" s="6" t="s">
        <v>26</v>
      </c>
      <c r="N388" s="8">
        <v>2.2543666593219359E-2</v>
      </c>
      <c r="O388" s="6" t="s">
        <v>7</v>
      </c>
    </row>
    <row r="389" spans="2:15" x14ac:dyDescent="0.45">
      <c r="B389" s="3" t="s">
        <v>261</v>
      </c>
      <c r="C389" s="3" t="s">
        <v>27</v>
      </c>
      <c r="D389" s="4">
        <v>1.3311327849038997E-2</v>
      </c>
      <c r="E389" s="3" t="s">
        <v>7</v>
      </c>
      <c r="G389" s="3" t="s">
        <v>262</v>
      </c>
      <c r="H389" s="3" t="s">
        <v>27</v>
      </c>
      <c r="I389" s="5">
        <v>2.2877746360789531E-2</v>
      </c>
      <c r="J389" s="3" t="s">
        <v>7</v>
      </c>
      <c r="L389" s="3" t="s">
        <v>263</v>
      </c>
      <c r="M389" s="3" t="s">
        <v>27</v>
      </c>
      <c r="N389" s="5">
        <v>2.2208853789140882E-2</v>
      </c>
      <c r="O389" s="3" t="s">
        <v>7</v>
      </c>
    </row>
    <row r="390" spans="2:15" x14ac:dyDescent="0.45">
      <c r="B390" s="6" t="s">
        <v>261</v>
      </c>
      <c r="C390" s="6" t="s">
        <v>28</v>
      </c>
      <c r="D390" s="7">
        <v>3.800565561450014E-4</v>
      </c>
      <c r="E390" s="6" t="s">
        <v>7</v>
      </c>
      <c r="G390" s="6" t="s">
        <v>262</v>
      </c>
      <c r="H390" s="6" t="s">
        <v>28</v>
      </c>
      <c r="I390" s="8">
        <v>3.4670581345675321E-2</v>
      </c>
      <c r="J390" s="6" t="s">
        <v>7</v>
      </c>
      <c r="L390" s="6" t="s">
        <v>263</v>
      </c>
      <c r="M390" s="6" t="s">
        <v>28</v>
      </c>
      <c r="N390" s="8">
        <v>3.231591645552577E-2</v>
      </c>
      <c r="O390" s="6" t="s">
        <v>7</v>
      </c>
    </row>
    <row r="391" spans="2:15" x14ac:dyDescent="0.45">
      <c r="B391" s="3" t="s">
        <v>261</v>
      </c>
      <c r="C391" s="3" t="s">
        <v>29</v>
      </c>
      <c r="D391" s="4">
        <v>0</v>
      </c>
      <c r="E391" s="3" t="s">
        <v>7</v>
      </c>
      <c r="G391" s="3" t="s">
        <v>262</v>
      </c>
      <c r="H391" s="3" t="s">
        <v>29</v>
      </c>
      <c r="I391" s="5">
        <v>2.9725533192181547E-2</v>
      </c>
      <c r="J391" s="3" t="s">
        <v>7</v>
      </c>
      <c r="L391" s="3" t="s">
        <v>263</v>
      </c>
      <c r="M391" s="3" t="s">
        <v>29</v>
      </c>
      <c r="N391" s="5">
        <v>3.859084291842204E-2</v>
      </c>
      <c r="O391" s="3" t="s">
        <v>7</v>
      </c>
    </row>
    <row r="392" spans="2:15" x14ac:dyDescent="0.45">
      <c r="B392" s="6" t="s">
        <v>261</v>
      </c>
      <c r="C392" s="6" t="s">
        <v>30</v>
      </c>
      <c r="D392" s="7">
        <v>4.5490869263785159E-5</v>
      </c>
      <c r="E392" s="6" t="s">
        <v>7</v>
      </c>
      <c r="G392" s="6" t="s">
        <v>262</v>
      </c>
      <c r="H392" s="6" t="s">
        <v>30</v>
      </c>
      <c r="I392" s="8">
        <v>1.1752597056707175E-2</v>
      </c>
      <c r="J392" s="6" t="s">
        <v>7</v>
      </c>
      <c r="L392" s="6" t="s">
        <v>263</v>
      </c>
      <c r="M392" s="6" t="s">
        <v>30</v>
      </c>
      <c r="N392" s="8">
        <v>1.5083108883379775E-2</v>
      </c>
      <c r="O392" s="6" t="s">
        <v>7</v>
      </c>
    </row>
    <row r="393" spans="2:15" x14ac:dyDescent="0.45">
      <c r="B393" s="3" t="s">
        <v>261</v>
      </c>
      <c r="C393" s="3" t="s">
        <v>31</v>
      </c>
      <c r="D393" s="4">
        <v>5.9863048035829342E-3</v>
      </c>
      <c r="E393" s="3" t="s">
        <v>7</v>
      </c>
      <c r="G393" s="3" t="s">
        <v>262</v>
      </c>
      <c r="H393" s="3" t="s">
        <v>31</v>
      </c>
      <c r="I393" s="5">
        <v>1.1593383657793175E-2</v>
      </c>
      <c r="J393" s="3" t="s">
        <v>7</v>
      </c>
      <c r="L393" s="3" t="s">
        <v>263</v>
      </c>
      <c r="M393" s="3" t="s">
        <v>31</v>
      </c>
      <c r="N393" s="5">
        <v>1.4742931081578032E-2</v>
      </c>
      <c r="O393" s="3" t="s">
        <v>7</v>
      </c>
    </row>
    <row r="394" spans="2:15" x14ac:dyDescent="0.45">
      <c r="B394" s="6" t="s">
        <v>261</v>
      </c>
      <c r="C394" s="6" t="s">
        <v>32</v>
      </c>
      <c r="D394" s="7">
        <v>3.846200481133065E-2</v>
      </c>
      <c r="E394" s="6" t="s">
        <v>7</v>
      </c>
      <c r="G394" s="6" t="s">
        <v>262</v>
      </c>
      <c r="H394" s="6" t="s">
        <v>32</v>
      </c>
      <c r="I394" s="8">
        <v>1.212349077248509E-2</v>
      </c>
      <c r="J394" s="6" t="s">
        <v>7</v>
      </c>
      <c r="L394" s="6" t="s">
        <v>263</v>
      </c>
      <c r="M394" s="6" t="s">
        <v>32</v>
      </c>
      <c r="N394" s="8">
        <v>1.3959489751957327E-2</v>
      </c>
      <c r="O394" s="6" t="s">
        <v>7</v>
      </c>
    </row>
    <row r="395" spans="2:15" x14ac:dyDescent="0.45">
      <c r="B395" s="3" t="s">
        <v>261</v>
      </c>
      <c r="C395" s="3" t="s">
        <v>33</v>
      </c>
      <c r="D395" s="4">
        <v>7.2185181057846159E-2</v>
      </c>
      <c r="E395" s="3" t="s">
        <v>7</v>
      </c>
      <c r="G395" s="3" t="s">
        <v>262</v>
      </c>
      <c r="H395" s="3" t="s">
        <v>33</v>
      </c>
      <c r="I395" s="5">
        <v>1.2949854747553837E-2</v>
      </c>
      <c r="J395" s="3" t="s">
        <v>7</v>
      </c>
      <c r="L395" s="3" t="s">
        <v>263</v>
      </c>
      <c r="M395" s="3" t="s">
        <v>33</v>
      </c>
      <c r="N395" s="5">
        <v>1.4186785206763738E-2</v>
      </c>
      <c r="O395" s="3" t="s">
        <v>7</v>
      </c>
    </row>
    <row r="396" spans="2:15" x14ac:dyDescent="0.45">
      <c r="B396" s="6" t="s">
        <v>261</v>
      </c>
      <c r="C396" s="6" t="s">
        <v>34</v>
      </c>
      <c r="D396" s="7">
        <v>8.5566542018945535E-2</v>
      </c>
      <c r="E396" s="6" t="s">
        <v>7</v>
      </c>
      <c r="G396" s="6" t="s">
        <v>262</v>
      </c>
      <c r="H396" s="6" t="s">
        <v>34</v>
      </c>
      <c r="I396" s="8">
        <v>1.4859609490192043E-2</v>
      </c>
      <c r="J396" s="6" t="s">
        <v>7</v>
      </c>
      <c r="L396" s="6" t="s">
        <v>263</v>
      </c>
      <c r="M396" s="6" t="s">
        <v>34</v>
      </c>
      <c r="N396" s="8">
        <v>1.447985049772111E-2</v>
      </c>
      <c r="O396" s="6" t="s">
        <v>7</v>
      </c>
    </row>
    <row r="397" spans="2:15" x14ac:dyDescent="0.45">
      <c r="B397" s="3" t="s">
        <v>261</v>
      </c>
      <c r="C397" s="3" t="s">
        <v>35</v>
      </c>
      <c r="D397" s="4">
        <v>8.1490481457120026E-2</v>
      </c>
      <c r="E397" s="3" t="s">
        <v>7</v>
      </c>
      <c r="G397" s="3" t="s">
        <v>262</v>
      </c>
      <c r="H397" s="3" t="s">
        <v>35</v>
      </c>
      <c r="I397" s="5">
        <v>1.6238283153566724E-2</v>
      </c>
      <c r="J397" s="3" t="s">
        <v>7</v>
      </c>
      <c r="L397" s="3" t="s">
        <v>263</v>
      </c>
      <c r="M397" s="3" t="s">
        <v>35</v>
      </c>
      <c r="N397" s="5">
        <v>1.4617626692566603E-2</v>
      </c>
      <c r="O397" s="3" t="s">
        <v>7</v>
      </c>
    </row>
    <row r="398" spans="2:15" x14ac:dyDescent="0.45">
      <c r="B398" s="6" t="s">
        <v>261</v>
      </c>
      <c r="C398" s="6" t="s">
        <v>36</v>
      </c>
      <c r="D398" s="7">
        <v>5.7084987494371991E-2</v>
      </c>
      <c r="E398" s="6" t="s">
        <v>7</v>
      </c>
      <c r="G398" s="6" t="s">
        <v>262</v>
      </c>
      <c r="H398" s="6" t="s">
        <v>36</v>
      </c>
      <c r="I398" s="8">
        <v>1.6354402076194485E-2</v>
      </c>
      <c r="J398" s="6" t="s">
        <v>7</v>
      </c>
      <c r="L398" s="6" t="s">
        <v>263</v>
      </c>
      <c r="M398" s="6" t="s">
        <v>36</v>
      </c>
      <c r="N398" s="8">
        <v>1.504724796954442E-2</v>
      </c>
      <c r="O398" s="6" t="s">
        <v>7</v>
      </c>
    </row>
    <row r="399" spans="2:15" x14ac:dyDescent="0.45">
      <c r="B399" s="3" t="s">
        <v>261</v>
      </c>
      <c r="C399" s="3" t="s">
        <v>37</v>
      </c>
      <c r="D399" s="4">
        <v>2.0124796563238716E-2</v>
      </c>
      <c r="E399" s="3" t="s">
        <v>7</v>
      </c>
      <c r="G399" s="3" t="s">
        <v>262</v>
      </c>
      <c r="H399" s="3" t="s">
        <v>37</v>
      </c>
      <c r="I399" s="5">
        <v>1.425044199957776E-2</v>
      </c>
      <c r="J399" s="3" t="s">
        <v>7</v>
      </c>
      <c r="L399" s="3" t="s">
        <v>263</v>
      </c>
      <c r="M399" s="3" t="s">
        <v>37</v>
      </c>
      <c r="N399" s="5">
        <v>1.5214816826506406E-2</v>
      </c>
      <c r="O399" s="3" t="s">
        <v>7</v>
      </c>
    </row>
    <row r="400" spans="2:15" x14ac:dyDescent="0.45">
      <c r="B400" s="6" t="s">
        <v>261</v>
      </c>
      <c r="C400" s="6" t="s">
        <v>38</v>
      </c>
      <c r="D400" s="7">
        <v>1.385693547384322E-3</v>
      </c>
      <c r="E400" s="6" t="s">
        <v>7</v>
      </c>
      <c r="G400" s="6" t="s">
        <v>262</v>
      </c>
      <c r="H400" s="6" t="s">
        <v>38</v>
      </c>
      <c r="I400" s="8">
        <v>1.945708033071435E-2</v>
      </c>
      <c r="J400" s="6" t="s">
        <v>7</v>
      </c>
      <c r="L400" s="6" t="s">
        <v>263</v>
      </c>
      <c r="M400" s="6" t="s">
        <v>38</v>
      </c>
      <c r="N400" s="8">
        <v>2.2818800620064705E-2</v>
      </c>
      <c r="O400" s="6" t="s">
        <v>7</v>
      </c>
    </row>
    <row r="401" spans="2:15" x14ac:dyDescent="0.45">
      <c r="B401" s="3" t="s">
        <v>261</v>
      </c>
      <c r="C401" s="3" t="s">
        <v>39</v>
      </c>
      <c r="D401" s="4">
        <v>0</v>
      </c>
      <c r="E401" s="3" t="s">
        <v>7</v>
      </c>
      <c r="G401" s="3" t="s">
        <v>262</v>
      </c>
      <c r="H401" s="3" t="s">
        <v>39</v>
      </c>
      <c r="I401" s="5">
        <v>4.543595450255189E-2</v>
      </c>
      <c r="J401" s="3" t="s">
        <v>7</v>
      </c>
      <c r="L401" s="3" t="s">
        <v>263</v>
      </c>
      <c r="M401" s="3" t="s">
        <v>39</v>
      </c>
      <c r="N401" s="5">
        <v>5.3270898785518113E-2</v>
      </c>
      <c r="O401" s="3" t="s">
        <v>7</v>
      </c>
    </row>
    <row r="402" spans="2:15" x14ac:dyDescent="0.45">
      <c r="B402" s="6" t="s">
        <v>261</v>
      </c>
      <c r="C402" s="6" t="s">
        <v>40</v>
      </c>
      <c r="D402" s="7">
        <v>0</v>
      </c>
      <c r="E402" s="6" t="s">
        <v>7</v>
      </c>
      <c r="G402" s="6" t="s">
        <v>262</v>
      </c>
      <c r="H402" s="6" t="s">
        <v>40</v>
      </c>
      <c r="I402" s="8">
        <v>1.9187615344511216E-2</v>
      </c>
      <c r="J402" s="6" t="s">
        <v>7</v>
      </c>
      <c r="L402" s="6" t="s">
        <v>263</v>
      </c>
      <c r="M402" s="6" t="s">
        <v>40</v>
      </c>
      <c r="N402" s="8">
        <v>2.1678846869922806E-2</v>
      </c>
      <c r="O402" s="6" t="s">
        <v>7</v>
      </c>
    </row>
    <row r="403" spans="2:15" x14ac:dyDescent="0.45">
      <c r="B403" s="3" t="s">
        <v>261</v>
      </c>
      <c r="C403" s="3" t="s">
        <v>41</v>
      </c>
      <c r="D403" s="4">
        <v>1.9936594577590251E-4</v>
      </c>
      <c r="E403" s="3" t="s">
        <v>7</v>
      </c>
      <c r="G403" s="3" t="s">
        <v>262</v>
      </c>
      <c r="H403" s="3" t="s">
        <v>41</v>
      </c>
      <c r="I403" s="5">
        <v>1.9875840527196587E-2</v>
      </c>
      <c r="J403" s="3" t="s">
        <v>7</v>
      </c>
      <c r="L403" s="3" t="s">
        <v>263</v>
      </c>
      <c r="M403" s="3" t="s">
        <v>41</v>
      </c>
      <c r="N403" s="5">
        <v>2.1603129601917057E-2</v>
      </c>
      <c r="O403" s="3" t="s">
        <v>7</v>
      </c>
    </row>
    <row r="404" spans="2:15" x14ac:dyDescent="0.45">
      <c r="B404" s="6" t="s">
        <v>261</v>
      </c>
      <c r="C404" s="6" t="s">
        <v>42</v>
      </c>
      <c r="D404" s="7">
        <v>1.352835631280268E-2</v>
      </c>
      <c r="E404" s="6" t="s">
        <v>7</v>
      </c>
      <c r="G404" s="6" t="s">
        <v>262</v>
      </c>
      <c r="H404" s="6" t="s">
        <v>42</v>
      </c>
      <c r="I404" s="8">
        <v>2.0289456178220786E-2</v>
      </c>
      <c r="J404" s="6" t="s">
        <v>7</v>
      </c>
      <c r="L404" s="6" t="s">
        <v>263</v>
      </c>
      <c r="M404" s="6" t="s">
        <v>42</v>
      </c>
      <c r="N404" s="8">
        <v>2.1176953998964729E-2</v>
      </c>
      <c r="O404" s="6" t="s">
        <v>7</v>
      </c>
    </row>
    <row r="405" spans="2:15" x14ac:dyDescent="0.45">
      <c r="B405" s="3" t="s">
        <v>261</v>
      </c>
      <c r="C405" s="3" t="s">
        <v>43</v>
      </c>
      <c r="D405" s="4">
        <v>4.6494163081007005E-2</v>
      </c>
      <c r="E405" s="3" t="s">
        <v>7</v>
      </c>
      <c r="G405" s="3" t="s">
        <v>262</v>
      </c>
      <c r="H405" s="3" t="s">
        <v>43</v>
      </c>
      <c r="I405" s="5">
        <v>2.0549406463122127E-2</v>
      </c>
      <c r="J405" s="3" t="s">
        <v>7</v>
      </c>
      <c r="L405" s="3" t="s">
        <v>263</v>
      </c>
      <c r="M405" s="3" t="s">
        <v>43</v>
      </c>
      <c r="N405" s="5">
        <v>2.1269682053530067E-2</v>
      </c>
      <c r="O405" s="3" t="s">
        <v>7</v>
      </c>
    </row>
    <row r="406" spans="2:15" x14ac:dyDescent="0.45">
      <c r="B406" s="6" t="s">
        <v>261</v>
      </c>
      <c r="C406" s="6" t="s">
        <v>44</v>
      </c>
      <c r="D406" s="7">
        <v>5.8295927063863752E-2</v>
      </c>
      <c r="E406" s="6" t="s">
        <v>7</v>
      </c>
      <c r="G406" s="6" t="s">
        <v>262</v>
      </c>
      <c r="H406" s="6" t="s">
        <v>44</v>
      </c>
      <c r="I406" s="8">
        <v>2.1441478750881163E-2</v>
      </c>
      <c r="J406" s="6" t="s">
        <v>7</v>
      </c>
      <c r="L406" s="6" t="s">
        <v>263</v>
      </c>
      <c r="M406" s="6" t="s">
        <v>44</v>
      </c>
      <c r="N406" s="8">
        <v>2.1447620605972849E-2</v>
      </c>
      <c r="O406" s="6" t="s">
        <v>7</v>
      </c>
    </row>
    <row r="407" spans="2:15" x14ac:dyDescent="0.45">
      <c r="B407" s="3" t="s">
        <v>261</v>
      </c>
      <c r="C407" s="3" t="s">
        <v>45</v>
      </c>
      <c r="D407" s="4">
        <v>4.6021376664444419E-2</v>
      </c>
      <c r="E407" s="3" t="s">
        <v>7</v>
      </c>
      <c r="G407" s="3" t="s">
        <v>262</v>
      </c>
      <c r="H407" s="3" t="s">
        <v>45</v>
      </c>
      <c r="I407" s="5">
        <v>2.0888371999701789E-2</v>
      </c>
      <c r="J407" s="3" t="s">
        <v>7</v>
      </c>
      <c r="L407" s="3" t="s">
        <v>263</v>
      </c>
      <c r="M407" s="3" t="s">
        <v>45</v>
      </c>
      <c r="N407" s="5">
        <v>2.1507234919597593E-2</v>
      </c>
      <c r="O407" s="3" t="s">
        <v>7</v>
      </c>
    </row>
    <row r="408" spans="2:15" x14ac:dyDescent="0.45">
      <c r="B408" s="6" t="s">
        <v>261</v>
      </c>
      <c r="C408" s="6" t="s">
        <v>46</v>
      </c>
      <c r="D408" s="7">
        <v>2.0221883616099903E-2</v>
      </c>
      <c r="E408" s="6" t="s">
        <v>7</v>
      </c>
      <c r="G408" s="6" t="s">
        <v>262</v>
      </c>
      <c r="H408" s="6" t="s">
        <v>46</v>
      </c>
      <c r="I408" s="8">
        <v>1.97662800627116E-2</v>
      </c>
      <c r="J408" s="6" t="s">
        <v>7</v>
      </c>
      <c r="L408" s="6" t="s">
        <v>263</v>
      </c>
      <c r="M408" s="6" t="s">
        <v>46</v>
      </c>
      <c r="N408" s="8">
        <v>2.1394416121670843E-2</v>
      </c>
      <c r="O408" s="6" t="s">
        <v>7</v>
      </c>
    </row>
    <row r="409" spans="2:15" x14ac:dyDescent="0.45">
      <c r="B409" s="3" t="s">
        <v>261</v>
      </c>
      <c r="C409" s="3" t="s">
        <v>47</v>
      </c>
      <c r="D409" s="4">
        <v>1.9207364822650421E-3</v>
      </c>
      <c r="E409" s="3" t="s">
        <v>7</v>
      </c>
      <c r="G409" s="3" t="s">
        <v>262</v>
      </c>
      <c r="H409" s="3" t="s">
        <v>47</v>
      </c>
      <c r="I409" s="5">
        <v>1.9107984755641128E-2</v>
      </c>
      <c r="J409" s="3" t="s">
        <v>7</v>
      </c>
      <c r="L409" s="3" t="s">
        <v>263</v>
      </c>
      <c r="M409" s="3" t="s">
        <v>47</v>
      </c>
      <c r="N409" s="5">
        <v>2.1227697140219996E-2</v>
      </c>
      <c r="O409" s="3" t="s">
        <v>7</v>
      </c>
    </row>
    <row r="410" spans="2:15" x14ac:dyDescent="0.45">
      <c r="B410" s="6" t="s">
        <v>261</v>
      </c>
      <c r="C410" s="6" t="s">
        <v>48</v>
      </c>
      <c r="D410" s="7">
        <v>0</v>
      </c>
      <c r="E410" s="6" t="s">
        <v>7</v>
      </c>
      <c r="G410" s="6" t="s">
        <v>262</v>
      </c>
      <c r="H410" s="6" t="s">
        <v>48</v>
      </c>
      <c r="I410" s="8">
        <v>2.8118866367710667E-2</v>
      </c>
      <c r="J410" s="6" t="s">
        <v>7</v>
      </c>
      <c r="L410" s="6" t="s">
        <v>263</v>
      </c>
      <c r="M410" s="6" t="s">
        <v>48</v>
      </c>
      <c r="N410" s="8">
        <v>3.114302032775321E-2</v>
      </c>
      <c r="O410" s="6" t="s">
        <v>7</v>
      </c>
    </row>
    <row r="411" spans="2:15" x14ac:dyDescent="0.45">
      <c r="L411" s="3" t="s">
        <v>264</v>
      </c>
      <c r="M411" s="3" t="s">
        <v>6</v>
      </c>
      <c r="N411" s="5">
        <v>6.5632099058768115E-2</v>
      </c>
      <c r="O411" s="3" t="s">
        <v>7</v>
      </c>
    </row>
    <row r="412" spans="2:15" x14ac:dyDescent="0.45">
      <c r="L412" s="6" t="s">
        <v>264</v>
      </c>
      <c r="M412" s="6" t="s">
        <v>10</v>
      </c>
      <c r="N412" s="8">
        <v>2.5665547284246925E-2</v>
      </c>
      <c r="O412" s="6" t="s">
        <v>7</v>
      </c>
    </row>
    <row r="413" spans="2:15" x14ac:dyDescent="0.45">
      <c r="L413" s="3" t="s">
        <v>264</v>
      </c>
      <c r="M413" s="3" t="s">
        <v>11</v>
      </c>
      <c r="N413" s="5">
        <v>2.5330696817737995E-2</v>
      </c>
      <c r="O413" s="3" t="s">
        <v>7</v>
      </c>
    </row>
    <row r="414" spans="2:15" x14ac:dyDescent="0.45">
      <c r="L414" s="6" t="s">
        <v>264</v>
      </c>
      <c r="M414" s="6" t="s">
        <v>12</v>
      </c>
      <c r="N414" s="8">
        <v>2.5480153563007528E-2</v>
      </c>
      <c r="O414" s="6" t="s">
        <v>7</v>
      </c>
    </row>
    <row r="415" spans="2:15" x14ac:dyDescent="0.45">
      <c r="L415" s="3" t="s">
        <v>264</v>
      </c>
      <c r="M415" s="3" t="s">
        <v>13</v>
      </c>
      <c r="N415" s="5">
        <v>2.5438734323109544E-2</v>
      </c>
      <c r="O415" s="3" t="s">
        <v>7</v>
      </c>
    </row>
    <row r="416" spans="2:15" x14ac:dyDescent="0.45">
      <c r="L416" s="6" t="s">
        <v>264</v>
      </c>
      <c r="M416" s="6" t="s">
        <v>14</v>
      </c>
      <c r="N416" s="8">
        <v>2.5688938096668765E-2</v>
      </c>
      <c r="O416" s="6" t="s">
        <v>7</v>
      </c>
    </row>
    <row r="417" spans="12:15" x14ac:dyDescent="0.45">
      <c r="L417" s="3" t="s">
        <v>264</v>
      </c>
      <c r="M417" s="3" t="s">
        <v>15</v>
      </c>
      <c r="N417" s="5">
        <v>2.5700587595878725E-2</v>
      </c>
      <c r="O417" s="3" t="s">
        <v>7</v>
      </c>
    </row>
    <row r="418" spans="12:15" x14ac:dyDescent="0.45">
      <c r="L418" s="6" t="s">
        <v>264</v>
      </c>
      <c r="M418" s="6" t="s">
        <v>16</v>
      </c>
      <c r="N418" s="8">
        <v>2.6278719354525176E-2</v>
      </c>
      <c r="O418" s="6" t="s">
        <v>7</v>
      </c>
    </row>
    <row r="419" spans="12:15" x14ac:dyDescent="0.45">
      <c r="L419" s="3" t="s">
        <v>264</v>
      </c>
      <c r="M419" s="3" t="s">
        <v>17</v>
      </c>
      <c r="N419" s="5">
        <v>2.6623545182805339E-2</v>
      </c>
      <c r="O419" s="3" t="s">
        <v>7</v>
      </c>
    </row>
    <row r="420" spans="12:15" x14ac:dyDescent="0.45">
      <c r="L420" s="6" t="s">
        <v>264</v>
      </c>
      <c r="M420" s="6" t="s">
        <v>18</v>
      </c>
      <c r="N420" s="8">
        <v>3.9671780576480742E-2</v>
      </c>
      <c r="O420" s="6" t="s">
        <v>7</v>
      </c>
    </row>
    <row r="421" spans="12:15" x14ac:dyDescent="0.45">
      <c r="L421" s="3" t="s">
        <v>264</v>
      </c>
      <c r="M421" s="3" t="s">
        <v>19</v>
      </c>
      <c r="N421" s="5">
        <v>5.5388650926553415E-2</v>
      </c>
      <c r="O421" s="3" t="s">
        <v>7</v>
      </c>
    </row>
    <row r="422" spans="12:15" x14ac:dyDescent="0.45">
      <c r="L422" s="6" t="s">
        <v>264</v>
      </c>
      <c r="M422" s="6" t="s">
        <v>20</v>
      </c>
      <c r="N422" s="8">
        <v>2.2303980544751252E-2</v>
      </c>
      <c r="O422" s="6" t="s">
        <v>7</v>
      </c>
    </row>
    <row r="423" spans="12:15" x14ac:dyDescent="0.45">
      <c r="L423" s="3" t="s">
        <v>264</v>
      </c>
      <c r="M423" s="3" t="s">
        <v>21</v>
      </c>
      <c r="N423" s="5">
        <v>2.2651218610786349E-2</v>
      </c>
      <c r="O423" s="3" t="s">
        <v>7</v>
      </c>
    </row>
    <row r="424" spans="12:15" x14ac:dyDescent="0.45">
      <c r="L424" s="6" t="s">
        <v>264</v>
      </c>
      <c r="M424" s="6" t="s">
        <v>22</v>
      </c>
      <c r="N424" s="8">
        <v>2.2031105090048936E-2</v>
      </c>
      <c r="O424" s="6" t="s">
        <v>7</v>
      </c>
    </row>
    <row r="425" spans="12:15" x14ac:dyDescent="0.45">
      <c r="L425" s="3" t="s">
        <v>264</v>
      </c>
      <c r="M425" s="3" t="s">
        <v>23</v>
      </c>
      <c r="N425" s="5">
        <v>2.2104596518740999E-2</v>
      </c>
      <c r="O425" s="3" t="s">
        <v>7</v>
      </c>
    </row>
    <row r="426" spans="12:15" x14ac:dyDescent="0.45">
      <c r="L426" s="6" t="s">
        <v>264</v>
      </c>
      <c r="M426" s="6" t="s">
        <v>24</v>
      </c>
      <c r="N426" s="8">
        <v>2.2117747007519027E-2</v>
      </c>
      <c r="O426" s="6" t="s">
        <v>7</v>
      </c>
    </row>
    <row r="427" spans="12:15" x14ac:dyDescent="0.45">
      <c r="L427" s="3" t="s">
        <v>264</v>
      </c>
      <c r="M427" s="3" t="s">
        <v>25</v>
      </c>
      <c r="N427" s="5">
        <v>2.2188485244804351E-2</v>
      </c>
      <c r="O427" s="3" t="s">
        <v>7</v>
      </c>
    </row>
    <row r="428" spans="12:15" x14ac:dyDescent="0.45">
      <c r="L428" s="6" t="s">
        <v>264</v>
      </c>
      <c r="M428" s="6" t="s">
        <v>26</v>
      </c>
      <c r="N428" s="8">
        <v>2.254787390843779E-2</v>
      </c>
      <c r="O428" s="6" t="s">
        <v>7</v>
      </c>
    </row>
    <row r="429" spans="12:15" x14ac:dyDescent="0.45">
      <c r="L429" s="3" t="s">
        <v>264</v>
      </c>
      <c r="M429" s="3" t="s">
        <v>27</v>
      </c>
      <c r="N429" s="5">
        <v>2.2730329445834554E-2</v>
      </c>
      <c r="O429" s="3" t="s">
        <v>7</v>
      </c>
    </row>
    <row r="430" spans="12:15" x14ac:dyDescent="0.45">
      <c r="L430" s="6" t="s">
        <v>264</v>
      </c>
      <c r="M430" s="6" t="s">
        <v>28</v>
      </c>
      <c r="N430" s="8">
        <v>3.4149492166174814E-2</v>
      </c>
      <c r="O430" s="6" t="s">
        <v>7</v>
      </c>
    </row>
    <row r="431" spans="12:15" x14ac:dyDescent="0.45">
      <c r="L431" s="3" t="s">
        <v>264</v>
      </c>
      <c r="M431" s="3" t="s">
        <v>29</v>
      </c>
      <c r="N431" s="5">
        <v>3.2503287085090836E-2</v>
      </c>
      <c r="O431" s="3" t="s">
        <v>7</v>
      </c>
    </row>
    <row r="432" spans="12:15" x14ac:dyDescent="0.45">
      <c r="L432" s="6" t="s">
        <v>264</v>
      </c>
      <c r="M432" s="6" t="s">
        <v>30</v>
      </c>
      <c r="N432" s="8">
        <v>1.3301513980921472E-2</v>
      </c>
      <c r="O432" s="6" t="s">
        <v>7</v>
      </c>
    </row>
    <row r="433" spans="12:15" x14ac:dyDescent="0.45">
      <c r="L433" s="3" t="s">
        <v>264</v>
      </c>
      <c r="M433" s="3" t="s">
        <v>31</v>
      </c>
      <c r="N433" s="5">
        <v>1.3439905496213541E-2</v>
      </c>
      <c r="O433" s="3" t="s">
        <v>7</v>
      </c>
    </row>
    <row r="434" spans="12:15" x14ac:dyDescent="0.45">
      <c r="L434" s="6" t="s">
        <v>264</v>
      </c>
      <c r="M434" s="6" t="s">
        <v>32</v>
      </c>
      <c r="N434" s="8">
        <v>1.2627804144213607E-2</v>
      </c>
      <c r="O434" s="6" t="s">
        <v>7</v>
      </c>
    </row>
    <row r="435" spans="12:15" x14ac:dyDescent="0.45">
      <c r="L435" s="3" t="s">
        <v>264</v>
      </c>
      <c r="M435" s="3" t="s">
        <v>33</v>
      </c>
      <c r="N435" s="5">
        <v>1.2926155305956144E-2</v>
      </c>
      <c r="O435" s="3" t="s">
        <v>7</v>
      </c>
    </row>
    <row r="436" spans="12:15" x14ac:dyDescent="0.45">
      <c r="L436" s="6" t="s">
        <v>264</v>
      </c>
      <c r="M436" s="6" t="s">
        <v>34</v>
      </c>
      <c r="N436" s="8">
        <v>1.3429137855514797E-2</v>
      </c>
      <c r="O436" s="6" t="s">
        <v>7</v>
      </c>
    </row>
    <row r="437" spans="12:15" x14ac:dyDescent="0.45">
      <c r="L437" s="3" t="s">
        <v>264</v>
      </c>
      <c r="M437" s="3" t="s">
        <v>35</v>
      </c>
      <c r="N437" s="5">
        <v>1.3584153926071941E-2</v>
      </c>
      <c r="O437" s="3" t="s">
        <v>7</v>
      </c>
    </row>
    <row r="438" spans="12:15" x14ac:dyDescent="0.45">
      <c r="L438" s="6" t="s">
        <v>264</v>
      </c>
      <c r="M438" s="6" t="s">
        <v>36</v>
      </c>
      <c r="N438" s="8">
        <v>1.3623449940606543E-2</v>
      </c>
      <c r="O438" s="6" t="s">
        <v>7</v>
      </c>
    </row>
    <row r="439" spans="12:15" x14ac:dyDescent="0.45">
      <c r="L439" s="3" t="s">
        <v>264</v>
      </c>
      <c r="M439" s="3" t="s">
        <v>37</v>
      </c>
      <c r="N439" s="5">
        <v>1.3283471410240687E-2</v>
      </c>
      <c r="O439" s="3" t="s">
        <v>7</v>
      </c>
    </row>
    <row r="440" spans="12:15" x14ac:dyDescent="0.45">
      <c r="L440" s="6" t="s">
        <v>264</v>
      </c>
      <c r="M440" s="6" t="s">
        <v>38</v>
      </c>
      <c r="N440" s="8">
        <v>1.9750495206318903E-2</v>
      </c>
      <c r="O440" s="6" t="s">
        <v>7</v>
      </c>
    </row>
    <row r="441" spans="12:15" x14ac:dyDescent="0.45">
      <c r="L441" s="3" t="s">
        <v>264</v>
      </c>
      <c r="M441" s="3" t="s">
        <v>39</v>
      </c>
      <c r="N441" s="5">
        <v>5.3538009372693304E-2</v>
      </c>
      <c r="O441" s="3" t="s">
        <v>7</v>
      </c>
    </row>
    <row r="442" spans="12:15" x14ac:dyDescent="0.45">
      <c r="L442" s="6" t="s">
        <v>264</v>
      </c>
      <c r="M442" s="6" t="s">
        <v>40</v>
      </c>
      <c r="N442" s="8">
        <v>2.1958008197505631E-2</v>
      </c>
      <c r="O442" s="6" t="s">
        <v>7</v>
      </c>
    </row>
    <row r="443" spans="12:15" x14ac:dyDescent="0.45">
      <c r="L443" s="3" t="s">
        <v>264</v>
      </c>
      <c r="M443" s="3" t="s">
        <v>41</v>
      </c>
      <c r="N443" s="5">
        <v>2.2315167083756023E-2</v>
      </c>
      <c r="O443" s="3" t="s">
        <v>7</v>
      </c>
    </row>
    <row r="444" spans="12:15" x14ac:dyDescent="0.45">
      <c r="L444" s="6" t="s">
        <v>264</v>
      </c>
      <c r="M444" s="6" t="s">
        <v>42</v>
      </c>
      <c r="N444" s="8">
        <v>2.2148633403840962E-2</v>
      </c>
      <c r="O444" s="6" t="s">
        <v>7</v>
      </c>
    </row>
    <row r="445" spans="12:15" x14ac:dyDescent="0.45">
      <c r="L445" s="3" t="s">
        <v>264</v>
      </c>
      <c r="M445" s="3" t="s">
        <v>43</v>
      </c>
      <c r="N445" s="5">
        <v>2.1951454112395449E-2</v>
      </c>
      <c r="O445" s="3" t="s">
        <v>7</v>
      </c>
    </row>
    <row r="446" spans="12:15" x14ac:dyDescent="0.45">
      <c r="L446" s="6" t="s">
        <v>264</v>
      </c>
      <c r="M446" s="6" t="s">
        <v>44</v>
      </c>
      <c r="N446" s="8">
        <v>2.1647913523445625E-2</v>
      </c>
      <c r="O446" s="6" t="s">
        <v>7</v>
      </c>
    </row>
    <row r="447" spans="12:15" x14ac:dyDescent="0.45">
      <c r="L447" s="3" t="s">
        <v>264</v>
      </c>
      <c r="M447" s="3" t="s">
        <v>45</v>
      </c>
      <c r="N447" s="5">
        <v>2.1717478551168047E-2</v>
      </c>
      <c r="O447" s="3" t="s">
        <v>7</v>
      </c>
    </row>
    <row r="448" spans="12:15" x14ac:dyDescent="0.45">
      <c r="L448" s="6" t="s">
        <v>264</v>
      </c>
      <c r="M448" s="6" t="s">
        <v>46</v>
      </c>
      <c r="N448" s="8">
        <v>2.1777854138721853E-2</v>
      </c>
      <c r="O448" s="6" t="s">
        <v>7</v>
      </c>
    </row>
    <row r="449" spans="12:15" x14ac:dyDescent="0.45">
      <c r="L449" s="3" t="s">
        <v>264</v>
      </c>
      <c r="M449" s="3" t="s">
        <v>47</v>
      </c>
      <c r="N449" s="5">
        <v>2.2054106472121859E-2</v>
      </c>
      <c r="O449" s="3" t="s">
        <v>7</v>
      </c>
    </row>
    <row r="450" spans="12:15" x14ac:dyDescent="0.45">
      <c r="L450" s="6" t="s">
        <v>264</v>
      </c>
      <c r="M450" s="6" t="s">
        <v>48</v>
      </c>
      <c r="N450" s="8">
        <v>3.269771947632253E-2</v>
      </c>
      <c r="O450" s="6" t="s">
        <v>7</v>
      </c>
    </row>
    <row r="451" spans="12:15" x14ac:dyDescent="0.45">
      <c r="L451" s="3" t="s">
        <v>265</v>
      </c>
      <c r="M451" s="3" t="s">
        <v>6</v>
      </c>
      <c r="N451" s="5">
        <v>5.7784426595927078E-2</v>
      </c>
      <c r="O451" s="3" t="s">
        <v>7</v>
      </c>
    </row>
    <row r="452" spans="12:15" x14ac:dyDescent="0.45">
      <c r="L452" s="6" t="s">
        <v>265</v>
      </c>
      <c r="M452" s="6" t="s">
        <v>10</v>
      </c>
      <c r="N452" s="8">
        <v>2.3311552056894426E-2</v>
      </c>
      <c r="O452" s="6" t="s">
        <v>7</v>
      </c>
    </row>
    <row r="453" spans="12:15" x14ac:dyDescent="0.45">
      <c r="L453" s="3" t="s">
        <v>265</v>
      </c>
      <c r="M453" s="3" t="s">
        <v>11</v>
      </c>
      <c r="N453" s="5">
        <v>2.3863540044594303E-2</v>
      </c>
      <c r="O453" s="3" t="s">
        <v>7</v>
      </c>
    </row>
    <row r="454" spans="12:15" x14ac:dyDescent="0.45">
      <c r="L454" s="6" t="s">
        <v>265</v>
      </c>
      <c r="M454" s="6" t="s">
        <v>12</v>
      </c>
      <c r="N454" s="8">
        <v>2.4421113678401437E-2</v>
      </c>
      <c r="O454" s="6" t="s">
        <v>7</v>
      </c>
    </row>
    <row r="455" spans="12:15" x14ac:dyDescent="0.45">
      <c r="L455" s="3" t="s">
        <v>265</v>
      </c>
      <c r="M455" s="3" t="s">
        <v>13</v>
      </c>
      <c r="N455" s="5">
        <v>2.5225318020301955E-2</v>
      </c>
      <c r="O455" s="3" t="s">
        <v>7</v>
      </c>
    </row>
    <row r="456" spans="12:15" x14ac:dyDescent="0.45">
      <c r="L456" s="6" t="s">
        <v>265</v>
      </c>
      <c r="M456" s="6" t="s">
        <v>14</v>
      </c>
      <c r="N456" s="8">
        <v>2.4840485567576249E-2</v>
      </c>
      <c r="O456" s="6" t="s">
        <v>7</v>
      </c>
    </row>
    <row r="457" spans="12:15" x14ac:dyDescent="0.45">
      <c r="L457" s="3" t="s">
        <v>265</v>
      </c>
      <c r="M457" s="3" t="s">
        <v>15</v>
      </c>
      <c r="N457" s="5">
        <v>2.4151087202343262E-2</v>
      </c>
      <c r="O457" s="3" t="s">
        <v>7</v>
      </c>
    </row>
    <row r="458" spans="12:15" x14ac:dyDescent="0.45">
      <c r="L458" s="6" t="s">
        <v>265</v>
      </c>
      <c r="M458" s="6" t="s">
        <v>16</v>
      </c>
      <c r="N458" s="8">
        <v>2.3923241576893087E-2</v>
      </c>
      <c r="O458" s="6" t="s">
        <v>7</v>
      </c>
    </row>
    <row r="459" spans="12:15" x14ac:dyDescent="0.45">
      <c r="L459" s="3" t="s">
        <v>265</v>
      </c>
      <c r="M459" s="3" t="s">
        <v>17</v>
      </c>
      <c r="N459" s="5">
        <v>2.3483364890920226E-2</v>
      </c>
      <c r="O459" s="3" t="s">
        <v>7</v>
      </c>
    </row>
    <row r="460" spans="12:15" x14ac:dyDescent="0.45">
      <c r="L460" s="6" t="s">
        <v>265</v>
      </c>
      <c r="M460" s="6" t="s">
        <v>18</v>
      </c>
      <c r="N460" s="8">
        <v>3.5649007793994443E-2</v>
      </c>
      <c r="O460" s="6" t="s">
        <v>7</v>
      </c>
    </row>
    <row r="461" spans="12:15" x14ac:dyDescent="0.45">
      <c r="L461" s="3" t="s">
        <v>265</v>
      </c>
      <c r="M461" s="3" t="s">
        <v>19</v>
      </c>
      <c r="N461" s="5">
        <v>5.5699979098638476E-2</v>
      </c>
      <c r="O461" s="3" t="s">
        <v>7</v>
      </c>
    </row>
    <row r="462" spans="12:15" x14ac:dyDescent="0.45">
      <c r="L462" s="6" t="s">
        <v>265</v>
      </c>
      <c r="M462" s="6" t="s">
        <v>20</v>
      </c>
      <c r="N462" s="8">
        <v>2.2852729429332457E-2</v>
      </c>
      <c r="O462" s="6" t="s">
        <v>7</v>
      </c>
    </row>
    <row r="463" spans="12:15" x14ac:dyDescent="0.45">
      <c r="L463" s="3" t="s">
        <v>265</v>
      </c>
      <c r="M463" s="3" t="s">
        <v>21</v>
      </c>
      <c r="N463" s="5">
        <v>2.2769064314327039E-2</v>
      </c>
      <c r="O463" s="3" t="s">
        <v>7</v>
      </c>
    </row>
    <row r="464" spans="12:15" x14ac:dyDescent="0.45">
      <c r="L464" s="6" t="s">
        <v>265</v>
      </c>
      <c r="M464" s="6" t="s">
        <v>22</v>
      </c>
      <c r="N464" s="8">
        <v>2.2579281833412391E-2</v>
      </c>
      <c r="O464" s="6" t="s">
        <v>7</v>
      </c>
    </row>
    <row r="465" spans="12:15" x14ac:dyDescent="0.45">
      <c r="L465" s="3" t="s">
        <v>265</v>
      </c>
      <c r="M465" s="3" t="s">
        <v>23</v>
      </c>
      <c r="N465" s="5">
        <v>2.2780189349174251E-2</v>
      </c>
      <c r="O465" s="3" t="s">
        <v>7</v>
      </c>
    </row>
    <row r="466" spans="12:15" x14ac:dyDescent="0.45">
      <c r="L466" s="6" t="s">
        <v>265</v>
      </c>
      <c r="M466" s="6" t="s">
        <v>24</v>
      </c>
      <c r="N466" s="8">
        <v>2.2547622496733886E-2</v>
      </c>
      <c r="O466" s="6" t="s">
        <v>7</v>
      </c>
    </row>
    <row r="467" spans="12:15" x14ac:dyDescent="0.45">
      <c r="L467" s="3" t="s">
        <v>265</v>
      </c>
      <c r="M467" s="3" t="s">
        <v>25</v>
      </c>
      <c r="N467" s="5">
        <v>2.2421718471730721E-2</v>
      </c>
      <c r="O467" s="3" t="s">
        <v>7</v>
      </c>
    </row>
    <row r="468" spans="12:15" x14ac:dyDescent="0.45">
      <c r="L468" s="6" t="s">
        <v>265</v>
      </c>
      <c r="M468" s="6" t="s">
        <v>26</v>
      </c>
      <c r="N468" s="8">
        <v>2.2117197069764203E-2</v>
      </c>
      <c r="O468" s="6" t="s">
        <v>7</v>
      </c>
    </row>
    <row r="469" spans="12:15" x14ac:dyDescent="0.45">
      <c r="L469" s="3" t="s">
        <v>265</v>
      </c>
      <c r="M469" s="3" t="s">
        <v>27</v>
      </c>
      <c r="N469" s="5">
        <v>2.1893801429673274E-2</v>
      </c>
      <c r="O469" s="3" t="s">
        <v>7</v>
      </c>
    </row>
    <row r="470" spans="12:15" x14ac:dyDescent="0.45">
      <c r="L470" s="6" t="s">
        <v>265</v>
      </c>
      <c r="M470" s="6" t="s">
        <v>28</v>
      </c>
      <c r="N470" s="8">
        <v>3.3044309344925638E-2</v>
      </c>
      <c r="O470" s="6" t="s">
        <v>7</v>
      </c>
    </row>
    <row r="471" spans="12:15" x14ac:dyDescent="0.45">
      <c r="L471" s="3" t="s">
        <v>265</v>
      </c>
      <c r="M471" s="3" t="s">
        <v>29</v>
      </c>
      <c r="N471" s="5">
        <v>4.13194414184163E-2</v>
      </c>
      <c r="O471" s="3" t="s">
        <v>7</v>
      </c>
    </row>
    <row r="472" spans="12:15" x14ac:dyDescent="0.45">
      <c r="L472" s="6" t="s">
        <v>265</v>
      </c>
      <c r="M472" s="6" t="s">
        <v>30</v>
      </c>
      <c r="N472" s="8">
        <v>1.6491098897967571E-2</v>
      </c>
      <c r="O472" s="6" t="s">
        <v>7</v>
      </c>
    </row>
    <row r="473" spans="12:15" x14ac:dyDescent="0.45">
      <c r="L473" s="3" t="s">
        <v>265</v>
      </c>
      <c r="M473" s="3" t="s">
        <v>31</v>
      </c>
      <c r="N473" s="5">
        <v>1.6947062536353447E-2</v>
      </c>
      <c r="O473" s="3" t="s">
        <v>7</v>
      </c>
    </row>
    <row r="474" spans="12:15" x14ac:dyDescent="0.45">
      <c r="L474" s="6" t="s">
        <v>265</v>
      </c>
      <c r="M474" s="6" t="s">
        <v>32</v>
      </c>
      <c r="N474" s="8">
        <v>1.6751994920594183E-2</v>
      </c>
      <c r="O474" s="6" t="s">
        <v>7</v>
      </c>
    </row>
    <row r="475" spans="12:15" x14ac:dyDescent="0.45">
      <c r="L475" s="3" t="s">
        <v>265</v>
      </c>
      <c r="M475" s="3" t="s">
        <v>33</v>
      </c>
      <c r="N475" s="5">
        <v>1.7555630189351665E-2</v>
      </c>
      <c r="O475" s="3" t="s">
        <v>7</v>
      </c>
    </row>
    <row r="476" spans="12:15" x14ac:dyDescent="0.45">
      <c r="L476" s="6" t="s">
        <v>265</v>
      </c>
      <c r="M476" s="6" t="s">
        <v>34</v>
      </c>
      <c r="N476" s="8">
        <v>1.8028330801211911E-2</v>
      </c>
      <c r="O476" s="6" t="s">
        <v>7</v>
      </c>
    </row>
    <row r="477" spans="12:15" x14ac:dyDescent="0.45">
      <c r="L477" s="3" t="s">
        <v>265</v>
      </c>
      <c r="M477" s="3" t="s">
        <v>35</v>
      </c>
      <c r="N477" s="5">
        <v>1.7886343043080177E-2</v>
      </c>
      <c r="O477" s="3" t="s">
        <v>7</v>
      </c>
    </row>
    <row r="478" spans="12:15" x14ac:dyDescent="0.45">
      <c r="L478" s="6" t="s">
        <v>265</v>
      </c>
      <c r="M478" s="6" t="s">
        <v>36</v>
      </c>
      <c r="N478" s="8">
        <v>1.7346374799233042E-2</v>
      </c>
      <c r="O478" s="6" t="s">
        <v>7</v>
      </c>
    </row>
    <row r="479" spans="12:15" x14ac:dyDescent="0.45">
      <c r="L479" s="3" t="s">
        <v>265</v>
      </c>
      <c r="M479" s="3" t="s">
        <v>37</v>
      </c>
      <c r="N479" s="5">
        <v>1.6723446696268178E-2</v>
      </c>
      <c r="O479" s="3" t="s">
        <v>7</v>
      </c>
    </row>
    <row r="480" spans="12:15" x14ac:dyDescent="0.45">
      <c r="L480" s="6" t="s">
        <v>265</v>
      </c>
      <c r="M480" s="6" t="s">
        <v>38</v>
      </c>
      <c r="N480" s="8">
        <v>2.467417989202262E-2</v>
      </c>
      <c r="O480" s="6" t="s">
        <v>7</v>
      </c>
    </row>
    <row r="481" spans="12:15" x14ac:dyDescent="0.45">
      <c r="L481" s="3" t="s">
        <v>265</v>
      </c>
      <c r="M481" s="3" t="s">
        <v>39</v>
      </c>
      <c r="N481" s="5">
        <v>5.0451259372703616E-2</v>
      </c>
      <c r="O481" s="3" t="s">
        <v>7</v>
      </c>
    </row>
    <row r="482" spans="12:15" x14ac:dyDescent="0.45">
      <c r="L482" s="6" t="s">
        <v>265</v>
      </c>
      <c r="M482" s="6" t="s">
        <v>40</v>
      </c>
      <c r="N482" s="8">
        <v>2.0084673537277116E-2</v>
      </c>
      <c r="O482" s="6" t="s">
        <v>7</v>
      </c>
    </row>
    <row r="483" spans="12:15" x14ac:dyDescent="0.45">
      <c r="L483" s="3" t="s">
        <v>265</v>
      </c>
      <c r="M483" s="3" t="s">
        <v>41</v>
      </c>
      <c r="N483" s="5">
        <v>2.0194989951829372E-2</v>
      </c>
      <c r="O483" s="3" t="s">
        <v>7</v>
      </c>
    </row>
    <row r="484" spans="12:15" x14ac:dyDescent="0.45">
      <c r="L484" s="6" t="s">
        <v>265</v>
      </c>
      <c r="M484" s="6" t="s">
        <v>42</v>
      </c>
      <c r="N484" s="8">
        <v>2.0239058985314036E-2</v>
      </c>
      <c r="O484" s="6" t="s">
        <v>7</v>
      </c>
    </row>
    <row r="485" spans="12:15" x14ac:dyDescent="0.45">
      <c r="L485" s="3" t="s">
        <v>265</v>
      </c>
      <c r="M485" s="3" t="s">
        <v>43</v>
      </c>
      <c r="N485" s="5">
        <v>2.0576794090837753E-2</v>
      </c>
      <c r="O485" s="3" t="s">
        <v>7</v>
      </c>
    </row>
    <row r="486" spans="12:15" x14ac:dyDescent="0.45">
      <c r="L486" s="6" t="s">
        <v>265</v>
      </c>
      <c r="M486" s="6" t="s">
        <v>44</v>
      </c>
      <c r="N486" s="8">
        <v>2.0055409139646412E-2</v>
      </c>
      <c r="O486" s="6" t="s">
        <v>7</v>
      </c>
    </row>
    <row r="487" spans="12:15" x14ac:dyDescent="0.45">
      <c r="L487" s="3" t="s">
        <v>265</v>
      </c>
      <c r="M487" s="3" t="s">
        <v>45</v>
      </c>
      <c r="N487" s="5">
        <v>1.9740594934772027E-2</v>
      </c>
      <c r="O487" s="3" t="s">
        <v>7</v>
      </c>
    </row>
    <row r="488" spans="12:15" x14ac:dyDescent="0.45">
      <c r="L488" s="6" t="s">
        <v>265</v>
      </c>
      <c r="M488" s="6" t="s">
        <v>46</v>
      </c>
      <c r="N488" s="8">
        <v>1.9822211166766881E-2</v>
      </c>
      <c r="O488" s="6" t="s">
        <v>7</v>
      </c>
    </row>
    <row r="489" spans="12:15" x14ac:dyDescent="0.45">
      <c r="L489" s="3" t="s">
        <v>265</v>
      </c>
      <c r="M489" s="3" t="s">
        <v>47</v>
      </c>
      <c r="N489" s="5">
        <v>1.9684850099009697E-2</v>
      </c>
      <c r="O489" s="3" t="s">
        <v>7</v>
      </c>
    </row>
    <row r="490" spans="12:15" x14ac:dyDescent="0.45">
      <c r="L490" s="6" t="s">
        <v>265</v>
      </c>
      <c r="M490" s="6" t="s">
        <v>48</v>
      </c>
      <c r="N490" s="8">
        <v>3.0067225261785204E-2</v>
      </c>
      <c r="O490" s="6" t="s">
        <v>7</v>
      </c>
    </row>
    <row r="491" spans="12:15" x14ac:dyDescent="0.45">
      <c r="L491" s="3" t="s">
        <v>266</v>
      </c>
      <c r="M491" s="3" t="s">
        <v>6</v>
      </c>
      <c r="N491" s="5">
        <v>6.2015032502399738E-2</v>
      </c>
      <c r="O491" s="3" t="s">
        <v>7</v>
      </c>
    </row>
    <row r="492" spans="12:15" x14ac:dyDescent="0.45">
      <c r="L492" s="6" t="s">
        <v>266</v>
      </c>
      <c r="M492" s="6" t="s">
        <v>10</v>
      </c>
      <c r="N492" s="8">
        <v>2.4634451338266056E-2</v>
      </c>
      <c r="O492" s="6" t="s">
        <v>7</v>
      </c>
    </row>
    <row r="493" spans="12:15" x14ac:dyDescent="0.45">
      <c r="L493" s="3" t="s">
        <v>266</v>
      </c>
      <c r="M493" s="3" t="s">
        <v>11</v>
      </c>
      <c r="N493" s="5">
        <v>2.4882018820651355E-2</v>
      </c>
      <c r="O493" s="3" t="s">
        <v>7</v>
      </c>
    </row>
    <row r="494" spans="12:15" x14ac:dyDescent="0.45">
      <c r="L494" s="6" t="s">
        <v>266</v>
      </c>
      <c r="M494" s="6" t="s">
        <v>12</v>
      </c>
      <c r="N494" s="8">
        <v>2.581880863396261E-2</v>
      </c>
      <c r="O494" s="6" t="s">
        <v>7</v>
      </c>
    </row>
    <row r="495" spans="12:15" x14ac:dyDescent="0.45">
      <c r="L495" s="3" t="s">
        <v>266</v>
      </c>
      <c r="M495" s="3" t="s">
        <v>13</v>
      </c>
      <c r="N495" s="5">
        <v>2.5743499998248855E-2</v>
      </c>
      <c r="O495" s="3" t="s">
        <v>7</v>
      </c>
    </row>
    <row r="496" spans="12:15" x14ac:dyDescent="0.45">
      <c r="L496" s="6" t="s">
        <v>266</v>
      </c>
      <c r="M496" s="6" t="s">
        <v>14</v>
      </c>
      <c r="N496" s="8">
        <v>2.5739737000310341E-2</v>
      </c>
      <c r="O496" s="6" t="s">
        <v>7</v>
      </c>
    </row>
    <row r="497" spans="12:15" x14ac:dyDescent="0.45">
      <c r="L497" s="3" t="s">
        <v>266</v>
      </c>
      <c r="M497" s="3" t="s">
        <v>15</v>
      </c>
      <c r="N497" s="5">
        <v>2.5478407637082215E-2</v>
      </c>
      <c r="O497" s="3" t="s">
        <v>7</v>
      </c>
    </row>
    <row r="498" spans="12:15" x14ac:dyDescent="0.45">
      <c r="L498" s="6" t="s">
        <v>266</v>
      </c>
      <c r="M498" s="6" t="s">
        <v>16</v>
      </c>
      <c r="N498" s="8">
        <v>2.523049163861775E-2</v>
      </c>
      <c r="O498" s="6" t="s">
        <v>7</v>
      </c>
    </row>
    <row r="499" spans="12:15" x14ac:dyDescent="0.45">
      <c r="L499" s="3" t="s">
        <v>266</v>
      </c>
      <c r="M499" s="3" t="s">
        <v>17</v>
      </c>
      <c r="N499" s="5">
        <v>2.5356039529042501E-2</v>
      </c>
      <c r="O499" s="3" t="s">
        <v>7</v>
      </c>
    </row>
    <row r="500" spans="12:15" x14ac:dyDescent="0.45">
      <c r="L500" s="6" t="s">
        <v>266</v>
      </c>
      <c r="M500" s="6" t="s">
        <v>18</v>
      </c>
      <c r="N500" s="8">
        <v>3.8166238993836199E-2</v>
      </c>
      <c r="O500" s="6" t="s">
        <v>7</v>
      </c>
    </row>
    <row r="501" spans="12:15" x14ac:dyDescent="0.45">
      <c r="L501" s="3" t="s">
        <v>266</v>
      </c>
      <c r="M501" s="3" t="s">
        <v>19</v>
      </c>
      <c r="N501" s="5">
        <v>5.7821805643920088E-2</v>
      </c>
      <c r="O501" s="3" t="s">
        <v>7</v>
      </c>
    </row>
    <row r="502" spans="12:15" x14ac:dyDescent="0.45">
      <c r="L502" s="6" t="s">
        <v>266</v>
      </c>
      <c r="M502" s="6" t="s">
        <v>20</v>
      </c>
      <c r="N502" s="8">
        <v>2.3202715259055286E-2</v>
      </c>
      <c r="O502" s="6" t="s">
        <v>7</v>
      </c>
    </row>
    <row r="503" spans="12:15" x14ac:dyDescent="0.45">
      <c r="L503" s="3" t="s">
        <v>266</v>
      </c>
      <c r="M503" s="3" t="s">
        <v>21</v>
      </c>
      <c r="N503" s="5">
        <v>2.3054110390450938E-2</v>
      </c>
      <c r="O503" s="3" t="s">
        <v>7</v>
      </c>
    </row>
    <row r="504" spans="12:15" x14ac:dyDescent="0.45">
      <c r="L504" s="6" t="s">
        <v>266</v>
      </c>
      <c r="M504" s="6" t="s">
        <v>22</v>
      </c>
      <c r="N504" s="8">
        <v>2.2518004544461966E-2</v>
      </c>
      <c r="O504" s="6" t="s">
        <v>7</v>
      </c>
    </row>
    <row r="505" spans="12:15" x14ac:dyDescent="0.45">
      <c r="L505" s="3" t="s">
        <v>266</v>
      </c>
      <c r="M505" s="3" t="s">
        <v>23</v>
      </c>
      <c r="N505" s="5">
        <v>2.2396028155963334E-2</v>
      </c>
      <c r="O505" s="3" t="s">
        <v>7</v>
      </c>
    </row>
    <row r="506" spans="12:15" x14ac:dyDescent="0.45">
      <c r="L506" s="6" t="s">
        <v>266</v>
      </c>
      <c r="M506" s="6" t="s">
        <v>24</v>
      </c>
      <c r="N506" s="8">
        <v>2.2417641614540171E-2</v>
      </c>
      <c r="O506" s="6" t="s">
        <v>7</v>
      </c>
    </row>
    <row r="507" spans="12:15" x14ac:dyDescent="0.45">
      <c r="L507" s="3" t="s">
        <v>266</v>
      </c>
      <c r="M507" s="3" t="s">
        <v>25</v>
      </c>
      <c r="N507" s="5">
        <v>2.2540338875099136E-2</v>
      </c>
      <c r="O507" s="3" t="s">
        <v>7</v>
      </c>
    </row>
    <row r="508" spans="12:15" x14ac:dyDescent="0.45">
      <c r="L508" s="6" t="s">
        <v>266</v>
      </c>
      <c r="M508" s="6" t="s">
        <v>26</v>
      </c>
      <c r="N508" s="8">
        <v>2.2868128813032934E-2</v>
      </c>
      <c r="O508" s="6" t="s">
        <v>7</v>
      </c>
    </row>
    <row r="509" spans="12:15" x14ac:dyDescent="0.45">
      <c r="L509" s="3" t="s">
        <v>266</v>
      </c>
      <c r="M509" s="3" t="s">
        <v>27</v>
      </c>
      <c r="N509" s="5">
        <v>2.3129397545599738E-2</v>
      </c>
      <c r="O509" s="3" t="s">
        <v>7</v>
      </c>
    </row>
    <row r="510" spans="12:15" x14ac:dyDescent="0.45">
      <c r="L510" s="6" t="s">
        <v>266</v>
      </c>
      <c r="M510" s="6" t="s">
        <v>28</v>
      </c>
      <c r="N510" s="8">
        <v>3.4457002633912825E-2</v>
      </c>
      <c r="O510" s="6" t="s">
        <v>7</v>
      </c>
    </row>
    <row r="511" spans="12:15" x14ac:dyDescent="0.45">
      <c r="L511" s="3" t="s">
        <v>266</v>
      </c>
      <c r="M511" s="3" t="s">
        <v>29</v>
      </c>
      <c r="N511" s="5">
        <v>3.6820179594469274E-2</v>
      </c>
      <c r="O511" s="3" t="s">
        <v>7</v>
      </c>
    </row>
    <row r="512" spans="12:15" x14ac:dyDescent="0.45">
      <c r="L512" s="6" t="s">
        <v>266</v>
      </c>
      <c r="M512" s="6" t="s">
        <v>30</v>
      </c>
      <c r="N512" s="8">
        <v>1.4394868856557008E-2</v>
      </c>
      <c r="O512" s="6" t="s">
        <v>7</v>
      </c>
    </row>
    <row r="513" spans="12:15" x14ac:dyDescent="0.45">
      <c r="L513" s="3" t="s">
        <v>266</v>
      </c>
      <c r="M513" s="3" t="s">
        <v>31</v>
      </c>
      <c r="N513" s="5">
        <v>1.4451242119716299E-2</v>
      </c>
      <c r="O513" s="3" t="s">
        <v>7</v>
      </c>
    </row>
    <row r="514" spans="12:15" x14ac:dyDescent="0.45">
      <c r="L514" s="6" t="s">
        <v>266</v>
      </c>
      <c r="M514" s="6" t="s">
        <v>32</v>
      </c>
      <c r="N514" s="8">
        <v>1.4234038203838433E-2</v>
      </c>
      <c r="O514" s="6" t="s">
        <v>7</v>
      </c>
    </row>
    <row r="515" spans="12:15" x14ac:dyDescent="0.45">
      <c r="L515" s="3" t="s">
        <v>266</v>
      </c>
      <c r="M515" s="3" t="s">
        <v>33</v>
      </c>
      <c r="N515" s="5">
        <v>1.4418440508318661E-2</v>
      </c>
      <c r="O515" s="3" t="s">
        <v>7</v>
      </c>
    </row>
    <row r="516" spans="12:15" x14ac:dyDescent="0.45">
      <c r="L516" s="6" t="s">
        <v>266</v>
      </c>
      <c r="M516" s="6" t="s">
        <v>34</v>
      </c>
      <c r="N516" s="8">
        <v>1.4519143805942021E-2</v>
      </c>
      <c r="O516" s="6" t="s">
        <v>7</v>
      </c>
    </row>
    <row r="517" spans="12:15" x14ac:dyDescent="0.45">
      <c r="L517" s="3" t="s">
        <v>266</v>
      </c>
      <c r="M517" s="3" t="s">
        <v>35</v>
      </c>
      <c r="N517" s="5">
        <v>1.4568980161331686E-2</v>
      </c>
      <c r="O517" s="3" t="s">
        <v>7</v>
      </c>
    </row>
    <row r="518" spans="12:15" x14ac:dyDescent="0.45">
      <c r="L518" s="6" t="s">
        <v>266</v>
      </c>
      <c r="M518" s="6" t="s">
        <v>36</v>
      </c>
      <c r="N518" s="8">
        <v>1.4486294525393396E-2</v>
      </c>
      <c r="O518" s="6" t="s">
        <v>7</v>
      </c>
    </row>
    <row r="519" spans="12:15" x14ac:dyDescent="0.45">
      <c r="L519" s="3" t="s">
        <v>266</v>
      </c>
      <c r="M519" s="3" t="s">
        <v>37</v>
      </c>
      <c r="N519" s="5">
        <v>1.4278487941366868E-2</v>
      </c>
      <c r="O519" s="3" t="s">
        <v>7</v>
      </c>
    </row>
    <row r="520" spans="12:15" x14ac:dyDescent="0.45">
      <c r="L520" s="6" t="s">
        <v>266</v>
      </c>
      <c r="M520" s="6" t="s">
        <v>38</v>
      </c>
      <c r="N520" s="8">
        <v>2.2057582062053667E-2</v>
      </c>
      <c r="O520" s="6" t="s">
        <v>7</v>
      </c>
    </row>
    <row r="521" spans="12:15" x14ac:dyDescent="0.45">
      <c r="L521" s="3" t="s">
        <v>266</v>
      </c>
      <c r="M521" s="3" t="s">
        <v>39</v>
      </c>
      <c r="N521" s="5">
        <v>5.2405047832099268E-2</v>
      </c>
      <c r="O521" s="3" t="s">
        <v>7</v>
      </c>
    </row>
    <row r="522" spans="12:15" x14ac:dyDescent="0.45">
      <c r="L522" s="6" t="s">
        <v>266</v>
      </c>
      <c r="M522" s="6" t="s">
        <v>40</v>
      </c>
      <c r="N522" s="8">
        <v>2.122844232376507E-2</v>
      </c>
      <c r="O522" s="6" t="s">
        <v>7</v>
      </c>
    </row>
    <row r="523" spans="12:15" x14ac:dyDescent="0.45">
      <c r="L523" s="3" t="s">
        <v>266</v>
      </c>
      <c r="M523" s="3" t="s">
        <v>41</v>
      </c>
      <c r="N523" s="5">
        <v>2.1284918218717867E-2</v>
      </c>
      <c r="O523" s="3" t="s">
        <v>7</v>
      </c>
    </row>
    <row r="524" spans="12:15" x14ac:dyDescent="0.45">
      <c r="L524" s="6" t="s">
        <v>266</v>
      </c>
      <c r="M524" s="6" t="s">
        <v>42</v>
      </c>
      <c r="N524" s="8">
        <v>2.1260634735489586E-2</v>
      </c>
      <c r="O524" s="6" t="s">
        <v>7</v>
      </c>
    </row>
    <row r="525" spans="12:15" x14ac:dyDescent="0.45">
      <c r="L525" s="3" t="s">
        <v>266</v>
      </c>
      <c r="M525" s="3" t="s">
        <v>43</v>
      </c>
      <c r="N525" s="5">
        <v>2.115616853708268E-2</v>
      </c>
      <c r="O525" s="3" t="s">
        <v>7</v>
      </c>
    </row>
    <row r="526" spans="12:15" x14ac:dyDescent="0.45">
      <c r="L526" s="6" t="s">
        <v>266</v>
      </c>
      <c r="M526" s="6" t="s">
        <v>44</v>
      </c>
      <c r="N526" s="8">
        <v>2.1007479592913249E-2</v>
      </c>
      <c r="O526" s="6" t="s">
        <v>7</v>
      </c>
    </row>
    <row r="527" spans="12:15" x14ac:dyDescent="0.45">
      <c r="L527" s="3" t="s">
        <v>266</v>
      </c>
      <c r="M527" s="3" t="s">
        <v>45</v>
      </c>
      <c r="N527" s="5">
        <v>2.0552722448154995E-2</v>
      </c>
      <c r="O527" s="3" t="s">
        <v>7</v>
      </c>
    </row>
    <row r="528" spans="12:15" x14ac:dyDescent="0.45">
      <c r="L528" s="6" t="s">
        <v>266</v>
      </c>
      <c r="M528" s="6" t="s">
        <v>46</v>
      </c>
      <c r="N528" s="8">
        <v>1.9937009202072746E-2</v>
      </c>
      <c r="O528" s="6" t="s">
        <v>7</v>
      </c>
    </row>
    <row r="529" spans="12:15" x14ac:dyDescent="0.45">
      <c r="L529" s="3" t="s">
        <v>266</v>
      </c>
      <c r="M529" s="3" t="s">
        <v>47</v>
      </c>
      <c r="N529" s="5">
        <v>1.957482719925964E-2</v>
      </c>
      <c r="O529" s="3" t="s">
        <v>7</v>
      </c>
    </row>
    <row r="530" spans="12:15" x14ac:dyDescent="0.45">
      <c r="L530" s="6" t="s">
        <v>266</v>
      </c>
      <c r="M530" s="6" t="s">
        <v>48</v>
      </c>
      <c r="N530" s="8">
        <v>2.9893592563003554E-2</v>
      </c>
      <c r="O530" s="6" t="s">
        <v>7</v>
      </c>
    </row>
    <row r="531" spans="12:15" x14ac:dyDescent="0.45">
      <c r="L531" s="3" t="s">
        <v>267</v>
      </c>
      <c r="M531" s="3" t="s">
        <v>6</v>
      </c>
      <c r="N531" s="5">
        <v>6.1122054392061829E-2</v>
      </c>
      <c r="O531" s="3" t="s">
        <v>7</v>
      </c>
    </row>
    <row r="532" spans="12:15" x14ac:dyDescent="0.45">
      <c r="L532" s="6" t="s">
        <v>267</v>
      </c>
      <c r="M532" s="6" t="s">
        <v>10</v>
      </c>
      <c r="N532" s="8">
        <v>2.4636611722904368E-2</v>
      </c>
      <c r="O532" s="6" t="s">
        <v>7</v>
      </c>
    </row>
    <row r="533" spans="12:15" x14ac:dyDescent="0.45">
      <c r="L533" s="3" t="s">
        <v>267</v>
      </c>
      <c r="M533" s="3" t="s">
        <v>11</v>
      </c>
      <c r="N533" s="5">
        <v>2.4625966672494302E-2</v>
      </c>
      <c r="O533" s="3" t="s">
        <v>7</v>
      </c>
    </row>
    <row r="534" spans="12:15" x14ac:dyDescent="0.45">
      <c r="L534" s="6" t="s">
        <v>267</v>
      </c>
      <c r="M534" s="6" t="s">
        <v>12</v>
      </c>
      <c r="N534" s="8">
        <v>2.5329769588495449E-2</v>
      </c>
      <c r="O534" s="6" t="s">
        <v>7</v>
      </c>
    </row>
    <row r="535" spans="12:15" x14ac:dyDescent="0.45">
      <c r="L535" s="3" t="s">
        <v>267</v>
      </c>
      <c r="M535" s="3" t="s">
        <v>13</v>
      </c>
      <c r="N535" s="5">
        <v>2.5557437538365042E-2</v>
      </c>
      <c r="O535" s="3" t="s">
        <v>7</v>
      </c>
    </row>
    <row r="536" spans="12:15" x14ac:dyDescent="0.45">
      <c r="L536" s="6" t="s">
        <v>267</v>
      </c>
      <c r="M536" s="6" t="s">
        <v>14</v>
      </c>
      <c r="N536" s="8">
        <v>2.5542344952910377E-2</v>
      </c>
      <c r="O536" s="6" t="s">
        <v>7</v>
      </c>
    </row>
    <row r="537" spans="12:15" x14ac:dyDescent="0.45">
      <c r="L537" s="3" t="s">
        <v>267</v>
      </c>
      <c r="M537" s="3" t="s">
        <v>15</v>
      </c>
      <c r="N537" s="5">
        <v>2.5265572860345257E-2</v>
      </c>
      <c r="O537" s="3" t="s">
        <v>7</v>
      </c>
    </row>
    <row r="538" spans="12:15" x14ac:dyDescent="0.45">
      <c r="L538" s="6" t="s">
        <v>267</v>
      </c>
      <c r="M538" s="6" t="s">
        <v>16</v>
      </c>
      <c r="N538" s="8">
        <v>2.4590550182842123E-2</v>
      </c>
      <c r="O538" s="6" t="s">
        <v>7</v>
      </c>
    </row>
    <row r="539" spans="12:15" x14ac:dyDescent="0.45">
      <c r="L539" s="3" t="s">
        <v>267</v>
      </c>
      <c r="M539" s="3" t="s">
        <v>17</v>
      </c>
      <c r="N539" s="5">
        <v>2.4594937332182518E-2</v>
      </c>
      <c r="O539" s="3" t="s">
        <v>7</v>
      </c>
    </row>
    <row r="540" spans="12:15" x14ac:dyDescent="0.45">
      <c r="L540" s="6" t="s">
        <v>267</v>
      </c>
      <c r="M540" s="6" t="s">
        <v>18</v>
      </c>
      <c r="N540" s="8">
        <v>3.7400634074645368E-2</v>
      </c>
      <c r="O540" s="6" t="s">
        <v>7</v>
      </c>
    </row>
    <row r="541" spans="12:15" x14ac:dyDescent="0.45">
      <c r="L541" s="3" t="s">
        <v>267</v>
      </c>
      <c r="M541" s="3" t="s">
        <v>19</v>
      </c>
      <c r="N541" s="5">
        <v>6.0054720785005469E-2</v>
      </c>
      <c r="O541" s="3" t="s">
        <v>7</v>
      </c>
    </row>
    <row r="542" spans="12:15" x14ac:dyDescent="0.45">
      <c r="L542" s="6" t="s">
        <v>267</v>
      </c>
      <c r="M542" s="6" t="s">
        <v>20</v>
      </c>
      <c r="N542" s="8">
        <v>2.4145953831220378E-2</v>
      </c>
      <c r="O542" s="6" t="s">
        <v>7</v>
      </c>
    </row>
    <row r="543" spans="12:15" x14ac:dyDescent="0.45">
      <c r="L543" s="3" t="s">
        <v>267</v>
      </c>
      <c r="M543" s="3" t="s">
        <v>21</v>
      </c>
      <c r="N543" s="5">
        <v>2.3943200447618312E-2</v>
      </c>
      <c r="O543" s="3" t="s">
        <v>7</v>
      </c>
    </row>
    <row r="544" spans="12:15" x14ac:dyDescent="0.45">
      <c r="L544" s="6" t="s">
        <v>267</v>
      </c>
      <c r="M544" s="6" t="s">
        <v>22</v>
      </c>
      <c r="N544" s="8">
        <v>2.3261850231705374E-2</v>
      </c>
      <c r="O544" s="6" t="s">
        <v>7</v>
      </c>
    </row>
    <row r="545" spans="12:15" x14ac:dyDescent="0.45">
      <c r="L545" s="3" t="s">
        <v>267</v>
      </c>
      <c r="M545" s="3" t="s">
        <v>23</v>
      </c>
      <c r="N545" s="5">
        <v>2.3084228490327943E-2</v>
      </c>
      <c r="O545" s="3" t="s">
        <v>7</v>
      </c>
    </row>
    <row r="546" spans="12:15" x14ac:dyDescent="0.45">
      <c r="L546" s="6" t="s">
        <v>267</v>
      </c>
      <c r="M546" s="6" t="s">
        <v>24</v>
      </c>
      <c r="N546" s="8">
        <v>2.3146303944612704E-2</v>
      </c>
      <c r="O546" s="6" t="s">
        <v>7</v>
      </c>
    </row>
    <row r="547" spans="12:15" x14ac:dyDescent="0.45">
      <c r="L547" s="3" t="s">
        <v>267</v>
      </c>
      <c r="M547" s="3" t="s">
        <v>25</v>
      </c>
      <c r="N547" s="5">
        <v>2.3598963110924926E-2</v>
      </c>
      <c r="O547" s="3" t="s">
        <v>7</v>
      </c>
    </row>
    <row r="548" spans="12:15" x14ac:dyDescent="0.45">
      <c r="L548" s="6" t="s">
        <v>267</v>
      </c>
      <c r="M548" s="6" t="s">
        <v>26</v>
      </c>
      <c r="N548" s="8">
        <v>2.3921029642327309E-2</v>
      </c>
      <c r="O548" s="6" t="s">
        <v>7</v>
      </c>
    </row>
    <row r="549" spans="12:15" x14ac:dyDescent="0.45">
      <c r="L549" s="3" t="s">
        <v>267</v>
      </c>
      <c r="M549" s="3" t="s">
        <v>27</v>
      </c>
      <c r="N549" s="5">
        <v>2.4021862676822457E-2</v>
      </c>
      <c r="O549" s="3" t="s">
        <v>7</v>
      </c>
    </row>
    <row r="550" spans="12:15" x14ac:dyDescent="0.45">
      <c r="L550" s="6" t="s">
        <v>267</v>
      </c>
      <c r="M550" s="6" t="s">
        <v>28</v>
      </c>
      <c r="N550" s="8">
        <v>3.5826011983950357E-2</v>
      </c>
      <c r="O550" s="6" t="s">
        <v>7</v>
      </c>
    </row>
    <row r="551" spans="12:15" x14ac:dyDescent="0.45">
      <c r="L551" s="3" t="s">
        <v>267</v>
      </c>
      <c r="M551" s="3" t="s">
        <v>29</v>
      </c>
      <c r="N551" s="5">
        <v>3.6538129555872191E-2</v>
      </c>
      <c r="O551" s="3" t="s">
        <v>7</v>
      </c>
    </row>
    <row r="552" spans="12:15" x14ac:dyDescent="0.45">
      <c r="L552" s="6" t="s">
        <v>267</v>
      </c>
      <c r="M552" s="6" t="s">
        <v>30</v>
      </c>
      <c r="N552" s="8">
        <v>1.4083821979163001E-2</v>
      </c>
      <c r="O552" s="6" t="s">
        <v>7</v>
      </c>
    </row>
    <row r="553" spans="12:15" x14ac:dyDescent="0.45">
      <c r="L553" s="3" t="s">
        <v>267</v>
      </c>
      <c r="M553" s="3" t="s">
        <v>31</v>
      </c>
      <c r="N553" s="5">
        <v>1.3956731663587362E-2</v>
      </c>
      <c r="O553" s="3" t="s">
        <v>7</v>
      </c>
    </row>
    <row r="554" spans="12:15" x14ac:dyDescent="0.45">
      <c r="L554" s="6" t="s">
        <v>267</v>
      </c>
      <c r="M554" s="6" t="s">
        <v>32</v>
      </c>
      <c r="N554" s="8">
        <v>1.3911341839907325E-2</v>
      </c>
      <c r="O554" s="6" t="s">
        <v>7</v>
      </c>
    </row>
    <row r="555" spans="12:15" x14ac:dyDescent="0.45">
      <c r="L555" s="3" t="s">
        <v>267</v>
      </c>
      <c r="M555" s="3" t="s">
        <v>33</v>
      </c>
      <c r="N555" s="5">
        <v>1.4582311980279709E-2</v>
      </c>
      <c r="O555" s="3" t="s">
        <v>7</v>
      </c>
    </row>
    <row r="556" spans="12:15" x14ac:dyDescent="0.45">
      <c r="L556" s="6" t="s">
        <v>267</v>
      </c>
      <c r="M556" s="6" t="s">
        <v>34</v>
      </c>
      <c r="N556" s="8">
        <v>1.4941369078130488E-2</v>
      </c>
      <c r="O556" s="6" t="s">
        <v>7</v>
      </c>
    </row>
    <row r="557" spans="12:15" x14ac:dyDescent="0.45">
      <c r="L557" s="3" t="s">
        <v>267</v>
      </c>
      <c r="M557" s="3" t="s">
        <v>35</v>
      </c>
      <c r="N557" s="5">
        <v>1.4777453268457056E-2</v>
      </c>
      <c r="O557" s="3" t="s">
        <v>7</v>
      </c>
    </row>
    <row r="558" spans="12:15" x14ac:dyDescent="0.45">
      <c r="L558" s="6" t="s">
        <v>267</v>
      </c>
      <c r="M558" s="6" t="s">
        <v>36</v>
      </c>
      <c r="N558" s="8">
        <v>1.4500942152872204E-2</v>
      </c>
      <c r="O558" s="6" t="s">
        <v>7</v>
      </c>
    </row>
    <row r="559" spans="12:15" x14ac:dyDescent="0.45">
      <c r="L559" s="3" t="s">
        <v>267</v>
      </c>
      <c r="M559" s="3" t="s">
        <v>37</v>
      </c>
      <c r="N559" s="5">
        <v>1.4304360135159417E-2</v>
      </c>
      <c r="O559" s="3" t="s">
        <v>7</v>
      </c>
    </row>
    <row r="560" spans="12:15" x14ac:dyDescent="0.45">
      <c r="L560" s="6" t="s">
        <v>267</v>
      </c>
      <c r="M560" s="6" t="s">
        <v>38</v>
      </c>
      <c r="N560" s="8">
        <v>2.1777144510582526E-2</v>
      </c>
      <c r="O560" s="6" t="s">
        <v>7</v>
      </c>
    </row>
    <row r="561" spans="12:15" x14ac:dyDescent="0.45">
      <c r="L561" s="3" t="s">
        <v>267</v>
      </c>
      <c r="M561" s="3" t="s">
        <v>39</v>
      </c>
      <c r="N561" s="5">
        <v>5.1209162135412274E-2</v>
      </c>
      <c r="O561" s="3" t="s">
        <v>7</v>
      </c>
    </row>
    <row r="562" spans="12:15" x14ac:dyDescent="0.45">
      <c r="L562" s="6" t="s">
        <v>267</v>
      </c>
      <c r="M562" s="6" t="s">
        <v>40</v>
      </c>
      <c r="N562" s="8">
        <v>2.0690713030022494E-2</v>
      </c>
      <c r="O562" s="6" t="s">
        <v>7</v>
      </c>
    </row>
    <row r="563" spans="12:15" x14ac:dyDescent="0.45">
      <c r="L563" s="3" t="s">
        <v>267</v>
      </c>
      <c r="M563" s="3" t="s">
        <v>41</v>
      </c>
      <c r="N563" s="5">
        <v>2.0454612256514185E-2</v>
      </c>
      <c r="O563" s="3" t="s">
        <v>7</v>
      </c>
    </row>
    <row r="564" spans="12:15" x14ac:dyDescent="0.45">
      <c r="L564" s="6" t="s">
        <v>267</v>
      </c>
      <c r="M564" s="6" t="s">
        <v>42</v>
      </c>
      <c r="N564" s="8">
        <v>2.0393038310752665E-2</v>
      </c>
      <c r="O564" s="6" t="s">
        <v>7</v>
      </c>
    </row>
    <row r="565" spans="12:15" x14ac:dyDescent="0.45">
      <c r="L565" s="3" t="s">
        <v>267</v>
      </c>
      <c r="M565" s="3" t="s">
        <v>43</v>
      </c>
      <c r="N565" s="5">
        <v>2.0535488061162243E-2</v>
      </c>
      <c r="O565" s="3" t="s">
        <v>7</v>
      </c>
    </row>
    <row r="566" spans="12:15" x14ac:dyDescent="0.45">
      <c r="L566" s="6" t="s">
        <v>267</v>
      </c>
      <c r="M566" s="6" t="s">
        <v>44</v>
      </c>
      <c r="N566" s="8">
        <v>2.0322322047327538E-2</v>
      </c>
      <c r="O566" s="6" t="s">
        <v>7</v>
      </c>
    </row>
    <row r="567" spans="12:15" x14ac:dyDescent="0.45">
      <c r="L567" s="3" t="s">
        <v>267</v>
      </c>
      <c r="M567" s="3" t="s">
        <v>45</v>
      </c>
      <c r="N567" s="5">
        <v>2.0170749115076426E-2</v>
      </c>
      <c r="O567" s="3" t="s">
        <v>7</v>
      </c>
    </row>
    <row r="568" spans="12:15" x14ac:dyDescent="0.45">
      <c r="L568" s="6" t="s">
        <v>267</v>
      </c>
      <c r="M568" s="6" t="s">
        <v>46</v>
      </c>
      <c r="N568" s="8">
        <v>1.9630684324319036E-2</v>
      </c>
      <c r="O568" s="6" t="s">
        <v>7</v>
      </c>
    </row>
    <row r="569" spans="12:15" x14ac:dyDescent="0.45">
      <c r="L569" s="3" t="s">
        <v>267</v>
      </c>
      <c r="M569" s="3" t="s">
        <v>47</v>
      </c>
      <c r="N569" s="5">
        <v>1.9388727754358227E-2</v>
      </c>
      <c r="O569" s="3" t="s">
        <v>7</v>
      </c>
    </row>
    <row r="570" spans="12:15" x14ac:dyDescent="0.45">
      <c r="L570" s="6" t="s">
        <v>267</v>
      </c>
      <c r="M570" s="6" t="s">
        <v>48</v>
      </c>
      <c r="N570" s="8">
        <v>3.0160892339281774E-2</v>
      </c>
      <c r="O570" s="6" t="s">
        <v>7</v>
      </c>
    </row>
    <row r="571" spans="12:15" x14ac:dyDescent="0.45">
      <c r="L571" s="3" t="s">
        <v>268</v>
      </c>
      <c r="M571" s="3" t="s">
        <v>6</v>
      </c>
      <c r="N571" s="5">
        <v>6.4163413346711856E-2</v>
      </c>
      <c r="O571" s="3" t="s">
        <v>7</v>
      </c>
    </row>
    <row r="572" spans="12:15" x14ac:dyDescent="0.45">
      <c r="L572" s="6" t="s">
        <v>268</v>
      </c>
      <c r="M572" s="6" t="s">
        <v>10</v>
      </c>
      <c r="N572" s="8">
        <v>2.6847109615269964E-2</v>
      </c>
      <c r="O572" s="6" t="s">
        <v>7</v>
      </c>
    </row>
    <row r="573" spans="12:15" x14ac:dyDescent="0.45">
      <c r="L573" s="3" t="s">
        <v>268</v>
      </c>
      <c r="M573" s="3" t="s">
        <v>11</v>
      </c>
      <c r="N573" s="5">
        <v>2.7633785546766897E-2</v>
      </c>
      <c r="O573" s="3" t="s">
        <v>7</v>
      </c>
    </row>
    <row r="574" spans="12:15" x14ac:dyDescent="0.45">
      <c r="L574" s="6" t="s">
        <v>268</v>
      </c>
      <c r="M574" s="6" t="s">
        <v>12</v>
      </c>
      <c r="N574" s="8">
        <v>2.9677731459026233E-2</v>
      </c>
      <c r="O574" s="6" t="s">
        <v>7</v>
      </c>
    </row>
    <row r="575" spans="12:15" x14ac:dyDescent="0.45">
      <c r="L575" s="3" t="s">
        <v>268</v>
      </c>
      <c r="M575" s="3" t="s">
        <v>13</v>
      </c>
      <c r="N575" s="5">
        <v>3.1034184445290804E-2</v>
      </c>
      <c r="O575" s="3" t="s">
        <v>7</v>
      </c>
    </row>
    <row r="576" spans="12:15" x14ac:dyDescent="0.45">
      <c r="L576" s="6" t="s">
        <v>268</v>
      </c>
      <c r="M576" s="6" t="s">
        <v>14</v>
      </c>
      <c r="N576" s="8">
        <v>3.0544816305850184E-2</v>
      </c>
      <c r="O576" s="6" t="s">
        <v>7</v>
      </c>
    </row>
    <row r="577" spans="12:15" x14ac:dyDescent="0.45">
      <c r="L577" s="3" t="s">
        <v>268</v>
      </c>
      <c r="M577" s="3" t="s">
        <v>15</v>
      </c>
      <c r="N577" s="5">
        <v>2.9088908127704666E-2</v>
      </c>
      <c r="O577" s="3" t="s">
        <v>7</v>
      </c>
    </row>
    <row r="578" spans="12:15" x14ac:dyDescent="0.45">
      <c r="L578" s="6" t="s">
        <v>268</v>
      </c>
      <c r="M578" s="6" t="s">
        <v>16</v>
      </c>
      <c r="N578" s="8">
        <v>2.8755070059806535E-2</v>
      </c>
      <c r="O578" s="6" t="s">
        <v>7</v>
      </c>
    </row>
    <row r="579" spans="12:15" x14ac:dyDescent="0.45">
      <c r="L579" s="3" t="s">
        <v>268</v>
      </c>
      <c r="M579" s="3" t="s">
        <v>17</v>
      </c>
      <c r="N579" s="5">
        <v>2.8174079013193111E-2</v>
      </c>
      <c r="O579" s="3" t="s">
        <v>7</v>
      </c>
    </row>
    <row r="580" spans="12:15" x14ac:dyDescent="0.45">
      <c r="L580" s="6" t="s">
        <v>268</v>
      </c>
      <c r="M580" s="6" t="s">
        <v>18</v>
      </c>
      <c r="N580" s="8">
        <v>4.0173358368269733E-2</v>
      </c>
      <c r="O580" s="6" t="s">
        <v>7</v>
      </c>
    </row>
    <row r="581" spans="12:15" x14ac:dyDescent="0.45">
      <c r="L581" s="3" t="s">
        <v>268</v>
      </c>
      <c r="M581" s="3" t="s">
        <v>19</v>
      </c>
      <c r="N581" s="5">
        <v>5.6183390875836021E-2</v>
      </c>
      <c r="O581" s="3" t="s">
        <v>7</v>
      </c>
    </row>
    <row r="582" spans="12:15" x14ac:dyDescent="0.45">
      <c r="L582" s="6" t="s">
        <v>268</v>
      </c>
      <c r="M582" s="6" t="s">
        <v>20</v>
      </c>
      <c r="N582" s="8">
        <v>2.2252058762166751E-2</v>
      </c>
      <c r="O582" s="6" t="s">
        <v>7</v>
      </c>
    </row>
    <row r="583" spans="12:15" x14ac:dyDescent="0.45">
      <c r="L583" s="3" t="s">
        <v>268</v>
      </c>
      <c r="M583" s="3" t="s">
        <v>21</v>
      </c>
      <c r="N583" s="5">
        <v>2.4055745882023371E-2</v>
      </c>
      <c r="O583" s="3" t="s">
        <v>7</v>
      </c>
    </row>
    <row r="584" spans="12:15" x14ac:dyDescent="0.45">
      <c r="L584" s="6" t="s">
        <v>268</v>
      </c>
      <c r="M584" s="6" t="s">
        <v>22</v>
      </c>
      <c r="N584" s="8">
        <v>2.6282014687785068E-2</v>
      </c>
      <c r="O584" s="6" t="s">
        <v>7</v>
      </c>
    </row>
    <row r="585" spans="12:15" x14ac:dyDescent="0.45">
      <c r="L585" s="3" t="s">
        <v>268</v>
      </c>
      <c r="M585" s="3" t="s">
        <v>23</v>
      </c>
      <c r="N585" s="5">
        <v>2.7208106546919852E-2</v>
      </c>
      <c r="O585" s="3" t="s">
        <v>7</v>
      </c>
    </row>
    <row r="586" spans="12:15" x14ac:dyDescent="0.45">
      <c r="L586" s="6" t="s">
        <v>268</v>
      </c>
      <c r="M586" s="6" t="s">
        <v>24</v>
      </c>
      <c r="N586" s="8">
        <v>2.8065628207333208E-2</v>
      </c>
      <c r="O586" s="6" t="s">
        <v>7</v>
      </c>
    </row>
    <row r="587" spans="12:15" x14ac:dyDescent="0.45">
      <c r="L587" s="3" t="s">
        <v>268</v>
      </c>
      <c r="M587" s="3" t="s">
        <v>25</v>
      </c>
      <c r="N587" s="5">
        <v>2.7847602429702113E-2</v>
      </c>
      <c r="O587" s="3" t="s">
        <v>7</v>
      </c>
    </row>
    <row r="588" spans="12:15" x14ac:dyDescent="0.45">
      <c r="L588" s="6" t="s">
        <v>268</v>
      </c>
      <c r="M588" s="6" t="s">
        <v>26</v>
      </c>
      <c r="N588" s="8">
        <v>2.5621622123880188E-2</v>
      </c>
      <c r="O588" s="6" t="s">
        <v>7</v>
      </c>
    </row>
    <row r="589" spans="12:15" x14ac:dyDescent="0.45">
      <c r="L589" s="3" t="s">
        <v>268</v>
      </c>
      <c r="M589" s="3" t="s">
        <v>27</v>
      </c>
      <c r="N589" s="5">
        <v>2.3729196301963251E-2</v>
      </c>
      <c r="O589" s="3" t="s">
        <v>7</v>
      </c>
    </row>
    <row r="590" spans="12:15" x14ac:dyDescent="0.45">
      <c r="L590" s="6" t="s">
        <v>268</v>
      </c>
      <c r="M590" s="6" t="s">
        <v>28</v>
      </c>
      <c r="N590" s="8">
        <v>3.4243381797659608E-2</v>
      </c>
      <c r="O590" s="6" t="s">
        <v>7</v>
      </c>
    </row>
    <row r="591" spans="12:15" x14ac:dyDescent="0.45">
      <c r="L591" s="3" t="s">
        <v>268</v>
      </c>
      <c r="M591" s="3" t="s">
        <v>29</v>
      </c>
      <c r="N591" s="5">
        <v>2.8085840642722373E-2</v>
      </c>
      <c r="O591" s="3" t="s">
        <v>7</v>
      </c>
    </row>
    <row r="592" spans="12:15" x14ac:dyDescent="0.45">
      <c r="L592" s="6" t="s">
        <v>268</v>
      </c>
      <c r="M592" s="6" t="s">
        <v>30</v>
      </c>
      <c r="N592" s="8">
        <v>1.104719358586021E-2</v>
      </c>
      <c r="O592" s="6" t="s">
        <v>7</v>
      </c>
    </row>
    <row r="593" spans="12:15" x14ac:dyDescent="0.45">
      <c r="L593" s="3" t="s">
        <v>268</v>
      </c>
      <c r="M593" s="3" t="s">
        <v>31</v>
      </c>
      <c r="N593" s="5">
        <v>1.2355048874365225E-2</v>
      </c>
      <c r="O593" s="3" t="s">
        <v>7</v>
      </c>
    </row>
    <row r="594" spans="12:15" x14ac:dyDescent="0.45">
      <c r="L594" s="6" t="s">
        <v>268</v>
      </c>
      <c r="M594" s="6" t="s">
        <v>32</v>
      </c>
      <c r="N594" s="8">
        <v>1.3851057859396181E-2</v>
      </c>
      <c r="O594" s="6" t="s">
        <v>7</v>
      </c>
    </row>
    <row r="595" spans="12:15" x14ac:dyDescent="0.45">
      <c r="L595" s="3" t="s">
        <v>268</v>
      </c>
      <c r="M595" s="3" t="s">
        <v>33</v>
      </c>
      <c r="N595" s="5">
        <v>1.5049227592567046E-2</v>
      </c>
      <c r="O595" s="3" t="s">
        <v>7</v>
      </c>
    </row>
    <row r="596" spans="12:15" x14ac:dyDescent="0.45">
      <c r="L596" s="6" t="s">
        <v>268</v>
      </c>
      <c r="M596" s="6" t="s">
        <v>34</v>
      </c>
      <c r="N596" s="8">
        <v>1.5618929159667019E-2</v>
      </c>
      <c r="O596" s="6" t="s">
        <v>7</v>
      </c>
    </row>
    <row r="597" spans="12:15" x14ac:dyDescent="0.45">
      <c r="L597" s="3" t="s">
        <v>268</v>
      </c>
      <c r="M597" s="3" t="s">
        <v>35</v>
      </c>
      <c r="N597" s="5">
        <v>1.5157903000263604E-2</v>
      </c>
      <c r="O597" s="3" t="s">
        <v>7</v>
      </c>
    </row>
    <row r="598" spans="12:15" x14ac:dyDescent="0.45">
      <c r="L598" s="6" t="s">
        <v>268</v>
      </c>
      <c r="M598" s="6" t="s">
        <v>36</v>
      </c>
      <c r="N598" s="8">
        <v>1.3414201997549925E-2</v>
      </c>
      <c r="O598" s="6" t="s">
        <v>7</v>
      </c>
    </row>
    <row r="599" spans="12:15" x14ac:dyDescent="0.45">
      <c r="L599" s="3" t="s">
        <v>268</v>
      </c>
      <c r="M599" s="3" t="s">
        <v>37</v>
      </c>
      <c r="N599" s="5">
        <v>1.1164925161198352E-2</v>
      </c>
      <c r="O599" s="3" t="s">
        <v>7</v>
      </c>
    </row>
    <row r="600" spans="12:15" x14ac:dyDescent="0.45">
      <c r="L600" s="6" t="s">
        <v>268</v>
      </c>
      <c r="M600" s="6" t="s">
        <v>38</v>
      </c>
      <c r="N600" s="8">
        <v>1.6494402481042333E-2</v>
      </c>
      <c r="O600" s="6" t="s">
        <v>7</v>
      </c>
    </row>
    <row r="601" spans="12:15" x14ac:dyDescent="0.45">
      <c r="L601" s="3" t="s">
        <v>268</v>
      </c>
      <c r="M601" s="3" t="s">
        <v>39</v>
      </c>
      <c r="N601" s="5">
        <v>4.261399241237844E-2</v>
      </c>
      <c r="O601" s="3" t="s">
        <v>7</v>
      </c>
    </row>
    <row r="602" spans="12:15" x14ac:dyDescent="0.45">
      <c r="L602" s="6" t="s">
        <v>268</v>
      </c>
      <c r="M602" s="6" t="s">
        <v>40</v>
      </c>
      <c r="N602" s="8">
        <v>1.7867237450372282E-2</v>
      </c>
      <c r="O602" s="6" t="s">
        <v>7</v>
      </c>
    </row>
    <row r="603" spans="12:15" x14ac:dyDescent="0.45">
      <c r="L603" s="3" t="s">
        <v>268</v>
      </c>
      <c r="M603" s="3" t="s">
        <v>41</v>
      </c>
      <c r="N603" s="5">
        <v>1.8648473358925648E-2</v>
      </c>
      <c r="O603" s="3" t="s">
        <v>7</v>
      </c>
    </row>
    <row r="604" spans="12:15" x14ac:dyDescent="0.45">
      <c r="L604" s="6" t="s">
        <v>268</v>
      </c>
      <c r="M604" s="6" t="s">
        <v>42</v>
      </c>
      <c r="N604" s="8">
        <v>1.9494668819742145E-2</v>
      </c>
      <c r="O604" s="6" t="s">
        <v>7</v>
      </c>
    </row>
    <row r="605" spans="12:15" x14ac:dyDescent="0.45">
      <c r="L605" s="3" t="s">
        <v>268</v>
      </c>
      <c r="M605" s="3" t="s">
        <v>43</v>
      </c>
      <c r="N605" s="5">
        <v>2.0475265966273758E-2</v>
      </c>
      <c r="O605" s="3" t="s">
        <v>7</v>
      </c>
    </row>
    <row r="606" spans="12:15" x14ac:dyDescent="0.45">
      <c r="L606" s="6" t="s">
        <v>268</v>
      </c>
      <c r="M606" s="6" t="s">
        <v>44</v>
      </c>
      <c r="N606" s="8">
        <v>2.0198016957350292E-2</v>
      </c>
      <c r="O606" s="6" t="s">
        <v>7</v>
      </c>
    </row>
    <row r="607" spans="12:15" x14ac:dyDescent="0.45">
      <c r="L607" s="3" t="s">
        <v>268</v>
      </c>
      <c r="M607" s="3" t="s">
        <v>45</v>
      </c>
      <c r="N607" s="5">
        <v>1.9181776929939436E-2</v>
      </c>
      <c r="O607" s="3" t="s">
        <v>7</v>
      </c>
    </row>
    <row r="608" spans="12:15" x14ac:dyDescent="0.45">
      <c r="L608" s="6" t="s">
        <v>268</v>
      </c>
      <c r="M608" s="6" t="s">
        <v>46</v>
      </c>
      <c r="N608" s="8">
        <v>1.7001251620569507E-2</v>
      </c>
      <c r="O608" s="6" t="s">
        <v>7</v>
      </c>
    </row>
    <row r="609" spans="12:15" x14ac:dyDescent="0.45">
      <c r="L609" s="3" t="s">
        <v>268</v>
      </c>
      <c r="M609" s="3" t="s">
        <v>47</v>
      </c>
      <c r="N609" s="5">
        <v>1.6009010138916695E-2</v>
      </c>
      <c r="O609" s="3" t="s">
        <v>7</v>
      </c>
    </row>
    <row r="610" spans="12:15" x14ac:dyDescent="0.45">
      <c r="L610" s="6" t="s">
        <v>268</v>
      </c>
      <c r="M610" s="6" t="s">
        <v>48</v>
      </c>
      <c r="N610" s="8">
        <v>2.4690372087740196E-2</v>
      </c>
      <c r="O610" s="6" t="s">
        <v>7</v>
      </c>
    </row>
    <row r="611" spans="12:15" x14ac:dyDescent="0.45">
      <c r="L611" s="3" t="s">
        <v>269</v>
      </c>
      <c r="M611" s="3" t="s">
        <v>6</v>
      </c>
      <c r="N611" s="5">
        <v>6.1347281665814497E-2</v>
      </c>
      <c r="O611" s="3" t="s">
        <v>7</v>
      </c>
    </row>
    <row r="612" spans="12:15" x14ac:dyDescent="0.45">
      <c r="L612" s="6" t="s">
        <v>269</v>
      </c>
      <c r="M612" s="6" t="s">
        <v>10</v>
      </c>
      <c r="N612" s="8">
        <v>2.486048165209585E-2</v>
      </c>
      <c r="O612" s="6" t="s">
        <v>7</v>
      </c>
    </row>
    <row r="613" spans="12:15" x14ac:dyDescent="0.45">
      <c r="L613" s="3" t="s">
        <v>269</v>
      </c>
      <c r="M613" s="3" t="s">
        <v>11</v>
      </c>
      <c r="N613" s="5">
        <v>2.4771255560804572E-2</v>
      </c>
      <c r="O613" s="3" t="s">
        <v>7</v>
      </c>
    </row>
    <row r="614" spans="12:15" x14ac:dyDescent="0.45">
      <c r="L614" s="6" t="s">
        <v>269</v>
      </c>
      <c r="M614" s="6" t="s">
        <v>12</v>
      </c>
      <c r="N614" s="8">
        <v>2.5632481980219449E-2</v>
      </c>
      <c r="O614" s="6" t="s">
        <v>7</v>
      </c>
    </row>
    <row r="615" spans="12:15" x14ac:dyDescent="0.45">
      <c r="L615" s="3" t="s">
        <v>269</v>
      </c>
      <c r="M615" s="3" t="s">
        <v>13</v>
      </c>
      <c r="N615" s="5">
        <v>2.6178071463381327E-2</v>
      </c>
      <c r="O615" s="3" t="s">
        <v>7</v>
      </c>
    </row>
    <row r="616" spans="12:15" x14ac:dyDescent="0.45">
      <c r="L616" s="6" t="s">
        <v>269</v>
      </c>
      <c r="M616" s="6" t="s">
        <v>14</v>
      </c>
      <c r="N616" s="8">
        <v>2.6347407409968028E-2</v>
      </c>
      <c r="O616" s="6" t="s">
        <v>7</v>
      </c>
    </row>
    <row r="617" spans="12:15" x14ac:dyDescent="0.45">
      <c r="L617" s="3" t="s">
        <v>269</v>
      </c>
      <c r="M617" s="3" t="s">
        <v>15</v>
      </c>
      <c r="N617" s="5">
        <v>2.5870537042428202E-2</v>
      </c>
      <c r="O617" s="3" t="s">
        <v>7</v>
      </c>
    </row>
    <row r="618" spans="12:15" x14ac:dyDescent="0.45">
      <c r="L618" s="6" t="s">
        <v>269</v>
      </c>
      <c r="M618" s="6" t="s">
        <v>16</v>
      </c>
      <c r="N618" s="8">
        <v>2.5571232323687278E-2</v>
      </c>
      <c r="O618" s="6" t="s">
        <v>7</v>
      </c>
    </row>
    <row r="619" spans="12:15" x14ac:dyDescent="0.45">
      <c r="L619" s="3" t="s">
        <v>269</v>
      </c>
      <c r="M619" s="3" t="s">
        <v>17</v>
      </c>
      <c r="N619" s="5">
        <v>2.5038727431773003E-2</v>
      </c>
      <c r="O619" s="3" t="s">
        <v>7</v>
      </c>
    </row>
    <row r="620" spans="12:15" x14ac:dyDescent="0.45">
      <c r="L620" s="6" t="s">
        <v>269</v>
      </c>
      <c r="M620" s="6" t="s">
        <v>18</v>
      </c>
      <c r="N620" s="8">
        <v>3.7147926638340843E-2</v>
      </c>
      <c r="O620" s="6" t="s">
        <v>7</v>
      </c>
    </row>
    <row r="621" spans="12:15" x14ac:dyDescent="0.45">
      <c r="L621" s="3" t="s">
        <v>269</v>
      </c>
      <c r="M621" s="3" t="s">
        <v>19</v>
      </c>
      <c r="N621" s="5">
        <v>5.9410466370300827E-2</v>
      </c>
      <c r="O621" s="3" t="s">
        <v>7</v>
      </c>
    </row>
    <row r="622" spans="12:15" x14ac:dyDescent="0.45">
      <c r="L622" s="6" t="s">
        <v>269</v>
      </c>
      <c r="M622" s="6" t="s">
        <v>20</v>
      </c>
      <c r="N622" s="8">
        <v>2.3823310781448018E-2</v>
      </c>
      <c r="O622" s="6" t="s">
        <v>7</v>
      </c>
    </row>
    <row r="623" spans="12:15" x14ac:dyDescent="0.45">
      <c r="L623" s="3" t="s">
        <v>269</v>
      </c>
      <c r="M623" s="3" t="s">
        <v>21</v>
      </c>
      <c r="N623" s="5">
        <v>2.4047968893255705E-2</v>
      </c>
      <c r="O623" s="3" t="s">
        <v>7</v>
      </c>
    </row>
    <row r="624" spans="12:15" x14ac:dyDescent="0.45">
      <c r="L624" s="6" t="s">
        <v>269</v>
      </c>
      <c r="M624" s="6" t="s">
        <v>22</v>
      </c>
      <c r="N624" s="8">
        <v>2.387327914078699E-2</v>
      </c>
      <c r="O624" s="6" t="s">
        <v>7</v>
      </c>
    </row>
    <row r="625" spans="12:15" x14ac:dyDescent="0.45">
      <c r="L625" s="3" t="s">
        <v>269</v>
      </c>
      <c r="M625" s="3" t="s">
        <v>23</v>
      </c>
      <c r="N625" s="5">
        <v>2.3629703306214028E-2</v>
      </c>
      <c r="O625" s="3" t="s">
        <v>7</v>
      </c>
    </row>
    <row r="626" spans="12:15" x14ac:dyDescent="0.45">
      <c r="L626" s="6" t="s">
        <v>269</v>
      </c>
      <c r="M626" s="6" t="s">
        <v>24</v>
      </c>
      <c r="N626" s="8">
        <v>2.3872037358245196E-2</v>
      </c>
      <c r="O626" s="6" t="s">
        <v>7</v>
      </c>
    </row>
    <row r="627" spans="12:15" x14ac:dyDescent="0.45">
      <c r="L627" s="3" t="s">
        <v>269</v>
      </c>
      <c r="M627" s="3" t="s">
        <v>25</v>
      </c>
      <c r="N627" s="5">
        <v>2.403007135343644E-2</v>
      </c>
      <c r="O627" s="3" t="s">
        <v>7</v>
      </c>
    </row>
    <row r="628" spans="12:15" x14ac:dyDescent="0.45">
      <c r="L628" s="6" t="s">
        <v>269</v>
      </c>
      <c r="M628" s="6" t="s">
        <v>26</v>
      </c>
      <c r="N628" s="8">
        <v>2.3897645979940475E-2</v>
      </c>
      <c r="O628" s="6" t="s">
        <v>7</v>
      </c>
    </row>
    <row r="629" spans="12:15" x14ac:dyDescent="0.45">
      <c r="L629" s="3" t="s">
        <v>269</v>
      </c>
      <c r="M629" s="3" t="s">
        <v>27</v>
      </c>
      <c r="N629" s="5">
        <v>2.3773388162918244E-2</v>
      </c>
      <c r="O629" s="3" t="s">
        <v>7</v>
      </c>
    </row>
    <row r="630" spans="12:15" x14ac:dyDescent="0.45">
      <c r="L630" s="6" t="s">
        <v>269</v>
      </c>
      <c r="M630" s="6" t="s">
        <v>28</v>
      </c>
      <c r="N630" s="8">
        <v>3.5422788321124457E-2</v>
      </c>
      <c r="O630" s="6" t="s">
        <v>7</v>
      </c>
    </row>
    <row r="631" spans="12:15" x14ac:dyDescent="0.45">
      <c r="L631" s="3" t="s">
        <v>269</v>
      </c>
      <c r="M631" s="3" t="s">
        <v>29</v>
      </c>
      <c r="N631" s="5">
        <v>3.5156733071634721E-2</v>
      </c>
      <c r="O631" s="3" t="s">
        <v>7</v>
      </c>
    </row>
    <row r="632" spans="12:15" x14ac:dyDescent="0.45">
      <c r="L632" s="6" t="s">
        <v>269</v>
      </c>
      <c r="M632" s="6" t="s">
        <v>30</v>
      </c>
      <c r="N632" s="8">
        <v>1.3906772234680538E-2</v>
      </c>
      <c r="O632" s="6" t="s">
        <v>7</v>
      </c>
    </row>
    <row r="633" spans="12:15" x14ac:dyDescent="0.45">
      <c r="L633" s="3" t="s">
        <v>269</v>
      </c>
      <c r="M633" s="3" t="s">
        <v>31</v>
      </c>
      <c r="N633" s="5">
        <v>1.3709846724627715E-2</v>
      </c>
      <c r="O633" s="3" t="s">
        <v>7</v>
      </c>
    </row>
    <row r="634" spans="12:15" x14ac:dyDescent="0.45">
      <c r="L634" s="6" t="s">
        <v>269</v>
      </c>
      <c r="M634" s="6" t="s">
        <v>32</v>
      </c>
      <c r="N634" s="8">
        <v>1.3761872388941401E-2</v>
      </c>
      <c r="O634" s="6" t="s">
        <v>7</v>
      </c>
    </row>
    <row r="635" spans="12:15" x14ac:dyDescent="0.45">
      <c r="L635" s="3" t="s">
        <v>269</v>
      </c>
      <c r="M635" s="3" t="s">
        <v>33</v>
      </c>
      <c r="N635" s="5">
        <v>1.4296983909596555E-2</v>
      </c>
      <c r="O635" s="3" t="s">
        <v>7</v>
      </c>
    </row>
    <row r="636" spans="12:15" x14ac:dyDescent="0.45">
      <c r="L636" s="6" t="s">
        <v>269</v>
      </c>
      <c r="M636" s="6" t="s">
        <v>34</v>
      </c>
      <c r="N636" s="8">
        <v>1.4691631172019187E-2</v>
      </c>
      <c r="O636" s="6" t="s">
        <v>7</v>
      </c>
    </row>
    <row r="637" spans="12:15" x14ac:dyDescent="0.45">
      <c r="L637" s="3" t="s">
        <v>269</v>
      </c>
      <c r="M637" s="3" t="s">
        <v>35</v>
      </c>
      <c r="N637" s="5">
        <v>1.4768222228360443E-2</v>
      </c>
      <c r="O637" s="3" t="s">
        <v>7</v>
      </c>
    </row>
    <row r="638" spans="12:15" x14ac:dyDescent="0.45">
      <c r="L638" s="6" t="s">
        <v>269</v>
      </c>
      <c r="M638" s="6" t="s">
        <v>36</v>
      </c>
      <c r="N638" s="8">
        <v>1.4469786276625613E-2</v>
      </c>
      <c r="O638" s="6" t="s">
        <v>7</v>
      </c>
    </row>
    <row r="639" spans="12:15" x14ac:dyDescent="0.45">
      <c r="L639" s="3" t="s">
        <v>269</v>
      </c>
      <c r="M639" s="3" t="s">
        <v>37</v>
      </c>
      <c r="N639" s="5">
        <v>1.3882807214744023E-2</v>
      </c>
      <c r="O639" s="3" t="s">
        <v>7</v>
      </c>
    </row>
    <row r="640" spans="12:15" x14ac:dyDescent="0.45">
      <c r="L640" s="6" t="s">
        <v>269</v>
      </c>
      <c r="M640" s="6" t="s">
        <v>38</v>
      </c>
      <c r="N640" s="8">
        <v>2.1332092426612541E-2</v>
      </c>
      <c r="O640" s="6" t="s">
        <v>7</v>
      </c>
    </row>
    <row r="641" spans="12:15" x14ac:dyDescent="0.45">
      <c r="L641" s="3" t="s">
        <v>269</v>
      </c>
      <c r="M641" s="3" t="s">
        <v>39</v>
      </c>
      <c r="N641" s="5">
        <v>5.038360355988547E-2</v>
      </c>
      <c r="O641" s="3" t="s">
        <v>7</v>
      </c>
    </row>
    <row r="642" spans="12:15" x14ac:dyDescent="0.45">
      <c r="L642" s="6" t="s">
        <v>269</v>
      </c>
      <c r="M642" s="6" t="s">
        <v>40</v>
      </c>
      <c r="N642" s="8">
        <v>2.0560585586785321E-2</v>
      </c>
      <c r="O642" s="6" t="s">
        <v>7</v>
      </c>
    </row>
    <row r="643" spans="12:15" x14ac:dyDescent="0.45">
      <c r="L643" s="3" t="s">
        <v>269</v>
      </c>
      <c r="M643" s="3" t="s">
        <v>41</v>
      </c>
      <c r="N643" s="5">
        <v>2.061665886877765E-2</v>
      </c>
      <c r="O643" s="3" t="s">
        <v>7</v>
      </c>
    </row>
    <row r="644" spans="12:15" x14ac:dyDescent="0.45">
      <c r="L644" s="6" t="s">
        <v>269</v>
      </c>
      <c r="M644" s="6" t="s">
        <v>42</v>
      </c>
      <c r="N644" s="8">
        <v>2.0544124678609686E-2</v>
      </c>
      <c r="O644" s="6" t="s">
        <v>7</v>
      </c>
    </row>
    <row r="645" spans="12:15" x14ac:dyDescent="0.45">
      <c r="L645" s="3" t="s">
        <v>269</v>
      </c>
      <c r="M645" s="3" t="s">
        <v>43</v>
      </c>
      <c r="N645" s="5">
        <v>2.0309331249515578E-2</v>
      </c>
      <c r="O645" s="3" t="s">
        <v>7</v>
      </c>
    </row>
    <row r="646" spans="12:15" x14ac:dyDescent="0.45">
      <c r="L646" s="6" t="s">
        <v>269</v>
      </c>
      <c r="M646" s="6" t="s">
        <v>44</v>
      </c>
      <c r="N646" s="8">
        <v>2.0419912511154721E-2</v>
      </c>
      <c r="O646" s="6" t="s">
        <v>7</v>
      </c>
    </row>
    <row r="647" spans="12:15" x14ac:dyDescent="0.45">
      <c r="L647" s="3" t="s">
        <v>269</v>
      </c>
      <c r="M647" s="3" t="s">
        <v>45</v>
      </c>
      <c r="N647" s="5">
        <v>2.0328724661415592E-2</v>
      </c>
      <c r="O647" s="3" t="s">
        <v>7</v>
      </c>
    </row>
    <row r="648" spans="12:15" x14ac:dyDescent="0.45">
      <c r="L648" s="6" t="s">
        <v>269</v>
      </c>
      <c r="M648" s="6" t="s">
        <v>46</v>
      </c>
      <c r="N648" s="8">
        <v>1.9692059249130586E-2</v>
      </c>
      <c r="O648" s="6" t="s">
        <v>7</v>
      </c>
    </row>
    <row r="649" spans="12:15" x14ac:dyDescent="0.45">
      <c r="L649" s="3" t="s">
        <v>269</v>
      </c>
      <c r="M649" s="3" t="s">
        <v>47</v>
      </c>
      <c r="N649" s="5">
        <v>1.9121587116763705E-2</v>
      </c>
      <c r="O649" s="3" t="s">
        <v>7</v>
      </c>
    </row>
    <row r="650" spans="12:15" x14ac:dyDescent="0.45">
      <c r="L650" s="6" t="s">
        <v>269</v>
      </c>
      <c r="M650" s="6" t="s">
        <v>48</v>
      </c>
      <c r="N650" s="8">
        <v>2.9500602033935414E-2</v>
      </c>
      <c r="O650" s="6" t="s">
        <v>7</v>
      </c>
    </row>
    <row r="651" spans="12:15" x14ac:dyDescent="0.45">
      <c r="L651" s="3" t="s">
        <v>270</v>
      </c>
      <c r="M651" s="3" t="s">
        <v>6</v>
      </c>
      <c r="N651" s="5">
        <v>6.162196178764142E-2</v>
      </c>
      <c r="O651" s="3" t="s">
        <v>7</v>
      </c>
    </row>
    <row r="652" spans="12:15" x14ac:dyDescent="0.45">
      <c r="L652" s="6" t="s">
        <v>270</v>
      </c>
      <c r="M652" s="6" t="s">
        <v>10</v>
      </c>
      <c r="N652" s="8">
        <v>2.4518318757767034E-2</v>
      </c>
      <c r="O652" s="6" t="s">
        <v>7</v>
      </c>
    </row>
    <row r="653" spans="12:15" x14ac:dyDescent="0.45">
      <c r="L653" s="3" t="s">
        <v>270</v>
      </c>
      <c r="M653" s="3" t="s">
        <v>11</v>
      </c>
      <c r="N653" s="5">
        <v>2.5301826316518363E-2</v>
      </c>
      <c r="O653" s="3" t="s">
        <v>7</v>
      </c>
    </row>
    <row r="654" spans="12:15" x14ac:dyDescent="0.45">
      <c r="L654" s="6" t="s">
        <v>270</v>
      </c>
      <c r="M654" s="6" t="s">
        <v>12</v>
      </c>
      <c r="N654" s="8">
        <v>2.5705022527282555E-2</v>
      </c>
      <c r="O654" s="6" t="s">
        <v>7</v>
      </c>
    </row>
    <row r="655" spans="12:15" x14ac:dyDescent="0.45">
      <c r="L655" s="3" t="s">
        <v>270</v>
      </c>
      <c r="M655" s="3" t="s">
        <v>13</v>
      </c>
      <c r="N655" s="5">
        <v>2.6524656037894528E-2</v>
      </c>
      <c r="O655" s="3" t="s">
        <v>7</v>
      </c>
    </row>
    <row r="656" spans="12:15" x14ac:dyDescent="0.45">
      <c r="L656" s="6" t="s">
        <v>270</v>
      </c>
      <c r="M656" s="6" t="s">
        <v>14</v>
      </c>
      <c r="N656" s="8">
        <v>2.6648570397526963E-2</v>
      </c>
      <c r="O656" s="6" t="s">
        <v>7</v>
      </c>
    </row>
    <row r="657" spans="12:15" x14ac:dyDescent="0.45">
      <c r="L657" s="3" t="s">
        <v>270</v>
      </c>
      <c r="M657" s="3" t="s">
        <v>15</v>
      </c>
      <c r="N657" s="5">
        <v>2.6109393042580611E-2</v>
      </c>
      <c r="O657" s="3" t="s">
        <v>7</v>
      </c>
    </row>
    <row r="658" spans="12:15" x14ac:dyDescent="0.45">
      <c r="L658" s="6" t="s">
        <v>270</v>
      </c>
      <c r="M658" s="6" t="s">
        <v>16</v>
      </c>
      <c r="N658" s="8">
        <v>2.5862509308244349E-2</v>
      </c>
      <c r="O658" s="6" t="s">
        <v>7</v>
      </c>
    </row>
    <row r="659" spans="12:15" x14ac:dyDescent="0.45">
      <c r="L659" s="3" t="s">
        <v>270</v>
      </c>
      <c r="M659" s="3" t="s">
        <v>17</v>
      </c>
      <c r="N659" s="5">
        <v>2.6234361800317133E-2</v>
      </c>
      <c r="O659" s="3" t="s">
        <v>7</v>
      </c>
    </row>
    <row r="660" spans="12:15" x14ac:dyDescent="0.45">
      <c r="L660" s="6" t="s">
        <v>270</v>
      </c>
      <c r="M660" s="6" t="s">
        <v>18</v>
      </c>
      <c r="N660" s="8">
        <v>3.9673043210325755E-2</v>
      </c>
      <c r="O660" s="6" t="s">
        <v>7</v>
      </c>
    </row>
    <row r="661" spans="12:15" x14ac:dyDescent="0.45">
      <c r="L661" s="3" t="s">
        <v>270</v>
      </c>
      <c r="M661" s="3" t="s">
        <v>19</v>
      </c>
      <c r="N661" s="5">
        <v>6.0497147258100403E-2</v>
      </c>
      <c r="O661" s="3" t="s">
        <v>7</v>
      </c>
    </row>
    <row r="662" spans="12:15" x14ac:dyDescent="0.45">
      <c r="L662" s="6" t="s">
        <v>270</v>
      </c>
      <c r="M662" s="6" t="s">
        <v>20</v>
      </c>
      <c r="N662" s="8">
        <v>2.4220924758997203E-2</v>
      </c>
      <c r="O662" s="6" t="s">
        <v>7</v>
      </c>
    </row>
    <row r="663" spans="12:15" x14ac:dyDescent="0.45">
      <c r="L663" s="3" t="s">
        <v>270</v>
      </c>
      <c r="M663" s="3" t="s">
        <v>21</v>
      </c>
      <c r="N663" s="5">
        <v>2.4826004831843572E-2</v>
      </c>
      <c r="O663" s="3" t="s">
        <v>7</v>
      </c>
    </row>
    <row r="664" spans="12:15" x14ac:dyDescent="0.45">
      <c r="L664" s="6" t="s">
        <v>270</v>
      </c>
      <c r="M664" s="6" t="s">
        <v>22</v>
      </c>
      <c r="N664" s="8">
        <v>2.4679399656350274E-2</v>
      </c>
      <c r="O664" s="6" t="s">
        <v>7</v>
      </c>
    </row>
    <row r="665" spans="12:15" x14ac:dyDescent="0.45">
      <c r="L665" s="3" t="s">
        <v>270</v>
      </c>
      <c r="M665" s="3" t="s">
        <v>23</v>
      </c>
      <c r="N665" s="5">
        <v>2.3970286283035439E-2</v>
      </c>
      <c r="O665" s="3" t="s">
        <v>7</v>
      </c>
    </row>
    <row r="666" spans="12:15" x14ac:dyDescent="0.45">
      <c r="L666" s="6" t="s">
        <v>270</v>
      </c>
      <c r="M666" s="6" t="s">
        <v>24</v>
      </c>
      <c r="N666" s="8">
        <v>2.3868288889543961E-2</v>
      </c>
      <c r="O666" s="6" t="s">
        <v>7</v>
      </c>
    </row>
    <row r="667" spans="12:15" x14ac:dyDescent="0.45">
      <c r="L667" s="3" t="s">
        <v>270</v>
      </c>
      <c r="M667" s="3" t="s">
        <v>25</v>
      </c>
      <c r="N667" s="5">
        <v>2.3644213733189225E-2</v>
      </c>
      <c r="O667" s="3" t="s">
        <v>7</v>
      </c>
    </row>
    <row r="668" spans="12:15" x14ac:dyDescent="0.45">
      <c r="L668" s="6" t="s">
        <v>270</v>
      </c>
      <c r="M668" s="6" t="s">
        <v>26</v>
      </c>
      <c r="N668" s="8">
        <v>2.264141721760108E-2</v>
      </c>
      <c r="O668" s="6" t="s">
        <v>7</v>
      </c>
    </row>
    <row r="669" spans="12:15" x14ac:dyDescent="0.45">
      <c r="L669" s="3" t="s">
        <v>270</v>
      </c>
      <c r="M669" s="3" t="s">
        <v>27</v>
      </c>
      <c r="N669" s="5">
        <v>2.3094592988069505E-2</v>
      </c>
      <c r="O669" s="3" t="s">
        <v>7</v>
      </c>
    </row>
    <row r="670" spans="12:15" x14ac:dyDescent="0.45">
      <c r="L670" s="6" t="s">
        <v>270</v>
      </c>
      <c r="M670" s="6" t="s">
        <v>28</v>
      </c>
      <c r="N670" s="8">
        <v>3.56264098618915E-2</v>
      </c>
      <c r="O670" s="6" t="s">
        <v>7</v>
      </c>
    </row>
    <row r="671" spans="12:15" x14ac:dyDescent="0.45">
      <c r="L671" s="3" t="s">
        <v>270</v>
      </c>
      <c r="M671" s="3" t="s">
        <v>29</v>
      </c>
      <c r="N671" s="5">
        <v>3.1820421569630185E-2</v>
      </c>
      <c r="O671" s="3" t="s">
        <v>7</v>
      </c>
    </row>
    <row r="672" spans="12:15" x14ac:dyDescent="0.45">
      <c r="L672" s="6" t="s">
        <v>270</v>
      </c>
      <c r="M672" s="6" t="s">
        <v>30</v>
      </c>
      <c r="N672" s="8">
        <v>1.2531223728706836E-2</v>
      </c>
      <c r="O672" s="6" t="s">
        <v>7</v>
      </c>
    </row>
    <row r="673" spans="12:15" x14ac:dyDescent="0.45">
      <c r="L673" s="3" t="s">
        <v>270</v>
      </c>
      <c r="M673" s="3" t="s">
        <v>31</v>
      </c>
      <c r="N673" s="5">
        <v>1.2363011657066126E-2</v>
      </c>
      <c r="O673" s="3" t="s">
        <v>7</v>
      </c>
    </row>
    <row r="674" spans="12:15" x14ac:dyDescent="0.45">
      <c r="L674" s="6" t="s">
        <v>270</v>
      </c>
      <c r="M674" s="6" t="s">
        <v>32</v>
      </c>
      <c r="N674" s="8">
        <v>1.2782948727142493E-2</v>
      </c>
      <c r="O674" s="6" t="s">
        <v>7</v>
      </c>
    </row>
    <row r="675" spans="12:15" x14ac:dyDescent="0.45">
      <c r="L675" s="3" t="s">
        <v>270</v>
      </c>
      <c r="M675" s="3" t="s">
        <v>33</v>
      </c>
      <c r="N675" s="5">
        <v>1.4461965102021903E-2</v>
      </c>
      <c r="O675" s="3" t="s">
        <v>7</v>
      </c>
    </row>
    <row r="676" spans="12:15" x14ac:dyDescent="0.45">
      <c r="L676" s="6" t="s">
        <v>270</v>
      </c>
      <c r="M676" s="6" t="s">
        <v>34</v>
      </c>
      <c r="N676" s="8">
        <v>1.608794278421501E-2</v>
      </c>
      <c r="O676" s="6" t="s">
        <v>7</v>
      </c>
    </row>
    <row r="677" spans="12:15" x14ac:dyDescent="0.45">
      <c r="L677" s="3" t="s">
        <v>270</v>
      </c>
      <c r="M677" s="3" t="s">
        <v>35</v>
      </c>
      <c r="N677" s="5">
        <v>1.6838712217658317E-2</v>
      </c>
      <c r="O677" s="3" t="s">
        <v>7</v>
      </c>
    </row>
    <row r="678" spans="12:15" x14ac:dyDescent="0.45">
      <c r="L678" s="6" t="s">
        <v>270</v>
      </c>
      <c r="M678" s="6" t="s">
        <v>36</v>
      </c>
      <c r="N678" s="8">
        <v>1.5748674044827642E-2</v>
      </c>
      <c r="O678" s="6" t="s">
        <v>7</v>
      </c>
    </row>
    <row r="679" spans="12:15" x14ac:dyDescent="0.45">
      <c r="L679" s="3" t="s">
        <v>270</v>
      </c>
      <c r="M679" s="3" t="s">
        <v>37</v>
      </c>
      <c r="N679" s="5">
        <v>1.4634413572603231E-2</v>
      </c>
      <c r="O679" s="3" t="s">
        <v>7</v>
      </c>
    </row>
    <row r="680" spans="12:15" x14ac:dyDescent="0.45">
      <c r="L680" s="6" t="s">
        <v>270</v>
      </c>
      <c r="M680" s="6" t="s">
        <v>38</v>
      </c>
      <c r="N680" s="8">
        <v>2.0017029263087086E-2</v>
      </c>
      <c r="O680" s="6" t="s">
        <v>7</v>
      </c>
    </row>
    <row r="681" spans="12:15" x14ac:dyDescent="0.45">
      <c r="L681" s="3" t="s">
        <v>270</v>
      </c>
      <c r="M681" s="3" t="s">
        <v>39</v>
      </c>
      <c r="N681" s="5">
        <v>4.7777032473586341E-2</v>
      </c>
      <c r="O681" s="3" t="s">
        <v>7</v>
      </c>
    </row>
    <row r="682" spans="12:15" x14ac:dyDescent="0.45">
      <c r="L682" s="6" t="s">
        <v>270</v>
      </c>
      <c r="M682" s="6" t="s">
        <v>40</v>
      </c>
      <c r="N682" s="8">
        <v>2.0367478687686645E-2</v>
      </c>
      <c r="O682" s="6" t="s">
        <v>7</v>
      </c>
    </row>
    <row r="683" spans="12:15" x14ac:dyDescent="0.45">
      <c r="L683" s="3" t="s">
        <v>270</v>
      </c>
      <c r="M683" s="3" t="s">
        <v>41</v>
      </c>
      <c r="N683" s="5">
        <v>2.0561098649030426E-2</v>
      </c>
      <c r="O683" s="3" t="s">
        <v>7</v>
      </c>
    </row>
    <row r="684" spans="12:15" x14ac:dyDescent="0.45">
      <c r="L684" s="6" t="s">
        <v>270</v>
      </c>
      <c r="M684" s="6" t="s">
        <v>42</v>
      </c>
      <c r="N684" s="8">
        <v>2.0524349909373706E-2</v>
      </c>
      <c r="O684" s="6" t="s">
        <v>7</v>
      </c>
    </row>
    <row r="685" spans="12:15" x14ac:dyDescent="0.45">
      <c r="L685" s="3" t="s">
        <v>270</v>
      </c>
      <c r="M685" s="3" t="s">
        <v>43</v>
      </c>
      <c r="N685" s="5">
        <v>2.0681094806226978E-2</v>
      </c>
      <c r="O685" s="3" t="s">
        <v>7</v>
      </c>
    </row>
    <row r="686" spans="12:15" x14ac:dyDescent="0.45">
      <c r="L686" s="6" t="s">
        <v>270</v>
      </c>
      <c r="M686" s="6" t="s">
        <v>44</v>
      </c>
      <c r="N686" s="8">
        <v>2.0468585422781044E-2</v>
      </c>
      <c r="O686" s="6" t="s">
        <v>7</v>
      </c>
    </row>
    <row r="687" spans="12:15" x14ac:dyDescent="0.45">
      <c r="L687" s="3" t="s">
        <v>270</v>
      </c>
      <c r="M687" s="3" t="s">
        <v>45</v>
      </c>
      <c r="N687" s="5">
        <v>2.0123087252529124E-2</v>
      </c>
      <c r="O687" s="3" t="s">
        <v>7</v>
      </c>
    </row>
    <row r="688" spans="12:15" x14ac:dyDescent="0.45">
      <c r="L688" s="6" t="s">
        <v>270</v>
      </c>
      <c r="M688" s="6" t="s">
        <v>46</v>
      </c>
      <c r="N688" s="8">
        <v>1.9787899503662467E-2</v>
      </c>
      <c r="O688" s="6" t="s">
        <v>7</v>
      </c>
    </row>
    <row r="689" spans="12:15" x14ac:dyDescent="0.45">
      <c r="L689" s="3" t="s">
        <v>270</v>
      </c>
      <c r="M689" s="3" t="s">
        <v>47</v>
      </c>
      <c r="N689" s="5">
        <v>1.925646641784837E-2</v>
      </c>
      <c r="O689" s="3" t="s">
        <v>7</v>
      </c>
    </row>
    <row r="690" spans="12:15" x14ac:dyDescent="0.45">
      <c r="L690" s="6" t="s">
        <v>270</v>
      </c>
      <c r="M690" s="6" t="s">
        <v>48</v>
      </c>
      <c r="N690" s="8">
        <v>2.7898215545595205E-2</v>
      </c>
      <c r="O690" s="6" t="s">
        <v>7</v>
      </c>
    </row>
    <row r="691" spans="12:15" x14ac:dyDescent="0.45">
      <c r="L691" s="3" t="s">
        <v>271</v>
      </c>
      <c r="M691" s="3" t="s">
        <v>6</v>
      </c>
      <c r="N691" s="5">
        <v>5.9436485153408769E-2</v>
      </c>
      <c r="O691" s="3" t="s">
        <v>7</v>
      </c>
    </row>
    <row r="692" spans="12:15" x14ac:dyDescent="0.45">
      <c r="L692" s="6" t="s">
        <v>271</v>
      </c>
      <c r="M692" s="6" t="s">
        <v>10</v>
      </c>
      <c r="N692" s="8">
        <v>2.3811411296155494E-2</v>
      </c>
      <c r="O692" s="6" t="s">
        <v>7</v>
      </c>
    </row>
    <row r="693" spans="12:15" x14ac:dyDescent="0.45">
      <c r="L693" s="3" t="s">
        <v>271</v>
      </c>
      <c r="M693" s="3" t="s">
        <v>11</v>
      </c>
      <c r="N693" s="5">
        <v>2.3893396757066785E-2</v>
      </c>
      <c r="O693" s="3" t="s">
        <v>7</v>
      </c>
    </row>
    <row r="694" spans="12:15" x14ac:dyDescent="0.45">
      <c r="L694" s="6" t="s">
        <v>271</v>
      </c>
      <c r="M694" s="6" t="s">
        <v>12</v>
      </c>
      <c r="N694" s="8">
        <v>2.3893701997580855E-2</v>
      </c>
      <c r="O694" s="6" t="s">
        <v>7</v>
      </c>
    </row>
    <row r="695" spans="12:15" x14ac:dyDescent="0.45">
      <c r="L695" s="3" t="s">
        <v>271</v>
      </c>
      <c r="M695" s="3" t="s">
        <v>13</v>
      </c>
      <c r="N695" s="5">
        <v>2.4397599463266605E-2</v>
      </c>
      <c r="O695" s="3" t="s">
        <v>7</v>
      </c>
    </row>
    <row r="696" spans="12:15" x14ac:dyDescent="0.45">
      <c r="L696" s="6" t="s">
        <v>271</v>
      </c>
      <c r="M696" s="6" t="s">
        <v>14</v>
      </c>
      <c r="N696" s="8">
        <v>2.4675754391468022E-2</v>
      </c>
      <c r="O696" s="6" t="s">
        <v>7</v>
      </c>
    </row>
    <row r="697" spans="12:15" x14ac:dyDescent="0.45">
      <c r="L697" s="3" t="s">
        <v>271</v>
      </c>
      <c r="M697" s="3" t="s">
        <v>15</v>
      </c>
      <c r="N697" s="5">
        <v>2.4794131932975402E-2</v>
      </c>
      <c r="O697" s="3" t="s">
        <v>7</v>
      </c>
    </row>
    <row r="698" spans="12:15" x14ac:dyDescent="0.45">
      <c r="L698" s="6" t="s">
        <v>271</v>
      </c>
      <c r="M698" s="6" t="s">
        <v>16</v>
      </c>
      <c r="N698" s="8">
        <v>2.4652859384392139E-2</v>
      </c>
      <c r="O698" s="6" t="s">
        <v>7</v>
      </c>
    </row>
    <row r="699" spans="12:15" x14ac:dyDescent="0.45">
      <c r="L699" s="3" t="s">
        <v>271</v>
      </c>
      <c r="M699" s="3" t="s">
        <v>17</v>
      </c>
      <c r="N699" s="5">
        <v>2.4510654693065719E-2</v>
      </c>
      <c r="O699" s="3" t="s">
        <v>7</v>
      </c>
    </row>
    <row r="700" spans="12:15" x14ac:dyDescent="0.45">
      <c r="L700" s="6" t="s">
        <v>271</v>
      </c>
      <c r="M700" s="6" t="s">
        <v>18</v>
      </c>
      <c r="N700" s="8">
        <v>3.7385969119073652E-2</v>
      </c>
      <c r="O700" s="6" t="s">
        <v>7</v>
      </c>
    </row>
    <row r="701" spans="12:15" x14ac:dyDescent="0.45">
      <c r="L701" s="3" t="s">
        <v>271</v>
      </c>
      <c r="M701" s="3" t="s">
        <v>19</v>
      </c>
      <c r="N701" s="5">
        <v>5.9940229081191808E-2</v>
      </c>
      <c r="O701" s="3" t="s">
        <v>7</v>
      </c>
    </row>
    <row r="702" spans="12:15" x14ac:dyDescent="0.45">
      <c r="L702" s="6" t="s">
        <v>271</v>
      </c>
      <c r="M702" s="6" t="s">
        <v>20</v>
      </c>
      <c r="N702" s="8">
        <v>2.4362190099197642E-2</v>
      </c>
      <c r="O702" s="6" t="s">
        <v>7</v>
      </c>
    </row>
    <row r="703" spans="12:15" x14ac:dyDescent="0.45">
      <c r="L703" s="3" t="s">
        <v>271</v>
      </c>
      <c r="M703" s="3" t="s">
        <v>21</v>
      </c>
      <c r="N703" s="5">
        <v>2.4098665587518695E-2</v>
      </c>
      <c r="O703" s="3" t="s">
        <v>7</v>
      </c>
    </row>
    <row r="704" spans="12:15" x14ac:dyDescent="0.45">
      <c r="L704" s="6" t="s">
        <v>271</v>
      </c>
      <c r="M704" s="6" t="s">
        <v>22</v>
      </c>
      <c r="N704" s="8">
        <v>2.3102361059954193E-2</v>
      </c>
      <c r="O704" s="6" t="s">
        <v>7</v>
      </c>
    </row>
    <row r="705" spans="12:15" x14ac:dyDescent="0.45">
      <c r="L705" s="3" t="s">
        <v>271</v>
      </c>
      <c r="M705" s="3" t="s">
        <v>23</v>
      </c>
      <c r="N705" s="5">
        <v>2.2225526498249104E-2</v>
      </c>
      <c r="O705" s="3" t="s">
        <v>7</v>
      </c>
    </row>
    <row r="706" spans="12:15" x14ac:dyDescent="0.45">
      <c r="L706" s="6" t="s">
        <v>271</v>
      </c>
      <c r="M706" s="6" t="s">
        <v>24</v>
      </c>
      <c r="N706" s="8">
        <v>2.1772132266031998E-2</v>
      </c>
      <c r="O706" s="6" t="s">
        <v>7</v>
      </c>
    </row>
    <row r="707" spans="12:15" x14ac:dyDescent="0.45">
      <c r="L707" s="3" t="s">
        <v>271</v>
      </c>
      <c r="M707" s="3" t="s">
        <v>25</v>
      </c>
      <c r="N707" s="5">
        <v>2.1684649515925185E-2</v>
      </c>
      <c r="O707" s="3" t="s">
        <v>7</v>
      </c>
    </row>
    <row r="708" spans="12:15" x14ac:dyDescent="0.45">
      <c r="L708" s="6" t="s">
        <v>271</v>
      </c>
      <c r="M708" s="6" t="s">
        <v>26</v>
      </c>
      <c r="N708" s="8">
        <v>2.188625034117175E-2</v>
      </c>
      <c r="O708" s="6" t="s">
        <v>7</v>
      </c>
    </row>
    <row r="709" spans="12:15" x14ac:dyDescent="0.45">
      <c r="L709" s="3" t="s">
        <v>271</v>
      </c>
      <c r="M709" s="3" t="s">
        <v>27</v>
      </c>
      <c r="N709" s="5">
        <v>2.2533635321712743E-2</v>
      </c>
      <c r="O709" s="3" t="s">
        <v>7</v>
      </c>
    </row>
    <row r="710" spans="12:15" x14ac:dyDescent="0.45">
      <c r="L710" s="6" t="s">
        <v>271</v>
      </c>
      <c r="M710" s="6" t="s">
        <v>28</v>
      </c>
      <c r="N710" s="8">
        <v>3.4752138768279907E-2</v>
      </c>
      <c r="O710" s="6" t="s">
        <v>7</v>
      </c>
    </row>
    <row r="711" spans="12:15" x14ac:dyDescent="0.45">
      <c r="L711" s="3" t="s">
        <v>271</v>
      </c>
      <c r="M711" s="3" t="s">
        <v>29</v>
      </c>
      <c r="N711" s="5">
        <v>3.8133414153004884E-2</v>
      </c>
      <c r="O711" s="3" t="s">
        <v>7</v>
      </c>
    </row>
    <row r="712" spans="12:15" x14ac:dyDescent="0.45">
      <c r="L712" s="6" t="s">
        <v>271</v>
      </c>
      <c r="M712" s="6" t="s">
        <v>30</v>
      </c>
      <c r="N712" s="8">
        <v>1.4713618561953056E-2</v>
      </c>
      <c r="O712" s="6" t="s">
        <v>7</v>
      </c>
    </row>
    <row r="713" spans="12:15" x14ac:dyDescent="0.45">
      <c r="L713" s="3" t="s">
        <v>271</v>
      </c>
      <c r="M713" s="3" t="s">
        <v>31</v>
      </c>
      <c r="N713" s="5">
        <v>1.4491695670715779E-2</v>
      </c>
      <c r="O713" s="3" t="s">
        <v>7</v>
      </c>
    </row>
    <row r="714" spans="12:15" x14ac:dyDescent="0.45">
      <c r="L714" s="6" t="s">
        <v>271</v>
      </c>
      <c r="M714" s="6" t="s">
        <v>32</v>
      </c>
      <c r="N714" s="8">
        <v>1.3921993261070287E-2</v>
      </c>
      <c r="O714" s="6" t="s">
        <v>7</v>
      </c>
    </row>
    <row r="715" spans="12:15" x14ac:dyDescent="0.45">
      <c r="L715" s="3" t="s">
        <v>271</v>
      </c>
      <c r="M715" s="3" t="s">
        <v>33</v>
      </c>
      <c r="N715" s="5">
        <v>1.4644289970232732E-2</v>
      </c>
      <c r="O715" s="3" t="s">
        <v>7</v>
      </c>
    </row>
    <row r="716" spans="12:15" x14ac:dyDescent="0.45">
      <c r="L716" s="6" t="s">
        <v>271</v>
      </c>
      <c r="M716" s="6" t="s">
        <v>34</v>
      </c>
      <c r="N716" s="8">
        <v>1.6041707554331708E-2</v>
      </c>
      <c r="O716" s="6" t="s">
        <v>7</v>
      </c>
    </row>
    <row r="717" spans="12:15" x14ac:dyDescent="0.45">
      <c r="L717" s="3" t="s">
        <v>271</v>
      </c>
      <c r="M717" s="3" t="s">
        <v>35</v>
      </c>
      <c r="N717" s="5">
        <v>1.7329149754936386E-2</v>
      </c>
      <c r="O717" s="3" t="s">
        <v>7</v>
      </c>
    </row>
    <row r="718" spans="12:15" x14ac:dyDescent="0.45">
      <c r="L718" s="6" t="s">
        <v>271</v>
      </c>
      <c r="M718" s="6" t="s">
        <v>36</v>
      </c>
      <c r="N718" s="8">
        <v>1.7742496684583029E-2</v>
      </c>
      <c r="O718" s="6" t="s">
        <v>7</v>
      </c>
    </row>
    <row r="719" spans="12:15" x14ac:dyDescent="0.45">
      <c r="L719" s="3" t="s">
        <v>271</v>
      </c>
      <c r="M719" s="3" t="s">
        <v>37</v>
      </c>
      <c r="N719" s="5">
        <v>1.7410962751826582E-2</v>
      </c>
      <c r="O719" s="3" t="s">
        <v>7</v>
      </c>
    </row>
    <row r="720" spans="12:15" x14ac:dyDescent="0.45">
      <c r="L720" s="6" t="s">
        <v>271</v>
      </c>
      <c r="M720" s="6" t="s">
        <v>38</v>
      </c>
      <c r="N720" s="8">
        <v>2.4442858436787226E-2</v>
      </c>
      <c r="O720" s="6" t="s">
        <v>7</v>
      </c>
    </row>
    <row r="721" spans="12:15" x14ac:dyDescent="0.45">
      <c r="L721" s="3" t="s">
        <v>271</v>
      </c>
      <c r="M721" s="3" t="s">
        <v>39</v>
      </c>
      <c r="N721" s="5">
        <v>4.9072481262448432E-2</v>
      </c>
      <c r="O721" s="3" t="s">
        <v>7</v>
      </c>
    </row>
    <row r="722" spans="12:15" x14ac:dyDescent="0.45">
      <c r="L722" s="6" t="s">
        <v>271</v>
      </c>
      <c r="M722" s="6" t="s">
        <v>40</v>
      </c>
      <c r="N722" s="8">
        <v>2.0234673175120087E-2</v>
      </c>
      <c r="O722" s="6" t="s">
        <v>7</v>
      </c>
    </row>
    <row r="723" spans="12:15" x14ac:dyDescent="0.45">
      <c r="L723" s="3" t="s">
        <v>271</v>
      </c>
      <c r="M723" s="3" t="s">
        <v>41</v>
      </c>
      <c r="N723" s="5">
        <v>2.0840175539733698E-2</v>
      </c>
      <c r="O723" s="3" t="s">
        <v>7</v>
      </c>
    </row>
    <row r="724" spans="12:15" x14ac:dyDescent="0.45">
      <c r="L724" s="6" t="s">
        <v>271</v>
      </c>
      <c r="M724" s="6" t="s">
        <v>42</v>
      </c>
      <c r="N724" s="8">
        <v>2.0635505077591782E-2</v>
      </c>
      <c r="O724" s="6" t="s">
        <v>7</v>
      </c>
    </row>
    <row r="725" spans="12:15" x14ac:dyDescent="0.45">
      <c r="L725" s="3" t="s">
        <v>271</v>
      </c>
      <c r="M725" s="3" t="s">
        <v>43</v>
      </c>
      <c r="N725" s="5">
        <v>2.0501563652942995E-2</v>
      </c>
      <c r="O725" s="3" t="s">
        <v>7</v>
      </c>
    </row>
    <row r="726" spans="12:15" x14ac:dyDescent="0.45">
      <c r="L726" s="6" t="s">
        <v>271</v>
      </c>
      <c r="M726" s="6" t="s">
        <v>44</v>
      </c>
      <c r="N726" s="8">
        <v>2.0514391914051078E-2</v>
      </c>
      <c r="O726" s="6" t="s">
        <v>7</v>
      </c>
    </row>
    <row r="727" spans="12:15" x14ac:dyDescent="0.45">
      <c r="L727" s="3" t="s">
        <v>271</v>
      </c>
      <c r="M727" s="3" t="s">
        <v>45</v>
      </c>
      <c r="N727" s="5">
        <v>2.1020194253706808E-2</v>
      </c>
      <c r="O727" s="3" t="s">
        <v>7</v>
      </c>
    </row>
    <row r="728" spans="12:15" x14ac:dyDescent="0.45">
      <c r="L728" s="6" t="s">
        <v>271</v>
      </c>
      <c r="M728" s="6" t="s">
        <v>46</v>
      </c>
      <c r="N728" s="8">
        <v>2.0903643830518272E-2</v>
      </c>
      <c r="O728" s="6" t="s">
        <v>7</v>
      </c>
    </row>
    <row r="729" spans="12:15" x14ac:dyDescent="0.45">
      <c r="L729" s="3" t="s">
        <v>271</v>
      </c>
      <c r="M729" s="3" t="s">
        <v>47</v>
      </c>
      <c r="N729" s="5">
        <v>2.0414520530296045E-2</v>
      </c>
      <c r="O729" s="3" t="s">
        <v>7</v>
      </c>
    </row>
    <row r="730" spans="12:15" x14ac:dyDescent="0.45">
      <c r="L730" s="6" t="s">
        <v>271</v>
      </c>
      <c r="M730" s="6" t="s">
        <v>48</v>
      </c>
      <c r="N730" s="8">
        <v>2.9180921236462657E-2</v>
      </c>
      <c r="O730" s="6" t="s">
        <v>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4D4D-C8AB-45F2-A8AC-796A9318AE34}">
  <dimension ref="A1:HS48"/>
  <sheetViews>
    <sheetView workbookViewId="0">
      <selection sqref="A1:AN1"/>
    </sheetView>
  </sheetViews>
  <sheetFormatPr defaultRowHeight="14.25" x14ac:dyDescent="0.45"/>
  <cols>
    <col min="2" max="2" width="19.265625" bestFit="1" customWidth="1"/>
    <col min="3" max="3" width="10.59765625" bestFit="1" customWidth="1"/>
    <col min="4" max="43" width="10.59765625" customWidth="1"/>
    <col min="45" max="45" width="19.265625" bestFit="1" customWidth="1"/>
    <col min="46" max="46" width="10.59765625" bestFit="1" customWidth="1"/>
    <col min="47" max="86" width="10.59765625" customWidth="1"/>
    <col min="88" max="88" width="19.265625" bestFit="1" customWidth="1"/>
    <col min="89" max="89" width="10.59765625" bestFit="1" customWidth="1"/>
    <col min="90" max="129" width="10.59765625" customWidth="1"/>
    <col min="131" max="131" width="19.265625" bestFit="1" customWidth="1"/>
    <col min="132" max="132" width="10.59765625" bestFit="1" customWidth="1"/>
    <col min="133" max="172" width="10.59765625" customWidth="1"/>
    <col min="174" max="175" width="10.59765625" customWidth="1"/>
    <col min="176" max="176" width="15.1328125" bestFit="1" customWidth="1"/>
    <col min="177" max="179" width="10.59765625" customWidth="1"/>
    <col min="180" max="180" width="30.59765625" customWidth="1"/>
    <col min="182" max="182" width="19.265625" bestFit="1" customWidth="1"/>
    <col min="183" max="222" width="10.59765625" customWidth="1"/>
    <col min="224" max="224" width="19.265625" bestFit="1" customWidth="1"/>
    <col min="225" max="225" width="10.59765625" bestFit="1" customWidth="1"/>
    <col min="226" max="226" width="12.6640625" bestFit="1" customWidth="1"/>
    <col min="227" max="227" width="10.59765625" customWidth="1"/>
  </cols>
  <sheetData>
    <row r="1" spans="1:227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9" spans="1:227" ht="14.65" thickBot="1" x14ac:dyDescent="0.5">
      <c r="B9" s="1" t="str">
        <f>IF(A11="x","DeActivated","~TFM_DINS-TSL: attribute=FLO_EMIS; other_indexes=ACT; region=IRL")</f>
        <v>~TFM_DINS-TSL: attribute=FLO_EMIS; other_indexes=ACT; region=IRL</v>
      </c>
      <c r="AS9" s="1" t="str">
        <f>IF(A11="x","DeActivated","~TFM_DINS-TSL: attribute=FLO_SHAR; limtype=FX; region=IRL")</f>
        <v>~TFM_DINS-TSL: attribute=FLO_SHAR; limtype=FX; region=IRL</v>
      </c>
      <c r="CJ9" s="1" t="str">
        <f>IF(A11="x","DeActivated","~TFM_DINS-TSL: attribute=FLO_SHAR; limtype=FX; region=IRL")</f>
        <v>~TFM_DINS-TSL: attribute=FLO_SHAR; limtype=FX; region=IRL</v>
      </c>
      <c r="EA9" s="1" t="str">
        <f>IF(A11="x","DeActivated","~TFM_DINS-TSL: attribute=FLO_SHAR; limtype=FX; region=IRL")</f>
        <v>~TFM_DINS-TSL: attribute=FLO_SHAR; limtype=FX; region=IRL</v>
      </c>
      <c r="FR9" s="1" t="str">
        <f>IF(A11="x","DeActivated","~TFM_INS: region=IRL")</f>
        <v>~TFM_INS: region=IRL</v>
      </c>
      <c r="FZ9" s="1" t="str">
        <f>IF(A11="x","DeActivated","~TFM_DINS-TSL: attribute=NCAP_PKCNT; region=IRL")</f>
        <v>~TFM_DINS-TSL: attribute=NCAP_PKCNT; region=IRL</v>
      </c>
      <c r="HP9" s="1" t="str">
        <f>IF(A11="x","DeActivated","~TFM_DINS-AT: region=IRL")</f>
        <v>~TFM_DINS-AT: region=IRL</v>
      </c>
    </row>
    <row r="10" spans="1:227" ht="15.75" thickBot="1" x14ac:dyDescent="0.6">
      <c r="B10" s="2" t="s">
        <v>4</v>
      </c>
      <c r="C10" s="2" t="s">
        <v>1</v>
      </c>
      <c r="D10" s="2" t="s">
        <v>6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  <c r="M10" s="2" t="s">
        <v>18</v>
      </c>
      <c r="N10" s="2" t="s">
        <v>19</v>
      </c>
      <c r="O10" s="2" t="s">
        <v>20</v>
      </c>
      <c r="P10" s="2" t="s">
        <v>21</v>
      </c>
      <c r="Q10" s="2" t="s">
        <v>22</v>
      </c>
      <c r="R10" s="2" t="s">
        <v>23</v>
      </c>
      <c r="S10" s="2" t="s">
        <v>24</v>
      </c>
      <c r="T10" s="2" t="s">
        <v>25</v>
      </c>
      <c r="U10" s="2" t="s">
        <v>26</v>
      </c>
      <c r="V10" s="2" t="s">
        <v>27</v>
      </c>
      <c r="W10" s="2" t="s">
        <v>28</v>
      </c>
      <c r="X10" s="2" t="s">
        <v>29</v>
      </c>
      <c r="Y10" s="2" t="s">
        <v>30</v>
      </c>
      <c r="Z10" s="2" t="s">
        <v>31</v>
      </c>
      <c r="AA10" s="2" t="s">
        <v>32</v>
      </c>
      <c r="AB10" s="2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S10" s="2" t="s">
        <v>4</v>
      </c>
      <c r="AT10" s="2" t="s">
        <v>1</v>
      </c>
      <c r="AU10" s="2" t="s">
        <v>6</v>
      </c>
      <c r="AV10" s="2" t="s">
        <v>10</v>
      </c>
      <c r="AW10" s="2" t="s">
        <v>11</v>
      </c>
      <c r="AX10" s="2" t="s">
        <v>12</v>
      </c>
      <c r="AY10" s="2" t="s">
        <v>13</v>
      </c>
      <c r="AZ10" s="2" t="s">
        <v>14</v>
      </c>
      <c r="BA10" s="2" t="s">
        <v>15</v>
      </c>
      <c r="BB10" s="2" t="s">
        <v>16</v>
      </c>
      <c r="BC10" s="2" t="s">
        <v>17</v>
      </c>
      <c r="BD10" s="2" t="s">
        <v>18</v>
      </c>
      <c r="BE10" s="2" t="s">
        <v>19</v>
      </c>
      <c r="BF10" s="2" t="s">
        <v>20</v>
      </c>
      <c r="BG10" s="2" t="s">
        <v>21</v>
      </c>
      <c r="BH10" s="2" t="s">
        <v>22</v>
      </c>
      <c r="BI10" s="2" t="s">
        <v>23</v>
      </c>
      <c r="BJ10" s="2" t="s">
        <v>24</v>
      </c>
      <c r="BK10" s="2" t="s">
        <v>25</v>
      </c>
      <c r="BL10" s="2" t="s">
        <v>26</v>
      </c>
      <c r="BM10" s="2" t="s">
        <v>27</v>
      </c>
      <c r="BN10" s="2" t="s">
        <v>28</v>
      </c>
      <c r="BO10" s="2" t="s">
        <v>29</v>
      </c>
      <c r="BP10" s="2" t="s">
        <v>30</v>
      </c>
      <c r="BQ10" s="2" t="s">
        <v>31</v>
      </c>
      <c r="BR10" s="2" t="s">
        <v>32</v>
      </c>
      <c r="BS10" s="2" t="s">
        <v>33</v>
      </c>
      <c r="BT10" s="2" t="s">
        <v>34</v>
      </c>
      <c r="BU10" s="2" t="s">
        <v>35</v>
      </c>
      <c r="BV10" s="2" t="s">
        <v>36</v>
      </c>
      <c r="BW10" s="2" t="s">
        <v>37</v>
      </c>
      <c r="BX10" s="2" t="s">
        <v>38</v>
      </c>
      <c r="BY10" s="2" t="s">
        <v>39</v>
      </c>
      <c r="BZ10" s="2" t="s">
        <v>40</v>
      </c>
      <c r="CA10" s="2" t="s">
        <v>41</v>
      </c>
      <c r="CB10" s="2" t="s">
        <v>42</v>
      </c>
      <c r="CC10" s="2" t="s">
        <v>43</v>
      </c>
      <c r="CD10" s="2" t="s">
        <v>44</v>
      </c>
      <c r="CE10" s="2" t="s">
        <v>45</v>
      </c>
      <c r="CF10" s="2" t="s">
        <v>46</v>
      </c>
      <c r="CG10" s="2" t="s">
        <v>47</v>
      </c>
      <c r="CH10" s="2" t="s">
        <v>48</v>
      </c>
      <c r="CJ10" s="2" t="s">
        <v>4</v>
      </c>
      <c r="CK10" s="2" t="s">
        <v>1</v>
      </c>
      <c r="CL10" s="2" t="s">
        <v>6</v>
      </c>
      <c r="CM10" s="2" t="s">
        <v>10</v>
      </c>
      <c r="CN10" s="2" t="s">
        <v>11</v>
      </c>
      <c r="CO10" s="2" t="s">
        <v>12</v>
      </c>
      <c r="CP10" s="2" t="s">
        <v>13</v>
      </c>
      <c r="CQ10" s="2" t="s">
        <v>14</v>
      </c>
      <c r="CR10" s="2" t="s">
        <v>15</v>
      </c>
      <c r="CS10" s="2" t="s">
        <v>16</v>
      </c>
      <c r="CT10" s="2" t="s">
        <v>17</v>
      </c>
      <c r="CU10" s="2" t="s">
        <v>18</v>
      </c>
      <c r="CV10" s="2" t="s">
        <v>19</v>
      </c>
      <c r="CW10" s="2" t="s">
        <v>20</v>
      </c>
      <c r="CX10" s="2" t="s">
        <v>21</v>
      </c>
      <c r="CY10" s="2" t="s">
        <v>22</v>
      </c>
      <c r="CZ10" s="2" t="s">
        <v>23</v>
      </c>
      <c r="DA10" s="2" t="s">
        <v>24</v>
      </c>
      <c r="DB10" s="2" t="s">
        <v>25</v>
      </c>
      <c r="DC10" s="2" t="s">
        <v>26</v>
      </c>
      <c r="DD10" s="2" t="s">
        <v>27</v>
      </c>
      <c r="DE10" s="2" t="s">
        <v>28</v>
      </c>
      <c r="DF10" s="2" t="s">
        <v>29</v>
      </c>
      <c r="DG10" s="2" t="s">
        <v>30</v>
      </c>
      <c r="DH10" s="2" t="s">
        <v>31</v>
      </c>
      <c r="DI10" s="2" t="s">
        <v>32</v>
      </c>
      <c r="DJ10" s="2" t="s">
        <v>33</v>
      </c>
      <c r="DK10" s="2" t="s">
        <v>34</v>
      </c>
      <c r="DL10" s="2" t="s">
        <v>35</v>
      </c>
      <c r="DM10" s="2" t="s">
        <v>36</v>
      </c>
      <c r="DN10" s="2" t="s">
        <v>37</v>
      </c>
      <c r="DO10" s="2" t="s">
        <v>38</v>
      </c>
      <c r="DP10" s="2" t="s">
        <v>39</v>
      </c>
      <c r="DQ10" s="2" t="s">
        <v>40</v>
      </c>
      <c r="DR10" s="2" t="s">
        <v>41</v>
      </c>
      <c r="DS10" s="2" t="s">
        <v>42</v>
      </c>
      <c r="DT10" s="2" t="s">
        <v>43</v>
      </c>
      <c r="DU10" s="2" t="s">
        <v>44</v>
      </c>
      <c r="DV10" s="2" t="s">
        <v>45</v>
      </c>
      <c r="DW10" s="2" t="s">
        <v>46</v>
      </c>
      <c r="DX10" s="2" t="s">
        <v>47</v>
      </c>
      <c r="DY10" s="2" t="s">
        <v>48</v>
      </c>
      <c r="EA10" s="2" t="s">
        <v>4</v>
      </c>
      <c r="EB10" s="2" t="s">
        <v>1</v>
      </c>
      <c r="EC10" s="2" t="s">
        <v>6</v>
      </c>
      <c r="ED10" s="2" t="s">
        <v>10</v>
      </c>
      <c r="EE10" s="2" t="s">
        <v>11</v>
      </c>
      <c r="EF10" s="2" t="s">
        <v>12</v>
      </c>
      <c r="EG10" s="2" t="s">
        <v>13</v>
      </c>
      <c r="EH10" s="2" t="s">
        <v>14</v>
      </c>
      <c r="EI10" s="2" t="s">
        <v>15</v>
      </c>
      <c r="EJ10" s="2" t="s">
        <v>16</v>
      </c>
      <c r="EK10" s="2" t="s">
        <v>17</v>
      </c>
      <c r="EL10" s="2" t="s">
        <v>18</v>
      </c>
      <c r="EM10" s="2" t="s">
        <v>19</v>
      </c>
      <c r="EN10" s="2" t="s">
        <v>20</v>
      </c>
      <c r="EO10" s="2" t="s">
        <v>21</v>
      </c>
      <c r="EP10" s="2" t="s">
        <v>22</v>
      </c>
      <c r="EQ10" s="2" t="s">
        <v>23</v>
      </c>
      <c r="ER10" s="2" t="s">
        <v>24</v>
      </c>
      <c r="ES10" s="2" t="s">
        <v>25</v>
      </c>
      <c r="ET10" s="2" t="s">
        <v>26</v>
      </c>
      <c r="EU10" s="2" t="s">
        <v>27</v>
      </c>
      <c r="EV10" s="2" t="s">
        <v>28</v>
      </c>
      <c r="EW10" s="2" t="s">
        <v>29</v>
      </c>
      <c r="EX10" s="2" t="s">
        <v>30</v>
      </c>
      <c r="EY10" s="2" t="s">
        <v>31</v>
      </c>
      <c r="EZ10" s="2" t="s">
        <v>32</v>
      </c>
      <c r="FA10" s="2" t="s">
        <v>33</v>
      </c>
      <c r="FB10" s="2" t="s">
        <v>34</v>
      </c>
      <c r="FC10" s="2" t="s">
        <v>35</v>
      </c>
      <c r="FD10" s="2" t="s">
        <v>36</v>
      </c>
      <c r="FE10" s="2" t="s">
        <v>37</v>
      </c>
      <c r="FF10" s="2" t="s">
        <v>38</v>
      </c>
      <c r="FG10" s="2" t="s">
        <v>39</v>
      </c>
      <c r="FH10" s="2" t="s">
        <v>40</v>
      </c>
      <c r="FI10" s="2" t="s">
        <v>41</v>
      </c>
      <c r="FJ10" s="2" t="s">
        <v>42</v>
      </c>
      <c r="FK10" s="2" t="s">
        <v>43</v>
      </c>
      <c r="FL10" s="2" t="s">
        <v>44</v>
      </c>
      <c r="FM10" s="2" t="s">
        <v>45</v>
      </c>
      <c r="FN10" s="2" t="s">
        <v>46</v>
      </c>
      <c r="FO10" s="2" t="s">
        <v>47</v>
      </c>
      <c r="FP10" s="2" t="s">
        <v>48</v>
      </c>
      <c r="FR10" s="2" t="s">
        <v>124</v>
      </c>
      <c r="FS10" s="2" t="s">
        <v>4</v>
      </c>
      <c r="FT10" s="2" t="s">
        <v>1</v>
      </c>
      <c r="FU10" s="2" t="s">
        <v>125</v>
      </c>
      <c r="FV10" s="2" t="s">
        <v>126</v>
      </c>
      <c r="FW10" s="2" t="s">
        <v>127</v>
      </c>
      <c r="FX10" s="2" t="s">
        <v>2</v>
      </c>
      <c r="FZ10" s="2" t="s">
        <v>4</v>
      </c>
      <c r="GA10" s="2" t="s">
        <v>6</v>
      </c>
      <c r="GB10" s="2" t="s">
        <v>10</v>
      </c>
      <c r="GC10" s="2" t="s">
        <v>11</v>
      </c>
      <c r="GD10" s="2" t="s">
        <v>12</v>
      </c>
      <c r="GE10" s="2" t="s">
        <v>13</v>
      </c>
      <c r="GF10" s="2" t="s">
        <v>14</v>
      </c>
      <c r="GG10" s="2" t="s">
        <v>15</v>
      </c>
      <c r="GH10" s="2" t="s">
        <v>16</v>
      </c>
      <c r="GI10" s="2" t="s">
        <v>17</v>
      </c>
      <c r="GJ10" s="2" t="s">
        <v>18</v>
      </c>
      <c r="GK10" s="2" t="s">
        <v>19</v>
      </c>
      <c r="GL10" s="2" t="s">
        <v>20</v>
      </c>
      <c r="GM10" s="2" t="s">
        <v>21</v>
      </c>
      <c r="GN10" s="2" t="s">
        <v>22</v>
      </c>
      <c r="GO10" s="2" t="s">
        <v>23</v>
      </c>
      <c r="GP10" s="2" t="s">
        <v>24</v>
      </c>
      <c r="GQ10" s="2" t="s">
        <v>25</v>
      </c>
      <c r="GR10" s="2" t="s">
        <v>26</v>
      </c>
      <c r="GS10" s="2" t="s">
        <v>27</v>
      </c>
      <c r="GT10" s="2" t="s">
        <v>28</v>
      </c>
      <c r="GU10" s="2" t="s">
        <v>29</v>
      </c>
      <c r="GV10" s="2" t="s">
        <v>30</v>
      </c>
      <c r="GW10" s="2" t="s">
        <v>31</v>
      </c>
      <c r="GX10" s="2" t="s">
        <v>32</v>
      </c>
      <c r="GY10" s="2" t="s">
        <v>33</v>
      </c>
      <c r="GZ10" s="2" t="s">
        <v>34</v>
      </c>
      <c r="HA10" s="2" t="s">
        <v>35</v>
      </c>
      <c r="HB10" s="2" t="s">
        <v>36</v>
      </c>
      <c r="HC10" s="2" t="s">
        <v>37</v>
      </c>
      <c r="HD10" s="2" t="s">
        <v>38</v>
      </c>
      <c r="HE10" s="2" t="s">
        <v>39</v>
      </c>
      <c r="HF10" s="2" t="s">
        <v>40</v>
      </c>
      <c r="HG10" s="2" t="s">
        <v>41</v>
      </c>
      <c r="HH10" s="2" t="s">
        <v>42</v>
      </c>
      <c r="HI10" s="2" t="s">
        <v>43</v>
      </c>
      <c r="HJ10" s="2" t="s">
        <v>44</v>
      </c>
      <c r="HK10" s="2" t="s">
        <v>45</v>
      </c>
      <c r="HL10" s="2" t="s">
        <v>46</v>
      </c>
      <c r="HM10" s="2" t="s">
        <v>47</v>
      </c>
      <c r="HN10" s="2" t="s">
        <v>48</v>
      </c>
      <c r="HP10" s="2" t="s">
        <v>4</v>
      </c>
      <c r="HQ10" s="2" t="s">
        <v>1</v>
      </c>
      <c r="HR10" s="2" t="s">
        <v>128</v>
      </c>
      <c r="HS10" s="2" t="s">
        <v>129</v>
      </c>
    </row>
    <row r="11" spans="1:227" x14ac:dyDescent="0.45">
      <c r="B11" s="3" t="s">
        <v>272</v>
      </c>
      <c r="C11" s="3" t="s">
        <v>131</v>
      </c>
      <c r="D11" s="5">
        <v>0</v>
      </c>
      <c r="E11" s="5">
        <v>0</v>
      </c>
      <c r="F11" s="5">
        <v>0</v>
      </c>
      <c r="G11" s="5">
        <v>0.85450487391947161</v>
      </c>
      <c r="H11" s="5">
        <v>0.36133880229707005</v>
      </c>
      <c r="I11" s="5">
        <v>0.32312998047903241</v>
      </c>
      <c r="J11" s="5">
        <v>0.32746774301860859</v>
      </c>
      <c r="K11" s="5">
        <v>0.46318691901715098</v>
      </c>
      <c r="L11" s="5">
        <v>0.90553820396501117</v>
      </c>
      <c r="M11" s="5">
        <v>0</v>
      </c>
      <c r="N11" s="5">
        <v>0</v>
      </c>
      <c r="O11" s="5">
        <v>0</v>
      </c>
      <c r="P11" s="5">
        <v>0.61001894507327092</v>
      </c>
      <c r="Q11" s="5">
        <v>0.28892316646605387</v>
      </c>
      <c r="R11" s="5">
        <v>0.18241133631465686</v>
      </c>
      <c r="S11" s="5">
        <v>0.16856858964751834</v>
      </c>
      <c r="T11" s="5">
        <v>0.17203461973036588</v>
      </c>
      <c r="U11" s="5">
        <v>0.20705120254696135</v>
      </c>
      <c r="V11" s="5">
        <v>0.35801902789040069</v>
      </c>
      <c r="W11" s="5">
        <v>0.85590853182424675</v>
      </c>
      <c r="X11" s="5">
        <v>0</v>
      </c>
      <c r="Y11" s="5">
        <v>0</v>
      </c>
      <c r="Z11" s="5">
        <v>0.36937232159043126</v>
      </c>
      <c r="AA11" s="5">
        <v>0.21249914553428792</v>
      </c>
      <c r="AB11" s="5">
        <v>0.16842902667386633</v>
      </c>
      <c r="AC11" s="5">
        <v>0.15763961054437869</v>
      </c>
      <c r="AD11" s="5">
        <v>0.1660975097869104</v>
      </c>
      <c r="AE11" s="5">
        <v>0.17842896918637388</v>
      </c>
      <c r="AF11" s="5">
        <v>0.26542295650604192</v>
      </c>
      <c r="AG11" s="5">
        <v>0.67015841650529129</v>
      </c>
      <c r="AH11" s="5">
        <v>0</v>
      </c>
      <c r="AI11" s="5">
        <v>0</v>
      </c>
      <c r="AJ11" s="5">
        <v>0.91532920785397065</v>
      </c>
      <c r="AK11" s="5">
        <v>0.44798050702626602</v>
      </c>
      <c r="AL11" s="5">
        <v>0.2485759509409633</v>
      </c>
      <c r="AM11" s="5">
        <v>0.21030760463689982</v>
      </c>
      <c r="AN11" s="5">
        <v>0.22997995620549594</v>
      </c>
      <c r="AO11" s="5">
        <v>0.35510635373441551</v>
      </c>
      <c r="AP11" s="5">
        <v>0.73049026266812944</v>
      </c>
      <c r="AQ11" s="5">
        <v>0</v>
      </c>
      <c r="AS11" s="3" t="s">
        <v>272</v>
      </c>
      <c r="AT11" s="3" t="s">
        <v>132</v>
      </c>
      <c r="AU11" s="5">
        <v>0</v>
      </c>
      <c r="AV11" s="5">
        <v>0</v>
      </c>
      <c r="AW11" s="5">
        <v>0</v>
      </c>
      <c r="AX11" s="5">
        <v>0.75250228988941958</v>
      </c>
      <c r="AY11" s="5">
        <v>0.23606237167423075</v>
      </c>
      <c r="AZ11" s="5">
        <v>0.18529820413539871</v>
      </c>
      <c r="BA11" s="5">
        <v>0.11467801764998063</v>
      </c>
      <c r="BB11" s="5">
        <v>5.592939272380662E-2</v>
      </c>
      <c r="BC11" s="5">
        <v>0.2835260986687515</v>
      </c>
      <c r="BD11" s="5">
        <v>0</v>
      </c>
      <c r="BE11" s="5">
        <v>0</v>
      </c>
      <c r="BF11" s="5">
        <v>0</v>
      </c>
      <c r="BG11" s="5">
        <v>0.4562641171439748</v>
      </c>
      <c r="BH11" s="5">
        <v>0.17505794976603731</v>
      </c>
      <c r="BI11" s="5">
        <v>9.4096010138047678E-2</v>
      </c>
      <c r="BJ11" s="5">
        <v>6.5143020764251297E-2</v>
      </c>
      <c r="BK11" s="5">
        <v>2.8631725423695267E-2</v>
      </c>
      <c r="BL11" s="4">
        <v>3.4674202480826997E-2</v>
      </c>
      <c r="BM11" s="5">
        <v>9.3075942136039466E-2</v>
      </c>
      <c r="BN11" s="5">
        <v>0.43068783076210454</v>
      </c>
      <c r="BO11" s="5">
        <v>0</v>
      </c>
      <c r="BP11" s="5">
        <v>0</v>
      </c>
      <c r="BQ11" s="5">
        <v>0.24816712113987563</v>
      </c>
      <c r="BR11" s="5">
        <v>0.13193825830930278</v>
      </c>
      <c r="BS11" s="5">
        <v>8.7016375796831066E-2</v>
      </c>
      <c r="BT11" s="5">
        <v>5.0595324884725984E-2</v>
      </c>
      <c r="BU11" s="5">
        <v>2.7023585504430341E-2</v>
      </c>
      <c r="BV11" s="5">
        <v>2.1459866442757932E-2</v>
      </c>
      <c r="BW11" s="5">
        <v>5.432908771367663E-2</v>
      </c>
      <c r="BX11" s="5">
        <v>0.51379500303409376</v>
      </c>
      <c r="BY11" s="5">
        <v>0</v>
      </c>
      <c r="BZ11" s="5">
        <v>0</v>
      </c>
      <c r="CA11" s="5">
        <v>0.8404705880921437</v>
      </c>
      <c r="CB11" s="5">
        <v>0.29602277534858701</v>
      </c>
      <c r="CC11" s="5">
        <v>0.15493834003943555</v>
      </c>
      <c r="CD11" s="5">
        <v>7.5446272651470261E-2</v>
      </c>
      <c r="CE11" s="5">
        <v>3.6878653758438948E-2</v>
      </c>
      <c r="CF11" s="5">
        <v>6.1683861715785653E-2</v>
      </c>
      <c r="CG11" s="5">
        <v>0.16059505204219884</v>
      </c>
      <c r="CH11" s="5">
        <v>0</v>
      </c>
      <c r="CJ11" s="3" t="s">
        <v>272</v>
      </c>
      <c r="CK11" s="3" t="s">
        <v>133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8.4617386633123903E-2</v>
      </c>
      <c r="CS11" s="5">
        <v>0.25498519082701665</v>
      </c>
      <c r="CT11" s="5">
        <v>0.53648905269956393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2.9186135525888237E-3</v>
      </c>
      <c r="DA11" s="5">
        <v>2.0749843777206057E-2</v>
      </c>
      <c r="DB11" s="5">
        <v>6.2826821029815738E-2</v>
      </c>
      <c r="DC11" s="5">
        <v>7.5669712254924623E-2</v>
      </c>
      <c r="DD11" s="5">
        <v>9.6222432611565434E-2</v>
      </c>
      <c r="DE11" s="5">
        <v>5.1062334965206471E-2</v>
      </c>
      <c r="DF11" s="5">
        <v>0</v>
      </c>
      <c r="DG11" s="5">
        <v>0</v>
      </c>
      <c r="DH11" s="5">
        <v>0</v>
      </c>
      <c r="DI11" s="5">
        <v>0</v>
      </c>
      <c r="DJ11" s="4">
        <v>0</v>
      </c>
      <c r="DK11" s="5">
        <v>3.1651583624047588E-2</v>
      </c>
      <c r="DL11" s="5">
        <v>5.6132694756730321E-2</v>
      </c>
      <c r="DM11" s="5">
        <v>7.1270352688898753E-2</v>
      </c>
      <c r="DN11" s="5">
        <v>7.2112626802089672E-2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4.555770341779649E-2</v>
      </c>
      <c r="DV11" s="5">
        <v>9.4541301662029578E-2</v>
      </c>
      <c r="DW11" s="5">
        <v>0.13979255080401584</v>
      </c>
      <c r="DX11" s="5">
        <v>0.13207844002517394</v>
      </c>
      <c r="DY11" s="5">
        <v>0</v>
      </c>
      <c r="EA11" s="3" t="s">
        <v>272</v>
      </c>
      <c r="EB11" s="3" t="s">
        <v>134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7.6534418790512341E-3</v>
      </c>
      <c r="EU11" s="5">
        <v>4.9594804351157665E-2</v>
      </c>
      <c r="EV11" s="5">
        <v>0.26718007918862174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4">
        <v>1.1250110723251693E-3</v>
      </c>
      <c r="FE11" s="5">
        <v>4.5145621464301698E-2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2.7956690504914391E-2</v>
      </c>
      <c r="FO11" s="5">
        <v>0.28928090735841633</v>
      </c>
      <c r="FP11" s="5">
        <v>0</v>
      </c>
      <c r="FR11" s="3" t="s">
        <v>135</v>
      </c>
      <c r="FS11" s="3" t="s">
        <v>136</v>
      </c>
      <c r="FT11" s="3" t="s">
        <v>137</v>
      </c>
      <c r="FU11" s="9">
        <v>0</v>
      </c>
      <c r="FV11" s="3" t="s">
        <v>138</v>
      </c>
      <c r="FW11" s="10">
        <v>3</v>
      </c>
      <c r="FX11" s="3" t="s">
        <v>139</v>
      </c>
      <c r="FZ11" s="3" t="s">
        <v>272</v>
      </c>
      <c r="GA11" s="5">
        <v>0</v>
      </c>
      <c r="GB11" s="5">
        <v>0</v>
      </c>
      <c r="GC11" s="5">
        <v>0</v>
      </c>
      <c r="GD11" s="5">
        <v>8.0580852909608643E-3</v>
      </c>
      <c r="GE11" s="5">
        <v>0.13605604127401927</v>
      </c>
      <c r="GF11" s="5">
        <v>0.24920167088275774</v>
      </c>
      <c r="GG11" s="5">
        <v>0.22249633060742377</v>
      </c>
      <c r="GH11" s="5">
        <v>8.7852796297536562E-2</v>
      </c>
      <c r="GI11" s="5">
        <v>3.1877642316127702E-3</v>
      </c>
      <c r="GJ11" s="5">
        <v>0</v>
      </c>
      <c r="GK11" s="5">
        <v>0</v>
      </c>
      <c r="GL11" s="4">
        <v>0</v>
      </c>
      <c r="GM11" s="5">
        <v>1.2716671654031772E-2</v>
      </c>
      <c r="GN11" s="5">
        <v>0.16430853383401156</v>
      </c>
      <c r="GO11" s="5">
        <v>0.39001772498064069</v>
      </c>
      <c r="GP11" s="5">
        <v>0.47834953216268966</v>
      </c>
      <c r="GQ11" s="5">
        <v>0.44043944162600068</v>
      </c>
      <c r="GR11" s="5">
        <v>0.29098063483631803</v>
      </c>
      <c r="GS11" s="5">
        <v>8.30219312834624E-2</v>
      </c>
      <c r="GT11" s="5">
        <v>1.7853532243717E-3</v>
      </c>
      <c r="GU11" s="5">
        <v>0</v>
      </c>
      <c r="GV11" s="4">
        <v>0</v>
      </c>
      <c r="GW11" s="5">
        <v>2.5340126865775466E-2</v>
      </c>
      <c r="GX11" s="5">
        <v>0.19095874972560484</v>
      </c>
      <c r="GY11" s="5">
        <v>0.38097698083552328</v>
      </c>
      <c r="GZ11" s="5">
        <v>0.47228222790822061</v>
      </c>
      <c r="HA11" s="5">
        <v>0.45780099833222188</v>
      </c>
      <c r="HB11" s="5">
        <v>0.33351314949560101</v>
      </c>
      <c r="HC11" s="5">
        <v>0.12584402360042315</v>
      </c>
      <c r="HD11" s="5">
        <v>6.158753325238471E-3</v>
      </c>
      <c r="HE11" s="5">
        <v>0</v>
      </c>
      <c r="HF11" s="5">
        <v>0</v>
      </c>
      <c r="HG11" s="4">
        <v>4.9799631324276561E-4</v>
      </c>
      <c r="HH11" s="5">
        <v>6.8114843020269364E-2</v>
      </c>
      <c r="HI11" s="5">
        <v>0.2453594171329514</v>
      </c>
      <c r="HJ11" s="5">
        <v>0.32850424382467192</v>
      </c>
      <c r="HK11" s="5">
        <v>0.28615926475530223</v>
      </c>
      <c r="HL11" s="5">
        <v>0.13774200470922782</v>
      </c>
      <c r="HM11" s="5">
        <v>1.6186101939388457E-2</v>
      </c>
      <c r="HN11" s="5">
        <v>0</v>
      </c>
      <c r="HP11" s="3" t="s">
        <v>272</v>
      </c>
      <c r="HQ11" s="3" t="s">
        <v>140</v>
      </c>
      <c r="HR11" s="3" t="s">
        <v>141</v>
      </c>
      <c r="HS11" s="5">
        <v>0.45066497739120992</v>
      </c>
    </row>
    <row r="12" spans="1:227" x14ac:dyDescent="0.45">
      <c r="B12" s="6" t="s">
        <v>273</v>
      </c>
      <c r="C12" s="6" t="s">
        <v>131</v>
      </c>
      <c r="D12" s="8">
        <v>0</v>
      </c>
      <c r="E12" s="8">
        <v>0</v>
      </c>
      <c r="F12" s="8">
        <v>0</v>
      </c>
      <c r="G12" s="8">
        <v>0.85019398885716935</v>
      </c>
      <c r="H12" s="8">
        <v>0.33985331338253755</v>
      </c>
      <c r="I12" s="8">
        <v>0.28875366194292845</v>
      </c>
      <c r="J12" s="8">
        <v>0.32890152767710845</v>
      </c>
      <c r="K12" s="8">
        <v>0.48397937073329511</v>
      </c>
      <c r="L12" s="8">
        <v>0.91111111111111109</v>
      </c>
      <c r="M12" s="8">
        <v>0</v>
      </c>
      <c r="N12" s="8">
        <v>0</v>
      </c>
      <c r="O12" s="8">
        <v>0</v>
      </c>
      <c r="P12" s="8">
        <v>0.59883241010136956</v>
      </c>
      <c r="Q12" s="8">
        <v>0.2906754211298041</v>
      </c>
      <c r="R12" s="8">
        <v>0.19097219053146286</v>
      </c>
      <c r="S12" s="8">
        <v>0.17136566914059406</v>
      </c>
      <c r="T12" s="8">
        <v>0.17301056396054243</v>
      </c>
      <c r="U12" s="8">
        <v>0.20213391134031797</v>
      </c>
      <c r="V12" s="8">
        <v>0.36661920344925547</v>
      </c>
      <c r="W12" s="8">
        <v>0.86571262997993181</v>
      </c>
      <c r="X12" s="8">
        <v>0</v>
      </c>
      <c r="Y12" s="8">
        <v>0.86596266957124879</v>
      </c>
      <c r="Z12" s="8">
        <v>0.36112028787713035</v>
      </c>
      <c r="AA12" s="8">
        <v>0.20338965363605821</v>
      </c>
      <c r="AB12" s="8">
        <v>0.15537370087071078</v>
      </c>
      <c r="AC12" s="8">
        <v>0.15556537038458507</v>
      </c>
      <c r="AD12" s="8">
        <v>0.16150794132965468</v>
      </c>
      <c r="AE12" s="8">
        <v>0.1737554455156492</v>
      </c>
      <c r="AF12" s="8">
        <v>0.27988202148969388</v>
      </c>
      <c r="AG12" s="8">
        <v>0.68838931376822421</v>
      </c>
      <c r="AH12" s="8">
        <v>0</v>
      </c>
      <c r="AI12" s="8">
        <v>0</v>
      </c>
      <c r="AJ12" s="8">
        <v>0.90454113215489163</v>
      </c>
      <c r="AK12" s="8">
        <v>0.44332102089300751</v>
      </c>
      <c r="AL12" s="8">
        <v>0.25815264590589077</v>
      </c>
      <c r="AM12" s="8">
        <v>0.22306336127795179</v>
      </c>
      <c r="AN12" s="8">
        <v>0.22912143160250076</v>
      </c>
      <c r="AO12" s="8">
        <v>0.35887224082977109</v>
      </c>
      <c r="AP12" s="8">
        <v>0.74087319875989377</v>
      </c>
      <c r="AQ12" s="8">
        <v>0</v>
      </c>
      <c r="AS12" s="6" t="s">
        <v>273</v>
      </c>
      <c r="AT12" s="6" t="s">
        <v>132</v>
      </c>
      <c r="AU12" s="8">
        <v>0</v>
      </c>
      <c r="AV12" s="8">
        <v>0</v>
      </c>
      <c r="AW12" s="8">
        <v>0</v>
      </c>
      <c r="AX12" s="8">
        <v>0.74021892002041123</v>
      </c>
      <c r="AY12" s="8">
        <v>0.22151647603420363</v>
      </c>
      <c r="AZ12" s="8">
        <v>0.17419357809025265</v>
      </c>
      <c r="BA12" s="8">
        <v>9.5175661282442481E-2</v>
      </c>
      <c r="BB12" s="8">
        <v>9.6294384485330939E-2</v>
      </c>
      <c r="BC12" s="8">
        <v>0.23579677541864147</v>
      </c>
      <c r="BD12" s="8">
        <v>0</v>
      </c>
      <c r="BE12" s="8">
        <v>0</v>
      </c>
      <c r="BF12" s="8">
        <v>0</v>
      </c>
      <c r="BG12" s="8">
        <v>0.44846461486162276</v>
      </c>
      <c r="BH12" s="8">
        <v>0.17544184087775011</v>
      </c>
      <c r="BI12" s="8">
        <v>0.10222058384572338</v>
      </c>
      <c r="BJ12" s="8">
        <v>6.3139432679655647E-2</v>
      </c>
      <c r="BK12" s="8">
        <v>3.3942617678056737E-2</v>
      </c>
      <c r="BL12" s="7">
        <v>2.7681876283317589E-2</v>
      </c>
      <c r="BM12" s="8">
        <v>8.7129704009142842E-2</v>
      </c>
      <c r="BN12" s="8">
        <v>0.63690358933112368</v>
      </c>
      <c r="BO12" s="8">
        <v>0</v>
      </c>
      <c r="BP12" s="8">
        <v>0.76700221276848946</v>
      </c>
      <c r="BQ12" s="8">
        <v>0.23940723455051047</v>
      </c>
      <c r="BR12" s="8">
        <v>0.12507673036246575</v>
      </c>
      <c r="BS12" s="8">
        <v>8.8597757699037716E-2</v>
      </c>
      <c r="BT12" s="8">
        <v>4.3748371712769928E-2</v>
      </c>
      <c r="BU12" s="8">
        <v>2.1377927445503635E-2</v>
      </c>
      <c r="BV12" s="8">
        <v>2.3220736582074419E-2</v>
      </c>
      <c r="BW12" s="8">
        <v>5.523512442542642E-2</v>
      </c>
      <c r="BX12" s="8">
        <v>0.53259024935433763</v>
      </c>
      <c r="BY12" s="8">
        <v>0</v>
      </c>
      <c r="BZ12" s="8">
        <v>0</v>
      </c>
      <c r="CA12" s="8">
        <v>0.83189918246006644</v>
      </c>
      <c r="CB12" s="8">
        <v>0.30051719414500183</v>
      </c>
      <c r="CC12" s="8">
        <v>0.16278110365870124</v>
      </c>
      <c r="CD12" s="8">
        <v>7.8945355626320587E-2</v>
      </c>
      <c r="CE12" s="8">
        <v>3.3259738249737006E-2</v>
      </c>
      <c r="CF12" s="8">
        <v>6.5395596600735351E-2</v>
      </c>
      <c r="CG12" s="8">
        <v>0.14896075352580265</v>
      </c>
      <c r="CH12" s="8">
        <v>0</v>
      </c>
      <c r="CJ12" s="6" t="s">
        <v>273</v>
      </c>
      <c r="CK12" s="6" t="s">
        <v>133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0.10383839082085085</v>
      </c>
      <c r="CS12" s="8">
        <v>0.23255965953348501</v>
      </c>
      <c r="CT12" s="8">
        <v>0.59807869266726277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2.530078304854097E-2</v>
      </c>
      <c r="DB12" s="8">
        <v>6.1040781404696501E-2</v>
      </c>
      <c r="DC12" s="8">
        <v>8.3179588508123695E-2</v>
      </c>
      <c r="DD12" s="8">
        <v>8.7513623779479563E-2</v>
      </c>
      <c r="DE12" s="8">
        <v>3.8664721281391388E-2</v>
      </c>
      <c r="DF12" s="8">
        <v>0</v>
      </c>
      <c r="DG12" s="8">
        <v>0</v>
      </c>
      <c r="DH12" s="8">
        <v>0</v>
      </c>
      <c r="DI12" s="8">
        <v>0</v>
      </c>
      <c r="DJ12" s="7">
        <v>0</v>
      </c>
      <c r="DK12" s="8">
        <v>4.2092121824269059E-2</v>
      </c>
      <c r="DL12" s="8">
        <v>6.6559023434675568E-2</v>
      </c>
      <c r="DM12" s="8">
        <v>7.0673267595293091E-2</v>
      </c>
      <c r="DN12" s="8">
        <v>5.1400995643952167E-2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5.798783449903136E-2</v>
      </c>
      <c r="DV12" s="8">
        <v>0.10891715314899623</v>
      </c>
      <c r="DW12" s="8">
        <v>0.135583009414803</v>
      </c>
      <c r="DX12" s="8">
        <v>0.13787318846796801</v>
      </c>
      <c r="DY12" s="8">
        <v>0</v>
      </c>
      <c r="EA12" s="6" t="s">
        <v>273</v>
      </c>
      <c r="EB12" s="6" t="s">
        <v>134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2.7069930956806739E-3</v>
      </c>
      <c r="EU12" s="8">
        <v>6.6357197905635393E-2</v>
      </c>
      <c r="EV12" s="8">
        <v>8.1647126432692133E-2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7">
        <v>3.2666852158770177E-3</v>
      </c>
      <c r="FE12" s="8">
        <v>7.317797396229396E-2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3.3490457297170907E-2</v>
      </c>
      <c r="FO12" s="8">
        <v>0.31395117250918275</v>
      </c>
      <c r="FP12" s="8">
        <v>0</v>
      </c>
      <c r="FZ12" s="6" t="s">
        <v>273</v>
      </c>
      <c r="GA12" s="8">
        <v>0</v>
      </c>
      <c r="GB12" s="8">
        <v>0</v>
      </c>
      <c r="GC12" s="8">
        <v>0</v>
      </c>
      <c r="GD12" s="8">
        <v>8.653684858245721E-3</v>
      </c>
      <c r="GE12" s="8">
        <v>0.14072395601808724</v>
      </c>
      <c r="GF12" s="8">
        <v>0.2536664173318976</v>
      </c>
      <c r="GG12" s="8">
        <v>0.21639796637632983</v>
      </c>
      <c r="GH12" s="8">
        <v>8.0518238078139778E-2</v>
      </c>
      <c r="GI12" s="8">
        <v>2.8555321378956372E-3</v>
      </c>
      <c r="GJ12" s="8">
        <v>0</v>
      </c>
      <c r="GK12" s="8">
        <v>0</v>
      </c>
      <c r="GL12" s="7">
        <v>0</v>
      </c>
      <c r="GM12" s="8">
        <v>1.4444863414671825E-2</v>
      </c>
      <c r="GN12" s="8">
        <v>0.16635282138964291</v>
      </c>
      <c r="GO12" s="8">
        <v>0.37896046358360808</v>
      </c>
      <c r="GP12" s="8">
        <v>0.46278225224625086</v>
      </c>
      <c r="GQ12" s="8">
        <v>0.43416569049863396</v>
      </c>
      <c r="GR12" s="8">
        <v>0.28329095225261847</v>
      </c>
      <c r="GS12" s="8">
        <v>7.736021028219589E-2</v>
      </c>
      <c r="GT12" s="8">
        <v>1.619410095277152E-3</v>
      </c>
      <c r="GU12" s="8">
        <v>0</v>
      </c>
      <c r="GV12" s="7">
        <v>6.824453535489997E-5</v>
      </c>
      <c r="GW12" s="8">
        <v>2.8939506777350601E-2</v>
      </c>
      <c r="GX12" s="8">
        <v>0.20300237157284587</v>
      </c>
      <c r="GY12" s="8">
        <v>0.39462163935342537</v>
      </c>
      <c r="GZ12" s="8">
        <v>0.47622332079978791</v>
      </c>
      <c r="HA12" s="8">
        <v>0.45320605008621678</v>
      </c>
      <c r="HB12" s="8">
        <v>0.32968211126073316</v>
      </c>
      <c r="HC12" s="8">
        <v>0.11868653357362023</v>
      </c>
      <c r="HD12" s="8">
        <v>5.5643281047624994E-3</v>
      </c>
      <c r="HE12" s="8">
        <v>0</v>
      </c>
      <c r="HF12" s="8">
        <v>0</v>
      </c>
      <c r="HG12" s="7">
        <v>7.5863131053108225E-4</v>
      </c>
      <c r="HH12" s="8">
        <v>7.0149111161229696E-2</v>
      </c>
      <c r="HI12" s="8">
        <v>0.24699921975598627</v>
      </c>
      <c r="HJ12" s="8">
        <v>0.32239340530349808</v>
      </c>
      <c r="HK12" s="8">
        <v>0.26711187261050229</v>
      </c>
      <c r="HL12" s="8">
        <v>0.12310965052442126</v>
      </c>
      <c r="HM12" s="8">
        <v>1.2903874373430338E-2</v>
      </c>
      <c r="HN12" s="8">
        <v>0</v>
      </c>
      <c r="HP12" s="6" t="s">
        <v>273</v>
      </c>
      <c r="HQ12" s="6" t="s">
        <v>140</v>
      </c>
      <c r="HR12" s="6" t="s">
        <v>141</v>
      </c>
      <c r="HS12" s="8">
        <v>0.45742575392055657</v>
      </c>
    </row>
    <row r="13" spans="1:227" x14ac:dyDescent="0.45">
      <c r="B13" s="3" t="s">
        <v>274</v>
      </c>
      <c r="C13" s="3" t="s">
        <v>131</v>
      </c>
      <c r="D13" s="5">
        <v>0</v>
      </c>
      <c r="E13" s="5">
        <v>0</v>
      </c>
      <c r="F13" s="5">
        <v>0</v>
      </c>
      <c r="G13" s="5">
        <v>0.8400424191212742</v>
      </c>
      <c r="H13" s="5">
        <v>0.36849665427779188</v>
      </c>
      <c r="I13" s="5">
        <v>0.28908763116977282</v>
      </c>
      <c r="J13" s="5">
        <v>0.31124168588276407</v>
      </c>
      <c r="K13" s="5">
        <v>0.51226355918297806</v>
      </c>
      <c r="L13" s="5">
        <v>0.93329114083133469</v>
      </c>
      <c r="M13" s="5">
        <v>0</v>
      </c>
      <c r="N13" s="5">
        <v>0</v>
      </c>
      <c r="O13" s="5">
        <v>0.95652173913043448</v>
      </c>
      <c r="P13" s="5">
        <v>0.56456558659918754</v>
      </c>
      <c r="Q13" s="5">
        <v>0.28514790531744194</v>
      </c>
      <c r="R13" s="5">
        <v>0.19751640142712071</v>
      </c>
      <c r="S13" s="5">
        <v>0.16693500979815248</v>
      </c>
      <c r="T13" s="5">
        <v>0.1646577920134768</v>
      </c>
      <c r="U13" s="5">
        <v>0.18099757930943841</v>
      </c>
      <c r="V13" s="5">
        <v>0.3818019450945942</v>
      </c>
      <c r="W13" s="5">
        <v>0.86828696488291801</v>
      </c>
      <c r="X13" s="5">
        <v>0</v>
      </c>
      <c r="Y13" s="5">
        <v>0.80022403384774066</v>
      </c>
      <c r="Z13" s="5">
        <v>0.35239673769019297</v>
      </c>
      <c r="AA13" s="5">
        <v>0.19367288331477331</v>
      </c>
      <c r="AB13" s="5">
        <v>0.15156045835166151</v>
      </c>
      <c r="AC13" s="5">
        <v>0.14304508951824288</v>
      </c>
      <c r="AD13" s="5">
        <v>0.13989402212588475</v>
      </c>
      <c r="AE13" s="5">
        <v>0.15700958700550613</v>
      </c>
      <c r="AF13" s="5">
        <v>0.28090463332003923</v>
      </c>
      <c r="AG13" s="5">
        <v>0.70623787308085229</v>
      </c>
      <c r="AH13" s="5">
        <v>0</v>
      </c>
      <c r="AI13" s="5">
        <v>0</v>
      </c>
      <c r="AJ13" s="5">
        <v>0.88008414833942605</v>
      </c>
      <c r="AK13" s="5">
        <v>0.41788256564216331</v>
      </c>
      <c r="AL13" s="5">
        <v>0.2422519660813591</v>
      </c>
      <c r="AM13" s="5">
        <v>0.21797362992145206</v>
      </c>
      <c r="AN13" s="5">
        <v>0.23677555017240287</v>
      </c>
      <c r="AO13" s="5">
        <v>0.36812113822086623</v>
      </c>
      <c r="AP13" s="5">
        <v>0.77146173805037588</v>
      </c>
      <c r="AQ13" s="5">
        <v>0</v>
      </c>
      <c r="AS13" s="3" t="s">
        <v>274</v>
      </c>
      <c r="AT13" s="3" t="s">
        <v>132</v>
      </c>
      <c r="AU13" s="5">
        <v>0</v>
      </c>
      <c r="AV13" s="5">
        <v>0</v>
      </c>
      <c r="AW13" s="5">
        <v>0</v>
      </c>
      <c r="AX13" s="5">
        <v>0.72820926718813461</v>
      </c>
      <c r="AY13" s="5">
        <v>0.23244343523984645</v>
      </c>
      <c r="AZ13" s="5">
        <v>0.16451303545645932</v>
      </c>
      <c r="BA13" s="5">
        <v>8.1313899188214689E-2</v>
      </c>
      <c r="BB13" s="5">
        <v>6.0069481243188901E-2</v>
      </c>
      <c r="BC13" s="5">
        <v>6.5881222037111845E-2</v>
      </c>
      <c r="BD13" s="5">
        <v>0</v>
      </c>
      <c r="BE13" s="5">
        <v>0</v>
      </c>
      <c r="BF13" s="5">
        <v>0.9153304453285922</v>
      </c>
      <c r="BG13" s="5">
        <v>0.42484242201398464</v>
      </c>
      <c r="BH13" s="5">
        <v>0.16460497278460914</v>
      </c>
      <c r="BI13" s="5">
        <v>9.6087880998219855E-2</v>
      </c>
      <c r="BJ13" s="5">
        <v>4.9481343085164005E-2</v>
      </c>
      <c r="BK13" s="5">
        <v>2.4442567536395537E-2</v>
      </c>
      <c r="BL13" s="4">
        <v>3.0671771427513341E-2</v>
      </c>
      <c r="BM13" s="5">
        <v>0.10278564802697752</v>
      </c>
      <c r="BN13" s="5">
        <v>0.65452571583236352</v>
      </c>
      <c r="BO13" s="5">
        <v>0</v>
      </c>
      <c r="BP13" s="5">
        <v>0.65749564488731949</v>
      </c>
      <c r="BQ13" s="5">
        <v>0.22703203343265974</v>
      </c>
      <c r="BR13" s="5">
        <v>0.11644757926180058</v>
      </c>
      <c r="BS13" s="5">
        <v>8.1216766129188031E-2</v>
      </c>
      <c r="BT13" s="5">
        <v>4.0166334726502412E-2</v>
      </c>
      <c r="BU13" s="5">
        <v>1.69959330393844E-2</v>
      </c>
      <c r="BV13" s="5">
        <v>2.0466302397040694E-2</v>
      </c>
      <c r="BW13" s="5">
        <v>6.6287194560216769E-2</v>
      </c>
      <c r="BX13" s="5">
        <v>0.54425528602287587</v>
      </c>
      <c r="BY13" s="5">
        <v>0</v>
      </c>
      <c r="BZ13" s="5">
        <v>0</v>
      </c>
      <c r="CA13" s="5">
        <v>0.79035866119996012</v>
      </c>
      <c r="CB13" s="5">
        <v>0.27460742596513887</v>
      </c>
      <c r="CC13" s="5">
        <v>0.14025225255582785</v>
      </c>
      <c r="CD13" s="5">
        <v>8.2420455611131205E-2</v>
      </c>
      <c r="CE13" s="5">
        <v>4.0378914614609747E-2</v>
      </c>
      <c r="CF13" s="5">
        <v>5.6484746554505832E-2</v>
      </c>
      <c r="CG13" s="5">
        <v>0.16399052023095492</v>
      </c>
      <c r="CH13" s="5">
        <v>0</v>
      </c>
      <c r="CJ13" s="3" t="s">
        <v>274</v>
      </c>
      <c r="CK13" s="3" t="s">
        <v>133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0.10903818393441674</v>
      </c>
      <c r="CS13" s="5">
        <v>0.28998606453208636</v>
      </c>
      <c r="CT13" s="5">
        <v>0.80519050940546733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8.6662629607186219E-3</v>
      </c>
      <c r="DA13" s="5">
        <v>2.7990720864049797E-2</v>
      </c>
      <c r="DB13" s="5">
        <v>5.2760018681438557E-2</v>
      </c>
      <c r="DC13" s="5">
        <v>6.5561906901435138E-2</v>
      </c>
      <c r="DD13" s="5">
        <v>7.8761183874119484E-2</v>
      </c>
      <c r="DE13" s="5">
        <v>4.5543773487791386E-2</v>
      </c>
      <c r="DF13" s="5">
        <v>0</v>
      </c>
      <c r="DG13" s="5">
        <v>0</v>
      </c>
      <c r="DH13" s="5">
        <v>0</v>
      </c>
      <c r="DI13" s="5">
        <v>0</v>
      </c>
      <c r="DJ13" s="4">
        <v>0</v>
      </c>
      <c r="DK13" s="5">
        <v>4.0649196351766732E-2</v>
      </c>
      <c r="DL13" s="5">
        <v>5.9539187840789778E-2</v>
      </c>
      <c r="DM13" s="5">
        <v>6.720375703179951E-2</v>
      </c>
      <c r="DN13" s="5">
        <v>3.3584533969233041E-2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3.8845431238063929E-2</v>
      </c>
      <c r="DV13" s="5">
        <v>0.10361994977446796</v>
      </c>
      <c r="DW13" s="5">
        <v>0.16918571469901544</v>
      </c>
      <c r="DX13" s="5">
        <v>0.1342628806480699</v>
      </c>
      <c r="DY13" s="5">
        <v>0</v>
      </c>
      <c r="EA13" s="3" t="s">
        <v>274</v>
      </c>
      <c r="EB13" s="3" t="s">
        <v>134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4.3959525910299739E-3</v>
      </c>
      <c r="EU13" s="5">
        <v>6.7215948889118457E-2</v>
      </c>
      <c r="EV13" s="5">
        <v>6.2657958978336287E-2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4">
        <v>2.734657585876865E-3</v>
      </c>
      <c r="FE13" s="5">
        <v>7.8029117675207926E-2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9.8156036626409204E-3</v>
      </c>
      <c r="FO13" s="5">
        <v>0.35270165807527365</v>
      </c>
      <c r="FP13" s="5">
        <v>0</v>
      </c>
      <c r="FZ13" s="3" t="s">
        <v>274</v>
      </c>
      <c r="GA13" s="5">
        <v>0</v>
      </c>
      <c r="GB13" s="5">
        <v>0</v>
      </c>
      <c r="GC13" s="5">
        <v>0</v>
      </c>
      <c r="GD13" s="5">
        <v>1.255376808959833E-2</v>
      </c>
      <c r="GE13" s="5">
        <v>0.15336263063196612</v>
      </c>
      <c r="GF13" s="5">
        <v>0.26030382678016195</v>
      </c>
      <c r="GG13" s="5">
        <v>0.21715310361598514</v>
      </c>
      <c r="GH13" s="5">
        <v>7.5400623859907992E-2</v>
      </c>
      <c r="GI13" s="5">
        <v>2.2895467754905337E-3</v>
      </c>
      <c r="GJ13" s="5">
        <v>0</v>
      </c>
      <c r="GK13" s="5">
        <v>0</v>
      </c>
      <c r="GL13" s="4">
        <v>3.1603089254254563E-5</v>
      </c>
      <c r="GM13" s="5">
        <v>2.0577772759363299E-2</v>
      </c>
      <c r="GN13" s="5">
        <v>0.18882157559931764</v>
      </c>
      <c r="GO13" s="5">
        <v>0.39025440737200173</v>
      </c>
      <c r="GP13" s="5">
        <v>0.50215589534491301</v>
      </c>
      <c r="GQ13" s="5">
        <v>0.46506151490156417</v>
      </c>
      <c r="GR13" s="5">
        <v>0.29799258076261892</v>
      </c>
      <c r="GS13" s="5">
        <v>7.4670611479869753E-2</v>
      </c>
      <c r="GT13" s="5">
        <v>1.3590167825737888E-3</v>
      </c>
      <c r="GU13" s="5">
        <v>0</v>
      </c>
      <c r="GV13" s="4">
        <v>4.2370478536213341E-4</v>
      </c>
      <c r="GW13" s="5">
        <v>3.7858768557587449E-2</v>
      </c>
      <c r="GX13" s="5">
        <v>0.23127961990868914</v>
      </c>
      <c r="GY13" s="5">
        <v>0.4265250958016385</v>
      </c>
      <c r="GZ13" s="5">
        <v>0.50740157193301816</v>
      </c>
      <c r="HA13" s="5">
        <v>0.4879852566341667</v>
      </c>
      <c r="HB13" s="5">
        <v>0.33462890393465111</v>
      </c>
      <c r="HC13" s="5">
        <v>0.11494922817623972</v>
      </c>
      <c r="HD13" s="5">
        <v>5.1401226363886835E-3</v>
      </c>
      <c r="HE13" s="5">
        <v>0</v>
      </c>
      <c r="HF13" s="5">
        <v>0</v>
      </c>
      <c r="HG13" s="4">
        <v>1.4561621428683693E-3</v>
      </c>
      <c r="HH13" s="5">
        <v>8.1247926870543913E-2</v>
      </c>
      <c r="HI13" s="5">
        <v>0.27433345969165113</v>
      </c>
      <c r="HJ13" s="5">
        <v>0.34789776784664656</v>
      </c>
      <c r="HK13" s="5">
        <v>0.27346901304937982</v>
      </c>
      <c r="HL13" s="5">
        <v>0.1147164122275781</v>
      </c>
      <c r="HM13" s="5">
        <v>1.0670553985696793E-2</v>
      </c>
      <c r="HN13" s="5">
        <v>0</v>
      </c>
      <c r="HP13" s="3" t="s">
        <v>274</v>
      </c>
      <c r="HQ13" s="3" t="s">
        <v>140</v>
      </c>
      <c r="HR13" s="3" t="s">
        <v>141</v>
      </c>
      <c r="HS13" s="5">
        <v>0.47322872933000326</v>
      </c>
    </row>
    <row r="14" spans="1:227" x14ac:dyDescent="0.45">
      <c r="B14" s="6" t="s">
        <v>275</v>
      </c>
      <c r="C14" s="6" t="s">
        <v>131</v>
      </c>
      <c r="D14" s="8">
        <v>0</v>
      </c>
      <c r="E14" s="8">
        <v>0</v>
      </c>
      <c r="F14" s="8">
        <v>0</v>
      </c>
      <c r="G14" s="8">
        <v>0.86121022758229782</v>
      </c>
      <c r="H14" s="8">
        <v>0.35096295829291319</v>
      </c>
      <c r="I14" s="8">
        <v>0.28851301421303832</v>
      </c>
      <c r="J14" s="8">
        <v>0.328402382319052</v>
      </c>
      <c r="K14" s="8">
        <v>0.49019873409269055</v>
      </c>
      <c r="L14" s="8">
        <v>0.91826767561738543</v>
      </c>
      <c r="M14" s="8">
        <v>0</v>
      </c>
      <c r="N14" s="8">
        <v>0</v>
      </c>
      <c r="O14" s="8">
        <v>0.98913043478260876</v>
      </c>
      <c r="P14" s="8">
        <v>0.59982642971351696</v>
      </c>
      <c r="Q14" s="8">
        <v>0.29295190855549691</v>
      </c>
      <c r="R14" s="8">
        <v>0.20164451469176828</v>
      </c>
      <c r="S14" s="8">
        <v>0.18156108986917729</v>
      </c>
      <c r="T14" s="8">
        <v>0.17868552402544849</v>
      </c>
      <c r="U14" s="8">
        <v>0.19305061425092188</v>
      </c>
      <c r="V14" s="8">
        <v>0.36118919517245446</v>
      </c>
      <c r="W14" s="8">
        <v>0.85735840566713295</v>
      </c>
      <c r="X14" s="8">
        <v>0</v>
      </c>
      <c r="Y14" s="8">
        <v>0.84972326900068196</v>
      </c>
      <c r="Z14" s="8">
        <v>0.36464557901204503</v>
      </c>
      <c r="AA14" s="8">
        <v>0.21444444152421194</v>
      </c>
      <c r="AB14" s="8">
        <v>0.16774585226600727</v>
      </c>
      <c r="AC14" s="8">
        <v>0.15748388815834985</v>
      </c>
      <c r="AD14" s="8">
        <v>0.16567245378002679</v>
      </c>
      <c r="AE14" s="8">
        <v>0.18646604334101943</v>
      </c>
      <c r="AF14" s="8">
        <v>0.2723386147043122</v>
      </c>
      <c r="AG14" s="8">
        <v>0.66641469087703109</v>
      </c>
      <c r="AH14" s="8">
        <v>0</v>
      </c>
      <c r="AI14" s="8">
        <v>0</v>
      </c>
      <c r="AJ14" s="8">
        <v>0.90693255366715975</v>
      </c>
      <c r="AK14" s="8">
        <v>0.47490028940707579</v>
      </c>
      <c r="AL14" s="8">
        <v>0.27605435555516034</v>
      </c>
      <c r="AM14" s="8">
        <v>0.23184658645264841</v>
      </c>
      <c r="AN14" s="8">
        <v>0.23474388629495177</v>
      </c>
      <c r="AO14" s="8">
        <v>0.34801368909878405</v>
      </c>
      <c r="AP14" s="8">
        <v>0.73619111221637734</v>
      </c>
      <c r="AQ14" s="8">
        <v>0</v>
      </c>
      <c r="AS14" s="6" t="s">
        <v>275</v>
      </c>
      <c r="AT14" s="6" t="s">
        <v>132</v>
      </c>
      <c r="AU14" s="8">
        <v>0</v>
      </c>
      <c r="AV14" s="8">
        <v>0</v>
      </c>
      <c r="AW14" s="8">
        <v>0</v>
      </c>
      <c r="AX14" s="8">
        <v>0.75201617868378423</v>
      </c>
      <c r="AY14" s="8">
        <v>0.23184850666825471</v>
      </c>
      <c r="AZ14" s="8">
        <v>0.17314959455037482</v>
      </c>
      <c r="BA14" s="8">
        <v>9.9027102386590529E-2</v>
      </c>
      <c r="BB14" s="8">
        <v>0.10931509242889967</v>
      </c>
      <c r="BC14" s="8">
        <v>0.2313232781113202</v>
      </c>
      <c r="BD14" s="8">
        <v>0</v>
      </c>
      <c r="BE14" s="8">
        <v>0</v>
      </c>
      <c r="BF14" s="8">
        <v>0.97837901701323249</v>
      </c>
      <c r="BG14" s="8">
        <v>0.44895438791994097</v>
      </c>
      <c r="BH14" s="8">
        <v>0.17886923930290971</v>
      </c>
      <c r="BI14" s="8">
        <v>0.10634599340858164</v>
      </c>
      <c r="BJ14" s="8">
        <v>7.7809849484816423E-2</v>
      </c>
      <c r="BK14" s="8">
        <v>3.1032602473898031E-2</v>
      </c>
      <c r="BL14" s="7">
        <v>2.7385205902627014E-2</v>
      </c>
      <c r="BM14" s="8">
        <v>9.4024567032357453E-2</v>
      </c>
      <c r="BN14" s="8">
        <v>0.61475993737367385</v>
      </c>
      <c r="BO14" s="8">
        <v>0</v>
      </c>
      <c r="BP14" s="8">
        <v>0.74973723948451443</v>
      </c>
      <c r="BQ14" s="8">
        <v>0.24464264722609563</v>
      </c>
      <c r="BR14" s="8">
        <v>0.12885151733367708</v>
      </c>
      <c r="BS14" s="8">
        <v>9.4305802931940422E-2</v>
      </c>
      <c r="BT14" s="8">
        <v>4.8224247406514424E-2</v>
      </c>
      <c r="BU14" s="8">
        <v>2.9646560281894527E-2</v>
      </c>
      <c r="BV14" s="8">
        <v>3.6169634268423081E-2</v>
      </c>
      <c r="BW14" s="8">
        <v>5.1885408144805203E-2</v>
      </c>
      <c r="BX14" s="8">
        <v>0.48359593511278531</v>
      </c>
      <c r="BY14" s="8">
        <v>0</v>
      </c>
      <c r="BZ14" s="8">
        <v>0</v>
      </c>
      <c r="CA14" s="8">
        <v>0.83535398083731449</v>
      </c>
      <c r="CB14" s="8">
        <v>0.32274693622914707</v>
      </c>
      <c r="CC14" s="8">
        <v>0.17578047754273002</v>
      </c>
      <c r="CD14" s="8">
        <v>8.9500813695134074E-2</v>
      </c>
      <c r="CE14" s="8">
        <v>4.1293465183254968E-2</v>
      </c>
      <c r="CF14" s="8">
        <v>6.4040251356675848E-2</v>
      </c>
      <c r="CG14" s="8">
        <v>0.19973919990124833</v>
      </c>
      <c r="CH14" s="8">
        <v>0</v>
      </c>
      <c r="CJ14" s="6" t="s">
        <v>275</v>
      </c>
      <c r="CK14" s="6" t="s">
        <v>133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0.10307446849841333</v>
      </c>
      <c r="CS14" s="8">
        <v>0.22760492769209506</v>
      </c>
      <c r="CT14" s="8">
        <v>0.61859546023320366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3.549004261259528E-3</v>
      </c>
      <c r="DA14" s="8">
        <v>2.0187542639847206E-2</v>
      </c>
      <c r="DB14" s="8">
        <v>6.9776158056394783E-2</v>
      </c>
      <c r="DC14" s="8">
        <v>8.2813097470951613E-2</v>
      </c>
      <c r="DD14" s="8">
        <v>8.4084548973777012E-2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7">
        <v>5.8271373463828966E-4</v>
      </c>
      <c r="DK14" s="8">
        <v>3.5833704038411726E-2</v>
      </c>
      <c r="DL14" s="8">
        <v>6.0319155352450082E-2</v>
      </c>
      <c r="DM14" s="8">
        <v>6.7928001749249484E-2</v>
      </c>
      <c r="DN14" s="8">
        <v>8.1016082070294815E-2</v>
      </c>
      <c r="DO14" s="8">
        <v>2.9683555281960674E-2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4.9230449270832193E-2</v>
      </c>
      <c r="DV14" s="8">
        <v>9.9960023028869804E-2</v>
      </c>
      <c r="DW14" s="8">
        <v>0.13582879411455379</v>
      </c>
      <c r="DX14" s="8">
        <v>6.9410654715606174E-2</v>
      </c>
      <c r="DY14" s="8">
        <v>0</v>
      </c>
      <c r="EA14" s="6" t="s">
        <v>275</v>
      </c>
      <c r="EB14" s="6" t="s">
        <v>134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7.4989927575275315E-3</v>
      </c>
      <c r="EU14" s="8">
        <v>5.5914405641774405E-2</v>
      </c>
      <c r="EV14" s="8">
        <v>0.13769774624894177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7">
        <v>1.0309438109050624E-3</v>
      </c>
      <c r="FE14" s="8">
        <v>4.7147652589277542E-2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2.6951729490966053E-2</v>
      </c>
      <c r="FO14" s="8">
        <v>0.32531947411138618</v>
      </c>
      <c r="FP14" s="8">
        <v>0</v>
      </c>
      <c r="FZ14" s="6" t="s">
        <v>275</v>
      </c>
      <c r="GA14" s="8">
        <v>0</v>
      </c>
      <c r="GB14" s="8">
        <v>0</v>
      </c>
      <c r="GC14" s="8">
        <v>0</v>
      </c>
      <c r="GD14" s="8">
        <v>7.9439870481368829E-3</v>
      </c>
      <c r="GE14" s="8">
        <v>0.12572301254970608</v>
      </c>
      <c r="GF14" s="8">
        <v>0.23261700433300456</v>
      </c>
      <c r="GG14" s="8">
        <v>0.19724150974783841</v>
      </c>
      <c r="GH14" s="8">
        <v>7.9210559768238153E-2</v>
      </c>
      <c r="GI14" s="8">
        <v>3.2595869460349432E-3</v>
      </c>
      <c r="GJ14" s="8">
        <v>0</v>
      </c>
      <c r="GK14" s="8">
        <v>0</v>
      </c>
      <c r="GL14" s="7">
        <v>0</v>
      </c>
      <c r="GM14" s="8">
        <v>1.3825454335862852E-2</v>
      </c>
      <c r="GN14" s="8">
        <v>0.16361896738288942</v>
      </c>
      <c r="GO14" s="8">
        <v>0.36920508192742202</v>
      </c>
      <c r="GP14" s="8">
        <v>0.44894485818640634</v>
      </c>
      <c r="GQ14" s="8">
        <v>0.41620310580629011</v>
      </c>
      <c r="GR14" s="8">
        <v>0.27174430037319219</v>
      </c>
      <c r="GS14" s="8">
        <v>7.702638256395801E-2</v>
      </c>
      <c r="GT14" s="8">
        <v>1.5793687712215383E-3</v>
      </c>
      <c r="GU14" s="8">
        <v>0</v>
      </c>
      <c r="GV14" s="7">
        <v>1.0281898753500953E-4</v>
      </c>
      <c r="GW14" s="8">
        <v>2.8379719543847354E-2</v>
      </c>
      <c r="GX14" s="8">
        <v>0.1863544023450569</v>
      </c>
      <c r="GY14" s="8">
        <v>0.36347214537655648</v>
      </c>
      <c r="GZ14" s="8">
        <v>0.44137248865857459</v>
      </c>
      <c r="HA14" s="8">
        <v>0.41136321626451627</v>
      </c>
      <c r="HB14" s="8">
        <v>0.29735372363231322</v>
      </c>
      <c r="HC14" s="8">
        <v>0.11113040686165368</v>
      </c>
      <c r="HD14" s="8">
        <v>5.8728770937825315E-3</v>
      </c>
      <c r="HE14" s="8">
        <v>0</v>
      </c>
      <c r="HF14" s="8">
        <v>0</v>
      </c>
      <c r="HG14" s="7">
        <v>6.4381551033768937E-4</v>
      </c>
      <c r="HH14" s="8">
        <v>6.2394430396522593E-2</v>
      </c>
      <c r="HI14" s="8">
        <v>0.22392211477101381</v>
      </c>
      <c r="HJ14" s="8">
        <v>0.29784029331914247</v>
      </c>
      <c r="HK14" s="8">
        <v>0.25143847759683102</v>
      </c>
      <c r="HL14" s="8">
        <v>0.11372058040606309</v>
      </c>
      <c r="HM14" s="8">
        <v>1.1653888708323687E-2</v>
      </c>
      <c r="HN14" s="8">
        <v>0</v>
      </c>
      <c r="HP14" s="6" t="s">
        <v>275</v>
      </c>
      <c r="HQ14" s="6" t="s">
        <v>140</v>
      </c>
      <c r="HR14" s="6" t="s">
        <v>141</v>
      </c>
      <c r="HS14" s="8">
        <v>0.42338663787402697</v>
      </c>
    </row>
    <row r="15" spans="1:227" x14ac:dyDescent="0.45">
      <c r="B15" s="3" t="s">
        <v>276</v>
      </c>
      <c r="C15" s="3" t="s">
        <v>131</v>
      </c>
      <c r="D15" s="5">
        <v>0</v>
      </c>
      <c r="E15" s="5">
        <v>0</v>
      </c>
      <c r="F15" s="5">
        <v>0</v>
      </c>
      <c r="G15" s="5">
        <v>0.8744370363481162</v>
      </c>
      <c r="H15" s="5">
        <v>0.37694844201671424</v>
      </c>
      <c r="I15" s="5">
        <v>0.30111109335014946</v>
      </c>
      <c r="J15" s="5">
        <v>0.31752497035369354</v>
      </c>
      <c r="K15" s="5">
        <v>0.49610633848303098</v>
      </c>
      <c r="L15" s="5">
        <v>0.91646773742972354</v>
      </c>
      <c r="M15" s="5">
        <v>0</v>
      </c>
      <c r="N15" s="5">
        <v>0</v>
      </c>
      <c r="O15" s="5">
        <v>0.96145075912090239</v>
      </c>
      <c r="P15" s="5">
        <v>0.5899258426991133</v>
      </c>
      <c r="Q15" s="5">
        <v>0.30769385209321215</v>
      </c>
      <c r="R15" s="5">
        <v>0.21106999545749913</v>
      </c>
      <c r="S15" s="5">
        <v>0.17906382517375491</v>
      </c>
      <c r="T15" s="5">
        <v>0.17465055564267665</v>
      </c>
      <c r="U15" s="5">
        <v>0.18293461928708726</v>
      </c>
      <c r="V15" s="5">
        <v>0.35826231588770518</v>
      </c>
      <c r="W15" s="5">
        <v>0.84251298075214542</v>
      </c>
      <c r="X15" s="5">
        <v>0</v>
      </c>
      <c r="Y15" s="5">
        <v>0.81608858317723421</v>
      </c>
      <c r="Z15" s="5">
        <v>0.34836224983548048</v>
      </c>
      <c r="AA15" s="5">
        <v>0.21304931182488213</v>
      </c>
      <c r="AB15" s="5">
        <v>0.16914638936669946</v>
      </c>
      <c r="AC15" s="5">
        <v>0.1489977734201072</v>
      </c>
      <c r="AD15" s="5">
        <v>0.14845798267219135</v>
      </c>
      <c r="AE15" s="5">
        <v>0.17292074894558188</v>
      </c>
      <c r="AF15" s="5">
        <v>0.25917158033870868</v>
      </c>
      <c r="AG15" s="5">
        <v>0.6404428865478009</v>
      </c>
      <c r="AH15" s="5">
        <v>0</v>
      </c>
      <c r="AI15" s="5">
        <v>0</v>
      </c>
      <c r="AJ15" s="5">
        <v>0.90428124031391133</v>
      </c>
      <c r="AK15" s="5">
        <v>0.46525865125628163</v>
      </c>
      <c r="AL15" s="5">
        <v>0.26994883525605556</v>
      </c>
      <c r="AM15" s="5">
        <v>0.21491319764229475</v>
      </c>
      <c r="AN15" s="5">
        <v>0.21261169589253898</v>
      </c>
      <c r="AO15" s="5">
        <v>0.3380307707442689</v>
      </c>
      <c r="AP15" s="5">
        <v>0.73419658440836333</v>
      </c>
      <c r="AQ15" s="5">
        <v>0</v>
      </c>
      <c r="AS15" s="3" t="s">
        <v>276</v>
      </c>
      <c r="AT15" s="3" t="s">
        <v>132</v>
      </c>
      <c r="AU15" s="5">
        <v>0</v>
      </c>
      <c r="AV15" s="5">
        <v>0</v>
      </c>
      <c r="AW15" s="5">
        <v>0</v>
      </c>
      <c r="AX15" s="5">
        <v>0.77982037620418099</v>
      </c>
      <c r="AY15" s="5">
        <v>0.25465184418929193</v>
      </c>
      <c r="AZ15" s="5">
        <v>0.18153270548244166</v>
      </c>
      <c r="BA15" s="5">
        <v>7.4343445703726738E-2</v>
      </c>
      <c r="BB15" s="5">
        <v>3.2833035023806918E-2</v>
      </c>
      <c r="BC15" s="5">
        <v>5.0752730030877456E-2</v>
      </c>
      <c r="BD15" s="5">
        <v>0</v>
      </c>
      <c r="BE15" s="5">
        <v>0</v>
      </c>
      <c r="BF15" s="5">
        <v>0.9300991039321771</v>
      </c>
      <c r="BG15" s="5">
        <v>0.44115958076485789</v>
      </c>
      <c r="BH15" s="5">
        <v>0.19013910789818383</v>
      </c>
      <c r="BI15" s="5">
        <v>0.10137390442536834</v>
      </c>
      <c r="BJ15" s="5">
        <v>6.084617179911711E-2</v>
      </c>
      <c r="BK15" s="5">
        <v>3.0455565061768407E-2</v>
      </c>
      <c r="BL15" s="4">
        <v>2.0686654398469562E-2</v>
      </c>
      <c r="BM15" s="5">
        <v>8.0593593622463294E-2</v>
      </c>
      <c r="BN15" s="5">
        <v>0.5683334973210229</v>
      </c>
      <c r="BO15" s="5">
        <v>0</v>
      </c>
      <c r="BP15" s="5">
        <v>0.68441795003011119</v>
      </c>
      <c r="BQ15" s="5">
        <v>0.23633104312266273</v>
      </c>
      <c r="BR15" s="5">
        <v>0.12945477542167819</v>
      </c>
      <c r="BS15" s="5">
        <v>9.4304150717717417E-2</v>
      </c>
      <c r="BT15" s="5">
        <v>3.7438454136105172E-2</v>
      </c>
      <c r="BU15" s="5">
        <v>2.1567106749547902E-2</v>
      </c>
      <c r="BV15" s="5">
        <v>2.6639741552304915E-2</v>
      </c>
      <c r="BW15" s="5">
        <v>7.5734455597094713E-2</v>
      </c>
      <c r="BX15" s="5">
        <v>0.48645493182507243</v>
      </c>
      <c r="BY15" s="5">
        <v>0</v>
      </c>
      <c r="BZ15" s="5">
        <v>0</v>
      </c>
      <c r="CA15" s="5">
        <v>0.82783837720583242</v>
      </c>
      <c r="CB15" s="5">
        <v>0.31348598005649148</v>
      </c>
      <c r="CC15" s="5">
        <v>0.1663871878255832</v>
      </c>
      <c r="CD15" s="5">
        <v>8.2846745921724085E-2</v>
      </c>
      <c r="CE15" s="5">
        <v>4.3877094904878886E-2</v>
      </c>
      <c r="CF15" s="5">
        <v>5.5118684054511591E-2</v>
      </c>
      <c r="CG15" s="5">
        <v>0.14728897561633422</v>
      </c>
      <c r="CH15" s="5">
        <v>0</v>
      </c>
      <c r="CJ15" s="3" t="s">
        <v>276</v>
      </c>
      <c r="CK15" s="3" t="s">
        <v>133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0.12879302062012027</v>
      </c>
      <c r="CS15" s="5">
        <v>0.30693553836680304</v>
      </c>
      <c r="CT15" s="5">
        <v>0.79816413736264435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1.4236153444220891E-2</v>
      </c>
      <c r="DA15" s="5">
        <v>3.5576956417664091E-2</v>
      </c>
      <c r="DB15" s="5">
        <v>6.2348751621454555E-2</v>
      </c>
      <c r="DC15" s="5">
        <v>7.7016934328118722E-2</v>
      </c>
      <c r="DD15" s="5">
        <v>7.8031251762596468E-2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4">
        <v>3.1841966174540538E-3</v>
      </c>
      <c r="DK15" s="5">
        <v>4.9687554141252782E-2</v>
      </c>
      <c r="DL15" s="5">
        <v>6.1233020779376889E-2</v>
      </c>
      <c r="DM15" s="5">
        <v>6.4362514213342173E-2</v>
      </c>
      <c r="DN15" s="5">
        <v>3.0130845271312236E-2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3.9160218391895069E-2</v>
      </c>
      <c r="DV15" s="5">
        <v>8.4008490427375765E-2</v>
      </c>
      <c r="DW15" s="5">
        <v>0.14287141256866676</v>
      </c>
      <c r="DX15" s="5">
        <v>0.19501090524195588</v>
      </c>
      <c r="DY15" s="5">
        <v>0</v>
      </c>
      <c r="EA15" s="3" t="s">
        <v>276</v>
      </c>
      <c r="EB15" s="3" t="s">
        <v>134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4.4968911385990613E-3</v>
      </c>
      <c r="ET15" s="5">
        <v>1.3807060776333407E-2</v>
      </c>
      <c r="EU15" s="5">
        <v>7.2189395889574834E-2</v>
      </c>
      <c r="EV15" s="5">
        <v>0.16849303103135788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4">
        <v>8.1674854765717078E-3</v>
      </c>
      <c r="FE15" s="5">
        <v>6.3044423610689002E-2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1.6049747239401245E-2</v>
      </c>
      <c r="FO15" s="5">
        <v>0.2527389336878012</v>
      </c>
      <c r="FP15" s="5">
        <v>0</v>
      </c>
      <c r="FZ15" s="3" t="s">
        <v>276</v>
      </c>
      <c r="GA15" s="5">
        <v>0</v>
      </c>
      <c r="GB15" s="5">
        <v>0</v>
      </c>
      <c r="GC15" s="5">
        <v>0</v>
      </c>
      <c r="GD15" s="5">
        <v>7.9162154143871226E-3</v>
      </c>
      <c r="GE15" s="5">
        <v>0.11782794039981656</v>
      </c>
      <c r="GF15" s="5">
        <v>0.22356916837331708</v>
      </c>
      <c r="GG15" s="5">
        <v>0.19801888933035372</v>
      </c>
      <c r="GH15" s="5">
        <v>8.0176144740896307E-2</v>
      </c>
      <c r="GI15" s="5">
        <v>3.653450923335739E-3</v>
      </c>
      <c r="GJ15" s="5">
        <v>0</v>
      </c>
      <c r="GK15" s="5">
        <v>0</v>
      </c>
      <c r="GL15" s="4">
        <v>1.2789046618109144E-5</v>
      </c>
      <c r="GM15" s="5">
        <v>1.4012279142939579E-2</v>
      </c>
      <c r="GN15" s="5">
        <v>0.15884140987293957</v>
      </c>
      <c r="GO15" s="5">
        <v>0.35478852127939237</v>
      </c>
      <c r="GP15" s="5">
        <v>0.43953655668402686</v>
      </c>
      <c r="GQ15" s="5">
        <v>0.41436046165416718</v>
      </c>
      <c r="GR15" s="5">
        <v>0.27808314762755432</v>
      </c>
      <c r="GS15" s="5">
        <v>7.7671950131469727E-2</v>
      </c>
      <c r="GT15" s="5">
        <v>1.7232383287193297E-3</v>
      </c>
      <c r="GU15" s="5">
        <v>0</v>
      </c>
      <c r="GV15" s="4">
        <v>2.5960156311191521E-4</v>
      </c>
      <c r="GW15" s="5">
        <v>2.995663927456085E-2</v>
      </c>
      <c r="GX15" s="5">
        <v>0.18406072788405198</v>
      </c>
      <c r="GY15" s="5">
        <v>0.35686246569769514</v>
      </c>
      <c r="GZ15" s="5">
        <v>0.43647036944431966</v>
      </c>
      <c r="HA15" s="5">
        <v>0.41592274998637196</v>
      </c>
      <c r="HB15" s="5">
        <v>0.29088482837106949</v>
      </c>
      <c r="HC15" s="5">
        <v>0.10993280511314829</v>
      </c>
      <c r="HD15" s="5">
        <v>6.2006877786797395E-3</v>
      </c>
      <c r="HE15" s="5">
        <v>0</v>
      </c>
      <c r="HF15" s="5">
        <v>0</v>
      </c>
      <c r="HG15" s="4">
        <v>6.5185929831825104E-4</v>
      </c>
      <c r="HH15" s="5">
        <v>6.1025301989975834E-2</v>
      </c>
      <c r="HI15" s="5">
        <v>0.21510815147402679</v>
      </c>
      <c r="HJ15" s="5">
        <v>0.29269574871348691</v>
      </c>
      <c r="HK15" s="5">
        <v>0.25223242324259609</v>
      </c>
      <c r="HL15" s="5">
        <v>0.11382272460376082</v>
      </c>
      <c r="HM15" s="5">
        <v>1.1359167052287901E-2</v>
      </c>
      <c r="HN15" s="5">
        <v>0</v>
      </c>
      <c r="HP15" s="3" t="s">
        <v>276</v>
      </c>
      <c r="HQ15" s="3" t="s">
        <v>140</v>
      </c>
      <c r="HR15" s="3" t="s">
        <v>141</v>
      </c>
      <c r="HS15" s="5">
        <v>0.38112319655564875</v>
      </c>
    </row>
    <row r="16" spans="1:227" x14ac:dyDescent="0.45">
      <c r="B16" s="6" t="s">
        <v>277</v>
      </c>
      <c r="C16" s="6" t="s">
        <v>131</v>
      </c>
      <c r="D16" s="8">
        <v>0</v>
      </c>
      <c r="E16" s="8">
        <v>0</v>
      </c>
      <c r="F16" s="8">
        <v>0</v>
      </c>
      <c r="G16" s="8">
        <v>0.86769961903287407</v>
      </c>
      <c r="H16" s="8">
        <v>0.39436771359551037</v>
      </c>
      <c r="I16" s="8">
        <v>0.31633510571936768</v>
      </c>
      <c r="J16" s="8">
        <v>0.33196912245354787</v>
      </c>
      <c r="K16" s="8">
        <v>0.5120536031224423</v>
      </c>
      <c r="L16" s="8">
        <v>0.93333333333333335</v>
      </c>
      <c r="M16" s="8">
        <v>0</v>
      </c>
      <c r="N16" s="8">
        <v>0</v>
      </c>
      <c r="O16" s="8">
        <v>0.94909429913465837</v>
      </c>
      <c r="P16" s="8">
        <v>0.57942292014782815</v>
      </c>
      <c r="Q16" s="8">
        <v>0.31301791691013908</v>
      </c>
      <c r="R16" s="8">
        <v>0.21967313646276815</v>
      </c>
      <c r="S16" s="8">
        <v>0.19382527675105127</v>
      </c>
      <c r="T16" s="8">
        <v>0.18265426304418575</v>
      </c>
      <c r="U16" s="8">
        <v>0.18855051650303567</v>
      </c>
      <c r="V16" s="8">
        <v>0.37173544984131879</v>
      </c>
      <c r="W16" s="8">
        <v>0.86545711898136035</v>
      </c>
      <c r="X16" s="8">
        <v>0</v>
      </c>
      <c r="Y16" s="8">
        <v>0.80676330695855847</v>
      </c>
      <c r="Z16" s="8">
        <v>0.3539395164773228</v>
      </c>
      <c r="AA16" s="8">
        <v>0.21667487169411698</v>
      </c>
      <c r="AB16" s="8">
        <v>0.18819027155111187</v>
      </c>
      <c r="AC16" s="8">
        <v>0.1782395714756308</v>
      </c>
      <c r="AD16" s="8">
        <v>0.16195548149607586</v>
      </c>
      <c r="AE16" s="8">
        <v>0.17858814878754481</v>
      </c>
      <c r="AF16" s="8">
        <v>0.27836671907271676</v>
      </c>
      <c r="AG16" s="8">
        <v>0.67923236373369145</v>
      </c>
      <c r="AH16" s="8">
        <v>0</v>
      </c>
      <c r="AI16" s="8">
        <v>0</v>
      </c>
      <c r="AJ16" s="8">
        <v>0.88672844730655187</v>
      </c>
      <c r="AK16" s="8">
        <v>0.44592570666762443</v>
      </c>
      <c r="AL16" s="8">
        <v>0.26714109800826313</v>
      </c>
      <c r="AM16" s="8">
        <v>0.23458433845181129</v>
      </c>
      <c r="AN16" s="8">
        <v>0.2479353587023122</v>
      </c>
      <c r="AO16" s="8">
        <v>0.36473497445927849</v>
      </c>
      <c r="AP16" s="8">
        <v>0.77135763651549794</v>
      </c>
      <c r="AQ16" s="8">
        <v>0</v>
      </c>
      <c r="AS16" s="6" t="s">
        <v>277</v>
      </c>
      <c r="AT16" s="6" t="s">
        <v>132</v>
      </c>
      <c r="AU16" s="8">
        <v>0</v>
      </c>
      <c r="AV16" s="8">
        <v>0</v>
      </c>
      <c r="AW16" s="8">
        <v>0</v>
      </c>
      <c r="AX16" s="8">
        <v>0.76381577733778638</v>
      </c>
      <c r="AY16" s="8">
        <v>0.26020909047303736</v>
      </c>
      <c r="AZ16" s="8">
        <v>0.18283917781731729</v>
      </c>
      <c r="BA16" s="8">
        <v>8.0673496960262658E-2</v>
      </c>
      <c r="BB16" s="8">
        <v>0.11391554924373275</v>
      </c>
      <c r="BC16" s="8">
        <v>0.21679431673153274</v>
      </c>
      <c r="BD16" s="8">
        <v>0</v>
      </c>
      <c r="BE16" s="8">
        <v>0</v>
      </c>
      <c r="BF16" s="8">
        <v>0.90782932960706453</v>
      </c>
      <c r="BG16" s="8">
        <v>0.43060136095216539</v>
      </c>
      <c r="BH16" s="8">
        <v>0.18621182895495986</v>
      </c>
      <c r="BI16" s="8">
        <v>0.11177237834458818</v>
      </c>
      <c r="BJ16" s="8">
        <v>6.401569607497419E-2</v>
      </c>
      <c r="BK16" s="8">
        <v>3.0045289004991097E-2</v>
      </c>
      <c r="BL16" s="7">
        <v>2.9777742900388818E-2</v>
      </c>
      <c r="BM16" s="8">
        <v>9.8919945169990933E-2</v>
      </c>
      <c r="BN16" s="8">
        <v>0.61604207595765914</v>
      </c>
      <c r="BO16" s="8">
        <v>0</v>
      </c>
      <c r="BP16" s="8">
        <v>0.68080879820226259</v>
      </c>
      <c r="BQ16" s="8">
        <v>0.23598508155717013</v>
      </c>
      <c r="BR16" s="8">
        <v>0.13014890150114131</v>
      </c>
      <c r="BS16" s="8">
        <v>0.10459265981034724</v>
      </c>
      <c r="BT16" s="8">
        <v>5.3180535490766699E-2</v>
      </c>
      <c r="BU16" s="8">
        <v>1.392561778223477E-2</v>
      </c>
      <c r="BV16" s="8">
        <v>1.582665258531386E-2</v>
      </c>
      <c r="BW16" s="8">
        <v>6.0675484025724799E-2</v>
      </c>
      <c r="BX16" s="8">
        <v>0.52637508704011271</v>
      </c>
      <c r="BY16" s="8">
        <v>0</v>
      </c>
      <c r="BZ16" s="8">
        <v>0</v>
      </c>
      <c r="CA16" s="8">
        <v>0.80004939345217363</v>
      </c>
      <c r="CB16" s="8">
        <v>0.29403569528831297</v>
      </c>
      <c r="CC16" s="8">
        <v>0.15424787509637122</v>
      </c>
      <c r="CD16" s="8">
        <v>8.5078071512635398E-2</v>
      </c>
      <c r="CE16" s="8">
        <v>5.384998018060843E-2</v>
      </c>
      <c r="CF16" s="8">
        <v>6.9365515632899541E-2</v>
      </c>
      <c r="CG16" s="8">
        <v>0.21312025186998471</v>
      </c>
      <c r="CH16" s="8">
        <v>0</v>
      </c>
      <c r="CJ16" s="6" t="s">
        <v>277</v>
      </c>
      <c r="CK16" s="6" t="s">
        <v>133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0.1139939019320983</v>
      </c>
      <c r="CS16" s="8">
        <v>0.2322542632239718</v>
      </c>
      <c r="CT16" s="8">
        <v>0.65431679437957846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9.5489052625912802E-3</v>
      </c>
      <c r="DA16" s="8">
        <v>4.2078499831466817E-2</v>
      </c>
      <c r="DB16" s="8">
        <v>7.0247187727818072E-2</v>
      </c>
      <c r="DC16" s="8">
        <v>7.0543530647343602E-2</v>
      </c>
      <c r="DD16" s="8">
        <v>7.2163716097659147E-2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7">
        <v>0</v>
      </c>
      <c r="DK16" s="8">
        <v>4.8610466594840612E-2</v>
      </c>
      <c r="DL16" s="8">
        <v>7.5808290434863271E-2</v>
      </c>
      <c r="DM16" s="8">
        <v>8.2571904350613637E-2</v>
      </c>
      <c r="DN16" s="8">
        <v>5.0428266710820568E-2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4.275389329075769E-2</v>
      </c>
      <c r="DV16" s="8">
        <v>0.10089957033246442</v>
      </c>
      <c r="DW16" s="8">
        <v>0.14864522995541626</v>
      </c>
      <c r="DX16" s="8">
        <v>0.14568659144483231</v>
      </c>
      <c r="DY16" s="8">
        <v>0</v>
      </c>
      <c r="EA16" s="6" t="s">
        <v>277</v>
      </c>
      <c r="EB16" s="6" t="s">
        <v>134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1.0132448979604731E-2</v>
      </c>
      <c r="EU16" s="8">
        <v>7.232906403195799E-2</v>
      </c>
      <c r="EV16" s="8">
        <v>0.14521177204350025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7">
        <v>5.3275173973883986E-3</v>
      </c>
      <c r="FE16" s="8">
        <v>7.5630964012710508E-2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1.2405280690858431E-2</v>
      </c>
      <c r="FO16" s="8">
        <v>0.28458743013869753</v>
      </c>
      <c r="FP16" s="8">
        <v>0</v>
      </c>
      <c r="FZ16" s="6" t="s">
        <v>277</v>
      </c>
      <c r="GA16" s="8">
        <v>0</v>
      </c>
      <c r="GB16" s="8">
        <v>0</v>
      </c>
      <c r="GC16" s="8">
        <v>0</v>
      </c>
      <c r="GD16" s="8">
        <v>1.0588013451898136E-2</v>
      </c>
      <c r="GE16" s="8">
        <v>0.13454462597953101</v>
      </c>
      <c r="GF16" s="8">
        <v>0.23357671771722319</v>
      </c>
      <c r="GG16" s="8">
        <v>0.19919752696854209</v>
      </c>
      <c r="GH16" s="8">
        <v>7.2695679281372383E-2</v>
      </c>
      <c r="GI16" s="8">
        <v>2.6266268207325891E-3</v>
      </c>
      <c r="GJ16" s="8">
        <v>0</v>
      </c>
      <c r="GK16" s="8">
        <v>0</v>
      </c>
      <c r="GL16" s="7">
        <v>3.4502489025020344E-5</v>
      </c>
      <c r="GM16" s="8">
        <v>1.7422656301533467E-2</v>
      </c>
      <c r="GN16" s="8">
        <v>0.17024917566431383</v>
      </c>
      <c r="GO16" s="8">
        <v>0.35771163230540237</v>
      </c>
      <c r="GP16" s="8">
        <v>0.4471151724009399</v>
      </c>
      <c r="GQ16" s="8">
        <v>0.41041376304361837</v>
      </c>
      <c r="GR16" s="8">
        <v>0.26568196490366364</v>
      </c>
      <c r="GS16" s="8">
        <v>7.1535391850416963E-2</v>
      </c>
      <c r="GT16" s="8">
        <v>1.4523159031715532E-3</v>
      </c>
      <c r="GU16" s="8">
        <v>0</v>
      </c>
      <c r="GV16" s="7">
        <v>3.9696059251177534E-4</v>
      </c>
      <c r="GW16" s="8">
        <v>3.4166628312679581E-2</v>
      </c>
      <c r="GX16" s="8">
        <v>0.20434295675579212</v>
      </c>
      <c r="GY16" s="8">
        <v>0.37234176854919493</v>
      </c>
      <c r="GZ16" s="8">
        <v>0.44071221557702961</v>
      </c>
      <c r="HA16" s="8">
        <v>0.4246743534802927</v>
      </c>
      <c r="HB16" s="8">
        <v>0.29368089411410553</v>
      </c>
      <c r="HC16" s="8">
        <v>0.10552721962808734</v>
      </c>
      <c r="HD16" s="8">
        <v>5.1989198624519464E-3</v>
      </c>
      <c r="HE16" s="8">
        <v>0</v>
      </c>
      <c r="HF16" s="8">
        <v>0</v>
      </c>
      <c r="HG16" s="7">
        <v>1.0871574102046581E-3</v>
      </c>
      <c r="HH16" s="8">
        <v>7.0718295813008397E-2</v>
      </c>
      <c r="HI16" s="8">
        <v>0.24899004989426726</v>
      </c>
      <c r="HJ16" s="8">
        <v>0.3124242421616974</v>
      </c>
      <c r="HK16" s="8">
        <v>0.25310294118060689</v>
      </c>
      <c r="HL16" s="8">
        <v>0.10763966687174786</v>
      </c>
      <c r="HM16" s="8">
        <v>1.0447308908231022E-2</v>
      </c>
      <c r="HN16" s="8">
        <v>0</v>
      </c>
      <c r="HP16" s="6" t="s">
        <v>277</v>
      </c>
      <c r="HQ16" s="6" t="s">
        <v>140</v>
      </c>
      <c r="HR16" s="6" t="s">
        <v>141</v>
      </c>
      <c r="HS16" s="8">
        <v>0.41658838575535306</v>
      </c>
    </row>
    <row r="17" spans="2:227" x14ac:dyDescent="0.45">
      <c r="B17" s="3" t="s">
        <v>278</v>
      </c>
      <c r="C17" s="3" t="s">
        <v>131</v>
      </c>
      <c r="D17" s="5">
        <v>0</v>
      </c>
      <c r="E17" s="5">
        <v>0</v>
      </c>
      <c r="F17" s="5">
        <v>0</v>
      </c>
      <c r="G17" s="5">
        <v>0.88057160742371832</v>
      </c>
      <c r="H17" s="5">
        <v>0.42152937207695279</v>
      </c>
      <c r="I17" s="5">
        <v>0.33494677497791447</v>
      </c>
      <c r="J17" s="5">
        <v>0.3463977450907339</v>
      </c>
      <c r="K17" s="5">
        <v>0.52637840661466817</v>
      </c>
      <c r="L17" s="5">
        <v>0.93333333333333335</v>
      </c>
      <c r="M17" s="5">
        <v>0</v>
      </c>
      <c r="N17" s="5">
        <v>0</v>
      </c>
      <c r="O17" s="5">
        <v>0.95630746428578428</v>
      </c>
      <c r="P17" s="5">
        <v>0.58966570361916248</v>
      </c>
      <c r="Q17" s="5">
        <v>0.33428075956526004</v>
      </c>
      <c r="R17" s="5">
        <v>0.23605068312262417</v>
      </c>
      <c r="S17" s="5">
        <v>0.20470956095624648</v>
      </c>
      <c r="T17" s="5">
        <v>0.19276342651684281</v>
      </c>
      <c r="U17" s="5">
        <v>0.20450886220362874</v>
      </c>
      <c r="V17" s="5">
        <v>0.37145035964457901</v>
      </c>
      <c r="W17" s="5">
        <v>0.85482798149178141</v>
      </c>
      <c r="X17" s="5">
        <v>0</v>
      </c>
      <c r="Y17" s="5">
        <v>0.79721514546528538</v>
      </c>
      <c r="Z17" s="5">
        <v>0.3442336507333647</v>
      </c>
      <c r="AA17" s="5">
        <v>0.22510980703426814</v>
      </c>
      <c r="AB17" s="5">
        <v>0.20364445047930668</v>
      </c>
      <c r="AC17" s="5">
        <v>0.18465943567300611</v>
      </c>
      <c r="AD17" s="5">
        <v>0.17991672014155852</v>
      </c>
      <c r="AE17" s="5">
        <v>0.18501719514661841</v>
      </c>
      <c r="AF17" s="5">
        <v>0.26619240946554057</v>
      </c>
      <c r="AG17" s="5">
        <v>0.66291244507825231</v>
      </c>
      <c r="AH17" s="5">
        <v>0</v>
      </c>
      <c r="AI17" s="5">
        <v>0</v>
      </c>
      <c r="AJ17" s="5">
        <v>0.89762102338499561</v>
      </c>
      <c r="AK17" s="5">
        <v>0.46323849685250718</v>
      </c>
      <c r="AL17" s="5">
        <v>0.28257349349276539</v>
      </c>
      <c r="AM17" s="5">
        <v>0.24515534952297205</v>
      </c>
      <c r="AN17" s="5">
        <v>0.258336072631207</v>
      </c>
      <c r="AO17" s="5">
        <v>0.38119568949591265</v>
      </c>
      <c r="AP17" s="5">
        <v>0.77397046528627234</v>
      </c>
      <c r="AQ17" s="5">
        <v>0</v>
      </c>
      <c r="AS17" s="3" t="s">
        <v>278</v>
      </c>
      <c r="AT17" s="3" t="s">
        <v>132</v>
      </c>
      <c r="AU17" s="5">
        <v>0</v>
      </c>
      <c r="AV17" s="5">
        <v>0</v>
      </c>
      <c r="AW17" s="5">
        <v>0</v>
      </c>
      <c r="AX17" s="5">
        <v>0.78850880868222617</v>
      </c>
      <c r="AY17" s="5">
        <v>0.2792221196855722</v>
      </c>
      <c r="AZ17" s="5">
        <v>0.20386229214139534</v>
      </c>
      <c r="BA17" s="5">
        <v>6.9668956490277642E-2</v>
      </c>
      <c r="BB17" s="5">
        <v>8.2135321974009745E-2</v>
      </c>
      <c r="BC17" s="5">
        <v>0.10476464289285138</v>
      </c>
      <c r="BD17" s="5">
        <v>0</v>
      </c>
      <c r="BE17" s="5">
        <v>0</v>
      </c>
      <c r="BF17" s="5">
        <v>0.92512352523298735</v>
      </c>
      <c r="BG17" s="5">
        <v>0.44335112466736842</v>
      </c>
      <c r="BH17" s="5">
        <v>0.20617176869207154</v>
      </c>
      <c r="BI17" s="5">
        <v>0.10553398455911939</v>
      </c>
      <c r="BJ17" s="5">
        <v>7.7148508246299263E-2</v>
      </c>
      <c r="BK17" s="5">
        <v>3.14145897101012E-2</v>
      </c>
      <c r="BL17" s="4">
        <v>2.4471200946636816E-2</v>
      </c>
      <c r="BM17" s="5">
        <v>8.0215160864426635E-2</v>
      </c>
      <c r="BN17" s="5">
        <v>0.57203264923318375</v>
      </c>
      <c r="BO17" s="5">
        <v>0</v>
      </c>
      <c r="BP17" s="5">
        <v>0.66993038893929902</v>
      </c>
      <c r="BQ17" s="5">
        <v>0.23364885824654347</v>
      </c>
      <c r="BR17" s="5">
        <v>0.14311080084726682</v>
      </c>
      <c r="BS17" s="5">
        <v>0.11271049897549495</v>
      </c>
      <c r="BT17" s="5">
        <v>4.5865954431941185E-2</v>
      </c>
      <c r="BU17" s="5">
        <v>2.7730301671679624E-2</v>
      </c>
      <c r="BV17" s="5">
        <v>2.5226744556150753E-2</v>
      </c>
      <c r="BW17" s="5">
        <v>6.1009459147941397E-2</v>
      </c>
      <c r="BX17" s="5">
        <v>0.51457487720906325</v>
      </c>
      <c r="BY17" s="5">
        <v>0</v>
      </c>
      <c r="BZ17" s="5">
        <v>0</v>
      </c>
      <c r="CA17" s="5">
        <v>0.81870928506543539</v>
      </c>
      <c r="CB17" s="5">
        <v>0.3134763782126388</v>
      </c>
      <c r="CC17" s="5">
        <v>0.16586909327040381</v>
      </c>
      <c r="CD17" s="5">
        <v>8.9313255972896799E-2</v>
      </c>
      <c r="CE17" s="5">
        <v>6.7162305298635483E-2</v>
      </c>
      <c r="CF17" s="5">
        <v>9.4578611558757866E-2</v>
      </c>
      <c r="CG17" s="5">
        <v>0.21006630228325091</v>
      </c>
      <c r="CH17" s="5">
        <v>0</v>
      </c>
      <c r="CJ17" s="3" t="s">
        <v>278</v>
      </c>
      <c r="CK17" s="3" t="s">
        <v>133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0.14675395666851521</v>
      </c>
      <c r="CS17" s="5">
        <v>0.28403060223007204</v>
      </c>
      <c r="CT17" s="5">
        <v>0.76931957037790943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1.8496084989416125E-2</v>
      </c>
      <c r="DA17" s="5">
        <v>3.7621526502446878E-2</v>
      </c>
      <c r="DB17" s="5">
        <v>7.3307278312461158E-2</v>
      </c>
      <c r="DC17" s="5">
        <v>7.4418861218669918E-2</v>
      </c>
      <c r="DD17" s="5">
        <v>9.8878747328062261E-2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4">
        <v>3.8839827044613476E-3</v>
      </c>
      <c r="DK17" s="5">
        <v>5.6801374355308541E-2</v>
      </c>
      <c r="DL17" s="5">
        <v>7.3875171240844612E-2</v>
      </c>
      <c r="DM17" s="5">
        <v>7.0938528824380828E-2</v>
      </c>
      <c r="DN17" s="5">
        <v>3.4038767390299415E-2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5.034467797515297E-2</v>
      </c>
      <c r="DV17" s="5">
        <v>9.1892487840944795E-2</v>
      </c>
      <c r="DW17" s="5">
        <v>0.13090736620457769</v>
      </c>
      <c r="DX17" s="5">
        <v>0.20186264530423542</v>
      </c>
      <c r="DY17" s="5">
        <v>0</v>
      </c>
      <c r="EA17" s="3" t="s">
        <v>278</v>
      </c>
      <c r="EB17" s="3" t="s">
        <v>134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1.7578171957183413E-3</v>
      </c>
      <c r="ET17" s="5">
        <v>2.3385856250539395E-2</v>
      </c>
      <c r="EU17" s="5">
        <v>6.5943386163957271E-2</v>
      </c>
      <c r="EV17" s="5">
        <v>0.17647941468047446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4">
        <v>1.2078407692389615E-2</v>
      </c>
      <c r="FE17" s="5">
        <v>8.1309415769688614E-2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1.8526882248164841E-2</v>
      </c>
      <c r="FO17" s="5">
        <v>0.2379212747728392</v>
      </c>
      <c r="FP17" s="5">
        <v>0</v>
      </c>
      <c r="FZ17" s="3" t="s">
        <v>278</v>
      </c>
      <c r="GA17" s="5">
        <v>0</v>
      </c>
      <c r="GB17" s="5">
        <v>0</v>
      </c>
      <c r="GC17" s="5">
        <v>0</v>
      </c>
      <c r="GD17" s="5">
        <v>8.9374312435249528E-3</v>
      </c>
      <c r="GE17" s="5">
        <v>0.11924435057772792</v>
      </c>
      <c r="GF17" s="5">
        <v>0.22032284910887462</v>
      </c>
      <c r="GG17" s="5">
        <v>0.18612382724386289</v>
      </c>
      <c r="GH17" s="5">
        <v>6.7726272884711169E-2</v>
      </c>
      <c r="GI17" s="5">
        <v>2.7351300278730976E-3</v>
      </c>
      <c r="GJ17" s="5">
        <v>0</v>
      </c>
      <c r="GK17" s="5">
        <v>0</v>
      </c>
      <c r="GL17" s="4">
        <v>4.1468556483354924E-5</v>
      </c>
      <c r="GM17" s="5">
        <v>1.6210431526019368E-2</v>
      </c>
      <c r="GN17" s="5">
        <v>0.15925215868641554</v>
      </c>
      <c r="GO17" s="5">
        <v>0.3368350716612265</v>
      </c>
      <c r="GP17" s="5">
        <v>0.40913653983816067</v>
      </c>
      <c r="GQ17" s="5">
        <v>0.38312376986171903</v>
      </c>
      <c r="GR17" s="5">
        <v>0.25542583222850668</v>
      </c>
      <c r="GS17" s="5">
        <v>7.1332367835758442E-2</v>
      </c>
      <c r="GT17" s="5">
        <v>1.5825953690947409E-3</v>
      </c>
      <c r="GU17" s="5">
        <v>0</v>
      </c>
      <c r="GV17" s="4">
        <v>5.2787855762193459E-4</v>
      </c>
      <c r="GW17" s="5">
        <v>3.432251504112268E-2</v>
      </c>
      <c r="GX17" s="5">
        <v>0.18844446699518941</v>
      </c>
      <c r="GY17" s="5">
        <v>0.34265586105522311</v>
      </c>
      <c r="GZ17" s="5">
        <v>0.41638077269029888</v>
      </c>
      <c r="HA17" s="5">
        <v>0.39171936753531922</v>
      </c>
      <c r="HB17" s="5">
        <v>0.27679984167369759</v>
      </c>
      <c r="HC17" s="5">
        <v>0.10181053580094691</v>
      </c>
      <c r="HD17" s="5">
        <v>5.6615850746122029E-3</v>
      </c>
      <c r="HE17" s="5">
        <v>0</v>
      </c>
      <c r="HF17" s="5">
        <v>0</v>
      </c>
      <c r="HG17" s="4">
        <v>9.9222663198084995E-4</v>
      </c>
      <c r="HH17" s="5">
        <v>6.4700437469770625E-2</v>
      </c>
      <c r="HI17" s="5">
        <v>0.21747075667363022</v>
      </c>
      <c r="HJ17" s="5">
        <v>0.28644352928379974</v>
      </c>
      <c r="HK17" s="5">
        <v>0.24179658091791117</v>
      </c>
      <c r="HL17" s="5">
        <v>0.10560946714156888</v>
      </c>
      <c r="HM17" s="5">
        <v>9.9861145422507364E-3</v>
      </c>
      <c r="HN17" s="5">
        <v>0</v>
      </c>
      <c r="HP17" s="3" t="s">
        <v>278</v>
      </c>
      <c r="HQ17" s="3" t="s">
        <v>140</v>
      </c>
      <c r="HR17" s="3" t="s">
        <v>141</v>
      </c>
      <c r="HS17" s="5">
        <v>0.37967830161286181</v>
      </c>
    </row>
    <row r="18" spans="2:227" x14ac:dyDescent="0.45">
      <c r="B18" s="6" t="s">
        <v>279</v>
      </c>
      <c r="C18" s="6" t="s">
        <v>131</v>
      </c>
      <c r="D18" s="8">
        <v>0</v>
      </c>
      <c r="E18" s="8">
        <v>0</v>
      </c>
      <c r="F18" s="8">
        <v>0</v>
      </c>
      <c r="G18" s="8">
        <v>0.87147312822505574</v>
      </c>
      <c r="H18" s="8">
        <v>0.41679061438843884</v>
      </c>
      <c r="I18" s="8">
        <v>0.33737168797013245</v>
      </c>
      <c r="J18" s="8">
        <v>0.34383357390214836</v>
      </c>
      <c r="K18" s="8">
        <v>0.52761316966329441</v>
      </c>
      <c r="L18" s="8">
        <v>0.93888888888888866</v>
      </c>
      <c r="M18" s="8">
        <v>0</v>
      </c>
      <c r="N18" s="8">
        <v>0</v>
      </c>
      <c r="O18" s="8">
        <v>0.94263273061550634</v>
      </c>
      <c r="P18" s="8">
        <v>0.56755901190336489</v>
      </c>
      <c r="Q18" s="8">
        <v>0.31578966135604003</v>
      </c>
      <c r="R18" s="8">
        <v>0.22929222924518347</v>
      </c>
      <c r="S18" s="8">
        <v>0.20232793873818677</v>
      </c>
      <c r="T18" s="8">
        <v>0.18834988397823935</v>
      </c>
      <c r="U18" s="8">
        <v>0.20289724659828276</v>
      </c>
      <c r="V18" s="8">
        <v>0.37924187864778774</v>
      </c>
      <c r="W18" s="8">
        <v>0.85708273415865921</v>
      </c>
      <c r="X18" s="8">
        <v>0</v>
      </c>
      <c r="Y18" s="8">
        <v>0.77555319699084013</v>
      </c>
      <c r="Z18" s="8">
        <v>0.34045633579026574</v>
      </c>
      <c r="AA18" s="8">
        <v>0.21276223663114471</v>
      </c>
      <c r="AB18" s="8">
        <v>0.18511573676825144</v>
      </c>
      <c r="AC18" s="8">
        <v>0.17156614596097</v>
      </c>
      <c r="AD18" s="8">
        <v>0.17058768186619364</v>
      </c>
      <c r="AE18" s="8">
        <v>0.17435674690020311</v>
      </c>
      <c r="AF18" s="8">
        <v>0.26689648145325062</v>
      </c>
      <c r="AG18" s="8">
        <v>0.67160845523376578</v>
      </c>
      <c r="AH18" s="8">
        <v>0</v>
      </c>
      <c r="AI18" s="8">
        <v>0</v>
      </c>
      <c r="AJ18" s="8">
        <v>0.88498092552041352</v>
      </c>
      <c r="AK18" s="8">
        <v>0.44902046192989503</v>
      </c>
      <c r="AL18" s="8">
        <v>0.26734505711646139</v>
      </c>
      <c r="AM18" s="8">
        <v>0.23294603760705948</v>
      </c>
      <c r="AN18" s="8">
        <v>0.25699732909778783</v>
      </c>
      <c r="AO18" s="8">
        <v>0.38262435623076874</v>
      </c>
      <c r="AP18" s="8">
        <v>0.77852047581644213</v>
      </c>
      <c r="AQ18" s="8">
        <v>0</v>
      </c>
      <c r="AS18" s="6" t="s">
        <v>279</v>
      </c>
      <c r="AT18" s="6" t="s">
        <v>132</v>
      </c>
      <c r="AU18" s="8">
        <v>0</v>
      </c>
      <c r="AV18" s="8">
        <v>0</v>
      </c>
      <c r="AW18" s="8">
        <v>0</v>
      </c>
      <c r="AX18" s="8">
        <v>0.77609994914612013</v>
      </c>
      <c r="AY18" s="8">
        <v>0.27137131355054162</v>
      </c>
      <c r="AZ18" s="8">
        <v>0.1925751256738632</v>
      </c>
      <c r="BA18" s="8">
        <v>7.158954822345856E-2</v>
      </c>
      <c r="BB18" s="8">
        <v>8.0260138947734427E-2</v>
      </c>
      <c r="BC18" s="8">
        <v>0.10822092318019966</v>
      </c>
      <c r="BD18" s="8">
        <v>0</v>
      </c>
      <c r="BE18" s="8">
        <v>0</v>
      </c>
      <c r="BF18" s="8">
        <v>0.89140269090814206</v>
      </c>
      <c r="BG18" s="8">
        <v>0.41805573985636268</v>
      </c>
      <c r="BH18" s="8">
        <v>0.19417862268816988</v>
      </c>
      <c r="BI18" s="8">
        <v>0.10771018984732808</v>
      </c>
      <c r="BJ18" s="8">
        <v>6.3258288047743264E-2</v>
      </c>
      <c r="BK18" s="8">
        <v>2.8208023276199288E-2</v>
      </c>
      <c r="BL18" s="7">
        <v>2.7301020979887975E-2</v>
      </c>
      <c r="BM18" s="8">
        <v>7.5677476917561798E-2</v>
      </c>
      <c r="BN18" s="8">
        <v>0.50842238224284397</v>
      </c>
      <c r="BO18" s="8">
        <v>0</v>
      </c>
      <c r="BP18" s="8">
        <v>0.62679761971247916</v>
      </c>
      <c r="BQ18" s="8">
        <v>0.22745703070651158</v>
      </c>
      <c r="BR18" s="8">
        <v>0.13379693435727086</v>
      </c>
      <c r="BS18" s="8">
        <v>0.10747932811091217</v>
      </c>
      <c r="BT18" s="8">
        <v>3.8805139424573379E-2</v>
      </c>
      <c r="BU18" s="8">
        <v>2.1772503292934876E-2</v>
      </c>
      <c r="BV18" s="8">
        <v>2.3695761207535842E-2</v>
      </c>
      <c r="BW18" s="8">
        <v>6.4518784663386883E-2</v>
      </c>
      <c r="BX18" s="8">
        <v>0.5200793086599883</v>
      </c>
      <c r="BY18" s="8">
        <v>0</v>
      </c>
      <c r="BZ18" s="8">
        <v>0</v>
      </c>
      <c r="CA18" s="8">
        <v>0.80063263207432422</v>
      </c>
      <c r="CB18" s="8">
        <v>0.29905892726306804</v>
      </c>
      <c r="CC18" s="8">
        <v>0.15451300739819826</v>
      </c>
      <c r="CD18" s="8">
        <v>9.1545135497017913E-2</v>
      </c>
      <c r="CE18" s="8">
        <v>4.9898466522878063E-2</v>
      </c>
      <c r="CF18" s="8">
        <v>8.1970734126177502E-2</v>
      </c>
      <c r="CG18" s="8">
        <v>0.25762399350286297</v>
      </c>
      <c r="CH18" s="8">
        <v>0</v>
      </c>
      <c r="CJ18" s="6" t="s">
        <v>279</v>
      </c>
      <c r="CK18" s="6" t="s">
        <v>133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0.1358715589837998</v>
      </c>
      <c r="CS18" s="8">
        <v>0.28183363881042056</v>
      </c>
      <c r="CT18" s="8">
        <v>0.77329142249881289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1.0925344505724697E-2</v>
      </c>
      <c r="DA18" s="8">
        <v>4.4511217450957243E-2</v>
      </c>
      <c r="DB18" s="8">
        <v>7.4061643869055033E-2</v>
      </c>
      <c r="DC18" s="8">
        <v>7.5561691271524803E-2</v>
      </c>
      <c r="DD18" s="8">
        <v>9.850348699802329E-2</v>
      </c>
      <c r="DE18" s="8">
        <v>6.3513777507571215E-2</v>
      </c>
      <c r="DF18" s="8">
        <v>0</v>
      </c>
      <c r="DG18" s="8">
        <v>0</v>
      </c>
      <c r="DH18" s="8">
        <v>0</v>
      </c>
      <c r="DI18" s="8">
        <v>0</v>
      </c>
      <c r="DJ18" s="7">
        <v>9.1267999666037414E-4</v>
      </c>
      <c r="DK18" s="8">
        <v>5.7584500990388067E-2</v>
      </c>
      <c r="DL18" s="8">
        <v>7.5499638986441409E-2</v>
      </c>
      <c r="DM18" s="8">
        <v>7.1591322084239253E-2</v>
      </c>
      <c r="DN18" s="8">
        <v>2.2330119013121343E-2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4.1011801156328756E-2</v>
      </c>
      <c r="DV18" s="8">
        <v>0.10160085912099749</v>
      </c>
      <c r="DW18" s="8">
        <v>0.1506073378502947</v>
      </c>
      <c r="DX18" s="8">
        <v>0.137553992754884</v>
      </c>
      <c r="DY18" s="8">
        <v>0</v>
      </c>
      <c r="EA18" s="6" t="s">
        <v>279</v>
      </c>
      <c r="EB18" s="6" t="s">
        <v>134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1.6790100339798605E-2</v>
      </c>
      <c r="EU18" s="8">
        <v>7.1961133354337126E-2</v>
      </c>
      <c r="EV18" s="8">
        <v>0.17814259187636761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7">
        <v>7.1778337355812814E-3</v>
      </c>
      <c r="FE18" s="8">
        <v>8.9252105064464807E-2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1.5901292951466407E-2</v>
      </c>
      <c r="FO18" s="8">
        <v>0.25934535374793721</v>
      </c>
      <c r="FP18" s="8">
        <v>0</v>
      </c>
      <c r="FZ18" s="6" t="s">
        <v>279</v>
      </c>
      <c r="GA18" s="8">
        <v>0</v>
      </c>
      <c r="GB18" s="8">
        <v>0</v>
      </c>
      <c r="GC18" s="8">
        <v>0</v>
      </c>
      <c r="GD18" s="8">
        <v>1.0345525269815447E-2</v>
      </c>
      <c r="GE18" s="8">
        <v>0.12862781758473679</v>
      </c>
      <c r="GF18" s="8">
        <v>0.22975373201784216</v>
      </c>
      <c r="GG18" s="8">
        <v>0.19163102208628233</v>
      </c>
      <c r="GH18" s="8">
        <v>6.4926320689509376E-2</v>
      </c>
      <c r="GI18" s="8">
        <v>2.1832291061409945E-3</v>
      </c>
      <c r="GJ18" s="8">
        <v>0</v>
      </c>
      <c r="GK18" s="8">
        <v>0</v>
      </c>
      <c r="GL18" s="7">
        <v>7.5648420263652795E-5</v>
      </c>
      <c r="GM18" s="8">
        <v>1.8441520508852421E-2</v>
      </c>
      <c r="GN18" s="8">
        <v>0.16567545641491929</v>
      </c>
      <c r="GO18" s="8">
        <v>0.34973988638934472</v>
      </c>
      <c r="GP18" s="8">
        <v>0.42849091978034975</v>
      </c>
      <c r="GQ18" s="8">
        <v>0.39736882883748559</v>
      </c>
      <c r="GR18" s="8">
        <v>0.26107588582976521</v>
      </c>
      <c r="GS18" s="8">
        <v>6.9813327292306881E-2</v>
      </c>
      <c r="GT18" s="8">
        <v>1.4577314589309127E-3</v>
      </c>
      <c r="GU18" s="8">
        <v>0</v>
      </c>
      <c r="GV18" s="7">
        <v>6.7581546314505916E-4</v>
      </c>
      <c r="GW18" s="8">
        <v>3.7215453894956861E-2</v>
      </c>
      <c r="GX18" s="8">
        <v>0.20016287836862343</v>
      </c>
      <c r="GY18" s="8">
        <v>0.36245496758562168</v>
      </c>
      <c r="GZ18" s="8">
        <v>0.42961496565150997</v>
      </c>
      <c r="HA18" s="8">
        <v>0.40136306288610807</v>
      </c>
      <c r="HB18" s="8">
        <v>0.28393593336178707</v>
      </c>
      <c r="HC18" s="8">
        <v>0.10283834924600359</v>
      </c>
      <c r="HD18" s="8">
        <v>5.540975690480501E-3</v>
      </c>
      <c r="HE18" s="8">
        <v>0</v>
      </c>
      <c r="HF18" s="8">
        <v>0</v>
      </c>
      <c r="HG18" s="7">
        <v>1.2666799872916757E-3</v>
      </c>
      <c r="HH18" s="8">
        <v>7.0668953699213624E-2</v>
      </c>
      <c r="HI18" s="8">
        <v>0.23367118628161562</v>
      </c>
      <c r="HJ18" s="8">
        <v>0.302817847512174</v>
      </c>
      <c r="HK18" s="8">
        <v>0.25127102141245899</v>
      </c>
      <c r="HL18" s="8">
        <v>0.10650650515975857</v>
      </c>
      <c r="HM18" s="8">
        <v>9.9929362373503989E-3</v>
      </c>
      <c r="HN18" s="8">
        <v>0</v>
      </c>
      <c r="HP18" s="6" t="s">
        <v>279</v>
      </c>
      <c r="HQ18" s="6" t="s">
        <v>140</v>
      </c>
      <c r="HR18" s="6" t="s">
        <v>141</v>
      </c>
      <c r="HS18" s="8">
        <v>0.39278636146237395</v>
      </c>
    </row>
    <row r="19" spans="2:227" x14ac:dyDescent="0.45">
      <c r="B19" s="3" t="s">
        <v>280</v>
      </c>
      <c r="C19" s="3" t="s">
        <v>131</v>
      </c>
      <c r="D19" s="5">
        <v>0</v>
      </c>
      <c r="E19" s="5">
        <v>0</v>
      </c>
      <c r="F19" s="5">
        <v>0</v>
      </c>
      <c r="G19" s="5">
        <v>0.87093450874223599</v>
      </c>
      <c r="H19" s="5">
        <v>0.35504454030064175</v>
      </c>
      <c r="I19" s="5">
        <v>0.2841071217106767</v>
      </c>
      <c r="J19" s="5">
        <v>0.31363618299694385</v>
      </c>
      <c r="K19" s="5">
        <v>0.46072935727877601</v>
      </c>
      <c r="L19" s="5">
        <v>0.89904679206602856</v>
      </c>
      <c r="M19" s="5">
        <v>0</v>
      </c>
      <c r="N19" s="5">
        <v>0</v>
      </c>
      <c r="O19" s="5">
        <v>0.98913043478260898</v>
      </c>
      <c r="P19" s="5">
        <v>0.59777900984645693</v>
      </c>
      <c r="Q19" s="5">
        <v>0.27639027980906211</v>
      </c>
      <c r="R19" s="5">
        <v>0.18152531898231308</v>
      </c>
      <c r="S19" s="5">
        <v>0.15926900026734181</v>
      </c>
      <c r="T19" s="5">
        <v>0.16042598437269867</v>
      </c>
      <c r="U19" s="5">
        <v>0.18665513279614354</v>
      </c>
      <c r="V19" s="5">
        <v>0.34549551897827302</v>
      </c>
      <c r="W19" s="5">
        <v>0.83917772713991923</v>
      </c>
      <c r="X19" s="5">
        <v>0</v>
      </c>
      <c r="Y19" s="5">
        <v>0.86857385031675838</v>
      </c>
      <c r="Z19" s="5">
        <v>0.35966504835246643</v>
      </c>
      <c r="AA19" s="5">
        <v>0.20909673165021436</v>
      </c>
      <c r="AB19" s="5">
        <v>0.15622806399238076</v>
      </c>
      <c r="AC19" s="5">
        <v>0.13745171682719565</v>
      </c>
      <c r="AD19" s="5">
        <v>0.14810184411681618</v>
      </c>
      <c r="AE19" s="5">
        <v>0.16562212667180665</v>
      </c>
      <c r="AF19" s="5">
        <v>0.24738602595309145</v>
      </c>
      <c r="AG19" s="5">
        <v>0.63779038380553332</v>
      </c>
      <c r="AH19" s="5">
        <v>0</v>
      </c>
      <c r="AI19" s="5">
        <v>0</v>
      </c>
      <c r="AJ19" s="5">
        <v>0.91698201686585479</v>
      </c>
      <c r="AK19" s="5">
        <v>0.45514485932155435</v>
      </c>
      <c r="AL19" s="5">
        <v>0.25820679907134969</v>
      </c>
      <c r="AM19" s="5">
        <v>0.19542580852729097</v>
      </c>
      <c r="AN19" s="5">
        <v>0.20281639309388422</v>
      </c>
      <c r="AO19" s="5">
        <v>0.32034664047973049</v>
      </c>
      <c r="AP19" s="5">
        <v>0.7170385376986107</v>
      </c>
      <c r="AQ19" s="5">
        <v>0</v>
      </c>
      <c r="AS19" s="3" t="s">
        <v>280</v>
      </c>
      <c r="AT19" s="3" t="s">
        <v>132</v>
      </c>
      <c r="AU19" s="5">
        <v>0</v>
      </c>
      <c r="AV19" s="5">
        <v>0</v>
      </c>
      <c r="AW19" s="5">
        <v>0</v>
      </c>
      <c r="AX19" s="5">
        <v>0.77212262047269153</v>
      </c>
      <c r="AY19" s="5">
        <v>0.23554867863525314</v>
      </c>
      <c r="AZ19" s="5">
        <v>0.16888226140658763</v>
      </c>
      <c r="BA19" s="5">
        <v>8.8715085608622443E-2</v>
      </c>
      <c r="BB19" s="5">
        <v>6.2031281818555967E-2</v>
      </c>
      <c r="BC19" s="5">
        <v>0.12470801747116302</v>
      </c>
      <c r="BD19" s="5">
        <v>0</v>
      </c>
      <c r="BE19" s="5">
        <v>0</v>
      </c>
      <c r="BF19" s="5">
        <v>0.9783790170132326</v>
      </c>
      <c r="BG19" s="5">
        <v>0.44737982193232328</v>
      </c>
      <c r="BH19" s="5">
        <v>0.17371218536380953</v>
      </c>
      <c r="BI19" s="5">
        <v>8.6752224133971434E-2</v>
      </c>
      <c r="BJ19" s="5">
        <v>6.1596055044094079E-2</v>
      </c>
      <c r="BK19" s="5">
        <v>2.3051161814414863E-2</v>
      </c>
      <c r="BL19" s="4">
        <v>1.6283565711134838E-2</v>
      </c>
      <c r="BM19" s="5">
        <v>8.3692397017958858E-2</v>
      </c>
      <c r="BN19" s="5">
        <v>0.57712490833473684</v>
      </c>
      <c r="BO19" s="5">
        <v>0</v>
      </c>
      <c r="BP19" s="5">
        <v>0.76944313913930196</v>
      </c>
      <c r="BQ19" s="5">
        <v>0.24650060845344088</v>
      </c>
      <c r="BR19" s="5">
        <v>0.12996001289109682</v>
      </c>
      <c r="BS19" s="5">
        <v>8.1245244053081256E-2</v>
      </c>
      <c r="BT19" s="5">
        <v>3.921332241577364E-2</v>
      </c>
      <c r="BU19" s="5">
        <v>2.3326155591029994E-2</v>
      </c>
      <c r="BV19" s="5">
        <v>2.9171865070902345E-2</v>
      </c>
      <c r="BW19" s="5">
        <v>5.1225257674074855E-2</v>
      </c>
      <c r="BX19" s="5">
        <v>0.46054109172400448</v>
      </c>
      <c r="BY19" s="5">
        <v>0</v>
      </c>
      <c r="BZ19" s="5">
        <v>0</v>
      </c>
      <c r="CA19" s="5">
        <v>0.84719398290204595</v>
      </c>
      <c r="CB19" s="5">
        <v>0.30852801263322371</v>
      </c>
      <c r="CC19" s="5">
        <v>0.15585584898992338</v>
      </c>
      <c r="CD19" s="5">
        <v>7.8583878118477335E-2</v>
      </c>
      <c r="CE19" s="5">
        <v>3.1324881500027456E-2</v>
      </c>
      <c r="CF19" s="5">
        <v>4.3273055164115809E-2</v>
      </c>
      <c r="CG19" s="5">
        <v>0.19316467126680464</v>
      </c>
      <c r="CH19" s="5">
        <v>0</v>
      </c>
      <c r="CJ19" s="3" t="s">
        <v>280</v>
      </c>
      <c r="CK19" s="3" t="s">
        <v>133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9.9662862218546255E-2</v>
      </c>
      <c r="CS19" s="5">
        <v>0.24882978644685649</v>
      </c>
      <c r="CT19" s="5">
        <v>0.69727487603830085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7.509446441740752E-3</v>
      </c>
      <c r="DA19" s="5">
        <v>1.876322841070065E-2</v>
      </c>
      <c r="DB19" s="5">
        <v>6.1259888736474255E-2</v>
      </c>
      <c r="DC19" s="5">
        <v>8.1202721178979351E-2</v>
      </c>
      <c r="DD19" s="5">
        <v>8.5233539861266111E-2</v>
      </c>
      <c r="DE19" s="5">
        <v>4.2097086551764321E-2</v>
      </c>
      <c r="DF19" s="5">
        <v>0</v>
      </c>
      <c r="DG19" s="5">
        <v>0</v>
      </c>
      <c r="DH19" s="5">
        <v>0</v>
      </c>
      <c r="DI19" s="5">
        <v>0</v>
      </c>
      <c r="DJ19" s="4">
        <v>3.5832683182065151E-3</v>
      </c>
      <c r="DK19" s="5">
        <v>2.9713516854571596E-2</v>
      </c>
      <c r="DL19" s="5">
        <v>5.1677964887889477E-2</v>
      </c>
      <c r="DM19" s="5">
        <v>6.0817403617043492E-2</v>
      </c>
      <c r="DN19" s="5">
        <v>6.4471802432761169E-2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3.6520653866190966E-2</v>
      </c>
      <c r="DV19" s="5">
        <v>8.9909843572769627E-2</v>
      </c>
      <c r="DW19" s="5">
        <v>0.14211307865127554</v>
      </c>
      <c r="DX19" s="5">
        <v>0.12827744791305115</v>
      </c>
      <c r="DY19" s="5">
        <v>0</v>
      </c>
      <c r="EA19" s="3" t="s">
        <v>280</v>
      </c>
      <c r="EB19" s="3" t="s">
        <v>134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3.5733772804544687E-3</v>
      </c>
      <c r="ET19" s="5">
        <v>1.0074761588998931E-2</v>
      </c>
      <c r="EU19" s="5">
        <v>5.7228520837822032E-2</v>
      </c>
      <c r="EV19" s="5">
        <v>0.11352925593183555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4">
        <v>6.3144743569597847E-4</v>
      </c>
      <c r="FE19" s="5">
        <v>4.1312703714994167E-2</v>
      </c>
      <c r="FF19" s="5">
        <v>1.8991881453522059E-2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1.6280256199337959E-2</v>
      </c>
      <c r="FO19" s="5">
        <v>0.2347559715590721</v>
      </c>
      <c r="FP19" s="5">
        <v>0</v>
      </c>
      <c r="FZ19" s="3" t="s">
        <v>280</v>
      </c>
      <c r="GA19" s="5">
        <v>0</v>
      </c>
      <c r="GB19" s="5">
        <v>0</v>
      </c>
      <c r="GC19" s="5">
        <v>0</v>
      </c>
      <c r="GD19" s="5">
        <v>7.3340972579698099E-3</v>
      </c>
      <c r="GE19" s="5">
        <v>0.12124625197468701</v>
      </c>
      <c r="GF19" s="5">
        <v>0.22873888792084643</v>
      </c>
      <c r="GG19" s="5">
        <v>0.21006582877661908</v>
      </c>
      <c r="GH19" s="5">
        <v>8.7823631464858692E-2</v>
      </c>
      <c r="GI19" s="5">
        <v>4.0572151442497401E-3</v>
      </c>
      <c r="GJ19" s="5">
        <v>0</v>
      </c>
      <c r="GK19" s="5">
        <v>0</v>
      </c>
      <c r="GL19" s="4">
        <v>0</v>
      </c>
      <c r="GM19" s="5">
        <v>1.2284078975269466E-2</v>
      </c>
      <c r="GN19" s="5">
        <v>0.15898450696865665</v>
      </c>
      <c r="GO19" s="5">
        <v>0.38289636022655932</v>
      </c>
      <c r="GP19" s="5">
        <v>0.47741687502985242</v>
      </c>
      <c r="GQ19" s="5">
        <v>0.44101662654906165</v>
      </c>
      <c r="GR19" s="5">
        <v>0.29202746341789604</v>
      </c>
      <c r="GS19" s="5">
        <v>8.3720605645798404E-2</v>
      </c>
      <c r="GT19" s="5">
        <v>1.8010892108136123E-3</v>
      </c>
      <c r="GU19" s="5">
        <v>0</v>
      </c>
      <c r="GV19" s="4">
        <v>4.4212868158040292E-5</v>
      </c>
      <c r="GW19" s="5">
        <v>2.5234996455718407E-2</v>
      </c>
      <c r="GX19" s="5">
        <v>0.17853842815187645</v>
      </c>
      <c r="GY19" s="5">
        <v>0.36857403391362592</v>
      </c>
      <c r="GZ19" s="5">
        <v>0.46851119114203454</v>
      </c>
      <c r="HA19" s="5">
        <v>0.43963709484153063</v>
      </c>
      <c r="HB19" s="5">
        <v>0.31830552345196211</v>
      </c>
      <c r="HC19" s="5">
        <v>0.12184805230763636</v>
      </c>
      <c r="HD19" s="5">
        <v>6.7289066701372588E-3</v>
      </c>
      <c r="HE19" s="5">
        <v>0</v>
      </c>
      <c r="HF19" s="5">
        <v>0</v>
      </c>
      <c r="HG19" s="4">
        <v>3.9145817482593478E-4</v>
      </c>
      <c r="HH19" s="5">
        <v>5.9264625047814823E-2</v>
      </c>
      <c r="HI19" s="5">
        <v>0.21820237727790323</v>
      </c>
      <c r="HJ19" s="5">
        <v>0.30932437372128119</v>
      </c>
      <c r="HK19" s="5">
        <v>0.27406301726905913</v>
      </c>
      <c r="HL19" s="5">
        <v>0.12866757830716982</v>
      </c>
      <c r="HM19" s="5">
        <v>1.4259972599014082E-2</v>
      </c>
      <c r="HN19" s="5">
        <v>0</v>
      </c>
      <c r="HP19" s="3" t="s">
        <v>280</v>
      </c>
      <c r="HQ19" s="3" t="s">
        <v>140</v>
      </c>
      <c r="HR19" s="3" t="s">
        <v>141</v>
      </c>
      <c r="HS19" s="5">
        <v>0.41274442979077519</v>
      </c>
    </row>
    <row r="20" spans="2:227" x14ac:dyDescent="0.45">
      <c r="B20" s="6" t="s">
        <v>281</v>
      </c>
      <c r="C20" s="6" t="s">
        <v>131</v>
      </c>
      <c r="D20" s="8">
        <v>0</v>
      </c>
      <c r="E20" s="8">
        <v>0</v>
      </c>
      <c r="F20" s="8">
        <v>0</v>
      </c>
      <c r="G20" s="8">
        <v>0.84508117729965493</v>
      </c>
      <c r="H20" s="8">
        <v>0.3614305390164001</v>
      </c>
      <c r="I20" s="8">
        <v>0.27919092227855952</v>
      </c>
      <c r="J20" s="8">
        <v>0.30902784845398473</v>
      </c>
      <c r="K20" s="8">
        <v>0.50544002000455868</v>
      </c>
      <c r="L20" s="8">
        <v>0.92275042864976897</v>
      </c>
      <c r="M20" s="8">
        <v>0</v>
      </c>
      <c r="N20" s="8">
        <v>0</v>
      </c>
      <c r="O20" s="8">
        <v>0.97325780252323335</v>
      </c>
      <c r="P20" s="8">
        <v>0.57829128386876705</v>
      </c>
      <c r="Q20" s="8">
        <v>0.29474675453348209</v>
      </c>
      <c r="R20" s="8">
        <v>0.20132157631228551</v>
      </c>
      <c r="S20" s="8">
        <v>0.17247129890621196</v>
      </c>
      <c r="T20" s="8">
        <v>0.16735664191643795</v>
      </c>
      <c r="U20" s="8">
        <v>0.18518581107590915</v>
      </c>
      <c r="V20" s="8">
        <v>0.37617585710300327</v>
      </c>
      <c r="W20" s="8">
        <v>0.8667455285087482</v>
      </c>
      <c r="X20" s="8">
        <v>0</v>
      </c>
      <c r="Y20" s="8">
        <v>0.82845175132389126</v>
      </c>
      <c r="Z20" s="8">
        <v>0.35743786506628566</v>
      </c>
      <c r="AA20" s="8">
        <v>0.20173861417538261</v>
      </c>
      <c r="AB20" s="8">
        <v>0.15851139115442467</v>
      </c>
      <c r="AC20" s="8">
        <v>0.15527410495156541</v>
      </c>
      <c r="AD20" s="8">
        <v>0.15057894013585277</v>
      </c>
      <c r="AE20" s="8">
        <v>0.1688259442626307</v>
      </c>
      <c r="AF20" s="8">
        <v>0.28392989613346392</v>
      </c>
      <c r="AG20" s="8">
        <v>0.70114481054243849</v>
      </c>
      <c r="AH20" s="8">
        <v>0</v>
      </c>
      <c r="AI20" s="8">
        <v>0</v>
      </c>
      <c r="AJ20" s="8">
        <v>0.89037956204580104</v>
      </c>
      <c r="AK20" s="8">
        <v>0.42349235341008967</v>
      </c>
      <c r="AL20" s="8">
        <v>0.24994098774576404</v>
      </c>
      <c r="AM20" s="8">
        <v>0.22508438281555607</v>
      </c>
      <c r="AN20" s="8">
        <v>0.22947440368663849</v>
      </c>
      <c r="AO20" s="8">
        <v>0.36317101708022659</v>
      </c>
      <c r="AP20" s="8">
        <v>0.75686177961953316</v>
      </c>
      <c r="AQ20" s="8">
        <v>0</v>
      </c>
      <c r="AS20" s="6" t="s">
        <v>281</v>
      </c>
      <c r="AT20" s="6" t="s">
        <v>132</v>
      </c>
      <c r="AU20" s="8">
        <v>0</v>
      </c>
      <c r="AV20" s="8">
        <v>0</v>
      </c>
      <c r="AW20" s="8">
        <v>0</v>
      </c>
      <c r="AX20" s="8">
        <v>0.73808257734159644</v>
      </c>
      <c r="AY20" s="8">
        <v>0.23026999630531741</v>
      </c>
      <c r="AZ20" s="8">
        <v>0.16539758070807753</v>
      </c>
      <c r="BA20" s="8">
        <v>8.8806740353200436E-2</v>
      </c>
      <c r="BB20" s="8">
        <v>7.8100898491110168E-2</v>
      </c>
      <c r="BC20" s="8">
        <v>0.28974685564343883</v>
      </c>
      <c r="BD20" s="8">
        <v>0</v>
      </c>
      <c r="BE20" s="8">
        <v>0</v>
      </c>
      <c r="BF20" s="8">
        <v>0.95210002420751094</v>
      </c>
      <c r="BG20" s="8">
        <v>0.4337748544639955</v>
      </c>
      <c r="BH20" s="8">
        <v>0.17311672865842428</v>
      </c>
      <c r="BI20" s="8">
        <v>0.1015055475406</v>
      </c>
      <c r="BJ20" s="8">
        <v>5.9171732469176203E-2</v>
      </c>
      <c r="BK20" s="8">
        <v>3.1058591560968383E-2</v>
      </c>
      <c r="BL20" s="7">
        <v>4.3533590781095963E-2</v>
      </c>
      <c r="BM20" s="8">
        <v>0.10928457072208507</v>
      </c>
      <c r="BN20" s="8">
        <v>0.56502173019375046</v>
      </c>
      <c r="BO20" s="8">
        <v>0</v>
      </c>
      <c r="BP20" s="8">
        <v>0.70430887901504868</v>
      </c>
      <c r="BQ20" s="8">
        <v>0.23773656813603566</v>
      </c>
      <c r="BR20" s="8">
        <v>0.1215746997051929</v>
      </c>
      <c r="BS20" s="8">
        <v>8.9820591271409816E-2</v>
      </c>
      <c r="BT20" s="8">
        <v>4.3569340008922666E-2</v>
      </c>
      <c r="BU20" s="8">
        <v>1.4055615819311975E-2</v>
      </c>
      <c r="BV20" s="8">
        <v>2.1330407400163752E-2</v>
      </c>
      <c r="BW20" s="8">
        <v>7.2269943399066242E-2</v>
      </c>
      <c r="BX20" s="8">
        <v>0.54229386953030279</v>
      </c>
      <c r="BY20" s="8">
        <v>0</v>
      </c>
      <c r="BZ20" s="8">
        <v>0</v>
      </c>
      <c r="CA20" s="8">
        <v>0.8043771130577122</v>
      </c>
      <c r="CB20" s="8">
        <v>0.28121525347388587</v>
      </c>
      <c r="CC20" s="8">
        <v>0.15100527383074611</v>
      </c>
      <c r="CD20" s="8">
        <v>8.2078069814322349E-2</v>
      </c>
      <c r="CE20" s="8">
        <v>3.7573500388381725E-2</v>
      </c>
      <c r="CF20" s="8">
        <v>6.9076592991825031E-2</v>
      </c>
      <c r="CG20" s="8">
        <v>0.21181007990588047</v>
      </c>
      <c r="CH20" s="8">
        <v>0</v>
      </c>
      <c r="CJ20" s="6" t="s">
        <v>281</v>
      </c>
      <c r="CK20" s="6" t="s">
        <v>133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9.6124622004074206E-2</v>
      </c>
      <c r="CS20" s="8">
        <v>0.25947882225238539</v>
      </c>
      <c r="CT20" s="8">
        <v>0.56887498880196907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4.0302539477741622E-3</v>
      </c>
      <c r="DA20" s="8">
        <v>2.8422487985695299E-2</v>
      </c>
      <c r="DB20" s="8">
        <v>5.5452612670130123E-2</v>
      </c>
      <c r="DC20" s="8">
        <v>5.7136902693578538E-2</v>
      </c>
      <c r="DD20" s="8">
        <v>9.5211141230357274E-2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7">
        <v>0</v>
      </c>
      <c r="DK20" s="8">
        <v>4.699443421453494E-2</v>
      </c>
      <c r="DL20" s="8">
        <v>7.166006162778589E-2</v>
      </c>
      <c r="DM20" s="8">
        <v>7.234770906453851E-2</v>
      </c>
      <c r="DN20" s="8">
        <v>2.232174601691763E-2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4.5076436549533569E-2</v>
      </c>
      <c r="DV20" s="8">
        <v>0.10624361680175622</v>
      </c>
      <c r="DW20" s="8">
        <v>0.14112916230534042</v>
      </c>
      <c r="DX20" s="8">
        <v>9.8707543451556315E-2</v>
      </c>
      <c r="DY20" s="8">
        <v>0</v>
      </c>
      <c r="EA20" s="6" t="s">
        <v>281</v>
      </c>
      <c r="EB20" s="6" t="s">
        <v>134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5.6546358186937845E-3</v>
      </c>
      <c r="EU20" s="8">
        <v>4.2639008995399165E-2</v>
      </c>
      <c r="EV20" s="8">
        <v>0.1971941847640612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7">
        <v>2.4987251322092291E-3</v>
      </c>
      <c r="FE20" s="8">
        <v>9.0439052449871396E-2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1.8835092836058654E-2</v>
      </c>
      <c r="FO20" s="8">
        <v>0.31864295767831996</v>
      </c>
      <c r="FP20" s="8">
        <v>0</v>
      </c>
      <c r="FZ20" s="6" t="s">
        <v>281</v>
      </c>
      <c r="GA20" s="8">
        <v>0</v>
      </c>
      <c r="GB20" s="8">
        <v>0</v>
      </c>
      <c r="GC20" s="8">
        <v>0</v>
      </c>
      <c r="GD20" s="8">
        <v>1.0793746409430278E-2</v>
      </c>
      <c r="GE20" s="8">
        <v>0.14484655238520616</v>
      </c>
      <c r="GF20" s="8">
        <v>0.25402761443701732</v>
      </c>
      <c r="GG20" s="8">
        <v>0.21341437968553495</v>
      </c>
      <c r="GH20" s="8">
        <v>7.4473616805192724E-2</v>
      </c>
      <c r="GI20" s="8">
        <v>2.2538372731839128E-3</v>
      </c>
      <c r="GJ20" s="8">
        <v>0</v>
      </c>
      <c r="GK20" s="8">
        <v>0</v>
      </c>
      <c r="GL20" s="7">
        <v>1.0560660688271191E-5</v>
      </c>
      <c r="GM20" s="8">
        <v>1.7587552583382432E-2</v>
      </c>
      <c r="GN20" s="8">
        <v>0.1781574946285476</v>
      </c>
      <c r="GO20" s="8">
        <v>0.375432167936262</v>
      </c>
      <c r="GP20" s="8">
        <v>0.47372760208502818</v>
      </c>
      <c r="GQ20" s="8">
        <v>0.44082391854855291</v>
      </c>
      <c r="GR20" s="8">
        <v>0.28596384651957868</v>
      </c>
      <c r="GS20" s="8">
        <v>7.4770087745146263E-2</v>
      </c>
      <c r="GT20" s="8">
        <v>1.4231919546694657E-3</v>
      </c>
      <c r="GU20" s="8">
        <v>0</v>
      </c>
      <c r="GV20" s="7">
        <v>2.5552344026308029E-4</v>
      </c>
      <c r="GW20" s="8">
        <v>3.3625235627067852E-2</v>
      </c>
      <c r="GX20" s="8">
        <v>0.21604211895397402</v>
      </c>
      <c r="GY20" s="8">
        <v>0.4054661099782077</v>
      </c>
      <c r="GZ20" s="8">
        <v>0.48062957560369823</v>
      </c>
      <c r="HA20" s="8">
        <v>0.45773423343208858</v>
      </c>
      <c r="HB20" s="8">
        <v>0.32064791524107145</v>
      </c>
      <c r="HC20" s="8">
        <v>0.11304152537984477</v>
      </c>
      <c r="HD20" s="8">
        <v>5.1889853664893728E-3</v>
      </c>
      <c r="HE20" s="8">
        <v>0</v>
      </c>
      <c r="HF20" s="8">
        <v>0</v>
      </c>
      <c r="HG20" s="7">
        <v>1.1321498743720735E-3</v>
      </c>
      <c r="HH20" s="8">
        <v>7.6824188004586846E-2</v>
      </c>
      <c r="HI20" s="8">
        <v>0.2640288474861448</v>
      </c>
      <c r="HJ20" s="8">
        <v>0.33104814488199491</v>
      </c>
      <c r="HK20" s="8">
        <v>0.26134401041413141</v>
      </c>
      <c r="HL20" s="8">
        <v>0.11483507329415449</v>
      </c>
      <c r="HM20" s="8">
        <v>1.0907387210163487E-2</v>
      </c>
      <c r="HN20" s="8">
        <v>0</v>
      </c>
      <c r="HP20" s="6" t="s">
        <v>281</v>
      </c>
      <c r="HQ20" s="6" t="s">
        <v>140</v>
      </c>
      <c r="HR20" s="6" t="s">
        <v>141</v>
      </c>
      <c r="HS20" s="8">
        <v>0.44079709321010063</v>
      </c>
    </row>
    <row r="21" spans="2:227" x14ac:dyDescent="0.45">
      <c r="B21" s="3" t="s">
        <v>282</v>
      </c>
      <c r="C21" s="3" t="s">
        <v>131</v>
      </c>
      <c r="D21" s="5">
        <v>0.20295509302078774</v>
      </c>
      <c r="E21" s="5">
        <v>0.19892969245165945</v>
      </c>
      <c r="F21" s="5">
        <v>0.19822595705527157</v>
      </c>
      <c r="G21" s="5">
        <v>0.20719384092754067</v>
      </c>
      <c r="H21" s="5">
        <v>0.19004050534256914</v>
      </c>
      <c r="I21" s="5">
        <v>0.17231925647534477</v>
      </c>
      <c r="J21" s="5">
        <v>0.1712157072496234</v>
      </c>
      <c r="K21" s="5">
        <v>0.18638482902449879</v>
      </c>
      <c r="L21" s="5">
        <v>0.20086602655253857</v>
      </c>
      <c r="M21" s="5">
        <v>0.20362042411801595</v>
      </c>
      <c r="N21" s="5">
        <v>0.19699295042847101</v>
      </c>
      <c r="O21" s="5">
        <v>0.20797711214528453</v>
      </c>
      <c r="P21" s="5">
        <v>0.20476121938916086</v>
      </c>
      <c r="Q21" s="5">
        <v>0.21083569541678321</v>
      </c>
      <c r="R21" s="5">
        <v>0.20550013955526977</v>
      </c>
      <c r="S21" s="5">
        <v>0.20490704907259102</v>
      </c>
      <c r="T21" s="5">
        <v>0.19005518461211843</v>
      </c>
      <c r="U21" s="5">
        <v>0.17341289550408079</v>
      </c>
      <c r="V21" s="5">
        <v>0.16000009739354734</v>
      </c>
      <c r="W21" s="5">
        <v>0.17053523269644119</v>
      </c>
      <c r="X21" s="5">
        <v>0.2987597055689592</v>
      </c>
      <c r="Y21" s="5">
        <v>0.30466518201195369</v>
      </c>
      <c r="Z21" s="5">
        <v>0.30675601674132014</v>
      </c>
      <c r="AA21" s="5">
        <v>0.34357047915592909</v>
      </c>
      <c r="AB21" s="5">
        <v>0.32867538318298828</v>
      </c>
      <c r="AC21" s="5">
        <v>0.31814368945370475</v>
      </c>
      <c r="AD21" s="5">
        <v>0.29817135717400267</v>
      </c>
      <c r="AE21" s="5">
        <v>0.28756474327799564</v>
      </c>
      <c r="AF21" s="5">
        <v>0.28904315005501396</v>
      </c>
      <c r="AG21" s="5">
        <v>0.30572503950341812</v>
      </c>
      <c r="AH21" s="5">
        <v>0.27406917417021892</v>
      </c>
      <c r="AI21" s="5">
        <v>0.29239816517523276</v>
      </c>
      <c r="AJ21" s="5">
        <v>0.29324141497813988</v>
      </c>
      <c r="AK21" s="5">
        <v>0.29036529821134693</v>
      </c>
      <c r="AL21" s="5">
        <v>0.29236230554460418</v>
      </c>
      <c r="AM21" s="5">
        <v>0.29656472393905303</v>
      </c>
      <c r="AN21" s="5">
        <v>0.29726162122058375</v>
      </c>
      <c r="AO21" s="5">
        <v>0.29950101482156632</v>
      </c>
      <c r="AP21" s="5">
        <v>0.29160120978944759</v>
      </c>
      <c r="AQ21" s="5">
        <v>0.26534262194205882</v>
      </c>
      <c r="AS21" s="3" t="s">
        <v>282</v>
      </c>
      <c r="AT21" s="3" t="s">
        <v>132</v>
      </c>
      <c r="AU21" s="5">
        <v>1.3486849696150899E-2</v>
      </c>
      <c r="AV21" s="5">
        <v>1.1779994100207414E-2</v>
      </c>
      <c r="AW21" s="5">
        <v>1.3492521616745096E-2</v>
      </c>
      <c r="AX21" s="5">
        <v>1.7491778311784379E-2</v>
      </c>
      <c r="AY21" s="5">
        <v>1.4464587570477274E-2</v>
      </c>
      <c r="AZ21" s="5">
        <v>1.0600498320491588E-2</v>
      </c>
      <c r="BA21" s="5">
        <v>8.3436892619127186E-3</v>
      </c>
      <c r="BB21" s="5">
        <v>7.8147872348012706E-3</v>
      </c>
      <c r="BC21" s="5">
        <v>6.0136958260271611E-3</v>
      </c>
      <c r="BD21" s="5">
        <v>9.5525087948602917E-3</v>
      </c>
      <c r="BE21" s="5">
        <v>8.7720926670943229E-3</v>
      </c>
      <c r="BF21" s="5">
        <v>2.7412062101907549E-3</v>
      </c>
      <c r="BG21" s="5">
        <v>4.4633890847716184E-3</v>
      </c>
      <c r="BH21" s="5">
        <v>5.8660673019210411E-3</v>
      </c>
      <c r="BI21" s="5">
        <v>6.1062070664738644E-3</v>
      </c>
      <c r="BJ21" s="5">
        <v>5.0585395979677941E-3</v>
      </c>
      <c r="BK21" s="5">
        <v>4.6226934338412804E-3</v>
      </c>
      <c r="BL21" s="4">
        <v>5.8929030082155512E-3</v>
      </c>
      <c r="BM21" s="5">
        <v>9.3181570252441424E-3</v>
      </c>
      <c r="BN21" s="5">
        <v>1.5443963113301951E-2</v>
      </c>
      <c r="BO21" s="5">
        <v>2.6657062323528099E-2</v>
      </c>
      <c r="BP21" s="5">
        <v>1.3807215548307069E-2</v>
      </c>
      <c r="BQ21" s="5">
        <v>8.2463087416434627E-3</v>
      </c>
      <c r="BR21" s="5">
        <v>3.1218350261617445E-2</v>
      </c>
      <c r="BS21" s="5">
        <v>4.2183893585158214E-2</v>
      </c>
      <c r="BT21" s="5">
        <v>2.6333751706840516E-2</v>
      </c>
      <c r="BU21" s="5">
        <v>1.333224321723624E-2</v>
      </c>
      <c r="BV21" s="5">
        <v>5.9971871465765905E-3</v>
      </c>
      <c r="BW21" s="5">
        <v>9.438444524674388E-3</v>
      </c>
      <c r="BX21" s="5">
        <v>3.0122512700940383E-2</v>
      </c>
      <c r="BY21" s="5">
        <v>3.227347232118323E-2</v>
      </c>
      <c r="BZ21" s="5">
        <v>2.3375640267098246E-2</v>
      </c>
      <c r="CA21" s="5">
        <v>1.7671149221429004E-2</v>
      </c>
      <c r="CB21" s="5">
        <v>1.6724592393599882E-2</v>
      </c>
      <c r="CC21" s="5">
        <v>2.0594509062543273E-2</v>
      </c>
      <c r="CD21" s="5">
        <v>3.0111781485842898E-2</v>
      </c>
      <c r="CE21" s="5">
        <v>1.6001319154862081E-2</v>
      </c>
      <c r="CF21" s="5">
        <v>6.8359690801251833E-3</v>
      </c>
      <c r="CG21" s="5">
        <v>2.8280329841771212E-3</v>
      </c>
      <c r="CH21" s="5">
        <v>1.4773456003448961E-2</v>
      </c>
      <c r="CJ21" s="3" t="s">
        <v>282</v>
      </c>
      <c r="CK21" s="3" t="s">
        <v>133</v>
      </c>
      <c r="CL21" s="5">
        <v>1.0823853611086754E-2</v>
      </c>
      <c r="CM21" s="5">
        <v>1.6918316573880838E-2</v>
      </c>
      <c r="CN21" s="5">
        <v>1.6008175506416335E-2</v>
      </c>
      <c r="CO21" s="5">
        <v>1.2386235645563726E-2</v>
      </c>
      <c r="CP21" s="5">
        <v>1.2288338466675359E-2</v>
      </c>
      <c r="CQ21" s="5">
        <v>1.4119149739509161E-2</v>
      </c>
      <c r="CR21" s="5">
        <v>1.3645956747651863E-2</v>
      </c>
      <c r="CS21" s="5">
        <v>1.2552614828249304E-2</v>
      </c>
      <c r="CT21" s="5">
        <v>1.0742207752220125E-2</v>
      </c>
      <c r="CU21" s="5">
        <v>5.7984572630746748E-3</v>
      </c>
      <c r="CV21" s="5">
        <v>1.6639098040588701E-2</v>
      </c>
      <c r="CW21" s="5">
        <v>1.7025928175060052E-2</v>
      </c>
      <c r="CX21" s="5">
        <v>6.8720507374077557E-3</v>
      </c>
      <c r="CY21" s="5">
        <v>7.0302468317696362E-3</v>
      </c>
      <c r="CZ21" s="5">
        <v>3.6286142602982826E-3</v>
      </c>
      <c r="DA21" s="5">
        <v>4.0152630720768061E-3</v>
      </c>
      <c r="DB21" s="5">
        <v>5.6610602560182343E-3</v>
      </c>
      <c r="DC21" s="5">
        <v>9.8296169824399759E-3</v>
      </c>
      <c r="DD21" s="5">
        <v>3.2061393174879407E-3</v>
      </c>
      <c r="DE21" s="5">
        <v>4.4949966019075006E-3</v>
      </c>
      <c r="DF21" s="5">
        <v>4.2521484863039916E-2</v>
      </c>
      <c r="DG21" s="5">
        <v>5.6949294817445498E-2</v>
      </c>
      <c r="DH21" s="5">
        <v>1.9708053388166578E-2</v>
      </c>
      <c r="DI21" s="5">
        <v>2.0173416137224631E-2</v>
      </c>
      <c r="DJ21" s="4">
        <v>9.0297464903569841E-3</v>
      </c>
      <c r="DK21" s="5">
        <v>2.5123750572480962E-2</v>
      </c>
      <c r="DL21" s="5">
        <v>3.3954402799499586E-2</v>
      </c>
      <c r="DM21" s="5">
        <v>3.1965354221767897E-2</v>
      </c>
      <c r="DN21" s="5">
        <v>2.9383999660772358E-2</v>
      </c>
      <c r="DO21" s="5">
        <v>1.4013021311207362E-2</v>
      </c>
      <c r="DP21" s="5">
        <v>6.3007524328463037E-3</v>
      </c>
      <c r="DQ21" s="5">
        <v>3.35258027997586E-2</v>
      </c>
      <c r="DR21" s="5">
        <v>4.7844190314937571E-2</v>
      </c>
      <c r="DS21" s="5">
        <v>3.2723345132154753E-2</v>
      </c>
      <c r="DT21" s="5">
        <v>2.2046464669192797E-2</v>
      </c>
      <c r="DU21" s="5">
        <v>2.1238581401255518E-2</v>
      </c>
      <c r="DV21" s="5">
        <v>3.3265369951521309E-2</v>
      </c>
      <c r="DW21" s="5">
        <v>4.3554641577830157E-2</v>
      </c>
      <c r="DX21" s="5">
        <v>2.9489712122874066E-2</v>
      </c>
      <c r="DY21" s="5">
        <v>4.900182919627372E-3</v>
      </c>
      <c r="EA21" s="3" t="s">
        <v>282</v>
      </c>
      <c r="EB21" s="3" t="s">
        <v>134</v>
      </c>
      <c r="EC21" s="5">
        <v>6.4191530894856741E-2</v>
      </c>
      <c r="ED21" s="5">
        <v>5.7262135024799085E-2</v>
      </c>
      <c r="EE21" s="5">
        <v>5.3576385218406422E-2</v>
      </c>
      <c r="EF21" s="5">
        <v>5.816141082622623E-2</v>
      </c>
      <c r="EG21" s="5">
        <v>4.920636182356096E-2</v>
      </c>
      <c r="EH21" s="5">
        <v>4.5045835908310287E-2</v>
      </c>
      <c r="EI21" s="5">
        <v>4.9285882159683707E-2</v>
      </c>
      <c r="EJ21" s="5">
        <v>5.8065672391771905E-2</v>
      </c>
      <c r="EK21" s="5">
        <v>6.9949880819028379E-2</v>
      </c>
      <c r="EL21" s="5">
        <v>7.4819826333146364E-2</v>
      </c>
      <c r="EM21" s="5">
        <v>6.4993631163381249E-2</v>
      </c>
      <c r="EN21" s="5">
        <v>7.1863705979325052E-2</v>
      </c>
      <c r="EO21" s="5">
        <v>7.989517017560821E-2</v>
      </c>
      <c r="EP21" s="5">
        <v>8.4281433275012863E-2</v>
      </c>
      <c r="EQ21" s="5">
        <v>8.9454138171752046E-2</v>
      </c>
      <c r="ER21" s="5">
        <v>9.0070461443272812E-2</v>
      </c>
      <c r="ES21" s="5">
        <v>7.6965553892487895E-2</v>
      </c>
      <c r="ET21" s="5">
        <v>6.2363467996628591E-2</v>
      </c>
      <c r="EU21" s="5">
        <v>5.7635124079885872E-2</v>
      </c>
      <c r="EV21" s="5">
        <v>5.9964669773302726E-2</v>
      </c>
      <c r="EW21" s="5">
        <v>0.116305597566114</v>
      </c>
      <c r="EX21" s="5">
        <v>0.12373922309995962</v>
      </c>
      <c r="EY21" s="5">
        <v>0.16781840114578075</v>
      </c>
      <c r="EZ21" s="5">
        <v>0.17404384860204969</v>
      </c>
      <c r="FA21" s="5">
        <v>0.1615862980065052</v>
      </c>
      <c r="FB21" s="5">
        <v>0.15142033841493521</v>
      </c>
      <c r="FC21" s="5">
        <v>0.14345040087933941</v>
      </c>
      <c r="FD21" s="4">
        <v>0.14304161501810525</v>
      </c>
      <c r="FE21" s="5">
        <v>0.13895466736710291</v>
      </c>
      <c r="FF21" s="5">
        <v>0.13814398361174354</v>
      </c>
      <c r="FG21" s="5">
        <v>0.10241206685502505</v>
      </c>
      <c r="FH21" s="5">
        <v>9.7559219695960153E-2</v>
      </c>
      <c r="FI21" s="5">
        <v>9.4342031868431722E-2</v>
      </c>
      <c r="FJ21" s="5">
        <v>0.10642224355849801</v>
      </c>
      <c r="FK21" s="5">
        <v>0.11143886597486025</v>
      </c>
      <c r="FL21" s="5">
        <v>0.10450897958105343</v>
      </c>
      <c r="FM21" s="5">
        <v>0.11022502818142632</v>
      </c>
      <c r="FN21" s="5">
        <v>0.11569788889432185</v>
      </c>
      <c r="FO21" s="5">
        <v>0.13525248536360637</v>
      </c>
      <c r="FP21" s="5">
        <v>0.1259843929965814</v>
      </c>
      <c r="FZ21" s="3" t="s">
        <v>282</v>
      </c>
      <c r="GA21" s="5">
        <v>0.70187670474343666</v>
      </c>
      <c r="GB21" s="5">
        <v>0.70615090611999842</v>
      </c>
      <c r="GC21" s="5">
        <v>0.70709163330586855</v>
      </c>
      <c r="GD21" s="5">
        <v>0.70716319295957741</v>
      </c>
      <c r="GE21" s="5">
        <v>0.73138739374489559</v>
      </c>
      <c r="GF21" s="5">
        <v>0.74806637795257702</v>
      </c>
      <c r="GG21" s="5">
        <v>0.74763427519603076</v>
      </c>
      <c r="GH21" s="5">
        <v>0.7304581049330382</v>
      </c>
      <c r="GI21" s="5">
        <v>0.71154381043101234</v>
      </c>
      <c r="GJ21" s="5">
        <v>0.70527004761526968</v>
      </c>
      <c r="GK21" s="5">
        <v>0.69155906525784605</v>
      </c>
      <c r="GL21" s="4">
        <v>0.68305395242607647</v>
      </c>
      <c r="GM21" s="5">
        <v>0.67903619032981755</v>
      </c>
      <c r="GN21" s="5">
        <v>0.664404425982564</v>
      </c>
      <c r="GO21" s="5">
        <v>0.66320713960871869</v>
      </c>
      <c r="GP21" s="5">
        <v>0.66970349380061001</v>
      </c>
      <c r="GQ21" s="5">
        <v>0.6885654100871984</v>
      </c>
      <c r="GR21" s="5">
        <v>0.71457401187725877</v>
      </c>
      <c r="GS21" s="5">
        <v>0.73377608748925938</v>
      </c>
      <c r="GT21" s="5">
        <v>0.7158212676566823</v>
      </c>
      <c r="GU21" s="5">
        <v>0.44548258620050046</v>
      </c>
      <c r="GV21" s="4">
        <v>0.42934867046007225</v>
      </c>
      <c r="GW21" s="5">
        <v>0.41191419577340677</v>
      </c>
      <c r="GX21" s="5">
        <v>0.38410043181177611</v>
      </c>
      <c r="GY21" s="5">
        <v>0.41291198283677255</v>
      </c>
      <c r="GZ21" s="5">
        <v>0.43768782115286481</v>
      </c>
      <c r="HA21" s="5">
        <v>0.44876130948233023</v>
      </c>
      <c r="HB21" s="5">
        <v>0.44620245524578889</v>
      </c>
      <c r="HC21" s="5">
        <v>0.43630017814089173</v>
      </c>
      <c r="HD21" s="5">
        <v>0.42782917418922195</v>
      </c>
      <c r="HE21" s="5">
        <v>0.56415941488484311</v>
      </c>
      <c r="HF21" s="5">
        <v>0.55201391712258818</v>
      </c>
      <c r="HG21" s="4">
        <v>0.5477822934902935</v>
      </c>
      <c r="HH21" s="5">
        <v>0.55002412949163149</v>
      </c>
      <c r="HI21" s="5">
        <v>0.55780563005816364</v>
      </c>
      <c r="HJ21" s="5">
        <v>0.55621936371369995</v>
      </c>
      <c r="HK21" s="5">
        <v>0.541070744969118</v>
      </c>
      <c r="HL21" s="5">
        <v>0.52783437762165408</v>
      </c>
      <c r="HM21" s="5">
        <v>0.52161998467211279</v>
      </c>
      <c r="HN21" s="5">
        <v>0.55762805851180564</v>
      </c>
      <c r="HP21" s="3" t="s">
        <v>283</v>
      </c>
      <c r="HQ21" s="3" t="s">
        <v>140</v>
      </c>
      <c r="HR21" s="3" t="s">
        <v>141</v>
      </c>
      <c r="HS21" s="5">
        <v>0.54847040557328408</v>
      </c>
    </row>
    <row r="22" spans="2:227" x14ac:dyDescent="0.45">
      <c r="B22" s="6" t="s">
        <v>284</v>
      </c>
      <c r="C22" s="6" t="s">
        <v>131</v>
      </c>
      <c r="D22" s="8">
        <v>0.30090101061547397</v>
      </c>
      <c r="E22" s="8">
        <v>0.29929877664607124</v>
      </c>
      <c r="F22" s="8">
        <v>0.29311183481449932</v>
      </c>
      <c r="G22" s="8">
        <v>0.2936992500470702</v>
      </c>
      <c r="H22" s="8">
        <v>0.27617926522086883</v>
      </c>
      <c r="I22" s="8">
        <v>0.26929421727981556</v>
      </c>
      <c r="J22" s="8">
        <v>0.27432824227911834</v>
      </c>
      <c r="K22" s="8">
        <v>0.2839826534709804</v>
      </c>
      <c r="L22" s="8">
        <v>0.2907801236282781</v>
      </c>
      <c r="M22" s="8">
        <v>0.29460589770321538</v>
      </c>
      <c r="N22" s="8">
        <v>0.28715744939323212</v>
      </c>
      <c r="O22" s="8">
        <v>0.28356934856456856</v>
      </c>
      <c r="P22" s="8">
        <v>0.27081642902937109</v>
      </c>
      <c r="Q22" s="8">
        <v>0.27531514083011777</v>
      </c>
      <c r="R22" s="8">
        <v>0.27474706954394829</v>
      </c>
      <c r="S22" s="8">
        <v>0.25797910002035868</v>
      </c>
      <c r="T22" s="8">
        <v>0.25024753854479709</v>
      </c>
      <c r="U22" s="8">
        <v>0.25765665908109248</v>
      </c>
      <c r="V22" s="8">
        <v>0.25656888607947131</v>
      </c>
      <c r="W22" s="8">
        <v>0.2835756060435039</v>
      </c>
      <c r="X22" s="8">
        <v>0.41587789415940518</v>
      </c>
      <c r="Y22" s="8">
        <v>0.39444548526268153</v>
      </c>
      <c r="Z22" s="8">
        <v>0.41035421010202955</v>
      </c>
      <c r="AA22" s="8">
        <v>0.40233134495907841</v>
      </c>
      <c r="AB22" s="8">
        <v>0.36415599772973423</v>
      </c>
      <c r="AC22" s="8">
        <v>0.33792367578842236</v>
      </c>
      <c r="AD22" s="8">
        <v>0.31724984089926911</v>
      </c>
      <c r="AE22" s="8">
        <v>0.32452997902197223</v>
      </c>
      <c r="AF22" s="8">
        <v>0.34488069008863442</v>
      </c>
      <c r="AG22" s="8">
        <v>0.39489991414271913</v>
      </c>
      <c r="AH22" s="8">
        <v>0.34497712809418135</v>
      </c>
      <c r="AI22" s="8">
        <v>0.34573134041004289</v>
      </c>
      <c r="AJ22" s="8">
        <v>0.35543588559200023</v>
      </c>
      <c r="AK22" s="8">
        <v>0.35573492946163909</v>
      </c>
      <c r="AL22" s="8">
        <v>0.33680393105712247</v>
      </c>
      <c r="AM22" s="8">
        <v>0.32436174119070027</v>
      </c>
      <c r="AN22" s="8">
        <v>0.32485251195032366</v>
      </c>
      <c r="AO22" s="8">
        <v>0.33116495228376991</v>
      </c>
      <c r="AP22" s="8">
        <v>0.33939107334032348</v>
      </c>
      <c r="AQ22" s="8">
        <v>0.33052812464639064</v>
      </c>
      <c r="AS22" s="6" t="s">
        <v>284</v>
      </c>
      <c r="AT22" s="6" t="s">
        <v>132</v>
      </c>
      <c r="AU22" s="8">
        <v>2.7675756851022904E-2</v>
      </c>
      <c r="AV22" s="8">
        <v>2.6903959871110151E-2</v>
      </c>
      <c r="AW22" s="8">
        <v>1.869996936547421E-2</v>
      </c>
      <c r="AX22" s="8">
        <v>2.2422740721064975E-2</v>
      </c>
      <c r="AY22" s="8">
        <v>3.1377037117592488E-2</v>
      </c>
      <c r="AZ22" s="8">
        <v>2.8459898272355035E-2</v>
      </c>
      <c r="BA22" s="8">
        <v>2.3774889559311556E-2</v>
      </c>
      <c r="BB22" s="8">
        <v>1.8224579471566905E-2</v>
      </c>
      <c r="BC22" s="8">
        <v>1.9226202817899482E-2</v>
      </c>
      <c r="BD22" s="8">
        <v>2.5838680703766635E-2</v>
      </c>
      <c r="BE22" s="8">
        <v>1.7782342605870735E-2</v>
      </c>
      <c r="BF22" s="8">
        <v>2.1073432131448407E-2</v>
      </c>
      <c r="BG22" s="8">
        <v>1.8229238492857281E-2</v>
      </c>
      <c r="BH22" s="8">
        <v>1.23952598882064E-2</v>
      </c>
      <c r="BI22" s="8">
        <v>1.1565445310350897E-2</v>
      </c>
      <c r="BJ22" s="8">
        <v>7.387810037520785E-3</v>
      </c>
      <c r="BK22" s="8">
        <v>1.0709335272081393E-2</v>
      </c>
      <c r="BL22" s="7">
        <v>8.9479982809766868E-3</v>
      </c>
      <c r="BM22" s="8">
        <v>7.6123257378216602E-3</v>
      </c>
      <c r="BN22" s="8">
        <v>2.3211445648081912E-2</v>
      </c>
      <c r="BO22" s="8">
        <v>4.3488887052323087E-2</v>
      </c>
      <c r="BP22" s="8">
        <v>2.0569533323205085E-2</v>
      </c>
      <c r="BQ22" s="8">
        <v>3.8740851477766715E-2</v>
      </c>
      <c r="BR22" s="8">
        <v>5.2269910864830176E-2</v>
      </c>
      <c r="BS22" s="8">
        <v>2.1919872255641872E-2</v>
      </c>
      <c r="BT22" s="8">
        <v>1.8082906815322843E-2</v>
      </c>
      <c r="BU22" s="8">
        <v>2.7970038009046731E-2</v>
      </c>
      <c r="BV22" s="8">
        <v>1.9944070539868169E-2</v>
      </c>
      <c r="BW22" s="8">
        <v>1.793819533825966E-2</v>
      </c>
      <c r="BX22" s="8">
        <v>4.3206593884278312E-2</v>
      </c>
      <c r="BY22" s="8">
        <v>5.3952043386876855E-2</v>
      </c>
      <c r="BZ22" s="8">
        <v>2.806832941164181E-2</v>
      </c>
      <c r="CA22" s="8">
        <v>4.6451162121431543E-2</v>
      </c>
      <c r="CB22" s="8">
        <v>2.7684051613241317E-2</v>
      </c>
      <c r="CC22" s="8">
        <v>1.864254262353934E-2</v>
      </c>
      <c r="CD22" s="8">
        <v>2.492973510532465E-2</v>
      </c>
      <c r="CE22" s="8">
        <v>2.0473968438626092E-2</v>
      </c>
      <c r="CF22" s="8">
        <v>2.3455993364995383E-2</v>
      </c>
      <c r="CG22" s="8">
        <v>2.5069669109968905E-2</v>
      </c>
      <c r="CH22" s="8">
        <v>2.0800019227795521E-2</v>
      </c>
      <c r="CJ22" s="6" t="s">
        <v>284</v>
      </c>
      <c r="CK22" s="6" t="s">
        <v>133</v>
      </c>
      <c r="CL22" s="8">
        <v>2.4675405366791952E-2</v>
      </c>
      <c r="CM22" s="8">
        <v>3.2219129637769704E-2</v>
      </c>
      <c r="CN22" s="8">
        <v>2.7346801437858184E-2</v>
      </c>
      <c r="CO22" s="8">
        <v>3.3696059775235356E-2</v>
      </c>
      <c r="CP22" s="8">
        <v>1.4464910992005881E-2</v>
      </c>
      <c r="CQ22" s="8">
        <v>1.9450311115670253E-2</v>
      </c>
      <c r="CR22" s="8">
        <v>3.6506646327748325E-2</v>
      </c>
      <c r="CS22" s="8">
        <v>4.8076436946219138E-2</v>
      </c>
      <c r="CT22" s="8">
        <v>2.3391457376553113E-2</v>
      </c>
      <c r="CU22" s="8">
        <v>1.3674960637144377E-2</v>
      </c>
      <c r="CV22" s="8">
        <v>3.7071402302445988E-2</v>
      </c>
      <c r="CW22" s="8">
        <v>3.1238794206301764E-2</v>
      </c>
      <c r="CX22" s="8">
        <v>1.3579107306990305E-2</v>
      </c>
      <c r="CY22" s="8">
        <v>2.9878488388104828E-2</v>
      </c>
      <c r="CZ22" s="8">
        <v>3.1422507440622811E-2</v>
      </c>
      <c r="DA22" s="8">
        <v>1.1799242240640042E-2</v>
      </c>
      <c r="DB22" s="8">
        <v>1.2839449927925548E-2</v>
      </c>
      <c r="DC22" s="8">
        <v>1.7923456946244622E-2</v>
      </c>
      <c r="DD22" s="8">
        <v>1.2087134367996343E-2</v>
      </c>
      <c r="DE22" s="8">
        <v>6.2022529167418024E-3</v>
      </c>
      <c r="DF22" s="8">
        <v>6.2066750947809605E-2</v>
      </c>
      <c r="DG22" s="8">
        <v>7.3728347340679817E-2</v>
      </c>
      <c r="DH22" s="8">
        <v>5.0154707874839465E-2</v>
      </c>
      <c r="DI22" s="8">
        <v>3.12925512194639E-2</v>
      </c>
      <c r="DJ22" s="7">
        <v>4.6809838453650325E-2</v>
      </c>
      <c r="DK22" s="8">
        <v>5.4178548277297289E-2</v>
      </c>
      <c r="DL22" s="8">
        <v>4.2554389342399343E-2</v>
      </c>
      <c r="DM22" s="8">
        <v>1.4134983862783473E-2</v>
      </c>
      <c r="DN22" s="8">
        <v>3.3280909612066277E-2</v>
      </c>
      <c r="DO22" s="8">
        <v>5.3410232530612466E-2</v>
      </c>
      <c r="DP22" s="8">
        <v>4.6900573212174973E-2</v>
      </c>
      <c r="DQ22" s="8">
        <v>9.0812727849220939E-2</v>
      </c>
      <c r="DR22" s="8">
        <v>7.1680914061115347E-2</v>
      </c>
      <c r="DS22" s="8">
        <v>5.839951263815496E-2</v>
      </c>
      <c r="DT22" s="8">
        <v>4.9932155883582317E-2</v>
      </c>
      <c r="DU22" s="8">
        <v>3.2675159270172109E-2</v>
      </c>
      <c r="DV22" s="8">
        <v>2.583729699604204E-2</v>
      </c>
      <c r="DW22" s="8">
        <v>2.4433024013306045E-2</v>
      </c>
      <c r="DX22" s="8">
        <v>2.5674852764049769E-2</v>
      </c>
      <c r="DY22" s="8">
        <v>3.6478183447169604E-2</v>
      </c>
      <c r="EA22" s="6" t="s">
        <v>284</v>
      </c>
      <c r="EB22" s="6" t="s">
        <v>134</v>
      </c>
      <c r="EC22" s="8">
        <v>0.12931748932024037</v>
      </c>
      <c r="ED22" s="8">
        <v>0.11183206182193127</v>
      </c>
      <c r="EE22" s="8">
        <v>0.1209901888215263</v>
      </c>
      <c r="EF22" s="8">
        <v>9.6351338310284876E-2</v>
      </c>
      <c r="EG22" s="8">
        <v>9.6359107554003898E-2</v>
      </c>
      <c r="EH22" s="8">
        <v>9.3726856249246066E-2</v>
      </c>
      <c r="EI22" s="8">
        <v>8.7076510946052385E-2</v>
      </c>
      <c r="EJ22" s="8">
        <v>8.7634396181895668E-2</v>
      </c>
      <c r="EK22" s="8">
        <v>0.12410682972084632</v>
      </c>
      <c r="EL22" s="8">
        <v>0.1351080237897565</v>
      </c>
      <c r="EM22" s="8">
        <v>0.11965170641343609</v>
      </c>
      <c r="EN22" s="8">
        <v>0.12401152638811413</v>
      </c>
      <c r="EO22" s="8">
        <v>0.13312587238414478</v>
      </c>
      <c r="EP22" s="8">
        <v>0.12316956614480455</v>
      </c>
      <c r="EQ22" s="8">
        <v>0.11956207127311395</v>
      </c>
      <c r="ER22" s="8">
        <v>0.13002301834009733</v>
      </c>
      <c r="ES22" s="8">
        <v>0.11804150389708233</v>
      </c>
      <c r="ET22" s="8">
        <v>0.12037253353066081</v>
      </c>
      <c r="EU22" s="8">
        <v>0.12994203674930263</v>
      </c>
      <c r="EV22" s="8">
        <v>0.13744242919471594</v>
      </c>
      <c r="EW22" s="8">
        <v>0.18433058240782069</v>
      </c>
      <c r="EX22" s="8">
        <v>0.18555319625020469</v>
      </c>
      <c r="EY22" s="8">
        <v>0.19467145215254295</v>
      </c>
      <c r="EZ22" s="8">
        <v>0.20006908071649188</v>
      </c>
      <c r="FA22" s="8">
        <v>0.18106263667026168</v>
      </c>
      <c r="FB22" s="8">
        <v>0.14940484487371369</v>
      </c>
      <c r="FC22" s="8">
        <v>0.15083007984183114</v>
      </c>
      <c r="FD22" s="7">
        <v>0.19232394990442317</v>
      </c>
      <c r="FE22" s="8">
        <v>0.19106799986201198</v>
      </c>
      <c r="FF22" s="8">
        <v>0.17860759906647544</v>
      </c>
      <c r="FG22" s="8">
        <v>0.12602620568300288</v>
      </c>
      <c r="FH22" s="8">
        <v>0.11252522575401215</v>
      </c>
      <c r="FI22" s="8">
        <v>0.11925166566221335</v>
      </c>
      <c r="FJ22" s="8">
        <v>0.15044404387624993</v>
      </c>
      <c r="FK22" s="8">
        <v>0.14753845996892981</v>
      </c>
      <c r="FL22" s="8">
        <v>0.14250820648827561</v>
      </c>
      <c r="FM22" s="8">
        <v>0.15249642556220017</v>
      </c>
      <c r="FN22" s="8">
        <v>0.15434738848054361</v>
      </c>
      <c r="FO22" s="8">
        <v>0.16535270591349241</v>
      </c>
      <c r="FP22" s="8">
        <v>0.15742634127641947</v>
      </c>
      <c r="FZ22" s="6" t="s">
        <v>284</v>
      </c>
      <c r="GA22" s="8">
        <v>0.4689489822742966</v>
      </c>
      <c r="GB22" s="8">
        <v>0.4941527677456542</v>
      </c>
      <c r="GC22" s="8">
        <v>0.50675283721173148</v>
      </c>
      <c r="GD22" s="8">
        <v>0.53076325632919774</v>
      </c>
      <c r="GE22" s="8">
        <v>0.55760046291100895</v>
      </c>
      <c r="GF22" s="8">
        <v>0.55467438970479721</v>
      </c>
      <c r="GG22" s="8">
        <v>0.53735482721628425</v>
      </c>
      <c r="GH22" s="8">
        <v>0.52675209701391346</v>
      </c>
      <c r="GI22" s="8">
        <v>0.50539158742287416</v>
      </c>
      <c r="GJ22" s="8">
        <v>0.47967335318861193</v>
      </c>
      <c r="GK22" s="8">
        <v>0.4249642648053984</v>
      </c>
      <c r="GL22" s="7">
        <v>0.4214160518818621</v>
      </c>
      <c r="GM22" s="8">
        <v>0.45643595566116174</v>
      </c>
      <c r="GN22" s="8">
        <v>0.47822098966425641</v>
      </c>
      <c r="GO22" s="8">
        <v>0.49153351029789094</v>
      </c>
      <c r="GP22" s="8">
        <v>0.5083100233700858</v>
      </c>
      <c r="GQ22" s="8">
        <v>0.51234024833518255</v>
      </c>
      <c r="GR22" s="8">
        <v>0.48192108297437519</v>
      </c>
      <c r="GS22" s="8">
        <v>0.45119528695574135</v>
      </c>
      <c r="GT22" s="8">
        <v>0.43539281299125254</v>
      </c>
      <c r="GU22" s="8">
        <v>0.21918012318141319</v>
      </c>
      <c r="GV22" s="7">
        <v>0.2202198025302847</v>
      </c>
      <c r="GW22" s="8">
        <v>0.24480019425006186</v>
      </c>
      <c r="GX22" s="8">
        <v>0.26258918313313151</v>
      </c>
      <c r="GY22" s="8">
        <v>0.28613033637674495</v>
      </c>
      <c r="GZ22" s="8">
        <v>0.30533655459320957</v>
      </c>
      <c r="HA22" s="8">
        <v>0.30267755121887752</v>
      </c>
      <c r="HB22" s="8">
        <v>0.26922586264043918</v>
      </c>
      <c r="HC22" s="8">
        <v>0.22438726658244534</v>
      </c>
      <c r="HD22" s="8">
        <v>0.21596232627679929</v>
      </c>
      <c r="HE22" s="8">
        <v>0.31715382023724564</v>
      </c>
      <c r="HF22" s="8">
        <v>0.32936007176107435</v>
      </c>
      <c r="HG22" s="7">
        <v>0.33881229658431994</v>
      </c>
      <c r="HH22" s="8">
        <v>0.35263394195161341</v>
      </c>
      <c r="HI22" s="8">
        <v>0.37553315015707861</v>
      </c>
      <c r="HJ22" s="8">
        <v>0.3789154736915315</v>
      </c>
      <c r="HK22" s="8">
        <v>0.36489094362380187</v>
      </c>
      <c r="HL22" s="8">
        <v>0.32614918352384747</v>
      </c>
      <c r="HM22" s="8">
        <v>0.30237384038800141</v>
      </c>
      <c r="HN22" s="8">
        <v>0.30428360970709206</v>
      </c>
      <c r="HP22" s="6" t="s">
        <v>285</v>
      </c>
      <c r="HQ22" s="6" t="s">
        <v>140</v>
      </c>
      <c r="HR22" s="6" t="s">
        <v>141</v>
      </c>
      <c r="HS22" s="8">
        <v>0.53737843643475325</v>
      </c>
    </row>
    <row r="23" spans="2:227" x14ac:dyDescent="0.45">
      <c r="B23" s="3" t="s">
        <v>286</v>
      </c>
      <c r="C23" s="3" t="s">
        <v>131</v>
      </c>
      <c r="D23" s="5">
        <v>0.21862407724258989</v>
      </c>
      <c r="E23" s="5">
        <v>0.21404561699680458</v>
      </c>
      <c r="F23" s="5">
        <v>0.21945466914270306</v>
      </c>
      <c r="G23" s="5">
        <v>0.21829375338859192</v>
      </c>
      <c r="H23" s="5">
        <v>0.20563689606871755</v>
      </c>
      <c r="I23" s="5">
        <v>0.19074324580738655</v>
      </c>
      <c r="J23" s="5">
        <v>0.18360843340541713</v>
      </c>
      <c r="K23" s="5">
        <v>0.19729887685604525</v>
      </c>
      <c r="L23" s="5">
        <v>0.21170928042152887</v>
      </c>
      <c r="M23" s="5">
        <v>0.21070874122658839</v>
      </c>
      <c r="N23" s="5">
        <v>0.20207973944313837</v>
      </c>
      <c r="O23" s="5">
        <v>0.20663003058702165</v>
      </c>
      <c r="P23" s="5">
        <v>0.20637288302217799</v>
      </c>
      <c r="Q23" s="5">
        <v>0.21469927390704541</v>
      </c>
      <c r="R23" s="5">
        <v>0.21002963235189445</v>
      </c>
      <c r="S23" s="5">
        <v>0.2113269995240977</v>
      </c>
      <c r="T23" s="5">
        <v>0.20443041195351985</v>
      </c>
      <c r="U23" s="5">
        <v>0.18743370388176589</v>
      </c>
      <c r="V23" s="5">
        <v>0.17328666307836041</v>
      </c>
      <c r="W23" s="5">
        <v>0.1856968320696217</v>
      </c>
      <c r="X23" s="5">
        <v>0.31997510907720411</v>
      </c>
      <c r="Y23" s="5">
        <v>0.32071528722556791</v>
      </c>
      <c r="Z23" s="5">
        <v>0.32348079191465173</v>
      </c>
      <c r="AA23" s="5">
        <v>0.33601790403831749</v>
      </c>
      <c r="AB23" s="5">
        <v>0.30915792329300673</v>
      </c>
      <c r="AC23" s="5">
        <v>0.28846586316387174</v>
      </c>
      <c r="AD23" s="5">
        <v>0.27615850884750198</v>
      </c>
      <c r="AE23" s="5">
        <v>0.27369759694020668</v>
      </c>
      <c r="AF23" s="5">
        <v>0.28695997318022093</v>
      </c>
      <c r="AG23" s="5">
        <v>0.31656994576661651</v>
      </c>
      <c r="AH23" s="5">
        <v>0.28155624117774969</v>
      </c>
      <c r="AI23" s="5">
        <v>0.29407029529912465</v>
      </c>
      <c r="AJ23" s="5">
        <v>0.29479205093961608</v>
      </c>
      <c r="AK23" s="5">
        <v>0.28829407467039336</v>
      </c>
      <c r="AL23" s="5">
        <v>0.28994001558569793</v>
      </c>
      <c r="AM23" s="5">
        <v>0.28577640891500655</v>
      </c>
      <c r="AN23" s="5">
        <v>0.28156867310858624</v>
      </c>
      <c r="AO23" s="5">
        <v>0.27910814423090657</v>
      </c>
      <c r="AP23" s="5">
        <v>0.28218820425257563</v>
      </c>
      <c r="AQ23" s="5">
        <v>0.27216411802380547</v>
      </c>
      <c r="AS23" s="3" t="s">
        <v>286</v>
      </c>
      <c r="AT23" s="3" t="s">
        <v>132</v>
      </c>
      <c r="AU23" s="5">
        <v>1.34813756325609E-2</v>
      </c>
      <c r="AV23" s="5">
        <v>1.4556407005867486E-2</v>
      </c>
      <c r="AW23" s="5">
        <v>1.6902682944980773E-2</v>
      </c>
      <c r="AX23" s="5">
        <v>2.0733157035992805E-2</v>
      </c>
      <c r="AY23" s="5">
        <v>9.1649767005794521E-3</v>
      </c>
      <c r="AZ23" s="5">
        <v>9.8358894047367012E-3</v>
      </c>
      <c r="BA23" s="5">
        <v>1.0254666070910459E-2</v>
      </c>
      <c r="BB23" s="5">
        <v>1.0344037734162797E-2</v>
      </c>
      <c r="BC23" s="5">
        <v>1.1338426222042222E-2</v>
      </c>
      <c r="BD23" s="5">
        <v>9.6705301628772899E-3</v>
      </c>
      <c r="BE23" s="5">
        <v>1.0716988021968349E-2</v>
      </c>
      <c r="BF23" s="5">
        <v>1.0893030937161065E-2</v>
      </c>
      <c r="BG23" s="5">
        <v>7.39780474264047E-3</v>
      </c>
      <c r="BH23" s="5">
        <v>1.1651664921830035E-2</v>
      </c>
      <c r="BI23" s="5">
        <v>8.130777887476924E-3</v>
      </c>
      <c r="BJ23" s="5">
        <v>5.8920146780016879E-3</v>
      </c>
      <c r="BK23" s="5">
        <v>9.8082795033028417E-3</v>
      </c>
      <c r="BL23" s="4">
        <v>4.9905310838472385E-3</v>
      </c>
      <c r="BM23" s="5">
        <v>4.3623807865182523E-3</v>
      </c>
      <c r="BN23" s="5">
        <v>1.3666228050958254E-2</v>
      </c>
      <c r="BO23" s="5">
        <v>2.5894809510655818E-2</v>
      </c>
      <c r="BP23" s="5">
        <v>1.7444271403431903E-2</v>
      </c>
      <c r="BQ23" s="5">
        <v>1.8872810925908975E-2</v>
      </c>
      <c r="BR23" s="5">
        <v>1.7503984171831938E-2</v>
      </c>
      <c r="BS23" s="5">
        <v>1.8101274306268993E-2</v>
      </c>
      <c r="BT23" s="5">
        <v>1.8670572464993925E-2</v>
      </c>
      <c r="BU23" s="5">
        <v>1.3246318612911251E-2</v>
      </c>
      <c r="BV23" s="5">
        <v>1.2289946951852098E-2</v>
      </c>
      <c r="BW23" s="5">
        <v>1.1433619751467871E-2</v>
      </c>
      <c r="BX23" s="5">
        <v>3.2998063110640602E-2</v>
      </c>
      <c r="BY23" s="5">
        <v>3.7990298167574862E-2</v>
      </c>
      <c r="BZ23" s="5">
        <v>1.4100496149439522E-2</v>
      </c>
      <c r="CA23" s="5">
        <v>1.813222958537378E-2</v>
      </c>
      <c r="CB23" s="5">
        <v>2.2045751098777551E-2</v>
      </c>
      <c r="CC23" s="5">
        <v>1.4422046895777587E-2</v>
      </c>
      <c r="CD23" s="5">
        <v>1.9129012729017486E-2</v>
      </c>
      <c r="CE23" s="5">
        <v>1.9555284427914179E-2</v>
      </c>
      <c r="CF23" s="5">
        <v>1.5715165541421452E-2</v>
      </c>
      <c r="CG23" s="5">
        <v>5.9034656528532932E-3</v>
      </c>
      <c r="CH23" s="5">
        <v>1.8329621822224168E-2</v>
      </c>
      <c r="CJ23" s="3" t="s">
        <v>286</v>
      </c>
      <c r="CK23" s="3" t="s">
        <v>133</v>
      </c>
      <c r="CL23" s="5">
        <v>9.5045872147934331E-3</v>
      </c>
      <c r="CM23" s="5">
        <v>1.1048097141057603E-2</v>
      </c>
      <c r="CN23" s="5">
        <v>1.7571475400949159E-2</v>
      </c>
      <c r="CO23" s="5">
        <v>1.9640776521647529E-2</v>
      </c>
      <c r="CP23" s="5">
        <v>2.5131127514143748E-2</v>
      </c>
      <c r="CQ23" s="5">
        <v>2.0766365095000988E-2</v>
      </c>
      <c r="CR23" s="5">
        <v>1.2462875439021545E-2</v>
      </c>
      <c r="CS23" s="5">
        <v>7.7819060546611158E-3</v>
      </c>
      <c r="CT23" s="5">
        <v>1.1197901694370248E-2</v>
      </c>
      <c r="CU23" s="5">
        <v>1.3333143226354285E-2</v>
      </c>
      <c r="CV23" s="5">
        <v>1.5974086979438789E-2</v>
      </c>
      <c r="CW23" s="5">
        <v>1.480107479157956E-2</v>
      </c>
      <c r="CX23" s="5">
        <v>1.551007657560592E-2</v>
      </c>
      <c r="CY23" s="5">
        <v>1.7567192045927871E-2</v>
      </c>
      <c r="CZ23" s="5">
        <v>8.2842847953161127E-3</v>
      </c>
      <c r="DA23" s="5">
        <v>1.0237614198673667E-2</v>
      </c>
      <c r="DB23" s="5">
        <v>8.7290211952888355E-3</v>
      </c>
      <c r="DC23" s="5">
        <v>1.0577774899733359E-2</v>
      </c>
      <c r="DD23" s="5">
        <v>7.5269566675495786E-3</v>
      </c>
      <c r="DE23" s="5">
        <v>6.3776094489357308E-3</v>
      </c>
      <c r="DF23" s="5">
        <v>3.8588956116177922E-2</v>
      </c>
      <c r="DG23" s="5">
        <v>4.702024403170401E-2</v>
      </c>
      <c r="DH23" s="5">
        <v>3.1506161358235786E-2</v>
      </c>
      <c r="DI23" s="5">
        <v>4.2559119970182878E-2</v>
      </c>
      <c r="DJ23" s="4">
        <v>2.3760781825267592E-2</v>
      </c>
      <c r="DK23" s="5">
        <v>1.7828213228661079E-2</v>
      </c>
      <c r="DL23" s="5">
        <v>2.2947642199192968E-2</v>
      </c>
      <c r="DM23" s="5">
        <v>1.3016286812707507E-2</v>
      </c>
      <c r="DN23" s="5">
        <v>2.8958312423790763E-2</v>
      </c>
      <c r="DO23" s="5">
        <v>2.0043759729593769E-2</v>
      </c>
      <c r="DP23" s="5">
        <v>1.9140972309805118E-2</v>
      </c>
      <c r="DQ23" s="5">
        <v>5.0280013547865536E-2</v>
      </c>
      <c r="DR23" s="5">
        <v>4.311650464849786E-2</v>
      </c>
      <c r="DS23" s="5">
        <v>2.3695565578929715E-2</v>
      </c>
      <c r="DT23" s="5">
        <v>2.2402868644522057E-2</v>
      </c>
      <c r="DU23" s="5">
        <v>2.3221008312073677E-2</v>
      </c>
      <c r="DV23" s="5">
        <v>2.6828968385632267E-2</v>
      </c>
      <c r="DW23" s="5">
        <v>3.1626466894450311E-2</v>
      </c>
      <c r="DX23" s="5">
        <v>3.3492876145372573E-2</v>
      </c>
      <c r="DY23" s="5">
        <v>1.6286653074284684E-2</v>
      </c>
      <c r="EA23" s="3" t="s">
        <v>286</v>
      </c>
      <c r="EB23" s="3" t="s">
        <v>134</v>
      </c>
      <c r="EC23" s="5">
        <v>7.8486517269823891E-2</v>
      </c>
      <c r="ED23" s="5">
        <v>7.0045529102934115E-2</v>
      </c>
      <c r="EE23" s="5">
        <v>6.0983938474162669E-2</v>
      </c>
      <c r="EF23" s="5">
        <v>5.7340503672514712E-2</v>
      </c>
      <c r="EG23" s="5">
        <v>5.2740120068693441E-2</v>
      </c>
      <c r="EH23" s="5">
        <v>5.1730609474232594E-2</v>
      </c>
      <c r="EI23" s="5">
        <v>6.0334594980678349E-2</v>
      </c>
      <c r="EJ23" s="5">
        <v>7.0498655002131622E-2</v>
      </c>
      <c r="EK23" s="5">
        <v>7.3955713404584233E-2</v>
      </c>
      <c r="EL23" s="5">
        <v>7.9701924627017695E-2</v>
      </c>
      <c r="EM23" s="5">
        <v>6.8046498443117692E-2</v>
      </c>
      <c r="EN23" s="5">
        <v>7.274081120086294E-2</v>
      </c>
      <c r="EO23" s="5">
        <v>7.2936777568689243E-2</v>
      </c>
      <c r="EP23" s="5">
        <v>7.4024857279383988E-2</v>
      </c>
      <c r="EQ23" s="5">
        <v>8.6677440688256363E-2</v>
      </c>
      <c r="ER23" s="5">
        <v>8.3768822112624972E-2</v>
      </c>
      <c r="ES23" s="5">
        <v>7.2817415073569453E-2</v>
      </c>
      <c r="ET23" s="5">
        <v>6.7506828330115953E-2</v>
      </c>
      <c r="EU23" s="5">
        <v>6.7852474197044613E-2</v>
      </c>
      <c r="EV23" s="5">
        <v>6.6473103233246636E-2</v>
      </c>
      <c r="EW23" s="5">
        <v>0.14080113225128757</v>
      </c>
      <c r="EX23" s="5">
        <v>0.14158382124100324</v>
      </c>
      <c r="EY23" s="5">
        <v>0.16225403161547122</v>
      </c>
      <c r="EZ23" s="5">
        <v>0.1662678554157086</v>
      </c>
      <c r="FA23" s="5">
        <v>0.15875496366158937</v>
      </c>
      <c r="FB23" s="5">
        <v>0.14980542465602606</v>
      </c>
      <c r="FC23" s="5">
        <v>0.14110601245108703</v>
      </c>
      <c r="FD23" s="4">
        <v>0.14108971757130423</v>
      </c>
      <c r="FE23" s="5">
        <v>0.13702145850482861</v>
      </c>
      <c r="FF23" s="5">
        <v>0.14594079947404667</v>
      </c>
      <c r="FG23" s="5">
        <v>9.8782950258883742E-2</v>
      </c>
      <c r="FH23" s="5">
        <v>9.4778289850661349E-2</v>
      </c>
      <c r="FI23" s="5">
        <v>9.8698602375700689E-2</v>
      </c>
      <c r="FJ23" s="5">
        <v>0.11891374905079935</v>
      </c>
      <c r="FK23" s="5">
        <v>0.11767614613028927</v>
      </c>
      <c r="FL23" s="5">
        <v>0.10347338453258083</v>
      </c>
      <c r="FM23" s="5">
        <v>0.10098857062971296</v>
      </c>
      <c r="FN23" s="5">
        <v>0.10845078217062752</v>
      </c>
      <c r="FO23" s="5">
        <v>0.11713350034502586</v>
      </c>
      <c r="FP23" s="5">
        <v>0.10993359633457693</v>
      </c>
      <c r="FZ23" s="3" t="s">
        <v>286</v>
      </c>
      <c r="GA23" s="5">
        <v>0.66145825071913933</v>
      </c>
      <c r="GB23" s="5">
        <v>0.67395641359193004</v>
      </c>
      <c r="GC23" s="5">
        <v>0.67934411561961672</v>
      </c>
      <c r="GD23" s="5">
        <v>0.68599038689954051</v>
      </c>
      <c r="GE23" s="5">
        <v>0.70291024539793312</v>
      </c>
      <c r="GF23" s="5">
        <v>0.71731117438474834</v>
      </c>
      <c r="GG23" s="5">
        <v>0.72013430247836774</v>
      </c>
      <c r="GH23" s="5">
        <v>0.7028582211780634</v>
      </c>
      <c r="GI23" s="5">
        <v>0.67992193942775536</v>
      </c>
      <c r="GJ23" s="5">
        <v>0.66867260138140228</v>
      </c>
      <c r="GK23" s="5">
        <v>0.66712032408675503</v>
      </c>
      <c r="GL23" s="4">
        <v>0.65954904391920077</v>
      </c>
      <c r="GM23" s="5">
        <v>0.66778675582780689</v>
      </c>
      <c r="GN23" s="5">
        <v>0.65407078210304381</v>
      </c>
      <c r="GO23" s="5">
        <v>0.65023808784414627</v>
      </c>
      <c r="GP23" s="5">
        <v>0.65982164167012125</v>
      </c>
      <c r="GQ23" s="5">
        <v>0.67423590928443189</v>
      </c>
      <c r="GR23" s="5">
        <v>0.69026078102914878</v>
      </c>
      <c r="GS23" s="5">
        <v>0.69845525069486991</v>
      </c>
      <c r="GT23" s="5">
        <v>0.68567535039538741</v>
      </c>
      <c r="GU23" s="5">
        <v>0.40571307985386318</v>
      </c>
      <c r="GV23" s="4">
        <v>0.40142620852172906</v>
      </c>
      <c r="GW23" s="5">
        <v>0.39805201461003398</v>
      </c>
      <c r="GX23" s="5">
        <v>0.38191595221518077</v>
      </c>
      <c r="GY23" s="5">
        <v>0.41249103477172711</v>
      </c>
      <c r="GZ23" s="5">
        <v>0.4463177391780348</v>
      </c>
      <c r="HA23" s="5">
        <v>0.45618387206524558</v>
      </c>
      <c r="HB23" s="5">
        <v>0.44693339062197446</v>
      </c>
      <c r="HC23" s="5">
        <v>0.42276292462907117</v>
      </c>
      <c r="HD23" s="5">
        <v>0.40556979297197943</v>
      </c>
      <c r="HE23" s="5">
        <v>0.52620750008854866</v>
      </c>
      <c r="HF23" s="5">
        <v>0.52221919931744676</v>
      </c>
      <c r="HG23" s="4">
        <v>0.52007729609909792</v>
      </c>
      <c r="HH23" s="5">
        <v>0.52038769855617417</v>
      </c>
      <c r="HI23" s="5">
        <v>0.54079844510935582</v>
      </c>
      <c r="HJ23" s="5">
        <v>0.55297599394638586</v>
      </c>
      <c r="HK23" s="5">
        <v>0.54935006744112902</v>
      </c>
      <c r="HL23" s="5">
        <v>0.52537118080540779</v>
      </c>
      <c r="HM23" s="5">
        <v>0.50943384008646508</v>
      </c>
      <c r="HN23" s="5">
        <v>0.52153234422537109</v>
      </c>
      <c r="HP23" s="3" t="s">
        <v>287</v>
      </c>
      <c r="HQ23" s="3" t="s">
        <v>140</v>
      </c>
      <c r="HR23" s="3" t="s">
        <v>141</v>
      </c>
      <c r="HS23" s="5">
        <v>0.53522255880913383</v>
      </c>
    </row>
    <row r="24" spans="2:227" x14ac:dyDescent="0.45">
      <c r="B24" s="6" t="s">
        <v>288</v>
      </c>
      <c r="C24" s="6" t="s">
        <v>131</v>
      </c>
      <c r="D24" s="8">
        <v>0.2464404984915817</v>
      </c>
      <c r="E24" s="8">
        <v>0.24073120581152535</v>
      </c>
      <c r="F24" s="8">
        <v>0.22840877424002828</v>
      </c>
      <c r="G24" s="8">
        <v>0.2297833447912403</v>
      </c>
      <c r="H24" s="8">
        <v>0.23126864465199376</v>
      </c>
      <c r="I24" s="8">
        <v>0.22181307201311476</v>
      </c>
      <c r="J24" s="8">
        <v>0.22068107302316708</v>
      </c>
      <c r="K24" s="8">
        <v>0.22104624057256356</v>
      </c>
      <c r="L24" s="8">
        <v>0.22856506105064006</v>
      </c>
      <c r="M24" s="8">
        <v>0.22334999712522205</v>
      </c>
      <c r="N24" s="8">
        <v>0.22368602900612986</v>
      </c>
      <c r="O24" s="8">
        <v>0.23795936704340584</v>
      </c>
      <c r="P24" s="8">
        <v>0.24194206910362237</v>
      </c>
      <c r="Q24" s="8">
        <v>0.25069769435289707</v>
      </c>
      <c r="R24" s="8">
        <v>0.2516121410039277</v>
      </c>
      <c r="S24" s="8">
        <v>0.24169658226855101</v>
      </c>
      <c r="T24" s="8">
        <v>0.24150828890017861</v>
      </c>
      <c r="U24" s="8">
        <v>0.23378599085504076</v>
      </c>
      <c r="V24" s="8">
        <v>0.21441681010696753</v>
      </c>
      <c r="W24" s="8">
        <v>0.20739447226900878</v>
      </c>
      <c r="X24" s="8">
        <v>0.32320678914807771</v>
      </c>
      <c r="Y24" s="8">
        <v>0.34522332474256479</v>
      </c>
      <c r="Z24" s="8">
        <v>0.35360215486367147</v>
      </c>
      <c r="AA24" s="8">
        <v>0.36468361856493897</v>
      </c>
      <c r="AB24" s="8">
        <v>0.34330454210874495</v>
      </c>
      <c r="AC24" s="8">
        <v>0.33242920207277504</v>
      </c>
      <c r="AD24" s="8">
        <v>0.313924214770682</v>
      </c>
      <c r="AE24" s="8">
        <v>0.2991514934472933</v>
      </c>
      <c r="AF24" s="8">
        <v>0.29828405713860751</v>
      </c>
      <c r="AG24" s="8">
        <v>0.30086172638801456</v>
      </c>
      <c r="AH24" s="8">
        <v>0.28836862508488958</v>
      </c>
      <c r="AI24" s="8">
        <v>0.28757981782660114</v>
      </c>
      <c r="AJ24" s="8">
        <v>0.2819025097140922</v>
      </c>
      <c r="AK24" s="8">
        <v>0.29405929958755067</v>
      </c>
      <c r="AL24" s="8">
        <v>0.29012803012871846</v>
      </c>
      <c r="AM24" s="8">
        <v>0.282971630608227</v>
      </c>
      <c r="AN24" s="8">
        <v>0.28308273722992072</v>
      </c>
      <c r="AO24" s="8">
        <v>0.27241517507799978</v>
      </c>
      <c r="AP24" s="8">
        <v>0.28359861393088509</v>
      </c>
      <c r="AQ24" s="8">
        <v>0.30335967453784668</v>
      </c>
      <c r="AS24" s="6" t="s">
        <v>288</v>
      </c>
      <c r="AT24" s="6" t="s">
        <v>132</v>
      </c>
      <c r="AU24" s="8">
        <v>1.4754027065611099E-2</v>
      </c>
      <c r="AV24" s="8">
        <v>1.4117040235765413E-2</v>
      </c>
      <c r="AW24" s="8">
        <v>1.5228510376922496E-2</v>
      </c>
      <c r="AX24" s="8">
        <v>2.0906017175321118E-2</v>
      </c>
      <c r="AY24" s="8">
        <v>2.9923370798126375E-2</v>
      </c>
      <c r="AZ24" s="8">
        <v>2.8601944119807134E-2</v>
      </c>
      <c r="BA24" s="8">
        <v>1.6227340956493277E-2</v>
      </c>
      <c r="BB24" s="8">
        <v>1.0047897601646545E-2</v>
      </c>
      <c r="BC24" s="8">
        <v>5.6735742941990174E-3</v>
      </c>
      <c r="BD24" s="8">
        <v>5.5443952821635518E-3</v>
      </c>
      <c r="BE24" s="8">
        <v>1.3544130848356831E-2</v>
      </c>
      <c r="BF24" s="8">
        <v>1.0329342105680752E-2</v>
      </c>
      <c r="BG24" s="8">
        <v>1.4610505657693014E-2</v>
      </c>
      <c r="BH24" s="8">
        <v>8.6934220785857379E-3</v>
      </c>
      <c r="BI24" s="8">
        <v>3.7977486919546291E-3</v>
      </c>
      <c r="BJ24" s="8">
        <v>6.1521292413976303E-3</v>
      </c>
      <c r="BK24" s="8">
        <v>8.8010288916534566E-3</v>
      </c>
      <c r="BL24" s="7">
        <v>9.7962575743261986E-3</v>
      </c>
      <c r="BM24" s="8">
        <v>1.3238252449030262E-2</v>
      </c>
      <c r="BN24" s="8">
        <v>1.2525919981201103E-2</v>
      </c>
      <c r="BO24" s="8">
        <v>2.6417460749806394E-2</v>
      </c>
      <c r="BP24" s="8">
        <v>1.7868177662320409E-2</v>
      </c>
      <c r="BQ24" s="8">
        <v>2.2920711593611025E-2</v>
      </c>
      <c r="BR24" s="8">
        <v>2.7635446157419044E-2</v>
      </c>
      <c r="BS24" s="8">
        <v>1.9744750823168275E-2</v>
      </c>
      <c r="BT24" s="8">
        <v>2.4317012092274951E-2</v>
      </c>
      <c r="BU24" s="8">
        <v>2.3353620112437461E-2</v>
      </c>
      <c r="BV24" s="8">
        <v>1.9350583031150021E-2</v>
      </c>
      <c r="BW24" s="8">
        <v>1.7372519219178945E-2</v>
      </c>
      <c r="BX24" s="8">
        <v>1.0921337196270871E-2</v>
      </c>
      <c r="BY24" s="8">
        <v>3.6972754884463874E-2</v>
      </c>
      <c r="BZ24" s="8">
        <v>3.3724459959871646E-2</v>
      </c>
      <c r="CA24" s="8">
        <v>2.375626658246751E-2</v>
      </c>
      <c r="CB24" s="8">
        <v>3.3577200067158745E-2</v>
      </c>
      <c r="CC24" s="8">
        <v>1.8453792394746878E-2</v>
      </c>
      <c r="CD24" s="8">
        <v>9.7403133114161451E-3</v>
      </c>
      <c r="CE24" s="8">
        <v>2.1272654229104213E-2</v>
      </c>
      <c r="CF24" s="8">
        <v>2.9556875496479541E-2</v>
      </c>
      <c r="CG24" s="8">
        <v>1.8323068585676637E-2</v>
      </c>
      <c r="CH24" s="8">
        <v>1.6497132224158786E-2</v>
      </c>
      <c r="CJ24" s="6" t="s">
        <v>288</v>
      </c>
      <c r="CK24" s="6" t="s">
        <v>133</v>
      </c>
      <c r="CL24" s="8">
        <v>6.4674305764495319E-3</v>
      </c>
      <c r="CM24" s="8">
        <v>1.5742208639028303E-2</v>
      </c>
      <c r="CN24" s="8">
        <v>1.1688338762607714E-2</v>
      </c>
      <c r="CO24" s="8">
        <v>1.3800387647584598E-2</v>
      </c>
      <c r="CP24" s="8">
        <v>8.1816998834515833E-3</v>
      </c>
      <c r="CQ24" s="8">
        <v>1.6005298123127842E-2</v>
      </c>
      <c r="CR24" s="8">
        <v>3.536629021274796E-2</v>
      </c>
      <c r="CS24" s="8">
        <v>3.5098428461349834E-2</v>
      </c>
      <c r="CT24" s="8">
        <v>1.8612296849091766E-2</v>
      </c>
      <c r="CU24" s="8">
        <v>1.3370841810375025E-2</v>
      </c>
      <c r="CV24" s="8">
        <v>1.6885724676543371E-2</v>
      </c>
      <c r="CW24" s="8">
        <v>1.8343454820158128E-2</v>
      </c>
      <c r="CX24" s="8">
        <v>1.6444659527057585E-2</v>
      </c>
      <c r="CY24" s="8">
        <v>1.6565312285656157E-2</v>
      </c>
      <c r="CZ24" s="8">
        <v>2.6030623900851303E-2</v>
      </c>
      <c r="DA24" s="8">
        <v>1.6186763077116018E-2</v>
      </c>
      <c r="DB24" s="8">
        <v>8.8446382066329557E-3</v>
      </c>
      <c r="DC24" s="8">
        <v>5.8106909276087306E-3</v>
      </c>
      <c r="DD24" s="8">
        <v>8.7782081898843574E-3</v>
      </c>
      <c r="DE24" s="8">
        <v>1.5342721852968401E-2</v>
      </c>
      <c r="DF24" s="8">
        <v>9.6805985725145378E-3</v>
      </c>
      <c r="DG24" s="8">
        <v>4.2710450920135624E-2</v>
      </c>
      <c r="DH24" s="8">
        <v>4.2100449573237317E-2</v>
      </c>
      <c r="DI24" s="8">
        <v>3.4048217238759143E-2</v>
      </c>
      <c r="DJ24" s="7">
        <v>3.5501107331498138E-2</v>
      </c>
      <c r="DK24" s="8">
        <v>2.3224526468183539E-2</v>
      </c>
      <c r="DL24" s="8">
        <v>2.2461150441321742E-2</v>
      </c>
      <c r="DM24" s="8">
        <v>1.8858699226115206E-2</v>
      </c>
      <c r="DN24" s="8">
        <v>2.5187376597941805E-2</v>
      </c>
      <c r="DO24" s="8">
        <v>3.0461860512385291E-2</v>
      </c>
      <c r="DP24" s="8">
        <v>2.2256726109480242E-2</v>
      </c>
      <c r="DQ24" s="8">
        <v>4.2022492346990695E-2</v>
      </c>
      <c r="DR24" s="8">
        <v>4.3108728877277847E-2</v>
      </c>
      <c r="DS24" s="8">
        <v>3.9602913973381365E-2</v>
      </c>
      <c r="DT24" s="8">
        <v>3.552288885448307E-2</v>
      </c>
      <c r="DU24" s="8">
        <v>3.5270056594053259E-2</v>
      </c>
      <c r="DV24" s="8">
        <v>2.9753339755281164E-2</v>
      </c>
      <c r="DW24" s="8">
        <v>7.4878333886685662E-3</v>
      </c>
      <c r="DX24" s="8">
        <v>2.2445609837700907E-2</v>
      </c>
      <c r="DY24" s="8">
        <v>4.501692924331361E-2</v>
      </c>
      <c r="EA24" s="6" t="s">
        <v>288</v>
      </c>
      <c r="EB24" s="6" t="s">
        <v>134</v>
      </c>
      <c r="EC24" s="8">
        <v>0.10408694052426895</v>
      </c>
      <c r="ED24" s="8">
        <v>9.8698954773097994E-2</v>
      </c>
      <c r="EE24" s="8">
        <v>8.9149178938350032E-2</v>
      </c>
      <c r="EF24" s="8">
        <v>7.473379566702619E-2</v>
      </c>
      <c r="EG24" s="8">
        <v>6.9880307918675319E-2</v>
      </c>
      <c r="EH24" s="8">
        <v>5.8550917920105777E-2</v>
      </c>
      <c r="EI24" s="8">
        <v>4.8819691336486275E-2</v>
      </c>
      <c r="EJ24" s="8">
        <v>6.0735553069984523E-2</v>
      </c>
      <c r="EK24" s="8">
        <v>8.2025453864038145E-2</v>
      </c>
      <c r="EL24" s="8">
        <v>8.6252470557796307E-2</v>
      </c>
      <c r="EM24" s="8">
        <v>8.0229338170836897E-2</v>
      </c>
      <c r="EN24" s="8">
        <v>8.3872089014104395E-2</v>
      </c>
      <c r="EO24" s="8">
        <v>8.6491291018935088E-2</v>
      </c>
      <c r="EP24" s="8">
        <v>9.9789533327753505E-2</v>
      </c>
      <c r="EQ24" s="8">
        <v>0.10031879994877997</v>
      </c>
      <c r="ER24" s="8">
        <v>0.1097917871211595</v>
      </c>
      <c r="ES24" s="8">
        <v>0.11090378316437012</v>
      </c>
      <c r="ET24" s="8">
        <v>0.10291884776716792</v>
      </c>
      <c r="EU24" s="8">
        <v>8.9233434139523435E-2</v>
      </c>
      <c r="EV24" s="8">
        <v>8.0358979921796053E-2</v>
      </c>
      <c r="EW24" s="8">
        <v>0.16865124173940377</v>
      </c>
      <c r="EX24" s="8">
        <v>0.16043504338794615</v>
      </c>
      <c r="EY24" s="8">
        <v>0.16643541585629207</v>
      </c>
      <c r="EZ24" s="8">
        <v>0.17912946308093611</v>
      </c>
      <c r="FA24" s="8">
        <v>0.16575408520934695</v>
      </c>
      <c r="FB24" s="8">
        <v>0.15541803719777414</v>
      </c>
      <c r="FC24" s="8">
        <v>0.13783454498503869</v>
      </c>
      <c r="FD24" s="7">
        <v>0.14582619885198506</v>
      </c>
      <c r="FE24" s="8">
        <v>0.14826045680044739</v>
      </c>
      <c r="FF24" s="8">
        <v>0.14565769735586009</v>
      </c>
      <c r="FG24" s="8">
        <v>0.10625429061764945</v>
      </c>
      <c r="FH24" s="8">
        <v>8.9220636702591102E-2</v>
      </c>
      <c r="FI24" s="8">
        <v>9.2260366161032309E-2</v>
      </c>
      <c r="FJ24" s="8">
        <v>9.5322628143299656E-2</v>
      </c>
      <c r="FK24" s="8">
        <v>0.11212424201988071</v>
      </c>
      <c r="FL24" s="8">
        <v>0.10934368707512987</v>
      </c>
      <c r="FM24" s="8">
        <v>0.10034763774761608</v>
      </c>
      <c r="FN24" s="8">
        <v>0.11358417326072916</v>
      </c>
      <c r="FO24" s="8">
        <v>0.11750794979576902</v>
      </c>
      <c r="FP24" s="8">
        <v>0.11391268365410152</v>
      </c>
      <c r="FZ24" s="6" t="s">
        <v>288</v>
      </c>
      <c r="GA24" s="8">
        <v>0.60833811927732462</v>
      </c>
      <c r="GB24" s="8">
        <v>0.60380470978063938</v>
      </c>
      <c r="GC24" s="8">
        <v>0.62687064386398683</v>
      </c>
      <c r="GD24" s="8">
        <v>0.63767196469685705</v>
      </c>
      <c r="GE24" s="8">
        <v>0.64792681153699949</v>
      </c>
      <c r="GF24" s="8">
        <v>0.66616264731756603</v>
      </c>
      <c r="GG24" s="8">
        <v>0.66769173792438308</v>
      </c>
      <c r="GH24" s="8">
        <v>0.65929756767986958</v>
      </c>
      <c r="GI24" s="8">
        <v>0.65771538110166572</v>
      </c>
      <c r="GJ24" s="8">
        <v>0.65106287972003885</v>
      </c>
      <c r="GK24" s="8">
        <v>0.62252654702179777</v>
      </c>
      <c r="GL24" s="7">
        <v>0.61743332105827553</v>
      </c>
      <c r="GM24" s="8">
        <v>0.61630980672431002</v>
      </c>
      <c r="GN24" s="8">
        <v>0.60395413483836013</v>
      </c>
      <c r="GO24" s="8">
        <v>0.58815917590662448</v>
      </c>
      <c r="GP24" s="8">
        <v>0.58147560949238297</v>
      </c>
      <c r="GQ24" s="8">
        <v>0.58129059463910326</v>
      </c>
      <c r="GR24" s="8">
        <v>0.59589507928341501</v>
      </c>
      <c r="GS24" s="8">
        <v>0.61501413143573791</v>
      </c>
      <c r="GT24" s="8">
        <v>0.62316868391045666</v>
      </c>
      <c r="GU24" s="8">
        <v>0.37164583921336997</v>
      </c>
      <c r="GV24" s="7">
        <v>0.36418778578222766</v>
      </c>
      <c r="GW24" s="8">
        <v>0.37026838711027521</v>
      </c>
      <c r="GX24" s="8">
        <v>0.36700860925366779</v>
      </c>
      <c r="GY24" s="8">
        <v>0.39629455870586799</v>
      </c>
      <c r="GZ24" s="8">
        <v>0.42925464550339731</v>
      </c>
      <c r="HA24" s="8">
        <v>0.4516680989284958</v>
      </c>
      <c r="HB24" s="8">
        <v>0.43930497788286316</v>
      </c>
      <c r="HC24" s="8">
        <v>0.41135208383293564</v>
      </c>
      <c r="HD24" s="8">
        <v>0.38739768408288761</v>
      </c>
      <c r="HE24" s="8">
        <v>0.48379437421728094</v>
      </c>
      <c r="HF24" s="8">
        <v>0.49998818027030473</v>
      </c>
      <c r="HG24" s="7">
        <v>0.51118670194595339</v>
      </c>
      <c r="HH24" s="8">
        <v>0.49987945824022512</v>
      </c>
      <c r="HI24" s="8">
        <v>0.50677000573119835</v>
      </c>
      <c r="HJ24" s="8">
        <v>0.51670152275901715</v>
      </c>
      <c r="HK24" s="8">
        <v>0.52172711990641529</v>
      </c>
      <c r="HL24" s="8">
        <v>0.5111961379867721</v>
      </c>
      <c r="HM24" s="8">
        <v>0.48522106696768053</v>
      </c>
      <c r="HN24" s="8">
        <v>0.46591372641312234</v>
      </c>
      <c r="HP24" s="6" t="s">
        <v>289</v>
      </c>
      <c r="HQ24" s="6" t="s">
        <v>140</v>
      </c>
      <c r="HR24" s="6" t="s">
        <v>141</v>
      </c>
      <c r="HS24" s="8">
        <v>0.51739303365847256</v>
      </c>
    </row>
    <row r="25" spans="2:227" x14ac:dyDescent="0.45">
      <c r="B25" s="3" t="s">
        <v>290</v>
      </c>
      <c r="C25" s="3" t="s">
        <v>131</v>
      </c>
      <c r="D25" s="5">
        <v>0.21539508993869702</v>
      </c>
      <c r="E25" s="5">
        <v>0.21244290422837714</v>
      </c>
      <c r="F25" s="5">
        <v>0.21016025903920299</v>
      </c>
      <c r="G25" s="5">
        <v>0.20302600479424723</v>
      </c>
      <c r="H25" s="5">
        <v>0.20139451844146411</v>
      </c>
      <c r="I25" s="5">
        <v>0.20361232120353789</v>
      </c>
      <c r="J25" s="5">
        <v>0.20378453995621801</v>
      </c>
      <c r="K25" s="5">
        <v>0.20124592577934344</v>
      </c>
      <c r="L25" s="5">
        <v>0.2058459125880085</v>
      </c>
      <c r="M25" s="5">
        <v>0.20741928232815068</v>
      </c>
      <c r="N25" s="5">
        <v>0.19487657928766416</v>
      </c>
      <c r="O25" s="5">
        <v>0.20873877571093966</v>
      </c>
      <c r="P25" s="5">
        <v>0.21464318980750624</v>
      </c>
      <c r="Q25" s="5">
        <v>0.22810188004293871</v>
      </c>
      <c r="R25" s="5">
        <v>0.22793584008723139</v>
      </c>
      <c r="S25" s="5">
        <v>0.23001451271393566</v>
      </c>
      <c r="T25" s="5">
        <v>0.22448443644375457</v>
      </c>
      <c r="U25" s="5">
        <v>0.21420365120633439</v>
      </c>
      <c r="V25" s="5">
        <v>0.20093956427026749</v>
      </c>
      <c r="W25" s="5">
        <v>0.1911309243431778</v>
      </c>
      <c r="X25" s="5">
        <v>0.30431142071824352</v>
      </c>
      <c r="Y25" s="5">
        <v>0.32431430802652411</v>
      </c>
      <c r="Z25" s="5">
        <v>0.32572880056835696</v>
      </c>
      <c r="AA25" s="5">
        <v>0.34373152711831151</v>
      </c>
      <c r="AB25" s="5">
        <v>0.33091279423497144</v>
      </c>
      <c r="AC25" s="5">
        <v>0.31561598853474454</v>
      </c>
      <c r="AD25" s="5">
        <v>0.29873520761797939</v>
      </c>
      <c r="AE25" s="5">
        <v>0.28827302033505797</v>
      </c>
      <c r="AF25" s="5">
        <v>0.29293220337048581</v>
      </c>
      <c r="AG25" s="5">
        <v>0.29173184151136267</v>
      </c>
      <c r="AH25" s="5">
        <v>0.27364240625598257</v>
      </c>
      <c r="AI25" s="5">
        <v>0.28293401621321412</v>
      </c>
      <c r="AJ25" s="5">
        <v>0.28580332631785899</v>
      </c>
      <c r="AK25" s="5">
        <v>0.28824378795430367</v>
      </c>
      <c r="AL25" s="5">
        <v>0.29097464974072262</v>
      </c>
      <c r="AM25" s="5">
        <v>0.29421720948768515</v>
      </c>
      <c r="AN25" s="5">
        <v>0.28678820910268005</v>
      </c>
      <c r="AO25" s="5">
        <v>0.27899275443355226</v>
      </c>
      <c r="AP25" s="5">
        <v>0.28418478383439538</v>
      </c>
      <c r="AQ25" s="5">
        <v>0.28503327999879585</v>
      </c>
      <c r="AS25" s="3" t="s">
        <v>290</v>
      </c>
      <c r="AT25" s="3" t="s">
        <v>132</v>
      </c>
      <c r="AU25" s="5">
        <v>1.119037387920818E-2</v>
      </c>
      <c r="AV25" s="5">
        <v>1.4382245687814654E-2</v>
      </c>
      <c r="AW25" s="5">
        <v>1.6405646477594234E-2</v>
      </c>
      <c r="AX25" s="5">
        <v>1.7590711524471492E-2</v>
      </c>
      <c r="AY25" s="5">
        <v>1.6129404336982272E-2</v>
      </c>
      <c r="AZ25" s="5">
        <v>1.8363242460647276E-2</v>
      </c>
      <c r="BA25" s="5">
        <v>9.6452089838476498E-3</v>
      </c>
      <c r="BB25" s="5">
        <v>9.1368937345797565E-3</v>
      </c>
      <c r="BC25" s="5">
        <v>4.0525857266423002E-3</v>
      </c>
      <c r="BD25" s="5">
        <v>7.6632034962650112E-3</v>
      </c>
      <c r="BE25" s="5">
        <v>1.1658036094477226E-2</v>
      </c>
      <c r="BF25" s="5">
        <v>7.1433924469853066E-3</v>
      </c>
      <c r="BG25" s="5">
        <v>4.7117496443589519E-3</v>
      </c>
      <c r="BH25" s="5">
        <v>3.9229879938495619E-3</v>
      </c>
      <c r="BI25" s="5">
        <v>5.944764146943427E-3</v>
      </c>
      <c r="BJ25" s="5">
        <v>8.1448952859616876E-3</v>
      </c>
      <c r="BK25" s="5">
        <v>6.3333698562542048E-3</v>
      </c>
      <c r="BL25" s="4">
        <v>9.397423983310926E-3</v>
      </c>
      <c r="BM25" s="5">
        <v>8.4126783804321318E-3</v>
      </c>
      <c r="BN25" s="5">
        <v>1.4710671477764704E-2</v>
      </c>
      <c r="BO25" s="5">
        <v>2.6641150537206525E-2</v>
      </c>
      <c r="BP25" s="5">
        <v>2.3632741482885848E-2</v>
      </c>
      <c r="BQ25" s="5">
        <v>1.4556542019058948E-2</v>
      </c>
      <c r="BR25" s="5">
        <v>2.3248005329757463E-2</v>
      </c>
      <c r="BS25" s="5">
        <v>2.9765800655855379E-2</v>
      </c>
      <c r="BT25" s="5">
        <v>2.2082956999166879E-2</v>
      </c>
      <c r="BU25" s="5">
        <v>1.6211981289599518E-2</v>
      </c>
      <c r="BV25" s="5">
        <v>9.2283302957588045E-3</v>
      </c>
      <c r="BW25" s="5">
        <v>1.026304837665884E-2</v>
      </c>
      <c r="BX25" s="5">
        <v>2.2743584473727634E-2</v>
      </c>
      <c r="BY25" s="5">
        <v>2.6171200033538861E-2</v>
      </c>
      <c r="BZ25" s="5">
        <v>3.0862139512612047E-2</v>
      </c>
      <c r="CA25" s="5">
        <v>1.9576654911654456E-2</v>
      </c>
      <c r="CB25" s="5">
        <v>2.0659188069602367E-2</v>
      </c>
      <c r="CC25" s="5">
        <v>1.962876042253436E-2</v>
      </c>
      <c r="CD25" s="5">
        <v>2.2129269913600529E-2</v>
      </c>
      <c r="CE25" s="5">
        <v>2.2902607947396379E-2</v>
      </c>
      <c r="CF25" s="5">
        <v>1.7262427067990326E-2</v>
      </c>
      <c r="CG25" s="5">
        <v>7.8028647639995447E-3</v>
      </c>
      <c r="CH25" s="5">
        <v>1.3354233452483601E-2</v>
      </c>
      <c r="CJ25" s="3" t="s">
        <v>290</v>
      </c>
      <c r="CK25" s="3" t="s">
        <v>133</v>
      </c>
      <c r="CL25" s="5">
        <v>6.3511389045416517E-3</v>
      </c>
      <c r="CM25" s="5">
        <v>1.2695722358181824E-2</v>
      </c>
      <c r="CN25" s="5">
        <v>9.968587563336807E-3</v>
      </c>
      <c r="CO25" s="5">
        <v>1.1741753680965989E-2</v>
      </c>
      <c r="CP25" s="5">
        <v>1.5481918555663587E-2</v>
      </c>
      <c r="CQ25" s="5">
        <v>1.655354256500002E-2</v>
      </c>
      <c r="CR25" s="5">
        <v>2.0622690060501742E-2</v>
      </c>
      <c r="CS25" s="5">
        <v>1.7058656947814645E-2</v>
      </c>
      <c r="CT25" s="5">
        <v>1.4013119977422351E-2</v>
      </c>
      <c r="CU25" s="5">
        <v>9.3980715263746652E-3</v>
      </c>
      <c r="CV25" s="5">
        <v>1.60554594562262E-2</v>
      </c>
      <c r="CW25" s="5">
        <v>2.1970296401820265E-2</v>
      </c>
      <c r="CX25" s="5">
        <v>1.2376089506920372E-2</v>
      </c>
      <c r="CY25" s="5">
        <v>1.3604200335070038E-2</v>
      </c>
      <c r="CZ25" s="5">
        <v>9.7932289508766857E-3</v>
      </c>
      <c r="DA25" s="5">
        <v>3.4329480997024996E-3</v>
      </c>
      <c r="DB25" s="5">
        <v>9.1667031106656745E-3</v>
      </c>
      <c r="DC25" s="5">
        <v>7.7295598951664891E-3</v>
      </c>
      <c r="DD25" s="5">
        <v>6.1920565374613675E-3</v>
      </c>
      <c r="DE25" s="5">
        <v>7.8887863745224079E-3</v>
      </c>
      <c r="DF25" s="5">
        <v>2.7680622111821599E-2</v>
      </c>
      <c r="DG25" s="5">
        <v>4.5742291371959835E-2</v>
      </c>
      <c r="DH25" s="5">
        <v>5.3170921576236624E-2</v>
      </c>
      <c r="DI25" s="5">
        <v>4.4725451675536806E-2</v>
      </c>
      <c r="DJ25" s="4">
        <v>2.3760350214506461E-2</v>
      </c>
      <c r="DK25" s="5">
        <v>2.0502812944515284E-2</v>
      </c>
      <c r="DL25" s="5">
        <v>2.3015395514243073E-2</v>
      </c>
      <c r="DM25" s="5">
        <v>3.0240328737131669E-2</v>
      </c>
      <c r="DN25" s="5">
        <v>1.9907011812059616E-2</v>
      </c>
      <c r="DO25" s="5">
        <v>1.4839850571934063E-2</v>
      </c>
      <c r="DP25" s="5">
        <v>1.4713603748648697E-2</v>
      </c>
      <c r="DQ25" s="5">
        <v>2.1674429755188771E-2</v>
      </c>
      <c r="DR25" s="5">
        <v>3.0426547119932531E-2</v>
      </c>
      <c r="DS25" s="5">
        <v>2.5612045832490972E-2</v>
      </c>
      <c r="DT25" s="5">
        <v>2.6364490849639412E-2</v>
      </c>
      <c r="DU25" s="5">
        <v>2.0851095945041007E-2</v>
      </c>
      <c r="DV25" s="5">
        <v>2.0600213007776837E-2</v>
      </c>
      <c r="DW25" s="5">
        <v>2.93200526291096E-2</v>
      </c>
      <c r="DX25" s="5">
        <v>3.0383593555846671E-2</v>
      </c>
      <c r="DY25" s="5">
        <v>2.9203250736256878E-2</v>
      </c>
      <c r="EA25" s="3" t="s">
        <v>290</v>
      </c>
      <c r="EB25" s="3" t="s">
        <v>134</v>
      </c>
      <c r="EC25" s="5">
        <v>8.8826675968893085E-2</v>
      </c>
      <c r="ED25" s="5">
        <v>7.6360467536700422E-2</v>
      </c>
      <c r="EE25" s="5">
        <v>6.9213760549503234E-2</v>
      </c>
      <c r="EF25" s="5">
        <v>5.966076622948261E-2</v>
      </c>
      <c r="EG25" s="5">
        <v>5.5787143884068885E-2</v>
      </c>
      <c r="EH25" s="5">
        <v>4.9931542185105079E-2</v>
      </c>
      <c r="EI25" s="5">
        <v>5.230944388784995E-2</v>
      </c>
      <c r="EJ25" s="5">
        <v>5.944645404871228E-2</v>
      </c>
      <c r="EK25" s="5">
        <v>7.2227350986628233E-2</v>
      </c>
      <c r="EL25" s="5">
        <v>7.6428871295494707E-2</v>
      </c>
      <c r="EM25" s="5">
        <v>6.7155367725311457E-2</v>
      </c>
      <c r="EN25" s="5">
        <v>6.8053041134467987E-2</v>
      </c>
      <c r="EO25" s="5">
        <v>8.2857948247051033E-2</v>
      </c>
      <c r="EP25" s="5">
        <v>9.3234785507065279E-2</v>
      </c>
      <c r="EQ25" s="5">
        <v>9.7698649898786488E-2</v>
      </c>
      <c r="ER25" s="5">
        <v>0.10756711133691535</v>
      </c>
      <c r="ES25" s="5">
        <v>9.9589212012231573E-2</v>
      </c>
      <c r="ET25" s="5">
        <v>8.9024164083454163E-2</v>
      </c>
      <c r="EU25" s="5">
        <v>7.8097903213471487E-2</v>
      </c>
      <c r="EV25" s="5">
        <v>6.6144145791601022E-2</v>
      </c>
      <c r="EW25" s="5">
        <v>0.12833923056809726</v>
      </c>
      <c r="EX25" s="5">
        <v>0.12616709958266689</v>
      </c>
      <c r="EY25" s="5">
        <v>0.13500276035492623</v>
      </c>
      <c r="EZ25" s="5">
        <v>0.15427409853747168</v>
      </c>
      <c r="FA25" s="5">
        <v>0.15736155780520575</v>
      </c>
      <c r="FB25" s="5">
        <v>0.16028704249402748</v>
      </c>
      <c r="FC25" s="5">
        <v>0.14743792665209651</v>
      </c>
      <c r="FD25" s="4">
        <v>0.13554831383198246</v>
      </c>
      <c r="FE25" s="5">
        <v>0.14762431298659096</v>
      </c>
      <c r="FF25" s="5">
        <v>0.14045963434179987</v>
      </c>
      <c r="FG25" s="5">
        <v>0.11214581610399701</v>
      </c>
      <c r="FH25" s="5">
        <v>0.10474948513012287</v>
      </c>
      <c r="FI25" s="5">
        <v>0.11166749368133827</v>
      </c>
      <c r="FJ25" s="5">
        <v>0.1104767218389661</v>
      </c>
      <c r="FK25" s="5">
        <v>0.10590624012917907</v>
      </c>
      <c r="FL25" s="5">
        <v>0.10440522120208535</v>
      </c>
      <c r="FM25" s="5">
        <v>0.10032383568001822</v>
      </c>
      <c r="FN25" s="5">
        <v>0.10330898442404718</v>
      </c>
      <c r="FO25" s="5">
        <v>0.11497835710041501</v>
      </c>
      <c r="FP25" s="5">
        <v>0.11392214443353398</v>
      </c>
      <c r="FZ25" s="3" t="s">
        <v>290</v>
      </c>
      <c r="GA25" s="5">
        <v>0.67237500273027917</v>
      </c>
      <c r="GB25" s="5">
        <v>0.67327980587797787</v>
      </c>
      <c r="GC25" s="5">
        <v>0.68642598091533091</v>
      </c>
      <c r="GD25" s="5">
        <v>0.70025779105540842</v>
      </c>
      <c r="GE25" s="5">
        <v>0.70841607081382418</v>
      </c>
      <c r="GF25" s="5">
        <v>0.71145018077605882</v>
      </c>
      <c r="GG25" s="5">
        <v>0.71702827875615938</v>
      </c>
      <c r="GH25" s="5">
        <v>0.71707257390106949</v>
      </c>
      <c r="GI25" s="5">
        <v>0.70561591531145784</v>
      </c>
      <c r="GJ25" s="5">
        <v>0.69442139142115444</v>
      </c>
      <c r="GK25" s="5">
        <v>0.68250571126876702</v>
      </c>
      <c r="GL25" s="4">
        <v>0.67714550454408606</v>
      </c>
      <c r="GM25" s="5">
        <v>0.66963514259152246</v>
      </c>
      <c r="GN25" s="5">
        <v>0.64105519164213021</v>
      </c>
      <c r="GO25" s="5">
        <v>0.63089125026921311</v>
      </c>
      <c r="GP25" s="5">
        <v>0.62246204224163326</v>
      </c>
      <c r="GQ25" s="5">
        <v>0.62958174974335723</v>
      </c>
      <c r="GR25" s="5">
        <v>0.64870467638232654</v>
      </c>
      <c r="GS25" s="5">
        <v>0.67511459267711227</v>
      </c>
      <c r="GT25" s="5">
        <v>0.68596125986755752</v>
      </c>
      <c r="GU25" s="5">
        <v>0.44577146973547688</v>
      </c>
      <c r="GV25" s="4">
        <v>0.43221651974867609</v>
      </c>
      <c r="GW25" s="5">
        <v>0.41950930241595824</v>
      </c>
      <c r="GX25" s="5">
        <v>0.39021313803576502</v>
      </c>
      <c r="GY25" s="5">
        <v>0.41341514478777081</v>
      </c>
      <c r="GZ25" s="5">
        <v>0.44185058098204555</v>
      </c>
      <c r="HA25" s="5">
        <v>0.47018483135984662</v>
      </c>
      <c r="HB25" s="5">
        <v>0.47184270583411053</v>
      </c>
      <c r="HC25" s="5">
        <v>0.46046412212388865</v>
      </c>
      <c r="HD25" s="5">
        <v>0.45139424975841402</v>
      </c>
      <c r="HE25" s="5">
        <v>0.54167721911777489</v>
      </c>
      <c r="HF25" s="5">
        <v>0.54949415046829342</v>
      </c>
      <c r="HG25" s="4">
        <v>0.55373768982040783</v>
      </c>
      <c r="HH25" s="5">
        <v>0.54931344505967483</v>
      </c>
      <c r="HI25" s="5">
        <v>0.55710332673784468</v>
      </c>
      <c r="HJ25" s="5">
        <v>0.56921139042808799</v>
      </c>
      <c r="HK25" s="5">
        <v>0.56888546593822897</v>
      </c>
      <c r="HL25" s="5">
        <v>0.55563801829414317</v>
      </c>
      <c r="HM25" s="5">
        <v>0.53660330837440062</v>
      </c>
      <c r="HN25" s="5">
        <v>0.53120075121553212</v>
      </c>
      <c r="HP25" s="3" t="s">
        <v>291</v>
      </c>
      <c r="HQ25" s="3" t="s">
        <v>140</v>
      </c>
      <c r="HR25" s="3" t="s">
        <v>141</v>
      </c>
      <c r="HS25" s="5">
        <v>0.55873035697694695</v>
      </c>
    </row>
    <row r="26" spans="2:227" x14ac:dyDescent="0.45">
      <c r="B26" s="6" t="s">
        <v>292</v>
      </c>
      <c r="C26" s="6" t="s">
        <v>131</v>
      </c>
      <c r="D26" s="8">
        <v>0.23007218557438083</v>
      </c>
      <c r="E26" s="8">
        <v>0.23101331312775766</v>
      </c>
      <c r="F26" s="8">
        <v>0.22639039628248026</v>
      </c>
      <c r="G26" s="8">
        <v>0.23304101101439947</v>
      </c>
      <c r="H26" s="8">
        <v>0.23649047016552255</v>
      </c>
      <c r="I26" s="8">
        <v>0.22931241695430232</v>
      </c>
      <c r="J26" s="8">
        <v>0.23038683828202039</v>
      </c>
      <c r="K26" s="8">
        <v>0.22003835488817503</v>
      </c>
      <c r="L26" s="8">
        <v>0.21850762694286882</v>
      </c>
      <c r="M26" s="8">
        <v>0.2108815610707834</v>
      </c>
      <c r="N26" s="8">
        <v>0.26543504455824574</v>
      </c>
      <c r="O26" s="8">
        <v>0.25101867900401198</v>
      </c>
      <c r="P26" s="8">
        <v>0.25023173848394314</v>
      </c>
      <c r="Q26" s="8">
        <v>0.27533609946025756</v>
      </c>
      <c r="R26" s="8">
        <v>0.28348280436675838</v>
      </c>
      <c r="S26" s="8">
        <v>0.27047129797795899</v>
      </c>
      <c r="T26" s="8">
        <v>0.26770497837294255</v>
      </c>
      <c r="U26" s="8">
        <v>0.26904495853306787</v>
      </c>
      <c r="V26" s="8">
        <v>0.26345727352139847</v>
      </c>
      <c r="W26" s="8">
        <v>0.26038512343508802</v>
      </c>
      <c r="X26" s="8">
        <v>0.33285027126652711</v>
      </c>
      <c r="Y26" s="8">
        <v>0.34056425207362045</v>
      </c>
      <c r="Z26" s="8">
        <v>0.34362329992791651</v>
      </c>
      <c r="AA26" s="8">
        <v>0.37375478258395733</v>
      </c>
      <c r="AB26" s="8">
        <v>0.36381068752297291</v>
      </c>
      <c r="AC26" s="8">
        <v>0.33116454131607831</v>
      </c>
      <c r="AD26" s="8">
        <v>0.30895111635967254</v>
      </c>
      <c r="AE26" s="8">
        <v>0.29724222680914014</v>
      </c>
      <c r="AF26" s="8">
        <v>0.28945134950779189</v>
      </c>
      <c r="AG26" s="8">
        <v>0.3062975946525649</v>
      </c>
      <c r="AH26" s="8">
        <v>0.26744182623875423</v>
      </c>
      <c r="AI26" s="8">
        <v>0.26739399448368095</v>
      </c>
      <c r="AJ26" s="8">
        <v>0.26507464316946022</v>
      </c>
      <c r="AK26" s="8">
        <v>0.2627219499802062</v>
      </c>
      <c r="AL26" s="8">
        <v>0.27177831443823136</v>
      </c>
      <c r="AM26" s="8">
        <v>0.27652875335461197</v>
      </c>
      <c r="AN26" s="8">
        <v>0.27095715760167655</v>
      </c>
      <c r="AO26" s="8">
        <v>0.26276141397425207</v>
      </c>
      <c r="AP26" s="8">
        <v>0.26703649625213072</v>
      </c>
      <c r="AQ26" s="8">
        <v>0.25989300496478318</v>
      </c>
      <c r="AS26" s="6" t="s">
        <v>292</v>
      </c>
      <c r="AT26" s="6" t="s">
        <v>132</v>
      </c>
      <c r="AU26" s="8">
        <v>1.0908003186690387E-2</v>
      </c>
      <c r="AV26" s="8">
        <v>8.9449400602650241E-3</v>
      </c>
      <c r="AW26" s="8">
        <v>6.2048231421801391E-3</v>
      </c>
      <c r="AX26" s="8">
        <v>1.0578138238422411E-2</v>
      </c>
      <c r="AY26" s="8">
        <v>1.5216992979489703E-2</v>
      </c>
      <c r="AZ26" s="8">
        <v>1.9776167501308718E-2</v>
      </c>
      <c r="BA26" s="8">
        <v>1.5746387341532234E-2</v>
      </c>
      <c r="BB26" s="8">
        <v>1.2635524611520472E-2</v>
      </c>
      <c r="BC26" s="8">
        <v>1.2597775757474483E-2</v>
      </c>
      <c r="BD26" s="8">
        <v>8.8500162740129916E-3</v>
      </c>
      <c r="BE26" s="8">
        <v>1.7711142012816886E-2</v>
      </c>
      <c r="BF26" s="8">
        <v>5.2891901505671326E-3</v>
      </c>
      <c r="BG26" s="8">
        <v>7.2267739691485441E-3</v>
      </c>
      <c r="BH26" s="8">
        <v>1.8646630679048731E-2</v>
      </c>
      <c r="BI26" s="8">
        <v>1.8097393961445725E-2</v>
      </c>
      <c r="BJ26" s="8">
        <v>4.8310205109886309E-3</v>
      </c>
      <c r="BK26" s="8">
        <v>7.485061603993739E-3</v>
      </c>
      <c r="BL26" s="7">
        <v>6.9652266420150754E-3</v>
      </c>
      <c r="BM26" s="8">
        <v>1.0710543193103212E-2</v>
      </c>
      <c r="BN26" s="8">
        <v>2.1657642552299346E-2</v>
      </c>
      <c r="BO26" s="8">
        <v>9.5521118078419308E-3</v>
      </c>
      <c r="BP26" s="8">
        <v>1.4615234802004657E-2</v>
      </c>
      <c r="BQ26" s="8">
        <v>2.2963514374639213E-2</v>
      </c>
      <c r="BR26" s="8">
        <v>3.3234608440005003E-2</v>
      </c>
      <c r="BS26" s="8">
        <v>3.3739249813292994E-2</v>
      </c>
      <c r="BT26" s="8">
        <v>2.397133621630403E-2</v>
      </c>
      <c r="BU26" s="8">
        <v>3.3518094343923964E-2</v>
      </c>
      <c r="BV26" s="8">
        <v>2.1247928722391372E-2</v>
      </c>
      <c r="BW26" s="8">
        <v>1.2869536868499815E-2</v>
      </c>
      <c r="BX26" s="8">
        <v>1.4661486636076814E-2</v>
      </c>
      <c r="BY26" s="8">
        <v>2.6944192826859639E-2</v>
      </c>
      <c r="BZ26" s="8">
        <v>3.811786503788904E-2</v>
      </c>
      <c r="CA26" s="8">
        <v>3.2490653582755269E-2</v>
      </c>
      <c r="CB26" s="8">
        <v>2.4169184173877405E-2</v>
      </c>
      <c r="CC26" s="8">
        <v>1.8432064238704682E-2</v>
      </c>
      <c r="CD26" s="8">
        <v>1.2630564700633772E-2</v>
      </c>
      <c r="CE26" s="8">
        <v>1.1432759725116044E-2</v>
      </c>
      <c r="CF26" s="8">
        <v>1.0032260243930788E-2</v>
      </c>
      <c r="CG26" s="8">
        <v>1.3312210801117344E-2</v>
      </c>
      <c r="CH26" s="8">
        <v>2.3316851217131489E-2</v>
      </c>
      <c r="CJ26" s="6" t="s">
        <v>292</v>
      </c>
      <c r="CK26" s="6" t="s">
        <v>133</v>
      </c>
      <c r="CL26" s="8">
        <v>1.4092403540115372E-2</v>
      </c>
      <c r="CM26" s="8">
        <v>1.7239337729120709E-2</v>
      </c>
      <c r="CN26" s="8">
        <v>1.6952921180430541E-2</v>
      </c>
      <c r="CO26" s="8">
        <v>1.6316321917688469E-2</v>
      </c>
      <c r="CP26" s="8">
        <v>1.1642219285129611E-2</v>
      </c>
      <c r="CQ26" s="8">
        <v>1.0267105197586503E-2</v>
      </c>
      <c r="CR26" s="8">
        <v>1.5158351837358091E-2</v>
      </c>
      <c r="CS26" s="8">
        <v>2.0631880661407656E-2</v>
      </c>
      <c r="CT26" s="8">
        <v>1.5337124110506254E-2</v>
      </c>
      <c r="CU26" s="8">
        <v>1.0917452838354852E-2</v>
      </c>
      <c r="CV26" s="8">
        <v>2.3179484787060011E-2</v>
      </c>
      <c r="CW26" s="8">
        <v>2.3291492602857015E-2</v>
      </c>
      <c r="CX26" s="8">
        <v>1.429972116951436E-2</v>
      </c>
      <c r="CY26" s="8">
        <v>1.0267301551738987E-2</v>
      </c>
      <c r="CZ26" s="8">
        <v>1.0219948196309978E-2</v>
      </c>
      <c r="DA26" s="8">
        <v>2.3056625455672851E-2</v>
      </c>
      <c r="DB26" s="8">
        <v>2.3169187076080535E-2</v>
      </c>
      <c r="DC26" s="8">
        <v>9.750911245860288E-3</v>
      </c>
      <c r="DD26" s="8">
        <v>1.0444321757628583E-2</v>
      </c>
      <c r="DE26" s="8">
        <v>1.2610210435497329E-2</v>
      </c>
      <c r="DF26" s="8">
        <v>2.8803081659676856E-2</v>
      </c>
      <c r="DG26" s="8">
        <v>2.0237930986825428E-2</v>
      </c>
      <c r="DH26" s="8">
        <v>1.9260699916050839E-2</v>
      </c>
      <c r="DI26" s="8">
        <v>2.5406834511649382E-2</v>
      </c>
      <c r="DJ26" s="7">
        <v>2.6154664870949206E-2</v>
      </c>
      <c r="DK26" s="8">
        <v>2.6203510766154427E-2</v>
      </c>
      <c r="DL26" s="8">
        <v>1.5105047172421147E-2</v>
      </c>
      <c r="DM26" s="8">
        <v>3.1899636491471997E-2</v>
      </c>
      <c r="DN26" s="8">
        <v>3.6777362371978373E-2</v>
      </c>
      <c r="DO26" s="8">
        <v>2.8876645274735994E-2</v>
      </c>
      <c r="DP26" s="8">
        <v>2.0927712048205347E-2</v>
      </c>
      <c r="DQ26" s="8">
        <v>2.7492550330645092E-2</v>
      </c>
      <c r="DR26" s="8">
        <v>2.7221329256579815E-2</v>
      </c>
      <c r="DS26" s="8">
        <v>3.6861303017086129E-2</v>
      </c>
      <c r="DT26" s="8">
        <v>3.4774406785275658E-2</v>
      </c>
      <c r="DU26" s="8">
        <v>3.5652605698574015E-2</v>
      </c>
      <c r="DV26" s="8">
        <v>2.1279151158531143E-2</v>
      </c>
      <c r="DW26" s="8">
        <v>1.9616806240539082E-2</v>
      </c>
      <c r="DX26" s="8">
        <v>9.5552943551315515E-3</v>
      </c>
      <c r="DY26" s="8">
        <v>1.2423218772461652E-2</v>
      </c>
      <c r="EA26" s="6" t="s">
        <v>292</v>
      </c>
      <c r="EB26" s="6" t="s">
        <v>134</v>
      </c>
      <c r="EC26" s="8">
        <v>7.9877066567074967E-2</v>
      </c>
      <c r="ED26" s="8">
        <v>8.3211690312068848E-2</v>
      </c>
      <c r="EE26" s="8">
        <v>8.8625102436634837E-2</v>
      </c>
      <c r="EF26" s="8">
        <v>8.8967993396644005E-2</v>
      </c>
      <c r="EG26" s="8">
        <v>8.2595994614361609E-2</v>
      </c>
      <c r="EH26" s="8">
        <v>7.7385441494298726E-2</v>
      </c>
      <c r="EI26" s="8">
        <v>7.5473687743749171E-2</v>
      </c>
      <c r="EJ26" s="8">
        <v>6.7573573294514883E-2</v>
      </c>
      <c r="EK26" s="8">
        <v>7.4314300560985147E-2</v>
      </c>
      <c r="EL26" s="8">
        <v>7.313557335140522E-2</v>
      </c>
      <c r="EM26" s="8">
        <v>9.0649764478569164E-2</v>
      </c>
      <c r="EN26" s="8">
        <v>9.7168164571455259E-2</v>
      </c>
      <c r="EO26" s="8">
        <v>9.6439531795166469E-2</v>
      </c>
      <c r="EP26" s="8">
        <v>0.10610021319893871</v>
      </c>
      <c r="EQ26" s="8">
        <v>0.12598262150385237</v>
      </c>
      <c r="ER26" s="8">
        <v>0.127961222966674</v>
      </c>
      <c r="ES26" s="8">
        <v>0.11920697156409903</v>
      </c>
      <c r="ET26" s="8">
        <v>0.12771733288903814</v>
      </c>
      <c r="EU26" s="8">
        <v>0.11550337013874523</v>
      </c>
      <c r="EV26" s="8">
        <v>9.7232171496786063E-2</v>
      </c>
      <c r="EW26" s="8">
        <v>0.17944301634804533</v>
      </c>
      <c r="EX26" s="8">
        <v>0.19371452272785383</v>
      </c>
      <c r="EY26" s="8">
        <v>0.19907470947732156</v>
      </c>
      <c r="EZ26" s="8">
        <v>0.19896110248473561</v>
      </c>
      <c r="FA26" s="8">
        <v>0.17196727661548289</v>
      </c>
      <c r="FB26" s="8">
        <v>0.14789728557394194</v>
      </c>
      <c r="FC26" s="8">
        <v>0.12694076885485489</v>
      </c>
      <c r="FD26" s="7">
        <v>0.12059637002319522</v>
      </c>
      <c r="FE26" s="8">
        <v>0.12686611275843857</v>
      </c>
      <c r="FF26" s="8">
        <v>0.14572032078262931</v>
      </c>
      <c r="FG26" s="8">
        <v>0.10736732113910327</v>
      </c>
      <c r="FH26" s="8">
        <v>9.1796197928291648E-2</v>
      </c>
      <c r="FI26" s="8">
        <v>9.3492297117444778E-2</v>
      </c>
      <c r="FJ26" s="8">
        <v>8.7447287798781748E-2</v>
      </c>
      <c r="FK26" s="8">
        <v>0.1039115752287401</v>
      </c>
      <c r="FL26" s="8">
        <v>0.11189021628623037</v>
      </c>
      <c r="FM26" s="8">
        <v>0.12183925930380304</v>
      </c>
      <c r="FN26" s="8">
        <v>0.119394781174065</v>
      </c>
      <c r="FO26" s="8">
        <v>0.12837066752361359</v>
      </c>
      <c r="FP26" s="8">
        <v>0.11358044914101086</v>
      </c>
      <c r="FZ26" s="6" t="s">
        <v>292</v>
      </c>
      <c r="GA26" s="8">
        <v>0.65432740295018677</v>
      </c>
      <c r="GB26" s="8">
        <v>0.64542288525579572</v>
      </c>
      <c r="GC26" s="8">
        <v>0.64727332451950004</v>
      </c>
      <c r="GD26" s="8">
        <v>0.63591224734073981</v>
      </c>
      <c r="GE26" s="8">
        <v>0.64479292146847</v>
      </c>
      <c r="GF26" s="8">
        <v>0.65027399320646451</v>
      </c>
      <c r="GG26" s="8">
        <v>0.65933221019182109</v>
      </c>
      <c r="GH26" s="8">
        <v>0.67072971890837485</v>
      </c>
      <c r="GI26" s="8">
        <v>0.66856235426862831</v>
      </c>
      <c r="GJ26" s="8">
        <v>0.68269173713613795</v>
      </c>
      <c r="GK26" s="8">
        <v>0.58867451966593964</v>
      </c>
      <c r="GL26" s="7">
        <v>0.60987735881217708</v>
      </c>
      <c r="GM26" s="8">
        <v>0.6212461230003542</v>
      </c>
      <c r="GN26" s="8">
        <v>0.58507306652851754</v>
      </c>
      <c r="GO26" s="8">
        <v>0.55243282409063676</v>
      </c>
      <c r="GP26" s="8">
        <v>0.54388854458928537</v>
      </c>
      <c r="GQ26" s="8">
        <v>0.5453716725151847</v>
      </c>
      <c r="GR26" s="8">
        <v>0.54937418742095689</v>
      </c>
      <c r="GS26" s="8">
        <v>0.56438787379772581</v>
      </c>
      <c r="GT26" s="8">
        <v>0.57490243081869152</v>
      </c>
      <c r="GU26" s="8">
        <v>0.35782195871151262</v>
      </c>
      <c r="GV26" s="7">
        <v>0.33939621568060746</v>
      </c>
      <c r="GW26" s="8">
        <v>0.32902575439319082</v>
      </c>
      <c r="GX26" s="8">
        <v>0.3180648118864986</v>
      </c>
      <c r="GY26" s="8">
        <v>0.35956542259191648</v>
      </c>
      <c r="GZ26" s="8">
        <v>0.41132354173025221</v>
      </c>
      <c r="HA26" s="8">
        <v>0.45275544292867442</v>
      </c>
      <c r="HB26" s="8">
        <v>0.45898344118412421</v>
      </c>
      <c r="HC26" s="8">
        <v>0.44460199968164771</v>
      </c>
      <c r="HD26" s="8">
        <v>0.41041794243931057</v>
      </c>
      <c r="HE26" s="8">
        <v>0.52915820696939997</v>
      </c>
      <c r="HF26" s="8">
        <v>0.54334474963167578</v>
      </c>
      <c r="HG26" s="7">
        <v>0.55942536384551911</v>
      </c>
      <c r="HH26" s="8">
        <v>0.56012472070003394</v>
      </c>
      <c r="HI26" s="8">
        <v>0.55175911069292627</v>
      </c>
      <c r="HJ26" s="8">
        <v>0.54280222582967141</v>
      </c>
      <c r="HK26" s="8">
        <v>0.54578941969355199</v>
      </c>
      <c r="HL26" s="8">
        <v>0.54955830865952626</v>
      </c>
      <c r="HM26" s="8">
        <v>0.5431498919935891</v>
      </c>
      <c r="HN26" s="8">
        <v>0.54322912222314568</v>
      </c>
      <c r="HP26" s="6" t="s">
        <v>293</v>
      </c>
      <c r="HQ26" s="6" t="s">
        <v>140</v>
      </c>
      <c r="HR26" s="6" t="s">
        <v>141</v>
      </c>
      <c r="HS26" s="8">
        <v>0.51892270148579933</v>
      </c>
    </row>
    <row r="27" spans="2:227" x14ac:dyDescent="0.45">
      <c r="B27" s="3" t="s">
        <v>294</v>
      </c>
      <c r="C27" s="3" t="s">
        <v>131</v>
      </c>
      <c r="D27" s="5">
        <v>0.21471649351073577</v>
      </c>
      <c r="E27" s="5">
        <v>0.21311303610972554</v>
      </c>
      <c r="F27" s="5">
        <v>0.2165380290438059</v>
      </c>
      <c r="G27" s="5">
        <v>0.227176964257192</v>
      </c>
      <c r="H27" s="5">
        <v>0.23590218694418646</v>
      </c>
      <c r="I27" s="5">
        <v>0.24648581724398511</v>
      </c>
      <c r="J27" s="5">
        <v>0.24010499272869565</v>
      </c>
      <c r="K27" s="5">
        <v>0.21600900705783979</v>
      </c>
      <c r="L27" s="5">
        <v>0.21431963435026913</v>
      </c>
      <c r="M27" s="5">
        <v>0.21298182724080872</v>
      </c>
      <c r="N27" s="5">
        <v>0.27645806901591796</v>
      </c>
      <c r="O27" s="5">
        <v>0.26932286816049678</v>
      </c>
      <c r="P27" s="5">
        <v>0.25999518958472367</v>
      </c>
      <c r="Q27" s="5">
        <v>0.27064260223754538</v>
      </c>
      <c r="R27" s="5">
        <v>0.28628821886613814</v>
      </c>
      <c r="S27" s="5">
        <v>0.28742308358515495</v>
      </c>
      <c r="T27" s="5">
        <v>0.28304698603164707</v>
      </c>
      <c r="U27" s="5">
        <v>0.27888614115756755</v>
      </c>
      <c r="V27" s="5">
        <v>0.26649790746499463</v>
      </c>
      <c r="W27" s="5">
        <v>0.25823264220567405</v>
      </c>
      <c r="X27" s="5">
        <v>0.35633267468145591</v>
      </c>
      <c r="Y27" s="5">
        <v>0.38613944226258701</v>
      </c>
      <c r="Z27" s="5">
        <v>0.40372220961085031</v>
      </c>
      <c r="AA27" s="5">
        <v>0.4184002185276593</v>
      </c>
      <c r="AB27" s="5">
        <v>0.39053945140825436</v>
      </c>
      <c r="AC27" s="5">
        <v>0.36039317290206396</v>
      </c>
      <c r="AD27" s="5">
        <v>0.33748573041118635</v>
      </c>
      <c r="AE27" s="5">
        <v>0.33186974102744143</v>
      </c>
      <c r="AF27" s="5">
        <v>0.31543219622260682</v>
      </c>
      <c r="AG27" s="5">
        <v>0.31325397034492192</v>
      </c>
      <c r="AH27" s="5">
        <v>0.25511993187938869</v>
      </c>
      <c r="AI27" s="5">
        <v>0.26252568111567154</v>
      </c>
      <c r="AJ27" s="5">
        <v>0.25962892687102179</v>
      </c>
      <c r="AK27" s="5">
        <v>0.26882569498406511</v>
      </c>
      <c r="AL27" s="5">
        <v>0.28100319816791941</v>
      </c>
      <c r="AM27" s="5">
        <v>0.28659624235955083</v>
      </c>
      <c r="AN27" s="5">
        <v>0.26773876749232339</v>
      </c>
      <c r="AO27" s="5">
        <v>0.24643333103048579</v>
      </c>
      <c r="AP27" s="5">
        <v>0.23835965885652924</v>
      </c>
      <c r="AQ27" s="5">
        <v>0.23532378460728251</v>
      </c>
      <c r="AS27" s="3" t="s">
        <v>294</v>
      </c>
      <c r="AT27" s="3" t="s">
        <v>132</v>
      </c>
      <c r="AU27" s="5">
        <v>8.0684422378128149E-3</v>
      </c>
      <c r="AV27" s="5">
        <v>1.0584676964645863E-2</v>
      </c>
      <c r="AW27" s="5">
        <v>1.1513192467164153E-2</v>
      </c>
      <c r="AX27" s="5">
        <v>1.0868365445641369E-2</v>
      </c>
      <c r="AY27" s="5">
        <v>9.5070821593302521E-3</v>
      </c>
      <c r="AZ27" s="5">
        <v>1.8169672739972692E-2</v>
      </c>
      <c r="BA27" s="5">
        <v>2.038202142740738E-2</v>
      </c>
      <c r="BB27" s="5">
        <v>1.1624085178796338E-2</v>
      </c>
      <c r="BC27" s="5">
        <v>1.1088382450213879E-2</v>
      </c>
      <c r="BD27" s="5">
        <v>1.0640790876404325E-2</v>
      </c>
      <c r="BE27" s="5">
        <v>2.2796387468408688E-2</v>
      </c>
      <c r="BF27" s="5">
        <v>1.4256069097727786E-2</v>
      </c>
      <c r="BG27" s="5">
        <v>1.4010861470789473E-2</v>
      </c>
      <c r="BH27" s="5">
        <v>2.0588484128550005E-2</v>
      </c>
      <c r="BI27" s="5">
        <v>2.5499599779651761E-2</v>
      </c>
      <c r="BJ27" s="5">
        <v>1.3884918802631537E-2</v>
      </c>
      <c r="BK27" s="5">
        <v>1.5054230797306032E-2</v>
      </c>
      <c r="BL27" s="4">
        <v>1.1504809832906067E-2</v>
      </c>
      <c r="BM27" s="5">
        <v>1.4372204853524405E-2</v>
      </c>
      <c r="BN27" s="5">
        <v>2.1262601248207093E-2</v>
      </c>
      <c r="BO27" s="5">
        <v>2.8230202238864067E-2</v>
      </c>
      <c r="BP27" s="5">
        <v>5.0425610017779718E-2</v>
      </c>
      <c r="BQ27" s="5">
        <v>4.7116952695108585E-2</v>
      </c>
      <c r="BR27" s="5">
        <v>2.6914636208437002E-2</v>
      </c>
      <c r="BS27" s="5">
        <v>4.2372968694095348E-2</v>
      </c>
      <c r="BT27" s="5">
        <v>5.279598417025036E-2</v>
      </c>
      <c r="BU27" s="5">
        <v>3.4806622117303523E-2</v>
      </c>
      <c r="BV27" s="5">
        <v>2.4096623243120771E-2</v>
      </c>
      <c r="BW27" s="5">
        <v>2.2231089516841548E-2</v>
      </c>
      <c r="BX27" s="5">
        <v>2.5163241017062941E-2</v>
      </c>
      <c r="BY27" s="5">
        <v>1.7641581996806887E-2</v>
      </c>
      <c r="BZ27" s="5">
        <v>3.2173001147162775E-2</v>
      </c>
      <c r="CA27" s="5">
        <v>3.612822769117973E-2</v>
      </c>
      <c r="CB27" s="5">
        <v>2.9505553571131934E-2</v>
      </c>
      <c r="CC27" s="5">
        <v>2.4776166531954483E-2</v>
      </c>
      <c r="CD27" s="5">
        <v>1.6785484233909111E-2</v>
      </c>
      <c r="CE27" s="5">
        <v>3.5554190525015138E-3</v>
      </c>
      <c r="CF27" s="5">
        <v>1.0291427138148365E-2</v>
      </c>
      <c r="CG27" s="5">
        <v>2.0289302902632485E-2</v>
      </c>
      <c r="CH27" s="5">
        <v>1.8621057084188007E-2</v>
      </c>
      <c r="CJ27" s="3" t="s">
        <v>294</v>
      </c>
      <c r="CK27" s="3" t="s">
        <v>133</v>
      </c>
      <c r="CL27" s="5">
        <v>1.5799372616762102E-2</v>
      </c>
      <c r="CM27" s="5">
        <v>1.5497776453792845E-2</v>
      </c>
      <c r="CN27" s="5">
        <v>9.1212661859549505E-3</v>
      </c>
      <c r="CO27" s="5">
        <v>7.5999540837952979E-3</v>
      </c>
      <c r="CP27" s="5">
        <v>1.1098248402449192E-2</v>
      </c>
      <c r="CQ27" s="5">
        <v>1.1634380098156896E-2</v>
      </c>
      <c r="CR27" s="5">
        <v>1.106327345249895E-2</v>
      </c>
      <c r="CS27" s="5">
        <v>1.6410977891914171E-2</v>
      </c>
      <c r="CT27" s="5">
        <v>1.8418097316072902E-2</v>
      </c>
      <c r="CU27" s="5">
        <v>1.1513093119908134E-2</v>
      </c>
      <c r="CV27" s="5">
        <v>1.9524359478513349E-2</v>
      </c>
      <c r="CW27" s="5">
        <v>2.5015006109331491E-2</v>
      </c>
      <c r="CX27" s="5">
        <v>1.5622448535843925E-2</v>
      </c>
      <c r="CY27" s="5">
        <v>1.7781054022352874E-2</v>
      </c>
      <c r="CZ27" s="5">
        <v>1.38549794895297E-2</v>
      </c>
      <c r="DA27" s="5">
        <v>2.4940896823617307E-2</v>
      </c>
      <c r="DB27" s="5">
        <v>2.5332005762141178E-2</v>
      </c>
      <c r="DC27" s="5">
        <v>2.6066740462613217E-2</v>
      </c>
      <c r="DD27" s="5">
        <v>1.4740332854574708E-2</v>
      </c>
      <c r="DE27" s="5">
        <v>1.3744777598942E-2</v>
      </c>
      <c r="DF27" s="5">
        <v>4.4682900991129891E-2</v>
      </c>
      <c r="DG27" s="5">
        <v>3.3463097452159578E-2</v>
      </c>
      <c r="DH27" s="5">
        <v>4.6613378736555966E-2</v>
      </c>
      <c r="DI27" s="5">
        <v>7.4911922111960155E-2</v>
      </c>
      <c r="DJ27" s="4">
        <v>5.0207001077929803E-2</v>
      </c>
      <c r="DK27" s="5">
        <v>2.5453109091028575E-2</v>
      </c>
      <c r="DL27" s="5">
        <v>4.0999524208073242E-2</v>
      </c>
      <c r="DM27" s="5">
        <v>4.5726496049531294E-2</v>
      </c>
      <c r="DN27" s="5">
        <v>4.5233197391942259E-2</v>
      </c>
      <c r="DO27" s="5">
        <v>2.7853091637524814E-2</v>
      </c>
      <c r="DP27" s="5">
        <v>2.2353062848552235E-2</v>
      </c>
      <c r="DQ27" s="5">
        <v>1.7545784569334876E-2</v>
      </c>
      <c r="DR27" s="5">
        <v>2.4771424350530615E-2</v>
      </c>
      <c r="DS27" s="5">
        <v>3.6881947220002632E-2</v>
      </c>
      <c r="DT27" s="5">
        <v>4.5088653145183441E-2</v>
      </c>
      <c r="DU27" s="5">
        <v>3.5664008683164196E-2</v>
      </c>
      <c r="DV27" s="5">
        <v>3.3194816442774007E-2</v>
      </c>
      <c r="DW27" s="5">
        <v>2.7640011081795177E-2</v>
      </c>
      <c r="DX27" s="5">
        <v>6.0527845353942795E-3</v>
      </c>
      <c r="DY27" s="5">
        <v>1.1658788247920472E-2</v>
      </c>
      <c r="EA27" s="3" t="s">
        <v>294</v>
      </c>
      <c r="EB27" s="3" t="s">
        <v>134</v>
      </c>
      <c r="EC27" s="5">
        <v>8.2791115292756637E-2</v>
      </c>
      <c r="ED27" s="5">
        <v>8.1142541895543624E-2</v>
      </c>
      <c r="EE27" s="5">
        <v>9.058724609894378E-2</v>
      </c>
      <c r="EF27" s="5">
        <v>0.10196888733986738</v>
      </c>
      <c r="EG27" s="5">
        <v>9.7356587648084206E-2</v>
      </c>
      <c r="EH27" s="5">
        <v>9.2867240400946391E-2</v>
      </c>
      <c r="EI27" s="5">
        <v>8.7816220415729951E-2</v>
      </c>
      <c r="EJ27" s="5">
        <v>7.6361969579937419E-2</v>
      </c>
      <c r="EK27" s="5">
        <v>7.1382458164968438E-2</v>
      </c>
      <c r="EL27" s="5">
        <v>7.4731995393602937E-2</v>
      </c>
      <c r="EM27" s="5">
        <v>0.10183907333836223</v>
      </c>
      <c r="EN27" s="5">
        <v>9.7365733783005073E-2</v>
      </c>
      <c r="EO27" s="5">
        <v>9.8460963859642092E-2</v>
      </c>
      <c r="EP27" s="5">
        <v>0.10557397853790763</v>
      </c>
      <c r="EQ27" s="5">
        <v>0.11455323121234942</v>
      </c>
      <c r="ER27" s="5">
        <v>0.11067196401876282</v>
      </c>
      <c r="ES27" s="5">
        <v>0.11298900443381299</v>
      </c>
      <c r="ET27" s="5">
        <v>0.116304333346535</v>
      </c>
      <c r="EU27" s="5">
        <v>0.11417037425736593</v>
      </c>
      <c r="EV27" s="5">
        <v>9.5014847757789164E-2</v>
      </c>
      <c r="EW27" s="5">
        <v>0.16505895208202781</v>
      </c>
      <c r="EX27" s="5">
        <v>0.18256676841439823</v>
      </c>
      <c r="EY27" s="5">
        <v>0.19263758297085642</v>
      </c>
      <c r="EZ27" s="5">
        <v>0.19471411803246086</v>
      </c>
      <c r="FA27" s="5">
        <v>0.18222875668551786</v>
      </c>
      <c r="FB27" s="5">
        <v>0.16219427769451694</v>
      </c>
      <c r="FC27" s="5">
        <v>0.14760372753297615</v>
      </c>
      <c r="FD27" s="4">
        <v>0.14715223121960241</v>
      </c>
      <c r="FE27" s="5">
        <v>0.13966615918951847</v>
      </c>
      <c r="FF27" s="5">
        <v>0.14350499903373712</v>
      </c>
      <c r="FG27" s="5">
        <v>0.1089316555441613</v>
      </c>
      <c r="FH27" s="5">
        <v>9.6627883128417996E-2</v>
      </c>
      <c r="FI27" s="5">
        <v>8.5165851311299556E-2</v>
      </c>
      <c r="FJ27" s="5">
        <v>8.2002230390354522E-2</v>
      </c>
      <c r="FK27" s="5">
        <v>8.8025736317110678E-2</v>
      </c>
      <c r="FL27" s="5">
        <v>0.10300936486217656</v>
      </c>
      <c r="FM27" s="5">
        <v>0.11061187173437388</v>
      </c>
      <c r="FN27" s="5">
        <v>9.5209870771240435E-2</v>
      </c>
      <c r="FO27" s="5">
        <v>0.10692051117681033</v>
      </c>
      <c r="FP27" s="5">
        <v>0.10468269048249244</v>
      </c>
      <c r="FZ27" s="3" t="s">
        <v>294</v>
      </c>
      <c r="GA27" s="5">
        <v>0.65033219813047849</v>
      </c>
      <c r="GB27" s="5">
        <v>0.64321735537676483</v>
      </c>
      <c r="GC27" s="5">
        <v>0.64258536593479398</v>
      </c>
      <c r="GD27" s="5">
        <v>0.62601215837405888</v>
      </c>
      <c r="GE27" s="5">
        <v>0.63459415142955722</v>
      </c>
      <c r="GF27" s="5">
        <v>0.63598464242152153</v>
      </c>
      <c r="GG27" s="5">
        <v>0.63838696986620469</v>
      </c>
      <c r="GH27" s="5">
        <v>0.6601128347146491</v>
      </c>
      <c r="GI27" s="5">
        <v>0.66346611574358461</v>
      </c>
      <c r="GJ27" s="5">
        <v>0.67436659033413604</v>
      </c>
      <c r="GK27" s="5">
        <v>0.56621673054883026</v>
      </c>
      <c r="GL27" s="4">
        <v>0.58160903822095944</v>
      </c>
      <c r="GM27" s="5">
        <v>0.5929581486590173</v>
      </c>
      <c r="GN27" s="5">
        <v>0.56292133798310007</v>
      </c>
      <c r="GO27" s="5">
        <v>0.54459409343537435</v>
      </c>
      <c r="GP27" s="5">
        <v>0.5354212678087853</v>
      </c>
      <c r="GQ27" s="5">
        <v>0.5250358204890111</v>
      </c>
      <c r="GR27" s="5">
        <v>0.53327046884133655</v>
      </c>
      <c r="GS27" s="5">
        <v>0.55745329550047995</v>
      </c>
      <c r="GT27" s="5">
        <v>0.5805047714143633</v>
      </c>
      <c r="GU27" s="5">
        <v>0.30722542547968068</v>
      </c>
      <c r="GV27" s="4">
        <v>0.30560760397681724</v>
      </c>
      <c r="GW27" s="5">
        <v>0.30116140594929958</v>
      </c>
      <c r="GX27" s="5">
        <v>0.27574000966370849</v>
      </c>
      <c r="GY27" s="5">
        <v>0.30824787021560934</v>
      </c>
      <c r="GZ27" s="5">
        <v>0.34367059958098833</v>
      </c>
      <c r="HA27" s="5">
        <v>0.36939169627477159</v>
      </c>
      <c r="HB27" s="5">
        <v>0.3746419108122182</v>
      </c>
      <c r="HC27" s="5">
        <v>0.36146486583170778</v>
      </c>
      <c r="HD27" s="5">
        <v>0.35357160199022858</v>
      </c>
      <c r="HE27" s="5">
        <v>0.51984516266460312</v>
      </c>
      <c r="HF27" s="5">
        <v>0.53380533457597401</v>
      </c>
      <c r="HG27" s="4">
        <v>0.54890985221901256</v>
      </c>
      <c r="HH27" s="5">
        <v>0.55200752382927587</v>
      </c>
      <c r="HI27" s="5">
        <v>0.54536152791991321</v>
      </c>
      <c r="HJ27" s="5">
        <v>0.53615459385099173</v>
      </c>
      <c r="HK27" s="5">
        <v>0.52460288170123559</v>
      </c>
      <c r="HL27" s="5">
        <v>0.53082421189578155</v>
      </c>
      <c r="HM27" s="5">
        <v>0.54942291782158714</v>
      </c>
      <c r="HN27" s="5">
        <v>0.54822621703223273</v>
      </c>
      <c r="HP27" s="3" t="s">
        <v>295</v>
      </c>
      <c r="HQ27" s="3" t="s">
        <v>140</v>
      </c>
      <c r="HR27" s="3" t="s">
        <v>141</v>
      </c>
      <c r="HS27" s="5">
        <v>0.50744301536683611</v>
      </c>
    </row>
    <row r="28" spans="2:227" x14ac:dyDescent="0.45">
      <c r="B28" s="6" t="s">
        <v>296</v>
      </c>
      <c r="C28" s="6" t="s">
        <v>131</v>
      </c>
      <c r="D28" s="8">
        <v>0.27851801572139634</v>
      </c>
      <c r="E28" s="8">
        <v>0.28431556383848344</v>
      </c>
      <c r="F28" s="8">
        <v>0.27961827018828228</v>
      </c>
      <c r="G28" s="8">
        <v>0.26663744742632361</v>
      </c>
      <c r="H28" s="8">
        <v>0.25360328141962429</v>
      </c>
      <c r="I28" s="8">
        <v>0.25511272592542972</v>
      </c>
      <c r="J28" s="8">
        <v>0.26270713408549018</v>
      </c>
      <c r="K28" s="8">
        <v>0.26505130784641673</v>
      </c>
      <c r="L28" s="8">
        <v>0.2708683846505493</v>
      </c>
      <c r="M28" s="8">
        <v>0.27309788204893864</v>
      </c>
      <c r="N28" s="8">
        <v>0.33045402884350689</v>
      </c>
      <c r="O28" s="8">
        <v>0.30771185600167628</v>
      </c>
      <c r="P28" s="8">
        <v>0.30805961983856089</v>
      </c>
      <c r="Q28" s="8">
        <v>0.31569018115664449</v>
      </c>
      <c r="R28" s="8">
        <v>0.30953295245480822</v>
      </c>
      <c r="S28" s="8">
        <v>0.30979398651422796</v>
      </c>
      <c r="T28" s="8">
        <v>0.31651160880456664</v>
      </c>
      <c r="U28" s="8">
        <v>0.32741588658870135</v>
      </c>
      <c r="V28" s="8">
        <v>0.32671670192761754</v>
      </c>
      <c r="W28" s="8">
        <v>0.32983641914056927</v>
      </c>
      <c r="X28" s="8">
        <v>0.43693129283233667</v>
      </c>
      <c r="Y28" s="8">
        <v>0.43987200257458697</v>
      </c>
      <c r="Z28" s="8">
        <v>0.4520853990113895</v>
      </c>
      <c r="AA28" s="8">
        <v>0.4303490143787736</v>
      </c>
      <c r="AB28" s="8">
        <v>0.42075379416057063</v>
      </c>
      <c r="AC28" s="8">
        <v>0.40865794455197052</v>
      </c>
      <c r="AD28" s="8">
        <v>0.40912748267996052</v>
      </c>
      <c r="AE28" s="8">
        <v>0.41414852110249561</v>
      </c>
      <c r="AF28" s="8">
        <v>0.41384602021046052</v>
      </c>
      <c r="AG28" s="8">
        <v>0.43601133521204671</v>
      </c>
      <c r="AH28" s="8">
        <v>0.33794761996234379</v>
      </c>
      <c r="AI28" s="8">
        <v>0.34919810166663384</v>
      </c>
      <c r="AJ28" s="8">
        <v>0.34883829944922762</v>
      </c>
      <c r="AK28" s="8">
        <v>0.34099614958846108</v>
      </c>
      <c r="AL28" s="8">
        <v>0.35190286206662175</v>
      </c>
      <c r="AM28" s="8">
        <v>0.34214788715917221</v>
      </c>
      <c r="AN28" s="8">
        <v>0.33662159842802652</v>
      </c>
      <c r="AO28" s="8">
        <v>0.33579838859566213</v>
      </c>
      <c r="AP28" s="8">
        <v>0.33690455550046305</v>
      </c>
      <c r="AQ28" s="8">
        <v>0.35205419625491552</v>
      </c>
      <c r="AS28" s="6" t="s">
        <v>296</v>
      </c>
      <c r="AT28" s="6" t="s">
        <v>132</v>
      </c>
      <c r="AU28" s="8">
        <v>1.7259875852990644E-2</v>
      </c>
      <c r="AV28" s="8">
        <v>3.0345247391657212E-2</v>
      </c>
      <c r="AW28" s="8">
        <v>2.5429379955970159E-2</v>
      </c>
      <c r="AX28" s="8">
        <v>1.6403515502783083E-2</v>
      </c>
      <c r="AY28" s="8">
        <v>2.5406992258502546E-2</v>
      </c>
      <c r="AZ28" s="8">
        <v>2.4306513479237939E-2</v>
      </c>
      <c r="BA28" s="8">
        <v>1.8051008690798731E-2</v>
      </c>
      <c r="BB28" s="8">
        <v>1.7471535047157136E-2</v>
      </c>
      <c r="BC28" s="8">
        <v>2.2160761922371673E-2</v>
      </c>
      <c r="BD28" s="8">
        <v>2.4052081769025745E-2</v>
      </c>
      <c r="BE28" s="8">
        <v>2.6103154476570033E-2</v>
      </c>
      <c r="BF28" s="8">
        <v>4.0161358903480694E-2</v>
      </c>
      <c r="BG28" s="8">
        <v>2.4328833843236471E-2</v>
      </c>
      <c r="BH28" s="8">
        <v>3.9802210002393833E-2</v>
      </c>
      <c r="BI28" s="8">
        <v>4.227630061088028E-2</v>
      </c>
      <c r="BJ28" s="8">
        <v>1.6993159035170818E-2</v>
      </c>
      <c r="BK28" s="8">
        <v>1.4429734731714234E-2</v>
      </c>
      <c r="BL28" s="7">
        <v>2.3185063226726289E-2</v>
      </c>
      <c r="BM28" s="8">
        <v>2.5469292749453334E-2</v>
      </c>
      <c r="BN28" s="8">
        <v>1.2977113329122872E-2</v>
      </c>
      <c r="BO28" s="8">
        <v>3.2407957204710888E-2</v>
      </c>
      <c r="BP28" s="8">
        <v>2.0827477140163933E-2</v>
      </c>
      <c r="BQ28" s="8">
        <v>2.8213005100395646E-2</v>
      </c>
      <c r="BR28" s="8">
        <v>9.9254492651721943E-3</v>
      </c>
      <c r="BS28" s="8">
        <v>2.9141029086226171E-2</v>
      </c>
      <c r="BT28" s="8">
        <v>2.7774284069445262E-2</v>
      </c>
      <c r="BU28" s="8">
        <v>3.00824557169019E-2</v>
      </c>
      <c r="BV28" s="8">
        <v>3.8319130323499602E-2</v>
      </c>
      <c r="BW28" s="8">
        <v>6.0838231989503277E-2</v>
      </c>
      <c r="BX28" s="8">
        <v>4.0549112870697221E-2</v>
      </c>
      <c r="BY28" s="8">
        <v>3.4865408387426196E-2</v>
      </c>
      <c r="BZ28" s="8">
        <v>3.9873109990971725E-2</v>
      </c>
      <c r="CA28" s="8">
        <v>4.7293185355177639E-2</v>
      </c>
      <c r="CB28" s="8">
        <v>4.2351013648712833E-2</v>
      </c>
      <c r="CC28" s="8">
        <v>1.7975916501152274E-2</v>
      </c>
      <c r="CD28" s="8">
        <v>1.5693405133677965E-2</v>
      </c>
      <c r="CE28" s="8">
        <v>2.6655659791347826E-2</v>
      </c>
      <c r="CF28" s="8">
        <v>4.4381116542484278E-2</v>
      </c>
      <c r="CG28" s="8">
        <v>3.4985596105011299E-2</v>
      </c>
      <c r="CH28" s="8">
        <v>2.7331448885076635E-2</v>
      </c>
      <c r="CJ28" s="6" t="s">
        <v>296</v>
      </c>
      <c r="CK28" s="6" t="s">
        <v>133</v>
      </c>
      <c r="CL28" s="8">
        <v>3.6219554268099717E-2</v>
      </c>
      <c r="CM28" s="8">
        <v>2.2615586426352925E-2</v>
      </c>
      <c r="CN28" s="8">
        <v>2.2729315771977027E-2</v>
      </c>
      <c r="CO28" s="8">
        <v>2.5279702785285584E-2</v>
      </c>
      <c r="CP28" s="8">
        <v>2.1888277961709206E-2</v>
      </c>
      <c r="CQ28" s="8">
        <v>1.9241818073895019E-2</v>
      </c>
      <c r="CR28" s="8">
        <v>2.3250616994023497E-2</v>
      </c>
      <c r="CS28" s="8">
        <v>2.1958252231612314E-2</v>
      </c>
      <c r="CT28" s="8">
        <v>2.0156014619997421E-2</v>
      </c>
      <c r="CU28" s="8">
        <v>2.285710302712185E-2</v>
      </c>
      <c r="CV28" s="8">
        <v>2.671173536390048E-2</v>
      </c>
      <c r="CW28" s="8">
        <v>2.8907099098706368E-2</v>
      </c>
      <c r="CX28" s="8">
        <v>3.6762720720018023E-2</v>
      </c>
      <c r="CY28" s="8">
        <v>2.9379836830221773E-2</v>
      </c>
      <c r="CZ28" s="8">
        <v>2.3862294639673903E-2</v>
      </c>
      <c r="DA28" s="8">
        <v>3.4204041375897755E-2</v>
      </c>
      <c r="DB28" s="8">
        <v>3.3822358124951588E-2</v>
      </c>
      <c r="DC28" s="8">
        <v>3.1501149798561369E-2</v>
      </c>
      <c r="DD28" s="8">
        <v>2.2632721652772126E-2</v>
      </c>
      <c r="DE28" s="8">
        <v>4.6912047590448737E-2</v>
      </c>
      <c r="DF28" s="8">
        <v>5.9335183719510388E-2</v>
      </c>
      <c r="DG28" s="8">
        <v>7.0435012409347464E-2</v>
      </c>
      <c r="DH28" s="8">
        <v>3.4223875173517479E-2</v>
      </c>
      <c r="DI28" s="8">
        <v>4.3316490403580578E-2</v>
      </c>
      <c r="DJ28" s="7">
        <v>1.1587219823156261E-2</v>
      </c>
      <c r="DK28" s="8">
        <v>1.0733096574927327E-2</v>
      </c>
      <c r="DL28" s="8">
        <v>2.6364557272707999E-2</v>
      </c>
      <c r="DM28" s="8">
        <v>3.901626643289887E-2</v>
      </c>
      <c r="DN28" s="8">
        <v>4.6251984370946186E-2</v>
      </c>
      <c r="DO28" s="8">
        <v>6.1842972460566539E-2</v>
      </c>
      <c r="DP28" s="8">
        <v>4.7993466982886639E-2</v>
      </c>
      <c r="DQ28" s="8">
        <v>5.1996382135756691E-2</v>
      </c>
      <c r="DR28" s="8">
        <v>3.4670641157026692E-2</v>
      </c>
      <c r="DS28" s="8">
        <v>5.7503184270246484E-2</v>
      </c>
      <c r="DT28" s="8">
        <v>7.1710269578013505E-2</v>
      </c>
      <c r="DU28" s="8">
        <v>4.7376235601122543E-2</v>
      </c>
      <c r="DV28" s="8">
        <v>2.4741959396829126E-2</v>
      </c>
      <c r="DW28" s="8">
        <v>1.2661540924361201E-2</v>
      </c>
      <c r="DX28" s="8">
        <v>3.2424634195028265E-2</v>
      </c>
      <c r="DY28" s="8">
        <v>5.0736712614521735E-2</v>
      </c>
      <c r="EA28" s="6" t="s">
        <v>296</v>
      </c>
      <c r="EB28" s="6" t="s">
        <v>134</v>
      </c>
      <c r="EC28" s="8">
        <v>0.1054546838955909</v>
      </c>
      <c r="ED28" s="8">
        <v>0.11472359766665235</v>
      </c>
      <c r="EE28" s="8">
        <v>0.1122393730231673</v>
      </c>
      <c r="EF28" s="8">
        <v>0.10428990671744774</v>
      </c>
      <c r="EG28" s="8">
        <v>8.7456248411915488E-2</v>
      </c>
      <c r="EH28" s="8">
        <v>9.5305665002322654E-2</v>
      </c>
      <c r="EI28" s="8">
        <v>9.8097434862371588E-2</v>
      </c>
      <c r="EJ28" s="8">
        <v>0.10604179690459248</v>
      </c>
      <c r="EK28" s="8">
        <v>0.10675394222495314</v>
      </c>
      <c r="EL28" s="8">
        <v>0.10273954527179091</v>
      </c>
      <c r="EM28" s="8">
        <v>0.15102371147093316</v>
      </c>
      <c r="EN28" s="8">
        <v>0.11502413557561138</v>
      </c>
      <c r="EO28" s="8">
        <v>0.1196825309340786</v>
      </c>
      <c r="EP28" s="8">
        <v>0.11336079694668133</v>
      </c>
      <c r="EQ28" s="8">
        <v>0.12049403821982531</v>
      </c>
      <c r="ER28" s="8">
        <v>0.13333680933739023</v>
      </c>
      <c r="ES28" s="8">
        <v>0.13263637546031859</v>
      </c>
      <c r="ET28" s="8">
        <v>0.13903744470296325</v>
      </c>
      <c r="EU28" s="8">
        <v>0.15422064558246606</v>
      </c>
      <c r="EV28" s="8">
        <v>0.14792516539027722</v>
      </c>
      <c r="EW28" s="8">
        <v>0.21589243759583071</v>
      </c>
      <c r="EX28" s="8">
        <v>0.2115891438736964</v>
      </c>
      <c r="EY28" s="8">
        <v>0.24720644971548503</v>
      </c>
      <c r="EZ28" s="8">
        <v>0.24593944594436359</v>
      </c>
      <c r="FA28" s="8">
        <v>0.24160370957397373</v>
      </c>
      <c r="FB28" s="8">
        <v>0.24038609519966067</v>
      </c>
      <c r="FC28" s="8">
        <v>0.21855729648397351</v>
      </c>
      <c r="FD28" s="7">
        <v>0.20891284371143221</v>
      </c>
      <c r="FE28" s="8">
        <v>0.19424916050875884</v>
      </c>
      <c r="FF28" s="8">
        <v>0.20737160622770592</v>
      </c>
      <c r="FG28" s="8">
        <v>0.12838428237472932</v>
      </c>
      <c r="FH28" s="8">
        <v>0.1183062039390618</v>
      </c>
      <c r="FI28" s="8">
        <v>0.12850233701219982</v>
      </c>
      <c r="FJ28" s="8">
        <v>0.120845204232647</v>
      </c>
      <c r="FK28" s="8">
        <v>0.13168268639092359</v>
      </c>
      <c r="FL28" s="8">
        <v>0.15353850592600485</v>
      </c>
      <c r="FM28" s="8">
        <v>0.15690979496192459</v>
      </c>
      <c r="FN28" s="8">
        <v>0.16019147991824575</v>
      </c>
      <c r="FO28" s="8">
        <v>0.15299559075185779</v>
      </c>
      <c r="FP28" s="8">
        <v>0.14212180884565143</v>
      </c>
      <c r="FZ28" s="6" t="s">
        <v>296</v>
      </c>
      <c r="GA28" s="8">
        <v>0.49787109601384494</v>
      </c>
      <c r="GB28" s="8">
        <v>0.48300918648769736</v>
      </c>
      <c r="GC28" s="8">
        <v>0.50222043487687873</v>
      </c>
      <c r="GD28" s="8">
        <v>0.52228743377337594</v>
      </c>
      <c r="GE28" s="8">
        <v>0.54758257830939239</v>
      </c>
      <c r="GF28" s="8">
        <v>0.55443478203932872</v>
      </c>
      <c r="GG28" s="8">
        <v>0.54220302062325321</v>
      </c>
      <c r="GH28" s="8">
        <v>0.53734901748231612</v>
      </c>
      <c r="GI28" s="8">
        <v>0.5348252638390989</v>
      </c>
      <c r="GJ28" s="8">
        <v>0.53215528740818341</v>
      </c>
      <c r="GK28" s="8">
        <v>0.38528931658535664</v>
      </c>
      <c r="GL28" s="7">
        <v>0.40140646661214774</v>
      </c>
      <c r="GM28" s="8">
        <v>0.4165861916521853</v>
      </c>
      <c r="GN28" s="8">
        <v>0.45400721685384599</v>
      </c>
      <c r="GO28" s="8">
        <v>0.46754675183985145</v>
      </c>
      <c r="GP28" s="8">
        <v>0.4632955677354893</v>
      </c>
      <c r="GQ28" s="8">
        <v>0.4504677835554286</v>
      </c>
      <c r="GR28" s="8">
        <v>0.42147584673932653</v>
      </c>
      <c r="GS28" s="8">
        <v>0.39029820780286095</v>
      </c>
      <c r="GT28" s="8">
        <v>0.38415746529457079</v>
      </c>
      <c r="GU28" s="8">
        <v>0.20904366725818535</v>
      </c>
      <c r="GV28" s="7">
        <v>0.2083467087607008</v>
      </c>
      <c r="GW28" s="8">
        <v>0.22866020115899191</v>
      </c>
      <c r="GX28" s="8">
        <v>0.23135327019492721</v>
      </c>
      <c r="GY28" s="8">
        <v>0.23810541747467817</v>
      </c>
      <c r="GZ28" s="8">
        <v>0.25017955516362972</v>
      </c>
      <c r="HA28" s="8">
        <v>0.24606757374186169</v>
      </c>
      <c r="HB28" s="8">
        <v>0.22033405537665543</v>
      </c>
      <c r="HC28" s="8">
        <v>0.19440107976380822</v>
      </c>
      <c r="HD28" s="8">
        <v>0.20689907239686514</v>
      </c>
      <c r="HE28" s="8">
        <v>0.34860998003505578</v>
      </c>
      <c r="HF28" s="8">
        <v>0.37197261236685542</v>
      </c>
      <c r="HG28" s="7">
        <v>0.39240563620894109</v>
      </c>
      <c r="HH28" s="8">
        <v>0.39493322582762797</v>
      </c>
      <c r="HI28" s="8">
        <v>0.39919490226808779</v>
      </c>
      <c r="HJ28" s="8">
        <v>0.40538003444245357</v>
      </c>
      <c r="HK28" s="8">
        <v>0.37539550797791932</v>
      </c>
      <c r="HL28" s="8">
        <v>0.34933337412832161</v>
      </c>
      <c r="HM28" s="8">
        <v>0.3403116600505765</v>
      </c>
      <c r="HN28" s="8">
        <v>0.33785426651459777</v>
      </c>
      <c r="HP28" s="6" t="s">
        <v>297</v>
      </c>
      <c r="HQ28" s="6" t="s">
        <v>140</v>
      </c>
      <c r="HR28" s="6" t="s">
        <v>141</v>
      </c>
      <c r="HS28" s="8">
        <v>0.55349201736154718</v>
      </c>
    </row>
    <row r="29" spans="2:227" x14ac:dyDescent="0.45">
      <c r="B29" s="3" t="s">
        <v>298</v>
      </c>
      <c r="C29" s="3" t="s">
        <v>131</v>
      </c>
      <c r="D29" s="5">
        <v>0.18040267155172532</v>
      </c>
      <c r="E29" s="5">
        <v>0.18749248610207311</v>
      </c>
      <c r="F29" s="5">
        <v>0.18079594657829487</v>
      </c>
      <c r="G29" s="5">
        <v>0.16911683830596982</v>
      </c>
      <c r="H29" s="5">
        <v>0.17402973195164692</v>
      </c>
      <c r="I29" s="5">
        <v>0.17676109109476063</v>
      </c>
      <c r="J29" s="5">
        <v>0.1712246554223372</v>
      </c>
      <c r="K29" s="5">
        <v>0.16314816349548256</v>
      </c>
      <c r="L29" s="5">
        <v>0.1683110285930205</v>
      </c>
      <c r="M29" s="5">
        <v>0.17502581126051922</v>
      </c>
      <c r="N29" s="5">
        <v>0.24370277096267545</v>
      </c>
      <c r="O29" s="5">
        <v>0.23438337498711578</v>
      </c>
      <c r="P29" s="5">
        <v>0.24068339075626163</v>
      </c>
      <c r="Q29" s="5">
        <v>0.24789469644434739</v>
      </c>
      <c r="R29" s="5">
        <v>0.24800402496574461</v>
      </c>
      <c r="S29" s="5">
        <v>0.24226657026694831</v>
      </c>
      <c r="T29" s="5">
        <v>0.22777387917574723</v>
      </c>
      <c r="U29" s="5">
        <v>0.22383206187772414</v>
      </c>
      <c r="V29" s="5">
        <v>0.23514459767394158</v>
      </c>
      <c r="W29" s="5">
        <v>0.25556119695868601</v>
      </c>
      <c r="X29" s="5">
        <v>0.35974954669718529</v>
      </c>
      <c r="Y29" s="5">
        <v>0.36467739595295073</v>
      </c>
      <c r="Z29" s="5">
        <v>0.37169902808561056</v>
      </c>
      <c r="AA29" s="5">
        <v>0.37597973056103218</v>
      </c>
      <c r="AB29" s="5">
        <v>0.35981760360513437</v>
      </c>
      <c r="AC29" s="5">
        <v>0.353243595280751</v>
      </c>
      <c r="AD29" s="5">
        <v>0.33735525644755116</v>
      </c>
      <c r="AE29" s="5">
        <v>0.32113142077908924</v>
      </c>
      <c r="AF29" s="5">
        <v>0.3328756365387327</v>
      </c>
      <c r="AG29" s="5">
        <v>0.36103090890283396</v>
      </c>
      <c r="AH29" s="5">
        <v>0.25906446415626411</v>
      </c>
      <c r="AI29" s="5">
        <v>0.26391674440353186</v>
      </c>
      <c r="AJ29" s="5">
        <v>0.267479002710236</v>
      </c>
      <c r="AK29" s="5">
        <v>0.27340565313473658</v>
      </c>
      <c r="AL29" s="5">
        <v>0.27739035103954263</v>
      </c>
      <c r="AM29" s="5">
        <v>0.27232504018291365</v>
      </c>
      <c r="AN29" s="5">
        <v>0.261690964607522</v>
      </c>
      <c r="AO29" s="5">
        <v>0.25492196979070003</v>
      </c>
      <c r="AP29" s="5">
        <v>0.25737190051786002</v>
      </c>
      <c r="AQ29" s="5">
        <v>0.26825279016589976</v>
      </c>
      <c r="AS29" s="3" t="s">
        <v>298</v>
      </c>
      <c r="AT29" s="3" t="s">
        <v>132</v>
      </c>
      <c r="AU29" s="5">
        <v>1.2159879250586349E-2</v>
      </c>
      <c r="AV29" s="5">
        <v>8.5830486080647819E-3</v>
      </c>
      <c r="AW29" s="5">
        <v>6.9415431778574654E-3</v>
      </c>
      <c r="AX29" s="5">
        <v>6.7904020323343584E-3</v>
      </c>
      <c r="AY29" s="5">
        <v>1.1475947766031674E-2</v>
      </c>
      <c r="AZ29" s="5">
        <v>9.9562098619579951E-3</v>
      </c>
      <c r="BA29" s="5">
        <v>7.7672906719851763E-3</v>
      </c>
      <c r="BB29" s="5">
        <v>5.458956274617793E-3</v>
      </c>
      <c r="BC29" s="5">
        <v>6.2600928795427313E-3</v>
      </c>
      <c r="BD29" s="5">
        <v>9.6611304647050596E-3</v>
      </c>
      <c r="BE29" s="5">
        <v>8.7815615119129567E-3</v>
      </c>
      <c r="BF29" s="5">
        <v>1.7702937693494472E-2</v>
      </c>
      <c r="BG29" s="5">
        <v>1.6867182656301355E-2</v>
      </c>
      <c r="BH29" s="5">
        <v>1.3337132186536441E-2</v>
      </c>
      <c r="BI29" s="5">
        <v>1.0276207807512662E-2</v>
      </c>
      <c r="BJ29" s="5">
        <v>6.8462130786264624E-3</v>
      </c>
      <c r="BK29" s="5">
        <v>8.2564645800776177E-3</v>
      </c>
      <c r="BL29" s="4">
        <v>1.2978863005423667E-2</v>
      </c>
      <c r="BM29" s="5">
        <v>1.5750515749510346E-2</v>
      </c>
      <c r="BN29" s="5">
        <v>1.4473721939556743E-2</v>
      </c>
      <c r="BO29" s="5">
        <v>8.7482934715369665E-3</v>
      </c>
      <c r="BP29" s="5">
        <v>2.3047996538448513E-2</v>
      </c>
      <c r="BQ29" s="5">
        <v>2.1453912618947198E-2</v>
      </c>
      <c r="BR29" s="5">
        <v>1.5984014017201165E-2</v>
      </c>
      <c r="BS29" s="5">
        <v>2.9493725640922924E-2</v>
      </c>
      <c r="BT29" s="5">
        <v>1.838211508735001E-2</v>
      </c>
      <c r="BU29" s="5">
        <v>3.0080254947305294E-2</v>
      </c>
      <c r="BV29" s="5">
        <v>3.4238890809226694E-2</v>
      </c>
      <c r="BW29" s="5">
        <v>2.5034166353738053E-2</v>
      </c>
      <c r="BX29" s="5">
        <v>2.848673234358217E-2</v>
      </c>
      <c r="BY29" s="5">
        <v>8.6482519826797145E-3</v>
      </c>
      <c r="BZ29" s="5">
        <v>1.7762226943090643E-2</v>
      </c>
      <c r="CA29" s="5">
        <v>1.1028852705054505E-2</v>
      </c>
      <c r="CB29" s="5">
        <v>1.1861637569133065E-2</v>
      </c>
      <c r="CC29" s="5">
        <v>9.8995437195404361E-3</v>
      </c>
      <c r="CD29" s="5">
        <v>1.4531137913171632E-2</v>
      </c>
      <c r="CE29" s="5">
        <v>1.4328243656180826E-2</v>
      </c>
      <c r="CF29" s="5">
        <v>9.5952810166730542E-3</v>
      </c>
      <c r="CG29" s="5">
        <v>8.005504078916972E-3</v>
      </c>
      <c r="CH29" s="5">
        <v>1.7262632218424678E-2</v>
      </c>
      <c r="CJ29" s="3" t="s">
        <v>298</v>
      </c>
      <c r="CK29" s="3" t="s">
        <v>133</v>
      </c>
      <c r="CL29" s="5">
        <v>1.0237293313421946E-2</v>
      </c>
      <c r="CM29" s="5">
        <v>1.4954548986418032E-2</v>
      </c>
      <c r="CN29" s="5">
        <v>1.4049729462893958E-2</v>
      </c>
      <c r="CO29" s="5">
        <v>8.333808297573542E-3</v>
      </c>
      <c r="CP29" s="5">
        <v>4.2437078621209347E-3</v>
      </c>
      <c r="CQ29" s="5">
        <v>7.8753628833423371E-3</v>
      </c>
      <c r="CR29" s="5">
        <v>1.0573012929511856E-2</v>
      </c>
      <c r="CS29" s="5">
        <v>1.2896705369870816E-2</v>
      </c>
      <c r="CT29" s="5">
        <v>9.9708006884511972E-3</v>
      </c>
      <c r="CU29" s="5">
        <v>9.4577715109913484E-3</v>
      </c>
      <c r="CV29" s="5">
        <v>1.9058457308794428E-2</v>
      </c>
      <c r="CW29" s="5">
        <v>1.1091648268852106E-2</v>
      </c>
      <c r="CX29" s="5">
        <v>8.4182215334045393E-3</v>
      </c>
      <c r="CY29" s="5">
        <v>1.6433476840733669E-2</v>
      </c>
      <c r="CZ29" s="5">
        <v>2.1655032061417379E-2</v>
      </c>
      <c r="DA29" s="5">
        <v>2.0479743089615712E-2</v>
      </c>
      <c r="DB29" s="5">
        <v>1.1166433014329629E-2</v>
      </c>
      <c r="DC29" s="5">
        <v>8.0160278830613118E-3</v>
      </c>
      <c r="DD29" s="5">
        <v>8.3311056111810017E-3</v>
      </c>
      <c r="DE29" s="5">
        <v>1.9094298618947885E-2</v>
      </c>
      <c r="DF29" s="5">
        <v>4.0176005070733371E-2</v>
      </c>
      <c r="DG29" s="5">
        <v>1.2975788900130658E-2</v>
      </c>
      <c r="DH29" s="5">
        <v>1.3283143935128392E-2</v>
      </c>
      <c r="DI29" s="5">
        <v>1.7730721230188765E-2</v>
      </c>
      <c r="DJ29" s="4">
        <v>1.3958938476592162E-2</v>
      </c>
      <c r="DK29" s="5">
        <v>3.0449436762751133E-2</v>
      </c>
      <c r="DL29" s="5">
        <v>3.1103759443962091E-2</v>
      </c>
      <c r="DM29" s="5">
        <v>2.8287003068074242E-2</v>
      </c>
      <c r="DN29" s="5">
        <v>2.8266140952433839E-2</v>
      </c>
      <c r="DO29" s="5">
        <v>4.3726603128079203E-2</v>
      </c>
      <c r="DP29" s="5">
        <v>1.7554989571267488E-2</v>
      </c>
      <c r="DQ29" s="5">
        <v>7.8579081396206885E-3</v>
      </c>
      <c r="DR29" s="5">
        <v>1.861550836548E-2</v>
      </c>
      <c r="DS29" s="5">
        <v>1.5491550625806047E-2</v>
      </c>
      <c r="DT29" s="5">
        <v>1.820183281390857E-2</v>
      </c>
      <c r="DU29" s="5">
        <v>1.3598587315217316E-2</v>
      </c>
      <c r="DV29" s="5">
        <v>1.2068654887892178E-2</v>
      </c>
      <c r="DW29" s="5">
        <v>1.6562211393172318E-2</v>
      </c>
      <c r="DX29" s="5">
        <v>2.1764215835330974E-2</v>
      </c>
      <c r="DY29" s="5">
        <v>1.3605316245473849E-2</v>
      </c>
      <c r="EA29" s="3" t="s">
        <v>298</v>
      </c>
      <c r="EB29" s="3" t="s">
        <v>134</v>
      </c>
      <c r="EC29" s="5">
        <v>5.3446789053777102E-2</v>
      </c>
      <c r="ED29" s="5">
        <v>5.8010151011380982E-2</v>
      </c>
      <c r="EE29" s="5">
        <v>5.3790500310252592E-2</v>
      </c>
      <c r="EF29" s="5">
        <v>5.1285412339737137E-2</v>
      </c>
      <c r="EG29" s="5">
        <v>5.0456145784531559E-2</v>
      </c>
      <c r="EH29" s="5">
        <v>5.1761839115687533E-2</v>
      </c>
      <c r="EI29" s="5">
        <v>5.0430104684281954E-2</v>
      </c>
      <c r="EJ29" s="5">
        <v>5.2002380962181925E-2</v>
      </c>
      <c r="EK29" s="5">
        <v>5.4072859334662916E-2</v>
      </c>
      <c r="EL29" s="5">
        <v>5.2254323530702855E-2</v>
      </c>
      <c r="EM29" s="5">
        <v>9.8397790793593898E-2</v>
      </c>
      <c r="EN29" s="5">
        <v>8.6481729348095338E-2</v>
      </c>
      <c r="EO29" s="5">
        <v>9.1000472160352439E-2</v>
      </c>
      <c r="EP29" s="5">
        <v>9.2281986593763521E-2</v>
      </c>
      <c r="EQ29" s="5">
        <v>8.9903041684811003E-2</v>
      </c>
      <c r="ER29" s="5">
        <v>9.5186435084633605E-2</v>
      </c>
      <c r="ES29" s="5">
        <v>9.2368114308052654E-2</v>
      </c>
      <c r="ET29" s="5">
        <v>8.7932339802586149E-2</v>
      </c>
      <c r="EU29" s="5">
        <v>8.8986830701020758E-2</v>
      </c>
      <c r="EV29" s="5">
        <v>8.9548083391016442E-2</v>
      </c>
      <c r="EW29" s="5">
        <v>0.18171895209054997</v>
      </c>
      <c r="EX29" s="5">
        <v>0.19601799857267907</v>
      </c>
      <c r="EY29" s="5">
        <v>0.19548769573885738</v>
      </c>
      <c r="EZ29" s="5">
        <v>0.19923126652077155</v>
      </c>
      <c r="FA29" s="5">
        <v>0.18894672672665985</v>
      </c>
      <c r="FB29" s="5">
        <v>0.17569025218074782</v>
      </c>
      <c r="FC29" s="5">
        <v>0.15076508847382492</v>
      </c>
      <c r="FD29" s="4">
        <v>0.13632494497237635</v>
      </c>
      <c r="FE29" s="5">
        <v>0.14956976176745379</v>
      </c>
      <c r="FF29" s="5">
        <v>0.15205025837209526</v>
      </c>
      <c r="FG29" s="5">
        <v>0.10085751525281403</v>
      </c>
      <c r="FH29" s="5">
        <v>9.8888625836374186E-2</v>
      </c>
      <c r="FI29" s="5">
        <v>9.9138994200798816E-2</v>
      </c>
      <c r="FJ29" s="5">
        <v>0.10924603405296475</v>
      </c>
      <c r="FK29" s="5">
        <v>0.11104115201085596</v>
      </c>
      <c r="FL29" s="5">
        <v>0.10600750271618962</v>
      </c>
      <c r="FM29" s="5">
        <v>0.10532744246503611</v>
      </c>
      <c r="FN29" s="5">
        <v>0.10462401011014601</v>
      </c>
      <c r="FO29" s="5">
        <v>0.10229099550131197</v>
      </c>
      <c r="FP29" s="5">
        <v>0.1088532046534208</v>
      </c>
      <c r="FZ29" s="3" t="s">
        <v>298</v>
      </c>
      <c r="GA29" s="5">
        <v>0.72591423428707536</v>
      </c>
      <c r="GB29" s="5">
        <v>0.70999094344120917</v>
      </c>
      <c r="GC29" s="5">
        <v>0.72264582413751588</v>
      </c>
      <c r="GD29" s="5">
        <v>0.74293812197825027</v>
      </c>
      <c r="GE29" s="5">
        <v>0.74733180031792146</v>
      </c>
      <c r="GF29" s="5">
        <v>0.74237125759846312</v>
      </c>
      <c r="GG29" s="5">
        <v>0.74258091230114076</v>
      </c>
      <c r="GH29" s="5">
        <v>0.74505146187572013</v>
      </c>
      <c r="GI29" s="5">
        <v>0.73993513457930427</v>
      </c>
      <c r="GJ29" s="5">
        <v>0.7373499002960453</v>
      </c>
      <c r="GK29" s="5">
        <v>0.60209803711971421</v>
      </c>
      <c r="GL29" s="4">
        <v>0.62356072031156384</v>
      </c>
      <c r="GM29" s="5">
        <v>0.62419177213523169</v>
      </c>
      <c r="GN29" s="5">
        <v>0.61618000368726322</v>
      </c>
      <c r="GO29" s="5">
        <v>0.61845390226610819</v>
      </c>
      <c r="GP29" s="5">
        <v>0.6233799625375489</v>
      </c>
      <c r="GQ29" s="5">
        <v>0.63751156414181998</v>
      </c>
      <c r="GR29" s="5">
        <v>0.64119550862648811</v>
      </c>
      <c r="GS29" s="5">
        <v>0.62789224100038921</v>
      </c>
      <c r="GT29" s="5">
        <v>0.60969698420685303</v>
      </c>
      <c r="GU29" s="5">
        <v>0.4112167316367587</v>
      </c>
      <c r="GV29" s="4">
        <v>0.40718054964317213</v>
      </c>
      <c r="GW29" s="5">
        <v>0.40142595518225849</v>
      </c>
      <c r="GX29" s="5">
        <v>0.38188953761162592</v>
      </c>
      <c r="GY29" s="5">
        <v>0.38361070216837823</v>
      </c>
      <c r="GZ29" s="5">
        <v>0.39264446256076296</v>
      </c>
      <c r="HA29" s="5">
        <v>0.40448487070930322</v>
      </c>
      <c r="HB29" s="5">
        <v>0.41333691871993677</v>
      </c>
      <c r="HC29" s="5">
        <v>0.40601716054018239</v>
      </c>
      <c r="HD29" s="5">
        <v>0.40670951908210551</v>
      </c>
      <c r="HE29" s="5">
        <v>0.60877038879151357</v>
      </c>
      <c r="HF29" s="5">
        <v>0.61889596800936186</v>
      </c>
      <c r="HG29" s="4">
        <v>0.61607804654688925</v>
      </c>
      <c r="HH29" s="5">
        <v>0.59954326589844287</v>
      </c>
      <c r="HI29" s="5">
        <v>0.59821731766921293</v>
      </c>
      <c r="HJ29" s="5">
        <v>0.60223303896991476</v>
      </c>
      <c r="HK29" s="5">
        <v>0.60133313993140503</v>
      </c>
      <c r="HL29" s="5">
        <v>0.59855362504869758</v>
      </c>
      <c r="HM29" s="5">
        <v>0.59409216668597653</v>
      </c>
      <c r="HN29" s="5">
        <v>0.58508749380523473</v>
      </c>
      <c r="HP29" s="3" t="s">
        <v>299</v>
      </c>
      <c r="HQ29" s="3" t="s">
        <v>140</v>
      </c>
      <c r="HR29" s="3" t="s">
        <v>141</v>
      </c>
      <c r="HS29" s="5">
        <v>0.61309210235092948</v>
      </c>
    </row>
    <row r="30" spans="2:227" x14ac:dyDescent="0.45">
      <c r="B30" s="6" t="s">
        <v>300</v>
      </c>
      <c r="C30" s="6" t="s">
        <v>131</v>
      </c>
      <c r="D30" s="8">
        <v>0.15458529949924296</v>
      </c>
      <c r="E30" s="8">
        <v>0.16407933379139461</v>
      </c>
      <c r="F30" s="8">
        <v>0.16223814310099918</v>
      </c>
      <c r="G30" s="8">
        <v>0.15571295937726326</v>
      </c>
      <c r="H30" s="8">
        <v>0.16012557673492131</v>
      </c>
      <c r="I30" s="8">
        <v>0.15763108609589621</v>
      </c>
      <c r="J30" s="8">
        <v>0.15024929242634952</v>
      </c>
      <c r="K30" s="8">
        <v>0.14735110715894906</v>
      </c>
      <c r="L30" s="8">
        <v>0.16088677419020272</v>
      </c>
      <c r="M30" s="8">
        <v>0.16347894363640136</v>
      </c>
      <c r="N30" s="8">
        <v>0.23924486696956632</v>
      </c>
      <c r="O30" s="8">
        <v>0.23017071720517704</v>
      </c>
      <c r="P30" s="8">
        <v>0.23129148912123687</v>
      </c>
      <c r="Q30" s="8">
        <v>0.23176412240718822</v>
      </c>
      <c r="R30" s="8">
        <v>0.23397064607269558</v>
      </c>
      <c r="S30" s="8">
        <v>0.22394887191841367</v>
      </c>
      <c r="T30" s="8">
        <v>0.21522188009625182</v>
      </c>
      <c r="U30" s="8">
        <v>0.21794677139310592</v>
      </c>
      <c r="V30" s="8">
        <v>0.22558404335567148</v>
      </c>
      <c r="W30" s="8">
        <v>0.24342481217144585</v>
      </c>
      <c r="X30" s="8">
        <v>0.32874990932622422</v>
      </c>
      <c r="Y30" s="8">
        <v>0.32949075204257383</v>
      </c>
      <c r="Z30" s="8">
        <v>0.33524369671055126</v>
      </c>
      <c r="AA30" s="8">
        <v>0.3471261305032261</v>
      </c>
      <c r="AB30" s="8">
        <v>0.34371772828402131</v>
      </c>
      <c r="AC30" s="8">
        <v>0.33830260242044358</v>
      </c>
      <c r="AD30" s="8">
        <v>0.32857267154281417</v>
      </c>
      <c r="AE30" s="8">
        <v>0.32395544918254671</v>
      </c>
      <c r="AF30" s="8">
        <v>0.32810818234872691</v>
      </c>
      <c r="AG30" s="8">
        <v>0.33643361416966766</v>
      </c>
      <c r="AH30" s="8">
        <v>0.2549910022627454</v>
      </c>
      <c r="AI30" s="8">
        <v>0.25923736331074182</v>
      </c>
      <c r="AJ30" s="8">
        <v>0.26076947261699401</v>
      </c>
      <c r="AK30" s="8">
        <v>0.26293366806844637</v>
      </c>
      <c r="AL30" s="8">
        <v>0.26473412155597648</v>
      </c>
      <c r="AM30" s="8">
        <v>0.25745691887328881</v>
      </c>
      <c r="AN30" s="8">
        <v>0.24052523341250151</v>
      </c>
      <c r="AO30" s="8">
        <v>0.23735420315993319</v>
      </c>
      <c r="AP30" s="8">
        <v>0.24339790678610271</v>
      </c>
      <c r="AQ30" s="8">
        <v>0.25440779881462244</v>
      </c>
      <c r="AS30" s="6" t="s">
        <v>300</v>
      </c>
      <c r="AT30" s="6" t="s">
        <v>132</v>
      </c>
      <c r="AU30" s="8">
        <v>1.042577123473238E-2</v>
      </c>
      <c r="AV30" s="8">
        <v>6.1416303240936282E-3</v>
      </c>
      <c r="AW30" s="8">
        <v>5.4848948040718531E-3</v>
      </c>
      <c r="AX30" s="8">
        <v>8.1337972814659962E-3</v>
      </c>
      <c r="AY30" s="8">
        <v>9.5116138440762537E-3</v>
      </c>
      <c r="AZ30" s="8">
        <v>1.0894219248261613E-2</v>
      </c>
      <c r="BA30" s="8">
        <v>8.4735208300468368E-3</v>
      </c>
      <c r="BB30" s="8">
        <v>5.5666946193920225E-3</v>
      </c>
      <c r="BC30" s="8">
        <v>7.4178905657466309E-3</v>
      </c>
      <c r="BD30" s="8">
        <v>8.4786797597049806E-3</v>
      </c>
      <c r="BE30" s="8">
        <v>8.7961667005556805E-3</v>
      </c>
      <c r="BF30" s="8">
        <v>9.6019341208771827E-3</v>
      </c>
      <c r="BG30" s="8">
        <v>1.2780187205135362E-2</v>
      </c>
      <c r="BH30" s="8">
        <v>1.0858556012247857E-2</v>
      </c>
      <c r="BI30" s="8">
        <v>5.9190396903567319E-3</v>
      </c>
      <c r="BJ30" s="8">
        <v>6.3394697626777989E-3</v>
      </c>
      <c r="BK30" s="8">
        <v>1.0183089699717832E-2</v>
      </c>
      <c r="BL30" s="7">
        <v>1.1109233384932096E-2</v>
      </c>
      <c r="BM30" s="8">
        <v>1.3242980946408718E-2</v>
      </c>
      <c r="BN30" s="8">
        <v>1.4402973032070719E-2</v>
      </c>
      <c r="BO30" s="8">
        <v>1.2075175653309017E-2</v>
      </c>
      <c r="BP30" s="8">
        <v>1.5520292426943505E-2</v>
      </c>
      <c r="BQ30" s="8">
        <v>1.0470808338817307E-2</v>
      </c>
      <c r="BR30" s="8">
        <v>2.7064823521416217E-2</v>
      </c>
      <c r="BS30" s="8">
        <v>1.9461762261490146E-2</v>
      </c>
      <c r="BT30" s="8">
        <v>2.2589971742767851E-2</v>
      </c>
      <c r="BU30" s="8">
        <v>2.7453763016444171E-2</v>
      </c>
      <c r="BV30" s="8">
        <v>3.6184356284885949E-2</v>
      </c>
      <c r="BW30" s="8">
        <v>2.8974798036385328E-2</v>
      </c>
      <c r="BX30" s="8">
        <v>2.521589820905959E-2</v>
      </c>
      <c r="BY30" s="8">
        <v>7.8721268552828672E-3</v>
      </c>
      <c r="BZ30" s="8">
        <v>1.3298802307979756E-2</v>
      </c>
      <c r="CA30" s="8">
        <v>1.2884064261584836E-2</v>
      </c>
      <c r="CB30" s="8">
        <v>9.1399766039335813E-3</v>
      </c>
      <c r="CC30" s="8">
        <v>9.6040248362179396E-3</v>
      </c>
      <c r="CD30" s="8">
        <v>1.1232148400832686E-2</v>
      </c>
      <c r="CE30" s="8">
        <v>9.9204708337862265E-3</v>
      </c>
      <c r="CF30" s="8">
        <v>4.9287284039534873E-3</v>
      </c>
      <c r="CG30" s="8">
        <v>1.1369562351877534E-2</v>
      </c>
      <c r="CH30" s="8">
        <v>1.1561782016538119E-2</v>
      </c>
      <c r="CJ30" s="6" t="s">
        <v>300</v>
      </c>
      <c r="CK30" s="6" t="s">
        <v>133</v>
      </c>
      <c r="CL30" s="8">
        <v>8.8035208074336221E-3</v>
      </c>
      <c r="CM30" s="8">
        <v>1.526872877920196E-2</v>
      </c>
      <c r="CN30" s="8">
        <v>1.788134935831678E-2</v>
      </c>
      <c r="CO30" s="8">
        <v>6.0823019237347649E-3</v>
      </c>
      <c r="CP30" s="8">
        <v>4.6732781593475207E-3</v>
      </c>
      <c r="CQ30" s="8">
        <v>5.890616091663514E-3</v>
      </c>
      <c r="CR30" s="8">
        <v>1.1338728185002079E-2</v>
      </c>
      <c r="CS30" s="8">
        <v>1.4592838599101987E-2</v>
      </c>
      <c r="CT30" s="8">
        <v>9.1852210086021732E-3</v>
      </c>
      <c r="CU30" s="8">
        <v>5.8524522832103581E-3</v>
      </c>
      <c r="CV30" s="8">
        <v>1.8770153963316518E-2</v>
      </c>
      <c r="CW30" s="8">
        <v>1.6290233571737627E-2</v>
      </c>
      <c r="CX30" s="8">
        <v>6.6870020311299893E-3</v>
      </c>
      <c r="CY30" s="8">
        <v>1.2278712993173943E-2</v>
      </c>
      <c r="CZ30" s="8">
        <v>1.7087598904442638E-2</v>
      </c>
      <c r="DA30" s="8">
        <v>1.2296930564711419E-2</v>
      </c>
      <c r="DB30" s="8">
        <v>8.043035183146998E-3</v>
      </c>
      <c r="DC30" s="8">
        <v>1.206275369200205E-2</v>
      </c>
      <c r="DD30" s="8">
        <v>1.0903543663945085E-2</v>
      </c>
      <c r="DE30" s="8">
        <v>1.6515475185849726E-2</v>
      </c>
      <c r="DF30" s="8">
        <v>4.032343306400886E-2</v>
      </c>
      <c r="DG30" s="8">
        <v>1.95053538418892E-2</v>
      </c>
      <c r="DH30" s="8">
        <v>2.0504760322906896E-2</v>
      </c>
      <c r="DI30" s="8">
        <v>6.1164985709603317E-3</v>
      </c>
      <c r="DJ30" s="7">
        <v>2.3278815987815362E-2</v>
      </c>
      <c r="DK30" s="8">
        <v>2.9355915672104656E-2</v>
      </c>
      <c r="DL30" s="8">
        <v>2.9790862883287104E-2</v>
      </c>
      <c r="DM30" s="8">
        <v>3.2194399092243205E-2</v>
      </c>
      <c r="DN30" s="8">
        <v>3.4282900655661308E-2</v>
      </c>
      <c r="DO30" s="8">
        <v>4.9056496538430722E-2</v>
      </c>
      <c r="DP30" s="8">
        <v>1.5665675066743247E-2</v>
      </c>
      <c r="DQ30" s="8">
        <v>8.7997743698953294E-3</v>
      </c>
      <c r="DR30" s="8">
        <v>1.1488803633756107E-2</v>
      </c>
      <c r="DS30" s="8">
        <v>1.8895397596545203E-2</v>
      </c>
      <c r="DT30" s="8">
        <v>1.6890950636584166E-2</v>
      </c>
      <c r="DU30" s="8">
        <v>1.4815196102082406E-2</v>
      </c>
      <c r="DV30" s="8">
        <v>1.1237880818258276E-2</v>
      </c>
      <c r="DW30" s="8">
        <v>1.4112544790256785E-2</v>
      </c>
      <c r="DX30" s="8">
        <v>1.219161034406121E-2</v>
      </c>
      <c r="DY30" s="8">
        <v>1.1180647615373239E-2</v>
      </c>
      <c r="EA30" s="6" t="s">
        <v>300</v>
      </c>
      <c r="EB30" s="6" t="s">
        <v>134</v>
      </c>
      <c r="EC30" s="8">
        <v>4.3721457018390822E-2</v>
      </c>
      <c r="ED30" s="8">
        <v>4.9209322115517116E-2</v>
      </c>
      <c r="EE30" s="8">
        <v>4.7942046188266474E-2</v>
      </c>
      <c r="EF30" s="8">
        <v>4.3992479791859579E-2</v>
      </c>
      <c r="EG30" s="8">
        <v>4.3175628998974806E-2</v>
      </c>
      <c r="EH30" s="8">
        <v>4.1622506423123366E-2</v>
      </c>
      <c r="EI30" s="8">
        <v>4.1724347595010744E-2</v>
      </c>
      <c r="EJ30" s="8">
        <v>3.9628703272486437E-2</v>
      </c>
      <c r="EK30" s="8">
        <v>4.7588644161351119E-2</v>
      </c>
      <c r="EL30" s="8">
        <v>5.1026109779920295E-2</v>
      </c>
      <c r="EM30" s="8">
        <v>9.29424782471725E-2</v>
      </c>
      <c r="EN30" s="8">
        <v>8.3215912585856089E-2</v>
      </c>
      <c r="EO30" s="8">
        <v>8.7704261306700004E-2</v>
      </c>
      <c r="EP30" s="8">
        <v>8.9303978586018587E-2</v>
      </c>
      <c r="EQ30" s="8">
        <v>8.7231191045490375E-2</v>
      </c>
      <c r="ER30" s="8">
        <v>8.8006728729288997E-2</v>
      </c>
      <c r="ES30" s="8">
        <v>8.3616195523396428E-2</v>
      </c>
      <c r="ET30" s="8">
        <v>8.0999710877754108E-2</v>
      </c>
      <c r="EU30" s="8">
        <v>8.0418125728470388E-2</v>
      </c>
      <c r="EV30" s="8">
        <v>8.6263341311782704E-2</v>
      </c>
      <c r="EW30" s="8">
        <v>0.1515343849609487</v>
      </c>
      <c r="EX30" s="8">
        <v>0.16201293987426757</v>
      </c>
      <c r="EY30" s="8">
        <v>0.17136880358036372</v>
      </c>
      <c r="EZ30" s="8">
        <v>0.19051381458014763</v>
      </c>
      <c r="FA30" s="8">
        <v>0.17626075638571426</v>
      </c>
      <c r="FB30" s="8">
        <v>0.15385487097439463</v>
      </c>
      <c r="FC30" s="8">
        <v>0.13993278512556184</v>
      </c>
      <c r="FD30" s="7">
        <v>0.12433697361602726</v>
      </c>
      <c r="FE30" s="8">
        <v>0.12751942856235335</v>
      </c>
      <c r="FF30" s="8">
        <v>0.1323368320673145</v>
      </c>
      <c r="FG30" s="8">
        <v>9.8500570168034388E-2</v>
      </c>
      <c r="FH30" s="8">
        <v>9.3125801985200971E-2</v>
      </c>
      <c r="FI30" s="8">
        <v>9.397345208420238E-2</v>
      </c>
      <c r="FJ30" s="8">
        <v>9.7156590048627423E-2</v>
      </c>
      <c r="FK30" s="8">
        <v>9.3715220857028728E-2</v>
      </c>
      <c r="FL30" s="8">
        <v>9.1353313283669288E-2</v>
      </c>
      <c r="FM30" s="8">
        <v>9.6304847519702017E-2</v>
      </c>
      <c r="FN30" s="8">
        <v>9.9220860598409871E-2</v>
      </c>
      <c r="FO30" s="8">
        <v>9.9590584723114092E-2</v>
      </c>
      <c r="FP30" s="8">
        <v>0.10615651094640013</v>
      </c>
      <c r="FZ30" s="6" t="s">
        <v>300</v>
      </c>
      <c r="GA30" s="8">
        <v>0.77219464894137557</v>
      </c>
      <c r="GB30" s="8">
        <v>0.74609049390390081</v>
      </c>
      <c r="GC30" s="8">
        <v>0.74662119312995467</v>
      </c>
      <c r="GD30" s="8">
        <v>0.77496459996313038</v>
      </c>
      <c r="GE30" s="8">
        <v>0.77715666521349747</v>
      </c>
      <c r="GF30" s="8">
        <v>0.77641400011576867</v>
      </c>
      <c r="GG30" s="8">
        <v>0.77711488780637983</v>
      </c>
      <c r="GH30" s="8">
        <v>0.78218932839434296</v>
      </c>
      <c r="GI30" s="8">
        <v>0.77021490316120855</v>
      </c>
      <c r="GJ30" s="8">
        <v>0.76595735766120487</v>
      </c>
      <c r="GK30" s="8">
        <v>0.63926961047063069</v>
      </c>
      <c r="GL30" s="7">
        <v>0.65637061561745835</v>
      </c>
      <c r="GM30" s="8">
        <v>0.6580707752966467</v>
      </c>
      <c r="GN30" s="8">
        <v>0.65085901158166615</v>
      </c>
      <c r="GO30" s="8">
        <v>0.6530267625054258</v>
      </c>
      <c r="GP30" s="8">
        <v>0.66350157012096855</v>
      </c>
      <c r="GQ30" s="8">
        <v>0.67503432519289785</v>
      </c>
      <c r="GR30" s="8">
        <v>0.67310028178801351</v>
      </c>
      <c r="GS30" s="8">
        <v>0.66310356755168587</v>
      </c>
      <c r="GT30" s="8">
        <v>0.64325095128919796</v>
      </c>
      <c r="GU30" s="8">
        <v>0.46089232442143557</v>
      </c>
      <c r="GV30" s="7">
        <v>0.45034576774196294</v>
      </c>
      <c r="GW30" s="8">
        <v>0.44018886743011881</v>
      </c>
      <c r="GX30" s="8">
        <v>0.41679717213727402</v>
      </c>
      <c r="GY30" s="8">
        <v>0.42358367397124569</v>
      </c>
      <c r="GZ30" s="8">
        <v>0.43233390672996763</v>
      </c>
      <c r="HA30" s="8">
        <v>0.43644757631387082</v>
      </c>
      <c r="HB30" s="8">
        <v>0.44927504612230357</v>
      </c>
      <c r="HC30" s="8">
        <v>0.45427825375818703</v>
      </c>
      <c r="HD30" s="8">
        <v>0.45421008642400107</v>
      </c>
      <c r="HE30" s="8">
        <v>0.64320834468264765</v>
      </c>
      <c r="HF30" s="8">
        <v>0.65439177523424752</v>
      </c>
      <c r="HG30" s="7">
        <v>0.65210619437639694</v>
      </c>
      <c r="HH30" s="8">
        <v>0.63924177354023037</v>
      </c>
      <c r="HI30" s="8">
        <v>0.64204083737444284</v>
      </c>
      <c r="HJ30" s="8">
        <v>0.64741204212137038</v>
      </c>
      <c r="HK30" s="8">
        <v>0.64921154357808253</v>
      </c>
      <c r="HL30" s="8">
        <v>0.64580602602919912</v>
      </c>
      <c r="HM30" s="8">
        <v>0.64077349220064805</v>
      </c>
      <c r="HN30" s="8">
        <v>0.62671649406191421</v>
      </c>
      <c r="HP30" s="6" t="s">
        <v>301</v>
      </c>
      <c r="HQ30" s="6" t="s">
        <v>140</v>
      </c>
      <c r="HR30" s="6" t="s">
        <v>141</v>
      </c>
      <c r="HS30" s="8">
        <v>0.51439574712152336</v>
      </c>
    </row>
    <row r="31" spans="2:227" x14ac:dyDescent="0.45">
      <c r="B31" s="3" t="s">
        <v>302</v>
      </c>
      <c r="C31" s="3" t="s">
        <v>131</v>
      </c>
      <c r="D31" s="5">
        <v>0.16226775593355464</v>
      </c>
      <c r="E31" s="5">
        <v>0.17033115286267919</v>
      </c>
      <c r="F31" s="5">
        <v>0.17988073182941355</v>
      </c>
      <c r="G31" s="5">
        <v>0.18554641314335221</v>
      </c>
      <c r="H31" s="5">
        <v>0.19476134100527523</v>
      </c>
      <c r="I31" s="5">
        <v>0.19688083820061961</v>
      </c>
      <c r="J31" s="5">
        <v>0.18813296650556222</v>
      </c>
      <c r="K31" s="5">
        <v>0.17126196386359924</v>
      </c>
      <c r="L31" s="5">
        <v>0.16194315530363493</v>
      </c>
      <c r="M31" s="5">
        <v>0.16986065307210771</v>
      </c>
      <c r="N31" s="5">
        <v>0.25060754222838361</v>
      </c>
      <c r="O31" s="5">
        <v>0.24123105108970799</v>
      </c>
      <c r="P31" s="5">
        <v>0.23240111255147117</v>
      </c>
      <c r="Q31" s="5">
        <v>0.24661333118935641</v>
      </c>
      <c r="R31" s="5">
        <v>0.24671267211378131</v>
      </c>
      <c r="S31" s="5">
        <v>0.24419708154168182</v>
      </c>
      <c r="T31" s="5">
        <v>0.23770848121312682</v>
      </c>
      <c r="U31" s="5">
        <v>0.22787004130795691</v>
      </c>
      <c r="V31" s="5">
        <v>0.22505357424643199</v>
      </c>
      <c r="W31" s="5">
        <v>0.23495693221628874</v>
      </c>
      <c r="X31" s="5">
        <v>0.35600150438365419</v>
      </c>
      <c r="Y31" s="5">
        <v>0.3590636331197023</v>
      </c>
      <c r="Z31" s="5">
        <v>0.36187027381688475</v>
      </c>
      <c r="AA31" s="5">
        <v>0.36831948184655172</v>
      </c>
      <c r="AB31" s="5">
        <v>0.35489147205909116</v>
      </c>
      <c r="AC31" s="5">
        <v>0.33580039401077827</v>
      </c>
      <c r="AD31" s="5">
        <v>0.32926748104073272</v>
      </c>
      <c r="AE31" s="5">
        <v>0.3256317741182142</v>
      </c>
      <c r="AF31" s="5">
        <v>0.33705136472108127</v>
      </c>
      <c r="AG31" s="5">
        <v>0.34899646190107902</v>
      </c>
      <c r="AH31" s="5">
        <v>0.24245724927332288</v>
      </c>
      <c r="AI31" s="5">
        <v>0.24438370660050765</v>
      </c>
      <c r="AJ31" s="5">
        <v>0.23623622870388697</v>
      </c>
      <c r="AK31" s="5">
        <v>0.23971982805143865</v>
      </c>
      <c r="AL31" s="5">
        <v>0.23916046846323333</v>
      </c>
      <c r="AM31" s="5">
        <v>0.23076051810967854</v>
      </c>
      <c r="AN31" s="5">
        <v>0.22584726220044204</v>
      </c>
      <c r="AO31" s="5">
        <v>0.21889661437431096</v>
      </c>
      <c r="AP31" s="5">
        <v>0.21500922651946028</v>
      </c>
      <c r="AQ31" s="5">
        <v>0.22780266904278104</v>
      </c>
      <c r="AS31" s="3" t="s">
        <v>302</v>
      </c>
      <c r="AT31" s="3" t="s">
        <v>132</v>
      </c>
      <c r="AU31" s="5">
        <v>1.0247617351814359E-2</v>
      </c>
      <c r="AV31" s="5">
        <v>7.5200621529800315E-3</v>
      </c>
      <c r="AW31" s="5">
        <v>1.260320686161746E-2</v>
      </c>
      <c r="AX31" s="5">
        <v>1.3214199922625538E-2</v>
      </c>
      <c r="AY31" s="5">
        <v>1.4116649231926345E-2</v>
      </c>
      <c r="AZ31" s="5">
        <v>1.1625902197841992E-2</v>
      </c>
      <c r="BA31" s="5">
        <v>9.584451277195075E-3</v>
      </c>
      <c r="BB31" s="5">
        <v>6.2966155148631081E-3</v>
      </c>
      <c r="BC31" s="5">
        <v>3.3866136451530943E-3</v>
      </c>
      <c r="BD31" s="5">
        <v>8.2781489720195438E-3</v>
      </c>
      <c r="BE31" s="5">
        <v>9.6611716707115779E-3</v>
      </c>
      <c r="BF31" s="5">
        <v>1.299647558840283E-2</v>
      </c>
      <c r="BG31" s="5">
        <v>1.1138828566314611E-2</v>
      </c>
      <c r="BH31" s="5">
        <v>1.2436985297701958E-2</v>
      </c>
      <c r="BI31" s="5">
        <v>1.698590016656442E-2</v>
      </c>
      <c r="BJ31" s="5">
        <v>1.4182404414795891E-2</v>
      </c>
      <c r="BK31" s="5">
        <v>1.0557313302548435E-2</v>
      </c>
      <c r="BL31" s="4">
        <v>6.2761258846200357E-3</v>
      </c>
      <c r="BM31" s="5">
        <v>8.9032687411728963E-3</v>
      </c>
      <c r="BN31" s="5">
        <v>6.1990220020486323E-3</v>
      </c>
      <c r="BO31" s="5">
        <v>1.9840668396494988E-2</v>
      </c>
      <c r="BP31" s="5">
        <v>2.7314394685222562E-2</v>
      </c>
      <c r="BQ31" s="5">
        <v>1.3680396292746443E-2</v>
      </c>
      <c r="BR31" s="5">
        <v>9.8954347475879514E-3</v>
      </c>
      <c r="BS31" s="5">
        <v>2.1878860258440955E-3</v>
      </c>
      <c r="BT31" s="5">
        <v>1.4220846193333756E-2</v>
      </c>
      <c r="BU31" s="5">
        <v>2.912580242670457E-2</v>
      </c>
      <c r="BV31" s="5">
        <v>3.4022974172127116E-2</v>
      </c>
      <c r="BW31" s="5">
        <v>3.3738505254577805E-2</v>
      </c>
      <c r="BX31" s="5">
        <v>2.9623350216616353E-2</v>
      </c>
      <c r="BY31" s="5">
        <v>1.0440645858599188E-2</v>
      </c>
      <c r="BZ31" s="5">
        <v>2.1327561204295003E-2</v>
      </c>
      <c r="CA31" s="5">
        <v>2.050588318997806E-2</v>
      </c>
      <c r="CB31" s="5">
        <v>1.3616591868305409E-2</v>
      </c>
      <c r="CC31" s="5">
        <v>1.1215586764834973E-2</v>
      </c>
      <c r="CD31" s="5">
        <v>9.4015079742830483E-3</v>
      </c>
      <c r="CE31" s="5">
        <v>6.8015234077856996E-3</v>
      </c>
      <c r="CF31" s="5">
        <v>1.0496361431306054E-2</v>
      </c>
      <c r="CG31" s="5">
        <v>1.6489536470890267E-2</v>
      </c>
      <c r="CH31" s="5">
        <v>1.0187816340876361E-2</v>
      </c>
      <c r="CJ31" s="3" t="s">
        <v>302</v>
      </c>
      <c r="CK31" s="3" t="s">
        <v>133</v>
      </c>
      <c r="CL31" s="5">
        <v>9.674255549891108E-3</v>
      </c>
      <c r="CM31" s="5">
        <v>1.1391441290008042E-2</v>
      </c>
      <c r="CN31" s="5">
        <v>7.1729406939121075E-3</v>
      </c>
      <c r="CO31" s="5">
        <v>1.0524595098371529E-2</v>
      </c>
      <c r="CP31" s="5">
        <v>1.3365069706298019E-2</v>
      </c>
      <c r="CQ31" s="5">
        <v>1.6450375997193505E-2</v>
      </c>
      <c r="CR31" s="5">
        <v>1.4712949366301175E-2</v>
      </c>
      <c r="CS31" s="5">
        <v>1.2400836390801922E-2</v>
      </c>
      <c r="CT31" s="5">
        <v>9.1210019379563707E-3</v>
      </c>
      <c r="CU31" s="5">
        <v>5.2881912995616908E-3</v>
      </c>
      <c r="CV31" s="5">
        <v>1.3276604867411199E-2</v>
      </c>
      <c r="CW31" s="5">
        <v>1.0736841321916974E-2</v>
      </c>
      <c r="CX31" s="5">
        <v>1.7153302282762243E-2</v>
      </c>
      <c r="CY31" s="5">
        <v>2.0036627866379237E-2</v>
      </c>
      <c r="CZ31" s="5">
        <v>1.6935491443146451E-2</v>
      </c>
      <c r="DA31" s="5">
        <v>1.2888119580549192E-2</v>
      </c>
      <c r="DB31" s="5">
        <v>1.8216175029533412E-2</v>
      </c>
      <c r="DC31" s="5">
        <v>2.0510670555045431E-2</v>
      </c>
      <c r="DD31" s="5">
        <v>1.0374043375478759E-2</v>
      </c>
      <c r="DE31" s="5">
        <v>1.3877987781684389E-2</v>
      </c>
      <c r="DF31" s="5">
        <v>4.2574838072400367E-2</v>
      </c>
      <c r="DG31" s="5">
        <v>2.8762370098806125E-2</v>
      </c>
      <c r="DH31" s="5">
        <v>2.6838431668177953E-2</v>
      </c>
      <c r="DI31" s="5">
        <v>3.3904975393951632E-2</v>
      </c>
      <c r="DJ31" s="4">
        <v>3.6671106440703115E-2</v>
      </c>
      <c r="DK31" s="5">
        <v>1.4896455636356587E-2</v>
      </c>
      <c r="DL31" s="5">
        <v>1.4370743991686645E-3</v>
      </c>
      <c r="DM31" s="5">
        <v>1.6936499226822072E-2</v>
      </c>
      <c r="DN31" s="5">
        <v>3.2339161721598002E-2</v>
      </c>
      <c r="DO31" s="5">
        <v>4.4784556830322134E-2</v>
      </c>
      <c r="DP31" s="5">
        <v>2.0994484802220745E-2</v>
      </c>
      <c r="DQ31" s="5">
        <v>1.4617321691053812E-2</v>
      </c>
      <c r="DR31" s="5">
        <v>1.241620549434334E-2</v>
      </c>
      <c r="DS31" s="5">
        <v>2.716192958887801E-2</v>
      </c>
      <c r="DT31" s="5">
        <v>3.1411630482713573E-2</v>
      </c>
      <c r="DU31" s="5">
        <v>2.0234486499501797E-2</v>
      </c>
      <c r="DV31" s="5">
        <v>1.0738418721480803E-2</v>
      </c>
      <c r="DW31" s="5">
        <v>1.0416597872514182E-2</v>
      </c>
      <c r="DX31" s="5">
        <v>7.642917908837755E-3</v>
      </c>
      <c r="DY31" s="5">
        <v>1.6110853362728703E-2</v>
      </c>
      <c r="EA31" s="3" t="s">
        <v>302</v>
      </c>
      <c r="EB31" s="3" t="s">
        <v>134</v>
      </c>
      <c r="EC31" s="5">
        <v>5.4554157577410979E-2</v>
      </c>
      <c r="ED31" s="5">
        <v>5.968495686366803E-2</v>
      </c>
      <c r="EE31" s="5">
        <v>6.0876014552932872E-2</v>
      </c>
      <c r="EF31" s="5">
        <v>5.6040002346603494E-2</v>
      </c>
      <c r="EG31" s="5">
        <v>5.6763680554247062E-2</v>
      </c>
      <c r="EH31" s="5">
        <v>5.4495209579000906E-2</v>
      </c>
      <c r="EI31" s="5">
        <v>5.636186182003123E-2</v>
      </c>
      <c r="EJ31" s="5">
        <v>5.5762372462500293E-2</v>
      </c>
      <c r="EK31" s="5">
        <v>6.026805117735054E-2</v>
      </c>
      <c r="EL31" s="5">
        <v>6.0144143368559486E-2</v>
      </c>
      <c r="EM31" s="5">
        <v>9.6658130380136972E-2</v>
      </c>
      <c r="EN31" s="5">
        <v>9.3240464461563241E-2</v>
      </c>
      <c r="EO31" s="5">
        <v>8.3886270272305496E-2</v>
      </c>
      <c r="EP31" s="5">
        <v>8.8306027040801413E-2</v>
      </c>
      <c r="EQ31" s="5">
        <v>8.8902374058365569E-2</v>
      </c>
      <c r="ER31" s="5">
        <v>9.6625378361663919E-2</v>
      </c>
      <c r="ES31" s="5">
        <v>9.440901423827891E-2</v>
      </c>
      <c r="ET31" s="5">
        <v>8.9272435051673954E-2</v>
      </c>
      <c r="EU31" s="5">
        <v>9.6630013796828465E-2</v>
      </c>
      <c r="EV31" s="5">
        <v>9.6471723627495495E-2</v>
      </c>
      <c r="EW31" s="5">
        <v>0.16598035903486572</v>
      </c>
      <c r="EX31" s="5">
        <v>0.16692812190961143</v>
      </c>
      <c r="EY31" s="5">
        <v>0.1904544444584006</v>
      </c>
      <c r="EZ31" s="5">
        <v>0.19461971769306208</v>
      </c>
      <c r="FA31" s="5">
        <v>0.19026790391330081</v>
      </c>
      <c r="FB31" s="5">
        <v>0.18913297913940866</v>
      </c>
      <c r="FC31" s="5">
        <v>0.17967278470972972</v>
      </c>
      <c r="FD31" s="4">
        <v>0.15609008780554709</v>
      </c>
      <c r="FE31" s="5">
        <v>0.15032847296320936</v>
      </c>
      <c r="FF31" s="5">
        <v>0.14621872072882272</v>
      </c>
      <c r="FG31" s="5">
        <v>9.2644594559389351E-2</v>
      </c>
      <c r="FH31" s="5">
        <v>8.432642511423398E-2</v>
      </c>
      <c r="FI31" s="5">
        <v>8.4858584855929467E-2</v>
      </c>
      <c r="FJ31" s="5">
        <v>7.9592073548734668E-2</v>
      </c>
      <c r="FK31" s="5">
        <v>8.1661677517894368E-2</v>
      </c>
      <c r="FL31" s="5">
        <v>9.4268391026742324E-2</v>
      </c>
      <c r="FM31" s="5">
        <v>9.9877870185241246E-2</v>
      </c>
      <c r="FN31" s="5">
        <v>9.3482221030703264E-2</v>
      </c>
      <c r="FO31" s="5">
        <v>9.1697400592850212E-2</v>
      </c>
      <c r="FP31" s="5">
        <v>9.2208324003877518E-2</v>
      </c>
      <c r="FZ31" s="3" t="s">
        <v>302</v>
      </c>
      <c r="GA31" s="5">
        <v>0.72458594273041099</v>
      </c>
      <c r="GB31" s="5">
        <v>0.70837650484087111</v>
      </c>
      <c r="GC31" s="5">
        <v>0.69913453542237691</v>
      </c>
      <c r="GD31" s="5">
        <v>0.70325958468263194</v>
      </c>
      <c r="GE31" s="5">
        <v>0.70211640171960554</v>
      </c>
      <c r="GF31" s="5">
        <v>0.70902209800766658</v>
      </c>
      <c r="GG31" s="5">
        <v>0.7093436275446019</v>
      </c>
      <c r="GH31" s="5">
        <v>0.72530023076805417</v>
      </c>
      <c r="GI31" s="5">
        <v>0.73481752304749381</v>
      </c>
      <c r="GJ31" s="5">
        <v>0.72996838795459895</v>
      </c>
      <c r="GK31" s="5">
        <v>0.59820367892236692</v>
      </c>
      <c r="GL31" s="4">
        <v>0.60221376551377448</v>
      </c>
      <c r="GM31" s="5">
        <v>0.61158929123471684</v>
      </c>
      <c r="GN31" s="5">
        <v>0.59484605127268408</v>
      </c>
      <c r="GO31" s="5">
        <v>0.59683034057552109</v>
      </c>
      <c r="GP31" s="5">
        <v>0.5971854074816042</v>
      </c>
      <c r="GQ31" s="5">
        <v>0.59909535983992557</v>
      </c>
      <c r="GR31" s="5">
        <v>0.60879895512308191</v>
      </c>
      <c r="GS31" s="5">
        <v>0.61372530609411513</v>
      </c>
      <c r="GT31" s="5">
        <v>0.61469728020110037</v>
      </c>
      <c r="GU31" s="5">
        <v>0.3510391675210473</v>
      </c>
      <c r="GV31" s="4">
        <v>0.35914462915768164</v>
      </c>
      <c r="GW31" s="5">
        <v>0.36288123910369446</v>
      </c>
      <c r="GX31" s="5">
        <v>0.34095427354768321</v>
      </c>
      <c r="GY31" s="5">
        <v>0.34900983906424582</v>
      </c>
      <c r="GZ31" s="5">
        <v>0.36259050976783092</v>
      </c>
      <c r="HA31" s="5">
        <v>0.36677598739493256</v>
      </c>
      <c r="HB31" s="5">
        <v>0.36783699087075089</v>
      </c>
      <c r="HC31" s="5">
        <v>0.35865747466041947</v>
      </c>
      <c r="HD31" s="5">
        <v>0.35551262744616685</v>
      </c>
      <c r="HE31" s="5">
        <v>0.58457056927931617</v>
      </c>
      <c r="HF31" s="5">
        <v>0.59938749603579178</v>
      </c>
      <c r="HG31" s="4">
        <v>0.60913685802668838</v>
      </c>
      <c r="HH31" s="5">
        <v>0.60459099009039463</v>
      </c>
      <c r="HI31" s="5">
        <v>0.59920858925027365</v>
      </c>
      <c r="HJ31" s="5">
        <v>0.59092284530121486</v>
      </c>
      <c r="HK31" s="5">
        <v>0.59282176105910867</v>
      </c>
      <c r="HL31" s="5">
        <v>0.59446983277490639</v>
      </c>
      <c r="HM31" s="5">
        <v>0.60201068952754599</v>
      </c>
      <c r="HN31" s="5">
        <v>0.59503284714199922</v>
      </c>
      <c r="HP31" s="3" t="s">
        <v>282</v>
      </c>
      <c r="HQ31" s="3" t="s">
        <v>140</v>
      </c>
      <c r="HR31" s="3" t="s">
        <v>141</v>
      </c>
      <c r="HS31" s="5">
        <v>0.71496564914329575</v>
      </c>
    </row>
    <row r="32" spans="2:227" x14ac:dyDescent="0.45">
      <c r="B32" s="6" t="s">
        <v>303</v>
      </c>
      <c r="C32" s="6" t="s">
        <v>131</v>
      </c>
      <c r="D32" s="8">
        <v>0.1888869478557714</v>
      </c>
      <c r="E32" s="8">
        <v>0.19143220786418905</v>
      </c>
      <c r="F32" s="8">
        <v>0.17457529247847967</v>
      </c>
      <c r="G32" s="8">
        <v>0.15643285092113243</v>
      </c>
      <c r="H32" s="8">
        <v>0.13281037171339688</v>
      </c>
      <c r="I32" s="8">
        <v>0.1463095836040412</v>
      </c>
      <c r="J32" s="8">
        <v>0.1587422446883387</v>
      </c>
      <c r="K32" s="8">
        <v>0.16068490355872467</v>
      </c>
      <c r="L32" s="8">
        <v>0.18101935702449448</v>
      </c>
      <c r="M32" s="8">
        <v>0.1724411117226041</v>
      </c>
      <c r="N32" s="8">
        <v>0.21717712630674005</v>
      </c>
      <c r="O32" s="8">
        <v>0.20349697393789262</v>
      </c>
      <c r="P32" s="8">
        <v>0.20741196125912803</v>
      </c>
      <c r="Q32" s="8">
        <v>0.21290780150595931</v>
      </c>
      <c r="R32" s="8">
        <v>0.21015218516137843</v>
      </c>
      <c r="S32" s="8">
        <v>0.20787908526310403</v>
      </c>
      <c r="T32" s="8">
        <v>0.19732936397406919</v>
      </c>
      <c r="U32" s="8">
        <v>0.2106778261577478</v>
      </c>
      <c r="V32" s="8">
        <v>0.22038364824592588</v>
      </c>
      <c r="W32" s="8">
        <v>0.21745962902441995</v>
      </c>
      <c r="X32" s="8">
        <v>0.31496275043612293</v>
      </c>
      <c r="Y32" s="8">
        <v>0.31636597005909822</v>
      </c>
      <c r="Z32" s="8">
        <v>0.29613210235490617</v>
      </c>
      <c r="AA32" s="8">
        <v>0.31440877759517477</v>
      </c>
      <c r="AB32" s="8">
        <v>0.30238979356979345</v>
      </c>
      <c r="AC32" s="8">
        <v>0.28736941153396717</v>
      </c>
      <c r="AD32" s="8">
        <v>0.28908204330458503</v>
      </c>
      <c r="AE32" s="8">
        <v>0.30124464023785363</v>
      </c>
      <c r="AF32" s="8">
        <v>0.32443196849921979</v>
      </c>
      <c r="AG32" s="8">
        <v>0.32868115776535256</v>
      </c>
      <c r="AH32" s="8">
        <v>0.2530965742481604</v>
      </c>
      <c r="AI32" s="8">
        <v>0.24135918235956713</v>
      </c>
      <c r="AJ32" s="8">
        <v>0.24348769922082486</v>
      </c>
      <c r="AK32" s="8">
        <v>0.2455414894572919</v>
      </c>
      <c r="AL32" s="8">
        <v>0.23394477650897211</v>
      </c>
      <c r="AM32" s="8">
        <v>0.24551684400894613</v>
      </c>
      <c r="AN32" s="8">
        <v>0.2488719943203446</v>
      </c>
      <c r="AO32" s="8">
        <v>0.24823338031032213</v>
      </c>
      <c r="AP32" s="8">
        <v>0.25876520953147675</v>
      </c>
      <c r="AQ32" s="8">
        <v>0.25639918536136685</v>
      </c>
      <c r="AS32" s="6" t="s">
        <v>303</v>
      </c>
      <c r="AT32" s="6" t="s">
        <v>132</v>
      </c>
      <c r="AU32" s="8">
        <v>1.109439486742632E-2</v>
      </c>
      <c r="AV32" s="8">
        <v>1.030010107113458E-2</v>
      </c>
      <c r="AW32" s="8">
        <v>9.742699471159199E-3</v>
      </c>
      <c r="AX32" s="8">
        <v>9.2251310348422152E-3</v>
      </c>
      <c r="AY32" s="8">
        <v>9.651668413926201E-3</v>
      </c>
      <c r="AZ32" s="8">
        <v>1.3698306583302133E-2</v>
      </c>
      <c r="BA32" s="8">
        <v>1.3317489899898022E-2</v>
      </c>
      <c r="BB32" s="8">
        <v>1.2556789129562462E-2</v>
      </c>
      <c r="BC32" s="8">
        <v>1.4873301840809525E-2</v>
      </c>
      <c r="BD32" s="8">
        <v>1.1749235728399466E-2</v>
      </c>
      <c r="BE32" s="8">
        <v>8.4318404492346576E-3</v>
      </c>
      <c r="BF32" s="8">
        <v>7.4809533252563282E-3</v>
      </c>
      <c r="BG32" s="8">
        <v>1.0509091594945263E-2</v>
      </c>
      <c r="BH32" s="8">
        <v>1.2575574112958315E-2</v>
      </c>
      <c r="BI32" s="8">
        <v>9.0387946683615512E-3</v>
      </c>
      <c r="BJ32" s="8">
        <v>7.6681295167575769E-3</v>
      </c>
      <c r="BK32" s="8">
        <v>7.4297698116365159E-3</v>
      </c>
      <c r="BL32" s="7">
        <v>1.1961753791399863E-2</v>
      </c>
      <c r="BM32" s="8">
        <v>1.4100386462629509E-2</v>
      </c>
      <c r="BN32" s="8">
        <v>4.7987233064040978E-3</v>
      </c>
      <c r="BO32" s="8">
        <v>1.5811765552956294E-2</v>
      </c>
      <c r="BP32" s="8">
        <v>2.4810257621002446E-2</v>
      </c>
      <c r="BQ32" s="8">
        <v>2.2917402899918175E-2</v>
      </c>
      <c r="BR32" s="8">
        <v>2.8439730610231077E-2</v>
      </c>
      <c r="BS32" s="8">
        <v>2.758441013441771E-2</v>
      </c>
      <c r="BT32" s="8">
        <v>1.7830912159066993E-2</v>
      </c>
      <c r="BU32" s="8">
        <v>1.0165867327965667E-2</v>
      </c>
      <c r="BV32" s="8">
        <v>1.0744881976824199E-2</v>
      </c>
      <c r="BW32" s="8">
        <v>9.8362246071121116E-3</v>
      </c>
      <c r="BX32" s="8">
        <v>1.0966765346258945E-2</v>
      </c>
      <c r="BY32" s="8">
        <v>9.9569194870848168E-3</v>
      </c>
      <c r="BZ32" s="8">
        <v>9.0603948157596433E-3</v>
      </c>
      <c r="CA32" s="8">
        <v>1.3130871030713488E-2</v>
      </c>
      <c r="CB32" s="8">
        <v>2.0480512915696272E-2</v>
      </c>
      <c r="CC32" s="8">
        <v>2.232279483959795E-2</v>
      </c>
      <c r="CD32" s="8">
        <v>1.5481661487727368E-2</v>
      </c>
      <c r="CE32" s="8">
        <v>7.9923067741876647E-3</v>
      </c>
      <c r="CF32" s="8">
        <v>1.2528027651917581E-2</v>
      </c>
      <c r="CG32" s="8">
        <v>1.4248725932448657E-2</v>
      </c>
      <c r="CH32" s="8">
        <v>1.615778162769687E-2</v>
      </c>
      <c r="CJ32" s="6" t="s">
        <v>303</v>
      </c>
      <c r="CK32" s="6" t="s">
        <v>133</v>
      </c>
      <c r="CL32" s="8">
        <v>1.330844162120603E-2</v>
      </c>
      <c r="CM32" s="8">
        <v>1.1012038011926024E-2</v>
      </c>
      <c r="CN32" s="8">
        <v>9.5856446174595565E-3</v>
      </c>
      <c r="CO32" s="8">
        <v>7.4350926160889202E-3</v>
      </c>
      <c r="CP32" s="8">
        <v>5.4204482406284499E-3</v>
      </c>
      <c r="CQ32" s="8">
        <v>4.5010074516311054E-3</v>
      </c>
      <c r="CR32" s="8">
        <v>7.6330249339161896E-3</v>
      </c>
      <c r="CS32" s="8">
        <v>1.517772947732861E-2</v>
      </c>
      <c r="CT32" s="8">
        <v>1.416478681060397E-2</v>
      </c>
      <c r="CU32" s="8">
        <v>1.0022349198292903E-2</v>
      </c>
      <c r="CV32" s="8">
        <v>6.6299244151083042E-3</v>
      </c>
      <c r="CW32" s="8">
        <v>9.727250044130286E-3</v>
      </c>
      <c r="CX32" s="8">
        <v>1.0035591706378964E-2</v>
      </c>
      <c r="CY32" s="8">
        <v>1.1930365977098376E-2</v>
      </c>
      <c r="CZ32" s="8">
        <v>1.3122603406339379E-2</v>
      </c>
      <c r="DA32" s="8">
        <v>1.2962221991337152E-2</v>
      </c>
      <c r="DB32" s="8">
        <v>1.3868391335565373E-2</v>
      </c>
      <c r="DC32" s="8">
        <v>1.116316549284881E-2</v>
      </c>
      <c r="DD32" s="8">
        <v>8.2756115002793375E-3</v>
      </c>
      <c r="DE32" s="8">
        <v>1.050167762595473E-2</v>
      </c>
      <c r="DF32" s="8">
        <v>1.3135811131407054E-2</v>
      </c>
      <c r="DG32" s="8">
        <v>1.8506821419471551E-2</v>
      </c>
      <c r="DH32" s="8">
        <v>1.7123709429123696E-2</v>
      </c>
      <c r="DI32" s="8">
        <v>2.1320876374661141E-2</v>
      </c>
      <c r="DJ32" s="7">
        <v>2.5690954724582295E-2</v>
      </c>
      <c r="DK32" s="8">
        <v>3.0404069739829835E-2</v>
      </c>
      <c r="DL32" s="8">
        <v>3.0723969977527046E-2</v>
      </c>
      <c r="DM32" s="8">
        <v>2.0195182891377061E-2</v>
      </c>
      <c r="DN32" s="8">
        <v>2.2772631111227064E-2</v>
      </c>
      <c r="DO32" s="8">
        <v>1.9695573828275175E-2</v>
      </c>
      <c r="DP32" s="8">
        <v>1.4073395793322731E-2</v>
      </c>
      <c r="DQ32" s="8">
        <v>1.317499486938091E-2</v>
      </c>
      <c r="DR32" s="8">
        <v>1.0439744190513595E-2</v>
      </c>
      <c r="DS32" s="8">
        <v>1.0078807314185633E-2</v>
      </c>
      <c r="DT32" s="8">
        <v>1.0116054165487828E-2</v>
      </c>
      <c r="DU32" s="8">
        <v>2.1356124972662389E-2</v>
      </c>
      <c r="DV32" s="8">
        <v>2.85629942999827E-2</v>
      </c>
      <c r="DW32" s="8">
        <v>1.9509942722471894E-2</v>
      </c>
      <c r="DX32" s="8">
        <v>1.2953537307783244E-2</v>
      </c>
      <c r="DY32" s="8">
        <v>1.2987106668748114E-2</v>
      </c>
      <c r="EA32" s="6" t="s">
        <v>303</v>
      </c>
      <c r="EB32" s="6" t="s">
        <v>134</v>
      </c>
      <c r="EC32" s="8">
        <v>4.8560083376648668E-2</v>
      </c>
      <c r="ED32" s="8">
        <v>4.7145299343154923E-2</v>
      </c>
      <c r="EE32" s="8">
        <v>3.9086066291597846E-2</v>
      </c>
      <c r="EF32" s="8">
        <v>3.6121157381300437E-2</v>
      </c>
      <c r="EG32" s="8">
        <v>2.9710288287652386E-2</v>
      </c>
      <c r="EH32" s="8">
        <v>3.1657301820774669E-2</v>
      </c>
      <c r="EI32" s="8">
        <v>3.6091012849423912E-2</v>
      </c>
      <c r="EJ32" s="8">
        <v>3.3193994063995133E-2</v>
      </c>
      <c r="EK32" s="8">
        <v>3.5777634870230474E-2</v>
      </c>
      <c r="EL32" s="8">
        <v>3.9147894388735997E-2</v>
      </c>
      <c r="EM32" s="8">
        <v>7.0288320985825659E-2</v>
      </c>
      <c r="EN32" s="8">
        <v>6.3364341480532049E-2</v>
      </c>
      <c r="EO32" s="8">
        <v>6.1930946239660223E-2</v>
      </c>
      <c r="EP32" s="8">
        <v>6.0499858899256756E-2</v>
      </c>
      <c r="EQ32" s="8">
        <v>6.1534912973327235E-2</v>
      </c>
      <c r="ER32" s="8">
        <v>6.3459140282284277E-2</v>
      </c>
      <c r="ES32" s="8">
        <v>6.7237105902401673E-2</v>
      </c>
      <c r="ET32" s="8">
        <v>7.1367101145616826E-2</v>
      </c>
      <c r="EU32" s="8">
        <v>7.651649709360854E-2</v>
      </c>
      <c r="EV32" s="8">
        <v>7.6059326258330229E-2</v>
      </c>
      <c r="EW32" s="8">
        <v>0.14019456388679261</v>
      </c>
      <c r="EX32" s="8">
        <v>0.13126625689173169</v>
      </c>
      <c r="EY32" s="8">
        <v>0.12230550029291294</v>
      </c>
      <c r="EZ32" s="8">
        <v>0.12443489344681458</v>
      </c>
      <c r="FA32" s="8">
        <v>0.10807283888582055</v>
      </c>
      <c r="FB32" s="8">
        <v>0.10128895783932775</v>
      </c>
      <c r="FC32" s="8">
        <v>0.11167111154554549</v>
      </c>
      <c r="FD32" s="7">
        <v>0.13093230887450724</v>
      </c>
      <c r="FE32" s="8">
        <v>0.14281920796105341</v>
      </c>
      <c r="FF32" s="8">
        <v>0.15253539049086379</v>
      </c>
      <c r="FG32" s="8">
        <v>9.358718598908318E-2</v>
      </c>
      <c r="FH32" s="8">
        <v>9.5567885511443212E-2</v>
      </c>
      <c r="FI32" s="8">
        <v>9.0894089751912224E-2</v>
      </c>
      <c r="FJ32" s="8">
        <v>8.2739790699973795E-2</v>
      </c>
      <c r="FK32" s="8">
        <v>7.6754032154512403E-2</v>
      </c>
      <c r="FL32" s="8">
        <v>7.8920883113284393E-2</v>
      </c>
      <c r="FM32" s="8">
        <v>8.1960780495229688E-2</v>
      </c>
      <c r="FN32" s="8">
        <v>8.650706769671497E-2</v>
      </c>
      <c r="FO32" s="8">
        <v>9.5792469496309235E-2</v>
      </c>
      <c r="FP32" s="8">
        <v>9.1272455711598019E-2</v>
      </c>
      <c r="FZ32" s="6" t="s">
        <v>303</v>
      </c>
      <c r="GA32" s="8">
        <v>0.75219895219599353</v>
      </c>
      <c r="GB32" s="8">
        <v>0.75863541719795713</v>
      </c>
      <c r="GC32" s="8">
        <v>0.77659894173355781</v>
      </c>
      <c r="GD32" s="8">
        <v>0.79474424176632663</v>
      </c>
      <c r="GE32" s="8">
        <v>0.82091572511248434</v>
      </c>
      <c r="GF32" s="8">
        <v>0.80839199749399093</v>
      </c>
      <c r="GG32" s="8">
        <v>0.78595668237006999</v>
      </c>
      <c r="GH32" s="8">
        <v>0.77854182810818884</v>
      </c>
      <c r="GI32" s="8">
        <v>0.76422677811219408</v>
      </c>
      <c r="GJ32" s="8">
        <v>0.77342483344694946</v>
      </c>
      <c r="GK32" s="8">
        <v>0.7093027283202844</v>
      </c>
      <c r="GL32" s="7">
        <v>0.72753632928144985</v>
      </c>
      <c r="GM32" s="8">
        <v>0.72487277826675911</v>
      </c>
      <c r="GN32" s="8">
        <v>0.71883088948697316</v>
      </c>
      <c r="GO32" s="8">
        <v>0.72522695333547016</v>
      </c>
      <c r="GP32" s="8">
        <v>0.71782298722891724</v>
      </c>
      <c r="GQ32" s="8">
        <v>0.71381472412512392</v>
      </c>
      <c r="GR32" s="8">
        <v>0.70412002294470433</v>
      </c>
      <c r="GS32" s="8">
        <v>0.69700803028440417</v>
      </c>
      <c r="GT32" s="8">
        <v>0.70132937070791335</v>
      </c>
      <c r="GU32" s="8">
        <v>0.52617600589852376</v>
      </c>
      <c r="GV32" s="7">
        <v>0.52500834069495905</v>
      </c>
      <c r="GW32" s="8">
        <v>0.53952433594107985</v>
      </c>
      <c r="GX32" s="8">
        <v>0.5333141903403088</v>
      </c>
      <c r="GY32" s="8">
        <v>0.55889861146256126</v>
      </c>
      <c r="GZ32" s="8">
        <v>0.57394744267834052</v>
      </c>
      <c r="HA32" s="8">
        <v>0.56942714007407158</v>
      </c>
      <c r="HB32" s="8">
        <v>0.55223678584212332</v>
      </c>
      <c r="HC32" s="8">
        <v>0.53240533302425508</v>
      </c>
      <c r="HD32" s="8">
        <v>0.52368251597497617</v>
      </c>
      <c r="HE32" s="8">
        <v>0.64952376350405372</v>
      </c>
      <c r="HF32" s="8">
        <v>0.64643940046721071</v>
      </c>
      <c r="HG32" s="7">
        <v>0.64999001216883956</v>
      </c>
      <c r="HH32" s="8">
        <v>0.65140840513062304</v>
      </c>
      <c r="HI32" s="8">
        <v>0.66227864799149272</v>
      </c>
      <c r="HJ32" s="8">
        <v>0.64549750516459037</v>
      </c>
      <c r="HK32" s="8">
        <v>0.6353649876765739</v>
      </c>
      <c r="HL32" s="8">
        <v>0.63799186373613359</v>
      </c>
      <c r="HM32" s="8">
        <v>0.63357080077368688</v>
      </c>
      <c r="HN32" s="8">
        <v>0.64515658455908786</v>
      </c>
      <c r="HP32" s="6" t="s">
        <v>284</v>
      </c>
      <c r="HQ32" s="6" t="s">
        <v>140</v>
      </c>
      <c r="HR32" s="6" t="s">
        <v>141</v>
      </c>
      <c r="HS32" s="8">
        <v>0.55367453183122062</v>
      </c>
    </row>
    <row r="33" spans="2:227" x14ac:dyDescent="0.45">
      <c r="B33" s="3" t="s">
        <v>304</v>
      </c>
      <c r="C33" s="3" t="s">
        <v>131</v>
      </c>
      <c r="D33" s="5">
        <v>0.15207434696946881</v>
      </c>
      <c r="E33" s="5">
        <v>0.16183663613555632</v>
      </c>
      <c r="F33" s="5">
        <v>0.16336579449811889</v>
      </c>
      <c r="G33" s="5">
        <v>0.14236178984213799</v>
      </c>
      <c r="H33" s="5">
        <v>0.14307010664804018</v>
      </c>
      <c r="I33" s="5">
        <v>0.1389764344595916</v>
      </c>
      <c r="J33" s="5">
        <v>0.15063540832704808</v>
      </c>
      <c r="K33" s="5">
        <v>0.15564388819809385</v>
      </c>
      <c r="L33" s="5">
        <v>0.14966113702369396</v>
      </c>
      <c r="M33" s="5">
        <v>0.14497831340566678</v>
      </c>
      <c r="N33" s="5">
        <v>0.19346280513940509</v>
      </c>
      <c r="O33" s="5">
        <v>0.20161608929445185</v>
      </c>
      <c r="P33" s="5">
        <v>0.21325458501026909</v>
      </c>
      <c r="Q33" s="5">
        <v>0.22619703136567576</v>
      </c>
      <c r="R33" s="5">
        <v>0.22421624236098364</v>
      </c>
      <c r="S33" s="5">
        <v>0.22116816033737799</v>
      </c>
      <c r="T33" s="5">
        <v>0.21083750498601789</v>
      </c>
      <c r="U33" s="5">
        <v>0.19272146384299033</v>
      </c>
      <c r="V33" s="5">
        <v>0.18144740926174388</v>
      </c>
      <c r="W33" s="5">
        <v>0.19279265148683927</v>
      </c>
      <c r="X33" s="5">
        <v>0.33206899990060451</v>
      </c>
      <c r="Y33" s="5">
        <v>0.33137460476779368</v>
      </c>
      <c r="Z33" s="5">
        <v>0.31212408695837196</v>
      </c>
      <c r="AA33" s="5">
        <v>0.32507314077506638</v>
      </c>
      <c r="AB33" s="5">
        <v>0.33127095991211053</v>
      </c>
      <c r="AC33" s="5">
        <v>0.3265526720994501</v>
      </c>
      <c r="AD33" s="5">
        <v>0.3188715851407527</v>
      </c>
      <c r="AE33" s="5">
        <v>0.32819485857007824</v>
      </c>
      <c r="AF33" s="5">
        <v>0.33483749731650098</v>
      </c>
      <c r="AG33" s="5">
        <v>0.33605191958431008</v>
      </c>
      <c r="AH33" s="5">
        <v>0.25414151689760006</v>
      </c>
      <c r="AI33" s="5">
        <v>0.24284394471762502</v>
      </c>
      <c r="AJ33" s="5">
        <v>0.23928537515089815</v>
      </c>
      <c r="AK33" s="5">
        <v>0.23910298709927705</v>
      </c>
      <c r="AL33" s="5">
        <v>0.23615850683156256</v>
      </c>
      <c r="AM33" s="5">
        <v>0.24365616207552646</v>
      </c>
      <c r="AN33" s="5">
        <v>0.25267706330544742</v>
      </c>
      <c r="AO33" s="5">
        <v>0.26559091430908582</v>
      </c>
      <c r="AP33" s="5">
        <v>0.27063159629314021</v>
      </c>
      <c r="AQ33" s="5">
        <v>0.26346988418773765</v>
      </c>
      <c r="AS33" s="3" t="s">
        <v>304</v>
      </c>
      <c r="AT33" s="3" t="s">
        <v>132</v>
      </c>
      <c r="AU33" s="5">
        <v>1.1920554181615431E-2</v>
      </c>
      <c r="AV33" s="5">
        <v>8.9347584070839179E-3</v>
      </c>
      <c r="AW33" s="5">
        <v>9.359424365070361E-3</v>
      </c>
      <c r="AX33" s="5">
        <v>1.2605075161555606E-2</v>
      </c>
      <c r="AY33" s="5">
        <v>1.1684018666909482E-2</v>
      </c>
      <c r="AZ33" s="5">
        <v>6.7603071733070242E-3</v>
      </c>
      <c r="BA33" s="5">
        <v>9.6437760909637276E-3</v>
      </c>
      <c r="BB33" s="5">
        <v>8.2386829944768591E-3</v>
      </c>
      <c r="BC33" s="5">
        <v>9.170185471905512E-3</v>
      </c>
      <c r="BD33" s="5">
        <v>8.0898426896102143E-3</v>
      </c>
      <c r="BE33" s="5">
        <v>1.3952697686898139E-2</v>
      </c>
      <c r="BF33" s="5">
        <v>9.6073806010277679E-3</v>
      </c>
      <c r="BG33" s="5">
        <v>1.0196023835861438E-2</v>
      </c>
      <c r="BH33" s="5">
        <v>5.149473272980664E-3</v>
      </c>
      <c r="BI33" s="5">
        <v>2.2288864620080072E-3</v>
      </c>
      <c r="BJ33" s="5">
        <v>7.767398858198324E-3</v>
      </c>
      <c r="BK33" s="5">
        <v>7.163424046431323E-3</v>
      </c>
      <c r="BL33" s="4">
        <v>1.4770866465768917E-3</v>
      </c>
      <c r="BM33" s="5">
        <v>5.6713397118605272E-3</v>
      </c>
      <c r="BN33" s="5">
        <v>9.274005419122943E-3</v>
      </c>
      <c r="BO33" s="5">
        <v>1.8965532505428387E-2</v>
      </c>
      <c r="BP33" s="5">
        <v>3.414117055905197E-2</v>
      </c>
      <c r="BQ33" s="5">
        <v>1.4101521906095232E-2</v>
      </c>
      <c r="BR33" s="5">
        <v>1.8853469485115595E-2</v>
      </c>
      <c r="BS33" s="5">
        <v>3.6942049974861564E-2</v>
      </c>
      <c r="BT33" s="5">
        <v>4.4850321850303548E-2</v>
      </c>
      <c r="BU33" s="5">
        <v>2.6567386741581569E-2</v>
      </c>
      <c r="BV33" s="5">
        <v>1.6114073011941239E-2</v>
      </c>
      <c r="BW33" s="5">
        <v>3.3527807934067892E-2</v>
      </c>
      <c r="BX33" s="5">
        <v>1.3550441397993808E-2</v>
      </c>
      <c r="BY33" s="5">
        <v>1.6721418684819817E-2</v>
      </c>
      <c r="BZ33" s="5">
        <v>9.3416344689156196E-3</v>
      </c>
      <c r="CA33" s="5">
        <v>1.0115049275350592E-2</v>
      </c>
      <c r="CB33" s="5">
        <v>1.6952376510461255E-2</v>
      </c>
      <c r="CC33" s="5">
        <v>1.1452172284345512E-2</v>
      </c>
      <c r="CD33" s="5">
        <v>1.3412901834696608E-2</v>
      </c>
      <c r="CE33" s="5">
        <v>1.249117384289645E-2</v>
      </c>
      <c r="CF33" s="5">
        <v>1.2681836896770615E-2</v>
      </c>
      <c r="CG33" s="5">
        <v>1.0731497671783463E-2</v>
      </c>
      <c r="CH33" s="5">
        <v>8.2024952445886208E-3</v>
      </c>
      <c r="CJ33" s="3" t="s">
        <v>304</v>
      </c>
      <c r="CK33" s="3" t="s">
        <v>133</v>
      </c>
      <c r="CL33" s="5">
        <v>8.6169226976341422E-3</v>
      </c>
      <c r="CM33" s="5">
        <v>1.2803989692027062E-2</v>
      </c>
      <c r="CN33" s="5">
        <v>1.4392033395496976E-2</v>
      </c>
      <c r="CO33" s="5">
        <v>8.1637414632774324E-3</v>
      </c>
      <c r="CP33" s="5">
        <v>7.2905646450901525E-3</v>
      </c>
      <c r="CQ33" s="5">
        <v>1.341514799263154E-2</v>
      </c>
      <c r="CR33" s="5">
        <v>1.210279896198006E-2</v>
      </c>
      <c r="CS33" s="5">
        <v>1.0536896437956413E-2</v>
      </c>
      <c r="CT33" s="5">
        <v>7.8271009004222229E-3</v>
      </c>
      <c r="CU33" s="5">
        <v>8.7228986248064511E-3</v>
      </c>
      <c r="CV33" s="5">
        <v>6.9496350087074107E-3</v>
      </c>
      <c r="CW33" s="5">
        <v>1.827834935368217E-2</v>
      </c>
      <c r="CX33" s="5">
        <v>1.7306982412374751E-2</v>
      </c>
      <c r="CY33" s="5">
        <v>1.8742110584595739E-2</v>
      </c>
      <c r="CZ33" s="5">
        <v>1.7277145280956613E-2</v>
      </c>
      <c r="DA33" s="5">
        <v>9.2329516079531007E-3</v>
      </c>
      <c r="DB33" s="5">
        <v>4.1835452423111237E-3</v>
      </c>
      <c r="DC33" s="5">
        <v>7.9489828264428554E-3</v>
      </c>
      <c r="DD33" s="5">
        <v>7.1290782990957114E-3</v>
      </c>
      <c r="DE33" s="5">
        <v>2.9546832577809329E-3</v>
      </c>
      <c r="DF33" s="5">
        <v>3.8254750937514168E-2</v>
      </c>
      <c r="DG33" s="5">
        <v>1.3115532047513777E-2</v>
      </c>
      <c r="DH33" s="5">
        <v>3.95116302319862E-2</v>
      </c>
      <c r="DI33" s="5">
        <v>3.3479498407689025E-2</v>
      </c>
      <c r="DJ33" s="4">
        <v>2.4633169196429865E-2</v>
      </c>
      <c r="DK33" s="5">
        <v>1.1832231616498344E-2</v>
      </c>
      <c r="DL33" s="5">
        <v>3.7398392732208498E-2</v>
      </c>
      <c r="DM33" s="5">
        <v>5.2725385257895031E-2</v>
      </c>
      <c r="DN33" s="5">
        <v>3.8781367348066149E-2</v>
      </c>
      <c r="DO33" s="5">
        <v>4.0762846486968894E-2</v>
      </c>
      <c r="DP33" s="5">
        <v>1.1068608183566303E-2</v>
      </c>
      <c r="DQ33" s="5">
        <v>1.9509487858905269E-2</v>
      </c>
      <c r="DR33" s="5">
        <v>1.751919053954042E-2</v>
      </c>
      <c r="DS33" s="5">
        <v>8.6050824756098779E-3</v>
      </c>
      <c r="DT33" s="5">
        <v>1.3646904337832982E-2</v>
      </c>
      <c r="DU33" s="5">
        <v>1.4039227763473714E-2</v>
      </c>
      <c r="DV33" s="5">
        <v>1.6993393613275381E-2</v>
      </c>
      <c r="DW33" s="5">
        <v>1.6810857875670937E-2</v>
      </c>
      <c r="DX33" s="5">
        <v>1.3054959084631135E-2</v>
      </c>
      <c r="DY33" s="5">
        <v>1.6512302233475853E-2</v>
      </c>
      <c r="EA33" s="3" t="s">
        <v>304</v>
      </c>
      <c r="EB33" s="3" t="s">
        <v>134</v>
      </c>
      <c r="EC33" s="5">
        <v>4.3640968544617569E-2</v>
      </c>
      <c r="ED33" s="5">
        <v>4.3427021952468309E-2</v>
      </c>
      <c r="EE33" s="5">
        <v>3.7837820889723935E-2</v>
      </c>
      <c r="EF33" s="5">
        <v>3.2170467924611923E-2</v>
      </c>
      <c r="EG33" s="5">
        <v>3.5051140927511548E-2</v>
      </c>
      <c r="EH33" s="5">
        <v>3.5991128351371249E-2</v>
      </c>
      <c r="EI33" s="5">
        <v>3.6568553400607239E-2</v>
      </c>
      <c r="EJ33" s="5">
        <v>4.1397482839660209E-2</v>
      </c>
      <c r="EK33" s="5">
        <v>4.3838714857360107E-2</v>
      </c>
      <c r="EL33" s="5">
        <v>4.1614710957311611E-2</v>
      </c>
      <c r="EM33" s="5">
        <v>6.6687655358642725E-2</v>
      </c>
      <c r="EN33" s="5">
        <v>6.448288355209128E-2</v>
      </c>
      <c r="EO33" s="5">
        <v>6.9671344943333852E-2</v>
      </c>
      <c r="EP33" s="5">
        <v>8.2005676415479872E-2</v>
      </c>
      <c r="EQ33" s="5">
        <v>8.2456677422494865E-2</v>
      </c>
      <c r="ER33" s="5">
        <v>8.5970820646868604E-2</v>
      </c>
      <c r="ES33" s="5">
        <v>8.6331025547688373E-2</v>
      </c>
      <c r="ET33" s="5">
        <v>8.0090900647248456E-2</v>
      </c>
      <c r="EU33" s="5">
        <v>7.1744159672249216E-2</v>
      </c>
      <c r="EV33" s="5">
        <v>7.4072222739066426E-2</v>
      </c>
      <c r="EW33" s="5">
        <v>0.15184584421998765</v>
      </c>
      <c r="EX33" s="5">
        <v>0.16635827131768441</v>
      </c>
      <c r="EY33" s="5">
        <v>0.14486512663924295</v>
      </c>
      <c r="EZ33" s="5">
        <v>0.15004674485746416</v>
      </c>
      <c r="FA33" s="5">
        <v>0.13859116464810103</v>
      </c>
      <c r="FB33" s="5">
        <v>0.13962824965053799</v>
      </c>
      <c r="FC33" s="5">
        <v>0.12932695310523359</v>
      </c>
      <c r="FD33" s="4">
        <v>0.12614114187340109</v>
      </c>
      <c r="FE33" s="5">
        <v>0.13036541562605977</v>
      </c>
      <c r="FF33" s="5">
        <v>0.15505884418572624</v>
      </c>
      <c r="FG33" s="5">
        <v>8.8676314302145121E-2</v>
      </c>
      <c r="FH33" s="5">
        <v>7.9716475394925365E-2</v>
      </c>
      <c r="FI33" s="5">
        <v>7.5021772565713504E-2</v>
      </c>
      <c r="FJ33" s="5">
        <v>8.0123889569043413E-2</v>
      </c>
      <c r="FK33" s="5">
        <v>7.9852751136522029E-2</v>
      </c>
      <c r="FL33" s="5">
        <v>7.9011258029791989E-2</v>
      </c>
      <c r="FM33" s="5">
        <v>8.6714608496340967E-2</v>
      </c>
      <c r="FN33" s="5">
        <v>9.9455683865773734E-2</v>
      </c>
      <c r="FO33" s="5">
        <v>0.11128176463394279</v>
      </c>
      <c r="FP33" s="5">
        <v>0.10713016336879318</v>
      </c>
      <c r="FZ33" s="3" t="s">
        <v>304</v>
      </c>
      <c r="GA33" s="5">
        <v>0.75905299492164557</v>
      </c>
      <c r="GB33" s="5">
        <v>0.75380328414077746</v>
      </c>
      <c r="GC33" s="5">
        <v>0.76137873929120814</v>
      </c>
      <c r="GD33" s="5">
        <v>0.79004409205783288</v>
      </c>
      <c r="GE33" s="5">
        <v>0.78773968120874671</v>
      </c>
      <c r="GF33" s="5">
        <v>0.78762453514093622</v>
      </c>
      <c r="GG33" s="5">
        <v>0.77962797254090854</v>
      </c>
      <c r="GH33" s="5">
        <v>0.77204185295304228</v>
      </c>
      <c r="GI33" s="5">
        <v>0.77588356271225756</v>
      </c>
      <c r="GJ33" s="5">
        <v>0.77857998951156526</v>
      </c>
      <c r="GK33" s="5">
        <v>0.69234323688560706</v>
      </c>
      <c r="GL33" s="4">
        <v>0.69455816919298097</v>
      </c>
      <c r="GM33" s="5">
        <v>0.69010977923867511</v>
      </c>
      <c r="GN33" s="5">
        <v>0.67406179990839254</v>
      </c>
      <c r="GO33" s="5">
        <v>0.6704105161627405</v>
      </c>
      <c r="GP33" s="5">
        <v>0.67105750096824501</v>
      </c>
      <c r="GQ33" s="5">
        <v>0.67473036354951421</v>
      </c>
      <c r="GR33" s="5">
        <v>0.68454254184973828</v>
      </c>
      <c r="GS33" s="5">
        <v>0.69236345119301657</v>
      </c>
      <c r="GT33" s="5">
        <v>0.68763195451009873</v>
      </c>
      <c r="GU33" s="5">
        <v>0.44087523797044759</v>
      </c>
      <c r="GV33" s="4">
        <v>0.43090102374468275</v>
      </c>
      <c r="GW33" s="5">
        <v>0.43258852066106501</v>
      </c>
      <c r="GX33" s="5">
        <v>0.42608666290565428</v>
      </c>
      <c r="GY33" s="5">
        <v>0.43160662578779013</v>
      </c>
      <c r="GZ33" s="5">
        <v>0.43462111341340032</v>
      </c>
      <c r="HA33" s="5">
        <v>0.43611293225323144</v>
      </c>
      <c r="HB33" s="5">
        <v>0.43363779159513788</v>
      </c>
      <c r="HC33" s="5">
        <v>0.42741723684815047</v>
      </c>
      <c r="HD33" s="5">
        <v>0.44018623518253724</v>
      </c>
      <c r="HE33" s="5">
        <v>0.63437982289293227</v>
      </c>
      <c r="HF33" s="5">
        <v>0.64244266720209642</v>
      </c>
      <c r="HG33" s="4">
        <v>0.64415181401714472</v>
      </c>
      <c r="HH33" s="5">
        <v>0.64341691573793036</v>
      </c>
      <c r="HI33" s="5">
        <v>0.64025542408850011</v>
      </c>
      <c r="HJ33" s="5">
        <v>0.63575560632425776</v>
      </c>
      <c r="HK33" s="5">
        <v>0.62199315552584766</v>
      </c>
      <c r="HL33" s="5">
        <v>0.603359642335767</v>
      </c>
      <c r="HM33" s="5">
        <v>0.59239882060654558</v>
      </c>
      <c r="HN33" s="5">
        <v>0.60311912497787623</v>
      </c>
      <c r="HP33" s="3" t="s">
        <v>286</v>
      </c>
      <c r="HQ33" s="3" t="s">
        <v>140</v>
      </c>
      <c r="HR33" s="3" t="s">
        <v>141</v>
      </c>
      <c r="HS33" s="5">
        <v>0.70572453356883447</v>
      </c>
    </row>
    <row r="34" spans="2:227" x14ac:dyDescent="0.45">
      <c r="B34" s="6" t="s">
        <v>305</v>
      </c>
      <c r="C34" s="6" t="s">
        <v>131</v>
      </c>
      <c r="D34" s="8">
        <v>0.17012652160574945</v>
      </c>
      <c r="E34" s="8">
        <v>0.1610826433079543</v>
      </c>
      <c r="F34" s="8">
        <v>0.17104237977409309</v>
      </c>
      <c r="G34" s="8">
        <v>0.15855997137322267</v>
      </c>
      <c r="H34" s="8">
        <v>0.14963323329891556</v>
      </c>
      <c r="I34" s="8">
        <v>0.14464130816057805</v>
      </c>
      <c r="J34" s="8">
        <v>0.14727234215024995</v>
      </c>
      <c r="K34" s="8">
        <v>0.15718218461214584</v>
      </c>
      <c r="L34" s="8">
        <v>0.16245336774249247</v>
      </c>
      <c r="M34" s="8">
        <v>0.15934215486950853</v>
      </c>
      <c r="N34" s="8">
        <v>0.17497463368660715</v>
      </c>
      <c r="O34" s="8">
        <v>0.17731521913080825</v>
      </c>
      <c r="P34" s="8">
        <v>0.18330885312207024</v>
      </c>
      <c r="Q34" s="8">
        <v>0.20087428180574698</v>
      </c>
      <c r="R34" s="8">
        <v>0.20553963896632374</v>
      </c>
      <c r="S34" s="8">
        <v>0.20115361221753783</v>
      </c>
      <c r="T34" s="8">
        <v>0.18014337417411644</v>
      </c>
      <c r="U34" s="8">
        <v>0.17083361746549491</v>
      </c>
      <c r="V34" s="8">
        <v>0.17686485135574886</v>
      </c>
      <c r="W34" s="8">
        <v>0.1830958595271075</v>
      </c>
      <c r="X34" s="8">
        <v>0.32779651176232938</v>
      </c>
      <c r="Y34" s="8">
        <v>0.31812176850524837</v>
      </c>
      <c r="Z34" s="8">
        <v>0.29335727529739303</v>
      </c>
      <c r="AA34" s="8">
        <v>0.29899175579987514</v>
      </c>
      <c r="AB34" s="8">
        <v>0.30272830599742739</v>
      </c>
      <c r="AC34" s="8">
        <v>0.30401111983651591</v>
      </c>
      <c r="AD34" s="8">
        <v>0.30693541020358278</v>
      </c>
      <c r="AE34" s="8">
        <v>0.3119071775623915</v>
      </c>
      <c r="AF34" s="8">
        <v>0.31985269393791149</v>
      </c>
      <c r="AG34" s="8">
        <v>0.34036281567638837</v>
      </c>
      <c r="AH34" s="8">
        <v>0.23416802319403718</v>
      </c>
      <c r="AI34" s="8">
        <v>0.22017804096749369</v>
      </c>
      <c r="AJ34" s="8">
        <v>0.21762635417938034</v>
      </c>
      <c r="AK34" s="8">
        <v>0.22870523763600581</v>
      </c>
      <c r="AL34" s="8">
        <v>0.24024403114364745</v>
      </c>
      <c r="AM34" s="8">
        <v>0.24600256376935395</v>
      </c>
      <c r="AN34" s="8">
        <v>0.24402002239996964</v>
      </c>
      <c r="AO34" s="8">
        <v>0.25362962819915646</v>
      </c>
      <c r="AP34" s="8">
        <v>0.25993943665154678</v>
      </c>
      <c r="AQ34" s="8">
        <v>0.24413458895012607</v>
      </c>
      <c r="AS34" s="6" t="s">
        <v>305</v>
      </c>
      <c r="AT34" s="6" t="s">
        <v>132</v>
      </c>
      <c r="AU34" s="8">
        <v>9.756185636690529E-3</v>
      </c>
      <c r="AV34" s="8">
        <v>8.9567415401605819E-3</v>
      </c>
      <c r="AW34" s="8">
        <v>1.0419790341499899E-2</v>
      </c>
      <c r="AX34" s="8">
        <v>1.0550344119017051E-2</v>
      </c>
      <c r="AY34" s="8">
        <v>1.0444939236960321E-2</v>
      </c>
      <c r="AZ34" s="8">
        <v>4.9506840526327969E-3</v>
      </c>
      <c r="BA34" s="8">
        <v>9.0203773485821037E-3</v>
      </c>
      <c r="BB34" s="8">
        <v>1.0286210014949655E-2</v>
      </c>
      <c r="BC34" s="8">
        <v>9.9014215741120293E-3</v>
      </c>
      <c r="BD34" s="8">
        <v>1.1456297373724887E-2</v>
      </c>
      <c r="BE34" s="8">
        <v>5.9843567252442524E-3</v>
      </c>
      <c r="BF34" s="8">
        <v>7.9134637168610852E-3</v>
      </c>
      <c r="BG34" s="8">
        <v>8.9262207856684039E-3</v>
      </c>
      <c r="BH34" s="8">
        <v>8.4168390994385396E-3</v>
      </c>
      <c r="BI34" s="8">
        <v>3.5274002657989809E-3</v>
      </c>
      <c r="BJ34" s="8">
        <v>6.7356561425657158E-3</v>
      </c>
      <c r="BK34" s="8">
        <v>8.9801952185715444E-3</v>
      </c>
      <c r="BL34" s="7">
        <v>8.3671031842005028E-3</v>
      </c>
      <c r="BM34" s="8">
        <v>9.5059730817749766E-3</v>
      </c>
      <c r="BN34" s="8">
        <v>1.1987862064005568E-2</v>
      </c>
      <c r="BO34" s="8">
        <v>7.1325423701463263E-3</v>
      </c>
      <c r="BP34" s="8">
        <v>6.7283462820585879E-3</v>
      </c>
      <c r="BQ34" s="8">
        <v>6.7584423656448268E-3</v>
      </c>
      <c r="BR34" s="8">
        <v>3.5021921910172941E-2</v>
      </c>
      <c r="BS34" s="8">
        <v>5.1457739822046808E-2</v>
      </c>
      <c r="BT34" s="8">
        <v>3.2246032843887773E-2</v>
      </c>
      <c r="BU34" s="8">
        <v>1.6693255043156933E-2</v>
      </c>
      <c r="BV34" s="8">
        <v>1.5144910624007578E-2</v>
      </c>
      <c r="BW34" s="8">
        <v>3.0414534469197223E-2</v>
      </c>
      <c r="BX34" s="8">
        <v>2.0576150383940423E-2</v>
      </c>
      <c r="BY34" s="8">
        <v>1.4997655434390739E-2</v>
      </c>
      <c r="BZ34" s="8">
        <v>1.093695361655901E-2</v>
      </c>
      <c r="CA34" s="8">
        <v>8.7278687821394675E-3</v>
      </c>
      <c r="CB34" s="8">
        <v>1.0402233020274494E-2</v>
      </c>
      <c r="CC34" s="8">
        <v>1.8746640921763664E-2</v>
      </c>
      <c r="CD34" s="8">
        <v>1.9080051478033676E-2</v>
      </c>
      <c r="CE34" s="8">
        <v>1.4287726027586514E-2</v>
      </c>
      <c r="CF34" s="8">
        <v>9.6288724575819707E-3</v>
      </c>
      <c r="CG34" s="8">
        <v>1.5900646377996219E-2</v>
      </c>
      <c r="CH34" s="8">
        <v>1.7567809268536676E-2</v>
      </c>
      <c r="CJ34" s="6" t="s">
        <v>305</v>
      </c>
      <c r="CK34" s="6" t="s">
        <v>133</v>
      </c>
      <c r="CL34" s="8">
        <v>1.4448456402882935E-2</v>
      </c>
      <c r="CM34" s="8">
        <v>1.2338282652769325E-2</v>
      </c>
      <c r="CN34" s="8">
        <v>7.959704239293831E-3</v>
      </c>
      <c r="CO34" s="8">
        <v>5.3430816273764255E-3</v>
      </c>
      <c r="CP34" s="8">
        <v>7.7069878331446316E-3</v>
      </c>
      <c r="CQ34" s="8">
        <v>1.2215691230380967E-2</v>
      </c>
      <c r="CR34" s="8">
        <v>9.3861138447857619E-3</v>
      </c>
      <c r="CS34" s="8">
        <v>7.1714570726461408E-3</v>
      </c>
      <c r="CT34" s="8">
        <v>7.387382601765421E-3</v>
      </c>
      <c r="CU34" s="8">
        <v>8.0925199140079E-3</v>
      </c>
      <c r="CV34" s="8">
        <v>1.3378712548179813E-2</v>
      </c>
      <c r="CW34" s="8">
        <v>8.4466467890370947E-3</v>
      </c>
      <c r="CX34" s="8">
        <v>7.4991414606183533E-3</v>
      </c>
      <c r="CY34" s="8">
        <v>1.1664384747046569E-2</v>
      </c>
      <c r="CZ34" s="8">
        <v>1.7817100760842357E-2</v>
      </c>
      <c r="DA34" s="8">
        <v>1.5024133605009E-2</v>
      </c>
      <c r="DB34" s="8">
        <v>5.9559130602707721E-3</v>
      </c>
      <c r="DC34" s="8">
        <v>9.2575323115736703E-3</v>
      </c>
      <c r="DD34" s="8">
        <v>1.0508968869516374E-2</v>
      </c>
      <c r="DE34" s="8">
        <v>1.016726093432609E-2</v>
      </c>
      <c r="DF34" s="8">
        <v>2.978390884833498E-2</v>
      </c>
      <c r="DG34" s="8">
        <v>1.5948026120129973E-2</v>
      </c>
      <c r="DH34" s="8">
        <v>1.9787780328950288E-2</v>
      </c>
      <c r="DI34" s="8">
        <v>9.8641308873225753E-3</v>
      </c>
      <c r="DJ34" s="7">
        <v>6.4266030005371245E-3</v>
      </c>
      <c r="DK34" s="8">
        <v>3.4966418539114828E-2</v>
      </c>
      <c r="DL34" s="8">
        <v>5.4995580271178429E-2</v>
      </c>
      <c r="DM34" s="8">
        <v>6.570274061289208E-2</v>
      </c>
      <c r="DN34" s="8">
        <v>3.0564704750192108E-2</v>
      </c>
      <c r="DO34" s="8">
        <v>3.8468631404487155E-2</v>
      </c>
      <c r="DP34" s="8">
        <v>1.8596556882658887E-2</v>
      </c>
      <c r="DQ34" s="8">
        <v>2.1091287026951035E-2</v>
      </c>
      <c r="DR34" s="8">
        <v>2.2348460643144819E-2</v>
      </c>
      <c r="DS34" s="8">
        <v>2.1355741482106529E-2</v>
      </c>
      <c r="DT34" s="8">
        <v>1.0605882234626478E-2</v>
      </c>
      <c r="DU34" s="8">
        <v>1.5620454237981002E-2</v>
      </c>
      <c r="DV34" s="8">
        <v>1.9833473574281002E-2</v>
      </c>
      <c r="DW34" s="8">
        <v>2.4821397388400314E-2</v>
      </c>
      <c r="DX34" s="8">
        <v>1.4164246113637013E-2</v>
      </c>
      <c r="DY34" s="8">
        <v>1.5615316387131194E-2</v>
      </c>
      <c r="EA34" s="6" t="s">
        <v>305</v>
      </c>
      <c r="EB34" s="6" t="s">
        <v>134</v>
      </c>
      <c r="EC34" s="8">
        <v>4.7283804824876659E-2</v>
      </c>
      <c r="ED34" s="8">
        <v>5.0401195522462618E-2</v>
      </c>
      <c r="EE34" s="8">
        <v>5.2759036791396513E-2</v>
      </c>
      <c r="EF34" s="8">
        <v>4.556699575443518E-2</v>
      </c>
      <c r="EG34" s="8">
        <v>4.2307108653926874E-2</v>
      </c>
      <c r="EH34" s="8">
        <v>4.3183138682831343E-2</v>
      </c>
      <c r="EI34" s="8">
        <v>4.7177800468241396E-2</v>
      </c>
      <c r="EJ34" s="8">
        <v>5.3598432117525636E-2</v>
      </c>
      <c r="EK34" s="8">
        <v>5.2866411823119637E-2</v>
      </c>
      <c r="EL34" s="8">
        <v>4.4699267269626995E-2</v>
      </c>
      <c r="EM34" s="8">
        <v>6.466216580056118E-2</v>
      </c>
      <c r="EN34" s="8">
        <v>6.3835418785278944E-2</v>
      </c>
      <c r="EO34" s="8">
        <v>6.7069141743887076E-2</v>
      </c>
      <c r="EP34" s="8">
        <v>7.1175305724388654E-2</v>
      </c>
      <c r="EQ34" s="8">
        <v>7.3366670659324382E-2</v>
      </c>
      <c r="ER34" s="8">
        <v>7.2818466670940052E-2</v>
      </c>
      <c r="ES34" s="8">
        <v>7.4522046180635584E-2</v>
      </c>
      <c r="ET34" s="8">
        <v>6.5747992810992625E-2</v>
      </c>
      <c r="EU34" s="8">
        <v>6.1458142583035377E-2</v>
      </c>
      <c r="EV34" s="8">
        <v>6.6138313519497893E-2</v>
      </c>
      <c r="EW34" s="8">
        <v>0.15929946440968895</v>
      </c>
      <c r="EX34" s="8">
        <v>0.17596941314951975</v>
      </c>
      <c r="EY34" s="8">
        <v>0.15785068939739377</v>
      </c>
      <c r="EZ34" s="8">
        <v>0.14876970950950386</v>
      </c>
      <c r="FA34" s="8">
        <v>0.13295305422249939</v>
      </c>
      <c r="FB34" s="8">
        <v>0.11606412883480503</v>
      </c>
      <c r="FC34" s="8">
        <v>0.11559167610631095</v>
      </c>
      <c r="FD34" s="7">
        <v>0.10248271254286503</v>
      </c>
      <c r="FE34" s="8">
        <v>0.13373551478179252</v>
      </c>
      <c r="FF34" s="8">
        <v>0.15143211452770766</v>
      </c>
      <c r="FG34" s="8">
        <v>8.4160900084009185E-2</v>
      </c>
      <c r="FH34" s="8">
        <v>8.0521030425856899E-2</v>
      </c>
      <c r="FI34" s="8">
        <v>8.7931490435954177E-2</v>
      </c>
      <c r="FJ34" s="8">
        <v>8.7421884896799501E-2</v>
      </c>
      <c r="FK34" s="8">
        <v>8.7552669918498832E-2</v>
      </c>
      <c r="FL34" s="8">
        <v>8.7982626362827665E-2</v>
      </c>
      <c r="FM34" s="8">
        <v>8.8311023563255014E-2</v>
      </c>
      <c r="FN34" s="8">
        <v>9.4616258742119111E-2</v>
      </c>
      <c r="FO34" s="8">
        <v>0.10183930243359975</v>
      </c>
      <c r="FP34" s="8">
        <v>9.1555027446610787E-2</v>
      </c>
      <c r="FZ34" s="6" t="s">
        <v>305</v>
      </c>
      <c r="GA34" s="8">
        <v>0.74565664003727672</v>
      </c>
      <c r="GB34" s="8">
        <v>0.75138398495935121</v>
      </c>
      <c r="GC34" s="8">
        <v>0.75105932503910033</v>
      </c>
      <c r="GD34" s="8">
        <v>0.77252438060757023</v>
      </c>
      <c r="GE34" s="8">
        <v>0.77946795114984169</v>
      </c>
      <c r="GF34" s="8">
        <v>0.7790076473089641</v>
      </c>
      <c r="GG34" s="8">
        <v>0.77056646553542563</v>
      </c>
      <c r="GH34" s="8">
        <v>0.74997916907335971</v>
      </c>
      <c r="GI34" s="8">
        <v>0.75011297131009114</v>
      </c>
      <c r="GJ34" s="8">
        <v>0.76044649286160337</v>
      </c>
      <c r="GK34" s="8">
        <v>0.71670887239100112</v>
      </c>
      <c r="GL34" s="7">
        <v>0.72041044887765171</v>
      </c>
      <c r="GM34" s="8">
        <v>0.71436116802864391</v>
      </c>
      <c r="GN34" s="8">
        <v>0.69403263521027736</v>
      </c>
      <c r="GO34" s="8">
        <v>0.68873317347310248</v>
      </c>
      <c r="GP34" s="8">
        <v>0.69058523557005491</v>
      </c>
      <c r="GQ34" s="8">
        <v>0.70409062017697532</v>
      </c>
      <c r="GR34" s="8">
        <v>0.71369968743842493</v>
      </c>
      <c r="GS34" s="8">
        <v>0.71670810748884461</v>
      </c>
      <c r="GT34" s="8">
        <v>0.71259512201674602</v>
      </c>
      <c r="GU34" s="8">
        <v>0.43605567207638929</v>
      </c>
      <c r="GV34" s="7">
        <v>0.42020011240156291</v>
      </c>
      <c r="GW34" s="8">
        <v>0.41640828906205735</v>
      </c>
      <c r="GX34" s="8">
        <v>0.41505405375288795</v>
      </c>
      <c r="GY34" s="8">
        <v>0.43507289017525252</v>
      </c>
      <c r="GZ34" s="8">
        <v>0.44578559536981527</v>
      </c>
      <c r="HA34" s="8">
        <v>0.44089505913958787</v>
      </c>
      <c r="HB34" s="8">
        <v>0.43264516773788325</v>
      </c>
      <c r="HC34" s="8">
        <v>0.4267800136581702</v>
      </c>
      <c r="HD34" s="8">
        <v>0.43315697422997806</v>
      </c>
      <c r="HE34" s="8">
        <v>0.61785950738156703</v>
      </c>
      <c r="HF34" s="8">
        <v>0.62410480991167594</v>
      </c>
      <c r="HG34" s="7">
        <v>0.61698317866791019</v>
      </c>
      <c r="HH34" s="8">
        <v>0.61512589150437702</v>
      </c>
      <c r="HI34" s="8">
        <v>0.61942267790667915</v>
      </c>
      <c r="HJ34" s="8">
        <v>0.61299283982662378</v>
      </c>
      <c r="HK34" s="8">
        <v>0.6084208661139211</v>
      </c>
      <c r="HL34" s="8">
        <v>0.59213060907509618</v>
      </c>
      <c r="HM34" s="8">
        <v>0.58483234637708481</v>
      </c>
      <c r="HN34" s="8">
        <v>0.60650585773629451</v>
      </c>
      <c r="HP34" s="6" t="s">
        <v>288</v>
      </c>
      <c r="HQ34" s="6" t="s">
        <v>140</v>
      </c>
      <c r="HR34" s="6" t="s">
        <v>141</v>
      </c>
      <c r="HS34" s="8">
        <v>0.65438879237456304</v>
      </c>
    </row>
    <row r="35" spans="2:227" x14ac:dyDescent="0.45">
      <c r="B35" s="3" t="s">
        <v>306</v>
      </c>
      <c r="C35" s="3" t="s">
        <v>131</v>
      </c>
      <c r="D35" s="5">
        <v>0.30820105008281828</v>
      </c>
      <c r="E35" s="5">
        <v>0.30645994128992882</v>
      </c>
      <c r="F35" s="5">
        <v>0.30038523043714371</v>
      </c>
      <c r="G35" s="5">
        <v>0.29571237234939546</v>
      </c>
      <c r="H35" s="5">
        <v>0.28324962504550061</v>
      </c>
      <c r="I35" s="5">
        <v>0.2764918577494615</v>
      </c>
      <c r="J35" s="5">
        <v>0.28913798106010591</v>
      </c>
      <c r="K35" s="5">
        <v>0.29141853534094497</v>
      </c>
      <c r="L35" s="5">
        <v>0.29679014981186608</v>
      </c>
      <c r="M35" s="5">
        <v>0.29627978485731593</v>
      </c>
      <c r="N35" s="5">
        <v>0.3003629969588994</v>
      </c>
      <c r="O35" s="5">
        <v>0.29730467376754688</v>
      </c>
      <c r="P35" s="5">
        <v>0.30115133847721759</v>
      </c>
      <c r="Q35" s="5">
        <v>0.30612489911220941</v>
      </c>
      <c r="R35" s="5">
        <v>0.30386134041026175</v>
      </c>
      <c r="S35" s="5">
        <v>0.29033348692849886</v>
      </c>
      <c r="T35" s="5">
        <v>0.28528393691503762</v>
      </c>
      <c r="U35" s="5">
        <v>0.29349146254218755</v>
      </c>
      <c r="V35" s="5">
        <v>0.283183187211276</v>
      </c>
      <c r="W35" s="5">
        <v>0.30165990955619371</v>
      </c>
      <c r="X35" s="5">
        <v>0.42056755273880086</v>
      </c>
      <c r="Y35" s="5">
        <v>0.4151727577045396</v>
      </c>
      <c r="Z35" s="5">
        <v>0.42324409525590551</v>
      </c>
      <c r="AA35" s="5">
        <v>0.41420973831838903</v>
      </c>
      <c r="AB35" s="5">
        <v>0.39433069901389645</v>
      </c>
      <c r="AC35" s="5">
        <v>0.37362244675283496</v>
      </c>
      <c r="AD35" s="5">
        <v>0.36203014047696647</v>
      </c>
      <c r="AE35" s="5">
        <v>0.36625761458607364</v>
      </c>
      <c r="AF35" s="5">
        <v>0.3650376577424152</v>
      </c>
      <c r="AG35" s="5">
        <v>0.4091642045456243</v>
      </c>
      <c r="AH35" s="5">
        <v>0.3414900096876804</v>
      </c>
      <c r="AI35" s="5">
        <v>0.34914161371287561</v>
      </c>
      <c r="AJ35" s="5">
        <v>0.35362094865815541</v>
      </c>
      <c r="AK35" s="5">
        <v>0.35507881957130066</v>
      </c>
      <c r="AL35" s="5">
        <v>0.33602020896618734</v>
      </c>
      <c r="AM35" s="5">
        <v>0.32769750469677078</v>
      </c>
      <c r="AN35" s="5">
        <v>0.33153813108958019</v>
      </c>
      <c r="AO35" s="5">
        <v>0.33478862971301465</v>
      </c>
      <c r="AP35" s="5">
        <v>0.34736197518430117</v>
      </c>
      <c r="AQ35" s="5">
        <v>0.33639333220229484</v>
      </c>
      <c r="AS35" s="3" t="s">
        <v>306</v>
      </c>
      <c r="AT35" s="3" t="s">
        <v>132</v>
      </c>
      <c r="AU35" s="5">
        <v>2.7374424595660241E-2</v>
      </c>
      <c r="AV35" s="5">
        <v>2.1018874051556901E-2</v>
      </c>
      <c r="AW35" s="5">
        <v>2.2128993417840727E-2</v>
      </c>
      <c r="AX35" s="5">
        <v>2.9217061324986717E-2</v>
      </c>
      <c r="AY35" s="5">
        <v>2.9948618137906249E-2</v>
      </c>
      <c r="AZ35" s="5">
        <v>2.9455272588552114E-2</v>
      </c>
      <c r="BA35" s="5">
        <v>2.7987013701434919E-2</v>
      </c>
      <c r="BB35" s="5">
        <v>2.598033307380385E-2</v>
      </c>
      <c r="BC35" s="5">
        <v>2.4765160817883252E-2</v>
      </c>
      <c r="BD35" s="5">
        <v>2.6755760844802499E-2</v>
      </c>
      <c r="BE35" s="5">
        <v>2.8433126079845876E-2</v>
      </c>
      <c r="BF35" s="5">
        <v>1.229370702523965E-2</v>
      </c>
      <c r="BG35" s="5">
        <v>2.2167758685762495E-2</v>
      </c>
      <c r="BH35" s="5">
        <v>2.7442306658979454E-2</v>
      </c>
      <c r="BI35" s="5">
        <v>2.1331593149670293E-2</v>
      </c>
      <c r="BJ35" s="5">
        <v>8.7970618247836981E-3</v>
      </c>
      <c r="BK35" s="5">
        <v>2.0221744691090213E-2</v>
      </c>
      <c r="BL35" s="4">
        <v>5.9642027423988074E-3</v>
      </c>
      <c r="BM35" s="5">
        <v>3.220681460649234E-3</v>
      </c>
      <c r="BN35" s="5">
        <v>2.6983713032438943E-2</v>
      </c>
      <c r="BO35" s="5">
        <v>3.3655194273910394E-2</v>
      </c>
      <c r="BP35" s="5">
        <v>2.776698277479955E-2</v>
      </c>
      <c r="BQ35" s="5">
        <v>3.7277065863352304E-2</v>
      </c>
      <c r="BR35" s="5">
        <v>5.8474593477947805E-2</v>
      </c>
      <c r="BS35" s="5">
        <v>4.7629818768814787E-2</v>
      </c>
      <c r="BT35" s="5">
        <v>3.1624194997188528E-2</v>
      </c>
      <c r="BU35" s="5">
        <v>2.6694649341976961E-2</v>
      </c>
      <c r="BV35" s="5">
        <v>1.873659815896701E-2</v>
      </c>
      <c r="BW35" s="5">
        <v>2.3526858008942528E-2</v>
      </c>
      <c r="BX35" s="5">
        <v>4.1682221580456702E-2</v>
      </c>
      <c r="BY35" s="5">
        <v>5.5112639994072302E-2</v>
      </c>
      <c r="BZ35" s="5">
        <v>3.6608851775400422E-2</v>
      </c>
      <c r="CA35" s="5">
        <v>4.9596099031413272E-2</v>
      </c>
      <c r="CB35" s="5">
        <v>3.6731461058868667E-2</v>
      </c>
      <c r="CC35" s="5">
        <v>2.3643824004003285E-2</v>
      </c>
      <c r="CD35" s="5">
        <v>3.2616880612981118E-2</v>
      </c>
      <c r="CE35" s="5">
        <v>1.6731833748606442E-2</v>
      </c>
      <c r="CF35" s="5">
        <v>1.0072267096574343E-2</v>
      </c>
      <c r="CG35" s="5">
        <v>1.8949157208417531E-2</v>
      </c>
      <c r="CH35" s="5">
        <v>3.4311822171755088E-2</v>
      </c>
      <c r="CJ35" s="3" t="s">
        <v>306</v>
      </c>
      <c r="CK35" s="3" t="s">
        <v>133</v>
      </c>
      <c r="CL35" s="5">
        <v>2.3725318824375875E-2</v>
      </c>
      <c r="CM35" s="5">
        <v>3.2585301067904776E-2</v>
      </c>
      <c r="CN35" s="5">
        <v>2.2042264856413127E-2</v>
      </c>
      <c r="CO35" s="5">
        <v>2.4132871216691797E-2</v>
      </c>
      <c r="CP35" s="5">
        <v>2.2362810091515292E-2</v>
      </c>
      <c r="CQ35" s="5">
        <v>2.8151155049219837E-2</v>
      </c>
      <c r="CR35" s="5">
        <v>4.0183912656855642E-2</v>
      </c>
      <c r="CS35" s="5">
        <v>4.5614899079983291E-2</v>
      </c>
      <c r="CT35" s="5">
        <v>3.4541698381446287E-2</v>
      </c>
      <c r="CU35" s="5">
        <v>2.0324602994671166E-2</v>
      </c>
      <c r="CV35" s="5">
        <v>3.6057198581467616E-2</v>
      </c>
      <c r="CW35" s="5">
        <v>5.5028957997560898E-2</v>
      </c>
      <c r="CX35" s="5">
        <v>3.3185767139714946E-2</v>
      </c>
      <c r="CY35" s="5">
        <v>1.7181981662399082E-2</v>
      </c>
      <c r="CZ35" s="5">
        <v>2.9203308854610054E-2</v>
      </c>
      <c r="DA35" s="5">
        <v>3.3246554397709398E-2</v>
      </c>
      <c r="DB35" s="5">
        <v>2.4138917260607969E-2</v>
      </c>
      <c r="DC35" s="5">
        <v>2.7669995113687708E-2</v>
      </c>
      <c r="DD35" s="5">
        <v>1.9357539500690885E-2</v>
      </c>
      <c r="DE35" s="5">
        <v>2.8030229918306541E-3</v>
      </c>
      <c r="DF35" s="5">
        <v>5.6232307935970144E-2</v>
      </c>
      <c r="DG35" s="5">
        <v>6.6730552085281447E-2</v>
      </c>
      <c r="DH35" s="5">
        <v>2.1077785395425298E-2</v>
      </c>
      <c r="DI35" s="5">
        <v>2.8300434740038634E-2</v>
      </c>
      <c r="DJ35" s="4">
        <v>3.113015289864653E-2</v>
      </c>
      <c r="DK35" s="5">
        <v>6.0334757313473895E-2</v>
      </c>
      <c r="DL35" s="5">
        <v>7.8288532468250405E-2</v>
      </c>
      <c r="DM35" s="5">
        <v>7.0903575351789344E-2</v>
      </c>
      <c r="DN35" s="5">
        <v>3.5032168202544782E-2</v>
      </c>
      <c r="DO35" s="5">
        <v>4.9733491862871342E-2</v>
      </c>
      <c r="DP35" s="5">
        <v>6.5272456320576253E-2</v>
      </c>
      <c r="DQ35" s="5">
        <v>7.3314625384861623E-2</v>
      </c>
      <c r="DR35" s="5">
        <v>7.1351784034724863E-2</v>
      </c>
      <c r="DS35" s="5">
        <v>5.3430506032989412E-2</v>
      </c>
      <c r="DT35" s="5">
        <v>3.9179701792067576E-2</v>
      </c>
      <c r="DU35" s="5">
        <v>4.3197945815606986E-2</v>
      </c>
      <c r="DV35" s="5">
        <v>3.497908234070235E-2</v>
      </c>
      <c r="DW35" s="5">
        <v>4.387126618453345E-2</v>
      </c>
      <c r="DX35" s="5">
        <v>4.0977467474837895E-2</v>
      </c>
      <c r="DY35" s="5">
        <v>1.9202669121904086E-2</v>
      </c>
      <c r="EA35" s="3" t="s">
        <v>306</v>
      </c>
      <c r="EB35" s="3" t="s">
        <v>134</v>
      </c>
      <c r="EC35" s="5">
        <v>0.13712853136411562</v>
      </c>
      <c r="ED35" s="5">
        <v>0.12812476806777165</v>
      </c>
      <c r="EE35" s="5">
        <v>0.13509795356718979</v>
      </c>
      <c r="EF35" s="5">
        <v>0.10988994590640845</v>
      </c>
      <c r="EG35" s="5">
        <v>0.1052186362908125</v>
      </c>
      <c r="EH35" s="5">
        <v>9.662911616568165E-2</v>
      </c>
      <c r="EI35" s="5">
        <v>9.6078904455382974E-2</v>
      </c>
      <c r="EJ35" s="5">
        <v>9.3404985182932179E-2</v>
      </c>
      <c r="EK35" s="5">
        <v>0.11538362124702467</v>
      </c>
      <c r="EL35" s="5">
        <v>0.13057158119049955</v>
      </c>
      <c r="EM35" s="5">
        <v>0.12486160692806457</v>
      </c>
      <c r="EN35" s="5">
        <v>0.12077998525188008</v>
      </c>
      <c r="EO35" s="5">
        <v>0.13497793420856113</v>
      </c>
      <c r="EP35" s="5">
        <v>0.13628551769113792</v>
      </c>
      <c r="EQ35" s="5">
        <v>0.12853965256826422</v>
      </c>
      <c r="ER35" s="5">
        <v>0.12890063913291253</v>
      </c>
      <c r="ES35" s="5">
        <v>0.1256947539757661</v>
      </c>
      <c r="ET35" s="5">
        <v>0.14959158714300658</v>
      </c>
      <c r="EU35" s="5">
        <v>0.15560446440792211</v>
      </c>
      <c r="EV35" s="5">
        <v>0.16032267565127117</v>
      </c>
      <c r="EW35" s="5">
        <v>0.20589880447971734</v>
      </c>
      <c r="EX35" s="5">
        <v>0.20020412688590616</v>
      </c>
      <c r="EY35" s="5">
        <v>0.22562021493037318</v>
      </c>
      <c r="EZ35" s="5">
        <v>0.1964608852371687</v>
      </c>
      <c r="FA35" s="5">
        <v>0.18248581620770593</v>
      </c>
      <c r="FB35" s="5">
        <v>0.15384576715077314</v>
      </c>
      <c r="FC35" s="5">
        <v>0.14686477956775645</v>
      </c>
      <c r="FD35" s="4">
        <v>0.165867939327006</v>
      </c>
      <c r="FE35" s="5">
        <v>0.20074794991221348</v>
      </c>
      <c r="FF35" s="5">
        <v>0.19808104479401517</v>
      </c>
      <c r="FG35" s="5">
        <v>0.11662748750385792</v>
      </c>
      <c r="FH35" s="5">
        <v>0.13064879474989202</v>
      </c>
      <c r="FI35" s="5">
        <v>0.12855631633348522</v>
      </c>
      <c r="FJ35" s="5">
        <v>0.15079732573487875</v>
      </c>
      <c r="FK35" s="5">
        <v>0.15287152802962473</v>
      </c>
      <c r="FL35" s="5">
        <v>0.13249945699847807</v>
      </c>
      <c r="FM35" s="5">
        <v>0.15563391465867751</v>
      </c>
      <c r="FN35" s="5">
        <v>0.15807546467490977</v>
      </c>
      <c r="FO35" s="5">
        <v>0.17001836889137947</v>
      </c>
      <c r="FP35" s="5">
        <v>0.1697488733681139</v>
      </c>
      <c r="FZ35" s="3" t="s">
        <v>306</v>
      </c>
      <c r="GA35" s="5">
        <v>0.43847753077790369</v>
      </c>
      <c r="GB35" s="5">
        <v>0.45866693021056965</v>
      </c>
      <c r="GC35" s="5">
        <v>0.47210682149648348</v>
      </c>
      <c r="GD35" s="5">
        <v>0.50702642403571596</v>
      </c>
      <c r="GE35" s="5">
        <v>0.53020061805886187</v>
      </c>
      <c r="GF35" s="5">
        <v>0.52184005390589905</v>
      </c>
      <c r="GG35" s="5">
        <v>0.49696672697022565</v>
      </c>
      <c r="GH35" s="5">
        <v>0.49126330176041572</v>
      </c>
      <c r="GI35" s="5">
        <v>0.48133741462959262</v>
      </c>
      <c r="GJ35" s="5">
        <v>0.45755865275823526</v>
      </c>
      <c r="GK35" s="5">
        <v>0.37559734446705728</v>
      </c>
      <c r="GL35" s="4">
        <v>0.37189879649954383</v>
      </c>
      <c r="GM35" s="5">
        <v>0.40204383055261261</v>
      </c>
      <c r="GN35" s="5">
        <v>0.43925147495066419</v>
      </c>
      <c r="GO35" s="5">
        <v>0.45472925395266051</v>
      </c>
      <c r="GP35" s="5">
        <v>0.46906101879691997</v>
      </c>
      <c r="GQ35" s="5">
        <v>0.46541715261925459</v>
      </c>
      <c r="GR35" s="5">
        <v>0.42821432992249081</v>
      </c>
      <c r="GS35" s="5">
        <v>0.39658620538993455</v>
      </c>
      <c r="GT35" s="5">
        <v>0.38153990198504928</v>
      </c>
      <c r="GU35" s="5">
        <v>0.18775953174212007</v>
      </c>
      <c r="GV35" s="4">
        <v>0.18463181511384971</v>
      </c>
      <c r="GW35" s="5">
        <v>0.20649000868547301</v>
      </c>
      <c r="GX35" s="5">
        <v>0.23149281615744746</v>
      </c>
      <c r="GY35" s="5">
        <v>0.25151783436052877</v>
      </c>
      <c r="GZ35" s="5">
        <v>0.26103926019500528</v>
      </c>
      <c r="HA35" s="5">
        <v>0.25333412712532066</v>
      </c>
      <c r="HB35" s="5">
        <v>0.22419164142117448</v>
      </c>
      <c r="HC35" s="5">
        <v>0.18659946366476463</v>
      </c>
      <c r="HD35" s="5">
        <v>0.18378070084038731</v>
      </c>
      <c r="HE35" s="5">
        <v>0.28801375236339327</v>
      </c>
      <c r="HF35" s="5">
        <v>0.30189673691279534</v>
      </c>
      <c r="HG35" s="4">
        <v>0.31509701883698554</v>
      </c>
      <c r="HH35" s="5">
        <v>0.32939490059517518</v>
      </c>
      <c r="HI35" s="5">
        <v>0.34596372269686637</v>
      </c>
      <c r="HJ35" s="5">
        <v>0.34127913889711631</v>
      </c>
      <c r="HK35" s="5">
        <v>0.32410807095515443</v>
      </c>
      <c r="HL35" s="5">
        <v>0.28726446390717014</v>
      </c>
      <c r="HM35" s="5">
        <v>0.27049889136846417</v>
      </c>
      <c r="HN35" s="5">
        <v>0.27812330761467613</v>
      </c>
      <c r="HP35" s="3" t="s">
        <v>290</v>
      </c>
      <c r="HQ35" s="3" t="s">
        <v>140</v>
      </c>
      <c r="HR35" s="3" t="s">
        <v>141</v>
      </c>
      <c r="HS35" s="5">
        <v>0.6982681438257452</v>
      </c>
    </row>
    <row r="36" spans="2:227" x14ac:dyDescent="0.45">
      <c r="B36" s="6" t="s">
        <v>307</v>
      </c>
      <c r="C36" s="6" t="s">
        <v>131</v>
      </c>
      <c r="D36" s="8">
        <v>0.20647578368457389</v>
      </c>
      <c r="E36" s="8">
        <v>0.20126781376878081</v>
      </c>
      <c r="F36" s="8">
        <v>0.20625030545312323</v>
      </c>
      <c r="G36" s="8">
        <v>0.19062152491647916</v>
      </c>
      <c r="H36" s="8">
        <v>0.18614721133551829</v>
      </c>
      <c r="I36" s="8">
        <v>0.1742249471053415</v>
      </c>
      <c r="J36" s="8">
        <v>0.17695764344667597</v>
      </c>
      <c r="K36" s="8">
        <v>0.18995937900049492</v>
      </c>
      <c r="L36" s="8">
        <v>0.19376514028542063</v>
      </c>
      <c r="M36" s="8">
        <v>0.20313512217408591</v>
      </c>
      <c r="N36" s="8">
        <v>0.20166729583964987</v>
      </c>
      <c r="O36" s="8">
        <v>0.19878660702549245</v>
      </c>
      <c r="P36" s="8">
        <v>0.20873937756050559</v>
      </c>
      <c r="Q36" s="8">
        <v>0.22467001873311826</v>
      </c>
      <c r="R36" s="8">
        <v>0.23643967033561736</v>
      </c>
      <c r="S36" s="8">
        <v>0.23504663869639575</v>
      </c>
      <c r="T36" s="8">
        <v>0.22191945286233564</v>
      </c>
      <c r="U36" s="8">
        <v>0.20912099157460848</v>
      </c>
      <c r="V36" s="8">
        <v>0.20198764317155307</v>
      </c>
      <c r="W36" s="8">
        <v>0.20736722968082491</v>
      </c>
      <c r="X36" s="8">
        <v>0.36677474933212761</v>
      </c>
      <c r="Y36" s="8">
        <v>0.36026375827261198</v>
      </c>
      <c r="Z36" s="8">
        <v>0.35756693587447741</v>
      </c>
      <c r="AA36" s="8">
        <v>0.35988031859671649</v>
      </c>
      <c r="AB36" s="8">
        <v>0.3552231785113299</v>
      </c>
      <c r="AC36" s="8">
        <v>0.33676220757111158</v>
      </c>
      <c r="AD36" s="8">
        <v>0.3175190413415136</v>
      </c>
      <c r="AE36" s="8">
        <v>0.31486977053973753</v>
      </c>
      <c r="AF36" s="8">
        <v>0.3213574540030894</v>
      </c>
      <c r="AG36" s="8">
        <v>0.36249972822155518</v>
      </c>
      <c r="AH36" s="8">
        <v>0.25512648736561727</v>
      </c>
      <c r="AI36" s="8">
        <v>0.2516401953317004</v>
      </c>
      <c r="AJ36" s="8">
        <v>0.24776745908745307</v>
      </c>
      <c r="AK36" s="8">
        <v>0.25801254453001249</v>
      </c>
      <c r="AL36" s="8">
        <v>0.27458084497885848</v>
      </c>
      <c r="AM36" s="8">
        <v>0.27396812371853801</v>
      </c>
      <c r="AN36" s="8">
        <v>0.27693761921042048</v>
      </c>
      <c r="AO36" s="8">
        <v>0.28426189650349876</v>
      </c>
      <c r="AP36" s="8">
        <v>0.29190222808012606</v>
      </c>
      <c r="AQ36" s="8">
        <v>0.27564531718085833</v>
      </c>
      <c r="AS36" s="6" t="s">
        <v>307</v>
      </c>
      <c r="AT36" s="6" t="s">
        <v>132</v>
      </c>
      <c r="AU36" s="8">
        <v>1.3475129368700331E-2</v>
      </c>
      <c r="AV36" s="8">
        <v>1.1226376892832965E-2</v>
      </c>
      <c r="AW36" s="8">
        <v>1.063585111586869E-2</v>
      </c>
      <c r="AX36" s="8">
        <v>1.2400566206199445E-2</v>
      </c>
      <c r="AY36" s="8">
        <v>1.7495194904169901E-2</v>
      </c>
      <c r="AZ36" s="8">
        <v>1.4217311082906419E-2</v>
      </c>
      <c r="BA36" s="8">
        <v>5.7693302920763263E-3</v>
      </c>
      <c r="BB36" s="8">
        <v>1.1375273810536712E-2</v>
      </c>
      <c r="BC36" s="8">
        <v>1.2820964055076597E-2</v>
      </c>
      <c r="BD36" s="8">
        <v>1.1869261666329598E-2</v>
      </c>
      <c r="BE36" s="8">
        <v>1.513075632255834E-2</v>
      </c>
      <c r="BF36" s="8">
        <v>6.673413169748549E-3</v>
      </c>
      <c r="BG36" s="8">
        <v>1.0899140329697292E-2</v>
      </c>
      <c r="BH36" s="8">
        <v>1.3397843291422675E-2</v>
      </c>
      <c r="BI36" s="8">
        <v>1.0342446109800488E-2</v>
      </c>
      <c r="BJ36" s="8">
        <v>6.0453212360215402E-3</v>
      </c>
      <c r="BK36" s="8">
        <v>5.3743498528606897E-3</v>
      </c>
      <c r="BL36" s="7">
        <v>3.9501462251812901E-3</v>
      </c>
      <c r="BM36" s="8">
        <v>4.8171840192980696E-3</v>
      </c>
      <c r="BN36" s="8">
        <v>1.0537318283766618E-2</v>
      </c>
      <c r="BO36" s="8">
        <v>2.3282748234887136E-2</v>
      </c>
      <c r="BP36" s="8">
        <v>2.4062895676811628E-2</v>
      </c>
      <c r="BQ36" s="8">
        <v>2.8773938841830889E-2</v>
      </c>
      <c r="BR36" s="8">
        <v>2.2540379991519695E-2</v>
      </c>
      <c r="BS36" s="8">
        <v>3.3510032866515757E-2</v>
      </c>
      <c r="BT36" s="8">
        <v>4.1652722665478654E-2</v>
      </c>
      <c r="BU36" s="8">
        <v>1.921357904053355E-2</v>
      </c>
      <c r="BV36" s="8">
        <v>1.3736263850355188E-2</v>
      </c>
      <c r="BW36" s="8">
        <v>2.2334787104827829E-2</v>
      </c>
      <c r="BX36" s="8">
        <v>5.0258509728616299E-2</v>
      </c>
      <c r="BY36" s="8">
        <v>1.9113818151087213E-2</v>
      </c>
      <c r="BZ36" s="8">
        <v>1.7887907127496785E-2</v>
      </c>
      <c r="CA36" s="8">
        <v>1.2211961728483857E-2</v>
      </c>
      <c r="CB36" s="8">
        <v>1.9164274815713634E-2</v>
      </c>
      <c r="CC36" s="8">
        <v>2.3184030622280527E-2</v>
      </c>
      <c r="CD36" s="8">
        <v>2.042744961310405E-2</v>
      </c>
      <c r="CE36" s="8">
        <v>1.2534359986479511E-2</v>
      </c>
      <c r="CF36" s="8">
        <v>1.4915537267035586E-2</v>
      </c>
      <c r="CG36" s="8">
        <v>1.0458668439462098E-2</v>
      </c>
      <c r="CH36" s="8">
        <v>1.4098061453776107E-2</v>
      </c>
      <c r="CJ36" s="6" t="s">
        <v>307</v>
      </c>
      <c r="CK36" s="6" t="s">
        <v>133</v>
      </c>
      <c r="CL36" s="8">
        <v>1.2557300095485953E-2</v>
      </c>
      <c r="CM36" s="8">
        <v>1.3168393454428358E-2</v>
      </c>
      <c r="CN36" s="8">
        <v>1.6220228319121458E-2</v>
      </c>
      <c r="CO36" s="8">
        <v>1.451065357735204E-2</v>
      </c>
      <c r="CP36" s="8">
        <v>9.2626494362149005E-3</v>
      </c>
      <c r="CQ36" s="8">
        <v>1.0386073813229261E-2</v>
      </c>
      <c r="CR36" s="8">
        <v>1.6359914495561918E-2</v>
      </c>
      <c r="CS36" s="8">
        <v>1.5548359582637974E-2</v>
      </c>
      <c r="CT36" s="8">
        <v>1.0990032473825302E-2</v>
      </c>
      <c r="CU36" s="8">
        <v>1.2332898600042113E-2</v>
      </c>
      <c r="CV36" s="8">
        <v>1.125966305259272E-2</v>
      </c>
      <c r="CW36" s="8">
        <v>2.4443659832338073E-2</v>
      </c>
      <c r="CX36" s="8">
        <v>1.4858395698286845E-2</v>
      </c>
      <c r="CY36" s="8">
        <v>1.1161183129257058E-2</v>
      </c>
      <c r="CZ36" s="8">
        <v>1.8929426693010388E-2</v>
      </c>
      <c r="DA36" s="8">
        <v>2.2907459841229025E-2</v>
      </c>
      <c r="DB36" s="8">
        <v>1.7605254261908711E-2</v>
      </c>
      <c r="DC36" s="8">
        <v>9.1682611509814986E-3</v>
      </c>
      <c r="DD36" s="8">
        <v>6.2751729514921211E-3</v>
      </c>
      <c r="DE36" s="8">
        <v>6.823684319698705E-3</v>
      </c>
      <c r="DF36" s="8">
        <v>5.9410481949326029E-2</v>
      </c>
      <c r="DG36" s="8">
        <v>3.8950107729449117E-2</v>
      </c>
      <c r="DH36" s="8">
        <v>1.9497998181601976E-2</v>
      </c>
      <c r="DI36" s="8">
        <v>2.4099667197002028E-2</v>
      </c>
      <c r="DJ36" s="7">
        <v>2.6796073448429807E-2</v>
      </c>
      <c r="DK36" s="8">
        <v>3.5521843404089266E-2</v>
      </c>
      <c r="DL36" s="8">
        <v>4.6084094127453498E-2</v>
      </c>
      <c r="DM36" s="8">
        <v>5.6792028900997077E-2</v>
      </c>
      <c r="DN36" s="8">
        <v>5.5915026207668493E-2</v>
      </c>
      <c r="DO36" s="8">
        <v>2.4098114602817189E-2</v>
      </c>
      <c r="DP36" s="8">
        <v>1.6903978394040623E-2</v>
      </c>
      <c r="DQ36" s="8">
        <v>2.1429218281111495E-2</v>
      </c>
      <c r="DR36" s="8">
        <v>2.6946078021680715E-2</v>
      </c>
      <c r="DS36" s="8">
        <v>1.7422328166002189E-2</v>
      </c>
      <c r="DT36" s="8">
        <v>1.9592114473125283E-2</v>
      </c>
      <c r="DU36" s="8">
        <v>2.2963092145241691E-2</v>
      </c>
      <c r="DV36" s="8">
        <v>3.5593566615800654E-2</v>
      </c>
      <c r="DW36" s="8">
        <v>2.9733692444868842E-2</v>
      </c>
      <c r="DX36" s="8">
        <v>2.4989045435904484E-2</v>
      </c>
      <c r="DY36" s="8">
        <v>2.1408302906892922E-2</v>
      </c>
      <c r="EA36" s="6" t="s">
        <v>307</v>
      </c>
      <c r="EB36" s="6" t="s">
        <v>134</v>
      </c>
      <c r="EC36" s="8">
        <v>6.7634311963185534E-2</v>
      </c>
      <c r="ED36" s="8">
        <v>6.6777627470924694E-2</v>
      </c>
      <c r="EE36" s="8">
        <v>6.5641126633045915E-2</v>
      </c>
      <c r="EF36" s="8">
        <v>5.5590003493083386E-2</v>
      </c>
      <c r="EG36" s="8">
        <v>5.0984298074068859E-2</v>
      </c>
      <c r="EH36" s="8">
        <v>5.0547746677096966E-2</v>
      </c>
      <c r="EI36" s="8">
        <v>5.7047914891955327E-2</v>
      </c>
      <c r="EJ36" s="8">
        <v>5.6575407232565496E-2</v>
      </c>
      <c r="EK36" s="8">
        <v>6.3622244496591512E-2</v>
      </c>
      <c r="EL36" s="8">
        <v>6.6958242314855712E-2</v>
      </c>
      <c r="EM36" s="8">
        <v>7.4545420624831354E-2</v>
      </c>
      <c r="EN36" s="8">
        <v>6.9198425063667426E-2</v>
      </c>
      <c r="EO36" s="8">
        <v>7.3785929667886385E-2</v>
      </c>
      <c r="EP36" s="8">
        <v>8.1568448162592899E-2</v>
      </c>
      <c r="EQ36" s="8">
        <v>8.2769890201433813E-2</v>
      </c>
      <c r="ER36" s="8">
        <v>7.879462432838806E-2</v>
      </c>
      <c r="ES36" s="8">
        <v>7.9183110218224856E-2</v>
      </c>
      <c r="ET36" s="8">
        <v>8.6005236875413699E-2</v>
      </c>
      <c r="EU36" s="8">
        <v>8.8203759055444281E-2</v>
      </c>
      <c r="EV36" s="8">
        <v>8.3272085268017021E-2</v>
      </c>
      <c r="EW36" s="8">
        <v>0.14215518656841863</v>
      </c>
      <c r="EX36" s="8">
        <v>0.15645150731282217</v>
      </c>
      <c r="EY36" s="8">
        <v>0.1754540977314582</v>
      </c>
      <c r="EZ36" s="8">
        <v>0.1816813755938049</v>
      </c>
      <c r="FA36" s="8">
        <v>0.16105156262808118</v>
      </c>
      <c r="FB36" s="8">
        <v>0.13607083685201726</v>
      </c>
      <c r="FC36" s="8">
        <v>0.13743784087633634</v>
      </c>
      <c r="FD36" s="7">
        <v>0.12912049558390318</v>
      </c>
      <c r="FE36" s="8">
        <v>0.11476907370740121</v>
      </c>
      <c r="FF36" s="8">
        <v>0.14540778935671581</v>
      </c>
      <c r="FG36" s="8">
        <v>0.10373278850607061</v>
      </c>
      <c r="FH36" s="8">
        <v>9.2950372103268425E-2</v>
      </c>
      <c r="FI36" s="8">
        <v>9.0127438437853077E-2</v>
      </c>
      <c r="FJ36" s="8">
        <v>9.284706026062417E-2</v>
      </c>
      <c r="FK36" s="8">
        <v>9.5142652280197818E-2</v>
      </c>
      <c r="FL36" s="8">
        <v>9.6805602223976966E-2</v>
      </c>
      <c r="FM36" s="8">
        <v>9.4422566845317552E-2</v>
      </c>
      <c r="FN36" s="8">
        <v>0.10831362593297138</v>
      </c>
      <c r="FO36" s="8">
        <v>0.12247198259603384</v>
      </c>
      <c r="FP36" s="8">
        <v>0.11354694728805723</v>
      </c>
      <c r="FZ36" s="6" t="s">
        <v>307</v>
      </c>
      <c r="GA36" s="8">
        <v>0.67608799999350522</v>
      </c>
      <c r="GB36" s="8">
        <v>0.68494776225785203</v>
      </c>
      <c r="GC36" s="8">
        <v>0.68248943452228206</v>
      </c>
      <c r="GD36" s="8">
        <v>0.70621765978479745</v>
      </c>
      <c r="GE36" s="8">
        <v>0.72124956064789447</v>
      </c>
      <c r="GF36" s="8">
        <v>0.72591504860213107</v>
      </c>
      <c r="GG36" s="8">
        <v>0.71277647406828071</v>
      </c>
      <c r="GH36" s="8">
        <v>0.70453012952018435</v>
      </c>
      <c r="GI36" s="8">
        <v>0.68985873098445671</v>
      </c>
      <c r="GJ36" s="8">
        <v>0.68232491978034104</v>
      </c>
      <c r="GK36" s="8">
        <v>0.64050945886995159</v>
      </c>
      <c r="GL36" s="7">
        <v>0.6421030177581607</v>
      </c>
      <c r="GM36" s="8">
        <v>0.64815816487347699</v>
      </c>
      <c r="GN36" s="8">
        <v>0.64344980094116677</v>
      </c>
      <c r="GO36" s="8">
        <v>0.63688476974684349</v>
      </c>
      <c r="GP36" s="8">
        <v>0.64341633152439248</v>
      </c>
      <c r="GQ36" s="8">
        <v>0.64767577749945393</v>
      </c>
      <c r="GR36" s="8">
        <v>0.64410655352678403</v>
      </c>
      <c r="GS36" s="8">
        <v>0.6407574674143639</v>
      </c>
      <c r="GT36" s="8">
        <v>0.63649365634813093</v>
      </c>
      <c r="GU36" s="8">
        <v>0.37902782878346331</v>
      </c>
      <c r="GV36" s="7">
        <v>0.3748253339379482</v>
      </c>
      <c r="GW36" s="8">
        <v>0.36951765586421242</v>
      </c>
      <c r="GX36" s="8">
        <v>0.37091988901153405</v>
      </c>
      <c r="GY36" s="8">
        <v>0.38534259983464109</v>
      </c>
      <c r="GZ36" s="8">
        <v>0.39597941687809346</v>
      </c>
      <c r="HA36" s="8">
        <v>0.3980437541509928</v>
      </c>
      <c r="HB36" s="8">
        <v>0.39000009359623528</v>
      </c>
      <c r="HC36" s="8">
        <v>0.374179411473055</v>
      </c>
      <c r="HD36" s="8">
        <v>0.38330527182338647</v>
      </c>
      <c r="HE36" s="8">
        <v>0.54915917915180301</v>
      </c>
      <c r="HF36" s="8">
        <v>0.56025341112704452</v>
      </c>
      <c r="HG36" s="7">
        <v>0.56178134657307977</v>
      </c>
      <c r="HH36" s="8">
        <v>0.5598048694297898</v>
      </c>
      <c r="HI36" s="8">
        <v>0.55340700595430903</v>
      </c>
      <c r="HJ36" s="8">
        <v>0.55642022407392722</v>
      </c>
      <c r="HK36" s="8">
        <v>0.55393545516235865</v>
      </c>
      <c r="HL36" s="8">
        <v>0.53658702082552079</v>
      </c>
      <c r="HM36" s="8">
        <v>0.5210422807809143</v>
      </c>
      <c r="HN36" s="8">
        <v>0.5359060373078246</v>
      </c>
      <c r="HP36" s="6" t="s">
        <v>292</v>
      </c>
      <c r="HQ36" s="6" t="s">
        <v>140</v>
      </c>
      <c r="HR36" s="6" t="s">
        <v>141</v>
      </c>
      <c r="HS36" s="8">
        <v>0.66130619078220565</v>
      </c>
    </row>
    <row r="37" spans="2:227" x14ac:dyDescent="0.45">
      <c r="B37" s="3" t="s">
        <v>308</v>
      </c>
      <c r="C37" s="3" t="s">
        <v>131</v>
      </c>
      <c r="D37" s="5">
        <v>0.2733744219033461</v>
      </c>
      <c r="E37" s="5">
        <v>0.26595775718512377</v>
      </c>
      <c r="F37" s="5">
        <v>0.25794450787537615</v>
      </c>
      <c r="G37" s="5">
        <v>0.26556148401290081</v>
      </c>
      <c r="H37" s="5">
        <v>0.26259626263257657</v>
      </c>
      <c r="I37" s="5">
        <v>0.27283118505260967</v>
      </c>
      <c r="J37" s="5">
        <v>0.28013913262494938</v>
      </c>
      <c r="K37" s="5">
        <v>0.26587058445942291</v>
      </c>
      <c r="L37" s="5">
        <v>0.26203664939539695</v>
      </c>
      <c r="M37" s="5">
        <v>0.25172187667466311</v>
      </c>
      <c r="N37" s="5">
        <v>0.26002396525477872</v>
      </c>
      <c r="O37" s="5">
        <v>0.25383049883819175</v>
      </c>
      <c r="P37" s="5">
        <v>0.27056736716439872</v>
      </c>
      <c r="Q37" s="5">
        <v>0.28683639120899507</v>
      </c>
      <c r="R37" s="5">
        <v>0.28171996444417902</v>
      </c>
      <c r="S37" s="5">
        <v>0.26523616690309987</v>
      </c>
      <c r="T37" s="5">
        <v>0.26252060484773437</v>
      </c>
      <c r="U37" s="5">
        <v>0.26421733947063519</v>
      </c>
      <c r="V37" s="5">
        <v>0.25591177825078504</v>
      </c>
      <c r="W37" s="5">
        <v>0.25668692029914503</v>
      </c>
      <c r="X37" s="5">
        <v>0.32663098644951016</v>
      </c>
      <c r="Y37" s="5">
        <v>0.36883770117644676</v>
      </c>
      <c r="Z37" s="5">
        <v>0.38998048849293765</v>
      </c>
      <c r="AA37" s="5">
        <v>0.39861157871496794</v>
      </c>
      <c r="AB37" s="5">
        <v>0.3883170506621173</v>
      </c>
      <c r="AC37" s="5">
        <v>0.36483790088242102</v>
      </c>
      <c r="AD37" s="5">
        <v>0.35108622417767205</v>
      </c>
      <c r="AE37" s="5">
        <v>0.34356258828981689</v>
      </c>
      <c r="AF37" s="5">
        <v>0.33415582309413744</v>
      </c>
      <c r="AG37" s="5">
        <v>0.3207506117959808</v>
      </c>
      <c r="AH37" s="5">
        <v>0.28908592505730624</v>
      </c>
      <c r="AI37" s="5">
        <v>0.29110378023522665</v>
      </c>
      <c r="AJ37" s="5">
        <v>0.30083672271425643</v>
      </c>
      <c r="AK37" s="5">
        <v>0.30810331688393972</v>
      </c>
      <c r="AL37" s="5">
        <v>0.31688077576233936</v>
      </c>
      <c r="AM37" s="5">
        <v>0.3170788015904879</v>
      </c>
      <c r="AN37" s="5">
        <v>0.3057413979452327</v>
      </c>
      <c r="AO37" s="5">
        <v>0.29559482443395385</v>
      </c>
      <c r="AP37" s="5">
        <v>0.28897967923248596</v>
      </c>
      <c r="AQ37" s="5">
        <v>0.29882345561494394</v>
      </c>
      <c r="AS37" s="3" t="s">
        <v>308</v>
      </c>
      <c r="AT37" s="3" t="s">
        <v>132</v>
      </c>
      <c r="AU37" s="5">
        <v>1.2326684448993146E-2</v>
      </c>
      <c r="AV37" s="5">
        <v>1.3182960910964261E-2</v>
      </c>
      <c r="AW37" s="5">
        <v>1.475687660938807E-2</v>
      </c>
      <c r="AX37" s="5">
        <v>1.6361640686675179E-2</v>
      </c>
      <c r="AY37" s="5">
        <v>2.026150327899625E-2</v>
      </c>
      <c r="AZ37" s="5">
        <v>2.672584114785443E-2</v>
      </c>
      <c r="BA37" s="5">
        <v>2.7906563150304889E-2</v>
      </c>
      <c r="BB37" s="5">
        <v>1.420706071352904E-2</v>
      </c>
      <c r="BC37" s="5">
        <v>1.0922710521758427E-2</v>
      </c>
      <c r="BD37" s="5">
        <v>1.256906717875856E-2</v>
      </c>
      <c r="BE37" s="5">
        <v>2.3636285926216728E-2</v>
      </c>
      <c r="BF37" s="5">
        <v>8.2913622224221068E-3</v>
      </c>
      <c r="BG37" s="5">
        <v>1.4924839954958467E-2</v>
      </c>
      <c r="BH37" s="5">
        <v>2.2462752590675917E-2</v>
      </c>
      <c r="BI37" s="5">
        <v>9.0010284777336316E-3</v>
      </c>
      <c r="BJ37" s="5">
        <v>2.4834580197977897E-3</v>
      </c>
      <c r="BK37" s="5">
        <v>4.0499218177278921E-3</v>
      </c>
      <c r="BL37" s="4">
        <v>5.4151955499307817E-3</v>
      </c>
      <c r="BM37" s="5">
        <v>7.2318222112131491E-3</v>
      </c>
      <c r="BN37" s="5">
        <v>2.4940077073787946E-2</v>
      </c>
      <c r="BO37" s="5">
        <v>2.1765421400054389E-2</v>
      </c>
      <c r="BP37" s="5">
        <v>4.9771707485989844E-2</v>
      </c>
      <c r="BQ37" s="5">
        <v>2.8160142746123516E-2</v>
      </c>
      <c r="BR37" s="5">
        <v>3.2966080127366452E-2</v>
      </c>
      <c r="BS37" s="5">
        <v>4.5163693593080423E-2</v>
      </c>
      <c r="BT37" s="5">
        <v>3.8191649468204261E-2</v>
      </c>
      <c r="BU37" s="5">
        <v>2.0180120597194547E-2</v>
      </c>
      <c r="BV37" s="5">
        <v>3.3775026708458021E-2</v>
      </c>
      <c r="BW37" s="5">
        <v>1.1385803290596148E-2</v>
      </c>
      <c r="BX37" s="5">
        <v>8.2762245571001702E-3</v>
      </c>
      <c r="BY37" s="5">
        <v>3.3812711204949976E-2</v>
      </c>
      <c r="BZ37" s="5">
        <v>5.1512729013401481E-2</v>
      </c>
      <c r="CA37" s="5">
        <v>3.8108355482230509E-2</v>
      </c>
      <c r="CB37" s="5">
        <v>3.536850321155121E-2</v>
      </c>
      <c r="CC37" s="5">
        <v>3.4711194043439496E-2</v>
      </c>
      <c r="CD37" s="5">
        <v>8.401926027632671E-3</v>
      </c>
      <c r="CE37" s="5">
        <v>4.4310474103292051E-3</v>
      </c>
      <c r="CF37" s="5">
        <v>1.7716477873833542E-2</v>
      </c>
      <c r="CG37" s="5">
        <v>1.338711494902131E-2</v>
      </c>
      <c r="CH37" s="5">
        <v>2.4864739691241988E-2</v>
      </c>
      <c r="CJ37" s="3" t="s">
        <v>308</v>
      </c>
      <c r="CK37" s="3" t="s">
        <v>133</v>
      </c>
      <c r="CL37" s="5">
        <v>1.5427602215961877E-2</v>
      </c>
      <c r="CM37" s="5">
        <v>1.9698174498327649E-2</v>
      </c>
      <c r="CN37" s="5">
        <v>1.6896377149111009E-2</v>
      </c>
      <c r="CO37" s="5">
        <v>1.3152690555345872E-2</v>
      </c>
      <c r="CP37" s="5">
        <v>1.636717694103873E-2</v>
      </c>
      <c r="CQ37" s="5">
        <v>1.5337681523733592E-2</v>
      </c>
      <c r="CR37" s="5">
        <v>2.8607223135607866E-2</v>
      </c>
      <c r="CS37" s="5">
        <v>3.9769702242357749E-2</v>
      </c>
      <c r="CT37" s="5">
        <v>2.6743030905685396E-2</v>
      </c>
      <c r="CU37" s="5">
        <v>1.5112114300106913E-2</v>
      </c>
      <c r="CV37" s="5">
        <v>2.3025550124308243E-2</v>
      </c>
      <c r="CW37" s="5">
        <v>3.3020947572738255E-2</v>
      </c>
      <c r="CX37" s="5">
        <v>2.8184811812643908E-2</v>
      </c>
      <c r="CY37" s="5">
        <v>2.4930594612013534E-2</v>
      </c>
      <c r="CZ37" s="5">
        <v>2.5585398559374892E-2</v>
      </c>
      <c r="DA37" s="5">
        <v>3.1255031975198432E-2</v>
      </c>
      <c r="DB37" s="5">
        <v>2.0421927976114269E-2</v>
      </c>
      <c r="DC37" s="5">
        <v>3.6631784180707182E-3</v>
      </c>
      <c r="DD37" s="5">
        <v>9.7723093029350831E-3</v>
      </c>
      <c r="DE37" s="5">
        <v>1.8697138687179586E-2</v>
      </c>
      <c r="DF37" s="5">
        <v>7.2365491946247522E-3</v>
      </c>
      <c r="DG37" s="5">
        <v>2.339945458820929E-2</v>
      </c>
      <c r="DH37" s="5">
        <v>4.8731447945270262E-2</v>
      </c>
      <c r="DI37" s="5">
        <v>5.1413296870920104E-2</v>
      </c>
      <c r="DJ37" s="4">
        <v>4.4718275233009495E-2</v>
      </c>
      <c r="DK37" s="5">
        <v>3.7086899865929196E-2</v>
      </c>
      <c r="DL37" s="5">
        <v>4.850991972090507E-2</v>
      </c>
      <c r="DM37" s="5">
        <v>3.7342370851204947E-2</v>
      </c>
      <c r="DN37" s="5">
        <v>4.9457375465610326E-2</v>
      </c>
      <c r="DO37" s="5">
        <v>4.8148169994077755E-2</v>
      </c>
      <c r="DP37" s="5">
        <v>3.065740870118909E-2</v>
      </c>
      <c r="DQ37" s="5">
        <v>4.6554317687522599E-2</v>
      </c>
      <c r="DR37" s="5">
        <v>4.2132720605615764E-2</v>
      </c>
      <c r="DS37" s="5">
        <v>5.5449626148162623E-2</v>
      </c>
      <c r="DT37" s="5">
        <v>5.2027293408085318E-2</v>
      </c>
      <c r="DU37" s="5">
        <v>5.1815145362360156E-2</v>
      </c>
      <c r="DV37" s="5">
        <v>4.6243679847958595E-2</v>
      </c>
      <c r="DW37" s="5">
        <v>2.8799935873045815E-2</v>
      </c>
      <c r="DX37" s="5">
        <v>5.8452848518000793E-3</v>
      </c>
      <c r="DY37" s="5">
        <v>1.3824899756529839E-2</v>
      </c>
      <c r="EA37" s="3" t="s">
        <v>308</v>
      </c>
      <c r="EB37" s="3" t="s">
        <v>134</v>
      </c>
      <c r="EC37" s="5">
        <v>0.12324654225998877</v>
      </c>
      <c r="ED37" s="5">
        <v>0.11615564839136965</v>
      </c>
      <c r="EE37" s="5">
        <v>0.1115402301650343</v>
      </c>
      <c r="EF37" s="5">
        <v>0.10957825529513714</v>
      </c>
      <c r="EG37" s="5">
        <v>0.10158802961079036</v>
      </c>
      <c r="EH37" s="5">
        <v>9.7933962722154419E-2</v>
      </c>
      <c r="EI37" s="5">
        <v>8.6538914419030499E-2</v>
      </c>
      <c r="EJ37" s="5">
        <v>8.5968722025282038E-2</v>
      </c>
      <c r="EK37" s="5">
        <v>9.8331980022255072E-2</v>
      </c>
      <c r="EL37" s="5">
        <v>0.10980676616047816</v>
      </c>
      <c r="EM37" s="5">
        <v>9.683790821172196E-2</v>
      </c>
      <c r="EN37" s="5">
        <v>9.5399248526535696E-2</v>
      </c>
      <c r="EO37" s="5">
        <v>0.10141947696208858</v>
      </c>
      <c r="EP37" s="5">
        <v>0.10842757033036921</v>
      </c>
      <c r="EQ37" s="5">
        <v>0.12635088267025302</v>
      </c>
      <c r="ER37" s="5">
        <v>0.12736048183590726</v>
      </c>
      <c r="ES37" s="5">
        <v>0.13120584024668119</v>
      </c>
      <c r="ET37" s="5">
        <v>0.14267795417448631</v>
      </c>
      <c r="EU37" s="5">
        <v>0.12545714338080274</v>
      </c>
      <c r="EV37" s="5">
        <v>9.842315139926068E-2</v>
      </c>
      <c r="EW37" s="5">
        <v>0.19722605412922908</v>
      </c>
      <c r="EX37" s="5">
        <v>0.18599734346141225</v>
      </c>
      <c r="EY37" s="5">
        <v>0.19831562079315504</v>
      </c>
      <c r="EZ37" s="5">
        <v>0.19297776908288666</v>
      </c>
      <c r="FA37" s="5">
        <v>0.17916409443453421</v>
      </c>
      <c r="FB37" s="5">
        <v>0.16886274135754903</v>
      </c>
      <c r="FC37" s="5">
        <v>0.15562964914910238</v>
      </c>
      <c r="FD37" s="4">
        <v>0.15230850897421205</v>
      </c>
      <c r="FE37" s="5">
        <v>0.16502108325612022</v>
      </c>
      <c r="FF37" s="5">
        <v>0.16869169955252697</v>
      </c>
      <c r="FG37" s="5">
        <v>0.11389373576643869</v>
      </c>
      <c r="FH37" s="5">
        <v>8.0242501399027957E-2</v>
      </c>
      <c r="FI37" s="5">
        <v>9.7137603696085859E-2</v>
      </c>
      <c r="FJ37" s="5">
        <v>9.2180871640420908E-2</v>
      </c>
      <c r="FK37" s="5">
        <v>0.10350524294744171</v>
      </c>
      <c r="FL37" s="5">
        <v>0.1321897707243308</v>
      </c>
      <c r="FM37" s="5">
        <v>0.1282202449795749</v>
      </c>
      <c r="FN37" s="5">
        <v>0.13015002527662403</v>
      </c>
      <c r="FO37" s="5">
        <v>0.15602978522010388</v>
      </c>
      <c r="FP37" s="5">
        <v>0.14533899075109083</v>
      </c>
      <c r="FZ37" s="3" t="s">
        <v>308</v>
      </c>
      <c r="GA37" s="5">
        <v>0.51601842581520008</v>
      </c>
      <c r="GB37" s="5">
        <v>0.51328714154778987</v>
      </c>
      <c r="GC37" s="5">
        <v>0.52968974888746145</v>
      </c>
      <c r="GD37" s="5">
        <v>0.53813059805622809</v>
      </c>
      <c r="GE37" s="5">
        <v>0.55528949650824866</v>
      </c>
      <c r="GF37" s="5">
        <v>0.55788362411058712</v>
      </c>
      <c r="GG37" s="5">
        <v>0.54659603110545751</v>
      </c>
      <c r="GH37" s="5">
        <v>0.54142755901142536</v>
      </c>
      <c r="GI37" s="5">
        <v>0.54921223236603678</v>
      </c>
      <c r="GJ37" s="5">
        <v>0.55369927405752906</v>
      </c>
      <c r="GK37" s="5">
        <v>0.4955862715516352</v>
      </c>
      <c r="GL37" s="4">
        <v>0.49603817447924664</v>
      </c>
      <c r="GM37" s="5">
        <v>0.50843005537293506</v>
      </c>
      <c r="GN37" s="5">
        <v>0.50542761990259277</v>
      </c>
      <c r="GO37" s="5">
        <v>0.49090516435236653</v>
      </c>
      <c r="GP37" s="5">
        <v>0.48881628453573772</v>
      </c>
      <c r="GQ37" s="5">
        <v>0.48422728421430838</v>
      </c>
      <c r="GR37" s="5">
        <v>0.46369027508208199</v>
      </c>
      <c r="GS37" s="5">
        <v>0.47297119577929364</v>
      </c>
      <c r="GT37" s="5">
        <v>0.48641300822828271</v>
      </c>
      <c r="GU37" s="5">
        <v>0.26066954888988969</v>
      </c>
      <c r="GV37" s="4">
        <v>0.25663616910703424</v>
      </c>
      <c r="GW37" s="5">
        <v>0.25319123008128391</v>
      </c>
      <c r="GX37" s="5">
        <v>0.2617914309286718</v>
      </c>
      <c r="GY37" s="5">
        <v>0.29617724508742177</v>
      </c>
      <c r="GZ37" s="5">
        <v>0.32947684075704886</v>
      </c>
      <c r="HA37" s="5">
        <v>0.34485240147265278</v>
      </c>
      <c r="HB37" s="5">
        <v>0.32252870612477919</v>
      </c>
      <c r="HC37" s="5">
        <v>0.29970894445026813</v>
      </c>
      <c r="HD37" s="5">
        <v>0.27329566625983959</v>
      </c>
      <c r="HE37" s="5">
        <v>0.39568535601656279</v>
      </c>
      <c r="HF37" s="5">
        <v>0.42170435450090726</v>
      </c>
      <c r="HG37" s="4">
        <v>0.42571321500195353</v>
      </c>
      <c r="HH37" s="5">
        <v>0.42495234009086169</v>
      </c>
      <c r="HI37" s="5">
        <v>0.42819771015175118</v>
      </c>
      <c r="HJ37" s="5">
        <v>0.42379774814635907</v>
      </c>
      <c r="HK37" s="5">
        <v>0.41664428133284453</v>
      </c>
      <c r="HL37" s="5">
        <v>0.40970428962155431</v>
      </c>
      <c r="HM37" s="5">
        <v>0.39870107956054934</v>
      </c>
      <c r="HN37" s="5">
        <v>0.38508444953784504</v>
      </c>
      <c r="HP37" s="3" t="s">
        <v>294</v>
      </c>
      <c r="HQ37" s="3" t="s">
        <v>140</v>
      </c>
      <c r="HR37" s="3" t="s">
        <v>141</v>
      </c>
      <c r="HS37" s="5">
        <v>0.67113799807774177</v>
      </c>
    </row>
    <row r="38" spans="2:227" x14ac:dyDescent="0.45">
      <c r="B38" s="6" t="s">
        <v>309</v>
      </c>
      <c r="C38" s="6" t="s">
        <v>131</v>
      </c>
      <c r="D38" s="8">
        <v>0.22048103094049751</v>
      </c>
      <c r="E38" s="8">
        <v>0.21777633860496437</v>
      </c>
      <c r="F38" s="8">
        <v>0.21197243621856693</v>
      </c>
      <c r="G38" s="8">
        <v>0.21710616653355416</v>
      </c>
      <c r="H38" s="8">
        <v>0.21780597623039552</v>
      </c>
      <c r="I38" s="8">
        <v>0.21637987547727991</v>
      </c>
      <c r="J38" s="8">
        <v>0.22225498917596861</v>
      </c>
      <c r="K38" s="8">
        <v>0.22012256413879613</v>
      </c>
      <c r="L38" s="8">
        <v>0.2221420037446856</v>
      </c>
      <c r="M38" s="8">
        <v>0.21580288060256633</v>
      </c>
      <c r="N38" s="8">
        <v>0.2255138986020441</v>
      </c>
      <c r="O38" s="8">
        <v>0.22240417916905356</v>
      </c>
      <c r="P38" s="8">
        <v>0.23290753086744198</v>
      </c>
      <c r="Q38" s="8">
        <v>0.25120076789967749</v>
      </c>
      <c r="R38" s="8">
        <v>0.24825506883149359</v>
      </c>
      <c r="S38" s="8">
        <v>0.23895001025536886</v>
      </c>
      <c r="T38" s="8">
        <v>0.23574719928116558</v>
      </c>
      <c r="U38" s="8">
        <v>0.23407408738777197</v>
      </c>
      <c r="V38" s="8">
        <v>0.2334291154062027</v>
      </c>
      <c r="W38" s="8">
        <v>0.2295796391494882</v>
      </c>
      <c r="X38" s="8">
        <v>0.30646766263585962</v>
      </c>
      <c r="Y38" s="8">
        <v>0.31502943690000024</v>
      </c>
      <c r="Z38" s="8">
        <v>0.31909364673583884</v>
      </c>
      <c r="AA38" s="8">
        <v>0.3497135713277878</v>
      </c>
      <c r="AB38" s="8">
        <v>0.34445670579510479</v>
      </c>
      <c r="AC38" s="8">
        <v>0.32851872598267434</v>
      </c>
      <c r="AD38" s="8">
        <v>0.31449428285102543</v>
      </c>
      <c r="AE38" s="8">
        <v>0.29872966279816371</v>
      </c>
      <c r="AF38" s="8">
        <v>0.28582316802264934</v>
      </c>
      <c r="AG38" s="8">
        <v>0.29205182099658938</v>
      </c>
      <c r="AH38" s="8">
        <v>0.26957583713341937</v>
      </c>
      <c r="AI38" s="8">
        <v>0.25860825483951488</v>
      </c>
      <c r="AJ38" s="8">
        <v>0.25684150113400978</v>
      </c>
      <c r="AK38" s="8">
        <v>0.27320765724494361</v>
      </c>
      <c r="AL38" s="8">
        <v>0.28155130033477982</v>
      </c>
      <c r="AM38" s="8">
        <v>0.28085423562071893</v>
      </c>
      <c r="AN38" s="8">
        <v>0.26816387765118765</v>
      </c>
      <c r="AO38" s="8">
        <v>0.2606022913827119</v>
      </c>
      <c r="AP38" s="8">
        <v>0.26172780293244469</v>
      </c>
      <c r="AQ38" s="8">
        <v>0.27829974591691764</v>
      </c>
      <c r="AS38" s="6" t="s">
        <v>309</v>
      </c>
      <c r="AT38" s="6" t="s">
        <v>132</v>
      </c>
      <c r="AU38" s="8">
        <v>1.2147764292722763E-2</v>
      </c>
      <c r="AV38" s="8">
        <v>1.5108274048127189E-2</v>
      </c>
      <c r="AW38" s="8">
        <v>1.8383421313028264E-2</v>
      </c>
      <c r="AX38" s="8">
        <v>1.6914244123886903E-2</v>
      </c>
      <c r="AY38" s="8">
        <v>2.1028421721138255E-2</v>
      </c>
      <c r="AZ38" s="8">
        <v>2.1068499877390307E-2</v>
      </c>
      <c r="BA38" s="8">
        <v>1.3915096899957909E-2</v>
      </c>
      <c r="BB38" s="8">
        <v>6.465633477714487E-3</v>
      </c>
      <c r="BC38" s="8">
        <v>3.5090419220524774E-3</v>
      </c>
      <c r="BD38" s="8">
        <v>6.3958894237268081E-3</v>
      </c>
      <c r="BE38" s="8">
        <v>1.3940308445527213E-2</v>
      </c>
      <c r="BF38" s="8">
        <v>7.0794332341712488E-3</v>
      </c>
      <c r="BG38" s="8">
        <v>9.4899917982344522E-3</v>
      </c>
      <c r="BH38" s="8">
        <v>1.2124715351745386E-2</v>
      </c>
      <c r="BI38" s="8">
        <v>8.1595128999139652E-3</v>
      </c>
      <c r="BJ38" s="8">
        <v>5.4102829336114596E-3</v>
      </c>
      <c r="BK38" s="8">
        <v>3.988834080552027E-3</v>
      </c>
      <c r="BL38" s="7">
        <v>6.1021584134289333E-3</v>
      </c>
      <c r="BM38" s="8">
        <v>1.1458127527168658E-2</v>
      </c>
      <c r="BN38" s="8">
        <v>1.9971499495096752E-2</v>
      </c>
      <c r="BO38" s="8">
        <v>1.3658387887497965E-2</v>
      </c>
      <c r="BP38" s="8">
        <v>2.2621997869232344E-2</v>
      </c>
      <c r="BQ38" s="8">
        <v>3.1078488091257992E-2</v>
      </c>
      <c r="BR38" s="8">
        <v>4.6141182251595213E-2</v>
      </c>
      <c r="BS38" s="8">
        <v>2.9026843572978411E-2</v>
      </c>
      <c r="BT38" s="8">
        <v>1.9248275412029121E-2</v>
      </c>
      <c r="BU38" s="8">
        <v>2.7339792415261011E-2</v>
      </c>
      <c r="BV38" s="8">
        <v>1.5130511927138907E-2</v>
      </c>
      <c r="BW38" s="8">
        <v>7.2527830189433873E-3</v>
      </c>
      <c r="BX38" s="8">
        <v>1.2150574852899254E-2</v>
      </c>
      <c r="BY38" s="8">
        <v>2.4448175080221537E-2</v>
      </c>
      <c r="BZ38" s="8">
        <v>3.5108954650157599E-2</v>
      </c>
      <c r="CA38" s="8">
        <v>1.9647791831375588E-2</v>
      </c>
      <c r="CB38" s="8">
        <v>2.1192387378898371E-2</v>
      </c>
      <c r="CC38" s="8">
        <v>1.6806245537389453E-2</v>
      </c>
      <c r="CD38" s="8">
        <v>1.1184966776713434E-2</v>
      </c>
      <c r="CE38" s="8">
        <v>1.3285212970268667E-2</v>
      </c>
      <c r="CF38" s="8">
        <v>1.8630202856607853E-2</v>
      </c>
      <c r="CG38" s="8">
        <v>1.4942416978838932E-2</v>
      </c>
      <c r="CH38" s="8">
        <v>1.1533641123787757E-2</v>
      </c>
      <c r="CJ38" s="6" t="s">
        <v>309</v>
      </c>
      <c r="CK38" s="6" t="s">
        <v>133</v>
      </c>
      <c r="CL38" s="8">
        <v>5.0758828468201681E-3</v>
      </c>
      <c r="CM38" s="8">
        <v>1.6785186048415838E-2</v>
      </c>
      <c r="CN38" s="8">
        <v>1.0535297374240901E-2</v>
      </c>
      <c r="CO38" s="8">
        <v>1.4111936702608284E-2</v>
      </c>
      <c r="CP38" s="8">
        <v>1.3337866918584353E-2</v>
      </c>
      <c r="CQ38" s="8">
        <v>1.4857804945869644E-2</v>
      </c>
      <c r="CR38" s="8">
        <v>2.2278638508084776E-2</v>
      </c>
      <c r="CS38" s="8">
        <v>2.552327445138039E-2</v>
      </c>
      <c r="CT38" s="8">
        <v>1.9972544471425997E-2</v>
      </c>
      <c r="CU38" s="8">
        <v>1.0337961102704246E-2</v>
      </c>
      <c r="CV38" s="8">
        <v>1.9220473599380356E-2</v>
      </c>
      <c r="CW38" s="8">
        <v>2.0778139331247589E-2</v>
      </c>
      <c r="CX38" s="8">
        <v>1.3564137414517544E-2</v>
      </c>
      <c r="CY38" s="8">
        <v>1.1603397243023485E-2</v>
      </c>
      <c r="CZ38" s="8">
        <v>1.5146567608093181E-2</v>
      </c>
      <c r="DA38" s="8">
        <v>1.9591778386966189E-2</v>
      </c>
      <c r="DB38" s="8">
        <v>1.3516938348620968E-2</v>
      </c>
      <c r="DC38" s="8">
        <v>1.113002042624428E-2</v>
      </c>
      <c r="DD38" s="8">
        <v>4.8873599893976237E-3</v>
      </c>
      <c r="DE38" s="8">
        <v>1.0755734555315824E-2</v>
      </c>
      <c r="DF38" s="8">
        <v>2.266247589710732E-2</v>
      </c>
      <c r="DG38" s="8">
        <v>1.7524941927538843E-2</v>
      </c>
      <c r="DH38" s="8">
        <v>1.7737111415774654E-2</v>
      </c>
      <c r="DI38" s="8">
        <v>3.1769998241817282E-2</v>
      </c>
      <c r="DJ38" s="7">
        <v>3.1857335593584488E-2</v>
      </c>
      <c r="DK38" s="8">
        <v>4.4536721047012513E-2</v>
      </c>
      <c r="DL38" s="8">
        <v>1.8137398255441646E-2</v>
      </c>
      <c r="DM38" s="8">
        <v>1.6470101379603343E-2</v>
      </c>
      <c r="DN38" s="8">
        <v>2.2260210580533655E-2</v>
      </c>
      <c r="DO38" s="8">
        <v>2.2063922121391886E-2</v>
      </c>
      <c r="DP38" s="8">
        <v>1.7077825107062967E-2</v>
      </c>
      <c r="DQ38" s="8">
        <v>2.2616853571368372E-2</v>
      </c>
      <c r="DR38" s="8">
        <v>3.0834250064715098E-2</v>
      </c>
      <c r="DS38" s="8">
        <v>3.4225931304552454E-2</v>
      </c>
      <c r="DT38" s="8">
        <v>2.4094756056909514E-2</v>
      </c>
      <c r="DU38" s="8">
        <v>2.0911726487988443E-2</v>
      </c>
      <c r="DV38" s="8">
        <v>2.3166304165128569E-2</v>
      </c>
      <c r="DW38" s="8">
        <v>1.7929295197515623E-2</v>
      </c>
      <c r="DX38" s="8">
        <v>1.4613235520028422E-2</v>
      </c>
      <c r="DY38" s="8">
        <v>2.5010858157317756E-2</v>
      </c>
      <c r="EA38" s="6" t="s">
        <v>309</v>
      </c>
      <c r="EB38" s="6" t="s">
        <v>134</v>
      </c>
      <c r="EC38" s="8">
        <v>9.1660440484719274E-2</v>
      </c>
      <c r="ED38" s="8">
        <v>7.5141898670509785E-2</v>
      </c>
      <c r="EE38" s="8">
        <v>7.8987465499110524E-2</v>
      </c>
      <c r="EF38" s="8">
        <v>7.5276553504540558E-2</v>
      </c>
      <c r="EG38" s="8">
        <v>6.6064559042625537E-2</v>
      </c>
      <c r="EH38" s="8">
        <v>6.2022543762525188E-2</v>
      </c>
      <c r="EI38" s="8">
        <v>6.1972737786807681E-2</v>
      </c>
      <c r="EJ38" s="8">
        <v>6.7690434691625223E-2</v>
      </c>
      <c r="EK38" s="8">
        <v>7.9745674128324298E-2</v>
      </c>
      <c r="EL38" s="8">
        <v>7.7414099186734586E-2</v>
      </c>
      <c r="EM38" s="8">
        <v>7.3616537316528605E-2</v>
      </c>
      <c r="EN38" s="8">
        <v>7.941834353045614E-2</v>
      </c>
      <c r="EO38" s="8">
        <v>8.7091401630241178E-2</v>
      </c>
      <c r="EP38" s="8">
        <v>9.5171243293276267E-2</v>
      </c>
      <c r="EQ38" s="8">
        <v>0.10620624601657258</v>
      </c>
      <c r="ER38" s="8">
        <v>0.10587978975032131</v>
      </c>
      <c r="ES38" s="8">
        <v>0.11275748859739664</v>
      </c>
      <c r="ET38" s="8">
        <v>0.11185139190528444</v>
      </c>
      <c r="EU38" s="8">
        <v>0.10515304482578282</v>
      </c>
      <c r="EV38" s="8">
        <v>8.4057631783849146E-2</v>
      </c>
      <c r="EW38" s="8">
        <v>0.15410949405035776</v>
      </c>
      <c r="EX38" s="8">
        <v>0.14811890935738733</v>
      </c>
      <c r="EY38" s="8">
        <v>0.14851262591352901</v>
      </c>
      <c r="EZ38" s="8">
        <v>0.15488377422143057</v>
      </c>
      <c r="FA38" s="8">
        <v>0.16189055223682916</v>
      </c>
      <c r="FB38" s="8">
        <v>0.14051563134209863</v>
      </c>
      <c r="FC38" s="8">
        <v>0.14102271902934507</v>
      </c>
      <c r="FD38" s="7">
        <v>0.14148137264098351</v>
      </c>
      <c r="FE38" s="8">
        <v>0.14284952629063266</v>
      </c>
      <c r="FF38" s="8">
        <v>0.15214577940654214</v>
      </c>
      <c r="FG38" s="8">
        <v>0.11306204065780302</v>
      </c>
      <c r="FH38" s="8">
        <v>9.3733554820706971E-2</v>
      </c>
      <c r="FI38" s="8">
        <v>9.2393901878960433E-2</v>
      </c>
      <c r="FJ38" s="8">
        <v>9.6590633517751281E-2</v>
      </c>
      <c r="FK38" s="8">
        <v>0.10920625615959083</v>
      </c>
      <c r="FL38" s="8">
        <v>0.11766515694998501</v>
      </c>
      <c r="FM38" s="8">
        <v>0.10450473301661711</v>
      </c>
      <c r="FN38" s="8">
        <v>0.10540721943212908</v>
      </c>
      <c r="FO38" s="8">
        <v>0.10830044706367602</v>
      </c>
      <c r="FP38" s="8">
        <v>0.11664729941149253</v>
      </c>
      <c r="FZ38" s="6" t="s">
        <v>309</v>
      </c>
      <c r="GA38" s="8">
        <v>0.65865231945571501</v>
      </c>
      <c r="GB38" s="8">
        <v>0.65967230562368462</v>
      </c>
      <c r="GC38" s="8">
        <v>0.66194363416252289</v>
      </c>
      <c r="GD38" s="8">
        <v>0.66195209055812165</v>
      </c>
      <c r="GE38" s="8">
        <v>0.67591208641273615</v>
      </c>
      <c r="GF38" s="8">
        <v>0.68361810184059302</v>
      </c>
      <c r="GG38" s="8">
        <v>0.68689763805829063</v>
      </c>
      <c r="GH38" s="8">
        <v>0.6829838176347065</v>
      </c>
      <c r="GI38" s="8">
        <v>0.67904417309070797</v>
      </c>
      <c r="GJ38" s="8">
        <v>0.6904949379106341</v>
      </c>
      <c r="GK38" s="8">
        <v>0.64979473338532523</v>
      </c>
      <c r="GL38" s="7">
        <v>0.66025868864914183</v>
      </c>
      <c r="GM38" s="8">
        <v>0.65311670560904667</v>
      </c>
      <c r="GN38" s="8">
        <v>0.62611508062432863</v>
      </c>
      <c r="GO38" s="8">
        <v>0.60235130423491812</v>
      </c>
      <c r="GP38" s="8">
        <v>0.59006351401631152</v>
      </c>
      <c r="GQ38" s="8">
        <v>0.58769257586872503</v>
      </c>
      <c r="GR38" s="8">
        <v>0.59315631685284387</v>
      </c>
      <c r="GS38" s="8">
        <v>0.61070160143369223</v>
      </c>
      <c r="GT38" s="8">
        <v>0.62789651990697382</v>
      </c>
      <c r="GU38" s="8">
        <v>0.41339334304278103</v>
      </c>
      <c r="GV38" s="7">
        <v>0.39876523651782636</v>
      </c>
      <c r="GW38" s="8">
        <v>0.39275073139521938</v>
      </c>
      <c r="GX38" s="8">
        <v>0.37731078267217022</v>
      </c>
      <c r="GY38" s="8">
        <v>0.39688630835624628</v>
      </c>
      <c r="GZ38" s="8">
        <v>0.43475881069760297</v>
      </c>
      <c r="HA38" s="8">
        <v>0.46965078451529385</v>
      </c>
      <c r="HB38" s="8">
        <v>0.48085322159563776</v>
      </c>
      <c r="HC38" s="8">
        <v>0.47186806226500483</v>
      </c>
      <c r="HD38" s="8">
        <v>0.44162996273041061</v>
      </c>
      <c r="HE38" s="8">
        <v>0.5378265549578346</v>
      </c>
      <c r="HF38" s="8">
        <v>0.55442196341518146</v>
      </c>
      <c r="HG38" s="7">
        <v>0.57101248637229962</v>
      </c>
      <c r="HH38" s="8">
        <v>0.56540459745352345</v>
      </c>
      <c r="HI38" s="8">
        <v>0.56173465591338945</v>
      </c>
      <c r="HJ38" s="8">
        <v>0.5620861451442356</v>
      </c>
      <c r="HK38" s="8">
        <v>0.57594492723698165</v>
      </c>
      <c r="HL38" s="8">
        <v>0.57275149219101751</v>
      </c>
      <c r="HM38" s="8">
        <v>0.55934970911726101</v>
      </c>
      <c r="HN38" s="8">
        <v>0.53303039148583875</v>
      </c>
      <c r="HP38" s="6" t="s">
        <v>296</v>
      </c>
      <c r="HQ38" s="6" t="s">
        <v>140</v>
      </c>
      <c r="HR38" s="6" t="s">
        <v>141</v>
      </c>
      <c r="HS38" s="8">
        <v>0.55323758033204773</v>
      </c>
    </row>
    <row r="39" spans="2:227" x14ac:dyDescent="0.45">
      <c r="B39" s="3" t="s">
        <v>283</v>
      </c>
      <c r="C39" s="3" t="s">
        <v>131</v>
      </c>
      <c r="D39" s="5">
        <v>0.30662270338039399</v>
      </c>
      <c r="E39" s="5">
        <v>0.30985215006430844</v>
      </c>
      <c r="F39" s="5">
        <v>0.3084385911814404</v>
      </c>
      <c r="G39" s="5">
        <v>0.29998508548912456</v>
      </c>
      <c r="H39" s="5">
        <v>0.30274023747229578</v>
      </c>
      <c r="I39" s="5">
        <v>0.28130316467871813</v>
      </c>
      <c r="J39" s="5">
        <v>0.27553286759051998</v>
      </c>
      <c r="K39" s="5">
        <v>0.2805430570892653</v>
      </c>
      <c r="L39" s="5">
        <v>0.28629398264483163</v>
      </c>
      <c r="M39" s="5">
        <v>0.29184980852253478</v>
      </c>
      <c r="N39" s="5">
        <v>0.28668589604715217</v>
      </c>
      <c r="O39" s="5">
        <v>0.28571357874543102</v>
      </c>
      <c r="P39" s="5">
        <v>0.28960617791715942</v>
      </c>
      <c r="Q39" s="5">
        <v>0.2766673998822699</v>
      </c>
      <c r="R39" s="5">
        <v>0.27945588686611678</v>
      </c>
      <c r="S39" s="5">
        <v>0.27337509613516309</v>
      </c>
      <c r="T39" s="5">
        <v>0.25829136339425335</v>
      </c>
      <c r="U39" s="5">
        <v>0.2532913127174255</v>
      </c>
      <c r="V39" s="5">
        <v>0.26579337366084693</v>
      </c>
      <c r="W39" s="5">
        <v>0.26337515668823652</v>
      </c>
      <c r="X39" s="5">
        <v>0.40781127653037019</v>
      </c>
      <c r="Y39" s="5">
        <v>0.41249293614597737</v>
      </c>
      <c r="Z39" s="5">
        <v>0.40785245240441981</v>
      </c>
      <c r="AA39" s="5">
        <v>0.41575298692354518</v>
      </c>
      <c r="AB39" s="5">
        <v>0.39817736920755564</v>
      </c>
      <c r="AC39" s="5">
        <v>0.36014932817520995</v>
      </c>
      <c r="AD39" s="5">
        <v>0.3413414073733167</v>
      </c>
      <c r="AE39" s="5">
        <v>0.32520301517013872</v>
      </c>
      <c r="AF39" s="5">
        <v>0.32850842224947757</v>
      </c>
      <c r="AG39" s="5">
        <v>0.34950143198133377</v>
      </c>
      <c r="AH39" s="5">
        <v>0.32870596420434389</v>
      </c>
      <c r="AI39" s="5">
        <v>0.33933254692846559</v>
      </c>
      <c r="AJ39" s="5">
        <v>0.3413438405221475</v>
      </c>
      <c r="AK39" s="5">
        <v>0.34942050502604122</v>
      </c>
      <c r="AL39" s="5">
        <v>0.35681723110858626</v>
      </c>
      <c r="AM39" s="5">
        <v>0.33465367887731889</v>
      </c>
      <c r="AN39" s="5">
        <v>0.32104211096280005</v>
      </c>
      <c r="AO39" s="5">
        <v>0.32490232151273923</v>
      </c>
      <c r="AP39" s="5">
        <v>0.32587852398740091</v>
      </c>
      <c r="AQ39" s="5">
        <v>0.33864956116066702</v>
      </c>
      <c r="AS39" s="3" t="s">
        <v>283</v>
      </c>
      <c r="AT39" s="3" t="s">
        <v>132</v>
      </c>
      <c r="AU39" s="5">
        <v>2.8655308744274289E-2</v>
      </c>
      <c r="AV39" s="5">
        <v>2.3156099980278868E-2</v>
      </c>
      <c r="AW39" s="5">
        <v>1.9073082151577051E-2</v>
      </c>
      <c r="AX39" s="5">
        <v>1.8434238879584869E-2</v>
      </c>
      <c r="AY39" s="5">
        <v>2.4651661522718946E-2</v>
      </c>
      <c r="AZ39" s="5">
        <v>3.3141460003392763E-2</v>
      </c>
      <c r="BA39" s="5">
        <v>3.1468797919629352E-2</v>
      </c>
      <c r="BB39" s="5">
        <v>2.5774887316750698E-2</v>
      </c>
      <c r="BC39" s="5">
        <v>2.6297149135592168E-2</v>
      </c>
      <c r="BD39" s="5">
        <v>2.1297910795341862E-2</v>
      </c>
      <c r="BE39" s="5">
        <v>2.9268849574621267E-2</v>
      </c>
      <c r="BF39" s="5">
        <v>6.9099080470611876E-3</v>
      </c>
      <c r="BG39" s="5">
        <v>1.8891768248333003E-2</v>
      </c>
      <c r="BH39" s="5">
        <v>2.5818467909137201E-2</v>
      </c>
      <c r="BI39" s="5">
        <v>2.030034507198621E-2</v>
      </c>
      <c r="BJ39" s="5">
        <v>1.158109435195233E-2</v>
      </c>
      <c r="BK39" s="5">
        <v>3.5605353200387308E-3</v>
      </c>
      <c r="BL39" s="4">
        <v>1.1404384551028501E-2</v>
      </c>
      <c r="BM39" s="5">
        <v>9.4758123809957576E-3</v>
      </c>
      <c r="BN39" s="5">
        <v>1.0136600748125162E-2</v>
      </c>
      <c r="BO39" s="5">
        <v>5.8030651022425779E-2</v>
      </c>
      <c r="BP39" s="5">
        <v>2.5907209321281092E-2</v>
      </c>
      <c r="BQ39" s="5">
        <v>1.6619939731157374E-2</v>
      </c>
      <c r="BR39" s="5">
        <v>2.9528601120261209E-2</v>
      </c>
      <c r="BS39" s="5">
        <v>5.5968227408951701E-2</v>
      </c>
      <c r="BT39" s="5">
        <v>3.4943587867426643E-2</v>
      </c>
      <c r="BU39" s="5">
        <v>1.8042415828366024E-2</v>
      </c>
      <c r="BV39" s="5">
        <v>2.6656046420486489E-2</v>
      </c>
      <c r="BW39" s="5">
        <v>2.1604992355677453E-2</v>
      </c>
      <c r="BX39" s="5">
        <v>1.7422568842283995E-2</v>
      </c>
      <c r="BY39" s="5">
        <v>4.6468647325615654E-2</v>
      </c>
      <c r="BZ39" s="5">
        <v>5.9796814358417001E-2</v>
      </c>
      <c r="CA39" s="5">
        <v>3.4902173472621249E-2</v>
      </c>
      <c r="CB39" s="5">
        <v>4.4809815477486824E-2</v>
      </c>
      <c r="CC39" s="5">
        <v>5.01688100006576E-2</v>
      </c>
      <c r="CD39" s="5">
        <v>2.1123989941715094E-2</v>
      </c>
      <c r="CE39" s="5">
        <v>2.5867663421584183E-2</v>
      </c>
      <c r="CF39" s="5">
        <v>2.1996551693473827E-2</v>
      </c>
      <c r="CG39" s="5">
        <v>1.145395512937622E-2</v>
      </c>
      <c r="CH39" s="5">
        <v>1.8976772991890278E-2</v>
      </c>
      <c r="CJ39" s="3" t="s">
        <v>283</v>
      </c>
      <c r="CK39" s="3" t="s">
        <v>133</v>
      </c>
      <c r="CL39" s="5">
        <v>1.9410051673354498E-2</v>
      </c>
      <c r="CM39" s="5">
        <v>3.1372370359353606E-2</v>
      </c>
      <c r="CN39" s="5">
        <v>3.4324419832231251E-2</v>
      </c>
      <c r="CO39" s="5">
        <v>2.1817648443198476E-2</v>
      </c>
      <c r="CP39" s="5">
        <v>2.5101004303864319E-2</v>
      </c>
      <c r="CQ39" s="5">
        <v>1.0273482893939066E-2</v>
      </c>
      <c r="CR39" s="5">
        <v>1.853475980448694E-2</v>
      </c>
      <c r="CS39" s="5">
        <v>4.0924632311425145E-2</v>
      </c>
      <c r="CT39" s="5">
        <v>4.7894725478596613E-2</v>
      </c>
      <c r="CU39" s="5">
        <v>2.5324600021704665E-2</v>
      </c>
      <c r="CV39" s="5">
        <v>2.0639658535333203E-2</v>
      </c>
      <c r="CW39" s="5">
        <v>5.4202174073494348E-2</v>
      </c>
      <c r="CX39" s="5">
        <v>3.4088075113973056E-2</v>
      </c>
      <c r="CY39" s="5">
        <v>1.6501763695694834E-2</v>
      </c>
      <c r="CZ39" s="5">
        <v>2.3653192649322898E-2</v>
      </c>
      <c r="DA39" s="5">
        <v>3.1040673989438296E-2</v>
      </c>
      <c r="DB39" s="5">
        <v>2.7173565181812652E-2</v>
      </c>
      <c r="DC39" s="5">
        <v>1.423433645187281E-2</v>
      </c>
      <c r="DD39" s="5">
        <v>1.4968990516362657E-2</v>
      </c>
      <c r="DE39" s="5">
        <v>8.4217034469558066E-3</v>
      </c>
      <c r="DF39" s="5">
        <v>4.0772409867372288E-2</v>
      </c>
      <c r="DG39" s="5">
        <v>6.9306344115956264E-2</v>
      </c>
      <c r="DH39" s="5">
        <v>8.6230266383848453E-2</v>
      </c>
      <c r="DI39" s="5">
        <v>4.8439916904544036E-2</v>
      </c>
      <c r="DJ39" s="4">
        <v>3.4799347492511526E-2</v>
      </c>
      <c r="DK39" s="5">
        <v>4.0358649965771654E-2</v>
      </c>
      <c r="DL39" s="5">
        <v>5.565873142862153E-2</v>
      </c>
      <c r="DM39" s="5">
        <v>4.2756423125358871E-2</v>
      </c>
      <c r="DN39" s="5">
        <v>1.9775739013209333E-2</v>
      </c>
      <c r="DO39" s="5">
        <v>4.1940848782561026E-2</v>
      </c>
      <c r="DP39" s="5">
        <v>3.4633609994238618E-2</v>
      </c>
      <c r="DQ39" s="5">
        <v>5.2660644109965404E-2</v>
      </c>
      <c r="DR39" s="5">
        <v>8.5250755320603847E-2</v>
      </c>
      <c r="DS39" s="5">
        <v>7.4773216340637383E-2</v>
      </c>
      <c r="DT39" s="5">
        <v>5.3322014354828577E-2</v>
      </c>
      <c r="DU39" s="5">
        <v>4.5501033486840668E-2</v>
      </c>
      <c r="DV39" s="5">
        <v>5.3039996935165257E-2</v>
      </c>
      <c r="DW39" s="5">
        <v>4.4099572436702816E-2</v>
      </c>
      <c r="DX39" s="5">
        <v>3.9173657471989379E-2</v>
      </c>
      <c r="DY39" s="5">
        <v>2.7058108895066994E-2</v>
      </c>
      <c r="EA39" s="3" t="s">
        <v>283</v>
      </c>
      <c r="EB39" s="3" t="s">
        <v>134</v>
      </c>
      <c r="EC39" s="5">
        <v>0.13690497978785923</v>
      </c>
      <c r="ED39" s="5">
        <v>0.13495802122853623</v>
      </c>
      <c r="EE39" s="5">
        <v>0.13009873834311719</v>
      </c>
      <c r="EF39" s="5">
        <v>0.13680190350674445</v>
      </c>
      <c r="EG39" s="5">
        <v>0.10766641788569668</v>
      </c>
      <c r="EH39" s="5">
        <v>0.10516394988903385</v>
      </c>
      <c r="EI39" s="5">
        <v>9.7691821457303166E-2</v>
      </c>
      <c r="EJ39" s="5">
        <v>8.6435277701729207E-2</v>
      </c>
      <c r="EK39" s="5">
        <v>8.3607096472481351E-2</v>
      </c>
      <c r="EL39" s="5">
        <v>0.1217366159855436</v>
      </c>
      <c r="EM39" s="5">
        <v>0.12513728394406154</v>
      </c>
      <c r="EN39" s="5">
        <v>0.11237454642327084</v>
      </c>
      <c r="EO39" s="5">
        <v>0.12328145222212401</v>
      </c>
      <c r="EP39" s="5">
        <v>0.12759190558238231</v>
      </c>
      <c r="EQ39" s="5">
        <v>0.12069075075678912</v>
      </c>
      <c r="ER39" s="5">
        <v>0.11732629636690611</v>
      </c>
      <c r="ES39" s="5">
        <v>0.11967650992548472</v>
      </c>
      <c r="ET39" s="5">
        <v>0.11842603467722915</v>
      </c>
      <c r="EU39" s="5">
        <v>0.13044268278167978</v>
      </c>
      <c r="EV39" s="5">
        <v>0.14192271581662916</v>
      </c>
      <c r="EW39" s="5">
        <v>0.18686889269741397</v>
      </c>
      <c r="EX39" s="5">
        <v>0.19781058729370721</v>
      </c>
      <c r="EY39" s="5">
        <v>0.18681398576625163</v>
      </c>
      <c r="EZ39" s="5">
        <v>0.20190475478793823</v>
      </c>
      <c r="FA39" s="5">
        <v>0.18753850594501387</v>
      </c>
      <c r="FB39" s="5">
        <v>0.17095003721721014</v>
      </c>
      <c r="FC39" s="5">
        <v>0.14747672985476082</v>
      </c>
      <c r="FD39" s="4">
        <v>0.15117731557199321</v>
      </c>
      <c r="FE39" s="5">
        <v>0.18675238214045747</v>
      </c>
      <c r="FF39" s="5">
        <v>0.18910249567628074</v>
      </c>
      <c r="FG39" s="5">
        <v>0.1389239003232772</v>
      </c>
      <c r="FH39" s="5">
        <v>0.11107932569809369</v>
      </c>
      <c r="FI39" s="5">
        <v>0.10509543672013963</v>
      </c>
      <c r="FJ39" s="5">
        <v>0.11541129319071954</v>
      </c>
      <c r="FK39" s="5">
        <v>0.12939447058589379</v>
      </c>
      <c r="FL39" s="5">
        <v>0.14555526123210946</v>
      </c>
      <c r="FM39" s="5">
        <v>0.12290735334817063</v>
      </c>
      <c r="FN39" s="5">
        <v>0.14130329509476924</v>
      </c>
      <c r="FO39" s="5">
        <v>0.15140565760675972</v>
      </c>
      <c r="FP39" s="5">
        <v>0.17412906123832084</v>
      </c>
      <c r="FZ39" s="3" t="s">
        <v>283</v>
      </c>
      <c r="GA39" s="5">
        <v>0.45718182327018841</v>
      </c>
      <c r="GB39" s="5">
        <v>0.46371591148070163</v>
      </c>
      <c r="GC39" s="5">
        <v>0.47581473377843697</v>
      </c>
      <c r="GD39" s="5">
        <v>0.49133322041792177</v>
      </c>
      <c r="GE39" s="5">
        <v>0.52218677562454507</v>
      </c>
      <c r="GF39" s="5">
        <v>0.55127869959946518</v>
      </c>
      <c r="GG39" s="5">
        <v>0.54732228215111212</v>
      </c>
      <c r="GH39" s="5">
        <v>0.52502494268636735</v>
      </c>
      <c r="GI39" s="5">
        <v>0.51636070073064833</v>
      </c>
      <c r="GJ39" s="5">
        <v>0.50276767265620748</v>
      </c>
      <c r="GK39" s="5">
        <v>0.42366361374784584</v>
      </c>
      <c r="GL39" s="4">
        <v>0.41282583769846143</v>
      </c>
      <c r="GM39" s="5">
        <v>0.41199039162703505</v>
      </c>
      <c r="GN39" s="5">
        <v>0.45293644223989837</v>
      </c>
      <c r="GO39" s="5">
        <v>0.47988307124646584</v>
      </c>
      <c r="GP39" s="5">
        <v>0.49669823564118298</v>
      </c>
      <c r="GQ39" s="5">
        <v>0.51073417674658983</v>
      </c>
      <c r="GR39" s="5">
        <v>0.51301349512853089</v>
      </c>
      <c r="GS39" s="5">
        <v>0.47987176693530509</v>
      </c>
      <c r="GT39" s="5">
        <v>0.44210847822503874</v>
      </c>
      <c r="GU39" s="5">
        <v>0.20772745512810575</v>
      </c>
      <c r="GV39" s="4">
        <v>0.20455545775653067</v>
      </c>
      <c r="GW39" s="5">
        <v>0.20599671455515225</v>
      </c>
      <c r="GX39" s="5">
        <v>0.2381839172752655</v>
      </c>
      <c r="GY39" s="5">
        <v>0.26514663171142078</v>
      </c>
      <c r="GZ39" s="5">
        <v>0.29304991002984182</v>
      </c>
      <c r="HA39" s="5">
        <v>0.30850962483394972</v>
      </c>
      <c r="HB39" s="5">
        <v>0.29861461930989247</v>
      </c>
      <c r="HC39" s="5">
        <v>0.2615213466848692</v>
      </c>
      <c r="HD39" s="5">
        <v>0.21079536073122415</v>
      </c>
      <c r="HE39" s="5">
        <v>0.30086413707717191</v>
      </c>
      <c r="HF39" s="5">
        <v>0.31167267387794267</v>
      </c>
      <c r="HG39" s="4">
        <v>0.32020622700360696</v>
      </c>
      <c r="HH39" s="5">
        <v>0.33177332143084359</v>
      </c>
      <c r="HI39" s="5">
        <v>0.35165603585531013</v>
      </c>
      <c r="HJ39" s="5">
        <v>0.37810954705883676</v>
      </c>
      <c r="HK39" s="5">
        <v>0.37395128579861431</v>
      </c>
      <c r="HL39" s="5">
        <v>0.35499225222444225</v>
      </c>
      <c r="HM39" s="5">
        <v>0.31356644553674773</v>
      </c>
      <c r="HN39" s="5">
        <v>0.28963322940217706</v>
      </c>
      <c r="HP39" s="3" t="s">
        <v>298</v>
      </c>
      <c r="HQ39" s="3" t="s">
        <v>140</v>
      </c>
      <c r="HR39" s="3" t="s">
        <v>141</v>
      </c>
      <c r="HS39" s="5">
        <v>0.73989917872158184</v>
      </c>
    </row>
    <row r="40" spans="2:227" x14ac:dyDescent="0.45">
      <c r="B40" s="6" t="s">
        <v>285</v>
      </c>
      <c r="C40" s="6" t="s">
        <v>131</v>
      </c>
      <c r="D40" s="8">
        <v>0.28298274626917319</v>
      </c>
      <c r="E40" s="8">
        <v>0.28748937361890398</v>
      </c>
      <c r="F40" s="8">
        <v>0.30049889961473125</v>
      </c>
      <c r="G40" s="8">
        <v>0.28459073740200347</v>
      </c>
      <c r="H40" s="8">
        <v>0.28402812119482795</v>
      </c>
      <c r="I40" s="8">
        <v>0.27911190069987291</v>
      </c>
      <c r="J40" s="8">
        <v>0.27502422839640811</v>
      </c>
      <c r="K40" s="8">
        <v>0.27719781726260134</v>
      </c>
      <c r="L40" s="8">
        <v>0.27602891200598106</v>
      </c>
      <c r="M40" s="8">
        <v>0.27218043398249525</v>
      </c>
      <c r="N40" s="8">
        <v>0.265186983699219</v>
      </c>
      <c r="O40" s="8">
        <v>0.26875752703661449</v>
      </c>
      <c r="P40" s="8">
        <v>0.26602380208303106</v>
      </c>
      <c r="Q40" s="8">
        <v>0.27283744492415657</v>
      </c>
      <c r="R40" s="8">
        <v>0.27457571562294814</v>
      </c>
      <c r="S40" s="8">
        <v>0.26392397718351235</v>
      </c>
      <c r="T40" s="8">
        <v>0.24952230888389693</v>
      </c>
      <c r="U40" s="8">
        <v>0.25140044949182327</v>
      </c>
      <c r="V40" s="8">
        <v>0.25851202897889769</v>
      </c>
      <c r="W40" s="8">
        <v>0.25070780974161033</v>
      </c>
      <c r="X40" s="8">
        <v>0.34646867604992782</v>
      </c>
      <c r="Y40" s="8">
        <v>0.37154955599494122</v>
      </c>
      <c r="Z40" s="8">
        <v>0.38642433570144546</v>
      </c>
      <c r="AA40" s="8">
        <v>0.40336832795719768</v>
      </c>
      <c r="AB40" s="8">
        <v>0.39298776832505827</v>
      </c>
      <c r="AC40" s="8">
        <v>0.36141852810760733</v>
      </c>
      <c r="AD40" s="8">
        <v>0.35125632620876118</v>
      </c>
      <c r="AE40" s="8">
        <v>0.34398621189672829</v>
      </c>
      <c r="AF40" s="8">
        <v>0.34034558709322854</v>
      </c>
      <c r="AG40" s="8">
        <v>0.33051017174378228</v>
      </c>
      <c r="AH40" s="8">
        <v>0.30421190752412353</v>
      </c>
      <c r="AI40" s="8">
        <v>0.30685154443603535</v>
      </c>
      <c r="AJ40" s="8">
        <v>0.3115310374778254</v>
      </c>
      <c r="AK40" s="8">
        <v>0.31645926208543829</v>
      </c>
      <c r="AL40" s="8">
        <v>0.33498706795348637</v>
      </c>
      <c r="AM40" s="8">
        <v>0.32962563568744291</v>
      </c>
      <c r="AN40" s="8">
        <v>0.31434627676805738</v>
      </c>
      <c r="AO40" s="8">
        <v>0.311863100616318</v>
      </c>
      <c r="AP40" s="8">
        <v>0.30401964303213375</v>
      </c>
      <c r="AQ40" s="8">
        <v>0.31328726352899977</v>
      </c>
      <c r="AS40" s="6" t="s">
        <v>285</v>
      </c>
      <c r="AT40" s="6" t="s">
        <v>132</v>
      </c>
      <c r="AU40" s="8">
        <v>1.8869245806909966E-2</v>
      </c>
      <c r="AV40" s="8">
        <v>2.1332050375619194E-2</v>
      </c>
      <c r="AW40" s="8">
        <v>1.4566277698301025E-2</v>
      </c>
      <c r="AX40" s="8">
        <v>1.3693126282186595E-2</v>
      </c>
      <c r="AY40" s="8">
        <v>1.6204136396221442E-2</v>
      </c>
      <c r="AZ40" s="8">
        <v>2.2106546211308031E-2</v>
      </c>
      <c r="BA40" s="8">
        <v>3.2445687438922489E-2</v>
      </c>
      <c r="BB40" s="8">
        <v>2.5117501405359254E-2</v>
      </c>
      <c r="BC40" s="8">
        <v>2.192641106917443E-2</v>
      </c>
      <c r="BD40" s="8">
        <v>2.2561315741317551E-2</v>
      </c>
      <c r="BE40" s="8">
        <v>2.0261571242199503E-2</v>
      </c>
      <c r="BF40" s="8">
        <v>2.4315277487947321E-2</v>
      </c>
      <c r="BG40" s="8">
        <v>1.7063571562781019E-2</v>
      </c>
      <c r="BH40" s="8">
        <v>1.9536821276120761E-2</v>
      </c>
      <c r="BI40" s="8">
        <v>2.3464259061868581E-2</v>
      </c>
      <c r="BJ40" s="8">
        <v>1.4395086516340734E-2</v>
      </c>
      <c r="BK40" s="8">
        <v>2.9316738488402998E-3</v>
      </c>
      <c r="BL40" s="7">
        <v>5.4905418141009688E-3</v>
      </c>
      <c r="BM40" s="8">
        <v>1.289392438290621E-2</v>
      </c>
      <c r="BN40" s="8">
        <v>1.7076438214801471E-2</v>
      </c>
      <c r="BO40" s="8">
        <v>3.3181743256370771E-2</v>
      </c>
      <c r="BP40" s="8">
        <v>5.0020015449984148E-2</v>
      </c>
      <c r="BQ40" s="8">
        <v>7.9834125096461799E-3</v>
      </c>
      <c r="BR40" s="8">
        <v>1.4434899214895457E-2</v>
      </c>
      <c r="BS40" s="8">
        <v>5.4610274243316707E-2</v>
      </c>
      <c r="BT40" s="8">
        <v>5.7844885828455858E-2</v>
      </c>
      <c r="BU40" s="8">
        <v>2.4784597731342391E-2</v>
      </c>
      <c r="BV40" s="8">
        <v>1.6837555727715295E-2</v>
      </c>
      <c r="BW40" s="8">
        <v>2.8614353673194898E-2</v>
      </c>
      <c r="BX40" s="8">
        <v>1.5663515758496754E-2</v>
      </c>
      <c r="BY40" s="8">
        <v>2.7765004687043168E-2</v>
      </c>
      <c r="BZ40" s="8">
        <v>5.3725178679338931E-2</v>
      </c>
      <c r="CA40" s="8">
        <v>4.2782838745178901E-2</v>
      </c>
      <c r="CB40" s="8">
        <v>3.4823322461007139E-2</v>
      </c>
      <c r="CC40" s="8">
        <v>5.545551031237219E-2</v>
      </c>
      <c r="CD40" s="8">
        <v>3.2593458782611676E-2</v>
      </c>
      <c r="CE40" s="8">
        <v>1.0217862783961812E-2</v>
      </c>
      <c r="CF40" s="8">
        <v>1.5036745893222103E-2</v>
      </c>
      <c r="CG40" s="8">
        <v>1.6384297291244045E-2</v>
      </c>
      <c r="CH40" s="8">
        <v>2.0099129767173797E-2</v>
      </c>
      <c r="CJ40" s="6" t="s">
        <v>285</v>
      </c>
      <c r="CK40" s="6" t="s">
        <v>133</v>
      </c>
      <c r="CL40" s="8">
        <v>2.23643813741717E-2</v>
      </c>
      <c r="CM40" s="8">
        <v>2.8387415969382344E-2</v>
      </c>
      <c r="CN40" s="8">
        <v>3.4323111862508394E-2</v>
      </c>
      <c r="CO40" s="8">
        <v>2.6592169440737293E-2</v>
      </c>
      <c r="CP40" s="8">
        <v>1.4165456489058073E-2</v>
      </c>
      <c r="CQ40" s="8">
        <v>1.01439485283428E-2</v>
      </c>
      <c r="CR40" s="8">
        <v>1.3201083315101843E-2</v>
      </c>
      <c r="CS40" s="8">
        <v>3.6219197976649208E-2</v>
      </c>
      <c r="CT40" s="8">
        <v>4.4615291759317353E-2</v>
      </c>
      <c r="CU40" s="8">
        <v>2.6412784506652996E-2</v>
      </c>
      <c r="CV40" s="8">
        <v>2.3018052618387273E-2</v>
      </c>
      <c r="CW40" s="8">
        <v>1.6991739035936083E-2</v>
      </c>
      <c r="CX40" s="8">
        <v>2.8821650908680024E-2</v>
      </c>
      <c r="CY40" s="8">
        <v>4.008304106288281E-2</v>
      </c>
      <c r="CZ40" s="8">
        <v>2.7093494485655078E-2</v>
      </c>
      <c r="DA40" s="8">
        <v>2.7208773800272149E-2</v>
      </c>
      <c r="DB40" s="8">
        <v>3.319883258901031E-2</v>
      </c>
      <c r="DC40" s="8">
        <v>1.3267407886974503E-2</v>
      </c>
      <c r="DD40" s="8">
        <v>8.1026906565287594E-3</v>
      </c>
      <c r="DE40" s="8">
        <v>7.0509164995783084E-3</v>
      </c>
      <c r="DF40" s="8">
        <v>3.7961362700040947E-2</v>
      </c>
      <c r="DG40" s="8">
        <v>3.4919575422213189E-2</v>
      </c>
      <c r="DH40" s="8">
        <v>8.6071797648201151E-2</v>
      </c>
      <c r="DI40" s="8">
        <v>7.7650094240927517E-2</v>
      </c>
      <c r="DJ40" s="7">
        <v>2.2172974850947134E-2</v>
      </c>
      <c r="DK40" s="8">
        <v>1.9802442163480895E-2</v>
      </c>
      <c r="DL40" s="8">
        <v>4.4639622363909226E-2</v>
      </c>
      <c r="DM40" s="8">
        <v>5.5930394132656262E-2</v>
      </c>
      <c r="DN40" s="8">
        <v>3.2819923056145082E-2</v>
      </c>
      <c r="DO40" s="8">
        <v>3.7954764497877248E-2</v>
      </c>
      <c r="DP40" s="8">
        <v>3.0175565192958193E-2</v>
      </c>
      <c r="DQ40" s="8">
        <v>4.5413484317123227E-2</v>
      </c>
      <c r="DR40" s="8">
        <v>6.7515934034708694E-2</v>
      </c>
      <c r="DS40" s="8">
        <v>6.4117781778964211E-2</v>
      </c>
      <c r="DT40" s="8">
        <v>5.2276994529039805E-2</v>
      </c>
      <c r="DU40" s="8">
        <v>4.4570736761544424E-2</v>
      </c>
      <c r="DV40" s="8">
        <v>5.4453556400645156E-2</v>
      </c>
      <c r="DW40" s="8">
        <v>5.3434247886147798E-2</v>
      </c>
      <c r="DX40" s="8">
        <v>2.8697226404053394E-2</v>
      </c>
      <c r="DY40" s="8">
        <v>1.0732338466935675E-2</v>
      </c>
      <c r="EA40" s="6" t="s">
        <v>285</v>
      </c>
      <c r="EB40" s="6" t="s">
        <v>134</v>
      </c>
      <c r="EC40" s="8">
        <v>0.12095075992128418</v>
      </c>
      <c r="ED40" s="8">
        <v>0.12702189724479326</v>
      </c>
      <c r="EE40" s="8">
        <v>0.12896939077074518</v>
      </c>
      <c r="EF40" s="8">
        <v>0.13025661854233961</v>
      </c>
      <c r="EG40" s="8">
        <v>0.12563037993798407</v>
      </c>
      <c r="EH40" s="8">
        <v>0.11837999690128162</v>
      </c>
      <c r="EI40" s="8">
        <v>0.10461954188784138</v>
      </c>
      <c r="EJ40" s="8">
        <v>9.2378144242851637E-2</v>
      </c>
      <c r="EK40" s="8">
        <v>8.5550126665775106E-2</v>
      </c>
      <c r="EL40" s="8">
        <v>0.1062185455538729</v>
      </c>
      <c r="EM40" s="8">
        <v>0.11021008091160439</v>
      </c>
      <c r="EN40" s="8">
        <v>0.11737214642138261</v>
      </c>
      <c r="EO40" s="8">
        <v>0.10984495451706994</v>
      </c>
      <c r="EP40" s="8">
        <v>0.10285861590932664</v>
      </c>
      <c r="EQ40" s="8">
        <v>0.10994691422292933</v>
      </c>
      <c r="ER40" s="8">
        <v>0.11543630883974348</v>
      </c>
      <c r="ES40" s="8">
        <v>0.11378367719218714</v>
      </c>
      <c r="ET40" s="8">
        <v>0.12427960688931541</v>
      </c>
      <c r="EU40" s="8">
        <v>0.13170857755780585</v>
      </c>
      <c r="EV40" s="8">
        <v>0.12776852951372925</v>
      </c>
      <c r="EW40" s="8">
        <v>0.1674201567543466</v>
      </c>
      <c r="EX40" s="8">
        <v>0.18401800922340467</v>
      </c>
      <c r="EY40" s="8">
        <v>0.18335383561849194</v>
      </c>
      <c r="EZ40" s="8">
        <v>0.18072164097373114</v>
      </c>
      <c r="FA40" s="8">
        <v>0.19077259279903883</v>
      </c>
      <c r="FB40" s="8">
        <v>0.16915186602090604</v>
      </c>
      <c r="FC40" s="8">
        <v>0.16428682044110751</v>
      </c>
      <c r="FD40" s="7">
        <v>0.15140673176539801</v>
      </c>
      <c r="FE40" s="8">
        <v>0.16779429503397397</v>
      </c>
      <c r="FF40" s="8">
        <v>0.18265694389110204</v>
      </c>
      <c r="FG40" s="8">
        <v>0.13655941658606671</v>
      </c>
      <c r="FH40" s="8">
        <v>9.9732224887248866E-2</v>
      </c>
      <c r="FI40" s="8">
        <v>8.9578605072566514E-2</v>
      </c>
      <c r="FJ40" s="8">
        <v>9.9609279275330101E-2</v>
      </c>
      <c r="FK40" s="8">
        <v>9.9097044064220263E-2</v>
      </c>
      <c r="FL40" s="8">
        <v>0.12900278245070576</v>
      </c>
      <c r="FM40" s="8">
        <v>0.12739446795786921</v>
      </c>
      <c r="FN40" s="8">
        <v>0.12929945025913456</v>
      </c>
      <c r="FO40" s="8">
        <v>0.1430552077748295</v>
      </c>
      <c r="FP40" s="8">
        <v>0.16145448701883716</v>
      </c>
      <c r="FZ40" s="6" t="s">
        <v>285</v>
      </c>
      <c r="GA40" s="8">
        <v>0.48949532678768676</v>
      </c>
      <c r="GB40" s="8">
        <v>0.46577806336938449</v>
      </c>
      <c r="GC40" s="8">
        <v>0.47168301663976547</v>
      </c>
      <c r="GD40" s="8">
        <v>0.49257942268175614</v>
      </c>
      <c r="GE40" s="8">
        <v>0.51982956389097557</v>
      </c>
      <c r="GF40" s="8">
        <v>0.54566835387487667</v>
      </c>
      <c r="GG40" s="8">
        <v>0.54691189458152367</v>
      </c>
      <c r="GH40" s="8">
        <v>0.52340724117907378</v>
      </c>
      <c r="GI40" s="8">
        <v>0.51874966000414335</v>
      </c>
      <c r="GJ40" s="8">
        <v>0.52503382451871405</v>
      </c>
      <c r="GK40" s="8">
        <v>0.45509655406879768</v>
      </c>
      <c r="GL40" s="7">
        <v>0.44415966431951526</v>
      </c>
      <c r="GM40" s="8">
        <v>0.44029016203211807</v>
      </c>
      <c r="GN40" s="8">
        <v>0.46634102247679565</v>
      </c>
      <c r="GO40" s="8">
        <v>0.49236672205381948</v>
      </c>
      <c r="GP40" s="8">
        <v>0.49942107824190768</v>
      </c>
      <c r="GQ40" s="8">
        <v>0.50637437449080736</v>
      </c>
      <c r="GR40" s="8">
        <v>0.4984662957466256</v>
      </c>
      <c r="GS40" s="8">
        <v>0.46867724374065267</v>
      </c>
      <c r="GT40" s="8">
        <v>0.45738906957022646</v>
      </c>
      <c r="GU40" s="8">
        <v>0.22407915576846246</v>
      </c>
      <c r="GV40" s="7">
        <v>0.22064899292820664</v>
      </c>
      <c r="GW40" s="8">
        <v>0.21922057892659336</v>
      </c>
      <c r="GX40" s="8">
        <v>0.23711732196947019</v>
      </c>
      <c r="GY40" s="8">
        <v>0.26470389082892593</v>
      </c>
      <c r="GZ40" s="8">
        <v>0.29411417942341822</v>
      </c>
      <c r="HA40" s="8">
        <v>0.31354043738137827</v>
      </c>
      <c r="HB40" s="8">
        <v>0.30485878563820878</v>
      </c>
      <c r="HC40" s="8">
        <v>0.26541491926740768</v>
      </c>
      <c r="HD40" s="8">
        <v>0.23109754802082169</v>
      </c>
      <c r="HE40" s="8">
        <v>0.32927678363960766</v>
      </c>
      <c r="HF40" s="8">
        <v>0.34323027469540174</v>
      </c>
      <c r="HG40" s="7">
        <v>0.35495013641328571</v>
      </c>
      <c r="HH40" s="8">
        <v>0.36237533451377341</v>
      </c>
      <c r="HI40" s="8">
        <v>0.37273960911450948</v>
      </c>
      <c r="HJ40" s="8">
        <v>0.39270918527177351</v>
      </c>
      <c r="HK40" s="8">
        <v>0.38431412255028335</v>
      </c>
      <c r="HL40" s="8">
        <v>0.36914539952715147</v>
      </c>
      <c r="HM40" s="8">
        <v>0.34383435378578009</v>
      </c>
      <c r="HN40" s="8">
        <v>0.3267717933660681</v>
      </c>
      <c r="HP40" s="6" t="s">
        <v>300</v>
      </c>
      <c r="HQ40" s="6" t="s">
        <v>140</v>
      </c>
      <c r="HR40" s="6" t="s">
        <v>141</v>
      </c>
      <c r="HS40" s="8">
        <v>0.76764804994049451</v>
      </c>
    </row>
    <row r="41" spans="2:227" x14ac:dyDescent="0.45">
      <c r="B41" s="3" t="s">
        <v>287</v>
      </c>
      <c r="C41" s="3" t="s">
        <v>131</v>
      </c>
      <c r="D41" s="5">
        <v>0.27293788100441807</v>
      </c>
      <c r="E41" s="5">
        <v>0.27682994480455747</v>
      </c>
      <c r="F41" s="5">
        <v>0.28193037728343462</v>
      </c>
      <c r="G41" s="5">
        <v>0.27991871031797982</v>
      </c>
      <c r="H41" s="5">
        <v>0.28842186794504099</v>
      </c>
      <c r="I41" s="5">
        <v>0.2932754226883032</v>
      </c>
      <c r="J41" s="5">
        <v>0.28540875682648914</v>
      </c>
      <c r="K41" s="5">
        <v>0.28731859424063549</v>
      </c>
      <c r="L41" s="5">
        <v>0.26723315810297527</v>
      </c>
      <c r="M41" s="5">
        <v>0.26417362958253321</v>
      </c>
      <c r="N41" s="5">
        <v>0.28664426156699169</v>
      </c>
      <c r="O41" s="5">
        <v>0.2835374751105692</v>
      </c>
      <c r="P41" s="5">
        <v>0.27554128107279391</v>
      </c>
      <c r="Q41" s="5">
        <v>0.28632473807316122</v>
      </c>
      <c r="R41" s="5">
        <v>0.30534936600578216</v>
      </c>
      <c r="S41" s="5">
        <v>0.30129318803356747</v>
      </c>
      <c r="T41" s="5">
        <v>0.2982735323657813</v>
      </c>
      <c r="U41" s="5">
        <v>0.30036102202422316</v>
      </c>
      <c r="V41" s="5">
        <v>0.30658594929762539</v>
      </c>
      <c r="W41" s="5">
        <v>0.29526701948557899</v>
      </c>
      <c r="X41" s="5">
        <v>0.32282787615856146</v>
      </c>
      <c r="Y41" s="5">
        <v>0.34842336659727885</v>
      </c>
      <c r="Z41" s="5">
        <v>0.4126275926595252</v>
      </c>
      <c r="AA41" s="5">
        <v>0.43681010563921774</v>
      </c>
      <c r="AB41" s="5">
        <v>0.42664268342112555</v>
      </c>
      <c r="AC41" s="5">
        <v>0.399348791770956</v>
      </c>
      <c r="AD41" s="5">
        <v>0.38459855451035752</v>
      </c>
      <c r="AE41" s="5">
        <v>0.36631150124792067</v>
      </c>
      <c r="AF41" s="5">
        <v>0.36329911041527818</v>
      </c>
      <c r="AG41" s="5">
        <v>0.33956063891267529</v>
      </c>
      <c r="AH41" s="5">
        <v>0.28557588455650129</v>
      </c>
      <c r="AI41" s="5">
        <v>0.29212056445957024</v>
      </c>
      <c r="AJ41" s="5">
        <v>0.30178754437103567</v>
      </c>
      <c r="AK41" s="5">
        <v>0.30552271443845669</v>
      </c>
      <c r="AL41" s="5">
        <v>0.3184473239038802</v>
      </c>
      <c r="AM41" s="5">
        <v>0.31496040531013264</v>
      </c>
      <c r="AN41" s="5">
        <v>0.31839424614304468</v>
      </c>
      <c r="AO41" s="5">
        <v>0.30225794976822362</v>
      </c>
      <c r="AP41" s="5">
        <v>0.28890241374433173</v>
      </c>
      <c r="AQ41" s="5">
        <v>0.28495012715765544</v>
      </c>
      <c r="AS41" s="3" t="s">
        <v>287</v>
      </c>
      <c r="AT41" s="3" t="s">
        <v>132</v>
      </c>
      <c r="AU41" s="5">
        <v>1.471256063077552E-2</v>
      </c>
      <c r="AV41" s="5">
        <v>1.081500302643159E-2</v>
      </c>
      <c r="AW41" s="5">
        <v>2.0217821510398346E-2</v>
      </c>
      <c r="AX41" s="5">
        <v>1.2914508882342305E-2</v>
      </c>
      <c r="AY41" s="5">
        <v>1.0483402429312174E-2</v>
      </c>
      <c r="AZ41" s="5">
        <v>1.9401335341476228E-2</v>
      </c>
      <c r="BA41" s="5">
        <v>2.208679674602209E-2</v>
      </c>
      <c r="BB41" s="5">
        <v>2.9434441121751524E-2</v>
      </c>
      <c r="BC41" s="5">
        <v>2.0644797932392499E-2</v>
      </c>
      <c r="BD41" s="5">
        <v>1.9101141866589975E-2</v>
      </c>
      <c r="BE41" s="5">
        <v>2.5231890129776838E-2</v>
      </c>
      <c r="BF41" s="5">
        <v>2.4668455267424443E-2</v>
      </c>
      <c r="BG41" s="5">
        <v>1.6630750242973471E-2</v>
      </c>
      <c r="BH41" s="5">
        <v>1.507627938898864E-2</v>
      </c>
      <c r="BI41" s="5">
        <v>2.9977146607178227E-2</v>
      </c>
      <c r="BJ41" s="5">
        <v>2.9784963863337899E-2</v>
      </c>
      <c r="BK41" s="5">
        <v>5.0292199832587406E-3</v>
      </c>
      <c r="BL41" s="4">
        <v>6.2324977193355027E-3</v>
      </c>
      <c r="BM41" s="5">
        <v>1.2081107649141954E-2</v>
      </c>
      <c r="BN41" s="5">
        <v>1.0415690228978031E-2</v>
      </c>
      <c r="BO41" s="5">
        <v>2.2166760436409215E-2</v>
      </c>
      <c r="BP41" s="5">
        <v>3.2860103431105021E-2</v>
      </c>
      <c r="BQ41" s="5">
        <v>6.6436031371763377E-2</v>
      </c>
      <c r="BR41" s="5">
        <v>3.564936082240952E-2</v>
      </c>
      <c r="BS41" s="5">
        <v>3.276907184736387E-2</v>
      </c>
      <c r="BT41" s="5">
        <v>5.074366605181075E-2</v>
      </c>
      <c r="BU41" s="5">
        <v>5.8962627334842761E-2</v>
      </c>
      <c r="BV41" s="5">
        <v>4.3844426859435071E-2</v>
      </c>
      <c r="BW41" s="5">
        <v>1.5992617156299412E-2</v>
      </c>
      <c r="BX41" s="5">
        <v>2.2949590521654156E-2</v>
      </c>
      <c r="BY41" s="5">
        <v>2.6745877819191813E-2</v>
      </c>
      <c r="BZ41" s="5">
        <v>3.8211279539455079E-2</v>
      </c>
      <c r="CA41" s="5">
        <v>5.4258681065169193E-2</v>
      </c>
      <c r="CB41" s="5">
        <v>5.2701002187111989E-2</v>
      </c>
      <c r="CC41" s="5">
        <v>4.4726402183651114E-2</v>
      </c>
      <c r="CD41" s="5">
        <v>3.724733850577705E-2</v>
      </c>
      <c r="CE41" s="5">
        <v>1.9851533358462195E-2</v>
      </c>
      <c r="CF41" s="5">
        <v>1.5924599386084967E-2</v>
      </c>
      <c r="CG41" s="5">
        <v>1.2435015235706866E-2</v>
      </c>
      <c r="CH41" s="5">
        <v>1.4403433760757331E-2</v>
      </c>
      <c r="CJ41" s="3" t="s">
        <v>287</v>
      </c>
      <c r="CK41" s="3" t="s">
        <v>133</v>
      </c>
      <c r="CL41" s="5">
        <v>2.6967221273429723E-2</v>
      </c>
      <c r="CM41" s="5">
        <v>2.3012456865637389E-2</v>
      </c>
      <c r="CN41" s="5">
        <v>1.7476794313101951E-2</v>
      </c>
      <c r="CO41" s="5">
        <v>1.6400512184413771E-2</v>
      </c>
      <c r="CP41" s="5">
        <v>1.185989098903717E-2</v>
      </c>
      <c r="CQ41" s="5">
        <v>1.069188197204529E-2</v>
      </c>
      <c r="CR41" s="5">
        <v>1.0170520520780456E-2</v>
      </c>
      <c r="CS41" s="5">
        <v>1.3291536691252234E-2</v>
      </c>
      <c r="CT41" s="5">
        <v>2.594568528820268E-2</v>
      </c>
      <c r="CU41" s="5">
        <v>2.8979323475366175E-2</v>
      </c>
      <c r="CV41" s="5">
        <v>1.9121133140996692E-2</v>
      </c>
      <c r="CW41" s="5">
        <v>2.3929263184723049E-2</v>
      </c>
      <c r="CX41" s="5">
        <v>2.1647028337746736E-2</v>
      </c>
      <c r="CY41" s="5">
        <v>2.2867133702284437E-2</v>
      </c>
      <c r="CZ41" s="5">
        <v>2.7562645235834266E-2</v>
      </c>
      <c r="DA41" s="5">
        <v>1.4395362452207849E-2</v>
      </c>
      <c r="DB41" s="5">
        <v>3.6536782246680881E-2</v>
      </c>
      <c r="DC41" s="5">
        <v>3.2026538137388962E-2</v>
      </c>
      <c r="DD41" s="5">
        <v>1.5501117147299709E-2</v>
      </c>
      <c r="DE41" s="5">
        <v>1.1610273028290426E-2</v>
      </c>
      <c r="DF41" s="5">
        <v>3.2408539014324049E-2</v>
      </c>
      <c r="DG41" s="5">
        <v>5.1760703124314925E-2</v>
      </c>
      <c r="DH41" s="5">
        <v>3.7555578259660494E-2</v>
      </c>
      <c r="DI41" s="5">
        <v>5.0469848070112615E-2</v>
      </c>
      <c r="DJ41" s="4">
        <v>5.8338189194999189E-2</v>
      </c>
      <c r="DK41" s="5">
        <v>3.0441015230682426E-2</v>
      </c>
      <c r="DL41" s="5">
        <v>2.4979539778262609E-2</v>
      </c>
      <c r="DM41" s="5">
        <v>4.8248451359169789E-2</v>
      </c>
      <c r="DN41" s="5">
        <v>4.136134192250987E-2</v>
      </c>
      <c r="DO41" s="5">
        <v>4.0358683491327436E-2</v>
      </c>
      <c r="DP41" s="5">
        <v>2.1574851460454545E-2</v>
      </c>
      <c r="DQ41" s="5">
        <v>4.1396303332873995E-2</v>
      </c>
      <c r="DR41" s="5">
        <v>4.1093813322995956E-2</v>
      </c>
      <c r="DS41" s="5">
        <v>3.2410235936133035E-2</v>
      </c>
      <c r="DT41" s="5">
        <v>6.600871978227324E-2</v>
      </c>
      <c r="DU41" s="5">
        <v>7.0463081938634334E-2</v>
      </c>
      <c r="DV41" s="5">
        <v>6.434423181374134E-2</v>
      </c>
      <c r="DW41" s="5">
        <v>3.4321812266406446E-2</v>
      </c>
      <c r="DX41" s="5">
        <v>3.803269330027817E-2</v>
      </c>
      <c r="DY41" s="5">
        <v>2.1694948759873108E-2</v>
      </c>
      <c r="EA41" s="3" t="s">
        <v>287</v>
      </c>
      <c r="EB41" s="3" t="s">
        <v>134</v>
      </c>
      <c r="EC41" s="5">
        <v>0.1141665265969074</v>
      </c>
      <c r="ED41" s="5">
        <v>0.12656134577969103</v>
      </c>
      <c r="EE41" s="5">
        <v>0.12692829315484364</v>
      </c>
      <c r="EF41" s="5">
        <v>0.13231422453197531</v>
      </c>
      <c r="EG41" s="5">
        <v>0.13591437872647538</v>
      </c>
      <c r="EH41" s="5">
        <v>0.13072740035699196</v>
      </c>
      <c r="EI41" s="5">
        <v>0.12013995330744638</v>
      </c>
      <c r="EJ41" s="5">
        <v>0.11168182514513586</v>
      </c>
      <c r="EK41" s="5">
        <v>0.10483849618955493</v>
      </c>
      <c r="EL41" s="5">
        <v>9.6034016830051194E-2</v>
      </c>
      <c r="EM41" s="5">
        <v>0.12086922889761317</v>
      </c>
      <c r="EN41" s="5">
        <v>0.12032234260718162</v>
      </c>
      <c r="EO41" s="5">
        <v>0.12296291307068404</v>
      </c>
      <c r="EP41" s="5">
        <v>0.12430363160166943</v>
      </c>
      <c r="EQ41" s="5">
        <v>0.11781686953597975</v>
      </c>
      <c r="ER41" s="5">
        <v>0.13471430023354491</v>
      </c>
      <c r="ES41" s="5">
        <v>0.13132330448100157</v>
      </c>
      <c r="ET41" s="5">
        <v>0.13424419640465687</v>
      </c>
      <c r="EU41" s="5">
        <v>0.160798414642911</v>
      </c>
      <c r="EV41" s="5">
        <v>0.15270244653063028</v>
      </c>
      <c r="EW41" s="5">
        <v>0.17221221732647637</v>
      </c>
      <c r="EX41" s="5">
        <v>0.16920879744378858</v>
      </c>
      <c r="EY41" s="5">
        <v>0.19475007168243064</v>
      </c>
      <c r="EZ41" s="5">
        <v>0.22280517351680681</v>
      </c>
      <c r="FA41" s="5">
        <v>0.21092227677761927</v>
      </c>
      <c r="FB41" s="5">
        <v>0.17960334571559522</v>
      </c>
      <c r="FC41" s="5">
        <v>0.16675080964424679</v>
      </c>
      <c r="FD41" s="4">
        <v>0.15177503248795501</v>
      </c>
      <c r="FE41" s="5">
        <v>0.18892527897131797</v>
      </c>
      <c r="FF41" s="5">
        <v>0.16467575993884612</v>
      </c>
      <c r="FG41" s="5">
        <v>0.14120237444279332</v>
      </c>
      <c r="FH41" s="5">
        <v>0.10893714685778945</v>
      </c>
      <c r="FI41" s="5">
        <v>0.10066939256416421</v>
      </c>
      <c r="FJ41" s="5">
        <v>0.10818914928425422</v>
      </c>
      <c r="FK41" s="5">
        <v>8.4976368920286066E-2</v>
      </c>
      <c r="FL41" s="5">
        <v>8.6989098974086743E-2</v>
      </c>
      <c r="FM41" s="5">
        <v>0.11193393009141381</v>
      </c>
      <c r="FN41" s="5">
        <v>0.13948589350203086</v>
      </c>
      <c r="FO41" s="5">
        <v>0.13621798344917693</v>
      </c>
      <c r="FP41" s="5">
        <v>0.15032542550669598</v>
      </c>
      <c r="FZ41" s="3" t="s">
        <v>287</v>
      </c>
      <c r="GA41" s="5">
        <v>0.51659451969433579</v>
      </c>
      <c r="GB41" s="5">
        <v>0.49535294053817375</v>
      </c>
      <c r="GC41" s="5">
        <v>0.49009894178662861</v>
      </c>
      <c r="GD41" s="5">
        <v>0.50785971617636583</v>
      </c>
      <c r="GE41" s="5">
        <v>0.50945924948383536</v>
      </c>
      <c r="GF41" s="5">
        <v>0.53020660295151179</v>
      </c>
      <c r="GG41" s="5">
        <v>0.5420981981248284</v>
      </c>
      <c r="GH41" s="5">
        <v>0.52718531912089217</v>
      </c>
      <c r="GI41" s="5">
        <v>0.52276804296610258</v>
      </c>
      <c r="GJ41" s="5">
        <v>0.53458415256226777</v>
      </c>
      <c r="GK41" s="5">
        <v>0.4428175034932792</v>
      </c>
      <c r="GL41" s="4">
        <v>0.44420057669681823</v>
      </c>
      <c r="GM41" s="5">
        <v>0.44690082636003831</v>
      </c>
      <c r="GN41" s="5">
        <v>0.47887759482862591</v>
      </c>
      <c r="GO41" s="5">
        <v>0.47603221702814585</v>
      </c>
      <c r="GP41" s="5">
        <v>0.46573278724479122</v>
      </c>
      <c r="GQ41" s="5">
        <v>0.46257010541613336</v>
      </c>
      <c r="GR41" s="5">
        <v>0.45383676865300082</v>
      </c>
      <c r="GS41" s="5">
        <v>0.41624703809983382</v>
      </c>
      <c r="GT41" s="5">
        <v>0.43039323187406187</v>
      </c>
      <c r="GU41" s="5">
        <v>0.22606512603714415</v>
      </c>
      <c r="GV41" s="4">
        <v>0.21750369713813794</v>
      </c>
      <c r="GW41" s="5">
        <v>0.21989872236103428</v>
      </c>
      <c r="GX41" s="5">
        <v>0.22475459945069262</v>
      </c>
      <c r="GY41" s="5">
        <v>0.23086052639511132</v>
      </c>
      <c r="GZ41" s="5">
        <v>0.27038661597559793</v>
      </c>
      <c r="HA41" s="5">
        <v>0.29826196489612694</v>
      </c>
      <c r="HB41" s="5">
        <v>0.30443291022928187</v>
      </c>
      <c r="HC41" s="5">
        <v>0.26957035288417147</v>
      </c>
      <c r="HD41" s="5">
        <v>0.24567346642657684</v>
      </c>
      <c r="HE41" s="5">
        <v>0.36079120831001182</v>
      </c>
      <c r="HF41" s="5">
        <v>0.37383766656301426</v>
      </c>
      <c r="HG41" s="4">
        <v>0.38810512328847913</v>
      </c>
      <c r="HH41" s="5">
        <v>0.40180617461881629</v>
      </c>
      <c r="HI41" s="5">
        <v>0.40525474380394749</v>
      </c>
      <c r="HJ41" s="5">
        <v>0.41961904141826778</v>
      </c>
      <c r="HK41" s="5">
        <v>0.41198790677731018</v>
      </c>
      <c r="HL41" s="5">
        <v>0.38305168437188142</v>
      </c>
      <c r="HM41" s="5">
        <v>0.37290736572346189</v>
      </c>
      <c r="HN41" s="5">
        <v>0.37275027988082815</v>
      </c>
      <c r="HP41" s="3" t="s">
        <v>302</v>
      </c>
      <c r="HQ41" s="3" t="s">
        <v>140</v>
      </c>
      <c r="HR41" s="3" t="s">
        <v>141</v>
      </c>
      <c r="HS41" s="5">
        <v>0.71517136251808966</v>
      </c>
    </row>
    <row r="42" spans="2:227" x14ac:dyDescent="0.45">
      <c r="B42" s="6" t="s">
        <v>289</v>
      </c>
      <c r="C42" s="6" t="s">
        <v>131</v>
      </c>
      <c r="D42" s="8">
        <v>0.28325575911546713</v>
      </c>
      <c r="E42" s="8">
        <v>0.29553974830763102</v>
      </c>
      <c r="F42" s="8">
        <v>0.30331596525533155</v>
      </c>
      <c r="G42" s="8">
        <v>0.29388201750601189</v>
      </c>
      <c r="H42" s="8">
        <v>0.29353956199748837</v>
      </c>
      <c r="I42" s="8">
        <v>0.28742719380860426</v>
      </c>
      <c r="J42" s="8">
        <v>0.28712429322981892</v>
      </c>
      <c r="K42" s="8">
        <v>0.28637191586653471</v>
      </c>
      <c r="L42" s="8">
        <v>0.28016074222775766</v>
      </c>
      <c r="M42" s="8">
        <v>0.27276781517704657</v>
      </c>
      <c r="N42" s="8">
        <v>0.28856748526430753</v>
      </c>
      <c r="O42" s="8">
        <v>0.28488477875431117</v>
      </c>
      <c r="P42" s="8">
        <v>0.27891826143061604</v>
      </c>
      <c r="Q42" s="8">
        <v>0.29960171848342421</v>
      </c>
      <c r="R42" s="8">
        <v>0.30723911077769411</v>
      </c>
      <c r="S42" s="8">
        <v>0.29622326690291029</v>
      </c>
      <c r="T42" s="8">
        <v>0.2827024107221669</v>
      </c>
      <c r="U42" s="8">
        <v>0.2801169245692039</v>
      </c>
      <c r="V42" s="8">
        <v>0.28741365667926572</v>
      </c>
      <c r="W42" s="8">
        <v>0.27832355582650242</v>
      </c>
      <c r="X42" s="8">
        <v>0.36362702305209205</v>
      </c>
      <c r="Y42" s="8">
        <v>0.38086082306492369</v>
      </c>
      <c r="Z42" s="8">
        <v>0.39524771552194221</v>
      </c>
      <c r="AA42" s="8">
        <v>0.43157934154245209</v>
      </c>
      <c r="AB42" s="8">
        <v>0.42617468660459984</v>
      </c>
      <c r="AC42" s="8">
        <v>0.40621830845438656</v>
      </c>
      <c r="AD42" s="8">
        <v>0.38793082628965525</v>
      </c>
      <c r="AE42" s="8">
        <v>0.37592245032638893</v>
      </c>
      <c r="AF42" s="8">
        <v>0.37011893484549685</v>
      </c>
      <c r="AG42" s="8">
        <v>0.34008801662415911</v>
      </c>
      <c r="AH42" s="8">
        <v>0.29842375591667192</v>
      </c>
      <c r="AI42" s="8">
        <v>0.32227553639250733</v>
      </c>
      <c r="AJ42" s="8">
        <v>0.32474282400212878</v>
      </c>
      <c r="AK42" s="8">
        <v>0.32621113108725264</v>
      </c>
      <c r="AL42" s="8">
        <v>0.34078706028327627</v>
      </c>
      <c r="AM42" s="8">
        <v>0.33590245652666578</v>
      </c>
      <c r="AN42" s="8">
        <v>0.32310755267818508</v>
      </c>
      <c r="AO42" s="8">
        <v>0.31874680119162402</v>
      </c>
      <c r="AP42" s="8">
        <v>0.30555062579345094</v>
      </c>
      <c r="AQ42" s="8">
        <v>0.30676984783381578</v>
      </c>
      <c r="AS42" s="6" t="s">
        <v>289</v>
      </c>
      <c r="AT42" s="6" t="s">
        <v>132</v>
      </c>
      <c r="AU42" s="8">
        <v>1.6687997839011613E-2</v>
      </c>
      <c r="AV42" s="8">
        <v>2.2717043451354366E-2</v>
      </c>
      <c r="AW42" s="8">
        <v>2.9244671874797158E-2</v>
      </c>
      <c r="AX42" s="8">
        <v>1.9840682124489601E-2</v>
      </c>
      <c r="AY42" s="8">
        <v>2.3717639078153049E-2</v>
      </c>
      <c r="AZ42" s="8">
        <v>3.2111875440452596E-2</v>
      </c>
      <c r="BA42" s="8">
        <v>3.1184372185294646E-2</v>
      </c>
      <c r="BB42" s="8">
        <v>2.7038205529571101E-2</v>
      </c>
      <c r="BC42" s="8">
        <v>3.3537430693442095E-2</v>
      </c>
      <c r="BD42" s="8">
        <v>2.3760358912480073E-2</v>
      </c>
      <c r="BE42" s="8">
        <v>2.6339792804706105E-2</v>
      </c>
      <c r="BF42" s="8">
        <v>3.7180728469370435E-2</v>
      </c>
      <c r="BG42" s="8">
        <v>7.9881774643902857E-3</v>
      </c>
      <c r="BH42" s="8">
        <v>2.9541606337860932E-2</v>
      </c>
      <c r="BI42" s="8">
        <v>2.2606901787703387E-2</v>
      </c>
      <c r="BJ42" s="8">
        <v>1.7629806258483975E-2</v>
      </c>
      <c r="BK42" s="8">
        <v>1.7126407108568116E-2</v>
      </c>
      <c r="BL42" s="7">
        <v>6.006155357808904E-3</v>
      </c>
      <c r="BM42" s="8">
        <v>8.3976347800852405E-3</v>
      </c>
      <c r="BN42" s="8">
        <v>1.8279752323876276E-2</v>
      </c>
      <c r="BO42" s="8">
        <v>3.1997843425815117E-2</v>
      </c>
      <c r="BP42" s="8">
        <v>2.9890534718984074E-2</v>
      </c>
      <c r="BQ42" s="8">
        <v>1.3671486583113636E-2</v>
      </c>
      <c r="BR42" s="8">
        <v>3.7119341463603676E-2</v>
      </c>
      <c r="BS42" s="8">
        <v>4.5635487518887644E-2</v>
      </c>
      <c r="BT42" s="8">
        <v>4.8534519242107672E-2</v>
      </c>
      <c r="BU42" s="8">
        <v>8.9729887582599109E-3</v>
      </c>
      <c r="BV42" s="8">
        <v>1.4872430447718974E-2</v>
      </c>
      <c r="BW42" s="8">
        <v>2.8544020575102264E-2</v>
      </c>
      <c r="BX42" s="8">
        <v>2.2613264283504252E-2</v>
      </c>
      <c r="BY42" s="8">
        <v>3.4478697864560044E-2</v>
      </c>
      <c r="BZ42" s="8">
        <v>5.8182325836482918E-2</v>
      </c>
      <c r="CA42" s="8">
        <v>5.5377305773645059E-2</v>
      </c>
      <c r="CB42" s="8">
        <v>2.6848053192097699E-2</v>
      </c>
      <c r="CC42" s="8">
        <v>5.0069035771384857E-2</v>
      </c>
      <c r="CD42" s="8">
        <v>3.2700520439394656E-2</v>
      </c>
      <c r="CE42" s="8">
        <v>1.1719532549152006E-2</v>
      </c>
      <c r="CF42" s="8">
        <v>1.8397024138477162E-2</v>
      </c>
      <c r="CG42" s="8">
        <v>1.1576552880158825E-2</v>
      </c>
      <c r="CH42" s="8">
        <v>2.6216822431329143E-2</v>
      </c>
      <c r="CJ42" s="6" t="s">
        <v>289</v>
      </c>
      <c r="CK42" s="6" t="s">
        <v>133</v>
      </c>
      <c r="CL42" s="8">
        <v>2.6658481158499139E-2</v>
      </c>
      <c r="CM42" s="8">
        <v>2.671314622977564E-2</v>
      </c>
      <c r="CN42" s="8">
        <v>2.2769617156532064E-2</v>
      </c>
      <c r="CO42" s="8">
        <v>2.3563968170359086E-2</v>
      </c>
      <c r="CP42" s="8">
        <v>2.9872513995405674E-2</v>
      </c>
      <c r="CQ42" s="8">
        <v>1.8220536794847614E-2</v>
      </c>
      <c r="CR42" s="8">
        <v>2.3269230129423436E-2</v>
      </c>
      <c r="CS42" s="8">
        <v>3.7943899462543201E-2</v>
      </c>
      <c r="CT42" s="8">
        <v>4.1005633253989364E-2</v>
      </c>
      <c r="CU42" s="8">
        <v>3.4542607740222574E-2</v>
      </c>
      <c r="CV42" s="8">
        <v>2.2524951442683221E-2</v>
      </c>
      <c r="CW42" s="8">
        <v>1.1925298505389505E-2</v>
      </c>
      <c r="CX42" s="8">
        <v>4.0730434443493529E-2</v>
      </c>
      <c r="CY42" s="8">
        <v>3.9738861936943856E-2</v>
      </c>
      <c r="CZ42" s="8">
        <v>3.8789366157302732E-2</v>
      </c>
      <c r="DA42" s="8">
        <v>2.7213726258336242E-2</v>
      </c>
      <c r="DB42" s="8">
        <v>3.3155300227340381E-2</v>
      </c>
      <c r="DC42" s="8">
        <v>3.0880495941686799E-2</v>
      </c>
      <c r="DD42" s="8">
        <v>2.0782932003099917E-2</v>
      </c>
      <c r="DE42" s="8">
        <v>7.9411933735943109E-3</v>
      </c>
      <c r="DF42" s="8">
        <v>4.4293456681806967E-2</v>
      </c>
      <c r="DG42" s="8">
        <v>5.3044271310288896E-2</v>
      </c>
      <c r="DH42" s="8">
        <v>5.2317026609825935E-2</v>
      </c>
      <c r="DI42" s="8">
        <v>3.5308071548520739E-2</v>
      </c>
      <c r="DJ42" s="7">
        <v>3.4499115553447306E-2</v>
      </c>
      <c r="DK42" s="8">
        <v>3.4503398594818414E-2</v>
      </c>
      <c r="DL42" s="8">
        <v>5.5178861909036654E-2</v>
      </c>
      <c r="DM42" s="8">
        <v>3.403465060330086E-2</v>
      </c>
      <c r="DN42" s="8">
        <v>2.0293819766319856E-2</v>
      </c>
      <c r="DO42" s="8">
        <v>2.8951266338568583E-2</v>
      </c>
      <c r="DP42" s="8">
        <v>3.1392921517173072E-2</v>
      </c>
      <c r="DQ42" s="8">
        <v>5.8861932234351419E-2</v>
      </c>
      <c r="DR42" s="8">
        <v>5.2943274026523886E-2</v>
      </c>
      <c r="DS42" s="8">
        <v>9.1569138059364438E-2</v>
      </c>
      <c r="DT42" s="8">
        <v>8.3150208550533358E-2</v>
      </c>
      <c r="DU42" s="8">
        <v>4.9608058379829206E-2</v>
      </c>
      <c r="DV42" s="8">
        <v>4.2553574041518653E-2</v>
      </c>
      <c r="DW42" s="8">
        <v>2.8215870876884989E-2</v>
      </c>
      <c r="DX42" s="8">
        <v>2.5963342047448924E-2</v>
      </c>
      <c r="DY42" s="8">
        <v>9.9129818897020598E-3</v>
      </c>
      <c r="EA42" s="6" t="s">
        <v>289</v>
      </c>
      <c r="EB42" s="6" t="s">
        <v>134</v>
      </c>
      <c r="EC42" s="8">
        <v>0.12418601580295681</v>
      </c>
      <c r="ED42" s="8">
        <v>0.12940081555082647</v>
      </c>
      <c r="EE42" s="8">
        <v>0.13338753563840777</v>
      </c>
      <c r="EF42" s="8">
        <v>0.1372863533226879</v>
      </c>
      <c r="EG42" s="8">
        <v>0.11391593264803908</v>
      </c>
      <c r="EH42" s="8">
        <v>0.10952373903307897</v>
      </c>
      <c r="EI42" s="8">
        <v>0.10831272727051107</v>
      </c>
      <c r="EJ42" s="8">
        <v>0.10063458573410609</v>
      </c>
      <c r="EK42" s="8">
        <v>8.7185734093696246E-2</v>
      </c>
      <c r="EL42" s="8">
        <v>0.10077573637453867</v>
      </c>
      <c r="EM42" s="8">
        <v>0.12850003191311393</v>
      </c>
      <c r="EN42" s="8">
        <v>0.12514819503816313</v>
      </c>
      <c r="EO42" s="8">
        <v>0.12195597535310369</v>
      </c>
      <c r="EP42" s="8">
        <v>0.11509820407480022</v>
      </c>
      <c r="EQ42" s="8">
        <v>0.12098863800220984</v>
      </c>
      <c r="ER42" s="8">
        <v>0.13032065162352943</v>
      </c>
      <c r="ES42" s="8">
        <v>0.12148994493483899</v>
      </c>
      <c r="ET42" s="8">
        <v>0.13154590231901442</v>
      </c>
      <c r="EU42" s="8">
        <v>0.14966729465486767</v>
      </c>
      <c r="EV42" s="8">
        <v>0.14753828784187631</v>
      </c>
      <c r="EW42" s="8">
        <v>0.1807700377530915</v>
      </c>
      <c r="EX42" s="8">
        <v>0.18322627863123364</v>
      </c>
      <c r="EY42" s="8">
        <v>0.21916701622763982</v>
      </c>
      <c r="EZ42" s="8">
        <v>0.22159990288491238</v>
      </c>
      <c r="FA42" s="8">
        <v>0.20231239721615255</v>
      </c>
      <c r="FB42" s="8">
        <v>0.1819869458292607</v>
      </c>
      <c r="FC42" s="8">
        <v>0.18743785067259455</v>
      </c>
      <c r="FD42" s="7">
        <v>0.18634243253376745</v>
      </c>
      <c r="FE42" s="8">
        <v>0.20651979833224768</v>
      </c>
      <c r="FF42" s="8">
        <v>0.19388498841560883</v>
      </c>
      <c r="FG42" s="8">
        <v>0.12695263284031247</v>
      </c>
      <c r="FH42" s="8">
        <v>9.8986714468500561E-2</v>
      </c>
      <c r="FI42" s="8">
        <v>0.10702629899613834</v>
      </c>
      <c r="FJ42" s="8">
        <v>9.4943352625541488E-2</v>
      </c>
      <c r="FK42" s="8">
        <v>8.8500695478225408E-2</v>
      </c>
      <c r="FL42" s="8">
        <v>0.13406815598610075</v>
      </c>
      <c r="FM42" s="8">
        <v>0.15425262884341534</v>
      </c>
      <c r="FN42" s="8">
        <v>0.16716477859951401</v>
      </c>
      <c r="FO42" s="8">
        <v>0.16438491139444283</v>
      </c>
      <c r="FP42" s="8">
        <v>0.16291018060586276</v>
      </c>
      <c r="FZ42" s="6" t="s">
        <v>289</v>
      </c>
      <c r="GA42" s="8">
        <v>0.46601028082641077</v>
      </c>
      <c r="GB42" s="8">
        <v>0.4415419079480688</v>
      </c>
      <c r="GC42" s="8">
        <v>0.44971809003551738</v>
      </c>
      <c r="GD42" s="8">
        <v>0.46573100732395889</v>
      </c>
      <c r="GE42" s="8">
        <v>0.49675331296372677</v>
      </c>
      <c r="GF42" s="8">
        <v>0.52360228602080749</v>
      </c>
      <c r="GG42" s="8">
        <v>0.51357394187042382</v>
      </c>
      <c r="GH42" s="8">
        <v>0.49322666447040314</v>
      </c>
      <c r="GI42" s="8">
        <v>0.49025439944083821</v>
      </c>
      <c r="GJ42" s="8">
        <v>0.50326266699576527</v>
      </c>
      <c r="GK42" s="8">
        <v>0.39559418982004169</v>
      </c>
      <c r="GL42" s="7">
        <v>0.38799329184450609</v>
      </c>
      <c r="GM42" s="8">
        <v>0.38183427305829143</v>
      </c>
      <c r="GN42" s="8">
        <v>0.40908390789179405</v>
      </c>
      <c r="GO42" s="8">
        <v>0.4477813424184186</v>
      </c>
      <c r="GP42" s="8">
        <v>0.46296708799805819</v>
      </c>
      <c r="GQ42" s="8">
        <v>0.47052342213416998</v>
      </c>
      <c r="GR42" s="8">
        <v>0.45971491741983639</v>
      </c>
      <c r="GS42" s="8">
        <v>0.42175544636302964</v>
      </c>
      <c r="GT42" s="8">
        <v>0.39870513416004494</v>
      </c>
      <c r="GU42" s="8">
        <v>0.19845337341991931</v>
      </c>
      <c r="GV42" s="7">
        <v>0.19755822333303583</v>
      </c>
      <c r="GW42" s="8">
        <v>0.19190656902909597</v>
      </c>
      <c r="GX42" s="8">
        <v>0.20794907274923158</v>
      </c>
      <c r="GY42" s="8">
        <v>0.23995517165113819</v>
      </c>
      <c r="GZ42" s="8">
        <v>0.26775238358217196</v>
      </c>
      <c r="HA42" s="8">
        <v>0.28238008539220827</v>
      </c>
      <c r="HB42" s="8">
        <v>0.26997771027469553</v>
      </c>
      <c r="HC42" s="8">
        <v>0.23200928651462285</v>
      </c>
      <c r="HD42" s="8">
        <v>0.20289573998313348</v>
      </c>
      <c r="HE42" s="8">
        <v>0.30289308080950844</v>
      </c>
      <c r="HF42" s="8">
        <v>0.31422945477537245</v>
      </c>
      <c r="HG42" s="7">
        <v>0.31972293919998118</v>
      </c>
      <c r="HH42" s="8">
        <v>0.32942272990892502</v>
      </c>
      <c r="HI42" s="8">
        <v>0.34551200085968525</v>
      </c>
      <c r="HJ42" s="8">
        <v>0.3624937630670334</v>
      </c>
      <c r="HK42" s="8">
        <v>0.35263753940036258</v>
      </c>
      <c r="HL42" s="8">
        <v>0.33536812515076486</v>
      </c>
      <c r="HM42" s="8">
        <v>0.30864622456730528</v>
      </c>
      <c r="HN42" s="8">
        <v>0.30007602275157386</v>
      </c>
      <c r="HP42" s="6" t="s">
        <v>303</v>
      </c>
      <c r="HQ42" s="6" t="s">
        <v>140</v>
      </c>
      <c r="HR42" s="6" t="s">
        <v>141</v>
      </c>
      <c r="HS42" s="8">
        <v>0.81180089420406787</v>
      </c>
    </row>
    <row r="43" spans="2:227" x14ac:dyDescent="0.45">
      <c r="B43" s="3" t="s">
        <v>291</v>
      </c>
      <c r="C43" s="3" t="s">
        <v>131</v>
      </c>
      <c r="D43" s="5">
        <v>0.24463569257730927</v>
      </c>
      <c r="E43" s="5">
        <v>0.25537147970343449</v>
      </c>
      <c r="F43" s="5">
        <v>0.25733219818231562</v>
      </c>
      <c r="G43" s="5">
        <v>0.24625306381135112</v>
      </c>
      <c r="H43" s="5">
        <v>0.24457210380437425</v>
      </c>
      <c r="I43" s="5">
        <v>0.24265625452794853</v>
      </c>
      <c r="J43" s="5">
        <v>0.24678266321841785</v>
      </c>
      <c r="K43" s="5">
        <v>0.24644089692910073</v>
      </c>
      <c r="L43" s="5">
        <v>0.2403554937096366</v>
      </c>
      <c r="M43" s="5">
        <v>0.2356626110864416</v>
      </c>
      <c r="N43" s="5">
        <v>0.28843366844750623</v>
      </c>
      <c r="O43" s="5">
        <v>0.27656589401697113</v>
      </c>
      <c r="P43" s="5">
        <v>0.26625008261338762</v>
      </c>
      <c r="Q43" s="5">
        <v>0.27988355904059364</v>
      </c>
      <c r="R43" s="5">
        <v>0.28245705224757367</v>
      </c>
      <c r="S43" s="5">
        <v>0.27689308684537184</v>
      </c>
      <c r="T43" s="5">
        <v>0.27633217456916326</v>
      </c>
      <c r="U43" s="5">
        <v>0.27817964734948591</v>
      </c>
      <c r="V43" s="5">
        <v>0.28626390649392625</v>
      </c>
      <c r="W43" s="5">
        <v>0.28240983130835629</v>
      </c>
      <c r="X43" s="5">
        <v>0.37165792979444362</v>
      </c>
      <c r="Y43" s="5">
        <v>0.37759128219624299</v>
      </c>
      <c r="Z43" s="5">
        <v>0.40049208488365462</v>
      </c>
      <c r="AA43" s="5">
        <v>0.41975297149303009</v>
      </c>
      <c r="AB43" s="5">
        <v>0.41013877151098282</v>
      </c>
      <c r="AC43" s="5">
        <v>0.38802208608670147</v>
      </c>
      <c r="AD43" s="5">
        <v>0.375039004419356</v>
      </c>
      <c r="AE43" s="5">
        <v>0.37489142741025944</v>
      </c>
      <c r="AF43" s="5">
        <v>0.36647788380249235</v>
      </c>
      <c r="AG43" s="5">
        <v>0.34464486953469753</v>
      </c>
      <c r="AH43" s="5">
        <v>0.2913445968471387</v>
      </c>
      <c r="AI43" s="5">
        <v>0.29438974588727368</v>
      </c>
      <c r="AJ43" s="5">
        <v>0.30341662848199141</v>
      </c>
      <c r="AK43" s="5">
        <v>0.29637642532117869</v>
      </c>
      <c r="AL43" s="5">
        <v>0.30822386871516766</v>
      </c>
      <c r="AM43" s="5">
        <v>0.3129581204913372</v>
      </c>
      <c r="AN43" s="5">
        <v>0.30747172991910182</v>
      </c>
      <c r="AO43" s="5">
        <v>0.28775511376616764</v>
      </c>
      <c r="AP43" s="5">
        <v>0.28686659010043247</v>
      </c>
      <c r="AQ43" s="5">
        <v>0.29502688504746599</v>
      </c>
      <c r="AS43" s="3" t="s">
        <v>291</v>
      </c>
      <c r="AT43" s="3" t="s">
        <v>132</v>
      </c>
      <c r="AU43" s="5">
        <v>1.4955889907437661E-2</v>
      </c>
      <c r="AV43" s="5">
        <v>1.2357132499732389E-2</v>
      </c>
      <c r="AW43" s="5">
        <v>1.2918895073849336E-2</v>
      </c>
      <c r="AX43" s="5">
        <v>1.2603372737601462E-2</v>
      </c>
      <c r="AY43" s="5">
        <v>1.721955305132189E-2</v>
      </c>
      <c r="AZ43" s="5">
        <v>1.6937469630798074E-2</v>
      </c>
      <c r="BA43" s="5">
        <v>1.9426463052633808E-2</v>
      </c>
      <c r="BB43" s="5">
        <v>1.0315418000450244E-2</v>
      </c>
      <c r="BC43" s="5">
        <v>1.8720693331037524E-2</v>
      </c>
      <c r="BD43" s="5">
        <v>1.9770516939888981E-2</v>
      </c>
      <c r="BE43" s="5">
        <v>1.1290453854796025E-2</v>
      </c>
      <c r="BF43" s="5">
        <v>2.7916479281682449E-2</v>
      </c>
      <c r="BG43" s="5">
        <v>2.5538790216926427E-2</v>
      </c>
      <c r="BH43" s="5">
        <v>9.352560134342186E-3</v>
      </c>
      <c r="BI43" s="5">
        <v>1.8049397797540355E-2</v>
      </c>
      <c r="BJ43" s="5">
        <v>1.9156978723382768E-2</v>
      </c>
      <c r="BK43" s="5">
        <v>1.7292518030060666E-2</v>
      </c>
      <c r="BL43" s="4">
        <v>1.4337489796362835E-2</v>
      </c>
      <c r="BM43" s="5">
        <v>1.4984631628917919E-2</v>
      </c>
      <c r="BN43" s="5">
        <v>1.5919147073552711E-2</v>
      </c>
      <c r="BO43" s="5">
        <v>2.9086883609770676E-2</v>
      </c>
      <c r="BP43" s="5">
        <v>2.04595060504245E-2</v>
      </c>
      <c r="BQ43" s="5">
        <v>1.1977133301905312E-2</v>
      </c>
      <c r="BR43" s="5">
        <v>1.6685861815184968E-2</v>
      </c>
      <c r="BS43" s="5">
        <v>1.3453174064905425E-2</v>
      </c>
      <c r="BT43" s="5">
        <v>3.1999451576145393E-2</v>
      </c>
      <c r="BU43" s="5">
        <v>1.6962782575621928E-2</v>
      </c>
      <c r="BV43" s="5">
        <v>1.8173271336053554E-2</v>
      </c>
      <c r="BW43" s="5">
        <v>2.6962085384734637E-2</v>
      </c>
      <c r="BX43" s="5">
        <v>2.1481525045528846E-2</v>
      </c>
      <c r="BY43" s="5">
        <v>2.3700104124392656E-2</v>
      </c>
      <c r="BZ43" s="5">
        <v>3.0507094519453288E-2</v>
      </c>
      <c r="CA43" s="5">
        <v>3.5174632132354638E-2</v>
      </c>
      <c r="CB43" s="5">
        <v>2.9209648538027832E-2</v>
      </c>
      <c r="CC43" s="5">
        <v>4.1207147225499334E-2</v>
      </c>
      <c r="CD43" s="5">
        <v>1.8454904588429442E-2</v>
      </c>
      <c r="CE43" s="5">
        <v>8.7416531391738394E-3</v>
      </c>
      <c r="CF43" s="5">
        <v>1.1624173776533395E-2</v>
      </c>
      <c r="CG43" s="5">
        <v>2.6121222653115884E-2</v>
      </c>
      <c r="CH43" s="5">
        <v>3.3781380396038785E-2</v>
      </c>
      <c r="CJ43" s="3" t="s">
        <v>291</v>
      </c>
      <c r="CK43" s="3" t="s">
        <v>133</v>
      </c>
      <c r="CL43" s="5">
        <v>2.5163112346475086E-2</v>
      </c>
      <c r="CM43" s="5">
        <v>2.257938000418442E-2</v>
      </c>
      <c r="CN43" s="5">
        <v>1.9706732596763785E-2</v>
      </c>
      <c r="CO43" s="5">
        <v>1.3935597125897765E-2</v>
      </c>
      <c r="CP43" s="5">
        <v>1.2709204843378973E-2</v>
      </c>
      <c r="CQ43" s="5">
        <v>1.6384218971760928E-2</v>
      </c>
      <c r="CR43" s="5">
        <v>1.6574680944697329E-2</v>
      </c>
      <c r="CS43" s="5">
        <v>2.7424630303594672E-2</v>
      </c>
      <c r="CT43" s="5">
        <v>1.9992082814917655E-2</v>
      </c>
      <c r="CU43" s="5">
        <v>1.5829971139713999E-2</v>
      </c>
      <c r="CV43" s="5">
        <v>2.4837058451087315E-2</v>
      </c>
      <c r="CW43" s="5">
        <v>4.150410923013978E-3</v>
      </c>
      <c r="CX43" s="5">
        <v>1.0190563772084363E-2</v>
      </c>
      <c r="CY43" s="5">
        <v>2.973060309112651E-2</v>
      </c>
      <c r="CZ43" s="5">
        <v>2.712944252824789E-2</v>
      </c>
      <c r="DA43" s="5">
        <v>1.7167556279564334E-2</v>
      </c>
      <c r="DB43" s="5">
        <v>1.8054654819455708E-2</v>
      </c>
      <c r="DC43" s="5">
        <v>1.98559214721186E-2</v>
      </c>
      <c r="DD43" s="5">
        <v>2.1838653025136059E-2</v>
      </c>
      <c r="DE43" s="5">
        <v>1.9574375209994072E-2</v>
      </c>
      <c r="DF43" s="5">
        <v>3.9051695771765073E-2</v>
      </c>
      <c r="DG43" s="5">
        <v>5.2524552392486615E-2</v>
      </c>
      <c r="DH43" s="5">
        <v>5.5426986727440487E-2</v>
      </c>
      <c r="DI43" s="5">
        <v>4.5747801514819601E-2</v>
      </c>
      <c r="DJ43" s="4">
        <v>2.2140880073555733E-2</v>
      </c>
      <c r="DK43" s="5">
        <v>9.7188795129852252E-3</v>
      </c>
      <c r="DL43" s="5">
        <v>2.086278276292312E-2</v>
      </c>
      <c r="DM43" s="5">
        <v>3.086661124639031E-2</v>
      </c>
      <c r="DN43" s="5">
        <v>3.0773471961135904E-2</v>
      </c>
      <c r="DO43" s="5">
        <v>3.7711538378589836E-2</v>
      </c>
      <c r="DP43" s="5">
        <v>4.767995727565149E-2</v>
      </c>
      <c r="DQ43" s="5">
        <v>3.3340905098469251E-2</v>
      </c>
      <c r="DR43" s="5">
        <v>4.0739991318797956E-2</v>
      </c>
      <c r="DS43" s="5">
        <v>4.7295343179574768E-2</v>
      </c>
      <c r="DT43" s="5">
        <v>5.2916461971399702E-2</v>
      </c>
      <c r="DU43" s="5">
        <v>5.3139156891130461E-2</v>
      </c>
      <c r="DV43" s="5">
        <v>4.0108320625443131E-2</v>
      </c>
      <c r="DW43" s="5">
        <v>1.3118531299296415E-2</v>
      </c>
      <c r="DX43" s="5">
        <v>5.8372465373372562E-3</v>
      </c>
      <c r="DY43" s="5">
        <v>1.3929020282160016E-2</v>
      </c>
      <c r="EA43" s="3" t="s">
        <v>291</v>
      </c>
      <c r="EB43" s="3" t="s">
        <v>134</v>
      </c>
      <c r="EC43" s="5">
        <v>9.5056856980473753E-2</v>
      </c>
      <c r="ED43" s="5">
        <v>0.10846189146218994</v>
      </c>
      <c r="EE43" s="5">
        <v>0.11469027622659961</v>
      </c>
      <c r="EF43" s="5">
        <v>0.11603858055620374</v>
      </c>
      <c r="EG43" s="5">
        <v>0.10597774568569635</v>
      </c>
      <c r="EH43" s="5">
        <v>9.6610143592772049E-2</v>
      </c>
      <c r="EI43" s="5">
        <v>9.7214467417823094E-2</v>
      </c>
      <c r="EJ43" s="5">
        <v>9.8534597692669271E-2</v>
      </c>
      <c r="EK43" s="5">
        <v>9.4565707054730858E-2</v>
      </c>
      <c r="EL43" s="5">
        <v>9.3399842459416835E-2</v>
      </c>
      <c r="EM43" s="5">
        <v>0.13374425901780573</v>
      </c>
      <c r="EN43" s="5">
        <v>0.12494913745013604</v>
      </c>
      <c r="EO43" s="5">
        <v>0.11834169787543805</v>
      </c>
      <c r="EP43" s="5">
        <v>0.11993031223466633</v>
      </c>
      <c r="EQ43" s="5">
        <v>0.11392513079008967</v>
      </c>
      <c r="ER43" s="5">
        <v>0.12204315482660127</v>
      </c>
      <c r="ES43" s="5">
        <v>0.11931553190944212</v>
      </c>
      <c r="ET43" s="5">
        <v>0.11735886319109433</v>
      </c>
      <c r="EU43" s="5">
        <v>0.13041741416323674</v>
      </c>
      <c r="EV43" s="5">
        <v>0.1351740270126483</v>
      </c>
      <c r="EW43" s="5">
        <v>0.18762818465251765</v>
      </c>
      <c r="EX43" s="5">
        <v>0.1886105907729059</v>
      </c>
      <c r="EY43" s="5">
        <v>0.20591133408988671</v>
      </c>
      <c r="EZ43" s="5">
        <v>0.21839291618249906</v>
      </c>
      <c r="FA43" s="5">
        <v>0.23629406239635134</v>
      </c>
      <c r="FB43" s="5">
        <v>0.21193353374958709</v>
      </c>
      <c r="FC43" s="5">
        <v>0.20575489188144741</v>
      </c>
      <c r="FD43" s="4">
        <v>0.19208218801363636</v>
      </c>
      <c r="FE43" s="5">
        <v>0.18934670275838283</v>
      </c>
      <c r="FF43" s="5">
        <v>0.1806097531739809</v>
      </c>
      <c r="FG43" s="5">
        <v>0.10447971867172</v>
      </c>
      <c r="FH43" s="5">
        <v>0.11603640514849976</v>
      </c>
      <c r="FI43" s="5">
        <v>0.10100489968358146</v>
      </c>
      <c r="FJ43" s="5">
        <v>0.10334794978064947</v>
      </c>
      <c r="FK43" s="5">
        <v>0.1023700585960115</v>
      </c>
      <c r="FL43" s="5">
        <v>0.11771433575937752</v>
      </c>
      <c r="FM43" s="5">
        <v>0.13708406523792849</v>
      </c>
      <c r="FN43" s="5">
        <v>0.15774965902865512</v>
      </c>
      <c r="FO43" s="5">
        <v>0.14979353830987649</v>
      </c>
      <c r="FP43" s="5">
        <v>0.13464070296844466</v>
      </c>
      <c r="FZ43" s="3" t="s">
        <v>291</v>
      </c>
      <c r="GA43" s="5">
        <v>0.53676231834486454</v>
      </c>
      <c r="GB43" s="5">
        <v>0.51128797307861873</v>
      </c>
      <c r="GC43" s="5">
        <v>0.51000991821510067</v>
      </c>
      <c r="GD43" s="5">
        <v>0.52751606496150139</v>
      </c>
      <c r="GE43" s="5">
        <v>0.54566286053185253</v>
      </c>
      <c r="GF43" s="5">
        <v>0.56596238015207212</v>
      </c>
      <c r="GG43" s="5">
        <v>0.56133638647788076</v>
      </c>
      <c r="GH43" s="5">
        <v>0.5497284303322918</v>
      </c>
      <c r="GI43" s="5">
        <v>0.5537729978418251</v>
      </c>
      <c r="GJ43" s="5">
        <v>0.5659854378106719</v>
      </c>
      <c r="GK43" s="5">
        <v>0.42730546267713099</v>
      </c>
      <c r="GL43" s="4">
        <v>0.43390219803958724</v>
      </c>
      <c r="GM43" s="5">
        <v>0.43377137581210101</v>
      </c>
      <c r="GN43" s="5">
        <v>0.45039698998913574</v>
      </c>
      <c r="GO43" s="5">
        <v>0.48989167104443221</v>
      </c>
      <c r="GP43" s="5">
        <v>0.50153462484972866</v>
      </c>
      <c r="GQ43" s="5">
        <v>0.50074408434685946</v>
      </c>
      <c r="GR43" s="5">
        <v>0.49251274730488093</v>
      </c>
      <c r="GS43" s="5">
        <v>0.45908590248773745</v>
      </c>
      <c r="GT43" s="5">
        <v>0.43252059036416318</v>
      </c>
      <c r="GU43" s="5">
        <v>0.23931055946102575</v>
      </c>
      <c r="GV43" s="4">
        <v>0.23676012202677515</v>
      </c>
      <c r="GW43" s="5">
        <v>0.23228358054930592</v>
      </c>
      <c r="GX43" s="5">
        <v>0.24572014440654269</v>
      </c>
      <c r="GY43" s="5">
        <v>0.25729675163988891</v>
      </c>
      <c r="GZ43" s="5">
        <v>0.27533807529715693</v>
      </c>
      <c r="HA43" s="5">
        <v>0.28725626671932247</v>
      </c>
      <c r="HB43" s="5">
        <v>0.27793740778775733</v>
      </c>
      <c r="HC43" s="5">
        <v>0.2513841850687743</v>
      </c>
      <c r="HD43" s="5">
        <v>0.233438097668005</v>
      </c>
      <c r="HE43" s="5">
        <v>0.37066978520710259</v>
      </c>
      <c r="HF43" s="5">
        <v>0.38615934047391887</v>
      </c>
      <c r="HG43" s="4">
        <v>0.39458662702241737</v>
      </c>
      <c r="HH43" s="5">
        <v>0.40494393905046955</v>
      </c>
      <c r="HI43" s="5">
        <v>0.41000648809737322</v>
      </c>
      <c r="HJ43" s="5">
        <v>0.41737940988208483</v>
      </c>
      <c r="HK43" s="5">
        <v>0.41531244946714896</v>
      </c>
      <c r="HL43" s="5">
        <v>0.39247353950684721</v>
      </c>
      <c r="HM43" s="5">
        <v>0.372391891608921</v>
      </c>
      <c r="HN43" s="5">
        <v>0.36869130581762966</v>
      </c>
      <c r="HP43" s="3" t="s">
        <v>304</v>
      </c>
      <c r="HQ43" s="3" t="s">
        <v>140</v>
      </c>
      <c r="HR43" s="3" t="s">
        <v>141</v>
      </c>
      <c r="HS43" s="5">
        <v>0.77473997096279024</v>
      </c>
    </row>
    <row r="44" spans="2:227" x14ac:dyDescent="0.45">
      <c r="B44" s="6" t="s">
        <v>293</v>
      </c>
      <c r="C44" s="6" t="s">
        <v>131</v>
      </c>
      <c r="D44" s="8">
        <v>0.26887226816018467</v>
      </c>
      <c r="E44" s="8">
        <v>0.27382279833034789</v>
      </c>
      <c r="F44" s="8">
        <v>0.27815464446371307</v>
      </c>
      <c r="G44" s="8">
        <v>0.27773946197817345</v>
      </c>
      <c r="H44" s="8">
        <v>0.28648712724666336</v>
      </c>
      <c r="I44" s="8">
        <v>0.28779169103320523</v>
      </c>
      <c r="J44" s="8">
        <v>0.28827427285273849</v>
      </c>
      <c r="K44" s="8">
        <v>0.28270225824706835</v>
      </c>
      <c r="L44" s="8">
        <v>0.26382305738918088</v>
      </c>
      <c r="M44" s="8">
        <v>0.26808495680680045</v>
      </c>
      <c r="N44" s="8">
        <v>0.29478834055448844</v>
      </c>
      <c r="O44" s="8">
        <v>0.28827812754120602</v>
      </c>
      <c r="P44" s="8">
        <v>0.28025265769437974</v>
      </c>
      <c r="Q44" s="8">
        <v>0.30237803600043373</v>
      </c>
      <c r="R44" s="8">
        <v>0.30308802286887643</v>
      </c>
      <c r="S44" s="8">
        <v>0.30097273533763164</v>
      </c>
      <c r="T44" s="8">
        <v>0.30493168893111822</v>
      </c>
      <c r="U44" s="8">
        <v>0.3130017595539617</v>
      </c>
      <c r="V44" s="8">
        <v>0.32076908502931017</v>
      </c>
      <c r="W44" s="8">
        <v>0.30483654131023225</v>
      </c>
      <c r="X44" s="8">
        <v>0.34650205357180575</v>
      </c>
      <c r="Y44" s="8">
        <v>0.3662845987664386</v>
      </c>
      <c r="Z44" s="8">
        <v>0.40692047949378046</v>
      </c>
      <c r="AA44" s="8">
        <v>0.45125832137793648</v>
      </c>
      <c r="AB44" s="8">
        <v>0.43889019701063525</v>
      </c>
      <c r="AC44" s="8">
        <v>0.41570528785968808</v>
      </c>
      <c r="AD44" s="8">
        <v>0.40647861626917975</v>
      </c>
      <c r="AE44" s="8">
        <v>0.39918172906453298</v>
      </c>
      <c r="AF44" s="8">
        <v>0.38167231056176398</v>
      </c>
      <c r="AG44" s="8">
        <v>0.33948398157722787</v>
      </c>
      <c r="AH44" s="8">
        <v>0.27252933856879941</v>
      </c>
      <c r="AI44" s="8">
        <v>0.286721596469458</v>
      </c>
      <c r="AJ44" s="8">
        <v>0.29375725182425866</v>
      </c>
      <c r="AK44" s="8">
        <v>0.29112861219338493</v>
      </c>
      <c r="AL44" s="8">
        <v>0.3032063786932746</v>
      </c>
      <c r="AM44" s="8">
        <v>0.31884435834643754</v>
      </c>
      <c r="AN44" s="8">
        <v>0.31890135291033289</v>
      </c>
      <c r="AO44" s="8">
        <v>0.30184547369512321</v>
      </c>
      <c r="AP44" s="8">
        <v>0.27891643781145686</v>
      </c>
      <c r="AQ44" s="8">
        <v>0.2819697863046321</v>
      </c>
      <c r="AS44" s="6" t="s">
        <v>293</v>
      </c>
      <c r="AT44" s="6" t="s">
        <v>132</v>
      </c>
      <c r="AU44" s="8">
        <v>2.171115076974376E-2</v>
      </c>
      <c r="AV44" s="8">
        <v>6.3511373094098439E-3</v>
      </c>
      <c r="AW44" s="8">
        <v>1.0707497987442244E-2</v>
      </c>
      <c r="AX44" s="8">
        <v>1.3924572465103957E-2</v>
      </c>
      <c r="AY44" s="8">
        <v>1.17301861340254E-2</v>
      </c>
      <c r="AZ44" s="8">
        <v>2.030492696287222E-2</v>
      </c>
      <c r="BA44" s="8">
        <v>2.5233712743308715E-2</v>
      </c>
      <c r="BB44" s="8">
        <v>2.6327062607340076E-2</v>
      </c>
      <c r="BC44" s="8">
        <v>1.6355466848615597E-2</v>
      </c>
      <c r="BD44" s="8">
        <v>2.5190561079601801E-2</v>
      </c>
      <c r="BE44" s="8">
        <v>2.4895031280870158E-2</v>
      </c>
      <c r="BF44" s="8">
        <v>2.2910080221316156E-2</v>
      </c>
      <c r="BG44" s="8">
        <v>3.3126203950971017E-2</v>
      </c>
      <c r="BH44" s="8">
        <v>2.4735671144941788E-2</v>
      </c>
      <c r="BI44" s="8">
        <v>2.2290739459349434E-2</v>
      </c>
      <c r="BJ44" s="8">
        <v>2.3598885025860911E-2</v>
      </c>
      <c r="BK44" s="8">
        <v>1.9801726428983299E-2</v>
      </c>
      <c r="BL44" s="7">
        <v>5.5815830209374466E-4</v>
      </c>
      <c r="BM44" s="8">
        <v>7.6737833298496103E-3</v>
      </c>
      <c r="BN44" s="8">
        <v>1.3011113980604694E-2</v>
      </c>
      <c r="BO44" s="8">
        <v>2.5833761566544371E-2</v>
      </c>
      <c r="BP44" s="8">
        <v>2.1955579077921256E-2</v>
      </c>
      <c r="BQ44" s="8">
        <v>2.2412459769733429E-2</v>
      </c>
      <c r="BR44" s="8">
        <v>2.8157656891447645E-2</v>
      </c>
      <c r="BS44" s="8">
        <v>4.7173978114341611E-2</v>
      </c>
      <c r="BT44" s="8">
        <v>3.7356270882362402E-2</v>
      </c>
      <c r="BU44" s="8">
        <v>3.6263329855033409E-2</v>
      </c>
      <c r="BV44" s="8">
        <v>2.2888429535599216E-2</v>
      </c>
      <c r="BW44" s="8">
        <v>1.4480216147805014E-2</v>
      </c>
      <c r="BX44" s="8">
        <v>2.2294279207979838E-2</v>
      </c>
      <c r="BY44" s="8">
        <v>2.4525499281998847E-2</v>
      </c>
      <c r="BZ44" s="8">
        <v>4.0714825145655553E-2</v>
      </c>
      <c r="CA44" s="8">
        <v>5.2147024699350009E-2</v>
      </c>
      <c r="CB44" s="8">
        <v>5.0130063814471139E-2</v>
      </c>
      <c r="CC44" s="8">
        <v>4.8148268879777245E-2</v>
      </c>
      <c r="CD44" s="8">
        <v>3.282871261586822E-2</v>
      </c>
      <c r="CE44" s="8">
        <v>1.5429861776070161E-2</v>
      </c>
      <c r="CF44" s="8">
        <v>1.0595065954542831E-2</v>
      </c>
      <c r="CG44" s="8">
        <v>1.6818050840678746E-2</v>
      </c>
      <c r="CH44" s="8">
        <v>2.607916515419751E-2</v>
      </c>
      <c r="CJ44" s="6" t="s">
        <v>293</v>
      </c>
      <c r="CK44" s="6" t="s">
        <v>133</v>
      </c>
      <c r="CL44" s="8">
        <v>2.2250052351191069E-2</v>
      </c>
      <c r="CM44" s="8">
        <v>3.184781890328596E-2</v>
      </c>
      <c r="CN44" s="8">
        <v>3.4747817688716889E-2</v>
      </c>
      <c r="CO44" s="8">
        <v>1.0270495674510605E-2</v>
      </c>
      <c r="CP44" s="8">
        <v>9.9465181510219186E-3</v>
      </c>
      <c r="CQ44" s="8">
        <v>1.1908707711385523E-2</v>
      </c>
      <c r="CR44" s="8">
        <v>9.7403231166940194E-3</v>
      </c>
      <c r="CS44" s="8">
        <v>1.6965682328355592E-2</v>
      </c>
      <c r="CT44" s="8">
        <v>2.5851526753298541E-2</v>
      </c>
      <c r="CU44" s="8">
        <v>2.7119688449520368E-2</v>
      </c>
      <c r="CV44" s="8">
        <v>1.950045779547362E-2</v>
      </c>
      <c r="CW44" s="8">
        <v>2.8703917117746905E-2</v>
      </c>
      <c r="CX44" s="8">
        <v>1.579307319601746E-2</v>
      </c>
      <c r="CY44" s="8">
        <v>2.8137369169889494E-2</v>
      </c>
      <c r="CZ44" s="8">
        <v>3.2569688059706947E-2</v>
      </c>
      <c r="DA44" s="8">
        <v>2.6827976449919171E-2</v>
      </c>
      <c r="DB44" s="8">
        <v>2.0509826194274335E-2</v>
      </c>
      <c r="DC44" s="8">
        <v>3.0799295417170119E-2</v>
      </c>
      <c r="DD44" s="8">
        <v>3.8422323821661233E-2</v>
      </c>
      <c r="DE44" s="8">
        <v>6.7852909159582826E-3</v>
      </c>
      <c r="DF44" s="8">
        <v>2.8536893117636436E-2</v>
      </c>
      <c r="DG44" s="8">
        <v>5.6084901944404839E-2</v>
      </c>
      <c r="DH44" s="8">
        <v>4.7401752920212627E-2</v>
      </c>
      <c r="DI44" s="8">
        <v>3.4097104347134505E-2</v>
      </c>
      <c r="DJ44" s="7">
        <v>3.4138837479137832E-2</v>
      </c>
      <c r="DK44" s="8">
        <v>4.2773490496683268E-2</v>
      </c>
      <c r="DL44" s="8">
        <v>4.2793059831922851E-2</v>
      </c>
      <c r="DM44" s="8">
        <v>4.7044693580251665E-2</v>
      </c>
      <c r="DN44" s="8">
        <v>3.637187557575261E-2</v>
      </c>
      <c r="DO44" s="8">
        <v>3.8940594919290902E-2</v>
      </c>
      <c r="DP44" s="8">
        <v>3.1259470775716877E-2</v>
      </c>
      <c r="DQ44" s="8">
        <v>3.7580589076949091E-2</v>
      </c>
      <c r="DR44" s="8">
        <v>4.2623657145817416E-2</v>
      </c>
      <c r="DS44" s="8">
        <v>4.7980622757473328E-2</v>
      </c>
      <c r="DT44" s="8">
        <v>6.2614131594659353E-2</v>
      </c>
      <c r="DU44" s="8">
        <v>8.110224597483838E-2</v>
      </c>
      <c r="DV44" s="8">
        <v>5.2589911115345361E-2</v>
      </c>
      <c r="DW44" s="8">
        <v>2.6189916026235549E-2</v>
      </c>
      <c r="DX44" s="8">
        <v>9.0019773184260386E-3</v>
      </c>
      <c r="DY44" s="8">
        <v>1.5724538889535442E-2</v>
      </c>
      <c r="EA44" s="6" t="s">
        <v>293</v>
      </c>
      <c r="EB44" s="6" t="s">
        <v>134</v>
      </c>
      <c r="EC44" s="8">
        <v>0.11002880088963492</v>
      </c>
      <c r="ED44" s="8">
        <v>0.12552349132228591</v>
      </c>
      <c r="EE44" s="8">
        <v>0.12394038080784682</v>
      </c>
      <c r="EF44" s="8">
        <v>0.1414885362616676</v>
      </c>
      <c r="EG44" s="8">
        <v>0.14021560761609447</v>
      </c>
      <c r="EH44" s="8">
        <v>0.12991710858248964</v>
      </c>
      <c r="EI44" s="8">
        <v>0.12975999539741681</v>
      </c>
      <c r="EJ44" s="8">
        <v>0.12209905039676344</v>
      </c>
      <c r="EK44" s="8">
        <v>0.1123622018114761</v>
      </c>
      <c r="EL44" s="8">
        <v>9.8908700065597668E-2</v>
      </c>
      <c r="EM44" s="8">
        <v>0.13342670675586865</v>
      </c>
      <c r="EN44" s="8">
        <v>0.12142710935734341</v>
      </c>
      <c r="EO44" s="8">
        <v>0.12107744776987865</v>
      </c>
      <c r="EP44" s="8">
        <v>0.13304614558447508</v>
      </c>
      <c r="EQ44" s="8">
        <v>0.12242064428539035</v>
      </c>
      <c r="ER44" s="8">
        <v>0.13105919522146545</v>
      </c>
      <c r="ES44" s="8">
        <v>0.14020965519888395</v>
      </c>
      <c r="ET44" s="8">
        <v>0.15372014261750716</v>
      </c>
      <c r="EU44" s="8">
        <v>0.15993487772959708</v>
      </c>
      <c r="EV44" s="8">
        <v>0.16862634888497371</v>
      </c>
      <c r="EW44" s="8">
        <v>0.19192284959904687</v>
      </c>
      <c r="EX44" s="8">
        <v>0.18533906912195977</v>
      </c>
      <c r="EY44" s="8">
        <v>0.21816870508400743</v>
      </c>
      <c r="EZ44" s="8">
        <v>0.25291673773449685</v>
      </c>
      <c r="FA44" s="8">
        <v>0.22682621958353921</v>
      </c>
      <c r="FB44" s="8">
        <v>0.193207591313142</v>
      </c>
      <c r="FC44" s="8">
        <v>0.18410149937210851</v>
      </c>
      <c r="FD44" s="7">
        <v>0.19088796924849344</v>
      </c>
      <c r="FE44" s="8">
        <v>0.21177389769938859</v>
      </c>
      <c r="FF44" s="8">
        <v>0.17902629044730178</v>
      </c>
      <c r="FG44" s="8">
        <v>0.11955352593259919</v>
      </c>
      <c r="FH44" s="8">
        <v>0.10709422601460117</v>
      </c>
      <c r="FI44" s="8">
        <v>0.1005152486529577</v>
      </c>
      <c r="FJ44" s="8">
        <v>9.1222647637775295E-2</v>
      </c>
      <c r="FK44" s="8">
        <v>8.236542676659131E-2</v>
      </c>
      <c r="FL44" s="8">
        <v>9.4032206561984827E-2</v>
      </c>
      <c r="FM44" s="8">
        <v>0.13820567221370078</v>
      </c>
      <c r="FN44" s="8">
        <v>0.16284493371472289</v>
      </c>
      <c r="FO44" s="8">
        <v>0.16228364099013204</v>
      </c>
      <c r="FP44" s="8">
        <v>0.14298929792644782</v>
      </c>
      <c r="FZ44" s="6" t="s">
        <v>293</v>
      </c>
      <c r="GA44" s="8">
        <v>0.50103147795694691</v>
      </c>
      <c r="GB44" s="8">
        <v>0.47364178539119656</v>
      </c>
      <c r="GC44" s="8">
        <v>0.46800793751409847</v>
      </c>
      <c r="GD44" s="8">
        <v>0.48255832591371395</v>
      </c>
      <c r="GE44" s="8">
        <v>0.4867928668305756</v>
      </c>
      <c r="GF44" s="8">
        <v>0.50324847507115322</v>
      </c>
      <c r="GG44" s="8">
        <v>0.51056023886358093</v>
      </c>
      <c r="GH44" s="8">
        <v>0.50297519541802593</v>
      </c>
      <c r="GI44" s="8">
        <v>0.50398156935961058</v>
      </c>
      <c r="GJ44" s="8">
        <v>0.52484201085981264</v>
      </c>
      <c r="GK44" s="8">
        <v>0.40967571098069006</v>
      </c>
      <c r="GL44" s="7">
        <v>0.41311017013212786</v>
      </c>
      <c r="GM44" s="8">
        <v>0.41126105327423162</v>
      </c>
      <c r="GN44" s="8">
        <v>0.43295790006811569</v>
      </c>
      <c r="GO44" s="8">
        <v>0.45550508713035698</v>
      </c>
      <c r="GP44" s="8">
        <v>0.45776033635632751</v>
      </c>
      <c r="GQ44" s="8">
        <v>0.45707886819534232</v>
      </c>
      <c r="GR44" s="8">
        <v>0.44237197395787498</v>
      </c>
      <c r="GS44" s="8">
        <v>0.40099046025886925</v>
      </c>
      <c r="GT44" s="8">
        <v>0.40167234770497579</v>
      </c>
      <c r="GU44" s="8">
        <v>0.20450691162350218</v>
      </c>
      <c r="GV44" s="7">
        <v>0.2056836529039244</v>
      </c>
      <c r="GW44" s="8">
        <v>0.20430195141966895</v>
      </c>
      <c r="GX44" s="8">
        <v>0.21451288341993022</v>
      </c>
      <c r="GY44" s="8">
        <v>0.21976697426815631</v>
      </c>
      <c r="GZ44" s="8">
        <v>0.24796229870055991</v>
      </c>
      <c r="HA44" s="8">
        <v>0.26288186508713429</v>
      </c>
      <c r="HB44" s="8">
        <v>0.25673736200034225</v>
      </c>
      <c r="HC44" s="8">
        <v>0.22162755004199983</v>
      </c>
      <c r="HD44" s="8">
        <v>0.21054688163141197</v>
      </c>
      <c r="HE44" s="8">
        <v>0.34067103625647971</v>
      </c>
      <c r="HF44" s="8">
        <v>0.34787071543986198</v>
      </c>
      <c r="HG44" s="7">
        <v>0.36104446016043484</v>
      </c>
      <c r="HH44" s="8">
        <v>0.37499382686992533</v>
      </c>
      <c r="HI44" s="8">
        <v>0.37525233535691171</v>
      </c>
      <c r="HJ44" s="8">
        <v>0.3866584780300325</v>
      </c>
      <c r="HK44" s="8">
        <v>0.37813252622152871</v>
      </c>
      <c r="HL44" s="8">
        <v>0.34364626107472901</v>
      </c>
      <c r="HM44" s="8">
        <v>0.34111084909039618</v>
      </c>
      <c r="HN44" s="8">
        <v>0.35174276343423178</v>
      </c>
      <c r="HP44" s="6" t="s">
        <v>305</v>
      </c>
      <c r="HQ44" s="6" t="s">
        <v>140</v>
      </c>
      <c r="HR44" s="6" t="s">
        <v>141</v>
      </c>
      <c r="HS44" s="8">
        <v>0.74393679271725321</v>
      </c>
    </row>
    <row r="45" spans="2:227" x14ac:dyDescent="0.45">
      <c r="B45" s="3" t="s">
        <v>295</v>
      </c>
      <c r="C45" s="3" t="s">
        <v>131</v>
      </c>
      <c r="D45" s="5">
        <v>0.2742031090714509</v>
      </c>
      <c r="E45" s="5">
        <v>0.27771433039735682</v>
      </c>
      <c r="F45" s="5">
        <v>0.28527608276032906</v>
      </c>
      <c r="G45" s="5">
        <v>0.28476431642861905</v>
      </c>
      <c r="H45" s="5">
        <v>0.28948261073460313</v>
      </c>
      <c r="I45" s="5">
        <v>0.28282019357967503</v>
      </c>
      <c r="J45" s="5">
        <v>0.28065335852723633</v>
      </c>
      <c r="K45" s="5">
        <v>0.2806714553369567</v>
      </c>
      <c r="L45" s="5">
        <v>0.27239851754739408</v>
      </c>
      <c r="M45" s="5">
        <v>0.27180995519631501</v>
      </c>
      <c r="N45" s="5">
        <v>0.31415856412732546</v>
      </c>
      <c r="O45" s="5">
        <v>0.2989625765327944</v>
      </c>
      <c r="P45" s="5">
        <v>0.28957750975207153</v>
      </c>
      <c r="Q45" s="5">
        <v>0.31108919123798545</v>
      </c>
      <c r="R45" s="5">
        <v>0.3034499153615508</v>
      </c>
      <c r="S45" s="5">
        <v>0.30994347862124894</v>
      </c>
      <c r="T45" s="5">
        <v>0.30069051889348086</v>
      </c>
      <c r="U45" s="5">
        <v>0.30839772347065242</v>
      </c>
      <c r="V45" s="5">
        <v>0.31732763710335876</v>
      </c>
      <c r="W45" s="5">
        <v>0.31628051592848666</v>
      </c>
      <c r="X45" s="5">
        <v>0.39764785743878617</v>
      </c>
      <c r="Y45" s="5">
        <v>0.39467106540765867</v>
      </c>
      <c r="Z45" s="5">
        <v>0.41614007663840524</v>
      </c>
      <c r="AA45" s="5">
        <v>0.44788900599421866</v>
      </c>
      <c r="AB45" s="5">
        <v>0.42495419005485779</v>
      </c>
      <c r="AC45" s="5">
        <v>0.40785712042960726</v>
      </c>
      <c r="AD45" s="5">
        <v>0.40243474214809094</v>
      </c>
      <c r="AE45" s="5">
        <v>0.40467258927672228</v>
      </c>
      <c r="AF45" s="5">
        <v>0.39409738429550678</v>
      </c>
      <c r="AG45" s="5">
        <v>0.3600386613933923</v>
      </c>
      <c r="AH45" s="5">
        <v>0.31100819873003049</v>
      </c>
      <c r="AI45" s="5">
        <v>0.30985818228588274</v>
      </c>
      <c r="AJ45" s="5">
        <v>0.31088761854407243</v>
      </c>
      <c r="AK45" s="5">
        <v>0.30951212993841842</v>
      </c>
      <c r="AL45" s="5">
        <v>0.31654733033252491</v>
      </c>
      <c r="AM45" s="5">
        <v>0.33060158351060254</v>
      </c>
      <c r="AN45" s="5">
        <v>0.34013133184058292</v>
      </c>
      <c r="AO45" s="5">
        <v>0.32083865159363056</v>
      </c>
      <c r="AP45" s="5">
        <v>0.29667306014190353</v>
      </c>
      <c r="AQ45" s="5">
        <v>0.30548546375286367</v>
      </c>
      <c r="AS45" s="3" t="s">
        <v>295</v>
      </c>
      <c r="AT45" s="3" t="s">
        <v>132</v>
      </c>
      <c r="AU45" s="5">
        <v>2.4920711124437375E-2</v>
      </c>
      <c r="AV45" s="5">
        <v>9.454500117112621E-3</v>
      </c>
      <c r="AW45" s="5">
        <v>2.0800042033792307E-2</v>
      </c>
      <c r="AX45" s="5">
        <v>1.666653776406981E-2</v>
      </c>
      <c r="AY45" s="5">
        <v>1.1455248293805006E-2</v>
      </c>
      <c r="AZ45" s="5">
        <v>1.4844473170313318E-2</v>
      </c>
      <c r="BA45" s="5">
        <v>2.0362561176103793E-2</v>
      </c>
      <c r="BB45" s="5">
        <v>1.9583810383787422E-2</v>
      </c>
      <c r="BC45" s="5">
        <v>2.2784857870063784E-2</v>
      </c>
      <c r="BD45" s="5">
        <v>3.1345390604482007E-2</v>
      </c>
      <c r="BE45" s="5">
        <v>1.5955461678456323E-2</v>
      </c>
      <c r="BF45" s="5">
        <v>3.4091555373507332E-2</v>
      </c>
      <c r="BG45" s="5">
        <v>3.1024137398609829E-2</v>
      </c>
      <c r="BH45" s="5">
        <v>2.9809140281019563E-2</v>
      </c>
      <c r="BI45" s="5">
        <v>2.8309805141906785E-2</v>
      </c>
      <c r="BJ45" s="5">
        <v>3.0114090901650417E-2</v>
      </c>
      <c r="BK45" s="5">
        <v>1.5224761578387277E-2</v>
      </c>
      <c r="BL45" s="4">
        <v>1.1251941729911315E-2</v>
      </c>
      <c r="BM45" s="5">
        <v>1.9260622682333368E-2</v>
      </c>
      <c r="BN45" s="5">
        <v>1.6196802940794758E-2</v>
      </c>
      <c r="BO45" s="5">
        <v>2.6101962616171665E-2</v>
      </c>
      <c r="BP45" s="5">
        <v>1.8973507025880156E-2</v>
      </c>
      <c r="BQ45" s="5">
        <v>1.0443005677556015E-2</v>
      </c>
      <c r="BR45" s="5">
        <v>2.2902294867274828E-2</v>
      </c>
      <c r="BS45" s="5">
        <v>1.2525855270891629E-2</v>
      </c>
      <c r="BT45" s="5">
        <v>1.656263781963074E-2</v>
      </c>
      <c r="BU45" s="5">
        <v>2.7676613305581965E-2</v>
      </c>
      <c r="BV45" s="5">
        <v>2.9695905227058516E-2</v>
      </c>
      <c r="BW45" s="5">
        <v>1.7864466578394231E-2</v>
      </c>
      <c r="BX45" s="5">
        <v>4.1772030916525482E-2</v>
      </c>
      <c r="BY45" s="5">
        <v>2.7082447286793824E-2</v>
      </c>
      <c r="BZ45" s="5">
        <v>3.0479263793542356E-2</v>
      </c>
      <c r="CA45" s="5">
        <v>4.2237514382814659E-2</v>
      </c>
      <c r="CB45" s="5">
        <v>5.1926722001933094E-2</v>
      </c>
      <c r="CC45" s="5">
        <v>4.8156224832144837E-2</v>
      </c>
      <c r="CD45" s="5">
        <v>5.1292631520462949E-2</v>
      </c>
      <c r="CE45" s="5">
        <v>2.0378310726244356E-2</v>
      </c>
      <c r="CF45" s="5">
        <v>6.2739539401522231E-3</v>
      </c>
      <c r="CG45" s="5">
        <v>2.1534953196083954E-2</v>
      </c>
      <c r="CH45" s="5">
        <v>3.1280941353006506E-2</v>
      </c>
      <c r="CJ45" s="3" t="s">
        <v>295</v>
      </c>
      <c r="CK45" s="3" t="s">
        <v>133</v>
      </c>
      <c r="CL45" s="5">
        <v>3.3940206837672751E-2</v>
      </c>
      <c r="CM45" s="5">
        <v>3.7158838635380192E-2</v>
      </c>
      <c r="CN45" s="5">
        <v>3.1200118929616702E-2</v>
      </c>
      <c r="CO45" s="5">
        <v>1.3839481187535354E-2</v>
      </c>
      <c r="CP45" s="5">
        <v>2.4112229691240262E-2</v>
      </c>
      <c r="CQ45" s="5">
        <v>2.3644465521067796E-2</v>
      </c>
      <c r="CR45" s="5">
        <v>1.5594771376531336E-2</v>
      </c>
      <c r="CS45" s="5">
        <v>1.8557161903706813E-2</v>
      </c>
      <c r="CT45" s="5">
        <v>1.4122542529951432E-2</v>
      </c>
      <c r="CU45" s="5">
        <v>1.9993188859990657E-2</v>
      </c>
      <c r="CV45" s="5">
        <v>2.5371280847228238E-2</v>
      </c>
      <c r="CW45" s="5">
        <v>2.9663379372994176E-3</v>
      </c>
      <c r="CX45" s="5">
        <v>2.1438844587135599E-2</v>
      </c>
      <c r="CY45" s="5">
        <v>3.2514573817378004E-2</v>
      </c>
      <c r="CZ45" s="5">
        <v>2.8881425928168121E-2</v>
      </c>
      <c r="DA45" s="5">
        <v>2.47401068580708E-2</v>
      </c>
      <c r="DB45" s="5">
        <v>1.8509835123570316E-2</v>
      </c>
      <c r="DC45" s="5">
        <v>2.9668895678373653E-2</v>
      </c>
      <c r="DD45" s="5">
        <v>1.648408914359133E-2</v>
      </c>
      <c r="DE45" s="5">
        <v>1.3298658322464683E-2</v>
      </c>
      <c r="DF45" s="5">
        <v>4.3631705804213418E-2</v>
      </c>
      <c r="DG45" s="5">
        <v>4.7088395755228808E-2</v>
      </c>
      <c r="DH45" s="5">
        <v>6.2390673899575519E-2</v>
      </c>
      <c r="DI45" s="5">
        <v>3.2129301961361614E-2</v>
      </c>
      <c r="DJ45" s="4">
        <v>4.4966267573796993E-2</v>
      </c>
      <c r="DK45" s="5">
        <v>5.2432669662165865E-2</v>
      </c>
      <c r="DL45" s="5">
        <v>1.4956809080966334E-2</v>
      </c>
      <c r="DM45" s="5">
        <v>1.5374733943090097E-2</v>
      </c>
      <c r="DN45" s="5">
        <v>3.4209245955302822E-2</v>
      </c>
      <c r="DO45" s="5">
        <v>4.6636262088866537E-2</v>
      </c>
      <c r="DP45" s="5">
        <v>4.4251462286332782E-2</v>
      </c>
      <c r="DQ45" s="5">
        <v>4.3776733646221429E-2</v>
      </c>
      <c r="DR45" s="5">
        <v>4.2934010836389341E-2</v>
      </c>
      <c r="DS45" s="5">
        <v>3.3518210720382434E-2</v>
      </c>
      <c r="DT45" s="5">
        <v>5.1340418156097377E-2</v>
      </c>
      <c r="DU45" s="5">
        <v>5.1484751845038403E-2</v>
      </c>
      <c r="DV45" s="5">
        <v>6.3765278421723803E-2</v>
      </c>
      <c r="DW45" s="5">
        <v>4.4438349202947758E-2</v>
      </c>
      <c r="DX45" s="5">
        <v>1.4382497565662001E-2</v>
      </c>
      <c r="DY45" s="5">
        <v>1.408025325642976E-2</v>
      </c>
      <c r="EA45" s="3" t="s">
        <v>295</v>
      </c>
      <c r="EB45" s="3" t="s">
        <v>134</v>
      </c>
      <c r="EC45" s="5">
        <v>9.5776008733100784E-2</v>
      </c>
      <c r="ED45" s="5">
        <v>0.11367796884584024</v>
      </c>
      <c r="EE45" s="5">
        <v>0.11728257146174532</v>
      </c>
      <c r="EF45" s="5">
        <v>0.14034281819598116</v>
      </c>
      <c r="EG45" s="5">
        <v>0.13562345146595334</v>
      </c>
      <c r="EH45" s="5">
        <v>0.12435072826538232</v>
      </c>
      <c r="EI45" s="5">
        <v>0.12548502872765152</v>
      </c>
      <c r="EJ45" s="5">
        <v>0.12479906276065972</v>
      </c>
      <c r="EK45" s="5">
        <v>0.12111828654697838</v>
      </c>
      <c r="EL45" s="5">
        <v>0.1013767299808048</v>
      </c>
      <c r="EM45" s="5">
        <v>0.15242713550728199</v>
      </c>
      <c r="EN45" s="5">
        <v>0.14069426376198046</v>
      </c>
      <c r="EO45" s="5">
        <v>0.12342323019119461</v>
      </c>
      <c r="EP45" s="5">
        <v>0.11925706812555763</v>
      </c>
      <c r="EQ45" s="5">
        <v>0.11796652715833053</v>
      </c>
      <c r="ER45" s="5">
        <v>0.12285293206487406</v>
      </c>
      <c r="ES45" s="5">
        <v>0.14159073114690648</v>
      </c>
      <c r="ET45" s="5">
        <v>0.13849848621386451</v>
      </c>
      <c r="EU45" s="5">
        <v>0.15420732476226082</v>
      </c>
      <c r="EV45" s="5">
        <v>0.16236005134126161</v>
      </c>
      <c r="EW45" s="5">
        <v>0.21306047168759867</v>
      </c>
      <c r="EX45" s="5">
        <v>0.22025042472882314</v>
      </c>
      <c r="EY45" s="5">
        <v>0.22423844202994542</v>
      </c>
      <c r="EZ45" s="5">
        <v>0.25781558901437068</v>
      </c>
      <c r="FA45" s="5">
        <v>0.23457575945996398</v>
      </c>
      <c r="FB45" s="5">
        <v>0.2027185960152304</v>
      </c>
      <c r="FC45" s="5">
        <v>0.21877474019034038</v>
      </c>
      <c r="FD45" s="4">
        <v>0.2191839436915887</v>
      </c>
      <c r="FE45" s="5">
        <v>0.21343820361641072</v>
      </c>
      <c r="FF45" s="5">
        <v>0.16449655424724477</v>
      </c>
      <c r="FG45" s="5">
        <v>0.1291741749250776</v>
      </c>
      <c r="FH45" s="5">
        <v>0.12545056386948844</v>
      </c>
      <c r="FI45" s="5">
        <v>0.11014276407702263</v>
      </c>
      <c r="FJ45" s="5">
        <v>0.10587159797585134</v>
      </c>
      <c r="FK45" s="5">
        <v>9.6729176069009326E-2</v>
      </c>
      <c r="FL45" s="5">
        <v>0.10135401074012844</v>
      </c>
      <c r="FM45" s="5">
        <v>0.1304306860995833</v>
      </c>
      <c r="FN45" s="5">
        <v>0.15491651107836449</v>
      </c>
      <c r="FO45" s="5">
        <v>0.16793545165866253</v>
      </c>
      <c r="FP45" s="5">
        <v>0.1568678672723893</v>
      </c>
      <c r="FZ45" s="3" t="s">
        <v>295</v>
      </c>
      <c r="GA45" s="5">
        <v>0.50353617574117304</v>
      </c>
      <c r="GB45" s="5">
        <v>0.47880669240353674</v>
      </c>
      <c r="GC45" s="5">
        <v>0.46757155599701294</v>
      </c>
      <c r="GD45" s="5">
        <v>0.47338374407871658</v>
      </c>
      <c r="GE45" s="5">
        <v>0.48019387591230783</v>
      </c>
      <c r="GF45" s="5">
        <v>0.50207444444447069</v>
      </c>
      <c r="GG45" s="5">
        <v>0.5116954360787368</v>
      </c>
      <c r="GH45" s="5">
        <v>0.50605152154494659</v>
      </c>
      <c r="GI45" s="5">
        <v>0.51001624485164498</v>
      </c>
      <c r="GJ45" s="5">
        <v>0.52969425470360132</v>
      </c>
      <c r="GK45" s="5">
        <v>0.39445299774931913</v>
      </c>
      <c r="GL45" s="4">
        <v>0.39865782880510886</v>
      </c>
      <c r="GM45" s="5">
        <v>0.39674428850111726</v>
      </c>
      <c r="GN45" s="5">
        <v>0.42094454264687931</v>
      </c>
      <c r="GO45" s="5">
        <v>0.44790410867606495</v>
      </c>
      <c r="GP45" s="5">
        <v>0.45870084252633936</v>
      </c>
      <c r="GQ45" s="5">
        <v>0.45661609198694697</v>
      </c>
      <c r="GR45" s="5">
        <v>0.44463603299110543</v>
      </c>
      <c r="GS45" s="5">
        <v>0.40726171050810422</v>
      </c>
      <c r="GT45" s="5">
        <v>0.39211036700793428</v>
      </c>
      <c r="GU45" s="5">
        <v>0.19364164276453694</v>
      </c>
      <c r="GV45" s="4">
        <v>0.1998484944927888</v>
      </c>
      <c r="GW45" s="5">
        <v>0.20378371802066544</v>
      </c>
      <c r="GX45" s="5">
        <v>0.22204309688967436</v>
      </c>
      <c r="GY45" s="5">
        <v>0.21856965554197483</v>
      </c>
      <c r="GZ45" s="5">
        <v>0.233865988083749</v>
      </c>
      <c r="HA45" s="5">
        <v>0.23882658779111782</v>
      </c>
      <c r="HB45" s="5">
        <v>0.22789028432961789</v>
      </c>
      <c r="HC45" s="5">
        <v>0.19813978003752042</v>
      </c>
      <c r="HD45" s="5">
        <v>0.18904561717260598</v>
      </c>
      <c r="HE45" s="5">
        <v>0.33183375212354704</v>
      </c>
      <c r="HF45" s="5">
        <v>0.33925633147261502</v>
      </c>
      <c r="HG45" s="4">
        <v>0.35499640309702607</v>
      </c>
      <c r="HH45" s="5">
        <v>0.37965101729629008</v>
      </c>
      <c r="HI45" s="5">
        <v>0.3882312948540847</v>
      </c>
      <c r="HJ45" s="5">
        <v>0.38895274019154613</v>
      </c>
      <c r="HK45" s="5">
        <v>0.3799606716182175</v>
      </c>
      <c r="HL45" s="5">
        <v>0.34617194213725644</v>
      </c>
      <c r="HM45" s="5">
        <v>0.33203693782857485</v>
      </c>
      <c r="HN45" s="5">
        <v>0.33154767551995801</v>
      </c>
      <c r="HP45" s="3" t="s">
        <v>306</v>
      </c>
      <c r="HQ45" s="3" t="s">
        <v>140</v>
      </c>
      <c r="HR45" s="3" t="s">
        <v>141</v>
      </c>
      <c r="HS45" s="5">
        <v>0.52822549492861115</v>
      </c>
    </row>
    <row r="46" spans="2:227" x14ac:dyDescent="0.45">
      <c r="B46" s="6" t="s">
        <v>297</v>
      </c>
      <c r="C46" s="6" t="s">
        <v>131</v>
      </c>
      <c r="D46" s="8">
        <v>0.25372725809634383</v>
      </c>
      <c r="E46" s="8">
        <v>0.25549697492936674</v>
      </c>
      <c r="F46" s="8">
        <v>0.25967498497297231</v>
      </c>
      <c r="G46" s="8">
        <v>0.25435176998210562</v>
      </c>
      <c r="H46" s="8">
        <v>0.27055330415378365</v>
      </c>
      <c r="I46" s="8">
        <v>0.27220477110556973</v>
      </c>
      <c r="J46" s="8">
        <v>0.26892181258158049</v>
      </c>
      <c r="K46" s="8">
        <v>0.26641744828264702</v>
      </c>
      <c r="L46" s="8">
        <v>0.2534463484421412</v>
      </c>
      <c r="M46" s="8">
        <v>0.25167452048301492</v>
      </c>
      <c r="N46" s="8">
        <v>0.30655196223651937</v>
      </c>
      <c r="O46" s="8">
        <v>0.29693638011640938</v>
      </c>
      <c r="P46" s="8">
        <v>0.29029924749551689</v>
      </c>
      <c r="Q46" s="8">
        <v>0.29236567954917964</v>
      </c>
      <c r="R46" s="8">
        <v>0.29276074719024292</v>
      </c>
      <c r="S46" s="8">
        <v>0.29556871274899654</v>
      </c>
      <c r="T46" s="8">
        <v>0.29123707898651258</v>
      </c>
      <c r="U46" s="8">
        <v>0.2892615865277689</v>
      </c>
      <c r="V46" s="8">
        <v>0.30659164696826569</v>
      </c>
      <c r="W46" s="8">
        <v>0.30715365298778702</v>
      </c>
      <c r="X46" s="8">
        <v>0.39001842033665496</v>
      </c>
      <c r="Y46" s="8">
        <v>0.39134154696617313</v>
      </c>
      <c r="Z46" s="8">
        <v>0.41128433635701811</v>
      </c>
      <c r="AA46" s="8">
        <v>0.43492622976500706</v>
      </c>
      <c r="AB46" s="8">
        <v>0.42448791355312199</v>
      </c>
      <c r="AC46" s="8">
        <v>0.39911754207494032</v>
      </c>
      <c r="AD46" s="8">
        <v>0.38641050566291268</v>
      </c>
      <c r="AE46" s="8">
        <v>0.38466930270721367</v>
      </c>
      <c r="AF46" s="8">
        <v>0.38862732749877987</v>
      </c>
      <c r="AG46" s="8">
        <v>0.37128481300233573</v>
      </c>
      <c r="AH46" s="8">
        <v>0.29873935882739966</v>
      </c>
      <c r="AI46" s="8">
        <v>0.2932807090894971</v>
      </c>
      <c r="AJ46" s="8">
        <v>0.29633146268551974</v>
      </c>
      <c r="AK46" s="8">
        <v>0.29596967537324709</v>
      </c>
      <c r="AL46" s="8">
        <v>0.29853378671569497</v>
      </c>
      <c r="AM46" s="8">
        <v>0.30691082060007863</v>
      </c>
      <c r="AN46" s="8">
        <v>0.31749961970057095</v>
      </c>
      <c r="AO46" s="8">
        <v>0.30808069265022942</v>
      </c>
      <c r="AP46" s="8">
        <v>0.28880811003635809</v>
      </c>
      <c r="AQ46" s="8">
        <v>0.29065665912934396</v>
      </c>
      <c r="AS46" s="6" t="s">
        <v>297</v>
      </c>
      <c r="AT46" s="6" t="s">
        <v>132</v>
      </c>
      <c r="AU46" s="8">
        <v>1.605077330473019E-2</v>
      </c>
      <c r="AV46" s="8">
        <v>4.6253069461120724E-3</v>
      </c>
      <c r="AW46" s="8">
        <v>1.7124235688362667E-2</v>
      </c>
      <c r="AX46" s="8">
        <v>1.6244118308716717E-2</v>
      </c>
      <c r="AY46" s="8">
        <v>1.2654020834575877E-2</v>
      </c>
      <c r="AZ46" s="8">
        <v>2.0353875136682253E-2</v>
      </c>
      <c r="BA46" s="8">
        <v>2.1422063841664521E-2</v>
      </c>
      <c r="BB46" s="8">
        <v>1.937091424811007E-2</v>
      </c>
      <c r="BC46" s="8">
        <v>1.1472719502248948E-2</v>
      </c>
      <c r="BD46" s="8">
        <v>1.5444489545296296E-2</v>
      </c>
      <c r="BE46" s="8">
        <v>1.3862186707251162E-2</v>
      </c>
      <c r="BF46" s="8">
        <v>2.6096918510332048E-2</v>
      </c>
      <c r="BG46" s="8">
        <v>2.3383197173835892E-2</v>
      </c>
      <c r="BH46" s="8">
        <v>2.2644055016576056E-2</v>
      </c>
      <c r="BI46" s="8">
        <v>2.5507269451365635E-2</v>
      </c>
      <c r="BJ46" s="8">
        <v>2.6471401101684E-2</v>
      </c>
      <c r="BK46" s="8">
        <v>1.4331268348567679E-2</v>
      </c>
      <c r="BL46" s="7">
        <v>4.2332278027571975E-3</v>
      </c>
      <c r="BM46" s="8">
        <v>1.4577778473583157E-2</v>
      </c>
      <c r="BN46" s="8">
        <v>1.8759477328876333E-2</v>
      </c>
      <c r="BO46" s="8">
        <v>2.5208554065759906E-2</v>
      </c>
      <c r="BP46" s="8">
        <v>1.7700669337258307E-2</v>
      </c>
      <c r="BQ46" s="8">
        <v>1.5458639016572141E-2</v>
      </c>
      <c r="BR46" s="8">
        <v>2.0100781711784806E-2</v>
      </c>
      <c r="BS46" s="8">
        <v>1.7965004763784855E-2</v>
      </c>
      <c r="BT46" s="8">
        <v>2.2777269558071144E-2</v>
      </c>
      <c r="BU46" s="8">
        <v>2.297433511088371E-2</v>
      </c>
      <c r="BV46" s="8">
        <v>2.2789974384865817E-2</v>
      </c>
      <c r="BW46" s="8">
        <v>3.6766302742220064E-2</v>
      </c>
      <c r="BX46" s="8">
        <v>3.7862818474953021E-2</v>
      </c>
      <c r="BY46" s="8">
        <v>2.5785397946521248E-2</v>
      </c>
      <c r="BZ46" s="8">
        <v>2.0847103956315702E-2</v>
      </c>
      <c r="CA46" s="8">
        <v>2.9025746615193408E-2</v>
      </c>
      <c r="CB46" s="8">
        <v>5.305624149443753E-2</v>
      </c>
      <c r="CC46" s="8">
        <v>4.972361213381947E-2</v>
      </c>
      <c r="CD46" s="8">
        <v>2.8997826622370826E-2</v>
      </c>
      <c r="CE46" s="8">
        <v>1.5574456226232873E-2</v>
      </c>
      <c r="CF46" s="8">
        <v>7.9602690639489666E-3</v>
      </c>
      <c r="CG46" s="8">
        <v>1.5822953490280799E-2</v>
      </c>
      <c r="CH46" s="8">
        <v>2.9994005977067244E-2</v>
      </c>
      <c r="CJ46" s="6" t="s">
        <v>297</v>
      </c>
      <c r="CK46" s="6" t="s">
        <v>133</v>
      </c>
      <c r="CL46" s="8">
        <v>1.5961528740644815E-2</v>
      </c>
      <c r="CM46" s="8">
        <v>3.3042015830374145E-2</v>
      </c>
      <c r="CN46" s="8">
        <v>2.1690448033250383E-2</v>
      </c>
      <c r="CO46" s="8">
        <v>7.3691431398471893E-3</v>
      </c>
      <c r="CP46" s="8">
        <v>1.2891555803055173E-2</v>
      </c>
      <c r="CQ46" s="8">
        <v>1.3457270647751408E-2</v>
      </c>
      <c r="CR46" s="8">
        <v>1.1779036882636908E-2</v>
      </c>
      <c r="CS46" s="8">
        <v>1.7626550617142061E-2</v>
      </c>
      <c r="CT46" s="8">
        <v>2.7619129255179103E-2</v>
      </c>
      <c r="CU46" s="8">
        <v>1.7722915533618478E-2</v>
      </c>
      <c r="CV46" s="8">
        <v>2.4218132485775049E-2</v>
      </c>
      <c r="CW46" s="8">
        <v>1.5911115624141482E-2</v>
      </c>
      <c r="CX46" s="8">
        <v>2.5037378173842932E-2</v>
      </c>
      <c r="CY46" s="8">
        <v>3.4356950424509265E-2</v>
      </c>
      <c r="CZ46" s="8">
        <v>1.867112994499381E-2</v>
      </c>
      <c r="DA46" s="8">
        <v>1.8645469408893538E-2</v>
      </c>
      <c r="DB46" s="8">
        <v>1.8369891499699833E-2</v>
      </c>
      <c r="DC46" s="8">
        <v>3.2033747999676038E-2</v>
      </c>
      <c r="DD46" s="8">
        <v>1.8310768420155596E-2</v>
      </c>
      <c r="DE46" s="8">
        <v>1.0834120413203623E-2</v>
      </c>
      <c r="DF46" s="8">
        <v>5.5921879216089522E-2</v>
      </c>
      <c r="DG46" s="8">
        <v>4.5681780337443162E-2</v>
      </c>
      <c r="DH46" s="8">
        <v>5.1304149428679786E-2</v>
      </c>
      <c r="DI46" s="8">
        <v>2.4605917692906067E-2</v>
      </c>
      <c r="DJ46" s="7">
        <v>3.8106687780458219E-2</v>
      </c>
      <c r="DK46" s="8">
        <v>3.8534489635257012E-2</v>
      </c>
      <c r="DL46" s="8">
        <v>4.0397328843153592E-2</v>
      </c>
      <c r="DM46" s="8">
        <v>2.4554883982004401E-2</v>
      </c>
      <c r="DN46" s="8">
        <v>2.6093475663445755E-2</v>
      </c>
      <c r="DO46" s="8">
        <v>3.5586260100122391E-2</v>
      </c>
      <c r="DP46" s="8">
        <v>3.5493583826076737E-2</v>
      </c>
      <c r="DQ46" s="8">
        <v>4.2200463917075992E-2</v>
      </c>
      <c r="DR46" s="8">
        <v>3.9079443138002372E-2</v>
      </c>
      <c r="DS46" s="8">
        <v>2.9232064227355449E-2</v>
      </c>
      <c r="DT46" s="8">
        <v>3.8712770298250272E-2</v>
      </c>
      <c r="DU46" s="8">
        <v>6.9535876998464932E-2</v>
      </c>
      <c r="DV46" s="8">
        <v>6.7683890242552655E-2</v>
      </c>
      <c r="DW46" s="8">
        <v>3.2953081544043944E-2</v>
      </c>
      <c r="DX46" s="8">
        <v>2.9153370115958528E-3</v>
      </c>
      <c r="DY46" s="8">
        <v>7.3742999645710784E-3</v>
      </c>
      <c r="EA46" s="6" t="s">
        <v>297</v>
      </c>
      <c r="EB46" s="6" t="s">
        <v>134</v>
      </c>
      <c r="EC46" s="8">
        <v>0.1044672915387065</v>
      </c>
      <c r="ED46" s="8">
        <v>0.10580026593581995</v>
      </c>
      <c r="EE46" s="8">
        <v>0.10974190214163139</v>
      </c>
      <c r="EF46" s="8">
        <v>0.12798793164126016</v>
      </c>
      <c r="EG46" s="8">
        <v>0.12981230778819483</v>
      </c>
      <c r="EH46" s="8">
        <v>0.11625365997552088</v>
      </c>
      <c r="EI46" s="8">
        <v>0.11087239487578193</v>
      </c>
      <c r="EJ46" s="8">
        <v>0.11125095035756273</v>
      </c>
      <c r="EK46" s="8">
        <v>0.10611793237783995</v>
      </c>
      <c r="EL46" s="8">
        <v>0.10081606525811566</v>
      </c>
      <c r="EM46" s="8">
        <v>0.14362041310418691</v>
      </c>
      <c r="EN46" s="8">
        <v>0.13264299613035374</v>
      </c>
      <c r="EO46" s="8">
        <v>0.12331185076580625</v>
      </c>
      <c r="EP46" s="8">
        <v>0.1106296310298117</v>
      </c>
      <c r="EQ46" s="8">
        <v>0.11758846635040816</v>
      </c>
      <c r="ER46" s="8">
        <v>0.12181574686055083</v>
      </c>
      <c r="ES46" s="8">
        <v>0.13391119109696245</v>
      </c>
      <c r="ET46" s="8">
        <v>0.1315731236370741</v>
      </c>
      <c r="EU46" s="8">
        <v>0.14773368559234989</v>
      </c>
      <c r="EV46" s="8">
        <v>0.15284784639011512</v>
      </c>
      <c r="EW46" s="8">
        <v>0.19583763621854033</v>
      </c>
      <c r="EX46" s="8">
        <v>0.21730632903868038</v>
      </c>
      <c r="EY46" s="8">
        <v>0.2184924233082951</v>
      </c>
      <c r="EZ46" s="8">
        <v>0.25948245553285798</v>
      </c>
      <c r="FA46" s="8">
        <v>0.24164983837214274</v>
      </c>
      <c r="FB46" s="8">
        <v>0.21558958603875628</v>
      </c>
      <c r="FC46" s="8">
        <v>0.19453447583828737</v>
      </c>
      <c r="FD46" s="7">
        <v>0.2055609217239226</v>
      </c>
      <c r="FE46" s="8">
        <v>0.19834460787979172</v>
      </c>
      <c r="FF46" s="8">
        <v>0.18609364313132326</v>
      </c>
      <c r="FG46" s="8">
        <v>0.12664200462347253</v>
      </c>
      <c r="FH46" s="8">
        <v>0.12241602552587827</v>
      </c>
      <c r="FI46" s="8">
        <v>0.10932100335877278</v>
      </c>
      <c r="FJ46" s="8">
        <v>9.6719385364226029E-2</v>
      </c>
      <c r="FK46" s="8">
        <v>9.7568137524942491E-2</v>
      </c>
      <c r="FL46" s="8">
        <v>9.0893000174809585E-2</v>
      </c>
      <c r="FM46" s="8">
        <v>0.11665555778806649</v>
      </c>
      <c r="FN46" s="8">
        <v>0.15723225123132964</v>
      </c>
      <c r="FO46" s="8">
        <v>0.17041182141506775</v>
      </c>
      <c r="FP46" s="8">
        <v>0.15165357148622313</v>
      </c>
      <c r="FZ46" s="6" t="s">
        <v>297</v>
      </c>
      <c r="GA46" s="8">
        <v>0.54723096389348103</v>
      </c>
      <c r="GB46" s="8">
        <v>0.52313970275283073</v>
      </c>
      <c r="GC46" s="8">
        <v>0.51429148056111151</v>
      </c>
      <c r="GD46" s="8">
        <v>0.51662067023101821</v>
      </c>
      <c r="GE46" s="8">
        <v>0.51451970744293107</v>
      </c>
      <c r="GF46" s="8">
        <v>0.52844414532913975</v>
      </c>
      <c r="GG46" s="8">
        <v>0.54310369720678364</v>
      </c>
      <c r="GH46" s="8">
        <v>0.54119950748269874</v>
      </c>
      <c r="GI46" s="8">
        <v>0.54809281726896386</v>
      </c>
      <c r="GJ46" s="8">
        <v>0.56516950281716949</v>
      </c>
      <c r="GK46" s="8">
        <v>0.42838545346223322</v>
      </c>
      <c r="GL46" s="7">
        <v>0.43213320225716784</v>
      </c>
      <c r="GM46" s="8">
        <v>0.43110654742580101</v>
      </c>
      <c r="GN46" s="8">
        <v>0.46158720762494926</v>
      </c>
      <c r="GO46" s="8">
        <v>0.47613122351430964</v>
      </c>
      <c r="GP46" s="8">
        <v>0.4814472044706633</v>
      </c>
      <c r="GQ46" s="8">
        <v>0.47876646491352165</v>
      </c>
      <c r="GR46" s="8">
        <v>0.46831014547249789</v>
      </c>
      <c r="GS46" s="8">
        <v>0.43142579718082624</v>
      </c>
      <c r="GT46" s="8">
        <v>0.42387375433265251</v>
      </c>
      <c r="GU46" s="8">
        <v>0.20231991397923074</v>
      </c>
      <c r="GV46" s="7">
        <v>0.20988646692627827</v>
      </c>
      <c r="GW46" s="8">
        <v>0.2160273398912384</v>
      </c>
      <c r="GX46" s="8">
        <v>0.23798454188138607</v>
      </c>
      <c r="GY46" s="8">
        <v>0.23545760274184727</v>
      </c>
      <c r="GZ46" s="8">
        <v>0.24710587593623215</v>
      </c>
      <c r="HA46" s="8">
        <v>0.25243006422519837</v>
      </c>
      <c r="HB46" s="8">
        <v>0.24089652542508935</v>
      </c>
      <c r="HC46" s="8">
        <v>0.21206208954233743</v>
      </c>
      <c r="HD46" s="8">
        <v>0.1998917967810114</v>
      </c>
      <c r="HE46" s="8">
        <v>0.37439698380200032</v>
      </c>
      <c r="HF46" s="8">
        <v>0.3791948808840736</v>
      </c>
      <c r="HG46" s="7">
        <v>0.39407410760729672</v>
      </c>
      <c r="HH46" s="8">
        <v>0.41418065582982078</v>
      </c>
      <c r="HI46" s="8">
        <v>0.42242902623756934</v>
      </c>
      <c r="HJ46" s="8">
        <v>0.42359887618560871</v>
      </c>
      <c r="HK46" s="8">
        <v>0.41250493867825627</v>
      </c>
      <c r="HL46" s="8">
        <v>0.38070568101644864</v>
      </c>
      <c r="HM46" s="8">
        <v>0.37043985777499217</v>
      </c>
      <c r="HN46" s="8">
        <v>0.37723880986039654</v>
      </c>
      <c r="HP46" s="6" t="s">
        <v>307</v>
      </c>
      <c r="HQ46" s="6" t="s">
        <v>140</v>
      </c>
      <c r="HR46" s="6" t="s">
        <v>141</v>
      </c>
      <c r="HS46" s="8">
        <v>0.70505131695722878</v>
      </c>
    </row>
    <row r="47" spans="2:227" x14ac:dyDescent="0.45">
      <c r="B47" s="3" t="s">
        <v>299</v>
      </c>
      <c r="C47" s="3" t="s">
        <v>131</v>
      </c>
      <c r="D47" s="5">
        <v>0.23316227537710368</v>
      </c>
      <c r="E47" s="5">
        <v>0.2405407696821282</v>
      </c>
      <c r="F47" s="5">
        <v>0.23878823950250125</v>
      </c>
      <c r="G47" s="5">
        <v>0.2343741909482826</v>
      </c>
      <c r="H47" s="5">
        <v>0.23158733190231129</v>
      </c>
      <c r="I47" s="5">
        <v>0.2244950317138496</v>
      </c>
      <c r="J47" s="5">
        <v>0.22487991024877804</v>
      </c>
      <c r="K47" s="5">
        <v>0.22042558107813254</v>
      </c>
      <c r="L47" s="5">
        <v>0.22025724704846025</v>
      </c>
      <c r="M47" s="5">
        <v>0.22038416765978311</v>
      </c>
      <c r="N47" s="5">
        <v>0.25260137784132541</v>
      </c>
      <c r="O47" s="5">
        <v>0.24774039876632639</v>
      </c>
      <c r="P47" s="5">
        <v>0.24344048902809737</v>
      </c>
      <c r="Q47" s="5">
        <v>0.24874997583416686</v>
      </c>
      <c r="R47" s="5">
        <v>0.2617057852092482</v>
      </c>
      <c r="S47" s="5">
        <v>0.26073861340141935</v>
      </c>
      <c r="T47" s="5">
        <v>0.2525008442099973</v>
      </c>
      <c r="U47" s="5">
        <v>0.24547163065161165</v>
      </c>
      <c r="V47" s="5">
        <v>0.25061759600414563</v>
      </c>
      <c r="W47" s="5">
        <v>0.2422703045024811</v>
      </c>
      <c r="X47" s="5">
        <v>0.36646438230784756</v>
      </c>
      <c r="Y47" s="5">
        <v>0.36666762653458401</v>
      </c>
      <c r="Z47" s="5">
        <v>0.37620313752218937</v>
      </c>
      <c r="AA47" s="5">
        <v>0.38679966388285719</v>
      </c>
      <c r="AB47" s="5">
        <v>0.38433199315735717</v>
      </c>
      <c r="AC47" s="5">
        <v>0.36501534768020061</v>
      </c>
      <c r="AD47" s="5">
        <v>0.35201024871781555</v>
      </c>
      <c r="AE47" s="5">
        <v>0.34301881139951579</v>
      </c>
      <c r="AF47" s="5">
        <v>0.34496462747842621</v>
      </c>
      <c r="AG47" s="5">
        <v>0.33923813883792542</v>
      </c>
      <c r="AH47" s="5">
        <v>0.28203418467010394</v>
      </c>
      <c r="AI47" s="5">
        <v>0.28355707930037799</v>
      </c>
      <c r="AJ47" s="5">
        <v>0.28419869996708141</v>
      </c>
      <c r="AK47" s="5">
        <v>0.28370274911657756</v>
      </c>
      <c r="AL47" s="5">
        <v>0.29545356977761994</v>
      </c>
      <c r="AM47" s="5">
        <v>0.29142557794533275</v>
      </c>
      <c r="AN47" s="5">
        <v>0.28152489462141406</v>
      </c>
      <c r="AO47" s="5">
        <v>0.28166990208746512</v>
      </c>
      <c r="AP47" s="5">
        <v>0.29504776477786976</v>
      </c>
      <c r="AQ47" s="5">
        <v>0.30204656540205516</v>
      </c>
      <c r="AS47" s="3" t="s">
        <v>299</v>
      </c>
      <c r="AT47" s="3" t="s">
        <v>132</v>
      </c>
      <c r="AU47" s="5">
        <v>2.0025468481342356E-2</v>
      </c>
      <c r="AV47" s="5">
        <v>1.1643161624253721E-2</v>
      </c>
      <c r="AW47" s="5">
        <v>1.1230998149857549E-2</v>
      </c>
      <c r="AX47" s="5">
        <v>1.0670187068091669E-2</v>
      </c>
      <c r="AY47" s="5">
        <v>1.4738884218845786E-2</v>
      </c>
      <c r="AZ47" s="5">
        <v>1.7847373190130505E-2</v>
      </c>
      <c r="BA47" s="5">
        <v>1.8307259618652236E-2</v>
      </c>
      <c r="BB47" s="5">
        <v>1.7241512900389517E-2</v>
      </c>
      <c r="BC47" s="5">
        <v>1.3359496598762651E-2</v>
      </c>
      <c r="BD47" s="5">
        <v>1.4705252019412458E-2</v>
      </c>
      <c r="BE47" s="5">
        <v>1.5063961894924515E-2</v>
      </c>
      <c r="BF47" s="5">
        <v>2.4993612150351525E-2</v>
      </c>
      <c r="BG47" s="5">
        <v>5.7158234866215409E-3</v>
      </c>
      <c r="BH47" s="5">
        <v>1.3348873953679582E-2</v>
      </c>
      <c r="BI47" s="5">
        <v>1.9926248560949582E-2</v>
      </c>
      <c r="BJ47" s="5">
        <v>2.0718931946736435E-2</v>
      </c>
      <c r="BK47" s="5">
        <v>1.2931913273835893E-2</v>
      </c>
      <c r="BL47" s="4">
        <v>2.090627726068316E-3</v>
      </c>
      <c r="BM47" s="5">
        <v>5.662664035288382E-3</v>
      </c>
      <c r="BN47" s="5">
        <v>7.5967944461610634E-3</v>
      </c>
      <c r="BO47" s="5">
        <v>3.1314320574529181E-2</v>
      </c>
      <c r="BP47" s="5">
        <v>1.7011939108710503E-2</v>
      </c>
      <c r="BQ47" s="5">
        <v>1.8029749751642676E-2</v>
      </c>
      <c r="BR47" s="5">
        <v>2.8626325955996436E-2</v>
      </c>
      <c r="BS47" s="5">
        <v>2.7861208816873453E-2</v>
      </c>
      <c r="BT47" s="5">
        <v>1.7846367563413137E-2</v>
      </c>
      <c r="BU47" s="5">
        <v>3.4539879127915243E-2</v>
      </c>
      <c r="BV47" s="5">
        <v>4.1177514586052441E-2</v>
      </c>
      <c r="BW47" s="5">
        <v>1.4591797375393682E-2</v>
      </c>
      <c r="BX47" s="5">
        <v>2.0519480855067138E-2</v>
      </c>
      <c r="BY47" s="5">
        <v>2.28355112568728E-2</v>
      </c>
      <c r="BZ47" s="5">
        <v>3.5691289326590069E-2</v>
      </c>
      <c r="CA47" s="5">
        <v>1.1706741056989784E-2</v>
      </c>
      <c r="CB47" s="5">
        <v>2.448279714222128E-2</v>
      </c>
      <c r="CC47" s="5">
        <v>2.3850861155383343E-2</v>
      </c>
      <c r="CD47" s="5">
        <v>2.2720557697321255E-2</v>
      </c>
      <c r="CE47" s="5">
        <v>1.8552223801889714E-2</v>
      </c>
      <c r="CF47" s="5">
        <v>1.7227127913702841E-2</v>
      </c>
      <c r="CG47" s="5">
        <v>9.9638842834390232E-3</v>
      </c>
      <c r="CH47" s="5">
        <v>1.3212099454962694E-2</v>
      </c>
      <c r="CJ47" s="3" t="s">
        <v>299</v>
      </c>
      <c r="CK47" s="3" t="s">
        <v>133</v>
      </c>
      <c r="CL47" s="5">
        <v>1.0716212142485155E-2</v>
      </c>
      <c r="CM47" s="5">
        <v>2.3807357947489467E-2</v>
      </c>
      <c r="CN47" s="5">
        <v>2.2281046711372796E-2</v>
      </c>
      <c r="CO47" s="5">
        <v>1.6511534898282641E-2</v>
      </c>
      <c r="CP47" s="5">
        <v>9.1740823413604313E-3</v>
      </c>
      <c r="CQ47" s="5">
        <v>9.6037898255060764E-3</v>
      </c>
      <c r="CR47" s="5">
        <v>1.5743584059619641E-2</v>
      </c>
      <c r="CS47" s="5">
        <v>2.6174736788374352E-2</v>
      </c>
      <c r="CT47" s="5">
        <v>2.9213789544984995E-2</v>
      </c>
      <c r="CU47" s="5">
        <v>2.0447522834845647E-2</v>
      </c>
      <c r="CV47" s="5">
        <v>1.5810102091828454E-2</v>
      </c>
      <c r="CW47" s="5">
        <v>1.3409038082344546E-2</v>
      </c>
      <c r="CX47" s="5">
        <v>3.0554579000267614E-2</v>
      </c>
      <c r="CY47" s="5">
        <v>2.4794250649441404E-2</v>
      </c>
      <c r="CZ47" s="5">
        <v>1.3169155510547767E-2</v>
      </c>
      <c r="DA47" s="5">
        <v>1.5030132220949571E-2</v>
      </c>
      <c r="DB47" s="5">
        <v>2.5113894584410112E-2</v>
      </c>
      <c r="DC47" s="5">
        <v>3.5529950081289431E-2</v>
      </c>
      <c r="DD47" s="5">
        <v>2.6661320364560086E-2</v>
      </c>
      <c r="DE47" s="5">
        <v>9.4550763390749467E-3</v>
      </c>
      <c r="DF47" s="5">
        <v>3.6734654280658641E-2</v>
      </c>
      <c r="DG47" s="5">
        <v>4.8160250915220193E-2</v>
      </c>
      <c r="DH47" s="5">
        <v>6.6517410176512359E-2</v>
      </c>
      <c r="DI47" s="5">
        <v>2.9159558470153838E-2</v>
      </c>
      <c r="DJ47" s="4">
        <v>2.2550337329281103E-2</v>
      </c>
      <c r="DK47" s="5">
        <v>3.4372502439392862E-2</v>
      </c>
      <c r="DL47" s="5">
        <v>2.3538806217457547E-2</v>
      </c>
      <c r="DM47" s="5">
        <v>2.533956023073658E-2</v>
      </c>
      <c r="DN47" s="5">
        <v>5.2131184176552436E-2</v>
      </c>
      <c r="DO47" s="5">
        <v>6.839845999273915E-2</v>
      </c>
      <c r="DP47" s="5">
        <v>2.6730652871946644E-2</v>
      </c>
      <c r="DQ47" s="5">
        <v>2.1495847871928875E-2</v>
      </c>
      <c r="DR47" s="5">
        <v>5.1670914477089373E-2</v>
      </c>
      <c r="DS47" s="5">
        <v>3.6213999846723452E-2</v>
      </c>
      <c r="DT47" s="5">
        <v>3.3433505364625436E-2</v>
      </c>
      <c r="DU47" s="5">
        <v>2.0855417237802452E-2</v>
      </c>
      <c r="DV47" s="5">
        <v>1.8022973415937633E-2</v>
      </c>
      <c r="DW47" s="5">
        <v>2.4614984965707291E-2</v>
      </c>
      <c r="DX47" s="5">
        <v>3.2160173680336919E-2</v>
      </c>
      <c r="DY47" s="5">
        <v>3.5666276847884759E-2</v>
      </c>
      <c r="EA47" s="3" t="s">
        <v>299</v>
      </c>
      <c r="EB47" s="3" t="s">
        <v>134</v>
      </c>
      <c r="EC47" s="5">
        <v>9.3245186448654385E-2</v>
      </c>
      <c r="ED47" s="5">
        <v>9.4373508546025831E-2</v>
      </c>
      <c r="EE47" s="5">
        <v>9.5668943611700072E-2</v>
      </c>
      <c r="EF47" s="5">
        <v>9.7128963814833769E-2</v>
      </c>
      <c r="EG47" s="5">
        <v>8.9878035483508534E-2</v>
      </c>
      <c r="EH47" s="5">
        <v>8.2902856401999195E-2</v>
      </c>
      <c r="EI47" s="5">
        <v>7.4868720421612661E-2</v>
      </c>
      <c r="EJ47" s="5">
        <v>7.5720140370288222E-2</v>
      </c>
      <c r="EK47" s="5">
        <v>7.5539041571365179E-2</v>
      </c>
      <c r="EL47" s="5">
        <v>8.1101369598144665E-2</v>
      </c>
      <c r="EM47" s="5">
        <v>0.11273372312130507</v>
      </c>
      <c r="EN47" s="5">
        <v>0.10657092478833462</v>
      </c>
      <c r="EO47" s="5">
        <v>0.10796863321035316</v>
      </c>
      <c r="EP47" s="5">
        <v>0.1039408335904709</v>
      </c>
      <c r="EQ47" s="5">
        <v>0.10563665450153606</v>
      </c>
      <c r="ER47" s="5">
        <v>0.10289169178714325</v>
      </c>
      <c r="ES47" s="5">
        <v>9.3699091057310557E-2</v>
      </c>
      <c r="ET47" s="5">
        <v>9.1127895234200618E-2</v>
      </c>
      <c r="EU47" s="5">
        <v>0.10077972098583919</v>
      </c>
      <c r="EV47" s="5">
        <v>0.11952209488755212</v>
      </c>
      <c r="EW47" s="5">
        <v>0.17375139447150012</v>
      </c>
      <c r="EX47" s="5">
        <v>0.17059060174080715</v>
      </c>
      <c r="EY47" s="5">
        <v>0.16249942031200437</v>
      </c>
      <c r="EZ47" s="5">
        <v>0.18921903193233808</v>
      </c>
      <c r="FA47" s="5">
        <v>0.19197202051039927</v>
      </c>
      <c r="FB47" s="5">
        <v>0.16971933906224135</v>
      </c>
      <c r="FC47" s="5">
        <v>0.15669673468342474</v>
      </c>
      <c r="FD47" s="4">
        <v>0.14985472765760882</v>
      </c>
      <c r="FE47" s="5">
        <v>0.16494361385281711</v>
      </c>
      <c r="FF47" s="5">
        <v>0.13876394009101897</v>
      </c>
      <c r="FG47" s="5">
        <v>0.11780906413381778</v>
      </c>
      <c r="FH47" s="5">
        <v>0.12109805061833293</v>
      </c>
      <c r="FI47" s="5">
        <v>0.11458845249961883</v>
      </c>
      <c r="FJ47" s="5">
        <v>0.11177075939038054</v>
      </c>
      <c r="FK47" s="5">
        <v>0.1171029363726115</v>
      </c>
      <c r="FL47" s="5">
        <v>0.11913368406156619</v>
      </c>
      <c r="FM47" s="5">
        <v>0.1234407043608375</v>
      </c>
      <c r="FN47" s="5">
        <v>0.12544394521962621</v>
      </c>
      <c r="FO47" s="5">
        <v>0.1280437423193716</v>
      </c>
      <c r="FP47" s="5">
        <v>0.12141701198313992</v>
      </c>
      <c r="FZ47" s="3" t="s">
        <v>299</v>
      </c>
      <c r="GA47" s="5">
        <v>0.56054072074726546</v>
      </c>
      <c r="GB47" s="5">
        <v>0.5529819413314695</v>
      </c>
      <c r="GC47" s="5">
        <v>0.56028792688587603</v>
      </c>
      <c r="GD47" s="5">
        <v>0.57268021905921429</v>
      </c>
      <c r="GE47" s="5">
        <v>0.60358911715104036</v>
      </c>
      <c r="GF47" s="5">
        <v>0.62203508475473734</v>
      </c>
      <c r="GG47" s="5">
        <v>0.61656166153846348</v>
      </c>
      <c r="GH47" s="5">
        <v>0.59854332033441637</v>
      </c>
      <c r="GI47" s="5">
        <v>0.59424611539459482</v>
      </c>
      <c r="GJ47" s="5">
        <v>0.59477645664834533</v>
      </c>
      <c r="GK47" s="5">
        <v>0.48600201343335769</v>
      </c>
      <c r="GL47" s="4">
        <v>0.48237880454998072</v>
      </c>
      <c r="GM47" s="5">
        <v>0.48515236703849679</v>
      </c>
      <c r="GN47" s="5">
        <v>0.50909186917362115</v>
      </c>
      <c r="GO47" s="5">
        <v>0.5395111501945794</v>
      </c>
      <c r="GP47" s="5">
        <v>0.55139623729337217</v>
      </c>
      <c r="GQ47" s="5">
        <v>0.56012083653286449</v>
      </c>
      <c r="GR47" s="5">
        <v>0.55551786042772622</v>
      </c>
      <c r="GS47" s="5">
        <v>0.52057074159957795</v>
      </c>
      <c r="GT47" s="5">
        <v>0.49367123194146906</v>
      </c>
      <c r="GU47" s="5">
        <v>0.27788702958045092</v>
      </c>
      <c r="GV47" s="4">
        <v>0.27084227103347497</v>
      </c>
      <c r="GW47" s="5">
        <v>0.26636727067586113</v>
      </c>
      <c r="GX47" s="5">
        <v>0.28228190719263357</v>
      </c>
      <c r="GY47" s="5">
        <v>0.30507061251588108</v>
      </c>
      <c r="GZ47" s="5">
        <v>0.32573447370787739</v>
      </c>
      <c r="HA47" s="5">
        <v>0.33756616990959665</v>
      </c>
      <c r="HB47" s="5">
        <v>0.32758520672386854</v>
      </c>
      <c r="HC47" s="5">
        <v>0.29983401659913772</v>
      </c>
      <c r="HD47" s="5">
        <v>0.26799786172007345</v>
      </c>
      <c r="HE47" s="5">
        <v>0.40419712782420192</v>
      </c>
      <c r="HF47" s="5">
        <v>0.41432748455587359</v>
      </c>
      <c r="HG47" s="4">
        <v>0.41798187535716536</v>
      </c>
      <c r="HH47" s="5">
        <v>0.42719431621526399</v>
      </c>
      <c r="HI47" s="5">
        <v>0.43595381058303928</v>
      </c>
      <c r="HJ47" s="5">
        <v>0.45041425838166482</v>
      </c>
      <c r="HK47" s="5">
        <v>0.4473698646335505</v>
      </c>
      <c r="HL47" s="5">
        <v>0.4322802430056456</v>
      </c>
      <c r="HM47" s="5">
        <v>0.40080350661499153</v>
      </c>
      <c r="HN47" s="5">
        <v>0.38950868765342861</v>
      </c>
      <c r="HP47" s="3" t="s">
        <v>308</v>
      </c>
      <c r="HQ47" s="3" t="s">
        <v>140</v>
      </c>
      <c r="HR47" s="3" t="s">
        <v>141</v>
      </c>
      <c r="HS47" s="5">
        <v>0.55398202645228023</v>
      </c>
    </row>
    <row r="48" spans="2:227" x14ac:dyDescent="0.45">
      <c r="B48" s="6" t="s">
        <v>301</v>
      </c>
      <c r="C48" s="6" t="s">
        <v>131</v>
      </c>
      <c r="D48" s="8">
        <v>0.27736133219232262</v>
      </c>
      <c r="E48" s="8">
        <v>0.28405907020320953</v>
      </c>
      <c r="F48" s="8">
        <v>0.28490303662541711</v>
      </c>
      <c r="G48" s="8">
        <v>0.27591963210557036</v>
      </c>
      <c r="H48" s="8">
        <v>0.29064762964368668</v>
      </c>
      <c r="I48" s="8">
        <v>0.29112396380254846</v>
      </c>
      <c r="J48" s="8">
        <v>0.29291670898149841</v>
      </c>
      <c r="K48" s="8">
        <v>0.29488548157147371</v>
      </c>
      <c r="L48" s="8">
        <v>0.27958458482115267</v>
      </c>
      <c r="M48" s="8">
        <v>0.2703863318118403</v>
      </c>
      <c r="N48" s="8">
        <v>0.27311327589733131</v>
      </c>
      <c r="O48" s="8">
        <v>0.27003395825518789</v>
      </c>
      <c r="P48" s="8">
        <v>0.26102474174435553</v>
      </c>
      <c r="Q48" s="8">
        <v>0.28188774839373548</v>
      </c>
      <c r="R48" s="8">
        <v>0.2900635555147888</v>
      </c>
      <c r="S48" s="8">
        <v>0.2805451688991778</v>
      </c>
      <c r="T48" s="8">
        <v>0.26807112720538073</v>
      </c>
      <c r="U48" s="8">
        <v>0.26495946294268063</v>
      </c>
      <c r="V48" s="8">
        <v>0.27137076618644385</v>
      </c>
      <c r="W48" s="8">
        <v>0.26851001958636345</v>
      </c>
      <c r="X48" s="8">
        <v>0.31234294190376199</v>
      </c>
      <c r="Y48" s="8">
        <v>0.34717322473899109</v>
      </c>
      <c r="Z48" s="8">
        <v>0.38707056898486003</v>
      </c>
      <c r="AA48" s="8">
        <v>0.41083810604538801</v>
      </c>
      <c r="AB48" s="8">
        <v>0.39926352481598754</v>
      </c>
      <c r="AC48" s="8">
        <v>0.38820351169160988</v>
      </c>
      <c r="AD48" s="8">
        <v>0.37516407180247491</v>
      </c>
      <c r="AE48" s="8">
        <v>0.3562784186579136</v>
      </c>
      <c r="AF48" s="8">
        <v>0.34257459606730906</v>
      </c>
      <c r="AG48" s="8">
        <v>0.32358252331955917</v>
      </c>
      <c r="AH48" s="8">
        <v>0.28073771458711838</v>
      </c>
      <c r="AI48" s="8">
        <v>0.28993499430749414</v>
      </c>
      <c r="AJ48" s="8">
        <v>0.29750164797346756</v>
      </c>
      <c r="AK48" s="8">
        <v>0.3071428527090454</v>
      </c>
      <c r="AL48" s="8">
        <v>0.3085994155477641</v>
      </c>
      <c r="AM48" s="8">
        <v>0.31609370524568275</v>
      </c>
      <c r="AN48" s="8">
        <v>0.31700104321755818</v>
      </c>
      <c r="AO48" s="8">
        <v>0.30193650558312202</v>
      </c>
      <c r="AP48" s="8">
        <v>0.28790052028474866</v>
      </c>
      <c r="AQ48" s="8">
        <v>0.28307978634456921</v>
      </c>
      <c r="AS48" s="6" t="s">
        <v>301</v>
      </c>
      <c r="AT48" s="6" t="s">
        <v>132</v>
      </c>
      <c r="AU48" s="8">
        <v>1.322628869917627E-2</v>
      </c>
      <c r="AV48" s="8">
        <v>1.5374904374559821E-2</v>
      </c>
      <c r="AW48" s="8">
        <v>1.5694796926345969E-2</v>
      </c>
      <c r="AX48" s="8">
        <v>1.3818556253727099E-2</v>
      </c>
      <c r="AY48" s="8">
        <v>1.0414254935996148E-2</v>
      </c>
      <c r="AZ48" s="8">
        <v>1.9243615974745342E-2</v>
      </c>
      <c r="BA48" s="8">
        <v>2.6703246054690852E-2</v>
      </c>
      <c r="BB48" s="8">
        <v>3.7896680523744869E-2</v>
      </c>
      <c r="BC48" s="8">
        <v>2.2552939548863341E-2</v>
      </c>
      <c r="BD48" s="8">
        <v>2.4606947374684451E-2</v>
      </c>
      <c r="BE48" s="8">
        <v>2.4192925863219108E-2</v>
      </c>
      <c r="BF48" s="8">
        <v>2.7289768489976499E-2</v>
      </c>
      <c r="BG48" s="8">
        <v>1.6462685942310911E-2</v>
      </c>
      <c r="BH48" s="8">
        <v>1.9514694561415614E-2</v>
      </c>
      <c r="BI48" s="8">
        <v>2.8205318885478642E-2</v>
      </c>
      <c r="BJ48" s="8">
        <v>2.1615868148163901E-2</v>
      </c>
      <c r="BK48" s="8">
        <v>8.0341692429990019E-3</v>
      </c>
      <c r="BL48" s="7">
        <v>6.5544403117885914E-3</v>
      </c>
      <c r="BM48" s="8">
        <v>9.922542461217685E-3</v>
      </c>
      <c r="BN48" s="8">
        <v>1.1369121980811948E-2</v>
      </c>
      <c r="BO48" s="8">
        <v>1.2872097862626948E-2</v>
      </c>
      <c r="BP48" s="8">
        <v>4.1274607802286666E-2</v>
      </c>
      <c r="BQ48" s="8">
        <v>6.2576831108639527E-2</v>
      </c>
      <c r="BR48" s="8">
        <v>3.058203815311444E-2</v>
      </c>
      <c r="BS48" s="8">
        <v>2.0138485191921109E-2</v>
      </c>
      <c r="BT48" s="8">
        <v>4.6126865456233561E-2</v>
      </c>
      <c r="BU48" s="8">
        <v>4.119106599307093E-2</v>
      </c>
      <c r="BV48" s="8">
        <v>1.8178658159789779E-2</v>
      </c>
      <c r="BW48" s="8">
        <v>1.5830325363749349E-2</v>
      </c>
      <c r="BX48" s="8">
        <v>2.4734822407876635E-2</v>
      </c>
      <c r="BY48" s="8">
        <v>2.7017588516616859E-2</v>
      </c>
      <c r="BZ48" s="8">
        <v>4.7212699943158798E-2</v>
      </c>
      <c r="CA48" s="8">
        <v>5.526519340412217E-2</v>
      </c>
      <c r="CB48" s="8">
        <v>3.3791588104761384E-2</v>
      </c>
      <c r="CC48" s="8">
        <v>3.5913625521901742E-2</v>
      </c>
      <c r="CD48" s="8">
        <v>3.6265751798751314E-2</v>
      </c>
      <c r="CE48" s="8">
        <v>2.2269315118382746E-2</v>
      </c>
      <c r="CF48" s="8">
        <v>1.0123207013953115E-2</v>
      </c>
      <c r="CG48" s="8">
        <v>1.4745318507229831E-2</v>
      </c>
      <c r="CH48" s="8">
        <v>1.3348694623882102E-2</v>
      </c>
      <c r="CJ48" s="6" t="s">
        <v>301</v>
      </c>
      <c r="CK48" s="6" t="s">
        <v>133</v>
      </c>
      <c r="CL48" s="8">
        <v>2.6806562413476346E-2</v>
      </c>
      <c r="CM48" s="8">
        <v>1.9071714777399364E-2</v>
      </c>
      <c r="CN48" s="8">
        <v>2.5432534191182542E-2</v>
      </c>
      <c r="CO48" s="8">
        <v>1.739382289344012E-2</v>
      </c>
      <c r="CP48" s="8">
        <v>1.5569255709881753E-2</v>
      </c>
      <c r="CQ48" s="8">
        <v>9.0949122622599292E-3</v>
      </c>
      <c r="CR48" s="8">
        <v>8.9002471350892991E-3</v>
      </c>
      <c r="CS48" s="8">
        <v>2.0871238600646127E-2</v>
      </c>
      <c r="CT48" s="8">
        <v>3.5541191851634658E-2</v>
      </c>
      <c r="CU48" s="8">
        <v>3.3088561037200585E-2</v>
      </c>
      <c r="CV48" s="8">
        <v>2.0016999843736873E-2</v>
      </c>
      <c r="CW48" s="8">
        <v>1.9078145680273426E-2</v>
      </c>
      <c r="CX48" s="8">
        <v>2.5108617926395155E-2</v>
      </c>
      <c r="CY48" s="8">
        <v>3.0502054223724852E-2</v>
      </c>
      <c r="CZ48" s="8">
        <v>3.3017535998766556E-2</v>
      </c>
      <c r="DA48" s="8">
        <v>2.2130606817625159E-2</v>
      </c>
      <c r="DB48" s="8">
        <v>3.1154995900902267E-2</v>
      </c>
      <c r="DC48" s="8">
        <v>3.0903500895985789E-2</v>
      </c>
      <c r="DD48" s="8">
        <v>8.2205084218986528E-3</v>
      </c>
      <c r="DE48" s="8">
        <v>1.2234695683282889E-2</v>
      </c>
      <c r="DF48" s="8">
        <v>3.776203992145126E-2</v>
      </c>
      <c r="DG48" s="8">
        <v>2.6641042558688828E-2</v>
      </c>
      <c r="DH48" s="8">
        <v>1.7664353483553899E-2</v>
      </c>
      <c r="DI48" s="8">
        <v>5.4541246799044284E-2</v>
      </c>
      <c r="DJ48" s="7">
        <v>6.257766932958797E-2</v>
      </c>
      <c r="DK48" s="8">
        <v>4.1786462368184056E-2</v>
      </c>
      <c r="DL48" s="8">
        <v>3.2974519260294953E-2</v>
      </c>
      <c r="DM48" s="8">
        <v>4.7942761676330367E-2</v>
      </c>
      <c r="DN48" s="8">
        <v>3.8662054772498448E-2</v>
      </c>
      <c r="DO48" s="8">
        <v>2.859968678917638E-2</v>
      </c>
      <c r="DP48" s="8">
        <v>2.0707657379250569E-2</v>
      </c>
      <c r="DQ48" s="8">
        <v>4.4993281866020474E-2</v>
      </c>
      <c r="DR48" s="8">
        <v>4.2016752591412562E-2</v>
      </c>
      <c r="DS48" s="8">
        <v>5.711495821090997E-2</v>
      </c>
      <c r="DT48" s="8">
        <v>7.7113135208714725E-2</v>
      </c>
      <c r="DU48" s="8">
        <v>6.4440358968992112E-2</v>
      </c>
      <c r="DV48" s="8">
        <v>4.5032407992517308E-2</v>
      </c>
      <c r="DW48" s="8">
        <v>4.2957869413940468E-2</v>
      </c>
      <c r="DX48" s="8">
        <v>3.4062782858279399E-2</v>
      </c>
      <c r="DY48" s="8">
        <v>1.4314314005776903E-2</v>
      </c>
      <c r="EA48" s="6" t="s">
        <v>301</v>
      </c>
      <c r="EB48" s="6" t="s">
        <v>134</v>
      </c>
      <c r="EC48" s="8">
        <v>0.12253111539575845</v>
      </c>
      <c r="ED48" s="8">
        <v>0.13408360210312109</v>
      </c>
      <c r="EE48" s="8">
        <v>0.12690542523737622</v>
      </c>
      <c r="EF48" s="8">
        <v>0.13412455683499402</v>
      </c>
      <c r="EG48" s="8">
        <v>0.13732797884911113</v>
      </c>
      <c r="EH48" s="8">
        <v>0.13147768963427528</v>
      </c>
      <c r="EI48" s="8">
        <v>0.12155564188954525</v>
      </c>
      <c r="EJ48" s="8">
        <v>0.10488258408507475</v>
      </c>
      <c r="EK48" s="8">
        <v>9.7474220708618206E-2</v>
      </c>
      <c r="EL48" s="8">
        <v>9.4600107787208634E-2</v>
      </c>
      <c r="EM48" s="8">
        <v>0.1148849589834184</v>
      </c>
      <c r="EN48" s="8">
        <v>0.1100606041806108</v>
      </c>
      <c r="EO48" s="8">
        <v>0.11094783226015034</v>
      </c>
      <c r="EP48" s="8">
        <v>0.11582144318261464</v>
      </c>
      <c r="EQ48" s="8">
        <v>0.1099370008317561</v>
      </c>
      <c r="ER48" s="8">
        <v>0.12570610691932996</v>
      </c>
      <c r="ES48" s="8">
        <v>0.12595697610323991</v>
      </c>
      <c r="ET48" s="8">
        <v>0.12680410268440595</v>
      </c>
      <c r="EU48" s="8">
        <v>0.15399804965632249</v>
      </c>
      <c r="EV48" s="8">
        <v>0.13599665890625809</v>
      </c>
      <c r="EW48" s="8">
        <v>0.16816689458327624</v>
      </c>
      <c r="EX48" s="8">
        <v>0.17714603348023156</v>
      </c>
      <c r="EY48" s="8">
        <v>0.19436752900028492</v>
      </c>
      <c r="EZ48" s="8">
        <v>0.19821533839036506</v>
      </c>
      <c r="FA48" s="8">
        <v>0.18755775133816394</v>
      </c>
      <c r="FB48" s="8">
        <v>0.16387235035908071</v>
      </c>
      <c r="FC48" s="8">
        <v>0.17122653096137577</v>
      </c>
      <c r="FD48" s="7">
        <v>0.16428265096992992</v>
      </c>
      <c r="FE48" s="8">
        <v>0.16992694378961853</v>
      </c>
      <c r="FF48" s="8">
        <v>0.16981078311342548</v>
      </c>
      <c r="FG48" s="8">
        <v>0.13691774272621299</v>
      </c>
      <c r="FH48" s="8">
        <v>9.6257893886514373E-2</v>
      </c>
      <c r="FI48" s="8">
        <v>9.6052952844056877E-2</v>
      </c>
      <c r="FJ48" s="8">
        <v>0.10205985881681655</v>
      </c>
      <c r="FK48" s="8">
        <v>8.0400978249594315E-2</v>
      </c>
      <c r="FL48" s="8">
        <v>0.10023949319864056</v>
      </c>
      <c r="FM48" s="8">
        <v>0.13445915009236645</v>
      </c>
      <c r="FN48" s="8">
        <v>0.14235753025510309</v>
      </c>
      <c r="FO48" s="8">
        <v>0.13864116885308145</v>
      </c>
      <c r="FP48" s="8">
        <v>0.1554112370526945</v>
      </c>
      <c r="FZ48" s="6" t="s">
        <v>301</v>
      </c>
      <c r="GA48" s="8">
        <v>0.4880996751219131</v>
      </c>
      <c r="GB48" s="8">
        <v>0.46568217602356199</v>
      </c>
      <c r="GC48" s="8">
        <v>0.46533701738864008</v>
      </c>
      <c r="GD48" s="8">
        <v>0.48415104800044539</v>
      </c>
      <c r="GE48" s="8">
        <v>0.49527558729877308</v>
      </c>
      <c r="GF48" s="8">
        <v>0.52109172222919298</v>
      </c>
      <c r="GG48" s="8">
        <v>0.52083910060975769</v>
      </c>
      <c r="GH48" s="8">
        <v>0.49994686996960791</v>
      </c>
      <c r="GI48" s="8">
        <v>0.49542751241663374</v>
      </c>
      <c r="GJ48" s="8">
        <v>0.51117505502175897</v>
      </c>
      <c r="GK48" s="8">
        <v>0.43237685565326039</v>
      </c>
      <c r="GL48" s="7">
        <v>0.42755413566726747</v>
      </c>
      <c r="GM48" s="8">
        <v>0.42347631855338896</v>
      </c>
      <c r="GN48" s="8">
        <v>0.44965507612308026</v>
      </c>
      <c r="GO48" s="8">
        <v>0.46818666370000483</v>
      </c>
      <c r="GP48" s="8">
        <v>0.46686097191555376</v>
      </c>
      <c r="GQ48" s="8">
        <v>0.46872555312997222</v>
      </c>
      <c r="GR48" s="8">
        <v>0.45897562331306835</v>
      </c>
      <c r="GS48" s="8">
        <v>0.41919805924980658</v>
      </c>
      <c r="GT48" s="8">
        <v>0.42352191467248662</v>
      </c>
      <c r="GU48" s="8">
        <v>0.21786911399079215</v>
      </c>
      <c r="GV48" s="7">
        <v>0.21534751717330489</v>
      </c>
      <c r="GW48" s="8">
        <v>0.21243018664700339</v>
      </c>
      <c r="GX48" s="8">
        <v>0.22214355046216622</v>
      </c>
      <c r="GY48" s="8">
        <v>0.23728534673526819</v>
      </c>
      <c r="GZ48" s="8">
        <v>0.27227854357956699</v>
      </c>
      <c r="HA48" s="8">
        <v>0.29754053026790711</v>
      </c>
      <c r="HB48" s="8">
        <v>0.29966822353979178</v>
      </c>
      <c r="HC48" s="8">
        <v>0.2611165250049905</v>
      </c>
      <c r="HD48" s="8">
        <v>0.23767988870565648</v>
      </c>
      <c r="HE48" s="8">
        <v>0.33667595825889302</v>
      </c>
      <c r="HF48" s="8">
        <v>0.35544586074743567</v>
      </c>
      <c r="HG48" s="7">
        <v>0.36819506319158618</v>
      </c>
      <c r="HH48" s="8">
        <v>0.37585719152057434</v>
      </c>
      <c r="HI48" s="8">
        <v>0.38067270669060982</v>
      </c>
      <c r="HJ48" s="8">
        <v>0.39719812668044457</v>
      </c>
      <c r="HK48" s="8">
        <v>0.38695195998759341</v>
      </c>
      <c r="HL48" s="8">
        <v>0.36616548250094066</v>
      </c>
      <c r="HM48" s="8">
        <v>0.35397072365016991</v>
      </c>
      <c r="HN48" s="8">
        <v>0.34726339463794176</v>
      </c>
      <c r="HP48" s="6" t="s">
        <v>309</v>
      </c>
      <c r="HQ48" s="6" t="s">
        <v>140</v>
      </c>
      <c r="HR48" s="6" t="s">
        <v>141</v>
      </c>
      <c r="HS48" s="8">
        <v>0.67676233514993667</v>
      </c>
    </row>
  </sheetData>
  <mergeCells count="1">
    <mergeCell ref="A1:AN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0B2E-F81D-4E58-87EB-04AF3F3E8CD2}">
  <dimension ref="A1:S126"/>
  <sheetViews>
    <sheetView workbookViewId="0">
      <selection sqref="A1:H1"/>
    </sheetView>
  </sheetViews>
  <sheetFormatPr defaultRowHeight="14.25" x14ac:dyDescent="0.45"/>
  <cols>
    <col min="3" max="5" width="10.59765625" customWidth="1"/>
    <col min="6" max="6" width="13.06640625" bestFit="1" customWidth="1"/>
    <col min="8" max="8" width="10.59765625" bestFit="1" customWidth="1"/>
    <col min="9" max="10" width="10.59765625" customWidth="1"/>
    <col min="12" max="12" width="10.59765625" bestFit="1" customWidth="1"/>
    <col min="13" max="14" width="10.59765625" customWidth="1"/>
    <col min="16" max="19" width="10.59765625" customWidth="1"/>
  </cols>
  <sheetData>
    <row r="1" spans="1:19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9" ht="14.65" thickBot="1" x14ac:dyDescent="0.5">
      <c r="C9" s="1" t="str">
        <f>IF(A11="x","DeActivated","~TFM_DINS-AT: region=IRL")</f>
        <v>~TFM_DINS-AT: region=IRL</v>
      </c>
      <c r="H9" s="1" t="str">
        <f>IF(A11="x","DeActivated","~TFM_DINS-AT: region=IRL")</f>
        <v>~TFM_DINS-AT: region=IRL</v>
      </c>
      <c r="L9" s="1" t="str">
        <f>IF(A11="x","DeActivated","~TFM_DINS-AT: region=IRL")</f>
        <v>~TFM_DINS-AT: region=IRL</v>
      </c>
      <c r="P9" s="1" t="str">
        <f>IF(A11="x","DeActivated","~TFM_INS-AT: region=IRL")</f>
        <v>~TFM_INS-AT: region=IRL</v>
      </c>
    </row>
    <row r="10" spans="1:19" ht="15.75" thickBot="1" x14ac:dyDescent="0.6">
      <c r="A10" t="s">
        <v>219</v>
      </c>
      <c r="C10" s="2" t="s">
        <v>220</v>
      </c>
      <c r="D10" s="2" t="s">
        <v>3</v>
      </c>
      <c r="E10" s="2" t="s">
        <v>2</v>
      </c>
      <c r="F10" s="2" t="s">
        <v>1</v>
      </c>
      <c r="H10" s="2" t="s">
        <v>1</v>
      </c>
      <c r="I10" s="2" t="s">
        <v>2</v>
      </c>
      <c r="J10" s="2" t="s">
        <v>3</v>
      </c>
      <c r="L10" s="2" t="s">
        <v>1</v>
      </c>
      <c r="M10" s="2" t="s">
        <v>2</v>
      </c>
      <c r="N10" s="2" t="s">
        <v>221</v>
      </c>
      <c r="P10" s="2" t="s">
        <v>222</v>
      </c>
      <c r="Q10" s="2" t="s">
        <v>2</v>
      </c>
      <c r="R10" s="2" t="s">
        <v>223</v>
      </c>
      <c r="S10" s="2" t="s">
        <v>224</v>
      </c>
    </row>
    <row r="11" spans="1:19" x14ac:dyDescent="0.45">
      <c r="C11" s="5">
        <v>5.1369863013698627E-2</v>
      </c>
      <c r="D11" s="5">
        <v>7.995425502821769E-3</v>
      </c>
      <c r="E11" s="3" t="s">
        <v>6</v>
      </c>
      <c r="F11" s="3" t="s">
        <v>225</v>
      </c>
      <c r="H11" s="3" t="s">
        <v>226</v>
      </c>
      <c r="I11" s="3" t="s">
        <v>6</v>
      </c>
      <c r="J11" s="3"/>
      <c r="L11" s="3" t="s">
        <v>227</v>
      </c>
      <c r="M11" s="3" t="s">
        <v>6</v>
      </c>
      <c r="N11" s="5">
        <v>9.9712267620654105E-2</v>
      </c>
      <c r="P11" s="11">
        <v>2020</v>
      </c>
      <c r="Q11" s="3" t="s">
        <v>228</v>
      </c>
      <c r="R11" s="5">
        <v>0.6875</v>
      </c>
      <c r="S11" s="3" t="s">
        <v>229</v>
      </c>
    </row>
    <row r="12" spans="1:19" x14ac:dyDescent="0.45">
      <c r="C12" s="8">
        <v>2.0547945205479451E-2</v>
      </c>
      <c r="D12" s="8">
        <v>2.0406235238545112E-2</v>
      </c>
      <c r="E12" s="6" t="s">
        <v>10</v>
      </c>
      <c r="F12" s="6" t="s">
        <v>225</v>
      </c>
      <c r="H12" s="6" t="s">
        <v>226</v>
      </c>
      <c r="I12" s="6" t="s">
        <v>10</v>
      </c>
      <c r="J12" s="6"/>
      <c r="L12" s="6" t="s">
        <v>227</v>
      </c>
      <c r="M12" s="6" t="s">
        <v>10</v>
      </c>
      <c r="N12" s="8">
        <v>0.24001068053988406</v>
      </c>
      <c r="P12" s="12">
        <v>2020</v>
      </c>
      <c r="Q12" s="6" t="s">
        <v>230</v>
      </c>
      <c r="R12" s="8">
        <v>0.30053333333333337</v>
      </c>
      <c r="S12" s="6" t="s">
        <v>229</v>
      </c>
    </row>
    <row r="13" spans="1:19" x14ac:dyDescent="0.45">
      <c r="C13" s="5">
        <v>2.0547945205479451E-2</v>
      </c>
      <c r="D13" s="5">
        <v>3.0281182408074987E-2</v>
      </c>
      <c r="E13" s="3" t="s">
        <v>11</v>
      </c>
      <c r="F13" s="3" t="s">
        <v>225</v>
      </c>
      <c r="H13" s="3" t="s">
        <v>226</v>
      </c>
      <c r="I13" s="3" t="s">
        <v>11</v>
      </c>
      <c r="J13" s="3"/>
      <c r="L13" s="3" t="s">
        <v>227</v>
      </c>
      <c r="M13" s="3" t="s">
        <v>11</v>
      </c>
      <c r="N13" s="5">
        <v>0.16934823636880703</v>
      </c>
      <c r="P13" s="11">
        <v>2020</v>
      </c>
      <c r="Q13" s="3" t="s">
        <v>231</v>
      </c>
      <c r="R13" s="5">
        <v>0.22463333333333332</v>
      </c>
      <c r="S13" s="3" t="s">
        <v>229</v>
      </c>
    </row>
    <row r="14" spans="1:19" x14ac:dyDescent="0.45">
      <c r="C14" s="8">
        <v>2.0547945205479451E-2</v>
      </c>
      <c r="D14" s="8">
        <v>2.5686796111677408E-2</v>
      </c>
      <c r="E14" s="6" t="s">
        <v>12</v>
      </c>
      <c r="F14" s="6" t="s">
        <v>225</v>
      </c>
      <c r="H14" s="6" t="s">
        <v>226</v>
      </c>
      <c r="I14" s="6" t="s">
        <v>12</v>
      </c>
      <c r="J14" s="6"/>
      <c r="L14" s="6" t="s">
        <v>227</v>
      </c>
      <c r="M14" s="6" t="s">
        <v>12</v>
      </c>
      <c r="N14" s="8">
        <v>0.11415393485154213</v>
      </c>
      <c r="P14" s="12">
        <v>2020</v>
      </c>
      <c r="Q14" s="6" t="s">
        <v>232</v>
      </c>
      <c r="R14" s="8">
        <v>0.53513333333333335</v>
      </c>
      <c r="S14" s="6" t="s">
        <v>229</v>
      </c>
    </row>
    <row r="15" spans="1:19" x14ac:dyDescent="0.45">
      <c r="C15" s="5">
        <v>2.0547945205479451E-2</v>
      </c>
      <c r="D15" s="5">
        <v>2.5477960370932053E-2</v>
      </c>
      <c r="E15" s="3" t="s">
        <v>13</v>
      </c>
      <c r="F15" s="3" t="s">
        <v>225</v>
      </c>
      <c r="H15" s="3" t="s">
        <v>226</v>
      </c>
      <c r="I15" s="3" t="s">
        <v>13</v>
      </c>
      <c r="J15" s="3"/>
      <c r="L15" s="3" t="s">
        <v>227</v>
      </c>
      <c r="M15" s="3" t="s">
        <v>13</v>
      </c>
      <c r="N15" s="5">
        <v>0.10496726463443973</v>
      </c>
      <c r="P15" s="11">
        <v>2021</v>
      </c>
      <c r="Q15" s="3" t="s">
        <v>228</v>
      </c>
      <c r="R15" s="5">
        <v>0.67733333333333334</v>
      </c>
      <c r="S15" s="3" t="s">
        <v>229</v>
      </c>
    </row>
    <row r="16" spans="1:19" x14ac:dyDescent="0.45">
      <c r="C16" s="8">
        <v>2.0547945205479451E-2</v>
      </c>
      <c r="D16" s="8">
        <v>2.6939810556149468E-2</v>
      </c>
      <c r="E16" s="6" t="s">
        <v>14</v>
      </c>
      <c r="F16" s="6" t="s">
        <v>225</v>
      </c>
      <c r="H16" s="6" t="s">
        <v>226</v>
      </c>
      <c r="I16" s="6" t="s">
        <v>14</v>
      </c>
      <c r="J16" s="6"/>
      <c r="L16" s="6" t="s">
        <v>227</v>
      </c>
      <c r="M16" s="6" t="s">
        <v>14</v>
      </c>
      <c r="N16" s="8">
        <v>0.11154382415841391</v>
      </c>
      <c r="P16" s="12">
        <v>2021</v>
      </c>
      <c r="Q16" s="6" t="s">
        <v>230</v>
      </c>
      <c r="R16" s="8">
        <v>0.31983333333333336</v>
      </c>
      <c r="S16" s="6" t="s">
        <v>229</v>
      </c>
    </row>
    <row r="17" spans="3:19" x14ac:dyDescent="0.45">
      <c r="C17" s="5">
        <v>2.0547945205479451E-2</v>
      </c>
      <c r="D17" s="5">
        <v>3.5502075926708607E-2</v>
      </c>
      <c r="E17" s="3" t="s">
        <v>15</v>
      </c>
      <c r="F17" s="3" t="s">
        <v>225</v>
      </c>
      <c r="H17" s="3" t="s">
        <v>226</v>
      </c>
      <c r="I17" s="3" t="s">
        <v>15</v>
      </c>
      <c r="J17" s="3"/>
      <c r="L17" s="3" t="s">
        <v>227</v>
      </c>
      <c r="M17" s="3" t="s">
        <v>15</v>
      </c>
      <c r="N17" s="5">
        <v>0.1148129368633708</v>
      </c>
      <c r="P17" s="11">
        <v>2021</v>
      </c>
      <c r="Q17" s="3" t="s">
        <v>231</v>
      </c>
      <c r="R17" s="5">
        <v>0.11263333333333335</v>
      </c>
      <c r="S17" s="3" t="s">
        <v>229</v>
      </c>
    </row>
    <row r="18" spans="3:19" x14ac:dyDescent="0.45">
      <c r="C18" s="8">
        <v>2.0547945205479451E-2</v>
      </c>
      <c r="D18" s="8">
        <v>3.5502075926708607E-2</v>
      </c>
      <c r="E18" s="6" t="s">
        <v>16</v>
      </c>
      <c r="F18" s="6" t="s">
        <v>225</v>
      </c>
      <c r="H18" s="6" t="s">
        <v>226</v>
      </c>
      <c r="I18" s="6" t="s">
        <v>16</v>
      </c>
      <c r="J18" s="6"/>
      <c r="L18" s="6" t="s">
        <v>227</v>
      </c>
      <c r="M18" s="6" t="s">
        <v>16</v>
      </c>
      <c r="N18" s="8">
        <v>9.9696802001574492E-2</v>
      </c>
      <c r="P18" s="12">
        <v>2021</v>
      </c>
      <c r="Q18" s="6" t="s">
        <v>232</v>
      </c>
      <c r="R18" s="8">
        <v>0.30426666666666669</v>
      </c>
      <c r="S18" s="6" t="s">
        <v>229</v>
      </c>
    </row>
    <row r="19" spans="3:19" x14ac:dyDescent="0.45">
      <c r="C19" s="5">
        <v>2.0547945205479451E-2</v>
      </c>
      <c r="D19" s="5">
        <v>2.386694179946797E-2</v>
      </c>
      <c r="E19" s="3" t="s">
        <v>17</v>
      </c>
      <c r="F19" s="3" t="s">
        <v>225</v>
      </c>
      <c r="H19" s="3" t="s">
        <v>226</v>
      </c>
      <c r="I19" s="3" t="s">
        <v>17</v>
      </c>
      <c r="J19" s="3"/>
      <c r="L19" s="3" t="s">
        <v>227</v>
      </c>
      <c r="M19" s="3" t="s">
        <v>17</v>
      </c>
      <c r="N19" s="5">
        <v>0.10444033242011508</v>
      </c>
      <c r="P19" s="11">
        <v>2022</v>
      </c>
      <c r="Q19" s="3" t="s">
        <v>228</v>
      </c>
      <c r="R19" s="5">
        <v>0.54266666666666674</v>
      </c>
      <c r="S19" s="3" t="s">
        <v>229</v>
      </c>
    </row>
    <row r="20" spans="3:19" x14ac:dyDescent="0.45">
      <c r="C20" s="8">
        <v>3.0821917808219176E-2</v>
      </c>
      <c r="D20" s="8">
        <v>1.4916838624667481E-2</v>
      </c>
      <c r="E20" s="6" t="s">
        <v>18</v>
      </c>
      <c r="F20" s="6" t="s">
        <v>225</v>
      </c>
      <c r="H20" s="6" t="s">
        <v>226</v>
      </c>
      <c r="I20" s="6" t="s">
        <v>18</v>
      </c>
      <c r="J20" s="6"/>
      <c r="L20" s="6" t="s">
        <v>227</v>
      </c>
      <c r="M20" s="6" t="s">
        <v>18</v>
      </c>
      <c r="N20" s="8">
        <v>9.8031676550184077E-2</v>
      </c>
      <c r="P20" s="12">
        <v>2022</v>
      </c>
      <c r="Q20" s="6" t="s">
        <v>230</v>
      </c>
      <c r="R20" s="8">
        <v>0.26319999999999999</v>
      </c>
      <c r="S20" s="6" t="s">
        <v>229</v>
      </c>
    </row>
    <row r="21" spans="3:19" x14ac:dyDescent="0.45">
      <c r="C21" s="5">
        <v>5.2511415525114152E-2</v>
      </c>
      <c r="D21" s="5">
        <v>8.1731016251066976E-3</v>
      </c>
      <c r="E21" s="3" t="s">
        <v>19</v>
      </c>
      <c r="F21" s="3" t="s">
        <v>225</v>
      </c>
      <c r="H21" s="3" t="s">
        <v>226</v>
      </c>
      <c r="I21" s="3" t="s">
        <v>19</v>
      </c>
      <c r="J21" s="3"/>
      <c r="L21" s="3" t="s">
        <v>227</v>
      </c>
      <c r="M21" s="3" t="s">
        <v>19</v>
      </c>
      <c r="N21" s="5">
        <v>0.16363855903583535</v>
      </c>
      <c r="P21" s="11">
        <v>2022</v>
      </c>
      <c r="Q21" s="3" t="s">
        <v>231</v>
      </c>
      <c r="R21" s="5">
        <v>5.6633333333333334E-2</v>
      </c>
      <c r="S21" s="3" t="s">
        <v>229</v>
      </c>
    </row>
    <row r="22" spans="3:19" x14ac:dyDescent="0.45">
      <c r="C22" s="8">
        <v>2.1004566210045664E-2</v>
      </c>
      <c r="D22" s="8">
        <v>2.0859707132735002E-2</v>
      </c>
      <c r="E22" s="6" t="s">
        <v>20</v>
      </c>
      <c r="F22" s="6" t="s">
        <v>225</v>
      </c>
      <c r="H22" s="6" t="s">
        <v>226</v>
      </c>
      <c r="I22" s="6" t="s">
        <v>20</v>
      </c>
      <c r="J22" s="6"/>
      <c r="L22" s="6" t="s">
        <v>227</v>
      </c>
      <c r="M22" s="6" t="s">
        <v>20</v>
      </c>
      <c r="N22" s="8">
        <v>0.33631984749714916</v>
      </c>
      <c r="P22" s="12">
        <v>2022</v>
      </c>
      <c r="Q22" s="6" t="s">
        <v>232</v>
      </c>
      <c r="R22" s="8">
        <v>0.43803333333333327</v>
      </c>
      <c r="S22" s="6" t="s">
        <v>229</v>
      </c>
    </row>
    <row r="23" spans="3:19" x14ac:dyDescent="0.45">
      <c r="C23" s="5">
        <v>2.1004566210045664E-2</v>
      </c>
      <c r="D23" s="5">
        <v>3.0954097572698874E-2</v>
      </c>
      <c r="E23" s="3" t="s">
        <v>21</v>
      </c>
      <c r="F23" s="3" t="s">
        <v>225</v>
      </c>
      <c r="H23" s="3" t="s">
        <v>226</v>
      </c>
      <c r="I23" s="3" t="s">
        <v>21</v>
      </c>
      <c r="J23" s="3"/>
      <c r="L23" s="3" t="s">
        <v>227</v>
      </c>
      <c r="M23" s="3" t="s">
        <v>21</v>
      </c>
      <c r="N23" s="5">
        <v>0.21752057704348138</v>
      </c>
      <c r="P23" s="11">
        <v>2025</v>
      </c>
      <c r="Q23" s="3" t="s">
        <v>228</v>
      </c>
      <c r="R23" s="5">
        <v>0.70723333333333327</v>
      </c>
      <c r="S23" s="3" t="s">
        <v>229</v>
      </c>
    </row>
    <row r="24" spans="3:19" x14ac:dyDescent="0.45">
      <c r="C24" s="8">
        <v>2.1004566210045664E-2</v>
      </c>
      <c r="D24" s="8">
        <v>2.6257613803048016E-2</v>
      </c>
      <c r="E24" s="6" t="s">
        <v>22</v>
      </c>
      <c r="F24" s="6" t="s">
        <v>225</v>
      </c>
      <c r="H24" s="6" t="s">
        <v>226</v>
      </c>
      <c r="I24" s="6" t="s">
        <v>22</v>
      </c>
      <c r="J24" s="6"/>
      <c r="L24" s="6" t="s">
        <v>227</v>
      </c>
      <c r="M24" s="6" t="s">
        <v>22</v>
      </c>
      <c r="N24" s="8">
        <v>0.16471218620125239</v>
      </c>
      <c r="P24" s="12">
        <v>2025</v>
      </c>
      <c r="Q24" s="6" t="s">
        <v>230</v>
      </c>
      <c r="R24" s="8">
        <v>0.36790000000000006</v>
      </c>
      <c r="S24" s="6" t="s">
        <v>229</v>
      </c>
    </row>
    <row r="25" spans="3:19" x14ac:dyDescent="0.45">
      <c r="C25" s="5">
        <v>2.1004566210045664E-2</v>
      </c>
      <c r="D25" s="5">
        <v>2.6044137268063879E-2</v>
      </c>
      <c r="E25" s="3" t="s">
        <v>23</v>
      </c>
      <c r="F25" s="3" t="s">
        <v>225</v>
      </c>
      <c r="H25" s="3" t="s">
        <v>226</v>
      </c>
      <c r="I25" s="3" t="s">
        <v>23</v>
      </c>
      <c r="J25" s="3"/>
      <c r="L25" s="3" t="s">
        <v>227</v>
      </c>
      <c r="M25" s="3" t="s">
        <v>23</v>
      </c>
      <c r="N25" s="5">
        <v>0.15406319263130253</v>
      </c>
      <c r="P25" s="11">
        <v>2025</v>
      </c>
      <c r="Q25" s="3" t="s">
        <v>231</v>
      </c>
      <c r="R25" s="5">
        <v>0.15676666666666667</v>
      </c>
      <c r="S25" s="3" t="s">
        <v>229</v>
      </c>
    </row>
    <row r="26" spans="3:19" x14ac:dyDescent="0.45">
      <c r="C26" s="8">
        <v>2.1004566210045664E-2</v>
      </c>
      <c r="D26" s="8">
        <v>2.7538473012952789E-2</v>
      </c>
      <c r="E26" s="6" t="s">
        <v>24</v>
      </c>
      <c r="F26" s="6" t="s">
        <v>225</v>
      </c>
      <c r="H26" s="6" t="s">
        <v>226</v>
      </c>
      <c r="I26" s="6" t="s">
        <v>24</v>
      </c>
      <c r="J26" s="6"/>
      <c r="L26" s="6" t="s">
        <v>227</v>
      </c>
      <c r="M26" s="6" t="s">
        <v>24</v>
      </c>
      <c r="N26" s="8">
        <v>0.16049829359767487</v>
      </c>
      <c r="P26" s="12">
        <v>2025</v>
      </c>
      <c r="Q26" s="6" t="s">
        <v>232</v>
      </c>
      <c r="R26" s="8">
        <v>0.37086666666666668</v>
      </c>
      <c r="S26" s="6" t="s">
        <v>229</v>
      </c>
    </row>
    <row r="27" spans="3:19" x14ac:dyDescent="0.45">
      <c r="C27" s="5">
        <v>2.1004566210045664E-2</v>
      </c>
      <c r="D27" s="5">
        <v>3.6291010947302131E-2</v>
      </c>
      <c r="E27" s="3" t="s">
        <v>25</v>
      </c>
      <c r="F27" s="3" t="s">
        <v>225</v>
      </c>
      <c r="H27" s="3" t="s">
        <v>226</v>
      </c>
      <c r="I27" s="3" t="s">
        <v>25</v>
      </c>
      <c r="J27" s="3"/>
      <c r="L27" s="3" t="s">
        <v>227</v>
      </c>
      <c r="M27" s="3" t="s">
        <v>25</v>
      </c>
      <c r="N27" s="5">
        <v>0.16458659495452577</v>
      </c>
      <c r="P27" s="11">
        <v>2026</v>
      </c>
      <c r="Q27" s="3" t="s">
        <v>228</v>
      </c>
      <c r="R27" s="5">
        <v>0.63099999999999989</v>
      </c>
      <c r="S27" s="3" t="s">
        <v>229</v>
      </c>
    </row>
    <row r="28" spans="3:19" x14ac:dyDescent="0.45">
      <c r="C28" s="8">
        <v>2.1004566210045664E-2</v>
      </c>
      <c r="D28" s="8">
        <v>3.6291010947302131E-2</v>
      </c>
      <c r="E28" s="6" t="s">
        <v>26</v>
      </c>
      <c r="F28" s="6" t="s">
        <v>225</v>
      </c>
      <c r="H28" s="6" t="s">
        <v>226</v>
      </c>
      <c r="I28" s="6" t="s">
        <v>26</v>
      </c>
      <c r="J28" s="6"/>
      <c r="L28" s="6" t="s">
        <v>227</v>
      </c>
      <c r="M28" s="6" t="s">
        <v>26</v>
      </c>
      <c r="N28" s="8">
        <v>0.15819934499492994</v>
      </c>
      <c r="P28" s="12">
        <v>2026</v>
      </c>
      <c r="Q28" s="6" t="s">
        <v>230</v>
      </c>
      <c r="R28" s="8">
        <v>0.31413333333333338</v>
      </c>
      <c r="S28" s="6" t="s">
        <v>229</v>
      </c>
    </row>
    <row r="29" spans="3:19" x14ac:dyDescent="0.45">
      <c r="C29" s="5">
        <v>2.1004566210045664E-2</v>
      </c>
      <c r="D29" s="5">
        <v>2.4397318283900592E-2</v>
      </c>
      <c r="E29" s="3" t="s">
        <v>27</v>
      </c>
      <c r="F29" s="3" t="s">
        <v>225</v>
      </c>
      <c r="H29" s="3" t="s">
        <v>226</v>
      </c>
      <c r="I29" s="3" t="s">
        <v>27</v>
      </c>
      <c r="J29" s="3"/>
      <c r="L29" s="3" t="s">
        <v>227</v>
      </c>
      <c r="M29" s="3" t="s">
        <v>27</v>
      </c>
      <c r="N29" s="5">
        <v>0.16458030692006798</v>
      </c>
      <c r="P29" s="11">
        <v>2026</v>
      </c>
      <c r="Q29" s="3" t="s">
        <v>231</v>
      </c>
      <c r="R29" s="5">
        <v>0.11486666666666666</v>
      </c>
      <c r="S29" s="3" t="s">
        <v>229</v>
      </c>
    </row>
    <row r="30" spans="3:19" x14ac:dyDescent="0.45">
      <c r="C30" s="8">
        <v>3.1506849315068496E-2</v>
      </c>
      <c r="D30" s="8">
        <v>1.5248323927437872E-2</v>
      </c>
      <c r="E30" s="6" t="s">
        <v>28</v>
      </c>
      <c r="F30" s="6" t="s">
        <v>225</v>
      </c>
      <c r="H30" s="6" t="s">
        <v>226</v>
      </c>
      <c r="I30" s="6" t="s">
        <v>28</v>
      </c>
      <c r="J30" s="6"/>
      <c r="L30" s="6" t="s">
        <v>227</v>
      </c>
      <c r="M30" s="6" t="s">
        <v>28</v>
      </c>
      <c r="N30" s="8">
        <v>0.16194681653407295</v>
      </c>
      <c r="P30" s="12">
        <v>2026</v>
      </c>
      <c r="Q30" s="6" t="s">
        <v>232</v>
      </c>
      <c r="R30" s="8">
        <v>0.36863333333333337</v>
      </c>
      <c r="S30" s="6" t="s">
        <v>229</v>
      </c>
    </row>
    <row r="31" spans="3:19" x14ac:dyDescent="0.45">
      <c r="C31" s="5">
        <v>5.2511415525114152E-2</v>
      </c>
      <c r="D31" s="5">
        <v>8.1731016251066976E-3</v>
      </c>
      <c r="E31" s="3" t="s">
        <v>29</v>
      </c>
      <c r="F31" s="3" t="s">
        <v>225</v>
      </c>
      <c r="H31" s="3" t="s">
        <v>226</v>
      </c>
      <c r="I31" s="3" t="s">
        <v>29</v>
      </c>
      <c r="J31" s="3"/>
      <c r="L31" s="3" t="s">
        <v>227</v>
      </c>
      <c r="M31" s="3" t="s">
        <v>29</v>
      </c>
      <c r="N31" s="5">
        <v>0.10550876958151645</v>
      </c>
      <c r="P31" s="11">
        <v>2027</v>
      </c>
      <c r="Q31" s="3" t="s">
        <v>228</v>
      </c>
      <c r="R31" s="5">
        <v>0.5436333333333333</v>
      </c>
      <c r="S31" s="3" t="s">
        <v>229</v>
      </c>
    </row>
    <row r="32" spans="3:19" x14ac:dyDescent="0.45">
      <c r="C32" s="8">
        <v>2.1004566210045664E-2</v>
      </c>
      <c r="D32" s="8">
        <v>2.0859707132735002E-2</v>
      </c>
      <c r="E32" s="6" t="s">
        <v>30</v>
      </c>
      <c r="F32" s="6" t="s">
        <v>225</v>
      </c>
      <c r="H32" s="6" t="s">
        <v>226</v>
      </c>
      <c r="I32" s="6" t="s">
        <v>30</v>
      </c>
      <c r="J32" s="6"/>
      <c r="L32" s="6" t="s">
        <v>227</v>
      </c>
      <c r="M32" s="6" t="s">
        <v>30</v>
      </c>
      <c r="N32" s="8">
        <v>0.12344123918143524</v>
      </c>
      <c r="P32" s="12">
        <v>2027</v>
      </c>
      <c r="Q32" s="6" t="s">
        <v>230</v>
      </c>
      <c r="R32" s="8">
        <v>0.24016666666666667</v>
      </c>
      <c r="S32" s="6" t="s">
        <v>229</v>
      </c>
    </row>
    <row r="33" spans="3:19" x14ac:dyDescent="0.45">
      <c r="C33" s="5">
        <v>2.1004566210045664E-2</v>
      </c>
      <c r="D33" s="5">
        <v>3.0954097572698874E-2</v>
      </c>
      <c r="E33" s="3" t="s">
        <v>31</v>
      </c>
      <c r="F33" s="3" t="s">
        <v>225</v>
      </c>
      <c r="H33" s="3" t="s">
        <v>226</v>
      </c>
      <c r="I33" s="3" t="s">
        <v>31</v>
      </c>
      <c r="J33" s="3"/>
      <c r="L33" s="3" t="s">
        <v>227</v>
      </c>
      <c r="M33" s="3" t="s">
        <v>31</v>
      </c>
      <c r="N33" s="5">
        <v>0.14749272512080314</v>
      </c>
      <c r="P33" s="11">
        <v>2027</v>
      </c>
      <c r="Q33" s="3" t="s">
        <v>231</v>
      </c>
      <c r="R33" s="5">
        <v>0.15766666666666668</v>
      </c>
      <c r="S33" s="3" t="s">
        <v>229</v>
      </c>
    </row>
    <row r="34" spans="3:19" x14ac:dyDescent="0.45">
      <c r="C34" s="8">
        <v>2.1004566210045664E-2</v>
      </c>
      <c r="D34" s="8">
        <v>2.6257613803048016E-2</v>
      </c>
      <c r="E34" s="6" t="s">
        <v>32</v>
      </c>
      <c r="F34" s="6" t="s">
        <v>225</v>
      </c>
      <c r="H34" s="6" t="s">
        <v>226</v>
      </c>
      <c r="I34" s="6" t="s">
        <v>32</v>
      </c>
      <c r="J34" s="6"/>
      <c r="L34" s="6" t="s">
        <v>227</v>
      </c>
      <c r="M34" s="6" t="s">
        <v>32</v>
      </c>
      <c r="N34" s="8">
        <v>6.9234457107224978E-2</v>
      </c>
      <c r="P34" s="12">
        <v>2027</v>
      </c>
      <c r="Q34" s="6" t="s">
        <v>232</v>
      </c>
      <c r="R34" s="8">
        <v>0.34190000000000004</v>
      </c>
      <c r="S34" s="6" t="s">
        <v>229</v>
      </c>
    </row>
    <row r="35" spans="3:19" x14ac:dyDescent="0.45">
      <c r="C35" s="5">
        <v>2.1004566210045664E-2</v>
      </c>
      <c r="D35" s="5">
        <v>2.6044137268063879E-2</v>
      </c>
      <c r="E35" s="3" t="s">
        <v>33</v>
      </c>
      <c r="F35" s="3" t="s">
        <v>225</v>
      </c>
      <c r="H35" s="3" t="s">
        <v>226</v>
      </c>
      <c r="I35" s="3" t="s">
        <v>33</v>
      </c>
      <c r="J35" s="3"/>
      <c r="L35" s="3" t="s">
        <v>227</v>
      </c>
      <c r="M35" s="3" t="s">
        <v>33</v>
      </c>
      <c r="N35" s="5">
        <v>6.7323511991501217E-2</v>
      </c>
      <c r="P35" s="11">
        <v>2028</v>
      </c>
      <c r="Q35" s="3" t="s">
        <v>228</v>
      </c>
      <c r="R35" s="5">
        <v>0.62869999999999993</v>
      </c>
      <c r="S35" s="3" t="s">
        <v>229</v>
      </c>
    </row>
    <row r="36" spans="3:19" x14ac:dyDescent="0.45">
      <c r="C36" s="8">
        <v>2.1004566210045664E-2</v>
      </c>
      <c r="D36" s="8">
        <v>2.7538473012952789E-2</v>
      </c>
      <c r="E36" s="6" t="s">
        <v>34</v>
      </c>
      <c r="F36" s="6" t="s">
        <v>225</v>
      </c>
      <c r="H36" s="6" t="s">
        <v>226</v>
      </c>
      <c r="I36" s="6" t="s">
        <v>34</v>
      </c>
      <c r="J36" s="6"/>
      <c r="L36" s="6" t="s">
        <v>227</v>
      </c>
      <c r="M36" s="6" t="s">
        <v>34</v>
      </c>
      <c r="N36" s="8">
        <v>7.1013818709255272E-2</v>
      </c>
      <c r="P36" s="12">
        <v>2028</v>
      </c>
      <c r="Q36" s="6" t="s">
        <v>230</v>
      </c>
      <c r="R36" s="8">
        <v>0.29813333333333331</v>
      </c>
      <c r="S36" s="6" t="s">
        <v>229</v>
      </c>
    </row>
    <row r="37" spans="3:19" x14ac:dyDescent="0.45">
      <c r="C37" s="5">
        <v>2.1004566210045664E-2</v>
      </c>
      <c r="D37" s="5">
        <v>3.6291010947302131E-2</v>
      </c>
      <c r="E37" s="3" t="s">
        <v>35</v>
      </c>
      <c r="F37" s="3" t="s">
        <v>225</v>
      </c>
      <c r="H37" s="3" t="s">
        <v>226</v>
      </c>
      <c r="I37" s="3" t="s">
        <v>35</v>
      </c>
      <c r="J37" s="3"/>
      <c r="L37" s="3" t="s">
        <v>227</v>
      </c>
      <c r="M37" s="3" t="s">
        <v>35</v>
      </c>
      <c r="N37" s="5">
        <v>8.2040307613252539E-2</v>
      </c>
      <c r="P37" s="11">
        <v>2028</v>
      </c>
      <c r="Q37" s="3" t="s">
        <v>231</v>
      </c>
      <c r="R37" s="5">
        <v>0.19060000000000002</v>
      </c>
      <c r="S37" s="3" t="s">
        <v>229</v>
      </c>
    </row>
    <row r="38" spans="3:19" x14ac:dyDescent="0.45">
      <c r="C38" s="8">
        <v>2.1004566210045664E-2</v>
      </c>
      <c r="D38" s="8">
        <v>3.6291010947302131E-2</v>
      </c>
      <c r="E38" s="6" t="s">
        <v>36</v>
      </c>
      <c r="F38" s="6" t="s">
        <v>225</v>
      </c>
      <c r="H38" s="6" t="s">
        <v>226</v>
      </c>
      <c r="I38" s="6" t="s">
        <v>36</v>
      </c>
      <c r="J38" s="6"/>
      <c r="L38" s="6" t="s">
        <v>227</v>
      </c>
      <c r="M38" s="6" t="s">
        <v>36</v>
      </c>
      <c r="N38" s="8">
        <v>7.7526586989997925E-2</v>
      </c>
      <c r="P38" s="12">
        <v>2028</v>
      </c>
      <c r="Q38" s="6" t="s">
        <v>232</v>
      </c>
      <c r="R38" s="8">
        <v>0.33850000000000002</v>
      </c>
      <c r="S38" s="6" t="s">
        <v>229</v>
      </c>
    </row>
    <row r="39" spans="3:19" x14ac:dyDescent="0.45">
      <c r="C39" s="5">
        <v>2.1004566210045664E-2</v>
      </c>
      <c r="D39" s="5">
        <v>2.4397318283900592E-2</v>
      </c>
      <c r="E39" s="3" t="s">
        <v>37</v>
      </c>
      <c r="F39" s="3" t="s">
        <v>225</v>
      </c>
      <c r="H39" s="3" t="s">
        <v>226</v>
      </c>
      <c r="I39" s="3" t="s">
        <v>37</v>
      </c>
      <c r="J39" s="3"/>
      <c r="L39" s="3" t="s">
        <v>227</v>
      </c>
      <c r="M39" s="3" t="s">
        <v>37</v>
      </c>
      <c r="N39" s="5">
        <v>7.1483993172041238E-2</v>
      </c>
      <c r="P39" s="11">
        <v>2029</v>
      </c>
      <c r="Q39" s="3" t="s">
        <v>228</v>
      </c>
      <c r="R39" s="5">
        <v>0.61019999999999996</v>
      </c>
      <c r="S39" s="3" t="s">
        <v>229</v>
      </c>
    </row>
    <row r="40" spans="3:19" x14ac:dyDescent="0.45">
      <c r="C40" s="8">
        <v>3.1506849315068496E-2</v>
      </c>
      <c r="D40" s="8">
        <v>1.5248323927437872E-2</v>
      </c>
      <c r="E40" s="6" t="s">
        <v>38</v>
      </c>
      <c r="F40" s="6" t="s">
        <v>225</v>
      </c>
      <c r="H40" s="6" t="s">
        <v>226</v>
      </c>
      <c r="I40" s="6" t="s">
        <v>38</v>
      </c>
      <c r="J40" s="6"/>
      <c r="L40" s="6" t="s">
        <v>227</v>
      </c>
      <c r="M40" s="6" t="s">
        <v>38</v>
      </c>
      <c r="N40" s="8">
        <v>0.10509605577774739</v>
      </c>
      <c r="P40" s="12">
        <v>2029</v>
      </c>
      <c r="Q40" s="6" t="s">
        <v>230</v>
      </c>
      <c r="R40" s="8">
        <v>0.27499999999999997</v>
      </c>
      <c r="S40" s="6" t="s">
        <v>229</v>
      </c>
    </row>
    <row r="41" spans="3:19" x14ac:dyDescent="0.45">
      <c r="C41" s="5">
        <v>5.194063926940639E-2</v>
      </c>
      <c r="D41" s="5">
        <v>8.0842635639642325E-3</v>
      </c>
      <c r="E41" s="3" t="s">
        <v>39</v>
      </c>
      <c r="F41" s="3" t="s">
        <v>225</v>
      </c>
      <c r="H41" s="3" t="s">
        <v>226</v>
      </c>
      <c r="I41" s="3" t="s">
        <v>39</v>
      </c>
      <c r="J41" s="3"/>
      <c r="L41" s="3" t="s">
        <v>227</v>
      </c>
      <c r="M41" s="3" t="s">
        <v>39</v>
      </c>
      <c r="N41" s="5">
        <v>0.18503554198088601</v>
      </c>
      <c r="P41" s="11">
        <v>2029</v>
      </c>
      <c r="Q41" s="3" t="s">
        <v>231</v>
      </c>
      <c r="R41" s="5">
        <v>0.14366666666666669</v>
      </c>
      <c r="S41" s="3" t="s">
        <v>229</v>
      </c>
    </row>
    <row r="42" spans="3:19" x14ac:dyDescent="0.45">
      <c r="C42" s="8">
        <v>2.0776255707762557E-2</v>
      </c>
      <c r="D42" s="8">
        <v>2.0632971185640059E-2</v>
      </c>
      <c r="E42" s="6" t="s">
        <v>40</v>
      </c>
      <c r="F42" s="6" t="s">
        <v>225</v>
      </c>
      <c r="H42" s="6" t="s">
        <v>226</v>
      </c>
      <c r="I42" s="6" t="s">
        <v>40</v>
      </c>
      <c r="J42" s="6"/>
      <c r="L42" s="6" t="s">
        <v>227</v>
      </c>
      <c r="M42" s="6" t="s">
        <v>40</v>
      </c>
      <c r="N42" s="8">
        <v>0.2902293312777029</v>
      </c>
      <c r="P42" s="12">
        <v>2029</v>
      </c>
      <c r="Q42" s="6" t="s">
        <v>232</v>
      </c>
      <c r="R42" s="8">
        <v>0.36066666666666664</v>
      </c>
      <c r="S42" s="6" t="s">
        <v>229</v>
      </c>
    </row>
    <row r="43" spans="3:19" x14ac:dyDescent="0.45">
      <c r="C43" s="5">
        <v>2.0776255707762557E-2</v>
      </c>
      <c r="D43" s="5">
        <v>3.0617639990386931E-2</v>
      </c>
      <c r="E43" s="3" t="s">
        <v>41</v>
      </c>
      <c r="F43" s="3" t="s">
        <v>225</v>
      </c>
      <c r="H43" s="3" t="s">
        <v>226</v>
      </c>
      <c r="I43" s="3" t="s">
        <v>41</v>
      </c>
      <c r="J43" s="3"/>
      <c r="L43" s="3" t="s">
        <v>227</v>
      </c>
      <c r="M43" s="3" t="s">
        <v>41</v>
      </c>
      <c r="N43" s="5">
        <v>0.27731652558147846</v>
      </c>
      <c r="P43" s="11">
        <v>2030</v>
      </c>
      <c r="Q43" s="3" t="s">
        <v>228</v>
      </c>
      <c r="R43" s="5">
        <v>0.61483333333333334</v>
      </c>
      <c r="S43" s="3" t="s">
        <v>229</v>
      </c>
    </row>
    <row r="44" spans="3:19" x14ac:dyDescent="0.45">
      <c r="C44" s="8">
        <v>2.0776255707762557E-2</v>
      </c>
      <c r="D44" s="8">
        <v>2.5972204957362712E-2</v>
      </c>
      <c r="E44" s="6" t="s">
        <v>42</v>
      </c>
      <c r="F44" s="6" t="s">
        <v>225</v>
      </c>
      <c r="H44" s="6" t="s">
        <v>226</v>
      </c>
      <c r="I44" s="6" t="s">
        <v>42</v>
      </c>
      <c r="J44" s="6"/>
      <c r="L44" s="6" t="s">
        <v>227</v>
      </c>
      <c r="M44" s="6" t="s">
        <v>42</v>
      </c>
      <c r="N44" s="8">
        <v>0.18717394441440094</v>
      </c>
      <c r="P44" s="12">
        <v>2030</v>
      </c>
      <c r="Q44" s="6" t="s">
        <v>230</v>
      </c>
      <c r="R44" s="8">
        <v>0.25346666666666667</v>
      </c>
      <c r="S44" s="6" t="s">
        <v>229</v>
      </c>
    </row>
    <row r="45" spans="3:19" x14ac:dyDescent="0.45">
      <c r="C45" s="5">
        <v>2.0776255707762557E-2</v>
      </c>
      <c r="D45" s="5">
        <v>2.5761048819497968E-2</v>
      </c>
      <c r="E45" s="3" t="s">
        <v>43</v>
      </c>
      <c r="F45" s="3" t="s">
        <v>225</v>
      </c>
      <c r="H45" s="3" t="s">
        <v>226</v>
      </c>
      <c r="I45" s="3" t="s">
        <v>43</v>
      </c>
      <c r="J45" s="3"/>
      <c r="L45" s="3" t="s">
        <v>227</v>
      </c>
      <c r="M45" s="3" t="s">
        <v>43</v>
      </c>
      <c r="N45" s="5">
        <v>0.17611956808082985</v>
      </c>
      <c r="P45" s="11">
        <v>2030</v>
      </c>
      <c r="Q45" s="3" t="s">
        <v>231</v>
      </c>
      <c r="R45" s="5">
        <v>0.15580000000000002</v>
      </c>
      <c r="S45" s="3" t="s">
        <v>229</v>
      </c>
    </row>
    <row r="46" spans="3:19" x14ac:dyDescent="0.45">
      <c r="C46" s="8">
        <v>2.0776255707762557E-2</v>
      </c>
      <c r="D46" s="8">
        <v>2.723914178455113E-2</v>
      </c>
      <c r="E46" s="6" t="s">
        <v>44</v>
      </c>
      <c r="F46" s="6" t="s">
        <v>225</v>
      </c>
      <c r="H46" s="6" t="s">
        <v>226</v>
      </c>
      <c r="I46" s="6" t="s">
        <v>44</v>
      </c>
      <c r="J46" s="6"/>
      <c r="L46" s="6" t="s">
        <v>227</v>
      </c>
      <c r="M46" s="6" t="s">
        <v>44</v>
      </c>
      <c r="N46" s="8">
        <v>0.16298872508284346</v>
      </c>
      <c r="P46" s="12">
        <v>2030</v>
      </c>
      <c r="Q46" s="6" t="s">
        <v>232</v>
      </c>
      <c r="R46" s="8">
        <v>0.39043333333333335</v>
      </c>
      <c r="S46" s="6" t="s">
        <v>229</v>
      </c>
    </row>
    <row r="47" spans="3:19" x14ac:dyDescent="0.45">
      <c r="C47" s="5">
        <v>2.0776255707762557E-2</v>
      </c>
      <c r="D47" s="5">
        <v>3.5896543437005365E-2</v>
      </c>
      <c r="E47" s="3" t="s">
        <v>45</v>
      </c>
      <c r="F47" s="3" t="s">
        <v>225</v>
      </c>
      <c r="H47" s="3" t="s">
        <v>226</v>
      </c>
      <c r="I47" s="3" t="s">
        <v>45</v>
      </c>
      <c r="J47" s="3"/>
      <c r="L47" s="3" t="s">
        <v>227</v>
      </c>
      <c r="M47" s="3" t="s">
        <v>45</v>
      </c>
      <c r="N47" s="5">
        <v>0.17521151140130353</v>
      </c>
      <c r="P47" s="11">
        <v>2031</v>
      </c>
      <c r="Q47" s="3" t="s">
        <v>228</v>
      </c>
      <c r="R47" s="5">
        <v>0.64296666666666669</v>
      </c>
      <c r="S47" s="3" t="s">
        <v>229</v>
      </c>
    </row>
    <row r="48" spans="3:19" x14ac:dyDescent="0.45">
      <c r="C48" s="8">
        <v>2.0776255707762557E-2</v>
      </c>
      <c r="D48" s="8">
        <v>3.5896543437005365E-2</v>
      </c>
      <c r="E48" s="6" t="s">
        <v>46</v>
      </c>
      <c r="F48" s="6" t="s">
        <v>225</v>
      </c>
      <c r="H48" s="6" t="s">
        <v>226</v>
      </c>
      <c r="I48" s="6" t="s">
        <v>46</v>
      </c>
      <c r="J48" s="6"/>
      <c r="L48" s="6" t="s">
        <v>227</v>
      </c>
      <c r="M48" s="6" t="s">
        <v>46</v>
      </c>
      <c r="N48" s="8">
        <v>0.20308990239035696</v>
      </c>
      <c r="P48" s="12">
        <v>2031</v>
      </c>
      <c r="Q48" s="6" t="s">
        <v>230</v>
      </c>
      <c r="R48" s="8">
        <v>0.30736666666666662</v>
      </c>
      <c r="S48" s="6" t="s">
        <v>229</v>
      </c>
    </row>
    <row r="49" spans="3:19" x14ac:dyDescent="0.45">
      <c r="C49" s="5">
        <v>2.0776255707762557E-2</v>
      </c>
      <c r="D49" s="5">
        <v>2.4132130041684283E-2</v>
      </c>
      <c r="E49" s="3" t="s">
        <v>47</v>
      </c>
      <c r="F49" s="3" t="s">
        <v>225</v>
      </c>
      <c r="H49" s="3" t="s">
        <v>226</v>
      </c>
      <c r="I49" s="3" t="s">
        <v>47</v>
      </c>
      <c r="J49" s="3"/>
      <c r="L49" s="3" t="s">
        <v>227</v>
      </c>
      <c r="M49" s="3" t="s">
        <v>47</v>
      </c>
      <c r="N49" s="5">
        <v>0.1990615675201004</v>
      </c>
      <c r="P49" s="11">
        <v>2031</v>
      </c>
      <c r="Q49" s="3" t="s">
        <v>231</v>
      </c>
      <c r="R49" s="5">
        <v>0.18933333333333335</v>
      </c>
      <c r="S49" s="3" t="s">
        <v>229</v>
      </c>
    </row>
    <row r="50" spans="3:19" x14ac:dyDescent="0.45">
      <c r="C50" s="8">
        <v>3.1164383561643836E-2</v>
      </c>
      <c r="D50" s="8">
        <v>1.5082581276052677E-2</v>
      </c>
      <c r="E50" s="6" t="s">
        <v>48</v>
      </c>
      <c r="F50" s="6" t="s">
        <v>225</v>
      </c>
      <c r="H50" s="6" t="s">
        <v>226</v>
      </c>
      <c r="I50" s="6" t="s">
        <v>48</v>
      </c>
      <c r="J50" s="6"/>
      <c r="L50" s="6" t="s">
        <v>227</v>
      </c>
      <c r="M50" s="6" t="s">
        <v>48</v>
      </c>
      <c r="N50" s="8">
        <v>0.15477060769838635</v>
      </c>
      <c r="P50" s="12">
        <v>2031</v>
      </c>
      <c r="Q50" s="6" t="s">
        <v>232</v>
      </c>
      <c r="R50" s="8">
        <v>0.4659666666666667</v>
      </c>
      <c r="S50" s="6" t="s">
        <v>229</v>
      </c>
    </row>
    <row r="51" spans="3:19" x14ac:dyDescent="0.45">
      <c r="H51" s="3" t="s">
        <v>233</v>
      </c>
      <c r="I51" s="3" t="s">
        <v>6</v>
      </c>
      <c r="J51" s="3"/>
      <c r="P51" s="11">
        <v>2032</v>
      </c>
      <c r="Q51" s="3" t="s">
        <v>228</v>
      </c>
      <c r="R51" s="5">
        <v>0.53373333333333328</v>
      </c>
      <c r="S51" s="3" t="s">
        <v>229</v>
      </c>
    </row>
    <row r="52" spans="3:19" x14ac:dyDescent="0.45">
      <c r="H52" s="6" t="s">
        <v>233</v>
      </c>
      <c r="I52" s="6" t="s">
        <v>10</v>
      </c>
      <c r="J52" s="6"/>
      <c r="P52" s="12">
        <v>2032</v>
      </c>
      <c r="Q52" s="6" t="s">
        <v>230</v>
      </c>
      <c r="R52" s="8">
        <v>0.28366666666666668</v>
      </c>
      <c r="S52" s="6" t="s">
        <v>229</v>
      </c>
    </row>
    <row r="53" spans="3:19" x14ac:dyDescent="0.45">
      <c r="H53" s="3" t="s">
        <v>233</v>
      </c>
      <c r="I53" s="3" t="s">
        <v>11</v>
      </c>
      <c r="J53" s="3"/>
      <c r="P53" s="11">
        <v>2032</v>
      </c>
      <c r="Q53" s="3" t="s">
        <v>231</v>
      </c>
      <c r="R53" s="5">
        <v>0.20320000000000002</v>
      </c>
      <c r="S53" s="3" t="s">
        <v>229</v>
      </c>
    </row>
    <row r="54" spans="3:19" x14ac:dyDescent="0.45">
      <c r="H54" s="6" t="s">
        <v>233</v>
      </c>
      <c r="I54" s="6" t="s">
        <v>12</v>
      </c>
      <c r="J54" s="6"/>
      <c r="P54" s="12">
        <v>2032</v>
      </c>
      <c r="Q54" s="6" t="s">
        <v>232</v>
      </c>
      <c r="R54" s="8">
        <v>0.38376666666666664</v>
      </c>
      <c r="S54" s="6" t="s">
        <v>229</v>
      </c>
    </row>
    <row r="55" spans="3:19" x14ac:dyDescent="0.45">
      <c r="H55" s="3" t="s">
        <v>233</v>
      </c>
      <c r="I55" s="3" t="s">
        <v>13</v>
      </c>
      <c r="J55" s="3"/>
      <c r="P55" s="11">
        <v>2033</v>
      </c>
      <c r="Q55" s="3" t="s">
        <v>228</v>
      </c>
      <c r="R55" s="5">
        <v>0.56876666666666653</v>
      </c>
      <c r="S55" s="3" t="s">
        <v>229</v>
      </c>
    </row>
    <row r="56" spans="3:19" x14ac:dyDescent="0.45">
      <c r="H56" s="6" t="s">
        <v>233</v>
      </c>
      <c r="I56" s="6" t="s">
        <v>14</v>
      </c>
      <c r="J56" s="6"/>
      <c r="P56" s="12">
        <v>2033</v>
      </c>
      <c r="Q56" s="6" t="s">
        <v>230</v>
      </c>
      <c r="R56" s="8">
        <v>0.32653333333333334</v>
      </c>
      <c r="S56" s="6" t="s">
        <v>229</v>
      </c>
    </row>
    <row r="57" spans="3:19" x14ac:dyDescent="0.45">
      <c r="H57" s="3" t="s">
        <v>233</v>
      </c>
      <c r="I57" s="3" t="s">
        <v>15</v>
      </c>
      <c r="J57" s="3"/>
      <c r="P57" s="11">
        <v>2033</v>
      </c>
      <c r="Q57" s="3" t="s">
        <v>231</v>
      </c>
      <c r="R57" s="5">
        <v>0.1573</v>
      </c>
      <c r="S57" s="3" t="s">
        <v>229</v>
      </c>
    </row>
    <row r="58" spans="3:19" x14ac:dyDescent="0.45">
      <c r="H58" s="6" t="s">
        <v>233</v>
      </c>
      <c r="I58" s="6" t="s">
        <v>16</v>
      </c>
      <c r="J58" s="6"/>
      <c r="P58" s="12">
        <v>2033</v>
      </c>
      <c r="Q58" s="6" t="s">
        <v>232</v>
      </c>
      <c r="R58" s="8">
        <v>0.37400000000000005</v>
      </c>
      <c r="S58" s="6" t="s">
        <v>229</v>
      </c>
    </row>
    <row r="59" spans="3:19" x14ac:dyDescent="0.45">
      <c r="H59" s="3" t="s">
        <v>233</v>
      </c>
      <c r="I59" s="3" t="s">
        <v>17</v>
      </c>
      <c r="J59" s="3"/>
      <c r="P59" s="11">
        <v>2034</v>
      </c>
      <c r="Q59" s="3" t="s">
        <v>228</v>
      </c>
      <c r="R59" s="5">
        <v>0.53663333333333341</v>
      </c>
      <c r="S59" s="3" t="s">
        <v>229</v>
      </c>
    </row>
    <row r="60" spans="3:19" x14ac:dyDescent="0.45">
      <c r="H60" s="6" t="s">
        <v>233</v>
      </c>
      <c r="I60" s="6" t="s">
        <v>18</v>
      </c>
      <c r="J60" s="6"/>
      <c r="P60" s="12">
        <v>2034</v>
      </c>
      <c r="Q60" s="6" t="s">
        <v>230</v>
      </c>
      <c r="R60" s="8">
        <v>0.32346666666666662</v>
      </c>
      <c r="S60" s="6" t="s">
        <v>229</v>
      </c>
    </row>
    <row r="61" spans="3:19" x14ac:dyDescent="0.45">
      <c r="H61" s="3" t="s">
        <v>233</v>
      </c>
      <c r="I61" s="3" t="s">
        <v>19</v>
      </c>
      <c r="J61" s="3"/>
      <c r="P61" s="11">
        <v>2034</v>
      </c>
      <c r="Q61" s="3" t="s">
        <v>231</v>
      </c>
      <c r="R61" s="5">
        <v>0.1482</v>
      </c>
      <c r="S61" s="3" t="s">
        <v>229</v>
      </c>
    </row>
    <row r="62" spans="3:19" x14ac:dyDescent="0.45">
      <c r="H62" s="6" t="s">
        <v>233</v>
      </c>
      <c r="I62" s="6" t="s">
        <v>20</v>
      </c>
      <c r="J62" s="6"/>
      <c r="P62" s="12">
        <v>2034</v>
      </c>
      <c r="Q62" s="6" t="s">
        <v>232</v>
      </c>
      <c r="R62" s="8">
        <v>0.46039999999999992</v>
      </c>
      <c r="S62" s="6" t="s">
        <v>229</v>
      </c>
    </row>
    <row r="63" spans="3:19" x14ac:dyDescent="0.45">
      <c r="H63" s="3" t="s">
        <v>233</v>
      </c>
      <c r="I63" s="3" t="s">
        <v>21</v>
      </c>
      <c r="J63" s="3"/>
      <c r="P63" s="11">
        <v>2035</v>
      </c>
      <c r="Q63" s="3" t="s">
        <v>228</v>
      </c>
      <c r="R63" s="5">
        <v>0.58686666666666676</v>
      </c>
      <c r="S63" s="3" t="s">
        <v>229</v>
      </c>
    </row>
    <row r="64" spans="3:19" x14ac:dyDescent="0.45">
      <c r="H64" s="6" t="s">
        <v>233</v>
      </c>
      <c r="I64" s="6" t="s">
        <v>22</v>
      </c>
      <c r="J64" s="6"/>
      <c r="P64" s="12">
        <v>2035</v>
      </c>
      <c r="Q64" s="6" t="s">
        <v>230</v>
      </c>
      <c r="R64" s="8">
        <v>0.30133333333333334</v>
      </c>
      <c r="S64" s="6" t="s">
        <v>229</v>
      </c>
    </row>
    <row r="65" spans="8:19" x14ac:dyDescent="0.45">
      <c r="H65" s="3" t="s">
        <v>233</v>
      </c>
      <c r="I65" s="3" t="s">
        <v>23</v>
      </c>
      <c r="J65" s="3"/>
      <c r="P65" s="11">
        <v>2035</v>
      </c>
      <c r="Q65" s="3" t="s">
        <v>231</v>
      </c>
      <c r="R65" s="5">
        <v>0.21440000000000001</v>
      </c>
      <c r="S65" s="3" t="s">
        <v>229</v>
      </c>
    </row>
    <row r="66" spans="8:19" x14ac:dyDescent="0.45">
      <c r="H66" s="6" t="s">
        <v>233</v>
      </c>
      <c r="I66" s="6" t="s">
        <v>24</v>
      </c>
      <c r="J66" s="6"/>
      <c r="P66" s="12">
        <v>2035</v>
      </c>
      <c r="Q66" s="6" t="s">
        <v>232</v>
      </c>
      <c r="R66" s="8">
        <v>0.31853333333333333</v>
      </c>
      <c r="S66" s="6" t="s">
        <v>229</v>
      </c>
    </row>
    <row r="67" spans="8:19" x14ac:dyDescent="0.45">
      <c r="H67" s="3" t="s">
        <v>233</v>
      </c>
      <c r="I67" s="3" t="s">
        <v>25</v>
      </c>
      <c r="J67" s="3"/>
      <c r="P67" s="11">
        <v>2036</v>
      </c>
      <c r="Q67" s="3" t="s">
        <v>228</v>
      </c>
      <c r="R67" s="5">
        <v>0.5692666666666667</v>
      </c>
      <c r="S67" s="3" t="s">
        <v>229</v>
      </c>
    </row>
    <row r="68" spans="8:19" x14ac:dyDescent="0.45">
      <c r="H68" s="6" t="s">
        <v>233</v>
      </c>
      <c r="I68" s="6" t="s">
        <v>26</v>
      </c>
      <c r="J68" s="6"/>
      <c r="P68" s="12">
        <v>2036</v>
      </c>
      <c r="Q68" s="6" t="s">
        <v>230</v>
      </c>
      <c r="R68" s="8">
        <v>0.26833333333333331</v>
      </c>
      <c r="S68" s="6" t="s">
        <v>229</v>
      </c>
    </row>
    <row r="69" spans="8:19" x14ac:dyDescent="0.45">
      <c r="H69" s="3" t="s">
        <v>233</v>
      </c>
      <c r="I69" s="3" t="s">
        <v>27</v>
      </c>
      <c r="J69" s="3"/>
      <c r="P69" s="11">
        <v>2036</v>
      </c>
      <c r="Q69" s="3" t="s">
        <v>231</v>
      </c>
      <c r="R69" s="5">
        <v>0.16853333333333334</v>
      </c>
      <c r="S69" s="3" t="s">
        <v>229</v>
      </c>
    </row>
    <row r="70" spans="8:19" x14ac:dyDescent="0.45">
      <c r="H70" s="6" t="s">
        <v>233</v>
      </c>
      <c r="I70" s="6" t="s">
        <v>28</v>
      </c>
      <c r="J70" s="6"/>
      <c r="P70" s="12">
        <v>2036</v>
      </c>
      <c r="Q70" s="6" t="s">
        <v>232</v>
      </c>
      <c r="R70" s="8">
        <v>0.33583333333333337</v>
      </c>
      <c r="S70" s="6" t="s">
        <v>229</v>
      </c>
    </row>
    <row r="71" spans="8:19" x14ac:dyDescent="0.45">
      <c r="H71" s="3" t="s">
        <v>233</v>
      </c>
      <c r="I71" s="3" t="s">
        <v>29</v>
      </c>
      <c r="J71" s="3"/>
      <c r="P71" s="11">
        <v>2037</v>
      </c>
      <c r="Q71" s="3" t="s">
        <v>228</v>
      </c>
      <c r="R71" s="5">
        <v>0.52603333333333335</v>
      </c>
      <c r="S71" s="3" t="s">
        <v>229</v>
      </c>
    </row>
    <row r="72" spans="8:19" x14ac:dyDescent="0.45">
      <c r="H72" s="6" t="s">
        <v>233</v>
      </c>
      <c r="I72" s="6" t="s">
        <v>30</v>
      </c>
      <c r="J72" s="6"/>
      <c r="P72" s="12">
        <v>2037</v>
      </c>
      <c r="Q72" s="6" t="s">
        <v>230</v>
      </c>
      <c r="R72" s="8">
        <v>0.27753333333333335</v>
      </c>
      <c r="S72" s="6" t="s">
        <v>229</v>
      </c>
    </row>
    <row r="73" spans="8:19" x14ac:dyDescent="0.45">
      <c r="H73" s="3" t="s">
        <v>233</v>
      </c>
      <c r="I73" s="3" t="s">
        <v>31</v>
      </c>
      <c r="J73" s="3"/>
      <c r="P73" s="11">
        <v>2037</v>
      </c>
      <c r="Q73" s="3" t="s">
        <v>231</v>
      </c>
      <c r="R73" s="5">
        <v>0.20660000000000001</v>
      </c>
      <c r="S73" s="3" t="s">
        <v>229</v>
      </c>
    </row>
    <row r="74" spans="8:19" x14ac:dyDescent="0.45">
      <c r="H74" s="6" t="s">
        <v>233</v>
      </c>
      <c r="I74" s="6" t="s">
        <v>32</v>
      </c>
      <c r="J74" s="6"/>
      <c r="P74" s="12">
        <v>2037</v>
      </c>
      <c r="Q74" s="6" t="s">
        <v>232</v>
      </c>
      <c r="R74" s="8">
        <v>0.4570333333333334</v>
      </c>
      <c r="S74" s="6" t="s">
        <v>229</v>
      </c>
    </row>
    <row r="75" spans="8:19" x14ac:dyDescent="0.45">
      <c r="H75" s="3" t="s">
        <v>233</v>
      </c>
      <c r="I75" s="3" t="s">
        <v>33</v>
      </c>
      <c r="J75" s="3"/>
      <c r="P75" s="11">
        <v>2038</v>
      </c>
      <c r="Q75" s="3" t="s">
        <v>228</v>
      </c>
      <c r="R75" s="5">
        <v>0.61616666666666664</v>
      </c>
      <c r="S75" s="3" t="s">
        <v>229</v>
      </c>
    </row>
    <row r="76" spans="8:19" x14ac:dyDescent="0.45">
      <c r="H76" s="6" t="s">
        <v>233</v>
      </c>
      <c r="I76" s="6" t="s">
        <v>34</v>
      </c>
      <c r="J76" s="6"/>
      <c r="P76" s="12">
        <v>2038</v>
      </c>
      <c r="Q76" s="6" t="s">
        <v>230</v>
      </c>
      <c r="R76" s="8">
        <v>0.2913</v>
      </c>
      <c r="S76" s="6" t="s">
        <v>229</v>
      </c>
    </row>
    <row r="77" spans="8:19" x14ac:dyDescent="0.45">
      <c r="H77" s="3" t="s">
        <v>233</v>
      </c>
      <c r="I77" s="3" t="s">
        <v>35</v>
      </c>
      <c r="J77" s="3"/>
      <c r="P77" s="11">
        <v>2038</v>
      </c>
      <c r="Q77" s="3" t="s">
        <v>231</v>
      </c>
      <c r="R77" s="5">
        <v>0.1807</v>
      </c>
      <c r="S77" s="3" t="s">
        <v>229</v>
      </c>
    </row>
    <row r="78" spans="8:19" x14ac:dyDescent="0.45">
      <c r="H78" s="6" t="s">
        <v>233</v>
      </c>
      <c r="I78" s="6" t="s">
        <v>36</v>
      </c>
      <c r="J78" s="6"/>
      <c r="P78" s="12">
        <v>2038</v>
      </c>
      <c r="Q78" s="6" t="s">
        <v>232</v>
      </c>
      <c r="R78" s="8">
        <v>0.36066666666666669</v>
      </c>
      <c r="S78" s="6" t="s">
        <v>229</v>
      </c>
    </row>
    <row r="79" spans="8:19" x14ac:dyDescent="0.45">
      <c r="H79" s="3" t="s">
        <v>233</v>
      </c>
      <c r="I79" s="3" t="s">
        <v>37</v>
      </c>
      <c r="J79" s="3"/>
      <c r="P79" s="11">
        <v>2039</v>
      </c>
      <c r="Q79" s="3" t="s">
        <v>228</v>
      </c>
      <c r="R79" s="5">
        <v>0.57653333333333334</v>
      </c>
      <c r="S79" s="3" t="s">
        <v>229</v>
      </c>
    </row>
    <row r="80" spans="8:19" x14ac:dyDescent="0.45">
      <c r="H80" s="6" t="s">
        <v>233</v>
      </c>
      <c r="I80" s="6" t="s">
        <v>38</v>
      </c>
      <c r="J80" s="6"/>
      <c r="P80" s="12">
        <v>2039</v>
      </c>
      <c r="Q80" s="6" t="s">
        <v>230</v>
      </c>
      <c r="R80" s="8">
        <v>0.2920666666666667</v>
      </c>
      <c r="S80" s="6" t="s">
        <v>229</v>
      </c>
    </row>
    <row r="81" spans="8:19" x14ac:dyDescent="0.45">
      <c r="H81" s="3" t="s">
        <v>233</v>
      </c>
      <c r="I81" s="3" t="s">
        <v>39</v>
      </c>
      <c r="J81" s="3"/>
      <c r="P81" s="11">
        <v>2039</v>
      </c>
      <c r="Q81" s="3" t="s">
        <v>231</v>
      </c>
      <c r="R81" s="5">
        <v>0.10133333333333333</v>
      </c>
      <c r="S81" s="3" t="s">
        <v>229</v>
      </c>
    </row>
    <row r="82" spans="8:19" x14ac:dyDescent="0.45">
      <c r="H82" s="6" t="s">
        <v>233</v>
      </c>
      <c r="I82" s="6" t="s">
        <v>40</v>
      </c>
      <c r="J82" s="6"/>
      <c r="P82" s="12">
        <v>2039</v>
      </c>
      <c r="Q82" s="6" t="s">
        <v>232</v>
      </c>
      <c r="R82" s="8">
        <v>0.40529999999999999</v>
      </c>
      <c r="S82" s="6" t="s">
        <v>229</v>
      </c>
    </row>
    <row r="83" spans="8:19" x14ac:dyDescent="0.45">
      <c r="H83" s="3" t="s">
        <v>233</v>
      </c>
      <c r="I83" s="3" t="s">
        <v>41</v>
      </c>
      <c r="J83" s="3"/>
      <c r="P83" s="11">
        <v>2040</v>
      </c>
      <c r="Q83" s="3" t="s">
        <v>228</v>
      </c>
      <c r="R83" s="5">
        <v>0.59823333333333328</v>
      </c>
      <c r="S83" s="3" t="s">
        <v>229</v>
      </c>
    </row>
    <row r="84" spans="8:19" x14ac:dyDescent="0.45">
      <c r="H84" s="6" t="s">
        <v>233</v>
      </c>
      <c r="I84" s="6" t="s">
        <v>42</v>
      </c>
      <c r="J84" s="6"/>
      <c r="P84" s="12">
        <v>2040</v>
      </c>
      <c r="Q84" s="6" t="s">
        <v>230</v>
      </c>
      <c r="R84" s="8">
        <v>0.30016666666666669</v>
      </c>
      <c r="S84" s="6" t="s">
        <v>229</v>
      </c>
    </row>
    <row r="85" spans="8:19" x14ac:dyDescent="0.45">
      <c r="H85" s="3" t="s">
        <v>233</v>
      </c>
      <c r="I85" s="3" t="s">
        <v>43</v>
      </c>
      <c r="J85" s="3"/>
      <c r="P85" s="11">
        <v>2040</v>
      </c>
      <c r="Q85" s="3" t="s">
        <v>231</v>
      </c>
      <c r="R85" s="5">
        <v>0.26103333333333334</v>
      </c>
      <c r="S85" s="3" t="s">
        <v>229</v>
      </c>
    </row>
    <row r="86" spans="8:19" x14ac:dyDescent="0.45">
      <c r="H86" s="6" t="s">
        <v>233</v>
      </c>
      <c r="I86" s="6" t="s">
        <v>44</v>
      </c>
      <c r="J86" s="6"/>
      <c r="P86" s="12">
        <v>2040</v>
      </c>
      <c r="Q86" s="6" t="s">
        <v>232</v>
      </c>
      <c r="R86" s="8">
        <v>0.35449999999999998</v>
      </c>
      <c r="S86" s="6" t="s">
        <v>229</v>
      </c>
    </row>
    <row r="87" spans="8:19" x14ac:dyDescent="0.45">
      <c r="H87" s="3" t="s">
        <v>233</v>
      </c>
      <c r="I87" s="3" t="s">
        <v>45</v>
      </c>
      <c r="J87" s="3"/>
      <c r="P87" s="11">
        <v>2041</v>
      </c>
      <c r="Q87" s="3" t="s">
        <v>228</v>
      </c>
      <c r="R87" s="5">
        <v>0.5983666666666666</v>
      </c>
      <c r="S87" s="3" t="s">
        <v>229</v>
      </c>
    </row>
    <row r="88" spans="8:19" x14ac:dyDescent="0.45">
      <c r="H88" s="6" t="s">
        <v>233</v>
      </c>
      <c r="I88" s="6" t="s">
        <v>46</v>
      </c>
      <c r="J88" s="6"/>
      <c r="P88" s="12">
        <v>2041</v>
      </c>
      <c r="Q88" s="6" t="s">
        <v>230</v>
      </c>
      <c r="R88" s="8">
        <v>0.307</v>
      </c>
      <c r="S88" s="6" t="s">
        <v>229</v>
      </c>
    </row>
    <row r="89" spans="8:19" x14ac:dyDescent="0.45">
      <c r="H89" s="3" t="s">
        <v>233</v>
      </c>
      <c r="I89" s="3" t="s">
        <v>47</v>
      </c>
      <c r="J89" s="3"/>
      <c r="P89" s="11">
        <v>2041</v>
      </c>
      <c r="Q89" s="3" t="s">
        <v>231</v>
      </c>
      <c r="R89" s="5">
        <v>7.46E-2</v>
      </c>
      <c r="S89" s="3" t="s">
        <v>229</v>
      </c>
    </row>
    <row r="90" spans="8:19" x14ac:dyDescent="0.45">
      <c r="H90" s="6" t="s">
        <v>233</v>
      </c>
      <c r="I90" s="6" t="s">
        <v>48</v>
      </c>
      <c r="J90" s="6"/>
      <c r="P90" s="12">
        <v>2041</v>
      </c>
      <c r="Q90" s="6" t="s">
        <v>232</v>
      </c>
      <c r="R90" s="8">
        <v>0.33503333333333335</v>
      </c>
      <c r="S90" s="6" t="s">
        <v>229</v>
      </c>
    </row>
    <row r="91" spans="8:19" x14ac:dyDescent="0.45">
      <c r="P91" s="11">
        <v>2042</v>
      </c>
      <c r="Q91" s="3" t="s">
        <v>228</v>
      </c>
      <c r="R91" s="5">
        <v>0.64426666666666665</v>
      </c>
      <c r="S91" s="3" t="s">
        <v>229</v>
      </c>
    </row>
    <row r="92" spans="8:19" x14ac:dyDescent="0.45">
      <c r="P92" s="12">
        <v>2042</v>
      </c>
      <c r="Q92" s="6" t="s">
        <v>230</v>
      </c>
      <c r="R92" s="8">
        <v>0.34136666666666665</v>
      </c>
      <c r="S92" s="6" t="s">
        <v>229</v>
      </c>
    </row>
    <row r="93" spans="8:19" x14ac:dyDescent="0.45">
      <c r="P93" s="11">
        <v>2042</v>
      </c>
      <c r="Q93" s="3" t="s">
        <v>231</v>
      </c>
      <c r="R93" s="5">
        <v>0.12886666666666668</v>
      </c>
      <c r="S93" s="3" t="s">
        <v>229</v>
      </c>
    </row>
    <row r="94" spans="8:19" x14ac:dyDescent="0.45">
      <c r="P94" s="12">
        <v>2042</v>
      </c>
      <c r="Q94" s="6" t="s">
        <v>232</v>
      </c>
      <c r="R94" s="8">
        <v>0.40453333333333336</v>
      </c>
      <c r="S94" s="6" t="s">
        <v>229</v>
      </c>
    </row>
    <row r="95" spans="8:19" x14ac:dyDescent="0.45">
      <c r="P95" s="11">
        <v>2043</v>
      </c>
      <c r="Q95" s="3" t="s">
        <v>228</v>
      </c>
      <c r="R95" s="5">
        <v>0.56853333333333333</v>
      </c>
      <c r="S95" s="3" t="s">
        <v>229</v>
      </c>
    </row>
    <row r="96" spans="8:19" x14ac:dyDescent="0.45">
      <c r="P96" s="12">
        <v>2043</v>
      </c>
      <c r="Q96" s="6" t="s">
        <v>230</v>
      </c>
      <c r="R96" s="8">
        <v>0.36076666666666668</v>
      </c>
      <c r="S96" s="6" t="s">
        <v>229</v>
      </c>
    </row>
    <row r="97" spans="16:19" x14ac:dyDescent="0.45">
      <c r="P97" s="11">
        <v>2043</v>
      </c>
      <c r="Q97" s="3" t="s">
        <v>231</v>
      </c>
      <c r="R97" s="5">
        <v>0.18603333333333336</v>
      </c>
      <c r="S97" s="3" t="s">
        <v>229</v>
      </c>
    </row>
    <row r="98" spans="16:19" x14ac:dyDescent="0.45">
      <c r="P98" s="12">
        <v>2043</v>
      </c>
      <c r="Q98" s="6" t="s">
        <v>232</v>
      </c>
      <c r="R98" s="8">
        <v>0.34456666666666669</v>
      </c>
      <c r="S98" s="6" t="s">
        <v>229</v>
      </c>
    </row>
    <row r="99" spans="16:19" x14ac:dyDescent="0.45">
      <c r="P99" s="11">
        <v>2044</v>
      </c>
      <c r="Q99" s="3" t="s">
        <v>228</v>
      </c>
      <c r="R99" s="5">
        <v>0.54283333333333339</v>
      </c>
      <c r="S99" s="3" t="s">
        <v>229</v>
      </c>
    </row>
    <row r="100" spans="16:19" x14ac:dyDescent="0.45">
      <c r="P100" s="12">
        <v>2044</v>
      </c>
      <c r="Q100" s="6" t="s">
        <v>230</v>
      </c>
      <c r="R100" s="8">
        <v>0.30083333333333334</v>
      </c>
      <c r="S100" s="6" t="s">
        <v>229</v>
      </c>
    </row>
    <row r="101" spans="16:19" x14ac:dyDescent="0.45">
      <c r="P101" s="11">
        <v>2044</v>
      </c>
      <c r="Q101" s="3" t="s">
        <v>231</v>
      </c>
      <c r="R101" s="5">
        <v>7.2466666666666665E-2</v>
      </c>
      <c r="S101" s="3" t="s">
        <v>229</v>
      </c>
    </row>
    <row r="102" spans="16:19" x14ac:dyDescent="0.45">
      <c r="P102" s="12">
        <v>2044</v>
      </c>
      <c r="Q102" s="6" t="s">
        <v>232</v>
      </c>
      <c r="R102" s="8">
        <v>0.47480000000000006</v>
      </c>
      <c r="S102" s="6" t="s">
        <v>229</v>
      </c>
    </row>
    <row r="103" spans="16:19" x14ac:dyDescent="0.45">
      <c r="P103" s="11">
        <v>2045</v>
      </c>
      <c r="Q103" s="3" t="s">
        <v>228</v>
      </c>
      <c r="R103" s="5">
        <v>0.61096666666666666</v>
      </c>
      <c r="S103" s="3" t="s">
        <v>229</v>
      </c>
    </row>
    <row r="104" spans="16:19" x14ac:dyDescent="0.45">
      <c r="P104" s="12">
        <v>2045</v>
      </c>
      <c r="Q104" s="6" t="s">
        <v>230</v>
      </c>
      <c r="R104" s="8">
        <v>0.28053333333333336</v>
      </c>
      <c r="S104" s="6" t="s">
        <v>229</v>
      </c>
    </row>
    <row r="105" spans="16:19" x14ac:dyDescent="0.45">
      <c r="P105" s="11">
        <v>2045</v>
      </c>
      <c r="Q105" s="3" t="s">
        <v>231</v>
      </c>
      <c r="R105" s="5">
        <v>0.12213333333333333</v>
      </c>
      <c r="S105" s="3" t="s">
        <v>229</v>
      </c>
    </row>
    <row r="106" spans="16:19" x14ac:dyDescent="0.45">
      <c r="P106" s="12">
        <v>2045</v>
      </c>
      <c r="Q106" s="6" t="s">
        <v>232</v>
      </c>
      <c r="R106" s="8">
        <v>0.36126666666666668</v>
      </c>
      <c r="S106" s="6" t="s">
        <v>229</v>
      </c>
    </row>
    <row r="107" spans="16:19" x14ac:dyDescent="0.45">
      <c r="P107" s="11">
        <v>2046</v>
      </c>
      <c r="Q107" s="3" t="s">
        <v>228</v>
      </c>
      <c r="R107" s="5">
        <v>0.59030000000000005</v>
      </c>
      <c r="S107" s="3" t="s">
        <v>229</v>
      </c>
    </row>
    <row r="108" spans="16:19" x14ac:dyDescent="0.45">
      <c r="P108" s="12">
        <v>2046</v>
      </c>
      <c r="Q108" s="6" t="s">
        <v>230</v>
      </c>
      <c r="R108" s="8">
        <v>0.32393333333333335</v>
      </c>
      <c r="S108" s="6" t="s">
        <v>229</v>
      </c>
    </row>
    <row r="109" spans="16:19" x14ac:dyDescent="0.45">
      <c r="P109" s="11">
        <v>2046</v>
      </c>
      <c r="Q109" s="3" t="s">
        <v>231</v>
      </c>
      <c r="R109" s="5">
        <v>0.12809999999999999</v>
      </c>
      <c r="S109" s="3" t="s">
        <v>229</v>
      </c>
    </row>
    <row r="110" spans="16:19" x14ac:dyDescent="0.45">
      <c r="P110" s="12">
        <v>2046</v>
      </c>
      <c r="Q110" s="6" t="s">
        <v>232</v>
      </c>
      <c r="R110" s="8">
        <v>0.40206666666666674</v>
      </c>
      <c r="S110" s="6" t="s">
        <v>229</v>
      </c>
    </row>
    <row r="111" spans="16:19" x14ac:dyDescent="0.45">
      <c r="P111" s="11">
        <v>2047</v>
      </c>
      <c r="Q111" s="3" t="s">
        <v>228</v>
      </c>
      <c r="R111" s="5">
        <v>0.61673333333333336</v>
      </c>
      <c r="S111" s="3" t="s">
        <v>229</v>
      </c>
    </row>
    <row r="112" spans="16:19" x14ac:dyDescent="0.45">
      <c r="P112" s="12">
        <v>2047</v>
      </c>
      <c r="Q112" s="6" t="s">
        <v>230</v>
      </c>
      <c r="R112" s="8">
        <v>0.34400000000000003</v>
      </c>
      <c r="S112" s="6" t="s">
        <v>229</v>
      </c>
    </row>
    <row r="113" spans="16:19" x14ac:dyDescent="0.45">
      <c r="P113" s="11">
        <v>2047</v>
      </c>
      <c r="Q113" s="3" t="s">
        <v>231</v>
      </c>
      <c r="R113" s="5">
        <v>0.19273333333333334</v>
      </c>
      <c r="S113" s="3" t="s">
        <v>229</v>
      </c>
    </row>
    <row r="114" spans="16:19" x14ac:dyDescent="0.45">
      <c r="P114" s="12">
        <v>2047</v>
      </c>
      <c r="Q114" s="6" t="s">
        <v>232</v>
      </c>
      <c r="R114" s="8">
        <v>0.44470000000000004</v>
      </c>
      <c r="S114" s="6" t="s">
        <v>229</v>
      </c>
    </row>
    <row r="115" spans="16:19" x14ac:dyDescent="0.45">
      <c r="P115" s="11">
        <v>2048</v>
      </c>
      <c r="Q115" s="3" t="s">
        <v>228</v>
      </c>
      <c r="R115" s="5">
        <v>0.64029999999999998</v>
      </c>
      <c r="S115" s="3" t="s">
        <v>229</v>
      </c>
    </row>
    <row r="116" spans="16:19" x14ac:dyDescent="0.45">
      <c r="P116" s="12">
        <v>2048</v>
      </c>
      <c r="Q116" s="6" t="s">
        <v>230</v>
      </c>
      <c r="R116" s="8">
        <v>0.27803333333333335</v>
      </c>
      <c r="S116" s="6" t="s">
        <v>229</v>
      </c>
    </row>
    <row r="117" spans="16:19" x14ac:dyDescent="0.45">
      <c r="P117" s="11">
        <v>2048</v>
      </c>
      <c r="Q117" s="3" t="s">
        <v>231</v>
      </c>
      <c r="R117" s="5">
        <v>0.17413333333333336</v>
      </c>
      <c r="S117" s="3" t="s">
        <v>229</v>
      </c>
    </row>
    <row r="118" spans="16:19" x14ac:dyDescent="0.45">
      <c r="P118" s="12">
        <v>2048</v>
      </c>
      <c r="Q118" s="6" t="s">
        <v>232</v>
      </c>
      <c r="R118" s="8">
        <v>0.39666666666666667</v>
      </c>
      <c r="S118" s="6" t="s">
        <v>229</v>
      </c>
    </row>
    <row r="119" spans="16:19" x14ac:dyDescent="0.45">
      <c r="P119" s="11">
        <v>2049</v>
      </c>
      <c r="Q119" s="3" t="s">
        <v>228</v>
      </c>
      <c r="R119" s="5">
        <v>0.53733333333333333</v>
      </c>
      <c r="S119" s="3" t="s">
        <v>229</v>
      </c>
    </row>
    <row r="120" spans="16:19" x14ac:dyDescent="0.45">
      <c r="P120" s="12">
        <v>2049</v>
      </c>
      <c r="Q120" s="6" t="s">
        <v>230</v>
      </c>
      <c r="R120" s="8">
        <v>0.28823333333333334</v>
      </c>
      <c r="S120" s="6" t="s">
        <v>229</v>
      </c>
    </row>
    <row r="121" spans="16:19" x14ac:dyDescent="0.45">
      <c r="P121" s="11">
        <v>2049</v>
      </c>
      <c r="Q121" s="3" t="s">
        <v>231</v>
      </c>
      <c r="R121" s="5">
        <v>0.1613</v>
      </c>
      <c r="S121" s="3" t="s">
        <v>229</v>
      </c>
    </row>
    <row r="122" spans="16:19" x14ac:dyDescent="0.45">
      <c r="P122" s="12">
        <v>2049</v>
      </c>
      <c r="Q122" s="6" t="s">
        <v>232</v>
      </c>
      <c r="R122" s="8">
        <v>0.42019999999999996</v>
      </c>
      <c r="S122" s="6" t="s">
        <v>229</v>
      </c>
    </row>
    <row r="123" spans="16:19" x14ac:dyDescent="0.45">
      <c r="P123" s="11">
        <v>2050</v>
      </c>
      <c r="Q123" s="3" t="s">
        <v>228</v>
      </c>
      <c r="R123" s="5">
        <v>0.53933333333333333</v>
      </c>
      <c r="S123" s="3" t="s">
        <v>229</v>
      </c>
    </row>
    <row r="124" spans="16:19" x14ac:dyDescent="0.45">
      <c r="P124" s="12">
        <v>2050</v>
      </c>
      <c r="Q124" s="6" t="s">
        <v>230</v>
      </c>
      <c r="R124" s="8">
        <v>0.31003333333333333</v>
      </c>
      <c r="S124" s="6" t="s">
        <v>229</v>
      </c>
    </row>
    <row r="125" spans="16:19" x14ac:dyDescent="0.45">
      <c r="P125" s="11">
        <v>2050</v>
      </c>
      <c r="Q125" s="3" t="s">
        <v>231</v>
      </c>
      <c r="R125" s="5">
        <v>0.16796666666666668</v>
      </c>
      <c r="S125" s="3" t="s">
        <v>229</v>
      </c>
    </row>
    <row r="126" spans="16:19" x14ac:dyDescent="0.45">
      <c r="P126" s="12">
        <v>2050</v>
      </c>
      <c r="Q126" s="6" t="s">
        <v>232</v>
      </c>
      <c r="R126" s="8">
        <v>0.40453333333333336</v>
      </c>
      <c r="S126" s="6" t="s">
        <v>229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2A91-B6C0-421B-8854-F39F68E8985A}">
  <dimension ref="A1:N33"/>
  <sheetViews>
    <sheetView workbookViewId="0">
      <selection activeCell="F32" sqref="F32"/>
    </sheetView>
  </sheetViews>
  <sheetFormatPr defaultRowHeight="14.25" x14ac:dyDescent="0.45"/>
  <cols>
    <col min="3" max="3" width="10.59765625" customWidth="1"/>
    <col min="4" max="4" width="30.59765625" customWidth="1"/>
    <col min="8" max="8" width="9.46484375" bestFit="1" customWidth="1"/>
    <col min="9" max="9" width="10.59765625" bestFit="1" customWidth="1"/>
    <col min="10" max="10" width="9.3984375" bestFit="1" customWidth="1"/>
  </cols>
  <sheetData>
    <row r="1" spans="1:8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8" ht="14.65" thickBot="1" x14ac:dyDescent="0.5"/>
    <row r="10" spans="1:8" ht="15.75" thickBot="1" x14ac:dyDescent="0.6">
      <c r="A10" t="s">
        <v>219</v>
      </c>
      <c r="B10" s="13"/>
      <c r="C10" s="2" t="s">
        <v>310</v>
      </c>
      <c r="D10" s="2" t="s">
        <v>219</v>
      </c>
    </row>
    <row r="11" spans="1:8" x14ac:dyDescent="0.45">
      <c r="B11" s="13"/>
      <c r="C11" s="3" t="s">
        <v>311</v>
      </c>
      <c r="D11" s="3" t="s">
        <v>312</v>
      </c>
    </row>
    <row r="12" spans="1:8" x14ac:dyDescent="0.45">
      <c r="B12" s="13"/>
      <c r="C12" s="14" t="s">
        <v>313</v>
      </c>
      <c r="D12" s="6" t="s">
        <v>314</v>
      </c>
    </row>
    <row r="17" spans="3:14" x14ac:dyDescent="0.45">
      <c r="I17" s="15">
        <v>0.75</v>
      </c>
      <c r="K17" s="16" t="s">
        <v>315</v>
      </c>
    </row>
    <row r="18" spans="3:14" ht="17.649999999999999" thickBot="1" x14ac:dyDescent="0.6">
      <c r="C18" s="17" t="s">
        <v>316</v>
      </c>
    </row>
    <row r="19" spans="3:14" ht="14.65" thickTop="1" x14ac:dyDescent="0.45"/>
    <row r="21" spans="3:14" ht="17.649999999999999" thickBot="1" x14ac:dyDescent="0.6">
      <c r="H21" s="17" t="str">
        <f>IF(H23=H24,"Not Required!","~UC_T: LO")</f>
        <v>~UC_T: LO</v>
      </c>
    </row>
    <row r="22" spans="3:14" ht="15" thickTop="1" thickBot="1" x14ac:dyDescent="0.5">
      <c r="C22" s="18" t="s">
        <v>317</v>
      </c>
      <c r="D22" s="18" t="s">
        <v>318</v>
      </c>
      <c r="E22" s="18" t="s">
        <v>319</v>
      </c>
      <c r="F22" s="18" t="s">
        <v>320</v>
      </c>
      <c r="G22" s="18" t="s">
        <v>321</v>
      </c>
      <c r="H22" s="18" t="s">
        <v>322</v>
      </c>
      <c r="I22" s="18" t="s">
        <v>323</v>
      </c>
      <c r="J22" s="18" t="s">
        <v>324</v>
      </c>
      <c r="K22" s="18" t="s">
        <v>325</v>
      </c>
    </row>
    <row r="23" spans="3:14" x14ac:dyDescent="0.45">
      <c r="C23" t="s">
        <v>326</v>
      </c>
      <c r="D23" t="s">
        <v>227</v>
      </c>
      <c r="E23" t="str">
        <f>G23</f>
        <v>AuxStoIN</v>
      </c>
      <c r="F23" t="s">
        <v>327</v>
      </c>
      <c r="G23" t="s">
        <v>328</v>
      </c>
      <c r="H23" t="str">
        <f>HLOOKUP($A$10,$D$10:$CU$12,3,FALSE)</f>
        <v>S03aH08,S03aH10,S04aH02,S01aH08,S02aH08,S04aH08,S01aH01,S04aH01,S02aH01,S02aH10,S02aH02,S04aH10,S03aH09,S01aH02,S03aH01,S01aH09,S02aH09,S04aH09,S01aH10,S03aH02</v>
      </c>
      <c r="I23">
        <f>1+I24</f>
        <v>0.25</v>
      </c>
      <c r="J23">
        <v>0</v>
      </c>
      <c r="K23">
        <v>3</v>
      </c>
      <c r="M23" t="s">
        <v>329</v>
      </c>
    </row>
    <row r="24" spans="3:14" x14ac:dyDescent="0.45">
      <c r="D24" t="s">
        <v>227</v>
      </c>
      <c r="E24" t="str">
        <f>G24</f>
        <v>AuxStoIN</v>
      </c>
      <c r="F24" t="s">
        <v>327</v>
      </c>
      <c r="G24" t="s">
        <v>328</v>
      </c>
      <c r="H24" t="str">
        <f>HLOOKUP($A$10,$D$10:$CU$12,2,FALSE)</f>
        <v>S02aH04,S02aH05,S03aH02,S01aH02,S04aH04,S01aH06,S02aH03,S04aH05,S04aH08,S04aH03,S04aH06,S03aH03,S02aH06,S03aH05,S03aH08,S04aH07,S01aH05,S01aH08,S02aH08,S03aH06,S03aH07,S02aH02,S01aH04,S01aH07,S02aH07,S01aH03,S03aH04,S04aH02</v>
      </c>
      <c r="I24">
        <f>-$I$17</f>
        <v>-0.75</v>
      </c>
      <c r="M24" t="s">
        <v>330</v>
      </c>
    </row>
    <row r="29" spans="3:14" ht="17.649999999999999" thickBot="1" x14ac:dyDescent="0.6">
      <c r="I29" s="17" t="s">
        <v>331</v>
      </c>
    </row>
    <row r="30" spans="3:14" ht="15" thickTop="1" thickBot="1" x14ac:dyDescent="0.5">
      <c r="C30" s="18" t="s">
        <v>317</v>
      </c>
      <c r="D30" s="18" t="s">
        <v>332</v>
      </c>
      <c r="E30" s="18" t="s">
        <v>333</v>
      </c>
      <c r="F30" s="18" t="s">
        <v>318</v>
      </c>
      <c r="G30" s="18" t="s">
        <v>334</v>
      </c>
      <c r="H30" s="18" t="s">
        <v>321</v>
      </c>
      <c r="I30" s="18" t="s">
        <v>322</v>
      </c>
      <c r="J30" s="18" t="s">
        <v>335</v>
      </c>
      <c r="K30" s="18" t="s">
        <v>336</v>
      </c>
      <c r="L30" s="18" t="s">
        <v>337</v>
      </c>
      <c r="M30" s="18" t="s">
        <v>338</v>
      </c>
      <c r="N30" s="18" t="s">
        <v>339</v>
      </c>
    </row>
    <row r="31" spans="3:14" x14ac:dyDescent="0.45">
      <c r="C31" t="s">
        <v>340</v>
      </c>
      <c r="D31" t="s">
        <v>341</v>
      </c>
      <c r="F31" t="s">
        <v>342</v>
      </c>
      <c r="I31" t="s">
        <v>343</v>
      </c>
      <c r="J31">
        <v>1</v>
      </c>
      <c r="L31">
        <v>0</v>
      </c>
      <c r="M31">
        <v>5</v>
      </c>
      <c r="N31" t="s">
        <v>344</v>
      </c>
    </row>
    <row r="32" spans="3:14" x14ac:dyDescent="0.45">
      <c r="H32" t="s">
        <v>131</v>
      </c>
      <c r="I32" t="s">
        <v>343</v>
      </c>
      <c r="K32">
        <v>-1</v>
      </c>
    </row>
    <row r="33" spans="8:11" x14ac:dyDescent="0.45">
      <c r="H33" t="s">
        <v>345</v>
      </c>
      <c r="I33" t="s">
        <v>343</v>
      </c>
      <c r="K33">
        <v>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7956-703C-4895-A01E-C2F8F80C20BE}">
  <dimension ref="A1:H20"/>
  <sheetViews>
    <sheetView tabSelected="1" workbookViewId="0">
      <selection sqref="A1:H1"/>
    </sheetView>
  </sheetViews>
  <sheetFormatPr defaultRowHeight="14.25" x14ac:dyDescent="0.45"/>
  <cols>
    <col min="3" max="5" width="10.59765625" customWidth="1"/>
    <col min="6" max="6" width="12.1328125" bestFit="1" customWidth="1"/>
    <col min="7" max="7" width="10.59765625" customWidth="1"/>
  </cols>
  <sheetData>
    <row r="1" spans="1:8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8" ht="14.65" thickBot="1" x14ac:dyDescent="0.5">
      <c r="C9" s="1" t="str">
        <f>IF(A11="x","DeActivated","~TimeSlices")</f>
        <v>~TimeSlices</v>
      </c>
    </row>
    <row r="10" spans="1:8" ht="15.75" thickBot="1" x14ac:dyDescent="0.6">
      <c r="A10" t="s">
        <v>219</v>
      </c>
      <c r="C10" s="2" t="s">
        <v>346</v>
      </c>
      <c r="D10" s="2" t="s">
        <v>347</v>
      </c>
      <c r="E10" s="2" t="s">
        <v>348</v>
      </c>
      <c r="F10" s="2" t="s">
        <v>349</v>
      </c>
      <c r="G10" s="2" t="s">
        <v>350</v>
      </c>
    </row>
    <row r="11" spans="1:8" x14ac:dyDescent="0.45">
      <c r="C11" s="3" t="s">
        <v>228</v>
      </c>
      <c r="D11" s="3" t="s">
        <v>351</v>
      </c>
      <c r="E11" s="3" t="s">
        <v>352</v>
      </c>
      <c r="F11" s="3" t="s">
        <v>353</v>
      </c>
      <c r="G11" s="3" t="s">
        <v>351</v>
      </c>
    </row>
    <row r="12" spans="1:8" x14ac:dyDescent="0.45">
      <c r="C12" s="6" t="s">
        <v>230</v>
      </c>
      <c r="D12" s="6"/>
      <c r="E12" s="6" t="s">
        <v>354</v>
      </c>
      <c r="F12" s="6"/>
      <c r="G12" s="6" t="s">
        <v>351</v>
      </c>
    </row>
    <row r="13" spans="1:8" x14ac:dyDescent="0.45">
      <c r="C13" s="3" t="s">
        <v>231</v>
      </c>
      <c r="D13" s="3"/>
      <c r="E13" s="3" t="s">
        <v>355</v>
      </c>
      <c r="F13" s="3"/>
      <c r="G13" s="3" t="s">
        <v>351</v>
      </c>
    </row>
    <row r="14" spans="1:8" x14ac:dyDescent="0.45">
      <c r="C14" s="6" t="s">
        <v>232</v>
      </c>
      <c r="D14" s="6"/>
      <c r="E14" s="6" t="s">
        <v>356</v>
      </c>
      <c r="F14" s="6"/>
      <c r="G14" s="6" t="s">
        <v>351</v>
      </c>
    </row>
    <row r="15" spans="1:8" x14ac:dyDescent="0.45">
      <c r="C15" s="3"/>
      <c r="D15" s="3"/>
      <c r="E15" s="3" t="s">
        <v>357</v>
      </c>
      <c r="F15" s="3"/>
      <c r="G15" s="3" t="s">
        <v>351</v>
      </c>
    </row>
    <row r="16" spans="1:8" x14ac:dyDescent="0.45">
      <c r="C16" s="6"/>
      <c r="D16" s="6"/>
      <c r="E16" s="6" t="s">
        <v>358</v>
      </c>
      <c r="F16" s="6"/>
      <c r="G16" s="6" t="s">
        <v>351</v>
      </c>
    </row>
    <row r="17" spans="3:7" x14ac:dyDescent="0.45">
      <c r="C17" s="3"/>
      <c r="D17" s="3"/>
      <c r="E17" s="3" t="s">
        <v>359</v>
      </c>
      <c r="F17" s="3"/>
      <c r="G17" s="3" t="s">
        <v>351</v>
      </c>
    </row>
    <row r="18" spans="3:7" x14ac:dyDescent="0.45">
      <c r="C18" s="6"/>
      <c r="D18" s="6"/>
      <c r="E18" s="6" t="s">
        <v>360</v>
      </c>
      <c r="F18" s="6"/>
      <c r="G18" s="6" t="s">
        <v>351</v>
      </c>
    </row>
    <row r="19" spans="3:7" x14ac:dyDescent="0.45">
      <c r="C19" s="3"/>
      <c r="D19" s="3"/>
      <c r="E19" s="3" t="s">
        <v>361</v>
      </c>
      <c r="F19" s="3"/>
      <c r="G19" s="3" t="s">
        <v>351</v>
      </c>
    </row>
    <row r="20" spans="3:7" x14ac:dyDescent="0.45">
      <c r="C20" s="6"/>
      <c r="D20" s="6"/>
      <c r="E20" s="6" t="s">
        <v>362</v>
      </c>
      <c r="F20" s="6"/>
      <c r="G20" s="6" t="s">
        <v>351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resource_profiles_GBR</vt:lpstr>
      <vt:lpstr>firmness_GBR</vt:lpstr>
      <vt:lpstr>load_demand_peak_hydro_GBR</vt:lpstr>
      <vt:lpstr>resource_profiles_IRL</vt:lpstr>
      <vt:lpstr>firmness_IRL</vt:lpstr>
      <vt:lpstr>load_demand_peak_hydro_IRL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2026-09-16T05:36:15Z</dcterms:created>
  <dcterms:modified xsi:type="dcterms:W3CDTF">2026-09-16T05:36:27Z</dcterms:modified>
</cp:coreProperties>
</file>