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ppXLS\"/>
    </mc:Choice>
  </mc:AlternateContent>
  <xr:revisionPtr revIDLastSave="0" documentId="13_ncr:1_{27510010-CB22-4FFE-B588-8B177F701B77}" xr6:coauthVersionLast="47" xr6:coauthVersionMax="47" xr10:uidLastSave="{00000000-0000-0000-0000-000000000000}"/>
  <bookViews>
    <workbookView xWindow="-98" yWindow="-98" windowWidth="28996" windowHeight="17475" firstSheet="7" activeTab="7" xr2:uid="{85EE7D29-7392-4017-A5EC-4160FEC0EB72}"/>
  </bookViews>
  <sheets>
    <sheet name="resource_profiles_GBR" sheetId="2" r:id="rId1"/>
    <sheet name="firmness_GBR" sheetId="3" r:id="rId2"/>
    <sheet name="load_demand_peak_hydro_GBR" sheetId="4" r:id="rId3"/>
    <sheet name="resource_profiles_IRL" sheetId="5" r:id="rId4"/>
    <sheet name="firmness_IRL" sheetId="6" r:id="rId5"/>
    <sheet name="load_demand_peak_hydro_IRL" sheetId="7" r:id="rId6"/>
    <sheet name="ev_charging_uc" sheetId="8" r:id="rId7"/>
    <sheet name="timeslice_def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9" l="1"/>
  <c r="I24" i="8"/>
  <c r="H24" i="8"/>
  <c r="E24" i="8"/>
  <c r="I23" i="8"/>
  <c r="H23" i="8"/>
  <c r="H21" i="8" s="1"/>
  <c r="E23" i="8"/>
  <c r="P9" i="7"/>
  <c r="L9" i="7"/>
  <c r="H9" i="7"/>
  <c r="C9" i="7"/>
  <c r="CF9" i="6"/>
  <c r="BR9" i="6"/>
  <c r="BJ9" i="6"/>
  <c r="AU9" i="6"/>
  <c r="AF9" i="6"/>
  <c r="Q9" i="6"/>
  <c r="B9" i="6"/>
  <c r="L9" i="5"/>
  <c r="G9" i="5"/>
  <c r="B9" i="5"/>
  <c r="P9" i="4" l="1"/>
  <c r="L9" i="4"/>
  <c r="H9" i="4"/>
  <c r="C9" i="4"/>
  <c r="CF9" i="3"/>
  <c r="BR9" i="3"/>
  <c r="BJ9" i="3"/>
  <c r="AU9" i="3"/>
  <c r="AF9" i="3"/>
  <c r="Q9" i="3"/>
  <c r="B9" i="3"/>
  <c r="L9" i="2"/>
  <c r="G9" i="2"/>
  <c r="B9" i="2"/>
</calcChain>
</file>

<file path=xl/sharedStrings.xml><?xml version="1.0" encoding="utf-8"?>
<sst xmlns="http://schemas.openxmlformats.org/spreadsheetml/2006/main" count="6523" uniqueCount="328">
  <si>
    <t>VERVESTACKS - the open USE platform · Powered by data · Shaped by vision · Guided by intuition · Fueled by passion</t>
  </si>
  <si>
    <t>commodity</t>
  </si>
  <si>
    <t>timeslice</t>
  </si>
  <si>
    <t>com_fr</t>
  </si>
  <si>
    <t>process</t>
  </si>
  <si>
    <t>elc_spv_GBR_001</t>
  </si>
  <si>
    <t>S1aH1</t>
  </si>
  <si>
    <t>IMPNRGZ</t>
  </si>
  <si>
    <t>elc_won_GBR_001</t>
  </si>
  <si>
    <t>elc_wof_GBR_001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</si>
  <si>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</si>
  <si>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</si>
  <si>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</si>
  <si>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</si>
  <si>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</si>
  <si>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</si>
  <si>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</si>
  <si>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</si>
  <si>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</si>
  <si>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</si>
  <si>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</si>
  <si>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</si>
  <si>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</si>
  <si>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</si>
  <si>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</si>
  <si>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</si>
  <si>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</si>
  <si>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</si>
  <si>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</si>
  <si>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</si>
  <si>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</si>
  <si>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</si>
  <si>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</si>
  <si>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</si>
  <si>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</si>
  <si>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</si>
  <si>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</si>
  <si>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</si>
  <si>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</si>
  <si>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</si>
  <si>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</si>
  <si>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</si>
  <si>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</si>
  <si>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</si>
  <si>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</si>
  <si>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</si>
  <si>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</si>
  <si>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</si>
  <si>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</si>
  <si>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</si>
  <si>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</si>
  <si>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</si>
  <si>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</si>
  <si>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</si>
  <si>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</si>
  <si>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</si>
  <si>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</si>
  <si>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</si>
  <si>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</si>
  <si>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</si>
  <si>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</si>
  <si>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</si>
  <si>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</si>
  <si>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</si>
  <si>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</si>
  <si>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</si>
  <si>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</si>
  <si>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</si>
  <si>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</si>
  <si>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</si>
  <si>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</si>
  <si>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</si>
  <si>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</si>
  <si>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</si>
  <si>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</si>
  <si>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</si>
  <si>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</si>
  <si>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</si>
  <si>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</si>
  <si>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</si>
  <si>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</si>
  <si>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elc_spv_GBR_022</t>
  </si>
  <si>
    <t>elc_won_GBR_022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</si>
  <si>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</si>
  <si>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</si>
  <si>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</si>
  <si>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</si>
  <si>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</si>
  <si>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</si>
  <si>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</si>
  <si>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</si>
  <si>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</si>
  <si>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</si>
  <si>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</si>
  <si>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</si>
  <si>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</si>
  <si>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attribute</t>
  </si>
  <si>
    <t>year</t>
  </si>
  <si>
    <t>limtype</t>
  </si>
  <si>
    <t>value</t>
  </si>
  <si>
    <t>other_indexes</t>
  </si>
  <si>
    <t>ncap_com</t>
  </si>
  <si>
    <t>distr_solelc_spv_GBR_001</t>
  </si>
  <si>
    <t>DEF_E</t>
  </si>
  <si>
    <t>ELC4H</t>
  </si>
  <si>
    <t>ELC8H</t>
  </si>
  <si>
    <t>ELCnH</t>
  </si>
  <si>
    <t>FLO_SHAR</t>
  </si>
  <si>
    <t>distr[_]???*</t>
  </si>
  <si>
    <t>ELC4H,ELC8H,ELCnH</t>
  </si>
  <si>
    <t>FX</t>
  </si>
  <si>
    <t>S1aH1,S1aH2,S1aH3,S2aH1,S2aH2,S2aH3,S3aH1,S3aH2,S3aH3,S4aH1,S4aH2,S4aH3</t>
  </si>
  <si>
    <t>DEF_C</t>
  </si>
  <si>
    <t>OUT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</si>
  <si>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</si>
  <si>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</si>
  <si>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</si>
  <si>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</si>
  <si>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</si>
  <si>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</si>
  <si>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</si>
  <si>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</si>
  <si>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</si>
  <si>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</si>
  <si>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</si>
  <si>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</si>
  <si>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</si>
  <si>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</si>
  <si>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</si>
  <si>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</si>
  <si>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</si>
  <si>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</si>
  <si>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</si>
  <si>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</si>
  <si>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distr_solelc_spv_GBR_022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</si>
  <si>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</si>
  <si>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</si>
  <si>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</si>
  <si>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</si>
  <si>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</si>
  <si>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</si>
  <si>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</si>
  <si>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</si>
  <si>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</si>
  <si>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</si>
  <si>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</si>
  <si>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</si>
  <si>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</si>
  <si>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</si>
  <si>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</si>
  <si>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</si>
  <si>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</si>
  <si>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</si>
  <si>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</si>
  <si>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</si>
  <si>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</si>
  <si>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</si>
  <si>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</si>
  <si>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</si>
  <si>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</si>
  <si>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</si>
  <si>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</si>
  <si>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</si>
  <si>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</si>
  <si>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</si>
  <si>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</si>
  <si>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</si>
  <si>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</si>
  <si>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</si>
  <si>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</si>
  <si>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</si>
  <si>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</si>
  <si>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</si>
  <si>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</si>
  <si>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</si>
  <si>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</si>
  <si>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</si>
  <si>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</si>
  <si>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distr_wonelc_won_GBR_022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</si>
  <si>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</si>
  <si>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</si>
  <si>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</si>
  <si>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</si>
  <si>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</si>
  <si>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</si>
  <si>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</si>
  <si>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</si>
  <si>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</si>
  <si>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</si>
  <si>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</si>
  <si>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</si>
  <si>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ts_12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</si>
  <si>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</si>
  <si>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</si>
  <si>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</si>
  <si>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</si>
  <si>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</si>
  <si>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</si>
  <si>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</si>
  <si>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</si>
  <si>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S1</t>
  </si>
  <si>
    <t>hydro</t>
  </si>
  <si>
    <t>S2</t>
  </si>
  <si>
    <t>S3</t>
  </si>
  <si>
    <t>S4</t>
  </si>
  <si>
    <t>elc_industry</t>
  </si>
  <si>
    <t>elc_spv_IRL_001</t>
  </si>
  <si>
    <t>elc_won_IRL_001</t>
  </si>
  <si>
    <t>elc_wof_IRL_001</t>
  </si>
  <si>
    <t>elc_spv_IRL_002</t>
  </si>
  <si>
    <t>elc_won_IRL_002</t>
  </si>
  <si>
    <t>elc_wof_IRL_002</t>
  </si>
  <si>
    <t>elc_spv_IRL_003</t>
  </si>
  <si>
    <t>elc_won_IRL_003</t>
  </si>
  <si>
    <t>elc_wof_IRL_003</t>
  </si>
  <si>
    <t>elc_spv_IRL_004</t>
  </si>
  <si>
    <t>elc_won_IRL_004</t>
  </si>
  <si>
    <t>elc_wof_IRL_004</t>
  </si>
  <si>
    <t>elc_spv_IRL_005</t>
  </si>
  <si>
    <t>elc_won_IRL_005</t>
  </si>
  <si>
    <t>elc_wof_IRL_005</t>
  </si>
  <si>
    <t>elc_spv_IRL_006</t>
  </si>
  <si>
    <t>elc_won_IRL_006</t>
  </si>
  <si>
    <t>elc_wof_IRL_006</t>
  </si>
  <si>
    <t>elc_spv_IRL_007</t>
  </si>
  <si>
    <t>elc_won_IRL_007</t>
  </si>
  <si>
    <t>elc_wof_IRL_007</t>
  </si>
  <si>
    <t>elc_spv_IRL_008</t>
  </si>
  <si>
    <t>elc_won_IRL_008</t>
  </si>
  <si>
    <t>elc_wof_IRL_008</t>
  </si>
  <si>
    <t>elc_spv_IRL_009</t>
  </si>
  <si>
    <t>elc_won_IRL_009</t>
  </si>
  <si>
    <t>elc_wof_IRL_009</t>
  </si>
  <si>
    <t>elc_spv_IRL_010</t>
  </si>
  <si>
    <t>elc_won_IRL_010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</si>
  <si>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</si>
  <si>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</si>
  <si>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</si>
  <si>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</si>
  <si>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</si>
  <si>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</si>
  <si>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</si>
  <si>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</si>
  <si>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</si>
  <si>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</si>
  <si>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</si>
  <si>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</si>
  <si>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</si>
  <si>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</si>
  <si>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</si>
  <si>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</si>
  <si>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</si>
  <si>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</si>
  <si>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</si>
  <si>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</si>
  <si>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distr_wonelc_won_IRL_001</t>
  </si>
  <si>
    <t>distr_wofelc_wof_IRL_002</t>
  </si>
  <si>
    <t>distr_wonelc_won_IRL_002</t>
  </si>
  <si>
    <t>distr_wofelc_wof_IRL_003</t>
  </si>
  <si>
    <t>distr_wonelc_won_IRL_003</t>
  </si>
  <si>
    <t>distr_wofelc_wof_IRL_004</t>
  </si>
  <si>
    <t>distr_wonelc_won_IRL_004</t>
  </si>
  <si>
    <t>distr_wofelc_wof_IRL_005</t>
  </si>
  <si>
    <t>distr_wonelc_won_IRL_005</t>
  </si>
  <si>
    <t>distr_wofelc_wof_IRL_006</t>
  </si>
  <si>
    <t>distr_wonelc_won_IRL_006</t>
  </si>
  <si>
    <t>distr_wofelc_wof_IRL_007</t>
  </si>
  <si>
    <t>distr_wonelc_won_IRL_007</t>
  </si>
  <si>
    <t>distr_wofelc_wof_IRL_008</t>
  </si>
  <si>
    <t>distr_wonelc_won_IRL_008</t>
  </si>
  <si>
    <t>distr_wofelc_wof_IRL_009</t>
  </si>
  <si>
    <t>distr_wonelc_won_IRL_009</t>
  </si>
  <si>
    <t>distr_wofelc_wof_IRL_010</t>
  </si>
  <si>
    <t>distr_wonelc_won_IRL_010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</si>
  <si>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</si>
  <si>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</si>
  <si>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</si>
  <si>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</si>
  <si>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</si>
  <si>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</si>
  <si>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</si>
  <si>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</si>
  <si>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day_night</t>
  </si>
  <si>
    <t>D</t>
  </si>
  <si>
    <t>S2aH2,S3aH2,S1aH2,S4aH2</t>
  </si>
  <si>
    <t>N</t>
  </si>
  <si>
    <t>S1aH1,S4aH3,S3aH3,S4aH1,S2aH3,S3aH1,S1aH3,S2aH1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</si>
  <si>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</si>
  <si>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</si>
  <si>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</si>
  <si>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</si>
  <si>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</si>
  <si>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</si>
  <si>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</si>
  <si>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</si>
  <si>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</si>
  <si>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</si>
  <si>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</si>
  <si>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</si>
  <si>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</si>
  <si>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</si>
  <si>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</si>
  <si>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</si>
  <si>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</si>
  <si>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</si>
  <si>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</si>
  <si>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</si>
  <si>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</si>
  <si>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</si>
  <si>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</si>
  <si>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</si>
  <si>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</si>
  <si>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</si>
  <si>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</si>
  <si>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</si>
  <si>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</si>
  <si>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</si>
  <si>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AuxStoOUT</t>
  </si>
  <si>
    <t>season</t>
  </si>
  <si>
    <t>weekly</t>
  </si>
  <si>
    <t>daynite</t>
  </si>
  <si>
    <t>wparent</t>
  </si>
  <si>
    <t>dparent</t>
  </si>
  <si>
    <t>a</t>
  </si>
  <si>
    <t>H1</t>
  </si>
  <si>
    <t>S1,S2,S3,S4</t>
  </si>
  <si>
    <t>H2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</si>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</sst>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"/>
  </numFmts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5" borderId="5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</cellStyleXfs>
  <cellXfs count="20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4" borderId="1" xfId="0" applyNumberFormat="1" applyFont="1" applyFill="1" applyBorder="1"/>
    <xf numFmtId="2" fontId="4" fillId="4" borderId="1" xfId="0" applyNumberFormat="1" applyFont="1" applyFill="1" applyBorder="1"/>
    <xf numFmtId="167" fontId="4" fillId="4" borderId="1" xfId="0" applyNumberFormat="1" applyFont="1" applyFill="1" applyBorder="1"/>
    <xf numFmtId="167" fontId="4" fillId="0" borderId="1" xfId="0" applyNumberFormat="1" applyFont="1" applyBorder="1"/>
    <xf numFmtId="0" fontId="0" fillId="6" borderId="0" xfId="0" applyFill="1"/>
    <xf numFmtId="0" fontId="4" fillId="6" borderId="1" xfId="0" applyFont="1" applyFill="1" applyBorder="1"/>
    <xf numFmtId="0" fontId="7" fillId="5" borderId="5" xfId="1"/>
    <xf numFmtId="0" fontId="8" fillId="0" borderId="0" xfId="0" applyFont="1"/>
    <xf numFmtId="0" fontId="5" fillId="0" borderId="3" xfId="2"/>
    <xf numFmtId="0" fontId="6" fillId="0" borderId="4" xfId="3"/>
    <xf numFmtId="0" fontId="1" fillId="2" borderId="1" xfId="0" applyFont="1" applyFill="1" applyBorder="1" applyAlignment="1">
      <alignment horizontal="left" vertical="center"/>
    </xf>
  </cellXfs>
  <cellStyles count="4">
    <cellStyle name="Heading 2 2" xfId="2" xr:uid="{2154BC4B-0BCB-4210-A049-240F28646400}"/>
    <cellStyle name="Heading 3 2" xfId="3" xr:uid="{37EDB012-D930-438F-B039-61ED6E12206E}"/>
    <cellStyle name="Input 2" xfId="1" xr:uid="{229DB406-E5AF-4ECC-9D7B-1BFAE5C4DD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6A91D-BF7D-4948-85E3-8E733EE91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2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63500</xdr:colOff>
      <xdr:row>0</xdr:row>
      <xdr:rowOff>12700</xdr:rowOff>
    </xdr:from>
    <xdr:to>
      <xdr:col>13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95563-7123-42FB-90AC-0B28EBD08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185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6CA68-6ED8-42BC-ADFE-52139BBB6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E2B40-9463-47D4-BF1C-D85E268F8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66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63500</xdr:colOff>
      <xdr:row>0</xdr:row>
      <xdr:rowOff>12700</xdr:rowOff>
    </xdr:from>
    <xdr:to>
      <xdr:col>13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994A8-8000-40D6-B0FB-06F7177C2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99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40D54-D319-451D-B924-8B9182717F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8DECE-E7D5-45B5-B8A7-CF33B51B7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3CDF4-A4C1-44A1-8298-22642E258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2788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0ACC-C6E9-436D-A706-3F43C69B2E6A}">
  <dimension ref="A1:O418"/>
  <sheetViews>
    <sheetView workbookViewId="0">
      <selection sqref="A1:H1"/>
    </sheetView>
  </sheetViews>
  <sheetFormatPr defaultRowHeight="14.25" x14ac:dyDescent="0.45"/>
  <cols>
    <col min="2" max="2" width="12.6640625" bestFit="1" customWidth="1"/>
    <col min="3" max="5" width="10.59765625" customWidth="1"/>
    <col min="7" max="7" width="13.33203125" bestFit="1" customWidth="1"/>
    <col min="8" max="10" width="10.59765625" customWidth="1"/>
    <col min="12" max="12" width="12.9296875" bestFit="1" customWidth="1"/>
    <col min="13" max="15" width="10.59765625" customWidth="1"/>
  </cols>
  <sheetData>
    <row r="1" spans="1:15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5" ht="14.65" thickBot="1" x14ac:dyDescent="0.5">
      <c r="B9" s="1" t="str">
        <f>IF(A11="x","DeActivated","~TFM_DINS-AT: region=GBR")</f>
        <v>~TFM_DINS-AT: region=GBR</v>
      </c>
      <c r="G9" s="1" t="str">
        <f>IF(A11="x","DeActivated","~TFM_DINS-AT: region=GBR")</f>
        <v>~TFM_DINS-AT: region=GBR</v>
      </c>
      <c r="L9" s="1" t="str">
        <f>IF(A11="x","DeActivated","~TFM_DINS-AT: region=GBR")</f>
        <v>~TFM_DINS-AT: region=GBR</v>
      </c>
    </row>
    <row r="10" spans="1:15" ht="15.75" thickBot="1" x14ac:dyDescent="0.6">
      <c r="B10" s="2" t="s">
        <v>1</v>
      </c>
      <c r="C10" s="2" t="s">
        <v>2</v>
      </c>
      <c r="D10" s="2" t="s">
        <v>3</v>
      </c>
      <c r="E10" s="2" t="s">
        <v>4</v>
      </c>
      <c r="G10" s="2" t="s">
        <v>1</v>
      </c>
      <c r="H10" s="2" t="s">
        <v>2</v>
      </c>
      <c r="I10" s="2" t="s">
        <v>3</v>
      </c>
      <c r="J10" s="2" t="s">
        <v>4</v>
      </c>
      <c r="L10" s="2" t="s">
        <v>1</v>
      </c>
      <c r="M10" s="2" t="s">
        <v>2</v>
      </c>
      <c r="N10" s="2" t="s">
        <v>3</v>
      </c>
      <c r="O10" s="2" t="s">
        <v>4</v>
      </c>
    </row>
    <row r="11" spans="1:15" x14ac:dyDescent="0.45">
      <c r="B11" s="3" t="s">
        <v>5</v>
      </c>
      <c r="C11" s="3" t="s">
        <v>6</v>
      </c>
      <c r="D11" s="4">
        <v>0</v>
      </c>
      <c r="E11" s="3" t="s">
        <v>7</v>
      </c>
      <c r="G11" s="3" t="s">
        <v>8</v>
      </c>
      <c r="H11" s="3" t="s">
        <v>6</v>
      </c>
      <c r="I11" s="5">
        <v>0.10194577356878126</v>
      </c>
      <c r="J11" s="3" t="s">
        <v>7</v>
      </c>
      <c r="L11" s="3" t="s">
        <v>9</v>
      </c>
      <c r="M11" s="3" t="s">
        <v>6</v>
      </c>
      <c r="N11" s="5">
        <v>9.8332332835501288E-2</v>
      </c>
      <c r="O11" s="3" t="s">
        <v>7</v>
      </c>
    </row>
    <row r="12" spans="1:15" x14ac:dyDescent="0.45">
      <c r="B12" s="6" t="s">
        <v>5</v>
      </c>
      <c r="C12" s="6" t="s">
        <v>10</v>
      </c>
      <c r="D12" s="7">
        <v>0.13127105960057478</v>
      </c>
      <c r="E12" s="6" t="s">
        <v>7</v>
      </c>
      <c r="G12" s="6" t="s">
        <v>8</v>
      </c>
      <c r="H12" s="6" t="s">
        <v>10</v>
      </c>
      <c r="I12" s="8">
        <v>0.12225651915414276</v>
      </c>
      <c r="J12" s="6" t="s">
        <v>7</v>
      </c>
      <c r="L12" s="6" t="s">
        <v>9</v>
      </c>
      <c r="M12" s="6" t="s">
        <v>10</v>
      </c>
      <c r="N12" s="8">
        <v>0.11944448545136173</v>
      </c>
      <c r="O12" s="6" t="s">
        <v>7</v>
      </c>
    </row>
    <row r="13" spans="1:15" x14ac:dyDescent="0.45">
      <c r="B13" s="3" t="s">
        <v>5</v>
      </c>
      <c r="C13" s="3" t="s">
        <v>11</v>
      </c>
      <c r="D13" s="4">
        <v>2.448113774937035E-6</v>
      </c>
      <c r="E13" s="3" t="s">
        <v>7</v>
      </c>
      <c r="G13" s="3" t="s">
        <v>8</v>
      </c>
      <c r="H13" s="3" t="s">
        <v>11</v>
      </c>
      <c r="I13" s="5">
        <v>7.7971617376406899E-2</v>
      </c>
      <c r="J13" s="3" t="s">
        <v>7</v>
      </c>
      <c r="L13" s="3" t="s">
        <v>9</v>
      </c>
      <c r="M13" s="3" t="s">
        <v>11</v>
      </c>
      <c r="N13" s="5">
        <v>7.5655204430103679E-2</v>
      </c>
      <c r="O13" s="3" t="s">
        <v>7</v>
      </c>
    </row>
    <row r="14" spans="1:15" x14ac:dyDescent="0.45">
      <c r="B14" s="6" t="s">
        <v>5</v>
      </c>
      <c r="C14" s="6" t="s">
        <v>12</v>
      </c>
      <c r="D14" s="7">
        <v>7.0884138995955855E-3</v>
      </c>
      <c r="E14" s="6" t="s">
        <v>7</v>
      </c>
      <c r="G14" s="6" t="s">
        <v>8</v>
      </c>
      <c r="H14" s="6" t="s">
        <v>12</v>
      </c>
      <c r="I14" s="8">
        <v>8.4017083606248474E-2</v>
      </c>
      <c r="J14" s="6" t="s">
        <v>7</v>
      </c>
      <c r="L14" s="6" t="s">
        <v>9</v>
      </c>
      <c r="M14" s="6" t="s">
        <v>12</v>
      </c>
      <c r="N14" s="8">
        <v>8.9768167792283526E-2</v>
      </c>
      <c r="O14" s="6" t="s">
        <v>7</v>
      </c>
    </row>
    <row r="15" spans="1:15" x14ac:dyDescent="0.45">
      <c r="B15" s="3" t="s">
        <v>5</v>
      </c>
      <c r="C15" s="3" t="s">
        <v>13</v>
      </c>
      <c r="D15" s="4">
        <v>0.30232993562119387</v>
      </c>
      <c r="E15" s="3" t="s">
        <v>7</v>
      </c>
      <c r="G15" s="3" t="s">
        <v>8</v>
      </c>
      <c r="H15" s="3" t="s">
        <v>13</v>
      </c>
      <c r="I15" s="5">
        <v>0.11391415082215639</v>
      </c>
      <c r="J15" s="3" t="s">
        <v>7</v>
      </c>
      <c r="L15" s="3" t="s">
        <v>9</v>
      </c>
      <c r="M15" s="3" t="s">
        <v>13</v>
      </c>
      <c r="N15" s="5">
        <v>0.11086227309427309</v>
      </c>
      <c r="O15" s="3" t="s">
        <v>7</v>
      </c>
    </row>
    <row r="16" spans="1:15" x14ac:dyDescent="0.45">
      <c r="B16" s="6" t="s">
        <v>5</v>
      </c>
      <c r="C16" s="6" t="s">
        <v>14</v>
      </c>
      <c r="D16" s="7">
        <v>7.1180834871818269E-3</v>
      </c>
      <c r="E16" s="6" t="s">
        <v>7</v>
      </c>
      <c r="G16" s="6" t="s">
        <v>8</v>
      </c>
      <c r="H16" s="6" t="s">
        <v>14</v>
      </c>
      <c r="I16" s="8">
        <v>6.6570461420119617E-2</v>
      </c>
      <c r="J16" s="6" t="s">
        <v>7</v>
      </c>
      <c r="L16" s="6" t="s">
        <v>9</v>
      </c>
      <c r="M16" s="6" t="s">
        <v>14</v>
      </c>
      <c r="N16" s="8">
        <v>6.6844444420400828E-2</v>
      </c>
      <c r="O16" s="6" t="s">
        <v>7</v>
      </c>
    </row>
    <row r="17" spans="2:15" x14ac:dyDescent="0.45">
      <c r="B17" s="3" t="s">
        <v>5</v>
      </c>
      <c r="C17" s="3" t="s">
        <v>15</v>
      </c>
      <c r="D17" s="4">
        <v>1.1281604647734415E-2</v>
      </c>
      <c r="E17" s="3" t="s">
        <v>7</v>
      </c>
      <c r="G17" s="3" t="s">
        <v>8</v>
      </c>
      <c r="H17" s="3" t="s">
        <v>15</v>
      </c>
      <c r="I17" s="5">
        <v>5.6554933517717378E-2</v>
      </c>
      <c r="J17" s="3" t="s">
        <v>7</v>
      </c>
      <c r="L17" s="3" t="s">
        <v>9</v>
      </c>
      <c r="M17" s="3" t="s">
        <v>15</v>
      </c>
      <c r="N17" s="5">
        <v>5.5869993779712593E-2</v>
      </c>
      <c r="O17" s="3" t="s">
        <v>7</v>
      </c>
    </row>
    <row r="18" spans="2:15" x14ac:dyDescent="0.45">
      <c r="B18" s="6" t="s">
        <v>5</v>
      </c>
      <c r="C18" s="6" t="s">
        <v>16</v>
      </c>
      <c r="D18" s="7">
        <v>0.33610268750994288</v>
      </c>
      <c r="E18" s="6" t="s">
        <v>7</v>
      </c>
      <c r="G18" s="6" t="s">
        <v>8</v>
      </c>
      <c r="H18" s="6" t="s">
        <v>16</v>
      </c>
      <c r="I18" s="8">
        <v>6.9885200315216819E-2</v>
      </c>
      <c r="J18" s="6" t="s">
        <v>7</v>
      </c>
      <c r="L18" s="6" t="s">
        <v>9</v>
      </c>
      <c r="M18" s="6" t="s">
        <v>16</v>
      </c>
      <c r="N18" s="8">
        <v>5.9538124009892307E-2</v>
      </c>
      <c r="O18" s="6" t="s">
        <v>7</v>
      </c>
    </row>
    <row r="19" spans="2:15" x14ac:dyDescent="0.45">
      <c r="B19" s="3" t="s">
        <v>5</v>
      </c>
      <c r="C19" s="3" t="s">
        <v>17</v>
      </c>
      <c r="D19" s="4">
        <v>1.337137007944293E-2</v>
      </c>
      <c r="E19" s="3" t="s">
        <v>7</v>
      </c>
      <c r="G19" s="3" t="s">
        <v>8</v>
      </c>
      <c r="H19" s="3" t="s">
        <v>17</v>
      </c>
      <c r="I19" s="5">
        <v>4.5806867663611209E-2</v>
      </c>
      <c r="J19" s="3" t="s">
        <v>7</v>
      </c>
      <c r="L19" s="3" t="s">
        <v>9</v>
      </c>
      <c r="M19" s="3" t="s">
        <v>17</v>
      </c>
      <c r="N19" s="5">
        <v>3.949719791753642E-2</v>
      </c>
      <c r="O19" s="3" t="s">
        <v>7</v>
      </c>
    </row>
    <row r="20" spans="2:15" x14ac:dyDescent="0.45">
      <c r="B20" s="6" t="s">
        <v>5</v>
      </c>
      <c r="C20" s="6" t="s">
        <v>18</v>
      </c>
      <c r="D20" s="7">
        <v>1.2102557662856661E-3</v>
      </c>
      <c r="E20" s="6" t="s">
        <v>7</v>
      </c>
      <c r="G20" s="6" t="s">
        <v>8</v>
      </c>
      <c r="H20" s="6" t="s">
        <v>18</v>
      </c>
      <c r="I20" s="8">
        <v>8.8723867747102891E-2</v>
      </c>
      <c r="J20" s="6" t="s">
        <v>7</v>
      </c>
      <c r="L20" s="6" t="s">
        <v>9</v>
      </c>
      <c r="M20" s="6" t="s">
        <v>18</v>
      </c>
      <c r="N20" s="8">
        <v>9.5139417645934282E-2</v>
      </c>
      <c r="O20" s="6" t="s">
        <v>7</v>
      </c>
    </row>
    <row r="21" spans="2:15" x14ac:dyDescent="0.45">
      <c r="B21" s="3" t="s">
        <v>5</v>
      </c>
      <c r="C21" s="3" t="s">
        <v>19</v>
      </c>
      <c r="D21" s="4">
        <v>0.18949174215451445</v>
      </c>
      <c r="E21" s="3" t="s">
        <v>7</v>
      </c>
      <c r="G21" s="3" t="s">
        <v>8</v>
      </c>
      <c r="H21" s="3" t="s">
        <v>19</v>
      </c>
      <c r="I21" s="5">
        <v>0.104151301051087</v>
      </c>
      <c r="J21" s="3" t="s">
        <v>7</v>
      </c>
      <c r="L21" s="3" t="s">
        <v>9</v>
      </c>
      <c r="M21" s="3" t="s">
        <v>19</v>
      </c>
      <c r="N21" s="5">
        <v>0.11755124169495135</v>
      </c>
      <c r="O21" s="3" t="s">
        <v>7</v>
      </c>
    </row>
    <row r="22" spans="2:15" x14ac:dyDescent="0.45">
      <c r="B22" s="6" t="s">
        <v>5</v>
      </c>
      <c r="C22" s="6" t="s">
        <v>20</v>
      </c>
      <c r="D22" s="7">
        <v>7.3239911975863411E-4</v>
      </c>
      <c r="E22" s="6" t="s">
        <v>7</v>
      </c>
      <c r="G22" s="6" t="s">
        <v>8</v>
      </c>
      <c r="H22" s="6" t="s">
        <v>20</v>
      </c>
      <c r="I22" s="8">
        <v>6.8202223757409197E-2</v>
      </c>
      <c r="J22" s="6" t="s">
        <v>7</v>
      </c>
      <c r="L22" s="6" t="s">
        <v>9</v>
      </c>
      <c r="M22" s="6" t="s">
        <v>20</v>
      </c>
      <c r="N22" s="8">
        <v>7.149711692804879E-2</v>
      </c>
      <c r="O22" s="6" t="s">
        <v>7</v>
      </c>
    </row>
    <row r="23" spans="2:15" x14ac:dyDescent="0.45">
      <c r="B23" s="3" t="s">
        <v>21</v>
      </c>
      <c r="C23" s="3" t="s">
        <v>6</v>
      </c>
      <c r="D23" s="4">
        <v>0</v>
      </c>
      <c r="E23" s="3" t="s">
        <v>7</v>
      </c>
      <c r="G23" s="3" t="s">
        <v>22</v>
      </c>
      <c r="H23" s="3" t="s">
        <v>6</v>
      </c>
      <c r="I23" s="5">
        <v>9.7947698060729796E-2</v>
      </c>
      <c r="J23" s="3" t="s">
        <v>7</v>
      </c>
      <c r="L23" s="3" t="s">
        <v>23</v>
      </c>
      <c r="M23" s="3" t="s">
        <v>6</v>
      </c>
      <c r="N23" s="5">
        <v>9.2239761580195076E-2</v>
      </c>
      <c r="O23" s="3" t="s">
        <v>7</v>
      </c>
    </row>
    <row r="24" spans="2:15" x14ac:dyDescent="0.45">
      <c r="B24" s="6" t="s">
        <v>21</v>
      </c>
      <c r="C24" s="6" t="s">
        <v>10</v>
      </c>
      <c r="D24" s="7">
        <v>0.12490615085769487</v>
      </c>
      <c r="E24" s="6" t="s">
        <v>7</v>
      </c>
      <c r="G24" s="6" t="s">
        <v>22</v>
      </c>
      <c r="H24" s="6" t="s">
        <v>10</v>
      </c>
      <c r="I24" s="8">
        <v>0.11681410482135267</v>
      </c>
      <c r="J24" s="6" t="s">
        <v>7</v>
      </c>
      <c r="L24" s="6" t="s">
        <v>23</v>
      </c>
      <c r="M24" s="6" t="s">
        <v>10</v>
      </c>
      <c r="N24" s="8">
        <v>0.11331452447992156</v>
      </c>
      <c r="O24" s="6" t="s">
        <v>7</v>
      </c>
    </row>
    <row r="25" spans="2:15" x14ac:dyDescent="0.45">
      <c r="B25" s="3" t="s">
        <v>21</v>
      </c>
      <c r="C25" s="3" t="s">
        <v>11</v>
      </c>
      <c r="D25" s="4">
        <v>0</v>
      </c>
      <c r="E25" s="3" t="s">
        <v>7</v>
      </c>
      <c r="G25" s="3" t="s">
        <v>22</v>
      </c>
      <c r="H25" s="3" t="s">
        <v>11</v>
      </c>
      <c r="I25" s="5">
        <v>7.4510987071952153E-2</v>
      </c>
      <c r="J25" s="3" t="s">
        <v>7</v>
      </c>
      <c r="L25" s="3" t="s">
        <v>23</v>
      </c>
      <c r="M25" s="3" t="s">
        <v>11</v>
      </c>
      <c r="N25" s="5">
        <v>7.1555981144012987E-2</v>
      </c>
      <c r="O25" s="3" t="s">
        <v>7</v>
      </c>
    </row>
    <row r="26" spans="2:15" x14ac:dyDescent="0.45">
      <c r="B26" s="6" t="s">
        <v>21</v>
      </c>
      <c r="C26" s="6" t="s">
        <v>12</v>
      </c>
      <c r="D26" s="7">
        <v>6.8938935410927686E-3</v>
      </c>
      <c r="E26" s="6" t="s">
        <v>7</v>
      </c>
      <c r="G26" s="6" t="s">
        <v>22</v>
      </c>
      <c r="H26" s="6" t="s">
        <v>12</v>
      </c>
      <c r="I26" s="8">
        <v>8.6258524882860343E-2</v>
      </c>
      <c r="J26" s="6" t="s">
        <v>7</v>
      </c>
      <c r="L26" s="6" t="s">
        <v>23</v>
      </c>
      <c r="M26" s="6" t="s">
        <v>12</v>
      </c>
      <c r="N26" s="8">
        <v>8.7227939019709197E-2</v>
      </c>
      <c r="O26" s="6" t="s">
        <v>7</v>
      </c>
    </row>
    <row r="27" spans="2:15" x14ac:dyDescent="0.45">
      <c r="B27" s="3" t="s">
        <v>21</v>
      </c>
      <c r="C27" s="3" t="s">
        <v>13</v>
      </c>
      <c r="D27" s="4">
        <v>0.29387116246897876</v>
      </c>
      <c r="E27" s="3" t="s">
        <v>7</v>
      </c>
      <c r="G27" s="3" t="s">
        <v>22</v>
      </c>
      <c r="H27" s="3" t="s">
        <v>13</v>
      </c>
      <c r="I27" s="5">
        <v>0.10601490343900803</v>
      </c>
      <c r="J27" s="3" t="s">
        <v>7</v>
      </c>
      <c r="L27" s="3" t="s">
        <v>23</v>
      </c>
      <c r="M27" s="3" t="s">
        <v>13</v>
      </c>
      <c r="N27" s="5">
        <v>9.7323270518853811E-2</v>
      </c>
      <c r="O27" s="3" t="s">
        <v>7</v>
      </c>
    </row>
    <row r="28" spans="2:15" x14ac:dyDescent="0.45">
      <c r="B28" s="6" t="s">
        <v>21</v>
      </c>
      <c r="C28" s="6" t="s">
        <v>14</v>
      </c>
      <c r="D28" s="7">
        <v>6.7417590314569143E-3</v>
      </c>
      <c r="E28" s="6" t="s">
        <v>7</v>
      </c>
      <c r="G28" s="6" t="s">
        <v>22</v>
      </c>
      <c r="H28" s="6" t="s">
        <v>14</v>
      </c>
      <c r="I28" s="8">
        <v>6.6162517323749129E-2</v>
      </c>
      <c r="J28" s="6" t="s">
        <v>7</v>
      </c>
      <c r="L28" s="6" t="s">
        <v>23</v>
      </c>
      <c r="M28" s="6" t="s">
        <v>14</v>
      </c>
      <c r="N28" s="8">
        <v>6.5675710910538074E-2</v>
      </c>
      <c r="O28" s="6" t="s">
        <v>7</v>
      </c>
    </row>
    <row r="29" spans="2:15" x14ac:dyDescent="0.45">
      <c r="B29" s="3" t="s">
        <v>21</v>
      </c>
      <c r="C29" s="3" t="s">
        <v>15</v>
      </c>
      <c r="D29" s="4">
        <v>1.1304759095187286E-2</v>
      </c>
      <c r="E29" s="3" t="s">
        <v>7</v>
      </c>
      <c r="G29" s="3" t="s">
        <v>22</v>
      </c>
      <c r="H29" s="3" t="s">
        <v>15</v>
      </c>
      <c r="I29" s="5">
        <v>6.4257177204140883E-2</v>
      </c>
      <c r="J29" s="3" t="s">
        <v>7</v>
      </c>
      <c r="L29" s="3" t="s">
        <v>23</v>
      </c>
      <c r="M29" s="3" t="s">
        <v>15</v>
      </c>
      <c r="N29" s="5">
        <v>6.93140666519661E-2</v>
      </c>
      <c r="O29" s="3" t="s">
        <v>7</v>
      </c>
    </row>
    <row r="30" spans="2:15" x14ac:dyDescent="0.45">
      <c r="B30" s="6" t="s">
        <v>21</v>
      </c>
      <c r="C30" s="6" t="s">
        <v>16</v>
      </c>
      <c r="D30" s="7">
        <v>0.35106178198824983</v>
      </c>
      <c r="E30" s="6" t="s">
        <v>7</v>
      </c>
      <c r="G30" s="6" t="s">
        <v>22</v>
      </c>
      <c r="H30" s="6" t="s">
        <v>16</v>
      </c>
      <c r="I30" s="8">
        <v>7.7496402170552883E-2</v>
      </c>
      <c r="J30" s="6" t="s">
        <v>7</v>
      </c>
      <c r="L30" s="6" t="s">
        <v>23</v>
      </c>
      <c r="M30" s="6" t="s">
        <v>16</v>
      </c>
      <c r="N30" s="8">
        <v>8.5432100218121532E-2</v>
      </c>
      <c r="O30" s="6" t="s">
        <v>7</v>
      </c>
    </row>
    <row r="31" spans="2:15" x14ac:dyDescent="0.45">
      <c r="B31" s="3" t="s">
        <v>21</v>
      </c>
      <c r="C31" s="3" t="s">
        <v>17</v>
      </c>
      <c r="D31" s="4">
        <v>1.3359726096495068E-2</v>
      </c>
      <c r="E31" s="3" t="s">
        <v>7</v>
      </c>
      <c r="G31" s="3" t="s">
        <v>22</v>
      </c>
      <c r="H31" s="3" t="s">
        <v>17</v>
      </c>
      <c r="I31" s="5">
        <v>5.0948568226491756E-2</v>
      </c>
      <c r="J31" s="3" t="s">
        <v>7</v>
      </c>
      <c r="L31" s="3" t="s">
        <v>23</v>
      </c>
      <c r="M31" s="3" t="s">
        <v>17</v>
      </c>
      <c r="N31" s="5">
        <v>6.1282407289300844E-2</v>
      </c>
      <c r="O31" s="3" t="s">
        <v>7</v>
      </c>
    </row>
    <row r="32" spans="2:15" x14ac:dyDescent="0.45">
      <c r="B32" s="6" t="s">
        <v>21</v>
      </c>
      <c r="C32" s="6" t="s">
        <v>18</v>
      </c>
      <c r="D32" s="7">
        <v>1.3496582892357329E-3</v>
      </c>
      <c r="E32" s="6" t="s">
        <v>7</v>
      </c>
      <c r="G32" s="6" t="s">
        <v>22</v>
      </c>
      <c r="H32" s="6" t="s">
        <v>18</v>
      </c>
      <c r="I32" s="8">
        <v>8.6038191210816045E-2</v>
      </c>
      <c r="J32" s="6" t="s">
        <v>7</v>
      </c>
      <c r="L32" s="6" t="s">
        <v>23</v>
      </c>
      <c r="M32" s="6" t="s">
        <v>18</v>
      </c>
      <c r="N32" s="8">
        <v>8.1116459135076008E-2</v>
      </c>
      <c r="O32" s="6" t="s">
        <v>7</v>
      </c>
    </row>
    <row r="33" spans="2:15" x14ac:dyDescent="0.45">
      <c r="B33" s="3" t="s">
        <v>21</v>
      </c>
      <c r="C33" s="3" t="s">
        <v>19</v>
      </c>
      <c r="D33" s="4">
        <v>0.18972934408067454</v>
      </c>
      <c r="E33" s="3" t="s">
        <v>7</v>
      </c>
      <c r="G33" s="3" t="s">
        <v>22</v>
      </c>
      <c r="H33" s="3" t="s">
        <v>19</v>
      </c>
      <c r="I33" s="5">
        <v>0.10544820874981617</v>
      </c>
      <c r="J33" s="3" t="s">
        <v>7</v>
      </c>
      <c r="L33" s="3" t="s">
        <v>23</v>
      </c>
      <c r="M33" s="3" t="s">
        <v>19</v>
      </c>
      <c r="N33" s="5">
        <v>0.10730685453532857</v>
      </c>
      <c r="O33" s="3" t="s">
        <v>7</v>
      </c>
    </row>
    <row r="34" spans="2:15" x14ac:dyDescent="0.45">
      <c r="B34" s="6" t="s">
        <v>21</v>
      </c>
      <c r="C34" s="6" t="s">
        <v>20</v>
      </c>
      <c r="D34" s="7">
        <v>7.8176455093417578E-4</v>
      </c>
      <c r="E34" s="6" t="s">
        <v>7</v>
      </c>
      <c r="G34" s="6" t="s">
        <v>22</v>
      </c>
      <c r="H34" s="6" t="s">
        <v>20</v>
      </c>
      <c r="I34" s="8">
        <v>6.8102716838530045E-2</v>
      </c>
      <c r="J34" s="6" t="s">
        <v>7</v>
      </c>
      <c r="L34" s="6" t="s">
        <v>23</v>
      </c>
      <c r="M34" s="6" t="s">
        <v>20</v>
      </c>
      <c r="N34" s="8">
        <v>6.8210924516976246E-2</v>
      </c>
      <c r="O34" s="6" t="s">
        <v>7</v>
      </c>
    </row>
    <row r="35" spans="2:15" x14ac:dyDescent="0.45">
      <c r="B35" s="3" t="s">
        <v>24</v>
      </c>
      <c r="C35" s="3" t="s">
        <v>6</v>
      </c>
      <c r="D35" s="4">
        <v>0</v>
      </c>
      <c r="E35" s="3" t="s">
        <v>7</v>
      </c>
      <c r="G35" s="3" t="s">
        <v>25</v>
      </c>
      <c r="H35" s="3" t="s">
        <v>6</v>
      </c>
      <c r="I35" s="5">
        <v>0.11571878672639092</v>
      </c>
      <c r="J35" s="3" t="s">
        <v>7</v>
      </c>
      <c r="L35" s="3" t="s">
        <v>26</v>
      </c>
      <c r="M35" s="3" t="s">
        <v>6</v>
      </c>
      <c r="N35" s="5">
        <v>0.10315507984459391</v>
      </c>
      <c r="O35" s="3" t="s">
        <v>7</v>
      </c>
    </row>
    <row r="36" spans="2:15" x14ac:dyDescent="0.45">
      <c r="B36" s="6" t="s">
        <v>24</v>
      </c>
      <c r="C36" s="6" t="s">
        <v>10</v>
      </c>
      <c r="D36" s="7">
        <v>0.11477384798893586</v>
      </c>
      <c r="E36" s="6" t="s">
        <v>7</v>
      </c>
      <c r="G36" s="6" t="s">
        <v>25</v>
      </c>
      <c r="H36" s="6" t="s">
        <v>10</v>
      </c>
      <c r="I36" s="8">
        <v>0.13836994015056023</v>
      </c>
      <c r="J36" s="6" t="s">
        <v>7</v>
      </c>
      <c r="L36" s="6" t="s">
        <v>26</v>
      </c>
      <c r="M36" s="6" t="s">
        <v>10</v>
      </c>
      <c r="N36" s="8">
        <v>0.12844976958577231</v>
      </c>
      <c r="O36" s="6" t="s">
        <v>7</v>
      </c>
    </row>
    <row r="37" spans="2:15" x14ac:dyDescent="0.45">
      <c r="B37" s="3" t="s">
        <v>24</v>
      </c>
      <c r="C37" s="3" t="s">
        <v>11</v>
      </c>
      <c r="D37" s="4">
        <v>0</v>
      </c>
      <c r="E37" s="3" t="s">
        <v>7</v>
      </c>
      <c r="G37" s="3" t="s">
        <v>25</v>
      </c>
      <c r="H37" s="3" t="s">
        <v>11</v>
      </c>
      <c r="I37" s="5">
        <v>8.5068979650890719E-2</v>
      </c>
      <c r="J37" s="3" t="s">
        <v>7</v>
      </c>
      <c r="L37" s="3" t="s">
        <v>26</v>
      </c>
      <c r="M37" s="3" t="s">
        <v>11</v>
      </c>
      <c r="N37" s="5">
        <v>7.7792571362890681E-2</v>
      </c>
      <c r="O37" s="3" t="s">
        <v>7</v>
      </c>
    </row>
    <row r="38" spans="2:15" x14ac:dyDescent="0.45">
      <c r="B38" s="6" t="s">
        <v>24</v>
      </c>
      <c r="C38" s="6" t="s">
        <v>12</v>
      </c>
      <c r="D38" s="7">
        <v>7.0109578119855777E-3</v>
      </c>
      <c r="E38" s="6" t="s">
        <v>7</v>
      </c>
      <c r="G38" s="6" t="s">
        <v>25</v>
      </c>
      <c r="H38" s="6" t="s">
        <v>12</v>
      </c>
      <c r="I38" s="8">
        <v>8.2055590978451901E-2</v>
      </c>
      <c r="J38" s="6" t="s">
        <v>7</v>
      </c>
      <c r="L38" s="6" t="s">
        <v>26</v>
      </c>
      <c r="M38" s="6" t="s">
        <v>12</v>
      </c>
      <c r="N38" s="8">
        <v>8.5332876920237888E-2</v>
      </c>
      <c r="O38" s="6" t="s">
        <v>7</v>
      </c>
    </row>
    <row r="39" spans="2:15" x14ac:dyDescent="0.45">
      <c r="B39" s="3" t="s">
        <v>24</v>
      </c>
      <c r="C39" s="3" t="s">
        <v>13</v>
      </c>
      <c r="D39" s="4">
        <v>0.32043818223105802</v>
      </c>
      <c r="E39" s="3" t="s">
        <v>7</v>
      </c>
      <c r="G39" s="3" t="s">
        <v>25</v>
      </c>
      <c r="H39" s="3" t="s">
        <v>13</v>
      </c>
      <c r="I39" s="5">
        <v>0.11206037714837465</v>
      </c>
      <c r="J39" s="3" t="s">
        <v>7</v>
      </c>
      <c r="L39" s="3" t="s">
        <v>26</v>
      </c>
      <c r="M39" s="3" t="s">
        <v>13</v>
      </c>
      <c r="N39" s="5">
        <v>0.10579344562958955</v>
      </c>
      <c r="O39" s="3" t="s">
        <v>7</v>
      </c>
    </row>
    <row r="40" spans="2:15" x14ac:dyDescent="0.45">
      <c r="B40" s="6" t="s">
        <v>24</v>
      </c>
      <c r="C40" s="6" t="s">
        <v>14</v>
      </c>
      <c r="D40" s="7">
        <v>1.0138947536494079E-2</v>
      </c>
      <c r="E40" s="6" t="s">
        <v>7</v>
      </c>
      <c r="G40" s="6" t="s">
        <v>25</v>
      </c>
      <c r="H40" s="6" t="s">
        <v>14</v>
      </c>
      <c r="I40" s="8">
        <v>6.1414507145209171E-2</v>
      </c>
      <c r="J40" s="6" t="s">
        <v>7</v>
      </c>
      <c r="L40" s="6" t="s">
        <v>26</v>
      </c>
      <c r="M40" s="6" t="s">
        <v>14</v>
      </c>
      <c r="N40" s="8">
        <v>6.4781357081005408E-2</v>
      </c>
      <c r="O40" s="6" t="s">
        <v>7</v>
      </c>
    </row>
    <row r="41" spans="2:15" x14ac:dyDescent="0.45">
      <c r="B41" s="3" t="s">
        <v>24</v>
      </c>
      <c r="C41" s="3" t="s">
        <v>15</v>
      </c>
      <c r="D41" s="4">
        <v>1.1791644313090597E-2</v>
      </c>
      <c r="E41" s="3" t="s">
        <v>7</v>
      </c>
      <c r="G41" s="3" t="s">
        <v>25</v>
      </c>
      <c r="H41" s="3" t="s">
        <v>15</v>
      </c>
      <c r="I41" s="5">
        <v>3.5150042369921836E-2</v>
      </c>
      <c r="J41" s="3" t="s">
        <v>7</v>
      </c>
      <c r="L41" s="3" t="s">
        <v>26</v>
      </c>
      <c r="M41" s="3" t="s">
        <v>15</v>
      </c>
      <c r="N41" s="5">
        <v>4.6583163341379866E-2</v>
      </c>
      <c r="O41" s="3" t="s">
        <v>7</v>
      </c>
    </row>
    <row r="42" spans="2:15" x14ac:dyDescent="0.45">
      <c r="B42" s="6" t="s">
        <v>24</v>
      </c>
      <c r="C42" s="6" t="s">
        <v>16</v>
      </c>
      <c r="D42" s="7">
        <v>0.33862548656455815</v>
      </c>
      <c r="E42" s="6" t="s">
        <v>7</v>
      </c>
      <c r="G42" s="6" t="s">
        <v>25</v>
      </c>
      <c r="H42" s="6" t="s">
        <v>16</v>
      </c>
      <c r="I42" s="8">
        <v>5.95112037052523E-2</v>
      </c>
      <c r="J42" s="6" t="s">
        <v>7</v>
      </c>
      <c r="L42" s="6" t="s">
        <v>26</v>
      </c>
      <c r="M42" s="6" t="s">
        <v>16</v>
      </c>
      <c r="N42" s="8">
        <v>5.8438623846881504E-2</v>
      </c>
      <c r="O42" s="6" t="s">
        <v>7</v>
      </c>
    </row>
    <row r="43" spans="2:15" x14ac:dyDescent="0.45">
      <c r="B43" s="3" t="s">
        <v>24</v>
      </c>
      <c r="C43" s="3" t="s">
        <v>17</v>
      </c>
      <c r="D43" s="4">
        <v>1.8738880329909599E-2</v>
      </c>
      <c r="E43" s="3" t="s">
        <v>7</v>
      </c>
      <c r="G43" s="3" t="s">
        <v>25</v>
      </c>
      <c r="H43" s="3" t="s">
        <v>17</v>
      </c>
      <c r="I43" s="5">
        <v>3.0514770240785825E-2</v>
      </c>
      <c r="J43" s="3" t="s">
        <v>7</v>
      </c>
      <c r="L43" s="3" t="s">
        <v>26</v>
      </c>
      <c r="M43" s="3" t="s">
        <v>17</v>
      </c>
      <c r="N43" s="5">
        <v>4.2810857064912118E-2</v>
      </c>
      <c r="O43" s="3" t="s">
        <v>7</v>
      </c>
    </row>
    <row r="44" spans="2:15" x14ac:dyDescent="0.45">
      <c r="B44" s="6" t="s">
        <v>24</v>
      </c>
      <c r="C44" s="6" t="s">
        <v>18</v>
      </c>
      <c r="D44" s="7">
        <v>6.9084425952591587E-4</v>
      </c>
      <c r="E44" s="6" t="s">
        <v>7</v>
      </c>
      <c r="G44" s="6" t="s">
        <v>25</v>
      </c>
      <c r="H44" s="6" t="s">
        <v>18</v>
      </c>
      <c r="I44" s="8">
        <v>9.1605577759233781E-2</v>
      </c>
      <c r="J44" s="6" t="s">
        <v>7</v>
      </c>
      <c r="L44" s="6" t="s">
        <v>26</v>
      </c>
      <c r="M44" s="6" t="s">
        <v>18</v>
      </c>
      <c r="N44" s="8">
        <v>9.5477719325601215E-2</v>
      </c>
      <c r="O44" s="6" t="s">
        <v>7</v>
      </c>
    </row>
    <row r="45" spans="2:15" x14ac:dyDescent="0.45">
      <c r="B45" s="3" t="s">
        <v>24</v>
      </c>
      <c r="C45" s="3" t="s">
        <v>19</v>
      </c>
      <c r="D45" s="4">
        <v>0.17661656413854543</v>
      </c>
      <c r="E45" s="3" t="s">
        <v>7</v>
      </c>
      <c r="G45" s="3" t="s">
        <v>25</v>
      </c>
      <c r="H45" s="3" t="s">
        <v>19</v>
      </c>
      <c r="I45" s="5">
        <v>0.11869416457277604</v>
      </c>
      <c r="J45" s="3" t="s">
        <v>7</v>
      </c>
      <c r="L45" s="3" t="s">
        <v>26</v>
      </c>
      <c r="M45" s="3" t="s">
        <v>19</v>
      </c>
      <c r="N45" s="5">
        <v>0.11715224900587856</v>
      </c>
      <c r="O45" s="3" t="s">
        <v>7</v>
      </c>
    </row>
    <row r="46" spans="2:15" x14ac:dyDescent="0.45">
      <c r="B46" s="6" t="s">
        <v>24</v>
      </c>
      <c r="C46" s="6" t="s">
        <v>20</v>
      </c>
      <c r="D46" s="7">
        <v>1.1746448258967695E-3</v>
      </c>
      <c r="E46" s="6" t="s">
        <v>7</v>
      </c>
      <c r="G46" s="6" t="s">
        <v>25</v>
      </c>
      <c r="H46" s="6" t="s">
        <v>20</v>
      </c>
      <c r="I46" s="8">
        <v>6.9836059552152593E-2</v>
      </c>
      <c r="J46" s="6" t="s">
        <v>7</v>
      </c>
      <c r="L46" s="6" t="s">
        <v>26</v>
      </c>
      <c r="M46" s="6" t="s">
        <v>20</v>
      </c>
      <c r="N46" s="8">
        <v>7.4232286991257099E-2</v>
      </c>
      <c r="O46" s="6" t="s">
        <v>7</v>
      </c>
    </row>
    <row r="47" spans="2:15" x14ac:dyDescent="0.45">
      <c r="B47" s="3" t="s">
        <v>27</v>
      </c>
      <c r="C47" s="3" t="s">
        <v>6</v>
      </c>
      <c r="D47" s="4">
        <v>0</v>
      </c>
      <c r="E47" s="3" t="s">
        <v>7</v>
      </c>
      <c r="G47" s="3" t="s">
        <v>28</v>
      </c>
      <c r="H47" s="3" t="s">
        <v>6</v>
      </c>
      <c r="I47" s="5">
        <v>0.10376941543968428</v>
      </c>
      <c r="J47" s="3" t="s">
        <v>7</v>
      </c>
      <c r="L47" s="3" t="s">
        <v>29</v>
      </c>
      <c r="M47" s="3" t="s">
        <v>6</v>
      </c>
      <c r="N47" s="5">
        <v>0.10089702020917643</v>
      </c>
      <c r="O47" s="3" t="s">
        <v>7</v>
      </c>
    </row>
    <row r="48" spans="2:15" x14ac:dyDescent="0.45">
      <c r="B48" s="6" t="s">
        <v>27</v>
      </c>
      <c r="C48" s="6" t="s">
        <v>10</v>
      </c>
      <c r="D48" s="7">
        <v>0.10369723169135439</v>
      </c>
      <c r="E48" s="6" t="s">
        <v>7</v>
      </c>
      <c r="G48" s="6" t="s">
        <v>28</v>
      </c>
      <c r="H48" s="6" t="s">
        <v>10</v>
      </c>
      <c r="I48" s="8">
        <v>0.12362795669622954</v>
      </c>
      <c r="J48" s="6" t="s">
        <v>7</v>
      </c>
      <c r="L48" s="6" t="s">
        <v>29</v>
      </c>
      <c r="M48" s="6" t="s">
        <v>10</v>
      </c>
      <c r="N48" s="8">
        <v>0.12573515540358712</v>
      </c>
      <c r="O48" s="6" t="s">
        <v>7</v>
      </c>
    </row>
    <row r="49" spans="2:15" x14ac:dyDescent="0.45">
      <c r="B49" s="3" t="s">
        <v>27</v>
      </c>
      <c r="C49" s="3" t="s">
        <v>11</v>
      </c>
      <c r="D49" s="4">
        <v>4.4750701473500736E-5</v>
      </c>
      <c r="E49" s="3" t="s">
        <v>7</v>
      </c>
      <c r="G49" s="3" t="s">
        <v>28</v>
      </c>
      <c r="H49" s="3" t="s">
        <v>11</v>
      </c>
      <c r="I49" s="5">
        <v>7.7717383823788566E-2</v>
      </c>
      <c r="J49" s="3" t="s">
        <v>7</v>
      </c>
      <c r="L49" s="3" t="s">
        <v>29</v>
      </c>
      <c r="M49" s="3" t="s">
        <v>11</v>
      </c>
      <c r="N49" s="5">
        <v>7.3347616441359453E-2</v>
      </c>
      <c r="O49" s="3" t="s">
        <v>7</v>
      </c>
    </row>
    <row r="50" spans="2:15" x14ac:dyDescent="0.45">
      <c r="B50" s="6" t="s">
        <v>27</v>
      </c>
      <c r="C50" s="6" t="s">
        <v>12</v>
      </c>
      <c r="D50" s="7">
        <v>6.1004918315757046E-3</v>
      </c>
      <c r="E50" s="6" t="s">
        <v>7</v>
      </c>
      <c r="G50" s="6" t="s">
        <v>28</v>
      </c>
      <c r="H50" s="6" t="s">
        <v>12</v>
      </c>
      <c r="I50" s="8">
        <v>7.4054060700093446E-2</v>
      </c>
      <c r="J50" s="6" t="s">
        <v>7</v>
      </c>
      <c r="L50" s="6" t="s">
        <v>29</v>
      </c>
      <c r="M50" s="6" t="s">
        <v>12</v>
      </c>
      <c r="N50" s="8">
        <v>8.6254967188526474E-2</v>
      </c>
      <c r="O50" s="6" t="s">
        <v>7</v>
      </c>
    </row>
    <row r="51" spans="2:15" x14ac:dyDescent="0.45">
      <c r="B51" s="3" t="s">
        <v>27</v>
      </c>
      <c r="C51" s="3" t="s">
        <v>13</v>
      </c>
      <c r="D51" s="4">
        <v>0.35085756007241026</v>
      </c>
      <c r="E51" s="3" t="s">
        <v>7</v>
      </c>
      <c r="G51" s="3" t="s">
        <v>28</v>
      </c>
      <c r="H51" s="3" t="s">
        <v>13</v>
      </c>
      <c r="I51" s="5">
        <v>0.10051786430214273</v>
      </c>
      <c r="J51" s="3" t="s">
        <v>7</v>
      </c>
      <c r="L51" s="3" t="s">
        <v>29</v>
      </c>
      <c r="M51" s="3" t="s">
        <v>13</v>
      </c>
      <c r="N51" s="5">
        <v>0.10231832844054424</v>
      </c>
      <c r="O51" s="3" t="s">
        <v>7</v>
      </c>
    </row>
    <row r="52" spans="2:15" x14ac:dyDescent="0.45">
      <c r="B52" s="6" t="s">
        <v>27</v>
      </c>
      <c r="C52" s="6" t="s">
        <v>14</v>
      </c>
      <c r="D52" s="7">
        <v>1.2705172831694811E-2</v>
      </c>
      <c r="E52" s="6" t="s">
        <v>7</v>
      </c>
      <c r="G52" s="6" t="s">
        <v>28</v>
      </c>
      <c r="H52" s="6" t="s">
        <v>14</v>
      </c>
      <c r="I52" s="8">
        <v>6.1896922602514629E-2</v>
      </c>
      <c r="J52" s="6" t="s">
        <v>7</v>
      </c>
      <c r="L52" s="6" t="s">
        <v>29</v>
      </c>
      <c r="M52" s="6" t="s">
        <v>14</v>
      </c>
      <c r="N52" s="8">
        <v>6.3821111487020118E-2</v>
      </c>
      <c r="O52" s="6" t="s">
        <v>7</v>
      </c>
    </row>
    <row r="53" spans="2:15" x14ac:dyDescent="0.45">
      <c r="B53" s="3" t="s">
        <v>27</v>
      </c>
      <c r="C53" s="3" t="s">
        <v>15</v>
      </c>
      <c r="D53" s="4">
        <v>1.0446098255348268E-2</v>
      </c>
      <c r="E53" s="3" t="s">
        <v>7</v>
      </c>
      <c r="G53" s="3" t="s">
        <v>28</v>
      </c>
      <c r="H53" s="3" t="s">
        <v>15</v>
      </c>
      <c r="I53" s="5">
        <v>5.7806769779025192E-2</v>
      </c>
      <c r="J53" s="3" t="s">
        <v>7</v>
      </c>
      <c r="L53" s="3" t="s">
        <v>29</v>
      </c>
      <c r="M53" s="3" t="s">
        <v>15</v>
      </c>
      <c r="N53" s="5">
        <v>5.3469150701508532E-2</v>
      </c>
      <c r="O53" s="3" t="s">
        <v>7</v>
      </c>
    </row>
    <row r="54" spans="2:15" x14ac:dyDescent="0.45">
      <c r="B54" s="6" t="s">
        <v>27</v>
      </c>
      <c r="C54" s="6" t="s">
        <v>16</v>
      </c>
      <c r="D54" s="7">
        <v>0.33364030496388453</v>
      </c>
      <c r="E54" s="6" t="s">
        <v>7</v>
      </c>
      <c r="G54" s="6" t="s">
        <v>28</v>
      </c>
      <c r="H54" s="6" t="s">
        <v>16</v>
      </c>
      <c r="I54" s="8">
        <v>8.1293731585840023E-2</v>
      </c>
      <c r="J54" s="6" t="s">
        <v>7</v>
      </c>
      <c r="L54" s="6" t="s">
        <v>29</v>
      </c>
      <c r="M54" s="6" t="s">
        <v>16</v>
      </c>
      <c r="N54" s="8">
        <v>6.5868152511335223E-2</v>
      </c>
      <c r="O54" s="6" t="s">
        <v>7</v>
      </c>
    </row>
    <row r="55" spans="2:15" x14ac:dyDescent="0.45">
      <c r="B55" s="3" t="s">
        <v>27</v>
      </c>
      <c r="C55" s="3" t="s">
        <v>17</v>
      </c>
      <c r="D55" s="4">
        <v>2.1078450762432185E-2</v>
      </c>
      <c r="E55" s="3" t="s">
        <v>7</v>
      </c>
      <c r="G55" s="3" t="s">
        <v>28</v>
      </c>
      <c r="H55" s="3" t="s">
        <v>17</v>
      </c>
      <c r="I55" s="5">
        <v>4.3506614628057952E-2</v>
      </c>
      <c r="J55" s="3" t="s">
        <v>7</v>
      </c>
      <c r="L55" s="3" t="s">
        <v>29</v>
      </c>
      <c r="M55" s="3" t="s">
        <v>17</v>
      </c>
      <c r="N55" s="5">
        <v>4.1819638965657567E-2</v>
      </c>
      <c r="O55" s="3" t="s">
        <v>7</v>
      </c>
    </row>
    <row r="56" spans="2:15" x14ac:dyDescent="0.45">
      <c r="B56" s="6" t="s">
        <v>27</v>
      </c>
      <c r="C56" s="6" t="s">
        <v>18</v>
      </c>
      <c r="D56" s="7">
        <v>3.8375567938157281E-4</v>
      </c>
      <c r="E56" s="6" t="s">
        <v>7</v>
      </c>
      <c r="G56" s="6" t="s">
        <v>28</v>
      </c>
      <c r="H56" s="6" t="s">
        <v>18</v>
      </c>
      <c r="I56" s="8">
        <v>9.0103325648254989E-2</v>
      </c>
      <c r="J56" s="6" t="s">
        <v>7</v>
      </c>
      <c r="L56" s="6" t="s">
        <v>29</v>
      </c>
      <c r="M56" s="6" t="s">
        <v>18</v>
      </c>
      <c r="N56" s="8">
        <v>9.5574096865028907E-2</v>
      </c>
      <c r="O56" s="6" t="s">
        <v>7</v>
      </c>
    </row>
    <row r="57" spans="2:15" x14ac:dyDescent="0.45">
      <c r="B57" s="3" t="s">
        <v>27</v>
      </c>
      <c r="C57" s="3" t="s">
        <v>19</v>
      </c>
      <c r="D57" s="4">
        <v>0.15970011638962925</v>
      </c>
      <c r="E57" s="3" t="s">
        <v>7</v>
      </c>
      <c r="G57" s="3" t="s">
        <v>28</v>
      </c>
      <c r="H57" s="3" t="s">
        <v>19</v>
      </c>
      <c r="I57" s="5">
        <v>0.11552552215738494</v>
      </c>
      <c r="J57" s="3" t="s">
        <v>7</v>
      </c>
      <c r="L57" s="3" t="s">
        <v>29</v>
      </c>
      <c r="M57" s="3" t="s">
        <v>19</v>
      </c>
      <c r="N57" s="5">
        <v>0.11703956112941244</v>
      </c>
      <c r="O57" s="3" t="s">
        <v>7</v>
      </c>
    </row>
    <row r="58" spans="2:15" x14ac:dyDescent="0.45">
      <c r="B58" s="6" t="s">
        <v>27</v>
      </c>
      <c r="C58" s="6" t="s">
        <v>20</v>
      </c>
      <c r="D58" s="7">
        <v>1.3460668208156437E-3</v>
      </c>
      <c r="E58" s="6" t="s">
        <v>7</v>
      </c>
      <c r="G58" s="6" t="s">
        <v>28</v>
      </c>
      <c r="H58" s="6" t="s">
        <v>20</v>
      </c>
      <c r="I58" s="8">
        <v>7.0180432636983703E-2</v>
      </c>
      <c r="J58" s="6" t="s">
        <v>7</v>
      </c>
      <c r="L58" s="6" t="s">
        <v>29</v>
      </c>
      <c r="M58" s="6" t="s">
        <v>20</v>
      </c>
      <c r="N58" s="8">
        <v>7.3855200656843395E-2</v>
      </c>
      <c r="O58" s="6" t="s">
        <v>7</v>
      </c>
    </row>
    <row r="59" spans="2:15" x14ac:dyDescent="0.45">
      <c r="B59" s="3" t="s">
        <v>30</v>
      </c>
      <c r="C59" s="3" t="s">
        <v>6</v>
      </c>
      <c r="D59" s="4">
        <v>0</v>
      </c>
      <c r="E59" s="3" t="s">
        <v>7</v>
      </c>
      <c r="G59" s="3" t="s">
        <v>31</v>
      </c>
      <c r="H59" s="3" t="s">
        <v>6</v>
      </c>
      <c r="I59" s="5">
        <v>0.10669342730625238</v>
      </c>
      <c r="J59" s="3" t="s">
        <v>7</v>
      </c>
      <c r="L59" s="3" t="s">
        <v>32</v>
      </c>
      <c r="M59" s="3" t="s">
        <v>6</v>
      </c>
      <c r="N59" s="5">
        <v>0.10092781403512227</v>
      </c>
      <c r="O59" s="3" t="s">
        <v>7</v>
      </c>
    </row>
    <row r="60" spans="2:15" x14ac:dyDescent="0.45">
      <c r="B60" s="6" t="s">
        <v>30</v>
      </c>
      <c r="C60" s="6" t="s">
        <v>10</v>
      </c>
      <c r="D60" s="7">
        <v>0.11352745092911623</v>
      </c>
      <c r="E60" s="6" t="s">
        <v>7</v>
      </c>
      <c r="G60" s="6" t="s">
        <v>31</v>
      </c>
      <c r="H60" s="6" t="s">
        <v>10</v>
      </c>
      <c r="I60" s="8">
        <v>0.12998328505878998</v>
      </c>
      <c r="J60" s="6" t="s">
        <v>7</v>
      </c>
      <c r="L60" s="6" t="s">
        <v>32</v>
      </c>
      <c r="M60" s="6" t="s">
        <v>10</v>
      </c>
      <c r="N60" s="8">
        <v>0.12330977805348629</v>
      </c>
      <c r="O60" s="6" t="s">
        <v>7</v>
      </c>
    </row>
    <row r="61" spans="2:15" x14ac:dyDescent="0.45">
      <c r="B61" s="3" t="s">
        <v>30</v>
      </c>
      <c r="C61" s="3" t="s">
        <v>11</v>
      </c>
      <c r="D61" s="4">
        <v>3.3049937566689705E-4</v>
      </c>
      <c r="E61" s="3" t="s">
        <v>7</v>
      </c>
      <c r="G61" s="3" t="s">
        <v>31</v>
      </c>
      <c r="H61" s="3" t="s">
        <v>11</v>
      </c>
      <c r="I61" s="5">
        <v>8.0467126839006461E-2</v>
      </c>
      <c r="J61" s="3" t="s">
        <v>7</v>
      </c>
      <c r="L61" s="3" t="s">
        <v>32</v>
      </c>
      <c r="M61" s="3" t="s">
        <v>11</v>
      </c>
      <c r="N61" s="5">
        <v>7.5650065353698837E-2</v>
      </c>
      <c r="O61" s="3" t="s">
        <v>7</v>
      </c>
    </row>
    <row r="62" spans="2:15" x14ac:dyDescent="0.45">
      <c r="B62" s="6" t="s">
        <v>30</v>
      </c>
      <c r="C62" s="6" t="s">
        <v>12</v>
      </c>
      <c r="D62" s="7">
        <v>3.9760519223615313E-3</v>
      </c>
      <c r="E62" s="6" t="s">
        <v>7</v>
      </c>
      <c r="G62" s="6" t="s">
        <v>31</v>
      </c>
      <c r="H62" s="6" t="s">
        <v>12</v>
      </c>
      <c r="I62" s="8">
        <v>9.1018194809404845E-2</v>
      </c>
      <c r="J62" s="6" t="s">
        <v>7</v>
      </c>
      <c r="L62" s="6" t="s">
        <v>32</v>
      </c>
      <c r="M62" s="6" t="s">
        <v>12</v>
      </c>
      <c r="N62" s="8">
        <v>7.8255293349962701E-2</v>
      </c>
      <c r="O62" s="6" t="s">
        <v>7</v>
      </c>
    </row>
    <row r="63" spans="2:15" x14ac:dyDescent="0.45">
      <c r="B63" s="3" t="s">
        <v>30</v>
      </c>
      <c r="C63" s="3" t="s">
        <v>13</v>
      </c>
      <c r="D63" s="4">
        <v>0.31567107607253919</v>
      </c>
      <c r="E63" s="3" t="s">
        <v>7</v>
      </c>
      <c r="G63" s="3" t="s">
        <v>31</v>
      </c>
      <c r="H63" s="3" t="s">
        <v>13</v>
      </c>
      <c r="I63" s="5">
        <v>0.11372169382426854</v>
      </c>
      <c r="J63" s="3" t="s">
        <v>7</v>
      </c>
      <c r="L63" s="3" t="s">
        <v>32</v>
      </c>
      <c r="M63" s="3" t="s">
        <v>13</v>
      </c>
      <c r="N63" s="5">
        <v>9.5078222397335196E-2</v>
      </c>
      <c r="O63" s="3" t="s">
        <v>7</v>
      </c>
    </row>
    <row r="64" spans="2:15" x14ac:dyDescent="0.45">
      <c r="B64" s="6" t="s">
        <v>30</v>
      </c>
      <c r="C64" s="6" t="s">
        <v>14</v>
      </c>
      <c r="D64" s="7">
        <v>1.3214424058049941E-2</v>
      </c>
      <c r="E64" s="6" t="s">
        <v>7</v>
      </c>
      <c r="G64" s="6" t="s">
        <v>31</v>
      </c>
      <c r="H64" s="6" t="s">
        <v>14</v>
      </c>
      <c r="I64" s="8">
        <v>6.8039294307448164E-2</v>
      </c>
      <c r="J64" s="6" t="s">
        <v>7</v>
      </c>
      <c r="L64" s="6" t="s">
        <v>32</v>
      </c>
      <c r="M64" s="6" t="s">
        <v>14</v>
      </c>
      <c r="N64" s="8">
        <v>6.2902563903921904E-2</v>
      </c>
      <c r="O64" s="6" t="s">
        <v>7</v>
      </c>
    </row>
    <row r="65" spans="2:15" x14ac:dyDescent="0.45">
      <c r="B65" s="3" t="s">
        <v>30</v>
      </c>
      <c r="C65" s="3" t="s">
        <v>15</v>
      </c>
      <c r="D65" s="4">
        <v>7.6601614768789118E-3</v>
      </c>
      <c r="E65" s="3" t="s">
        <v>7</v>
      </c>
      <c r="G65" s="3" t="s">
        <v>31</v>
      </c>
      <c r="H65" s="3" t="s">
        <v>15</v>
      </c>
      <c r="I65" s="5">
        <v>4.9955355354940355E-2</v>
      </c>
      <c r="J65" s="3" t="s">
        <v>7</v>
      </c>
      <c r="L65" s="3" t="s">
        <v>32</v>
      </c>
      <c r="M65" s="3" t="s">
        <v>15</v>
      </c>
      <c r="N65" s="5">
        <v>6.0618880967828505E-2</v>
      </c>
      <c r="O65" s="3" t="s">
        <v>7</v>
      </c>
    </row>
    <row r="66" spans="2:15" x14ac:dyDescent="0.45">
      <c r="B66" s="6" t="s">
        <v>30</v>
      </c>
      <c r="C66" s="6" t="s">
        <v>16</v>
      </c>
      <c r="D66" s="7">
        <v>0.33818095759391997</v>
      </c>
      <c r="E66" s="6" t="s">
        <v>7</v>
      </c>
      <c r="G66" s="6" t="s">
        <v>31</v>
      </c>
      <c r="H66" s="6" t="s">
        <v>16</v>
      </c>
      <c r="I66" s="8">
        <v>6.231978191921405E-2</v>
      </c>
      <c r="J66" s="6" t="s">
        <v>7</v>
      </c>
      <c r="L66" s="6" t="s">
        <v>32</v>
      </c>
      <c r="M66" s="6" t="s">
        <v>16</v>
      </c>
      <c r="N66" s="8">
        <v>7.7023167361981545E-2</v>
      </c>
      <c r="O66" s="6" t="s">
        <v>7</v>
      </c>
    </row>
    <row r="67" spans="2:15" x14ac:dyDescent="0.45">
      <c r="B67" s="3" t="s">
        <v>30</v>
      </c>
      <c r="C67" s="3" t="s">
        <v>17</v>
      </c>
      <c r="D67" s="4">
        <v>2.1245751967427538E-2</v>
      </c>
      <c r="E67" s="3" t="s">
        <v>7</v>
      </c>
      <c r="G67" s="3" t="s">
        <v>31</v>
      </c>
      <c r="H67" s="3" t="s">
        <v>17</v>
      </c>
      <c r="I67" s="5">
        <v>3.7368338455469226E-2</v>
      </c>
      <c r="J67" s="3" t="s">
        <v>7</v>
      </c>
      <c r="L67" s="3" t="s">
        <v>32</v>
      </c>
      <c r="M67" s="3" t="s">
        <v>17</v>
      </c>
      <c r="N67" s="5">
        <v>4.5052430200574124E-2</v>
      </c>
      <c r="O67" s="3" t="s">
        <v>7</v>
      </c>
    </row>
    <row r="68" spans="2:15" x14ac:dyDescent="0.45">
      <c r="B68" s="6" t="s">
        <v>30</v>
      </c>
      <c r="C68" s="6" t="s">
        <v>18</v>
      </c>
      <c r="D68" s="7">
        <v>2.8605941691524594E-4</v>
      </c>
      <c r="E68" s="6" t="s">
        <v>7</v>
      </c>
      <c r="G68" s="6" t="s">
        <v>31</v>
      </c>
      <c r="H68" s="6" t="s">
        <v>18</v>
      </c>
      <c r="I68" s="8">
        <v>8.6017791278847566E-2</v>
      </c>
      <c r="J68" s="6" t="s">
        <v>7</v>
      </c>
      <c r="L68" s="6" t="s">
        <v>32</v>
      </c>
      <c r="M68" s="6" t="s">
        <v>18</v>
      </c>
      <c r="N68" s="8">
        <v>9.4450097730858176E-2</v>
      </c>
      <c r="O68" s="6" t="s">
        <v>7</v>
      </c>
    </row>
    <row r="69" spans="2:15" x14ac:dyDescent="0.45">
      <c r="B69" s="3" t="s">
        <v>30</v>
      </c>
      <c r="C69" s="3" t="s">
        <v>19</v>
      </c>
      <c r="D69" s="4">
        <v>0.18415094654189243</v>
      </c>
      <c r="E69" s="3" t="s">
        <v>7</v>
      </c>
      <c r="G69" s="3" t="s">
        <v>31</v>
      </c>
      <c r="H69" s="3" t="s">
        <v>19</v>
      </c>
      <c r="I69" s="5">
        <v>0.10897418898374205</v>
      </c>
      <c r="J69" s="3" t="s">
        <v>7</v>
      </c>
      <c r="L69" s="3" t="s">
        <v>32</v>
      </c>
      <c r="M69" s="3" t="s">
        <v>19</v>
      </c>
      <c r="N69" s="5">
        <v>0.11475019065076332</v>
      </c>
      <c r="O69" s="3" t="s">
        <v>7</v>
      </c>
    </row>
    <row r="70" spans="2:15" x14ac:dyDescent="0.45">
      <c r="B70" s="6" t="s">
        <v>30</v>
      </c>
      <c r="C70" s="6" t="s">
        <v>20</v>
      </c>
      <c r="D70" s="7">
        <v>1.7566206452319974E-3</v>
      </c>
      <c r="E70" s="6" t="s">
        <v>7</v>
      </c>
      <c r="G70" s="6" t="s">
        <v>31</v>
      </c>
      <c r="H70" s="6" t="s">
        <v>20</v>
      </c>
      <c r="I70" s="8">
        <v>6.5441521862616467E-2</v>
      </c>
      <c r="J70" s="6" t="s">
        <v>7</v>
      </c>
      <c r="L70" s="6" t="s">
        <v>32</v>
      </c>
      <c r="M70" s="6" t="s">
        <v>20</v>
      </c>
      <c r="N70" s="8">
        <v>7.1981495994467126E-2</v>
      </c>
      <c r="O70" s="6" t="s">
        <v>7</v>
      </c>
    </row>
    <row r="71" spans="2:15" x14ac:dyDescent="0.45">
      <c r="B71" s="3" t="s">
        <v>33</v>
      </c>
      <c r="C71" s="3" t="s">
        <v>6</v>
      </c>
      <c r="D71" s="4">
        <v>0</v>
      </c>
      <c r="E71" s="3" t="s">
        <v>7</v>
      </c>
      <c r="G71" s="3" t="s">
        <v>34</v>
      </c>
      <c r="H71" s="3" t="s">
        <v>6</v>
      </c>
      <c r="I71" s="5">
        <v>0.10541573916210056</v>
      </c>
      <c r="J71" s="3" t="s">
        <v>7</v>
      </c>
      <c r="L71" s="3" t="s">
        <v>35</v>
      </c>
      <c r="M71" s="3" t="s">
        <v>6</v>
      </c>
      <c r="N71" s="5">
        <v>9.7393615236870762E-2</v>
      </c>
      <c r="O71" s="3" t="s">
        <v>7</v>
      </c>
    </row>
    <row r="72" spans="2:15" x14ac:dyDescent="0.45">
      <c r="B72" s="6" t="s">
        <v>33</v>
      </c>
      <c r="C72" s="6" t="s">
        <v>10</v>
      </c>
      <c r="D72" s="7">
        <v>0.11822642361275494</v>
      </c>
      <c r="E72" s="6" t="s">
        <v>7</v>
      </c>
      <c r="G72" s="6" t="s">
        <v>34</v>
      </c>
      <c r="H72" s="6" t="s">
        <v>10</v>
      </c>
      <c r="I72" s="8">
        <v>0.12783354026178012</v>
      </c>
      <c r="J72" s="6" t="s">
        <v>7</v>
      </c>
      <c r="L72" s="6" t="s">
        <v>35</v>
      </c>
      <c r="M72" s="6" t="s">
        <v>10</v>
      </c>
      <c r="N72" s="8">
        <v>0.12309192601733415</v>
      </c>
      <c r="O72" s="6" t="s">
        <v>7</v>
      </c>
    </row>
    <row r="73" spans="2:15" x14ac:dyDescent="0.45">
      <c r="B73" s="3" t="s">
        <v>33</v>
      </c>
      <c r="C73" s="3" t="s">
        <v>11</v>
      </c>
      <c r="D73" s="4">
        <v>2.7361935127922203E-4</v>
      </c>
      <c r="E73" s="3" t="s">
        <v>7</v>
      </c>
      <c r="G73" s="3" t="s">
        <v>34</v>
      </c>
      <c r="H73" s="3" t="s">
        <v>11</v>
      </c>
      <c r="I73" s="5">
        <v>7.9540688537753923E-2</v>
      </c>
      <c r="J73" s="3" t="s">
        <v>7</v>
      </c>
      <c r="L73" s="3" t="s">
        <v>35</v>
      </c>
      <c r="M73" s="3" t="s">
        <v>11</v>
      </c>
      <c r="N73" s="5">
        <v>7.3857278866680531E-2</v>
      </c>
      <c r="O73" s="3" t="s">
        <v>7</v>
      </c>
    </row>
    <row r="74" spans="2:15" x14ac:dyDescent="0.45">
      <c r="B74" s="6" t="s">
        <v>33</v>
      </c>
      <c r="C74" s="6" t="s">
        <v>12</v>
      </c>
      <c r="D74" s="7">
        <v>4.8951264206288344E-3</v>
      </c>
      <c r="E74" s="6" t="s">
        <v>7</v>
      </c>
      <c r="G74" s="6" t="s">
        <v>34</v>
      </c>
      <c r="H74" s="6" t="s">
        <v>12</v>
      </c>
      <c r="I74" s="8">
        <v>8.8761274297979129E-2</v>
      </c>
      <c r="J74" s="6" t="s">
        <v>7</v>
      </c>
      <c r="L74" s="6" t="s">
        <v>35</v>
      </c>
      <c r="M74" s="6" t="s">
        <v>12</v>
      </c>
      <c r="N74" s="8">
        <v>7.7000979421591786E-2</v>
      </c>
      <c r="O74" s="6" t="s">
        <v>7</v>
      </c>
    </row>
    <row r="75" spans="2:15" x14ac:dyDescent="0.45">
      <c r="B75" s="3" t="s">
        <v>33</v>
      </c>
      <c r="C75" s="3" t="s">
        <v>13</v>
      </c>
      <c r="D75" s="4">
        <v>0.31559228495640501</v>
      </c>
      <c r="E75" s="3" t="s">
        <v>7</v>
      </c>
      <c r="G75" s="3" t="s">
        <v>34</v>
      </c>
      <c r="H75" s="3" t="s">
        <v>13</v>
      </c>
      <c r="I75" s="5">
        <v>0.112472029056673</v>
      </c>
      <c r="J75" s="3" t="s">
        <v>7</v>
      </c>
      <c r="L75" s="3" t="s">
        <v>35</v>
      </c>
      <c r="M75" s="3" t="s">
        <v>13</v>
      </c>
      <c r="N75" s="5">
        <v>9.4884149602060167E-2</v>
      </c>
      <c r="O75" s="3" t="s">
        <v>7</v>
      </c>
    </row>
    <row r="76" spans="2:15" x14ac:dyDescent="0.45">
      <c r="B76" s="6" t="s">
        <v>33</v>
      </c>
      <c r="C76" s="6" t="s">
        <v>14</v>
      </c>
      <c r="D76" s="7">
        <v>1.1892946425846226E-2</v>
      </c>
      <c r="E76" s="6" t="s">
        <v>7</v>
      </c>
      <c r="G76" s="6" t="s">
        <v>34</v>
      </c>
      <c r="H76" s="6" t="s">
        <v>14</v>
      </c>
      <c r="I76" s="8">
        <v>6.6430828588588439E-2</v>
      </c>
      <c r="J76" s="6" t="s">
        <v>7</v>
      </c>
      <c r="L76" s="6" t="s">
        <v>35</v>
      </c>
      <c r="M76" s="6" t="s">
        <v>14</v>
      </c>
      <c r="N76" s="8">
        <v>6.2319646069622148E-2</v>
      </c>
      <c r="O76" s="6" t="s">
        <v>7</v>
      </c>
    </row>
    <row r="77" spans="2:15" x14ac:dyDescent="0.45">
      <c r="B77" s="3" t="s">
        <v>33</v>
      </c>
      <c r="C77" s="3" t="s">
        <v>15</v>
      </c>
      <c r="D77" s="4">
        <v>8.656029416088E-3</v>
      </c>
      <c r="E77" s="3" t="s">
        <v>7</v>
      </c>
      <c r="G77" s="3" t="s">
        <v>34</v>
      </c>
      <c r="H77" s="3" t="s">
        <v>15</v>
      </c>
      <c r="I77" s="5">
        <v>4.7849014957245257E-2</v>
      </c>
      <c r="J77" s="3" t="s">
        <v>7</v>
      </c>
      <c r="L77" s="3" t="s">
        <v>35</v>
      </c>
      <c r="M77" s="3" t="s">
        <v>15</v>
      </c>
      <c r="N77" s="5">
        <v>7.0096611698960254E-2</v>
      </c>
      <c r="O77" s="3" t="s">
        <v>7</v>
      </c>
    </row>
    <row r="78" spans="2:15" x14ac:dyDescent="0.45">
      <c r="B78" s="6" t="s">
        <v>33</v>
      </c>
      <c r="C78" s="6" t="s">
        <v>16</v>
      </c>
      <c r="D78" s="7">
        <v>0.34032523405097503</v>
      </c>
      <c r="E78" s="6" t="s">
        <v>7</v>
      </c>
      <c r="G78" s="6" t="s">
        <v>34</v>
      </c>
      <c r="H78" s="6" t="s">
        <v>16</v>
      </c>
      <c r="I78" s="8">
        <v>6.4494854616314226E-2</v>
      </c>
      <c r="J78" s="6" t="s">
        <v>7</v>
      </c>
      <c r="L78" s="6" t="s">
        <v>35</v>
      </c>
      <c r="M78" s="6" t="s">
        <v>16</v>
      </c>
      <c r="N78" s="8">
        <v>8.6764845325987064E-2</v>
      </c>
      <c r="O78" s="6" t="s">
        <v>7</v>
      </c>
    </row>
    <row r="79" spans="2:15" x14ac:dyDescent="0.45">
      <c r="B79" s="3" t="s">
        <v>33</v>
      </c>
      <c r="C79" s="3" t="s">
        <v>17</v>
      </c>
      <c r="D79" s="4">
        <v>1.9686541327566972E-2</v>
      </c>
      <c r="E79" s="3" t="s">
        <v>7</v>
      </c>
      <c r="G79" s="3" t="s">
        <v>34</v>
      </c>
      <c r="H79" s="3" t="s">
        <v>17</v>
      </c>
      <c r="I79" s="5">
        <v>3.7418247870318055E-2</v>
      </c>
      <c r="J79" s="3" t="s">
        <v>7</v>
      </c>
      <c r="L79" s="3" t="s">
        <v>35</v>
      </c>
      <c r="M79" s="3" t="s">
        <v>17</v>
      </c>
      <c r="N79" s="5">
        <v>5.2650863799289987E-2</v>
      </c>
      <c r="O79" s="3" t="s">
        <v>7</v>
      </c>
    </row>
    <row r="80" spans="2:15" x14ac:dyDescent="0.45">
      <c r="B80" s="6" t="s">
        <v>33</v>
      </c>
      <c r="C80" s="6" t="s">
        <v>18</v>
      </c>
      <c r="D80" s="7">
        <v>3.4367699434955566E-4</v>
      </c>
      <c r="E80" s="6" t="s">
        <v>7</v>
      </c>
      <c r="G80" s="6" t="s">
        <v>34</v>
      </c>
      <c r="H80" s="6" t="s">
        <v>18</v>
      </c>
      <c r="I80" s="8">
        <v>8.8874814250057332E-2</v>
      </c>
      <c r="J80" s="6" t="s">
        <v>7</v>
      </c>
      <c r="L80" s="6" t="s">
        <v>35</v>
      </c>
      <c r="M80" s="6" t="s">
        <v>18</v>
      </c>
      <c r="N80" s="8">
        <v>8.908121234042525E-2</v>
      </c>
      <c r="O80" s="6" t="s">
        <v>7</v>
      </c>
    </row>
    <row r="81" spans="2:15" x14ac:dyDescent="0.45">
      <c r="B81" s="3" t="s">
        <v>33</v>
      </c>
      <c r="C81" s="3" t="s">
        <v>19</v>
      </c>
      <c r="D81" s="4">
        <v>0.17865712009162377</v>
      </c>
      <c r="E81" s="3" t="s">
        <v>7</v>
      </c>
      <c r="G81" s="3" t="s">
        <v>34</v>
      </c>
      <c r="H81" s="3" t="s">
        <v>19</v>
      </c>
      <c r="I81" s="5">
        <v>0.11168919561021935</v>
      </c>
      <c r="J81" s="3" t="s">
        <v>7</v>
      </c>
      <c r="L81" s="3" t="s">
        <v>35</v>
      </c>
      <c r="M81" s="3" t="s">
        <v>19</v>
      </c>
      <c r="N81" s="5">
        <v>0.10641564680139934</v>
      </c>
      <c r="O81" s="3" t="s">
        <v>7</v>
      </c>
    </row>
    <row r="82" spans="2:15" x14ac:dyDescent="0.45">
      <c r="B82" s="6" t="s">
        <v>33</v>
      </c>
      <c r="C82" s="6" t="s">
        <v>20</v>
      </c>
      <c r="D82" s="7">
        <v>1.4509973524824884E-3</v>
      </c>
      <c r="E82" s="6" t="s">
        <v>7</v>
      </c>
      <c r="G82" s="6" t="s">
        <v>34</v>
      </c>
      <c r="H82" s="6" t="s">
        <v>20</v>
      </c>
      <c r="I82" s="8">
        <v>6.9219772790970621E-2</v>
      </c>
      <c r="J82" s="6" t="s">
        <v>7</v>
      </c>
      <c r="L82" s="6" t="s">
        <v>35</v>
      </c>
      <c r="M82" s="6" t="s">
        <v>20</v>
      </c>
      <c r="N82" s="8">
        <v>6.6443224819778476E-2</v>
      </c>
      <c r="O82" s="6" t="s">
        <v>7</v>
      </c>
    </row>
    <row r="83" spans="2:15" x14ac:dyDescent="0.45">
      <c r="B83" s="3" t="s">
        <v>36</v>
      </c>
      <c r="C83" s="3" t="s">
        <v>6</v>
      </c>
      <c r="D83" s="4">
        <v>0</v>
      </c>
      <c r="E83" s="3" t="s">
        <v>7</v>
      </c>
      <c r="G83" s="3" t="s">
        <v>37</v>
      </c>
      <c r="H83" s="3" t="s">
        <v>6</v>
      </c>
      <c r="I83" s="5">
        <v>0.10914510442622999</v>
      </c>
      <c r="J83" s="3" t="s">
        <v>7</v>
      </c>
      <c r="L83" s="3" t="s">
        <v>38</v>
      </c>
      <c r="M83" s="3" t="s">
        <v>6</v>
      </c>
      <c r="N83" s="5">
        <v>9.9991670310821623E-2</v>
      </c>
      <c r="O83" s="3" t="s">
        <v>7</v>
      </c>
    </row>
    <row r="84" spans="2:15" x14ac:dyDescent="0.45">
      <c r="B84" s="6" t="s">
        <v>36</v>
      </c>
      <c r="C84" s="6" t="s">
        <v>10</v>
      </c>
      <c r="D84" s="7">
        <v>0.11982683634980855</v>
      </c>
      <c r="E84" s="6" t="s">
        <v>7</v>
      </c>
      <c r="G84" s="6" t="s">
        <v>37</v>
      </c>
      <c r="H84" s="6" t="s">
        <v>10</v>
      </c>
      <c r="I84" s="8">
        <v>0.13250506037482085</v>
      </c>
      <c r="J84" s="6" t="s">
        <v>7</v>
      </c>
      <c r="L84" s="6" t="s">
        <v>38</v>
      </c>
      <c r="M84" s="6" t="s">
        <v>10</v>
      </c>
      <c r="N84" s="8">
        <v>0.12232991987393398</v>
      </c>
      <c r="O84" s="6" t="s">
        <v>7</v>
      </c>
    </row>
    <row r="85" spans="2:15" x14ac:dyDescent="0.45">
      <c r="B85" s="3" t="s">
        <v>36</v>
      </c>
      <c r="C85" s="3" t="s">
        <v>11</v>
      </c>
      <c r="D85" s="4">
        <v>1.3274849783936942E-4</v>
      </c>
      <c r="E85" s="3" t="s">
        <v>7</v>
      </c>
      <c r="G85" s="3" t="s">
        <v>37</v>
      </c>
      <c r="H85" s="3" t="s">
        <v>11</v>
      </c>
      <c r="I85" s="5">
        <v>8.2765325776863213E-2</v>
      </c>
      <c r="J85" s="3" t="s">
        <v>7</v>
      </c>
      <c r="L85" s="3" t="s">
        <v>38</v>
      </c>
      <c r="M85" s="3" t="s">
        <v>11</v>
      </c>
      <c r="N85" s="5">
        <v>7.520233087117667E-2</v>
      </c>
      <c r="O85" s="3" t="s">
        <v>7</v>
      </c>
    </row>
    <row r="86" spans="2:15" x14ac:dyDescent="0.45">
      <c r="B86" s="6" t="s">
        <v>36</v>
      </c>
      <c r="C86" s="6" t="s">
        <v>12</v>
      </c>
      <c r="D86" s="7">
        <v>5.9174238822138035E-3</v>
      </c>
      <c r="E86" s="6" t="s">
        <v>7</v>
      </c>
      <c r="G86" s="6" t="s">
        <v>37</v>
      </c>
      <c r="H86" s="6" t="s">
        <v>12</v>
      </c>
      <c r="I86" s="8">
        <v>8.0737831166913826E-2</v>
      </c>
      <c r="J86" s="6" t="s">
        <v>7</v>
      </c>
      <c r="L86" s="6" t="s">
        <v>38</v>
      </c>
      <c r="M86" s="6" t="s">
        <v>12</v>
      </c>
      <c r="N86" s="8">
        <v>7.6186808251575519E-2</v>
      </c>
      <c r="O86" s="6" t="s">
        <v>7</v>
      </c>
    </row>
    <row r="87" spans="2:15" x14ac:dyDescent="0.45">
      <c r="B87" s="3" t="s">
        <v>36</v>
      </c>
      <c r="C87" s="3" t="s">
        <v>13</v>
      </c>
      <c r="D87" s="4">
        <v>0.32139058867517251</v>
      </c>
      <c r="E87" s="3" t="s">
        <v>7</v>
      </c>
      <c r="G87" s="3" t="s">
        <v>37</v>
      </c>
      <c r="H87" s="3" t="s">
        <v>13</v>
      </c>
      <c r="I87" s="5">
        <v>0.12254324788166111</v>
      </c>
      <c r="J87" s="3" t="s">
        <v>7</v>
      </c>
      <c r="L87" s="3" t="s">
        <v>38</v>
      </c>
      <c r="M87" s="3" t="s">
        <v>13</v>
      </c>
      <c r="N87" s="5">
        <v>9.6954832650115938E-2</v>
      </c>
      <c r="O87" s="3" t="s">
        <v>7</v>
      </c>
    </row>
    <row r="88" spans="2:15" x14ac:dyDescent="0.45">
      <c r="B88" s="6" t="s">
        <v>36</v>
      </c>
      <c r="C88" s="6" t="s">
        <v>14</v>
      </c>
      <c r="D88" s="7">
        <v>1.2063006835458152E-2</v>
      </c>
      <c r="E88" s="6" t="s">
        <v>7</v>
      </c>
      <c r="G88" s="6" t="s">
        <v>37</v>
      </c>
      <c r="H88" s="6" t="s">
        <v>14</v>
      </c>
      <c r="I88" s="8">
        <v>6.5105389702871774E-2</v>
      </c>
      <c r="J88" s="6" t="s">
        <v>7</v>
      </c>
      <c r="L88" s="6" t="s">
        <v>38</v>
      </c>
      <c r="M88" s="6" t="s">
        <v>14</v>
      </c>
      <c r="N88" s="8">
        <v>6.1507917040948032E-2</v>
      </c>
      <c r="O88" s="6" t="s">
        <v>7</v>
      </c>
    </row>
    <row r="89" spans="2:15" x14ac:dyDescent="0.45">
      <c r="B89" s="3" t="s">
        <v>36</v>
      </c>
      <c r="C89" s="3" t="s">
        <v>15</v>
      </c>
      <c r="D89" s="4">
        <v>1.0162357771344695E-2</v>
      </c>
      <c r="E89" s="3" t="s">
        <v>7</v>
      </c>
      <c r="G89" s="3" t="s">
        <v>37</v>
      </c>
      <c r="H89" s="3" t="s">
        <v>15</v>
      </c>
      <c r="I89" s="5">
        <v>3.8397309083877021E-2</v>
      </c>
      <c r="J89" s="3" t="s">
        <v>7</v>
      </c>
      <c r="L89" s="3" t="s">
        <v>38</v>
      </c>
      <c r="M89" s="3" t="s">
        <v>15</v>
      </c>
      <c r="N89" s="5">
        <v>7.0533125538970703E-2</v>
      </c>
      <c r="O89" s="3" t="s">
        <v>7</v>
      </c>
    </row>
    <row r="90" spans="2:15" x14ac:dyDescent="0.45">
      <c r="B90" s="6" t="s">
        <v>36</v>
      </c>
      <c r="C90" s="6" t="s">
        <v>16</v>
      </c>
      <c r="D90" s="7">
        <v>0.33136301457645329</v>
      </c>
      <c r="E90" s="6" t="s">
        <v>7</v>
      </c>
      <c r="G90" s="6" t="s">
        <v>37</v>
      </c>
      <c r="H90" s="6" t="s">
        <v>16</v>
      </c>
      <c r="I90" s="8">
        <v>7.0065258149251866E-2</v>
      </c>
      <c r="J90" s="6" t="s">
        <v>7</v>
      </c>
      <c r="L90" s="6" t="s">
        <v>38</v>
      </c>
      <c r="M90" s="6" t="s">
        <v>16</v>
      </c>
      <c r="N90" s="8">
        <v>8.7203488132740467E-2</v>
      </c>
      <c r="O90" s="6" t="s">
        <v>7</v>
      </c>
    </row>
    <row r="91" spans="2:15" x14ac:dyDescent="0.45">
      <c r="B91" s="3" t="s">
        <v>36</v>
      </c>
      <c r="C91" s="3" t="s">
        <v>17</v>
      </c>
      <c r="D91" s="4">
        <v>2.0359994382599184E-2</v>
      </c>
      <c r="E91" s="3" t="s">
        <v>7</v>
      </c>
      <c r="G91" s="3" t="s">
        <v>37</v>
      </c>
      <c r="H91" s="3" t="s">
        <v>17</v>
      </c>
      <c r="I91" s="5">
        <v>3.3949412967475084E-2</v>
      </c>
      <c r="J91" s="3" t="s">
        <v>7</v>
      </c>
      <c r="L91" s="3" t="s">
        <v>38</v>
      </c>
      <c r="M91" s="3" t="s">
        <v>17</v>
      </c>
      <c r="N91" s="5">
        <v>5.2498920767193549E-2</v>
      </c>
      <c r="O91" s="3" t="s">
        <v>7</v>
      </c>
    </row>
    <row r="92" spans="2:15" x14ac:dyDescent="0.45">
      <c r="B92" s="6" t="s">
        <v>36</v>
      </c>
      <c r="C92" s="6" t="s">
        <v>18</v>
      </c>
      <c r="D92" s="7">
        <v>4.2072288750542831E-4</v>
      </c>
      <c r="E92" s="6" t="s">
        <v>7</v>
      </c>
      <c r="G92" s="6" t="s">
        <v>37</v>
      </c>
      <c r="H92" s="6" t="s">
        <v>18</v>
      </c>
      <c r="I92" s="8">
        <v>8.2972515025094465E-2</v>
      </c>
      <c r="J92" s="6" t="s">
        <v>7</v>
      </c>
      <c r="L92" s="6" t="s">
        <v>38</v>
      </c>
      <c r="M92" s="6" t="s">
        <v>18</v>
      </c>
      <c r="N92" s="8">
        <v>8.6695044972966401E-2</v>
      </c>
      <c r="O92" s="6" t="s">
        <v>7</v>
      </c>
    </row>
    <row r="93" spans="2:15" x14ac:dyDescent="0.45">
      <c r="B93" s="3" t="s">
        <v>36</v>
      </c>
      <c r="C93" s="3" t="s">
        <v>19</v>
      </c>
      <c r="D93" s="4">
        <v>0.17697056832951888</v>
      </c>
      <c r="E93" s="3" t="s">
        <v>7</v>
      </c>
      <c r="G93" s="3" t="s">
        <v>37</v>
      </c>
      <c r="H93" s="3" t="s">
        <v>19</v>
      </c>
      <c r="I93" s="5">
        <v>0.11709445050820375</v>
      </c>
      <c r="J93" s="3" t="s">
        <v>7</v>
      </c>
      <c r="L93" s="3" t="s">
        <v>38</v>
      </c>
      <c r="M93" s="3" t="s">
        <v>19</v>
      </c>
      <c r="N93" s="5">
        <v>0.10563838034634325</v>
      </c>
      <c r="O93" s="3" t="s">
        <v>7</v>
      </c>
    </row>
    <row r="94" spans="2:15" x14ac:dyDescent="0.45">
      <c r="B94" s="6" t="s">
        <v>36</v>
      </c>
      <c r="C94" s="6" t="s">
        <v>20</v>
      </c>
      <c r="D94" s="7">
        <v>1.3927378120861553E-3</v>
      </c>
      <c r="E94" s="6" t="s">
        <v>7</v>
      </c>
      <c r="G94" s="6" t="s">
        <v>37</v>
      </c>
      <c r="H94" s="6" t="s">
        <v>20</v>
      </c>
      <c r="I94" s="8">
        <v>6.4719094936737054E-2</v>
      </c>
      <c r="J94" s="6" t="s">
        <v>7</v>
      </c>
      <c r="L94" s="6" t="s">
        <v>38</v>
      </c>
      <c r="M94" s="6" t="s">
        <v>20</v>
      </c>
      <c r="N94" s="8">
        <v>6.5257561243213913E-2</v>
      </c>
      <c r="O94" s="6" t="s">
        <v>7</v>
      </c>
    </row>
    <row r="95" spans="2:15" x14ac:dyDescent="0.45">
      <c r="B95" s="3" t="s">
        <v>39</v>
      </c>
      <c r="C95" s="3" t="s">
        <v>6</v>
      </c>
      <c r="D95" s="4">
        <v>0</v>
      </c>
      <c r="E95" s="3" t="s">
        <v>7</v>
      </c>
      <c r="G95" s="3" t="s">
        <v>40</v>
      </c>
      <c r="H95" s="3" t="s">
        <v>6</v>
      </c>
      <c r="I95" s="5">
        <v>0.1089097319160385</v>
      </c>
      <c r="J95" s="3" t="s">
        <v>7</v>
      </c>
      <c r="L95" s="3" t="s">
        <v>41</v>
      </c>
      <c r="M95" s="3" t="s">
        <v>6</v>
      </c>
      <c r="N95" s="5">
        <v>0.10551424177241853</v>
      </c>
      <c r="O95" s="3" t="s">
        <v>7</v>
      </c>
    </row>
    <row r="96" spans="2:15" x14ac:dyDescent="0.45">
      <c r="B96" s="6" t="s">
        <v>39</v>
      </c>
      <c r="C96" s="6" t="s">
        <v>10</v>
      </c>
      <c r="D96" s="7">
        <v>0.11984749197999285</v>
      </c>
      <c r="E96" s="6" t="s">
        <v>7</v>
      </c>
      <c r="G96" s="6" t="s">
        <v>40</v>
      </c>
      <c r="H96" s="6" t="s">
        <v>10</v>
      </c>
      <c r="I96" s="8">
        <v>0.13609609612768275</v>
      </c>
      <c r="J96" s="6" t="s">
        <v>7</v>
      </c>
      <c r="L96" s="6" t="s">
        <v>41</v>
      </c>
      <c r="M96" s="6" t="s">
        <v>10</v>
      </c>
      <c r="N96" s="8">
        <v>0.12709603457164509</v>
      </c>
      <c r="O96" s="6" t="s">
        <v>7</v>
      </c>
    </row>
    <row r="97" spans="2:15" x14ac:dyDescent="0.45">
      <c r="B97" s="3" t="s">
        <v>39</v>
      </c>
      <c r="C97" s="3" t="s">
        <v>11</v>
      </c>
      <c r="D97" s="4">
        <v>4.4109006062240639E-4</v>
      </c>
      <c r="E97" s="3" t="s">
        <v>7</v>
      </c>
      <c r="G97" s="3" t="s">
        <v>40</v>
      </c>
      <c r="H97" s="3" t="s">
        <v>11</v>
      </c>
      <c r="I97" s="5">
        <v>8.6157948530123901E-2</v>
      </c>
      <c r="J97" s="3" t="s">
        <v>7</v>
      </c>
      <c r="L97" s="3" t="s">
        <v>41</v>
      </c>
      <c r="M97" s="3" t="s">
        <v>11</v>
      </c>
      <c r="N97" s="5">
        <v>7.914418488252753E-2</v>
      </c>
      <c r="O97" s="3" t="s">
        <v>7</v>
      </c>
    </row>
    <row r="98" spans="2:15" x14ac:dyDescent="0.45">
      <c r="B98" s="6" t="s">
        <v>39</v>
      </c>
      <c r="C98" s="6" t="s">
        <v>12</v>
      </c>
      <c r="D98" s="7">
        <v>3.6159993566508325E-3</v>
      </c>
      <c r="E98" s="6" t="s">
        <v>7</v>
      </c>
      <c r="G98" s="6" t="s">
        <v>40</v>
      </c>
      <c r="H98" s="6" t="s">
        <v>12</v>
      </c>
      <c r="I98" s="8">
        <v>9.2132140279138366E-2</v>
      </c>
      <c r="J98" s="6" t="s">
        <v>7</v>
      </c>
      <c r="L98" s="6" t="s">
        <v>41</v>
      </c>
      <c r="M98" s="6" t="s">
        <v>12</v>
      </c>
      <c r="N98" s="8">
        <v>9.0051023603030841E-2</v>
      </c>
      <c r="O98" s="6" t="s">
        <v>7</v>
      </c>
    </row>
    <row r="99" spans="2:15" x14ac:dyDescent="0.45">
      <c r="B99" s="3" t="s">
        <v>39</v>
      </c>
      <c r="C99" s="3" t="s">
        <v>13</v>
      </c>
      <c r="D99" s="4">
        <v>0.3134750880118175</v>
      </c>
      <c r="E99" s="3" t="s">
        <v>7</v>
      </c>
      <c r="G99" s="3" t="s">
        <v>40</v>
      </c>
      <c r="H99" s="3" t="s">
        <v>13</v>
      </c>
      <c r="I99" s="5">
        <v>0.12482414014932154</v>
      </c>
      <c r="J99" s="3" t="s">
        <v>7</v>
      </c>
      <c r="L99" s="3" t="s">
        <v>41</v>
      </c>
      <c r="M99" s="3" t="s">
        <v>13</v>
      </c>
      <c r="N99" s="5">
        <v>0.11113662861460302</v>
      </c>
      <c r="O99" s="3" t="s">
        <v>7</v>
      </c>
    </row>
    <row r="100" spans="2:15" x14ac:dyDescent="0.45">
      <c r="B100" s="6" t="s">
        <v>39</v>
      </c>
      <c r="C100" s="6" t="s">
        <v>14</v>
      </c>
      <c r="D100" s="7">
        <v>1.4119383937524045E-2</v>
      </c>
      <c r="E100" s="6" t="s">
        <v>7</v>
      </c>
      <c r="G100" s="6" t="s">
        <v>40</v>
      </c>
      <c r="H100" s="6" t="s">
        <v>14</v>
      </c>
      <c r="I100" s="8">
        <v>6.7852905656290805E-2</v>
      </c>
      <c r="J100" s="6" t="s">
        <v>7</v>
      </c>
      <c r="L100" s="6" t="s">
        <v>41</v>
      </c>
      <c r="M100" s="6" t="s">
        <v>14</v>
      </c>
      <c r="N100" s="8">
        <v>6.7903895550516777E-2</v>
      </c>
      <c r="O100" s="6" t="s">
        <v>7</v>
      </c>
    </row>
    <row r="101" spans="2:15" x14ac:dyDescent="0.45">
      <c r="B101" s="3" t="s">
        <v>39</v>
      </c>
      <c r="C101" s="3" t="s">
        <v>15</v>
      </c>
      <c r="D101" s="4">
        <v>7.3639924090720676E-3</v>
      </c>
      <c r="E101" s="3" t="s">
        <v>7</v>
      </c>
      <c r="G101" s="3" t="s">
        <v>40</v>
      </c>
      <c r="H101" s="3" t="s">
        <v>15</v>
      </c>
      <c r="I101" s="5">
        <v>4.4472720218631481E-2</v>
      </c>
      <c r="J101" s="3" t="s">
        <v>7</v>
      </c>
      <c r="L101" s="3" t="s">
        <v>41</v>
      </c>
      <c r="M101" s="3" t="s">
        <v>15</v>
      </c>
      <c r="N101" s="5">
        <v>5.1078109321896707E-2</v>
      </c>
      <c r="O101" s="3" t="s">
        <v>7</v>
      </c>
    </row>
    <row r="102" spans="2:15" x14ac:dyDescent="0.45">
      <c r="B102" s="6" t="s">
        <v>39</v>
      </c>
      <c r="C102" s="6" t="s">
        <v>16</v>
      </c>
      <c r="D102" s="7">
        <v>0.3303331145480663</v>
      </c>
      <c r="E102" s="6" t="s">
        <v>7</v>
      </c>
      <c r="G102" s="6" t="s">
        <v>40</v>
      </c>
      <c r="H102" s="6" t="s">
        <v>16</v>
      </c>
      <c r="I102" s="8">
        <v>6.3157797833056417E-2</v>
      </c>
      <c r="J102" s="6" t="s">
        <v>7</v>
      </c>
      <c r="L102" s="6" t="s">
        <v>41</v>
      </c>
      <c r="M102" s="6" t="s">
        <v>16</v>
      </c>
      <c r="N102" s="8">
        <v>6.3038438871239916E-2</v>
      </c>
      <c r="O102" s="6" t="s">
        <v>7</v>
      </c>
    </row>
    <row r="103" spans="2:15" x14ac:dyDescent="0.45">
      <c r="B103" s="3" t="s">
        <v>39</v>
      </c>
      <c r="C103" s="3" t="s">
        <v>17</v>
      </c>
      <c r="D103" s="4">
        <v>2.1759335292714389E-2</v>
      </c>
      <c r="E103" s="3" t="s">
        <v>7</v>
      </c>
      <c r="G103" s="3" t="s">
        <v>40</v>
      </c>
      <c r="H103" s="3" t="s">
        <v>17</v>
      </c>
      <c r="I103" s="5">
        <v>3.2502087789559403E-2</v>
      </c>
      <c r="J103" s="3" t="s">
        <v>7</v>
      </c>
      <c r="L103" s="3" t="s">
        <v>41</v>
      </c>
      <c r="M103" s="3" t="s">
        <v>17</v>
      </c>
      <c r="N103" s="5">
        <v>4.0360594542986995E-2</v>
      </c>
      <c r="O103" s="3" t="s">
        <v>7</v>
      </c>
    </row>
    <row r="104" spans="2:15" x14ac:dyDescent="0.45">
      <c r="B104" s="6" t="s">
        <v>39</v>
      </c>
      <c r="C104" s="6" t="s">
        <v>18</v>
      </c>
      <c r="D104" s="7">
        <v>2.4280438547524187E-4</v>
      </c>
      <c r="E104" s="6" t="s">
        <v>7</v>
      </c>
      <c r="G104" s="6" t="s">
        <v>40</v>
      </c>
      <c r="H104" s="6" t="s">
        <v>18</v>
      </c>
      <c r="I104" s="8">
        <v>7.9010714113214461E-2</v>
      </c>
      <c r="J104" s="6" t="s">
        <v>7</v>
      </c>
      <c r="L104" s="6" t="s">
        <v>41</v>
      </c>
      <c r="M104" s="6" t="s">
        <v>18</v>
      </c>
      <c r="N104" s="8">
        <v>8.7638275575562849E-2</v>
      </c>
      <c r="O104" s="6" t="s">
        <v>7</v>
      </c>
    </row>
    <row r="105" spans="2:15" x14ac:dyDescent="0.45">
      <c r="B105" s="3" t="s">
        <v>39</v>
      </c>
      <c r="C105" s="3" t="s">
        <v>19</v>
      </c>
      <c r="D105" s="4">
        <v>0.18686623410078607</v>
      </c>
      <c r="E105" s="3" t="s">
        <v>7</v>
      </c>
      <c r="G105" s="3" t="s">
        <v>40</v>
      </c>
      <c r="H105" s="3" t="s">
        <v>19</v>
      </c>
      <c r="I105" s="5">
        <v>0.10604566895209899</v>
      </c>
      <c r="J105" s="3" t="s">
        <v>7</v>
      </c>
      <c r="L105" s="3" t="s">
        <v>41</v>
      </c>
      <c r="M105" s="3" t="s">
        <v>19</v>
      </c>
      <c r="N105" s="5">
        <v>0.10990221611547388</v>
      </c>
      <c r="O105" s="3" t="s">
        <v>7</v>
      </c>
    </row>
    <row r="106" spans="2:15" x14ac:dyDescent="0.45">
      <c r="B106" s="6" t="s">
        <v>39</v>
      </c>
      <c r="C106" s="6" t="s">
        <v>20</v>
      </c>
      <c r="D106" s="7">
        <v>1.9354659172783743E-3</v>
      </c>
      <c r="E106" s="6" t="s">
        <v>7</v>
      </c>
      <c r="G106" s="6" t="s">
        <v>40</v>
      </c>
      <c r="H106" s="6" t="s">
        <v>20</v>
      </c>
      <c r="I106" s="8">
        <v>5.8838048434843422E-2</v>
      </c>
      <c r="J106" s="6" t="s">
        <v>7</v>
      </c>
      <c r="L106" s="6" t="s">
        <v>41</v>
      </c>
      <c r="M106" s="6" t="s">
        <v>20</v>
      </c>
      <c r="N106" s="8">
        <v>6.7136356578097869E-2</v>
      </c>
      <c r="O106" s="6" t="s">
        <v>7</v>
      </c>
    </row>
    <row r="107" spans="2:15" x14ac:dyDescent="0.45">
      <c r="B107" s="3" t="s">
        <v>42</v>
      </c>
      <c r="C107" s="3" t="s">
        <v>6</v>
      </c>
      <c r="D107" s="4">
        <v>0</v>
      </c>
      <c r="E107" s="3" t="s">
        <v>7</v>
      </c>
      <c r="G107" s="3" t="s">
        <v>43</v>
      </c>
      <c r="H107" s="3" t="s">
        <v>6</v>
      </c>
      <c r="I107" s="5">
        <v>0.10052401960982983</v>
      </c>
      <c r="J107" s="3" t="s">
        <v>7</v>
      </c>
      <c r="L107" s="3" t="s">
        <v>44</v>
      </c>
      <c r="M107" s="3" t="s">
        <v>6</v>
      </c>
      <c r="N107" s="5">
        <v>0.10571474761730221</v>
      </c>
      <c r="O107" s="3" t="s">
        <v>7</v>
      </c>
    </row>
    <row r="108" spans="2:15" x14ac:dyDescent="0.45">
      <c r="B108" s="6" t="s">
        <v>42</v>
      </c>
      <c r="C108" s="6" t="s">
        <v>10</v>
      </c>
      <c r="D108" s="7">
        <v>0.12207012217185555</v>
      </c>
      <c r="E108" s="6" t="s">
        <v>7</v>
      </c>
      <c r="G108" s="6" t="s">
        <v>43</v>
      </c>
      <c r="H108" s="6" t="s">
        <v>10</v>
      </c>
      <c r="I108" s="8">
        <v>0.12170813468744322</v>
      </c>
      <c r="J108" s="6" t="s">
        <v>7</v>
      </c>
      <c r="L108" s="6" t="s">
        <v>44</v>
      </c>
      <c r="M108" s="6" t="s">
        <v>10</v>
      </c>
      <c r="N108" s="8">
        <v>0.12706592594056093</v>
      </c>
      <c r="O108" s="6" t="s">
        <v>7</v>
      </c>
    </row>
    <row r="109" spans="2:15" x14ac:dyDescent="0.45">
      <c r="B109" s="3" t="s">
        <v>42</v>
      </c>
      <c r="C109" s="3" t="s">
        <v>11</v>
      </c>
      <c r="D109" s="4">
        <v>0</v>
      </c>
      <c r="E109" s="3" t="s">
        <v>7</v>
      </c>
      <c r="G109" s="3" t="s">
        <v>43</v>
      </c>
      <c r="H109" s="3" t="s">
        <v>11</v>
      </c>
      <c r="I109" s="5">
        <v>7.6327416951648602E-2</v>
      </c>
      <c r="J109" s="3" t="s">
        <v>7</v>
      </c>
      <c r="L109" s="3" t="s">
        <v>44</v>
      </c>
      <c r="M109" s="3" t="s">
        <v>11</v>
      </c>
      <c r="N109" s="5">
        <v>7.9254432211227882E-2</v>
      </c>
      <c r="O109" s="3" t="s">
        <v>7</v>
      </c>
    </row>
    <row r="110" spans="2:15" x14ac:dyDescent="0.45">
      <c r="B110" s="6" t="s">
        <v>42</v>
      </c>
      <c r="C110" s="6" t="s">
        <v>12</v>
      </c>
      <c r="D110" s="7">
        <v>7.608969354960686E-3</v>
      </c>
      <c r="E110" s="6" t="s">
        <v>7</v>
      </c>
      <c r="G110" s="6" t="s">
        <v>43</v>
      </c>
      <c r="H110" s="6" t="s">
        <v>12</v>
      </c>
      <c r="I110" s="8">
        <v>8.4800995564230777E-2</v>
      </c>
      <c r="J110" s="6" t="s">
        <v>7</v>
      </c>
      <c r="L110" s="6" t="s">
        <v>44</v>
      </c>
      <c r="M110" s="6" t="s">
        <v>12</v>
      </c>
      <c r="N110" s="8">
        <v>9.2009470209629685E-2</v>
      </c>
      <c r="O110" s="6" t="s">
        <v>7</v>
      </c>
    </row>
    <row r="111" spans="2:15" x14ac:dyDescent="0.45">
      <c r="B111" s="3" t="s">
        <v>42</v>
      </c>
      <c r="C111" s="3" t="s">
        <v>13</v>
      </c>
      <c r="D111" s="4">
        <v>0.3053636907300124</v>
      </c>
      <c r="E111" s="3" t="s">
        <v>7</v>
      </c>
      <c r="G111" s="3" t="s">
        <v>43</v>
      </c>
      <c r="H111" s="3" t="s">
        <v>13</v>
      </c>
      <c r="I111" s="5">
        <v>0.11303348897159153</v>
      </c>
      <c r="J111" s="3" t="s">
        <v>7</v>
      </c>
      <c r="L111" s="3" t="s">
        <v>44</v>
      </c>
      <c r="M111" s="3" t="s">
        <v>13</v>
      </c>
      <c r="N111" s="5">
        <v>0.11109415937490394</v>
      </c>
      <c r="O111" s="3" t="s">
        <v>7</v>
      </c>
    </row>
    <row r="112" spans="2:15" x14ac:dyDescent="0.45">
      <c r="B112" s="6" t="s">
        <v>42</v>
      </c>
      <c r="C112" s="6" t="s">
        <v>14</v>
      </c>
      <c r="D112" s="7">
        <v>6.0824835595599822E-3</v>
      </c>
      <c r="E112" s="6" t="s">
        <v>7</v>
      </c>
      <c r="G112" s="6" t="s">
        <v>43</v>
      </c>
      <c r="H112" s="6" t="s">
        <v>14</v>
      </c>
      <c r="I112" s="8">
        <v>6.3437955840069338E-2</v>
      </c>
      <c r="J112" s="6" t="s">
        <v>7</v>
      </c>
      <c r="L112" s="6" t="s">
        <v>44</v>
      </c>
      <c r="M112" s="6" t="s">
        <v>14</v>
      </c>
      <c r="N112" s="8">
        <v>6.8069289081124112E-2</v>
      </c>
      <c r="O112" s="6" t="s">
        <v>7</v>
      </c>
    </row>
    <row r="113" spans="2:15" x14ac:dyDescent="0.45">
      <c r="B113" s="3" t="s">
        <v>42</v>
      </c>
      <c r="C113" s="3" t="s">
        <v>15</v>
      </c>
      <c r="D113" s="4">
        <v>1.2169328956844399E-2</v>
      </c>
      <c r="E113" s="3" t="s">
        <v>7</v>
      </c>
      <c r="G113" s="3" t="s">
        <v>43</v>
      </c>
      <c r="H113" s="3" t="s">
        <v>15</v>
      </c>
      <c r="I113" s="5">
        <v>5.6334922680274721E-2</v>
      </c>
      <c r="J113" s="3" t="s">
        <v>7</v>
      </c>
      <c r="L113" s="3" t="s">
        <v>44</v>
      </c>
      <c r="M113" s="3" t="s">
        <v>15</v>
      </c>
      <c r="N113" s="5">
        <v>5.0586009996544182E-2</v>
      </c>
      <c r="O113" s="3" t="s">
        <v>7</v>
      </c>
    </row>
    <row r="114" spans="2:15" x14ac:dyDescent="0.45">
      <c r="B114" s="6" t="s">
        <v>42</v>
      </c>
      <c r="C114" s="6" t="s">
        <v>16</v>
      </c>
      <c r="D114" s="7">
        <v>0.34311468133405959</v>
      </c>
      <c r="E114" s="6" t="s">
        <v>7</v>
      </c>
      <c r="G114" s="6" t="s">
        <v>43</v>
      </c>
      <c r="H114" s="6" t="s">
        <v>16</v>
      </c>
      <c r="I114" s="8">
        <v>6.5164231275953347E-2</v>
      </c>
      <c r="J114" s="6" t="s">
        <v>7</v>
      </c>
      <c r="L114" s="6" t="s">
        <v>44</v>
      </c>
      <c r="M114" s="6" t="s">
        <v>16</v>
      </c>
      <c r="N114" s="8">
        <v>6.1407320415691746E-2</v>
      </c>
      <c r="O114" s="6" t="s">
        <v>7</v>
      </c>
    </row>
    <row r="115" spans="2:15" x14ac:dyDescent="0.45">
      <c r="B115" s="3" t="s">
        <v>42</v>
      </c>
      <c r="C115" s="3" t="s">
        <v>17</v>
      </c>
      <c r="D115" s="4">
        <v>1.1794973233254393E-2</v>
      </c>
      <c r="E115" s="3" t="s">
        <v>7</v>
      </c>
      <c r="G115" s="3" t="s">
        <v>43</v>
      </c>
      <c r="H115" s="3" t="s">
        <v>17</v>
      </c>
      <c r="I115" s="5">
        <v>4.4843709995705784E-2</v>
      </c>
      <c r="J115" s="3" t="s">
        <v>7</v>
      </c>
      <c r="L115" s="3" t="s">
        <v>44</v>
      </c>
      <c r="M115" s="3" t="s">
        <v>17</v>
      </c>
      <c r="N115" s="5">
        <v>3.9540988189333978E-2</v>
      </c>
      <c r="O115" s="3" t="s">
        <v>7</v>
      </c>
    </row>
    <row r="116" spans="2:15" x14ac:dyDescent="0.45">
      <c r="B116" s="6" t="s">
        <v>42</v>
      </c>
      <c r="C116" s="6" t="s">
        <v>18</v>
      </c>
      <c r="D116" s="7">
        <v>1.4930249152143036E-3</v>
      </c>
      <c r="E116" s="6" t="s">
        <v>7</v>
      </c>
      <c r="G116" s="6" t="s">
        <v>43</v>
      </c>
      <c r="H116" s="6" t="s">
        <v>18</v>
      </c>
      <c r="I116" s="8">
        <v>9.3727717556184989E-2</v>
      </c>
      <c r="J116" s="6" t="s">
        <v>7</v>
      </c>
      <c r="L116" s="6" t="s">
        <v>44</v>
      </c>
      <c r="M116" s="6" t="s">
        <v>18</v>
      </c>
      <c r="N116" s="8">
        <v>8.7931975278999486E-2</v>
      </c>
      <c r="O116" s="6" t="s">
        <v>7</v>
      </c>
    </row>
    <row r="117" spans="2:15" x14ac:dyDescent="0.45">
      <c r="B117" s="3" t="s">
        <v>42</v>
      </c>
      <c r="C117" s="3" t="s">
        <v>19</v>
      </c>
      <c r="D117" s="4">
        <v>0.18972531334141918</v>
      </c>
      <c r="E117" s="3" t="s">
        <v>7</v>
      </c>
      <c r="G117" s="3" t="s">
        <v>43</v>
      </c>
      <c r="H117" s="3" t="s">
        <v>19</v>
      </c>
      <c r="I117" s="5">
        <v>0.10997911861368533</v>
      </c>
      <c r="J117" s="3" t="s">
        <v>7</v>
      </c>
      <c r="L117" s="3" t="s">
        <v>44</v>
      </c>
      <c r="M117" s="3" t="s">
        <v>19</v>
      </c>
      <c r="N117" s="5">
        <v>0.1093498708908688</v>
      </c>
      <c r="O117" s="3" t="s">
        <v>7</v>
      </c>
    </row>
    <row r="118" spans="2:15" x14ac:dyDescent="0.45">
      <c r="B118" s="6" t="s">
        <v>42</v>
      </c>
      <c r="C118" s="6" t="s">
        <v>20</v>
      </c>
      <c r="D118" s="7">
        <v>5.7741240281948222E-4</v>
      </c>
      <c r="E118" s="6" t="s">
        <v>7</v>
      </c>
      <c r="G118" s="6" t="s">
        <v>43</v>
      </c>
      <c r="H118" s="6" t="s">
        <v>20</v>
      </c>
      <c r="I118" s="8">
        <v>7.0118288253382524E-2</v>
      </c>
      <c r="J118" s="6" t="s">
        <v>7</v>
      </c>
      <c r="L118" s="6" t="s">
        <v>44</v>
      </c>
      <c r="M118" s="6" t="s">
        <v>20</v>
      </c>
      <c r="N118" s="8">
        <v>6.7975810793813096E-2</v>
      </c>
      <c r="O118" s="6" t="s">
        <v>7</v>
      </c>
    </row>
    <row r="119" spans="2:15" x14ac:dyDescent="0.45">
      <c r="B119" s="3" t="s">
        <v>45</v>
      </c>
      <c r="C119" s="3" t="s">
        <v>6</v>
      </c>
      <c r="D119" s="4">
        <v>0</v>
      </c>
      <c r="E119" s="3" t="s">
        <v>7</v>
      </c>
      <c r="G119" s="3" t="s">
        <v>46</v>
      </c>
      <c r="H119" s="3" t="s">
        <v>6</v>
      </c>
      <c r="I119" s="5">
        <v>0.10902956926936404</v>
      </c>
      <c r="J119" s="3" t="s">
        <v>7</v>
      </c>
      <c r="L119" s="3" t="s">
        <v>47</v>
      </c>
      <c r="M119" s="3" t="s">
        <v>6</v>
      </c>
      <c r="N119" s="5">
        <v>0.10848923579455094</v>
      </c>
      <c r="O119" s="3" t="s">
        <v>7</v>
      </c>
    </row>
    <row r="120" spans="2:15" x14ac:dyDescent="0.45">
      <c r="B120" s="6" t="s">
        <v>45</v>
      </c>
      <c r="C120" s="6" t="s">
        <v>10</v>
      </c>
      <c r="D120" s="7">
        <v>0.10543399995189974</v>
      </c>
      <c r="E120" s="6" t="s">
        <v>7</v>
      </c>
      <c r="G120" s="6" t="s">
        <v>46</v>
      </c>
      <c r="H120" s="6" t="s">
        <v>10</v>
      </c>
      <c r="I120" s="8">
        <v>0.1320059012781106</v>
      </c>
      <c r="J120" s="6" t="s">
        <v>7</v>
      </c>
      <c r="L120" s="6" t="s">
        <v>47</v>
      </c>
      <c r="M120" s="6" t="s">
        <v>10</v>
      </c>
      <c r="N120" s="8">
        <v>0.13242680064348902</v>
      </c>
      <c r="O120" s="6" t="s">
        <v>7</v>
      </c>
    </row>
    <row r="121" spans="2:15" x14ac:dyDescent="0.45">
      <c r="B121" s="3" t="s">
        <v>45</v>
      </c>
      <c r="C121" s="3" t="s">
        <v>11</v>
      </c>
      <c r="D121" s="4">
        <v>2.239435136288319E-4</v>
      </c>
      <c r="E121" s="3" t="s">
        <v>7</v>
      </c>
      <c r="G121" s="3" t="s">
        <v>46</v>
      </c>
      <c r="H121" s="3" t="s">
        <v>11</v>
      </c>
      <c r="I121" s="5">
        <v>8.3060760638278608E-2</v>
      </c>
      <c r="J121" s="3" t="s">
        <v>7</v>
      </c>
      <c r="L121" s="3" t="s">
        <v>47</v>
      </c>
      <c r="M121" s="3" t="s">
        <v>11</v>
      </c>
      <c r="N121" s="5">
        <v>8.2647785850773148E-2</v>
      </c>
      <c r="O121" s="3" t="s">
        <v>7</v>
      </c>
    </row>
    <row r="122" spans="2:15" x14ac:dyDescent="0.45">
      <c r="B122" s="6" t="s">
        <v>45</v>
      </c>
      <c r="C122" s="6" t="s">
        <v>12</v>
      </c>
      <c r="D122" s="7">
        <v>4.8590568338382194E-3</v>
      </c>
      <c r="E122" s="6" t="s">
        <v>7</v>
      </c>
      <c r="G122" s="6" t="s">
        <v>46</v>
      </c>
      <c r="H122" s="6" t="s">
        <v>12</v>
      </c>
      <c r="I122" s="8">
        <v>7.8491817496533015E-2</v>
      </c>
      <c r="J122" s="6" t="s">
        <v>7</v>
      </c>
      <c r="L122" s="6" t="s">
        <v>47</v>
      </c>
      <c r="M122" s="6" t="s">
        <v>12</v>
      </c>
      <c r="N122" s="8">
        <v>8.2482384191658098E-2</v>
      </c>
      <c r="O122" s="6" t="s">
        <v>7</v>
      </c>
    </row>
    <row r="123" spans="2:15" x14ac:dyDescent="0.45">
      <c r="B123" s="3" t="s">
        <v>45</v>
      </c>
      <c r="C123" s="3" t="s">
        <v>13</v>
      </c>
      <c r="D123" s="4">
        <v>0.33863826566651989</v>
      </c>
      <c r="E123" s="3" t="s">
        <v>7</v>
      </c>
      <c r="G123" s="3" t="s">
        <v>46</v>
      </c>
      <c r="H123" s="3" t="s">
        <v>13</v>
      </c>
      <c r="I123" s="5">
        <v>0.10894912189530639</v>
      </c>
      <c r="J123" s="3" t="s">
        <v>7</v>
      </c>
      <c r="L123" s="3" t="s">
        <v>47</v>
      </c>
      <c r="M123" s="3" t="s">
        <v>13</v>
      </c>
      <c r="N123" s="5">
        <v>0.11629931625760023</v>
      </c>
      <c r="O123" s="3" t="s">
        <v>7</v>
      </c>
    </row>
    <row r="124" spans="2:15" x14ac:dyDescent="0.45">
      <c r="B124" s="6" t="s">
        <v>45</v>
      </c>
      <c r="C124" s="6" t="s">
        <v>14</v>
      </c>
      <c r="D124" s="7">
        <v>1.3256595321679516E-2</v>
      </c>
      <c r="E124" s="6" t="s">
        <v>7</v>
      </c>
      <c r="G124" s="6" t="s">
        <v>46</v>
      </c>
      <c r="H124" s="6" t="s">
        <v>14</v>
      </c>
      <c r="I124" s="8">
        <v>6.5267168086007035E-2</v>
      </c>
      <c r="J124" s="6" t="s">
        <v>7</v>
      </c>
      <c r="L124" s="6" t="s">
        <v>47</v>
      </c>
      <c r="M124" s="6" t="s">
        <v>14</v>
      </c>
      <c r="N124" s="8">
        <v>6.356629620259982E-2</v>
      </c>
      <c r="O124" s="6" t="s">
        <v>7</v>
      </c>
    </row>
    <row r="125" spans="2:15" x14ac:dyDescent="0.45">
      <c r="B125" s="3" t="s">
        <v>45</v>
      </c>
      <c r="C125" s="3" t="s">
        <v>15</v>
      </c>
      <c r="D125" s="4">
        <v>8.5145355998924432E-3</v>
      </c>
      <c r="E125" s="3" t="s">
        <v>7</v>
      </c>
      <c r="G125" s="3" t="s">
        <v>46</v>
      </c>
      <c r="H125" s="3" t="s">
        <v>15</v>
      </c>
      <c r="I125" s="5">
        <v>4.9786616625620915E-2</v>
      </c>
      <c r="J125" s="3" t="s">
        <v>7</v>
      </c>
      <c r="L125" s="3" t="s">
        <v>47</v>
      </c>
      <c r="M125" s="3" t="s">
        <v>15</v>
      </c>
      <c r="N125" s="5">
        <v>4.1733446849055278E-2</v>
      </c>
      <c r="O125" s="3" t="s">
        <v>7</v>
      </c>
    </row>
    <row r="126" spans="2:15" x14ac:dyDescent="0.45">
      <c r="B126" s="6" t="s">
        <v>45</v>
      </c>
      <c r="C126" s="6" t="s">
        <v>16</v>
      </c>
      <c r="D126" s="7">
        <v>0.33312177825092076</v>
      </c>
      <c r="E126" s="6" t="s">
        <v>7</v>
      </c>
      <c r="G126" s="6" t="s">
        <v>46</v>
      </c>
      <c r="H126" s="6" t="s">
        <v>16</v>
      </c>
      <c r="I126" s="8">
        <v>7.3537784031338149E-2</v>
      </c>
      <c r="J126" s="6" t="s">
        <v>7</v>
      </c>
      <c r="L126" s="6" t="s">
        <v>47</v>
      </c>
      <c r="M126" s="6" t="s">
        <v>16</v>
      </c>
      <c r="N126" s="8">
        <v>6.3482432332797739E-2</v>
      </c>
      <c r="O126" s="6" t="s">
        <v>7</v>
      </c>
    </row>
    <row r="127" spans="2:15" x14ac:dyDescent="0.45">
      <c r="B127" s="3" t="s">
        <v>45</v>
      </c>
      <c r="C127" s="3" t="s">
        <v>17</v>
      </c>
      <c r="D127" s="4">
        <v>2.2290243428204602E-2</v>
      </c>
      <c r="E127" s="3" t="s">
        <v>7</v>
      </c>
      <c r="G127" s="3" t="s">
        <v>46</v>
      </c>
      <c r="H127" s="3" t="s">
        <v>17</v>
      </c>
      <c r="I127" s="5">
        <v>3.8700943189332267E-2</v>
      </c>
      <c r="J127" s="3" t="s">
        <v>7</v>
      </c>
      <c r="L127" s="3" t="s">
        <v>47</v>
      </c>
      <c r="M127" s="3" t="s">
        <v>17</v>
      </c>
      <c r="N127" s="5">
        <v>3.7324275313111943E-2</v>
      </c>
      <c r="O127" s="3" t="s">
        <v>7</v>
      </c>
    </row>
    <row r="128" spans="2:15" x14ac:dyDescent="0.45">
      <c r="B128" s="6" t="s">
        <v>45</v>
      </c>
      <c r="C128" s="6" t="s">
        <v>18</v>
      </c>
      <c r="D128" s="7">
        <v>2.957012180782139E-4</v>
      </c>
      <c r="E128" s="6" t="s">
        <v>7</v>
      </c>
      <c r="G128" s="6" t="s">
        <v>46</v>
      </c>
      <c r="H128" s="6" t="s">
        <v>18</v>
      </c>
      <c r="I128" s="8">
        <v>8.3061353934772875E-2</v>
      </c>
      <c r="J128" s="6" t="s">
        <v>7</v>
      </c>
      <c r="L128" s="6" t="s">
        <v>47</v>
      </c>
      <c r="M128" s="6" t="s">
        <v>18</v>
      </c>
      <c r="N128" s="8">
        <v>8.8963580394540831E-2</v>
      </c>
      <c r="O128" s="6" t="s">
        <v>7</v>
      </c>
    </row>
    <row r="129" spans="2:15" x14ac:dyDescent="0.45">
      <c r="B129" s="3" t="s">
        <v>45</v>
      </c>
      <c r="C129" s="3" t="s">
        <v>19</v>
      </c>
      <c r="D129" s="4">
        <v>0.17184659899018892</v>
      </c>
      <c r="E129" s="3" t="s">
        <v>7</v>
      </c>
      <c r="G129" s="3" t="s">
        <v>46</v>
      </c>
      <c r="H129" s="3" t="s">
        <v>19</v>
      </c>
      <c r="I129" s="5">
        <v>0.11422398897047815</v>
      </c>
      <c r="J129" s="3" t="s">
        <v>7</v>
      </c>
      <c r="L129" s="3" t="s">
        <v>47</v>
      </c>
      <c r="M129" s="3" t="s">
        <v>19</v>
      </c>
      <c r="N129" s="5">
        <v>0.11350678197974345</v>
      </c>
      <c r="O129" s="3" t="s">
        <v>7</v>
      </c>
    </row>
    <row r="130" spans="2:15" x14ac:dyDescent="0.45">
      <c r="B130" s="6" t="s">
        <v>45</v>
      </c>
      <c r="C130" s="6" t="s">
        <v>20</v>
      </c>
      <c r="D130" s="7">
        <v>1.5192812251489699E-3</v>
      </c>
      <c r="E130" s="6" t="s">
        <v>7</v>
      </c>
      <c r="G130" s="6" t="s">
        <v>46</v>
      </c>
      <c r="H130" s="6" t="s">
        <v>20</v>
      </c>
      <c r="I130" s="8">
        <v>6.3884974584857937E-2</v>
      </c>
      <c r="J130" s="6" t="s">
        <v>7</v>
      </c>
      <c r="L130" s="6" t="s">
        <v>47</v>
      </c>
      <c r="M130" s="6" t="s">
        <v>20</v>
      </c>
      <c r="N130" s="8">
        <v>6.9077664190079477E-2</v>
      </c>
      <c r="O130" s="6" t="s">
        <v>7</v>
      </c>
    </row>
    <row r="131" spans="2:15" x14ac:dyDescent="0.45">
      <c r="B131" s="3" t="s">
        <v>48</v>
      </c>
      <c r="C131" s="3" t="s">
        <v>6</v>
      </c>
      <c r="D131" s="4">
        <v>0</v>
      </c>
      <c r="E131" s="3" t="s">
        <v>7</v>
      </c>
      <c r="G131" s="3" t="s">
        <v>49</v>
      </c>
      <c r="H131" s="3" t="s">
        <v>6</v>
      </c>
      <c r="I131" s="5">
        <v>0.10181755776724316</v>
      </c>
      <c r="J131" s="3" t="s">
        <v>7</v>
      </c>
      <c r="L131" s="3" t="s">
        <v>50</v>
      </c>
      <c r="M131" s="3" t="s">
        <v>6</v>
      </c>
      <c r="N131" s="5">
        <v>0.10081862534879285</v>
      </c>
      <c r="O131" s="3" t="s">
        <v>7</v>
      </c>
    </row>
    <row r="132" spans="2:15" x14ac:dyDescent="0.45">
      <c r="B132" s="6" t="s">
        <v>48</v>
      </c>
      <c r="C132" s="6" t="s">
        <v>10</v>
      </c>
      <c r="D132" s="7">
        <v>0.12824822968950844</v>
      </c>
      <c r="E132" s="6" t="s">
        <v>7</v>
      </c>
      <c r="G132" s="6" t="s">
        <v>49</v>
      </c>
      <c r="H132" s="6" t="s">
        <v>10</v>
      </c>
      <c r="I132" s="8">
        <v>0.12072700034620516</v>
      </c>
      <c r="J132" s="6" t="s">
        <v>7</v>
      </c>
      <c r="L132" s="6" t="s">
        <v>50</v>
      </c>
      <c r="M132" s="6" t="s">
        <v>10</v>
      </c>
      <c r="N132" s="8">
        <v>0.12385272874502187</v>
      </c>
      <c r="O132" s="6" t="s">
        <v>7</v>
      </c>
    </row>
    <row r="133" spans="2:15" x14ac:dyDescent="0.45">
      <c r="B133" s="3" t="s">
        <v>48</v>
      </c>
      <c r="C133" s="3" t="s">
        <v>11</v>
      </c>
      <c r="D133" s="4">
        <v>7.1658244162343881E-6</v>
      </c>
      <c r="E133" s="3" t="s">
        <v>7</v>
      </c>
      <c r="G133" s="3" t="s">
        <v>49</v>
      </c>
      <c r="H133" s="3" t="s">
        <v>11</v>
      </c>
      <c r="I133" s="5">
        <v>7.7774922670788504E-2</v>
      </c>
      <c r="J133" s="3" t="s">
        <v>7</v>
      </c>
      <c r="L133" s="3" t="s">
        <v>50</v>
      </c>
      <c r="M133" s="3" t="s">
        <v>11</v>
      </c>
      <c r="N133" s="5">
        <v>7.7531095311673306E-2</v>
      </c>
      <c r="O133" s="3" t="s">
        <v>7</v>
      </c>
    </row>
    <row r="134" spans="2:15" x14ac:dyDescent="0.45">
      <c r="B134" s="6" t="s">
        <v>48</v>
      </c>
      <c r="C134" s="6" t="s">
        <v>12</v>
      </c>
      <c r="D134" s="7">
        <v>6.5700100715313965E-3</v>
      </c>
      <c r="E134" s="6" t="s">
        <v>7</v>
      </c>
      <c r="G134" s="6" t="s">
        <v>49</v>
      </c>
      <c r="H134" s="6" t="s">
        <v>12</v>
      </c>
      <c r="I134" s="8">
        <v>8.5649949319337518E-2</v>
      </c>
      <c r="J134" s="6" t="s">
        <v>7</v>
      </c>
      <c r="L134" s="6" t="s">
        <v>50</v>
      </c>
      <c r="M134" s="6" t="s">
        <v>12</v>
      </c>
      <c r="N134" s="8">
        <v>9.2955375444628258E-2</v>
      </c>
      <c r="O134" s="6" t="s">
        <v>7</v>
      </c>
    </row>
    <row r="135" spans="2:15" x14ac:dyDescent="0.45">
      <c r="B135" s="3" t="s">
        <v>48</v>
      </c>
      <c r="C135" s="3" t="s">
        <v>13</v>
      </c>
      <c r="D135" s="4">
        <v>0.29141247666413861</v>
      </c>
      <c r="E135" s="3" t="s">
        <v>7</v>
      </c>
      <c r="G135" s="3" t="s">
        <v>49</v>
      </c>
      <c r="H135" s="3" t="s">
        <v>13</v>
      </c>
      <c r="I135" s="5">
        <v>0.11172596744004847</v>
      </c>
      <c r="J135" s="3" t="s">
        <v>7</v>
      </c>
      <c r="L135" s="3" t="s">
        <v>50</v>
      </c>
      <c r="M135" s="3" t="s">
        <v>13</v>
      </c>
      <c r="N135" s="5">
        <v>0.11153509796699604</v>
      </c>
      <c r="O135" s="3" t="s">
        <v>7</v>
      </c>
    </row>
    <row r="136" spans="2:15" x14ac:dyDescent="0.45">
      <c r="B136" s="6" t="s">
        <v>48</v>
      </c>
      <c r="C136" s="6" t="s">
        <v>14</v>
      </c>
      <c r="D136" s="7">
        <v>7.1660618636050196E-3</v>
      </c>
      <c r="E136" s="6" t="s">
        <v>7</v>
      </c>
      <c r="G136" s="6" t="s">
        <v>49</v>
      </c>
      <c r="H136" s="6" t="s">
        <v>14</v>
      </c>
      <c r="I136" s="8">
        <v>6.7674086274323891E-2</v>
      </c>
      <c r="J136" s="6" t="s">
        <v>7</v>
      </c>
      <c r="L136" s="6" t="s">
        <v>50</v>
      </c>
      <c r="M136" s="6" t="s">
        <v>14</v>
      </c>
      <c r="N136" s="8">
        <v>6.6589602914173707E-2</v>
      </c>
      <c r="O136" s="6" t="s">
        <v>7</v>
      </c>
    </row>
    <row r="137" spans="2:15" x14ac:dyDescent="0.45">
      <c r="B137" s="3" t="s">
        <v>48</v>
      </c>
      <c r="C137" s="3" t="s">
        <v>15</v>
      </c>
      <c r="D137" s="4">
        <v>1.0970648254990041E-2</v>
      </c>
      <c r="E137" s="3" t="s">
        <v>7</v>
      </c>
      <c r="G137" s="3" t="s">
        <v>49</v>
      </c>
      <c r="H137" s="3" t="s">
        <v>15</v>
      </c>
      <c r="I137" s="5">
        <v>5.8841436531156983E-2</v>
      </c>
      <c r="J137" s="3" t="s">
        <v>7</v>
      </c>
      <c r="L137" s="3" t="s">
        <v>50</v>
      </c>
      <c r="M137" s="3" t="s">
        <v>15</v>
      </c>
      <c r="N137" s="5">
        <v>5.3959866343807665E-2</v>
      </c>
      <c r="O137" s="3" t="s">
        <v>7</v>
      </c>
    </row>
    <row r="138" spans="2:15" x14ac:dyDescent="0.45">
      <c r="B138" s="6" t="s">
        <v>48</v>
      </c>
      <c r="C138" s="6" t="s">
        <v>16</v>
      </c>
      <c r="D138" s="7">
        <v>0.35151860597118784</v>
      </c>
      <c r="E138" s="6" t="s">
        <v>7</v>
      </c>
      <c r="G138" s="6" t="s">
        <v>49</v>
      </c>
      <c r="H138" s="6" t="s">
        <v>16</v>
      </c>
      <c r="I138" s="8">
        <v>7.2285450241449167E-2</v>
      </c>
      <c r="J138" s="6" t="s">
        <v>7</v>
      </c>
      <c r="L138" s="6" t="s">
        <v>50</v>
      </c>
      <c r="M138" s="6" t="s">
        <v>16</v>
      </c>
      <c r="N138" s="8">
        <v>7.0005799125787388E-2</v>
      </c>
      <c r="O138" s="6" t="s">
        <v>7</v>
      </c>
    </row>
    <row r="139" spans="2:15" x14ac:dyDescent="0.45">
      <c r="B139" s="3" t="s">
        <v>48</v>
      </c>
      <c r="C139" s="3" t="s">
        <v>17</v>
      </c>
      <c r="D139" s="4">
        <v>1.4013201193013686E-2</v>
      </c>
      <c r="E139" s="3" t="s">
        <v>7</v>
      </c>
      <c r="G139" s="3" t="s">
        <v>49</v>
      </c>
      <c r="H139" s="3" t="s">
        <v>17</v>
      </c>
      <c r="I139" s="5">
        <v>4.8801928751920728E-2</v>
      </c>
      <c r="J139" s="3" t="s">
        <v>7</v>
      </c>
      <c r="L139" s="3" t="s">
        <v>50</v>
      </c>
      <c r="M139" s="3" t="s">
        <v>17</v>
      </c>
      <c r="N139" s="5">
        <v>4.8473305046579679E-2</v>
      </c>
      <c r="O139" s="3" t="s">
        <v>7</v>
      </c>
    </row>
    <row r="140" spans="2:15" x14ac:dyDescent="0.45">
      <c r="B140" s="6" t="s">
        <v>48</v>
      </c>
      <c r="C140" s="6" t="s">
        <v>18</v>
      </c>
      <c r="D140" s="7">
        <v>1.1531032999096281E-3</v>
      </c>
      <c r="E140" s="6" t="s">
        <v>7</v>
      </c>
      <c r="G140" s="6" t="s">
        <v>49</v>
      </c>
      <c r="H140" s="6" t="s">
        <v>18</v>
      </c>
      <c r="I140" s="8">
        <v>8.5283349361642405E-2</v>
      </c>
      <c r="J140" s="6" t="s">
        <v>7</v>
      </c>
      <c r="L140" s="6" t="s">
        <v>50</v>
      </c>
      <c r="M140" s="6" t="s">
        <v>18</v>
      </c>
      <c r="N140" s="8">
        <v>8.3497091855433955E-2</v>
      </c>
      <c r="O140" s="6" t="s">
        <v>7</v>
      </c>
    </row>
    <row r="141" spans="2:15" x14ac:dyDescent="0.45">
      <c r="B141" s="3" t="s">
        <v>48</v>
      </c>
      <c r="C141" s="3" t="s">
        <v>19</v>
      </c>
      <c r="D141" s="4">
        <v>0.18805103431690776</v>
      </c>
      <c r="E141" s="3" t="s">
        <v>7</v>
      </c>
      <c r="G141" s="3" t="s">
        <v>49</v>
      </c>
      <c r="H141" s="3" t="s">
        <v>19</v>
      </c>
      <c r="I141" s="5">
        <v>0.10298358034995365</v>
      </c>
      <c r="J141" s="3" t="s">
        <v>7</v>
      </c>
      <c r="L141" s="3" t="s">
        <v>50</v>
      </c>
      <c r="M141" s="3" t="s">
        <v>19</v>
      </c>
      <c r="N141" s="5">
        <v>0.1068401450912396</v>
      </c>
      <c r="O141" s="3" t="s">
        <v>7</v>
      </c>
    </row>
    <row r="142" spans="2:15" x14ac:dyDescent="0.45">
      <c r="B142" s="6" t="s">
        <v>48</v>
      </c>
      <c r="C142" s="6" t="s">
        <v>20</v>
      </c>
      <c r="D142" s="7">
        <v>8.8946285079137012E-4</v>
      </c>
      <c r="E142" s="6" t="s">
        <v>7</v>
      </c>
      <c r="G142" s="6" t="s">
        <v>49</v>
      </c>
      <c r="H142" s="6" t="s">
        <v>20</v>
      </c>
      <c r="I142" s="8">
        <v>6.643477094593038E-2</v>
      </c>
      <c r="J142" s="6" t="s">
        <v>7</v>
      </c>
      <c r="L142" s="6" t="s">
        <v>50</v>
      </c>
      <c r="M142" s="6" t="s">
        <v>20</v>
      </c>
      <c r="N142" s="8">
        <v>6.3941266805865676E-2</v>
      </c>
      <c r="O142" s="6" t="s">
        <v>7</v>
      </c>
    </row>
    <row r="143" spans="2:15" x14ac:dyDescent="0.45">
      <c r="B143" s="3" t="s">
        <v>51</v>
      </c>
      <c r="C143" s="3" t="s">
        <v>6</v>
      </c>
      <c r="D143" s="4">
        <v>0</v>
      </c>
      <c r="E143" s="3" t="s">
        <v>7</v>
      </c>
      <c r="G143" s="3" t="s">
        <v>52</v>
      </c>
      <c r="H143" s="3" t="s">
        <v>6</v>
      </c>
      <c r="I143" s="5">
        <v>9.9291105776620189E-2</v>
      </c>
      <c r="J143" s="3" t="s">
        <v>7</v>
      </c>
      <c r="L143" s="3" t="s">
        <v>53</v>
      </c>
      <c r="M143" s="3" t="s">
        <v>6</v>
      </c>
      <c r="N143" s="5">
        <v>9.562508532616433E-2</v>
      </c>
      <c r="O143" s="3" t="s">
        <v>7</v>
      </c>
    </row>
    <row r="144" spans="2:15" x14ac:dyDescent="0.45">
      <c r="B144" s="6" t="s">
        <v>51</v>
      </c>
      <c r="C144" s="6" t="s">
        <v>10</v>
      </c>
      <c r="D144" s="7">
        <v>0.12645417522639904</v>
      </c>
      <c r="E144" s="6" t="s">
        <v>7</v>
      </c>
      <c r="G144" s="6" t="s">
        <v>52</v>
      </c>
      <c r="H144" s="6" t="s">
        <v>10</v>
      </c>
      <c r="I144" s="8">
        <v>0.12065386217394169</v>
      </c>
      <c r="J144" s="6" t="s">
        <v>7</v>
      </c>
      <c r="L144" s="6" t="s">
        <v>53</v>
      </c>
      <c r="M144" s="6" t="s">
        <v>10</v>
      </c>
      <c r="N144" s="8">
        <v>0.11709148227015667</v>
      </c>
      <c r="O144" s="6" t="s">
        <v>7</v>
      </c>
    </row>
    <row r="145" spans="2:15" x14ac:dyDescent="0.45">
      <c r="B145" s="3" t="s">
        <v>51</v>
      </c>
      <c r="C145" s="3" t="s">
        <v>11</v>
      </c>
      <c r="D145" s="4">
        <v>1.3144761229515932E-4</v>
      </c>
      <c r="E145" s="3" t="s">
        <v>7</v>
      </c>
      <c r="G145" s="3" t="s">
        <v>52</v>
      </c>
      <c r="H145" s="3" t="s">
        <v>11</v>
      </c>
      <c r="I145" s="5">
        <v>7.4688899213818702E-2</v>
      </c>
      <c r="J145" s="3" t="s">
        <v>7</v>
      </c>
      <c r="L145" s="3" t="s">
        <v>53</v>
      </c>
      <c r="M145" s="3" t="s">
        <v>11</v>
      </c>
      <c r="N145" s="5">
        <v>7.3234332973171737E-2</v>
      </c>
      <c r="O145" s="3" t="s">
        <v>7</v>
      </c>
    </row>
    <row r="146" spans="2:15" x14ac:dyDescent="0.45">
      <c r="B146" s="6" t="s">
        <v>51</v>
      </c>
      <c r="C146" s="6" t="s">
        <v>12</v>
      </c>
      <c r="D146" s="7">
        <v>4.4151045369621314E-3</v>
      </c>
      <c r="E146" s="6" t="s">
        <v>7</v>
      </c>
      <c r="G146" s="6" t="s">
        <v>52</v>
      </c>
      <c r="H146" s="6" t="s">
        <v>12</v>
      </c>
      <c r="I146" s="8">
        <v>8.8757042601378497E-2</v>
      </c>
      <c r="J146" s="6" t="s">
        <v>7</v>
      </c>
      <c r="L146" s="6" t="s">
        <v>53</v>
      </c>
      <c r="M146" s="6" t="s">
        <v>12</v>
      </c>
      <c r="N146" s="8">
        <v>8.5878971624343256E-2</v>
      </c>
      <c r="O146" s="6" t="s">
        <v>7</v>
      </c>
    </row>
    <row r="147" spans="2:15" x14ac:dyDescent="0.45">
      <c r="B147" s="3" t="s">
        <v>51</v>
      </c>
      <c r="C147" s="3" t="s">
        <v>13</v>
      </c>
      <c r="D147" s="4">
        <v>0.29893450752708478</v>
      </c>
      <c r="E147" s="3" t="s">
        <v>7</v>
      </c>
      <c r="G147" s="3" t="s">
        <v>52</v>
      </c>
      <c r="H147" s="3" t="s">
        <v>13</v>
      </c>
      <c r="I147" s="5">
        <v>0.11732861004525538</v>
      </c>
      <c r="J147" s="3" t="s">
        <v>7</v>
      </c>
      <c r="L147" s="3" t="s">
        <v>53</v>
      </c>
      <c r="M147" s="3" t="s">
        <v>13</v>
      </c>
      <c r="N147" s="5">
        <v>0.11034093334619093</v>
      </c>
      <c r="O147" s="3" t="s">
        <v>7</v>
      </c>
    </row>
    <row r="148" spans="2:15" x14ac:dyDescent="0.45">
      <c r="B148" s="6" t="s">
        <v>51</v>
      </c>
      <c r="C148" s="6" t="s">
        <v>14</v>
      </c>
      <c r="D148" s="7">
        <v>9.7623528867879818E-3</v>
      </c>
      <c r="E148" s="6" t="s">
        <v>7</v>
      </c>
      <c r="G148" s="6" t="s">
        <v>52</v>
      </c>
      <c r="H148" s="6" t="s">
        <v>14</v>
      </c>
      <c r="I148" s="8">
        <v>6.8354731244215691E-2</v>
      </c>
      <c r="J148" s="6" t="s">
        <v>7</v>
      </c>
      <c r="L148" s="6" t="s">
        <v>53</v>
      </c>
      <c r="M148" s="6" t="s">
        <v>14</v>
      </c>
      <c r="N148" s="8">
        <v>6.7400489934819618E-2</v>
      </c>
      <c r="O148" s="6" t="s">
        <v>7</v>
      </c>
    </row>
    <row r="149" spans="2:15" x14ac:dyDescent="0.45">
      <c r="B149" s="3" t="s">
        <v>51</v>
      </c>
      <c r="C149" s="3" t="s">
        <v>15</v>
      </c>
      <c r="D149" s="4">
        <v>7.3220282758907004E-3</v>
      </c>
      <c r="E149" s="3" t="s">
        <v>7</v>
      </c>
      <c r="G149" s="3" t="s">
        <v>52</v>
      </c>
      <c r="H149" s="3" t="s">
        <v>15</v>
      </c>
      <c r="I149" s="5">
        <v>5.974971974507344E-2</v>
      </c>
      <c r="J149" s="3" t="s">
        <v>7</v>
      </c>
      <c r="L149" s="3" t="s">
        <v>53</v>
      </c>
      <c r="M149" s="3" t="s">
        <v>15</v>
      </c>
      <c r="N149" s="5">
        <v>6.1737858886333166E-2</v>
      </c>
      <c r="O149" s="3" t="s">
        <v>7</v>
      </c>
    </row>
    <row r="150" spans="2:15" x14ac:dyDescent="0.45">
      <c r="B150" s="6" t="s">
        <v>51</v>
      </c>
      <c r="C150" s="6" t="s">
        <v>16</v>
      </c>
      <c r="D150" s="7">
        <v>0.34825076312008174</v>
      </c>
      <c r="E150" s="6" t="s">
        <v>7</v>
      </c>
      <c r="G150" s="6" t="s">
        <v>52</v>
      </c>
      <c r="H150" s="6" t="s">
        <v>16</v>
      </c>
      <c r="I150" s="8">
        <v>7.3732999581849423E-2</v>
      </c>
      <c r="J150" s="6" t="s">
        <v>7</v>
      </c>
      <c r="L150" s="6" t="s">
        <v>53</v>
      </c>
      <c r="M150" s="6" t="s">
        <v>16</v>
      </c>
      <c r="N150" s="8">
        <v>6.7806964202852454E-2</v>
      </c>
      <c r="O150" s="6" t="s">
        <v>7</v>
      </c>
    </row>
    <row r="151" spans="2:15" x14ac:dyDescent="0.45">
      <c r="B151" s="3" t="s">
        <v>51</v>
      </c>
      <c r="C151" s="3" t="s">
        <v>17</v>
      </c>
      <c r="D151" s="4">
        <v>1.6923852935410891E-2</v>
      </c>
      <c r="E151" s="3" t="s">
        <v>7</v>
      </c>
      <c r="G151" s="3" t="s">
        <v>52</v>
      </c>
      <c r="H151" s="3" t="s">
        <v>17</v>
      </c>
      <c r="I151" s="5">
        <v>4.714714059156979E-2</v>
      </c>
      <c r="J151" s="3" t="s">
        <v>7</v>
      </c>
      <c r="L151" s="3" t="s">
        <v>53</v>
      </c>
      <c r="M151" s="3" t="s">
        <v>17</v>
      </c>
      <c r="N151" s="5">
        <v>4.2562421787155393E-2</v>
      </c>
      <c r="O151" s="3" t="s">
        <v>7</v>
      </c>
    </row>
    <row r="152" spans="2:15" x14ac:dyDescent="0.45">
      <c r="B152" s="6" t="s">
        <v>51</v>
      </c>
      <c r="C152" s="6" t="s">
        <v>18</v>
      </c>
      <c r="D152" s="7">
        <v>4.1226283676333656E-4</v>
      </c>
      <c r="E152" s="6" t="s">
        <v>7</v>
      </c>
      <c r="G152" s="6" t="s">
        <v>52</v>
      </c>
      <c r="H152" s="6" t="s">
        <v>18</v>
      </c>
      <c r="I152" s="8">
        <v>8.0517972373703672E-2</v>
      </c>
      <c r="J152" s="6" t="s">
        <v>7</v>
      </c>
      <c r="L152" s="6" t="s">
        <v>53</v>
      </c>
      <c r="M152" s="6" t="s">
        <v>18</v>
      </c>
      <c r="N152" s="8">
        <v>9.3185367504587918E-2</v>
      </c>
      <c r="O152" s="6" t="s">
        <v>7</v>
      </c>
    </row>
    <row r="153" spans="2:15" x14ac:dyDescent="0.45">
      <c r="B153" s="3" t="s">
        <v>51</v>
      </c>
      <c r="C153" s="3" t="s">
        <v>19</v>
      </c>
      <c r="D153" s="4">
        <v>0.18589373246173943</v>
      </c>
      <c r="E153" s="3" t="s">
        <v>7</v>
      </c>
      <c r="G153" s="3" t="s">
        <v>52</v>
      </c>
      <c r="H153" s="3" t="s">
        <v>19</v>
      </c>
      <c r="I153" s="5">
        <v>0.10661798122756128</v>
      </c>
      <c r="J153" s="3" t="s">
        <v>7</v>
      </c>
      <c r="L153" s="3" t="s">
        <v>53</v>
      </c>
      <c r="M153" s="3" t="s">
        <v>19</v>
      </c>
      <c r="N153" s="5">
        <v>0.11583501966864763</v>
      </c>
      <c r="O153" s="3" t="s">
        <v>7</v>
      </c>
    </row>
    <row r="154" spans="2:15" x14ac:dyDescent="0.45">
      <c r="B154" s="6" t="s">
        <v>51</v>
      </c>
      <c r="C154" s="6" t="s">
        <v>20</v>
      </c>
      <c r="D154" s="7">
        <v>1.4997725805849257E-3</v>
      </c>
      <c r="E154" s="6" t="s">
        <v>7</v>
      </c>
      <c r="G154" s="6" t="s">
        <v>52</v>
      </c>
      <c r="H154" s="6" t="s">
        <v>20</v>
      </c>
      <c r="I154" s="8">
        <v>6.315993542501222E-2</v>
      </c>
      <c r="J154" s="6" t="s">
        <v>7</v>
      </c>
      <c r="L154" s="6" t="s">
        <v>53</v>
      </c>
      <c r="M154" s="6" t="s">
        <v>20</v>
      </c>
      <c r="N154" s="8">
        <v>6.9301072475576875E-2</v>
      </c>
      <c r="O154" s="6" t="s">
        <v>7</v>
      </c>
    </row>
    <row r="155" spans="2:15" x14ac:dyDescent="0.45">
      <c r="B155" s="3" t="s">
        <v>54</v>
      </c>
      <c r="C155" s="3" t="s">
        <v>6</v>
      </c>
      <c r="D155" s="4">
        <v>0</v>
      </c>
      <c r="E155" s="3" t="s">
        <v>7</v>
      </c>
      <c r="G155" s="3" t="s">
        <v>55</v>
      </c>
      <c r="H155" s="3" t="s">
        <v>6</v>
      </c>
      <c r="I155" s="5">
        <v>0.10415780759175262</v>
      </c>
      <c r="J155" s="3" t="s">
        <v>7</v>
      </c>
      <c r="L155" s="3" t="s">
        <v>56</v>
      </c>
      <c r="M155" s="3" t="s">
        <v>6</v>
      </c>
      <c r="N155" s="5">
        <v>0.10853739689197586</v>
      </c>
      <c r="O155" s="3" t="s">
        <v>7</v>
      </c>
    </row>
    <row r="156" spans="2:15" x14ac:dyDescent="0.45">
      <c r="B156" s="6" t="s">
        <v>54</v>
      </c>
      <c r="C156" s="6" t="s">
        <v>10</v>
      </c>
      <c r="D156" s="7">
        <v>0.12280023413784326</v>
      </c>
      <c r="E156" s="6" t="s">
        <v>7</v>
      </c>
      <c r="G156" s="6" t="s">
        <v>55</v>
      </c>
      <c r="H156" s="6" t="s">
        <v>10</v>
      </c>
      <c r="I156" s="8">
        <v>0.12945298890993251</v>
      </c>
      <c r="J156" s="6" t="s">
        <v>7</v>
      </c>
      <c r="L156" s="6" t="s">
        <v>56</v>
      </c>
      <c r="M156" s="6" t="s">
        <v>10</v>
      </c>
      <c r="N156" s="8">
        <v>0.13112718935786546</v>
      </c>
      <c r="O156" s="6" t="s">
        <v>7</v>
      </c>
    </row>
    <row r="157" spans="2:15" x14ac:dyDescent="0.45">
      <c r="B157" s="3" t="s">
        <v>54</v>
      </c>
      <c r="C157" s="3" t="s">
        <v>11</v>
      </c>
      <c r="D157" s="4">
        <v>1.582235656708714E-4</v>
      </c>
      <c r="E157" s="3" t="s">
        <v>7</v>
      </c>
      <c r="G157" s="3" t="s">
        <v>55</v>
      </c>
      <c r="H157" s="3" t="s">
        <v>11</v>
      </c>
      <c r="I157" s="5">
        <v>8.0335798287980639E-2</v>
      </c>
      <c r="J157" s="3" t="s">
        <v>7</v>
      </c>
      <c r="L157" s="3" t="s">
        <v>56</v>
      </c>
      <c r="M157" s="3" t="s">
        <v>11</v>
      </c>
      <c r="N157" s="5">
        <v>8.2409622522076106E-2</v>
      </c>
      <c r="O157" s="3" t="s">
        <v>7</v>
      </c>
    </row>
    <row r="158" spans="2:15" x14ac:dyDescent="0.45">
      <c r="B158" s="6" t="s">
        <v>54</v>
      </c>
      <c r="C158" s="6" t="s">
        <v>12</v>
      </c>
      <c r="D158" s="7">
        <v>5.3296097516886227E-3</v>
      </c>
      <c r="E158" s="6" t="s">
        <v>7</v>
      </c>
      <c r="G158" s="6" t="s">
        <v>55</v>
      </c>
      <c r="H158" s="6" t="s">
        <v>12</v>
      </c>
      <c r="I158" s="8">
        <v>8.4686497047459272E-2</v>
      </c>
      <c r="J158" s="6" t="s">
        <v>7</v>
      </c>
      <c r="L158" s="6" t="s">
        <v>56</v>
      </c>
      <c r="M158" s="6" t="s">
        <v>12</v>
      </c>
      <c r="N158" s="8">
        <v>7.84287735579344E-2</v>
      </c>
      <c r="O158" s="6" t="s">
        <v>7</v>
      </c>
    </row>
    <row r="159" spans="2:15" x14ac:dyDescent="0.45">
      <c r="B159" s="3" t="s">
        <v>54</v>
      </c>
      <c r="C159" s="3" t="s">
        <v>13</v>
      </c>
      <c r="D159" s="4">
        <v>0.31038095849380842</v>
      </c>
      <c r="E159" s="3" t="s">
        <v>7</v>
      </c>
      <c r="G159" s="3" t="s">
        <v>55</v>
      </c>
      <c r="H159" s="3" t="s">
        <v>13</v>
      </c>
      <c r="I159" s="5">
        <v>0.12159659986501459</v>
      </c>
      <c r="J159" s="3" t="s">
        <v>7</v>
      </c>
      <c r="L159" s="3" t="s">
        <v>56</v>
      </c>
      <c r="M159" s="3" t="s">
        <v>13</v>
      </c>
      <c r="N159" s="5">
        <v>0.10308409373001173</v>
      </c>
      <c r="O159" s="3" t="s">
        <v>7</v>
      </c>
    </row>
    <row r="160" spans="2:15" x14ac:dyDescent="0.45">
      <c r="B160" s="6" t="s">
        <v>54</v>
      </c>
      <c r="C160" s="6" t="s">
        <v>14</v>
      </c>
      <c r="D160" s="7">
        <v>1.0344507803503352E-2</v>
      </c>
      <c r="E160" s="6" t="s">
        <v>7</v>
      </c>
      <c r="G160" s="6" t="s">
        <v>55</v>
      </c>
      <c r="H160" s="6" t="s">
        <v>14</v>
      </c>
      <c r="I160" s="8">
        <v>6.6383337217140015E-2</v>
      </c>
      <c r="J160" s="6" t="s">
        <v>7</v>
      </c>
      <c r="L160" s="6" t="s">
        <v>56</v>
      </c>
      <c r="M160" s="6" t="s">
        <v>14</v>
      </c>
      <c r="N160" s="8">
        <v>6.399783155602741E-2</v>
      </c>
      <c r="O160" s="6" t="s">
        <v>7</v>
      </c>
    </row>
    <row r="161" spans="2:15" x14ac:dyDescent="0.45">
      <c r="B161" s="3" t="s">
        <v>54</v>
      </c>
      <c r="C161" s="3" t="s">
        <v>15</v>
      </c>
      <c r="D161" s="4">
        <v>9.0334298134716016E-3</v>
      </c>
      <c r="E161" s="3" t="s">
        <v>7</v>
      </c>
      <c r="G161" s="3" t="s">
        <v>55</v>
      </c>
      <c r="H161" s="3" t="s">
        <v>15</v>
      </c>
      <c r="I161" s="5">
        <v>4.7754334209680754E-2</v>
      </c>
      <c r="J161" s="3" t="s">
        <v>7</v>
      </c>
      <c r="L161" s="3" t="s">
        <v>56</v>
      </c>
      <c r="M161" s="3" t="s">
        <v>15</v>
      </c>
      <c r="N161" s="5">
        <v>5.4389193604700674E-2</v>
      </c>
      <c r="O161" s="3" t="s">
        <v>7</v>
      </c>
    </row>
    <row r="162" spans="2:15" x14ac:dyDescent="0.45">
      <c r="B162" s="6" t="s">
        <v>54</v>
      </c>
      <c r="C162" s="6" t="s">
        <v>16</v>
      </c>
      <c r="D162" s="7">
        <v>0.34332487116087773</v>
      </c>
      <c r="E162" s="6" t="s">
        <v>7</v>
      </c>
      <c r="G162" s="6" t="s">
        <v>55</v>
      </c>
      <c r="H162" s="6" t="s">
        <v>16</v>
      </c>
      <c r="I162" s="8">
        <v>6.8982892088810865E-2</v>
      </c>
      <c r="J162" s="6" t="s">
        <v>7</v>
      </c>
      <c r="L162" s="6" t="s">
        <v>56</v>
      </c>
      <c r="M162" s="6" t="s">
        <v>16</v>
      </c>
      <c r="N162" s="8">
        <v>7.3453341029485739E-2</v>
      </c>
      <c r="O162" s="6" t="s">
        <v>7</v>
      </c>
    </row>
    <row r="163" spans="2:15" x14ac:dyDescent="0.45">
      <c r="B163" s="3" t="s">
        <v>54</v>
      </c>
      <c r="C163" s="3" t="s">
        <v>17</v>
      </c>
      <c r="D163" s="4">
        <v>1.750340106241088E-2</v>
      </c>
      <c r="E163" s="3" t="s">
        <v>7</v>
      </c>
      <c r="G163" s="3" t="s">
        <v>55</v>
      </c>
      <c r="H163" s="3" t="s">
        <v>17</v>
      </c>
      <c r="I163" s="5">
        <v>4.1611258501469295E-2</v>
      </c>
      <c r="J163" s="3" t="s">
        <v>7</v>
      </c>
      <c r="L163" s="3" t="s">
        <v>56</v>
      </c>
      <c r="M163" s="3" t="s">
        <v>17</v>
      </c>
      <c r="N163" s="5">
        <v>4.0597933375282204E-2</v>
      </c>
      <c r="O163" s="3" t="s">
        <v>7</v>
      </c>
    </row>
    <row r="164" spans="2:15" x14ac:dyDescent="0.45">
      <c r="B164" s="6" t="s">
        <v>54</v>
      </c>
      <c r="C164" s="6" t="s">
        <v>18</v>
      </c>
      <c r="D164" s="7">
        <v>5.0147364599078235E-4</v>
      </c>
      <c r="E164" s="6" t="s">
        <v>7</v>
      </c>
      <c r="G164" s="6" t="s">
        <v>55</v>
      </c>
      <c r="H164" s="6" t="s">
        <v>18</v>
      </c>
      <c r="I164" s="8">
        <v>8.0831964260362238E-2</v>
      </c>
      <c r="J164" s="6" t="s">
        <v>7</v>
      </c>
      <c r="L164" s="6" t="s">
        <v>56</v>
      </c>
      <c r="M164" s="6" t="s">
        <v>18</v>
      </c>
      <c r="N164" s="8">
        <v>8.4982740879466084E-2</v>
      </c>
      <c r="O164" s="6" t="s">
        <v>7</v>
      </c>
    </row>
    <row r="165" spans="2:15" x14ac:dyDescent="0.45">
      <c r="B165" s="3" t="s">
        <v>54</v>
      </c>
      <c r="C165" s="3" t="s">
        <v>19</v>
      </c>
      <c r="D165" s="4">
        <v>0.17931885612923285</v>
      </c>
      <c r="E165" s="3" t="s">
        <v>7</v>
      </c>
      <c r="G165" s="3" t="s">
        <v>55</v>
      </c>
      <c r="H165" s="3" t="s">
        <v>19</v>
      </c>
      <c r="I165" s="5">
        <v>0.10986883996105058</v>
      </c>
      <c r="J165" s="3" t="s">
        <v>7</v>
      </c>
      <c r="L165" s="3" t="s">
        <v>56</v>
      </c>
      <c r="M165" s="3" t="s">
        <v>19</v>
      </c>
      <c r="N165" s="5">
        <v>0.11338874878207413</v>
      </c>
      <c r="O165" s="3" t="s">
        <v>7</v>
      </c>
    </row>
    <row r="166" spans="2:15" x14ac:dyDescent="0.45">
      <c r="B166" s="6" t="s">
        <v>54</v>
      </c>
      <c r="C166" s="6" t="s">
        <v>20</v>
      </c>
      <c r="D166" s="7">
        <v>1.3044344355016228E-3</v>
      </c>
      <c r="E166" s="6" t="s">
        <v>7</v>
      </c>
      <c r="G166" s="6" t="s">
        <v>55</v>
      </c>
      <c r="H166" s="6" t="s">
        <v>20</v>
      </c>
      <c r="I166" s="8">
        <v>6.4337682059346632E-2</v>
      </c>
      <c r="J166" s="6" t="s">
        <v>7</v>
      </c>
      <c r="L166" s="6" t="s">
        <v>56</v>
      </c>
      <c r="M166" s="6" t="s">
        <v>20</v>
      </c>
      <c r="N166" s="8">
        <v>6.5603134713100253E-2</v>
      </c>
      <c r="O166" s="6" t="s">
        <v>7</v>
      </c>
    </row>
    <row r="167" spans="2:15" x14ac:dyDescent="0.45">
      <c r="B167" s="3" t="s">
        <v>57</v>
      </c>
      <c r="C167" s="3" t="s">
        <v>6</v>
      </c>
      <c r="D167" s="4">
        <v>0</v>
      </c>
      <c r="E167" s="3" t="s">
        <v>7</v>
      </c>
      <c r="G167" s="3" t="s">
        <v>58</v>
      </c>
      <c r="H167" s="3" t="s">
        <v>6</v>
      </c>
      <c r="I167" s="5">
        <v>0.10635725330576243</v>
      </c>
      <c r="J167" s="3" t="s">
        <v>7</v>
      </c>
      <c r="L167" s="3" t="s">
        <v>59</v>
      </c>
      <c r="M167" s="3" t="s">
        <v>6</v>
      </c>
      <c r="N167" s="5">
        <v>9.6359548466579806E-2</v>
      </c>
      <c r="O167" s="3" t="s">
        <v>7</v>
      </c>
    </row>
    <row r="168" spans="2:15" x14ac:dyDescent="0.45">
      <c r="B168" s="6" t="s">
        <v>57</v>
      </c>
      <c r="C168" s="6" t="s">
        <v>10</v>
      </c>
      <c r="D168" s="7">
        <v>0.11376142093378958</v>
      </c>
      <c r="E168" s="6" t="s">
        <v>7</v>
      </c>
      <c r="G168" s="6" t="s">
        <v>58</v>
      </c>
      <c r="H168" s="6" t="s">
        <v>10</v>
      </c>
      <c r="I168" s="8">
        <v>0.1340871875611554</v>
      </c>
      <c r="J168" s="6" t="s">
        <v>7</v>
      </c>
      <c r="L168" s="6" t="s">
        <v>59</v>
      </c>
      <c r="M168" s="6" t="s">
        <v>10</v>
      </c>
      <c r="N168" s="8">
        <v>0.12313383593800689</v>
      </c>
      <c r="O168" s="6" t="s">
        <v>7</v>
      </c>
    </row>
    <row r="169" spans="2:15" x14ac:dyDescent="0.45">
      <c r="B169" s="3" t="s">
        <v>57</v>
      </c>
      <c r="C169" s="3" t="s">
        <v>11</v>
      </c>
      <c r="D169" s="4">
        <v>5.262532851361873E-4</v>
      </c>
      <c r="E169" s="3" t="s">
        <v>7</v>
      </c>
      <c r="G169" s="3" t="s">
        <v>58</v>
      </c>
      <c r="H169" s="3" t="s">
        <v>11</v>
      </c>
      <c r="I169" s="5">
        <v>8.3960930203998654E-2</v>
      </c>
      <c r="J169" s="3" t="s">
        <v>7</v>
      </c>
      <c r="L169" s="3" t="s">
        <v>59</v>
      </c>
      <c r="M169" s="3" t="s">
        <v>11</v>
      </c>
      <c r="N169" s="5">
        <v>7.3767907996990456E-2</v>
      </c>
      <c r="O169" s="3" t="s">
        <v>7</v>
      </c>
    </row>
    <row r="170" spans="2:15" x14ac:dyDescent="0.45">
      <c r="B170" s="6" t="s">
        <v>57</v>
      </c>
      <c r="C170" s="6" t="s">
        <v>12</v>
      </c>
      <c r="D170" s="7">
        <v>3.2834825487707579E-3</v>
      </c>
      <c r="E170" s="6" t="s">
        <v>7</v>
      </c>
      <c r="G170" s="6" t="s">
        <v>58</v>
      </c>
      <c r="H170" s="6" t="s">
        <v>12</v>
      </c>
      <c r="I170" s="8">
        <v>8.4905470388865686E-2</v>
      </c>
      <c r="J170" s="6" t="s">
        <v>7</v>
      </c>
      <c r="L170" s="6" t="s">
        <v>59</v>
      </c>
      <c r="M170" s="6" t="s">
        <v>12</v>
      </c>
      <c r="N170" s="8">
        <v>9.7214184493227135E-2</v>
      </c>
      <c r="O170" s="6" t="s">
        <v>7</v>
      </c>
    </row>
    <row r="171" spans="2:15" x14ac:dyDescent="0.45">
      <c r="B171" s="3" t="s">
        <v>57</v>
      </c>
      <c r="C171" s="3" t="s">
        <v>13</v>
      </c>
      <c r="D171" s="4">
        <v>0.32388053193785071</v>
      </c>
      <c r="E171" s="3" t="s">
        <v>7</v>
      </c>
      <c r="G171" s="3" t="s">
        <v>58</v>
      </c>
      <c r="H171" s="3" t="s">
        <v>13</v>
      </c>
      <c r="I171" s="5">
        <v>0.11724175960823921</v>
      </c>
      <c r="J171" s="3" t="s">
        <v>7</v>
      </c>
      <c r="L171" s="3" t="s">
        <v>59</v>
      </c>
      <c r="M171" s="3" t="s">
        <v>13</v>
      </c>
      <c r="N171" s="5">
        <v>0.1160134400093789</v>
      </c>
      <c r="O171" s="3" t="s">
        <v>7</v>
      </c>
    </row>
    <row r="172" spans="2:15" x14ac:dyDescent="0.45">
      <c r="B172" s="6" t="s">
        <v>57</v>
      </c>
      <c r="C172" s="6" t="s">
        <v>14</v>
      </c>
      <c r="D172" s="7">
        <v>1.5458633007566452E-2</v>
      </c>
      <c r="E172" s="6" t="s">
        <v>7</v>
      </c>
      <c r="G172" s="6" t="s">
        <v>58</v>
      </c>
      <c r="H172" s="6" t="s">
        <v>14</v>
      </c>
      <c r="I172" s="8">
        <v>6.5771623539901625E-2</v>
      </c>
      <c r="J172" s="6" t="s">
        <v>7</v>
      </c>
      <c r="L172" s="6" t="s">
        <v>59</v>
      </c>
      <c r="M172" s="6" t="s">
        <v>14</v>
      </c>
      <c r="N172" s="8">
        <v>7.1490272744663921E-2</v>
      </c>
      <c r="O172" s="6" t="s">
        <v>7</v>
      </c>
    </row>
    <row r="173" spans="2:15" x14ac:dyDescent="0.45">
      <c r="B173" s="3" t="s">
        <v>57</v>
      </c>
      <c r="C173" s="3" t="s">
        <v>15</v>
      </c>
      <c r="D173" s="4">
        <v>6.9411274548660104E-3</v>
      </c>
      <c r="E173" s="3" t="s">
        <v>7</v>
      </c>
      <c r="G173" s="3" t="s">
        <v>58</v>
      </c>
      <c r="H173" s="3" t="s">
        <v>15</v>
      </c>
      <c r="I173" s="5">
        <v>5.089656436104277E-2</v>
      </c>
      <c r="J173" s="3" t="s">
        <v>7</v>
      </c>
      <c r="L173" s="3" t="s">
        <v>59</v>
      </c>
      <c r="M173" s="3" t="s">
        <v>15</v>
      </c>
      <c r="N173" s="5">
        <v>6.4174473220961564E-2</v>
      </c>
      <c r="O173" s="3" t="s">
        <v>7</v>
      </c>
    </row>
    <row r="174" spans="2:15" x14ac:dyDescent="0.45">
      <c r="B174" s="6" t="s">
        <v>57</v>
      </c>
      <c r="C174" s="6" t="s">
        <v>16</v>
      </c>
      <c r="D174" s="7">
        <v>0.33093431200717799</v>
      </c>
      <c r="E174" s="6" t="s">
        <v>7</v>
      </c>
      <c r="G174" s="6" t="s">
        <v>58</v>
      </c>
      <c r="H174" s="6" t="s">
        <v>16</v>
      </c>
      <c r="I174" s="8">
        <v>6.9992792654183358E-2</v>
      </c>
      <c r="J174" s="6" t="s">
        <v>7</v>
      </c>
      <c r="L174" s="6" t="s">
        <v>59</v>
      </c>
      <c r="M174" s="6" t="s">
        <v>16</v>
      </c>
      <c r="N174" s="8">
        <v>7.5862466219241975E-2</v>
      </c>
      <c r="O174" s="6" t="s">
        <v>7</v>
      </c>
    </row>
    <row r="175" spans="2:15" x14ac:dyDescent="0.45">
      <c r="B175" s="3" t="s">
        <v>57</v>
      </c>
      <c r="C175" s="3" t="s">
        <v>17</v>
      </c>
      <c r="D175" s="4">
        <v>2.3172614694502637E-2</v>
      </c>
      <c r="E175" s="3" t="s">
        <v>7</v>
      </c>
      <c r="G175" s="3" t="s">
        <v>58</v>
      </c>
      <c r="H175" s="3" t="s">
        <v>17</v>
      </c>
      <c r="I175" s="5">
        <v>3.7691930991005894E-2</v>
      </c>
      <c r="J175" s="3" t="s">
        <v>7</v>
      </c>
      <c r="L175" s="3" t="s">
        <v>59</v>
      </c>
      <c r="M175" s="3" t="s">
        <v>17</v>
      </c>
      <c r="N175" s="5">
        <v>4.840638658535628E-2</v>
      </c>
      <c r="O175" s="3" t="s">
        <v>7</v>
      </c>
    </row>
    <row r="176" spans="2:15" x14ac:dyDescent="0.45">
      <c r="B176" s="6" t="s">
        <v>57</v>
      </c>
      <c r="C176" s="6" t="s">
        <v>18</v>
      </c>
      <c r="D176" s="7">
        <v>1.7153462135611846E-4</v>
      </c>
      <c r="E176" s="6" t="s">
        <v>7</v>
      </c>
      <c r="G176" s="6" t="s">
        <v>58</v>
      </c>
      <c r="H176" s="6" t="s">
        <v>18</v>
      </c>
      <c r="I176" s="8">
        <v>8.0774943787169207E-2</v>
      </c>
      <c r="J176" s="6" t="s">
        <v>7</v>
      </c>
      <c r="L176" s="6" t="s">
        <v>59</v>
      </c>
      <c r="M176" s="6" t="s">
        <v>18</v>
      </c>
      <c r="N176" s="8">
        <v>7.6865591875188197E-2</v>
      </c>
      <c r="O176" s="6" t="s">
        <v>7</v>
      </c>
    </row>
    <row r="177" spans="2:15" x14ac:dyDescent="0.45">
      <c r="B177" s="3" t="s">
        <v>57</v>
      </c>
      <c r="C177" s="3" t="s">
        <v>19</v>
      </c>
      <c r="D177" s="4">
        <v>0.1798284790425233</v>
      </c>
      <c r="E177" s="3" t="s">
        <v>7</v>
      </c>
      <c r="G177" s="3" t="s">
        <v>58</v>
      </c>
      <c r="H177" s="3" t="s">
        <v>19</v>
      </c>
      <c r="I177" s="5">
        <v>0.10858159704049052</v>
      </c>
      <c r="J177" s="3" t="s">
        <v>7</v>
      </c>
      <c r="L177" s="3" t="s">
        <v>59</v>
      </c>
      <c r="M177" s="3" t="s">
        <v>19</v>
      </c>
      <c r="N177" s="5">
        <v>9.8527002797962768E-2</v>
      </c>
      <c r="O177" s="3" t="s">
        <v>7</v>
      </c>
    </row>
    <row r="178" spans="2:15" x14ac:dyDescent="0.45">
      <c r="B178" s="6" t="s">
        <v>57</v>
      </c>
      <c r="C178" s="6" t="s">
        <v>20</v>
      </c>
      <c r="D178" s="7">
        <v>2.0416104664602234E-3</v>
      </c>
      <c r="E178" s="6" t="s">
        <v>7</v>
      </c>
      <c r="G178" s="6" t="s">
        <v>58</v>
      </c>
      <c r="H178" s="6" t="s">
        <v>20</v>
      </c>
      <c r="I178" s="8">
        <v>5.9737946558185172E-2</v>
      </c>
      <c r="J178" s="6" t="s">
        <v>7</v>
      </c>
      <c r="L178" s="6" t="s">
        <v>59</v>
      </c>
      <c r="M178" s="6" t="s">
        <v>20</v>
      </c>
      <c r="N178" s="8">
        <v>5.8184889652442055E-2</v>
      </c>
      <c r="O178" s="6" t="s">
        <v>7</v>
      </c>
    </row>
    <row r="179" spans="2:15" x14ac:dyDescent="0.45">
      <c r="B179" s="3" t="s">
        <v>60</v>
      </c>
      <c r="C179" s="3" t="s">
        <v>6</v>
      </c>
      <c r="D179" s="4">
        <v>0</v>
      </c>
      <c r="E179" s="3" t="s">
        <v>7</v>
      </c>
      <c r="G179" s="3" t="s">
        <v>61</v>
      </c>
      <c r="H179" s="3" t="s">
        <v>6</v>
      </c>
      <c r="I179" s="5">
        <v>0.11546098994840473</v>
      </c>
      <c r="J179" s="3" t="s">
        <v>7</v>
      </c>
      <c r="L179" s="3" t="s">
        <v>62</v>
      </c>
      <c r="M179" s="3" t="s">
        <v>6</v>
      </c>
      <c r="N179" s="5">
        <v>9.6950302144222122E-2</v>
      </c>
      <c r="O179" s="3" t="s">
        <v>7</v>
      </c>
    </row>
    <row r="180" spans="2:15" x14ac:dyDescent="0.45">
      <c r="B180" s="6" t="s">
        <v>60</v>
      </c>
      <c r="C180" s="6" t="s">
        <v>10</v>
      </c>
      <c r="D180" s="7">
        <v>0.11232608247953993</v>
      </c>
      <c r="E180" s="6" t="s">
        <v>7</v>
      </c>
      <c r="G180" s="6" t="s">
        <v>61</v>
      </c>
      <c r="H180" s="6" t="s">
        <v>10</v>
      </c>
      <c r="I180" s="8">
        <v>0.13634336733285807</v>
      </c>
      <c r="J180" s="6" t="s">
        <v>7</v>
      </c>
      <c r="L180" s="6" t="s">
        <v>62</v>
      </c>
      <c r="M180" s="6" t="s">
        <v>10</v>
      </c>
      <c r="N180" s="8">
        <v>0.12077937752148149</v>
      </c>
      <c r="O180" s="6" t="s">
        <v>7</v>
      </c>
    </row>
    <row r="181" spans="2:15" x14ac:dyDescent="0.45">
      <c r="B181" s="3" t="s">
        <v>60</v>
      </c>
      <c r="C181" s="3" t="s">
        <v>11</v>
      </c>
      <c r="D181" s="4">
        <v>3.6655474254793583E-6</v>
      </c>
      <c r="E181" s="3" t="s">
        <v>7</v>
      </c>
      <c r="G181" s="3" t="s">
        <v>61</v>
      </c>
      <c r="H181" s="3" t="s">
        <v>11</v>
      </c>
      <c r="I181" s="5">
        <v>8.4321972457937919E-2</v>
      </c>
      <c r="J181" s="3" t="s">
        <v>7</v>
      </c>
      <c r="L181" s="3" t="s">
        <v>62</v>
      </c>
      <c r="M181" s="3" t="s">
        <v>11</v>
      </c>
      <c r="N181" s="5">
        <v>7.3715530503829146E-2</v>
      </c>
      <c r="O181" s="3" t="s">
        <v>7</v>
      </c>
    </row>
    <row r="182" spans="2:15" x14ac:dyDescent="0.45">
      <c r="B182" s="6" t="s">
        <v>60</v>
      </c>
      <c r="C182" s="6" t="s">
        <v>12</v>
      </c>
      <c r="D182" s="7">
        <v>6.4750552388175642E-3</v>
      </c>
      <c r="E182" s="6" t="s">
        <v>7</v>
      </c>
      <c r="G182" s="6" t="s">
        <v>61</v>
      </c>
      <c r="H182" s="6" t="s">
        <v>12</v>
      </c>
      <c r="I182" s="8">
        <v>7.6429689765715306E-2</v>
      </c>
      <c r="J182" s="6" t="s">
        <v>7</v>
      </c>
      <c r="L182" s="6" t="s">
        <v>62</v>
      </c>
      <c r="M182" s="6" t="s">
        <v>12</v>
      </c>
      <c r="N182" s="8">
        <v>9.3837779064734547E-2</v>
      </c>
      <c r="O182" s="6" t="s">
        <v>7</v>
      </c>
    </row>
    <row r="183" spans="2:15" x14ac:dyDescent="0.45">
      <c r="B183" s="3" t="s">
        <v>60</v>
      </c>
      <c r="C183" s="3" t="s">
        <v>13</v>
      </c>
      <c r="D183" s="4">
        <v>0.32537988451747185</v>
      </c>
      <c r="E183" s="3" t="s">
        <v>7</v>
      </c>
      <c r="G183" s="3" t="s">
        <v>61</v>
      </c>
      <c r="H183" s="3" t="s">
        <v>13</v>
      </c>
      <c r="I183" s="5">
        <v>0.11086198064640425</v>
      </c>
      <c r="J183" s="3" t="s">
        <v>7</v>
      </c>
      <c r="L183" s="3" t="s">
        <v>62</v>
      </c>
      <c r="M183" s="3" t="s">
        <v>13</v>
      </c>
      <c r="N183" s="5">
        <v>0.11339002181684153</v>
      </c>
      <c r="O183" s="3" t="s">
        <v>7</v>
      </c>
    </row>
    <row r="184" spans="2:15" x14ac:dyDescent="0.45">
      <c r="B184" s="6" t="s">
        <v>60</v>
      </c>
      <c r="C184" s="6" t="s">
        <v>14</v>
      </c>
      <c r="D184" s="7">
        <v>1.0904388232434946E-2</v>
      </c>
      <c r="E184" s="6" t="s">
        <v>7</v>
      </c>
      <c r="G184" s="6" t="s">
        <v>61</v>
      </c>
      <c r="H184" s="6" t="s">
        <v>14</v>
      </c>
      <c r="I184" s="8">
        <v>5.972684748150045E-2</v>
      </c>
      <c r="J184" s="6" t="s">
        <v>7</v>
      </c>
      <c r="L184" s="6" t="s">
        <v>62</v>
      </c>
      <c r="M184" s="6" t="s">
        <v>14</v>
      </c>
      <c r="N184" s="8">
        <v>6.6916949103380849E-2</v>
      </c>
      <c r="O184" s="6" t="s">
        <v>7</v>
      </c>
    </row>
    <row r="185" spans="2:15" x14ac:dyDescent="0.45">
      <c r="B185" s="3" t="s">
        <v>60</v>
      </c>
      <c r="C185" s="3" t="s">
        <v>15</v>
      </c>
      <c r="D185" s="4">
        <v>1.1628696262442428E-2</v>
      </c>
      <c r="E185" s="3" t="s">
        <v>7</v>
      </c>
      <c r="G185" s="3" t="s">
        <v>61</v>
      </c>
      <c r="H185" s="3" t="s">
        <v>15</v>
      </c>
      <c r="I185" s="5">
        <v>3.7593730984599706E-2</v>
      </c>
      <c r="J185" s="3" t="s">
        <v>7</v>
      </c>
      <c r="L185" s="3" t="s">
        <v>62</v>
      </c>
      <c r="M185" s="3" t="s">
        <v>15</v>
      </c>
      <c r="N185" s="5">
        <v>6.1820109925008242E-2</v>
      </c>
      <c r="O185" s="3" t="s">
        <v>7</v>
      </c>
    </row>
    <row r="186" spans="2:15" x14ac:dyDescent="0.45">
      <c r="B186" s="6" t="s">
        <v>60</v>
      </c>
      <c r="C186" s="6" t="s">
        <v>16</v>
      </c>
      <c r="D186" s="7">
        <v>0.34080468361539018</v>
      </c>
      <c r="E186" s="6" t="s">
        <v>7</v>
      </c>
      <c r="G186" s="6" t="s">
        <v>61</v>
      </c>
      <c r="H186" s="6" t="s">
        <v>16</v>
      </c>
      <c r="I186" s="8">
        <v>6.688692622826474E-2</v>
      </c>
      <c r="J186" s="6" t="s">
        <v>7</v>
      </c>
      <c r="L186" s="6" t="s">
        <v>62</v>
      </c>
      <c r="M186" s="6" t="s">
        <v>16</v>
      </c>
      <c r="N186" s="8">
        <v>7.5680741048226544E-2</v>
      </c>
      <c r="O186" s="6" t="s">
        <v>7</v>
      </c>
    </row>
    <row r="187" spans="2:15" x14ac:dyDescent="0.45">
      <c r="B187" s="3" t="s">
        <v>60</v>
      </c>
      <c r="C187" s="3" t="s">
        <v>17</v>
      </c>
      <c r="D187" s="4">
        <v>1.9747988754190447E-2</v>
      </c>
      <c r="E187" s="3" t="s">
        <v>7</v>
      </c>
      <c r="G187" s="3" t="s">
        <v>61</v>
      </c>
      <c r="H187" s="3" t="s">
        <v>17</v>
      </c>
      <c r="I187" s="5">
        <v>3.1879806296469394E-2</v>
      </c>
      <c r="J187" s="3" t="s">
        <v>7</v>
      </c>
      <c r="L187" s="3" t="s">
        <v>62</v>
      </c>
      <c r="M187" s="3" t="s">
        <v>17</v>
      </c>
      <c r="N187" s="5">
        <v>5.1455761829880327E-2</v>
      </c>
      <c r="O187" s="3" t="s">
        <v>7</v>
      </c>
    </row>
    <row r="188" spans="2:15" x14ac:dyDescent="0.45">
      <c r="B188" s="6" t="s">
        <v>60</v>
      </c>
      <c r="C188" s="6" t="s">
        <v>18</v>
      </c>
      <c r="D188" s="7">
        <v>5.306024660141354E-4</v>
      </c>
      <c r="E188" s="6" t="s">
        <v>7</v>
      </c>
      <c r="G188" s="6" t="s">
        <v>61</v>
      </c>
      <c r="H188" s="6" t="s">
        <v>18</v>
      </c>
      <c r="I188" s="8">
        <v>8.953109365165772E-2</v>
      </c>
      <c r="J188" s="6" t="s">
        <v>7</v>
      </c>
      <c r="L188" s="6" t="s">
        <v>62</v>
      </c>
      <c r="M188" s="6" t="s">
        <v>18</v>
      </c>
      <c r="N188" s="8">
        <v>7.946090922955161E-2</v>
      </c>
      <c r="O188" s="6" t="s">
        <v>7</v>
      </c>
    </row>
    <row r="189" spans="2:15" x14ac:dyDescent="0.45">
      <c r="B189" s="3" t="s">
        <v>60</v>
      </c>
      <c r="C189" s="3" t="s">
        <v>19</v>
      </c>
      <c r="D189" s="4">
        <v>0.17100408031906617</v>
      </c>
      <c r="E189" s="3" t="s">
        <v>7</v>
      </c>
      <c r="G189" s="3" t="s">
        <v>61</v>
      </c>
      <c r="H189" s="3" t="s">
        <v>19</v>
      </c>
      <c r="I189" s="5">
        <v>0.12165867932106431</v>
      </c>
      <c r="J189" s="3" t="s">
        <v>7</v>
      </c>
      <c r="L189" s="3" t="s">
        <v>62</v>
      </c>
      <c r="M189" s="3" t="s">
        <v>19</v>
      </c>
      <c r="N189" s="5">
        <v>0.10405291628943358</v>
      </c>
      <c r="O189" s="3" t="s">
        <v>7</v>
      </c>
    </row>
    <row r="190" spans="2:15" x14ac:dyDescent="0.45">
      <c r="B190" s="6" t="s">
        <v>60</v>
      </c>
      <c r="C190" s="6" t="s">
        <v>20</v>
      </c>
      <c r="D190" s="7">
        <v>1.1948725672067295E-3</v>
      </c>
      <c r="E190" s="6" t="s">
        <v>7</v>
      </c>
      <c r="G190" s="6" t="s">
        <v>61</v>
      </c>
      <c r="H190" s="6" t="s">
        <v>20</v>
      </c>
      <c r="I190" s="8">
        <v>6.9304915885123303E-2</v>
      </c>
      <c r="J190" s="6" t="s">
        <v>7</v>
      </c>
      <c r="L190" s="6" t="s">
        <v>62</v>
      </c>
      <c r="M190" s="6" t="s">
        <v>20</v>
      </c>
      <c r="N190" s="8">
        <v>6.1939601523410028E-2</v>
      </c>
      <c r="O190" s="6" t="s">
        <v>7</v>
      </c>
    </row>
    <row r="191" spans="2:15" x14ac:dyDescent="0.45">
      <c r="B191" s="3" t="s">
        <v>63</v>
      </c>
      <c r="C191" s="3" t="s">
        <v>6</v>
      </c>
      <c r="D191" s="4">
        <v>0</v>
      </c>
      <c r="E191" s="3" t="s">
        <v>7</v>
      </c>
      <c r="G191" s="3" t="s">
        <v>64</v>
      </c>
      <c r="H191" s="3" t="s">
        <v>6</v>
      </c>
      <c r="I191" s="5">
        <v>9.9819324517917848E-2</v>
      </c>
      <c r="J191" s="3" t="s">
        <v>7</v>
      </c>
      <c r="L191" s="3" t="s">
        <v>65</v>
      </c>
      <c r="M191" s="3" t="s">
        <v>6</v>
      </c>
      <c r="N191" s="5">
        <v>9.5455938056625556E-2</v>
      </c>
      <c r="O191" s="3" t="s">
        <v>7</v>
      </c>
    </row>
    <row r="192" spans="2:15" x14ac:dyDescent="0.45">
      <c r="B192" s="6" t="s">
        <v>63</v>
      </c>
      <c r="C192" s="6" t="s">
        <v>10</v>
      </c>
      <c r="D192" s="7">
        <v>0.12462521940894589</v>
      </c>
      <c r="E192" s="6" t="s">
        <v>7</v>
      </c>
      <c r="G192" s="6" t="s">
        <v>64</v>
      </c>
      <c r="H192" s="6" t="s">
        <v>10</v>
      </c>
      <c r="I192" s="8">
        <v>0.11829966990623893</v>
      </c>
      <c r="J192" s="6" t="s">
        <v>7</v>
      </c>
      <c r="L192" s="6" t="s">
        <v>65</v>
      </c>
      <c r="M192" s="6" t="s">
        <v>10</v>
      </c>
      <c r="N192" s="8">
        <v>0.11944819569963165</v>
      </c>
      <c r="O192" s="6" t="s">
        <v>7</v>
      </c>
    </row>
    <row r="193" spans="2:15" x14ac:dyDescent="0.45">
      <c r="B193" s="3" t="s">
        <v>63</v>
      </c>
      <c r="C193" s="3" t="s">
        <v>11</v>
      </c>
      <c r="D193" s="4">
        <v>2.5680930357650994E-5</v>
      </c>
      <c r="E193" s="3" t="s">
        <v>7</v>
      </c>
      <c r="G193" s="3" t="s">
        <v>64</v>
      </c>
      <c r="H193" s="3" t="s">
        <v>11</v>
      </c>
      <c r="I193" s="5">
        <v>7.4328117795201085E-2</v>
      </c>
      <c r="J193" s="3" t="s">
        <v>7</v>
      </c>
      <c r="L193" s="3" t="s">
        <v>65</v>
      </c>
      <c r="M193" s="3" t="s">
        <v>11</v>
      </c>
      <c r="N193" s="5">
        <v>7.1334907953435167E-2</v>
      </c>
      <c r="O193" s="3" t="s">
        <v>7</v>
      </c>
    </row>
    <row r="194" spans="2:15" x14ac:dyDescent="0.45">
      <c r="B194" s="6" t="s">
        <v>63</v>
      </c>
      <c r="C194" s="6" t="s">
        <v>12</v>
      </c>
      <c r="D194" s="7">
        <v>5.9195564339686252E-3</v>
      </c>
      <c r="E194" s="6" t="s">
        <v>7</v>
      </c>
      <c r="G194" s="6" t="s">
        <v>64</v>
      </c>
      <c r="H194" s="6" t="s">
        <v>12</v>
      </c>
      <c r="I194" s="8">
        <v>8.8186449641834058E-2</v>
      </c>
      <c r="J194" s="6" t="s">
        <v>7</v>
      </c>
      <c r="L194" s="6" t="s">
        <v>65</v>
      </c>
      <c r="M194" s="6" t="s">
        <v>12</v>
      </c>
      <c r="N194" s="8">
        <v>9.3508529171683744E-2</v>
      </c>
      <c r="O194" s="6" t="s">
        <v>7</v>
      </c>
    </row>
    <row r="195" spans="2:15" x14ac:dyDescent="0.45">
      <c r="B195" s="3" t="s">
        <v>63</v>
      </c>
      <c r="C195" s="3" t="s">
        <v>13</v>
      </c>
      <c r="D195" s="4">
        <v>0.28974652624117853</v>
      </c>
      <c r="E195" s="3" t="s">
        <v>7</v>
      </c>
      <c r="G195" s="3" t="s">
        <v>64</v>
      </c>
      <c r="H195" s="3" t="s">
        <v>13</v>
      </c>
      <c r="I195" s="5">
        <v>0.11039355643327448</v>
      </c>
      <c r="J195" s="3" t="s">
        <v>7</v>
      </c>
      <c r="L195" s="3" t="s">
        <v>65</v>
      </c>
      <c r="M195" s="3" t="s">
        <v>13</v>
      </c>
      <c r="N195" s="5">
        <v>0.11404701679035852</v>
      </c>
      <c r="O195" s="3" t="s">
        <v>7</v>
      </c>
    </row>
    <row r="196" spans="2:15" x14ac:dyDescent="0.45">
      <c r="B196" s="6" t="s">
        <v>63</v>
      </c>
      <c r="C196" s="6" t="s">
        <v>14</v>
      </c>
      <c r="D196" s="7">
        <v>7.4612994235814462E-3</v>
      </c>
      <c r="E196" s="6" t="s">
        <v>7</v>
      </c>
      <c r="G196" s="6" t="s">
        <v>64</v>
      </c>
      <c r="H196" s="6" t="s">
        <v>14</v>
      </c>
      <c r="I196" s="8">
        <v>6.7611120121711846E-2</v>
      </c>
      <c r="J196" s="6" t="s">
        <v>7</v>
      </c>
      <c r="L196" s="6" t="s">
        <v>65</v>
      </c>
      <c r="M196" s="6" t="s">
        <v>14</v>
      </c>
      <c r="N196" s="8">
        <v>7.1174178270169183E-2</v>
      </c>
      <c r="O196" s="6" t="s">
        <v>7</v>
      </c>
    </row>
    <row r="197" spans="2:15" x14ac:dyDescent="0.45">
      <c r="B197" s="3" t="s">
        <v>63</v>
      </c>
      <c r="C197" s="3" t="s">
        <v>15</v>
      </c>
      <c r="D197" s="4">
        <v>9.7362016724661053E-3</v>
      </c>
      <c r="E197" s="3" t="s">
        <v>7</v>
      </c>
      <c r="G197" s="3" t="s">
        <v>64</v>
      </c>
      <c r="H197" s="3" t="s">
        <v>15</v>
      </c>
      <c r="I197" s="5">
        <v>6.1294195588727687E-2</v>
      </c>
      <c r="J197" s="3" t="s">
        <v>7</v>
      </c>
      <c r="L197" s="3" t="s">
        <v>65</v>
      </c>
      <c r="M197" s="3" t="s">
        <v>15</v>
      </c>
      <c r="N197" s="5">
        <v>6.5746078931455315E-2</v>
      </c>
      <c r="O197" s="3" t="s">
        <v>7</v>
      </c>
    </row>
    <row r="198" spans="2:15" x14ac:dyDescent="0.45">
      <c r="B198" s="6" t="s">
        <v>63</v>
      </c>
      <c r="C198" s="6" t="s">
        <v>16</v>
      </c>
      <c r="D198" s="7">
        <v>0.35334052082650297</v>
      </c>
      <c r="E198" s="6" t="s">
        <v>7</v>
      </c>
      <c r="G198" s="6" t="s">
        <v>64</v>
      </c>
      <c r="H198" s="6" t="s">
        <v>16</v>
      </c>
      <c r="I198" s="8">
        <v>7.5679827212141407E-2</v>
      </c>
      <c r="J198" s="6" t="s">
        <v>7</v>
      </c>
      <c r="L198" s="6" t="s">
        <v>65</v>
      </c>
      <c r="M198" s="6" t="s">
        <v>16</v>
      </c>
      <c r="N198" s="8">
        <v>8.0580269954727266E-2</v>
      </c>
      <c r="O198" s="6" t="s">
        <v>7</v>
      </c>
    </row>
    <row r="199" spans="2:15" x14ac:dyDescent="0.45">
      <c r="B199" s="3" t="s">
        <v>63</v>
      </c>
      <c r="C199" s="3" t="s">
        <v>17</v>
      </c>
      <c r="D199" s="4">
        <v>1.4579698222134603E-2</v>
      </c>
      <c r="E199" s="3" t="s">
        <v>7</v>
      </c>
      <c r="G199" s="3" t="s">
        <v>64</v>
      </c>
      <c r="H199" s="3" t="s">
        <v>17</v>
      </c>
      <c r="I199" s="5">
        <v>4.9851751109155969E-2</v>
      </c>
      <c r="J199" s="3" t="s">
        <v>7</v>
      </c>
      <c r="L199" s="3" t="s">
        <v>65</v>
      </c>
      <c r="M199" s="3" t="s">
        <v>17</v>
      </c>
      <c r="N199" s="5">
        <v>5.1261983432982466E-2</v>
      </c>
      <c r="O199" s="3" t="s">
        <v>7</v>
      </c>
    </row>
    <row r="200" spans="2:15" x14ac:dyDescent="0.45">
      <c r="B200" s="6" t="s">
        <v>63</v>
      </c>
      <c r="C200" s="6" t="s">
        <v>18</v>
      </c>
      <c r="D200" s="7">
        <v>9.1526931412743546E-4</v>
      </c>
      <c r="E200" s="6" t="s">
        <v>7</v>
      </c>
      <c r="G200" s="6" t="s">
        <v>64</v>
      </c>
      <c r="H200" s="6" t="s">
        <v>18</v>
      </c>
      <c r="I200" s="8">
        <v>8.2759750517397757E-2</v>
      </c>
      <c r="J200" s="6" t="s">
        <v>7</v>
      </c>
      <c r="L200" s="6" t="s">
        <v>65</v>
      </c>
      <c r="M200" s="6" t="s">
        <v>18</v>
      </c>
      <c r="N200" s="8">
        <v>7.8316710961620947E-2</v>
      </c>
      <c r="O200" s="6" t="s">
        <v>7</v>
      </c>
    </row>
    <row r="201" spans="2:15" x14ac:dyDescent="0.45">
      <c r="B201" s="3" t="s">
        <v>63</v>
      </c>
      <c r="C201" s="3" t="s">
        <v>19</v>
      </c>
      <c r="D201" s="4">
        <v>0.19256762458470977</v>
      </c>
      <c r="E201" s="3" t="s">
        <v>7</v>
      </c>
      <c r="G201" s="3" t="s">
        <v>64</v>
      </c>
      <c r="H201" s="3" t="s">
        <v>19</v>
      </c>
      <c r="I201" s="5">
        <v>0.10571074260069881</v>
      </c>
      <c r="J201" s="3" t="s">
        <v>7</v>
      </c>
      <c r="L201" s="3" t="s">
        <v>65</v>
      </c>
      <c r="M201" s="3" t="s">
        <v>19</v>
      </c>
      <c r="N201" s="5">
        <v>9.7719900134732973E-2</v>
      </c>
      <c r="O201" s="3" t="s">
        <v>7</v>
      </c>
    </row>
    <row r="202" spans="2:15" x14ac:dyDescent="0.45">
      <c r="B202" s="6" t="s">
        <v>63</v>
      </c>
      <c r="C202" s="6" t="s">
        <v>20</v>
      </c>
      <c r="D202" s="7">
        <v>1.0824029420270463E-3</v>
      </c>
      <c r="E202" s="6" t="s">
        <v>7</v>
      </c>
      <c r="G202" s="6" t="s">
        <v>64</v>
      </c>
      <c r="H202" s="6" t="s">
        <v>20</v>
      </c>
      <c r="I202" s="8">
        <v>6.6065494555700113E-2</v>
      </c>
      <c r="J202" s="6" t="s">
        <v>7</v>
      </c>
      <c r="L202" s="6" t="s">
        <v>65</v>
      </c>
      <c r="M202" s="6" t="s">
        <v>20</v>
      </c>
      <c r="N202" s="8">
        <v>6.1406290642577278E-2</v>
      </c>
      <c r="O202" s="6" t="s">
        <v>7</v>
      </c>
    </row>
    <row r="203" spans="2:15" x14ac:dyDescent="0.45">
      <c r="B203" s="3" t="s">
        <v>66</v>
      </c>
      <c r="C203" s="3" t="s">
        <v>6</v>
      </c>
      <c r="D203" s="4">
        <v>0</v>
      </c>
      <c r="E203" s="3" t="s">
        <v>7</v>
      </c>
      <c r="G203" s="3" t="s">
        <v>67</v>
      </c>
      <c r="H203" s="3" t="s">
        <v>6</v>
      </c>
      <c r="I203" s="5">
        <v>0.10523510909885682</v>
      </c>
      <c r="J203" s="3" t="s">
        <v>7</v>
      </c>
      <c r="L203" s="3" t="s">
        <v>68</v>
      </c>
      <c r="M203" s="3" t="s">
        <v>6</v>
      </c>
      <c r="N203" s="5">
        <v>9.4402343510987682E-2</v>
      </c>
      <c r="O203" s="3" t="s">
        <v>7</v>
      </c>
    </row>
    <row r="204" spans="2:15" x14ac:dyDescent="0.45">
      <c r="B204" s="6" t="s">
        <v>66</v>
      </c>
      <c r="C204" s="6" t="s">
        <v>10</v>
      </c>
      <c r="D204" s="7">
        <v>0.12170034348162946</v>
      </c>
      <c r="E204" s="6" t="s">
        <v>7</v>
      </c>
      <c r="G204" s="6" t="s">
        <v>67</v>
      </c>
      <c r="H204" s="6" t="s">
        <v>10</v>
      </c>
      <c r="I204" s="8">
        <v>0.13063505920007254</v>
      </c>
      <c r="J204" s="6" t="s">
        <v>7</v>
      </c>
      <c r="L204" s="6" t="s">
        <v>68</v>
      </c>
      <c r="M204" s="6" t="s">
        <v>10</v>
      </c>
      <c r="N204" s="8">
        <v>0.11731893853643698</v>
      </c>
      <c r="O204" s="6" t="s">
        <v>7</v>
      </c>
    </row>
    <row r="205" spans="2:15" x14ac:dyDescent="0.45">
      <c r="B205" s="3" t="s">
        <v>66</v>
      </c>
      <c r="C205" s="3" t="s">
        <v>11</v>
      </c>
      <c r="D205" s="4">
        <v>4.8598056133025097E-6</v>
      </c>
      <c r="E205" s="3" t="s">
        <v>7</v>
      </c>
      <c r="G205" s="3" t="s">
        <v>67</v>
      </c>
      <c r="H205" s="3" t="s">
        <v>11</v>
      </c>
      <c r="I205" s="5">
        <v>8.1634224374406983E-2</v>
      </c>
      <c r="J205" s="3" t="s">
        <v>7</v>
      </c>
      <c r="L205" s="3" t="s">
        <v>68</v>
      </c>
      <c r="M205" s="3" t="s">
        <v>11</v>
      </c>
      <c r="N205" s="5">
        <v>6.9738034617148836E-2</v>
      </c>
      <c r="O205" s="3" t="s">
        <v>7</v>
      </c>
    </row>
    <row r="206" spans="2:15" x14ac:dyDescent="0.45">
      <c r="B206" s="6" t="s">
        <v>66</v>
      </c>
      <c r="C206" s="6" t="s">
        <v>12</v>
      </c>
      <c r="D206" s="7">
        <v>6.6346283329162901E-3</v>
      </c>
      <c r="E206" s="6" t="s">
        <v>7</v>
      </c>
      <c r="G206" s="6" t="s">
        <v>67</v>
      </c>
      <c r="H206" s="6" t="s">
        <v>12</v>
      </c>
      <c r="I206" s="8">
        <v>8.2171897842672273E-2</v>
      </c>
      <c r="J206" s="6" t="s">
        <v>7</v>
      </c>
      <c r="L206" s="6" t="s">
        <v>68</v>
      </c>
      <c r="M206" s="6" t="s">
        <v>12</v>
      </c>
      <c r="N206" s="8">
        <v>8.9978697223841109E-2</v>
      </c>
      <c r="O206" s="6" t="s">
        <v>7</v>
      </c>
    </row>
    <row r="207" spans="2:15" x14ac:dyDescent="0.45">
      <c r="B207" s="3" t="s">
        <v>66</v>
      </c>
      <c r="C207" s="3" t="s">
        <v>13</v>
      </c>
      <c r="D207" s="4">
        <v>0.31171329068980025</v>
      </c>
      <c r="E207" s="3" t="s">
        <v>7</v>
      </c>
      <c r="G207" s="3" t="s">
        <v>67</v>
      </c>
      <c r="H207" s="3" t="s">
        <v>13</v>
      </c>
      <c r="I207" s="5">
        <v>0.11752724001540366</v>
      </c>
      <c r="J207" s="3" t="s">
        <v>7</v>
      </c>
      <c r="L207" s="3" t="s">
        <v>68</v>
      </c>
      <c r="M207" s="3" t="s">
        <v>13</v>
      </c>
      <c r="N207" s="5">
        <v>0.11023290745539539</v>
      </c>
      <c r="O207" s="3" t="s">
        <v>7</v>
      </c>
    </row>
    <row r="208" spans="2:15" x14ac:dyDescent="0.45">
      <c r="B208" s="6" t="s">
        <v>66</v>
      </c>
      <c r="C208" s="6" t="s">
        <v>14</v>
      </c>
      <c r="D208" s="7">
        <v>9.9421920816546924E-3</v>
      </c>
      <c r="E208" s="6" t="s">
        <v>7</v>
      </c>
      <c r="G208" s="6" t="s">
        <v>67</v>
      </c>
      <c r="H208" s="6" t="s">
        <v>14</v>
      </c>
      <c r="I208" s="8">
        <v>6.0819911810929897E-2</v>
      </c>
      <c r="J208" s="6" t="s">
        <v>7</v>
      </c>
      <c r="L208" s="6" t="s">
        <v>68</v>
      </c>
      <c r="M208" s="6" t="s">
        <v>14</v>
      </c>
      <c r="N208" s="8">
        <v>6.962052250152162E-2</v>
      </c>
      <c r="O208" s="6" t="s">
        <v>7</v>
      </c>
    </row>
    <row r="209" spans="2:15" x14ac:dyDescent="0.45">
      <c r="B209" s="3" t="s">
        <v>66</v>
      </c>
      <c r="C209" s="3" t="s">
        <v>15</v>
      </c>
      <c r="D209" s="4">
        <v>1.1392788690987508E-2</v>
      </c>
      <c r="E209" s="3" t="s">
        <v>7</v>
      </c>
      <c r="G209" s="3" t="s">
        <v>67</v>
      </c>
      <c r="H209" s="3" t="s">
        <v>15</v>
      </c>
      <c r="I209" s="5">
        <v>4.1217108807669635E-2</v>
      </c>
      <c r="J209" s="3" t="s">
        <v>7</v>
      </c>
      <c r="L209" s="3" t="s">
        <v>68</v>
      </c>
      <c r="M209" s="3" t="s">
        <v>15</v>
      </c>
      <c r="N209" s="5">
        <v>6.5665024607646089E-2</v>
      </c>
      <c r="O209" s="3" t="s">
        <v>7</v>
      </c>
    </row>
    <row r="210" spans="2:15" x14ac:dyDescent="0.45">
      <c r="B210" s="6" t="s">
        <v>66</v>
      </c>
      <c r="C210" s="6" t="s">
        <v>16</v>
      </c>
      <c r="D210" s="7">
        <v>0.33852612453561004</v>
      </c>
      <c r="E210" s="6" t="s">
        <v>7</v>
      </c>
      <c r="G210" s="6" t="s">
        <v>67</v>
      </c>
      <c r="H210" s="6" t="s">
        <v>16</v>
      </c>
      <c r="I210" s="8">
        <v>6.3384265526991362E-2</v>
      </c>
      <c r="J210" s="6" t="s">
        <v>7</v>
      </c>
      <c r="L210" s="6" t="s">
        <v>68</v>
      </c>
      <c r="M210" s="6" t="s">
        <v>16</v>
      </c>
      <c r="N210" s="8">
        <v>7.9076482146252763E-2</v>
      </c>
      <c r="O210" s="6" t="s">
        <v>7</v>
      </c>
    </row>
    <row r="211" spans="2:15" x14ac:dyDescent="0.45">
      <c r="B211" s="3" t="s">
        <v>66</v>
      </c>
      <c r="C211" s="3" t="s">
        <v>17</v>
      </c>
      <c r="D211" s="4">
        <v>1.7065301332095828E-2</v>
      </c>
      <c r="E211" s="3" t="s">
        <v>7</v>
      </c>
      <c r="G211" s="3" t="s">
        <v>67</v>
      </c>
      <c r="H211" s="3" t="s">
        <v>17</v>
      </c>
      <c r="I211" s="5">
        <v>3.4950395818175904E-2</v>
      </c>
      <c r="J211" s="3" t="s">
        <v>7</v>
      </c>
      <c r="L211" s="3" t="s">
        <v>68</v>
      </c>
      <c r="M211" s="3" t="s">
        <v>17</v>
      </c>
      <c r="N211" s="5">
        <v>5.0561062032245772E-2</v>
      </c>
      <c r="O211" s="3" t="s">
        <v>7</v>
      </c>
    </row>
    <row r="212" spans="2:15" x14ac:dyDescent="0.45">
      <c r="B212" s="6" t="s">
        <v>66</v>
      </c>
      <c r="C212" s="6" t="s">
        <v>18</v>
      </c>
      <c r="D212" s="7">
        <v>7.6721579853070826E-4</v>
      </c>
      <c r="E212" s="6" t="s">
        <v>7</v>
      </c>
      <c r="G212" s="6" t="s">
        <v>67</v>
      </c>
      <c r="H212" s="6" t="s">
        <v>18</v>
      </c>
      <c r="I212" s="8">
        <v>9.2238280849557666E-2</v>
      </c>
      <c r="J212" s="6" t="s">
        <v>7</v>
      </c>
      <c r="L212" s="6" t="s">
        <v>68</v>
      </c>
      <c r="M212" s="6" t="s">
        <v>18</v>
      </c>
      <c r="N212" s="8">
        <v>8.3572925740640833E-2</v>
      </c>
      <c r="O212" s="6" t="s">
        <v>7</v>
      </c>
    </row>
    <row r="213" spans="2:15" x14ac:dyDescent="0.45">
      <c r="B213" s="3" t="s">
        <v>66</v>
      </c>
      <c r="C213" s="3" t="s">
        <v>19</v>
      </c>
      <c r="D213" s="4">
        <v>0.18118480657411806</v>
      </c>
      <c r="E213" s="3" t="s">
        <v>7</v>
      </c>
      <c r="G213" s="3" t="s">
        <v>67</v>
      </c>
      <c r="H213" s="3" t="s">
        <v>19</v>
      </c>
      <c r="I213" s="5">
        <v>0.11778293487040432</v>
      </c>
      <c r="J213" s="3" t="s">
        <v>7</v>
      </c>
      <c r="L213" s="3" t="s">
        <v>68</v>
      </c>
      <c r="M213" s="3" t="s">
        <v>19</v>
      </c>
      <c r="N213" s="5">
        <v>0.10470119925312509</v>
      </c>
      <c r="O213" s="3" t="s">
        <v>7</v>
      </c>
    </row>
    <row r="214" spans="2:15" x14ac:dyDescent="0.45">
      <c r="B214" s="6" t="s">
        <v>66</v>
      </c>
      <c r="C214" s="6" t="s">
        <v>20</v>
      </c>
      <c r="D214" s="7">
        <v>1.0684486770437761E-3</v>
      </c>
      <c r="E214" s="6" t="s">
        <v>7</v>
      </c>
      <c r="G214" s="6" t="s">
        <v>67</v>
      </c>
      <c r="H214" s="6" t="s">
        <v>20</v>
      </c>
      <c r="I214" s="8">
        <v>7.2403571784858928E-2</v>
      </c>
      <c r="J214" s="6" t="s">
        <v>7</v>
      </c>
      <c r="L214" s="6" t="s">
        <v>68</v>
      </c>
      <c r="M214" s="6" t="s">
        <v>20</v>
      </c>
      <c r="N214" s="8">
        <v>6.5131862374757793E-2</v>
      </c>
      <c r="O214" s="6" t="s">
        <v>7</v>
      </c>
    </row>
    <row r="215" spans="2:15" x14ac:dyDescent="0.45">
      <c r="B215" s="3" t="s">
        <v>69</v>
      </c>
      <c r="C215" s="3" t="s">
        <v>6</v>
      </c>
      <c r="D215" s="4">
        <v>0</v>
      </c>
      <c r="E215" s="3" t="s">
        <v>7</v>
      </c>
      <c r="G215" s="3" t="s">
        <v>70</v>
      </c>
      <c r="H215" s="3" t="s">
        <v>6</v>
      </c>
      <c r="I215" s="5">
        <v>9.3531011553291646E-2</v>
      </c>
      <c r="J215" s="3" t="s">
        <v>7</v>
      </c>
      <c r="L215" s="3" t="s">
        <v>71</v>
      </c>
      <c r="M215" s="3" t="s">
        <v>6</v>
      </c>
      <c r="N215" s="5">
        <v>0.10043050261424467</v>
      </c>
      <c r="O215" s="3" t="s">
        <v>7</v>
      </c>
    </row>
    <row r="216" spans="2:15" x14ac:dyDescent="0.45">
      <c r="B216" s="6" t="s">
        <v>69</v>
      </c>
      <c r="C216" s="6" t="s">
        <v>10</v>
      </c>
      <c r="D216" s="7">
        <v>0.12391843426488321</v>
      </c>
      <c r="E216" s="6" t="s">
        <v>7</v>
      </c>
      <c r="G216" s="6" t="s">
        <v>70</v>
      </c>
      <c r="H216" s="6" t="s">
        <v>10</v>
      </c>
      <c r="I216" s="8">
        <v>0.11388793629235966</v>
      </c>
      <c r="J216" s="6" t="s">
        <v>7</v>
      </c>
      <c r="L216" s="6" t="s">
        <v>71</v>
      </c>
      <c r="M216" s="6" t="s">
        <v>10</v>
      </c>
      <c r="N216" s="8">
        <v>0.11980349600004676</v>
      </c>
      <c r="O216" s="6" t="s">
        <v>7</v>
      </c>
    </row>
    <row r="217" spans="2:15" x14ac:dyDescent="0.45">
      <c r="B217" s="3" t="s">
        <v>69</v>
      </c>
      <c r="C217" s="3" t="s">
        <v>11</v>
      </c>
      <c r="D217" s="4">
        <v>0</v>
      </c>
      <c r="E217" s="3" t="s">
        <v>7</v>
      </c>
      <c r="G217" s="3" t="s">
        <v>70</v>
      </c>
      <c r="H217" s="3" t="s">
        <v>11</v>
      </c>
      <c r="I217" s="5">
        <v>7.2243361179571475E-2</v>
      </c>
      <c r="J217" s="3" t="s">
        <v>7</v>
      </c>
      <c r="L217" s="3" t="s">
        <v>71</v>
      </c>
      <c r="M217" s="3" t="s">
        <v>11</v>
      </c>
      <c r="N217" s="5">
        <v>7.6132078887404489E-2</v>
      </c>
      <c r="O217" s="3" t="s">
        <v>7</v>
      </c>
    </row>
    <row r="218" spans="2:15" x14ac:dyDescent="0.45">
      <c r="B218" s="6" t="s">
        <v>69</v>
      </c>
      <c r="C218" s="6" t="s">
        <v>12</v>
      </c>
      <c r="D218" s="7">
        <v>6.5301502660338791E-3</v>
      </c>
      <c r="E218" s="6" t="s">
        <v>7</v>
      </c>
      <c r="G218" s="6" t="s">
        <v>70</v>
      </c>
      <c r="H218" s="6" t="s">
        <v>12</v>
      </c>
      <c r="I218" s="8">
        <v>8.599927927321091E-2</v>
      </c>
      <c r="J218" s="6" t="s">
        <v>7</v>
      </c>
      <c r="L218" s="6" t="s">
        <v>71</v>
      </c>
      <c r="M218" s="6" t="s">
        <v>12</v>
      </c>
      <c r="N218" s="8">
        <v>9.1008658583341964E-2</v>
      </c>
      <c r="O218" s="6" t="s">
        <v>7</v>
      </c>
    </row>
    <row r="219" spans="2:15" x14ac:dyDescent="0.45">
      <c r="B219" s="3" t="s">
        <v>69</v>
      </c>
      <c r="C219" s="3" t="s">
        <v>13</v>
      </c>
      <c r="D219" s="4">
        <v>0.30019568693747262</v>
      </c>
      <c r="E219" s="3" t="s">
        <v>7</v>
      </c>
      <c r="G219" s="3" t="s">
        <v>70</v>
      </c>
      <c r="H219" s="3" t="s">
        <v>13</v>
      </c>
      <c r="I219" s="5">
        <v>0.10109459018961803</v>
      </c>
      <c r="J219" s="3" t="s">
        <v>7</v>
      </c>
      <c r="L219" s="3" t="s">
        <v>71</v>
      </c>
      <c r="M219" s="3" t="s">
        <v>13</v>
      </c>
      <c r="N219" s="5">
        <v>0.11245606959800943</v>
      </c>
      <c r="O219" s="3" t="s">
        <v>7</v>
      </c>
    </row>
    <row r="220" spans="2:15" x14ac:dyDescent="0.45">
      <c r="B220" s="6" t="s">
        <v>69</v>
      </c>
      <c r="C220" s="6" t="s">
        <v>14</v>
      </c>
      <c r="D220" s="7">
        <v>6.1932063394534555E-3</v>
      </c>
      <c r="E220" s="6" t="s">
        <v>7</v>
      </c>
      <c r="G220" s="6" t="s">
        <v>70</v>
      </c>
      <c r="H220" s="6" t="s">
        <v>14</v>
      </c>
      <c r="I220" s="8">
        <v>6.5575688641724417E-2</v>
      </c>
      <c r="J220" s="6" t="s">
        <v>7</v>
      </c>
      <c r="L220" s="6" t="s">
        <v>71</v>
      </c>
      <c r="M220" s="6" t="s">
        <v>14</v>
      </c>
      <c r="N220" s="8">
        <v>6.8596892683140731E-2</v>
      </c>
      <c r="O220" s="6" t="s">
        <v>7</v>
      </c>
    </row>
    <row r="221" spans="2:15" x14ac:dyDescent="0.45">
      <c r="B221" s="3" t="s">
        <v>69</v>
      </c>
      <c r="C221" s="3" t="s">
        <v>15</v>
      </c>
      <c r="D221" s="4">
        <v>1.1166274729684482E-2</v>
      </c>
      <c r="E221" s="3" t="s">
        <v>7</v>
      </c>
      <c r="G221" s="3" t="s">
        <v>70</v>
      </c>
      <c r="H221" s="3" t="s">
        <v>15</v>
      </c>
      <c r="I221" s="5">
        <v>6.8684685828786007E-2</v>
      </c>
      <c r="J221" s="3" t="s">
        <v>7</v>
      </c>
      <c r="L221" s="3" t="s">
        <v>71</v>
      </c>
      <c r="M221" s="3" t="s">
        <v>15</v>
      </c>
      <c r="N221" s="5">
        <v>5.3006799354530315E-2</v>
      </c>
      <c r="O221" s="3" t="s">
        <v>7</v>
      </c>
    </row>
    <row r="222" spans="2:15" x14ac:dyDescent="0.45">
      <c r="B222" s="6" t="s">
        <v>69</v>
      </c>
      <c r="C222" s="6" t="s">
        <v>16</v>
      </c>
      <c r="D222" s="7">
        <v>0.35063402248991149</v>
      </c>
      <c r="E222" s="6" t="s">
        <v>7</v>
      </c>
      <c r="G222" s="6" t="s">
        <v>70</v>
      </c>
      <c r="H222" s="6" t="s">
        <v>16</v>
      </c>
      <c r="I222" s="8">
        <v>8.6160003521670331E-2</v>
      </c>
      <c r="J222" s="6" t="s">
        <v>7</v>
      </c>
      <c r="L222" s="6" t="s">
        <v>71</v>
      </c>
      <c r="M222" s="6" t="s">
        <v>16</v>
      </c>
      <c r="N222" s="8">
        <v>6.4994187470640244E-2</v>
      </c>
      <c r="O222" s="6" t="s">
        <v>7</v>
      </c>
    </row>
    <row r="223" spans="2:15" x14ac:dyDescent="0.45">
      <c r="B223" s="3" t="s">
        <v>69</v>
      </c>
      <c r="C223" s="3" t="s">
        <v>17</v>
      </c>
      <c r="D223" s="4">
        <v>1.2005540172985057E-2</v>
      </c>
      <c r="E223" s="3" t="s">
        <v>7</v>
      </c>
      <c r="G223" s="3" t="s">
        <v>70</v>
      </c>
      <c r="H223" s="3" t="s">
        <v>17</v>
      </c>
      <c r="I223" s="5">
        <v>5.8358080321351063E-2</v>
      </c>
      <c r="J223" s="3" t="s">
        <v>7</v>
      </c>
      <c r="L223" s="3" t="s">
        <v>71</v>
      </c>
      <c r="M223" s="3" t="s">
        <v>17</v>
      </c>
      <c r="N223" s="5">
        <v>4.3604503794151789E-2</v>
      </c>
      <c r="O223" s="3" t="s">
        <v>7</v>
      </c>
    </row>
    <row r="224" spans="2:15" x14ac:dyDescent="0.45">
      <c r="B224" s="6" t="s">
        <v>69</v>
      </c>
      <c r="C224" s="6" t="s">
        <v>18</v>
      </c>
      <c r="D224" s="7">
        <v>1.4624554148889976E-3</v>
      </c>
      <c r="E224" s="6" t="s">
        <v>7</v>
      </c>
      <c r="G224" s="6" t="s">
        <v>70</v>
      </c>
      <c r="H224" s="6" t="s">
        <v>18</v>
      </c>
      <c r="I224" s="8">
        <v>8.2039262321453574E-2</v>
      </c>
      <c r="J224" s="6" t="s">
        <v>7</v>
      </c>
      <c r="L224" s="6" t="s">
        <v>71</v>
      </c>
      <c r="M224" s="6" t="s">
        <v>18</v>
      </c>
      <c r="N224" s="8">
        <v>8.9554322805860204E-2</v>
      </c>
      <c r="O224" s="6" t="s">
        <v>7</v>
      </c>
    </row>
    <row r="225" spans="2:15" x14ac:dyDescent="0.45">
      <c r="B225" s="3" t="s">
        <v>69</v>
      </c>
      <c r="C225" s="3" t="s">
        <v>19</v>
      </c>
      <c r="D225" s="4">
        <v>0.18723322923631414</v>
      </c>
      <c r="E225" s="3" t="s">
        <v>7</v>
      </c>
      <c r="G225" s="3" t="s">
        <v>70</v>
      </c>
      <c r="H225" s="3" t="s">
        <v>19</v>
      </c>
      <c r="I225" s="5">
        <v>0.1048536355674078</v>
      </c>
      <c r="J225" s="3" t="s">
        <v>7</v>
      </c>
      <c r="L225" s="3" t="s">
        <v>71</v>
      </c>
      <c r="M225" s="3" t="s">
        <v>19</v>
      </c>
      <c r="N225" s="5">
        <v>0.11062872905050647</v>
      </c>
      <c r="O225" s="3" t="s">
        <v>7</v>
      </c>
    </row>
    <row r="226" spans="2:15" x14ac:dyDescent="0.45">
      <c r="B226" s="6" t="s">
        <v>69</v>
      </c>
      <c r="C226" s="6" t="s">
        <v>20</v>
      </c>
      <c r="D226" s="7">
        <v>6.6100014837267181E-4</v>
      </c>
      <c r="E226" s="6" t="s">
        <v>7</v>
      </c>
      <c r="G226" s="6" t="s">
        <v>70</v>
      </c>
      <c r="H226" s="6" t="s">
        <v>20</v>
      </c>
      <c r="I226" s="8">
        <v>6.7572465309555074E-2</v>
      </c>
      <c r="J226" s="6" t="s">
        <v>7</v>
      </c>
      <c r="L226" s="6" t="s">
        <v>71</v>
      </c>
      <c r="M226" s="6" t="s">
        <v>20</v>
      </c>
      <c r="N226" s="8">
        <v>6.9783759158122932E-2</v>
      </c>
      <c r="O226" s="6" t="s">
        <v>7</v>
      </c>
    </row>
    <row r="227" spans="2:15" x14ac:dyDescent="0.45">
      <c r="B227" s="3" t="s">
        <v>72</v>
      </c>
      <c r="C227" s="3" t="s">
        <v>6</v>
      </c>
      <c r="D227" s="4">
        <v>0</v>
      </c>
      <c r="E227" s="3" t="s">
        <v>7</v>
      </c>
      <c r="G227" s="3" t="s">
        <v>73</v>
      </c>
      <c r="H227" s="3" t="s">
        <v>6</v>
      </c>
      <c r="I227" s="5">
        <v>0.10236328832981463</v>
      </c>
      <c r="J227" s="3" t="s">
        <v>7</v>
      </c>
      <c r="L227" s="3" t="s">
        <v>74</v>
      </c>
      <c r="M227" s="3" t="s">
        <v>6</v>
      </c>
      <c r="N227" s="5">
        <v>9.3933971332350097E-2</v>
      </c>
      <c r="O227" s="3" t="s">
        <v>7</v>
      </c>
    </row>
    <row r="228" spans="2:15" x14ac:dyDescent="0.45">
      <c r="B228" s="6" t="s">
        <v>72</v>
      </c>
      <c r="C228" s="6" t="s">
        <v>10</v>
      </c>
      <c r="D228" s="7">
        <v>0.12966410469218484</v>
      </c>
      <c r="E228" s="6" t="s">
        <v>7</v>
      </c>
      <c r="G228" s="6" t="s">
        <v>73</v>
      </c>
      <c r="H228" s="6" t="s">
        <v>10</v>
      </c>
      <c r="I228" s="8">
        <v>0.12401964550127308</v>
      </c>
      <c r="J228" s="6" t="s">
        <v>7</v>
      </c>
      <c r="L228" s="6" t="s">
        <v>74</v>
      </c>
      <c r="M228" s="6" t="s">
        <v>10</v>
      </c>
      <c r="N228" s="8">
        <v>0.12316801545808871</v>
      </c>
      <c r="O228" s="6" t="s">
        <v>7</v>
      </c>
    </row>
    <row r="229" spans="2:15" x14ac:dyDescent="0.45">
      <c r="B229" s="3" t="s">
        <v>72</v>
      </c>
      <c r="C229" s="3" t="s">
        <v>11</v>
      </c>
      <c r="D229" s="4">
        <v>7.6387867252827209E-5</v>
      </c>
      <c r="E229" s="3" t="s">
        <v>7</v>
      </c>
      <c r="G229" s="3" t="s">
        <v>73</v>
      </c>
      <c r="H229" s="3" t="s">
        <v>11</v>
      </c>
      <c r="I229" s="5">
        <v>7.9288480129148492E-2</v>
      </c>
      <c r="J229" s="3" t="s">
        <v>7</v>
      </c>
      <c r="L229" s="3" t="s">
        <v>74</v>
      </c>
      <c r="M229" s="3" t="s">
        <v>11</v>
      </c>
      <c r="N229" s="5">
        <v>7.3208128187010682E-2</v>
      </c>
      <c r="O229" s="3" t="s">
        <v>7</v>
      </c>
    </row>
    <row r="230" spans="2:15" x14ac:dyDescent="0.45">
      <c r="B230" s="6" t="s">
        <v>72</v>
      </c>
      <c r="C230" s="6" t="s">
        <v>12</v>
      </c>
      <c r="D230" s="7">
        <v>6.449722002204266E-3</v>
      </c>
      <c r="E230" s="6" t="s">
        <v>7</v>
      </c>
      <c r="G230" s="6" t="s">
        <v>73</v>
      </c>
      <c r="H230" s="6" t="s">
        <v>12</v>
      </c>
      <c r="I230" s="8">
        <v>8.3218708877241712E-2</v>
      </c>
      <c r="J230" s="6" t="s">
        <v>7</v>
      </c>
      <c r="L230" s="6" t="s">
        <v>74</v>
      </c>
      <c r="M230" s="6" t="s">
        <v>12</v>
      </c>
      <c r="N230" s="8">
        <v>8.3794859528640672E-2</v>
      </c>
      <c r="O230" s="6" t="s">
        <v>7</v>
      </c>
    </row>
    <row r="231" spans="2:15" x14ac:dyDescent="0.45">
      <c r="B231" s="3" t="s">
        <v>72</v>
      </c>
      <c r="C231" s="3" t="s">
        <v>13</v>
      </c>
      <c r="D231" s="4">
        <v>0.30678148617240525</v>
      </c>
      <c r="E231" s="3" t="s">
        <v>7</v>
      </c>
      <c r="G231" s="3" t="s">
        <v>73</v>
      </c>
      <c r="H231" s="3" t="s">
        <v>13</v>
      </c>
      <c r="I231" s="5">
        <v>0.12006675918901735</v>
      </c>
      <c r="J231" s="3" t="s">
        <v>7</v>
      </c>
      <c r="L231" s="3" t="s">
        <v>74</v>
      </c>
      <c r="M231" s="3" t="s">
        <v>13</v>
      </c>
      <c r="N231" s="5">
        <v>0.10700525935221306</v>
      </c>
      <c r="O231" s="3" t="s">
        <v>7</v>
      </c>
    </row>
    <row r="232" spans="2:15" x14ac:dyDescent="0.45">
      <c r="B232" s="6" t="s">
        <v>72</v>
      </c>
      <c r="C232" s="6" t="s">
        <v>14</v>
      </c>
      <c r="D232" s="7">
        <v>8.7446631595095217E-3</v>
      </c>
      <c r="E232" s="6" t="s">
        <v>7</v>
      </c>
      <c r="G232" s="6" t="s">
        <v>73</v>
      </c>
      <c r="H232" s="6" t="s">
        <v>14</v>
      </c>
      <c r="I232" s="8">
        <v>6.6042975341795554E-2</v>
      </c>
      <c r="J232" s="6" t="s">
        <v>7</v>
      </c>
      <c r="L232" s="6" t="s">
        <v>74</v>
      </c>
      <c r="M232" s="6" t="s">
        <v>14</v>
      </c>
      <c r="N232" s="8">
        <v>6.2155306799697177E-2</v>
      </c>
      <c r="O232" s="6" t="s">
        <v>7</v>
      </c>
    </row>
    <row r="233" spans="2:15" x14ac:dyDescent="0.45">
      <c r="B233" s="3" t="s">
        <v>72</v>
      </c>
      <c r="C233" s="3" t="s">
        <v>15</v>
      </c>
      <c r="D233" s="4">
        <v>1.0588895305086277E-2</v>
      </c>
      <c r="E233" s="3" t="s">
        <v>7</v>
      </c>
      <c r="G233" s="3" t="s">
        <v>73</v>
      </c>
      <c r="H233" s="3" t="s">
        <v>15</v>
      </c>
      <c r="I233" s="5">
        <v>4.8131903915334215E-2</v>
      </c>
      <c r="J233" s="3" t="s">
        <v>7</v>
      </c>
      <c r="L233" s="3" t="s">
        <v>74</v>
      </c>
      <c r="M233" s="3" t="s">
        <v>15</v>
      </c>
      <c r="N233" s="5">
        <v>7.2290006938757201E-2</v>
      </c>
      <c r="O233" s="3" t="s">
        <v>7</v>
      </c>
    </row>
    <row r="234" spans="2:15" x14ac:dyDescent="0.45">
      <c r="B234" s="6" t="s">
        <v>72</v>
      </c>
      <c r="C234" s="6" t="s">
        <v>16</v>
      </c>
      <c r="D234" s="7">
        <v>0.33718320870681145</v>
      </c>
      <c r="E234" s="6" t="s">
        <v>7</v>
      </c>
      <c r="G234" s="6" t="s">
        <v>73</v>
      </c>
      <c r="H234" s="6" t="s">
        <v>16</v>
      </c>
      <c r="I234" s="8">
        <v>7.0072198895834742E-2</v>
      </c>
      <c r="J234" s="6" t="s">
        <v>7</v>
      </c>
      <c r="L234" s="6" t="s">
        <v>74</v>
      </c>
      <c r="M234" s="6" t="s">
        <v>16</v>
      </c>
      <c r="N234" s="8">
        <v>9.2637069687905846E-2</v>
      </c>
      <c r="O234" s="6" t="s">
        <v>7</v>
      </c>
    </row>
    <row r="235" spans="2:15" x14ac:dyDescent="0.45">
      <c r="B235" s="3" t="s">
        <v>72</v>
      </c>
      <c r="C235" s="3" t="s">
        <v>17</v>
      </c>
      <c r="D235" s="4">
        <v>1.5906061606259327E-2</v>
      </c>
      <c r="E235" s="3" t="s">
        <v>7</v>
      </c>
      <c r="G235" s="3" t="s">
        <v>73</v>
      </c>
      <c r="H235" s="3" t="s">
        <v>17</v>
      </c>
      <c r="I235" s="5">
        <v>4.0275980789357499E-2</v>
      </c>
      <c r="J235" s="3" t="s">
        <v>7</v>
      </c>
      <c r="L235" s="3" t="s">
        <v>74</v>
      </c>
      <c r="M235" s="3" t="s">
        <v>17</v>
      </c>
      <c r="N235" s="5">
        <v>5.5863151679260682E-2</v>
      </c>
      <c r="O235" s="3" t="s">
        <v>7</v>
      </c>
    </row>
    <row r="236" spans="2:15" x14ac:dyDescent="0.45">
      <c r="B236" s="6" t="s">
        <v>72</v>
      </c>
      <c r="C236" s="6" t="s">
        <v>18</v>
      </c>
      <c r="D236" s="7">
        <v>7.4869444111831294E-4</v>
      </c>
      <c r="E236" s="6" t="s">
        <v>7</v>
      </c>
      <c r="G236" s="6" t="s">
        <v>73</v>
      </c>
      <c r="H236" s="6" t="s">
        <v>18</v>
      </c>
      <c r="I236" s="8">
        <v>8.7482781430780088E-2</v>
      </c>
      <c r="J236" s="6" t="s">
        <v>7</v>
      </c>
      <c r="L236" s="6" t="s">
        <v>74</v>
      </c>
      <c r="M236" s="6" t="s">
        <v>18</v>
      </c>
      <c r="N236" s="8">
        <v>7.7649511454218167E-2</v>
      </c>
      <c r="O236" s="6" t="s">
        <v>7</v>
      </c>
    </row>
    <row r="237" spans="2:15" x14ac:dyDescent="0.45">
      <c r="B237" s="3" t="s">
        <v>72</v>
      </c>
      <c r="C237" s="3" t="s">
        <v>19</v>
      </c>
      <c r="D237" s="4">
        <v>0.18277871380618013</v>
      </c>
      <c r="E237" s="3" t="s">
        <v>7</v>
      </c>
      <c r="G237" s="3" t="s">
        <v>73</v>
      </c>
      <c r="H237" s="3" t="s">
        <v>19</v>
      </c>
      <c r="I237" s="5">
        <v>0.11046076957077794</v>
      </c>
      <c r="J237" s="3" t="s">
        <v>7</v>
      </c>
      <c r="L237" s="3" t="s">
        <v>74</v>
      </c>
      <c r="M237" s="3" t="s">
        <v>19</v>
      </c>
      <c r="N237" s="5">
        <v>9.8988820799953928E-2</v>
      </c>
      <c r="O237" s="3" t="s">
        <v>7</v>
      </c>
    </row>
    <row r="238" spans="2:15" x14ac:dyDescent="0.45">
      <c r="B238" s="6" t="s">
        <v>72</v>
      </c>
      <c r="C238" s="6" t="s">
        <v>20</v>
      </c>
      <c r="D238" s="7">
        <v>1.0780622409878042E-3</v>
      </c>
      <c r="E238" s="6" t="s">
        <v>7</v>
      </c>
      <c r="G238" s="6" t="s">
        <v>73</v>
      </c>
      <c r="H238" s="6" t="s">
        <v>20</v>
      </c>
      <c r="I238" s="8">
        <v>6.8576508029624686E-2</v>
      </c>
      <c r="J238" s="6" t="s">
        <v>7</v>
      </c>
      <c r="L238" s="6" t="s">
        <v>74</v>
      </c>
      <c r="M238" s="6" t="s">
        <v>20</v>
      </c>
      <c r="N238" s="8">
        <v>5.9305898781903794E-2</v>
      </c>
      <c r="O238" s="6" t="s">
        <v>7</v>
      </c>
    </row>
    <row r="239" spans="2:15" x14ac:dyDescent="0.45">
      <c r="B239" s="3" t="s">
        <v>75</v>
      </c>
      <c r="C239" s="3" t="s">
        <v>6</v>
      </c>
      <c r="D239" s="4">
        <v>0</v>
      </c>
      <c r="E239" s="3" t="s">
        <v>7</v>
      </c>
      <c r="G239" s="3" t="s">
        <v>76</v>
      </c>
      <c r="H239" s="3" t="s">
        <v>6</v>
      </c>
      <c r="I239" s="5">
        <v>0.10436984803644923</v>
      </c>
      <c r="J239" s="3" t="s">
        <v>7</v>
      </c>
      <c r="L239" s="3" t="s">
        <v>77</v>
      </c>
      <c r="M239" s="3" t="s">
        <v>6</v>
      </c>
      <c r="N239" s="5">
        <v>0.10239618224571502</v>
      </c>
      <c r="O239" s="3" t="s">
        <v>7</v>
      </c>
    </row>
    <row r="240" spans="2:15" x14ac:dyDescent="0.45">
      <c r="B240" s="6" t="s">
        <v>75</v>
      </c>
      <c r="C240" s="6" t="s">
        <v>10</v>
      </c>
      <c r="D240" s="7">
        <v>0.12051610823811613</v>
      </c>
      <c r="E240" s="6" t="s">
        <v>7</v>
      </c>
      <c r="G240" s="6" t="s">
        <v>76</v>
      </c>
      <c r="H240" s="6" t="s">
        <v>10</v>
      </c>
      <c r="I240" s="8">
        <v>0.130323920467283</v>
      </c>
      <c r="J240" s="6" t="s">
        <v>7</v>
      </c>
      <c r="L240" s="6" t="s">
        <v>77</v>
      </c>
      <c r="M240" s="6" t="s">
        <v>10</v>
      </c>
      <c r="N240" s="8">
        <v>0.12588826197088743</v>
      </c>
      <c r="O240" s="6" t="s">
        <v>7</v>
      </c>
    </row>
    <row r="241" spans="2:15" x14ac:dyDescent="0.45">
      <c r="B241" s="3" t="s">
        <v>75</v>
      </c>
      <c r="C241" s="3" t="s">
        <v>11</v>
      </c>
      <c r="D241" s="4">
        <v>1.0052279272710725E-4</v>
      </c>
      <c r="E241" s="3" t="s">
        <v>7</v>
      </c>
      <c r="G241" s="3" t="s">
        <v>76</v>
      </c>
      <c r="H241" s="3" t="s">
        <v>11</v>
      </c>
      <c r="I241" s="5">
        <v>8.1550456422045378E-2</v>
      </c>
      <c r="J241" s="3" t="s">
        <v>7</v>
      </c>
      <c r="L241" s="3" t="s">
        <v>77</v>
      </c>
      <c r="M241" s="3" t="s">
        <v>11</v>
      </c>
      <c r="N241" s="5">
        <v>7.7800602354505338E-2</v>
      </c>
      <c r="O241" s="3" t="s">
        <v>7</v>
      </c>
    </row>
    <row r="242" spans="2:15" x14ac:dyDescent="0.45">
      <c r="B242" s="6" t="s">
        <v>75</v>
      </c>
      <c r="C242" s="6" t="s">
        <v>12</v>
      </c>
      <c r="D242" s="7">
        <v>6.0148947592183625E-3</v>
      </c>
      <c r="E242" s="6" t="s">
        <v>7</v>
      </c>
      <c r="G242" s="6" t="s">
        <v>76</v>
      </c>
      <c r="H242" s="6" t="s">
        <v>12</v>
      </c>
      <c r="I242" s="8">
        <v>8.273129238667222E-2</v>
      </c>
      <c r="J242" s="6" t="s">
        <v>7</v>
      </c>
      <c r="L242" s="6" t="s">
        <v>77</v>
      </c>
      <c r="M242" s="6" t="s">
        <v>12</v>
      </c>
      <c r="N242" s="8">
        <v>8.2770789032204903E-2</v>
      </c>
      <c r="O242" s="6" t="s">
        <v>7</v>
      </c>
    </row>
    <row r="243" spans="2:15" x14ac:dyDescent="0.45">
      <c r="B243" s="3" t="s">
        <v>75</v>
      </c>
      <c r="C243" s="3" t="s">
        <v>13</v>
      </c>
      <c r="D243" s="4">
        <v>0.31735794763513958</v>
      </c>
      <c r="E243" s="3" t="s">
        <v>7</v>
      </c>
      <c r="G243" s="3" t="s">
        <v>76</v>
      </c>
      <c r="H243" s="3" t="s">
        <v>13</v>
      </c>
      <c r="I243" s="5">
        <v>0.12208732657211625</v>
      </c>
      <c r="J243" s="3" t="s">
        <v>7</v>
      </c>
      <c r="L243" s="3" t="s">
        <v>77</v>
      </c>
      <c r="M243" s="3" t="s">
        <v>13</v>
      </c>
      <c r="N243" s="5">
        <v>0.10668055136577313</v>
      </c>
      <c r="O243" s="3" t="s">
        <v>7</v>
      </c>
    </row>
    <row r="244" spans="2:15" x14ac:dyDescent="0.45">
      <c r="B244" s="6" t="s">
        <v>75</v>
      </c>
      <c r="C244" s="6" t="s">
        <v>14</v>
      </c>
      <c r="D244" s="7">
        <v>1.0748761900847479E-2</v>
      </c>
      <c r="E244" s="6" t="s">
        <v>7</v>
      </c>
      <c r="G244" s="6" t="s">
        <v>76</v>
      </c>
      <c r="H244" s="6" t="s">
        <v>14</v>
      </c>
      <c r="I244" s="8">
        <v>6.4189461401781223E-2</v>
      </c>
      <c r="J244" s="6" t="s">
        <v>7</v>
      </c>
      <c r="L244" s="6" t="s">
        <v>77</v>
      </c>
      <c r="M244" s="6" t="s">
        <v>14</v>
      </c>
      <c r="N244" s="8">
        <v>6.4165422387512161E-2</v>
      </c>
      <c r="O244" s="6" t="s">
        <v>7</v>
      </c>
    </row>
    <row r="245" spans="2:15" x14ac:dyDescent="0.45">
      <c r="B245" s="3" t="s">
        <v>75</v>
      </c>
      <c r="C245" s="3" t="s">
        <v>15</v>
      </c>
      <c r="D245" s="4">
        <v>1.0404860056413077E-2</v>
      </c>
      <c r="E245" s="3" t="s">
        <v>7</v>
      </c>
      <c r="G245" s="3" t="s">
        <v>76</v>
      </c>
      <c r="H245" s="3" t="s">
        <v>15</v>
      </c>
      <c r="I245" s="5">
        <v>4.0817182166128313E-2</v>
      </c>
      <c r="J245" s="3" t="s">
        <v>7</v>
      </c>
      <c r="L245" s="3" t="s">
        <v>77</v>
      </c>
      <c r="M245" s="3" t="s">
        <v>15</v>
      </c>
      <c r="N245" s="5">
        <v>6.1683621245110849E-2</v>
      </c>
      <c r="O245" s="3" t="s">
        <v>7</v>
      </c>
    </row>
    <row r="246" spans="2:15" x14ac:dyDescent="0.45">
      <c r="B246" s="6" t="s">
        <v>75</v>
      </c>
      <c r="C246" s="6" t="s">
        <v>16</v>
      </c>
      <c r="D246" s="7">
        <v>0.33850008197301662</v>
      </c>
      <c r="E246" s="6" t="s">
        <v>7</v>
      </c>
      <c r="G246" s="6" t="s">
        <v>76</v>
      </c>
      <c r="H246" s="6" t="s">
        <v>16</v>
      </c>
      <c r="I246" s="8">
        <v>6.6826269457799695E-2</v>
      </c>
      <c r="J246" s="6" t="s">
        <v>7</v>
      </c>
      <c r="L246" s="6" t="s">
        <v>77</v>
      </c>
      <c r="M246" s="6" t="s">
        <v>16</v>
      </c>
      <c r="N246" s="8">
        <v>7.4275487107095375E-2</v>
      </c>
      <c r="O246" s="6" t="s">
        <v>7</v>
      </c>
    </row>
    <row r="247" spans="2:15" x14ac:dyDescent="0.45">
      <c r="B247" s="3" t="s">
        <v>75</v>
      </c>
      <c r="C247" s="3" t="s">
        <v>17</v>
      </c>
      <c r="D247" s="4">
        <v>1.7674545788931288E-2</v>
      </c>
      <c r="E247" s="3" t="s">
        <v>7</v>
      </c>
      <c r="G247" s="3" t="s">
        <v>76</v>
      </c>
      <c r="H247" s="3" t="s">
        <v>17</v>
      </c>
      <c r="I247" s="5">
        <v>3.4630418693600444E-2</v>
      </c>
      <c r="J247" s="3" t="s">
        <v>7</v>
      </c>
      <c r="L247" s="3" t="s">
        <v>77</v>
      </c>
      <c r="M247" s="3" t="s">
        <v>17</v>
      </c>
      <c r="N247" s="5">
        <v>4.4953615831988147E-2</v>
      </c>
      <c r="O247" s="3" t="s">
        <v>7</v>
      </c>
    </row>
    <row r="248" spans="2:15" x14ac:dyDescent="0.45">
      <c r="B248" s="6" t="s">
        <v>75</v>
      </c>
      <c r="C248" s="6" t="s">
        <v>18</v>
      </c>
      <c r="D248" s="7">
        <v>5.3329706183833346E-4</v>
      </c>
      <c r="E248" s="6" t="s">
        <v>7</v>
      </c>
      <c r="G248" s="6" t="s">
        <v>76</v>
      </c>
      <c r="H248" s="6" t="s">
        <v>18</v>
      </c>
      <c r="I248" s="8">
        <v>8.7406606234434692E-2</v>
      </c>
      <c r="J248" s="6" t="s">
        <v>7</v>
      </c>
      <c r="L248" s="6" t="s">
        <v>77</v>
      </c>
      <c r="M248" s="6" t="s">
        <v>18</v>
      </c>
      <c r="N248" s="8">
        <v>8.5416119289792661E-2</v>
      </c>
      <c r="O248" s="6" t="s">
        <v>7</v>
      </c>
    </row>
    <row r="249" spans="2:15" x14ac:dyDescent="0.45">
      <c r="B249" s="3" t="s">
        <v>75</v>
      </c>
      <c r="C249" s="3" t="s">
        <v>19</v>
      </c>
      <c r="D249" s="4">
        <v>0.1769821732080871</v>
      </c>
      <c r="E249" s="3" t="s">
        <v>7</v>
      </c>
      <c r="G249" s="3" t="s">
        <v>76</v>
      </c>
      <c r="H249" s="3" t="s">
        <v>19</v>
      </c>
      <c r="I249" s="5">
        <v>0.11612938286291496</v>
      </c>
      <c r="J249" s="3" t="s">
        <v>7</v>
      </c>
      <c r="L249" s="3" t="s">
        <v>77</v>
      </c>
      <c r="M249" s="3" t="s">
        <v>19</v>
      </c>
      <c r="N249" s="5">
        <v>0.10965600188062684</v>
      </c>
      <c r="O249" s="3" t="s">
        <v>7</v>
      </c>
    </row>
    <row r="250" spans="2:15" x14ac:dyDescent="0.45">
      <c r="B250" s="6" t="s">
        <v>75</v>
      </c>
      <c r="C250" s="6" t="s">
        <v>20</v>
      </c>
      <c r="D250" s="7">
        <v>1.1668065856649523E-3</v>
      </c>
      <c r="E250" s="6" t="s">
        <v>7</v>
      </c>
      <c r="G250" s="6" t="s">
        <v>76</v>
      </c>
      <c r="H250" s="6" t="s">
        <v>20</v>
      </c>
      <c r="I250" s="8">
        <v>6.8937835298774564E-2</v>
      </c>
      <c r="J250" s="6" t="s">
        <v>7</v>
      </c>
      <c r="L250" s="6" t="s">
        <v>77</v>
      </c>
      <c r="M250" s="6" t="s">
        <v>20</v>
      </c>
      <c r="N250" s="8">
        <v>6.4313345288788085E-2</v>
      </c>
      <c r="O250" s="6" t="s">
        <v>7</v>
      </c>
    </row>
    <row r="251" spans="2:15" x14ac:dyDescent="0.45">
      <c r="B251" s="3" t="s">
        <v>78</v>
      </c>
      <c r="C251" s="3" t="s">
        <v>6</v>
      </c>
      <c r="D251" s="4">
        <v>0</v>
      </c>
      <c r="E251" s="3" t="s">
        <v>7</v>
      </c>
      <c r="G251" s="3" t="s">
        <v>79</v>
      </c>
      <c r="H251" s="3" t="s">
        <v>6</v>
      </c>
      <c r="I251" s="5">
        <v>0.1023811308548314</v>
      </c>
      <c r="J251" s="3" t="s">
        <v>7</v>
      </c>
      <c r="L251" s="3" t="s">
        <v>80</v>
      </c>
      <c r="M251" s="3" t="s">
        <v>6</v>
      </c>
      <c r="N251" s="5">
        <v>0.10195444968734163</v>
      </c>
      <c r="O251" s="3" t="s">
        <v>7</v>
      </c>
    </row>
    <row r="252" spans="2:15" x14ac:dyDescent="0.45">
      <c r="B252" s="6" t="s">
        <v>78</v>
      </c>
      <c r="C252" s="6" t="s">
        <v>10</v>
      </c>
      <c r="D252" s="7">
        <v>0.12698869214591102</v>
      </c>
      <c r="E252" s="6" t="s">
        <v>7</v>
      </c>
      <c r="G252" s="6" t="s">
        <v>79</v>
      </c>
      <c r="H252" s="6" t="s">
        <v>10</v>
      </c>
      <c r="I252" s="8">
        <v>0.12531522789677627</v>
      </c>
      <c r="J252" s="6" t="s">
        <v>7</v>
      </c>
      <c r="L252" s="6" t="s">
        <v>80</v>
      </c>
      <c r="M252" s="6" t="s">
        <v>10</v>
      </c>
      <c r="N252" s="8">
        <v>0.12267635580084155</v>
      </c>
      <c r="O252" s="6" t="s">
        <v>7</v>
      </c>
    </row>
    <row r="253" spans="2:15" x14ac:dyDescent="0.45">
      <c r="B253" s="3" t="s">
        <v>78</v>
      </c>
      <c r="C253" s="3" t="s">
        <v>11</v>
      </c>
      <c r="D253" s="4">
        <v>1.1161007514448988E-4</v>
      </c>
      <c r="E253" s="3" t="s">
        <v>7</v>
      </c>
      <c r="G253" s="3" t="s">
        <v>79</v>
      </c>
      <c r="H253" s="3" t="s">
        <v>11</v>
      </c>
      <c r="I253" s="5">
        <v>7.815042967362068E-2</v>
      </c>
      <c r="J253" s="3" t="s">
        <v>7</v>
      </c>
      <c r="L253" s="3" t="s">
        <v>80</v>
      </c>
      <c r="M253" s="3" t="s">
        <v>11</v>
      </c>
      <c r="N253" s="5">
        <v>7.5557048937146543E-2</v>
      </c>
      <c r="O253" s="3" t="s">
        <v>7</v>
      </c>
    </row>
    <row r="254" spans="2:15" x14ac:dyDescent="0.45">
      <c r="B254" s="6" t="s">
        <v>78</v>
      </c>
      <c r="C254" s="6" t="s">
        <v>12</v>
      </c>
      <c r="D254" s="7">
        <v>5.1661371234822309E-3</v>
      </c>
      <c r="E254" s="6" t="s">
        <v>7</v>
      </c>
      <c r="G254" s="6" t="s">
        <v>79</v>
      </c>
      <c r="H254" s="6" t="s">
        <v>12</v>
      </c>
      <c r="I254" s="8">
        <v>8.7114992672866709E-2</v>
      </c>
      <c r="J254" s="6" t="s">
        <v>7</v>
      </c>
      <c r="L254" s="6" t="s">
        <v>80</v>
      </c>
      <c r="M254" s="6" t="s">
        <v>12</v>
      </c>
      <c r="N254" s="8">
        <v>7.8810532967476546E-2</v>
      </c>
      <c r="O254" s="6" t="s">
        <v>7</v>
      </c>
    </row>
    <row r="255" spans="2:15" x14ac:dyDescent="0.45">
      <c r="B255" s="3" t="s">
        <v>78</v>
      </c>
      <c r="C255" s="3" t="s">
        <v>13</v>
      </c>
      <c r="D255" s="4">
        <v>0.30109409736978493</v>
      </c>
      <c r="E255" s="3" t="s">
        <v>7</v>
      </c>
      <c r="G255" s="3" t="s">
        <v>79</v>
      </c>
      <c r="H255" s="3" t="s">
        <v>13</v>
      </c>
      <c r="I255" s="5">
        <v>0.11893540607773956</v>
      </c>
      <c r="J255" s="3" t="s">
        <v>7</v>
      </c>
      <c r="L255" s="3" t="s">
        <v>80</v>
      </c>
      <c r="M255" s="3" t="s">
        <v>13</v>
      </c>
      <c r="N255" s="5">
        <v>0.1024423376611719</v>
      </c>
      <c r="O255" s="3" t="s">
        <v>7</v>
      </c>
    </row>
    <row r="256" spans="2:15" x14ac:dyDescent="0.45">
      <c r="B256" s="6" t="s">
        <v>78</v>
      </c>
      <c r="C256" s="6" t="s">
        <v>14</v>
      </c>
      <c r="D256" s="7">
        <v>9.3910406390684369E-3</v>
      </c>
      <c r="E256" s="6" t="s">
        <v>7</v>
      </c>
      <c r="G256" s="6" t="s">
        <v>79</v>
      </c>
      <c r="H256" s="6" t="s">
        <v>14</v>
      </c>
      <c r="I256" s="8">
        <v>6.7198286367975063E-2</v>
      </c>
      <c r="J256" s="6" t="s">
        <v>7</v>
      </c>
      <c r="L256" s="6" t="s">
        <v>80</v>
      </c>
      <c r="M256" s="6" t="s">
        <v>14</v>
      </c>
      <c r="N256" s="8">
        <v>6.0344769997551798E-2</v>
      </c>
      <c r="O256" s="6" t="s">
        <v>7</v>
      </c>
    </row>
    <row r="257" spans="2:15" x14ac:dyDescent="0.45">
      <c r="B257" s="3" t="s">
        <v>78</v>
      </c>
      <c r="C257" s="3" t="s">
        <v>15</v>
      </c>
      <c r="D257" s="4">
        <v>8.5874243850686469E-3</v>
      </c>
      <c r="E257" s="3" t="s">
        <v>7</v>
      </c>
      <c r="G257" s="3" t="s">
        <v>79</v>
      </c>
      <c r="H257" s="3" t="s">
        <v>15</v>
      </c>
      <c r="I257" s="5">
        <v>5.5131582180307032E-2</v>
      </c>
      <c r="J257" s="3" t="s">
        <v>7</v>
      </c>
      <c r="L257" s="3" t="s">
        <v>80</v>
      </c>
      <c r="M257" s="3" t="s">
        <v>15</v>
      </c>
      <c r="N257" s="5">
        <v>7.1562155418266243E-2</v>
      </c>
      <c r="O257" s="3" t="s">
        <v>7</v>
      </c>
    </row>
    <row r="258" spans="2:15" x14ac:dyDescent="0.45">
      <c r="B258" s="6" t="s">
        <v>78</v>
      </c>
      <c r="C258" s="6" t="s">
        <v>16</v>
      </c>
      <c r="D258" s="7">
        <v>0.34628692652870113</v>
      </c>
      <c r="E258" s="6" t="s">
        <v>7</v>
      </c>
      <c r="G258" s="6" t="s">
        <v>79</v>
      </c>
      <c r="H258" s="6" t="s">
        <v>16</v>
      </c>
      <c r="I258" s="8">
        <v>7.2422042283755164E-2</v>
      </c>
      <c r="J258" s="6" t="s">
        <v>7</v>
      </c>
      <c r="L258" s="6" t="s">
        <v>80</v>
      </c>
      <c r="M258" s="6" t="s">
        <v>16</v>
      </c>
      <c r="N258" s="8">
        <v>8.873835730802225E-2</v>
      </c>
      <c r="O258" s="6" t="s">
        <v>7</v>
      </c>
    </row>
    <row r="259" spans="2:15" x14ac:dyDescent="0.45">
      <c r="B259" s="3" t="s">
        <v>78</v>
      </c>
      <c r="C259" s="3" t="s">
        <v>17</v>
      </c>
      <c r="D259" s="4">
        <v>1.6581852402108539E-2</v>
      </c>
      <c r="E259" s="3" t="s">
        <v>7</v>
      </c>
      <c r="G259" s="3" t="s">
        <v>79</v>
      </c>
      <c r="H259" s="3" t="s">
        <v>17</v>
      </c>
      <c r="I259" s="5">
        <v>4.5703774180328567E-2</v>
      </c>
      <c r="J259" s="3" t="s">
        <v>7</v>
      </c>
      <c r="L259" s="3" t="s">
        <v>80</v>
      </c>
      <c r="M259" s="3" t="s">
        <v>17</v>
      </c>
      <c r="N259" s="5">
        <v>5.3325598558288653E-2</v>
      </c>
      <c r="O259" s="3" t="s">
        <v>7</v>
      </c>
    </row>
    <row r="260" spans="2:15" x14ac:dyDescent="0.45">
      <c r="B260" s="6" t="s">
        <v>78</v>
      </c>
      <c r="C260" s="6" t="s">
        <v>18</v>
      </c>
      <c r="D260" s="7">
        <v>5.1577243247785556E-4</v>
      </c>
      <c r="E260" s="6" t="s">
        <v>7</v>
      </c>
      <c r="G260" s="6" t="s">
        <v>79</v>
      </c>
      <c r="H260" s="6" t="s">
        <v>18</v>
      </c>
      <c r="I260" s="8">
        <v>7.8424574607617023E-2</v>
      </c>
      <c r="J260" s="6" t="s">
        <v>7</v>
      </c>
      <c r="L260" s="6" t="s">
        <v>80</v>
      </c>
      <c r="M260" s="6" t="s">
        <v>18</v>
      </c>
      <c r="N260" s="8">
        <v>8.0687337610198945E-2</v>
      </c>
      <c r="O260" s="6" t="s">
        <v>7</v>
      </c>
    </row>
    <row r="261" spans="2:15" x14ac:dyDescent="0.45">
      <c r="B261" s="3" t="s">
        <v>78</v>
      </c>
      <c r="C261" s="3" t="s">
        <v>19</v>
      </c>
      <c r="D261" s="4">
        <v>0.18390735715044934</v>
      </c>
      <c r="E261" s="3" t="s">
        <v>7</v>
      </c>
      <c r="G261" s="3" t="s">
        <v>79</v>
      </c>
      <c r="H261" s="3" t="s">
        <v>19</v>
      </c>
      <c r="I261" s="5">
        <v>0.10723252117086339</v>
      </c>
      <c r="J261" s="3" t="s">
        <v>7</v>
      </c>
      <c r="L261" s="3" t="s">
        <v>80</v>
      </c>
      <c r="M261" s="3" t="s">
        <v>19</v>
      </c>
      <c r="N261" s="5">
        <v>0.10232011486535916</v>
      </c>
      <c r="O261" s="3" t="s">
        <v>7</v>
      </c>
    </row>
    <row r="262" spans="2:15" x14ac:dyDescent="0.45">
      <c r="B262" s="6" t="s">
        <v>78</v>
      </c>
      <c r="C262" s="6" t="s">
        <v>20</v>
      </c>
      <c r="D262" s="7">
        <v>1.3690897478034246E-3</v>
      </c>
      <c r="E262" s="6" t="s">
        <v>7</v>
      </c>
      <c r="G262" s="6" t="s">
        <v>79</v>
      </c>
      <c r="H262" s="6" t="s">
        <v>20</v>
      </c>
      <c r="I262" s="8">
        <v>6.1990032033319209E-2</v>
      </c>
      <c r="J262" s="6" t="s">
        <v>7</v>
      </c>
      <c r="L262" s="6" t="s">
        <v>80</v>
      </c>
      <c r="M262" s="6" t="s">
        <v>20</v>
      </c>
      <c r="N262" s="8">
        <v>6.1580941188334785E-2</v>
      </c>
      <c r="O262" s="6" t="s">
        <v>7</v>
      </c>
    </row>
    <row r="263" spans="2:15" x14ac:dyDescent="0.45">
      <c r="B263" s="3" t="s">
        <v>81</v>
      </c>
      <c r="C263" s="3" t="s">
        <v>6</v>
      </c>
      <c r="D263" s="4">
        <v>0</v>
      </c>
      <c r="E263" s="3" t="s">
        <v>7</v>
      </c>
      <c r="G263" s="3" t="s">
        <v>82</v>
      </c>
      <c r="H263" s="3" t="s">
        <v>6</v>
      </c>
      <c r="I263" s="5">
        <v>9.4307452464293035E-2</v>
      </c>
      <c r="J263" s="3" t="s">
        <v>7</v>
      </c>
      <c r="L263" s="3" t="s">
        <v>83</v>
      </c>
      <c r="M263" s="3" t="s">
        <v>6</v>
      </c>
      <c r="N263" s="5">
        <v>0.10066560215260975</v>
      </c>
      <c r="O263" s="3" t="s">
        <v>7</v>
      </c>
    </row>
    <row r="264" spans="2:15" x14ac:dyDescent="0.45">
      <c r="B264" s="6" t="s">
        <v>81</v>
      </c>
      <c r="C264" s="6" t="s">
        <v>10</v>
      </c>
      <c r="D264" s="7">
        <v>9.0545988658221124E-2</v>
      </c>
      <c r="E264" s="6" t="s">
        <v>7</v>
      </c>
      <c r="G264" s="6" t="s">
        <v>82</v>
      </c>
      <c r="H264" s="6" t="s">
        <v>10</v>
      </c>
      <c r="I264" s="8">
        <v>0.11814719599390158</v>
      </c>
      <c r="J264" s="6" t="s">
        <v>7</v>
      </c>
      <c r="L264" s="6" t="s">
        <v>83</v>
      </c>
      <c r="M264" s="6" t="s">
        <v>10</v>
      </c>
      <c r="N264" s="8">
        <v>0.12438502450454861</v>
      </c>
      <c r="O264" s="6" t="s">
        <v>7</v>
      </c>
    </row>
    <row r="265" spans="2:15" x14ac:dyDescent="0.45">
      <c r="B265" s="3" t="s">
        <v>81</v>
      </c>
      <c r="C265" s="3" t="s">
        <v>11</v>
      </c>
      <c r="D265" s="4">
        <v>0</v>
      </c>
      <c r="E265" s="3" t="s">
        <v>7</v>
      </c>
      <c r="G265" s="3" t="s">
        <v>82</v>
      </c>
      <c r="H265" s="3" t="s">
        <v>11</v>
      </c>
      <c r="I265" s="5">
        <v>7.2526549132720761E-2</v>
      </c>
      <c r="J265" s="3" t="s">
        <v>7</v>
      </c>
      <c r="L265" s="3" t="s">
        <v>83</v>
      </c>
      <c r="M265" s="3" t="s">
        <v>11</v>
      </c>
      <c r="N265" s="5">
        <v>7.7711760132865085E-2</v>
      </c>
      <c r="O265" s="3" t="s">
        <v>7</v>
      </c>
    </row>
    <row r="266" spans="2:15" x14ac:dyDescent="0.45">
      <c r="B266" s="6" t="s">
        <v>81</v>
      </c>
      <c r="C266" s="6" t="s">
        <v>12</v>
      </c>
      <c r="D266" s="7">
        <v>8.0731013133127968E-3</v>
      </c>
      <c r="E266" s="6" t="s">
        <v>7</v>
      </c>
      <c r="G266" s="6" t="s">
        <v>82</v>
      </c>
      <c r="H266" s="6" t="s">
        <v>12</v>
      </c>
      <c r="I266" s="8">
        <v>8.1341937886958163E-2</v>
      </c>
      <c r="J266" s="6" t="s">
        <v>7</v>
      </c>
      <c r="L266" s="6" t="s">
        <v>83</v>
      </c>
      <c r="M266" s="6" t="s">
        <v>12</v>
      </c>
      <c r="N266" s="8">
        <v>7.9684476282902025E-2</v>
      </c>
      <c r="O266" s="6" t="s">
        <v>7</v>
      </c>
    </row>
    <row r="267" spans="2:15" x14ac:dyDescent="0.45">
      <c r="B267" s="3" t="s">
        <v>81</v>
      </c>
      <c r="C267" s="3" t="s">
        <v>13</v>
      </c>
      <c r="D267" s="4">
        <v>0.37581967493260138</v>
      </c>
      <c r="E267" s="3" t="s">
        <v>7</v>
      </c>
      <c r="G267" s="3" t="s">
        <v>82</v>
      </c>
      <c r="H267" s="3" t="s">
        <v>13</v>
      </c>
      <c r="I267" s="5">
        <v>9.7245515178871506E-2</v>
      </c>
      <c r="J267" s="3" t="s">
        <v>7</v>
      </c>
      <c r="L267" s="3" t="s">
        <v>83</v>
      </c>
      <c r="M267" s="3" t="s">
        <v>13</v>
      </c>
      <c r="N267" s="5">
        <v>0.10242137455870606</v>
      </c>
      <c r="O267" s="3" t="s">
        <v>7</v>
      </c>
    </row>
    <row r="268" spans="2:15" x14ac:dyDescent="0.45">
      <c r="B268" s="6" t="s">
        <v>81</v>
      </c>
      <c r="C268" s="6" t="s">
        <v>14</v>
      </c>
      <c r="D268" s="7">
        <v>1.0574067093003337E-2</v>
      </c>
      <c r="E268" s="6" t="s">
        <v>7</v>
      </c>
      <c r="G268" s="6" t="s">
        <v>82</v>
      </c>
      <c r="H268" s="6" t="s">
        <v>14</v>
      </c>
      <c r="I268" s="8">
        <v>6.2714664377733459E-2</v>
      </c>
      <c r="J268" s="6" t="s">
        <v>7</v>
      </c>
      <c r="L268" s="6" t="s">
        <v>83</v>
      </c>
      <c r="M268" s="6" t="s">
        <v>14</v>
      </c>
      <c r="N268" s="8">
        <v>6.0743842748480117E-2</v>
      </c>
      <c r="O268" s="6" t="s">
        <v>7</v>
      </c>
    </row>
    <row r="269" spans="2:15" x14ac:dyDescent="0.45">
      <c r="B269" s="3" t="s">
        <v>81</v>
      </c>
      <c r="C269" s="3" t="s">
        <v>15</v>
      </c>
      <c r="D269" s="4">
        <v>1.3291455353256732E-2</v>
      </c>
      <c r="E269" s="3" t="s">
        <v>7</v>
      </c>
      <c r="G269" s="3" t="s">
        <v>82</v>
      </c>
      <c r="H269" s="3" t="s">
        <v>15</v>
      </c>
      <c r="I269" s="5">
        <v>6.6929164229344279E-2</v>
      </c>
      <c r="J269" s="3" t="s">
        <v>7</v>
      </c>
      <c r="L269" s="3" t="s">
        <v>83</v>
      </c>
      <c r="M269" s="3" t="s">
        <v>15</v>
      </c>
      <c r="N269" s="5">
        <v>6.800572248721995E-2</v>
      </c>
      <c r="O269" s="3" t="s">
        <v>7</v>
      </c>
    </row>
    <row r="270" spans="2:15" x14ac:dyDescent="0.45">
      <c r="B270" s="6" t="s">
        <v>81</v>
      </c>
      <c r="C270" s="6" t="s">
        <v>16</v>
      </c>
      <c r="D270" s="7">
        <v>0.34100232505432126</v>
      </c>
      <c r="E270" s="6" t="s">
        <v>7</v>
      </c>
      <c r="G270" s="6" t="s">
        <v>82</v>
      </c>
      <c r="H270" s="6" t="s">
        <v>16</v>
      </c>
      <c r="I270" s="8">
        <v>8.5105124263122917E-2</v>
      </c>
      <c r="J270" s="6" t="s">
        <v>7</v>
      </c>
      <c r="L270" s="6" t="s">
        <v>83</v>
      </c>
      <c r="M270" s="6" t="s">
        <v>16</v>
      </c>
      <c r="N270" s="8">
        <v>8.3357545301246255E-2</v>
      </c>
      <c r="O270" s="6" t="s">
        <v>7</v>
      </c>
    </row>
    <row r="271" spans="2:15" x14ac:dyDescent="0.45">
      <c r="B271" s="3" t="s">
        <v>81</v>
      </c>
      <c r="C271" s="3" t="s">
        <v>17</v>
      </c>
      <c r="D271" s="4">
        <v>1.9762540952097486E-2</v>
      </c>
      <c r="E271" s="3" t="s">
        <v>7</v>
      </c>
      <c r="G271" s="3" t="s">
        <v>82</v>
      </c>
      <c r="H271" s="3" t="s">
        <v>17</v>
      </c>
      <c r="I271" s="5">
        <v>4.9742570421751259E-2</v>
      </c>
      <c r="J271" s="3" t="s">
        <v>7</v>
      </c>
      <c r="L271" s="3" t="s">
        <v>83</v>
      </c>
      <c r="M271" s="3" t="s">
        <v>17</v>
      </c>
      <c r="N271" s="5">
        <v>5.0357570599164146E-2</v>
      </c>
      <c r="O271" s="3" t="s">
        <v>7</v>
      </c>
    </row>
    <row r="272" spans="2:15" x14ac:dyDescent="0.45">
      <c r="B272" s="6" t="s">
        <v>81</v>
      </c>
      <c r="C272" s="6" t="s">
        <v>18</v>
      </c>
      <c r="D272" s="7">
        <v>5.7562827796770963E-4</v>
      </c>
      <c r="E272" s="6" t="s">
        <v>7</v>
      </c>
      <c r="G272" s="6" t="s">
        <v>82</v>
      </c>
      <c r="H272" s="6" t="s">
        <v>18</v>
      </c>
      <c r="I272" s="8">
        <v>9.1835527137524908E-2</v>
      </c>
      <c r="J272" s="6" t="s">
        <v>7</v>
      </c>
      <c r="L272" s="6" t="s">
        <v>83</v>
      </c>
      <c r="M272" s="6" t="s">
        <v>18</v>
      </c>
      <c r="N272" s="8">
        <v>8.3405633648658731E-2</v>
      </c>
      <c r="O272" s="6" t="s">
        <v>7</v>
      </c>
    </row>
    <row r="273" spans="2:15" x14ac:dyDescent="0.45">
      <c r="B273" s="3" t="s">
        <v>81</v>
      </c>
      <c r="C273" s="3" t="s">
        <v>19</v>
      </c>
      <c r="D273" s="4">
        <v>0.13949278281803507</v>
      </c>
      <c r="E273" s="3" t="s">
        <v>7</v>
      </c>
      <c r="G273" s="3" t="s">
        <v>82</v>
      </c>
      <c r="H273" s="3" t="s">
        <v>19</v>
      </c>
      <c r="I273" s="5">
        <v>0.11145475219703649</v>
      </c>
      <c r="J273" s="3" t="s">
        <v>7</v>
      </c>
      <c r="L273" s="3" t="s">
        <v>83</v>
      </c>
      <c r="M273" s="3" t="s">
        <v>19</v>
      </c>
      <c r="N273" s="5">
        <v>0.10614076195874589</v>
      </c>
      <c r="O273" s="3" t="s">
        <v>7</v>
      </c>
    </row>
    <row r="274" spans="2:15" x14ac:dyDescent="0.45">
      <c r="B274" s="6" t="s">
        <v>81</v>
      </c>
      <c r="C274" s="6" t="s">
        <v>20</v>
      </c>
      <c r="D274" s="7">
        <v>8.6243554718313283E-4</v>
      </c>
      <c r="E274" s="6" t="s">
        <v>7</v>
      </c>
      <c r="G274" s="6" t="s">
        <v>82</v>
      </c>
      <c r="H274" s="6" t="s">
        <v>20</v>
      </c>
      <c r="I274" s="8">
        <v>6.8649546716741713E-2</v>
      </c>
      <c r="J274" s="6" t="s">
        <v>7</v>
      </c>
      <c r="L274" s="6" t="s">
        <v>83</v>
      </c>
      <c r="M274" s="6" t="s">
        <v>20</v>
      </c>
      <c r="N274" s="8">
        <v>6.3120685624853387E-2</v>
      </c>
      <c r="O274" s="6" t="s">
        <v>7</v>
      </c>
    </row>
    <row r="275" spans="2:15" x14ac:dyDescent="0.45">
      <c r="L275" s="3" t="s">
        <v>84</v>
      </c>
      <c r="M275" s="3" t="s">
        <v>6</v>
      </c>
      <c r="N275" s="5">
        <v>0.10581334530212151</v>
      </c>
      <c r="O275" s="3" t="s">
        <v>7</v>
      </c>
    </row>
    <row r="276" spans="2:15" x14ac:dyDescent="0.45">
      <c r="L276" s="6" t="s">
        <v>84</v>
      </c>
      <c r="M276" s="6" t="s">
        <v>10</v>
      </c>
      <c r="N276" s="8">
        <v>0.12648022636124689</v>
      </c>
      <c r="O276" s="6" t="s">
        <v>7</v>
      </c>
    </row>
    <row r="277" spans="2:15" x14ac:dyDescent="0.45">
      <c r="L277" s="3" t="s">
        <v>84</v>
      </c>
      <c r="M277" s="3" t="s">
        <v>11</v>
      </c>
      <c r="N277" s="5">
        <v>7.7713377670004372E-2</v>
      </c>
      <c r="O277" s="3" t="s">
        <v>7</v>
      </c>
    </row>
    <row r="278" spans="2:15" x14ac:dyDescent="0.45">
      <c r="L278" s="6" t="s">
        <v>84</v>
      </c>
      <c r="M278" s="6" t="s">
        <v>12</v>
      </c>
      <c r="N278" s="8">
        <v>8.0706540934641885E-2</v>
      </c>
      <c r="O278" s="6" t="s">
        <v>7</v>
      </c>
    </row>
    <row r="279" spans="2:15" x14ac:dyDescent="0.45">
      <c r="L279" s="3" t="s">
        <v>84</v>
      </c>
      <c r="M279" s="3" t="s">
        <v>13</v>
      </c>
      <c r="N279" s="5">
        <v>9.5753373462689501E-2</v>
      </c>
      <c r="O279" s="3" t="s">
        <v>7</v>
      </c>
    </row>
    <row r="280" spans="2:15" x14ac:dyDescent="0.45">
      <c r="L280" s="6" t="s">
        <v>84</v>
      </c>
      <c r="M280" s="6" t="s">
        <v>14</v>
      </c>
      <c r="N280" s="8">
        <v>6.3117792408620962E-2</v>
      </c>
      <c r="O280" s="6" t="s">
        <v>7</v>
      </c>
    </row>
    <row r="281" spans="2:15" x14ac:dyDescent="0.45">
      <c r="L281" s="3" t="s">
        <v>84</v>
      </c>
      <c r="M281" s="3" t="s">
        <v>15</v>
      </c>
      <c r="N281" s="5">
        <v>5.3545430477876348E-2</v>
      </c>
      <c r="O281" s="3" t="s">
        <v>7</v>
      </c>
    </row>
    <row r="282" spans="2:15" x14ac:dyDescent="0.45">
      <c r="L282" s="6" t="s">
        <v>84</v>
      </c>
      <c r="M282" s="6" t="s">
        <v>16</v>
      </c>
      <c r="N282" s="8">
        <v>6.6420996023044632E-2</v>
      </c>
      <c r="O282" s="6" t="s">
        <v>7</v>
      </c>
    </row>
    <row r="283" spans="2:15" x14ac:dyDescent="0.45">
      <c r="L283" s="3" t="s">
        <v>84</v>
      </c>
      <c r="M283" s="3" t="s">
        <v>17</v>
      </c>
      <c r="N283" s="5">
        <v>4.3091508982357314E-2</v>
      </c>
      <c r="O283" s="3" t="s">
        <v>7</v>
      </c>
    </row>
    <row r="284" spans="2:15" x14ac:dyDescent="0.45">
      <c r="L284" s="6" t="s">
        <v>84</v>
      </c>
      <c r="M284" s="6" t="s">
        <v>18</v>
      </c>
      <c r="N284" s="8">
        <v>9.522956216732345E-2</v>
      </c>
      <c r="O284" s="6" t="s">
        <v>7</v>
      </c>
    </row>
    <row r="285" spans="2:15" x14ac:dyDescent="0.45">
      <c r="L285" s="3" t="s">
        <v>84</v>
      </c>
      <c r="M285" s="3" t="s">
        <v>19</v>
      </c>
      <c r="N285" s="5">
        <v>0.11728505741222296</v>
      </c>
      <c r="O285" s="3" t="s">
        <v>7</v>
      </c>
    </row>
    <row r="286" spans="2:15" x14ac:dyDescent="0.45">
      <c r="L286" s="6" t="s">
        <v>84</v>
      </c>
      <c r="M286" s="6" t="s">
        <v>20</v>
      </c>
      <c r="N286" s="8">
        <v>7.4842788797850127E-2</v>
      </c>
      <c r="O286" s="6" t="s">
        <v>7</v>
      </c>
    </row>
    <row r="287" spans="2:15" x14ac:dyDescent="0.45">
      <c r="L287" s="3" t="s">
        <v>85</v>
      </c>
      <c r="M287" s="3" t="s">
        <v>6</v>
      </c>
      <c r="N287" s="5">
        <v>9.3370685725962216E-2</v>
      </c>
      <c r="O287" s="3" t="s">
        <v>7</v>
      </c>
    </row>
    <row r="288" spans="2:15" x14ac:dyDescent="0.45">
      <c r="L288" s="6" t="s">
        <v>85</v>
      </c>
      <c r="M288" s="6" t="s">
        <v>10</v>
      </c>
      <c r="N288" s="8">
        <v>0.11484102320261987</v>
      </c>
      <c r="O288" s="6" t="s">
        <v>7</v>
      </c>
    </row>
    <row r="289" spans="12:15" x14ac:dyDescent="0.45">
      <c r="L289" s="3" t="s">
        <v>85</v>
      </c>
      <c r="M289" s="3" t="s">
        <v>11</v>
      </c>
      <c r="N289" s="5">
        <v>6.9920030234069411E-2</v>
      </c>
      <c r="O289" s="3" t="s">
        <v>7</v>
      </c>
    </row>
    <row r="290" spans="12:15" x14ac:dyDescent="0.45">
      <c r="L290" s="6" t="s">
        <v>85</v>
      </c>
      <c r="M290" s="6" t="s">
        <v>12</v>
      </c>
      <c r="N290" s="8">
        <v>8.9015955676748984E-2</v>
      </c>
      <c r="O290" s="6" t="s">
        <v>7</v>
      </c>
    </row>
    <row r="291" spans="12:15" x14ac:dyDescent="0.45">
      <c r="L291" s="3" t="s">
        <v>85</v>
      </c>
      <c r="M291" s="3" t="s">
        <v>13</v>
      </c>
      <c r="N291" s="5">
        <v>0.1030728551426757</v>
      </c>
      <c r="O291" s="3" t="s">
        <v>7</v>
      </c>
    </row>
    <row r="292" spans="12:15" x14ac:dyDescent="0.45">
      <c r="L292" s="6" t="s">
        <v>85</v>
      </c>
      <c r="M292" s="6" t="s">
        <v>14</v>
      </c>
      <c r="N292" s="8">
        <v>6.7464929436752599E-2</v>
      </c>
      <c r="O292" s="6" t="s">
        <v>7</v>
      </c>
    </row>
    <row r="293" spans="12:15" x14ac:dyDescent="0.45">
      <c r="L293" s="3" t="s">
        <v>85</v>
      </c>
      <c r="M293" s="3" t="s">
        <v>15</v>
      </c>
      <c r="N293" s="5">
        <v>6.7772057880948589E-2</v>
      </c>
      <c r="O293" s="3" t="s">
        <v>7</v>
      </c>
    </row>
    <row r="294" spans="12:15" x14ac:dyDescent="0.45">
      <c r="L294" s="6" t="s">
        <v>85</v>
      </c>
      <c r="M294" s="6" t="s">
        <v>16</v>
      </c>
      <c r="N294" s="8">
        <v>8.0081251911139864E-2</v>
      </c>
      <c r="O294" s="6" t="s">
        <v>7</v>
      </c>
    </row>
    <row r="295" spans="12:15" x14ac:dyDescent="0.45">
      <c r="L295" s="3" t="s">
        <v>85</v>
      </c>
      <c r="M295" s="3" t="s">
        <v>17</v>
      </c>
      <c r="N295" s="5">
        <v>5.4970964519745778E-2</v>
      </c>
      <c r="O295" s="3" t="s">
        <v>7</v>
      </c>
    </row>
    <row r="296" spans="12:15" x14ac:dyDescent="0.45">
      <c r="L296" s="6" t="s">
        <v>85</v>
      </c>
      <c r="M296" s="6" t="s">
        <v>18</v>
      </c>
      <c r="N296" s="8">
        <v>8.3527533466263695E-2</v>
      </c>
      <c r="O296" s="6" t="s">
        <v>7</v>
      </c>
    </row>
    <row r="297" spans="12:15" x14ac:dyDescent="0.45">
      <c r="L297" s="3" t="s">
        <v>85</v>
      </c>
      <c r="M297" s="3" t="s">
        <v>19</v>
      </c>
      <c r="N297" s="5">
        <v>0.10852495008396161</v>
      </c>
      <c r="O297" s="3" t="s">
        <v>7</v>
      </c>
    </row>
    <row r="298" spans="12:15" x14ac:dyDescent="0.45">
      <c r="L298" s="6" t="s">
        <v>85</v>
      </c>
      <c r="M298" s="6" t="s">
        <v>20</v>
      </c>
      <c r="N298" s="8">
        <v>6.7437762719111782E-2</v>
      </c>
      <c r="O298" s="6" t="s">
        <v>7</v>
      </c>
    </row>
    <row r="299" spans="12:15" x14ac:dyDescent="0.45">
      <c r="L299" s="3" t="s">
        <v>86</v>
      </c>
      <c r="M299" s="3" t="s">
        <v>6</v>
      </c>
      <c r="N299" s="5">
        <v>9.7580996669891312E-2</v>
      </c>
      <c r="O299" s="3" t="s">
        <v>7</v>
      </c>
    </row>
    <row r="300" spans="12:15" x14ac:dyDescent="0.45">
      <c r="L300" s="6" t="s">
        <v>86</v>
      </c>
      <c r="M300" s="6" t="s">
        <v>10</v>
      </c>
      <c r="N300" s="8">
        <v>0.12189407629745223</v>
      </c>
      <c r="O300" s="6" t="s">
        <v>7</v>
      </c>
    </row>
    <row r="301" spans="12:15" x14ac:dyDescent="0.45">
      <c r="L301" s="3" t="s">
        <v>86</v>
      </c>
      <c r="M301" s="3" t="s">
        <v>11</v>
      </c>
      <c r="N301" s="5">
        <v>7.2413831483547075E-2</v>
      </c>
      <c r="O301" s="3" t="s">
        <v>7</v>
      </c>
    </row>
    <row r="302" spans="12:15" x14ac:dyDescent="0.45">
      <c r="L302" s="6" t="s">
        <v>86</v>
      </c>
      <c r="M302" s="6" t="s">
        <v>12</v>
      </c>
      <c r="N302" s="8">
        <v>8.8433728456238911E-2</v>
      </c>
      <c r="O302" s="6" t="s">
        <v>7</v>
      </c>
    </row>
    <row r="303" spans="12:15" x14ac:dyDescent="0.45">
      <c r="L303" s="3" t="s">
        <v>86</v>
      </c>
      <c r="M303" s="3" t="s">
        <v>13</v>
      </c>
      <c r="N303" s="5">
        <v>0.11004094817597225</v>
      </c>
      <c r="O303" s="3" t="s">
        <v>7</v>
      </c>
    </row>
    <row r="304" spans="12:15" x14ac:dyDescent="0.45">
      <c r="L304" s="6" t="s">
        <v>86</v>
      </c>
      <c r="M304" s="6" t="s">
        <v>14</v>
      </c>
      <c r="N304" s="8">
        <v>6.5352700118822063E-2</v>
      </c>
      <c r="O304" s="6" t="s">
        <v>7</v>
      </c>
    </row>
    <row r="305" spans="12:15" x14ac:dyDescent="0.45">
      <c r="L305" s="3" t="s">
        <v>86</v>
      </c>
      <c r="M305" s="3" t="s">
        <v>15</v>
      </c>
      <c r="N305" s="5">
        <v>5.3501966584152148E-2</v>
      </c>
      <c r="O305" s="3" t="s">
        <v>7</v>
      </c>
    </row>
    <row r="306" spans="12:15" x14ac:dyDescent="0.45">
      <c r="L306" s="6" t="s">
        <v>86</v>
      </c>
      <c r="M306" s="6" t="s">
        <v>16</v>
      </c>
      <c r="N306" s="8">
        <v>6.2306500153931785E-2</v>
      </c>
      <c r="O306" s="6" t="s">
        <v>7</v>
      </c>
    </row>
    <row r="307" spans="12:15" x14ac:dyDescent="0.45">
      <c r="L307" s="3" t="s">
        <v>86</v>
      </c>
      <c r="M307" s="3" t="s">
        <v>17</v>
      </c>
      <c r="N307" s="5">
        <v>4.1171325225622675E-2</v>
      </c>
      <c r="O307" s="3" t="s">
        <v>7</v>
      </c>
    </row>
    <row r="308" spans="12:15" x14ac:dyDescent="0.45">
      <c r="L308" s="6" t="s">
        <v>86</v>
      </c>
      <c r="M308" s="6" t="s">
        <v>18</v>
      </c>
      <c r="N308" s="8">
        <v>9.6429862026056509E-2</v>
      </c>
      <c r="O308" s="6" t="s">
        <v>7</v>
      </c>
    </row>
    <row r="309" spans="12:15" x14ac:dyDescent="0.45">
      <c r="L309" s="3" t="s">
        <v>86</v>
      </c>
      <c r="M309" s="3" t="s">
        <v>19</v>
      </c>
      <c r="N309" s="5">
        <v>0.11637030306770221</v>
      </c>
      <c r="O309" s="3" t="s">
        <v>7</v>
      </c>
    </row>
    <row r="310" spans="12:15" x14ac:dyDescent="0.45">
      <c r="L310" s="6" t="s">
        <v>86</v>
      </c>
      <c r="M310" s="6" t="s">
        <v>20</v>
      </c>
      <c r="N310" s="8">
        <v>7.4503761740610797E-2</v>
      </c>
      <c r="O310" s="6" t="s">
        <v>7</v>
      </c>
    </row>
    <row r="311" spans="12:15" x14ac:dyDescent="0.45">
      <c r="L311" s="3" t="s">
        <v>87</v>
      </c>
      <c r="M311" s="3" t="s">
        <v>6</v>
      </c>
      <c r="N311" s="5">
        <v>0.10062198488616828</v>
      </c>
      <c r="O311" s="3" t="s">
        <v>7</v>
      </c>
    </row>
    <row r="312" spans="12:15" x14ac:dyDescent="0.45">
      <c r="L312" s="6" t="s">
        <v>87</v>
      </c>
      <c r="M312" s="6" t="s">
        <v>10</v>
      </c>
      <c r="N312" s="8">
        <v>0.12405224859131556</v>
      </c>
      <c r="O312" s="6" t="s">
        <v>7</v>
      </c>
    </row>
    <row r="313" spans="12:15" x14ac:dyDescent="0.45">
      <c r="L313" s="3" t="s">
        <v>87</v>
      </c>
      <c r="M313" s="3" t="s">
        <v>11</v>
      </c>
      <c r="N313" s="5">
        <v>7.7052480660564832E-2</v>
      </c>
      <c r="O313" s="3" t="s">
        <v>7</v>
      </c>
    </row>
    <row r="314" spans="12:15" x14ac:dyDescent="0.45">
      <c r="L314" s="6" t="s">
        <v>87</v>
      </c>
      <c r="M314" s="6" t="s">
        <v>12</v>
      </c>
      <c r="N314" s="8">
        <v>8.8114261561555066E-2</v>
      </c>
      <c r="O314" s="6" t="s">
        <v>7</v>
      </c>
    </row>
    <row r="315" spans="12:15" x14ac:dyDescent="0.45">
      <c r="L315" s="3" t="s">
        <v>87</v>
      </c>
      <c r="M315" s="3" t="s">
        <v>13</v>
      </c>
      <c r="N315" s="5">
        <v>0.10872929817659961</v>
      </c>
      <c r="O315" s="3" t="s">
        <v>7</v>
      </c>
    </row>
    <row r="316" spans="12:15" x14ac:dyDescent="0.45">
      <c r="L316" s="6" t="s">
        <v>87</v>
      </c>
      <c r="M316" s="6" t="s">
        <v>14</v>
      </c>
      <c r="N316" s="8">
        <v>6.4977804933887204E-2</v>
      </c>
      <c r="O316" s="6" t="s">
        <v>7</v>
      </c>
    </row>
    <row r="317" spans="12:15" x14ac:dyDescent="0.45">
      <c r="L317" s="3" t="s">
        <v>87</v>
      </c>
      <c r="M317" s="3" t="s">
        <v>15</v>
      </c>
      <c r="N317" s="5">
        <v>5.0229790731830939E-2</v>
      </c>
      <c r="O317" s="3" t="s">
        <v>7</v>
      </c>
    </row>
    <row r="318" spans="12:15" x14ac:dyDescent="0.45">
      <c r="L318" s="6" t="s">
        <v>87</v>
      </c>
      <c r="M318" s="6" t="s">
        <v>16</v>
      </c>
      <c r="N318" s="8">
        <v>5.5273108696546912E-2</v>
      </c>
      <c r="O318" s="6" t="s">
        <v>7</v>
      </c>
    </row>
    <row r="319" spans="12:15" x14ac:dyDescent="0.45">
      <c r="L319" s="3" t="s">
        <v>87</v>
      </c>
      <c r="M319" s="3" t="s">
        <v>17</v>
      </c>
      <c r="N319" s="5">
        <v>3.9704048199346247E-2</v>
      </c>
      <c r="O319" s="3" t="s">
        <v>7</v>
      </c>
    </row>
    <row r="320" spans="12:15" x14ac:dyDescent="0.45">
      <c r="L320" s="6" t="s">
        <v>87</v>
      </c>
      <c r="M320" s="6" t="s">
        <v>18</v>
      </c>
      <c r="N320" s="8">
        <v>9.7461278893702763E-2</v>
      </c>
      <c r="O320" s="6" t="s">
        <v>7</v>
      </c>
    </row>
    <row r="321" spans="12:15" x14ac:dyDescent="0.45">
      <c r="L321" s="3" t="s">
        <v>87</v>
      </c>
      <c r="M321" s="3" t="s">
        <v>19</v>
      </c>
      <c r="N321" s="5">
        <v>0.11813784098539055</v>
      </c>
      <c r="O321" s="3" t="s">
        <v>7</v>
      </c>
    </row>
    <row r="322" spans="12:15" x14ac:dyDescent="0.45">
      <c r="L322" s="6" t="s">
        <v>87</v>
      </c>
      <c r="M322" s="6" t="s">
        <v>20</v>
      </c>
      <c r="N322" s="8">
        <v>7.5645853683092151E-2</v>
      </c>
      <c r="O322" s="6" t="s">
        <v>7</v>
      </c>
    </row>
    <row r="323" spans="12:15" x14ac:dyDescent="0.45">
      <c r="L323" s="3" t="s">
        <v>88</v>
      </c>
      <c r="M323" s="3" t="s">
        <v>6</v>
      </c>
      <c r="N323" s="5">
        <v>9.5141580000848422E-2</v>
      </c>
      <c r="O323" s="3" t="s">
        <v>7</v>
      </c>
    </row>
    <row r="324" spans="12:15" x14ac:dyDescent="0.45">
      <c r="L324" s="6" t="s">
        <v>88</v>
      </c>
      <c r="M324" s="6" t="s">
        <v>10</v>
      </c>
      <c r="N324" s="8">
        <v>0.11584529803685992</v>
      </c>
      <c r="O324" s="6" t="s">
        <v>7</v>
      </c>
    </row>
    <row r="325" spans="12:15" x14ac:dyDescent="0.45">
      <c r="L325" s="3" t="s">
        <v>88</v>
      </c>
      <c r="M325" s="3" t="s">
        <v>11</v>
      </c>
      <c r="N325" s="5">
        <v>7.3180225675635216E-2</v>
      </c>
      <c r="O325" s="3" t="s">
        <v>7</v>
      </c>
    </row>
    <row r="326" spans="12:15" x14ac:dyDescent="0.45">
      <c r="L326" s="6" t="s">
        <v>88</v>
      </c>
      <c r="M326" s="6" t="s">
        <v>12</v>
      </c>
      <c r="N326" s="8">
        <v>8.4823123031782716E-2</v>
      </c>
      <c r="O326" s="6" t="s">
        <v>7</v>
      </c>
    </row>
    <row r="327" spans="12:15" x14ac:dyDescent="0.45">
      <c r="L327" s="3" t="s">
        <v>88</v>
      </c>
      <c r="M327" s="3" t="s">
        <v>13</v>
      </c>
      <c r="N327" s="5">
        <v>0.10234358084969669</v>
      </c>
      <c r="O327" s="3" t="s">
        <v>7</v>
      </c>
    </row>
    <row r="328" spans="12:15" x14ac:dyDescent="0.45">
      <c r="L328" s="6" t="s">
        <v>88</v>
      </c>
      <c r="M328" s="6" t="s">
        <v>14</v>
      </c>
      <c r="N328" s="8">
        <v>6.5165963814087235E-2</v>
      </c>
      <c r="O328" s="6" t="s">
        <v>7</v>
      </c>
    </row>
    <row r="329" spans="12:15" x14ac:dyDescent="0.45">
      <c r="L329" s="3" t="s">
        <v>88</v>
      </c>
      <c r="M329" s="3" t="s">
        <v>15</v>
      </c>
      <c r="N329" s="5">
        <v>6.5230830397881093E-2</v>
      </c>
      <c r="O329" s="3" t="s">
        <v>7</v>
      </c>
    </row>
    <row r="330" spans="12:15" x14ac:dyDescent="0.45">
      <c r="L330" s="6" t="s">
        <v>88</v>
      </c>
      <c r="M330" s="6" t="s">
        <v>16</v>
      </c>
      <c r="N330" s="8">
        <v>8.6711242665421989E-2</v>
      </c>
      <c r="O330" s="6" t="s">
        <v>7</v>
      </c>
    </row>
    <row r="331" spans="12:15" x14ac:dyDescent="0.45">
      <c r="L331" s="3" t="s">
        <v>88</v>
      </c>
      <c r="M331" s="3" t="s">
        <v>17</v>
      </c>
      <c r="N331" s="5">
        <v>5.7349006573923174E-2</v>
      </c>
      <c r="O331" s="3" t="s">
        <v>7</v>
      </c>
    </row>
    <row r="332" spans="12:15" x14ac:dyDescent="0.45">
      <c r="L332" s="6" t="s">
        <v>88</v>
      </c>
      <c r="M332" s="6" t="s">
        <v>18</v>
      </c>
      <c r="N332" s="8">
        <v>8.1382610889349685E-2</v>
      </c>
      <c r="O332" s="6" t="s">
        <v>7</v>
      </c>
    </row>
    <row r="333" spans="12:15" x14ac:dyDescent="0.45">
      <c r="L333" s="3" t="s">
        <v>88</v>
      </c>
      <c r="M333" s="3" t="s">
        <v>19</v>
      </c>
      <c r="N333" s="5">
        <v>0.10530406543980848</v>
      </c>
      <c r="O333" s="3" t="s">
        <v>7</v>
      </c>
    </row>
    <row r="334" spans="12:15" x14ac:dyDescent="0.45">
      <c r="L334" s="6" t="s">
        <v>88</v>
      </c>
      <c r="M334" s="6" t="s">
        <v>20</v>
      </c>
      <c r="N334" s="8">
        <v>6.7522472624705343E-2</v>
      </c>
      <c r="O334" s="6" t="s">
        <v>7</v>
      </c>
    </row>
    <row r="335" spans="12:15" x14ac:dyDescent="0.45">
      <c r="L335" s="3" t="s">
        <v>89</v>
      </c>
      <c r="M335" s="3" t="s">
        <v>6</v>
      </c>
      <c r="N335" s="5">
        <v>0.10543211938329926</v>
      </c>
      <c r="O335" s="3" t="s">
        <v>7</v>
      </c>
    </row>
    <row r="336" spans="12:15" x14ac:dyDescent="0.45">
      <c r="L336" s="6" t="s">
        <v>89</v>
      </c>
      <c r="M336" s="6" t="s">
        <v>10</v>
      </c>
      <c r="N336" s="8">
        <v>0.12821008523213462</v>
      </c>
      <c r="O336" s="6" t="s">
        <v>7</v>
      </c>
    </row>
    <row r="337" spans="12:15" x14ac:dyDescent="0.45">
      <c r="L337" s="3" t="s">
        <v>89</v>
      </c>
      <c r="M337" s="3" t="s">
        <v>11</v>
      </c>
      <c r="N337" s="5">
        <v>8.0649618794939537E-2</v>
      </c>
      <c r="O337" s="3" t="s">
        <v>7</v>
      </c>
    </row>
    <row r="338" spans="12:15" x14ac:dyDescent="0.45">
      <c r="L338" s="6" t="s">
        <v>89</v>
      </c>
      <c r="M338" s="6" t="s">
        <v>12</v>
      </c>
      <c r="N338" s="8">
        <v>8.4677020234804098E-2</v>
      </c>
      <c r="O338" s="6" t="s">
        <v>7</v>
      </c>
    </row>
    <row r="339" spans="12:15" x14ac:dyDescent="0.45">
      <c r="L339" s="3" t="s">
        <v>89</v>
      </c>
      <c r="M339" s="3" t="s">
        <v>13</v>
      </c>
      <c r="N339" s="5">
        <v>0.10971145568303255</v>
      </c>
      <c r="O339" s="3" t="s">
        <v>7</v>
      </c>
    </row>
    <row r="340" spans="12:15" x14ac:dyDescent="0.45">
      <c r="L340" s="6" t="s">
        <v>89</v>
      </c>
      <c r="M340" s="6" t="s">
        <v>14</v>
      </c>
      <c r="N340" s="8">
        <v>6.4644849481570593E-2</v>
      </c>
      <c r="O340" s="6" t="s">
        <v>7</v>
      </c>
    </row>
    <row r="341" spans="12:15" x14ac:dyDescent="0.45">
      <c r="L341" s="3" t="s">
        <v>89</v>
      </c>
      <c r="M341" s="3" t="s">
        <v>15</v>
      </c>
      <c r="N341" s="5">
        <v>4.7502506190954558E-2</v>
      </c>
      <c r="O341" s="3" t="s">
        <v>7</v>
      </c>
    </row>
    <row r="342" spans="12:15" x14ac:dyDescent="0.45">
      <c r="L342" s="6" t="s">
        <v>89</v>
      </c>
      <c r="M342" s="6" t="s">
        <v>16</v>
      </c>
      <c r="N342" s="8">
        <v>6.5384228359307683E-2</v>
      </c>
      <c r="O342" s="6" t="s">
        <v>7</v>
      </c>
    </row>
    <row r="343" spans="12:15" x14ac:dyDescent="0.45">
      <c r="L343" s="3" t="s">
        <v>89</v>
      </c>
      <c r="M343" s="3" t="s">
        <v>17</v>
      </c>
      <c r="N343" s="5">
        <v>3.7490241035796096E-2</v>
      </c>
      <c r="O343" s="3" t="s">
        <v>7</v>
      </c>
    </row>
    <row r="344" spans="12:15" x14ac:dyDescent="0.45">
      <c r="L344" s="6" t="s">
        <v>89</v>
      </c>
      <c r="M344" s="6" t="s">
        <v>18</v>
      </c>
      <c r="N344" s="8">
        <v>9.009477391849513E-2</v>
      </c>
      <c r="O344" s="6" t="s">
        <v>7</v>
      </c>
    </row>
    <row r="345" spans="12:15" x14ac:dyDescent="0.45">
      <c r="L345" s="3" t="s">
        <v>89</v>
      </c>
      <c r="M345" s="3" t="s">
        <v>19</v>
      </c>
      <c r="N345" s="5">
        <v>0.11497615157931726</v>
      </c>
      <c r="O345" s="3" t="s">
        <v>7</v>
      </c>
    </row>
    <row r="346" spans="12:15" x14ac:dyDescent="0.45">
      <c r="L346" s="6" t="s">
        <v>89</v>
      </c>
      <c r="M346" s="6" t="s">
        <v>20</v>
      </c>
      <c r="N346" s="8">
        <v>7.1226950106348622E-2</v>
      </c>
      <c r="O346" s="6" t="s">
        <v>7</v>
      </c>
    </row>
    <row r="347" spans="12:15" x14ac:dyDescent="0.45">
      <c r="L347" s="3" t="s">
        <v>90</v>
      </c>
      <c r="M347" s="3" t="s">
        <v>6</v>
      </c>
      <c r="N347" s="5">
        <v>0.10125128126712508</v>
      </c>
      <c r="O347" s="3" t="s">
        <v>7</v>
      </c>
    </row>
    <row r="348" spans="12:15" x14ac:dyDescent="0.45">
      <c r="L348" s="6" t="s">
        <v>90</v>
      </c>
      <c r="M348" s="6" t="s">
        <v>10</v>
      </c>
      <c r="N348" s="8">
        <v>0.12193887553730381</v>
      </c>
      <c r="O348" s="6" t="s">
        <v>7</v>
      </c>
    </row>
    <row r="349" spans="12:15" x14ac:dyDescent="0.45">
      <c r="L349" s="3" t="s">
        <v>90</v>
      </c>
      <c r="M349" s="3" t="s">
        <v>11</v>
      </c>
      <c r="N349" s="5">
        <v>7.7137740800563515E-2</v>
      </c>
      <c r="O349" s="3" t="s">
        <v>7</v>
      </c>
    </row>
    <row r="350" spans="12:15" x14ac:dyDescent="0.45">
      <c r="L350" s="6" t="s">
        <v>90</v>
      </c>
      <c r="M350" s="6" t="s">
        <v>12</v>
      </c>
      <c r="N350" s="8">
        <v>8.9434436766568232E-2</v>
      </c>
      <c r="O350" s="6" t="s">
        <v>7</v>
      </c>
    </row>
    <row r="351" spans="12:15" x14ac:dyDescent="0.45">
      <c r="L351" s="3" t="s">
        <v>90</v>
      </c>
      <c r="M351" s="3" t="s">
        <v>13</v>
      </c>
      <c r="N351" s="5">
        <v>0.10871451268913954</v>
      </c>
      <c r="O351" s="3" t="s">
        <v>7</v>
      </c>
    </row>
    <row r="352" spans="12:15" x14ac:dyDescent="0.45">
      <c r="L352" s="6" t="s">
        <v>90</v>
      </c>
      <c r="M352" s="6" t="s">
        <v>14</v>
      </c>
      <c r="N352" s="8">
        <v>6.5225319510294977E-2</v>
      </c>
      <c r="O352" s="6" t="s">
        <v>7</v>
      </c>
    </row>
    <row r="353" spans="12:15" x14ac:dyDescent="0.45">
      <c r="L353" s="3" t="s">
        <v>90</v>
      </c>
      <c r="M353" s="3" t="s">
        <v>15</v>
      </c>
      <c r="N353" s="5">
        <v>5.6130730885562308E-2</v>
      </c>
      <c r="O353" s="3" t="s">
        <v>7</v>
      </c>
    </row>
    <row r="354" spans="12:15" x14ac:dyDescent="0.45">
      <c r="L354" s="6" t="s">
        <v>90</v>
      </c>
      <c r="M354" s="6" t="s">
        <v>16</v>
      </c>
      <c r="N354" s="8">
        <v>7.1685720911614542E-2</v>
      </c>
      <c r="O354" s="6" t="s">
        <v>7</v>
      </c>
    </row>
    <row r="355" spans="12:15" x14ac:dyDescent="0.45">
      <c r="L355" s="3" t="s">
        <v>90</v>
      </c>
      <c r="M355" s="3" t="s">
        <v>17</v>
      </c>
      <c r="N355" s="5">
        <v>5.0827848276332133E-2</v>
      </c>
      <c r="O355" s="3" t="s">
        <v>7</v>
      </c>
    </row>
    <row r="356" spans="12:15" x14ac:dyDescent="0.45">
      <c r="L356" s="6" t="s">
        <v>90</v>
      </c>
      <c r="M356" s="6" t="s">
        <v>18</v>
      </c>
      <c r="N356" s="8">
        <v>8.4993005937061064E-2</v>
      </c>
      <c r="O356" s="6" t="s">
        <v>7</v>
      </c>
    </row>
    <row r="357" spans="12:15" x14ac:dyDescent="0.45">
      <c r="L357" s="3" t="s">
        <v>90</v>
      </c>
      <c r="M357" s="3" t="s">
        <v>19</v>
      </c>
      <c r="N357" s="5">
        <v>0.10805137752976886</v>
      </c>
      <c r="O357" s="3" t="s">
        <v>7</v>
      </c>
    </row>
    <row r="358" spans="12:15" x14ac:dyDescent="0.45">
      <c r="L358" s="6" t="s">
        <v>90</v>
      </c>
      <c r="M358" s="6" t="s">
        <v>20</v>
      </c>
      <c r="N358" s="8">
        <v>6.4609149888665965E-2</v>
      </c>
      <c r="O358" s="6" t="s">
        <v>7</v>
      </c>
    </row>
    <row r="359" spans="12:15" x14ac:dyDescent="0.45">
      <c r="L359" s="3" t="s">
        <v>91</v>
      </c>
      <c r="M359" s="3" t="s">
        <v>6</v>
      </c>
      <c r="N359" s="5">
        <v>9.7484364946819835E-2</v>
      </c>
      <c r="O359" s="3" t="s">
        <v>7</v>
      </c>
    </row>
    <row r="360" spans="12:15" x14ac:dyDescent="0.45">
      <c r="L360" s="6" t="s">
        <v>91</v>
      </c>
      <c r="M360" s="6" t="s">
        <v>10</v>
      </c>
      <c r="N360" s="8">
        <v>0.11651026444419234</v>
      </c>
      <c r="O360" s="6" t="s">
        <v>7</v>
      </c>
    </row>
    <row r="361" spans="12:15" x14ac:dyDescent="0.45">
      <c r="L361" s="3" t="s">
        <v>91</v>
      </c>
      <c r="M361" s="3" t="s">
        <v>11</v>
      </c>
      <c r="N361" s="5">
        <v>7.0828310815134299E-2</v>
      </c>
      <c r="O361" s="3" t="s">
        <v>7</v>
      </c>
    </row>
    <row r="362" spans="12:15" x14ac:dyDescent="0.45">
      <c r="L362" s="6" t="s">
        <v>91</v>
      </c>
      <c r="M362" s="6" t="s">
        <v>12</v>
      </c>
      <c r="N362" s="8">
        <v>7.9830734655979257E-2</v>
      </c>
      <c r="O362" s="6" t="s">
        <v>7</v>
      </c>
    </row>
    <row r="363" spans="12:15" x14ac:dyDescent="0.45">
      <c r="L363" s="3" t="s">
        <v>91</v>
      </c>
      <c r="M363" s="3" t="s">
        <v>13</v>
      </c>
      <c r="N363" s="5">
        <v>9.3905681897860055E-2</v>
      </c>
      <c r="O363" s="3" t="s">
        <v>7</v>
      </c>
    </row>
    <row r="364" spans="12:15" x14ac:dyDescent="0.45">
      <c r="L364" s="6" t="s">
        <v>91</v>
      </c>
      <c r="M364" s="6" t="s">
        <v>14</v>
      </c>
      <c r="N364" s="8">
        <v>6.0095353974501005E-2</v>
      </c>
      <c r="O364" s="6" t="s">
        <v>7</v>
      </c>
    </row>
    <row r="365" spans="12:15" x14ac:dyDescent="0.45">
      <c r="L365" s="3" t="s">
        <v>91</v>
      </c>
      <c r="M365" s="3" t="s">
        <v>15</v>
      </c>
      <c r="N365" s="5">
        <v>6.6085817536385885E-2</v>
      </c>
      <c r="O365" s="3" t="s">
        <v>7</v>
      </c>
    </row>
    <row r="366" spans="12:15" x14ac:dyDescent="0.45">
      <c r="L366" s="6" t="s">
        <v>91</v>
      </c>
      <c r="M366" s="6" t="s">
        <v>16</v>
      </c>
      <c r="N366" s="8">
        <v>8.938383251133164E-2</v>
      </c>
      <c r="O366" s="6" t="s">
        <v>7</v>
      </c>
    </row>
    <row r="367" spans="12:15" x14ac:dyDescent="0.45">
      <c r="L367" s="3" t="s">
        <v>91</v>
      </c>
      <c r="M367" s="3" t="s">
        <v>17</v>
      </c>
      <c r="N367" s="5">
        <v>4.9012318086529783E-2</v>
      </c>
      <c r="O367" s="3" t="s">
        <v>7</v>
      </c>
    </row>
    <row r="368" spans="12:15" x14ac:dyDescent="0.45">
      <c r="L368" s="6" t="s">
        <v>91</v>
      </c>
      <c r="M368" s="6" t="s">
        <v>18</v>
      </c>
      <c r="N368" s="8">
        <v>9.3038911317648035E-2</v>
      </c>
      <c r="O368" s="6" t="s">
        <v>7</v>
      </c>
    </row>
    <row r="369" spans="12:15" x14ac:dyDescent="0.45">
      <c r="L369" s="3" t="s">
        <v>91</v>
      </c>
      <c r="M369" s="3" t="s">
        <v>19</v>
      </c>
      <c r="N369" s="5">
        <v>0.1139870063393298</v>
      </c>
      <c r="O369" s="3" t="s">
        <v>7</v>
      </c>
    </row>
    <row r="370" spans="12:15" x14ac:dyDescent="0.45">
      <c r="L370" s="6" t="s">
        <v>91</v>
      </c>
      <c r="M370" s="6" t="s">
        <v>20</v>
      </c>
      <c r="N370" s="8">
        <v>6.983740347428806E-2</v>
      </c>
      <c r="O370" s="6" t="s">
        <v>7</v>
      </c>
    </row>
    <row r="371" spans="12:15" x14ac:dyDescent="0.45">
      <c r="L371" s="3" t="s">
        <v>92</v>
      </c>
      <c r="M371" s="3" t="s">
        <v>6</v>
      </c>
      <c r="N371" s="5">
        <v>9.7359363948133826E-2</v>
      </c>
      <c r="O371" s="3" t="s">
        <v>7</v>
      </c>
    </row>
    <row r="372" spans="12:15" x14ac:dyDescent="0.45">
      <c r="L372" s="6" t="s">
        <v>92</v>
      </c>
      <c r="M372" s="6" t="s">
        <v>10</v>
      </c>
      <c r="N372" s="8">
        <v>0.12089039936834022</v>
      </c>
      <c r="O372" s="6" t="s">
        <v>7</v>
      </c>
    </row>
    <row r="373" spans="12:15" x14ac:dyDescent="0.45">
      <c r="L373" s="3" t="s">
        <v>92</v>
      </c>
      <c r="M373" s="3" t="s">
        <v>11</v>
      </c>
      <c r="N373" s="5">
        <v>7.4106000824274681E-2</v>
      </c>
      <c r="O373" s="3" t="s">
        <v>7</v>
      </c>
    </row>
    <row r="374" spans="12:15" x14ac:dyDescent="0.45">
      <c r="L374" s="6" t="s">
        <v>92</v>
      </c>
      <c r="M374" s="6" t="s">
        <v>12</v>
      </c>
      <c r="N374" s="8">
        <v>8.2058979473166274E-2</v>
      </c>
      <c r="O374" s="6" t="s">
        <v>7</v>
      </c>
    </row>
    <row r="375" spans="12:15" x14ac:dyDescent="0.45">
      <c r="L375" s="3" t="s">
        <v>92</v>
      </c>
      <c r="M375" s="3" t="s">
        <v>13</v>
      </c>
      <c r="N375" s="5">
        <v>9.6125577686387007E-2</v>
      </c>
      <c r="O375" s="3" t="s">
        <v>7</v>
      </c>
    </row>
    <row r="376" spans="12:15" x14ac:dyDescent="0.45">
      <c r="L376" s="6" t="s">
        <v>92</v>
      </c>
      <c r="M376" s="6" t="s">
        <v>14</v>
      </c>
      <c r="N376" s="8">
        <v>6.2954496515413169E-2</v>
      </c>
      <c r="O376" s="6" t="s">
        <v>7</v>
      </c>
    </row>
    <row r="377" spans="12:15" x14ac:dyDescent="0.45">
      <c r="L377" s="3" t="s">
        <v>92</v>
      </c>
      <c r="M377" s="3" t="s">
        <v>15</v>
      </c>
      <c r="N377" s="5">
        <v>6.2427489427204039E-2</v>
      </c>
      <c r="O377" s="3" t="s">
        <v>7</v>
      </c>
    </row>
    <row r="378" spans="12:15" x14ac:dyDescent="0.45">
      <c r="L378" s="6" t="s">
        <v>92</v>
      </c>
      <c r="M378" s="6" t="s">
        <v>16</v>
      </c>
      <c r="N378" s="8">
        <v>7.850387785842225E-2</v>
      </c>
      <c r="O378" s="6" t="s">
        <v>7</v>
      </c>
    </row>
    <row r="379" spans="12:15" x14ac:dyDescent="0.45">
      <c r="L379" s="3" t="s">
        <v>92</v>
      </c>
      <c r="M379" s="3" t="s">
        <v>17</v>
      </c>
      <c r="N379" s="5">
        <v>4.5349531003935635E-2</v>
      </c>
      <c r="O379" s="3" t="s">
        <v>7</v>
      </c>
    </row>
    <row r="380" spans="12:15" x14ac:dyDescent="0.45">
      <c r="L380" s="6" t="s">
        <v>92</v>
      </c>
      <c r="M380" s="6" t="s">
        <v>18</v>
      </c>
      <c r="N380" s="8">
        <v>9.5019385931255612E-2</v>
      </c>
      <c r="O380" s="6" t="s">
        <v>7</v>
      </c>
    </row>
    <row r="381" spans="12:15" x14ac:dyDescent="0.45">
      <c r="L381" s="3" t="s">
        <v>92</v>
      </c>
      <c r="M381" s="3" t="s">
        <v>19</v>
      </c>
      <c r="N381" s="5">
        <v>0.1141582609904766</v>
      </c>
      <c r="O381" s="3" t="s">
        <v>7</v>
      </c>
    </row>
    <row r="382" spans="12:15" x14ac:dyDescent="0.45">
      <c r="L382" s="6" t="s">
        <v>92</v>
      </c>
      <c r="M382" s="6" t="s">
        <v>20</v>
      </c>
      <c r="N382" s="8">
        <v>7.1046636972990698E-2</v>
      </c>
      <c r="O382" s="6" t="s">
        <v>7</v>
      </c>
    </row>
    <row r="383" spans="12:15" x14ac:dyDescent="0.45">
      <c r="L383" s="3" t="s">
        <v>93</v>
      </c>
      <c r="M383" s="3" t="s">
        <v>6</v>
      </c>
      <c r="N383" s="5">
        <v>9.866240812827233E-2</v>
      </c>
      <c r="O383" s="3" t="s">
        <v>7</v>
      </c>
    </row>
    <row r="384" spans="12:15" x14ac:dyDescent="0.45">
      <c r="L384" s="6" t="s">
        <v>93</v>
      </c>
      <c r="M384" s="6" t="s">
        <v>10</v>
      </c>
      <c r="N384" s="8">
        <v>0.1194783525511359</v>
      </c>
      <c r="O384" s="6" t="s">
        <v>7</v>
      </c>
    </row>
    <row r="385" spans="12:15" x14ac:dyDescent="0.45">
      <c r="L385" s="3" t="s">
        <v>93</v>
      </c>
      <c r="M385" s="3" t="s">
        <v>11</v>
      </c>
      <c r="N385" s="5">
        <v>7.0254683723280087E-2</v>
      </c>
      <c r="O385" s="3" t="s">
        <v>7</v>
      </c>
    </row>
    <row r="386" spans="12:15" x14ac:dyDescent="0.45">
      <c r="L386" s="6" t="s">
        <v>93</v>
      </c>
      <c r="M386" s="6" t="s">
        <v>12</v>
      </c>
      <c r="N386" s="8">
        <v>8.5769428890753577E-2</v>
      </c>
      <c r="O386" s="6" t="s">
        <v>7</v>
      </c>
    </row>
    <row r="387" spans="12:15" x14ac:dyDescent="0.45">
      <c r="L387" s="3" t="s">
        <v>93</v>
      </c>
      <c r="M387" s="3" t="s">
        <v>13</v>
      </c>
      <c r="N387" s="5">
        <v>0.10043748391562336</v>
      </c>
      <c r="O387" s="3" t="s">
        <v>7</v>
      </c>
    </row>
    <row r="388" spans="12:15" x14ac:dyDescent="0.45">
      <c r="L388" s="6" t="s">
        <v>93</v>
      </c>
      <c r="M388" s="6" t="s">
        <v>14</v>
      </c>
      <c r="N388" s="8">
        <v>6.2981313293352811E-2</v>
      </c>
      <c r="O388" s="6" t="s">
        <v>7</v>
      </c>
    </row>
    <row r="389" spans="12:15" x14ac:dyDescent="0.45">
      <c r="L389" s="3" t="s">
        <v>93</v>
      </c>
      <c r="M389" s="3" t="s">
        <v>15</v>
      </c>
      <c r="N389" s="5">
        <v>5.923740276705617E-2</v>
      </c>
      <c r="O389" s="3" t="s">
        <v>7</v>
      </c>
    </row>
    <row r="390" spans="12:15" x14ac:dyDescent="0.45">
      <c r="L390" s="6" t="s">
        <v>93</v>
      </c>
      <c r="M390" s="6" t="s">
        <v>16</v>
      </c>
      <c r="N390" s="8">
        <v>7.8538645760563075E-2</v>
      </c>
      <c r="O390" s="6" t="s">
        <v>7</v>
      </c>
    </row>
    <row r="391" spans="12:15" x14ac:dyDescent="0.45">
      <c r="L391" s="3" t="s">
        <v>93</v>
      </c>
      <c r="M391" s="3" t="s">
        <v>17</v>
      </c>
      <c r="N391" s="5">
        <v>4.1763892322216112E-2</v>
      </c>
      <c r="O391" s="3" t="s">
        <v>7</v>
      </c>
    </row>
    <row r="392" spans="12:15" x14ac:dyDescent="0.45">
      <c r="L392" s="6" t="s">
        <v>93</v>
      </c>
      <c r="M392" s="6" t="s">
        <v>18</v>
      </c>
      <c r="N392" s="8">
        <v>9.5009731131999869E-2</v>
      </c>
      <c r="O392" s="6" t="s">
        <v>7</v>
      </c>
    </row>
    <row r="393" spans="12:15" x14ac:dyDescent="0.45">
      <c r="L393" s="3" t="s">
        <v>93</v>
      </c>
      <c r="M393" s="3" t="s">
        <v>19</v>
      </c>
      <c r="N393" s="5">
        <v>0.1153485897390731</v>
      </c>
      <c r="O393" s="3" t="s">
        <v>7</v>
      </c>
    </row>
    <row r="394" spans="12:15" x14ac:dyDescent="0.45">
      <c r="L394" s="6" t="s">
        <v>93</v>
      </c>
      <c r="M394" s="6" t="s">
        <v>20</v>
      </c>
      <c r="N394" s="8">
        <v>7.2518067776673564E-2</v>
      </c>
      <c r="O394" s="6" t="s">
        <v>7</v>
      </c>
    </row>
    <row r="395" spans="12:15" x14ac:dyDescent="0.45">
      <c r="L395" s="3" t="s">
        <v>94</v>
      </c>
      <c r="M395" s="3" t="s">
        <v>6</v>
      </c>
      <c r="N395" s="5">
        <v>9.7005636966358194E-2</v>
      </c>
      <c r="O395" s="3" t="s">
        <v>7</v>
      </c>
    </row>
    <row r="396" spans="12:15" x14ac:dyDescent="0.45">
      <c r="L396" s="6" t="s">
        <v>94</v>
      </c>
      <c r="M396" s="6" t="s">
        <v>10</v>
      </c>
      <c r="N396" s="8">
        <v>0.11931504431256476</v>
      </c>
      <c r="O396" s="6" t="s">
        <v>7</v>
      </c>
    </row>
    <row r="397" spans="12:15" x14ac:dyDescent="0.45">
      <c r="L397" s="3" t="s">
        <v>94</v>
      </c>
      <c r="M397" s="3" t="s">
        <v>11</v>
      </c>
      <c r="N397" s="5">
        <v>7.0407919758663423E-2</v>
      </c>
      <c r="O397" s="3" t="s">
        <v>7</v>
      </c>
    </row>
    <row r="398" spans="12:15" x14ac:dyDescent="0.45">
      <c r="L398" s="6" t="s">
        <v>94</v>
      </c>
      <c r="M398" s="6" t="s">
        <v>12</v>
      </c>
      <c r="N398" s="8">
        <v>8.0077123777398729E-2</v>
      </c>
      <c r="O398" s="6" t="s">
        <v>7</v>
      </c>
    </row>
    <row r="399" spans="12:15" x14ac:dyDescent="0.45">
      <c r="L399" s="3" t="s">
        <v>94</v>
      </c>
      <c r="M399" s="3" t="s">
        <v>13</v>
      </c>
      <c r="N399" s="5">
        <v>9.1123498190919222E-2</v>
      </c>
      <c r="O399" s="3" t="s">
        <v>7</v>
      </c>
    </row>
    <row r="400" spans="12:15" x14ac:dyDescent="0.45">
      <c r="L400" s="6" t="s">
        <v>94</v>
      </c>
      <c r="M400" s="6" t="s">
        <v>14</v>
      </c>
      <c r="N400" s="8">
        <v>6.0259239750630134E-2</v>
      </c>
      <c r="O400" s="6" t="s">
        <v>7</v>
      </c>
    </row>
    <row r="401" spans="12:15" x14ac:dyDescent="0.45">
      <c r="L401" s="3" t="s">
        <v>94</v>
      </c>
      <c r="M401" s="3" t="s">
        <v>15</v>
      </c>
      <c r="N401" s="5">
        <v>6.7693192548394412E-2</v>
      </c>
      <c r="O401" s="3" t="s">
        <v>7</v>
      </c>
    </row>
    <row r="402" spans="12:15" x14ac:dyDescent="0.45">
      <c r="L402" s="6" t="s">
        <v>94</v>
      </c>
      <c r="M402" s="6" t="s">
        <v>16</v>
      </c>
      <c r="N402" s="8">
        <v>9.1653776899350864E-2</v>
      </c>
      <c r="O402" s="6" t="s">
        <v>7</v>
      </c>
    </row>
    <row r="403" spans="12:15" x14ac:dyDescent="0.45">
      <c r="L403" s="3" t="s">
        <v>94</v>
      </c>
      <c r="M403" s="3" t="s">
        <v>17</v>
      </c>
      <c r="N403" s="5">
        <v>5.3473410647411651E-2</v>
      </c>
      <c r="O403" s="3" t="s">
        <v>7</v>
      </c>
    </row>
    <row r="404" spans="12:15" x14ac:dyDescent="0.45">
      <c r="L404" s="6" t="s">
        <v>94</v>
      </c>
      <c r="M404" s="6" t="s">
        <v>18</v>
      </c>
      <c r="N404" s="8">
        <v>8.960033787109499E-2</v>
      </c>
      <c r="O404" s="6" t="s">
        <v>7</v>
      </c>
    </row>
    <row r="405" spans="12:15" x14ac:dyDescent="0.45">
      <c r="L405" s="3" t="s">
        <v>94</v>
      </c>
      <c r="M405" s="3" t="s">
        <v>19</v>
      </c>
      <c r="N405" s="5">
        <v>0.11228102796787133</v>
      </c>
      <c r="O405" s="3" t="s">
        <v>7</v>
      </c>
    </row>
    <row r="406" spans="12:15" x14ac:dyDescent="0.45">
      <c r="L406" s="6" t="s">
        <v>94</v>
      </c>
      <c r="M406" s="6" t="s">
        <v>20</v>
      </c>
      <c r="N406" s="8">
        <v>6.7109791309342318E-2</v>
      </c>
      <c r="O406" s="6" t="s">
        <v>7</v>
      </c>
    </row>
    <row r="407" spans="12:15" x14ac:dyDescent="0.45">
      <c r="L407" s="3" t="s">
        <v>95</v>
      </c>
      <c r="M407" s="3" t="s">
        <v>6</v>
      </c>
      <c r="N407" s="5">
        <v>9.7430304497226464E-2</v>
      </c>
      <c r="O407" s="3" t="s">
        <v>7</v>
      </c>
    </row>
    <row r="408" spans="12:15" x14ac:dyDescent="0.45">
      <c r="L408" s="6" t="s">
        <v>95</v>
      </c>
      <c r="M408" s="6" t="s">
        <v>10</v>
      </c>
      <c r="N408" s="8">
        <v>0.12266904745689933</v>
      </c>
      <c r="O408" s="6" t="s">
        <v>7</v>
      </c>
    </row>
    <row r="409" spans="12:15" x14ac:dyDescent="0.45">
      <c r="L409" s="3" t="s">
        <v>95</v>
      </c>
      <c r="M409" s="3" t="s">
        <v>11</v>
      </c>
      <c r="N409" s="5">
        <v>7.4416742299295013E-2</v>
      </c>
      <c r="O409" s="3" t="s">
        <v>7</v>
      </c>
    </row>
    <row r="410" spans="12:15" x14ac:dyDescent="0.45">
      <c r="L410" s="6" t="s">
        <v>95</v>
      </c>
      <c r="M410" s="6" t="s">
        <v>12</v>
      </c>
      <c r="N410" s="8">
        <v>7.9733274822575903E-2</v>
      </c>
      <c r="O410" s="6" t="s">
        <v>7</v>
      </c>
    </row>
    <row r="411" spans="12:15" x14ac:dyDescent="0.45">
      <c r="L411" s="3" t="s">
        <v>95</v>
      </c>
      <c r="M411" s="3" t="s">
        <v>13</v>
      </c>
      <c r="N411" s="5">
        <v>9.768782773011303E-2</v>
      </c>
      <c r="O411" s="3" t="s">
        <v>7</v>
      </c>
    </row>
    <row r="412" spans="12:15" x14ac:dyDescent="0.45">
      <c r="L412" s="6" t="s">
        <v>95</v>
      </c>
      <c r="M412" s="6" t="s">
        <v>14</v>
      </c>
      <c r="N412" s="8">
        <v>6.2142659652711568E-2</v>
      </c>
      <c r="O412" s="6" t="s">
        <v>7</v>
      </c>
    </row>
    <row r="413" spans="12:15" x14ac:dyDescent="0.45">
      <c r="L413" s="3" t="s">
        <v>95</v>
      </c>
      <c r="M413" s="3" t="s">
        <v>15</v>
      </c>
      <c r="N413" s="5">
        <v>6.7443578997038262E-2</v>
      </c>
      <c r="O413" s="3" t="s">
        <v>7</v>
      </c>
    </row>
    <row r="414" spans="12:15" x14ac:dyDescent="0.45">
      <c r="L414" s="6" t="s">
        <v>95</v>
      </c>
      <c r="M414" s="6" t="s">
        <v>16</v>
      </c>
      <c r="N414" s="8">
        <v>8.6182419510170805E-2</v>
      </c>
      <c r="O414" s="6" t="s">
        <v>7</v>
      </c>
    </row>
    <row r="415" spans="12:15" x14ac:dyDescent="0.45">
      <c r="L415" s="3" t="s">
        <v>95</v>
      </c>
      <c r="M415" s="3" t="s">
        <v>17</v>
      </c>
      <c r="N415" s="5">
        <v>5.1815662531322915E-2</v>
      </c>
      <c r="O415" s="3" t="s">
        <v>7</v>
      </c>
    </row>
    <row r="416" spans="12:15" x14ac:dyDescent="0.45">
      <c r="L416" s="6" t="s">
        <v>95</v>
      </c>
      <c r="M416" s="6" t="s">
        <v>18</v>
      </c>
      <c r="N416" s="8">
        <v>8.6510269935342859E-2</v>
      </c>
      <c r="O416" s="6" t="s">
        <v>7</v>
      </c>
    </row>
    <row r="417" spans="12:15" x14ac:dyDescent="0.45">
      <c r="L417" s="3" t="s">
        <v>95</v>
      </c>
      <c r="M417" s="3" t="s">
        <v>19</v>
      </c>
      <c r="N417" s="5">
        <v>0.10850436757264396</v>
      </c>
      <c r="O417" s="3" t="s">
        <v>7</v>
      </c>
    </row>
    <row r="418" spans="12:15" x14ac:dyDescent="0.45">
      <c r="L418" s="6" t="s">
        <v>95</v>
      </c>
      <c r="M418" s="6" t="s">
        <v>20</v>
      </c>
      <c r="N418" s="8">
        <v>6.5463844994659889E-2</v>
      </c>
      <c r="O418" s="6" t="s"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25EC-8968-4019-97F5-A8E771B6A2E4}">
  <dimension ref="A1:CI88"/>
  <sheetViews>
    <sheetView workbookViewId="0">
      <selection sqref="A1:L1"/>
    </sheetView>
  </sheetViews>
  <sheetFormatPr defaultRowHeight="14.25" x14ac:dyDescent="0.45"/>
  <cols>
    <col min="2" max="2" width="20.1328125" bestFit="1" customWidth="1"/>
    <col min="3" max="3" width="10.59765625" bestFit="1" customWidth="1"/>
    <col min="4" max="15" width="10.59765625" customWidth="1"/>
    <col min="17" max="17" width="20.1328125" bestFit="1" customWidth="1"/>
    <col min="18" max="18" width="10.59765625" bestFit="1" customWidth="1"/>
    <col min="19" max="30" width="10.59765625" customWidth="1"/>
    <col min="32" max="32" width="20.1328125" bestFit="1" customWidth="1"/>
    <col min="33" max="33" width="10.59765625" bestFit="1" customWidth="1"/>
    <col min="34" max="45" width="10.59765625" customWidth="1"/>
    <col min="47" max="47" width="20.1328125" bestFit="1" customWidth="1"/>
    <col min="48" max="48" width="10.59765625" bestFit="1" customWidth="1"/>
    <col min="49" max="60" width="10.59765625" customWidth="1"/>
    <col min="62" max="63" width="10.59765625" customWidth="1"/>
    <col min="64" max="64" width="15.1328125" bestFit="1" customWidth="1"/>
    <col min="65" max="67" width="10.59765625" customWidth="1"/>
    <col min="68" max="68" width="30.59765625" customWidth="1"/>
    <col min="70" max="70" width="20.1328125" bestFit="1" customWidth="1"/>
    <col min="71" max="82" width="10.59765625" customWidth="1"/>
    <col min="84" max="84" width="20.1328125" bestFit="1" customWidth="1"/>
    <col min="85" max="85" width="10.59765625" bestFit="1" customWidth="1"/>
    <col min="86" max="86" width="12.6640625" bestFit="1" customWidth="1"/>
    <col min="87" max="87" width="10.59765625" customWidth="1"/>
  </cols>
  <sheetData>
    <row r="1" spans="1:87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9" spans="1:87" ht="14.65" thickBot="1" x14ac:dyDescent="0.5">
      <c r="B9" s="1" t="str">
        <f>IF(A11="x","DeActivated","~TFM_DINS-TSL: attribute=FLO_EMIS; other_indexes=ACT; region=GBR")</f>
        <v>~TFM_DINS-TSL: attribute=FLO_EMIS; other_indexes=ACT; region=GBR</v>
      </c>
      <c r="Q9" s="1" t="str">
        <f>IF(A11="x","DeActivated","~TFM_DINS-TSL: attribute=FLO_SHAR; limtype=FX; region=GBR")</f>
        <v>~TFM_DINS-TSL: attribute=FLO_SHAR; limtype=FX; region=GBR</v>
      </c>
      <c r="AF9" s="1" t="str">
        <f>IF(A11="x","DeActivated","~TFM_DINS-TSL: attribute=FLO_SHAR; limtype=FX; region=GBR")</f>
        <v>~TFM_DINS-TSL: attribute=FLO_SHAR; limtype=FX; region=GBR</v>
      </c>
      <c r="AU9" s="1" t="str">
        <f>IF(A11="x","DeActivated","~TFM_DINS-TSL: attribute=FLO_SHAR; limtype=FX; region=GBR")</f>
        <v>~TFM_DINS-TSL: attribute=FLO_SHAR; limtype=FX; region=GBR</v>
      </c>
      <c r="BJ9" s="1" t="str">
        <f>IF(A11="x","DeActivated","~TFM_INS: region=GBR")</f>
        <v>~TFM_INS: region=GBR</v>
      </c>
      <c r="BR9" s="1" t="str">
        <f>IF(A11="x","DeActivated","~TFM_DINS-TSL: attribute=NCAP_PKCNT; region=GBR")</f>
        <v>~TFM_DINS-TSL: attribute=NCAP_PKCNT; region=GBR</v>
      </c>
      <c r="CF9" s="1" t="str">
        <f>IF(A11="x","DeActivated","~TFM_DINS-AT: region=GBR")</f>
        <v>~TFM_DINS-AT: region=GBR</v>
      </c>
    </row>
    <row r="10" spans="1:87" ht="15.75" thickBot="1" x14ac:dyDescent="0.6">
      <c r="B10" s="2" t="s">
        <v>4</v>
      </c>
      <c r="C10" s="2" t="s">
        <v>1</v>
      </c>
      <c r="D10" s="2" t="s">
        <v>6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19</v>
      </c>
      <c r="O10" s="2" t="s">
        <v>20</v>
      </c>
      <c r="Q10" s="2" t="s">
        <v>4</v>
      </c>
      <c r="R10" s="2" t="s">
        <v>1</v>
      </c>
      <c r="S10" s="2" t="s">
        <v>6</v>
      </c>
      <c r="T10" s="2" t="s">
        <v>10</v>
      </c>
      <c r="U10" s="2" t="s">
        <v>11</v>
      </c>
      <c r="V10" s="2" t="s">
        <v>12</v>
      </c>
      <c r="W10" s="2" t="s">
        <v>13</v>
      </c>
      <c r="X10" s="2" t="s">
        <v>14</v>
      </c>
      <c r="Y10" s="2" t="s">
        <v>15</v>
      </c>
      <c r="Z10" s="2" t="s">
        <v>16</v>
      </c>
      <c r="AA10" s="2" t="s">
        <v>17</v>
      </c>
      <c r="AB10" s="2" t="s">
        <v>18</v>
      </c>
      <c r="AC10" s="2" t="s">
        <v>19</v>
      </c>
      <c r="AD10" s="2" t="s">
        <v>20</v>
      </c>
      <c r="AF10" s="2" t="s">
        <v>4</v>
      </c>
      <c r="AG10" s="2" t="s">
        <v>1</v>
      </c>
      <c r="AH10" s="2" t="s">
        <v>6</v>
      </c>
      <c r="AI10" s="2" t="s">
        <v>10</v>
      </c>
      <c r="AJ10" s="2" t="s">
        <v>11</v>
      </c>
      <c r="AK10" s="2" t="s">
        <v>12</v>
      </c>
      <c r="AL10" s="2" t="s">
        <v>13</v>
      </c>
      <c r="AM10" s="2" t="s">
        <v>14</v>
      </c>
      <c r="AN10" s="2" t="s">
        <v>15</v>
      </c>
      <c r="AO10" s="2" t="s">
        <v>16</v>
      </c>
      <c r="AP10" s="2" t="s">
        <v>17</v>
      </c>
      <c r="AQ10" s="2" t="s">
        <v>18</v>
      </c>
      <c r="AR10" s="2" t="s">
        <v>19</v>
      </c>
      <c r="AS10" s="2" t="s">
        <v>20</v>
      </c>
      <c r="AU10" s="2" t="s">
        <v>4</v>
      </c>
      <c r="AV10" s="2" t="s">
        <v>1</v>
      </c>
      <c r="AW10" s="2" t="s">
        <v>6</v>
      </c>
      <c r="AX10" s="2" t="s">
        <v>10</v>
      </c>
      <c r="AY10" s="2" t="s">
        <v>11</v>
      </c>
      <c r="AZ10" s="2" t="s">
        <v>12</v>
      </c>
      <c r="BA10" s="2" t="s">
        <v>13</v>
      </c>
      <c r="BB10" s="2" t="s">
        <v>14</v>
      </c>
      <c r="BC10" s="2" t="s">
        <v>15</v>
      </c>
      <c r="BD10" s="2" t="s">
        <v>16</v>
      </c>
      <c r="BE10" s="2" t="s">
        <v>17</v>
      </c>
      <c r="BF10" s="2" t="s">
        <v>18</v>
      </c>
      <c r="BG10" s="2" t="s">
        <v>19</v>
      </c>
      <c r="BH10" s="2" t="s">
        <v>20</v>
      </c>
      <c r="BJ10" s="2" t="s">
        <v>96</v>
      </c>
      <c r="BK10" s="2" t="s">
        <v>4</v>
      </c>
      <c r="BL10" s="2" t="s">
        <v>1</v>
      </c>
      <c r="BM10" s="2" t="s">
        <v>97</v>
      </c>
      <c r="BN10" s="2" t="s">
        <v>98</v>
      </c>
      <c r="BO10" s="2" t="s">
        <v>99</v>
      </c>
      <c r="BP10" s="2" t="s">
        <v>2</v>
      </c>
      <c r="BR10" s="2" t="s">
        <v>4</v>
      </c>
      <c r="BS10" s="2" t="s">
        <v>6</v>
      </c>
      <c r="BT10" s="2" t="s">
        <v>10</v>
      </c>
      <c r="BU10" s="2" t="s">
        <v>11</v>
      </c>
      <c r="BV10" s="2" t="s">
        <v>12</v>
      </c>
      <c r="BW10" s="2" t="s">
        <v>13</v>
      </c>
      <c r="BX10" s="2" t="s">
        <v>14</v>
      </c>
      <c r="BY10" s="2" t="s">
        <v>15</v>
      </c>
      <c r="BZ10" s="2" t="s">
        <v>16</v>
      </c>
      <c r="CA10" s="2" t="s">
        <v>17</v>
      </c>
      <c r="CB10" s="2" t="s">
        <v>18</v>
      </c>
      <c r="CC10" s="2" t="s">
        <v>19</v>
      </c>
      <c r="CD10" s="2" t="s">
        <v>20</v>
      </c>
      <c r="CF10" s="2" t="s">
        <v>4</v>
      </c>
      <c r="CG10" s="2" t="s">
        <v>1</v>
      </c>
      <c r="CH10" s="2" t="s">
        <v>100</v>
      </c>
      <c r="CI10" s="2" t="s">
        <v>101</v>
      </c>
    </row>
    <row r="11" spans="1:87" x14ac:dyDescent="0.45">
      <c r="B11" s="3" t="s">
        <v>102</v>
      </c>
      <c r="C11" s="3" t="s">
        <v>103</v>
      </c>
      <c r="D11" s="5">
        <v>0</v>
      </c>
      <c r="E11" s="5">
        <v>0.41638915024301504</v>
      </c>
      <c r="F11" s="5">
        <v>0.99629629629629646</v>
      </c>
      <c r="G11" s="5">
        <v>0.82441704585716913</v>
      </c>
      <c r="H11" s="5">
        <v>0.22582403936256806</v>
      </c>
      <c r="I11" s="5">
        <v>0.75283876179063913</v>
      </c>
      <c r="J11" s="5">
        <v>0.73035674574440734</v>
      </c>
      <c r="K11" s="5">
        <v>0.17947623040629418</v>
      </c>
      <c r="L11" s="5">
        <v>0.65024541048061435</v>
      </c>
      <c r="M11" s="5">
        <v>0.93931719392190172</v>
      </c>
      <c r="N11" s="5">
        <v>0.32675504129358662</v>
      </c>
      <c r="O11" s="5">
        <v>0.9380243577217513</v>
      </c>
      <c r="Q11" s="3" t="s">
        <v>102</v>
      </c>
      <c r="R11" s="3" t="s">
        <v>104</v>
      </c>
      <c r="S11" s="5">
        <v>0</v>
      </c>
      <c r="T11" s="5">
        <v>0.25280068907297415</v>
      </c>
      <c r="U11" s="5">
        <v>0</v>
      </c>
      <c r="V11" s="5">
        <v>0.70714415042943235</v>
      </c>
      <c r="W11" s="5">
        <v>0.11321156631429867</v>
      </c>
      <c r="X11" s="5">
        <v>0.61071738543063925</v>
      </c>
      <c r="Y11" s="5">
        <v>0.58485332313985949</v>
      </c>
      <c r="Z11" s="5">
        <v>9.0594017088106549E-2</v>
      </c>
      <c r="AA11" s="5">
        <v>0.49332864941911236</v>
      </c>
      <c r="AB11" s="5">
        <v>0.88641031234483592</v>
      </c>
      <c r="AC11" s="5">
        <v>0.16817273671270266</v>
      </c>
      <c r="AD11" s="5">
        <v>0.79113985046355095</v>
      </c>
      <c r="AF11" s="3" t="s">
        <v>102</v>
      </c>
      <c r="AG11" s="3" t="s">
        <v>105</v>
      </c>
      <c r="AH11" s="5">
        <v>0</v>
      </c>
      <c r="AI11" s="5">
        <v>2.0454366930663676E-2</v>
      </c>
      <c r="AJ11" s="5">
        <v>0.99260631001371746</v>
      </c>
      <c r="AK11" s="5">
        <v>0</v>
      </c>
      <c r="AL11" s="5">
        <v>2.0120006627200392E-2</v>
      </c>
      <c r="AM11" s="5">
        <v>0</v>
      </c>
      <c r="AN11" s="5">
        <v>0</v>
      </c>
      <c r="AO11" s="5">
        <v>1.4194097371371957E-2</v>
      </c>
      <c r="AP11" s="5">
        <v>0</v>
      </c>
      <c r="AQ11" s="5">
        <v>0</v>
      </c>
      <c r="AR11" s="5">
        <v>3.3695837642098166E-2</v>
      </c>
      <c r="AS11" s="5">
        <v>9.2975989212586777E-2</v>
      </c>
      <c r="AU11" s="3" t="s">
        <v>102</v>
      </c>
      <c r="AV11" s="3" t="s">
        <v>106</v>
      </c>
      <c r="AW11" s="5">
        <v>0</v>
      </c>
      <c r="AX11" s="5">
        <v>0</v>
      </c>
      <c r="AY11" s="5">
        <v>0</v>
      </c>
      <c r="AZ11" s="5">
        <v>0</v>
      </c>
      <c r="BA11" s="4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4">
        <v>0</v>
      </c>
      <c r="BJ11" s="3" t="s">
        <v>107</v>
      </c>
      <c r="BK11" s="3" t="s">
        <v>108</v>
      </c>
      <c r="BL11" s="3" t="s">
        <v>109</v>
      </c>
      <c r="BM11" s="9">
        <v>0</v>
      </c>
      <c r="BN11" s="3" t="s">
        <v>110</v>
      </c>
      <c r="BO11" s="10">
        <v>3</v>
      </c>
      <c r="BP11" s="3" t="s">
        <v>111</v>
      </c>
      <c r="BR11" s="3" t="s">
        <v>102</v>
      </c>
      <c r="BS11" s="5">
        <v>0</v>
      </c>
      <c r="BT11" s="5">
        <v>0.15309279344041676</v>
      </c>
      <c r="BU11" s="4">
        <v>4.7584565047500816E-6</v>
      </c>
      <c r="BV11" s="5">
        <v>1.0108798048038001E-2</v>
      </c>
      <c r="BW11" s="5">
        <v>0.34492255179910908</v>
      </c>
      <c r="BX11" s="5">
        <v>1.3534813190503344E-2</v>
      </c>
      <c r="BY11" s="5">
        <v>1.6088713872684637E-2</v>
      </c>
      <c r="BZ11" s="5">
        <v>0.38345325084751941</v>
      </c>
      <c r="CA11" s="5">
        <v>2.5425242124829116E-2</v>
      </c>
      <c r="CB11" s="4">
        <v>1.744914081395141E-3</v>
      </c>
      <c r="CC11" s="5">
        <v>0.21856326135641932</v>
      </c>
      <c r="CD11" s="5">
        <v>1.4079376969937626E-3</v>
      </c>
      <c r="CF11" s="3" t="s">
        <v>102</v>
      </c>
      <c r="CG11" s="3" t="s">
        <v>112</v>
      </c>
      <c r="CH11" s="3" t="s">
        <v>113</v>
      </c>
      <c r="CI11" s="5">
        <v>0.35335070816132796</v>
      </c>
    </row>
    <row r="12" spans="1:87" x14ac:dyDescent="0.45">
      <c r="B12" s="6" t="s">
        <v>114</v>
      </c>
      <c r="C12" s="6" t="s">
        <v>103</v>
      </c>
      <c r="D12" s="8">
        <v>0</v>
      </c>
      <c r="E12" s="8">
        <v>0.43158667086520669</v>
      </c>
      <c r="F12" s="8">
        <v>0.99814814814814801</v>
      </c>
      <c r="G12" s="8">
        <v>0.83051116748535925</v>
      </c>
      <c r="H12" s="8">
        <v>0.23251214600498685</v>
      </c>
      <c r="I12" s="8">
        <v>0.76477130128997139</v>
      </c>
      <c r="J12" s="8">
        <v>0.7432105460713555</v>
      </c>
      <c r="K12" s="8">
        <v>0.1913138548719783</v>
      </c>
      <c r="L12" s="8">
        <v>0.66615112790903908</v>
      </c>
      <c r="M12" s="8">
        <v>0.93834284037032478</v>
      </c>
      <c r="N12" s="8">
        <v>0.35281297755543256</v>
      </c>
      <c r="O12" s="8">
        <v>0.94397494820266492</v>
      </c>
      <c r="Q12" s="6" t="s">
        <v>114</v>
      </c>
      <c r="R12" s="6" t="s">
        <v>104</v>
      </c>
      <c r="S12" s="8">
        <v>0</v>
      </c>
      <c r="T12" s="8">
        <v>0.25975307280982535</v>
      </c>
      <c r="U12" s="8">
        <v>0.99629972565157754</v>
      </c>
      <c r="V12" s="8">
        <v>0.71627344075362631</v>
      </c>
      <c r="W12" s="8">
        <v>0.11332284193942899</v>
      </c>
      <c r="X12" s="8">
        <v>0.6262008587295822</v>
      </c>
      <c r="Y12" s="8">
        <v>0.59739238968242525</v>
      </c>
      <c r="Z12" s="8">
        <v>9.8186344176290602E-2</v>
      </c>
      <c r="AA12" s="8">
        <v>0.51556021956742004</v>
      </c>
      <c r="AB12" s="8">
        <v>0.88291874402976978</v>
      </c>
      <c r="AC12" s="8">
        <v>0.18255897375668023</v>
      </c>
      <c r="AD12" s="8">
        <v>0.72847426590499165</v>
      </c>
      <c r="AF12" s="6" t="s">
        <v>114</v>
      </c>
      <c r="AG12" s="6" t="s">
        <v>105</v>
      </c>
      <c r="AH12" s="8">
        <v>0</v>
      </c>
      <c r="AI12" s="8">
        <v>2.7670833132446417E-2</v>
      </c>
      <c r="AJ12" s="8">
        <v>0</v>
      </c>
      <c r="AK12" s="8">
        <v>0</v>
      </c>
      <c r="AL12" s="8">
        <v>3.0169939220200462E-2</v>
      </c>
      <c r="AM12" s="8">
        <v>0</v>
      </c>
      <c r="AN12" s="8">
        <v>0</v>
      </c>
      <c r="AO12" s="8">
        <v>9.1364124083266225E-3</v>
      </c>
      <c r="AP12" s="8">
        <v>0</v>
      </c>
      <c r="AQ12" s="8">
        <v>0</v>
      </c>
      <c r="AR12" s="8">
        <v>3.863313409907377E-2</v>
      </c>
      <c r="AS12" s="8">
        <v>0.16808971893187744</v>
      </c>
      <c r="AU12" s="6" t="s">
        <v>114</v>
      </c>
      <c r="AV12" s="6" t="s">
        <v>106</v>
      </c>
      <c r="AW12" s="8">
        <v>0</v>
      </c>
      <c r="AX12" s="8">
        <v>0</v>
      </c>
      <c r="AY12" s="8">
        <v>0</v>
      </c>
      <c r="AZ12" s="8">
        <v>0</v>
      </c>
      <c r="BA12" s="7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7">
        <v>0</v>
      </c>
      <c r="BR12" s="6" t="s">
        <v>114</v>
      </c>
      <c r="BS12" s="8">
        <v>0</v>
      </c>
      <c r="BT12" s="8">
        <v>0.14777444447716817</v>
      </c>
      <c r="BU12" s="7">
        <v>0</v>
      </c>
      <c r="BV12" s="8">
        <v>9.9734353725808283E-3</v>
      </c>
      <c r="BW12" s="8">
        <v>0.34011607858800491</v>
      </c>
      <c r="BX12" s="8">
        <v>1.3004455338521808E-2</v>
      </c>
      <c r="BY12" s="8">
        <v>1.6354659898123965E-2</v>
      </c>
      <c r="BZ12" s="8">
        <v>0.40630647671856807</v>
      </c>
      <c r="CA12" s="8">
        <v>2.5770123278821715E-2</v>
      </c>
      <c r="CB12" s="7">
        <v>1.9740150828390897E-3</v>
      </c>
      <c r="CC12" s="8">
        <v>0.221999058493244</v>
      </c>
      <c r="CD12" s="8">
        <v>1.5245488699680296E-3</v>
      </c>
      <c r="CF12" s="6" t="s">
        <v>114</v>
      </c>
      <c r="CG12" s="6" t="s">
        <v>112</v>
      </c>
      <c r="CH12" s="6" t="s">
        <v>113</v>
      </c>
      <c r="CI12" s="8">
        <v>0.3764952898965726</v>
      </c>
    </row>
    <row r="13" spans="1:87" x14ac:dyDescent="0.45">
      <c r="B13" s="3" t="s">
        <v>115</v>
      </c>
      <c r="C13" s="3" t="s">
        <v>103</v>
      </c>
      <c r="D13" s="5">
        <v>0</v>
      </c>
      <c r="E13" s="5">
        <v>0.47720510325259674</v>
      </c>
      <c r="F13" s="5">
        <v>0</v>
      </c>
      <c r="G13" s="5">
        <v>0.82042664153442602</v>
      </c>
      <c r="H13" s="5">
        <v>0.22052748781280762</v>
      </c>
      <c r="I13" s="5">
        <v>0.72730615060846093</v>
      </c>
      <c r="J13" s="5">
        <v>0.7161981578630876</v>
      </c>
      <c r="K13" s="5">
        <v>0.17942710427928291</v>
      </c>
      <c r="L13" s="5">
        <v>0.61448163904421604</v>
      </c>
      <c r="M13" s="5">
        <v>0.95655769629033194</v>
      </c>
      <c r="N13" s="5">
        <v>0.35205661204370275</v>
      </c>
      <c r="O13" s="5">
        <v>0.93174761781317816</v>
      </c>
      <c r="Q13" s="3" t="s">
        <v>115</v>
      </c>
      <c r="R13" s="3" t="s">
        <v>104</v>
      </c>
      <c r="S13" s="5">
        <v>0</v>
      </c>
      <c r="T13" s="5">
        <v>0.27537548032025844</v>
      </c>
      <c r="U13" s="5">
        <v>0</v>
      </c>
      <c r="V13" s="5">
        <v>0.70118618126800236</v>
      </c>
      <c r="W13" s="5">
        <v>0.10885824073365159</v>
      </c>
      <c r="X13" s="5">
        <v>0.51420970941182764</v>
      </c>
      <c r="Y13" s="5">
        <v>0.57435587079404704</v>
      </c>
      <c r="Z13" s="5">
        <v>9.1079101880054872E-2</v>
      </c>
      <c r="AA13" s="5">
        <v>0.41044631482602056</v>
      </c>
      <c r="AB13" s="5">
        <v>0.91759838237429181</v>
      </c>
      <c r="AC13" s="5">
        <v>0.18431762692143827</v>
      </c>
      <c r="AD13" s="5">
        <v>0.43040146740720614</v>
      </c>
      <c r="AF13" s="3" t="s">
        <v>115</v>
      </c>
      <c r="AG13" s="3" t="s">
        <v>105</v>
      </c>
      <c r="AH13" s="5">
        <v>0</v>
      </c>
      <c r="AI13" s="5">
        <v>4.4921471763642799E-2</v>
      </c>
      <c r="AJ13" s="5">
        <v>0</v>
      </c>
      <c r="AK13" s="5">
        <v>0</v>
      </c>
      <c r="AL13" s="5">
        <v>2.0356631727381579E-2</v>
      </c>
      <c r="AM13" s="5">
        <v>5.2547112178074701E-2</v>
      </c>
      <c r="AN13" s="5">
        <v>0</v>
      </c>
      <c r="AO13" s="5">
        <v>1.582955201492529E-2</v>
      </c>
      <c r="AP13" s="5">
        <v>4.5234981343785022E-2</v>
      </c>
      <c r="AQ13" s="5">
        <v>0</v>
      </c>
      <c r="AR13" s="5">
        <v>3.8879005500868265E-2</v>
      </c>
      <c r="AS13" s="5">
        <v>0.35428457832563681</v>
      </c>
      <c r="AU13" s="3" t="s">
        <v>115</v>
      </c>
      <c r="AV13" s="3" t="s">
        <v>106</v>
      </c>
      <c r="AW13" s="5">
        <v>0</v>
      </c>
      <c r="AX13" s="5">
        <v>0</v>
      </c>
      <c r="AY13" s="5">
        <v>0</v>
      </c>
      <c r="AZ13" s="5">
        <v>0</v>
      </c>
      <c r="BA13" s="4">
        <v>0</v>
      </c>
      <c r="BB13" s="5">
        <v>1.8193002691647669E-2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4">
        <v>9.2754183367579582E-2</v>
      </c>
      <c r="BR13" s="3" t="s">
        <v>115</v>
      </c>
      <c r="BS13" s="5">
        <v>0</v>
      </c>
      <c r="BT13" s="5">
        <v>0.1296287516236645</v>
      </c>
      <c r="BU13" s="4">
        <v>0</v>
      </c>
      <c r="BV13" s="5">
        <v>9.6827884875485496E-3</v>
      </c>
      <c r="BW13" s="5">
        <v>0.35404408071873933</v>
      </c>
      <c r="BX13" s="5">
        <v>1.8670446485812352E-2</v>
      </c>
      <c r="BY13" s="5">
        <v>1.6285363692942423E-2</v>
      </c>
      <c r="BZ13" s="5">
        <v>0.3741387754229521</v>
      </c>
      <c r="CA13" s="5">
        <v>3.4506861895115121E-2</v>
      </c>
      <c r="CB13" s="4">
        <v>9.6460537956137582E-4</v>
      </c>
      <c r="CC13" s="5">
        <v>0.19728358227030668</v>
      </c>
      <c r="CD13" s="5">
        <v>2.1868290428902456E-3</v>
      </c>
      <c r="CF13" s="3" t="s">
        <v>115</v>
      </c>
      <c r="CG13" s="3" t="s">
        <v>112</v>
      </c>
      <c r="CH13" s="3" t="s">
        <v>113</v>
      </c>
      <c r="CI13" s="5">
        <v>0.35258596550054067</v>
      </c>
    </row>
    <row r="14" spans="1:87" x14ac:dyDescent="0.45">
      <c r="B14" s="6" t="s">
        <v>116</v>
      </c>
      <c r="C14" s="6" t="s">
        <v>103</v>
      </c>
      <c r="D14" s="8">
        <v>0</v>
      </c>
      <c r="E14" s="8">
        <v>0.48602741003620159</v>
      </c>
      <c r="F14" s="8">
        <v>0.99074074074074081</v>
      </c>
      <c r="G14" s="8">
        <v>0.82323220801455432</v>
      </c>
      <c r="H14" s="8">
        <v>0.2196527128576026</v>
      </c>
      <c r="I14" s="8">
        <v>0.71111221527042434</v>
      </c>
      <c r="J14" s="8">
        <v>0.71386688722418334</v>
      </c>
      <c r="K14" s="8">
        <v>0.1826428864252832</v>
      </c>
      <c r="L14" s="8">
        <v>0.59269895112526183</v>
      </c>
      <c r="M14" s="8">
        <v>0.9618967013130032</v>
      </c>
      <c r="N14" s="8">
        <v>0.37147926835288131</v>
      </c>
      <c r="O14" s="8">
        <v>0.92515412573551881</v>
      </c>
      <c r="Q14" s="6" t="s">
        <v>116</v>
      </c>
      <c r="R14" s="6" t="s">
        <v>104</v>
      </c>
      <c r="S14" s="8">
        <v>0</v>
      </c>
      <c r="T14" s="8">
        <v>0.29111025463484291</v>
      </c>
      <c r="U14" s="8">
        <v>0.42824561998987953</v>
      </c>
      <c r="V14" s="8">
        <v>0.70306219800510972</v>
      </c>
      <c r="W14" s="8">
        <v>0.11308008673239409</v>
      </c>
      <c r="X14" s="8">
        <v>0.48479305556284702</v>
      </c>
      <c r="Y14" s="8">
        <v>0.56669099478750784</v>
      </c>
      <c r="Z14" s="8">
        <v>9.0342165207289618E-2</v>
      </c>
      <c r="AA14" s="8">
        <v>0.29857938743583939</v>
      </c>
      <c r="AB14" s="8">
        <v>0.92886453437230876</v>
      </c>
      <c r="AC14" s="8">
        <v>0.19284647689765796</v>
      </c>
      <c r="AD14" s="8">
        <v>0.30442088603805356</v>
      </c>
      <c r="AF14" s="6" t="s">
        <v>116</v>
      </c>
      <c r="AG14" s="6" t="s">
        <v>105</v>
      </c>
      <c r="AH14" s="8">
        <v>0</v>
      </c>
      <c r="AI14" s="8">
        <v>4.4579620132302052E-2</v>
      </c>
      <c r="AJ14" s="8">
        <v>0.5533215953736319</v>
      </c>
      <c r="AK14" s="8">
        <v>0</v>
      </c>
      <c r="AL14" s="8">
        <v>1.3196849335589856E-2</v>
      </c>
      <c r="AM14" s="8">
        <v>8.2122689082785763E-2</v>
      </c>
      <c r="AN14" s="8">
        <v>0</v>
      </c>
      <c r="AO14" s="8">
        <v>1.697097241662433E-2</v>
      </c>
      <c r="AP14" s="8">
        <v>0.1373213002631542</v>
      </c>
      <c r="AQ14" s="8">
        <v>0</v>
      </c>
      <c r="AR14" s="8">
        <v>4.7223440693461231E-2</v>
      </c>
      <c r="AS14" s="8">
        <v>0.56176541242464018</v>
      </c>
      <c r="AU14" s="6" t="s">
        <v>116</v>
      </c>
      <c r="AV14" s="6" t="s">
        <v>106</v>
      </c>
      <c r="AW14" s="8">
        <v>0</v>
      </c>
      <c r="AX14" s="8">
        <v>0</v>
      </c>
      <c r="AY14" s="8">
        <v>0</v>
      </c>
      <c r="AZ14" s="8">
        <v>0</v>
      </c>
      <c r="BA14" s="7">
        <v>0</v>
      </c>
      <c r="BB14" s="8">
        <v>0</v>
      </c>
      <c r="BC14" s="8">
        <v>0</v>
      </c>
      <c r="BD14" s="8">
        <v>0</v>
      </c>
      <c r="BE14" s="8">
        <v>2.4344988886148503E-3</v>
      </c>
      <c r="BF14" s="8">
        <v>0</v>
      </c>
      <c r="BG14" s="8">
        <v>0</v>
      </c>
      <c r="BH14" s="7">
        <v>1.9186531898082925E-3</v>
      </c>
      <c r="BR14" s="6" t="s">
        <v>116</v>
      </c>
      <c r="BS14" s="8">
        <v>0</v>
      </c>
      <c r="BT14" s="8">
        <v>0.1096000198658629</v>
      </c>
      <c r="BU14" s="7">
        <v>7.8830098137774128E-5</v>
      </c>
      <c r="BV14" s="8">
        <v>7.8844792640990358E-3</v>
      </c>
      <c r="BW14" s="8">
        <v>0.36276801719166063</v>
      </c>
      <c r="BX14" s="8">
        <v>2.1894119251128899E-2</v>
      </c>
      <c r="BY14" s="8">
        <v>1.3500886052946512E-2</v>
      </c>
      <c r="BZ14" s="8">
        <v>0.34496629305063359</v>
      </c>
      <c r="CA14" s="8">
        <v>3.6323324423456739E-2</v>
      </c>
      <c r="CB14" s="7">
        <v>5.0142896377508811E-4</v>
      </c>
      <c r="CC14" s="8">
        <v>0.16693592966245585</v>
      </c>
      <c r="CD14" s="8">
        <v>2.3450923852430168E-3</v>
      </c>
      <c r="CF14" s="6" t="s">
        <v>116</v>
      </c>
      <c r="CG14" s="6" t="s">
        <v>112</v>
      </c>
      <c r="CH14" s="6" t="s">
        <v>113</v>
      </c>
      <c r="CI14" s="8">
        <v>0.35847294313365902</v>
      </c>
    </row>
    <row r="15" spans="1:87" x14ac:dyDescent="0.45">
      <c r="B15" s="3" t="s">
        <v>117</v>
      </c>
      <c r="C15" s="3" t="s">
        <v>103</v>
      </c>
      <c r="D15" s="5">
        <v>0</v>
      </c>
      <c r="E15" s="5">
        <v>0.48795605103769907</v>
      </c>
      <c r="F15" s="5">
        <v>0.98333333333333328</v>
      </c>
      <c r="G15" s="5">
        <v>0.85178309676123631</v>
      </c>
      <c r="H15" s="5">
        <v>0.24343934264262296</v>
      </c>
      <c r="I15" s="5">
        <v>0.7142382631562656</v>
      </c>
      <c r="J15" s="5">
        <v>0.75362732160497992</v>
      </c>
      <c r="K15" s="5">
        <v>0.19225997736832395</v>
      </c>
      <c r="L15" s="5">
        <v>0.61360460199492817</v>
      </c>
      <c r="M15" s="5">
        <v>0.96636016761683829</v>
      </c>
      <c r="N15" s="5">
        <v>0.3373175405507931</v>
      </c>
      <c r="O15" s="5">
        <v>0.91571912984688542</v>
      </c>
      <c r="Q15" s="3" t="s">
        <v>117</v>
      </c>
      <c r="R15" s="3" t="s">
        <v>104</v>
      </c>
      <c r="S15" s="5">
        <v>0</v>
      </c>
      <c r="T15" s="5">
        <v>0.28753697702203668</v>
      </c>
      <c r="U15" s="5">
        <v>1.4159054263768437E-2</v>
      </c>
      <c r="V15" s="5">
        <v>0.74790023169238973</v>
      </c>
      <c r="W15" s="5">
        <v>0.11928131098086277</v>
      </c>
      <c r="X15" s="5">
        <v>0.42028057357171339</v>
      </c>
      <c r="Y15" s="5">
        <v>0.60775265423111668</v>
      </c>
      <c r="Z15" s="5">
        <v>9.1618049505516747E-2</v>
      </c>
      <c r="AA15" s="5">
        <v>0.30946643069234875</v>
      </c>
      <c r="AB15" s="5">
        <v>0.93536316543768161</v>
      </c>
      <c r="AC15" s="5">
        <v>0.1766709730400087</v>
      </c>
      <c r="AD15" s="5">
        <v>0.48078950798286968</v>
      </c>
      <c r="AF15" s="3" t="s">
        <v>117</v>
      </c>
      <c r="AG15" s="3" t="s">
        <v>105</v>
      </c>
      <c r="AH15" s="5">
        <v>0</v>
      </c>
      <c r="AI15" s="5">
        <v>3.9244213420635561E-2</v>
      </c>
      <c r="AJ15" s="5">
        <v>0.95324469365537401</v>
      </c>
      <c r="AK15" s="5">
        <v>0</v>
      </c>
      <c r="AL15" s="5">
        <v>2.3222055681750734E-2</v>
      </c>
      <c r="AM15" s="5">
        <v>0.14750913110792069</v>
      </c>
      <c r="AN15" s="5">
        <v>0</v>
      </c>
      <c r="AO15" s="5">
        <v>1.7528086633831954E-2</v>
      </c>
      <c r="AP15" s="5">
        <v>0.13909738029835181</v>
      </c>
      <c r="AQ15" s="5">
        <v>0</v>
      </c>
      <c r="AR15" s="5">
        <v>3.3543153345821086E-2</v>
      </c>
      <c r="AS15" s="5">
        <v>0.37134953019722622</v>
      </c>
      <c r="AU15" s="3" t="s">
        <v>117</v>
      </c>
      <c r="AV15" s="3" t="s">
        <v>106</v>
      </c>
      <c r="AW15" s="5">
        <v>0</v>
      </c>
      <c r="AX15" s="5">
        <v>0</v>
      </c>
      <c r="AY15" s="5">
        <v>0</v>
      </c>
      <c r="AZ15" s="5">
        <v>0</v>
      </c>
      <c r="BA15" s="4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4">
        <v>7.1945124170986205E-4</v>
      </c>
      <c r="BR15" s="3" t="s">
        <v>117</v>
      </c>
      <c r="BS15" s="5">
        <v>0</v>
      </c>
      <c r="BT15" s="5">
        <v>0.12729292107624099</v>
      </c>
      <c r="BU15" s="4">
        <v>6.1762200240569811E-4</v>
      </c>
      <c r="BV15" s="5">
        <v>5.4515513632798782E-3</v>
      </c>
      <c r="BW15" s="5">
        <v>0.34625243708370279</v>
      </c>
      <c r="BX15" s="5">
        <v>2.4157669599657795E-2</v>
      </c>
      <c r="BY15" s="5">
        <v>1.0502821531923178E-2</v>
      </c>
      <c r="BZ15" s="5">
        <v>0.37094301511262701</v>
      </c>
      <c r="CA15" s="5">
        <v>3.8839971698405917E-2</v>
      </c>
      <c r="CB15" s="4">
        <v>3.9652515653447652E-4</v>
      </c>
      <c r="CC15" s="5">
        <v>0.20421067396674591</v>
      </c>
      <c r="CD15" s="5">
        <v>3.2466181738678621E-3</v>
      </c>
      <c r="CF15" s="3" t="s">
        <v>117</v>
      </c>
      <c r="CG15" s="3" t="s">
        <v>112</v>
      </c>
      <c r="CH15" s="3" t="s">
        <v>113</v>
      </c>
      <c r="CI15" s="5">
        <v>0.34466653584631901</v>
      </c>
    </row>
    <row r="16" spans="1:87" x14ac:dyDescent="0.45">
      <c r="B16" s="6" t="s">
        <v>118</v>
      </c>
      <c r="C16" s="6" t="s">
        <v>103</v>
      </c>
      <c r="D16" s="8">
        <v>0</v>
      </c>
      <c r="E16" s="8">
        <v>0.48595177193202127</v>
      </c>
      <c r="F16" s="8">
        <v>0.98870721091647429</v>
      </c>
      <c r="G16" s="8">
        <v>0.84462243278509797</v>
      </c>
      <c r="H16" s="8">
        <v>0.2415172853261881</v>
      </c>
      <c r="I16" s="8">
        <v>0.72491179875157841</v>
      </c>
      <c r="J16" s="8">
        <v>0.74739745045507244</v>
      </c>
      <c r="K16" s="8">
        <v>0.19376590097671503</v>
      </c>
      <c r="L16" s="8">
        <v>0.62508493486743655</v>
      </c>
      <c r="M16" s="8">
        <v>0.96261630131997244</v>
      </c>
      <c r="N16" s="8">
        <v>0.33583378025257693</v>
      </c>
      <c r="O16" s="8">
        <v>0.92437686523791951</v>
      </c>
      <c r="Q16" s="6" t="s">
        <v>118</v>
      </c>
      <c r="R16" s="6" t="s">
        <v>104</v>
      </c>
      <c r="S16" s="8">
        <v>0</v>
      </c>
      <c r="T16" s="8">
        <v>0.2818713379908272</v>
      </c>
      <c r="U16" s="8">
        <v>6.4820187822514044E-2</v>
      </c>
      <c r="V16" s="8">
        <v>0.73484551301121093</v>
      </c>
      <c r="W16" s="8">
        <v>0.11872882698541298</v>
      </c>
      <c r="X16" s="8">
        <v>0.42657988985401962</v>
      </c>
      <c r="Y16" s="8">
        <v>0.6004108531870499</v>
      </c>
      <c r="Z16" s="8">
        <v>9.7473249369996712E-2</v>
      </c>
      <c r="AA16" s="8">
        <v>0.39146070848519843</v>
      </c>
      <c r="AB16" s="8">
        <v>0.92740739005612516</v>
      </c>
      <c r="AC16" s="8">
        <v>0.17913289459554504</v>
      </c>
      <c r="AD16" s="8">
        <v>0.41974381602914829</v>
      </c>
      <c r="AF16" s="6" t="s">
        <v>118</v>
      </c>
      <c r="AG16" s="6" t="s">
        <v>105</v>
      </c>
      <c r="AH16" s="8">
        <v>0</v>
      </c>
      <c r="AI16" s="8">
        <v>4.899612674593104E-2</v>
      </c>
      <c r="AJ16" s="8">
        <v>0.91290138741711058</v>
      </c>
      <c r="AK16" s="8">
        <v>0</v>
      </c>
      <c r="AL16" s="8">
        <v>2.1771247581767482E-2</v>
      </c>
      <c r="AM16" s="8">
        <v>0.15932665380735275</v>
      </c>
      <c r="AN16" s="8">
        <v>0</v>
      </c>
      <c r="AO16" s="8">
        <v>1.2586708156866664E-2</v>
      </c>
      <c r="AP16" s="8">
        <v>7.3533546811838907E-2</v>
      </c>
      <c r="AQ16" s="8">
        <v>0</v>
      </c>
      <c r="AR16" s="8">
        <v>2.7961348033317391E-2</v>
      </c>
      <c r="AS16" s="8">
        <v>0.44408019116486336</v>
      </c>
      <c r="AU16" s="6" t="s">
        <v>118</v>
      </c>
      <c r="AV16" s="6" t="s">
        <v>106</v>
      </c>
      <c r="AW16" s="8">
        <v>0</v>
      </c>
      <c r="AX16" s="8">
        <v>0</v>
      </c>
      <c r="AY16" s="8">
        <v>0</v>
      </c>
      <c r="AZ16" s="8">
        <v>0</v>
      </c>
      <c r="BA16" s="7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7">
        <v>0</v>
      </c>
      <c r="BR16" s="6" t="s">
        <v>118</v>
      </c>
      <c r="BS16" s="8">
        <v>0</v>
      </c>
      <c r="BT16" s="8">
        <v>0.13394385587218963</v>
      </c>
      <c r="BU16" s="7">
        <v>5.1665876701740665E-4</v>
      </c>
      <c r="BV16" s="8">
        <v>6.7816731096079835E-3</v>
      </c>
      <c r="BW16" s="8">
        <v>0.34977543435352648</v>
      </c>
      <c r="BX16" s="8">
        <v>2.1968537150278217E-2</v>
      </c>
      <c r="BY16" s="8">
        <v>1.1992001203417074E-2</v>
      </c>
      <c r="BZ16" s="8">
        <v>0.37718731488663865</v>
      </c>
      <c r="CA16" s="8">
        <v>3.6364791282944814E-2</v>
      </c>
      <c r="CB16" s="7">
        <v>4.8135982029777035E-4</v>
      </c>
      <c r="CC16" s="8">
        <v>0.2001841511329136</v>
      </c>
      <c r="CD16" s="8">
        <v>2.7097219630713761E-3</v>
      </c>
      <c r="CF16" s="6" t="s">
        <v>118</v>
      </c>
      <c r="CG16" s="6" t="s">
        <v>112</v>
      </c>
      <c r="CH16" s="6" t="s">
        <v>113</v>
      </c>
      <c r="CI16" s="8">
        <v>0.35483596236152037</v>
      </c>
    </row>
    <row r="17" spans="2:87" x14ac:dyDescent="0.45">
      <c r="B17" s="3" t="s">
        <v>119</v>
      </c>
      <c r="C17" s="3" t="s">
        <v>103</v>
      </c>
      <c r="D17" s="5">
        <v>0</v>
      </c>
      <c r="E17" s="5">
        <v>0.49948376656265225</v>
      </c>
      <c r="F17" s="5">
        <v>0.99074074074074059</v>
      </c>
      <c r="G17" s="5">
        <v>0.8373176107790149</v>
      </c>
      <c r="H17" s="5">
        <v>0.23240771707636323</v>
      </c>
      <c r="I17" s="5">
        <v>0.72209058463640508</v>
      </c>
      <c r="J17" s="5">
        <v>0.73810053637799555</v>
      </c>
      <c r="K17" s="5">
        <v>0.19854928981271069</v>
      </c>
      <c r="L17" s="5">
        <v>0.61665512148828305</v>
      </c>
      <c r="M17" s="5">
        <v>0.96134823778472944</v>
      </c>
      <c r="N17" s="5">
        <v>0.34207384507592803</v>
      </c>
      <c r="O17" s="5">
        <v>0.93096014381747993</v>
      </c>
      <c r="Q17" s="3" t="s">
        <v>119</v>
      </c>
      <c r="R17" s="3" t="s">
        <v>104</v>
      </c>
      <c r="S17" s="5">
        <v>0</v>
      </c>
      <c r="T17" s="5">
        <v>0.29236833967504428</v>
      </c>
      <c r="U17" s="5">
        <v>0</v>
      </c>
      <c r="V17" s="5">
        <v>0.72585412025530116</v>
      </c>
      <c r="W17" s="5">
        <v>0.11549558176848801</v>
      </c>
      <c r="X17" s="5">
        <v>0.47599099459936411</v>
      </c>
      <c r="Y17" s="5">
        <v>0.59423596548920876</v>
      </c>
      <c r="Z17" s="5">
        <v>9.7171724935394013E-2</v>
      </c>
      <c r="AA17" s="5">
        <v>0.33645789403028364</v>
      </c>
      <c r="AB17" s="5">
        <v>0.9257429412777235</v>
      </c>
      <c r="AC17" s="5">
        <v>0.18845697526081692</v>
      </c>
      <c r="AD17" s="5">
        <v>0.40190097907122935</v>
      </c>
      <c r="AF17" s="3" t="s">
        <v>119</v>
      </c>
      <c r="AG17" s="3" t="s">
        <v>105</v>
      </c>
      <c r="AH17" s="5">
        <v>0</v>
      </c>
      <c r="AI17" s="5">
        <v>5.0789929796924357E-2</v>
      </c>
      <c r="AJ17" s="5">
        <v>0.98156721536351166</v>
      </c>
      <c r="AK17" s="5">
        <v>0</v>
      </c>
      <c r="AL17" s="5">
        <v>2.0499805039945789E-2</v>
      </c>
      <c r="AM17" s="5">
        <v>8.4293613867204117E-2</v>
      </c>
      <c r="AN17" s="5">
        <v>0</v>
      </c>
      <c r="AO17" s="5">
        <v>2.084908252517842E-2</v>
      </c>
      <c r="AP17" s="5">
        <v>0.11799224115689108</v>
      </c>
      <c r="AQ17" s="5">
        <v>0</v>
      </c>
      <c r="AR17" s="5">
        <v>3.0501034698300278E-2</v>
      </c>
      <c r="AS17" s="5">
        <v>0.47345523797071748</v>
      </c>
      <c r="AU17" s="3" t="s">
        <v>119</v>
      </c>
      <c r="AV17" s="3" t="s">
        <v>106</v>
      </c>
      <c r="AW17" s="5">
        <v>0</v>
      </c>
      <c r="AX17" s="5">
        <v>0</v>
      </c>
      <c r="AY17" s="5">
        <v>0</v>
      </c>
      <c r="AZ17" s="5">
        <v>0</v>
      </c>
      <c r="BA17" s="4">
        <v>1.6313853032610079E-5</v>
      </c>
      <c r="BB17" s="5">
        <v>1.8767369495990772E-2</v>
      </c>
      <c r="BC17" s="5">
        <v>0</v>
      </c>
      <c r="BD17" s="5">
        <v>0</v>
      </c>
      <c r="BE17" s="5">
        <v>3.4735252933081827E-3</v>
      </c>
      <c r="BF17" s="5">
        <v>0</v>
      </c>
      <c r="BG17" s="5">
        <v>0</v>
      </c>
      <c r="BH17" s="4">
        <v>3.0995761125293556E-4</v>
      </c>
      <c r="BR17" s="3" t="s">
        <v>119</v>
      </c>
      <c r="BS17" s="5">
        <v>0</v>
      </c>
      <c r="BT17" s="5">
        <v>0.12179058424910853</v>
      </c>
      <c r="BU17" s="4">
        <v>2.2487334783184891E-4</v>
      </c>
      <c r="BV17" s="5">
        <v>7.3545650880146515E-3</v>
      </c>
      <c r="BW17" s="5">
        <v>0.31955635426983903</v>
      </c>
      <c r="BX17" s="5">
        <v>1.9990268444394242E-2</v>
      </c>
      <c r="BY17" s="5">
        <v>1.2630449189501822E-2</v>
      </c>
      <c r="BZ17" s="5">
        <v>0.32947186572702181</v>
      </c>
      <c r="CA17" s="5">
        <v>3.3739660333953439E-2</v>
      </c>
      <c r="CB17" s="4">
        <v>5.2864835988356809E-4</v>
      </c>
      <c r="CC17" s="5">
        <v>0.17789419776951115</v>
      </c>
      <c r="CD17" s="5">
        <v>2.3333444474507399E-3</v>
      </c>
      <c r="CF17" s="3" t="s">
        <v>119</v>
      </c>
      <c r="CG17" s="3" t="s">
        <v>112</v>
      </c>
      <c r="CH17" s="3" t="s">
        <v>113</v>
      </c>
      <c r="CI17" s="5">
        <v>0.31912179649780315</v>
      </c>
    </row>
    <row r="18" spans="2:87" x14ac:dyDescent="0.45">
      <c r="B18" s="6" t="s">
        <v>120</v>
      </c>
      <c r="C18" s="6" t="s">
        <v>103</v>
      </c>
      <c r="D18" s="8">
        <v>0</v>
      </c>
      <c r="E18" s="8">
        <v>0.49054599470327648</v>
      </c>
      <c r="F18" s="8">
        <v>0.97777777777777775</v>
      </c>
      <c r="G18" s="8">
        <v>0.86146439908245254</v>
      </c>
      <c r="H18" s="8">
        <v>0.25113155680771732</v>
      </c>
      <c r="I18" s="8">
        <v>0.70669989056910609</v>
      </c>
      <c r="J18" s="8">
        <v>0.76333054214433749</v>
      </c>
      <c r="K18" s="8">
        <v>0.2097079472105296</v>
      </c>
      <c r="L18" s="8">
        <v>0.61577105508132901</v>
      </c>
      <c r="M18" s="8">
        <v>0.9676706192603205</v>
      </c>
      <c r="N18" s="8">
        <v>0.34757175842616878</v>
      </c>
      <c r="O18" s="8">
        <v>0.91398791705585902</v>
      </c>
      <c r="Q18" s="6" t="s">
        <v>120</v>
      </c>
      <c r="R18" s="6" t="s">
        <v>104</v>
      </c>
      <c r="S18" s="8">
        <v>0</v>
      </c>
      <c r="T18" s="8">
        <v>0.29176032092420212</v>
      </c>
      <c r="U18" s="8">
        <v>0.17450984897131289</v>
      </c>
      <c r="V18" s="8">
        <v>0.76053745053269906</v>
      </c>
      <c r="W18" s="8">
        <v>0.12658401050186202</v>
      </c>
      <c r="X18" s="8">
        <v>0.38379796475764244</v>
      </c>
      <c r="Y18" s="8">
        <v>0.61935210029867083</v>
      </c>
      <c r="Z18" s="8">
        <v>0.10185845263659159</v>
      </c>
      <c r="AA18" s="8">
        <v>0.26656796662653803</v>
      </c>
      <c r="AB18" s="8">
        <v>0.93912170408647322</v>
      </c>
      <c r="AC18" s="8">
        <v>0.18804245360463151</v>
      </c>
      <c r="AD18" s="8">
        <v>0.4722709787569887</v>
      </c>
      <c r="AF18" s="6" t="s">
        <v>120</v>
      </c>
      <c r="AG18" s="6" t="s">
        <v>105</v>
      </c>
      <c r="AH18" s="8">
        <v>0</v>
      </c>
      <c r="AI18" s="8">
        <v>3.9480350128812902E-2</v>
      </c>
      <c r="AJ18" s="8">
        <v>0.78153953374473673</v>
      </c>
      <c r="AK18" s="8">
        <v>0</v>
      </c>
      <c r="AL18" s="8">
        <v>2.1489593248226482E-2</v>
      </c>
      <c r="AM18" s="8">
        <v>0.17128837900499599</v>
      </c>
      <c r="AN18" s="8">
        <v>0</v>
      </c>
      <c r="AO18" s="8">
        <v>2.2273214627371758E-2</v>
      </c>
      <c r="AP18" s="8">
        <v>0.18324384334839408</v>
      </c>
      <c r="AQ18" s="8">
        <v>0</v>
      </c>
      <c r="AR18" s="8">
        <v>3.1217432350790792E-2</v>
      </c>
      <c r="AS18" s="8">
        <v>0.37371158539538613</v>
      </c>
      <c r="AU18" s="6" t="s">
        <v>120</v>
      </c>
      <c r="AV18" s="6" t="s">
        <v>106</v>
      </c>
      <c r="AW18" s="8">
        <v>0</v>
      </c>
      <c r="AX18" s="8">
        <v>0</v>
      </c>
      <c r="AY18" s="8">
        <v>0</v>
      </c>
      <c r="AZ18" s="8">
        <v>0</v>
      </c>
      <c r="BA18" s="7">
        <v>0</v>
      </c>
      <c r="BB18" s="8">
        <v>2.8110931828440699E-3</v>
      </c>
      <c r="BC18" s="8">
        <v>0</v>
      </c>
      <c r="BD18" s="8">
        <v>0</v>
      </c>
      <c r="BE18" s="8">
        <v>2.3986200518534336E-3</v>
      </c>
      <c r="BF18" s="8">
        <v>0</v>
      </c>
      <c r="BG18" s="8">
        <v>0</v>
      </c>
      <c r="BH18" s="7">
        <v>2.8074769742002879E-3</v>
      </c>
      <c r="BR18" s="6" t="s">
        <v>120</v>
      </c>
      <c r="BS18" s="8">
        <v>0</v>
      </c>
      <c r="BT18" s="8">
        <v>0.12557039275692583</v>
      </c>
      <c r="BU18" s="7">
        <v>7.7025464110641194E-4</v>
      </c>
      <c r="BV18" s="8">
        <v>4.6328831026627203E-3</v>
      </c>
      <c r="BW18" s="8">
        <v>0.32130391520883106</v>
      </c>
      <c r="BX18" s="8">
        <v>2.4120009919746978E-2</v>
      </c>
      <c r="BY18" s="8">
        <v>9.4348788910530983E-3</v>
      </c>
      <c r="BZ18" s="8">
        <v>0.33858295949635331</v>
      </c>
      <c r="CA18" s="8">
        <v>3.717126649644785E-2</v>
      </c>
      <c r="CB18" s="7">
        <v>3.1450384495908522E-4</v>
      </c>
      <c r="CC18" s="8">
        <v>0.19363785049496773</v>
      </c>
      <c r="CD18" s="8">
        <v>3.3426714902197413E-3</v>
      </c>
      <c r="CF18" s="6" t="s">
        <v>120</v>
      </c>
      <c r="CG18" s="6" t="s">
        <v>112</v>
      </c>
      <c r="CH18" s="6" t="s">
        <v>113</v>
      </c>
      <c r="CI18" s="8">
        <v>0.32099473534738127</v>
      </c>
    </row>
    <row r="19" spans="2:87" x14ac:dyDescent="0.45">
      <c r="B19" s="3" t="s">
        <v>121</v>
      </c>
      <c r="C19" s="3" t="s">
        <v>103</v>
      </c>
      <c r="D19" s="5">
        <v>0</v>
      </c>
      <c r="E19" s="5">
        <v>0.41898622177136247</v>
      </c>
      <c r="F19" s="5">
        <v>0</v>
      </c>
      <c r="G19" s="5">
        <v>0.81802543081301404</v>
      </c>
      <c r="H19" s="5">
        <v>0.22144813083151738</v>
      </c>
      <c r="I19" s="5">
        <v>0.76760106536586203</v>
      </c>
      <c r="J19" s="5">
        <v>0.72565080081047084</v>
      </c>
      <c r="K19" s="5">
        <v>0.17832181141948647</v>
      </c>
      <c r="L19" s="5">
        <v>0.66259461072991332</v>
      </c>
      <c r="M19" s="5">
        <v>0.9328338519304914</v>
      </c>
      <c r="N19" s="5">
        <v>0.32845940500777104</v>
      </c>
      <c r="O19" s="5">
        <v>0.94875071977221548</v>
      </c>
      <c r="Q19" s="3" t="s">
        <v>121</v>
      </c>
      <c r="R19" s="3" t="s">
        <v>104</v>
      </c>
      <c r="S19" s="5">
        <v>0</v>
      </c>
      <c r="T19" s="5">
        <v>0.2525997894416106</v>
      </c>
      <c r="U19" s="5">
        <v>0</v>
      </c>
      <c r="V19" s="5">
        <v>0.69986823200811998</v>
      </c>
      <c r="W19" s="5">
        <v>0.11172504996203476</v>
      </c>
      <c r="X19" s="5">
        <v>0.62972187949228886</v>
      </c>
      <c r="Y19" s="5">
        <v>0.57885517450761093</v>
      </c>
      <c r="Z19" s="5">
        <v>9.2413380965661387E-2</v>
      </c>
      <c r="AA19" s="5">
        <v>0.50352242690418225</v>
      </c>
      <c r="AB19" s="5">
        <v>0.87789662874226615</v>
      </c>
      <c r="AC19" s="5">
        <v>0.16583732587866629</v>
      </c>
      <c r="AD19" s="5">
        <v>0.90334887359803406</v>
      </c>
      <c r="AF19" s="3" t="s">
        <v>121</v>
      </c>
      <c r="AG19" s="3" t="s">
        <v>105</v>
      </c>
      <c r="AH19" s="5">
        <v>0</v>
      </c>
      <c r="AI19" s="5">
        <v>1.8795896178265541E-2</v>
      </c>
      <c r="AJ19" s="5">
        <v>0</v>
      </c>
      <c r="AK19" s="5">
        <v>0</v>
      </c>
      <c r="AL19" s="5">
        <v>1.9075067585718142E-2</v>
      </c>
      <c r="AM19" s="5">
        <v>0</v>
      </c>
      <c r="AN19" s="5">
        <v>0</v>
      </c>
      <c r="AO19" s="5">
        <v>9.1120327262639647E-3</v>
      </c>
      <c r="AP19" s="5">
        <v>0</v>
      </c>
      <c r="AQ19" s="5">
        <v>0</v>
      </c>
      <c r="AR19" s="5">
        <v>3.5145265921924157E-2</v>
      </c>
      <c r="AS19" s="5">
        <v>0</v>
      </c>
      <c r="AU19" s="3" t="s">
        <v>121</v>
      </c>
      <c r="AV19" s="3" t="s">
        <v>106</v>
      </c>
      <c r="AW19" s="5">
        <v>0</v>
      </c>
      <c r="AX19" s="5">
        <v>0</v>
      </c>
      <c r="AY19" s="5">
        <v>0</v>
      </c>
      <c r="AZ19" s="5">
        <v>0</v>
      </c>
      <c r="BA19" s="4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4">
        <v>0</v>
      </c>
      <c r="BR19" s="3" t="s">
        <v>121</v>
      </c>
      <c r="BS19" s="5">
        <v>0</v>
      </c>
      <c r="BT19" s="5">
        <v>0.15106121570755723</v>
      </c>
      <c r="BU19" s="4">
        <v>0</v>
      </c>
      <c r="BV19" s="5">
        <v>1.1514209478852093E-2</v>
      </c>
      <c r="BW19" s="5">
        <v>0.36967124857807337</v>
      </c>
      <c r="BX19" s="5">
        <v>1.2272356756751045E-2</v>
      </c>
      <c r="BY19" s="5">
        <v>1.8415135649720464E-2</v>
      </c>
      <c r="BZ19" s="5">
        <v>0.41537234617187985</v>
      </c>
      <c r="CA19" s="5">
        <v>2.3798193293480752E-2</v>
      </c>
      <c r="CB19" s="4">
        <v>2.2841350682305376E-3</v>
      </c>
      <c r="CC19" s="5">
        <v>0.23220415794438892</v>
      </c>
      <c r="CD19" s="5">
        <v>1.1778217538291409E-3</v>
      </c>
      <c r="CF19" s="3" t="s">
        <v>121</v>
      </c>
      <c r="CG19" s="3" t="s">
        <v>112</v>
      </c>
      <c r="CH19" s="3" t="s">
        <v>113</v>
      </c>
      <c r="CI19" s="5">
        <v>0.37459807062312372</v>
      </c>
    </row>
    <row r="20" spans="2:87" x14ac:dyDescent="0.45">
      <c r="B20" s="6" t="s">
        <v>122</v>
      </c>
      <c r="C20" s="6" t="s">
        <v>103</v>
      </c>
      <c r="D20" s="8">
        <v>0</v>
      </c>
      <c r="E20" s="8">
        <v>0.50981301693081482</v>
      </c>
      <c r="F20" s="8">
        <v>0.98729777007987574</v>
      </c>
      <c r="G20" s="8">
        <v>0.84134996030172804</v>
      </c>
      <c r="H20" s="8">
        <v>0.22837147028052349</v>
      </c>
      <c r="I20" s="8">
        <v>0.70800351291794283</v>
      </c>
      <c r="J20" s="8">
        <v>0.74241846171543358</v>
      </c>
      <c r="K20" s="8">
        <v>0.19233500709289286</v>
      </c>
      <c r="L20" s="8">
        <v>0.60393189151275173</v>
      </c>
      <c r="M20" s="8">
        <v>0.96440407032959452</v>
      </c>
      <c r="N20" s="8">
        <v>0.34184677953566694</v>
      </c>
      <c r="O20" s="8">
        <v>0.9216555720773707</v>
      </c>
      <c r="Q20" s="6" t="s">
        <v>122</v>
      </c>
      <c r="R20" s="6" t="s">
        <v>104</v>
      </c>
      <c r="S20" s="8">
        <v>0</v>
      </c>
      <c r="T20" s="8">
        <v>0.30464223637530025</v>
      </c>
      <c r="U20" s="8">
        <v>0.17629820526740453</v>
      </c>
      <c r="V20" s="8">
        <v>0.73323261847430798</v>
      </c>
      <c r="W20" s="8">
        <v>0.11530556395964679</v>
      </c>
      <c r="X20" s="8">
        <v>0.46415543032457385</v>
      </c>
      <c r="Y20" s="8">
        <v>0.59955789341738863</v>
      </c>
      <c r="Z20" s="8">
        <v>9.378766081501709E-2</v>
      </c>
      <c r="AA20" s="8">
        <v>0.30175763548906204</v>
      </c>
      <c r="AB20" s="8">
        <v>0.93333923145032205</v>
      </c>
      <c r="AC20" s="8">
        <v>0.1781419619656322</v>
      </c>
      <c r="AD20" s="8">
        <v>0.38257343494555202</v>
      </c>
      <c r="AF20" s="6" t="s">
        <v>122</v>
      </c>
      <c r="AG20" s="6" t="s">
        <v>105</v>
      </c>
      <c r="AH20" s="8">
        <v>0</v>
      </c>
      <c r="AI20" s="8">
        <v>5.3404437944669508E-2</v>
      </c>
      <c r="AJ20" s="8">
        <v>0.80002958958936143</v>
      </c>
      <c r="AK20" s="8">
        <v>0</v>
      </c>
      <c r="AL20" s="8">
        <v>1.6307117374689394E-2</v>
      </c>
      <c r="AM20" s="8">
        <v>9.8679029022705367E-2</v>
      </c>
      <c r="AN20" s="8">
        <v>0</v>
      </c>
      <c r="AO20" s="8">
        <v>1.8818053138694831E-2</v>
      </c>
      <c r="AP20" s="8">
        <v>0.14103101145687669</v>
      </c>
      <c r="AQ20" s="8">
        <v>0</v>
      </c>
      <c r="AR20" s="8">
        <v>4.4339495698578764E-2</v>
      </c>
      <c r="AS20" s="8">
        <v>0.47543067594909</v>
      </c>
      <c r="AU20" s="6" t="s">
        <v>122</v>
      </c>
      <c r="AV20" s="6" t="s">
        <v>106</v>
      </c>
      <c r="AW20" s="8">
        <v>0</v>
      </c>
      <c r="AX20" s="8">
        <v>0</v>
      </c>
      <c r="AY20" s="8">
        <v>0</v>
      </c>
      <c r="AZ20" s="8">
        <v>0</v>
      </c>
      <c r="BA20" s="7">
        <v>0</v>
      </c>
      <c r="BB20" s="8">
        <v>0</v>
      </c>
      <c r="BC20" s="8">
        <v>0</v>
      </c>
      <c r="BD20" s="8">
        <v>0</v>
      </c>
      <c r="BE20" s="8">
        <v>1.1642131031611379E-3</v>
      </c>
      <c r="BF20" s="8">
        <v>0</v>
      </c>
      <c r="BG20" s="8">
        <v>0</v>
      </c>
      <c r="BH20" s="7">
        <v>1.2552649774617908E-3</v>
      </c>
      <c r="BR20" s="6" t="s">
        <v>122</v>
      </c>
      <c r="BS20" s="8">
        <v>0</v>
      </c>
      <c r="BT20" s="8">
        <v>0.1078591494095886</v>
      </c>
      <c r="BU20" s="7">
        <v>3.8182428354578739E-4</v>
      </c>
      <c r="BV20" s="8">
        <v>6.0784518650906895E-3</v>
      </c>
      <c r="BW20" s="8">
        <v>0.33889645137668173</v>
      </c>
      <c r="BX20" s="8">
        <v>2.2111170765120057E-2</v>
      </c>
      <c r="BY20" s="8">
        <v>1.0651284100471267E-2</v>
      </c>
      <c r="BZ20" s="8">
        <v>0.33337575806244268</v>
      </c>
      <c r="CA20" s="8">
        <v>3.7178730049269151E-2</v>
      </c>
      <c r="CB20" s="7">
        <v>3.7397326123010362E-4</v>
      </c>
      <c r="CC20" s="8">
        <v>0.17386748278774883</v>
      </c>
      <c r="CD20" s="8">
        <v>2.5619128127020189E-3</v>
      </c>
      <c r="CF20" s="6" t="s">
        <v>122</v>
      </c>
      <c r="CG20" s="6" t="s">
        <v>112</v>
      </c>
      <c r="CH20" s="6" t="s">
        <v>113</v>
      </c>
      <c r="CI20" s="8">
        <v>0.33240773351488162</v>
      </c>
    </row>
    <row r="21" spans="2:87" x14ac:dyDescent="0.45">
      <c r="B21" s="3" t="s">
        <v>123</v>
      </c>
      <c r="C21" s="3" t="s">
        <v>103</v>
      </c>
      <c r="D21" s="5">
        <v>0</v>
      </c>
      <c r="E21" s="5">
        <v>0.43321048868748141</v>
      </c>
      <c r="F21" s="5">
        <v>0.99814814814814823</v>
      </c>
      <c r="G21" s="5">
        <v>0.83597186468586326</v>
      </c>
      <c r="H21" s="5">
        <v>0.23572052317149048</v>
      </c>
      <c r="I21" s="5">
        <v>0.76007822963738925</v>
      </c>
      <c r="J21" s="5">
        <v>0.74732639788309074</v>
      </c>
      <c r="K21" s="5">
        <v>0.1953648057891807</v>
      </c>
      <c r="L21" s="5">
        <v>0.65890568657855653</v>
      </c>
      <c r="M21" s="5">
        <v>0.94316030994745026</v>
      </c>
      <c r="N21" s="5">
        <v>0.35416233087175159</v>
      </c>
      <c r="O21" s="5">
        <v>0.94266513104047078</v>
      </c>
      <c r="Q21" s="3" t="s">
        <v>123</v>
      </c>
      <c r="R21" s="3" t="s">
        <v>104</v>
      </c>
      <c r="S21" s="5">
        <v>0</v>
      </c>
      <c r="T21" s="5">
        <v>0.26090725584040253</v>
      </c>
      <c r="U21" s="5">
        <v>0.99629972565157754</v>
      </c>
      <c r="V21" s="5">
        <v>0.72512601671456633</v>
      </c>
      <c r="W21" s="5">
        <v>0.10273056074912056</v>
      </c>
      <c r="X21" s="5">
        <v>0.58060289963336265</v>
      </c>
      <c r="Y21" s="5">
        <v>0.60386492106854028</v>
      </c>
      <c r="Z21" s="5">
        <v>9.874308459234557E-2</v>
      </c>
      <c r="AA21" s="5">
        <v>0.51039041048514455</v>
      </c>
      <c r="AB21" s="5">
        <v>0.89267257920168008</v>
      </c>
      <c r="AC21" s="5">
        <v>0.18854051406192446</v>
      </c>
      <c r="AD21" s="5">
        <v>0.722578716147938</v>
      </c>
      <c r="AF21" s="3" t="s">
        <v>123</v>
      </c>
      <c r="AG21" s="3" t="s">
        <v>105</v>
      </c>
      <c r="AH21" s="5">
        <v>0</v>
      </c>
      <c r="AI21" s="5">
        <v>2.840242273423977E-2</v>
      </c>
      <c r="AJ21" s="5">
        <v>0</v>
      </c>
      <c r="AK21" s="5">
        <v>0</v>
      </c>
      <c r="AL21" s="5">
        <v>4.3132048956997182E-2</v>
      </c>
      <c r="AM21" s="5">
        <v>0</v>
      </c>
      <c r="AN21" s="5">
        <v>0</v>
      </c>
      <c r="AO21" s="5">
        <v>1.301381538956597E-2</v>
      </c>
      <c r="AP21" s="5">
        <v>0</v>
      </c>
      <c r="AQ21" s="5">
        <v>0</v>
      </c>
      <c r="AR21" s="5">
        <v>3.6096326458766821E-2</v>
      </c>
      <c r="AS21" s="5">
        <v>0.17035956350854897</v>
      </c>
      <c r="AU21" s="3" t="s">
        <v>123</v>
      </c>
      <c r="AV21" s="3" t="s">
        <v>106</v>
      </c>
      <c r="AW21" s="5">
        <v>0</v>
      </c>
      <c r="AX21" s="5">
        <v>0</v>
      </c>
      <c r="AY21" s="5">
        <v>0</v>
      </c>
      <c r="AZ21" s="5">
        <v>0</v>
      </c>
      <c r="BA21" s="4">
        <v>0</v>
      </c>
      <c r="BB21" s="5">
        <v>3.7414810019755461E-2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4">
        <v>0</v>
      </c>
      <c r="BR21" s="3" t="s">
        <v>123</v>
      </c>
      <c r="BS21" s="5">
        <v>0</v>
      </c>
      <c r="BT21" s="5">
        <v>0.14716078359415058</v>
      </c>
      <c r="BU21" s="4">
        <v>1.3704261113313661E-5</v>
      </c>
      <c r="BV21" s="5">
        <v>9.2187373808528521E-3</v>
      </c>
      <c r="BW21" s="5">
        <v>0.32711731794888066</v>
      </c>
      <c r="BX21" s="5">
        <v>1.3406786627166987E-2</v>
      </c>
      <c r="BY21" s="5">
        <v>1.539351143443396E-2</v>
      </c>
      <c r="BZ21" s="5">
        <v>0.39458785330921559</v>
      </c>
      <c r="CA21" s="5">
        <v>2.6216909919862717E-2</v>
      </c>
      <c r="CB21" s="4">
        <v>1.6357617848968701E-3</v>
      </c>
      <c r="CC21" s="5">
        <v>0.21341137125878348</v>
      </c>
      <c r="CD21" s="5">
        <v>1.6823579067304474E-3</v>
      </c>
      <c r="CF21" s="3" t="s">
        <v>123</v>
      </c>
      <c r="CG21" s="3" t="s">
        <v>112</v>
      </c>
      <c r="CH21" s="3" t="s">
        <v>113</v>
      </c>
      <c r="CI21" s="5">
        <v>0.38771009508512172</v>
      </c>
    </row>
    <row r="22" spans="2:87" x14ac:dyDescent="0.45">
      <c r="B22" s="6" t="s">
        <v>124</v>
      </c>
      <c r="C22" s="6" t="s">
        <v>103</v>
      </c>
      <c r="D22" s="8">
        <v>0</v>
      </c>
      <c r="E22" s="8">
        <v>0.41931562075022427</v>
      </c>
      <c r="F22" s="8">
        <v>0.97905768616952105</v>
      </c>
      <c r="G22" s="8">
        <v>0.85224255848608022</v>
      </c>
      <c r="H22" s="8">
        <v>0.22158660052441484</v>
      </c>
      <c r="I22" s="8">
        <v>0.73497238679648869</v>
      </c>
      <c r="J22" s="8">
        <v>0.77173046221651931</v>
      </c>
      <c r="K22" s="8">
        <v>0.18151322528394745</v>
      </c>
      <c r="L22" s="8">
        <v>0.64407131735946266</v>
      </c>
      <c r="M22" s="8">
        <v>0.95705596330187526</v>
      </c>
      <c r="N22" s="8">
        <v>0.32206102763627442</v>
      </c>
      <c r="O22" s="8">
        <v>0.92058704976599037</v>
      </c>
      <c r="Q22" s="6" t="s">
        <v>124</v>
      </c>
      <c r="R22" s="6" t="s">
        <v>104</v>
      </c>
      <c r="S22" s="8">
        <v>0</v>
      </c>
      <c r="T22" s="8">
        <v>0.23929246749878566</v>
      </c>
      <c r="U22" s="8">
        <v>0.78039491165771635</v>
      </c>
      <c r="V22" s="8">
        <v>0.742254468263853</v>
      </c>
      <c r="W22" s="8">
        <v>0.10980495143811456</v>
      </c>
      <c r="X22" s="8">
        <v>0.46626620239374755</v>
      </c>
      <c r="Y22" s="8">
        <v>0.62028621221852231</v>
      </c>
      <c r="Z22" s="8">
        <v>9.2503524555589564E-2</v>
      </c>
      <c r="AA22" s="8">
        <v>0.48608400693962484</v>
      </c>
      <c r="AB22" s="8">
        <v>0.91762154437543708</v>
      </c>
      <c r="AC22" s="8">
        <v>0.17226063987584395</v>
      </c>
      <c r="AD22" s="8">
        <v>0.48112355498508474</v>
      </c>
      <c r="AF22" s="6" t="s">
        <v>124</v>
      </c>
      <c r="AG22" s="6" t="s">
        <v>105</v>
      </c>
      <c r="AH22" s="8">
        <v>0</v>
      </c>
      <c r="AI22" s="8">
        <v>3.1255265557998194E-2</v>
      </c>
      <c r="AJ22" s="8">
        <v>0.17871900683057365</v>
      </c>
      <c r="AK22" s="8">
        <v>0</v>
      </c>
      <c r="AL22" s="8">
        <v>2.0924812978669816E-2</v>
      </c>
      <c r="AM22" s="8">
        <v>0.12332854651769404</v>
      </c>
      <c r="AN22" s="8">
        <v>0</v>
      </c>
      <c r="AO22" s="8">
        <v>9.3164431215043003E-3</v>
      </c>
      <c r="AP22" s="8">
        <v>0</v>
      </c>
      <c r="AQ22" s="8">
        <v>0</v>
      </c>
      <c r="AR22" s="8">
        <v>2.4980863444697601E-2</v>
      </c>
      <c r="AS22" s="8">
        <v>0.37531958522676678</v>
      </c>
      <c r="AU22" s="6" t="s">
        <v>124</v>
      </c>
      <c r="AV22" s="6" t="s">
        <v>106</v>
      </c>
      <c r="AW22" s="8">
        <v>0</v>
      </c>
      <c r="AX22" s="8">
        <v>0</v>
      </c>
      <c r="AY22" s="8">
        <v>0</v>
      </c>
      <c r="AZ22" s="8">
        <v>0</v>
      </c>
      <c r="BA22" s="7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7">
        <v>0</v>
      </c>
      <c r="BR22" s="6" t="s">
        <v>124</v>
      </c>
      <c r="BS22" s="8">
        <v>0</v>
      </c>
      <c r="BT22" s="8">
        <v>0.15937360106461956</v>
      </c>
      <c r="BU22" s="7">
        <v>2.7611160703496824E-4</v>
      </c>
      <c r="BV22" s="8">
        <v>6.8043853105085412E-3</v>
      </c>
      <c r="BW22" s="8">
        <v>0.36856487628643375</v>
      </c>
      <c r="BX22" s="8">
        <v>2.0060471961725158E-2</v>
      </c>
      <c r="BY22" s="8">
        <v>1.1284421745057808E-2</v>
      </c>
      <c r="BZ22" s="8">
        <v>0.42936829370352886</v>
      </c>
      <c r="CA22" s="8">
        <v>3.4776501242301743E-2</v>
      </c>
      <c r="CB22" s="7">
        <v>6.4234526896787012E-4</v>
      </c>
      <c r="CC22" s="8">
        <v>0.23171229405986857</v>
      </c>
      <c r="CD22" s="8">
        <v>3.1157204765447362E-3</v>
      </c>
      <c r="CF22" s="6" t="s">
        <v>124</v>
      </c>
      <c r="CG22" s="6" t="s">
        <v>112</v>
      </c>
      <c r="CH22" s="6" t="s">
        <v>113</v>
      </c>
      <c r="CI22" s="8">
        <v>0.37702850792865783</v>
      </c>
    </row>
    <row r="23" spans="2:87" x14ac:dyDescent="0.45">
      <c r="B23" s="3" t="s">
        <v>125</v>
      </c>
      <c r="C23" s="3" t="s">
        <v>103</v>
      </c>
      <c r="D23" s="5">
        <v>0</v>
      </c>
      <c r="E23" s="5">
        <v>0.4474065879185764</v>
      </c>
      <c r="F23" s="5">
        <v>0.98518344009541825</v>
      </c>
      <c r="G23" s="5">
        <v>0.84186995849317214</v>
      </c>
      <c r="H23" s="5">
        <v>0.22686756308534922</v>
      </c>
      <c r="I23" s="5">
        <v>0.73792271734086279</v>
      </c>
      <c r="J23" s="5">
        <v>0.75499290429189225</v>
      </c>
      <c r="K23" s="5">
        <v>0.1869579092777674</v>
      </c>
      <c r="L23" s="5">
        <v>0.63937475690311951</v>
      </c>
      <c r="M23" s="5">
        <v>0.95795537602634495</v>
      </c>
      <c r="N23" s="5">
        <v>0.33477290485732875</v>
      </c>
      <c r="O23" s="5">
        <v>0.92416987632194014</v>
      </c>
      <c r="Q23" s="3" t="s">
        <v>125</v>
      </c>
      <c r="R23" s="3" t="s">
        <v>104</v>
      </c>
      <c r="S23" s="5">
        <v>0</v>
      </c>
      <c r="T23" s="5">
        <v>0.25489454983750531</v>
      </c>
      <c r="U23" s="5">
        <v>0.29836607843458957</v>
      </c>
      <c r="V23" s="5">
        <v>0.72841449355466781</v>
      </c>
      <c r="W23" s="5">
        <v>0.11239485997074279</v>
      </c>
      <c r="X23" s="5">
        <v>0.51323001275333335</v>
      </c>
      <c r="Y23" s="5">
        <v>0.60815123825998796</v>
      </c>
      <c r="Z23" s="5">
        <v>9.5804842488938419E-2</v>
      </c>
      <c r="AA23" s="5">
        <v>0.45749827303074825</v>
      </c>
      <c r="AB23" s="5">
        <v>0.91847919294833635</v>
      </c>
      <c r="AC23" s="5">
        <v>0.18077986072323154</v>
      </c>
      <c r="AD23" s="5">
        <v>0.53541753812183712</v>
      </c>
      <c r="AF23" s="3" t="s">
        <v>125</v>
      </c>
      <c r="AG23" s="3" t="s">
        <v>105</v>
      </c>
      <c r="AH23" s="5">
        <v>0</v>
      </c>
      <c r="AI23" s="5">
        <v>4.4755529747046344E-2</v>
      </c>
      <c r="AJ23" s="5">
        <v>0.67390956438291461</v>
      </c>
      <c r="AK23" s="5">
        <v>0</v>
      </c>
      <c r="AL23" s="5">
        <v>2.172422672515488E-2</v>
      </c>
      <c r="AM23" s="5">
        <v>8.220105738838214E-2</v>
      </c>
      <c r="AN23" s="5">
        <v>0</v>
      </c>
      <c r="AO23" s="5">
        <v>1.2684582241855891E-2</v>
      </c>
      <c r="AP23" s="5">
        <v>2.7962521834519617E-2</v>
      </c>
      <c r="AQ23" s="5">
        <v>0</v>
      </c>
      <c r="AR23" s="5">
        <v>2.3779707156939906E-2</v>
      </c>
      <c r="AS23" s="5">
        <v>0.3307053450153094</v>
      </c>
      <c r="AU23" s="3" t="s">
        <v>125</v>
      </c>
      <c r="AV23" s="3" t="s">
        <v>106</v>
      </c>
      <c r="AW23" s="5">
        <v>0</v>
      </c>
      <c r="AX23" s="5">
        <v>0</v>
      </c>
      <c r="AY23" s="5">
        <v>0</v>
      </c>
      <c r="AZ23" s="5">
        <v>0</v>
      </c>
      <c r="BA23" s="4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4">
        <v>1.1120072504340688E-3</v>
      </c>
      <c r="BR23" s="3" t="s">
        <v>125</v>
      </c>
      <c r="BS23" s="5">
        <v>0</v>
      </c>
      <c r="BT23" s="5">
        <v>0.13876695779875453</v>
      </c>
      <c r="BU23" s="4">
        <v>2.9799349887737775E-4</v>
      </c>
      <c r="BV23" s="5">
        <v>7.3645629297939916E-3</v>
      </c>
      <c r="BW23" s="5">
        <v>0.34311256659093203</v>
      </c>
      <c r="BX23" s="5">
        <v>1.9059001126679204E-2</v>
      </c>
      <c r="BY23" s="5">
        <v>1.2482576667477471E-2</v>
      </c>
      <c r="BZ23" s="5">
        <v>0.3795306203388108</v>
      </c>
      <c r="CA23" s="5">
        <v>3.2248739805312752E-2</v>
      </c>
      <c r="CB23" s="4">
        <v>7.0056125871423454E-4</v>
      </c>
      <c r="CC23" s="5">
        <v>0.20040749030851557</v>
      </c>
      <c r="CD23" s="5">
        <v>2.4297354735752985E-3</v>
      </c>
      <c r="CF23" s="3" t="s">
        <v>125</v>
      </c>
      <c r="CG23" s="3" t="s">
        <v>112</v>
      </c>
      <c r="CH23" s="3" t="s">
        <v>113</v>
      </c>
      <c r="CI23" s="5">
        <v>0.36841531283170659</v>
      </c>
    </row>
    <row r="24" spans="2:87" x14ac:dyDescent="0.45">
      <c r="B24" s="6" t="s">
        <v>126</v>
      </c>
      <c r="C24" s="6" t="s">
        <v>103</v>
      </c>
      <c r="D24" s="8">
        <v>0</v>
      </c>
      <c r="E24" s="8">
        <v>0.48469239915033357</v>
      </c>
      <c r="F24" s="8">
        <v>0.97536880703539253</v>
      </c>
      <c r="G24" s="8">
        <v>0.85873486425985823</v>
      </c>
      <c r="H24" s="8">
        <v>0.23246612558398183</v>
      </c>
      <c r="I24" s="8">
        <v>0.69429730545839219</v>
      </c>
      <c r="J24" s="8">
        <v>0.76192181463883402</v>
      </c>
      <c r="K24" s="8">
        <v>0.20497526126119511</v>
      </c>
      <c r="L24" s="8">
        <v>0.60684066597796482</v>
      </c>
      <c r="M24" s="8">
        <v>0.97021288542631146</v>
      </c>
      <c r="N24" s="8">
        <v>0.33165345287210612</v>
      </c>
      <c r="O24" s="8">
        <v>0.9039562797121351</v>
      </c>
      <c r="Q24" s="6" t="s">
        <v>126</v>
      </c>
      <c r="R24" s="6" t="s">
        <v>104</v>
      </c>
      <c r="S24" s="8">
        <v>0</v>
      </c>
      <c r="T24" s="8">
        <v>0.27743094795520823</v>
      </c>
      <c r="U24" s="8">
        <v>8.5896059390967019E-2</v>
      </c>
      <c r="V24" s="8">
        <v>0.75831998766789055</v>
      </c>
      <c r="W24" s="8">
        <v>0.11627910721386231</v>
      </c>
      <c r="X24" s="8">
        <v>0.35038863471792653</v>
      </c>
      <c r="Y24" s="8">
        <v>0.61743052885185912</v>
      </c>
      <c r="Z24" s="8">
        <v>9.9279531335621771E-2</v>
      </c>
      <c r="AA24" s="8">
        <v>0.27962663033457424</v>
      </c>
      <c r="AB24" s="8">
        <v>0.94234921478458034</v>
      </c>
      <c r="AC24" s="8">
        <v>0.18157294952178052</v>
      </c>
      <c r="AD24" s="8">
        <v>0.44558689476305174</v>
      </c>
      <c r="AF24" s="6" t="s">
        <v>126</v>
      </c>
      <c r="AG24" s="6" t="s">
        <v>105</v>
      </c>
      <c r="AH24" s="8">
        <v>0</v>
      </c>
      <c r="AI24" s="8">
        <v>5.4495931994001406E-2</v>
      </c>
      <c r="AJ24" s="8">
        <v>0.86779788526586155</v>
      </c>
      <c r="AK24" s="8">
        <v>0</v>
      </c>
      <c r="AL24" s="8">
        <v>2.0921807934989569E-2</v>
      </c>
      <c r="AM24" s="8">
        <v>0.19111214454944861</v>
      </c>
      <c r="AN24" s="8">
        <v>0</v>
      </c>
      <c r="AO24" s="8">
        <v>2.0945541255097542E-2</v>
      </c>
      <c r="AP24" s="8">
        <v>0.1630792310843916</v>
      </c>
      <c r="AQ24" s="8">
        <v>0</v>
      </c>
      <c r="AR24" s="8">
        <v>2.5645425036853135E-2</v>
      </c>
      <c r="AS24" s="8">
        <v>0.37600132040722722</v>
      </c>
      <c r="AU24" s="6" t="s">
        <v>126</v>
      </c>
      <c r="AV24" s="6" t="s">
        <v>106</v>
      </c>
      <c r="AW24" s="8">
        <v>0</v>
      </c>
      <c r="AX24" s="8">
        <v>0</v>
      </c>
      <c r="AY24" s="8">
        <v>0</v>
      </c>
      <c r="AZ24" s="8">
        <v>0</v>
      </c>
      <c r="BA24" s="7">
        <v>0</v>
      </c>
      <c r="BB24" s="8">
        <v>6.3474521412520352E-3</v>
      </c>
      <c r="BC24" s="8">
        <v>0</v>
      </c>
      <c r="BD24" s="8">
        <v>0</v>
      </c>
      <c r="BE24" s="8">
        <v>3.1598634006715647E-3</v>
      </c>
      <c r="BF24" s="8">
        <v>0</v>
      </c>
      <c r="BG24" s="8">
        <v>0</v>
      </c>
      <c r="BH24" s="7">
        <v>6.5094236508864397E-3</v>
      </c>
      <c r="BR24" s="6" t="s">
        <v>126</v>
      </c>
      <c r="BS24" s="8">
        <v>0</v>
      </c>
      <c r="BT24" s="8">
        <v>0.11670393725737113</v>
      </c>
      <c r="BU24" s="7">
        <v>8.9977530557516132E-4</v>
      </c>
      <c r="BV24" s="8">
        <v>4.118982129141799E-3</v>
      </c>
      <c r="BW24" s="8">
        <v>0.32503492330809064</v>
      </c>
      <c r="BX24" s="8">
        <v>2.5856219081765459E-2</v>
      </c>
      <c r="BY24" s="8">
        <v>8.7073342154329464E-3</v>
      </c>
      <c r="BZ24" s="8">
        <v>0.33211384481704348</v>
      </c>
      <c r="CA24" s="8">
        <v>3.8758679499353667E-2</v>
      </c>
      <c r="CB24" s="7">
        <v>2.1754716020557055E-4</v>
      </c>
      <c r="CC24" s="8">
        <v>0.18245261338150259</v>
      </c>
      <c r="CD24" s="8">
        <v>3.4523375375618659E-3</v>
      </c>
      <c r="CF24" s="6" t="s">
        <v>126</v>
      </c>
      <c r="CG24" s="6" t="s">
        <v>112</v>
      </c>
      <c r="CH24" s="6" t="s">
        <v>113</v>
      </c>
      <c r="CI24" s="8">
        <v>0.3240416175469733</v>
      </c>
    </row>
    <row r="25" spans="2:87" x14ac:dyDescent="0.45">
      <c r="B25" s="3" t="s">
        <v>127</v>
      </c>
      <c r="C25" s="3" t="s">
        <v>103</v>
      </c>
      <c r="D25" s="5">
        <v>0</v>
      </c>
      <c r="E25" s="5">
        <v>0.47824925392527884</v>
      </c>
      <c r="F25" s="5">
        <v>0.99629629629629624</v>
      </c>
      <c r="G25" s="5">
        <v>0.82259693181564175</v>
      </c>
      <c r="H25" s="5">
        <v>0.22313714850308955</v>
      </c>
      <c r="I25" s="5">
        <v>0.7216753416017988</v>
      </c>
      <c r="J25" s="5">
        <v>0.71771084662334994</v>
      </c>
      <c r="K25" s="5">
        <v>0.18523576546166828</v>
      </c>
      <c r="L25" s="5">
        <v>0.60430386139019243</v>
      </c>
      <c r="M25" s="5">
        <v>0.95720605154333105</v>
      </c>
      <c r="N25" s="5">
        <v>0.35139293434700952</v>
      </c>
      <c r="O25" s="5">
        <v>0.92907724942645931</v>
      </c>
      <c r="Q25" s="3" t="s">
        <v>127</v>
      </c>
      <c r="R25" s="3" t="s">
        <v>104</v>
      </c>
      <c r="S25" s="5">
        <v>0</v>
      </c>
      <c r="T25" s="5">
        <v>0.27578470032384567</v>
      </c>
      <c r="U25" s="5">
        <v>0.41298666841937881</v>
      </c>
      <c r="V25" s="5">
        <v>0.70399256369733432</v>
      </c>
      <c r="W25" s="5">
        <v>0.11008459656545583</v>
      </c>
      <c r="X25" s="5">
        <v>0.51481693035335474</v>
      </c>
      <c r="Y25" s="5">
        <v>0.57199797295158372</v>
      </c>
      <c r="Z25" s="5">
        <v>9.4083232694225805E-2</v>
      </c>
      <c r="AA25" s="5">
        <v>0.38025487268873537</v>
      </c>
      <c r="AB25" s="5">
        <v>0.9191662795647344</v>
      </c>
      <c r="AC25" s="5">
        <v>0.18842800453079736</v>
      </c>
      <c r="AD25" s="5">
        <v>0.5138350357042305</v>
      </c>
      <c r="AF25" s="3" t="s">
        <v>127</v>
      </c>
      <c r="AG25" s="3" t="s">
        <v>105</v>
      </c>
      <c r="AH25" s="5">
        <v>0</v>
      </c>
      <c r="AI25" s="5">
        <v>4.8066215515589483E-2</v>
      </c>
      <c r="AJ25" s="5">
        <v>0.57961964159433854</v>
      </c>
      <c r="AK25" s="5">
        <v>0</v>
      </c>
      <c r="AL25" s="5">
        <v>1.8914252623464554E-2</v>
      </c>
      <c r="AM25" s="5">
        <v>4.8879487393953563E-2</v>
      </c>
      <c r="AN25" s="5">
        <v>0</v>
      </c>
      <c r="AO25" s="5">
        <v>1.7276483871003261E-2</v>
      </c>
      <c r="AP25" s="5">
        <v>6.5913848682588552E-2</v>
      </c>
      <c r="AQ25" s="5">
        <v>0</v>
      </c>
      <c r="AR25" s="5">
        <v>3.4159977238583814E-2</v>
      </c>
      <c r="AS25" s="5">
        <v>0.262839348320551</v>
      </c>
      <c r="AU25" s="3" t="s">
        <v>127</v>
      </c>
      <c r="AV25" s="3" t="s">
        <v>106</v>
      </c>
      <c r="AW25" s="5">
        <v>0</v>
      </c>
      <c r="AX25" s="5">
        <v>0</v>
      </c>
      <c r="AY25" s="5">
        <v>0</v>
      </c>
      <c r="AZ25" s="5">
        <v>0</v>
      </c>
      <c r="BA25" s="4">
        <v>0</v>
      </c>
      <c r="BB25" s="5">
        <v>1.7161841528691428E-2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4">
        <v>9.7759800474960301E-2</v>
      </c>
      <c r="BR25" s="3" t="s">
        <v>127</v>
      </c>
      <c r="BS25" s="5">
        <v>0</v>
      </c>
      <c r="BT25" s="5">
        <v>0.12334719132811243</v>
      </c>
      <c r="BU25" s="4">
        <v>6.7086671476506545E-6</v>
      </c>
      <c r="BV25" s="5">
        <v>8.6947445121923605E-3</v>
      </c>
      <c r="BW25" s="5">
        <v>0.34953770875353402</v>
      </c>
      <c r="BX25" s="5">
        <v>1.9523307265785838E-2</v>
      </c>
      <c r="BY25" s="5">
        <v>1.561508578423911E-2</v>
      </c>
      <c r="BZ25" s="5">
        <v>0.36610772180970502</v>
      </c>
      <c r="CA25" s="5">
        <v>3.5356963096979811E-2</v>
      </c>
      <c r="CB25" s="4">
        <v>7.2032592648187794E-4</v>
      </c>
      <c r="CC25" s="5">
        <v>0.18571895982817591</v>
      </c>
      <c r="CD25" s="5">
        <v>2.1628186677846773E-3</v>
      </c>
      <c r="CF25" s="3" t="s">
        <v>127</v>
      </c>
      <c r="CG25" s="3" t="s">
        <v>112</v>
      </c>
      <c r="CH25" s="3" t="s">
        <v>113</v>
      </c>
      <c r="CI25" s="5">
        <v>0.34947757044817263</v>
      </c>
    </row>
    <row r="26" spans="2:87" x14ac:dyDescent="0.45">
      <c r="B26" s="6" t="s">
        <v>128</v>
      </c>
      <c r="C26" s="6" t="s">
        <v>103</v>
      </c>
      <c r="D26" s="8">
        <v>0</v>
      </c>
      <c r="E26" s="8">
        <v>0.4278579509016241</v>
      </c>
      <c r="F26" s="8">
        <v>0.9907407407407407</v>
      </c>
      <c r="G26" s="8">
        <v>0.8395402543117777</v>
      </c>
      <c r="H26" s="8">
        <v>0.22567861831426345</v>
      </c>
      <c r="I26" s="8">
        <v>0.7565543099817611</v>
      </c>
      <c r="J26" s="8">
        <v>0.75367730170191061</v>
      </c>
      <c r="K26" s="8">
        <v>0.17859090479707934</v>
      </c>
      <c r="L26" s="8">
        <v>0.65937359263175099</v>
      </c>
      <c r="M26" s="8">
        <v>0.94341459164401442</v>
      </c>
      <c r="N26" s="8">
        <v>0.33342203828578826</v>
      </c>
      <c r="O26" s="8">
        <v>0.93340363895755585</v>
      </c>
      <c r="Q26" s="6" t="s">
        <v>128</v>
      </c>
      <c r="R26" s="6" t="s">
        <v>104</v>
      </c>
      <c r="S26" s="8">
        <v>0</v>
      </c>
      <c r="T26" s="8">
        <v>0.25941632396495107</v>
      </c>
      <c r="U26" s="8">
        <v>0.98156721536351155</v>
      </c>
      <c r="V26" s="8">
        <v>0.72902225360813822</v>
      </c>
      <c r="W26" s="8">
        <v>0.11211094977244437</v>
      </c>
      <c r="X26" s="8">
        <v>0.58267212089114884</v>
      </c>
      <c r="Y26" s="8">
        <v>0.61003276671263562</v>
      </c>
      <c r="Z26" s="8">
        <v>9.4034111555653249E-2</v>
      </c>
      <c r="AA26" s="8">
        <v>0.51428755242611168</v>
      </c>
      <c r="AB26" s="8">
        <v>0.89244740312653759</v>
      </c>
      <c r="AC26" s="8">
        <v>0.18064202410370772</v>
      </c>
      <c r="AD26" s="8">
        <v>0.64960904420659227</v>
      </c>
      <c r="AF26" s="6" t="s">
        <v>128</v>
      </c>
      <c r="AG26" s="6" t="s">
        <v>105</v>
      </c>
      <c r="AH26" s="8">
        <v>0</v>
      </c>
      <c r="AI26" s="8">
        <v>3.0177026217815647E-2</v>
      </c>
      <c r="AJ26" s="8">
        <v>0</v>
      </c>
      <c r="AK26" s="8">
        <v>0</v>
      </c>
      <c r="AL26" s="8">
        <v>2.4418747017249966E-2</v>
      </c>
      <c r="AM26" s="8">
        <v>3.3706712289351987E-2</v>
      </c>
      <c r="AN26" s="8">
        <v>0</v>
      </c>
      <c r="AO26" s="8">
        <v>7.9030409190142693E-3</v>
      </c>
      <c r="AP26" s="8">
        <v>0</v>
      </c>
      <c r="AQ26" s="8">
        <v>0</v>
      </c>
      <c r="AR26" s="8">
        <v>2.9147528112087522E-2</v>
      </c>
      <c r="AS26" s="8">
        <v>0.23254144178952196</v>
      </c>
      <c r="AU26" s="6" t="s">
        <v>128</v>
      </c>
      <c r="AV26" s="6" t="s">
        <v>106</v>
      </c>
      <c r="AW26" s="8">
        <v>0</v>
      </c>
      <c r="AX26" s="8">
        <v>0</v>
      </c>
      <c r="AY26" s="8">
        <v>0</v>
      </c>
      <c r="AZ26" s="8">
        <v>0</v>
      </c>
      <c r="BA26" s="7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7">
        <v>0</v>
      </c>
      <c r="BR26" s="6" t="s">
        <v>128</v>
      </c>
      <c r="BS26" s="8">
        <v>0</v>
      </c>
      <c r="BT26" s="8">
        <v>0.15043895670473301</v>
      </c>
      <c r="BU26" s="7">
        <v>5.1667075472828906E-5</v>
      </c>
      <c r="BV26" s="8">
        <v>8.7379234838154806E-3</v>
      </c>
      <c r="BW26" s="8">
        <v>0.34215847139740896</v>
      </c>
      <c r="BX26" s="8">
        <v>1.4684943414334385E-2</v>
      </c>
      <c r="BY26" s="8">
        <v>1.4371716223333509E-2</v>
      </c>
      <c r="BZ26" s="8">
        <v>0.41725591694627401</v>
      </c>
      <c r="CA26" s="8">
        <v>2.869500756308593E-2</v>
      </c>
      <c r="CB26" s="7">
        <v>1.3658858606204675E-3</v>
      </c>
      <c r="CC26" s="8">
        <v>0.22989989204152753</v>
      </c>
      <c r="CD26" s="8">
        <v>2.1537396715751666E-3</v>
      </c>
      <c r="CF26" s="6" t="s">
        <v>128</v>
      </c>
      <c r="CG26" s="6" t="s">
        <v>112</v>
      </c>
      <c r="CH26" s="6" t="s">
        <v>113</v>
      </c>
      <c r="CI26" s="8">
        <v>0.39976338817429241</v>
      </c>
    </row>
    <row r="27" spans="2:87" x14ac:dyDescent="0.45">
      <c r="B27" s="3" t="s">
        <v>129</v>
      </c>
      <c r="C27" s="3" t="s">
        <v>103</v>
      </c>
      <c r="D27" s="5">
        <v>0</v>
      </c>
      <c r="E27" s="5">
        <v>0.45247508862549796</v>
      </c>
      <c r="F27" s="5">
        <v>0.99814814814814834</v>
      </c>
      <c r="G27" s="5">
        <v>0.82969976765312681</v>
      </c>
      <c r="H27" s="5">
        <v>0.2306988243433675</v>
      </c>
      <c r="I27" s="5">
        <v>0.7321625985878133</v>
      </c>
      <c r="J27" s="5">
        <v>0.72793196173209096</v>
      </c>
      <c r="K27" s="5">
        <v>0.17989932620850638</v>
      </c>
      <c r="L27" s="5">
        <v>0.6272799192547428</v>
      </c>
      <c r="M27" s="5">
        <v>0.95038293530028872</v>
      </c>
      <c r="N27" s="5">
        <v>0.3386877610127656</v>
      </c>
      <c r="O27" s="5">
        <v>0.93536673614232779</v>
      </c>
      <c r="Q27" s="3" t="s">
        <v>129</v>
      </c>
      <c r="R27" s="3" t="s">
        <v>104</v>
      </c>
      <c r="S27" s="5">
        <v>0</v>
      </c>
      <c r="T27" s="5">
        <v>0.26549986529045322</v>
      </c>
      <c r="U27" s="5">
        <v>0.99629972565157743</v>
      </c>
      <c r="V27" s="5">
        <v>0.71246498193728225</v>
      </c>
      <c r="W27" s="5">
        <v>0.11372097004286923</v>
      </c>
      <c r="X27" s="5">
        <v>0.57256482470196235</v>
      </c>
      <c r="Y27" s="5">
        <v>0.58621524336609987</v>
      </c>
      <c r="Z27" s="5">
        <v>9.4450052969492576E-2</v>
      </c>
      <c r="AA27" s="5">
        <v>0.40930556141096824</v>
      </c>
      <c r="AB27" s="5">
        <v>0.90937751569363501</v>
      </c>
      <c r="AC27" s="5">
        <v>0.18316628483954031</v>
      </c>
      <c r="AD27" s="5">
        <v>0.63805179576943416</v>
      </c>
      <c r="AF27" s="3" t="s">
        <v>129</v>
      </c>
      <c r="AG27" s="3" t="s">
        <v>105</v>
      </c>
      <c r="AH27" s="5">
        <v>0</v>
      </c>
      <c r="AI27" s="5">
        <v>3.2608499910996305E-2</v>
      </c>
      <c r="AJ27" s="5">
        <v>0</v>
      </c>
      <c r="AK27" s="5">
        <v>0</v>
      </c>
      <c r="AL27" s="5">
        <v>2.3881855727801739E-2</v>
      </c>
      <c r="AM27" s="5">
        <v>1.3754883813636216E-2</v>
      </c>
      <c r="AN27" s="5">
        <v>0</v>
      </c>
      <c r="AO27" s="5">
        <v>1.2681276379699158E-2</v>
      </c>
      <c r="AP27" s="5">
        <v>6.0262179631235521E-2</v>
      </c>
      <c r="AQ27" s="5">
        <v>0</v>
      </c>
      <c r="AR27" s="5">
        <v>2.9268810268699708E-2</v>
      </c>
      <c r="AS27" s="5">
        <v>0.24091290328047979</v>
      </c>
      <c r="AU27" s="3" t="s">
        <v>129</v>
      </c>
      <c r="AV27" s="3" t="s">
        <v>106</v>
      </c>
      <c r="AW27" s="5">
        <v>0</v>
      </c>
      <c r="AX27" s="5">
        <v>0</v>
      </c>
      <c r="AY27" s="5">
        <v>0</v>
      </c>
      <c r="AZ27" s="5">
        <v>0</v>
      </c>
      <c r="BA27" s="4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4">
        <v>0</v>
      </c>
      <c r="BR27" s="3" t="s">
        <v>129</v>
      </c>
      <c r="BS27" s="5">
        <v>0</v>
      </c>
      <c r="BT27" s="5">
        <v>0.13282003192561312</v>
      </c>
      <c r="BU27" s="4">
        <v>8.8397386324077716E-6</v>
      </c>
      <c r="BV27" s="5">
        <v>8.8542763065613105E-3</v>
      </c>
      <c r="BW27" s="5">
        <v>0.33279882045561809</v>
      </c>
      <c r="BX27" s="5">
        <v>1.7691202655041496E-2</v>
      </c>
      <c r="BY27" s="5">
        <v>1.5204302925576271E-2</v>
      </c>
      <c r="BZ27" s="5">
        <v>0.36142538128403645</v>
      </c>
      <c r="CA27" s="5">
        <v>3.0366110587677381E-2</v>
      </c>
      <c r="CB27" s="4">
        <v>1.0351432242731524E-3</v>
      </c>
      <c r="CC27" s="5">
        <v>0.19556659310261384</v>
      </c>
      <c r="CD27" s="5">
        <v>1.9220970347474931E-3</v>
      </c>
      <c r="CF27" s="3" t="s">
        <v>129</v>
      </c>
      <c r="CG27" s="3" t="s">
        <v>112</v>
      </c>
      <c r="CH27" s="3" t="s">
        <v>113</v>
      </c>
      <c r="CI27" s="5">
        <v>0.33510301275809357</v>
      </c>
    </row>
    <row r="28" spans="2:87" x14ac:dyDescent="0.45">
      <c r="B28" s="6" t="s">
        <v>130</v>
      </c>
      <c r="C28" s="6" t="s">
        <v>103</v>
      </c>
      <c r="D28" s="8">
        <v>0</v>
      </c>
      <c r="E28" s="8">
        <v>0.43525089866653821</v>
      </c>
      <c r="F28" s="8">
        <v>0</v>
      </c>
      <c r="G28" s="8">
        <v>0.82504322036513034</v>
      </c>
      <c r="H28" s="8">
        <v>0.22937030372173262</v>
      </c>
      <c r="I28" s="8">
        <v>0.77070819716093464</v>
      </c>
      <c r="J28" s="8">
        <v>0.74087490178230453</v>
      </c>
      <c r="K28" s="8">
        <v>0.17766159738555373</v>
      </c>
      <c r="L28" s="8">
        <v>0.67659575629922664</v>
      </c>
      <c r="M28" s="8">
        <v>0.93461887793241549</v>
      </c>
      <c r="N28" s="8">
        <v>0.34137872301861782</v>
      </c>
      <c r="O28" s="8">
        <v>0.94780205891596525</v>
      </c>
      <c r="Q28" s="6" t="s">
        <v>130</v>
      </c>
      <c r="R28" s="6" t="s">
        <v>104</v>
      </c>
      <c r="S28" s="8">
        <v>0</v>
      </c>
      <c r="T28" s="8">
        <v>0.26767088499946473</v>
      </c>
      <c r="U28" s="8">
        <v>0</v>
      </c>
      <c r="V28" s="8">
        <v>0.71040259049694132</v>
      </c>
      <c r="W28" s="8">
        <v>0.11386845464522152</v>
      </c>
      <c r="X28" s="8">
        <v>0.63966948354097941</v>
      </c>
      <c r="Y28" s="8">
        <v>0.594366630959971</v>
      </c>
      <c r="Z28" s="8">
        <v>9.2970557079329594E-2</v>
      </c>
      <c r="AA28" s="8">
        <v>0.52390001595673008</v>
      </c>
      <c r="AB28" s="8">
        <v>0.87954758010039458</v>
      </c>
      <c r="AC28" s="8">
        <v>0.17426849003243691</v>
      </c>
      <c r="AD28" s="8">
        <v>0.63625049087436347</v>
      </c>
      <c r="AF28" s="6" t="s">
        <v>130</v>
      </c>
      <c r="AG28" s="6" t="s">
        <v>105</v>
      </c>
      <c r="AH28" s="8">
        <v>0</v>
      </c>
      <c r="AI28" s="8">
        <v>2.0879378663325017E-2</v>
      </c>
      <c r="AJ28" s="8">
        <v>0</v>
      </c>
      <c r="AK28" s="8">
        <v>0</v>
      </c>
      <c r="AL28" s="8">
        <v>2.0163990245846232E-2</v>
      </c>
      <c r="AM28" s="8">
        <v>0</v>
      </c>
      <c r="AN28" s="8">
        <v>0</v>
      </c>
      <c r="AO28" s="8">
        <v>6.7655066828920928E-3</v>
      </c>
      <c r="AP28" s="8">
        <v>0</v>
      </c>
      <c r="AQ28" s="8">
        <v>0</v>
      </c>
      <c r="AR28" s="8">
        <v>3.8951052003842239E-2</v>
      </c>
      <c r="AS28" s="8">
        <v>0.26615739629401736</v>
      </c>
      <c r="AU28" s="6" t="s">
        <v>130</v>
      </c>
      <c r="AV28" s="6" t="s">
        <v>106</v>
      </c>
      <c r="AW28" s="8">
        <v>0</v>
      </c>
      <c r="AX28" s="8">
        <v>0</v>
      </c>
      <c r="AY28" s="8">
        <v>0</v>
      </c>
      <c r="AZ28" s="8">
        <v>0</v>
      </c>
      <c r="BA28" s="7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7">
        <v>0</v>
      </c>
      <c r="BR28" s="6" t="s">
        <v>130</v>
      </c>
      <c r="BS28" s="8">
        <v>0</v>
      </c>
      <c r="BT28" s="8">
        <v>0.15682769329363511</v>
      </c>
      <c r="BU28" s="7">
        <v>0</v>
      </c>
      <c r="BV28" s="8">
        <v>1.010589327237856E-2</v>
      </c>
      <c r="BW28" s="8">
        <v>0.37166012412281302</v>
      </c>
      <c r="BX28" s="8">
        <v>1.2779263310551249E-2</v>
      </c>
      <c r="BY28" s="8">
        <v>1.728064073122566E-2</v>
      </c>
      <c r="BZ28" s="8">
        <v>0.4341057849622777</v>
      </c>
      <c r="CA28" s="8">
        <v>2.4772621909690224E-2</v>
      </c>
      <c r="CB28" s="7">
        <v>2.2881295100867665E-3</v>
      </c>
      <c r="CC28" s="8">
        <v>0.23435319680742156</v>
      </c>
      <c r="CD28" s="8">
        <v>1.3789174291083501E-3</v>
      </c>
      <c r="CF28" s="6" t="s">
        <v>130</v>
      </c>
      <c r="CG28" s="6" t="s">
        <v>112</v>
      </c>
      <c r="CH28" s="6" t="s">
        <v>113</v>
      </c>
      <c r="CI28" s="8">
        <v>0.40716983317802458</v>
      </c>
    </row>
    <row r="29" spans="2:87" x14ac:dyDescent="0.45">
      <c r="B29" s="3" t="s">
        <v>131</v>
      </c>
      <c r="C29" s="3" t="s">
        <v>103</v>
      </c>
      <c r="D29" s="5">
        <v>0</v>
      </c>
      <c r="E29" s="5">
        <v>0.43563104673131103</v>
      </c>
      <c r="F29" s="5">
        <v>0.99444444444444446</v>
      </c>
      <c r="G29" s="5">
        <v>0.83381172202884557</v>
      </c>
      <c r="H29" s="5">
        <v>0.23080704854405221</v>
      </c>
      <c r="I29" s="5">
        <v>0.74355933382484751</v>
      </c>
      <c r="J29" s="5">
        <v>0.74227026453675782</v>
      </c>
      <c r="K29" s="5">
        <v>0.19108226433046643</v>
      </c>
      <c r="L29" s="5">
        <v>0.64402443817245436</v>
      </c>
      <c r="M29" s="5">
        <v>0.95063833490161476</v>
      </c>
      <c r="N29" s="5">
        <v>0.33880297575141377</v>
      </c>
      <c r="O29" s="5">
        <v>0.93228905246225535</v>
      </c>
      <c r="Q29" s="3" t="s">
        <v>131</v>
      </c>
      <c r="R29" s="3" t="s">
        <v>104</v>
      </c>
      <c r="S29" s="5">
        <v>0</v>
      </c>
      <c r="T29" s="5">
        <v>0.2566997296957268</v>
      </c>
      <c r="U29" s="5">
        <v>8.4871278852745834E-3</v>
      </c>
      <c r="V29" s="5">
        <v>0.72090018337652662</v>
      </c>
      <c r="W29" s="5">
        <v>0.10907125807663691</v>
      </c>
      <c r="X29" s="5">
        <v>0.53458770960643842</v>
      </c>
      <c r="Y29" s="5">
        <v>0.60135557263914896</v>
      </c>
      <c r="Z29" s="5">
        <v>9.7367199901766538E-2</v>
      </c>
      <c r="AA29" s="5">
        <v>0.48147736957584814</v>
      </c>
      <c r="AB29" s="5">
        <v>0.90833911407802026</v>
      </c>
      <c r="AC29" s="5">
        <v>0.18553767227184398</v>
      </c>
      <c r="AD29" s="5">
        <v>0.65747240700290333</v>
      </c>
      <c r="AF29" s="3" t="s">
        <v>131</v>
      </c>
      <c r="AG29" s="3" t="s">
        <v>105</v>
      </c>
      <c r="AH29" s="5">
        <v>0</v>
      </c>
      <c r="AI29" s="5">
        <v>3.3875319414441434E-2</v>
      </c>
      <c r="AJ29" s="5">
        <v>0.98043262520114505</v>
      </c>
      <c r="AK29" s="5">
        <v>0</v>
      </c>
      <c r="AL29" s="5">
        <v>2.7308509032815332E-2</v>
      </c>
      <c r="AM29" s="5">
        <v>6.3662769044433382E-2</v>
      </c>
      <c r="AN29" s="5">
        <v>0</v>
      </c>
      <c r="AO29" s="5">
        <v>1.659512083139239E-2</v>
      </c>
      <c r="AP29" s="5">
        <v>9.9915580384106941E-3</v>
      </c>
      <c r="AQ29" s="5">
        <v>0</v>
      </c>
      <c r="AR29" s="5">
        <v>2.5380427601394081E-2</v>
      </c>
      <c r="AS29" s="5">
        <v>0.21937783622152268</v>
      </c>
      <c r="AU29" s="3" t="s">
        <v>131</v>
      </c>
      <c r="AV29" s="3" t="s">
        <v>106</v>
      </c>
      <c r="AW29" s="5">
        <v>0</v>
      </c>
      <c r="AX29" s="5">
        <v>0</v>
      </c>
      <c r="AY29" s="5">
        <v>0</v>
      </c>
      <c r="AZ29" s="5">
        <v>0</v>
      </c>
      <c r="BA29" s="4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4">
        <v>0</v>
      </c>
      <c r="BR29" s="3" t="s">
        <v>131</v>
      </c>
      <c r="BS29" s="5">
        <v>0</v>
      </c>
      <c r="BT29" s="5">
        <v>0.14174950872553238</v>
      </c>
      <c r="BU29" s="4">
        <v>1.3917939074688864E-4</v>
      </c>
      <c r="BV29" s="5">
        <v>8.6219894634005506E-3</v>
      </c>
      <c r="BW29" s="5">
        <v>0.32808443408145127</v>
      </c>
      <c r="BX29" s="5">
        <v>1.5586489587512039E-2</v>
      </c>
      <c r="BY29" s="5">
        <v>1.4155237034759564E-2</v>
      </c>
      <c r="BZ29" s="5">
        <v>0.3605972563421681</v>
      </c>
      <c r="CA29" s="5">
        <v>2.8350967793960343E-2</v>
      </c>
      <c r="CB29" s="4">
        <v>1.0118532605207519E-3</v>
      </c>
      <c r="CC29" s="5">
        <v>0.19761892420873112</v>
      </c>
      <c r="CD29" s="5">
        <v>1.9426541878392058E-3</v>
      </c>
      <c r="CF29" s="3" t="s">
        <v>131</v>
      </c>
      <c r="CG29" s="3" t="s">
        <v>112</v>
      </c>
      <c r="CH29" s="3" t="s">
        <v>113</v>
      </c>
      <c r="CI29" s="5">
        <v>0.33629278270669888</v>
      </c>
    </row>
    <row r="30" spans="2:87" x14ac:dyDescent="0.45">
      <c r="B30" s="6" t="s">
        <v>132</v>
      </c>
      <c r="C30" s="6" t="s">
        <v>103</v>
      </c>
      <c r="D30" s="8">
        <v>0</v>
      </c>
      <c r="E30" s="8">
        <v>0.47160644224180642</v>
      </c>
      <c r="F30" s="8">
        <v>0.99124564338839893</v>
      </c>
      <c r="G30" s="8">
        <v>0.8359193519876349</v>
      </c>
      <c r="H30" s="8">
        <v>0.23404320451793714</v>
      </c>
      <c r="I30" s="8">
        <v>0.73276822188699187</v>
      </c>
      <c r="J30" s="8">
        <v>0.74069876318190331</v>
      </c>
      <c r="K30" s="8">
        <v>0.18942269163408035</v>
      </c>
      <c r="L30" s="8">
        <v>0.63241957701795215</v>
      </c>
      <c r="M30" s="8">
        <v>0.95626330971574725</v>
      </c>
      <c r="N30" s="8">
        <v>0.3351444903791132</v>
      </c>
      <c r="O30" s="8">
        <v>0.93222297289691791</v>
      </c>
      <c r="Q30" s="6" t="s">
        <v>132</v>
      </c>
      <c r="R30" s="6" t="s">
        <v>104</v>
      </c>
      <c r="S30" s="8">
        <v>0</v>
      </c>
      <c r="T30" s="8">
        <v>0.27071661874888836</v>
      </c>
      <c r="U30" s="8">
        <v>8.5787149249880144E-3</v>
      </c>
      <c r="V30" s="8">
        <v>0.72347046095623424</v>
      </c>
      <c r="W30" s="8">
        <v>0.11614701212863686</v>
      </c>
      <c r="X30" s="8">
        <v>0.52984962638234345</v>
      </c>
      <c r="Y30" s="8">
        <v>0.60164371156045215</v>
      </c>
      <c r="Z30" s="8">
        <v>9.5886288976162984E-2</v>
      </c>
      <c r="AA30" s="8">
        <v>0.42528003696093847</v>
      </c>
      <c r="AB30" s="8">
        <v>0.91554330614268675</v>
      </c>
      <c r="AC30" s="8">
        <v>0.18402760460571643</v>
      </c>
      <c r="AD30" s="8">
        <v>0.48051995759449784</v>
      </c>
      <c r="AF30" s="6" t="s">
        <v>132</v>
      </c>
      <c r="AG30" s="6" t="s">
        <v>105</v>
      </c>
      <c r="AH30" s="8">
        <v>0</v>
      </c>
      <c r="AI30" s="8">
        <v>4.8680679283683082E-2</v>
      </c>
      <c r="AJ30" s="8">
        <v>0.97532436814201562</v>
      </c>
      <c r="AK30" s="8">
        <v>0</v>
      </c>
      <c r="AL30" s="8">
        <v>2.224944370289627E-2</v>
      </c>
      <c r="AM30" s="8">
        <v>6.2249608845703658E-2</v>
      </c>
      <c r="AN30" s="8">
        <v>0</v>
      </c>
      <c r="AO30" s="8">
        <v>1.6604610981288161E-2</v>
      </c>
      <c r="AP30" s="8">
        <v>5.3160706868938687E-2</v>
      </c>
      <c r="AQ30" s="8">
        <v>0</v>
      </c>
      <c r="AR30" s="8">
        <v>2.9177260188541658E-2</v>
      </c>
      <c r="AS30" s="8">
        <v>0.39463786287237768</v>
      </c>
      <c r="AU30" s="6" t="s">
        <v>132</v>
      </c>
      <c r="AV30" s="6" t="s">
        <v>106</v>
      </c>
      <c r="AW30" s="8">
        <v>0</v>
      </c>
      <c r="AX30" s="8">
        <v>0</v>
      </c>
      <c r="AY30" s="8">
        <v>0</v>
      </c>
      <c r="AZ30" s="8">
        <v>0</v>
      </c>
      <c r="BA30" s="7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7">
        <v>4.267674589126403E-4</v>
      </c>
      <c r="BR30" s="6" t="s">
        <v>132</v>
      </c>
      <c r="BS30" s="8">
        <v>0</v>
      </c>
      <c r="BT30" s="8">
        <v>0.1288193982624565</v>
      </c>
      <c r="BU30" s="7">
        <v>1.7908098012898478E-4</v>
      </c>
      <c r="BV30" s="8">
        <v>7.8619249820714183E-3</v>
      </c>
      <c r="BW30" s="8">
        <v>0.33184878228470938</v>
      </c>
      <c r="BX30" s="8">
        <v>1.87325992329508E-2</v>
      </c>
      <c r="BY30" s="8">
        <v>1.3599943554640221E-2</v>
      </c>
      <c r="BZ30" s="8">
        <v>0.3539562845143065</v>
      </c>
      <c r="CA30" s="8">
        <v>3.0802634381768512E-2</v>
      </c>
      <c r="CB30" s="7">
        <v>7.0471982393042283E-4</v>
      </c>
      <c r="CC30" s="8">
        <v>0.18709699320239029</v>
      </c>
      <c r="CD30" s="8">
        <v>2.0558191433399922E-3</v>
      </c>
      <c r="CF30" s="6" t="s">
        <v>132</v>
      </c>
      <c r="CG30" s="6" t="s">
        <v>112</v>
      </c>
      <c r="CH30" s="6" t="s">
        <v>113</v>
      </c>
      <c r="CI30" s="8">
        <v>0.33329769400542353</v>
      </c>
    </row>
    <row r="31" spans="2:87" x14ac:dyDescent="0.45">
      <c r="B31" s="3" t="s">
        <v>133</v>
      </c>
      <c r="C31" s="3" t="s">
        <v>103</v>
      </c>
      <c r="D31" s="5">
        <v>0</v>
      </c>
      <c r="E31" s="5">
        <v>0.42247767325739105</v>
      </c>
      <c r="F31" s="5">
        <v>0.98235380206000034</v>
      </c>
      <c r="G31" s="5">
        <v>0.84654165707866202</v>
      </c>
      <c r="H31" s="5">
        <v>0.21899172126495015</v>
      </c>
      <c r="I31" s="5">
        <v>0.73803956877829646</v>
      </c>
      <c r="J31" s="5">
        <v>0.7620169625966996</v>
      </c>
      <c r="K31" s="5">
        <v>0.17853333766328933</v>
      </c>
      <c r="L31" s="5">
        <v>0.64352631064307608</v>
      </c>
      <c r="M31" s="5">
        <v>0.9521806605938149</v>
      </c>
      <c r="N31" s="5">
        <v>0.32536800016128203</v>
      </c>
      <c r="O31" s="5">
        <v>0.92149556366704433</v>
      </c>
      <c r="Q31" s="3" t="s">
        <v>133</v>
      </c>
      <c r="R31" s="3" t="s">
        <v>104</v>
      </c>
      <c r="S31" s="5">
        <v>0</v>
      </c>
      <c r="T31" s="5">
        <v>0.24041026159918621</v>
      </c>
      <c r="U31" s="5">
        <v>0.86227493340788952</v>
      </c>
      <c r="V31" s="5">
        <v>0.73663586884778232</v>
      </c>
      <c r="W31" s="5">
        <v>0.10687006641971072</v>
      </c>
      <c r="X31" s="5">
        <v>0.57646052949502447</v>
      </c>
      <c r="Y31" s="5">
        <v>0.61376242776905088</v>
      </c>
      <c r="Z31" s="5">
        <v>9.1536668906510937E-2</v>
      </c>
      <c r="AA31" s="5">
        <v>0.48843902068202649</v>
      </c>
      <c r="AB31" s="5">
        <v>0.91032656562265846</v>
      </c>
      <c r="AC31" s="5">
        <v>0.17171776506642231</v>
      </c>
      <c r="AD31" s="5">
        <v>0.54508876399963391</v>
      </c>
      <c r="AF31" s="3" t="s">
        <v>133</v>
      </c>
      <c r="AG31" s="3" t="s">
        <v>105</v>
      </c>
      <c r="AH31" s="5">
        <v>0</v>
      </c>
      <c r="AI31" s="5">
        <v>3.1268869499385482E-2</v>
      </c>
      <c r="AJ31" s="5">
        <v>0.10370630528444427</v>
      </c>
      <c r="AK31" s="5">
        <v>0</v>
      </c>
      <c r="AL31" s="5">
        <v>2.1669925413949402E-2</v>
      </c>
      <c r="AM31" s="5">
        <v>1.7906847148396802E-2</v>
      </c>
      <c r="AN31" s="5">
        <v>0</v>
      </c>
      <c r="AO31" s="5">
        <v>1.0935532243631405E-2</v>
      </c>
      <c r="AP31" s="5">
        <v>0</v>
      </c>
      <c r="AQ31" s="5">
        <v>0</v>
      </c>
      <c r="AR31" s="5">
        <v>2.3141796225611484E-2</v>
      </c>
      <c r="AS31" s="5">
        <v>0.31475628203488626</v>
      </c>
      <c r="AU31" s="3" t="s">
        <v>133</v>
      </c>
      <c r="AV31" s="3" t="s">
        <v>106</v>
      </c>
      <c r="AW31" s="5">
        <v>0</v>
      </c>
      <c r="AX31" s="5">
        <v>0</v>
      </c>
      <c r="AY31" s="5">
        <v>0</v>
      </c>
      <c r="AZ31" s="5">
        <v>0</v>
      </c>
      <c r="BA31" s="4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4">
        <v>0</v>
      </c>
      <c r="BR31" s="3" t="s">
        <v>133</v>
      </c>
      <c r="BS31" s="5">
        <v>0</v>
      </c>
      <c r="BT31" s="5">
        <v>0.15183466258038938</v>
      </c>
      <c r="BU31" s="4">
        <v>2.2241190421196604E-4</v>
      </c>
      <c r="BV31" s="5">
        <v>7.553295973165835E-3</v>
      </c>
      <c r="BW31" s="5">
        <v>0.35217846973047295</v>
      </c>
      <c r="BX31" s="5">
        <v>1.8307246529324233E-2</v>
      </c>
      <c r="BY31" s="5">
        <v>1.2555485167587657E-2</v>
      </c>
      <c r="BZ31" s="5">
        <v>0.40503882652594614</v>
      </c>
      <c r="CA31" s="5">
        <v>3.2325284439231355E-2</v>
      </c>
      <c r="CB31" s="4">
        <v>7.6238638901459559E-4</v>
      </c>
      <c r="CC31" s="5">
        <v>0.21747337717537815</v>
      </c>
      <c r="CD31" s="5">
        <v>2.6982840321012318E-3</v>
      </c>
      <c r="CF31" s="3" t="s">
        <v>133</v>
      </c>
      <c r="CG31" s="3" t="s">
        <v>112</v>
      </c>
      <c r="CH31" s="3" t="s">
        <v>113</v>
      </c>
      <c r="CI31" s="5">
        <v>0.35186770568006925</v>
      </c>
    </row>
    <row r="32" spans="2:87" x14ac:dyDescent="0.45">
      <c r="B32" s="6" t="s">
        <v>134</v>
      </c>
      <c r="C32" s="6" t="s">
        <v>103</v>
      </c>
      <c r="D32" s="8">
        <v>0</v>
      </c>
      <c r="E32" s="8">
        <v>0.51163474013593024</v>
      </c>
      <c r="F32" s="8">
        <v>0</v>
      </c>
      <c r="G32" s="8">
        <v>0.80752572868901584</v>
      </c>
      <c r="H32" s="8">
        <v>0.22409590498924975</v>
      </c>
      <c r="I32" s="8">
        <v>0.72832652178044233</v>
      </c>
      <c r="J32" s="8">
        <v>0.69299577480445307</v>
      </c>
      <c r="K32" s="8">
        <v>0.21753954999905434</v>
      </c>
      <c r="L32" s="8">
        <v>0.59946304642661707</v>
      </c>
      <c r="M32" s="8">
        <v>0.95464170225940925</v>
      </c>
      <c r="N32" s="8">
        <v>0.40743399250590928</v>
      </c>
      <c r="O32" s="8">
        <v>0.93979466998675021</v>
      </c>
      <c r="Q32" s="6" t="s">
        <v>134</v>
      </c>
      <c r="R32" s="6" t="s">
        <v>104</v>
      </c>
      <c r="S32" s="8">
        <v>0</v>
      </c>
      <c r="T32" s="8">
        <v>0.3063580915139032</v>
      </c>
      <c r="U32" s="8">
        <v>0</v>
      </c>
      <c r="V32" s="8">
        <v>0.68464612170236638</v>
      </c>
      <c r="W32" s="8">
        <v>0.1151673665768965</v>
      </c>
      <c r="X32" s="8">
        <v>0.5895294470497614</v>
      </c>
      <c r="Y32" s="8">
        <v>0.54282905613643706</v>
      </c>
      <c r="Z32" s="8">
        <v>0.10639558725314989</v>
      </c>
      <c r="AA32" s="8">
        <v>0.34352098249432539</v>
      </c>
      <c r="AB32" s="8">
        <v>0.91173262021766321</v>
      </c>
      <c r="AC32" s="8">
        <v>0.222623097174524</v>
      </c>
      <c r="AD32" s="8">
        <v>0.55144639296066689</v>
      </c>
      <c r="AF32" s="6" t="s">
        <v>134</v>
      </c>
      <c r="AG32" s="6" t="s">
        <v>105</v>
      </c>
      <c r="AH32" s="8">
        <v>0</v>
      </c>
      <c r="AI32" s="8">
        <v>5.0493446075960839E-2</v>
      </c>
      <c r="AJ32" s="8">
        <v>0</v>
      </c>
      <c r="AK32" s="8">
        <v>0</v>
      </c>
      <c r="AL32" s="8">
        <v>1.1651176222401135E-2</v>
      </c>
      <c r="AM32" s="8">
        <v>0</v>
      </c>
      <c r="AN32" s="8">
        <v>0</v>
      </c>
      <c r="AO32" s="8">
        <v>2.0315105108506509E-2</v>
      </c>
      <c r="AP32" s="8">
        <v>0.10562391042793337</v>
      </c>
      <c r="AQ32" s="8">
        <v>0</v>
      </c>
      <c r="AR32" s="8">
        <v>5.3204150500811016E-2</v>
      </c>
      <c r="AS32" s="8">
        <v>0.27521085772116533</v>
      </c>
      <c r="AU32" s="6" t="s">
        <v>134</v>
      </c>
      <c r="AV32" s="6" t="s">
        <v>106</v>
      </c>
      <c r="AW32" s="8">
        <v>0</v>
      </c>
      <c r="AX32" s="8">
        <v>0</v>
      </c>
      <c r="AY32" s="8">
        <v>0</v>
      </c>
      <c r="AZ32" s="8">
        <v>0</v>
      </c>
      <c r="BA32" s="7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7">
        <v>6.6637021994182977E-2</v>
      </c>
      <c r="BR32" s="6" t="s">
        <v>134</v>
      </c>
      <c r="BS32" s="8">
        <v>0</v>
      </c>
      <c r="BT32" s="8">
        <v>9.7088135432269379E-2</v>
      </c>
      <c r="BU32" s="7">
        <v>0</v>
      </c>
      <c r="BV32" s="8">
        <v>1.0585272514917558E-2</v>
      </c>
      <c r="BW32" s="8">
        <v>0.39421317991579941</v>
      </c>
      <c r="BX32" s="8">
        <v>1.8485978300290848E-2</v>
      </c>
      <c r="BY32" s="8">
        <v>1.7427463322189959E-2</v>
      </c>
      <c r="BZ32" s="8">
        <v>0.35769178647300198</v>
      </c>
      <c r="CA32" s="8">
        <v>3.4549610853217998E-2</v>
      </c>
      <c r="CB32" s="7">
        <v>7.6304507977151346E-4</v>
      </c>
      <c r="CC32" s="8">
        <v>0.1479278008630546</v>
      </c>
      <c r="CD32" s="8">
        <v>1.5243105689005266E-3</v>
      </c>
      <c r="CF32" s="6" t="s">
        <v>134</v>
      </c>
      <c r="CG32" s="6" t="s">
        <v>112</v>
      </c>
      <c r="CH32" s="6" t="s">
        <v>113</v>
      </c>
      <c r="CI32" s="8">
        <v>0.39365769567685599</v>
      </c>
    </row>
    <row r="33" spans="2:87" x14ac:dyDescent="0.45">
      <c r="B33" s="3" t="s">
        <v>135</v>
      </c>
      <c r="C33" s="3" t="s">
        <v>103</v>
      </c>
      <c r="D33" s="5">
        <v>0.22645229259646288</v>
      </c>
      <c r="E33" s="5">
        <v>0.24008651681156942</v>
      </c>
      <c r="F33" s="5">
        <v>0.20352083928689013</v>
      </c>
      <c r="G33" s="5">
        <v>0.23831629391370468</v>
      </c>
      <c r="H33" s="5">
        <v>0.25047987335605282</v>
      </c>
      <c r="I33" s="5">
        <v>0.25291874301120426</v>
      </c>
      <c r="J33" s="5">
        <v>0.36055582494925814</v>
      </c>
      <c r="K33" s="5">
        <v>0.38619826848754896</v>
      </c>
      <c r="L33" s="5">
        <v>0.36059299280817936</v>
      </c>
      <c r="M33" s="5">
        <v>0.22571200823622456</v>
      </c>
      <c r="N33" s="5">
        <v>0.22225391180468365</v>
      </c>
      <c r="O33" s="5">
        <v>0.22546885126907396</v>
      </c>
      <c r="Q33" s="3" t="s">
        <v>135</v>
      </c>
      <c r="R33" s="3" t="s">
        <v>104</v>
      </c>
      <c r="S33" s="5">
        <v>6.9624187133688932E-3</v>
      </c>
      <c r="T33" s="5">
        <v>8.2830249959889527E-3</v>
      </c>
      <c r="U33" s="5">
        <v>1.2307096330316899E-2</v>
      </c>
      <c r="V33" s="5">
        <v>8.586299557350012E-3</v>
      </c>
      <c r="W33" s="5">
        <v>1.055556883065052E-2</v>
      </c>
      <c r="X33" s="5">
        <v>1.6749396399438714E-2</v>
      </c>
      <c r="Y33" s="5">
        <v>1.9871364488484106E-2</v>
      </c>
      <c r="Z33" s="5">
        <v>3.8327879527256421E-2</v>
      </c>
      <c r="AA33" s="5">
        <v>3.2259886413216164E-2</v>
      </c>
      <c r="AB33" s="5">
        <v>1.3050683000476085E-2</v>
      </c>
      <c r="AC33" s="5">
        <v>1.1991427449712886E-2</v>
      </c>
      <c r="AD33" s="5">
        <v>7.6184766738934002E-3</v>
      </c>
      <c r="AF33" s="3" t="s">
        <v>135</v>
      </c>
      <c r="AG33" s="3" t="s">
        <v>105</v>
      </c>
      <c r="AH33" s="5">
        <v>1.2883452199241295E-2</v>
      </c>
      <c r="AI33" s="5">
        <v>1.1973756487691395E-2</v>
      </c>
      <c r="AJ33" s="5">
        <v>7.4137268281314408E-3</v>
      </c>
      <c r="AK33" s="5">
        <v>1.5430689681760161E-2</v>
      </c>
      <c r="AL33" s="5">
        <v>1.620945571644726E-2</v>
      </c>
      <c r="AM33" s="5">
        <v>1.2983297138856091E-2</v>
      </c>
      <c r="AN33" s="5">
        <v>2.3088104232335059E-2</v>
      </c>
      <c r="AO33" s="5">
        <v>4.6393758695823469E-2</v>
      </c>
      <c r="AP33" s="5">
        <v>3.9655062818364645E-2</v>
      </c>
      <c r="AQ33" s="5">
        <v>9.7460784539565061E-3</v>
      </c>
      <c r="AR33" s="5">
        <v>1.6590595989326926E-2</v>
      </c>
      <c r="AS33" s="5">
        <v>1.9118037517775768E-2</v>
      </c>
      <c r="AU33" s="3" t="s">
        <v>135</v>
      </c>
      <c r="AV33" s="3" t="s">
        <v>106</v>
      </c>
      <c r="AW33" s="5">
        <v>8.2400787601534145E-2</v>
      </c>
      <c r="AX33" s="5">
        <v>9.3499837062613486E-2</v>
      </c>
      <c r="AY33" s="5">
        <v>7.1853005452405333E-2</v>
      </c>
      <c r="AZ33" s="5">
        <v>0.10046122391502295</v>
      </c>
      <c r="BA33" s="4">
        <v>0.10557159379773963</v>
      </c>
      <c r="BB33" s="5">
        <v>9.677780136228345E-2</v>
      </c>
      <c r="BC33" s="5">
        <v>0.18509565743952325</v>
      </c>
      <c r="BD33" s="5">
        <v>0.16384072906055749</v>
      </c>
      <c r="BE33" s="5">
        <v>0.16472415638437637</v>
      </c>
      <c r="BF33" s="5">
        <v>8.4327413341798621E-2</v>
      </c>
      <c r="BG33" s="5">
        <v>8.3320008200493664E-2</v>
      </c>
      <c r="BH33" s="4">
        <v>8.9364146345077791E-2</v>
      </c>
      <c r="BR33" s="3" t="s">
        <v>135</v>
      </c>
      <c r="BS33" s="5">
        <v>0.67426199644242524</v>
      </c>
      <c r="BT33" s="5">
        <v>0.65522193892584513</v>
      </c>
      <c r="BU33" s="4">
        <v>0.69168743327640136</v>
      </c>
      <c r="BV33" s="5">
        <v>0.60215650577508806</v>
      </c>
      <c r="BW33" s="5">
        <v>0.59492303902826826</v>
      </c>
      <c r="BX33" s="5">
        <v>0.59784840695873187</v>
      </c>
      <c r="BY33" s="5">
        <v>0.37477071282009111</v>
      </c>
      <c r="BZ33" s="5">
        <v>0.31950095091309105</v>
      </c>
      <c r="CA33" s="5">
        <v>0.35325803152499746</v>
      </c>
      <c r="CB33" s="4">
        <v>0.64519938615555827</v>
      </c>
      <c r="CC33" s="5">
        <v>0.63775028992221205</v>
      </c>
      <c r="CD33" s="5">
        <v>0.64648837947896309</v>
      </c>
      <c r="CF33" s="3" t="s">
        <v>136</v>
      </c>
      <c r="CG33" s="3" t="s">
        <v>112</v>
      </c>
      <c r="CH33" s="3" t="s">
        <v>113</v>
      </c>
      <c r="CI33" s="5">
        <v>0.5156427549347351</v>
      </c>
    </row>
    <row r="34" spans="2:87" x14ac:dyDescent="0.45">
      <c r="B34" s="6" t="s">
        <v>137</v>
      </c>
      <c r="C34" s="6" t="s">
        <v>103</v>
      </c>
      <c r="D34" s="8">
        <v>0.25240323159284189</v>
      </c>
      <c r="E34" s="8">
        <v>0.26269600486666239</v>
      </c>
      <c r="F34" s="8">
        <v>0.2493195800400152</v>
      </c>
      <c r="G34" s="8">
        <v>0.26953487486422351</v>
      </c>
      <c r="H34" s="8">
        <v>0.31131578649308655</v>
      </c>
      <c r="I34" s="8">
        <v>0.27321183325720455</v>
      </c>
      <c r="J34" s="8">
        <v>0.33669196138369945</v>
      </c>
      <c r="K34" s="8">
        <v>0.36521397094324087</v>
      </c>
      <c r="L34" s="8">
        <v>0.30687873149646372</v>
      </c>
      <c r="M34" s="8">
        <v>0.33076266042513086</v>
      </c>
      <c r="N34" s="8">
        <v>0.30096088667069271</v>
      </c>
      <c r="O34" s="8">
        <v>0.26512797174536967</v>
      </c>
      <c r="Q34" s="6" t="s">
        <v>137</v>
      </c>
      <c r="R34" s="6" t="s">
        <v>104</v>
      </c>
      <c r="S34" s="8">
        <v>1.2021254374932792E-2</v>
      </c>
      <c r="T34" s="8">
        <v>1.429011044257494E-2</v>
      </c>
      <c r="U34" s="8">
        <v>1.6708868773522678E-2</v>
      </c>
      <c r="V34" s="8">
        <v>2.1297474591731123E-2</v>
      </c>
      <c r="W34" s="8">
        <v>1.2205028406150162E-2</v>
      </c>
      <c r="X34" s="8">
        <v>2.407058019871107E-2</v>
      </c>
      <c r="Y34" s="8">
        <v>2.3239021031066544E-2</v>
      </c>
      <c r="Z34" s="8">
        <v>2.9713239684175892E-2</v>
      </c>
      <c r="AA34" s="8">
        <v>1.7228295290206596E-2</v>
      </c>
      <c r="AB34" s="8">
        <v>1.9980892676946027E-2</v>
      </c>
      <c r="AC34" s="8">
        <v>2.4088793930036882E-2</v>
      </c>
      <c r="AD34" s="8">
        <v>1.0829925125614159E-2</v>
      </c>
      <c r="AF34" s="6" t="s">
        <v>137</v>
      </c>
      <c r="AG34" s="6" t="s">
        <v>105</v>
      </c>
      <c r="AH34" s="8">
        <v>1.6070435116607794E-2</v>
      </c>
      <c r="AI34" s="8">
        <v>1.7706837785211874E-2</v>
      </c>
      <c r="AJ34" s="8">
        <v>1.3735990409286726E-2</v>
      </c>
      <c r="AK34" s="8">
        <v>1.8019349108573644E-2</v>
      </c>
      <c r="AL34" s="8">
        <v>1.691005113817869E-2</v>
      </c>
      <c r="AM34" s="8">
        <v>1.608357188553261E-2</v>
      </c>
      <c r="AN34" s="8">
        <v>2.840178698646555E-2</v>
      </c>
      <c r="AO34" s="8">
        <v>1.9135091442827819E-2</v>
      </c>
      <c r="AP34" s="8">
        <v>2.4245010347744015E-2</v>
      </c>
      <c r="AQ34" s="8">
        <v>1.2874706347782705E-2</v>
      </c>
      <c r="AR34" s="8">
        <v>2.751694343270436E-2</v>
      </c>
      <c r="AS34" s="8">
        <v>2.184749920148123E-2</v>
      </c>
      <c r="AU34" s="6" t="s">
        <v>137</v>
      </c>
      <c r="AV34" s="6" t="s">
        <v>106</v>
      </c>
      <c r="AW34" s="8">
        <v>0.10035573818301423</v>
      </c>
      <c r="AX34" s="8">
        <v>0.10230693746214506</v>
      </c>
      <c r="AY34" s="8">
        <v>9.1087609226385868E-2</v>
      </c>
      <c r="AZ34" s="8">
        <v>0.10479375741763108</v>
      </c>
      <c r="BA34" s="7">
        <v>0.15199399487781587</v>
      </c>
      <c r="BB34" s="8">
        <v>0.11078135810479729</v>
      </c>
      <c r="BC34" s="8">
        <v>0.15551488693916637</v>
      </c>
      <c r="BD34" s="8">
        <v>0.16348767240367357</v>
      </c>
      <c r="BE34" s="8">
        <v>0.12311977839671391</v>
      </c>
      <c r="BF34" s="8">
        <v>0.14802805858228457</v>
      </c>
      <c r="BG34" s="8">
        <v>0.10269166563446532</v>
      </c>
      <c r="BH34" s="7">
        <v>0.10368753916898042</v>
      </c>
      <c r="BR34" s="6" t="s">
        <v>137</v>
      </c>
      <c r="BS34" s="8">
        <v>0.61472093463493771</v>
      </c>
      <c r="BT34" s="8">
        <v>0.60413695094343789</v>
      </c>
      <c r="BU34" s="7">
        <v>0.63583511570296081</v>
      </c>
      <c r="BV34" s="8">
        <v>0.56868284200549091</v>
      </c>
      <c r="BW34" s="8">
        <v>0.50759951175208229</v>
      </c>
      <c r="BX34" s="8">
        <v>0.57089735775134876</v>
      </c>
      <c r="BY34" s="8">
        <v>0.45189329081467411</v>
      </c>
      <c r="BZ34" s="8">
        <v>0.44557989191570135</v>
      </c>
      <c r="CA34" s="8">
        <v>0.53270781409219781</v>
      </c>
      <c r="CB34" s="7">
        <v>0.53465044622310787</v>
      </c>
      <c r="CC34" s="8">
        <v>0.5658201383231054</v>
      </c>
      <c r="CD34" s="8">
        <v>0.5994509066618815</v>
      </c>
      <c r="CF34" s="6" t="s">
        <v>138</v>
      </c>
      <c r="CG34" s="6" t="s">
        <v>112</v>
      </c>
      <c r="CH34" s="6" t="s">
        <v>113</v>
      </c>
      <c r="CI34" s="8">
        <v>0.50796701206925543</v>
      </c>
    </row>
    <row r="35" spans="2:87" x14ac:dyDescent="0.45">
      <c r="B35" s="3" t="s">
        <v>139</v>
      </c>
      <c r="C35" s="3" t="s">
        <v>103</v>
      </c>
      <c r="D35" s="5">
        <v>0.24515888305068737</v>
      </c>
      <c r="E35" s="5">
        <v>0.23886476060852352</v>
      </c>
      <c r="F35" s="5">
        <v>0.24910318355746822</v>
      </c>
      <c r="G35" s="5">
        <v>0.30036949491965459</v>
      </c>
      <c r="H35" s="5">
        <v>0.3039596518520723</v>
      </c>
      <c r="I35" s="5">
        <v>0.29408526579437411</v>
      </c>
      <c r="J35" s="5">
        <v>0.37168511719901481</v>
      </c>
      <c r="K35" s="5">
        <v>0.40226023477790301</v>
      </c>
      <c r="L35" s="5">
        <v>0.32856410936671193</v>
      </c>
      <c r="M35" s="5">
        <v>0.23472679854733569</v>
      </c>
      <c r="N35" s="5">
        <v>0.25469868414267927</v>
      </c>
      <c r="O35" s="5">
        <v>0.21740197656079507</v>
      </c>
      <c r="Q35" s="3" t="s">
        <v>139</v>
      </c>
      <c r="R35" s="3" t="s">
        <v>104</v>
      </c>
      <c r="S35" s="5">
        <v>1.3319647409316659E-2</v>
      </c>
      <c r="T35" s="5">
        <v>1.4358693640458595E-2</v>
      </c>
      <c r="U35" s="5">
        <v>1.3636412496376423E-2</v>
      </c>
      <c r="V35" s="5">
        <v>9.445038565765191E-3</v>
      </c>
      <c r="W35" s="5">
        <v>1.5953029132325401E-2</v>
      </c>
      <c r="X35" s="5">
        <v>1.2789608073784313E-2</v>
      </c>
      <c r="Y35" s="5">
        <v>2.1808279884749097E-2</v>
      </c>
      <c r="Z35" s="5">
        <v>3.9041056560047666E-2</v>
      </c>
      <c r="AA35" s="5">
        <v>3.1751310648839258E-2</v>
      </c>
      <c r="AB35" s="5">
        <v>1.7836898054940271E-2</v>
      </c>
      <c r="AC35" s="5">
        <v>1.5127230907026133E-2</v>
      </c>
      <c r="AD35" s="5">
        <v>1.2390685585054257E-2</v>
      </c>
      <c r="AF35" s="3" t="s">
        <v>139</v>
      </c>
      <c r="AG35" s="3" t="s">
        <v>105</v>
      </c>
      <c r="AH35" s="5">
        <v>1.6142221887578457E-2</v>
      </c>
      <c r="AI35" s="5">
        <v>1.509942892238858E-2</v>
      </c>
      <c r="AJ35" s="5">
        <v>1.886036824752732E-2</v>
      </c>
      <c r="AK35" s="5">
        <v>1.9159667505866184E-2</v>
      </c>
      <c r="AL35" s="5">
        <v>1.114993794189841E-2</v>
      </c>
      <c r="AM35" s="5">
        <v>3.0534570606504066E-2</v>
      </c>
      <c r="AN35" s="5">
        <v>3.9198042474730327E-2</v>
      </c>
      <c r="AO35" s="5">
        <v>4.851442158173444E-2</v>
      </c>
      <c r="AP35" s="5">
        <v>3.7065273719021033E-2</v>
      </c>
      <c r="AQ35" s="5">
        <v>1.8233580724100949E-2</v>
      </c>
      <c r="AR35" s="5">
        <v>1.8390566863679479E-2</v>
      </c>
      <c r="AS35" s="5">
        <v>1.4058026948149978E-2</v>
      </c>
      <c r="AU35" s="3" t="s">
        <v>139</v>
      </c>
      <c r="AV35" s="3" t="s">
        <v>106</v>
      </c>
      <c r="AW35" s="5">
        <v>8.854944658478571E-2</v>
      </c>
      <c r="AX35" s="5">
        <v>8.3021527266067804E-2</v>
      </c>
      <c r="AY35" s="5">
        <v>7.9216129787446771E-2</v>
      </c>
      <c r="AZ35" s="5">
        <v>0.14035462352406911</v>
      </c>
      <c r="BA35" s="4">
        <v>0.14154914583314732</v>
      </c>
      <c r="BB35" s="5">
        <v>0.11645551063992125</v>
      </c>
      <c r="BC35" s="5">
        <v>0.1789403529751411</v>
      </c>
      <c r="BD35" s="5">
        <v>0.17768047823003907</v>
      </c>
      <c r="BE35" s="5">
        <v>0.13788379925713914</v>
      </c>
      <c r="BF35" s="5">
        <v>8.2471124284667685E-2</v>
      </c>
      <c r="BG35" s="5">
        <v>0.1010841569608857</v>
      </c>
      <c r="BH35" s="4">
        <v>8.5730898786355009E-2</v>
      </c>
      <c r="BR35" s="3" t="s">
        <v>139</v>
      </c>
      <c r="BS35" s="5">
        <v>0.63723436532776101</v>
      </c>
      <c r="BT35" s="5">
        <v>0.6347926444091756</v>
      </c>
      <c r="BU35" s="4">
        <v>0.64074530521525463</v>
      </c>
      <c r="BV35" s="5">
        <v>0.51567922922039044</v>
      </c>
      <c r="BW35" s="5">
        <v>0.5114603840189752</v>
      </c>
      <c r="BX35" s="5">
        <v>0.52197779633609498</v>
      </c>
      <c r="BY35" s="5">
        <v>0.28150896387782709</v>
      </c>
      <c r="BZ35" s="5">
        <v>0.28252261580472365</v>
      </c>
      <c r="CA35" s="5">
        <v>0.34494981020634641</v>
      </c>
      <c r="CB35" s="4">
        <v>0.58332652192529455</v>
      </c>
      <c r="CC35" s="5">
        <v>0.57259862871484535</v>
      </c>
      <c r="CD35" s="5">
        <v>0.60470180325529233</v>
      </c>
      <c r="CF35" s="3" t="s">
        <v>140</v>
      </c>
      <c r="CG35" s="3" t="s">
        <v>112</v>
      </c>
      <c r="CH35" s="3" t="s">
        <v>113</v>
      </c>
      <c r="CI35" s="5">
        <v>0.51928630154176891</v>
      </c>
    </row>
    <row r="36" spans="2:87" x14ac:dyDescent="0.45">
      <c r="B36" s="6" t="s">
        <v>141</v>
      </c>
      <c r="C36" s="6" t="s">
        <v>103</v>
      </c>
      <c r="D36" s="8">
        <v>0.21306047919258317</v>
      </c>
      <c r="E36" s="8">
        <v>0.20220708169212862</v>
      </c>
      <c r="F36" s="8">
        <v>0.21622923405838754</v>
      </c>
      <c r="G36" s="8">
        <v>0.28200475506267786</v>
      </c>
      <c r="H36" s="8">
        <v>0.2933726999262623</v>
      </c>
      <c r="I36" s="8">
        <v>0.28154276791555533</v>
      </c>
      <c r="J36" s="8">
        <v>0.31872899231281171</v>
      </c>
      <c r="K36" s="8">
        <v>0.33617071850822805</v>
      </c>
      <c r="L36" s="8">
        <v>0.31483529580916697</v>
      </c>
      <c r="M36" s="8">
        <v>0.20721981391177363</v>
      </c>
      <c r="N36" s="8">
        <v>0.21544686837370869</v>
      </c>
      <c r="O36" s="8">
        <v>0.19778381936826683</v>
      </c>
      <c r="Q36" s="6" t="s">
        <v>141</v>
      </c>
      <c r="R36" s="6" t="s">
        <v>104</v>
      </c>
      <c r="S36" s="8">
        <v>1.5054351551731258E-2</v>
      </c>
      <c r="T36" s="8">
        <v>7.8269769980214392E-3</v>
      </c>
      <c r="U36" s="8">
        <v>1.5995807043683259E-2</v>
      </c>
      <c r="V36" s="8">
        <v>6.9632536336398185E-3</v>
      </c>
      <c r="W36" s="8">
        <v>1.223205286555323E-2</v>
      </c>
      <c r="X36" s="8">
        <v>1.482467496386646E-2</v>
      </c>
      <c r="Y36" s="8">
        <v>2.7120191237016651E-2</v>
      </c>
      <c r="Z36" s="8">
        <v>2.0530910451738275E-2</v>
      </c>
      <c r="AA36" s="8">
        <v>1.3351643766360864E-2</v>
      </c>
      <c r="AB36" s="8">
        <v>1.3373038921008058E-2</v>
      </c>
      <c r="AC36" s="8">
        <v>9.38887818472205E-3</v>
      </c>
      <c r="AD36" s="8">
        <v>1.2085433644233859E-2</v>
      </c>
      <c r="AF36" s="6" t="s">
        <v>141</v>
      </c>
      <c r="AG36" s="6" t="s">
        <v>105</v>
      </c>
      <c r="AH36" s="8">
        <v>1.6042049409971278E-2</v>
      </c>
      <c r="AI36" s="8">
        <v>1.3951482357230307E-2</v>
      </c>
      <c r="AJ36" s="8">
        <v>1.0171985781913157E-2</v>
      </c>
      <c r="AK36" s="8">
        <v>1.6793235422670829E-2</v>
      </c>
      <c r="AL36" s="8">
        <v>9.8527501065729557E-3</v>
      </c>
      <c r="AM36" s="8">
        <v>2.4383410120067717E-2</v>
      </c>
      <c r="AN36" s="8">
        <v>3.7825457943938517E-2</v>
      </c>
      <c r="AO36" s="8">
        <v>3.5581325218120873E-2</v>
      </c>
      <c r="AP36" s="8">
        <v>2.9296429869728993E-2</v>
      </c>
      <c r="AQ36" s="8">
        <v>1.7860558883147467E-2</v>
      </c>
      <c r="AR36" s="8">
        <v>1.274481288178736E-2</v>
      </c>
      <c r="AS36" s="8">
        <v>1.1870184468387624E-2</v>
      </c>
      <c r="AU36" s="6" t="s">
        <v>141</v>
      </c>
      <c r="AV36" s="6" t="s">
        <v>106</v>
      </c>
      <c r="AW36" s="8">
        <v>6.3504996823537024E-2</v>
      </c>
      <c r="AX36" s="8">
        <v>6.9101345186164079E-2</v>
      </c>
      <c r="AY36" s="8">
        <v>7.5201765819935068E-2</v>
      </c>
      <c r="AZ36" s="8">
        <v>0.11717148258330735</v>
      </c>
      <c r="BA36" s="7">
        <v>0.13103825157071958</v>
      </c>
      <c r="BB36" s="8">
        <v>0.10337380819013092</v>
      </c>
      <c r="BC36" s="8">
        <v>0.13335585154360619</v>
      </c>
      <c r="BD36" s="8">
        <v>0.16163929259674731</v>
      </c>
      <c r="BE36" s="8">
        <v>0.15695208140841335</v>
      </c>
      <c r="BF36" s="8">
        <v>7.2600515538434884E-2</v>
      </c>
      <c r="BG36" s="8">
        <v>8.4970384624156362E-2</v>
      </c>
      <c r="BH36" s="7">
        <v>7.2541044253054673E-2</v>
      </c>
      <c r="BR36" s="6" t="s">
        <v>141</v>
      </c>
      <c r="BS36" s="8">
        <v>0.68788988758043945</v>
      </c>
      <c r="BT36" s="8">
        <v>0.68578391501489622</v>
      </c>
      <c r="BU36" s="7">
        <v>0.66675353442600005</v>
      </c>
      <c r="BV36" s="8">
        <v>0.57528013952293755</v>
      </c>
      <c r="BW36" s="8">
        <v>0.54593217461785548</v>
      </c>
      <c r="BX36" s="8">
        <v>0.56754247115630729</v>
      </c>
      <c r="BY36" s="8">
        <v>0.3566141345634693</v>
      </c>
      <c r="BZ36" s="8">
        <v>0.35144772482741832</v>
      </c>
      <c r="CA36" s="8">
        <v>0.37188981339287669</v>
      </c>
      <c r="CB36" s="7">
        <v>0.64443913286628318</v>
      </c>
      <c r="CC36" s="8">
        <v>0.63134155181653417</v>
      </c>
      <c r="CD36" s="8">
        <v>0.66398997259932035</v>
      </c>
      <c r="CF36" s="6" t="s">
        <v>142</v>
      </c>
      <c r="CG36" s="6" t="s">
        <v>112</v>
      </c>
      <c r="CH36" s="6" t="s">
        <v>113</v>
      </c>
      <c r="CI36" s="8">
        <v>0.59745415947385361</v>
      </c>
    </row>
    <row r="37" spans="2:87" x14ac:dyDescent="0.45">
      <c r="B37" s="3" t="s">
        <v>143</v>
      </c>
      <c r="C37" s="3" t="s">
        <v>103</v>
      </c>
      <c r="D37" s="5">
        <v>0.21613453763712123</v>
      </c>
      <c r="E37" s="5">
        <v>0.21421345038709419</v>
      </c>
      <c r="F37" s="5">
        <v>0.2065672403274233</v>
      </c>
      <c r="G37" s="5">
        <v>0.31941319874211949</v>
      </c>
      <c r="H37" s="5">
        <v>0.33156051033216971</v>
      </c>
      <c r="I37" s="5">
        <v>0.28635713847907518</v>
      </c>
      <c r="J37" s="5">
        <v>0.30564730384775579</v>
      </c>
      <c r="K37" s="5">
        <v>0.32114942893514414</v>
      </c>
      <c r="L37" s="5">
        <v>0.32541564333167144</v>
      </c>
      <c r="M37" s="5">
        <v>0.23748406699541713</v>
      </c>
      <c r="N37" s="5">
        <v>0.24094859571083041</v>
      </c>
      <c r="O37" s="5">
        <v>0.22206848872010837</v>
      </c>
      <c r="Q37" s="3" t="s">
        <v>143</v>
      </c>
      <c r="R37" s="3" t="s">
        <v>104</v>
      </c>
      <c r="S37" s="5">
        <v>1.2434642444050764E-2</v>
      </c>
      <c r="T37" s="5">
        <v>1.2490983605975637E-2</v>
      </c>
      <c r="U37" s="5">
        <v>1.5891055875181217E-2</v>
      </c>
      <c r="V37" s="5">
        <v>1.396148579076488E-2</v>
      </c>
      <c r="W37" s="5">
        <v>1.8209384332011868E-2</v>
      </c>
      <c r="X37" s="5">
        <v>1.7228646315596615E-2</v>
      </c>
      <c r="Y37" s="5">
        <v>1.6510028999582226E-2</v>
      </c>
      <c r="Z37" s="5">
        <v>1.8030664339668052E-2</v>
      </c>
      <c r="AA37" s="5">
        <v>1.4507468520422707E-2</v>
      </c>
      <c r="AB37" s="5">
        <v>1.0935837370781045E-2</v>
      </c>
      <c r="AC37" s="5">
        <v>1.2862732861511643E-2</v>
      </c>
      <c r="AD37" s="5">
        <v>1.3912223891212876E-2</v>
      </c>
      <c r="AF37" s="3" t="s">
        <v>143</v>
      </c>
      <c r="AG37" s="3" t="s">
        <v>105</v>
      </c>
      <c r="AH37" s="5">
        <v>1.4305089469143708E-2</v>
      </c>
      <c r="AI37" s="5">
        <v>1.1831153110121959E-2</v>
      </c>
      <c r="AJ37" s="5">
        <v>9.6091078848305009E-3</v>
      </c>
      <c r="AK37" s="5">
        <v>2.3790912370516774E-2</v>
      </c>
      <c r="AL37" s="5">
        <v>1.6337585455338637E-2</v>
      </c>
      <c r="AM37" s="5">
        <v>2.9066232164207298E-2</v>
      </c>
      <c r="AN37" s="5">
        <v>1.5122639589453308E-2</v>
      </c>
      <c r="AO37" s="5">
        <v>3.5204420833990835E-2</v>
      </c>
      <c r="AP37" s="5">
        <v>2.5649325185153667E-2</v>
      </c>
      <c r="AQ37" s="5">
        <v>1.869341303767182E-2</v>
      </c>
      <c r="AR37" s="5">
        <v>1.1991454028712841E-2</v>
      </c>
      <c r="AS37" s="5">
        <v>1.3009908147823285E-2</v>
      </c>
      <c r="AU37" s="3" t="s">
        <v>143</v>
      </c>
      <c r="AV37" s="3" t="s">
        <v>106</v>
      </c>
      <c r="AW37" s="5">
        <v>6.7882622166608036E-2</v>
      </c>
      <c r="AX37" s="5">
        <v>7.3431247187223034E-2</v>
      </c>
      <c r="AY37" s="5">
        <v>6.5459583693010651E-2</v>
      </c>
      <c r="AZ37" s="5">
        <v>0.13538684321104463</v>
      </c>
      <c r="BA37" s="4">
        <v>0.15439292175827798</v>
      </c>
      <c r="BB37" s="5">
        <v>0.10734618042603035</v>
      </c>
      <c r="BC37" s="5">
        <v>0.16060703962060729</v>
      </c>
      <c r="BD37" s="5">
        <v>0.13910307805131233</v>
      </c>
      <c r="BE37" s="5">
        <v>0.16516735767635032</v>
      </c>
      <c r="BF37" s="5">
        <v>8.5665641204138374E-2</v>
      </c>
      <c r="BG37" s="5">
        <v>9.5972919002214094E-2</v>
      </c>
      <c r="BH37" s="4">
        <v>8.1808810192072187E-2</v>
      </c>
      <c r="BR37" s="3" t="s">
        <v>143</v>
      </c>
      <c r="BS37" s="5">
        <v>0.68049668968339883</v>
      </c>
      <c r="BT37" s="5">
        <v>0.66512405186377044</v>
      </c>
      <c r="BU37" s="4">
        <v>0.68008499658459198</v>
      </c>
      <c r="BV37" s="5">
        <v>0.51615906104209219</v>
      </c>
      <c r="BW37" s="5">
        <v>0.50169627021846075</v>
      </c>
      <c r="BX37" s="5">
        <v>0.55319330585669579</v>
      </c>
      <c r="BY37" s="5">
        <v>0.39983218185446395</v>
      </c>
      <c r="BZ37" s="5">
        <v>0.40642572832747303</v>
      </c>
      <c r="CA37" s="5">
        <v>0.39621123930021129</v>
      </c>
      <c r="CB37" s="4">
        <v>0.62982323537855645</v>
      </c>
      <c r="CC37" s="5">
        <v>0.6121525594767705</v>
      </c>
      <c r="CD37" s="5">
        <v>0.63999395495683853</v>
      </c>
      <c r="CF37" s="3" t="s">
        <v>144</v>
      </c>
      <c r="CG37" s="3" t="s">
        <v>112</v>
      </c>
      <c r="CH37" s="3" t="s">
        <v>113</v>
      </c>
      <c r="CI37" s="5">
        <v>0.70427651612747122</v>
      </c>
    </row>
    <row r="38" spans="2:87" x14ac:dyDescent="0.45">
      <c r="B38" s="6" t="s">
        <v>145</v>
      </c>
      <c r="C38" s="6" t="s">
        <v>103</v>
      </c>
      <c r="D38" s="8">
        <v>0.19956962762686573</v>
      </c>
      <c r="E38" s="8">
        <v>0.19112756055907626</v>
      </c>
      <c r="F38" s="8">
        <v>0.19618524978953428</v>
      </c>
      <c r="G38" s="8">
        <v>0.31427576517914041</v>
      </c>
      <c r="H38" s="8">
        <v>0.30843782888477833</v>
      </c>
      <c r="I38" s="8">
        <v>0.28179331849136191</v>
      </c>
      <c r="J38" s="8">
        <v>0.30646783720329218</v>
      </c>
      <c r="K38" s="8">
        <v>0.30196283362297099</v>
      </c>
      <c r="L38" s="8">
        <v>0.3235539169175376</v>
      </c>
      <c r="M38" s="8">
        <v>0.24587413252818688</v>
      </c>
      <c r="N38" s="8">
        <v>0.2546274935367342</v>
      </c>
      <c r="O38" s="8">
        <v>0.25331071740628724</v>
      </c>
      <c r="Q38" s="6" t="s">
        <v>145</v>
      </c>
      <c r="R38" s="6" t="s">
        <v>104</v>
      </c>
      <c r="S38" s="8">
        <v>1.156483606018124E-2</v>
      </c>
      <c r="T38" s="8">
        <v>1.3113086976879388E-2</v>
      </c>
      <c r="U38" s="8">
        <v>1.5474186940908949E-2</v>
      </c>
      <c r="V38" s="8">
        <v>9.1396871620171172E-3</v>
      </c>
      <c r="W38" s="8">
        <v>2.0308567410080539E-2</v>
      </c>
      <c r="X38" s="8">
        <v>1.8043125838718376E-2</v>
      </c>
      <c r="Y38" s="8">
        <v>1.475592339424219E-2</v>
      </c>
      <c r="Z38" s="8">
        <v>1.1867731684990952E-2</v>
      </c>
      <c r="AA38" s="8">
        <v>1.7449961288671854E-2</v>
      </c>
      <c r="AB38" s="8">
        <v>9.7985052045025181E-3</v>
      </c>
      <c r="AC38" s="8">
        <v>1.3302596767413254E-2</v>
      </c>
      <c r="AD38" s="8">
        <v>2.1165944352811609E-2</v>
      </c>
      <c r="AF38" s="6" t="s">
        <v>145</v>
      </c>
      <c r="AG38" s="6" t="s">
        <v>105</v>
      </c>
      <c r="AH38" s="8">
        <v>1.333537214812257E-2</v>
      </c>
      <c r="AI38" s="8">
        <v>1.5899277299357143E-2</v>
      </c>
      <c r="AJ38" s="8">
        <v>8.9346706675124954E-3</v>
      </c>
      <c r="AK38" s="8">
        <v>2.2474078995206422E-2</v>
      </c>
      <c r="AL38" s="8">
        <v>1.1225899296326457E-2</v>
      </c>
      <c r="AM38" s="8">
        <v>3.1667502138133699E-2</v>
      </c>
      <c r="AN38" s="8">
        <v>2.1292784334997188E-2</v>
      </c>
      <c r="AO38" s="8">
        <v>1.930410606488912E-2</v>
      </c>
      <c r="AP38" s="8">
        <v>2.1038048682849496E-2</v>
      </c>
      <c r="AQ38" s="8">
        <v>1.5323075595114059E-2</v>
      </c>
      <c r="AR38" s="8">
        <v>9.6076124350045547E-3</v>
      </c>
      <c r="AS38" s="8">
        <v>2.1929355425110698E-2</v>
      </c>
      <c r="AU38" s="6" t="s">
        <v>145</v>
      </c>
      <c r="AV38" s="6" t="s">
        <v>106</v>
      </c>
      <c r="AW38" s="8">
        <v>5.9286508566478095E-2</v>
      </c>
      <c r="AX38" s="8">
        <v>5.3705112146584209E-2</v>
      </c>
      <c r="AY38" s="8">
        <v>6.1039849849389573E-2</v>
      </c>
      <c r="AZ38" s="8">
        <v>0.13197275341982251</v>
      </c>
      <c r="BA38" s="7">
        <v>0.13883828560720274</v>
      </c>
      <c r="BB38" s="8">
        <v>9.2794768478111245E-2</v>
      </c>
      <c r="BC38" s="8">
        <v>0.14326811443312581</v>
      </c>
      <c r="BD38" s="8">
        <v>0.14541761261070255</v>
      </c>
      <c r="BE38" s="8">
        <v>0.14446083983812194</v>
      </c>
      <c r="BF38" s="8">
        <v>9.3996836777219553E-2</v>
      </c>
      <c r="BG38" s="8">
        <v>0.10850883543844554</v>
      </c>
      <c r="BH38" s="7">
        <v>7.7860162406741623E-2</v>
      </c>
      <c r="BR38" s="6" t="s">
        <v>145</v>
      </c>
      <c r="BS38" s="8">
        <v>0.71427698566879427</v>
      </c>
      <c r="BT38" s="8">
        <v>0.72219707348982565</v>
      </c>
      <c r="BU38" s="7">
        <v>0.72221783587884281</v>
      </c>
      <c r="BV38" s="8">
        <v>0.55244252482825151</v>
      </c>
      <c r="BW38" s="8">
        <v>0.54459607725607861</v>
      </c>
      <c r="BX38" s="8">
        <v>0.59614865299494524</v>
      </c>
      <c r="BY38" s="8">
        <v>0.50290722845040192</v>
      </c>
      <c r="BZ38" s="8">
        <v>0.49799460295987119</v>
      </c>
      <c r="CA38" s="8">
        <v>0.50365724955981539</v>
      </c>
      <c r="CB38" s="7">
        <v>0.64613520747843334</v>
      </c>
      <c r="CC38" s="8">
        <v>0.617494030163942</v>
      </c>
      <c r="CD38" s="8">
        <v>0.64257929330674257</v>
      </c>
      <c r="CF38" s="6" t="s">
        <v>146</v>
      </c>
      <c r="CG38" s="6" t="s">
        <v>112</v>
      </c>
      <c r="CH38" s="6" t="s">
        <v>113</v>
      </c>
      <c r="CI38" s="8">
        <v>0.6385122198846942</v>
      </c>
    </row>
    <row r="39" spans="2:87" x14ac:dyDescent="0.45">
      <c r="B39" s="3" t="s">
        <v>147</v>
      </c>
      <c r="C39" s="3" t="s">
        <v>103</v>
      </c>
      <c r="D39" s="5">
        <v>0.1738894496752201</v>
      </c>
      <c r="E39" s="5">
        <v>0.17391507166158002</v>
      </c>
      <c r="F39" s="5">
        <v>0.16950406882570346</v>
      </c>
      <c r="G39" s="5">
        <v>0.29341501592873653</v>
      </c>
      <c r="H39" s="5">
        <v>0.2883561787192232</v>
      </c>
      <c r="I39" s="5">
        <v>0.27635136423427453</v>
      </c>
      <c r="J39" s="5">
        <v>0.28536179598371081</v>
      </c>
      <c r="K39" s="5">
        <v>0.29967449514309957</v>
      </c>
      <c r="L39" s="5">
        <v>0.29907012857907594</v>
      </c>
      <c r="M39" s="5">
        <v>0.22272539966181074</v>
      </c>
      <c r="N39" s="5">
        <v>0.22908138502606085</v>
      </c>
      <c r="O39" s="5">
        <v>0.23475881055752543</v>
      </c>
      <c r="Q39" s="3" t="s">
        <v>147</v>
      </c>
      <c r="R39" s="3" t="s">
        <v>104</v>
      </c>
      <c r="S39" s="5">
        <v>1.2016008900411622E-2</v>
      </c>
      <c r="T39" s="5">
        <v>1.1899566130416775E-2</v>
      </c>
      <c r="U39" s="5">
        <v>1.1329305478374036E-2</v>
      </c>
      <c r="V39" s="5">
        <v>7.8852078620730969E-3</v>
      </c>
      <c r="W39" s="5">
        <v>1.5927407827433907E-2</v>
      </c>
      <c r="X39" s="5">
        <v>1.3222158448948822E-2</v>
      </c>
      <c r="Y39" s="5">
        <v>1.0595873431869421E-2</v>
      </c>
      <c r="Z39" s="5">
        <v>8.1846492336850353E-3</v>
      </c>
      <c r="AA39" s="5">
        <v>1.0749689221972539E-2</v>
      </c>
      <c r="AB39" s="5">
        <v>3.3839902729553154E-3</v>
      </c>
      <c r="AC39" s="5">
        <v>1.5763961340025261E-2</v>
      </c>
      <c r="AD39" s="5">
        <v>1.4257575861905561E-2</v>
      </c>
      <c r="AF39" s="3" t="s">
        <v>147</v>
      </c>
      <c r="AG39" s="3" t="s">
        <v>105</v>
      </c>
      <c r="AH39" s="5">
        <v>1.2965862763155282E-2</v>
      </c>
      <c r="AI39" s="5">
        <v>1.2756157210985374E-2</v>
      </c>
      <c r="AJ39" s="5">
        <v>1.1121682627857106E-2</v>
      </c>
      <c r="AK39" s="5">
        <v>1.5376972190513056E-2</v>
      </c>
      <c r="AL39" s="5">
        <v>1.2656042039530994E-2</v>
      </c>
      <c r="AM39" s="5">
        <v>2.4337417398850654E-2</v>
      </c>
      <c r="AN39" s="5">
        <v>1.7858045653639108E-2</v>
      </c>
      <c r="AO39" s="5">
        <v>1.2619069610726083E-2</v>
      </c>
      <c r="AP39" s="5">
        <v>1.6631889744736721E-2</v>
      </c>
      <c r="AQ39" s="5">
        <v>1.2759194248767704E-2</v>
      </c>
      <c r="AR39" s="5">
        <v>1.0836377410681797E-2</v>
      </c>
      <c r="AS39" s="5">
        <v>2.0379812277427276E-2</v>
      </c>
      <c r="AU39" s="3" t="s">
        <v>147</v>
      </c>
      <c r="AV39" s="3" t="s">
        <v>106</v>
      </c>
      <c r="AW39" s="5">
        <v>4.7075226871004155E-2</v>
      </c>
      <c r="AX39" s="5">
        <v>5.6053427148208351E-2</v>
      </c>
      <c r="AY39" s="5">
        <v>4.9248890332142518E-2</v>
      </c>
      <c r="AZ39" s="5">
        <v>0.13850445050423577</v>
      </c>
      <c r="BA39" s="4">
        <v>0.13113455774379754</v>
      </c>
      <c r="BB39" s="5">
        <v>0.10348064736666308</v>
      </c>
      <c r="BC39" s="5">
        <v>0.14006148047336719</v>
      </c>
      <c r="BD39" s="5">
        <v>0.15402341037223491</v>
      </c>
      <c r="BE39" s="5">
        <v>0.1454387572913251</v>
      </c>
      <c r="BF39" s="5">
        <v>9.7699945363040067E-2</v>
      </c>
      <c r="BG39" s="5">
        <v>9.2863452076641317E-2</v>
      </c>
      <c r="BH39" s="4">
        <v>8.2383882562192298E-2</v>
      </c>
      <c r="BR39" s="3" t="s">
        <v>147</v>
      </c>
      <c r="BS39" s="5">
        <v>0.73517392328185216</v>
      </c>
      <c r="BT39" s="5">
        <v>0.71953007164631044</v>
      </c>
      <c r="BU39" s="4">
        <v>0.73721864304156914</v>
      </c>
      <c r="BV39" s="5">
        <v>0.54797498431046465</v>
      </c>
      <c r="BW39" s="5">
        <v>0.55787949771918499</v>
      </c>
      <c r="BX39" s="5">
        <v>0.58986239479826408</v>
      </c>
      <c r="BY39" s="5">
        <v>0.50731077003460423</v>
      </c>
      <c r="BZ39" s="5">
        <v>0.50177012149993105</v>
      </c>
      <c r="CA39" s="5">
        <v>0.50346590516868217</v>
      </c>
      <c r="CB39" s="4">
        <v>0.63040792539090684</v>
      </c>
      <c r="CC39" s="5">
        <v>0.61452436841399449</v>
      </c>
      <c r="CD39" s="5">
        <v>0.63269873247054464</v>
      </c>
      <c r="CF39" s="3" t="s">
        <v>148</v>
      </c>
      <c r="CG39" s="3" t="s">
        <v>112</v>
      </c>
      <c r="CH39" s="3" t="s">
        <v>113</v>
      </c>
      <c r="CI39" s="5">
        <v>0.44339198566498317</v>
      </c>
    </row>
    <row r="40" spans="2:87" x14ac:dyDescent="0.45">
      <c r="B40" s="6" t="s">
        <v>149</v>
      </c>
      <c r="C40" s="6" t="s">
        <v>103</v>
      </c>
      <c r="D40" s="8">
        <v>0.16537480671663929</v>
      </c>
      <c r="E40" s="8">
        <v>0.18918388780076928</v>
      </c>
      <c r="F40" s="8">
        <v>0.1749450048293523</v>
      </c>
      <c r="G40" s="8">
        <v>0.24263475447718791</v>
      </c>
      <c r="H40" s="8">
        <v>0.23829598314031719</v>
      </c>
      <c r="I40" s="8">
        <v>0.23145569984563119</v>
      </c>
      <c r="J40" s="8">
        <v>0.36069996617147015</v>
      </c>
      <c r="K40" s="8">
        <v>0.36916052195172033</v>
      </c>
      <c r="L40" s="8">
        <v>0.32154227938344265</v>
      </c>
      <c r="M40" s="8">
        <v>0.2283261142074991</v>
      </c>
      <c r="N40" s="8">
        <v>0.22888444276237382</v>
      </c>
      <c r="O40" s="8">
        <v>0.2071178537857585</v>
      </c>
      <c r="Q40" s="6" t="s">
        <v>149</v>
      </c>
      <c r="R40" s="6" t="s">
        <v>104</v>
      </c>
      <c r="S40" s="8">
        <v>1.0123778939654E-2</v>
      </c>
      <c r="T40" s="8">
        <v>1.4254192863884204E-2</v>
      </c>
      <c r="U40" s="8">
        <v>6.6346328591968175E-3</v>
      </c>
      <c r="V40" s="8">
        <v>1.1993266501554384E-2</v>
      </c>
      <c r="W40" s="8">
        <v>1.2262194107222547E-2</v>
      </c>
      <c r="X40" s="8">
        <v>6.110818579315125E-3</v>
      </c>
      <c r="Y40" s="8">
        <v>1.955110146164055E-2</v>
      </c>
      <c r="Z40" s="8">
        <v>1.8636781756686642E-2</v>
      </c>
      <c r="AA40" s="8">
        <v>2.8549688284479343E-2</v>
      </c>
      <c r="AB40" s="8">
        <v>1.3045830602756926E-2</v>
      </c>
      <c r="AC40" s="8">
        <v>1.5833600946682198E-2</v>
      </c>
      <c r="AD40" s="8">
        <v>1.5299277445282254E-2</v>
      </c>
      <c r="AF40" s="6" t="s">
        <v>149</v>
      </c>
      <c r="AG40" s="6" t="s">
        <v>105</v>
      </c>
      <c r="AH40" s="8">
        <v>1.0394181177371325E-2</v>
      </c>
      <c r="AI40" s="8">
        <v>1.5136685275651401E-2</v>
      </c>
      <c r="AJ40" s="8">
        <v>1.3584976808140527E-2</v>
      </c>
      <c r="AK40" s="8">
        <v>1.0629274186478122E-2</v>
      </c>
      <c r="AL40" s="8">
        <v>1.4212784672336097E-2</v>
      </c>
      <c r="AM40" s="8">
        <v>1.4686717056364023E-2</v>
      </c>
      <c r="AN40" s="8">
        <v>3.6717261418715605E-2</v>
      </c>
      <c r="AO40" s="8">
        <v>2.112163035876723E-2</v>
      </c>
      <c r="AP40" s="8">
        <v>3.3237410661326863E-2</v>
      </c>
      <c r="AQ40" s="8">
        <v>2.2711430674913363E-2</v>
      </c>
      <c r="AR40" s="8">
        <v>2.4726702874323023E-2</v>
      </c>
      <c r="AS40" s="8">
        <v>8.8761297146391534E-3</v>
      </c>
      <c r="AU40" s="6" t="s">
        <v>149</v>
      </c>
      <c r="AV40" s="6" t="s">
        <v>106</v>
      </c>
      <c r="AW40" s="8">
        <v>5.7365389454180279E-2</v>
      </c>
      <c r="AX40" s="8">
        <v>5.7630457552860136E-2</v>
      </c>
      <c r="AY40" s="8">
        <v>5.8448167140522152E-2</v>
      </c>
      <c r="AZ40" s="8">
        <v>9.6817512194992336E-2</v>
      </c>
      <c r="BA40" s="7">
        <v>9.4718268496824812E-2</v>
      </c>
      <c r="BB40" s="8">
        <v>9.822869588020848E-2</v>
      </c>
      <c r="BC40" s="8">
        <v>0.17351063729302832</v>
      </c>
      <c r="BD40" s="8">
        <v>0.20438543857341615</v>
      </c>
      <c r="BE40" s="8">
        <v>0.14832155438895789</v>
      </c>
      <c r="BF40" s="8">
        <v>8.3573796255921623E-2</v>
      </c>
      <c r="BG40" s="8">
        <v>8.2719930772622866E-2</v>
      </c>
      <c r="BH40" s="7">
        <v>8.7879490675886324E-2</v>
      </c>
      <c r="BR40" s="6" t="s">
        <v>149</v>
      </c>
      <c r="BS40" s="8">
        <v>0.71827331473556488</v>
      </c>
      <c r="BT40" s="8">
        <v>0.69215065953596888</v>
      </c>
      <c r="BU40" s="7">
        <v>0.7183504970539728</v>
      </c>
      <c r="BV40" s="8">
        <v>0.59968334213295182</v>
      </c>
      <c r="BW40" s="8">
        <v>0.5920801982199847</v>
      </c>
      <c r="BX40" s="8">
        <v>0.60292981168971027</v>
      </c>
      <c r="BY40" s="8">
        <v>0.34014817469499992</v>
      </c>
      <c r="BZ40" s="8">
        <v>0.33583717490470893</v>
      </c>
      <c r="CA40" s="8">
        <v>0.35836833027325038</v>
      </c>
      <c r="CB40" s="7">
        <v>0.59002931553867299</v>
      </c>
      <c r="CC40" s="8">
        <v>0.59193797618608524</v>
      </c>
      <c r="CD40" s="8">
        <v>0.60266541849637434</v>
      </c>
      <c r="CF40" s="6" t="s">
        <v>150</v>
      </c>
      <c r="CG40" s="6" t="s">
        <v>112</v>
      </c>
      <c r="CH40" s="6" t="s">
        <v>113</v>
      </c>
      <c r="CI40" s="8">
        <v>0.54945015192308233</v>
      </c>
    </row>
    <row r="41" spans="2:87" x14ac:dyDescent="0.45">
      <c r="B41" s="3" t="s">
        <v>151</v>
      </c>
      <c r="C41" s="3" t="s">
        <v>103</v>
      </c>
      <c r="D41" s="5">
        <v>0.18260142088537931</v>
      </c>
      <c r="E41" s="5">
        <v>0.20597723942439963</v>
      </c>
      <c r="F41" s="5">
        <v>0.1924368934551616</v>
      </c>
      <c r="G41" s="5">
        <v>0.25523511518208525</v>
      </c>
      <c r="H41" s="5">
        <v>0.2594679605459817</v>
      </c>
      <c r="I41" s="5">
        <v>0.24698777635144495</v>
      </c>
      <c r="J41" s="5">
        <v>0.35670341647943987</v>
      </c>
      <c r="K41" s="5">
        <v>0.39646439497337993</v>
      </c>
      <c r="L41" s="5">
        <v>0.34804471145784216</v>
      </c>
      <c r="M41" s="5">
        <v>0.24131620062022571</v>
      </c>
      <c r="N41" s="5">
        <v>0.25280757917015817</v>
      </c>
      <c r="O41" s="5">
        <v>0.22467788189028157</v>
      </c>
      <c r="Q41" s="3" t="s">
        <v>151</v>
      </c>
      <c r="R41" s="3" t="s">
        <v>104</v>
      </c>
      <c r="S41" s="5">
        <v>7.2586740040912392E-3</v>
      </c>
      <c r="T41" s="5">
        <v>1.2106191101504883E-2</v>
      </c>
      <c r="U41" s="5">
        <v>1.1033291422979886E-2</v>
      </c>
      <c r="V41" s="5">
        <v>1.4681731521850951E-2</v>
      </c>
      <c r="W41" s="5">
        <v>1.6463079515840105E-2</v>
      </c>
      <c r="X41" s="5">
        <v>8.6993311742408624E-3</v>
      </c>
      <c r="Y41" s="5">
        <v>3.2515266850510947E-2</v>
      </c>
      <c r="Z41" s="5">
        <v>3.4695386099951014E-2</v>
      </c>
      <c r="AA41" s="5">
        <v>3.9565151881548785E-2</v>
      </c>
      <c r="AB41" s="5">
        <v>1.0938563445323689E-2</v>
      </c>
      <c r="AC41" s="5">
        <v>2.0170370689823958E-2</v>
      </c>
      <c r="AD41" s="5">
        <v>1.5095446782350324E-2</v>
      </c>
      <c r="AF41" s="3" t="s">
        <v>151</v>
      </c>
      <c r="AG41" s="3" t="s">
        <v>105</v>
      </c>
      <c r="AH41" s="5">
        <v>1.0079107909558084E-2</v>
      </c>
      <c r="AI41" s="5">
        <v>1.2703677213633354E-2</v>
      </c>
      <c r="AJ41" s="5">
        <v>1.2884720743385045E-2</v>
      </c>
      <c r="AK41" s="5">
        <v>1.4105062798183986E-2</v>
      </c>
      <c r="AL41" s="5">
        <v>1.472052975310759E-2</v>
      </c>
      <c r="AM41" s="5">
        <v>2.0045836266881556E-2</v>
      </c>
      <c r="AN41" s="5">
        <v>4.1403286028823469E-2</v>
      </c>
      <c r="AO41" s="5">
        <v>4.909141099075829E-2</v>
      </c>
      <c r="AP41" s="5">
        <v>3.8205958550910003E-2</v>
      </c>
      <c r="AQ41" s="5">
        <v>2.2279537457871444E-2</v>
      </c>
      <c r="AR41" s="5">
        <v>2.4590009402429631E-2</v>
      </c>
      <c r="AS41" s="5">
        <v>1.318380691784001E-2</v>
      </c>
      <c r="AU41" s="3" t="s">
        <v>151</v>
      </c>
      <c r="AV41" s="3" t="s">
        <v>106</v>
      </c>
      <c r="AW41" s="5">
        <v>6.4487469743552961E-2</v>
      </c>
      <c r="AX41" s="5">
        <v>6.7810492775607745E-2</v>
      </c>
      <c r="AY41" s="5">
        <v>5.8188417218395849E-2</v>
      </c>
      <c r="AZ41" s="5">
        <v>9.4606219612362805E-2</v>
      </c>
      <c r="BA41" s="4">
        <v>0.10047867805155385</v>
      </c>
      <c r="BB41" s="5">
        <v>9.4446909316314331E-2</v>
      </c>
      <c r="BC41" s="5">
        <v>0.15861471803784027</v>
      </c>
      <c r="BD41" s="5">
        <v>0.18182749233485165</v>
      </c>
      <c r="BE41" s="5">
        <v>0.14724554620848274</v>
      </c>
      <c r="BF41" s="5">
        <v>9.5218688971410892E-2</v>
      </c>
      <c r="BG41" s="5">
        <v>9.0355662864235534E-2</v>
      </c>
      <c r="BH41" s="4">
        <v>9.0061712832179119E-2</v>
      </c>
      <c r="BR41" s="3" t="s">
        <v>151</v>
      </c>
      <c r="BS41" s="5">
        <v>0.71632546136230246</v>
      </c>
      <c r="BT41" s="5">
        <v>0.68880121325969634</v>
      </c>
      <c r="BU41" s="4">
        <v>0.71603970746175982</v>
      </c>
      <c r="BV41" s="5">
        <v>0.60990476026507578</v>
      </c>
      <c r="BW41" s="5">
        <v>0.58912941449202683</v>
      </c>
      <c r="BX41" s="5">
        <v>0.60161609225441237</v>
      </c>
      <c r="BY41" s="5">
        <v>0.33532035593092652</v>
      </c>
      <c r="BZ41" s="5">
        <v>0.32564141018373904</v>
      </c>
      <c r="CA41" s="5">
        <v>0.34947470613354226</v>
      </c>
      <c r="CB41" s="4">
        <v>0.58928143233380803</v>
      </c>
      <c r="CC41" s="5">
        <v>0.58625180057318815</v>
      </c>
      <c r="CD41" s="5">
        <v>0.60739199093440976</v>
      </c>
      <c r="CF41" s="3" t="s">
        <v>152</v>
      </c>
      <c r="CG41" s="3" t="s">
        <v>112</v>
      </c>
      <c r="CH41" s="3" t="s">
        <v>113</v>
      </c>
      <c r="CI41" s="5">
        <v>0.51664664566219132</v>
      </c>
    </row>
    <row r="42" spans="2:87" x14ac:dyDescent="0.45">
      <c r="B42" s="6" t="s">
        <v>153</v>
      </c>
      <c r="C42" s="6" t="s">
        <v>103</v>
      </c>
      <c r="D42" s="8">
        <v>0.30508299892461549</v>
      </c>
      <c r="E42" s="8">
        <v>0.31038234356978778</v>
      </c>
      <c r="F42" s="8">
        <v>0.30822242648284603</v>
      </c>
      <c r="G42" s="8">
        <v>0.35204008028389416</v>
      </c>
      <c r="H42" s="8">
        <v>0.34652796742830755</v>
      </c>
      <c r="I42" s="8">
        <v>0.33786072331515232</v>
      </c>
      <c r="J42" s="8">
        <v>0.39028300942965061</v>
      </c>
      <c r="K42" s="8">
        <v>0.43000118245390112</v>
      </c>
      <c r="L42" s="8">
        <v>0.34175992103276265</v>
      </c>
      <c r="M42" s="8">
        <v>0.29537116987147077</v>
      </c>
      <c r="N42" s="8">
        <v>0.30981345469523419</v>
      </c>
      <c r="O42" s="8">
        <v>0.2795519250042951</v>
      </c>
      <c r="Q42" s="6" t="s">
        <v>153</v>
      </c>
      <c r="R42" s="6" t="s">
        <v>104</v>
      </c>
      <c r="S42" s="8">
        <v>1.4320590582943452E-2</v>
      </c>
      <c r="T42" s="8">
        <v>1.933287268877899E-2</v>
      </c>
      <c r="U42" s="8">
        <v>1.9711697398427493E-2</v>
      </c>
      <c r="V42" s="8">
        <v>1.7138689156858997E-2</v>
      </c>
      <c r="W42" s="8">
        <v>2.7813253855903823E-2</v>
      </c>
      <c r="X42" s="8">
        <v>2.1387853440029712E-2</v>
      </c>
      <c r="Y42" s="8">
        <v>5.1598992275348698E-2</v>
      </c>
      <c r="Z42" s="8">
        <v>3.4234020560647435E-2</v>
      </c>
      <c r="AA42" s="8">
        <v>1.1353373706735974E-2</v>
      </c>
      <c r="AB42" s="8">
        <v>2.6664021180168238E-2</v>
      </c>
      <c r="AC42" s="8">
        <v>2.5837691684946616E-2</v>
      </c>
      <c r="AD42" s="8">
        <v>2.374645192748117E-2</v>
      </c>
      <c r="AF42" s="6" t="s">
        <v>153</v>
      </c>
      <c r="AG42" s="6" t="s">
        <v>105</v>
      </c>
      <c r="AH42" s="8">
        <v>2.8382616557677036E-2</v>
      </c>
      <c r="AI42" s="8">
        <v>2.0729751748897338E-2</v>
      </c>
      <c r="AJ42" s="8">
        <v>2.3871174539229979E-2</v>
      </c>
      <c r="AK42" s="8">
        <v>3.5507490561195225E-2</v>
      </c>
      <c r="AL42" s="8">
        <v>2.2617301907214594E-2</v>
      </c>
      <c r="AM42" s="8">
        <v>3.877914043979766E-2</v>
      </c>
      <c r="AN42" s="8">
        <v>3.4645220981200306E-2</v>
      </c>
      <c r="AO42" s="8">
        <v>4.0033924299991544E-2</v>
      </c>
      <c r="AP42" s="8">
        <v>3.5016863130312437E-2</v>
      </c>
      <c r="AQ42" s="8">
        <v>4.087774944508183E-2</v>
      </c>
      <c r="AR42" s="8">
        <v>2.1691239505927284E-2</v>
      </c>
      <c r="AS42" s="8">
        <v>2.0706191952097268E-2</v>
      </c>
      <c r="AU42" s="6" t="s">
        <v>153</v>
      </c>
      <c r="AV42" s="6" t="s">
        <v>106</v>
      </c>
      <c r="AW42" s="8">
        <v>0.12489298203292758</v>
      </c>
      <c r="AX42" s="8">
        <v>0.1305855833156406</v>
      </c>
      <c r="AY42" s="8">
        <v>0.1194412848179528</v>
      </c>
      <c r="AZ42" s="8">
        <v>0.17674173023903711</v>
      </c>
      <c r="BA42" s="7">
        <v>0.1612007143304986</v>
      </c>
      <c r="BB42" s="8">
        <v>0.1531734671175998</v>
      </c>
      <c r="BC42" s="8">
        <v>0.16404728790910547</v>
      </c>
      <c r="BD42" s="8">
        <v>0.22442085104740431</v>
      </c>
      <c r="BE42" s="8">
        <v>0.18968665975653073</v>
      </c>
      <c r="BF42" s="8">
        <v>0.10831815700724078</v>
      </c>
      <c r="BG42" s="8">
        <v>0.13600235327328988</v>
      </c>
      <c r="BH42" s="7">
        <v>0.12076612930645612</v>
      </c>
      <c r="BR42" s="6" t="s">
        <v>153</v>
      </c>
      <c r="BS42" s="8">
        <v>0.52402042370651747</v>
      </c>
      <c r="BT42" s="8">
        <v>0.51171416353020405</v>
      </c>
      <c r="BU42" s="7">
        <v>0.53226942983779335</v>
      </c>
      <c r="BV42" s="8">
        <v>0.38974221764447459</v>
      </c>
      <c r="BW42" s="8">
        <v>0.43962602558578667</v>
      </c>
      <c r="BX42" s="8">
        <v>0.40048097529738763</v>
      </c>
      <c r="BY42" s="8">
        <v>0.19719708983077155</v>
      </c>
      <c r="BZ42" s="8">
        <v>0.23997156921516011</v>
      </c>
      <c r="CA42" s="8">
        <v>0.23515074925903784</v>
      </c>
      <c r="CB42" s="7">
        <v>0.4249863038012236</v>
      </c>
      <c r="CC42" s="8">
        <v>0.43378494899607378</v>
      </c>
      <c r="CD42" s="8">
        <v>0.43998620632802216</v>
      </c>
      <c r="CF42" s="6" t="s">
        <v>154</v>
      </c>
      <c r="CG42" s="6" t="s">
        <v>112</v>
      </c>
      <c r="CH42" s="6" t="s">
        <v>113</v>
      </c>
      <c r="CI42" s="8">
        <v>0.55215458056124123</v>
      </c>
    </row>
    <row r="43" spans="2:87" x14ac:dyDescent="0.45">
      <c r="B43" s="3" t="s">
        <v>155</v>
      </c>
      <c r="C43" s="3" t="s">
        <v>103</v>
      </c>
      <c r="D43" s="5">
        <v>0.21513176382082627</v>
      </c>
      <c r="E43" s="5">
        <v>0.2214665406315689</v>
      </c>
      <c r="F43" s="5">
        <v>0.20833602887759312</v>
      </c>
      <c r="G43" s="5">
        <v>0.25513936759979117</v>
      </c>
      <c r="H43" s="5">
        <v>0.26006310621158113</v>
      </c>
      <c r="I43" s="5">
        <v>0.25277705621308533</v>
      </c>
      <c r="J43" s="5">
        <v>0.32909636520674879</v>
      </c>
      <c r="K43" s="5">
        <v>0.34977969948406856</v>
      </c>
      <c r="L43" s="5">
        <v>0.28763048160385973</v>
      </c>
      <c r="M43" s="5">
        <v>0.25110879511963535</v>
      </c>
      <c r="N43" s="5">
        <v>0.25969837214917141</v>
      </c>
      <c r="O43" s="5">
        <v>0.23967529310151511</v>
      </c>
      <c r="Q43" s="3" t="s">
        <v>155</v>
      </c>
      <c r="R43" s="3" t="s">
        <v>104</v>
      </c>
      <c r="S43" s="5">
        <v>8.7367672411184111E-3</v>
      </c>
      <c r="T43" s="5">
        <v>1.3536597700731838E-2</v>
      </c>
      <c r="U43" s="5">
        <v>1.1061709063690426E-2</v>
      </c>
      <c r="V43" s="5">
        <v>1.3776656458657111E-2</v>
      </c>
      <c r="W43" s="5">
        <v>9.6409706081531064E-3</v>
      </c>
      <c r="X43" s="5">
        <v>1.5360900388304496E-2</v>
      </c>
      <c r="Y43" s="5">
        <v>1.5077313622406075E-2</v>
      </c>
      <c r="Z43" s="5">
        <v>3.3739864562646035E-2</v>
      </c>
      <c r="AA43" s="5">
        <v>1.349126773897278E-2</v>
      </c>
      <c r="AB43" s="5">
        <v>2.2857632856442475E-2</v>
      </c>
      <c r="AC43" s="5">
        <v>1.8366441560125152E-2</v>
      </c>
      <c r="AD43" s="5">
        <v>1.196823546331342E-2</v>
      </c>
      <c r="AF43" s="3" t="s">
        <v>155</v>
      </c>
      <c r="AG43" s="3" t="s">
        <v>105</v>
      </c>
      <c r="AH43" s="5">
        <v>1.5421912282838757E-2</v>
      </c>
      <c r="AI43" s="5">
        <v>1.1191207910467352E-2</v>
      </c>
      <c r="AJ43" s="5">
        <v>1.627273063134094E-2</v>
      </c>
      <c r="AK43" s="5">
        <v>2.3916586079966818E-2</v>
      </c>
      <c r="AL43" s="5">
        <v>1.6092152452659304E-2</v>
      </c>
      <c r="AM43" s="5">
        <v>9.763075393038995E-3</v>
      </c>
      <c r="AN43" s="5">
        <v>2.2746402599117498E-2</v>
      </c>
      <c r="AO43" s="5">
        <v>3.0863412904821357E-2</v>
      </c>
      <c r="AP43" s="5">
        <v>3.9948814145695226E-2</v>
      </c>
      <c r="AQ43" s="5">
        <v>1.8784260325177896E-2</v>
      </c>
      <c r="AR43" s="5">
        <v>3.1783904301989546E-2</v>
      </c>
      <c r="AS43" s="5">
        <v>1.2178296165855277E-2</v>
      </c>
      <c r="AU43" s="3" t="s">
        <v>155</v>
      </c>
      <c r="AV43" s="3" t="s">
        <v>106</v>
      </c>
      <c r="AW43" s="5">
        <v>7.7453152371454989E-2</v>
      </c>
      <c r="AX43" s="5">
        <v>8.4634035004763825E-2</v>
      </c>
      <c r="AY43" s="5">
        <v>6.9371848498561789E-2</v>
      </c>
      <c r="AZ43" s="5">
        <v>9.0396824891905078E-2</v>
      </c>
      <c r="BA43" s="4">
        <v>0.11151356083612923</v>
      </c>
      <c r="BB43" s="5">
        <v>0.10579660863628496</v>
      </c>
      <c r="BC43" s="5">
        <v>0.17649958674353569</v>
      </c>
      <c r="BD43" s="5">
        <v>0.16650624966715263</v>
      </c>
      <c r="BE43" s="5">
        <v>0.12829224478243342</v>
      </c>
      <c r="BF43" s="5">
        <v>0.1045017650392713</v>
      </c>
      <c r="BG43" s="5">
        <v>9.835852912540323E-2</v>
      </c>
      <c r="BH43" s="4">
        <v>0.11337140340381328</v>
      </c>
      <c r="BR43" s="3" t="s">
        <v>155</v>
      </c>
      <c r="BS43" s="5">
        <v>0.65740800899440999</v>
      </c>
      <c r="BT43" s="5">
        <v>0.64608518936735893</v>
      </c>
      <c r="BU43" s="4">
        <v>0.67407601624757085</v>
      </c>
      <c r="BV43" s="5">
        <v>0.59295728685040261</v>
      </c>
      <c r="BW43" s="5">
        <v>0.5691810614524343</v>
      </c>
      <c r="BX43" s="5">
        <v>0.56636194285080288</v>
      </c>
      <c r="BY43" s="5">
        <v>0.34420705411591707</v>
      </c>
      <c r="BZ43" s="5">
        <v>0.35725054965238162</v>
      </c>
      <c r="CA43" s="5">
        <v>0.41227810380495572</v>
      </c>
      <c r="CB43" s="4">
        <v>0.53847641449841199</v>
      </c>
      <c r="CC43" s="5">
        <v>0.55121343246616772</v>
      </c>
      <c r="CD43" s="5">
        <v>0.54981338587970841</v>
      </c>
      <c r="CF43" s="3" t="s">
        <v>156</v>
      </c>
      <c r="CG43" s="3" t="s">
        <v>112</v>
      </c>
      <c r="CH43" s="3" t="s">
        <v>113</v>
      </c>
      <c r="CI43" s="5">
        <v>0.47125903636260946</v>
      </c>
    </row>
    <row r="44" spans="2:87" x14ac:dyDescent="0.45">
      <c r="B44" s="6" t="s">
        <v>157</v>
      </c>
      <c r="C44" s="6" t="s">
        <v>103</v>
      </c>
      <c r="D44" s="8">
        <v>0.23831070799678969</v>
      </c>
      <c r="E44" s="8">
        <v>0.24914171242493061</v>
      </c>
      <c r="F44" s="8">
        <v>0.22284574020414416</v>
      </c>
      <c r="G44" s="8">
        <v>0.2703532374709065</v>
      </c>
      <c r="H44" s="8">
        <v>0.25490461009819343</v>
      </c>
      <c r="I44" s="8">
        <v>0.24628340893854186</v>
      </c>
      <c r="J44" s="8">
        <v>0.33110690834600498</v>
      </c>
      <c r="K44" s="8">
        <v>0.3401534265054334</v>
      </c>
      <c r="L44" s="8">
        <v>0.31955118222832851</v>
      </c>
      <c r="M44" s="8">
        <v>0.24324089597581111</v>
      </c>
      <c r="N44" s="8">
        <v>0.24467438818651174</v>
      </c>
      <c r="O44" s="8">
        <v>0.25294519766318685</v>
      </c>
      <c r="Q44" s="6" t="s">
        <v>157</v>
      </c>
      <c r="R44" s="6" t="s">
        <v>104</v>
      </c>
      <c r="S44" s="8">
        <v>6.2581104929351804E-3</v>
      </c>
      <c r="T44" s="8">
        <v>1.0230145435360851E-2</v>
      </c>
      <c r="U44" s="8">
        <v>9.8959020078001995E-3</v>
      </c>
      <c r="V44" s="8">
        <v>8.3761421522166504E-3</v>
      </c>
      <c r="W44" s="8">
        <v>1.1094825616975879E-2</v>
      </c>
      <c r="X44" s="8">
        <v>1.1893906360722647E-2</v>
      </c>
      <c r="Y44" s="8">
        <v>1.8618759204706358E-2</v>
      </c>
      <c r="Z44" s="8">
        <v>2.0994721573161471E-2</v>
      </c>
      <c r="AA44" s="8">
        <v>2.3852088108526587E-2</v>
      </c>
      <c r="AB44" s="8">
        <v>1.272099280677415E-2</v>
      </c>
      <c r="AC44" s="8">
        <v>1.2413581576381704E-2</v>
      </c>
      <c r="AD44" s="8">
        <v>1.1200336136414085E-2</v>
      </c>
      <c r="AF44" s="6" t="s">
        <v>157</v>
      </c>
      <c r="AG44" s="6" t="s">
        <v>105</v>
      </c>
      <c r="AH44" s="8">
        <v>8.8239662728883256E-3</v>
      </c>
      <c r="AI44" s="8">
        <v>1.0852606578724342E-2</v>
      </c>
      <c r="AJ44" s="8">
        <v>1.3288348325465413E-2</v>
      </c>
      <c r="AK44" s="8">
        <v>1.3522484489813228E-2</v>
      </c>
      <c r="AL44" s="8">
        <v>1.2587332165676125E-2</v>
      </c>
      <c r="AM44" s="8">
        <v>1.1602683265120801E-2</v>
      </c>
      <c r="AN44" s="8">
        <v>2.7662237102169487E-2</v>
      </c>
      <c r="AO44" s="8">
        <v>2.1114186184823178E-2</v>
      </c>
      <c r="AP44" s="8">
        <v>3.4672166098912584E-2</v>
      </c>
      <c r="AQ44" s="8">
        <v>1.1015889985869842E-2</v>
      </c>
      <c r="AR44" s="8">
        <v>2.0123079345494847E-2</v>
      </c>
      <c r="AS44" s="8">
        <v>1.7889919720254895E-2</v>
      </c>
      <c r="AU44" s="6" t="s">
        <v>157</v>
      </c>
      <c r="AV44" s="6" t="s">
        <v>106</v>
      </c>
      <c r="AW44" s="8">
        <v>9.7099413549894958E-2</v>
      </c>
      <c r="AX44" s="8">
        <v>0.10115307704154389</v>
      </c>
      <c r="AY44" s="8">
        <v>8.3268108054160114E-2</v>
      </c>
      <c r="AZ44" s="8">
        <v>0.12148275821534557</v>
      </c>
      <c r="BA44" s="7">
        <v>0.10849661113883381</v>
      </c>
      <c r="BB44" s="8">
        <v>0.10458146245341805</v>
      </c>
      <c r="BC44" s="8">
        <v>0.15507050528820465</v>
      </c>
      <c r="BD44" s="8">
        <v>0.17460015603801507</v>
      </c>
      <c r="BE44" s="8">
        <v>0.15102277016613999</v>
      </c>
      <c r="BF44" s="8">
        <v>9.2750268897999227E-2</v>
      </c>
      <c r="BG44" s="8">
        <v>8.4734452723056505E-2</v>
      </c>
      <c r="BH44" s="7">
        <v>9.9131173348903256E-2</v>
      </c>
      <c r="BR44" s="6" t="s">
        <v>157</v>
      </c>
      <c r="BS44" s="8">
        <v>0.64973796226806202</v>
      </c>
      <c r="BT44" s="8">
        <v>0.63647550915882778</v>
      </c>
      <c r="BU44" s="7">
        <v>0.66346783533839049</v>
      </c>
      <c r="BV44" s="8">
        <v>0.57083149090170027</v>
      </c>
      <c r="BW44" s="8">
        <v>0.58674274550010808</v>
      </c>
      <c r="BX44" s="8">
        <v>0.59734176177290876</v>
      </c>
      <c r="BY44" s="8">
        <v>0.41036721058237113</v>
      </c>
      <c r="BZ44" s="8">
        <v>0.36056650178573674</v>
      </c>
      <c r="CA44" s="8">
        <v>0.37721256982327434</v>
      </c>
      <c r="CB44" s="7">
        <v>0.62620314694697177</v>
      </c>
      <c r="CC44" s="8">
        <v>0.62272655706036906</v>
      </c>
      <c r="CD44" s="8">
        <v>0.62093510791981099</v>
      </c>
      <c r="CF44" s="6" t="s">
        <v>158</v>
      </c>
      <c r="CG44" s="6" t="s">
        <v>112</v>
      </c>
      <c r="CH44" s="6" t="s">
        <v>113</v>
      </c>
      <c r="CI44" s="8">
        <v>0.57907944843428805</v>
      </c>
    </row>
    <row r="45" spans="2:87" x14ac:dyDescent="0.45">
      <c r="B45" s="3" t="s">
        <v>159</v>
      </c>
      <c r="C45" s="3" t="s">
        <v>103</v>
      </c>
      <c r="D45" s="5">
        <v>0.20250669665085783</v>
      </c>
      <c r="E45" s="5">
        <v>0.22585186660018272</v>
      </c>
      <c r="F45" s="5">
        <v>0.20887671187077117</v>
      </c>
      <c r="G45" s="5">
        <v>0.299372952113232</v>
      </c>
      <c r="H45" s="5">
        <v>0.29615834806517033</v>
      </c>
      <c r="I45" s="5">
        <v>0.27973060485383344</v>
      </c>
      <c r="J45" s="5">
        <v>0.35878412501628049</v>
      </c>
      <c r="K45" s="5">
        <v>0.35880466466104149</v>
      </c>
      <c r="L45" s="5">
        <v>0.34940972266043013</v>
      </c>
      <c r="M45" s="5">
        <v>0.29123150847303925</v>
      </c>
      <c r="N45" s="5">
        <v>0.27254386794157237</v>
      </c>
      <c r="O45" s="5">
        <v>0.27887591827173519</v>
      </c>
      <c r="Q45" s="3" t="s">
        <v>159</v>
      </c>
      <c r="R45" s="3" t="s">
        <v>104</v>
      </c>
      <c r="S45" s="5">
        <v>9.9038883200384606E-3</v>
      </c>
      <c r="T45" s="5">
        <v>1.1023668371444946E-2</v>
      </c>
      <c r="U45" s="5">
        <v>8.5859216261506954E-3</v>
      </c>
      <c r="V45" s="5">
        <v>8.2570894637388845E-3</v>
      </c>
      <c r="W45" s="5">
        <v>1.520912037829034E-2</v>
      </c>
      <c r="X45" s="5">
        <v>1.0119842035850736E-2</v>
      </c>
      <c r="Y45" s="5">
        <v>2.5858770312709205E-2</v>
      </c>
      <c r="Z45" s="5">
        <v>1.2064345752547785E-2</v>
      </c>
      <c r="AA45" s="5">
        <v>1.7801219441362256E-2</v>
      </c>
      <c r="AB45" s="5">
        <v>1.0007758507478027E-2</v>
      </c>
      <c r="AC45" s="5">
        <v>1.4761195496072741E-2</v>
      </c>
      <c r="AD45" s="5">
        <v>1.9968226576624077E-2</v>
      </c>
      <c r="AF45" s="3" t="s">
        <v>159</v>
      </c>
      <c r="AG45" s="3" t="s">
        <v>105</v>
      </c>
      <c r="AH45" s="5">
        <v>1.3937606019814598E-2</v>
      </c>
      <c r="AI45" s="5">
        <v>1.4643927071659639E-2</v>
      </c>
      <c r="AJ45" s="5">
        <v>1.3486495914463898E-2</v>
      </c>
      <c r="AK45" s="5">
        <v>1.8445764111856649E-2</v>
      </c>
      <c r="AL45" s="5">
        <v>1.3663917407126903E-2</v>
      </c>
      <c r="AM45" s="5">
        <v>2.8311839538679412E-2</v>
      </c>
      <c r="AN45" s="5">
        <v>5.2747537649092791E-2</v>
      </c>
      <c r="AO45" s="5">
        <v>1.794992542430068E-2</v>
      </c>
      <c r="AP45" s="5">
        <v>2.5436489144089653E-2</v>
      </c>
      <c r="AQ45" s="5">
        <v>2.3475690354325562E-2</v>
      </c>
      <c r="AR45" s="5">
        <v>1.6406768346353736E-2</v>
      </c>
      <c r="AS45" s="5">
        <v>2.1807162848290877E-2</v>
      </c>
      <c r="AU45" s="3" t="s">
        <v>159</v>
      </c>
      <c r="AV45" s="3" t="s">
        <v>106</v>
      </c>
      <c r="AW45" s="5">
        <v>7.8841304526644382E-2</v>
      </c>
      <c r="AX45" s="5">
        <v>8.703039958067392E-2</v>
      </c>
      <c r="AY45" s="5">
        <v>7.9646274612003895E-2</v>
      </c>
      <c r="AZ45" s="5">
        <v>0.15346333590574407</v>
      </c>
      <c r="BA45" s="4">
        <v>0.14611032380576605</v>
      </c>
      <c r="BB45" s="5">
        <v>0.12230809949839506</v>
      </c>
      <c r="BC45" s="5">
        <v>0.15805795442834258</v>
      </c>
      <c r="BD45" s="5">
        <v>0.19885417116644732</v>
      </c>
      <c r="BE45" s="5">
        <v>0.19413302569918442</v>
      </c>
      <c r="BF45" s="5">
        <v>0.1326254463581619</v>
      </c>
      <c r="BG45" s="5">
        <v>0.11570776899813609</v>
      </c>
      <c r="BH45" s="4">
        <v>0.1115437802784581</v>
      </c>
      <c r="BR45" s="3" t="s">
        <v>159</v>
      </c>
      <c r="BS45" s="5">
        <v>0.63786947420705964</v>
      </c>
      <c r="BT45" s="5">
        <v>0.61650294718748544</v>
      </c>
      <c r="BU45" s="4">
        <v>0.64575693531176115</v>
      </c>
      <c r="BV45" s="5">
        <v>0.45090237564871422</v>
      </c>
      <c r="BW45" s="5">
        <v>0.47412051109147746</v>
      </c>
      <c r="BX45" s="5">
        <v>0.49058141930801868</v>
      </c>
      <c r="BY45" s="5">
        <v>0.31269412351401416</v>
      </c>
      <c r="BZ45" s="5">
        <v>0.33783811187678187</v>
      </c>
      <c r="CA45" s="5">
        <v>0.31120729080925486</v>
      </c>
      <c r="CB45" s="4">
        <v>0.49395145460628592</v>
      </c>
      <c r="CC45" s="5">
        <v>0.52724623204451426</v>
      </c>
      <c r="CD45" s="5">
        <v>0.50841325321539943</v>
      </c>
      <c r="CF45" s="3" t="s">
        <v>160</v>
      </c>
      <c r="CG45" s="3" t="s">
        <v>112</v>
      </c>
      <c r="CH45" s="3" t="s">
        <v>113</v>
      </c>
      <c r="CI45" s="5">
        <v>0.48842216552061485</v>
      </c>
    </row>
    <row r="46" spans="2:87" x14ac:dyDescent="0.45">
      <c r="B46" s="6" t="s">
        <v>161</v>
      </c>
      <c r="C46" s="6" t="s">
        <v>103</v>
      </c>
      <c r="D46" s="8">
        <v>0.20228407671141169</v>
      </c>
      <c r="E46" s="8">
        <v>0.19449750111299982</v>
      </c>
      <c r="F46" s="8">
        <v>0.20194792395912856</v>
      </c>
      <c r="G46" s="8">
        <v>0.19591033785134407</v>
      </c>
      <c r="H46" s="8">
        <v>0.21479466815856588</v>
      </c>
      <c r="I46" s="8">
        <v>0.19034411945087515</v>
      </c>
      <c r="J46" s="8">
        <v>0.29844283200312216</v>
      </c>
      <c r="K46" s="8">
        <v>0.31317432426432179</v>
      </c>
      <c r="L46" s="8">
        <v>0.28780041896754466</v>
      </c>
      <c r="M46" s="8">
        <v>0.2804765898681853</v>
      </c>
      <c r="N46" s="8">
        <v>0.28123486582206753</v>
      </c>
      <c r="O46" s="8">
        <v>0.27925020488132168</v>
      </c>
      <c r="Q46" s="6" t="s">
        <v>161</v>
      </c>
      <c r="R46" s="6" t="s">
        <v>104</v>
      </c>
      <c r="S46" s="8">
        <v>7.9606334925144302E-3</v>
      </c>
      <c r="T46" s="8">
        <v>1.5260400225874568E-2</v>
      </c>
      <c r="U46" s="8">
        <v>5.2114147206161658E-3</v>
      </c>
      <c r="V46" s="8">
        <v>1.0714070864057052E-2</v>
      </c>
      <c r="W46" s="8">
        <v>5.1884106924942322E-3</v>
      </c>
      <c r="X46" s="8">
        <v>7.6892743740389052E-3</v>
      </c>
      <c r="Y46" s="8">
        <v>2.1416312418814351E-2</v>
      </c>
      <c r="Z46" s="8">
        <v>1.4375546788470722E-2</v>
      </c>
      <c r="AA46" s="8">
        <v>1.2275959510001842E-2</v>
      </c>
      <c r="AB46" s="8">
        <v>1.8398600303853749E-2</v>
      </c>
      <c r="AC46" s="8">
        <v>2.0306663228813915E-2</v>
      </c>
      <c r="AD46" s="8">
        <v>1.4569448787522064E-2</v>
      </c>
      <c r="AF46" s="6" t="s">
        <v>161</v>
      </c>
      <c r="AG46" s="6" t="s">
        <v>105</v>
      </c>
      <c r="AH46" s="8">
        <v>7.9054998442440703E-3</v>
      </c>
      <c r="AI46" s="8">
        <v>1.255161010533966E-2</v>
      </c>
      <c r="AJ46" s="8">
        <v>1.4026336738329604E-2</v>
      </c>
      <c r="AK46" s="8">
        <v>1.4779885893805609E-2</v>
      </c>
      <c r="AL46" s="8">
        <v>9.4818157466533357E-3</v>
      </c>
      <c r="AM46" s="8">
        <v>5.1377859015321473E-3</v>
      </c>
      <c r="AN46" s="8">
        <v>2.6463787769926236E-2</v>
      </c>
      <c r="AO46" s="8">
        <v>3.0523517483735076E-2</v>
      </c>
      <c r="AP46" s="8">
        <v>2.7686086447887889E-2</v>
      </c>
      <c r="AQ46" s="8">
        <v>1.6471085063381068E-2</v>
      </c>
      <c r="AR46" s="8">
        <v>2.2101115185805327E-2</v>
      </c>
      <c r="AS46" s="8">
        <v>3.1255242141828211E-2</v>
      </c>
      <c r="AU46" s="6" t="s">
        <v>161</v>
      </c>
      <c r="AV46" s="6" t="s">
        <v>106</v>
      </c>
      <c r="AW46" s="8">
        <v>8.1132589341826808E-2</v>
      </c>
      <c r="AX46" s="8">
        <v>6.0011299952852648E-2</v>
      </c>
      <c r="AY46" s="8">
        <v>7.114656405754792E-2</v>
      </c>
      <c r="AZ46" s="8">
        <v>6.7729174804374279E-2</v>
      </c>
      <c r="BA46" s="7">
        <v>9.1849388261409204E-2</v>
      </c>
      <c r="BB46" s="8">
        <v>8.2762006311239325E-2</v>
      </c>
      <c r="BC46" s="8">
        <v>0.12795579262668522</v>
      </c>
      <c r="BD46" s="8">
        <v>0.15593208537167569</v>
      </c>
      <c r="BE46" s="8">
        <v>0.1355014562476542</v>
      </c>
      <c r="BF46" s="8">
        <v>0.12616966879991481</v>
      </c>
      <c r="BG46" s="8">
        <v>0.11471282573549639</v>
      </c>
      <c r="BH46" s="7">
        <v>0.10849301162851768</v>
      </c>
      <c r="BR46" s="6" t="s">
        <v>161</v>
      </c>
      <c r="BS46" s="8">
        <v>0.68705737598720196</v>
      </c>
      <c r="BT46" s="8">
        <v>0.70236950306297696</v>
      </c>
      <c r="BU46" s="7">
        <v>0.7013009934427108</v>
      </c>
      <c r="BV46" s="8">
        <v>0.6780825520553172</v>
      </c>
      <c r="BW46" s="8">
        <v>0.64736799374998</v>
      </c>
      <c r="BX46" s="8">
        <v>0.6648728865036454</v>
      </c>
      <c r="BY46" s="8">
        <v>0.44762593859445404</v>
      </c>
      <c r="BZ46" s="8">
        <v>0.42332106136414904</v>
      </c>
      <c r="CA46" s="8">
        <v>0.45018843457440039</v>
      </c>
      <c r="CB46" s="7">
        <v>0.54204000786286255</v>
      </c>
      <c r="CC46" s="8">
        <v>0.55583338207327126</v>
      </c>
      <c r="CD46" s="8">
        <v>0.54707682636327448</v>
      </c>
      <c r="CF46" s="6" t="s">
        <v>162</v>
      </c>
      <c r="CG46" s="6" t="s">
        <v>112</v>
      </c>
      <c r="CH46" s="6" t="s">
        <v>113</v>
      </c>
      <c r="CI46" s="8">
        <v>0.57773564580128889</v>
      </c>
    </row>
    <row r="47" spans="2:87" x14ac:dyDescent="0.45">
      <c r="B47" s="3" t="s">
        <v>163</v>
      </c>
      <c r="C47" s="3" t="s">
        <v>103</v>
      </c>
      <c r="D47" s="5">
        <v>0.2095294886515604</v>
      </c>
      <c r="E47" s="5">
        <v>0.21864769870106329</v>
      </c>
      <c r="F47" s="5">
        <v>0.21826327929402509</v>
      </c>
      <c r="G47" s="5">
        <v>0.23691292465132893</v>
      </c>
      <c r="H47" s="5">
        <v>0.24036371336408643</v>
      </c>
      <c r="I47" s="5">
        <v>0.23946827563574952</v>
      </c>
      <c r="J47" s="5">
        <v>0.30506266348737165</v>
      </c>
      <c r="K47" s="5">
        <v>0.31816643102027198</v>
      </c>
      <c r="L47" s="5">
        <v>0.29044608862193455</v>
      </c>
      <c r="M47" s="5">
        <v>0.27108274141717192</v>
      </c>
      <c r="N47" s="5">
        <v>0.27579093508021618</v>
      </c>
      <c r="O47" s="5">
        <v>0.26704533270152581</v>
      </c>
      <c r="Q47" s="3" t="s">
        <v>163</v>
      </c>
      <c r="R47" s="3" t="s">
        <v>104</v>
      </c>
      <c r="S47" s="5">
        <v>8.599826335614397E-3</v>
      </c>
      <c r="T47" s="5">
        <v>1.599089988917515E-2</v>
      </c>
      <c r="U47" s="5">
        <v>4.8092044060490209E-3</v>
      </c>
      <c r="V47" s="5">
        <v>1.2043510698287723E-2</v>
      </c>
      <c r="W47" s="5">
        <v>8.0989321017061154E-3</v>
      </c>
      <c r="X47" s="5">
        <v>8.9233165050350473E-3</v>
      </c>
      <c r="Y47" s="5">
        <v>1.7001181448779486E-2</v>
      </c>
      <c r="Z47" s="5">
        <v>1.9526995116016032E-2</v>
      </c>
      <c r="AA47" s="5">
        <v>1.0472300433064831E-2</v>
      </c>
      <c r="AB47" s="5">
        <v>2.0050858847126391E-2</v>
      </c>
      <c r="AC47" s="5">
        <v>1.6086533126494863E-2</v>
      </c>
      <c r="AD47" s="5">
        <v>1.0819504137132594E-2</v>
      </c>
      <c r="AF47" s="3" t="s">
        <v>163</v>
      </c>
      <c r="AG47" s="3" t="s">
        <v>105</v>
      </c>
      <c r="AH47" s="5">
        <v>7.7559462769769003E-3</v>
      </c>
      <c r="AI47" s="5">
        <v>1.5481180333027172E-2</v>
      </c>
      <c r="AJ47" s="5">
        <v>1.2297357098600054E-2</v>
      </c>
      <c r="AK47" s="5">
        <v>1.6348931994390158E-2</v>
      </c>
      <c r="AL47" s="5">
        <v>1.4230514594878717E-2</v>
      </c>
      <c r="AM47" s="5">
        <v>8.4092218096461311E-3</v>
      </c>
      <c r="AN47" s="5">
        <v>1.6947063584079877E-2</v>
      </c>
      <c r="AO47" s="5">
        <v>2.9388621395105126E-2</v>
      </c>
      <c r="AP47" s="5">
        <v>1.9323237314325722E-2</v>
      </c>
      <c r="AQ47" s="5">
        <v>1.7380853288733161E-2</v>
      </c>
      <c r="AR47" s="5">
        <v>2.5095672002574173E-2</v>
      </c>
      <c r="AS47" s="5">
        <v>1.7014750703829427E-2</v>
      </c>
      <c r="AU47" s="3" t="s">
        <v>163</v>
      </c>
      <c r="AV47" s="3" t="s">
        <v>106</v>
      </c>
      <c r="AW47" s="5">
        <v>8.8222691866162578E-2</v>
      </c>
      <c r="AX47" s="5">
        <v>7.4861567446675284E-2</v>
      </c>
      <c r="AY47" s="5">
        <v>8.9353628588742642E-2</v>
      </c>
      <c r="AZ47" s="5">
        <v>8.9660658263145496E-2</v>
      </c>
      <c r="BA47" s="4">
        <v>0.10002001561753492</v>
      </c>
      <c r="BB47" s="5">
        <v>0.10645957296936796</v>
      </c>
      <c r="BC47" s="5">
        <v>0.15564693137345698</v>
      </c>
      <c r="BD47" s="5">
        <v>0.14784149098669114</v>
      </c>
      <c r="BE47" s="5">
        <v>0.149589371784975</v>
      </c>
      <c r="BF47" s="5">
        <v>0.11685149026041552</v>
      </c>
      <c r="BG47" s="5">
        <v>0.10929040597712679</v>
      </c>
      <c r="BH47" s="4">
        <v>0.11826320750741241</v>
      </c>
      <c r="BR47" s="3" t="s">
        <v>163</v>
      </c>
      <c r="BS47" s="5">
        <v>0.65934262589125425</v>
      </c>
      <c r="BT47" s="5">
        <v>0.65712011343758903</v>
      </c>
      <c r="BU47" s="4">
        <v>0.66843582572933968</v>
      </c>
      <c r="BV47" s="5">
        <v>0.62430151525823308</v>
      </c>
      <c r="BW47" s="5">
        <v>0.60350586419214958</v>
      </c>
      <c r="BX47" s="5">
        <v>0.59359678142537275</v>
      </c>
      <c r="BY47" s="5">
        <v>0.41128838176134386</v>
      </c>
      <c r="BZ47" s="5">
        <v>0.40280238328897167</v>
      </c>
      <c r="CA47" s="5">
        <v>0.456446012815374</v>
      </c>
      <c r="CB47" s="4">
        <v>0.53446175542489571</v>
      </c>
      <c r="CC47" s="5">
        <v>0.55989597739410824</v>
      </c>
      <c r="CD47" s="5">
        <v>0.55548232846394741</v>
      </c>
      <c r="CF47" s="3" t="s">
        <v>164</v>
      </c>
      <c r="CG47" s="3" t="s">
        <v>112</v>
      </c>
      <c r="CH47" s="3" t="s">
        <v>113</v>
      </c>
      <c r="CI47" s="5">
        <v>0.49234365567931837</v>
      </c>
    </row>
    <row r="48" spans="2:87" x14ac:dyDescent="0.45">
      <c r="B48" s="6" t="s">
        <v>165</v>
      </c>
      <c r="C48" s="6" t="s">
        <v>103</v>
      </c>
      <c r="D48" s="8">
        <v>0.21505516594710639</v>
      </c>
      <c r="E48" s="8">
        <v>0.20585520476772032</v>
      </c>
      <c r="F48" s="8">
        <v>0.22172049320286691</v>
      </c>
      <c r="G48" s="8">
        <v>0.20970191190727847</v>
      </c>
      <c r="H48" s="8">
        <v>0.2341099912594497</v>
      </c>
      <c r="I48" s="8">
        <v>0.20471897255560417</v>
      </c>
      <c r="J48" s="8">
        <v>0.31977601920802784</v>
      </c>
      <c r="K48" s="8">
        <v>0.3261351831463335</v>
      </c>
      <c r="L48" s="8">
        <v>0.2892285190762125</v>
      </c>
      <c r="M48" s="8">
        <v>0.29280257928689257</v>
      </c>
      <c r="N48" s="8">
        <v>0.30291578932513091</v>
      </c>
      <c r="O48" s="8">
        <v>0.26411410416914566</v>
      </c>
      <c r="Q48" s="6" t="s">
        <v>165</v>
      </c>
      <c r="R48" s="6" t="s">
        <v>104</v>
      </c>
      <c r="S48" s="8">
        <v>9.4121437534315407E-3</v>
      </c>
      <c r="T48" s="8">
        <v>1.252748801751627E-2</v>
      </c>
      <c r="U48" s="8">
        <v>1.0673847385414156E-2</v>
      </c>
      <c r="V48" s="8">
        <v>1.4283742592560369E-2</v>
      </c>
      <c r="W48" s="8">
        <v>6.2738428414675891E-3</v>
      </c>
      <c r="X48" s="8">
        <v>9.1317066749663084E-3</v>
      </c>
      <c r="Y48" s="8">
        <v>1.6177457898504017E-2</v>
      </c>
      <c r="Z48" s="8">
        <v>1.8593037946449373E-2</v>
      </c>
      <c r="AA48" s="8">
        <v>2.3346275641273177E-2</v>
      </c>
      <c r="AB48" s="8">
        <v>1.7380413380582924E-2</v>
      </c>
      <c r="AC48" s="8">
        <v>1.665627324022809E-2</v>
      </c>
      <c r="AD48" s="8">
        <v>1.1018168661881557E-2</v>
      </c>
      <c r="AF48" s="6" t="s">
        <v>165</v>
      </c>
      <c r="AG48" s="6" t="s">
        <v>105</v>
      </c>
      <c r="AH48" s="8">
        <v>1.306925497391084E-2</v>
      </c>
      <c r="AI48" s="8">
        <v>1.126317207401018E-2</v>
      </c>
      <c r="AJ48" s="8">
        <v>1.2765875779986002E-2</v>
      </c>
      <c r="AK48" s="8">
        <v>1.4584230826208534E-2</v>
      </c>
      <c r="AL48" s="8">
        <v>1.4429895105442063E-2</v>
      </c>
      <c r="AM48" s="8">
        <v>6.3136880233277863E-3</v>
      </c>
      <c r="AN48" s="8">
        <v>3.066244716188915E-2</v>
      </c>
      <c r="AO48" s="8">
        <v>2.9897907635436292E-2</v>
      </c>
      <c r="AP48" s="8">
        <v>2.9228743447709704E-2</v>
      </c>
      <c r="AQ48" s="8">
        <v>2.4643593754612947E-2</v>
      </c>
      <c r="AR48" s="8">
        <v>2.4926814473435564E-2</v>
      </c>
      <c r="AS48" s="8">
        <v>1.2224593254197644E-2</v>
      </c>
      <c r="AU48" s="6" t="s">
        <v>165</v>
      </c>
      <c r="AV48" s="6" t="s">
        <v>106</v>
      </c>
      <c r="AW48" s="8">
        <v>7.8179536481354034E-2</v>
      </c>
      <c r="AX48" s="8">
        <v>7.5125063500844927E-2</v>
      </c>
      <c r="AY48" s="8">
        <v>8.2403890110680902E-2</v>
      </c>
      <c r="AZ48" s="8">
        <v>7.6453135163348521E-2</v>
      </c>
      <c r="BA48" s="7">
        <v>9.6099531911968947E-2</v>
      </c>
      <c r="BB48" s="8">
        <v>8.6494259697459122E-2</v>
      </c>
      <c r="BC48" s="8">
        <v>0.141030938648152</v>
      </c>
      <c r="BD48" s="8">
        <v>0.14645540089789319</v>
      </c>
      <c r="BE48" s="8">
        <v>0.11954123655593279</v>
      </c>
      <c r="BF48" s="8">
        <v>0.12272280897251767</v>
      </c>
      <c r="BG48" s="8">
        <v>0.12835832825576374</v>
      </c>
      <c r="BH48" s="7">
        <v>0.12368449497553091</v>
      </c>
      <c r="BR48" s="6" t="s">
        <v>165</v>
      </c>
      <c r="BS48" s="8">
        <v>0.67039738424974016</v>
      </c>
      <c r="BT48" s="8">
        <v>0.67111808510335802</v>
      </c>
      <c r="BU48" s="7">
        <v>0.66799037226033975</v>
      </c>
      <c r="BV48" s="8">
        <v>0.64244398781842793</v>
      </c>
      <c r="BW48" s="8">
        <v>0.6268418157327228</v>
      </c>
      <c r="BX48" s="8">
        <v>0.65199646595708649</v>
      </c>
      <c r="BY48" s="8">
        <v>0.45170396226208476</v>
      </c>
      <c r="BZ48" s="8">
        <v>0.44289700995427</v>
      </c>
      <c r="CA48" s="8">
        <v>0.46958929275427286</v>
      </c>
      <c r="CB48" s="7">
        <v>0.54398248750708245</v>
      </c>
      <c r="CC48" s="8">
        <v>0.54300456392031804</v>
      </c>
      <c r="CD48" s="8">
        <v>0.56869849481977774</v>
      </c>
      <c r="CF48" s="6" t="s">
        <v>166</v>
      </c>
      <c r="CG48" s="6" t="s">
        <v>112</v>
      </c>
      <c r="CH48" s="6" t="s">
        <v>113</v>
      </c>
      <c r="CI48" s="8">
        <v>0.50884790710945116</v>
      </c>
    </row>
    <row r="49" spans="2:87" x14ac:dyDescent="0.45">
      <c r="B49" s="3" t="s">
        <v>167</v>
      </c>
      <c r="C49" s="3" t="s">
        <v>103</v>
      </c>
      <c r="D49" s="5">
        <v>0.24234014692053335</v>
      </c>
      <c r="E49" s="5">
        <v>0.23263395264424649</v>
      </c>
      <c r="F49" s="5">
        <v>0.25977173379439095</v>
      </c>
      <c r="G49" s="5">
        <v>0.24861726919033608</v>
      </c>
      <c r="H49" s="5">
        <v>0.27434310357707714</v>
      </c>
      <c r="I49" s="5">
        <v>0.23738227467732703</v>
      </c>
      <c r="J49" s="5">
        <v>0.3425161276846822</v>
      </c>
      <c r="K49" s="5">
        <v>0.34499373945132372</v>
      </c>
      <c r="L49" s="5">
        <v>0.30387131658887784</v>
      </c>
      <c r="M49" s="5">
        <v>0.28649283498774525</v>
      </c>
      <c r="N49" s="5">
        <v>0.28657767926306521</v>
      </c>
      <c r="O49" s="5">
        <v>0.27455261885873011</v>
      </c>
      <c r="Q49" s="3" t="s">
        <v>167</v>
      </c>
      <c r="R49" s="3" t="s">
        <v>104</v>
      </c>
      <c r="S49" s="5">
        <v>1.1591083638468029E-2</v>
      </c>
      <c r="T49" s="5">
        <v>1.8983987691047293E-2</v>
      </c>
      <c r="U49" s="5">
        <v>1.1161628856672327E-2</v>
      </c>
      <c r="V49" s="5">
        <v>1.7280238843296429E-2</v>
      </c>
      <c r="W49" s="5">
        <v>1.1397345921533412E-2</v>
      </c>
      <c r="X49" s="5">
        <v>7.0794325845440018E-3</v>
      </c>
      <c r="Y49" s="5">
        <v>2.049391297895788E-2</v>
      </c>
      <c r="Z49" s="5">
        <v>1.6995019995015917E-2</v>
      </c>
      <c r="AA49" s="5">
        <v>1.6642931035048662E-2</v>
      </c>
      <c r="AB49" s="5">
        <v>1.9864171242423449E-2</v>
      </c>
      <c r="AC49" s="5">
        <v>2.1337699333180891E-2</v>
      </c>
      <c r="AD49" s="5">
        <v>1.2098291911491211E-2</v>
      </c>
      <c r="AF49" s="3" t="s">
        <v>167</v>
      </c>
      <c r="AG49" s="3" t="s">
        <v>105</v>
      </c>
      <c r="AH49" s="5">
        <v>1.0361283800421497E-2</v>
      </c>
      <c r="AI49" s="5">
        <v>1.6227931074578497E-2</v>
      </c>
      <c r="AJ49" s="5">
        <v>2.3836037942350903E-2</v>
      </c>
      <c r="AK49" s="5">
        <v>7.0130286812948748E-3</v>
      </c>
      <c r="AL49" s="5">
        <v>2.1771997747631722E-2</v>
      </c>
      <c r="AM49" s="5">
        <v>1.2383172215458153E-2</v>
      </c>
      <c r="AN49" s="5">
        <v>2.2803804061468813E-2</v>
      </c>
      <c r="AO49" s="5">
        <v>3.0221873463395398E-2</v>
      </c>
      <c r="AP49" s="5">
        <v>1.5006300327619987E-2</v>
      </c>
      <c r="AQ49" s="5">
        <v>1.8860635518980137E-2</v>
      </c>
      <c r="AR49" s="5">
        <v>2.2765691253923349E-2</v>
      </c>
      <c r="AS49" s="5">
        <v>1.7801056136097733E-2</v>
      </c>
      <c r="AU49" s="3" t="s">
        <v>167</v>
      </c>
      <c r="AV49" s="3" t="s">
        <v>106</v>
      </c>
      <c r="AW49" s="5">
        <v>0.10108983757493578</v>
      </c>
      <c r="AX49" s="5">
        <v>8.3477651604567882E-2</v>
      </c>
      <c r="AY49" s="5">
        <v>9.617899656309796E-2</v>
      </c>
      <c r="AZ49" s="5">
        <v>0.1093533383766675</v>
      </c>
      <c r="BA49" s="4">
        <v>0.11238880656412147</v>
      </c>
      <c r="BB49" s="5">
        <v>0.10509024698012658</v>
      </c>
      <c r="BC49" s="5">
        <v>0.15782281972424533</v>
      </c>
      <c r="BD49" s="5">
        <v>0.16320019712974743</v>
      </c>
      <c r="BE49" s="5">
        <v>0.15513563104287642</v>
      </c>
      <c r="BF49" s="5">
        <v>0.120132727121096</v>
      </c>
      <c r="BG49" s="5">
        <v>0.11541451793053129</v>
      </c>
      <c r="BH49" s="4">
        <v>0.11831528968258355</v>
      </c>
      <c r="BR49" s="3" t="s">
        <v>167</v>
      </c>
      <c r="BS49" s="5">
        <v>0.6243603686966317</v>
      </c>
      <c r="BT49" s="5">
        <v>0.62074133327998682</v>
      </c>
      <c r="BU49" s="4">
        <v>0.61498000136226982</v>
      </c>
      <c r="BV49" s="5">
        <v>0.58216613103884096</v>
      </c>
      <c r="BW49" s="5">
        <v>0.57056941010669693</v>
      </c>
      <c r="BX49" s="5">
        <v>0.60059712615138461</v>
      </c>
      <c r="BY49" s="5">
        <v>0.42485559915702537</v>
      </c>
      <c r="BZ49" s="5">
        <v>0.40930265574059155</v>
      </c>
      <c r="CA49" s="5">
        <v>0.43617639541652387</v>
      </c>
      <c r="CB49" s="4">
        <v>0.54666249122205768</v>
      </c>
      <c r="CC49" s="5">
        <v>0.54789244636739487</v>
      </c>
      <c r="CD49" s="5">
        <v>0.56804913518226974</v>
      </c>
      <c r="CF49" s="3" t="s">
        <v>168</v>
      </c>
      <c r="CG49" s="3" t="s">
        <v>112</v>
      </c>
      <c r="CH49" s="3" t="s">
        <v>113</v>
      </c>
      <c r="CI49" s="5">
        <v>0.55375520669662726</v>
      </c>
    </row>
    <row r="50" spans="2:87" x14ac:dyDescent="0.45">
      <c r="B50" s="6" t="s">
        <v>169</v>
      </c>
      <c r="C50" s="6" t="s">
        <v>103</v>
      </c>
      <c r="D50" s="8">
        <v>0.2164162953543538</v>
      </c>
      <c r="E50" s="8">
        <v>0.23694543064562129</v>
      </c>
      <c r="F50" s="8">
        <v>0.22136952484418621</v>
      </c>
      <c r="G50" s="8">
        <v>0.2670434096018604</v>
      </c>
      <c r="H50" s="8">
        <v>0.27101524213926537</v>
      </c>
      <c r="I50" s="8">
        <v>0.25647684183085234</v>
      </c>
      <c r="J50" s="8">
        <v>0.37965842177072362</v>
      </c>
      <c r="K50" s="8">
        <v>0.39245899533356643</v>
      </c>
      <c r="L50" s="8">
        <v>0.36365048403062022</v>
      </c>
      <c r="M50" s="8">
        <v>0.23072284735071236</v>
      </c>
      <c r="N50" s="8">
        <v>0.26457617849889781</v>
      </c>
      <c r="O50" s="8">
        <v>0.23329238873229283</v>
      </c>
      <c r="Q50" s="6" t="s">
        <v>169</v>
      </c>
      <c r="R50" s="6" t="s">
        <v>104</v>
      </c>
      <c r="S50" s="8">
        <v>7.9779745958463918E-3</v>
      </c>
      <c r="T50" s="8">
        <v>1.4222734958811449E-2</v>
      </c>
      <c r="U50" s="8">
        <v>1.1738961264900413E-2</v>
      </c>
      <c r="V50" s="8">
        <v>1.2283733114192296E-2</v>
      </c>
      <c r="W50" s="8">
        <v>1.3916463997496811E-2</v>
      </c>
      <c r="X50" s="8">
        <v>1.144546052569856E-2</v>
      </c>
      <c r="Y50" s="8">
        <v>1.5928805496310049E-2</v>
      </c>
      <c r="Z50" s="8">
        <v>3.4346798115417597E-2</v>
      </c>
      <c r="AA50" s="8">
        <v>4.416070265728083E-2</v>
      </c>
      <c r="AB50" s="8">
        <v>1.5552576339721656E-2</v>
      </c>
      <c r="AC50" s="8">
        <v>2.3346804540225231E-2</v>
      </c>
      <c r="AD50" s="8">
        <v>1.177253270329846E-2</v>
      </c>
      <c r="AF50" s="6" t="s">
        <v>169</v>
      </c>
      <c r="AG50" s="6" t="s">
        <v>105</v>
      </c>
      <c r="AH50" s="8">
        <v>1.1632140480018675E-2</v>
      </c>
      <c r="AI50" s="8">
        <v>9.7990174022527902E-3</v>
      </c>
      <c r="AJ50" s="8">
        <v>1.5027823955867107E-2</v>
      </c>
      <c r="AK50" s="8">
        <v>1.5477217737709425E-2</v>
      </c>
      <c r="AL50" s="8">
        <v>2.0064970393366299E-2</v>
      </c>
      <c r="AM50" s="8">
        <v>1.5264345705772037E-2</v>
      </c>
      <c r="AN50" s="8">
        <v>4.2259489414028892E-2</v>
      </c>
      <c r="AO50" s="8">
        <v>2.8454958667649081E-2</v>
      </c>
      <c r="AP50" s="8">
        <v>4.1674661741183401E-2</v>
      </c>
      <c r="AQ50" s="8">
        <v>1.8990398328272755E-2</v>
      </c>
      <c r="AR50" s="8">
        <v>2.8453435861322898E-2</v>
      </c>
      <c r="AS50" s="8">
        <v>1.3401288552993796E-2</v>
      </c>
      <c r="AU50" s="6" t="s">
        <v>169</v>
      </c>
      <c r="AV50" s="6" t="s">
        <v>106</v>
      </c>
      <c r="AW50" s="8">
        <v>8.1605935331756307E-2</v>
      </c>
      <c r="AX50" s="8">
        <v>8.8191929531176966E-2</v>
      </c>
      <c r="AY50" s="8">
        <v>7.0480767068401118E-2</v>
      </c>
      <c r="AZ50" s="8">
        <v>0.1027078348949433</v>
      </c>
      <c r="BA50" s="7">
        <v>0.10317010904693144</v>
      </c>
      <c r="BB50" s="8">
        <v>0.1026534561039352</v>
      </c>
      <c r="BC50" s="8">
        <v>0.19019904882409613</v>
      </c>
      <c r="BD50" s="8">
        <v>0.19613530689346437</v>
      </c>
      <c r="BE50" s="8">
        <v>0.1411513930309167</v>
      </c>
      <c r="BF50" s="8">
        <v>8.6599339264789355E-2</v>
      </c>
      <c r="BG50" s="8">
        <v>8.5999524225260138E-2</v>
      </c>
      <c r="BH50" s="7">
        <v>8.8412763691219365E-2</v>
      </c>
      <c r="BR50" s="6" t="s">
        <v>169</v>
      </c>
      <c r="BS50" s="8">
        <v>0.67278541181600038</v>
      </c>
      <c r="BT50" s="8">
        <v>0.64205230319702289</v>
      </c>
      <c r="BU50" s="7">
        <v>0.68001321926944447</v>
      </c>
      <c r="BV50" s="8">
        <v>0.59641468072333337</v>
      </c>
      <c r="BW50" s="8">
        <v>0.58957423953921861</v>
      </c>
      <c r="BX50" s="8">
        <v>0.59938903228293672</v>
      </c>
      <c r="BY50" s="8">
        <v>0.34737390711288396</v>
      </c>
      <c r="BZ50" s="8">
        <v>0.34074549101216672</v>
      </c>
      <c r="CA50" s="8">
        <v>0.38100940596654492</v>
      </c>
      <c r="CB50" s="7">
        <v>0.5933331331961178</v>
      </c>
      <c r="CC50" s="8">
        <v>0.58636758894453778</v>
      </c>
      <c r="CD50" s="8">
        <v>0.6164603437737185</v>
      </c>
      <c r="CF50" s="6" t="s">
        <v>170</v>
      </c>
      <c r="CG50" s="6" t="s">
        <v>112</v>
      </c>
      <c r="CH50" s="6" t="s">
        <v>113</v>
      </c>
      <c r="CI50" s="8">
        <v>0.59275808047020329</v>
      </c>
    </row>
    <row r="51" spans="2:87" x14ac:dyDescent="0.45">
      <c r="B51" s="3" t="s">
        <v>171</v>
      </c>
      <c r="C51" s="3" t="s">
        <v>103</v>
      </c>
      <c r="D51" s="5">
        <v>0.17248218950118105</v>
      </c>
      <c r="E51" s="5">
        <v>0.14143658063120146</v>
      </c>
      <c r="F51" s="5">
        <v>0.14275911566638863</v>
      </c>
      <c r="G51" s="5">
        <v>0.22546433839033064</v>
      </c>
      <c r="H51" s="5">
        <v>0.21795084018920721</v>
      </c>
      <c r="I51" s="5">
        <v>0.2270441582195864</v>
      </c>
      <c r="J51" s="5">
        <v>0.26228358504719212</v>
      </c>
      <c r="K51" s="5">
        <v>0.25678620719814094</v>
      </c>
      <c r="L51" s="5">
        <v>0.25139071789871759</v>
      </c>
      <c r="M51" s="5">
        <v>0.24434537012429902</v>
      </c>
      <c r="N51" s="5">
        <v>0.25224804347429719</v>
      </c>
      <c r="O51" s="5">
        <v>0.25278293141861247</v>
      </c>
      <c r="Q51" s="3" t="s">
        <v>171</v>
      </c>
      <c r="R51" s="3" t="s">
        <v>104</v>
      </c>
      <c r="S51" s="5">
        <v>1.1792990571320374E-2</v>
      </c>
      <c r="T51" s="5">
        <v>8.996291875941859E-3</v>
      </c>
      <c r="U51" s="5">
        <v>9.4199797665166785E-3</v>
      </c>
      <c r="V51" s="5">
        <v>9.9604037848354723E-3</v>
      </c>
      <c r="W51" s="5">
        <v>9.6845817439658016E-3</v>
      </c>
      <c r="X51" s="5">
        <v>4.8938477891158801E-3</v>
      </c>
      <c r="Y51" s="5">
        <v>1.2940070942449254E-2</v>
      </c>
      <c r="Z51" s="5">
        <v>1.6129176901984399E-2</v>
      </c>
      <c r="AA51" s="5">
        <v>9.6676219667659706E-3</v>
      </c>
      <c r="AB51" s="5">
        <v>9.9859232187972866E-3</v>
      </c>
      <c r="AC51" s="5">
        <v>1.3830466851128796E-2</v>
      </c>
      <c r="AD51" s="5">
        <v>1.1826101337605983E-2</v>
      </c>
      <c r="AF51" s="3" t="s">
        <v>171</v>
      </c>
      <c r="AG51" s="3" t="s">
        <v>105</v>
      </c>
      <c r="AH51" s="5">
        <v>1.3582656198375773E-2</v>
      </c>
      <c r="AI51" s="5">
        <v>8.9930417064638009E-3</v>
      </c>
      <c r="AJ51" s="5">
        <v>1.0731008294068593E-2</v>
      </c>
      <c r="AK51" s="5">
        <v>1.1437153124897376E-2</v>
      </c>
      <c r="AL51" s="5">
        <v>1.1831668523780354E-2</v>
      </c>
      <c r="AM51" s="5">
        <v>8.1395195935537734E-3</v>
      </c>
      <c r="AN51" s="5">
        <v>1.6414662551228271E-2</v>
      </c>
      <c r="AO51" s="5">
        <v>1.5423814538834034E-2</v>
      </c>
      <c r="AP51" s="5">
        <v>1.9953501649807005E-2</v>
      </c>
      <c r="AQ51" s="5">
        <v>1.3916290112817491E-2</v>
      </c>
      <c r="AR51" s="5">
        <v>1.6685417490224463E-2</v>
      </c>
      <c r="AS51" s="5">
        <v>1.5816757289157064E-2</v>
      </c>
      <c r="AU51" s="3" t="s">
        <v>171</v>
      </c>
      <c r="AV51" s="3" t="s">
        <v>106</v>
      </c>
      <c r="AW51" s="5">
        <v>4.4582555243249222E-2</v>
      </c>
      <c r="AX51" s="5">
        <v>3.7865189762249951E-2</v>
      </c>
      <c r="AY51" s="5">
        <v>3.8565417585684825E-2</v>
      </c>
      <c r="AZ51" s="5">
        <v>8.789945473904319E-2</v>
      </c>
      <c r="BA51" s="4">
        <v>8.3333666532754799E-2</v>
      </c>
      <c r="BB51" s="5">
        <v>9.793166029187958E-2</v>
      </c>
      <c r="BC51" s="5">
        <v>0.11552472842870166</v>
      </c>
      <c r="BD51" s="5">
        <v>0.1089091892214952</v>
      </c>
      <c r="BE51" s="5">
        <v>0.10878902291131563</v>
      </c>
      <c r="BF51" s="5">
        <v>9.9786486027039073E-2</v>
      </c>
      <c r="BG51" s="5">
        <v>9.6191400612334471E-2</v>
      </c>
      <c r="BH51" s="4">
        <v>9.5641842374585825E-2</v>
      </c>
      <c r="BR51" s="3" t="s">
        <v>171</v>
      </c>
      <c r="BS51" s="5">
        <v>0.75289608143003617</v>
      </c>
      <c r="BT51" s="5">
        <v>0.78976936569888401</v>
      </c>
      <c r="BU51" s="4">
        <v>0.78236676336279332</v>
      </c>
      <c r="BV51" s="5">
        <v>0.6570288085415501</v>
      </c>
      <c r="BW51" s="5">
        <v>0.67121576149509754</v>
      </c>
      <c r="BX51" s="5">
        <v>0.64980640261799316</v>
      </c>
      <c r="BY51" s="5">
        <v>0.56682017722337641</v>
      </c>
      <c r="BZ51" s="5">
        <v>0.58108789838614761</v>
      </c>
      <c r="CA51" s="5">
        <v>0.58402468752323078</v>
      </c>
      <c r="CB51" s="4">
        <v>0.61553421383707596</v>
      </c>
      <c r="CC51" s="5">
        <v>0.62775417229182173</v>
      </c>
      <c r="CD51" s="5">
        <v>0.62683046935662845</v>
      </c>
      <c r="CF51" s="3" t="s">
        <v>172</v>
      </c>
      <c r="CG51" s="3" t="s">
        <v>112</v>
      </c>
      <c r="CH51" s="3" t="s">
        <v>113</v>
      </c>
      <c r="CI51" s="5">
        <v>0.49560410359122364</v>
      </c>
    </row>
    <row r="52" spans="2:87" x14ac:dyDescent="0.45">
      <c r="B52" s="6" t="s">
        <v>173</v>
      </c>
      <c r="C52" s="6" t="s">
        <v>103</v>
      </c>
      <c r="D52" s="8">
        <v>0.15109067581839866</v>
      </c>
      <c r="E52" s="8">
        <v>0.16981610168622585</v>
      </c>
      <c r="F52" s="8">
        <v>0.15344723643170224</v>
      </c>
      <c r="G52" s="8">
        <v>0.25277177088196928</v>
      </c>
      <c r="H52" s="8">
        <v>0.24245028454588685</v>
      </c>
      <c r="I52" s="8">
        <v>0.24445856884079548</v>
      </c>
      <c r="J52" s="8">
        <v>0.3188152208731434</v>
      </c>
      <c r="K52" s="8">
        <v>0.33378285880932546</v>
      </c>
      <c r="L52" s="8">
        <v>0.33196841582585468</v>
      </c>
      <c r="M52" s="8">
        <v>0.25748990225770302</v>
      </c>
      <c r="N52" s="8">
        <v>0.24649372639934908</v>
      </c>
      <c r="O52" s="8">
        <v>0.24210909194508651</v>
      </c>
      <c r="Q52" s="6" t="s">
        <v>173</v>
      </c>
      <c r="R52" s="6" t="s">
        <v>104</v>
      </c>
      <c r="S52" s="8">
        <v>9.1400011252426375E-3</v>
      </c>
      <c r="T52" s="8">
        <v>1.0189566484894715E-2</v>
      </c>
      <c r="U52" s="8">
        <v>7.1838190241917859E-3</v>
      </c>
      <c r="V52" s="8">
        <v>7.0345830019787076E-3</v>
      </c>
      <c r="W52" s="8">
        <v>8.7854406724607106E-3</v>
      </c>
      <c r="X52" s="8">
        <v>1.1745482186719506E-2</v>
      </c>
      <c r="Y52" s="8">
        <v>1.5192090531687165E-2</v>
      </c>
      <c r="Z52" s="8">
        <v>1.6295425380933471E-2</v>
      </c>
      <c r="AA52" s="8">
        <v>3.5628691102308319E-2</v>
      </c>
      <c r="AB52" s="8">
        <v>1.2612115158970764E-2</v>
      </c>
      <c r="AC52" s="8">
        <v>1.0144262905974049E-2</v>
      </c>
      <c r="AD52" s="8">
        <v>9.3603956706533684E-3</v>
      </c>
      <c r="AF52" s="6" t="s">
        <v>173</v>
      </c>
      <c r="AG52" s="6" t="s">
        <v>105</v>
      </c>
      <c r="AH52" s="8">
        <v>8.3175922149612107E-3</v>
      </c>
      <c r="AI52" s="8">
        <v>1.0770449957111548E-2</v>
      </c>
      <c r="AJ52" s="8">
        <v>9.2593527802158834E-3</v>
      </c>
      <c r="AK52" s="8">
        <v>1.4126350323292201E-2</v>
      </c>
      <c r="AL52" s="8">
        <v>1.1552670860978068E-2</v>
      </c>
      <c r="AM52" s="8">
        <v>1.3494188703258518E-2</v>
      </c>
      <c r="AN52" s="8">
        <v>4.7121814185870969E-2</v>
      </c>
      <c r="AO52" s="8">
        <v>1.6911066749860124E-2</v>
      </c>
      <c r="AP52" s="8">
        <v>2.5946181865188912E-2</v>
      </c>
      <c r="AQ52" s="8">
        <v>1.0304963064975687E-2</v>
      </c>
      <c r="AR52" s="8">
        <v>1.5238844573051516E-2</v>
      </c>
      <c r="AS52" s="8">
        <v>1.7339595954085713E-2</v>
      </c>
      <c r="AU52" s="6" t="s">
        <v>173</v>
      </c>
      <c r="AV52" s="6" t="s">
        <v>106</v>
      </c>
      <c r="AW52" s="8">
        <v>4.4693063295300671E-2</v>
      </c>
      <c r="AX52" s="8">
        <v>4.4593814504375759E-2</v>
      </c>
      <c r="AY52" s="8">
        <v>4.1917333376396866E-2</v>
      </c>
      <c r="AZ52" s="8">
        <v>0.10233678234900741</v>
      </c>
      <c r="BA52" s="7">
        <v>9.9039069721316278E-2</v>
      </c>
      <c r="BB52" s="8">
        <v>9.0088994765091843E-2</v>
      </c>
      <c r="BC52" s="8">
        <v>0.12799486211352587</v>
      </c>
      <c r="BD52" s="8">
        <v>0.16780561976926658</v>
      </c>
      <c r="BE52" s="8">
        <v>0.14424997902955383</v>
      </c>
      <c r="BF52" s="8">
        <v>0.1026268586115202</v>
      </c>
      <c r="BG52" s="8">
        <v>8.8103333208141496E-2</v>
      </c>
      <c r="BH52" s="7">
        <v>9.7398304300699401E-2</v>
      </c>
      <c r="BR52" s="6" t="s">
        <v>173</v>
      </c>
      <c r="BS52" s="8">
        <v>0.76886679163427296</v>
      </c>
      <c r="BT52" s="8">
        <v>0.75621025677465825</v>
      </c>
      <c r="BU52" s="7">
        <v>0.77891314835650649</v>
      </c>
      <c r="BV52" s="8">
        <v>0.60799375192019023</v>
      </c>
      <c r="BW52" s="8">
        <v>0.62689854176989401</v>
      </c>
      <c r="BX52" s="8">
        <v>0.62843709891820609</v>
      </c>
      <c r="BY52" s="8">
        <v>0.45309772627933909</v>
      </c>
      <c r="BZ52" s="8">
        <v>0.43647313367397683</v>
      </c>
      <c r="CA52" s="8">
        <v>0.4402763804580872</v>
      </c>
      <c r="CB52" s="7">
        <v>0.63431983558647309</v>
      </c>
      <c r="CC52" s="8">
        <v>0.65146464308922403</v>
      </c>
      <c r="CD52" s="8">
        <v>0.63680768062358339</v>
      </c>
      <c r="CF52" s="6" t="s">
        <v>174</v>
      </c>
      <c r="CG52" s="6" t="s">
        <v>112</v>
      </c>
      <c r="CH52" s="6" t="s">
        <v>113</v>
      </c>
      <c r="CI52" s="8">
        <v>0.52611016725816229</v>
      </c>
    </row>
    <row r="53" spans="2:87" x14ac:dyDescent="0.45">
      <c r="B53" s="3" t="s">
        <v>175</v>
      </c>
      <c r="C53" s="3" t="s">
        <v>103</v>
      </c>
      <c r="D53" s="5">
        <v>0.15114168296081637</v>
      </c>
      <c r="E53" s="5">
        <v>0.16745132776644522</v>
      </c>
      <c r="F53" s="5">
        <v>0.16112411871512705</v>
      </c>
      <c r="G53" s="5">
        <v>0.28252272885022411</v>
      </c>
      <c r="H53" s="5">
        <v>0.24645082126341972</v>
      </c>
      <c r="I53" s="5">
        <v>0.25878407950962851</v>
      </c>
      <c r="J53" s="5">
        <v>0.28258672019439784</v>
      </c>
      <c r="K53" s="5">
        <v>0.29865623758732879</v>
      </c>
      <c r="L53" s="5">
        <v>0.29244834174558443</v>
      </c>
      <c r="M53" s="5">
        <v>0.24785930386730579</v>
      </c>
      <c r="N53" s="5">
        <v>0.25590900857171989</v>
      </c>
      <c r="O53" s="5">
        <v>0.24931199080091981</v>
      </c>
      <c r="Q53" s="3" t="s">
        <v>175</v>
      </c>
      <c r="R53" s="3" t="s">
        <v>104</v>
      </c>
      <c r="S53" s="5">
        <v>1.1769855280096509E-2</v>
      </c>
      <c r="T53" s="5">
        <v>1.5332438807143833E-2</v>
      </c>
      <c r="U53" s="5">
        <v>8.8044642203556484E-3</v>
      </c>
      <c r="V53" s="5">
        <v>1.2177779513511003E-2</v>
      </c>
      <c r="W53" s="5">
        <v>1.2356572121382841E-2</v>
      </c>
      <c r="X53" s="5">
        <v>1.1428990430875485E-2</v>
      </c>
      <c r="Y53" s="5">
        <v>1.0587102259350008E-2</v>
      </c>
      <c r="Z53" s="5">
        <v>1.8060223437560027E-2</v>
      </c>
      <c r="AA53" s="5">
        <v>1.3195860313480365E-2</v>
      </c>
      <c r="AB53" s="5">
        <v>8.5481980171497503E-3</v>
      </c>
      <c r="AC53" s="5">
        <v>2.1969221645137722E-2</v>
      </c>
      <c r="AD53" s="5">
        <v>3.9064943655482973E-3</v>
      </c>
      <c r="AF53" s="3" t="s">
        <v>175</v>
      </c>
      <c r="AG53" s="3" t="s">
        <v>105</v>
      </c>
      <c r="AH53" s="5">
        <v>9.3306744611942934E-3</v>
      </c>
      <c r="AI53" s="5">
        <v>1.2367413508346532E-2</v>
      </c>
      <c r="AJ53" s="5">
        <v>1.278462825175988E-2</v>
      </c>
      <c r="AK53" s="5">
        <v>1.5404360718955916E-2</v>
      </c>
      <c r="AL53" s="5">
        <v>1.4618735125159857E-2</v>
      </c>
      <c r="AM53" s="5">
        <v>1.3810597218217887E-2</v>
      </c>
      <c r="AN53" s="5">
        <v>1.9429857804593539E-2</v>
      </c>
      <c r="AO53" s="5">
        <v>1.7007001546442264E-2</v>
      </c>
      <c r="AP53" s="5">
        <v>2.1204743862236024E-2</v>
      </c>
      <c r="AQ53" s="5">
        <v>4.6236523501732478E-3</v>
      </c>
      <c r="AR53" s="5">
        <v>1.6536959312006719E-2</v>
      </c>
      <c r="AS53" s="5">
        <v>2.2993695639154519E-2</v>
      </c>
      <c r="AU53" s="3" t="s">
        <v>175</v>
      </c>
      <c r="AV53" s="3" t="s">
        <v>106</v>
      </c>
      <c r="AW53" s="5">
        <v>3.928141883125591E-2</v>
      </c>
      <c r="AX53" s="5">
        <v>4.3286295111409842E-2</v>
      </c>
      <c r="AY53" s="5">
        <v>4.1977936286615017E-2</v>
      </c>
      <c r="AZ53" s="5">
        <v>0.12092830327858586</v>
      </c>
      <c r="BA53" s="4">
        <v>0.10359286383140548</v>
      </c>
      <c r="BB53" s="5">
        <v>0.11723555542470018</v>
      </c>
      <c r="BC53" s="5">
        <v>0.13271431190820923</v>
      </c>
      <c r="BD53" s="5">
        <v>0.13045750415575005</v>
      </c>
      <c r="BE53" s="5">
        <v>0.13478030707632305</v>
      </c>
      <c r="BF53" s="5">
        <v>0.11570548737754069</v>
      </c>
      <c r="BG53" s="5">
        <v>9.1749996514473478E-2</v>
      </c>
      <c r="BH53" s="4">
        <v>0.10753743081690399</v>
      </c>
      <c r="BR53" s="3" t="s">
        <v>175</v>
      </c>
      <c r="BS53" s="5">
        <v>0.77652611855281461</v>
      </c>
      <c r="BT53" s="5">
        <v>0.74748199573723106</v>
      </c>
      <c r="BU53" s="4">
        <v>0.76729718837374783</v>
      </c>
      <c r="BV53" s="5">
        <v>0.58720376246225758</v>
      </c>
      <c r="BW53" s="5">
        <v>0.61062422846340791</v>
      </c>
      <c r="BX53" s="5">
        <v>0.59949137343701886</v>
      </c>
      <c r="BY53" s="5">
        <v>0.53319734468559166</v>
      </c>
      <c r="BZ53" s="5">
        <v>0.52893942293215568</v>
      </c>
      <c r="CA53" s="5">
        <v>0.52975985027959405</v>
      </c>
      <c r="CB53" s="4">
        <v>0.60779396809449449</v>
      </c>
      <c r="CC53" s="5">
        <v>0.61659785013940349</v>
      </c>
      <c r="CD53" s="5">
        <v>0.61849480909745957</v>
      </c>
      <c r="CF53" s="3" t="s">
        <v>176</v>
      </c>
      <c r="CG53" s="3" t="s">
        <v>112</v>
      </c>
      <c r="CH53" s="3" t="s">
        <v>113</v>
      </c>
      <c r="CI53" s="5">
        <v>0.49878614902308671</v>
      </c>
    </row>
    <row r="54" spans="2:87" x14ac:dyDescent="0.45">
      <c r="B54" s="6" t="s">
        <v>177</v>
      </c>
      <c r="C54" s="6" t="s">
        <v>103</v>
      </c>
      <c r="D54" s="8">
        <v>0.14881547371338583</v>
      </c>
      <c r="E54" s="8">
        <v>0.15906642508499241</v>
      </c>
      <c r="F54" s="8">
        <v>0.13772101710604145</v>
      </c>
      <c r="G54" s="8">
        <v>0.26416255015796108</v>
      </c>
      <c r="H54" s="8">
        <v>0.25866562647292735</v>
      </c>
      <c r="I54" s="8">
        <v>0.26693831423423681</v>
      </c>
      <c r="J54" s="8">
        <v>0.28790382709089307</v>
      </c>
      <c r="K54" s="8">
        <v>0.29707951356616485</v>
      </c>
      <c r="L54" s="8">
        <v>0.28478380214642462</v>
      </c>
      <c r="M54" s="8">
        <v>0.24412693978530145</v>
      </c>
      <c r="N54" s="8">
        <v>0.24403925914289329</v>
      </c>
      <c r="O54" s="8">
        <v>0.2398818197337757</v>
      </c>
      <c r="Q54" s="6" t="s">
        <v>177</v>
      </c>
      <c r="R54" s="6" t="s">
        <v>104</v>
      </c>
      <c r="S54" s="8">
        <v>9.3805370273767705E-3</v>
      </c>
      <c r="T54" s="8">
        <v>9.6095629614881203E-3</v>
      </c>
      <c r="U54" s="8">
        <v>8.9989682593769518E-3</v>
      </c>
      <c r="V54" s="8">
        <v>7.9740956663143635E-3</v>
      </c>
      <c r="W54" s="8">
        <v>1.003346119840719E-2</v>
      </c>
      <c r="X54" s="8">
        <v>7.7315218763398226E-3</v>
      </c>
      <c r="Y54" s="8">
        <v>1.2232825942553953E-2</v>
      </c>
      <c r="Z54" s="8">
        <v>1.2829058201688484E-2</v>
      </c>
      <c r="AA54" s="8">
        <v>1.7176620751862499E-2</v>
      </c>
      <c r="AB54" s="8">
        <v>1.0021526887395939E-2</v>
      </c>
      <c r="AC54" s="8">
        <v>1.5425076759421305E-2</v>
      </c>
      <c r="AD54" s="8">
        <v>9.2647241688472923E-3</v>
      </c>
      <c r="AF54" s="6" t="s">
        <v>177</v>
      </c>
      <c r="AG54" s="6" t="s">
        <v>105</v>
      </c>
      <c r="AH54" s="8">
        <v>9.450867739853902E-3</v>
      </c>
      <c r="AI54" s="8">
        <v>1.3351692205377646E-2</v>
      </c>
      <c r="AJ54" s="8">
        <v>5.8572247541776217E-3</v>
      </c>
      <c r="AK54" s="8">
        <v>1.0071403795547185E-2</v>
      </c>
      <c r="AL54" s="8">
        <v>9.2896720100423165E-3</v>
      </c>
      <c r="AM54" s="8">
        <v>1.9580804911252428E-2</v>
      </c>
      <c r="AN54" s="8">
        <v>2.1396834182423753E-2</v>
      </c>
      <c r="AO54" s="8">
        <v>1.3544895356800654E-2</v>
      </c>
      <c r="AP54" s="8">
        <v>2.7284171720595253E-2</v>
      </c>
      <c r="AQ54" s="8">
        <v>1.0312619940611716E-2</v>
      </c>
      <c r="AR54" s="8">
        <v>1.793178612819387E-2</v>
      </c>
      <c r="AS54" s="8">
        <v>2.0253923378462969E-2</v>
      </c>
      <c r="AU54" s="6" t="s">
        <v>177</v>
      </c>
      <c r="AV54" s="6" t="s">
        <v>106</v>
      </c>
      <c r="AW54" s="8">
        <v>4.2562117448332583E-2</v>
      </c>
      <c r="AX54" s="8">
        <v>4.4836860323267641E-2</v>
      </c>
      <c r="AY54" s="8">
        <v>4.1313443774058517E-2</v>
      </c>
      <c r="AZ54" s="8">
        <v>0.12004591874128619</v>
      </c>
      <c r="BA54" s="7">
        <v>0.11386516062941522</v>
      </c>
      <c r="BB54" s="8">
        <v>0.10955195304764606</v>
      </c>
      <c r="BC54" s="8">
        <v>0.13582459632863669</v>
      </c>
      <c r="BD54" s="8">
        <v>0.15036212257250889</v>
      </c>
      <c r="BE54" s="8">
        <v>0.12535658560492369</v>
      </c>
      <c r="BF54" s="8">
        <v>9.9537221424584002E-2</v>
      </c>
      <c r="BG54" s="8">
        <v>8.5145045102712508E-2</v>
      </c>
      <c r="BH54" s="7">
        <v>9.2411655239501705E-2</v>
      </c>
      <c r="BR54" s="6" t="s">
        <v>177</v>
      </c>
      <c r="BS54" s="8">
        <v>0.76139754013805649</v>
      </c>
      <c r="BT54" s="8">
        <v>0.75264201206842851</v>
      </c>
      <c r="BU54" s="7">
        <v>0.78371084381946365</v>
      </c>
      <c r="BV54" s="8">
        <v>0.58960176973416989</v>
      </c>
      <c r="BW54" s="8">
        <v>0.60626939163433369</v>
      </c>
      <c r="BX54" s="8">
        <v>0.59927485428581173</v>
      </c>
      <c r="BY54" s="8">
        <v>0.50318827707623659</v>
      </c>
      <c r="BZ54" s="8">
        <v>0.49342364809750733</v>
      </c>
      <c r="CA54" s="8">
        <v>0.49680797950104433</v>
      </c>
      <c r="CB54" s="7">
        <v>0.623917083083946</v>
      </c>
      <c r="CC54" s="8">
        <v>0.6351900388558287</v>
      </c>
      <c r="CD54" s="8">
        <v>0.62956697023148223</v>
      </c>
      <c r="CF54" s="6" t="s">
        <v>178</v>
      </c>
      <c r="CG54" s="6" t="s">
        <v>112</v>
      </c>
      <c r="CH54" s="6" t="s">
        <v>113</v>
      </c>
      <c r="CI54" s="8">
        <v>0.72193863546424597</v>
      </c>
    </row>
    <row r="55" spans="2:87" x14ac:dyDescent="0.45">
      <c r="B55" s="3" t="s">
        <v>179</v>
      </c>
      <c r="C55" s="3" t="s">
        <v>103</v>
      </c>
      <c r="D55" s="5">
        <v>0.22699227146550521</v>
      </c>
      <c r="E55" s="5">
        <v>0.22798985666677202</v>
      </c>
      <c r="F55" s="5">
        <v>0.22259218613052259</v>
      </c>
      <c r="G55" s="5">
        <v>0.32868161965052145</v>
      </c>
      <c r="H55" s="5">
        <v>0.34128032869678293</v>
      </c>
      <c r="I55" s="5">
        <v>0.29826977242432423</v>
      </c>
      <c r="J55" s="5">
        <v>0.33633769793218782</v>
      </c>
      <c r="K55" s="5">
        <v>0.36778837892960026</v>
      </c>
      <c r="L55" s="5">
        <v>0.35566694965145818</v>
      </c>
      <c r="M55" s="5">
        <v>0.25075829249969422</v>
      </c>
      <c r="N55" s="5">
        <v>0.25332062393963273</v>
      </c>
      <c r="O55" s="5">
        <v>0.21914503150146161</v>
      </c>
      <c r="Q55" s="3" t="s">
        <v>179</v>
      </c>
      <c r="R55" s="3" t="s">
        <v>104</v>
      </c>
      <c r="S55" s="5">
        <v>1.2830421951503232E-2</v>
      </c>
      <c r="T55" s="5">
        <v>9.8254074441190154E-3</v>
      </c>
      <c r="U55" s="5">
        <v>1.6909116106605903E-2</v>
      </c>
      <c r="V55" s="5">
        <v>1.2498973714094906E-2</v>
      </c>
      <c r="W55" s="5">
        <v>2.0058204616066777E-2</v>
      </c>
      <c r="X55" s="5">
        <v>1.8318172216282541E-2</v>
      </c>
      <c r="Y55" s="5">
        <v>2.3062408280732385E-2</v>
      </c>
      <c r="Z55" s="5">
        <v>2.9659193025007479E-2</v>
      </c>
      <c r="AA55" s="5">
        <v>2.2977369642136848E-2</v>
      </c>
      <c r="AB55" s="5">
        <v>1.5131466328189808E-2</v>
      </c>
      <c r="AC55" s="5">
        <v>8.1775818265664973E-3</v>
      </c>
      <c r="AD55" s="5">
        <v>1.1689374210875989E-2</v>
      </c>
      <c r="AF55" s="3" t="s">
        <v>179</v>
      </c>
      <c r="AG55" s="3" t="s">
        <v>105</v>
      </c>
      <c r="AH55" s="5">
        <v>1.618817150783864E-2</v>
      </c>
      <c r="AI55" s="5">
        <v>1.5090655714561642E-2</v>
      </c>
      <c r="AJ55" s="5">
        <v>7.4992502444498664E-3</v>
      </c>
      <c r="AK55" s="5">
        <v>2.9346177288668823E-2</v>
      </c>
      <c r="AL55" s="5">
        <v>1.4655527200375183E-2</v>
      </c>
      <c r="AM55" s="5">
        <v>2.9768975873205254E-2</v>
      </c>
      <c r="AN55" s="5">
        <v>2.0183887698509682E-2</v>
      </c>
      <c r="AO55" s="5">
        <v>4.8682022862273751E-2</v>
      </c>
      <c r="AP55" s="5">
        <v>3.9574968412919805E-2</v>
      </c>
      <c r="AQ55" s="5">
        <v>1.7019067386358888E-2</v>
      </c>
      <c r="AR55" s="5">
        <v>1.5227147426306348E-2</v>
      </c>
      <c r="AS55" s="5">
        <v>9.0732131373496422E-3</v>
      </c>
      <c r="AU55" s="3" t="s">
        <v>179</v>
      </c>
      <c r="AV55" s="3" t="s">
        <v>106</v>
      </c>
      <c r="AW55" s="5">
        <v>6.807795870312737E-2</v>
      </c>
      <c r="AX55" s="5">
        <v>8.161234190768106E-2</v>
      </c>
      <c r="AY55" s="5">
        <v>7.6896392677767253E-2</v>
      </c>
      <c r="AZ55" s="5">
        <v>0.13224926353137029</v>
      </c>
      <c r="BA55" s="4">
        <v>0.15914426948537544</v>
      </c>
      <c r="BB55" s="5">
        <v>0.11763451808721727</v>
      </c>
      <c r="BC55" s="5">
        <v>0.17533766052720118</v>
      </c>
      <c r="BD55" s="5">
        <v>0.1515598185361352</v>
      </c>
      <c r="BE55" s="5">
        <v>0.16030509083199171</v>
      </c>
      <c r="BF55" s="5">
        <v>9.3952169987728013E-2</v>
      </c>
      <c r="BG55" s="5">
        <v>0.10454053179367997</v>
      </c>
      <c r="BH55" s="4">
        <v>8.768764034568366E-2</v>
      </c>
      <c r="BR55" s="3" t="s">
        <v>179</v>
      </c>
      <c r="BS55" s="5">
        <v>0.66024303895420566</v>
      </c>
      <c r="BT55" s="5">
        <v>0.63135846452586319</v>
      </c>
      <c r="BU55" s="4">
        <v>0.64654373533872</v>
      </c>
      <c r="BV55" s="5">
        <v>0.49263674519035383</v>
      </c>
      <c r="BW55" s="5">
        <v>0.46758668823986893</v>
      </c>
      <c r="BX55" s="5">
        <v>0.51369886431657386</v>
      </c>
      <c r="BY55" s="5">
        <v>0.32684397429198819</v>
      </c>
      <c r="BZ55" s="5">
        <v>0.32434965408409955</v>
      </c>
      <c r="CA55" s="5">
        <v>0.35071028914662944</v>
      </c>
      <c r="CB55" s="4">
        <v>0.58767374819880924</v>
      </c>
      <c r="CC55" s="5">
        <v>0.57902481312303467</v>
      </c>
      <c r="CD55" s="5">
        <v>0.615819166758374</v>
      </c>
      <c r="CF55" s="3" t="s">
        <v>135</v>
      </c>
      <c r="CG55" s="3" t="s">
        <v>112</v>
      </c>
      <c r="CH55" s="3" t="s">
        <v>113</v>
      </c>
      <c r="CI55" s="5">
        <v>0.68377347052722059</v>
      </c>
    </row>
    <row r="56" spans="2:87" x14ac:dyDescent="0.45">
      <c r="B56" s="6" t="s">
        <v>180</v>
      </c>
      <c r="C56" s="6" t="s">
        <v>103</v>
      </c>
      <c r="D56" s="8">
        <v>0.24679307873541839</v>
      </c>
      <c r="E56" s="8">
        <v>0.24691211262041657</v>
      </c>
      <c r="F56" s="8">
        <v>0.25287948644192876</v>
      </c>
      <c r="G56" s="8">
        <v>0.26249401202433686</v>
      </c>
      <c r="H56" s="8">
        <v>0.29304632673617537</v>
      </c>
      <c r="I56" s="8">
        <v>0.26003204315312189</v>
      </c>
      <c r="J56" s="8">
        <v>0.32027339117948411</v>
      </c>
      <c r="K56" s="8">
        <v>0.34883720085641545</v>
      </c>
      <c r="L56" s="8">
        <v>0.30400089108232264</v>
      </c>
      <c r="M56" s="8">
        <v>0.30962984182427405</v>
      </c>
      <c r="N56" s="8">
        <v>0.28324356422126934</v>
      </c>
      <c r="O56" s="8">
        <v>0.27212316046743495</v>
      </c>
      <c r="Q56" s="6" t="s">
        <v>180</v>
      </c>
      <c r="R56" s="6" t="s">
        <v>104</v>
      </c>
      <c r="S56" s="8">
        <v>1.0963639564840493E-2</v>
      </c>
      <c r="T56" s="8">
        <v>1.667181021707476E-2</v>
      </c>
      <c r="U56" s="8">
        <v>1.509162618204455E-2</v>
      </c>
      <c r="V56" s="8">
        <v>1.0407048599738547E-2</v>
      </c>
      <c r="W56" s="8">
        <v>1.3606620764816576E-2</v>
      </c>
      <c r="X56" s="8">
        <v>1.223839637596847E-2</v>
      </c>
      <c r="Y56" s="8">
        <v>2.552925399103843E-2</v>
      </c>
      <c r="Z56" s="8">
        <v>1.9133589170745258E-2</v>
      </c>
      <c r="AA56" s="8">
        <v>1.6590903523771721E-2</v>
      </c>
      <c r="AB56" s="8">
        <v>1.4513647042868375E-2</v>
      </c>
      <c r="AC56" s="8">
        <v>2.0659156325016682E-2</v>
      </c>
      <c r="AD56" s="8">
        <v>8.982761517972223E-3</v>
      </c>
      <c r="AF56" s="6" t="s">
        <v>180</v>
      </c>
      <c r="AG56" s="6" t="s">
        <v>105</v>
      </c>
      <c r="AH56" s="8">
        <v>1.3123489616456185E-2</v>
      </c>
      <c r="AI56" s="8">
        <v>1.7743681205373226E-2</v>
      </c>
      <c r="AJ56" s="8">
        <v>1.7804997032687273E-2</v>
      </c>
      <c r="AK56" s="8">
        <v>1.3500720618459295E-2</v>
      </c>
      <c r="AL56" s="8">
        <v>1.7223025726514962E-2</v>
      </c>
      <c r="AM56" s="8">
        <v>1.7603800846696931E-2</v>
      </c>
      <c r="AN56" s="8">
        <v>3.7265509714042862E-2</v>
      </c>
      <c r="AO56" s="8">
        <v>1.8925643700673428E-2</v>
      </c>
      <c r="AP56" s="8">
        <v>1.4756613914529064E-2</v>
      </c>
      <c r="AQ56" s="8">
        <v>8.2651375550821735E-3</v>
      </c>
      <c r="AR56" s="8">
        <v>2.1851683931282902E-2</v>
      </c>
      <c r="AS56" s="8">
        <v>2.3278020270300424E-2</v>
      </c>
      <c r="AU56" s="6" t="s">
        <v>180</v>
      </c>
      <c r="AV56" s="6" t="s">
        <v>106</v>
      </c>
      <c r="AW56" s="8">
        <v>0.10319436384410909</v>
      </c>
      <c r="AX56" s="8">
        <v>9.2853365070309155E-2</v>
      </c>
      <c r="AY56" s="8">
        <v>9.4728108348743775E-2</v>
      </c>
      <c r="AZ56" s="8">
        <v>0.11224600503507329</v>
      </c>
      <c r="BA56" s="7">
        <v>0.13680860335057349</v>
      </c>
      <c r="BB56" s="8">
        <v>0.10990572005496808</v>
      </c>
      <c r="BC56" s="8">
        <v>0.13437487220918176</v>
      </c>
      <c r="BD56" s="8">
        <v>0.1763758963932025</v>
      </c>
      <c r="BE56" s="8">
        <v>0.14927044778680715</v>
      </c>
      <c r="BF56" s="8">
        <v>0.14378428975560625</v>
      </c>
      <c r="BG56" s="8">
        <v>0.10813281494490685</v>
      </c>
      <c r="BH56" s="7">
        <v>0.11194519850163333</v>
      </c>
      <c r="BR56" s="6" t="s">
        <v>180</v>
      </c>
      <c r="BS56" s="8">
        <v>0.61388146376792951</v>
      </c>
      <c r="BT56" s="8">
        <v>0.604033481181801</v>
      </c>
      <c r="BU56" s="7">
        <v>0.61293485099115452</v>
      </c>
      <c r="BV56" s="8">
        <v>0.57252771189939256</v>
      </c>
      <c r="BW56" s="8">
        <v>0.53035045652326918</v>
      </c>
      <c r="BX56" s="8">
        <v>0.5785560785550562</v>
      </c>
      <c r="BY56" s="8">
        <v>0.43589243000654121</v>
      </c>
      <c r="BZ56" s="8">
        <v>0.41204959784259865</v>
      </c>
      <c r="CA56" s="8">
        <v>0.47141212378720171</v>
      </c>
      <c r="CB56" s="7">
        <v>0.54313119302785273</v>
      </c>
      <c r="CC56" s="8">
        <v>0.56453993710897354</v>
      </c>
      <c r="CD56" s="8">
        <v>0.58467830507735663</v>
      </c>
      <c r="CF56" s="6" t="s">
        <v>137</v>
      </c>
      <c r="CG56" s="6" t="s">
        <v>112</v>
      </c>
      <c r="CH56" s="6" t="s">
        <v>113</v>
      </c>
      <c r="CI56" s="8">
        <v>0.63129943553185852</v>
      </c>
    </row>
    <row r="57" spans="2:87" x14ac:dyDescent="0.45">
      <c r="B57" s="3" t="s">
        <v>181</v>
      </c>
      <c r="C57" s="3" t="s">
        <v>103</v>
      </c>
      <c r="D57" s="5">
        <v>0.21893120563022087</v>
      </c>
      <c r="E57" s="5">
        <v>0.21656319694265658</v>
      </c>
      <c r="F57" s="5">
        <v>0.20890004713161456</v>
      </c>
      <c r="G57" s="5">
        <v>0.24887773549868822</v>
      </c>
      <c r="H57" s="5">
        <v>0.25277252921031107</v>
      </c>
      <c r="I57" s="5">
        <v>0.25954752579996127</v>
      </c>
      <c r="J57" s="5">
        <v>0.32919669496116255</v>
      </c>
      <c r="K57" s="5">
        <v>0.36657887641558723</v>
      </c>
      <c r="L57" s="5">
        <v>0.34090121808638174</v>
      </c>
      <c r="M57" s="5">
        <v>0.20677937156794909</v>
      </c>
      <c r="N57" s="5">
        <v>0.21408077250958446</v>
      </c>
      <c r="O57" s="5">
        <v>0.19058172796076253</v>
      </c>
      <c r="Q57" s="3" t="s">
        <v>181</v>
      </c>
      <c r="R57" s="3" t="s">
        <v>104</v>
      </c>
      <c r="S57" s="5">
        <v>1.2379551136115746E-2</v>
      </c>
      <c r="T57" s="5">
        <v>7.1829224790955094E-3</v>
      </c>
      <c r="U57" s="5">
        <v>1.506546278304356E-2</v>
      </c>
      <c r="V57" s="5">
        <v>8.8246908031334344E-3</v>
      </c>
      <c r="W57" s="5">
        <v>8.3888062911073868E-3</v>
      </c>
      <c r="X57" s="5">
        <v>1.8318811812968256E-2</v>
      </c>
      <c r="Y57" s="5">
        <v>2.5212521288370524E-2</v>
      </c>
      <c r="Z57" s="5">
        <v>3.0645856079861634E-2</v>
      </c>
      <c r="AA57" s="5">
        <v>1.3117428321100806E-2</v>
      </c>
      <c r="AB57" s="5">
        <v>1.2872151369288804E-2</v>
      </c>
      <c r="AC57" s="5">
        <v>8.9559918745504754E-3</v>
      </c>
      <c r="AD57" s="5">
        <v>1.2626061626878819E-2</v>
      </c>
      <c r="AF57" s="3" t="s">
        <v>181</v>
      </c>
      <c r="AG57" s="3" t="s">
        <v>105</v>
      </c>
      <c r="AH57" s="5">
        <v>1.3967584711498612E-2</v>
      </c>
      <c r="AI57" s="5">
        <v>1.3655716779253712E-2</v>
      </c>
      <c r="AJ57" s="5">
        <v>1.031638915090066E-2</v>
      </c>
      <c r="AK57" s="5">
        <v>1.6749618966125628E-2</v>
      </c>
      <c r="AL57" s="5">
        <v>1.207255421605208E-2</v>
      </c>
      <c r="AM57" s="5">
        <v>1.8089284334833852E-2</v>
      </c>
      <c r="AN57" s="5">
        <v>3.014334755900577E-2</v>
      </c>
      <c r="AO57" s="5">
        <v>4.8871943734196559E-2</v>
      </c>
      <c r="AP57" s="5">
        <v>3.1130493386630247E-2</v>
      </c>
      <c r="AQ57" s="5">
        <v>1.6908783605218351E-2</v>
      </c>
      <c r="AR57" s="5">
        <v>1.1590047361339575E-2</v>
      </c>
      <c r="AS57" s="5">
        <v>1.3280026590453835E-2</v>
      </c>
      <c r="AU57" s="3" t="s">
        <v>181</v>
      </c>
      <c r="AV57" s="3" t="s">
        <v>106</v>
      </c>
      <c r="AW57" s="5">
        <v>7.2367943757015663E-2</v>
      </c>
      <c r="AX57" s="5">
        <v>7.8128808832202648E-2</v>
      </c>
      <c r="AY57" s="5">
        <v>7.3360657579846278E-2</v>
      </c>
      <c r="AZ57" s="5">
        <v>0.10185083906103505</v>
      </c>
      <c r="BA57" s="4">
        <v>0.10746168337371249</v>
      </c>
      <c r="BB57" s="5">
        <v>9.7912278357299848E-2</v>
      </c>
      <c r="BC57" s="5">
        <v>0.14585504304591196</v>
      </c>
      <c r="BD57" s="5">
        <v>0.1591146026473978</v>
      </c>
      <c r="BE57" s="5">
        <v>0.16911006082257851</v>
      </c>
      <c r="BF57" s="5">
        <v>6.6416601009518975E-2</v>
      </c>
      <c r="BG57" s="5">
        <v>8.8001010426273257E-2</v>
      </c>
      <c r="BH57" s="4">
        <v>6.167945388762399E-2</v>
      </c>
      <c r="BR57" s="3" t="s">
        <v>181</v>
      </c>
      <c r="BS57" s="5">
        <v>0.6869117358135991</v>
      </c>
      <c r="BT57" s="5">
        <v>0.68644899636048329</v>
      </c>
      <c r="BU57" s="4">
        <v>0.67966663426691121</v>
      </c>
      <c r="BV57" s="5">
        <v>0.60898739633766763</v>
      </c>
      <c r="BW57" s="5">
        <v>0.6062261690425047</v>
      </c>
      <c r="BX57" s="5">
        <v>0.60005718607981395</v>
      </c>
      <c r="BY57" s="5">
        <v>0.36843435075962899</v>
      </c>
      <c r="BZ57" s="5">
        <v>0.34325250300789284</v>
      </c>
      <c r="CA57" s="5">
        <v>0.37802798533413229</v>
      </c>
      <c r="CB57" s="4">
        <v>0.6713490044188839</v>
      </c>
      <c r="CC57" s="5">
        <v>0.64814019613397633</v>
      </c>
      <c r="CD57" s="5">
        <v>0.69159802049017172</v>
      </c>
      <c r="CF57" s="3" t="s">
        <v>139</v>
      </c>
      <c r="CG57" s="3" t="s">
        <v>112</v>
      </c>
      <c r="CH57" s="3" t="s">
        <v>113</v>
      </c>
      <c r="CI57" s="5">
        <v>0.6361177906965898</v>
      </c>
    </row>
    <row r="58" spans="2:87" x14ac:dyDescent="0.45">
      <c r="B58" s="6" t="s">
        <v>182</v>
      </c>
      <c r="C58" s="6" t="s">
        <v>103</v>
      </c>
      <c r="D58" s="8">
        <v>0.2148428968725089</v>
      </c>
      <c r="E58" s="8">
        <v>0.21497426627969113</v>
      </c>
      <c r="F58" s="8">
        <v>0.19721419025929318</v>
      </c>
      <c r="G58" s="8">
        <v>0.24342944760837562</v>
      </c>
      <c r="H58" s="8">
        <v>0.25285164386715803</v>
      </c>
      <c r="I58" s="8">
        <v>0.25095598066781621</v>
      </c>
      <c r="J58" s="8">
        <v>0.34768421984527126</v>
      </c>
      <c r="K58" s="8">
        <v>0.39924954705734295</v>
      </c>
      <c r="L58" s="8">
        <v>0.34276386061682373</v>
      </c>
      <c r="M58" s="8">
        <v>0.19816259292313027</v>
      </c>
      <c r="N58" s="8">
        <v>0.21607420468592847</v>
      </c>
      <c r="O58" s="8">
        <v>0.18369464761247364</v>
      </c>
      <c r="Q58" s="6" t="s">
        <v>182</v>
      </c>
      <c r="R58" s="6" t="s">
        <v>104</v>
      </c>
      <c r="S58" s="8">
        <v>8.3938312498986097E-3</v>
      </c>
      <c r="T58" s="8">
        <v>9.4555908851016862E-3</v>
      </c>
      <c r="U58" s="8">
        <v>1.2198270838573244E-2</v>
      </c>
      <c r="V58" s="8">
        <v>6.1686556145104611E-3</v>
      </c>
      <c r="W58" s="8">
        <v>1.2407660318690632E-2</v>
      </c>
      <c r="X58" s="8">
        <v>1.1804259760622647E-2</v>
      </c>
      <c r="Y58" s="8">
        <v>3.2404664286260744E-2</v>
      </c>
      <c r="Z58" s="8">
        <v>3.8276654423258005E-2</v>
      </c>
      <c r="AA58" s="8">
        <v>2.6166598130190302E-2</v>
      </c>
      <c r="AB58" s="8">
        <v>1.345773977647477E-2</v>
      </c>
      <c r="AC58" s="8">
        <v>1.3391768373848473E-2</v>
      </c>
      <c r="AD58" s="8">
        <v>6.8931575169721079E-3</v>
      </c>
      <c r="AF58" s="6" t="s">
        <v>182</v>
      </c>
      <c r="AG58" s="6" t="s">
        <v>105</v>
      </c>
      <c r="AH58" s="8">
        <v>1.3682884112497408E-2</v>
      </c>
      <c r="AI58" s="8">
        <v>1.3232021954629169E-2</v>
      </c>
      <c r="AJ58" s="8">
        <v>7.9518344304944765E-3</v>
      </c>
      <c r="AK58" s="8">
        <v>1.3548136821695988E-2</v>
      </c>
      <c r="AL58" s="8">
        <v>1.4871649517610663E-2</v>
      </c>
      <c r="AM58" s="8">
        <v>1.618546200296592E-2</v>
      </c>
      <c r="AN58" s="8">
        <v>3.3575588935322538E-2</v>
      </c>
      <c r="AO58" s="8">
        <v>5.4293056108288808E-2</v>
      </c>
      <c r="AP58" s="8">
        <v>2.9216623270070706E-2</v>
      </c>
      <c r="AQ58" s="8">
        <v>1.1047619862910932E-2</v>
      </c>
      <c r="AR58" s="8">
        <v>1.4942734107294844E-2</v>
      </c>
      <c r="AS58" s="8">
        <v>1.4815989301864884E-2</v>
      </c>
      <c r="AU58" s="6" t="s">
        <v>182</v>
      </c>
      <c r="AV58" s="6" t="s">
        <v>106</v>
      </c>
      <c r="AW58" s="8">
        <v>7.2749725796774287E-2</v>
      </c>
      <c r="AX58" s="8">
        <v>7.8334345780707859E-2</v>
      </c>
      <c r="AY58" s="8">
        <v>6.8823193436412786E-2</v>
      </c>
      <c r="AZ58" s="8">
        <v>0.10696937490609147</v>
      </c>
      <c r="BA58" s="7">
        <v>0.1058831409566731</v>
      </c>
      <c r="BB58" s="8">
        <v>0.10475383141910362</v>
      </c>
      <c r="BC58" s="8">
        <v>0.14340983742258193</v>
      </c>
      <c r="BD58" s="8">
        <v>0.17096439760093884</v>
      </c>
      <c r="BE58" s="8">
        <v>0.15750945108241504</v>
      </c>
      <c r="BF58" s="8">
        <v>6.9455445485855749E-2</v>
      </c>
      <c r="BG58" s="8">
        <v>7.7777687226470354E-2</v>
      </c>
      <c r="BH58" s="7">
        <v>6.7056954203961849E-2</v>
      </c>
      <c r="BR58" s="6" t="s">
        <v>182</v>
      </c>
      <c r="BS58" s="8">
        <v>0.68027502723291411</v>
      </c>
      <c r="BT58" s="8">
        <v>0.6709440040104937</v>
      </c>
      <c r="BU58" s="7">
        <v>0.69457158146936482</v>
      </c>
      <c r="BV58" s="8">
        <v>0.5827637596133074</v>
      </c>
      <c r="BW58" s="8">
        <v>0.57528480373177193</v>
      </c>
      <c r="BX58" s="8">
        <v>0.57299403787190129</v>
      </c>
      <c r="BY58" s="8">
        <v>0.33220617381015549</v>
      </c>
      <c r="BZ58" s="8">
        <v>0.29244904567020652</v>
      </c>
      <c r="CA58" s="8">
        <v>0.3501223674876609</v>
      </c>
      <c r="CB58" s="7">
        <v>0.6516657129025859</v>
      </c>
      <c r="CC58" s="8">
        <v>0.63193408697608344</v>
      </c>
      <c r="CD58" s="8">
        <v>0.67439855401147897</v>
      </c>
      <c r="CF58" s="6" t="s">
        <v>141</v>
      </c>
      <c r="CG58" s="6" t="s">
        <v>112</v>
      </c>
      <c r="CH58" s="6" t="s">
        <v>113</v>
      </c>
      <c r="CI58" s="8">
        <v>0.6684524215519877</v>
      </c>
    </row>
    <row r="59" spans="2:87" x14ac:dyDescent="0.45">
      <c r="B59" s="3" t="s">
        <v>183</v>
      </c>
      <c r="C59" s="3" t="s">
        <v>103</v>
      </c>
      <c r="D59" s="5">
        <v>0.26870134120092776</v>
      </c>
      <c r="E59" s="5">
        <v>0.28412206125897821</v>
      </c>
      <c r="F59" s="5">
        <v>0.26590164019194962</v>
      </c>
      <c r="G59" s="5">
        <v>0.28358484613698104</v>
      </c>
      <c r="H59" s="5">
        <v>0.3175314581861301</v>
      </c>
      <c r="I59" s="5">
        <v>0.28534061900730068</v>
      </c>
      <c r="J59" s="5">
        <v>0.34256455458441093</v>
      </c>
      <c r="K59" s="5">
        <v>0.35922644824980976</v>
      </c>
      <c r="L59" s="5">
        <v>0.31297880924470384</v>
      </c>
      <c r="M59" s="5">
        <v>0.33856984105719845</v>
      </c>
      <c r="N59" s="5">
        <v>0.32798943057166158</v>
      </c>
      <c r="O59" s="5">
        <v>0.29413091624033555</v>
      </c>
      <c r="Q59" s="3" t="s">
        <v>183</v>
      </c>
      <c r="R59" s="3" t="s">
        <v>104</v>
      </c>
      <c r="S59" s="5">
        <v>1.2823083768738522E-2</v>
      </c>
      <c r="T59" s="5">
        <v>1.5182975060641722E-2</v>
      </c>
      <c r="U59" s="5">
        <v>2.252995916854534E-2</v>
      </c>
      <c r="V59" s="5">
        <v>2.0654702164733842E-2</v>
      </c>
      <c r="W59" s="5">
        <v>1.5983714469297024E-2</v>
      </c>
      <c r="X59" s="5">
        <v>1.966423825115057E-2</v>
      </c>
      <c r="Y59" s="5">
        <v>1.9684631231932658E-2</v>
      </c>
      <c r="Z59" s="5">
        <v>2.3354925870329425E-2</v>
      </c>
      <c r="AA59" s="5">
        <v>1.8055346092453572E-2</v>
      </c>
      <c r="AB59" s="5">
        <v>1.53953099319346E-2</v>
      </c>
      <c r="AC59" s="5">
        <v>3.6295323985489653E-2</v>
      </c>
      <c r="AD59" s="5">
        <v>1.8652825645523983E-2</v>
      </c>
      <c r="AF59" s="3" t="s">
        <v>183</v>
      </c>
      <c r="AG59" s="3" t="s">
        <v>105</v>
      </c>
      <c r="AH59" s="5">
        <v>2.3795175087576618E-2</v>
      </c>
      <c r="AI59" s="5">
        <v>1.7957726921197625E-2</v>
      </c>
      <c r="AJ59" s="5">
        <v>1.0899401511866436E-2</v>
      </c>
      <c r="AK59" s="5">
        <v>2.2398508885344809E-2</v>
      </c>
      <c r="AL59" s="5">
        <v>2.1112475194939487E-2</v>
      </c>
      <c r="AM59" s="5">
        <v>1.9447041650978641E-2</v>
      </c>
      <c r="AN59" s="5">
        <v>3.7708576638052979E-2</v>
      </c>
      <c r="AO59" s="5">
        <v>2.0790843315764303E-2</v>
      </c>
      <c r="AP59" s="5">
        <v>2.3228555899794206E-2</v>
      </c>
      <c r="AQ59" s="5">
        <v>2.251537574462395E-2</v>
      </c>
      <c r="AR59" s="5">
        <v>2.67149360856078E-2</v>
      </c>
      <c r="AS59" s="5">
        <v>3.8255991367340432E-2</v>
      </c>
      <c r="AU59" s="3" t="s">
        <v>183</v>
      </c>
      <c r="AV59" s="3" t="s">
        <v>106</v>
      </c>
      <c r="AW59" s="5">
        <v>0.11176710046245998</v>
      </c>
      <c r="AX59" s="5">
        <v>0.12950831229341603</v>
      </c>
      <c r="AY59" s="5">
        <v>0.10948738789431879</v>
      </c>
      <c r="AZ59" s="5">
        <v>0.12351632433338505</v>
      </c>
      <c r="BA59" s="4">
        <v>0.15573616602177076</v>
      </c>
      <c r="BB59" s="5">
        <v>0.13372007402970787</v>
      </c>
      <c r="BC59" s="5">
        <v>0.1625484012976153</v>
      </c>
      <c r="BD59" s="5">
        <v>0.17139496499409532</v>
      </c>
      <c r="BE59" s="5">
        <v>0.1507025340923579</v>
      </c>
      <c r="BF59" s="5">
        <v>0.15757215941152222</v>
      </c>
      <c r="BG59" s="5">
        <v>0.12312712214264374</v>
      </c>
      <c r="BH59" s="4">
        <v>0.11050450959580804</v>
      </c>
      <c r="BR59" s="3" t="s">
        <v>183</v>
      </c>
      <c r="BS59" s="5">
        <v>0.55262227450210055</v>
      </c>
      <c r="BT59" s="5">
        <v>0.53830253473555834</v>
      </c>
      <c r="BU59" s="4">
        <v>0.56674866742225527</v>
      </c>
      <c r="BV59" s="5">
        <v>0.48197772457727167</v>
      </c>
      <c r="BW59" s="5">
        <v>0.46522527782471956</v>
      </c>
      <c r="BX59" s="5">
        <v>0.4937103914810273</v>
      </c>
      <c r="BY59" s="5">
        <v>0.3706513752821427</v>
      </c>
      <c r="BZ59" s="5">
        <v>0.39416504312851752</v>
      </c>
      <c r="CA59" s="5">
        <v>0.43448755806691358</v>
      </c>
      <c r="CB59" s="4">
        <v>0.46750984662411016</v>
      </c>
      <c r="CC59" s="5">
        <v>0.48394306296804057</v>
      </c>
      <c r="CD59" s="5">
        <v>0.51718535406172073</v>
      </c>
      <c r="CF59" s="3" t="s">
        <v>143</v>
      </c>
      <c r="CG59" s="3" t="s">
        <v>112</v>
      </c>
      <c r="CH59" s="3" t="s">
        <v>113</v>
      </c>
      <c r="CI59" s="5">
        <v>0.66994840208289941</v>
      </c>
    </row>
    <row r="60" spans="2:87" x14ac:dyDescent="0.45">
      <c r="B60" s="6" t="s">
        <v>184</v>
      </c>
      <c r="C60" s="6" t="s">
        <v>103</v>
      </c>
      <c r="D60" s="8">
        <v>0.25674593555512143</v>
      </c>
      <c r="E60" s="8">
        <v>0.25923475534388379</v>
      </c>
      <c r="F60" s="8">
        <v>0.25440933541855154</v>
      </c>
      <c r="G60" s="8">
        <v>0.31004296459362002</v>
      </c>
      <c r="H60" s="8">
        <v>0.32035148150193371</v>
      </c>
      <c r="I60" s="8">
        <v>0.29761888416140714</v>
      </c>
      <c r="J60" s="8">
        <v>0.44041175409311395</v>
      </c>
      <c r="K60" s="8">
        <v>0.44469836826508685</v>
      </c>
      <c r="L60" s="8">
        <v>0.42327814039842004</v>
      </c>
      <c r="M60" s="8">
        <v>0.27310969466348217</v>
      </c>
      <c r="N60" s="8">
        <v>0.29432236014653534</v>
      </c>
      <c r="O60" s="8">
        <v>0.2667199303354964</v>
      </c>
      <c r="Q60" s="6" t="s">
        <v>184</v>
      </c>
      <c r="R60" s="6" t="s">
        <v>104</v>
      </c>
      <c r="S60" s="8">
        <v>7.0750685312462019E-3</v>
      </c>
      <c r="T60" s="8">
        <v>1.273350181611772E-2</v>
      </c>
      <c r="U60" s="8">
        <v>1.3719644033187268E-2</v>
      </c>
      <c r="V60" s="8">
        <v>1.8861990648426422E-2</v>
      </c>
      <c r="W60" s="8">
        <v>1.7752404588619923E-2</v>
      </c>
      <c r="X60" s="8">
        <v>1.4989457818568246E-2</v>
      </c>
      <c r="Y60" s="8">
        <v>3.3619940813508095E-2</v>
      </c>
      <c r="Z60" s="8">
        <v>1.7315195297777201E-2</v>
      </c>
      <c r="AA60" s="8">
        <v>4.08323129612881E-2</v>
      </c>
      <c r="AB60" s="8">
        <v>1.790578868795762E-2</v>
      </c>
      <c r="AC60" s="8">
        <v>2.6279233778050807E-2</v>
      </c>
      <c r="AD60" s="8">
        <v>1.6142581265164019E-2</v>
      </c>
      <c r="AF60" s="6" t="s">
        <v>184</v>
      </c>
      <c r="AG60" s="6" t="s">
        <v>105</v>
      </c>
      <c r="AH60" s="8">
        <v>1.0959472925837833E-2</v>
      </c>
      <c r="AI60" s="8">
        <v>1.3885885352080841E-2</v>
      </c>
      <c r="AJ60" s="8">
        <v>1.9687629746225049E-2</v>
      </c>
      <c r="AK60" s="8">
        <v>2.4643081074229405E-2</v>
      </c>
      <c r="AL60" s="8">
        <v>2.0614217725079896E-2</v>
      </c>
      <c r="AM60" s="8">
        <v>2.5621786410296679E-2</v>
      </c>
      <c r="AN60" s="8">
        <v>7.1684115264352408E-2</v>
      </c>
      <c r="AO60" s="8">
        <v>4.8373493822348734E-2</v>
      </c>
      <c r="AP60" s="8">
        <v>1.8116009511029589E-2</v>
      </c>
      <c r="AQ60" s="8">
        <v>2.0361505013664977E-2</v>
      </c>
      <c r="AR60" s="8">
        <v>3.3272858535979423E-2</v>
      </c>
      <c r="AS60" s="8">
        <v>1.8046575886538168E-2</v>
      </c>
      <c r="AU60" s="6" t="s">
        <v>184</v>
      </c>
      <c r="AV60" s="6" t="s">
        <v>106</v>
      </c>
      <c r="AW60" s="8">
        <v>0.1146885259647967</v>
      </c>
      <c r="AX60" s="8">
        <v>0.10964551758508248</v>
      </c>
      <c r="AY60" s="8">
        <v>9.1361857848026237E-2</v>
      </c>
      <c r="AZ60" s="8">
        <v>0.14287992598550833</v>
      </c>
      <c r="BA60" s="7">
        <v>0.14098999144308141</v>
      </c>
      <c r="BB60" s="8">
        <v>0.12535226382972992</v>
      </c>
      <c r="BC60" s="8">
        <v>0.20108035762046853</v>
      </c>
      <c r="BD60" s="8">
        <v>0.23807874657898923</v>
      </c>
      <c r="BE60" s="8">
        <v>0.22306711723585615</v>
      </c>
      <c r="BF60" s="8">
        <v>0.1138737220838747</v>
      </c>
      <c r="BG60" s="8">
        <v>0.10116871025176311</v>
      </c>
      <c r="BH60" s="7">
        <v>0.10968192674054135</v>
      </c>
      <c r="BR60" s="6" t="s">
        <v>184</v>
      </c>
      <c r="BS60" s="8">
        <v>0.60752654697005504</v>
      </c>
      <c r="BT60" s="8">
        <v>0.59102315934400795</v>
      </c>
      <c r="BU60" s="7">
        <v>0.61963134457236502</v>
      </c>
      <c r="BV60" s="8">
        <v>0.47732323156362882</v>
      </c>
      <c r="BW60" s="8">
        <v>0.49475360772934357</v>
      </c>
      <c r="BX60" s="8">
        <v>0.48586953694441193</v>
      </c>
      <c r="BY60" s="8">
        <v>0.26777099264433241</v>
      </c>
      <c r="BZ60" s="8">
        <v>0.29485601724970723</v>
      </c>
      <c r="CA60" s="8">
        <v>0.28177598367197998</v>
      </c>
      <c r="CB60" s="7">
        <v>0.51344394917468095</v>
      </c>
      <c r="CC60" s="8">
        <v>0.52419297377845009</v>
      </c>
      <c r="CD60" s="8">
        <v>0.54122335047396275</v>
      </c>
      <c r="CF60" s="6" t="s">
        <v>145</v>
      </c>
      <c r="CG60" s="6" t="s">
        <v>112</v>
      </c>
      <c r="CH60" s="6" t="s">
        <v>113</v>
      </c>
      <c r="CI60" s="8">
        <v>0.71261380851074785</v>
      </c>
    </row>
    <row r="61" spans="2:87" x14ac:dyDescent="0.45">
      <c r="B61" s="3" t="s">
        <v>185</v>
      </c>
      <c r="C61" s="3" t="s">
        <v>103</v>
      </c>
      <c r="D61" s="5">
        <v>0.22550276718497783</v>
      </c>
      <c r="E61" s="5">
        <v>0.23289803533122932</v>
      </c>
      <c r="F61" s="5">
        <v>0.21411607509799452</v>
      </c>
      <c r="G61" s="5">
        <v>0.27563403536613285</v>
      </c>
      <c r="H61" s="5">
        <v>0.28842321567039325</v>
      </c>
      <c r="I61" s="5">
        <v>0.27683244413430053</v>
      </c>
      <c r="J61" s="5">
        <v>0.35855907307861862</v>
      </c>
      <c r="K61" s="5">
        <v>0.3692580849945456</v>
      </c>
      <c r="L61" s="5">
        <v>0.31704000547771222</v>
      </c>
      <c r="M61" s="5">
        <v>0.26642038686436587</v>
      </c>
      <c r="N61" s="5">
        <v>0.28060358553447962</v>
      </c>
      <c r="O61" s="5">
        <v>0.26547768562203233</v>
      </c>
      <c r="Q61" s="3" t="s">
        <v>185</v>
      </c>
      <c r="R61" s="3" t="s">
        <v>104</v>
      </c>
      <c r="S61" s="5">
        <v>1.1145445696378327E-2</v>
      </c>
      <c r="T61" s="5">
        <v>1.4392523154594997E-2</v>
      </c>
      <c r="U61" s="5">
        <v>1.3361128082007491E-2</v>
      </c>
      <c r="V61" s="5">
        <v>1.4152780180466973E-2</v>
      </c>
      <c r="W61" s="5">
        <v>1.5029417903870338E-2</v>
      </c>
      <c r="X61" s="5">
        <v>1.7578392147650185E-2</v>
      </c>
      <c r="Y61" s="5">
        <v>1.9200407033187587E-2</v>
      </c>
      <c r="Z61" s="5">
        <v>5.3249178886579408E-2</v>
      </c>
      <c r="AA61" s="5">
        <v>1.5999673250053106E-2</v>
      </c>
      <c r="AB61" s="5">
        <v>2.4392248158861062E-2</v>
      </c>
      <c r="AC61" s="5">
        <v>1.9144521928239729E-2</v>
      </c>
      <c r="AD61" s="5">
        <v>1.4427512743174256E-2</v>
      </c>
      <c r="AF61" s="3" t="s">
        <v>185</v>
      </c>
      <c r="AG61" s="3" t="s">
        <v>105</v>
      </c>
      <c r="AH61" s="5">
        <v>1.7218730172939171E-2</v>
      </c>
      <c r="AI61" s="5">
        <v>1.2391973518121007E-2</v>
      </c>
      <c r="AJ61" s="5">
        <v>1.5516038857016622E-2</v>
      </c>
      <c r="AK61" s="5">
        <v>2.453581293153554E-2</v>
      </c>
      <c r="AL61" s="5">
        <v>1.7034981649461187E-2</v>
      </c>
      <c r="AM61" s="5">
        <v>1.3128482358799419E-2</v>
      </c>
      <c r="AN61" s="5">
        <v>2.064919196681338E-2</v>
      </c>
      <c r="AO61" s="5">
        <v>2.5221233426762937E-2</v>
      </c>
      <c r="AP61" s="5">
        <v>5.4078102061163813E-2</v>
      </c>
      <c r="AQ61" s="5">
        <v>2.226446832395703E-2</v>
      </c>
      <c r="AR61" s="5">
        <v>2.9799364197016984E-2</v>
      </c>
      <c r="AS61" s="5">
        <v>1.1287609423047703E-2</v>
      </c>
      <c r="AU61" s="3" t="s">
        <v>185</v>
      </c>
      <c r="AV61" s="3" t="s">
        <v>106</v>
      </c>
      <c r="AW61" s="5">
        <v>7.2681043414105043E-2</v>
      </c>
      <c r="AX61" s="5">
        <v>8.7926812232130322E-2</v>
      </c>
      <c r="AY61" s="5">
        <v>7.0903306771494173E-2</v>
      </c>
      <c r="AZ61" s="5">
        <v>0.10297614821063092</v>
      </c>
      <c r="BA61" s="4">
        <v>0.11989130569720037</v>
      </c>
      <c r="BB61" s="5">
        <v>0.11210454677051968</v>
      </c>
      <c r="BC61" s="5">
        <v>0.19383119610680033</v>
      </c>
      <c r="BD61" s="5">
        <v>0.15952720702280546</v>
      </c>
      <c r="BE61" s="5">
        <v>0.11976281310924798</v>
      </c>
      <c r="BF61" s="5">
        <v>0.10312167309739967</v>
      </c>
      <c r="BG61" s="5">
        <v>0.103843041244992</v>
      </c>
      <c r="BH61" s="4">
        <v>0.12010932839521947</v>
      </c>
      <c r="BR61" s="3" t="s">
        <v>185</v>
      </c>
      <c r="BS61" s="5">
        <v>0.66822080408119122</v>
      </c>
      <c r="BT61" s="5">
        <v>0.64380098654020357</v>
      </c>
      <c r="BU61" s="4">
        <v>0.67877387212870144</v>
      </c>
      <c r="BV61" s="5">
        <v>0.57740285025364935</v>
      </c>
      <c r="BW61" s="5">
        <v>0.56150245261329335</v>
      </c>
      <c r="BX61" s="5">
        <v>0.56147328710749422</v>
      </c>
      <c r="BY61" s="5">
        <v>0.36238886464659359</v>
      </c>
      <c r="BZ61" s="5">
        <v>0.37025146977681045</v>
      </c>
      <c r="CA61" s="5">
        <v>0.43753682254954301</v>
      </c>
      <c r="CB61" s="4">
        <v>0.55475825228155029</v>
      </c>
      <c r="CC61" s="5">
        <v>0.56421012711956098</v>
      </c>
      <c r="CD61" s="5">
        <v>0.56228091834874128</v>
      </c>
      <c r="CF61" s="3" t="s">
        <v>147</v>
      </c>
      <c r="CG61" s="3" t="s">
        <v>112</v>
      </c>
      <c r="CH61" s="3" t="s">
        <v>113</v>
      </c>
      <c r="CI61" s="5">
        <v>0.71097976935339957</v>
      </c>
    </row>
    <row r="62" spans="2:87" x14ac:dyDescent="0.45">
      <c r="B62" s="6" t="s">
        <v>186</v>
      </c>
      <c r="C62" s="6" t="s">
        <v>103</v>
      </c>
      <c r="D62" s="8">
        <v>0.23077819990737475</v>
      </c>
      <c r="E62" s="8">
        <v>0.24851562185512244</v>
      </c>
      <c r="F62" s="8">
        <v>0.2428624169665283</v>
      </c>
      <c r="G62" s="8">
        <v>0.29765389705136575</v>
      </c>
      <c r="H62" s="8">
        <v>0.30827469086338471</v>
      </c>
      <c r="I62" s="8">
        <v>0.28642808679311699</v>
      </c>
      <c r="J62" s="8">
        <v>0.32389311558168254</v>
      </c>
      <c r="K62" s="8">
        <v>0.30010759149783961</v>
      </c>
      <c r="L62" s="8">
        <v>0.30320755994017218</v>
      </c>
      <c r="M62" s="8">
        <v>0.24115117252239249</v>
      </c>
      <c r="N62" s="8">
        <v>0.24196418752929788</v>
      </c>
      <c r="O62" s="8">
        <v>0.24479572635942687</v>
      </c>
      <c r="Q62" s="6" t="s">
        <v>186</v>
      </c>
      <c r="R62" s="6" t="s">
        <v>104</v>
      </c>
      <c r="S62" s="8">
        <v>1.816941100325899E-2</v>
      </c>
      <c r="T62" s="8">
        <v>1.9420103095741024E-2</v>
      </c>
      <c r="U62" s="8">
        <v>1.8718166285051442E-2</v>
      </c>
      <c r="V62" s="8">
        <v>1.7405668243356359E-2</v>
      </c>
      <c r="W62" s="8">
        <v>1.0505273666421065E-2</v>
      </c>
      <c r="X62" s="8">
        <v>2.4765323779539383E-2</v>
      </c>
      <c r="Y62" s="8">
        <v>2.0294490365775852E-2</v>
      </c>
      <c r="Z62" s="8">
        <v>1.9288835198750465E-2</v>
      </c>
      <c r="AA62" s="8">
        <v>1.834181783772449E-2</v>
      </c>
      <c r="AB62" s="8">
        <v>1.8165542485084504E-2</v>
      </c>
      <c r="AC62" s="8">
        <v>1.546408777306831E-2</v>
      </c>
      <c r="AD62" s="8">
        <v>1.6247586406310507E-2</v>
      </c>
      <c r="AF62" s="6" t="s">
        <v>186</v>
      </c>
      <c r="AG62" s="6" t="s">
        <v>105</v>
      </c>
      <c r="AH62" s="8">
        <v>1.9716767056185563E-2</v>
      </c>
      <c r="AI62" s="8">
        <v>2.3294187446555651E-2</v>
      </c>
      <c r="AJ62" s="8">
        <v>2.1220229560418209E-2</v>
      </c>
      <c r="AK62" s="8">
        <v>2.3847197629670056E-2</v>
      </c>
      <c r="AL62" s="8">
        <v>1.7395120779843946E-2</v>
      </c>
      <c r="AM62" s="8">
        <v>1.7705140278749538E-2</v>
      </c>
      <c r="AN62" s="8">
        <v>2.7766743146855899E-2</v>
      </c>
      <c r="AO62" s="8">
        <v>3.2011123906022239E-2</v>
      </c>
      <c r="AP62" s="8">
        <v>2.5666023365841093E-2</v>
      </c>
      <c r="AQ62" s="8">
        <v>1.5928080106112193E-2</v>
      </c>
      <c r="AR62" s="8">
        <v>1.896405399005608E-2</v>
      </c>
      <c r="AS62" s="8">
        <v>2.1733713261929414E-2</v>
      </c>
      <c r="AU62" s="6" t="s">
        <v>186</v>
      </c>
      <c r="AV62" s="6" t="s">
        <v>106</v>
      </c>
      <c r="AW62" s="8">
        <v>7.0445952573826257E-2</v>
      </c>
      <c r="AX62" s="8">
        <v>7.7799369616276634E-2</v>
      </c>
      <c r="AY62" s="8">
        <v>7.5463997165441388E-2</v>
      </c>
      <c r="AZ62" s="8">
        <v>0.12491291827752589</v>
      </c>
      <c r="BA62" s="7">
        <v>0.14954376249987861</v>
      </c>
      <c r="BB62" s="8">
        <v>0.1193237495887986</v>
      </c>
      <c r="BC62" s="8">
        <v>0.15093417039912338</v>
      </c>
      <c r="BD62" s="8">
        <v>0.12637371444167136</v>
      </c>
      <c r="BE62" s="8">
        <v>0.14377438755940175</v>
      </c>
      <c r="BF62" s="8">
        <v>8.8463407572576647E-2</v>
      </c>
      <c r="BG62" s="8">
        <v>8.6938549199404594E-2</v>
      </c>
      <c r="BH62" s="7">
        <v>8.2750792487772562E-2</v>
      </c>
      <c r="BR62" s="6" t="s">
        <v>186</v>
      </c>
      <c r="BS62" s="8">
        <v>0.66093110489523943</v>
      </c>
      <c r="BT62" s="8">
        <v>0.63193935029679782</v>
      </c>
      <c r="BU62" s="7">
        <v>0.64027544315026153</v>
      </c>
      <c r="BV62" s="8">
        <v>0.5294756990518712</v>
      </c>
      <c r="BW62" s="8">
        <v>0.4982619967818428</v>
      </c>
      <c r="BX62" s="8">
        <v>0.53144159230633436</v>
      </c>
      <c r="BY62" s="8">
        <v>0.43831282009718464</v>
      </c>
      <c r="BZ62" s="8">
        <v>0.47426913864010622</v>
      </c>
      <c r="CA62" s="8">
        <v>0.43343091676574524</v>
      </c>
      <c r="CB62" s="7">
        <v>0.62385974215727791</v>
      </c>
      <c r="CC62" s="8">
        <v>0.61145947111395715</v>
      </c>
      <c r="CD62" s="8">
        <v>0.62438025706833222</v>
      </c>
      <c r="CF62" s="6" t="s">
        <v>149</v>
      </c>
      <c r="CG62" s="6" t="s">
        <v>112</v>
      </c>
      <c r="CH62" s="6" t="s">
        <v>113</v>
      </c>
      <c r="CI62" s="8">
        <v>0.70809445672455273</v>
      </c>
    </row>
    <row r="63" spans="2:87" x14ac:dyDescent="0.45">
      <c r="B63" s="3" t="s">
        <v>187</v>
      </c>
      <c r="C63" s="3" t="s">
        <v>103</v>
      </c>
      <c r="D63" s="5">
        <v>0.23051679129451191</v>
      </c>
      <c r="E63" s="5">
        <v>0.22052903272460797</v>
      </c>
      <c r="F63" s="5">
        <v>0.20596540173500955</v>
      </c>
      <c r="G63" s="5">
        <v>0.29607998555627146</v>
      </c>
      <c r="H63" s="5">
        <v>0.31751949455888662</v>
      </c>
      <c r="I63" s="5">
        <v>0.28268420438281472</v>
      </c>
      <c r="J63" s="5">
        <v>0.33687020759429331</v>
      </c>
      <c r="K63" s="5">
        <v>0.31822872285303117</v>
      </c>
      <c r="L63" s="5">
        <v>0.33118325250759278</v>
      </c>
      <c r="M63" s="5">
        <v>0.23540313944542088</v>
      </c>
      <c r="N63" s="5">
        <v>0.24484304414464644</v>
      </c>
      <c r="O63" s="5">
        <v>0.23410204846994795</v>
      </c>
      <c r="Q63" s="3" t="s">
        <v>187</v>
      </c>
      <c r="R63" s="3" t="s">
        <v>104</v>
      </c>
      <c r="S63" s="5">
        <v>1.5642217116852999E-2</v>
      </c>
      <c r="T63" s="5">
        <v>1.6828311733928538E-2</v>
      </c>
      <c r="U63" s="5">
        <v>1.7221152232720093E-2</v>
      </c>
      <c r="V63" s="5">
        <v>1.3896367321099687E-2</v>
      </c>
      <c r="W63" s="5">
        <v>9.8438163822688277E-3</v>
      </c>
      <c r="X63" s="5">
        <v>2.0092366099980451E-2</v>
      </c>
      <c r="Y63" s="5">
        <v>2.3416429491978346E-2</v>
      </c>
      <c r="Z63" s="5">
        <v>1.8890142656494628E-2</v>
      </c>
      <c r="AA63" s="5">
        <v>2.9624122658997592E-2</v>
      </c>
      <c r="AB63" s="5">
        <v>1.1653686900734397E-2</v>
      </c>
      <c r="AC63" s="5">
        <v>1.2819143891126396E-2</v>
      </c>
      <c r="AD63" s="5">
        <v>1.5410761706334625E-2</v>
      </c>
      <c r="AF63" s="3" t="s">
        <v>187</v>
      </c>
      <c r="AG63" s="3" t="s">
        <v>105</v>
      </c>
      <c r="AH63" s="5">
        <v>2.1982153784217005E-2</v>
      </c>
      <c r="AI63" s="5">
        <v>1.2087759473048507E-2</v>
      </c>
      <c r="AJ63" s="5">
        <v>1.3500763915729656E-2</v>
      </c>
      <c r="AK63" s="5">
        <v>2.2229262321898827E-2</v>
      </c>
      <c r="AL63" s="5">
        <v>1.6686581071103029E-2</v>
      </c>
      <c r="AM63" s="5">
        <v>1.6019295179545086E-2</v>
      </c>
      <c r="AN63" s="5">
        <v>3.053247034143235E-2</v>
      </c>
      <c r="AO63" s="5">
        <v>3.4194986070888111E-2</v>
      </c>
      <c r="AP63" s="5">
        <v>2.3357608937164102E-2</v>
      </c>
      <c r="AQ63" s="5">
        <v>1.8248198504724492E-2</v>
      </c>
      <c r="AR63" s="5">
        <v>1.2419673608417911E-2</v>
      </c>
      <c r="AS63" s="5">
        <v>1.790897850100889E-2</v>
      </c>
      <c r="AU63" s="3" t="s">
        <v>187</v>
      </c>
      <c r="AV63" s="3" t="s">
        <v>106</v>
      </c>
      <c r="AW63" s="5">
        <v>6.1064491507774279E-2</v>
      </c>
      <c r="AX63" s="5">
        <v>6.8664707014270548E-2</v>
      </c>
      <c r="AY63" s="5">
        <v>5.7649833775061173E-2</v>
      </c>
      <c r="AZ63" s="5">
        <v>0.11685961502081042</v>
      </c>
      <c r="BA63" s="4">
        <v>0.14583165651068797</v>
      </c>
      <c r="BB63" s="5">
        <v>0.1098890764398992</v>
      </c>
      <c r="BC63" s="5">
        <v>0.15414323642077662</v>
      </c>
      <c r="BD63" s="5">
        <v>0.14432910667408694</v>
      </c>
      <c r="BE63" s="5">
        <v>0.15681327171144882</v>
      </c>
      <c r="BF63" s="5">
        <v>7.612473038961047E-2</v>
      </c>
      <c r="BG63" s="5">
        <v>8.9620102085163758E-2</v>
      </c>
      <c r="BH63" s="4">
        <v>7.3871929313600093E-2</v>
      </c>
      <c r="BR63" s="3" t="s">
        <v>187</v>
      </c>
      <c r="BS63" s="5">
        <v>0.6928010994093281</v>
      </c>
      <c r="BT63" s="5">
        <v>0.6881967851395292</v>
      </c>
      <c r="BU63" s="4">
        <v>0.70310948034043952</v>
      </c>
      <c r="BV63" s="5">
        <v>0.57123082354274812</v>
      </c>
      <c r="BW63" s="5">
        <v>0.53532123609480753</v>
      </c>
      <c r="BX63" s="5">
        <v>0.58432035301272789</v>
      </c>
      <c r="BY63" s="5">
        <v>0.43457165109967205</v>
      </c>
      <c r="BZ63" s="5">
        <v>0.43718637583134967</v>
      </c>
      <c r="CA63" s="5">
        <v>0.42091757431009935</v>
      </c>
      <c r="CB63" s="4">
        <v>0.66871979144316207</v>
      </c>
      <c r="CC63" s="5">
        <v>0.64273106152292558</v>
      </c>
      <c r="CD63" s="5">
        <v>0.66667507609010823</v>
      </c>
      <c r="CF63" s="3" t="s">
        <v>151</v>
      </c>
      <c r="CG63" s="3" t="s">
        <v>112</v>
      </c>
      <c r="CH63" s="3" t="s">
        <v>113</v>
      </c>
      <c r="CI63" s="5">
        <v>0.70500403928536315</v>
      </c>
    </row>
    <row r="64" spans="2:87" x14ac:dyDescent="0.45">
      <c r="B64" s="6" t="s">
        <v>188</v>
      </c>
      <c r="C64" s="6" t="s">
        <v>103</v>
      </c>
      <c r="D64" s="8">
        <v>0.23123375715960492</v>
      </c>
      <c r="E64" s="8">
        <v>0.24363057752552386</v>
      </c>
      <c r="F64" s="8">
        <v>0.25013653721996504</v>
      </c>
      <c r="G64" s="8">
        <v>0.27427312747205645</v>
      </c>
      <c r="H64" s="8">
        <v>0.3000917149917709</v>
      </c>
      <c r="I64" s="8">
        <v>0.27952451818014779</v>
      </c>
      <c r="J64" s="8">
        <v>0.31862265942570628</v>
      </c>
      <c r="K64" s="8">
        <v>0.303657321475863</v>
      </c>
      <c r="L64" s="8">
        <v>0.32077203367760643</v>
      </c>
      <c r="M64" s="8">
        <v>0.22906183134086705</v>
      </c>
      <c r="N64" s="8">
        <v>0.24238103179102974</v>
      </c>
      <c r="O64" s="8">
        <v>0.23104542266831929</v>
      </c>
      <c r="Q64" s="6" t="s">
        <v>188</v>
      </c>
      <c r="R64" s="6" t="s">
        <v>104</v>
      </c>
      <c r="S64" s="8">
        <v>1.6695366930085814E-2</v>
      </c>
      <c r="T64" s="8">
        <v>1.0980749851525024E-2</v>
      </c>
      <c r="U64" s="8">
        <v>1.6592548634869725E-2</v>
      </c>
      <c r="V64" s="8">
        <v>1.3336679041382792E-2</v>
      </c>
      <c r="W64" s="8">
        <v>9.4732312556906704E-3</v>
      </c>
      <c r="X64" s="8">
        <v>1.8978798386695497E-2</v>
      </c>
      <c r="Y64" s="8">
        <v>3.6281980482557381E-2</v>
      </c>
      <c r="Z64" s="8">
        <v>2.4022551194562147E-2</v>
      </c>
      <c r="AA64" s="8">
        <v>1.7518323719251893E-2</v>
      </c>
      <c r="AB64" s="8">
        <v>1.4964173972097089E-2</v>
      </c>
      <c r="AC64" s="8">
        <v>1.2156321150791613E-2</v>
      </c>
      <c r="AD64" s="8">
        <v>1.457089070548407E-2</v>
      </c>
      <c r="AF64" s="6" t="s">
        <v>188</v>
      </c>
      <c r="AG64" s="6" t="s">
        <v>105</v>
      </c>
      <c r="AH64" s="8">
        <v>1.308726635266565E-2</v>
      </c>
      <c r="AI64" s="8">
        <v>1.8725926851943801E-2</v>
      </c>
      <c r="AJ64" s="8">
        <v>1.2635787993259017E-2</v>
      </c>
      <c r="AK64" s="8">
        <v>2.1000492108316473E-2</v>
      </c>
      <c r="AL64" s="8">
        <v>1.217666374859242E-2</v>
      </c>
      <c r="AM64" s="8">
        <v>7.5053392508494911E-3</v>
      </c>
      <c r="AN64" s="8">
        <v>3.7903851246563224E-2</v>
      </c>
      <c r="AO64" s="8">
        <v>4.2916047639177571E-2</v>
      </c>
      <c r="AP64" s="8">
        <v>3.3082068482895445E-2</v>
      </c>
      <c r="AQ64" s="8">
        <v>1.3987881021959182E-2</v>
      </c>
      <c r="AR64" s="8">
        <v>1.9038379902182587E-2</v>
      </c>
      <c r="AS64" s="8">
        <v>1.2682384545320719E-2</v>
      </c>
      <c r="AU64" s="6" t="s">
        <v>188</v>
      </c>
      <c r="AV64" s="6" t="s">
        <v>106</v>
      </c>
      <c r="AW64" s="8">
        <v>6.9206135698394969E-2</v>
      </c>
      <c r="AX64" s="8">
        <v>7.8060532357351969E-2</v>
      </c>
      <c r="AY64" s="8">
        <v>8.1594779570242984E-2</v>
      </c>
      <c r="AZ64" s="8">
        <v>0.10604174204698938</v>
      </c>
      <c r="BA64" s="7">
        <v>0.13383029358387924</v>
      </c>
      <c r="BB64" s="8">
        <v>0.11792344601208432</v>
      </c>
      <c r="BC64" s="8">
        <v>0.12171001190519717</v>
      </c>
      <c r="BD64" s="8">
        <v>0.12105608934799057</v>
      </c>
      <c r="BE64" s="8">
        <v>0.16291848457796801</v>
      </c>
      <c r="BF64" s="8">
        <v>8.2610013998019857E-2</v>
      </c>
      <c r="BG64" s="8">
        <v>8.9327511794185244E-2</v>
      </c>
      <c r="BH64" s="7">
        <v>8.0318905816046116E-2</v>
      </c>
      <c r="BR64" s="6" t="s">
        <v>188</v>
      </c>
      <c r="BS64" s="8">
        <v>0.68484268863086051</v>
      </c>
      <c r="BT64" s="8">
        <v>0.66346546974953535</v>
      </c>
      <c r="BU64" s="7">
        <v>0.65020923237428652</v>
      </c>
      <c r="BV64" s="8">
        <v>0.58240663308332286</v>
      </c>
      <c r="BW64" s="8">
        <v>0.54560658826039798</v>
      </c>
      <c r="BX64" s="8">
        <v>0.57022236006053861</v>
      </c>
      <c r="BY64" s="8">
        <v>0.40224421153725581</v>
      </c>
      <c r="BZ64" s="8">
        <v>0.42664552007308054</v>
      </c>
      <c r="CA64" s="8">
        <v>0.37812335119727858</v>
      </c>
      <c r="CB64" s="7">
        <v>0.65224133525007344</v>
      </c>
      <c r="CC64" s="8">
        <v>0.63349399935549378</v>
      </c>
      <c r="CD64" s="8">
        <v>0.663781569780448</v>
      </c>
      <c r="CF64" s="6" t="s">
        <v>153</v>
      </c>
      <c r="CG64" s="6" t="s">
        <v>112</v>
      </c>
      <c r="CH64" s="6" t="s">
        <v>113</v>
      </c>
      <c r="CI64" s="8">
        <v>0.53041162209443027</v>
      </c>
    </row>
    <row r="65" spans="2:87" x14ac:dyDescent="0.45">
      <c r="B65" s="3" t="s">
        <v>189</v>
      </c>
      <c r="C65" s="3" t="s">
        <v>103</v>
      </c>
      <c r="D65" s="5">
        <v>0.24176631604889309</v>
      </c>
      <c r="E65" s="5">
        <v>0.24546281494439284</v>
      </c>
      <c r="F65" s="5">
        <v>0.25812842844467704</v>
      </c>
      <c r="G65" s="5">
        <v>0.32508102794623001</v>
      </c>
      <c r="H65" s="5">
        <v>0.34080724210396901</v>
      </c>
      <c r="I65" s="5">
        <v>0.31249453411112749</v>
      </c>
      <c r="J65" s="5">
        <v>0.34499988896125078</v>
      </c>
      <c r="K65" s="5">
        <v>0.33778015777567266</v>
      </c>
      <c r="L65" s="5">
        <v>0.33033462775517403</v>
      </c>
      <c r="M65" s="5">
        <v>0.27285874556435158</v>
      </c>
      <c r="N65" s="5">
        <v>0.25508153153620261</v>
      </c>
      <c r="O65" s="5">
        <v>0.25299844366853058</v>
      </c>
      <c r="Q65" s="3" t="s">
        <v>189</v>
      </c>
      <c r="R65" s="3" t="s">
        <v>104</v>
      </c>
      <c r="S65" s="5">
        <v>1.7043046259302624E-2</v>
      </c>
      <c r="T65" s="5">
        <v>1.7071453474207174E-2</v>
      </c>
      <c r="U65" s="5">
        <v>2.571272114951886E-2</v>
      </c>
      <c r="V65" s="5">
        <v>1.7159747998033468E-2</v>
      </c>
      <c r="W65" s="5">
        <v>1.2970498927354149E-2</v>
      </c>
      <c r="X65" s="5">
        <v>3.3622874917400757E-2</v>
      </c>
      <c r="Y65" s="5">
        <v>1.5316129668513817E-2</v>
      </c>
      <c r="Z65" s="5">
        <v>2.3462831382096153E-2</v>
      </c>
      <c r="AA65" s="5">
        <v>1.2998855285843228E-2</v>
      </c>
      <c r="AB65" s="5">
        <v>2.6698276365294527E-2</v>
      </c>
      <c r="AC65" s="5">
        <v>2.1231807854989959E-2</v>
      </c>
      <c r="AD65" s="5">
        <v>1.6923237917946168E-2</v>
      </c>
      <c r="AF65" s="3" t="s">
        <v>189</v>
      </c>
      <c r="AG65" s="3" t="s">
        <v>105</v>
      </c>
      <c r="AH65" s="5">
        <v>1.7757000264194751E-2</v>
      </c>
      <c r="AI65" s="5">
        <v>2.0690305677521829E-2</v>
      </c>
      <c r="AJ65" s="5">
        <v>2.8883351078181994E-2</v>
      </c>
      <c r="AK65" s="5">
        <v>3.8133355627132985E-2</v>
      </c>
      <c r="AL65" s="5">
        <v>1.3859435622810824E-2</v>
      </c>
      <c r="AM65" s="5">
        <v>1.9155881646042101E-2</v>
      </c>
      <c r="AN65" s="5">
        <v>2.4791272880245203E-2</v>
      </c>
      <c r="AO65" s="5">
        <v>2.9226095096597255E-2</v>
      </c>
      <c r="AP65" s="5">
        <v>2.4500357087494418E-2</v>
      </c>
      <c r="AQ65" s="5">
        <v>2.1803117107396776E-2</v>
      </c>
      <c r="AR65" s="5">
        <v>1.8536002485775253E-2</v>
      </c>
      <c r="AS65" s="5">
        <v>3.4437280303439372E-2</v>
      </c>
      <c r="AU65" s="3" t="s">
        <v>189</v>
      </c>
      <c r="AV65" s="3" t="s">
        <v>106</v>
      </c>
      <c r="AW65" s="5">
        <v>7.5195552640376348E-2</v>
      </c>
      <c r="AX65" s="5">
        <v>7.9498990542638662E-2</v>
      </c>
      <c r="AY65" s="5">
        <v>6.9996159682179232E-2</v>
      </c>
      <c r="AZ65" s="5">
        <v>0.1179164772543099</v>
      </c>
      <c r="BA65" s="4">
        <v>0.17610692743055242</v>
      </c>
      <c r="BB65" s="5">
        <v>0.1190548461455852</v>
      </c>
      <c r="BC65" s="5">
        <v>0.17444800522247647</v>
      </c>
      <c r="BD65" s="5">
        <v>0.14453936536712755</v>
      </c>
      <c r="BE65" s="5">
        <v>0.16456857569113936</v>
      </c>
      <c r="BF65" s="5">
        <v>8.5294938526889533E-2</v>
      </c>
      <c r="BG65" s="5">
        <v>9.0079065003158293E-2</v>
      </c>
      <c r="BH65" s="4">
        <v>8.3330902851888156E-2</v>
      </c>
      <c r="BR65" s="3" t="s">
        <v>189</v>
      </c>
      <c r="BS65" s="5">
        <v>0.65253098042849078</v>
      </c>
      <c r="BT65" s="5">
        <v>0.64208031846353542</v>
      </c>
      <c r="BU65" s="4">
        <v>0.63148699871925218</v>
      </c>
      <c r="BV65" s="5">
        <v>0.52694745546000665</v>
      </c>
      <c r="BW65" s="5">
        <v>0.47971049147868611</v>
      </c>
      <c r="BX65" s="5">
        <v>0.52871451182185192</v>
      </c>
      <c r="BY65" s="5">
        <v>0.44545500490876239</v>
      </c>
      <c r="BZ65" s="5">
        <v>0.48250209040643416</v>
      </c>
      <c r="CA65" s="5">
        <v>0.46917565377349491</v>
      </c>
      <c r="CB65" s="4">
        <v>0.59609424422183965</v>
      </c>
      <c r="CC65" s="5">
        <v>0.59758769752185126</v>
      </c>
      <c r="CD65" s="5">
        <v>0.59529180776051471</v>
      </c>
      <c r="CF65" s="3" t="s">
        <v>155</v>
      </c>
      <c r="CG65" s="3" t="s">
        <v>112</v>
      </c>
      <c r="CH65" s="3" t="s">
        <v>113</v>
      </c>
      <c r="CI65" s="5">
        <v>0.66526912597625554</v>
      </c>
    </row>
    <row r="66" spans="2:87" x14ac:dyDescent="0.45">
      <c r="B66" s="6" t="s">
        <v>190</v>
      </c>
      <c r="C66" s="6" t="s">
        <v>103</v>
      </c>
      <c r="D66" s="8">
        <v>0.21240858579342284</v>
      </c>
      <c r="E66" s="8">
        <v>0.20119771696148575</v>
      </c>
      <c r="F66" s="8">
        <v>0.20105390103002718</v>
      </c>
      <c r="G66" s="8">
        <v>0.29894324481838797</v>
      </c>
      <c r="H66" s="8">
        <v>0.29489566503321557</v>
      </c>
      <c r="I66" s="8">
        <v>0.28221484238175565</v>
      </c>
      <c r="J66" s="8">
        <v>0.33116310787740183</v>
      </c>
      <c r="K66" s="8">
        <v>0.32997602520699837</v>
      </c>
      <c r="L66" s="8">
        <v>0.33015650928779189</v>
      </c>
      <c r="M66" s="8">
        <v>0.26446417834635844</v>
      </c>
      <c r="N66" s="8">
        <v>0.25473150814841622</v>
      </c>
      <c r="O66" s="8">
        <v>0.25782363481439935</v>
      </c>
      <c r="Q66" s="6" t="s">
        <v>190</v>
      </c>
      <c r="R66" s="6" t="s">
        <v>104</v>
      </c>
      <c r="S66" s="8">
        <v>1.7418087452301424E-2</v>
      </c>
      <c r="T66" s="8">
        <v>1.1302898108625404E-2</v>
      </c>
      <c r="U66" s="8">
        <v>1.2235962795621136E-2</v>
      </c>
      <c r="V66" s="8">
        <v>1.1694989388743957E-2</v>
      </c>
      <c r="W66" s="8">
        <v>1.8712162220726858E-2</v>
      </c>
      <c r="X66" s="8">
        <v>2.2037735818547413E-2</v>
      </c>
      <c r="Y66" s="8">
        <v>1.420565310359698E-2</v>
      </c>
      <c r="Z66" s="8">
        <v>1.4127386256751428E-2</v>
      </c>
      <c r="AA66" s="8">
        <v>1.3357399589402566E-2</v>
      </c>
      <c r="AB66" s="8">
        <v>1.3513334230924601E-2</v>
      </c>
      <c r="AC66" s="8">
        <v>1.7823596255078112E-2</v>
      </c>
      <c r="AD66" s="8">
        <v>1.5296808650527398E-2</v>
      </c>
      <c r="AF66" s="6" t="s">
        <v>190</v>
      </c>
      <c r="AG66" s="6" t="s">
        <v>105</v>
      </c>
      <c r="AH66" s="8">
        <v>1.8899837059911558E-2</v>
      </c>
      <c r="AI66" s="8">
        <v>1.7195981487050396E-2</v>
      </c>
      <c r="AJ66" s="8">
        <v>1.5959996632261556E-2</v>
      </c>
      <c r="AK66" s="8">
        <v>2.7560144115272082E-2</v>
      </c>
      <c r="AL66" s="8">
        <v>1.7392070821305734E-2</v>
      </c>
      <c r="AM66" s="8">
        <v>2.6571444799168557E-2</v>
      </c>
      <c r="AN66" s="8">
        <v>1.9387287874559723E-2</v>
      </c>
      <c r="AO66" s="8">
        <v>2.7838421765002695E-2</v>
      </c>
      <c r="AP66" s="8">
        <v>8.8836209535352543E-3</v>
      </c>
      <c r="AQ66" s="8">
        <v>2.0589947583092932E-2</v>
      </c>
      <c r="AR66" s="8">
        <v>1.3921162892343918E-2</v>
      </c>
      <c r="AS66" s="8">
        <v>2.1641969514576087E-2</v>
      </c>
      <c r="AU66" s="6" t="s">
        <v>190</v>
      </c>
      <c r="AV66" s="6" t="s">
        <v>106</v>
      </c>
      <c r="AW66" s="8">
        <v>5.7981718417166039E-2</v>
      </c>
      <c r="AX66" s="8">
        <v>6.2153547359251445E-2</v>
      </c>
      <c r="AY66" s="8">
        <v>6.0167959076593197E-2</v>
      </c>
      <c r="AZ66" s="8">
        <v>0.11760856783003591</v>
      </c>
      <c r="BA66" s="7">
        <v>0.12101662311604267</v>
      </c>
      <c r="BB66" s="8">
        <v>9.7651182647486443E-2</v>
      </c>
      <c r="BC66" s="8">
        <v>0.1592781339641644</v>
      </c>
      <c r="BD66" s="8">
        <v>0.15133887775300908</v>
      </c>
      <c r="BE66" s="8">
        <v>0.16732611558333657</v>
      </c>
      <c r="BF66" s="8">
        <v>0.10113630666287214</v>
      </c>
      <c r="BG66" s="8">
        <v>9.7488304598068967E-2</v>
      </c>
      <c r="BH66" s="7">
        <v>9.2910459878260659E-2</v>
      </c>
      <c r="BR66" s="6" t="s">
        <v>190</v>
      </c>
      <c r="BS66" s="8">
        <v>0.6870344839471193</v>
      </c>
      <c r="BT66" s="8">
        <v>0.69200535624506543</v>
      </c>
      <c r="BU66" s="7">
        <v>0.69967098917807891</v>
      </c>
      <c r="BV66" s="8">
        <v>0.55002035249086245</v>
      </c>
      <c r="BW66" s="8">
        <v>0.53910032981081135</v>
      </c>
      <c r="BX66" s="8">
        <v>0.57156777005102799</v>
      </c>
      <c r="BY66" s="8">
        <v>0.46524291364855663</v>
      </c>
      <c r="BZ66" s="8">
        <v>0.47560655059488877</v>
      </c>
      <c r="CA66" s="8">
        <v>0.47658344287574367</v>
      </c>
      <c r="CB66" s="7">
        <v>0.60332769333942082</v>
      </c>
      <c r="CC66" s="8">
        <v>0.60537265555900377</v>
      </c>
      <c r="CD66" s="8">
        <v>0.60873158955234152</v>
      </c>
      <c r="CF66" s="6" t="s">
        <v>157</v>
      </c>
      <c r="CG66" s="6" t="s">
        <v>112</v>
      </c>
      <c r="CH66" s="6" t="s">
        <v>113</v>
      </c>
      <c r="CI66" s="8">
        <v>0.65146400632695212</v>
      </c>
    </row>
    <row r="67" spans="2:87" x14ac:dyDescent="0.45">
      <c r="B67" s="3" t="s">
        <v>136</v>
      </c>
      <c r="C67" s="3" t="s">
        <v>103</v>
      </c>
      <c r="D67" s="5">
        <v>0.26891134875144918</v>
      </c>
      <c r="E67" s="5">
        <v>0.2912902963701382</v>
      </c>
      <c r="F67" s="5">
        <v>0.26925046143625625</v>
      </c>
      <c r="G67" s="5">
        <v>0.29979525984562599</v>
      </c>
      <c r="H67" s="5">
        <v>0.32436930682428439</v>
      </c>
      <c r="I67" s="5">
        <v>0.27464784865499914</v>
      </c>
      <c r="J67" s="5">
        <v>0.34211908776360206</v>
      </c>
      <c r="K67" s="5">
        <v>0.3805840468597097</v>
      </c>
      <c r="L67" s="5">
        <v>0.32144519541429939</v>
      </c>
      <c r="M67" s="5">
        <v>0.27486463719994858</v>
      </c>
      <c r="N67" s="5">
        <v>0.3260244318567358</v>
      </c>
      <c r="O67" s="5">
        <v>0.28997347979432081</v>
      </c>
      <c r="Q67" s="3" t="s">
        <v>136</v>
      </c>
      <c r="R67" s="3" t="s">
        <v>104</v>
      </c>
      <c r="S67" s="5">
        <v>1.1453605012226208E-2</v>
      </c>
      <c r="T67" s="5">
        <v>1.2205629559110988E-2</v>
      </c>
      <c r="U67" s="5">
        <v>1.030399173065856E-2</v>
      </c>
      <c r="V67" s="5">
        <v>8.349449677811099E-3</v>
      </c>
      <c r="W67" s="5">
        <v>2.2862204853354662E-2</v>
      </c>
      <c r="X67" s="5">
        <v>1.1780498685622337E-2</v>
      </c>
      <c r="Y67" s="5">
        <v>2.2197323687482787E-2</v>
      </c>
      <c r="Z67" s="5">
        <v>3.7668480866396493E-2</v>
      </c>
      <c r="AA67" s="5">
        <v>1.5248034044117231E-2</v>
      </c>
      <c r="AB67" s="5">
        <v>1.659701377607755E-2</v>
      </c>
      <c r="AC67" s="5">
        <v>4.2697064494535725E-2</v>
      </c>
      <c r="AD67" s="5">
        <v>1.0961365804608778E-2</v>
      </c>
      <c r="AF67" s="3" t="s">
        <v>136</v>
      </c>
      <c r="AG67" s="3" t="s">
        <v>105</v>
      </c>
      <c r="AH67" s="5">
        <v>1.9632652019166658E-2</v>
      </c>
      <c r="AI67" s="5">
        <v>1.5479644198476935E-2</v>
      </c>
      <c r="AJ67" s="5">
        <v>1.7606308454750468E-2</v>
      </c>
      <c r="AK67" s="5">
        <v>8.0011883703893453E-3</v>
      </c>
      <c r="AL67" s="5">
        <v>2.3086129593748041E-2</v>
      </c>
      <c r="AM67" s="5">
        <v>2.1630195578603024E-2</v>
      </c>
      <c r="AN67" s="5">
        <v>2.860394428015714E-2</v>
      </c>
      <c r="AO67" s="5">
        <v>5.0728952356994532E-2</v>
      </c>
      <c r="AP67" s="5">
        <v>2.5485136993904155E-2</v>
      </c>
      <c r="AQ67" s="5">
        <v>2.0031536459134764E-2</v>
      </c>
      <c r="AR67" s="5">
        <v>4.1238242767878443E-2</v>
      </c>
      <c r="AS67" s="5">
        <v>3.6107359922228126E-2</v>
      </c>
      <c r="AU67" s="3" t="s">
        <v>136</v>
      </c>
      <c r="AV67" s="3" t="s">
        <v>106</v>
      </c>
      <c r="AW67" s="5">
        <v>0.12401627504720271</v>
      </c>
      <c r="AX67" s="5">
        <v>0.14861019840444628</v>
      </c>
      <c r="AY67" s="5">
        <v>0.13459368712519257</v>
      </c>
      <c r="AZ67" s="5">
        <v>0.17116848873273974</v>
      </c>
      <c r="BA67" s="4">
        <v>0.14923040911766805</v>
      </c>
      <c r="BB67" s="5">
        <v>0.13895951294141473</v>
      </c>
      <c r="BC67" s="5">
        <v>0.18227407614144056</v>
      </c>
      <c r="BD67" s="5">
        <v>0.16839819931921046</v>
      </c>
      <c r="BE67" s="5">
        <v>0.18098033045593825</v>
      </c>
      <c r="BF67" s="5">
        <v>0.13389355188803542</v>
      </c>
      <c r="BG67" s="5">
        <v>0.12103411742125122</v>
      </c>
      <c r="BH67" s="4">
        <v>0.12658529972779581</v>
      </c>
      <c r="BR67" s="3" t="s">
        <v>136</v>
      </c>
      <c r="BS67" s="5">
        <v>0.51329199475886322</v>
      </c>
      <c r="BT67" s="5">
        <v>0.49244448606055397</v>
      </c>
      <c r="BU67" s="4">
        <v>0.52344438442342889</v>
      </c>
      <c r="BV67" s="5">
        <v>0.41382578715049984</v>
      </c>
      <c r="BW67" s="5">
        <v>0.44886693142063511</v>
      </c>
      <c r="BX67" s="5">
        <v>0.43719003192669992</v>
      </c>
      <c r="BY67" s="5">
        <v>0.27856108395641815</v>
      </c>
      <c r="BZ67" s="5">
        <v>0.27537540499407775</v>
      </c>
      <c r="CA67" s="5">
        <v>0.30082870854585575</v>
      </c>
      <c r="CB67" s="4">
        <v>0.44181132943100432</v>
      </c>
      <c r="CC67" s="5">
        <v>0.41490729336111082</v>
      </c>
      <c r="CD67" s="5">
        <v>0.45282839764231247</v>
      </c>
      <c r="CF67" s="3" t="s">
        <v>159</v>
      </c>
      <c r="CG67" s="3" t="s">
        <v>112</v>
      </c>
      <c r="CH67" s="3" t="s">
        <v>113</v>
      </c>
      <c r="CI67" s="5">
        <v>0.62814300686756952</v>
      </c>
    </row>
    <row r="68" spans="2:87" x14ac:dyDescent="0.45">
      <c r="B68" s="6" t="s">
        <v>138</v>
      </c>
      <c r="C68" s="6" t="s">
        <v>103</v>
      </c>
      <c r="D68" s="8">
        <v>0.24591462104762835</v>
      </c>
      <c r="E68" s="8">
        <v>0.28831856462701949</v>
      </c>
      <c r="F68" s="8">
        <v>0.25913019166489426</v>
      </c>
      <c r="G68" s="8">
        <v>0.28128164539805511</v>
      </c>
      <c r="H68" s="8">
        <v>0.32397518675359588</v>
      </c>
      <c r="I68" s="8">
        <v>0.28045882986131238</v>
      </c>
      <c r="J68" s="8">
        <v>0.32380145793757614</v>
      </c>
      <c r="K68" s="8">
        <v>0.34986657339016192</v>
      </c>
      <c r="L68" s="8">
        <v>0.29843772071914698</v>
      </c>
      <c r="M68" s="8">
        <v>0.3191680675156186</v>
      </c>
      <c r="N68" s="8">
        <v>0.32610173669502579</v>
      </c>
      <c r="O68" s="8">
        <v>0.2754117354085322</v>
      </c>
      <c r="Q68" s="6" t="s">
        <v>138</v>
      </c>
      <c r="R68" s="6" t="s">
        <v>104</v>
      </c>
      <c r="S68" s="8">
        <v>1.7712938892885773E-2</v>
      </c>
      <c r="T68" s="8">
        <v>2.1923772123260691E-2</v>
      </c>
      <c r="U68" s="8">
        <v>2.6905321796631257E-2</v>
      </c>
      <c r="V68" s="8">
        <v>1.3613802265455228E-2</v>
      </c>
      <c r="W68" s="8">
        <v>1.9429621255712834E-2</v>
      </c>
      <c r="X68" s="8">
        <v>1.5540165475577149E-2</v>
      </c>
      <c r="Y68" s="8">
        <v>2.3401292885942671E-2</v>
      </c>
      <c r="Z68" s="8">
        <v>2.6500907774618675E-2</v>
      </c>
      <c r="AA68" s="8">
        <v>1.6544106349108176E-2</v>
      </c>
      <c r="AB68" s="8">
        <v>1.6416886161896085E-2</v>
      </c>
      <c r="AC68" s="8">
        <v>3.4376413500718961E-2</v>
      </c>
      <c r="AD68" s="8">
        <v>1.9823672364737685E-2</v>
      </c>
      <c r="AF68" s="6" t="s">
        <v>138</v>
      </c>
      <c r="AG68" s="6" t="s">
        <v>105</v>
      </c>
      <c r="AH68" s="8">
        <v>2.805732012677056E-2</v>
      </c>
      <c r="AI68" s="8">
        <v>3.2081711424862276E-2</v>
      </c>
      <c r="AJ68" s="8">
        <v>1.3443302142194788E-2</v>
      </c>
      <c r="AK68" s="8">
        <v>1.4917781359534607E-2</v>
      </c>
      <c r="AL68" s="8">
        <v>2.3405528590044581E-2</v>
      </c>
      <c r="AM68" s="8">
        <v>1.9661737220563281E-2</v>
      </c>
      <c r="AN68" s="8">
        <v>3.1283003464094399E-2</v>
      </c>
      <c r="AO68" s="8">
        <v>1.9830828403403628E-2</v>
      </c>
      <c r="AP68" s="8">
        <v>2.5503343218803265E-2</v>
      </c>
      <c r="AQ68" s="8">
        <v>2.3389207544336599E-2</v>
      </c>
      <c r="AR68" s="8">
        <v>3.2139758696043366E-2</v>
      </c>
      <c r="AS68" s="8">
        <v>3.5176278796048295E-2</v>
      </c>
      <c r="AU68" s="6" t="s">
        <v>138</v>
      </c>
      <c r="AV68" s="6" t="s">
        <v>106</v>
      </c>
      <c r="AW68" s="8">
        <v>0.10005101137845764</v>
      </c>
      <c r="AX68" s="8">
        <v>0.11785182831941245</v>
      </c>
      <c r="AY68" s="8">
        <v>0.10779295167210165</v>
      </c>
      <c r="AZ68" s="8">
        <v>0.14061325111862133</v>
      </c>
      <c r="BA68" s="7">
        <v>0.16016788592916817</v>
      </c>
      <c r="BB68" s="8">
        <v>0.14063739274195031</v>
      </c>
      <c r="BC68" s="8">
        <v>0.15277930977462303</v>
      </c>
      <c r="BD68" s="8">
        <v>0.17486159881500529</v>
      </c>
      <c r="BE68" s="8">
        <v>0.15388976016064626</v>
      </c>
      <c r="BF68" s="8">
        <v>0.14475280435743756</v>
      </c>
      <c r="BG68" s="8">
        <v>0.12697359501768146</v>
      </c>
      <c r="BH68" s="7">
        <v>0.1071303105679513</v>
      </c>
      <c r="BR68" s="6" t="s">
        <v>138</v>
      </c>
      <c r="BS68" s="8">
        <v>0.51491981286765542</v>
      </c>
      <c r="BT68" s="8">
        <v>0.49128176106900889</v>
      </c>
      <c r="BU68" s="7">
        <v>0.52228123484005196</v>
      </c>
      <c r="BV68" s="8">
        <v>0.44361076651431297</v>
      </c>
      <c r="BW68" s="8">
        <v>0.43617117394841054</v>
      </c>
      <c r="BX68" s="8">
        <v>0.45368122651240023</v>
      </c>
      <c r="BY68" s="8">
        <v>0.33046212733506852</v>
      </c>
      <c r="BZ68" s="8">
        <v>0.31883910294701945</v>
      </c>
      <c r="CA68" s="8">
        <v>0.34935806340229042</v>
      </c>
      <c r="CB68" s="7">
        <v>0.44734002499682801</v>
      </c>
      <c r="CC68" s="8">
        <v>0.43860712248058992</v>
      </c>
      <c r="CD68" s="8">
        <v>0.4721170234468326</v>
      </c>
      <c r="CF68" s="6" t="s">
        <v>161</v>
      </c>
      <c r="CG68" s="6" t="s">
        <v>112</v>
      </c>
      <c r="CH68" s="6" t="s">
        <v>113</v>
      </c>
      <c r="CI68" s="8">
        <v>0.69208719361369864</v>
      </c>
    </row>
    <row r="69" spans="2:87" x14ac:dyDescent="0.45">
      <c r="B69" s="3" t="s">
        <v>140</v>
      </c>
      <c r="C69" s="3" t="s">
        <v>103</v>
      </c>
      <c r="D69" s="5">
        <v>0.29448350877000828</v>
      </c>
      <c r="E69" s="5">
        <v>0.29329138956493228</v>
      </c>
      <c r="F69" s="5">
        <v>0.30326468049351346</v>
      </c>
      <c r="G69" s="5">
        <v>0.36457912526469538</v>
      </c>
      <c r="H69" s="5">
        <v>0.33299858967946488</v>
      </c>
      <c r="I69" s="5">
        <v>0.36140106199810984</v>
      </c>
      <c r="J69" s="5">
        <v>0.41572629191654814</v>
      </c>
      <c r="K69" s="5">
        <v>0.41282755612411465</v>
      </c>
      <c r="L69" s="5">
        <v>0.36998696056141278</v>
      </c>
      <c r="M69" s="5">
        <v>0.30819570980462846</v>
      </c>
      <c r="N69" s="5">
        <v>0.31291745703357521</v>
      </c>
      <c r="O69" s="5">
        <v>0.29578533205523688</v>
      </c>
      <c r="Q69" s="3" t="s">
        <v>140</v>
      </c>
      <c r="R69" s="3" t="s">
        <v>104</v>
      </c>
      <c r="S69" s="5">
        <v>1.4493700696928217E-2</v>
      </c>
      <c r="T69" s="5">
        <v>2.0043934522980873E-2</v>
      </c>
      <c r="U69" s="5">
        <v>1.7609421756941877E-2</v>
      </c>
      <c r="V69" s="5">
        <v>1.3815235120767485E-2</v>
      </c>
      <c r="W69" s="5">
        <v>2.790407236564086E-2</v>
      </c>
      <c r="X69" s="5">
        <v>2.1461891816516577E-2</v>
      </c>
      <c r="Y69" s="5">
        <v>3.2758278220432056E-2</v>
      </c>
      <c r="Z69" s="5">
        <v>3.512774084114223E-2</v>
      </c>
      <c r="AA69" s="5">
        <v>1.8529671409645083E-2</v>
      </c>
      <c r="AB69" s="5">
        <v>3.162494464779169E-2</v>
      </c>
      <c r="AC69" s="5">
        <v>2.6712561860246804E-2</v>
      </c>
      <c r="AD69" s="5">
        <v>2.1089412725325437E-2</v>
      </c>
      <c r="AF69" s="3" t="s">
        <v>140</v>
      </c>
      <c r="AG69" s="3" t="s">
        <v>105</v>
      </c>
      <c r="AH69" s="5">
        <v>2.114349556086256E-2</v>
      </c>
      <c r="AI69" s="5">
        <v>1.6737723776976382E-2</v>
      </c>
      <c r="AJ69" s="5">
        <v>2.4750583639758794E-2</v>
      </c>
      <c r="AK69" s="5">
        <v>2.9904685476902691E-2</v>
      </c>
      <c r="AL69" s="5">
        <v>1.350284906990179E-2</v>
      </c>
      <c r="AM69" s="5">
        <v>5.4458345732109149E-2</v>
      </c>
      <c r="AN69" s="5">
        <v>5.1538753736086282E-2</v>
      </c>
      <c r="AO69" s="5">
        <v>5.9008841469381144E-2</v>
      </c>
      <c r="AP69" s="5">
        <v>1.7089901270584289E-2</v>
      </c>
      <c r="AQ69" s="5">
        <v>3.3385654642612859E-2</v>
      </c>
      <c r="AR69" s="5">
        <v>3.2256996241031941E-2</v>
      </c>
      <c r="AS69" s="5">
        <v>2.604249449251787E-2</v>
      </c>
      <c r="AU69" s="3" t="s">
        <v>140</v>
      </c>
      <c r="AV69" s="3" t="s">
        <v>106</v>
      </c>
      <c r="AW69" s="5">
        <v>0.12697112547653958</v>
      </c>
      <c r="AX69" s="5">
        <v>0.12568392168189269</v>
      </c>
      <c r="AY69" s="5">
        <v>0.12748025188547824</v>
      </c>
      <c r="AZ69" s="5">
        <v>0.18164113327826564</v>
      </c>
      <c r="BA69" s="4">
        <v>0.16525098320890394</v>
      </c>
      <c r="BB69" s="5">
        <v>0.14331029522129821</v>
      </c>
      <c r="BC69" s="5">
        <v>0.19960403895528578</v>
      </c>
      <c r="BD69" s="5">
        <v>0.19428181930098298</v>
      </c>
      <c r="BE69" s="5">
        <v>0.22145054776551426</v>
      </c>
      <c r="BF69" s="5">
        <v>0.11707446146398887</v>
      </c>
      <c r="BG69" s="5">
        <v>0.12712569631324183</v>
      </c>
      <c r="BH69" s="4">
        <v>0.12673461258464044</v>
      </c>
      <c r="BR69" s="3" t="s">
        <v>140</v>
      </c>
      <c r="BS69" s="5">
        <v>0.52343534536673486</v>
      </c>
      <c r="BT69" s="5">
        <v>0.50071535977875925</v>
      </c>
      <c r="BU69" s="4">
        <v>0.51306115458265644</v>
      </c>
      <c r="BV69" s="5">
        <v>0.36309647570702486</v>
      </c>
      <c r="BW69" s="5">
        <v>0.39669426566835508</v>
      </c>
      <c r="BX69" s="5">
        <v>0.36234607678047998</v>
      </c>
      <c r="BY69" s="5">
        <v>0.15553914551444509</v>
      </c>
      <c r="BZ69" s="5">
        <v>0.21066994287942539</v>
      </c>
      <c r="CA69" s="5">
        <v>0.18003738521361745</v>
      </c>
      <c r="CB69" s="4">
        <v>0.40980967673944946</v>
      </c>
      <c r="CC69" s="5">
        <v>0.42479524416972775</v>
      </c>
      <c r="CD69" s="5">
        <v>0.41656114092448226</v>
      </c>
      <c r="CF69" s="3" t="s">
        <v>163</v>
      </c>
      <c r="CG69" s="3" t="s">
        <v>112</v>
      </c>
      <c r="CH69" s="3" t="s">
        <v>113</v>
      </c>
      <c r="CI69" s="5">
        <v>0.64632215782173874</v>
      </c>
    </row>
    <row r="70" spans="2:87" x14ac:dyDescent="0.45">
      <c r="B70" s="6" t="s">
        <v>142</v>
      </c>
      <c r="C70" s="6" t="s">
        <v>103</v>
      </c>
      <c r="D70" s="8">
        <v>0.2326947362232904</v>
      </c>
      <c r="E70" s="8">
        <v>0.23941176569203371</v>
      </c>
      <c r="F70" s="8">
        <v>0.23406923364169513</v>
      </c>
      <c r="G70" s="8">
        <v>0.33541462498543489</v>
      </c>
      <c r="H70" s="8">
        <v>0.33045739088471893</v>
      </c>
      <c r="I70" s="8">
        <v>0.29333410673028304</v>
      </c>
      <c r="J70" s="8">
        <v>0.31619359438142713</v>
      </c>
      <c r="K70" s="8">
        <v>0.33294871653084707</v>
      </c>
      <c r="L70" s="8">
        <v>0.31602512714358738</v>
      </c>
      <c r="M70" s="8">
        <v>0.26650349934925671</v>
      </c>
      <c r="N70" s="8">
        <v>0.25821416086104026</v>
      </c>
      <c r="O70" s="8">
        <v>0.2426230398761727</v>
      </c>
      <c r="Q70" s="6" t="s">
        <v>142</v>
      </c>
      <c r="R70" s="6" t="s">
        <v>104</v>
      </c>
      <c r="S70" s="8">
        <v>8.160329333020069E-3</v>
      </c>
      <c r="T70" s="8">
        <v>1.5709029930273694E-2</v>
      </c>
      <c r="U70" s="8">
        <v>1.1125829360140012E-2</v>
      </c>
      <c r="V70" s="8">
        <v>1.435700618833491E-2</v>
      </c>
      <c r="W70" s="8">
        <v>1.8812102510503768E-2</v>
      </c>
      <c r="X70" s="8">
        <v>1.4483873668114983E-2</v>
      </c>
      <c r="Y70" s="8">
        <v>2.0389182614741833E-2</v>
      </c>
      <c r="Z70" s="8">
        <v>8.8612105374082546E-3</v>
      </c>
      <c r="AA70" s="8">
        <v>9.3006162921073204E-3</v>
      </c>
      <c r="AB70" s="8">
        <v>1.0226014540390278E-2</v>
      </c>
      <c r="AC70" s="8">
        <v>1.3829162397470831E-2</v>
      </c>
      <c r="AD70" s="8">
        <v>1.7285132951323869E-2</v>
      </c>
      <c r="AF70" s="6" t="s">
        <v>142</v>
      </c>
      <c r="AG70" s="6" t="s">
        <v>105</v>
      </c>
      <c r="AH70" s="8">
        <v>1.0218004248524214E-2</v>
      </c>
      <c r="AI70" s="8">
        <v>1.5391575955049303E-2</v>
      </c>
      <c r="AJ70" s="8">
        <v>1.390117344612612E-2</v>
      </c>
      <c r="AK70" s="8">
        <v>2.2532313211759913E-2</v>
      </c>
      <c r="AL70" s="8">
        <v>1.5662844420583029E-2</v>
      </c>
      <c r="AM70" s="8">
        <v>2.9675522071088825E-2</v>
      </c>
      <c r="AN70" s="8">
        <v>1.0874784554096212E-2</v>
      </c>
      <c r="AO70" s="8">
        <v>2.8166960911674352E-2</v>
      </c>
      <c r="AP70" s="8">
        <v>1.2625908889749172E-2</v>
      </c>
      <c r="AQ70" s="8">
        <v>3.2760299827027481E-2</v>
      </c>
      <c r="AR70" s="8">
        <v>1.3588427534404E-2</v>
      </c>
      <c r="AS70" s="8">
        <v>1.3502504959639193E-2</v>
      </c>
      <c r="AU70" s="6" t="s">
        <v>142</v>
      </c>
      <c r="AV70" s="6" t="s">
        <v>106</v>
      </c>
      <c r="AW70" s="8">
        <v>9.6460590465298729E-2</v>
      </c>
      <c r="AX70" s="8">
        <v>9.2968926042095945E-2</v>
      </c>
      <c r="AY70" s="8">
        <v>9.1357813417485223E-2</v>
      </c>
      <c r="AZ70" s="8">
        <v>0.16747189969714202</v>
      </c>
      <c r="BA70" s="7">
        <v>0.15866899256682937</v>
      </c>
      <c r="BB70" s="8">
        <v>0.13141966093365656</v>
      </c>
      <c r="BC70" s="8">
        <v>0.18133592859857428</v>
      </c>
      <c r="BD70" s="8">
        <v>0.1814856696935109</v>
      </c>
      <c r="BE70" s="8">
        <v>0.20048454435611318</v>
      </c>
      <c r="BF70" s="8">
        <v>0.10215054562455607</v>
      </c>
      <c r="BG70" s="8">
        <v>0.11484817717400726</v>
      </c>
      <c r="BH70" s="7">
        <v>9.7332703529310741E-2</v>
      </c>
      <c r="BR70" s="6" t="s">
        <v>142</v>
      </c>
      <c r="BS70" s="8">
        <v>0.61071354013689483</v>
      </c>
      <c r="BT70" s="8">
        <v>0.58206951845251564</v>
      </c>
      <c r="BU70" s="7">
        <v>0.60985289232023676</v>
      </c>
      <c r="BV70" s="8">
        <v>0.42635537105990889</v>
      </c>
      <c r="BW70" s="8">
        <v>0.46297346481782375</v>
      </c>
      <c r="BX70" s="8">
        <v>0.47514991353027902</v>
      </c>
      <c r="BY70" s="8">
        <v>0.33281398137941559</v>
      </c>
      <c r="BZ70" s="8">
        <v>0.3744293697599404</v>
      </c>
      <c r="CA70" s="8">
        <v>0.33397725297698538</v>
      </c>
      <c r="CB70" s="7">
        <v>0.52445727789021823</v>
      </c>
      <c r="CC70" s="8">
        <v>0.53794419188505571</v>
      </c>
      <c r="CD70" s="8">
        <v>0.54465823389820878</v>
      </c>
      <c r="CF70" s="6" t="s">
        <v>165</v>
      </c>
      <c r="CG70" s="6" t="s">
        <v>112</v>
      </c>
      <c r="CH70" s="6" t="s">
        <v>113</v>
      </c>
      <c r="CI70" s="8">
        <v>0.66773177109789039</v>
      </c>
    </row>
    <row r="71" spans="2:87" x14ac:dyDescent="0.45">
      <c r="B71" s="3" t="s">
        <v>144</v>
      </c>
      <c r="C71" s="3" t="s">
        <v>103</v>
      </c>
      <c r="D71" s="5">
        <v>0.16646000308862421</v>
      </c>
      <c r="E71" s="5">
        <v>0.19225837946150004</v>
      </c>
      <c r="F71" s="5">
        <v>0.1746407284110994</v>
      </c>
      <c r="G71" s="5">
        <v>0.24994409339954085</v>
      </c>
      <c r="H71" s="5">
        <v>0.24318655479844731</v>
      </c>
      <c r="I71" s="5">
        <v>0.23887490299221523</v>
      </c>
      <c r="J71" s="5">
        <v>0.35977625956697062</v>
      </c>
      <c r="K71" s="5">
        <v>0.37561959511446896</v>
      </c>
      <c r="L71" s="5">
        <v>0.33621253759045355</v>
      </c>
      <c r="M71" s="5">
        <v>0.2389987918129832</v>
      </c>
      <c r="N71" s="5">
        <v>0.24046995261206258</v>
      </c>
      <c r="O71" s="5">
        <v>0.21965365259328656</v>
      </c>
      <c r="Q71" s="3" t="s">
        <v>144</v>
      </c>
      <c r="R71" s="3" t="s">
        <v>104</v>
      </c>
      <c r="S71" s="5">
        <v>9.7217063874657037E-3</v>
      </c>
      <c r="T71" s="5">
        <v>1.2066248994524551E-2</v>
      </c>
      <c r="U71" s="5">
        <v>6.7300896057602092E-3</v>
      </c>
      <c r="V71" s="5">
        <v>1.1442055851492182E-2</v>
      </c>
      <c r="W71" s="5">
        <v>1.2818656184865837E-2</v>
      </c>
      <c r="X71" s="5">
        <v>5.2814962490429747E-3</v>
      </c>
      <c r="Y71" s="5">
        <v>2.1144093255007313E-2</v>
      </c>
      <c r="Z71" s="5">
        <v>1.8343464846890367E-2</v>
      </c>
      <c r="AA71" s="5">
        <v>2.8735206344430799E-2</v>
      </c>
      <c r="AB71" s="5">
        <v>1.4907833572929113E-2</v>
      </c>
      <c r="AC71" s="5">
        <v>1.5378638369657182E-2</v>
      </c>
      <c r="AD71" s="5">
        <v>1.5597949314043492E-2</v>
      </c>
      <c r="AF71" s="3" t="s">
        <v>144</v>
      </c>
      <c r="AG71" s="3" t="s">
        <v>105</v>
      </c>
      <c r="AH71" s="5">
        <v>9.7136400276694179E-3</v>
      </c>
      <c r="AI71" s="5">
        <v>1.1361163287366222E-2</v>
      </c>
      <c r="AJ71" s="5">
        <v>1.0432718466687309E-2</v>
      </c>
      <c r="AK71" s="5">
        <v>9.6909972867661644E-3</v>
      </c>
      <c r="AL71" s="5">
        <v>1.597583484867288E-2</v>
      </c>
      <c r="AM71" s="5">
        <v>1.3268350833519064E-2</v>
      </c>
      <c r="AN71" s="5">
        <v>3.6322562821293918E-2</v>
      </c>
      <c r="AO71" s="5">
        <v>3.0868369333940458E-2</v>
      </c>
      <c r="AP71" s="5">
        <v>3.3499992543424013E-2</v>
      </c>
      <c r="AQ71" s="5">
        <v>2.331622431836031E-2</v>
      </c>
      <c r="AR71" s="5">
        <v>2.6181937181633405E-2</v>
      </c>
      <c r="AS71" s="5">
        <v>9.311698039666555E-3</v>
      </c>
      <c r="AU71" s="3" t="s">
        <v>144</v>
      </c>
      <c r="AV71" s="3" t="s">
        <v>106</v>
      </c>
      <c r="AW71" s="5">
        <v>5.9404112646618309E-2</v>
      </c>
      <c r="AX71" s="5">
        <v>6.1806827578857852E-2</v>
      </c>
      <c r="AY71" s="5">
        <v>6.0831525638800586E-2</v>
      </c>
      <c r="AZ71" s="5">
        <v>0.10063585046501911</v>
      </c>
      <c r="BA71" s="4">
        <v>9.4550199341973729E-2</v>
      </c>
      <c r="BB71" s="5">
        <v>0.10753412635111216</v>
      </c>
      <c r="BC71" s="5">
        <v>0.17060498501402446</v>
      </c>
      <c r="BD71" s="5">
        <v>0.19877135116580436</v>
      </c>
      <c r="BE71" s="5">
        <v>0.15734278951941832</v>
      </c>
      <c r="BF71" s="5">
        <v>8.9893506917753746E-2</v>
      </c>
      <c r="BG71" s="5">
        <v>8.9268318060370749E-2</v>
      </c>
      <c r="BH71" s="4">
        <v>9.7194903637889782E-2</v>
      </c>
      <c r="BR71" s="3" t="s">
        <v>144</v>
      </c>
      <c r="BS71" s="5">
        <v>0.70847544416218111</v>
      </c>
      <c r="BT71" s="5">
        <v>0.69050150841139235</v>
      </c>
      <c r="BU71" s="4">
        <v>0.71243355680609788</v>
      </c>
      <c r="BV71" s="5">
        <v>0.59124847808311498</v>
      </c>
      <c r="BW71" s="5">
        <v>0.59098318563167218</v>
      </c>
      <c r="BX71" s="5">
        <v>0.58930531114673546</v>
      </c>
      <c r="BY71" s="5">
        <v>0.32450685148787128</v>
      </c>
      <c r="BZ71" s="5">
        <v>0.32386031202982829</v>
      </c>
      <c r="CA71" s="5">
        <v>0.32365650679781027</v>
      </c>
      <c r="CB71" s="4">
        <v>0.56490645833467235</v>
      </c>
      <c r="CC71" s="5">
        <v>0.57253479526472906</v>
      </c>
      <c r="CD71" s="5">
        <v>0.57303398585841914</v>
      </c>
      <c r="CF71" s="3" t="s">
        <v>167</v>
      </c>
      <c r="CG71" s="3" t="s">
        <v>112</v>
      </c>
      <c r="CH71" s="3" t="s">
        <v>113</v>
      </c>
      <c r="CI71" s="5">
        <v>0.61555271378855703</v>
      </c>
    </row>
    <row r="72" spans="2:87" x14ac:dyDescent="0.45">
      <c r="B72" s="6" t="s">
        <v>146</v>
      </c>
      <c r="C72" s="6" t="s">
        <v>103</v>
      </c>
      <c r="D72" s="8">
        <v>0.20851398421639666</v>
      </c>
      <c r="E72" s="8">
        <v>0.22494571741391295</v>
      </c>
      <c r="F72" s="8">
        <v>0.21101945452536047</v>
      </c>
      <c r="G72" s="8">
        <v>0.26553936853743365</v>
      </c>
      <c r="H72" s="8">
        <v>0.2726494672170241</v>
      </c>
      <c r="I72" s="8">
        <v>0.26231500811592551</v>
      </c>
      <c r="J72" s="8">
        <v>0.37706939262779882</v>
      </c>
      <c r="K72" s="8">
        <v>0.40387042460156708</v>
      </c>
      <c r="L72" s="8">
        <v>0.37291113961316735</v>
      </c>
      <c r="M72" s="8">
        <v>0.23756041490290694</v>
      </c>
      <c r="N72" s="8">
        <v>0.25456146077277603</v>
      </c>
      <c r="O72" s="8">
        <v>0.22520683345606196</v>
      </c>
      <c r="Q72" s="6" t="s">
        <v>146</v>
      </c>
      <c r="R72" s="6" t="s">
        <v>104</v>
      </c>
      <c r="S72" s="8">
        <v>7.3422723443105345E-3</v>
      </c>
      <c r="T72" s="8">
        <v>1.1486148258901008E-2</v>
      </c>
      <c r="U72" s="8">
        <v>8.7392896821874809E-3</v>
      </c>
      <c r="V72" s="8">
        <v>1.4076558344844673E-2</v>
      </c>
      <c r="W72" s="8">
        <v>1.0890379754770431E-2</v>
      </c>
      <c r="X72" s="8">
        <v>9.2109108664357592E-3</v>
      </c>
      <c r="Y72" s="8">
        <v>2.3252385334658884E-2</v>
      </c>
      <c r="Z72" s="8">
        <v>1.7721056741365558E-2</v>
      </c>
      <c r="AA72" s="8">
        <v>3.8378401628996354E-2</v>
      </c>
      <c r="AB72" s="8">
        <v>1.2517358911911261E-2</v>
      </c>
      <c r="AC72" s="8">
        <v>1.8831913319974882E-2</v>
      </c>
      <c r="AD72" s="8">
        <v>1.8434653449008558E-2</v>
      </c>
      <c r="AF72" s="6" t="s">
        <v>146</v>
      </c>
      <c r="AG72" s="6" t="s">
        <v>105</v>
      </c>
      <c r="AH72" s="8">
        <v>9.8977796781115502E-3</v>
      </c>
      <c r="AI72" s="8">
        <v>9.6122417568241039E-3</v>
      </c>
      <c r="AJ72" s="8">
        <v>1.5144830467666561E-2</v>
      </c>
      <c r="AK72" s="8">
        <v>1.5457367839285665E-2</v>
      </c>
      <c r="AL72" s="8">
        <v>1.2884975355895228E-2</v>
      </c>
      <c r="AM72" s="8">
        <v>1.140260086807217E-2</v>
      </c>
      <c r="AN72" s="8">
        <v>5.6086321796376147E-2</v>
      </c>
      <c r="AO72" s="8">
        <v>4.3227597864571164E-2</v>
      </c>
      <c r="AP72" s="8">
        <v>2.2910689767510265E-2</v>
      </c>
      <c r="AQ72" s="8">
        <v>2.5884227912060534E-2</v>
      </c>
      <c r="AR72" s="8">
        <v>3.012133424736653E-2</v>
      </c>
      <c r="AS72" s="8">
        <v>6.936669983409775E-3</v>
      </c>
      <c r="AU72" s="6" t="s">
        <v>146</v>
      </c>
      <c r="AV72" s="6" t="s">
        <v>106</v>
      </c>
      <c r="AW72" s="8">
        <v>8.7910511220281998E-2</v>
      </c>
      <c r="AX72" s="8">
        <v>9.0136021080402237E-2</v>
      </c>
      <c r="AY72" s="8">
        <v>7.6394021342478774E-2</v>
      </c>
      <c r="AZ72" s="8">
        <v>0.11498683620892321</v>
      </c>
      <c r="BA72" s="7">
        <v>0.12059887306197305</v>
      </c>
      <c r="BB72" s="8">
        <v>0.11834059750642877</v>
      </c>
      <c r="BC72" s="8">
        <v>0.17664765031521176</v>
      </c>
      <c r="BD72" s="8">
        <v>0.2085592433154119</v>
      </c>
      <c r="BE72" s="8">
        <v>0.17903127028730745</v>
      </c>
      <c r="BF72" s="8">
        <v>8.7473071330071137E-2</v>
      </c>
      <c r="BG72" s="8">
        <v>9.0496340071850076E-2</v>
      </c>
      <c r="BH72" s="7">
        <v>9.2909085744737635E-2</v>
      </c>
      <c r="BR72" s="6" t="s">
        <v>146</v>
      </c>
      <c r="BS72" s="8">
        <v>0.64383048490591266</v>
      </c>
      <c r="BT72" s="8">
        <v>0.62459842044969538</v>
      </c>
      <c r="BU72" s="7">
        <v>0.64773022166723693</v>
      </c>
      <c r="BV72" s="8">
        <v>0.53032767185858076</v>
      </c>
      <c r="BW72" s="8">
        <v>0.53759506983728889</v>
      </c>
      <c r="BX72" s="8">
        <v>0.52921136976548433</v>
      </c>
      <c r="BY72" s="8">
        <v>0.28588657501484327</v>
      </c>
      <c r="BZ72" s="8">
        <v>0.30827323168618631</v>
      </c>
      <c r="CA72" s="8">
        <v>0.29808693689961097</v>
      </c>
      <c r="CB72" s="7">
        <v>0.53684127756181421</v>
      </c>
      <c r="CC72" s="8">
        <v>0.53971979321422081</v>
      </c>
      <c r="CD72" s="8">
        <v>0.55748874145739524</v>
      </c>
      <c r="CF72" s="6" t="s">
        <v>169</v>
      </c>
      <c r="CG72" s="6" t="s">
        <v>112</v>
      </c>
      <c r="CH72" s="6" t="s">
        <v>113</v>
      </c>
      <c r="CI72" s="8">
        <v>0.66948912561738272</v>
      </c>
    </row>
    <row r="73" spans="2:87" x14ac:dyDescent="0.45">
      <c r="B73" s="3" t="s">
        <v>148</v>
      </c>
      <c r="C73" s="3" t="s">
        <v>103</v>
      </c>
      <c r="D73" s="5">
        <v>0.3143961422623639</v>
      </c>
      <c r="E73" s="5">
        <v>0.31314406064895772</v>
      </c>
      <c r="F73" s="5">
        <v>0.31787137607786142</v>
      </c>
      <c r="G73" s="5">
        <v>0.3500086152461756</v>
      </c>
      <c r="H73" s="5">
        <v>0.3219667311165087</v>
      </c>
      <c r="I73" s="5">
        <v>0.31953175848323168</v>
      </c>
      <c r="J73" s="5">
        <v>0.39759123697385251</v>
      </c>
      <c r="K73" s="5">
        <v>0.39690497505615097</v>
      </c>
      <c r="L73" s="5">
        <v>0.35693351117959737</v>
      </c>
      <c r="M73" s="5">
        <v>0.32299759949582069</v>
      </c>
      <c r="N73" s="5">
        <v>0.30446785336072224</v>
      </c>
      <c r="O73" s="5">
        <v>0.29399600744086962</v>
      </c>
      <c r="Q73" s="3" t="s">
        <v>148</v>
      </c>
      <c r="R73" s="3" t="s">
        <v>104</v>
      </c>
      <c r="S73" s="5">
        <v>1.2283384723770503E-2</v>
      </c>
      <c r="T73" s="5">
        <v>1.76458366119817E-2</v>
      </c>
      <c r="U73" s="5">
        <v>2.0374514774639717E-2</v>
      </c>
      <c r="V73" s="5">
        <v>1.2544612390372032E-2</v>
      </c>
      <c r="W73" s="5">
        <v>2.1471630567076679E-2</v>
      </c>
      <c r="X73" s="5">
        <v>1.3289794489891359E-2</v>
      </c>
      <c r="Y73" s="5">
        <v>4.2785837779618877E-2</v>
      </c>
      <c r="Z73" s="5">
        <v>1.7920761118846038E-2</v>
      </c>
      <c r="AA73" s="5">
        <v>6.6219454870546724E-3</v>
      </c>
      <c r="AB73" s="5">
        <v>2.7495476445635235E-2</v>
      </c>
      <c r="AC73" s="5">
        <v>1.9644274659419189E-2</v>
      </c>
      <c r="AD73" s="5">
        <v>2.0369322928389534E-2</v>
      </c>
      <c r="AF73" s="3" t="s">
        <v>148</v>
      </c>
      <c r="AG73" s="3" t="s">
        <v>105</v>
      </c>
      <c r="AH73" s="5">
        <v>2.5868203286752607E-2</v>
      </c>
      <c r="AI73" s="5">
        <v>1.6025179885986677E-2</v>
      </c>
      <c r="AJ73" s="5">
        <v>1.7072682619332372E-2</v>
      </c>
      <c r="AK73" s="5">
        <v>2.4071020465685634E-2</v>
      </c>
      <c r="AL73" s="5">
        <v>2.1482722885562636E-2</v>
      </c>
      <c r="AM73" s="5">
        <v>3.9603002475913147E-2</v>
      </c>
      <c r="AN73" s="5">
        <v>3.362846739733006E-2</v>
      </c>
      <c r="AO73" s="5">
        <v>5.6193698879516932E-2</v>
      </c>
      <c r="AP73" s="5">
        <v>9.5972722140333193E-3</v>
      </c>
      <c r="AQ73" s="5">
        <v>4.1125592265445106E-2</v>
      </c>
      <c r="AR73" s="5">
        <v>1.6747805008262031E-2</v>
      </c>
      <c r="AS73" s="5">
        <v>1.7826590045737795E-2</v>
      </c>
      <c r="AU73" s="3" t="s">
        <v>148</v>
      </c>
      <c r="AV73" s="3" t="s">
        <v>106</v>
      </c>
      <c r="AW73" s="5">
        <v>0.14420064838220809</v>
      </c>
      <c r="AX73" s="5">
        <v>0.14851409447561204</v>
      </c>
      <c r="AY73" s="5">
        <v>0.14164414108050899</v>
      </c>
      <c r="AZ73" s="5">
        <v>0.19626845767840251</v>
      </c>
      <c r="BA73" s="4">
        <v>0.1569846097784158</v>
      </c>
      <c r="BB73" s="5">
        <v>0.1566621753100301</v>
      </c>
      <c r="BC73" s="5">
        <v>0.19493458257092777</v>
      </c>
      <c r="BD73" s="5">
        <v>0.1928792317085255</v>
      </c>
      <c r="BE73" s="5">
        <v>0.2400456067748348</v>
      </c>
      <c r="BF73" s="5">
        <v>0.1294692398330845</v>
      </c>
      <c r="BG73" s="5">
        <v>0.14449213800848448</v>
      </c>
      <c r="BH73" s="4">
        <v>0.14149324743818709</v>
      </c>
      <c r="BR73" s="3" t="s">
        <v>148</v>
      </c>
      <c r="BS73" s="5">
        <v>0.44595482492949962</v>
      </c>
      <c r="BT73" s="5">
        <v>0.43312081700679606</v>
      </c>
      <c r="BU73" s="4">
        <v>0.45089328939471085</v>
      </c>
      <c r="BV73" s="5">
        <v>0.32271441683125729</v>
      </c>
      <c r="BW73" s="5">
        <v>0.39185073173424084</v>
      </c>
      <c r="BX73" s="5">
        <v>0.34697402802572924</v>
      </c>
      <c r="BY73" s="5">
        <v>0.15347656767340642</v>
      </c>
      <c r="BZ73" s="5">
        <v>0.22404435290833805</v>
      </c>
      <c r="CA73" s="5">
        <v>0.18093071280570433</v>
      </c>
      <c r="CB73" s="4">
        <v>0.33529106314146395</v>
      </c>
      <c r="CC73" s="5">
        <v>0.37854195729260015</v>
      </c>
      <c r="CD73" s="5">
        <v>0.34870557863374341</v>
      </c>
      <c r="CF73" s="3" t="s">
        <v>171</v>
      </c>
      <c r="CG73" s="3" t="s">
        <v>112</v>
      </c>
      <c r="CH73" s="3" t="s">
        <v>113</v>
      </c>
      <c r="CI73" s="5">
        <v>0.78976673571418332</v>
      </c>
    </row>
    <row r="74" spans="2:87" x14ac:dyDescent="0.45">
      <c r="B74" s="6" t="s">
        <v>150</v>
      </c>
      <c r="C74" s="6" t="s">
        <v>103</v>
      </c>
      <c r="D74" s="8">
        <v>0.25444923959649823</v>
      </c>
      <c r="E74" s="8">
        <v>0.26390644648152251</v>
      </c>
      <c r="F74" s="8">
        <v>0.2520496666516589</v>
      </c>
      <c r="G74" s="8">
        <v>0.29420601530366691</v>
      </c>
      <c r="H74" s="8">
        <v>0.29309110778447911</v>
      </c>
      <c r="I74" s="8">
        <v>0.30536714717892133</v>
      </c>
      <c r="J74" s="8">
        <v>0.38700440361722921</v>
      </c>
      <c r="K74" s="8">
        <v>0.40680068988135454</v>
      </c>
      <c r="L74" s="8">
        <v>0.36630794866919481</v>
      </c>
      <c r="M74" s="8">
        <v>0.29022246582915506</v>
      </c>
      <c r="N74" s="8">
        <v>0.30235848112017566</v>
      </c>
      <c r="O74" s="8">
        <v>0.28377282026484285</v>
      </c>
      <c r="Q74" s="6" t="s">
        <v>150</v>
      </c>
      <c r="R74" s="6" t="s">
        <v>104</v>
      </c>
      <c r="S74" s="8">
        <v>1.3545937680894342E-2</v>
      </c>
      <c r="T74" s="8">
        <v>1.7388139283321523E-2</v>
      </c>
      <c r="U74" s="8">
        <v>1.7600592499936805E-2</v>
      </c>
      <c r="V74" s="8">
        <v>2.2531386991342713E-2</v>
      </c>
      <c r="W74" s="8">
        <v>1.9322770584202693E-2</v>
      </c>
      <c r="X74" s="8">
        <v>1.533354752684936E-2</v>
      </c>
      <c r="Y74" s="8">
        <v>1.8572228986907725E-2</v>
      </c>
      <c r="Z74" s="8">
        <v>2.0954921732433834E-2</v>
      </c>
      <c r="AA74" s="8">
        <v>2.8057517407616743E-2</v>
      </c>
      <c r="AB74" s="8">
        <v>2.5135327633110573E-2</v>
      </c>
      <c r="AC74" s="8">
        <v>3.1960985744953881E-2</v>
      </c>
      <c r="AD74" s="8">
        <v>2.2852326360884776E-2</v>
      </c>
      <c r="AF74" s="6" t="s">
        <v>150</v>
      </c>
      <c r="AG74" s="6" t="s">
        <v>105</v>
      </c>
      <c r="AH74" s="8">
        <v>2.2642917879677649E-2</v>
      </c>
      <c r="AI74" s="8">
        <v>1.4203866497739649E-2</v>
      </c>
      <c r="AJ74" s="8">
        <v>1.8888187555858652E-2</v>
      </c>
      <c r="AK74" s="8">
        <v>1.9574600723122199E-2</v>
      </c>
      <c r="AL74" s="8">
        <v>2.7781120317268392E-2</v>
      </c>
      <c r="AM74" s="8">
        <v>1.75041831401682E-2</v>
      </c>
      <c r="AN74" s="8">
        <v>4.3025585885192084E-2</v>
      </c>
      <c r="AO74" s="8">
        <v>3.5742367882526563E-2</v>
      </c>
      <c r="AP74" s="8">
        <v>3.8272792516891654E-2</v>
      </c>
      <c r="AQ74" s="8">
        <v>4.0112881878519538E-2</v>
      </c>
      <c r="AR74" s="8">
        <v>4.8814985921533417E-2</v>
      </c>
      <c r="AS74" s="8">
        <v>8.9762024453083969E-3</v>
      </c>
      <c r="AU74" s="6" t="s">
        <v>150</v>
      </c>
      <c r="AV74" s="6" t="s">
        <v>106</v>
      </c>
      <c r="AW74" s="8">
        <v>0.10653536634028084</v>
      </c>
      <c r="AX74" s="8">
        <v>0.11957759210617498</v>
      </c>
      <c r="AY74" s="8">
        <v>0.10248648909682638</v>
      </c>
      <c r="AZ74" s="8">
        <v>0.13200895936178522</v>
      </c>
      <c r="BA74" s="7">
        <v>0.1201394400158565</v>
      </c>
      <c r="BB74" s="8">
        <v>0.14826479893693884</v>
      </c>
      <c r="BC74" s="8">
        <v>0.21204503208365319</v>
      </c>
      <c r="BD74" s="8">
        <v>0.22159288835431332</v>
      </c>
      <c r="BE74" s="8">
        <v>0.18451059046700963</v>
      </c>
      <c r="BF74" s="8">
        <v>0.11634413974234688</v>
      </c>
      <c r="BG74" s="8">
        <v>0.10933259717386591</v>
      </c>
      <c r="BH74" s="7">
        <v>0.15139706041193218</v>
      </c>
      <c r="BR74" s="6" t="s">
        <v>150</v>
      </c>
      <c r="BS74" s="8">
        <v>0.52485938858241588</v>
      </c>
      <c r="BT74" s="8">
        <v>0.52470105321421689</v>
      </c>
      <c r="BU74" s="7">
        <v>0.55361821074475459</v>
      </c>
      <c r="BV74" s="8">
        <v>0.43435229788439267</v>
      </c>
      <c r="BW74" s="8">
        <v>0.47078165722437154</v>
      </c>
      <c r="BX74" s="8">
        <v>0.4265187718516687</v>
      </c>
      <c r="BY74" s="8">
        <v>0.20966438163280374</v>
      </c>
      <c r="BZ74" s="8">
        <v>0.23820338513783648</v>
      </c>
      <c r="CA74" s="8">
        <v>0.20430592371150352</v>
      </c>
      <c r="CB74" s="7">
        <v>0.37658531907311532</v>
      </c>
      <c r="CC74" s="8">
        <v>0.40435267572876205</v>
      </c>
      <c r="CD74" s="8">
        <v>0.37391629716994879</v>
      </c>
      <c r="CF74" s="6" t="s">
        <v>173</v>
      </c>
      <c r="CG74" s="6" t="s">
        <v>112</v>
      </c>
      <c r="CH74" s="6" t="s">
        <v>113</v>
      </c>
      <c r="CI74" s="8">
        <v>0.76506096342224317</v>
      </c>
    </row>
    <row r="75" spans="2:87" x14ac:dyDescent="0.45">
      <c r="B75" s="3" t="s">
        <v>152</v>
      </c>
      <c r="C75" s="3" t="s">
        <v>103</v>
      </c>
      <c r="D75" s="5">
        <v>0.27716931831175734</v>
      </c>
      <c r="E75" s="5">
        <v>0.29568839750470849</v>
      </c>
      <c r="F75" s="5">
        <v>0.2792116343044086</v>
      </c>
      <c r="G75" s="5">
        <v>0.30407506282154939</v>
      </c>
      <c r="H75" s="5">
        <v>0.31553481270944811</v>
      </c>
      <c r="I75" s="5">
        <v>0.31358768114733881</v>
      </c>
      <c r="J75" s="5">
        <v>0.33884314361366408</v>
      </c>
      <c r="K75" s="5">
        <v>0.36994521563791782</v>
      </c>
      <c r="L75" s="5">
        <v>0.3363616189976702</v>
      </c>
      <c r="M75" s="5">
        <v>0.2826946997894374</v>
      </c>
      <c r="N75" s="5">
        <v>0.32793186588100776</v>
      </c>
      <c r="O75" s="5">
        <v>0.29198079312048658</v>
      </c>
      <c r="Q75" s="3" t="s">
        <v>152</v>
      </c>
      <c r="R75" s="3" t="s">
        <v>104</v>
      </c>
      <c r="S75" s="5">
        <v>1.2059900201638727E-2</v>
      </c>
      <c r="T75" s="5">
        <v>2.324746123254327E-2</v>
      </c>
      <c r="U75" s="5">
        <v>1.5569733601044612E-2</v>
      </c>
      <c r="V75" s="5">
        <v>9.2504463094893845E-3</v>
      </c>
      <c r="W75" s="5">
        <v>1.8189376335089429E-2</v>
      </c>
      <c r="X75" s="5">
        <v>1.3627626512844172E-2</v>
      </c>
      <c r="Y75" s="5">
        <v>2.1564718134273748E-2</v>
      </c>
      <c r="Z75" s="5">
        <v>3.5338493547098754E-2</v>
      </c>
      <c r="AA75" s="5">
        <v>1.8258168180646985E-2</v>
      </c>
      <c r="AB75" s="5">
        <v>1.9334673511506306E-2</v>
      </c>
      <c r="AC75" s="5">
        <v>3.1912112471723923E-2</v>
      </c>
      <c r="AD75" s="5">
        <v>2.6682389357959361E-2</v>
      </c>
      <c r="AF75" s="3" t="s">
        <v>152</v>
      </c>
      <c r="AG75" s="3" t="s">
        <v>105</v>
      </c>
      <c r="AH75" s="5">
        <v>2.4810799694465355E-2</v>
      </c>
      <c r="AI75" s="5">
        <v>2.2798977403631182E-2</v>
      </c>
      <c r="AJ75" s="5">
        <v>2.4309468685856279E-2</v>
      </c>
      <c r="AK75" s="5">
        <v>1.957947436197495E-2</v>
      </c>
      <c r="AL75" s="5">
        <v>1.2038733700028852E-2</v>
      </c>
      <c r="AM75" s="5">
        <v>2.2793714502459244E-2</v>
      </c>
      <c r="AN75" s="5">
        <v>2.8264240104524677E-2</v>
      </c>
      <c r="AO75" s="5">
        <v>3.8987138452150918E-2</v>
      </c>
      <c r="AP75" s="5">
        <v>4.5427159788650459E-2</v>
      </c>
      <c r="AQ75" s="5">
        <v>1.8801556901407925E-2</v>
      </c>
      <c r="AR75" s="5">
        <v>3.2196435170163018E-2</v>
      </c>
      <c r="AS75" s="5">
        <v>3.9331827257567481E-2</v>
      </c>
      <c r="AU75" s="3" t="s">
        <v>152</v>
      </c>
      <c r="AV75" s="3" t="s">
        <v>106</v>
      </c>
      <c r="AW75" s="5">
        <v>0.12570227627064159</v>
      </c>
      <c r="AX75" s="5">
        <v>0.126615774165417</v>
      </c>
      <c r="AY75" s="5">
        <v>0.12616795239072601</v>
      </c>
      <c r="AZ75" s="5">
        <v>0.16157975861096524</v>
      </c>
      <c r="BA75" s="4">
        <v>0.16057878706417283</v>
      </c>
      <c r="BB75" s="5">
        <v>0.15905594602977022</v>
      </c>
      <c r="BC75" s="5">
        <v>0.17926869232132445</v>
      </c>
      <c r="BD75" s="5">
        <v>0.18257416280351793</v>
      </c>
      <c r="BE75" s="5">
        <v>0.16014417131705896</v>
      </c>
      <c r="BF75" s="5">
        <v>0.12687757343405776</v>
      </c>
      <c r="BG75" s="5">
        <v>0.12639087042214381</v>
      </c>
      <c r="BH75" s="4">
        <v>0.10792412359238401</v>
      </c>
      <c r="BR75" s="3" t="s">
        <v>152</v>
      </c>
      <c r="BS75" s="5">
        <v>0.51586744826312492</v>
      </c>
      <c r="BT75" s="5">
        <v>0.49966378278758389</v>
      </c>
      <c r="BU75" s="4">
        <v>0.52226098091700579</v>
      </c>
      <c r="BV75" s="5">
        <v>0.42571986045591298</v>
      </c>
      <c r="BW75" s="5">
        <v>0.45396260580816367</v>
      </c>
      <c r="BX75" s="5">
        <v>0.42463019886579734</v>
      </c>
      <c r="BY75" s="5">
        <v>0.28281384272282328</v>
      </c>
      <c r="BZ75" s="5">
        <v>0.2617111486574783</v>
      </c>
      <c r="CA75" s="5">
        <v>0.30016719866199082</v>
      </c>
      <c r="CB75" s="4">
        <v>0.47570469366441032</v>
      </c>
      <c r="CC75" s="5">
        <v>0.44654950995253495</v>
      </c>
      <c r="CD75" s="5">
        <v>0.47450351868223217</v>
      </c>
      <c r="CF75" s="3" t="s">
        <v>175</v>
      </c>
      <c r="CG75" s="3" t="s">
        <v>112</v>
      </c>
      <c r="CH75" s="3" t="s">
        <v>113</v>
      </c>
      <c r="CI75" s="5">
        <v>0.77583774845161269</v>
      </c>
    </row>
    <row r="76" spans="2:87" x14ac:dyDescent="0.45">
      <c r="B76" s="6" t="s">
        <v>154</v>
      </c>
      <c r="C76" s="6" t="s">
        <v>103</v>
      </c>
      <c r="D76" s="8">
        <v>0.22785795263709469</v>
      </c>
      <c r="E76" s="8">
        <v>0.2430903460434603</v>
      </c>
      <c r="F76" s="8">
        <v>0.23662998223541587</v>
      </c>
      <c r="G76" s="8">
        <v>0.31958170142449832</v>
      </c>
      <c r="H76" s="8">
        <v>0.30358689324699473</v>
      </c>
      <c r="I76" s="8">
        <v>0.29198023438642423</v>
      </c>
      <c r="J76" s="8">
        <v>0.37481403439775296</v>
      </c>
      <c r="K76" s="8">
        <v>0.36511385433810822</v>
      </c>
      <c r="L76" s="8">
        <v>0.36379403766841678</v>
      </c>
      <c r="M76" s="8">
        <v>0.30659825643543054</v>
      </c>
      <c r="N76" s="8">
        <v>0.28520072100886801</v>
      </c>
      <c r="O76" s="8">
        <v>0.292938491525988</v>
      </c>
      <c r="Q76" s="6" t="s">
        <v>154</v>
      </c>
      <c r="R76" s="6" t="s">
        <v>104</v>
      </c>
      <c r="S76" s="8">
        <v>8.2515613964994055E-3</v>
      </c>
      <c r="T76" s="8">
        <v>1.3718265968093753E-2</v>
      </c>
      <c r="U76" s="8">
        <v>9.8441448533403159E-3</v>
      </c>
      <c r="V76" s="8">
        <v>9.0247081299779722E-3</v>
      </c>
      <c r="W76" s="8">
        <v>1.4556525157122666E-2</v>
      </c>
      <c r="X76" s="8">
        <v>1.0552436862412536E-2</v>
      </c>
      <c r="Y76" s="8">
        <v>2.5751532614960795E-2</v>
      </c>
      <c r="Z76" s="8">
        <v>1.3370858997437538E-2</v>
      </c>
      <c r="AA76" s="8">
        <v>2.0595505446655584E-2</v>
      </c>
      <c r="AB76" s="8">
        <v>1.0168111156054331E-2</v>
      </c>
      <c r="AC76" s="8">
        <v>1.5309244704223507E-2</v>
      </c>
      <c r="AD76" s="8">
        <v>2.1477440919375736E-2</v>
      </c>
      <c r="AF76" s="6" t="s">
        <v>154</v>
      </c>
      <c r="AG76" s="6" t="s">
        <v>105</v>
      </c>
      <c r="AH76" s="8">
        <v>1.2457722661693109E-2</v>
      </c>
      <c r="AI76" s="8">
        <v>1.3496713474623952E-2</v>
      </c>
      <c r="AJ76" s="8">
        <v>1.6992037617641582E-2</v>
      </c>
      <c r="AK76" s="8">
        <v>2.1284783063806479E-2</v>
      </c>
      <c r="AL76" s="8">
        <v>1.5025202164221636E-2</v>
      </c>
      <c r="AM76" s="8">
        <v>2.4449072637362526E-2</v>
      </c>
      <c r="AN76" s="8">
        <v>4.5507021680159895E-2</v>
      </c>
      <c r="AO76" s="8">
        <v>1.9557853465657263E-2</v>
      </c>
      <c r="AP76" s="8">
        <v>2.5459083780443089E-2</v>
      </c>
      <c r="AQ76" s="8">
        <v>3.6401359749346662E-2</v>
      </c>
      <c r="AR76" s="8">
        <v>1.6786906425581307E-2</v>
      </c>
      <c r="AS76" s="8">
        <v>1.9459223089686447E-2</v>
      </c>
      <c r="AU76" s="6" t="s">
        <v>154</v>
      </c>
      <c r="AV76" s="6" t="s">
        <v>106</v>
      </c>
      <c r="AW76" s="8">
        <v>0.10348811395417543</v>
      </c>
      <c r="AX76" s="8">
        <v>0.10315528692259987</v>
      </c>
      <c r="AY76" s="8">
        <v>9.6872066332231221E-2</v>
      </c>
      <c r="AZ76" s="8">
        <v>0.16762693627880829</v>
      </c>
      <c r="BA76" s="7">
        <v>0.15545193640978294</v>
      </c>
      <c r="BB76" s="8">
        <v>0.14205134891598084</v>
      </c>
      <c r="BC76" s="8">
        <v>0.17810712139045629</v>
      </c>
      <c r="BD76" s="8">
        <v>0.20570145927923258</v>
      </c>
      <c r="BE76" s="8">
        <v>0.2038987845017135</v>
      </c>
      <c r="BF76" s="8">
        <v>0.1335857352622738</v>
      </c>
      <c r="BG76" s="8">
        <v>0.1267755590859734</v>
      </c>
      <c r="BH76" s="7">
        <v>0.12511664249387169</v>
      </c>
      <c r="BR76" s="6" t="s">
        <v>154</v>
      </c>
      <c r="BS76" s="8">
        <v>0.55871770873919979</v>
      </c>
      <c r="BT76" s="8">
        <v>0.54116720956639008</v>
      </c>
      <c r="BU76" s="7">
        <v>0.56752210348003973</v>
      </c>
      <c r="BV76" s="8">
        <v>0.39348411795921479</v>
      </c>
      <c r="BW76" s="8">
        <v>0.43693470732333783</v>
      </c>
      <c r="BX76" s="8">
        <v>0.43625089230313979</v>
      </c>
      <c r="BY76" s="8">
        <v>0.24958325025371378</v>
      </c>
      <c r="BZ76" s="8">
        <v>0.29491940443371112</v>
      </c>
      <c r="CA76" s="8">
        <v>0.25868015258561561</v>
      </c>
      <c r="CB76" s="7">
        <v>0.42096720455051784</v>
      </c>
      <c r="CC76" s="8">
        <v>0.4631232316995133</v>
      </c>
      <c r="CD76" s="8">
        <v>0.43170464385298707</v>
      </c>
      <c r="CF76" s="6" t="s">
        <v>177</v>
      </c>
      <c r="CG76" s="6" t="s">
        <v>112</v>
      </c>
      <c r="CH76" s="6" t="s">
        <v>113</v>
      </c>
      <c r="CI76" s="8">
        <v>0.75748391759125255</v>
      </c>
    </row>
    <row r="77" spans="2:87" x14ac:dyDescent="0.45">
      <c r="B77" s="3" t="s">
        <v>156</v>
      </c>
      <c r="C77" s="3" t="s">
        <v>103</v>
      </c>
      <c r="D77" s="5">
        <v>0.26129589122370911</v>
      </c>
      <c r="E77" s="5">
        <v>0.29912876679087136</v>
      </c>
      <c r="F77" s="5">
        <v>0.27345265129835644</v>
      </c>
      <c r="G77" s="5">
        <v>0.31362425013410811</v>
      </c>
      <c r="H77" s="5">
        <v>0.34001374764745368</v>
      </c>
      <c r="I77" s="5">
        <v>0.29120968292429433</v>
      </c>
      <c r="J77" s="5">
        <v>0.30620348510254897</v>
      </c>
      <c r="K77" s="5">
        <v>0.36250215522157669</v>
      </c>
      <c r="L77" s="5">
        <v>0.2903716502240396</v>
      </c>
      <c r="M77" s="5">
        <v>0.3143745429228067</v>
      </c>
      <c r="N77" s="5">
        <v>0.35330807958121924</v>
      </c>
      <c r="O77" s="5">
        <v>0.30156810144173313</v>
      </c>
      <c r="Q77" s="3" t="s">
        <v>156</v>
      </c>
      <c r="R77" s="3" t="s">
        <v>104</v>
      </c>
      <c r="S77" s="5">
        <v>1.4974454492595626E-2</v>
      </c>
      <c r="T77" s="5">
        <v>1.7438071691043038E-2</v>
      </c>
      <c r="U77" s="5">
        <v>2.0695936821554219E-2</v>
      </c>
      <c r="V77" s="5">
        <v>1.1917538804008764E-2</v>
      </c>
      <c r="W77" s="5">
        <v>2.3340744531545277E-2</v>
      </c>
      <c r="X77" s="5">
        <v>1.000116843791945E-2</v>
      </c>
      <c r="Y77" s="5">
        <v>1.7781985297163086E-2</v>
      </c>
      <c r="Z77" s="5">
        <v>3.4324850452693706E-2</v>
      </c>
      <c r="AA77" s="5">
        <v>1.6054311308315465E-2</v>
      </c>
      <c r="AB77" s="5">
        <v>1.6997943643003388E-2</v>
      </c>
      <c r="AC77" s="5">
        <v>3.8655805781225877E-2</v>
      </c>
      <c r="AD77" s="5">
        <v>2.0864668477614017E-2</v>
      </c>
      <c r="AF77" s="3" t="s">
        <v>156</v>
      </c>
      <c r="AG77" s="3" t="s">
        <v>105</v>
      </c>
      <c r="AH77" s="5">
        <v>1.8688258179374334E-2</v>
      </c>
      <c r="AI77" s="5">
        <v>2.4424025843240646E-2</v>
      </c>
      <c r="AJ77" s="5">
        <v>2.5845642846819089E-2</v>
      </c>
      <c r="AK77" s="5">
        <v>9.202098310743324E-3</v>
      </c>
      <c r="AL77" s="5">
        <v>2.6905572499372934E-2</v>
      </c>
      <c r="AM77" s="5">
        <v>2.3805344212228165E-2</v>
      </c>
      <c r="AN77" s="5">
        <v>2.2103795302847035E-2</v>
      </c>
      <c r="AO77" s="5">
        <v>3.7412422426306741E-2</v>
      </c>
      <c r="AP77" s="5">
        <v>2.6254304452658452E-2</v>
      </c>
      <c r="AQ77" s="5">
        <v>2.3416972245991874E-2</v>
      </c>
      <c r="AR77" s="5">
        <v>3.9257444974631753E-2</v>
      </c>
      <c r="AS77" s="5">
        <v>3.8082295442933504E-2</v>
      </c>
      <c r="AU77" s="3" t="s">
        <v>156</v>
      </c>
      <c r="AV77" s="3" t="s">
        <v>106</v>
      </c>
      <c r="AW77" s="5">
        <v>0.12574324083603886</v>
      </c>
      <c r="AX77" s="5">
        <v>0.14752039293544217</v>
      </c>
      <c r="AY77" s="5">
        <v>0.1209311023898704</v>
      </c>
      <c r="AZ77" s="5">
        <v>0.1712000323229205</v>
      </c>
      <c r="BA77" s="4">
        <v>0.16186414180997316</v>
      </c>
      <c r="BB77" s="5">
        <v>0.15098995506823457</v>
      </c>
      <c r="BC77" s="5">
        <v>0.16271005995770838</v>
      </c>
      <c r="BD77" s="5">
        <v>0.1693025455975801</v>
      </c>
      <c r="BE77" s="5">
        <v>0.14539508852718536</v>
      </c>
      <c r="BF77" s="5">
        <v>0.15723246278556072</v>
      </c>
      <c r="BG77" s="5">
        <v>0.14803750556630016</v>
      </c>
      <c r="BH77" s="4">
        <v>0.13430673748560684</v>
      </c>
      <c r="BR77" s="3" t="s">
        <v>156</v>
      </c>
      <c r="BS77" s="5">
        <v>0.47853185688981154</v>
      </c>
      <c r="BT77" s="5">
        <v>0.45392340511229867</v>
      </c>
      <c r="BU77" s="4">
        <v>0.48737865362664279</v>
      </c>
      <c r="BV77" s="5">
        <v>0.39379479517066701</v>
      </c>
      <c r="BW77" s="5">
        <v>0.41094809571232382</v>
      </c>
      <c r="BX77" s="5">
        <v>0.41486232670764889</v>
      </c>
      <c r="BY77" s="5">
        <v>0.27053666266563992</v>
      </c>
      <c r="BZ77" s="5">
        <v>0.26587881765598781</v>
      </c>
      <c r="CA77" s="5">
        <v>0.29917037413365516</v>
      </c>
      <c r="CB77" s="4">
        <v>0.39641816296117544</v>
      </c>
      <c r="CC77" s="5">
        <v>0.38295458180824915</v>
      </c>
      <c r="CD77" s="5">
        <v>0.41174039328521367</v>
      </c>
      <c r="CF77" s="3" t="s">
        <v>179</v>
      </c>
      <c r="CG77" s="3" t="s">
        <v>112</v>
      </c>
      <c r="CH77" s="3" t="s">
        <v>113</v>
      </c>
      <c r="CI77" s="5">
        <v>0.65150074779991929</v>
      </c>
    </row>
    <row r="78" spans="2:87" x14ac:dyDescent="0.45">
      <c r="B78" s="6" t="s">
        <v>158</v>
      </c>
      <c r="C78" s="6" t="s">
        <v>103</v>
      </c>
      <c r="D78" s="8">
        <v>0.2258164988062267</v>
      </c>
      <c r="E78" s="8">
        <v>0.25237741640812994</v>
      </c>
      <c r="F78" s="8">
        <v>0.24329979556730516</v>
      </c>
      <c r="G78" s="8">
        <v>0.28474801949431833</v>
      </c>
      <c r="H78" s="8">
        <v>0.27036810477405482</v>
      </c>
      <c r="I78" s="8">
        <v>0.25952999060177623</v>
      </c>
      <c r="J78" s="8">
        <v>0.34248012865520788</v>
      </c>
      <c r="K78" s="8">
        <v>0.34557811195456495</v>
      </c>
      <c r="L78" s="8">
        <v>0.30874969947595055</v>
      </c>
      <c r="M78" s="8">
        <v>0.29683018741946771</v>
      </c>
      <c r="N78" s="8">
        <v>0.30184359026634189</v>
      </c>
      <c r="O78" s="8">
        <v>0.29725195303630347</v>
      </c>
      <c r="Q78" s="6" t="s">
        <v>158</v>
      </c>
      <c r="R78" s="6" t="s">
        <v>104</v>
      </c>
      <c r="S78" s="8">
        <v>9.1265175983041413E-3</v>
      </c>
      <c r="T78" s="8">
        <v>2.2287947866771587E-2</v>
      </c>
      <c r="U78" s="8">
        <v>9.6381817925640604E-3</v>
      </c>
      <c r="V78" s="8">
        <v>1.6289426463842595E-2</v>
      </c>
      <c r="W78" s="8">
        <v>1.2386050629545776E-2</v>
      </c>
      <c r="X78" s="8">
        <v>1.1271792982346913E-2</v>
      </c>
      <c r="Y78" s="8">
        <v>2.0447616461679419E-2</v>
      </c>
      <c r="Z78" s="8">
        <v>2.6322999480938223E-2</v>
      </c>
      <c r="AA78" s="8">
        <v>1.7360981720665802E-2</v>
      </c>
      <c r="AB78" s="8">
        <v>1.5944853577144681E-2</v>
      </c>
      <c r="AC78" s="8">
        <v>2.194597889018407E-2</v>
      </c>
      <c r="AD78" s="8">
        <v>1.3575234508202997E-2</v>
      </c>
      <c r="AF78" s="6" t="s">
        <v>158</v>
      </c>
      <c r="AG78" s="6" t="s">
        <v>105</v>
      </c>
      <c r="AH78" s="8">
        <v>8.7702070741556542E-3</v>
      </c>
      <c r="AI78" s="8">
        <v>2.1560115381764076E-2</v>
      </c>
      <c r="AJ78" s="8">
        <v>2.0244645007174215E-2</v>
      </c>
      <c r="AK78" s="8">
        <v>1.9352352392496549E-2</v>
      </c>
      <c r="AL78" s="8">
        <v>1.9995658207276085E-2</v>
      </c>
      <c r="AM78" s="8">
        <v>1.0215587995884037E-2</v>
      </c>
      <c r="AN78" s="8">
        <v>3.3344706343281502E-2</v>
      </c>
      <c r="AO78" s="8">
        <v>3.739594628961903E-2</v>
      </c>
      <c r="AP78" s="8">
        <v>1.6626173058441645E-2</v>
      </c>
      <c r="AQ78" s="8">
        <v>2.1427742831189683E-2</v>
      </c>
      <c r="AR78" s="8">
        <v>2.9210483808163532E-2</v>
      </c>
      <c r="AS78" s="8">
        <v>2.055401488174418E-2</v>
      </c>
      <c r="AU78" s="6" t="s">
        <v>158</v>
      </c>
      <c r="AV78" s="6" t="s">
        <v>106</v>
      </c>
      <c r="AW78" s="8">
        <v>0.10745368016398965</v>
      </c>
      <c r="AX78" s="8">
        <v>9.2614472934950814E-2</v>
      </c>
      <c r="AY78" s="8">
        <v>0.10220602323651713</v>
      </c>
      <c r="AZ78" s="8">
        <v>0.11539571665541733</v>
      </c>
      <c r="BA78" s="7">
        <v>0.11251047300186523</v>
      </c>
      <c r="BB78" s="8">
        <v>0.12100864776099407</v>
      </c>
      <c r="BC78" s="8">
        <v>0.16426778743699025</v>
      </c>
      <c r="BD78" s="8">
        <v>0.15646583859939972</v>
      </c>
      <c r="BE78" s="8">
        <v>0.16102617278778411</v>
      </c>
      <c r="BF78" s="8">
        <v>0.13606364024324333</v>
      </c>
      <c r="BG78" s="8">
        <v>0.12318178840971972</v>
      </c>
      <c r="BH78" s="7">
        <v>0.13634130069124586</v>
      </c>
      <c r="BR78" s="6" t="s">
        <v>158</v>
      </c>
      <c r="BS78" s="8">
        <v>0.5847983395561307</v>
      </c>
      <c r="BT78" s="8">
        <v>0.56849545754153119</v>
      </c>
      <c r="BU78" s="7">
        <v>0.58653047053755458</v>
      </c>
      <c r="BV78" s="8">
        <v>0.51139124498893362</v>
      </c>
      <c r="BW78" s="8">
        <v>0.54080958270173263</v>
      </c>
      <c r="BX78" s="8">
        <v>0.52511906041238499</v>
      </c>
      <c r="BY78" s="8">
        <v>0.34425982065899097</v>
      </c>
      <c r="BZ78" s="8">
        <v>0.33986180113977682</v>
      </c>
      <c r="CA78" s="8">
        <v>0.36219675972569648</v>
      </c>
      <c r="CB78" s="7">
        <v>0.46901823762954342</v>
      </c>
      <c r="CC78" s="8">
        <v>0.49684090327442876</v>
      </c>
      <c r="CD78" s="8">
        <v>0.49054326180903868</v>
      </c>
      <c r="CF78" s="6" t="s">
        <v>180</v>
      </c>
      <c r="CG78" s="6" t="s">
        <v>112</v>
      </c>
      <c r="CH78" s="6" t="s">
        <v>113</v>
      </c>
      <c r="CI78" s="8">
        <v>0.6028126717120319</v>
      </c>
    </row>
    <row r="79" spans="2:87" x14ac:dyDescent="0.45">
      <c r="B79" s="3" t="s">
        <v>160</v>
      </c>
      <c r="C79" s="3" t="s">
        <v>103</v>
      </c>
      <c r="D79" s="5">
        <v>0.27819200655802939</v>
      </c>
      <c r="E79" s="5">
        <v>0.29180071484627196</v>
      </c>
      <c r="F79" s="5">
        <v>0.2746912806532727</v>
      </c>
      <c r="G79" s="5">
        <v>0.32083338122505101</v>
      </c>
      <c r="H79" s="5">
        <v>0.31918965414566053</v>
      </c>
      <c r="I79" s="5">
        <v>0.29793078497294057</v>
      </c>
      <c r="J79" s="5">
        <v>0.38816576639879113</v>
      </c>
      <c r="K79" s="5">
        <v>0.37655928419202339</v>
      </c>
      <c r="L79" s="5">
        <v>0.34366991375817413</v>
      </c>
      <c r="M79" s="5">
        <v>0.29177989822033878</v>
      </c>
      <c r="N79" s="5">
        <v>0.31771536913225085</v>
      </c>
      <c r="O79" s="5">
        <v>0.30723111696370109</v>
      </c>
      <c r="Q79" s="3" t="s">
        <v>160</v>
      </c>
      <c r="R79" s="3" t="s">
        <v>104</v>
      </c>
      <c r="S79" s="5">
        <v>1.5761840915029506E-2</v>
      </c>
      <c r="T79" s="5">
        <v>1.5515895528271324E-2</v>
      </c>
      <c r="U79" s="5">
        <v>1.8343038354376368E-2</v>
      </c>
      <c r="V79" s="5">
        <v>1.8356364240398347E-2</v>
      </c>
      <c r="W79" s="5">
        <v>2.0948118948520354E-2</v>
      </c>
      <c r="X79" s="5">
        <v>5.3733176405280766E-3</v>
      </c>
      <c r="Y79" s="5">
        <v>2.4160767764019049E-2</v>
      </c>
      <c r="Z79" s="5">
        <v>1.9670491515609023E-2</v>
      </c>
      <c r="AA79" s="5">
        <v>1.8506990633275183E-2</v>
      </c>
      <c r="AB79" s="5">
        <v>2.6244262451396529E-2</v>
      </c>
      <c r="AC79" s="5">
        <v>4.0833340433634562E-2</v>
      </c>
      <c r="AD79" s="5">
        <v>1.219848460306229E-2</v>
      </c>
      <c r="AF79" s="3" t="s">
        <v>160</v>
      </c>
      <c r="AG79" s="3" t="s">
        <v>105</v>
      </c>
      <c r="AH79" s="5">
        <v>3.044670630201796E-2</v>
      </c>
      <c r="AI79" s="5">
        <v>2.3037435183135047E-2</v>
      </c>
      <c r="AJ79" s="5">
        <v>1.1042982809491505E-2</v>
      </c>
      <c r="AK79" s="5">
        <v>1.4459767785244963E-2</v>
      </c>
      <c r="AL79" s="5">
        <v>2.897754098348361E-2</v>
      </c>
      <c r="AM79" s="5">
        <v>9.4845595273405029E-3</v>
      </c>
      <c r="AN79" s="5">
        <v>4.5470274467506532E-2</v>
      </c>
      <c r="AO79" s="5">
        <v>3.9607446478302721E-2</v>
      </c>
      <c r="AP79" s="5">
        <v>1.3377202806585154E-2</v>
      </c>
      <c r="AQ79" s="5">
        <v>2.5225458785208037E-2</v>
      </c>
      <c r="AR79" s="5">
        <v>5.7722919113491596E-2</v>
      </c>
      <c r="AS79" s="5">
        <v>2.8491964670480971E-2</v>
      </c>
      <c r="AU79" s="3" t="s">
        <v>160</v>
      </c>
      <c r="AV79" s="3" t="s">
        <v>106</v>
      </c>
      <c r="AW79" s="5">
        <v>0.11957244757605381</v>
      </c>
      <c r="AX79" s="5">
        <v>0.14026637095439237</v>
      </c>
      <c r="AY79" s="5">
        <v>0.13355587669165719</v>
      </c>
      <c r="AZ79" s="5">
        <v>0.16909295459353574</v>
      </c>
      <c r="BA79" s="4">
        <v>0.13998166375680526</v>
      </c>
      <c r="BB79" s="5">
        <v>0.1718856778422676</v>
      </c>
      <c r="BC79" s="5">
        <v>0.18335196015087063</v>
      </c>
      <c r="BD79" s="5">
        <v>0.18986240488650016</v>
      </c>
      <c r="BE79" s="5">
        <v>0.21224929557502456</v>
      </c>
      <c r="BF79" s="5">
        <v>0.13828774474575992</v>
      </c>
      <c r="BG79" s="5">
        <v>9.8468682348388334E-2</v>
      </c>
      <c r="BH79" s="4">
        <v>0.14347018424369559</v>
      </c>
      <c r="BR79" s="3" t="s">
        <v>160</v>
      </c>
      <c r="BS79" s="5">
        <v>0.48926779535005543</v>
      </c>
      <c r="BT79" s="5">
        <v>0.48647090371708623</v>
      </c>
      <c r="BU79" s="4">
        <v>0.50315599409319534</v>
      </c>
      <c r="BV79" s="5">
        <v>0.3891559293110084</v>
      </c>
      <c r="BW79" s="5">
        <v>0.44701376933807907</v>
      </c>
      <c r="BX79" s="5">
        <v>0.40673102460123878</v>
      </c>
      <c r="BY79" s="5">
        <v>0.2194432755623624</v>
      </c>
      <c r="BZ79" s="5">
        <v>0.25359510583924993</v>
      </c>
      <c r="CA79" s="5">
        <v>0.25495237984027908</v>
      </c>
      <c r="CB79" s="4">
        <v>0.37552516901099287</v>
      </c>
      <c r="CC79" s="5">
        <v>0.40833860785587539</v>
      </c>
      <c r="CD79" s="5">
        <v>0.39852912397031809</v>
      </c>
      <c r="CF79" s="3" t="s">
        <v>181</v>
      </c>
      <c r="CG79" s="3" t="s">
        <v>112</v>
      </c>
      <c r="CH79" s="3" t="s">
        <v>113</v>
      </c>
      <c r="CI79" s="5">
        <v>0.68580071529483777</v>
      </c>
    </row>
    <row r="80" spans="2:87" x14ac:dyDescent="0.45">
      <c r="B80" s="6" t="s">
        <v>162</v>
      </c>
      <c r="C80" s="6" t="s">
        <v>103</v>
      </c>
      <c r="D80" s="8">
        <v>0.2122711459714173</v>
      </c>
      <c r="E80" s="8">
        <v>0.22067411229016956</v>
      </c>
      <c r="F80" s="8">
        <v>0.20465387869018034</v>
      </c>
      <c r="G80" s="8">
        <v>0.27645382771966442</v>
      </c>
      <c r="H80" s="8">
        <v>0.26112386594038317</v>
      </c>
      <c r="I80" s="8">
        <v>0.26681344553321446</v>
      </c>
      <c r="J80" s="8">
        <v>0.35904862366095391</v>
      </c>
      <c r="K80" s="8">
        <v>0.34790353243879202</v>
      </c>
      <c r="L80" s="8">
        <v>0.33767522403646755</v>
      </c>
      <c r="M80" s="8">
        <v>0.27369878455688523</v>
      </c>
      <c r="N80" s="8">
        <v>0.26743990436185211</v>
      </c>
      <c r="O80" s="8">
        <v>0.26047821756294343</v>
      </c>
      <c r="Q80" s="6" t="s">
        <v>162</v>
      </c>
      <c r="R80" s="6" t="s">
        <v>104</v>
      </c>
      <c r="S80" s="8">
        <v>1.1079501105084235E-2</v>
      </c>
      <c r="T80" s="8">
        <v>1.4144268646990024E-2</v>
      </c>
      <c r="U80" s="8">
        <v>1.5344407746738687E-2</v>
      </c>
      <c r="V80" s="8">
        <v>1.4237277522726598E-2</v>
      </c>
      <c r="W80" s="8">
        <v>1.4740129771294156E-2</v>
      </c>
      <c r="X80" s="8">
        <v>1.0249594638633126E-2</v>
      </c>
      <c r="Y80" s="8">
        <v>2.0813311419923364E-2</v>
      </c>
      <c r="Z80" s="8">
        <v>1.3901487969708314E-2</v>
      </c>
      <c r="AA80" s="8">
        <v>3.1148110896473173E-2</v>
      </c>
      <c r="AB80" s="8">
        <v>1.8738929977014981E-2</v>
      </c>
      <c r="AC80" s="8">
        <v>1.8006781115639272E-2</v>
      </c>
      <c r="AD80" s="8">
        <v>2.4231490751871542E-2</v>
      </c>
      <c r="AF80" s="6" t="s">
        <v>162</v>
      </c>
      <c r="AG80" s="6" t="s">
        <v>105</v>
      </c>
      <c r="AH80" s="8">
        <v>1.9686416453905703E-2</v>
      </c>
      <c r="AI80" s="8">
        <v>1.0630407138237909E-2</v>
      </c>
      <c r="AJ80" s="8">
        <v>1.1232585788801997E-2</v>
      </c>
      <c r="AK80" s="8">
        <v>1.9375649295930601E-2</v>
      </c>
      <c r="AL80" s="8">
        <v>1.9614455945231538E-2</v>
      </c>
      <c r="AM80" s="8">
        <v>1.1939619355120215E-2</v>
      </c>
      <c r="AN80" s="8">
        <v>4.3156641766756099E-2</v>
      </c>
      <c r="AO80" s="8">
        <v>1.3479400838005497E-2</v>
      </c>
      <c r="AP80" s="8">
        <v>2.9297181134899191E-2</v>
      </c>
      <c r="AQ80" s="8">
        <v>3.2698278969594506E-2</v>
      </c>
      <c r="AR80" s="8">
        <v>2.596238398009389E-2</v>
      </c>
      <c r="AS80" s="8">
        <v>2.4152382551452304E-2</v>
      </c>
      <c r="AU80" s="6" t="s">
        <v>162</v>
      </c>
      <c r="AV80" s="6" t="s">
        <v>106</v>
      </c>
      <c r="AW80" s="8">
        <v>8.1321534055664391E-2</v>
      </c>
      <c r="AX80" s="8">
        <v>8.9395012930858414E-2</v>
      </c>
      <c r="AY80" s="8">
        <v>7.9984953987420948E-2</v>
      </c>
      <c r="AZ80" s="8">
        <v>0.12277285457349571</v>
      </c>
      <c r="BA80" s="7">
        <v>0.11274234656792444</v>
      </c>
      <c r="BB80" s="8">
        <v>0.13327557430805598</v>
      </c>
      <c r="BC80" s="8">
        <v>0.17763639857777691</v>
      </c>
      <c r="BD80" s="8">
        <v>0.19974475355299862</v>
      </c>
      <c r="BE80" s="8">
        <v>0.16792574604448834</v>
      </c>
      <c r="BF80" s="8">
        <v>0.1069801421582675</v>
      </c>
      <c r="BG80" s="8">
        <v>0.11495183612295212</v>
      </c>
      <c r="BH80" s="7">
        <v>0.11111353819691158</v>
      </c>
      <c r="BR80" s="6" t="s">
        <v>162</v>
      </c>
      <c r="BS80" s="8">
        <v>0.58378653125032232</v>
      </c>
      <c r="BT80" s="8">
        <v>0.58879515352957823</v>
      </c>
      <c r="BU80" s="7">
        <v>0.6144731858068414</v>
      </c>
      <c r="BV80" s="8">
        <v>0.45590810433794965</v>
      </c>
      <c r="BW80" s="8">
        <v>0.50363274005720549</v>
      </c>
      <c r="BX80" s="8">
        <v>0.47088942671532252</v>
      </c>
      <c r="BY80" s="8">
        <v>0.27329400648606966</v>
      </c>
      <c r="BZ80" s="8">
        <v>0.30066643546183142</v>
      </c>
      <c r="CA80" s="8">
        <v>0.26985394036047561</v>
      </c>
      <c r="CB80" s="7">
        <v>0.43849509478260329</v>
      </c>
      <c r="CC80" s="8">
        <v>0.47155709880894431</v>
      </c>
      <c r="CD80" s="8">
        <v>0.43239145391701606</v>
      </c>
      <c r="CF80" s="6" t="s">
        <v>182</v>
      </c>
      <c r="CG80" s="6" t="s">
        <v>112</v>
      </c>
      <c r="CH80" s="6" t="s">
        <v>113</v>
      </c>
      <c r="CI80" s="8">
        <v>0.67789529161610296</v>
      </c>
    </row>
    <row r="81" spans="2:87" x14ac:dyDescent="0.45">
      <c r="B81" s="3" t="s">
        <v>164</v>
      </c>
      <c r="C81" s="3" t="s">
        <v>103</v>
      </c>
      <c r="D81" s="5">
        <v>0.30910765024651543</v>
      </c>
      <c r="E81" s="5">
        <v>0.31181784625286957</v>
      </c>
      <c r="F81" s="5">
        <v>0.32015539089213996</v>
      </c>
      <c r="G81" s="5">
        <v>0.38585096216914372</v>
      </c>
      <c r="H81" s="5">
        <v>0.34432948826108994</v>
      </c>
      <c r="I81" s="5">
        <v>0.36990707527580663</v>
      </c>
      <c r="J81" s="5">
        <v>0.41859380751722186</v>
      </c>
      <c r="K81" s="5">
        <v>0.41002829765495319</v>
      </c>
      <c r="L81" s="5">
        <v>0.39071454038344322</v>
      </c>
      <c r="M81" s="5">
        <v>0.33253503138502233</v>
      </c>
      <c r="N81" s="5">
        <v>0.321885296691718</v>
      </c>
      <c r="O81" s="5">
        <v>0.31465474029172724</v>
      </c>
      <c r="Q81" s="3" t="s">
        <v>164</v>
      </c>
      <c r="R81" s="3" t="s">
        <v>104</v>
      </c>
      <c r="S81" s="5">
        <v>1.0208584196344355E-2</v>
      </c>
      <c r="T81" s="5">
        <v>2.5228967950630513E-2</v>
      </c>
      <c r="U81" s="5">
        <v>1.5635269706811845E-2</v>
      </c>
      <c r="V81" s="5">
        <v>1.4296264977341183E-2</v>
      </c>
      <c r="W81" s="5">
        <v>2.8503570051565369E-2</v>
      </c>
      <c r="X81" s="5">
        <v>3.3104964784283507E-2</v>
      </c>
      <c r="Y81" s="5">
        <v>3.2904556054004885E-2</v>
      </c>
      <c r="Z81" s="5">
        <v>2.5204135765901112E-2</v>
      </c>
      <c r="AA81" s="5">
        <v>1.5313654048961782E-2</v>
      </c>
      <c r="AB81" s="5">
        <v>3.4016361312089162E-2</v>
      </c>
      <c r="AC81" s="5">
        <v>2.5649404444559296E-2</v>
      </c>
      <c r="AD81" s="5">
        <v>1.8859584104346617E-2</v>
      </c>
      <c r="AF81" s="3" t="s">
        <v>164</v>
      </c>
      <c r="AG81" s="3" t="s">
        <v>105</v>
      </c>
      <c r="AH81" s="5">
        <v>1.4175781514920176E-2</v>
      </c>
      <c r="AI81" s="5">
        <v>2.4080968942049832E-2</v>
      </c>
      <c r="AJ81" s="5">
        <v>2.9934186838178455E-2</v>
      </c>
      <c r="AK81" s="5">
        <v>4.0540638770907376E-2</v>
      </c>
      <c r="AL81" s="5">
        <v>1.4252106829035854E-2</v>
      </c>
      <c r="AM81" s="5">
        <v>4.6677851611765471E-2</v>
      </c>
      <c r="AN81" s="5">
        <v>3.5405540694314931E-2</v>
      </c>
      <c r="AO81" s="5">
        <v>5.0119652247681334E-2</v>
      </c>
      <c r="AP81" s="5">
        <v>4.566996340355077E-2</v>
      </c>
      <c r="AQ81" s="5">
        <v>3.4771077439033751E-2</v>
      </c>
      <c r="AR81" s="5">
        <v>2.7141368505443554E-2</v>
      </c>
      <c r="AS81" s="5">
        <v>3.3455401916248233E-2</v>
      </c>
      <c r="AU81" s="3" t="s">
        <v>164</v>
      </c>
      <c r="AV81" s="3" t="s">
        <v>106</v>
      </c>
      <c r="AW81" s="5">
        <v>0.14918993239685596</v>
      </c>
      <c r="AX81" s="5">
        <v>0.12673677842896988</v>
      </c>
      <c r="AY81" s="5">
        <v>0.13512147257548246</v>
      </c>
      <c r="AZ81" s="5">
        <v>0.1930872404016982</v>
      </c>
      <c r="BA81" s="4">
        <v>0.17897393504823589</v>
      </c>
      <c r="BB81" s="5">
        <v>0.15745281695312341</v>
      </c>
      <c r="BC81" s="5">
        <v>0.2190352665641051</v>
      </c>
      <c r="BD81" s="5">
        <v>0.20702376031937667</v>
      </c>
      <c r="BE81" s="5">
        <v>0.22315006051978228</v>
      </c>
      <c r="BF81" s="5">
        <v>0.13402269984768037</v>
      </c>
      <c r="BG81" s="5">
        <v>0.13669641175567382</v>
      </c>
      <c r="BH81" s="4">
        <v>0.13646274258586327</v>
      </c>
      <c r="BR81" s="3" t="s">
        <v>164</v>
      </c>
      <c r="BS81" s="5">
        <v>0.49561864898203278</v>
      </c>
      <c r="BT81" s="5">
        <v>0.46820534308856088</v>
      </c>
      <c r="BU81" s="4">
        <v>0.48260504363454676</v>
      </c>
      <c r="BV81" s="5">
        <v>0.32094391173434234</v>
      </c>
      <c r="BW81" s="5">
        <v>0.37242571927575252</v>
      </c>
      <c r="BX81" s="5">
        <v>0.33440701076650603</v>
      </c>
      <c r="BY81" s="5">
        <v>0.15786377147246106</v>
      </c>
      <c r="BZ81" s="5">
        <v>0.22469751546436625</v>
      </c>
      <c r="CA81" s="5">
        <v>0.17849310949685751</v>
      </c>
      <c r="CB81" s="4">
        <v>0.38009081023066427</v>
      </c>
      <c r="CC81" s="5">
        <v>0.41318691961609672</v>
      </c>
      <c r="CD81" s="5">
        <v>0.39229814741584013</v>
      </c>
      <c r="CF81" s="3" t="s">
        <v>183</v>
      </c>
      <c r="CG81" s="3" t="s">
        <v>112</v>
      </c>
      <c r="CH81" s="3" t="s">
        <v>113</v>
      </c>
      <c r="CI81" s="5">
        <v>0.55387500542082579</v>
      </c>
    </row>
    <row r="82" spans="2:87" x14ac:dyDescent="0.45">
      <c r="B82" s="6" t="s">
        <v>166</v>
      </c>
      <c r="C82" s="6" t="s">
        <v>103</v>
      </c>
      <c r="D82" s="8">
        <v>0.24654884406214175</v>
      </c>
      <c r="E82" s="8">
        <v>0.2766215375885514</v>
      </c>
      <c r="F82" s="8">
        <v>0.26225660011746343</v>
      </c>
      <c r="G82" s="8">
        <v>0.28789800986321834</v>
      </c>
      <c r="H82" s="8">
        <v>0.31438005024068127</v>
      </c>
      <c r="I82" s="8">
        <v>0.27870818976956069</v>
      </c>
      <c r="J82" s="8">
        <v>0.30669319962055558</v>
      </c>
      <c r="K82" s="8">
        <v>0.3367922931956745</v>
      </c>
      <c r="L82" s="8">
        <v>0.27699714270811465</v>
      </c>
      <c r="M82" s="8">
        <v>0.31963169964512533</v>
      </c>
      <c r="N82" s="8">
        <v>0.31543958302831787</v>
      </c>
      <c r="O82" s="8">
        <v>0.29890265631340945</v>
      </c>
      <c r="Q82" s="6" t="s">
        <v>166</v>
      </c>
      <c r="R82" s="6" t="s">
        <v>104</v>
      </c>
      <c r="S82" s="8">
        <v>1.4240522911394693E-2</v>
      </c>
      <c r="T82" s="8">
        <v>1.91980154775011E-2</v>
      </c>
      <c r="U82" s="8">
        <v>2.3872560544877932E-2</v>
      </c>
      <c r="V82" s="8">
        <v>1.5965076375119479E-2</v>
      </c>
      <c r="W82" s="8">
        <v>1.4802292146937899E-2</v>
      </c>
      <c r="X82" s="8">
        <v>1.3965587687953002E-2</v>
      </c>
      <c r="Y82" s="8">
        <v>2.9417163504931575E-2</v>
      </c>
      <c r="Z82" s="8">
        <v>2.7073970462416812E-2</v>
      </c>
      <c r="AA82" s="8">
        <v>1.6923945204579537E-2</v>
      </c>
      <c r="AB82" s="8">
        <v>1.9272014484112886E-2</v>
      </c>
      <c r="AC82" s="8">
        <v>3.1830291788163594E-2</v>
      </c>
      <c r="AD82" s="8">
        <v>2.0306274540381156E-2</v>
      </c>
      <c r="AF82" s="6" t="s">
        <v>166</v>
      </c>
      <c r="AG82" s="6" t="s">
        <v>105</v>
      </c>
      <c r="AH82" s="8">
        <v>2.0111984431639106E-2</v>
      </c>
      <c r="AI82" s="8">
        <v>2.4914340587132152E-2</v>
      </c>
      <c r="AJ82" s="8">
        <v>2.1719218880753247E-2</v>
      </c>
      <c r="AK82" s="8">
        <v>1.1132744503160404E-2</v>
      </c>
      <c r="AL82" s="8">
        <v>2.6153207674853671E-2</v>
      </c>
      <c r="AM82" s="8">
        <v>1.4930952634726265E-2</v>
      </c>
      <c r="AN82" s="8">
        <v>3.1629719519872895E-2</v>
      </c>
      <c r="AO82" s="8">
        <v>3.5368555083841929E-2</v>
      </c>
      <c r="AP82" s="8">
        <v>1.926636513536124E-2</v>
      </c>
      <c r="AQ82" s="8">
        <v>2.0119675375005072E-2</v>
      </c>
      <c r="AR82" s="8">
        <v>3.5984922196301783E-2</v>
      </c>
      <c r="AS82" s="8">
        <v>3.4692423074161198E-2</v>
      </c>
      <c r="AU82" s="6" t="s">
        <v>166</v>
      </c>
      <c r="AV82" s="6" t="s">
        <v>106</v>
      </c>
      <c r="AW82" s="8">
        <v>0.1053163423200032</v>
      </c>
      <c r="AX82" s="8">
        <v>0.1211062566802751</v>
      </c>
      <c r="AY82" s="8">
        <v>0.10655309918385775</v>
      </c>
      <c r="AZ82" s="8">
        <v>0.13998887074807137</v>
      </c>
      <c r="BA82" s="7">
        <v>0.14782626322409223</v>
      </c>
      <c r="BB82" s="8">
        <v>0.13530411732875927</v>
      </c>
      <c r="BC82" s="8">
        <v>0.12974732538770514</v>
      </c>
      <c r="BD82" s="8">
        <v>0.14957853474799795</v>
      </c>
      <c r="BE82" s="8">
        <v>0.13930798599735342</v>
      </c>
      <c r="BF82" s="8">
        <v>0.15157461551560472</v>
      </c>
      <c r="BG82" s="8">
        <v>0.12724523931880621</v>
      </c>
      <c r="BH82" s="7">
        <v>0.12596526655941045</v>
      </c>
      <c r="BR82" s="6" t="s">
        <v>166</v>
      </c>
      <c r="BS82" s="8">
        <v>0.51794394040349023</v>
      </c>
      <c r="BT82" s="8">
        <v>0.49106801694432201</v>
      </c>
      <c r="BU82" s="7">
        <v>0.51423306925852508</v>
      </c>
      <c r="BV82" s="8">
        <v>0.44763565370047903</v>
      </c>
      <c r="BW82" s="8">
        <v>0.44828739108133858</v>
      </c>
      <c r="BX82" s="8">
        <v>0.4575933237819772</v>
      </c>
      <c r="BY82" s="8">
        <v>0.31113019541937997</v>
      </c>
      <c r="BZ82" s="8">
        <v>0.3073214904433626</v>
      </c>
      <c r="CA82" s="8">
        <v>0.33739758260660763</v>
      </c>
      <c r="CB82" s="7">
        <v>0.42470602273986008</v>
      </c>
      <c r="CC82" s="8">
        <v>0.43398863597474807</v>
      </c>
      <c r="CD82" s="8">
        <v>0.45204604505092671</v>
      </c>
      <c r="CF82" s="6" t="s">
        <v>184</v>
      </c>
      <c r="CG82" s="6" t="s">
        <v>112</v>
      </c>
      <c r="CH82" s="6" t="s">
        <v>113</v>
      </c>
      <c r="CI82" s="8">
        <v>0.61195511522582147</v>
      </c>
    </row>
    <row r="83" spans="2:87" x14ac:dyDescent="0.45">
      <c r="B83" s="3" t="s">
        <v>168</v>
      </c>
      <c r="C83" s="3" t="s">
        <v>103</v>
      </c>
      <c r="D83" s="5">
        <v>0.27227389992918632</v>
      </c>
      <c r="E83" s="5">
        <v>0.27448524295389765</v>
      </c>
      <c r="F83" s="5">
        <v>0.266597677295699</v>
      </c>
      <c r="G83" s="5">
        <v>0.3008848370804601</v>
      </c>
      <c r="H83" s="5">
        <v>0.29672080723547811</v>
      </c>
      <c r="I83" s="5">
        <v>0.29093364984568992</v>
      </c>
      <c r="J83" s="5">
        <v>0.37622473294091041</v>
      </c>
      <c r="K83" s="5">
        <v>0.40199714586329749</v>
      </c>
      <c r="L83" s="5">
        <v>0.34351493916094039</v>
      </c>
      <c r="M83" s="5">
        <v>0.25455690808846382</v>
      </c>
      <c r="N83" s="5">
        <v>0.27169012281324517</v>
      </c>
      <c r="O83" s="5">
        <v>0.23607205376485205</v>
      </c>
      <c r="Q83" s="3" t="s">
        <v>168</v>
      </c>
      <c r="R83" s="3" t="s">
        <v>104</v>
      </c>
      <c r="S83" s="5">
        <v>1.0796001917872822E-2</v>
      </c>
      <c r="T83" s="5">
        <v>1.3140531690604969E-2</v>
      </c>
      <c r="U83" s="5">
        <v>1.1792365264989916E-2</v>
      </c>
      <c r="V83" s="5">
        <v>2.0656091730715712E-2</v>
      </c>
      <c r="W83" s="5">
        <v>1.8075642166543757E-2</v>
      </c>
      <c r="X83" s="5">
        <v>1.5248044891805425E-2</v>
      </c>
      <c r="Y83" s="5">
        <v>4.0394670099202459E-2</v>
      </c>
      <c r="Z83" s="5">
        <v>3.0180833290506817E-2</v>
      </c>
      <c r="AA83" s="5">
        <v>1.1734409106755028E-2</v>
      </c>
      <c r="AB83" s="5">
        <v>1.6998545988500206E-2</v>
      </c>
      <c r="AC83" s="5">
        <v>2.5268592998211433E-2</v>
      </c>
      <c r="AD83" s="5">
        <v>1.0203518208794206E-2</v>
      </c>
      <c r="AF83" s="3" t="s">
        <v>168</v>
      </c>
      <c r="AG83" s="3" t="s">
        <v>105</v>
      </c>
      <c r="AH83" s="5">
        <v>1.9905454892893141E-2</v>
      </c>
      <c r="AI83" s="5">
        <v>1.4818754812428676E-2</v>
      </c>
      <c r="AJ83" s="5">
        <v>1.547045982145984E-2</v>
      </c>
      <c r="AK83" s="5">
        <v>1.6639131144621188E-2</v>
      </c>
      <c r="AL83" s="5">
        <v>2.6067355335429088E-2</v>
      </c>
      <c r="AM83" s="5">
        <v>1.5015424660497557E-2</v>
      </c>
      <c r="AN83" s="5">
        <v>3.1350756280486433E-2</v>
      </c>
      <c r="AO83" s="5">
        <v>5.4911208201058756E-2</v>
      </c>
      <c r="AP83" s="5">
        <v>2.6027949351706735E-2</v>
      </c>
      <c r="AQ83" s="5">
        <v>2.3112712230546811E-2</v>
      </c>
      <c r="AR83" s="5">
        <v>2.1255927747804906E-2</v>
      </c>
      <c r="AS83" s="5">
        <v>2.5742804881180179E-2</v>
      </c>
      <c r="AU83" s="3" t="s">
        <v>168</v>
      </c>
      <c r="AV83" s="3" t="s">
        <v>106</v>
      </c>
      <c r="AW83" s="5">
        <v>0.12038767049986775</v>
      </c>
      <c r="AX83" s="5">
        <v>0.12228797054900351</v>
      </c>
      <c r="AY83" s="5">
        <v>0.1055498255121189</v>
      </c>
      <c r="AZ83" s="5">
        <v>0.14435290700514597</v>
      </c>
      <c r="BA83" s="4">
        <v>0.12276622999087732</v>
      </c>
      <c r="BB83" s="5">
        <v>0.15142313764125759</v>
      </c>
      <c r="BC83" s="5">
        <v>0.17254683983542668</v>
      </c>
      <c r="BD83" s="5">
        <v>0.18396104428245849</v>
      </c>
      <c r="BE83" s="5">
        <v>0.20145919707889806</v>
      </c>
      <c r="BF83" s="5">
        <v>0.10835653995434592</v>
      </c>
      <c r="BG83" s="5">
        <v>0.10353757302804703</v>
      </c>
      <c r="BH83" s="4">
        <v>9.7472680545373003E-2</v>
      </c>
      <c r="BR83" s="3" t="s">
        <v>168</v>
      </c>
      <c r="BS83" s="5">
        <v>0.5480351855592438</v>
      </c>
      <c r="BT83" s="5">
        <v>0.54424885019695224</v>
      </c>
      <c r="BU83" s="4">
        <v>0.5668377874534406</v>
      </c>
      <c r="BV83" s="5">
        <v>0.41862560331761561</v>
      </c>
      <c r="BW83" s="5">
        <v>0.47899501459150007</v>
      </c>
      <c r="BX83" s="5">
        <v>0.41313024596839398</v>
      </c>
      <c r="BY83" s="5">
        <v>0.20998099708801107</v>
      </c>
      <c r="BZ83" s="5">
        <v>0.25832944930037943</v>
      </c>
      <c r="CA83" s="5">
        <v>0.237406881909699</v>
      </c>
      <c r="CB83" s="4">
        <v>0.47507273214000884</v>
      </c>
      <c r="CC83" s="5">
        <v>0.48531225996821065</v>
      </c>
      <c r="CD83" s="5">
        <v>0.49721890373087452</v>
      </c>
      <c r="CF83" s="3" t="s">
        <v>185</v>
      </c>
      <c r="CG83" s="3" t="s">
        <v>112</v>
      </c>
      <c r="CH83" s="3" t="s">
        <v>113</v>
      </c>
      <c r="CI83" s="5">
        <v>0.66658146631151982</v>
      </c>
    </row>
    <row r="84" spans="2:87" x14ac:dyDescent="0.45">
      <c r="B84" s="6" t="s">
        <v>170</v>
      </c>
      <c r="C84" s="6" t="s">
        <v>103</v>
      </c>
      <c r="D84" s="8">
        <v>0.23863058020750888</v>
      </c>
      <c r="E84" s="8">
        <v>0.26007334627135814</v>
      </c>
      <c r="F84" s="8">
        <v>0.23340874680073595</v>
      </c>
      <c r="G84" s="8">
        <v>0.26266614447601583</v>
      </c>
      <c r="H84" s="8">
        <v>0.29986823901613385</v>
      </c>
      <c r="I84" s="8">
        <v>0.26345663957664572</v>
      </c>
      <c r="J84" s="8">
        <v>0.32339829968298367</v>
      </c>
      <c r="K84" s="8">
        <v>0.34752852630416464</v>
      </c>
      <c r="L84" s="8">
        <v>0.29440741324165293</v>
      </c>
      <c r="M84" s="8">
        <v>0.31479125254206114</v>
      </c>
      <c r="N84" s="8">
        <v>0.29974779399036205</v>
      </c>
      <c r="O84" s="8">
        <v>0.26109198335145301</v>
      </c>
      <c r="Q84" s="6" t="s">
        <v>170</v>
      </c>
      <c r="R84" s="6" t="s">
        <v>104</v>
      </c>
      <c r="S84" s="8">
        <v>1.1908070514288065E-2</v>
      </c>
      <c r="T84" s="8">
        <v>1.0687132318633099E-2</v>
      </c>
      <c r="U84" s="8">
        <v>1.9573158185067909E-2</v>
      </c>
      <c r="V84" s="8">
        <v>1.5492027154981717E-2</v>
      </c>
      <c r="W84" s="8">
        <v>1.3743555034382298E-2</v>
      </c>
      <c r="X84" s="8">
        <v>1.8052661069027549E-2</v>
      </c>
      <c r="Y84" s="8">
        <v>1.890391166732229E-2</v>
      </c>
      <c r="Z84" s="8">
        <v>2.4637903555234819E-2</v>
      </c>
      <c r="AA84" s="8">
        <v>1.8628463152110385E-2</v>
      </c>
      <c r="AB84" s="8">
        <v>1.4233159780257364E-2</v>
      </c>
      <c r="AC84" s="8">
        <v>2.6387086678344298E-2</v>
      </c>
      <c r="AD84" s="8">
        <v>1.5841012686648132E-2</v>
      </c>
      <c r="AF84" s="6" t="s">
        <v>170</v>
      </c>
      <c r="AG84" s="6" t="s">
        <v>105</v>
      </c>
      <c r="AH84" s="8">
        <v>2.0313437089197962E-2</v>
      </c>
      <c r="AI84" s="8">
        <v>1.8422943689456964E-2</v>
      </c>
      <c r="AJ84" s="8">
        <v>7.72316616369189E-3</v>
      </c>
      <c r="AK84" s="8">
        <v>1.8630005752311472E-2</v>
      </c>
      <c r="AL84" s="8">
        <v>1.3995609392477454E-2</v>
      </c>
      <c r="AM84" s="8">
        <v>1.766694000348273E-2</v>
      </c>
      <c r="AN84" s="8">
        <v>2.6336171937000493E-2</v>
      </c>
      <c r="AO84" s="8">
        <v>2.1369323183071647E-2</v>
      </c>
      <c r="AP84" s="8">
        <v>2.2686625956445956E-2</v>
      </c>
      <c r="AQ84" s="8">
        <v>1.6974915354626932E-2</v>
      </c>
      <c r="AR84" s="8">
        <v>2.7804191853102012E-2</v>
      </c>
      <c r="AS84" s="8">
        <v>2.111698352255956E-2</v>
      </c>
      <c r="AU84" s="6" t="s">
        <v>170</v>
      </c>
      <c r="AV84" s="6" t="s">
        <v>106</v>
      </c>
      <c r="AW84" s="8">
        <v>9.4167310063167781E-2</v>
      </c>
      <c r="AX84" s="8">
        <v>0.11325080193874439</v>
      </c>
      <c r="AY84" s="8">
        <v>9.2410980444393498E-2</v>
      </c>
      <c r="AZ84" s="8">
        <v>0.11217980106074772</v>
      </c>
      <c r="BA84" s="7">
        <v>0.15129037324302494</v>
      </c>
      <c r="BB84" s="8">
        <v>0.11401377802899865</v>
      </c>
      <c r="BC84" s="8">
        <v>0.15360522974360249</v>
      </c>
      <c r="BD84" s="8">
        <v>0.15560626970954064</v>
      </c>
      <c r="BE84" s="8">
        <v>0.12645771911837242</v>
      </c>
      <c r="BF84" s="8">
        <v>0.14070656173720622</v>
      </c>
      <c r="BG84" s="8">
        <v>0.10859518238459767</v>
      </c>
      <c r="BH84" s="7">
        <v>0.10322840299908069</v>
      </c>
      <c r="BR84" s="6" t="s">
        <v>170</v>
      </c>
      <c r="BS84" s="8">
        <v>0.58684718176955353</v>
      </c>
      <c r="BT84" s="8">
        <v>0.57165907513052738</v>
      </c>
      <c r="BU84" s="7">
        <v>0.60437441665196312</v>
      </c>
      <c r="BV84" s="8">
        <v>0.52786016072660336</v>
      </c>
      <c r="BW84" s="8">
        <v>0.49641166369825518</v>
      </c>
      <c r="BX84" s="8">
        <v>0.53666796340173506</v>
      </c>
      <c r="BY84" s="8">
        <v>0.42158387381198775</v>
      </c>
      <c r="BZ84" s="8">
        <v>0.42307734382440054</v>
      </c>
      <c r="CA84" s="8">
        <v>0.47759943910321034</v>
      </c>
      <c r="CB84" s="7">
        <v>0.50908729146429144</v>
      </c>
      <c r="CC84" s="8">
        <v>0.52052787234520559</v>
      </c>
      <c r="CD84" s="8">
        <v>0.55908650514540081</v>
      </c>
      <c r="CF84" s="6" t="s">
        <v>186</v>
      </c>
      <c r="CG84" s="6" t="s">
        <v>112</v>
      </c>
      <c r="CH84" s="6" t="s">
        <v>113</v>
      </c>
      <c r="CI84" s="8">
        <v>0.65213424024148359</v>
      </c>
    </row>
    <row r="85" spans="2:87" x14ac:dyDescent="0.45">
      <c r="B85" s="3" t="s">
        <v>172</v>
      </c>
      <c r="C85" s="3" t="s">
        <v>103</v>
      </c>
      <c r="D85" s="5">
        <v>0.28199592220682473</v>
      </c>
      <c r="E85" s="5">
        <v>0.30205588227594959</v>
      </c>
      <c r="F85" s="5">
        <v>0.27615388441405658</v>
      </c>
      <c r="G85" s="5">
        <v>0.31152560747803654</v>
      </c>
      <c r="H85" s="5">
        <v>0.31773447236184998</v>
      </c>
      <c r="I85" s="5">
        <v>0.29325794604231048</v>
      </c>
      <c r="J85" s="5">
        <v>0.3572536767479369</v>
      </c>
      <c r="K85" s="5">
        <v>0.37763237029407343</v>
      </c>
      <c r="L85" s="5">
        <v>0.334263991111443</v>
      </c>
      <c r="M85" s="5">
        <v>0.286397678408426</v>
      </c>
      <c r="N85" s="5">
        <v>0.30808671090173656</v>
      </c>
      <c r="O85" s="5">
        <v>0.3030084596093629</v>
      </c>
      <c r="Q85" s="3" t="s">
        <v>172</v>
      </c>
      <c r="R85" s="3" t="s">
        <v>104</v>
      </c>
      <c r="S85" s="5">
        <v>1.023769021344155E-2</v>
      </c>
      <c r="T85" s="5">
        <v>1.2930375066694484E-2</v>
      </c>
      <c r="U85" s="5">
        <v>1.2239259576102262E-2</v>
      </c>
      <c r="V85" s="5">
        <v>1.06608628600833E-2</v>
      </c>
      <c r="W85" s="5">
        <v>2.1172714137306467E-2</v>
      </c>
      <c r="X85" s="5">
        <v>7.7258313673361995E-3</v>
      </c>
      <c r="Y85" s="5">
        <v>3.2330231389032946E-2</v>
      </c>
      <c r="Z85" s="5">
        <v>2.5925796786173839E-2</v>
      </c>
      <c r="AA85" s="5">
        <v>1.3379720107352815E-2</v>
      </c>
      <c r="AB85" s="5">
        <v>1.9852942779970583E-2</v>
      </c>
      <c r="AC85" s="5">
        <v>3.7121401927086815E-2</v>
      </c>
      <c r="AD85" s="5">
        <v>9.2580457673397225E-3</v>
      </c>
      <c r="AF85" s="3" t="s">
        <v>172</v>
      </c>
      <c r="AG85" s="3" t="s">
        <v>105</v>
      </c>
      <c r="AH85" s="5">
        <v>1.5704059548655367E-2</v>
      </c>
      <c r="AI85" s="5">
        <v>1.9411411656735135E-2</v>
      </c>
      <c r="AJ85" s="5">
        <v>1.8737984573796371E-2</v>
      </c>
      <c r="AK85" s="5">
        <v>5.5081248068450869E-3</v>
      </c>
      <c r="AL85" s="5">
        <v>2.2941763215370066E-2</v>
      </c>
      <c r="AM85" s="5">
        <v>2.4467476725841871E-2</v>
      </c>
      <c r="AN85" s="5">
        <v>2.9407825121243281E-2</v>
      </c>
      <c r="AO85" s="5">
        <v>5.6963563226080781E-2</v>
      </c>
      <c r="AP85" s="5">
        <v>1.519884615298989E-2</v>
      </c>
      <c r="AQ85" s="5">
        <v>2.247524325080413E-2</v>
      </c>
      <c r="AR85" s="5">
        <v>4.2098886279528284E-2</v>
      </c>
      <c r="AS85" s="5">
        <v>3.9223592436515291E-2</v>
      </c>
      <c r="AU85" s="3" t="s">
        <v>172</v>
      </c>
      <c r="AV85" s="3" t="s">
        <v>106</v>
      </c>
      <c r="AW85" s="5">
        <v>0.13721671776650091</v>
      </c>
      <c r="AX85" s="5">
        <v>0.14625679628450439</v>
      </c>
      <c r="AY85" s="5">
        <v>0.1289973644047534</v>
      </c>
      <c r="AZ85" s="5">
        <v>0.17781937177837251</v>
      </c>
      <c r="BA85" s="4">
        <v>0.13968047376378517</v>
      </c>
      <c r="BB85" s="5">
        <v>0.14615127165408298</v>
      </c>
      <c r="BC85" s="5">
        <v>0.1706890060379023</v>
      </c>
      <c r="BD85" s="5">
        <v>0.16237268934902263</v>
      </c>
      <c r="BE85" s="5">
        <v>0.2071489345351033</v>
      </c>
      <c r="BF85" s="5">
        <v>0.13195917032163473</v>
      </c>
      <c r="BG85" s="5">
        <v>0.10678906235586895</v>
      </c>
      <c r="BH85" s="4">
        <v>0.13273753348058867</v>
      </c>
      <c r="BR85" s="3" t="s">
        <v>172</v>
      </c>
      <c r="BS85" s="5">
        <v>0.50302573574288201</v>
      </c>
      <c r="BT85" s="5">
        <v>0.48755818178755278</v>
      </c>
      <c r="BU85" s="4">
        <v>0.51951106955966531</v>
      </c>
      <c r="BV85" s="5">
        <v>0.40005677699079295</v>
      </c>
      <c r="BW85" s="5">
        <v>0.46175694242739163</v>
      </c>
      <c r="BX85" s="5">
        <v>0.42331730792403777</v>
      </c>
      <c r="BY85" s="5">
        <v>0.23138419966600854</v>
      </c>
      <c r="BZ85" s="5">
        <v>0.26948611364088826</v>
      </c>
      <c r="CA85" s="5">
        <v>0.258157959624227</v>
      </c>
      <c r="CB85" s="4">
        <v>0.42517691442072253</v>
      </c>
      <c r="CC85" s="5">
        <v>0.42948217605817851</v>
      </c>
      <c r="CD85" s="5">
        <v>0.44438684746748769</v>
      </c>
      <c r="CF85" s="3" t="s">
        <v>187</v>
      </c>
      <c r="CG85" s="3" t="s">
        <v>112</v>
      </c>
      <c r="CH85" s="3" t="s">
        <v>113</v>
      </c>
      <c r="CI85" s="5">
        <v>0.69294091600320229</v>
      </c>
    </row>
    <row r="86" spans="2:87" x14ac:dyDescent="0.45">
      <c r="B86" s="6" t="s">
        <v>174</v>
      </c>
      <c r="C86" s="6" t="s">
        <v>103</v>
      </c>
      <c r="D86" s="8">
        <v>0.29757160769595326</v>
      </c>
      <c r="E86" s="8">
        <v>0.29226980082807441</v>
      </c>
      <c r="F86" s="8">
        <v>0.27747700055890001</v>
      </c>
      <c r="G86" s="8">
        <v>0.32157706205827852</v>
      </c>
      <c r="H86" s="8">
        <v>0.31609529496375416</v>
      </c>
      <c r="I86" s="8">
        <v>0.29935258604020804</v>
      </c>
      <c r="J86" s="8">
        <v>0.39570901873302766</v>
      </c>
      <c r="K86" s="8">
        <v>0.40970785803224491</v>
      </c>
      <c r="L86" s="8">
        <v>0.37302560325288098</v>
      </c>
      <c r="M86" s="8">
        <v>0.28947376754217857</v>
      </c>
      <c r="N86" s="8">
        <v>0.29852996331287956</v>
      </c>
      <c r="O86" s="8">
        <v>0.27842039665384349</v>
      </c>
      <c r="Q86" s="6" t="s">
        <v>174</v>
      </c>
      <c r="R86" s="6" t="s">
        <v>104</v>
      </c>
      <c r="S86" s="8">
        <v>1.1057320918373513E-2</v>
      </c>
      <c r="T86" s="8">
        <v>6.3679884805353292E-3</v>
      </c>
      <c r="U86" s="8">
        <v>1.2316135133664502E-2</v>
      </c>
      <c r="V86" s="8">
        <v>2.082212294698468E-2</v>
      </c>
      <c r="W86" s="8">
        <v>2.1772746861234045E-2</v>
      </c>
      <c r="X86" s="8">
        <v>4.4699700967436081E-3</v>
      </c>
      <c r="Y86" s="8">
        <v>4.3823982306043535E-2</v>
      </c>
      <c r="Z86" s="8">
        <v>1.9791499912421597E-2</v>
      </c>
      <c r="AA86" s="8">
        <v>1.1652082243718786E-2</v>
      </c>
      <c r="AB86" s="8">
        <v>2.493434802241665E-2</v>
      </c>
      <c r="AC86" s="8">
        <v>3.5009100862221469E-2</v>
      </c>
      <c r="AD86" s="8">
        <v>1.2253023380588779E-2</v>
      </c>
      <c r="AF86" s="6" t="s">
        <v>174</v>
      </c>
      <c r="AG86" s="6" t="s">
        <v>105</v>
      </c>
      <c r="AH86" s="8">
        <v>1.913561158279908E-2</v>
      </c>
      <c r="AI86" s="8">
        <v>1.4845345275745707E-2</v>
      </c>
      <c r="AJ86" s="8">
        <v>1.0511543424840376E-2</v>
      </c>
      <c r="AK86" s="8">
        <v>7.2440941918004353E-3</v>
      </c>
      <c r="AL86" s="8">
        <v>2.6877220073144314E-2</v>
      </c>
      <c r="AM86" s="8">
        <v>2.6087993687339765E-2</v>
      </c>
      <c r="AN86" s="8">
        <v>5.6126890328912965E-2</v>
      </c>
      <c r="AO86" s="8">
        <v>5.4537849949024601E-2</v>
      </c>
      <c r="AP86" s="8">
        <v>9.765515432810911E-3</v>
      </c>
      <c r="AQ86" s="8">
        <v>2.3546084921032509E-2</v>
      </c>
      <c r="AR86" s="8">
        <v>3.7524029266355174E-2</v>
      </c>
      <c r="AS86" s="8">
        <v>3.2121553745376487E-2</v>
      </c>
      <c r="AU86" s="6" t="s">
        <v>174</v>
      </c>
      <c r="AV86" s="6" t="s">
        <v>106</v>
      </c>
      <c r="AW86" s="8">
        <v>0.14144445357339366</v>
      </c>
      <c r="AX86" s="8">
        <v>0.1447022464513435</v>
      </c>
      <c r="AY86" s="8">
        <v>0.13404498563050077</v>
      </c>
      <c r="AZ86" s="8">
        <v>0.1740052682936668</v>
      </c>
      <c r="BA86" s="7">
        <v>0.12661307296943103</v>
      </c>
      <c r="BB86" s="8">
        <v>0.15592505581855565</v>
      </c>
      <c r="BC86" s="8">
        <v>0.16472216845377277</v>
      </c>
      <c r="BD86" s="8">
        <v>0.20274026283709087</v>
      </c>
      <c r="BE86" s="8">
        <v>0.24191378756841289</v>
      </c>
      <c r="BF86" s="8">
        <v>0.12249014086530832</v>
      </c>
      <c r="BG86" s="8">
        <v>9.6479674484327052E-2</v>
      </c>
      <c r="BH86" s="7">
        <v>0.12034047880476595</v>
      </c>
      <c r="BR86" s="6" t="s">
        <v>174</v>
      </c>
      <c r="BS86" s="8">
        <v>0.50930881984851417</v>
      </c>
      <c r="BT86" s="8">
        <v>0.50876856394803416</v>
      </c>
      <c r="BU86" s="7">
        <v>0.53060492725082198</v>
      </c>
      <c r="BV86" s="8">
        <v>0.3949395588448168</v>
      </c>
      <c r="BW86" s="8">
        <v>0.46625274191609073</v>
      </c>
      <c r="BX86" s="8">
        <v>0.40856700992928169</v>
      </c>
      <c r="BY86" s="8">
        <v>0.19485154229956375</v>
      </c>
      <c r="BZ86" s="8">
        <v>0.25521020274219713</v>
      </c>
      <c r="CA86" s="8">
        <v>0.22042320202192589</v>
      </c>
      <c r="CB86" s="7">
        <v>0.42184365488402564</v>
      </c>
      <c r="CC86" s="8">
        <v>0.44837291291164583</v>
      </c>
      <c r="CD86" s="8">
        <v>0.44361236379516461</v>
      </c>
      <c r="CF86" s="6" t="s">
        <v>188</v>
      </c>
      <c r="CG86" s="6" t="s">
        <v>112</v>
      </c>
      <c r="CH86" s="6" t="s">
        <v>113</v>
      </c>
      <c r="CI86" s="8">
        <v>0.67018670413497516</v>
      </c>
    </row>
    <row r="87" spans="2:87" x14ac:dyDescent="0.45">
      <c r="B87" s="3" t="s">
        <v>176</v>
      </c>
      <c r="C87" s="3" t="s">
        <v>103</v>
      </c>
      <c r="D87" s="5">
        <v>0.24853509070129304</v>
      </c>
      <c r="E87" s="5">
        <v>0.27873225600466417</v>
      </c>
      <c r="F87" s="5">
        <v>0.26851576647188513</v>
      </c>
      <c r="G87" s="5">
        <v>0.31270748784988922</v>
      </c>
      <c r="H87" s="5">
        <v>0.30359975236259146</v>
      </c>
      <c r="I87" s="5">
        <v>0.28212447882313169</v>
      </c>
      <c r="J87" s="5">
        <v>0.33169772553973398</v>
      </c>
      <c r="K87" s="5">
        <v>0.34700616485049801</v>
      </c>
      <c r="L87" s="5">
        <v>0.30690880197869402</v>
      </c>
      <c r="M87" s="5">
        <v>0.31152478303442216</v>
      </c>
      <c r="N87" s="5">
        <v>0.32222173453316011</v>
      </c>
      <c r="O87" s="5">
        <v>0.31600886657028482</v>
      </c>
      <c r="Q87" s="3" t="s">
        <v>176</v>
      </c>
      <c r="R87" s="3" t="s">
        <v>104</v>
      </c>
      <c r="S87" s="5">
        <v>1.3194471279489263E-2</v>
      </c>
      <c r="T87" s="5">
        <v>1.7677689445141365E-2</v>
      </c>
      <c r="U87" s="5">
        <v>1.0961585556197476E-2</v>
      </c>
      <c r="V87" s="5">
        <v>1.5392815986261655E-2</v>
      </c>
      <c r="W87" s="5">
        <v>1.2650067853309126E-2</v>
      </c>
      <c r="X87" s="5">
        <v>9.0683232534821481E-3</v>
      </c>
      <c r="Y87" s="5">
        <v>2.0502101873066707E-2</v>
      </c>
      <c r="Z87" s="5">
        <v>2.5191024409793369E-2</v>
      </c>
      <c r="AA87" s="5">
        <v>1.3187898209706337E-2</v>
      </c>
      <c r="AB87" s="5">
        <v>2.2620858040042113E-2</v>
      </c>
      <c r="AC87" s="5">
        <v>3.1432589629976845E-2</v>
      </c>
      <c r="AD87" s="5">
        <v>1.4972798325035765E-2</v>
      </c>
      <c r="AF87" s="3" t="s">
        <v>176</v>
      </c>
      <c r="AG87" s="3" t="s">
        <v>105</v>
      </c>
      <c r="AH87" s="5">
        <v>1.7329633684492331E-2</v>
      </c>
      <c r="AI87" s="5">
        <v>2.654071905340567E-2</v>
      </c>
      <c r="AJ87" s="5">
        <v>2.3677096188813626E-2</v>
      </c>
      <c r="AK87" s="5">
        <v>1.7420945219672263E-2</v>
      </c>
      <c r="AL87" s="5">
        <v>2.3143595598449838E-2</v>
      </c>
      <c r="AM87" s="5">
        <v>1.0418872445393886E-2</v>
      </c>
      <c r="AN87" s="5">
        <v>2.978756918084749E-2</v>
      </c>
      <c r="AO87" s="5">
        <v>4.2688652851374173E-2</v>
      </c>
      <c r="AP87" s="5">
        <v>1.776028782795459E-2</v>
      </c>
      <c r="AQ87" s="5">
        <v>1.7915091003775752E-2</v>
      </c>
      <c r="AR87" s="5">
        <v>4.1383989521189851E-2</v>
      </c>
      <c r="AS87" s="5">
        <v>3.1041487064599912E-2</v>
      </c>
      <c r="AU87" s="3" t="s">
        <v>176</v>
      </c>
      <c r="AV87" s="3" t="s">
        <v>106</v>
      </c>
      <c r="AW87" s="5">
        <v>0.11836265339313569</v>
      </c>
      <c r="AX87" s="5">
        <v>0.12437758044724406</v>
      </c>
      <c r="AY87" s="5">
        <v>0.11859153899419168</v>
      </c>
      <c r="AZ87" s="5">
        <v>0.15571369043290617</v>
      </c>
      <c r="BA87" s="4">
        <v>0.1440374076861009</v>
      </c>
      <c r="BB87" s="5">
        <v>0.15416798252665237</v>
      </c>
      <c r="BC87" s="5">
        <v>0.16721378301885667</v>
      </c>
      <c r="BD87" s="5">
        <v>0.16035516425401883</v>
      </c>
      <c r="BE87" s="5">
        <v>0.17931039579096902</v>
      </c>
      <c r="BF87" s="5">
        <v>0.1533460862477331</v>
      </c>
      <c r="BG87" s="5">
        <v>0.12392901774745028</v>
      </c>
      <c r="BH87" s="4">
        <v>0.14760685902244497</v>
      </c>
      <c r="BR87" s="3" t="s">
        <v>176</v>
      </c>
      <c r="BS87" s="5">
        <v>0.50649286359460322</v>
      </c>
      <c r="BT87" s="5">
        <v>0.49596067634334617</v>
      </c>
      <c r="BU87" s="4">
        <v>0.5154938816823702</v>
      </c>
      <c r="BV87" s="5">
        <v>0.42160038118317822</v>
      </c>
      <c r="BW87" s="5">
        <v>0.46047837232195687</v>
      </c>
      <c r="BX87" s="5">
        <v>0.43361572680502508</v>
      </c>
      <c r="BY87" s="5">
        <v>0.26681395876061059</v>
      </c>
      <c r="BZ87" s="5">
        <v>0.28039408323252207</v>
      </c>
      <c r="CA87" s="5">
        <v>0.29491637852807789</v>
      </c>
      <c r="CB87" s="4">
        <v>0.3837131625719552</v>
      </c>
      <c r="CC87" s="5">
        <v>0.41973098391574581</v>
      </c>
      <c r="CD87" s="5">
        <v>0.40440370225706368</v>
      </c>
      <c r="CF87" s="3" t="s">
        <v>189</v>
      </c>
      <c r="CG87" s="3" t="s">
        <v>112</v>
      </c>
      <c r="CH87" s="3" t="s">
        <v>113</v>
      </c>
      <c r="CI87" s="5">
        <v>0.64856645582454986</v>
      </c>
    </row>
    <row r="88" spans="2:87" x14ac:dyDescent="0.45">
      <c r="B88" s="6" t="s">
        <v>178</v>
      </c>
      <c r="C88" s="6" t="s">
        <v>103</v>
      </c>
      <c r="D88" s="8">
        <v>0.21099815407237718</v>
      </c>
      <c r="E88" s="8">
        <v>0.2053777412301124</v>
      </c>
      <c r="F88" s="8">
        <v>0.19328471572894368</v>
      </c>
      <c r="G88" s="8">
        <v>0.27908006554381315</v>
      </c>
      <c r="H88" s="8">
        <v>0.29060898849736355</v>
      </c>
      <c r="I88" s="8">
        <v>0.25697561110083894</v>
      </c>
      <c r="J88" s="8">
        <v>0.30944547785220511</v>
      </c>
      <c r="K88" s="8">
        <v>0.2909235823813382</v>
      </c>
      <c r="L88" s="8">
        <v>0.30164429161474288</v>
      </c>
      <c r="M88" s="8">
        <v>0.22641452992434177</v>
      </c>
      <c r="N88" s="8">
        <v>0.23510193304852253</v>
      </c>
      <c r="O88" s="8">
        <v>0.2218888297033994</v>
      </c>
      <c r="Q88" s="6" t="s">
        <v>178</v>
      </c>
      <c r="R88" s="6" t="s">
        <v>104</v>
      </c>
      <c r="S88" s="8">
        <v>9.9494129910785625E-3</v>
      </c>
      <c r="T88" s="8">
        <v>1.4256331995592394E-2</v>
      </c>
      <c r="U88" s="8">
        <v>1.4080597877118196E-2</v>
      </c>
      <c r="V88" s="8">
        <v>1.5361818448287238E-2</v>
      </c>
      <c r="W88" s="8">
        <v>1.1379212427623199E-2</v>
      </c>
      <c r="X88" s="8">
        <v>1.5548093625325183E-2</v>
      </c>
      <c r="Y88" s="8">
        <v>2.1491051104816479E-2</v>
      </c>
      <c r="Z88" s="8">
        <v>1.7186548630146525E-2</v>
      </c>
      <c r="AA88" s="8">
        <v>2.0370955474108363E-2</v>
      </c>
      <c r="AB88" s="8">
        <v>9.4572687297115546E-3</v>
      </c>
      <c r="AC88" s="8">
        <v>1.124880549601618E-2</v>
      </c>
      <c r="AD88" s="8">
        <v>1.1874294929450706E-2</v>
      </c>
      <c r="AF88" s="6" t="s">
        <v>178</v>
      </c>
      <c r="AG88" s="6" t="s">
        <v>105</v>
      </c>
      <c r="AH88" s="8">
        <v>2.0260916400576357E-2</v>
      </c>
      <c r="AI88" s="8">
        <v>9.0222150244143873E-3</v>
      </c>
      <c r="AJ88" s="8">
        <v>1.2528816823956483E-2</v>
      </c>
      <c r="AK88" s="8">
        <v>2.0322805747081448E-2</v>
      </c>
      <c r="AL88" s="8">
        <v>1.4991763470415203E-2</v>
      </c>
      <c r="AM88" s="8">
        <v>1.807976728843581E-2</v>
      </c>
      <c r="AN88" s="8">
        <v>2.4990293028251679E-2</v>
      </c>
      <c r="AO88" s="8">
        <v>2.3963035150351419E-2</v>
      </c>
      <c r="AP88" s="8">
        <v>2.4747688919013727E-2</v>
      </c>
      <c r="AQ88" s="8">
        <v>1.3138111092721E-2</v>
      </c>
      <c r="AR88" s="8">
        <v>1.0788789434553909E-2</v>
      </c>
      <c r="AS88" s="8">
        <v>1.4037565801649186E-2</v>
      </c>
      <c r="AU88" s="6" t="s">
        <v>178</v>
      </c>
      <c r="AV88" s="6" t="s">
        <v>106</v>
      </c>
      <c r="AW88" s="8">
        <v>5.9720951292222664E-2</v>
      </c>
      <c r="AX88" s="8">
        <v>6.1641318110709858E-2</v>
      </c>
      <c r="AY88" s="8">
        <v>4.9333021523644258E-2</v>
      </c>
      <c r="AZ88" s="8">
        <v>0.10230881026934127</v>
      </c>
      <c r="BA88" s="7">
        <v>0.12137503473948212</v>
      </c>
      <c r="BB88" s="8">
        <v>9.3409726504143781E-2</v>
      </c>
      <c r="BC88" s="8">
        <v>0.13879144595008699</v>
      </c>
      <c r="BD88" s="8">
        <v>0.12989940413340506</v>
      </c>
      <c r="BE88" s="8">
        <v>0.13331312437217077</v>
      </c>
      <c r="BF88" s="8">
        <v>7.340556991840759E-2</v>
      </c>
      <c r="BG88" s="8">
        <v>8.231634307791183E-2</v>
      </c>
      <c r="BH88" s="7">
        <v>7.2915110840943057E-2</v>
      </c>
      <c r="BR88" s="6" t="s">
        <v>178</v>
      </c>
      <c r="BS88" s="8">
        <v>0.7152110635609279</v>
      </c>
      <c r="BT88" s="8">
        <v>0.71680597446343663</v>
      </c>
      <c r="BU88" s="7">
        <v>0.73337138598185148</v>
      </c>
      <c r="BV88" s="8">
        <v>0.60347239325774438</v>
      </c>
      <c r="BW88" s="8">
        <v>0.57716828787758767</v>
      </c>
      <c r="BX88" s="8">
        <v>0.62036991966731592</v>
      </c>
      <c r="BY88" s="8">
        <v>0.49654463571243318</v>
      </c>
      <c r="BZ88" s="8">
        <v>0.50511305092276659</v>
      </c>
      <c r="CA88" s="8">
        <v>0.49205069855311068</v>
      </c>
      <c r="CB88" s="7">
        <v>0.68881096330914837</v>
      </c>
      <c r="CC88" s="8">
        <v>0.66877172805907392</v>
      </c>
      <c r="CD88" s="8">
        <v>0.68653983018841946</v>
      </c>
      <c r="CF88" s="6" t="s">
        <v>190</v>
      </c>
      <c r="CG88" s="6" t="s">
        <v>112</v>
      </c>
      <c r="CH88" s="6" t="s">
        <v>113</v>
      </c>
      <c r="CI88" s="8">
        <v>0.69369811222656308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67D5-5D40-458D-91E8-67222ED04EAC}">
  <dimension ref="A1:S126"/>
  <sheetViews>
    <sheetView workbookViewId="0">
      <selection sqref="A1:H1"/>
    </sheetView>
  </sheetViews>
  <sheetFormatPr defaultRowHeight="14.25" x14ac:dyDescent="0.45"/>
  <cols>
    <col min="3" max="5" width="10.59765625" customWidth="1"/>
    <col min="6" max="6" width="13.06640625" bestFit="1" customWidth="1"/>
    <col min="8" max="8" width="10.59765625" bestFit="1" customWidth="1"/>
    <col min="9" max="10" width="10.59765625" customWidth="1"/>
    <col min="12" max="12" width="10.59765625" bestFit="1" customWidth="1"/>
    <col min="13" max="14" width="10.59765625" customWidth="1"/>
    <col min="16" max="19" width="10.59765625" customWidth="1"/>
  </cols>
  <sheetData>
    <row r="1" spans="1:19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9" ht="14.65" thickBot="1" x14ac:dyDescent="0.5">
      <c r="C9" s="1" t="str">
        <f>IF(A11="x","DeActivated","~TFM_DINS-AT: region=GBR")</f>
        <v>~TFM_DINS-AT: region=GBR</v>
      </c>
      <c r="H9" s="1" t="str">
        <f>IF(A11="x","DeActivated","~TFM_DINS-AT: region=GBR")</f>
        <v>~TFM_DINS-AT: region=GBR</v>
      </c>
      <c r="L9" s="1" t="str">
        <f>IF(A11="x","DeActivated","~TFM_DINS-AT: region=GBR")</f>
        <v>~TFM_DINS-AT: region=GBR</v>
      </c>
      <c r="P9" s="1" t="str">
        <f>IF(A11="x","DeActivated","~TFM_INS-AT: region=GBR")</f>
        <v>~TFM_INS-AT: region=GBR</v>
      </c>
    </row>
    <row r="10" spans="1:19" ht="15.75" thickBot="1" x14ac:dyDescent="0.6">
      <c r="A10" t="s">
        <v>191</v>
      </c>
      <c r="C10" s="2" t="s">
        <v>192</v>
      </c>
      <c r="D10" s="2" t="s">
        <v>3</v>
      </c>
      <c r="E10" s="2" t="s">
        <v>2</v>
      </c>
      <c r="F10" s="2" t="s">
        <v>1</v>
      </c>
      <c r="H10" s="2" t="s">
        <v>1</v>
      </c>
      <c r="I10" s="2" t="s">
        <v>2</v>
      </c>
      <c r="J10" s="2" t="s">
        <v>3</v>
      </c>
      <c r="L10" s="2" t="s">
        <v>1</v>
      </c>
      <c r="M10" s="2" t="s">
        <v>2</v>
      </c>
      <c r="N10" s="2" t="s">
        <v>193</v>
      </c>
      <c r="P10" s="2" t="s">
        <v>194</v>
      </c>
      <c r="Q10" s="2" t="s">
        <v>2</v>
      </c>
      <c r="R10" s="2" t="s">
        <v>195</v>
      </c>
      <c r="S10" s="2" t="s">
        <v>196</v>
      </c>
    </row>
    <row r="11" spans="1:19" x14ac:dyDescent="0.45">
      <c r="C11" s="5">
        <v>8.2191780821917804E-2</v>
      </c>
      <c r="D11" s="5">
        <v>4.555602515973449E-2</v>
      </c>
      <c r="E11" s="3" t="s">
        <v>6</v>
      </c>
      <c r="F11" s="3" t="s">
        <v>197</v>
      </c>
      <c r="H11" s="3" t="s">
        <v>198</v>
      </c>
      <c r="I11" s="3" t="s">
        <v>6</v>
      </c>
      <c r="J11" s="3"/>
      <c r="L11" s="3" t="s">
        <v>199</v>
      </c>
      <c r="M11" s="3" t="s">
        <v>6</v>
      </c>
      <c r="N11" s="5">
        <v>0.31610666575664381</v>
      </c>
      <c r="P11" s="11">
        <v>2020</v>
      </c>
      <c r="Q11" s="3" t="s">
        <v>200</v>
      </c>
      <c r="R11" s="5">
        <v>0.31829999999999997</v>
      </c>
      <c r="S11" s="3" t="s">
        <v>201</v>
      </c>
    </row>
    <row r="12" spans="1:19" x14ac:dyDescent="0.45">
      <c r="C12" s="8">
        <v>0.10273972602739725</v>
      </c>
      <c r="D12" s="8">
        <v>0.14672202471222937</v>
      </c>
      <c r="E12" s="6" t="s">
        <v>10</v>
      </c>
      <c r="F12" s="6" t="s">
        <v>197</v>
      </c>
      <c r="H12" s="6" t="s">
        <v>198</v>
      </c>
      <c r="I12" s="6" t="s">
        <v>10</v>
      </c>
      <c r="J12" s="6"/>
      <c r="L12" s="6" t="s">
        <v>199</v>
      </c>
      <c r="M12" s="6" t="s">
        <v>10</v>
      </c>
      <c r="N12" s="8">
        <v>9.3183157032511676E-2</v>
      </c>
      <c r="P12" s="12">
        <v>2020</v>
      </c>
      <c r="Q12" s="6" t="s">
        <v>202</v>
      </c>
      <c r="R12" s="8">
        <v>0.20230000000000001</v>
      </c>
      <c r="S12" s="6" t="s">
        <v>201</v>
      </c>
    </row>
    <row r="13" spans="1:19" x14ac:dyDescent="0.45">
      <c r="C13" s="5">
        <v>6.1643835616438353E-2</v>
      </c>
      <c r="D13" s="5">
        <v>5.4297292593789633E-2</v>
      </c>
      <c r="E13" s="3" t="s">
        <v>11</v>
      </c>
      <c r="F13" s="3" t="s">
        <v>197</v>
      </c>
      <c r="H13" s="3" t="s">
        <v>198</v>
      </c>
      <c r="I13" s="3" t="s">
        <v>11</v>
      </c>
      <c r="J13" s="3"/>
      <c r="L13" s="3" t="s">
        <v>199</v>
      </c>
      <c r="M13" s="3" t="s">
        <v>11</v>
      </c>
      <c r="N13" s="5">
        <v>0.15881870353437355</v>
      </c>
      <c r="P13" s="11">
        <v>2020</v>
      </c>
      <c r="Q13" s="3" t="s">
        <v>203</v>
      </c>
      <c r="R13" s="5">
        <v>0.14046666666666666</v>
      </c>
      <c r="S13" s="3" t="s">
        <v>201</v>
      </c>
    </row>
    <row r="14" spans="1:19" x14ac:dyDescent="0.45">
      <c r="C14" s="8">
        <v>8.4018264840182655E-2</v>
      </c>
      <c r="D14" s="8">
        <v>4.6568381274395249E-2</v>
      </c>
      <c r="E14" s="6" t="s">
        <v>12</v>
      </c>
      <c r="F14" s="6" t="s">
        <v>197</v>
      </c>
      <c r="H14" s="6" t="s">
        <v>198</v>
      </c>
      <c r="I14" s="6" t="s">
        <v>12</v>
      </c>
      <c r="J14" s="6"/>
      <c r="L14" s="6" t="s">
        <v>199</v>
      </c>
      <c r="M14" s="6" t="s">
        <v>12</v>
      </c>
      <c r="N14" s="8">
        <v>0.36246334707551475</v>
      </c>
      <c r="P14" s="12">
        <v>2020</v>
      </c>
      <c r="Q14" s="6" t="s">
        <v>204</v>
      </c>
      <c r="R14" s="8">
        <v>0.23416666666666666</v>
      </c>
      <c r="S14" s="6" t="s">
        <v>201</v>
      </c>
    </row>
    <row r="15" spans="1:19" x14ac:dyDescent="0.45">
      <c r="C15" s="5">
        <v>0.1050228310502283</v>
      </c>
      <c r="D15" s="5">
        <v>0.14998251415027888</v>
      </c>
      <c r="E15" s="3" t="s">
        <v>13</v>
      </c>
      <c r="F15" s="3" t="s">
        <v>197</v>
      </c>
      <c r="H15" s="3" t="s">
        <v>198</v>
      </c>
      <c r="I15" s="3" t="s">
        <v>13</v>
      </c>
      <c r="J15" s="3"/>
      <c r="L15" s="3" t="s">
        <v>199</v>
      </c>
      <c r="M15" s="3" t="s">
        <v>13</v>
      </c>
      <c r="N15" s="5">
        <v>0.12723259457231983</v>
      </c>
      <c r="P15" s="11">
        <v>2021</v>
      </c>
      <c r="Q15" s="3" t="s">
        <v>200</v>
      </c>
      <c r="R15" s="5">
        <v>0.21483333333333332</v>
      </c>
      <c r="S15" s="3" t="s">
        <v>201</v>
      </c>
    </row>
    <row r="16" spans="1:19" x14ac:dyDescent="0.45">
      <c r="C16" s="8">
        <v>6.3013698630136991E-2</v>
      </c>
      <c r="D16" s="8">
        <v>5.5503899095873853E-2</v>
      </c>
      <c r="E16" s="6" t="s">
        <v>14</v>
      </c>
      <c r="F16" s="6" t="s">
        <v>197</v>
      </c>
      <c r="H16" s="6" t="s">
        <v>198</v>
      </c>
      <c r="I16" s="6" t="s">
        <v>14</v>
      </c>
      <c r="J16" s="6"/>
      <c r="L16" s="6" t="s">
        <v>199</v>
      </c>
      <c r="M16" s="6" t="s">
        <v>14</v>
      </c>
      <c r="N16" s="8">
        <v>0.20698304603065476</v>
      </c>
      <c r="P16" s="12">
        <v>2021</v>
      </c>
      <c r="Q16" s="6" t="s">
        <v>202</v>
      </c>
      <c r="R16" s="8">
        <v>0.18423333333333333</v>
      </c>
      <c r="S16" s="6" t="s">
        <v>201</v>
      </c>
    </row>
    <row r="17" spans="3:19" x14ac:dyDescent="0.45">
      <c r="C17" s="5">
        <v>8.4018264840182655E-2</v>
      </c>
      <c r="D17" s="5">
        <v>4.6568381274395249E-2</v>
      </c>
      <c r="E17" s="3" t="s">
        <v>15</v>
      </c>
      <c r="F17" s="3" t="s">
        <v>197</v>
      </c>
      <c r="H17" s="3" t="s">
        <v>198</v>
      </c>
      <c r="I17" s="3" t="s">
        <v>15</v>
      </c>
      <c r="J17" s="3"/>
      <c r="L17" s="3" t="s">
        <v>199</v>
      </c>
      <c r="M17" s="3" t="s">
        <v>15</v>
      </c>
      <c r="N17" s="5">
        <v>0.23142936001540071</v>
      </c>
      <c r="P17" s="11">
        <v>2021</v>
      </c>
      <c r="Q17" s="3" t="s">
        <v>203</v>
      </c>
      <c r="R17" s="5">
        <v>7.2433333333333336E-2</v>
      </c>
      <c r="S17" s="3" t="s">
        <v>201</v>
      </c>
    </row>
    <row r="18" spans="3:19" x14ac:dyDescent="0.45">
      <c r="C18" s="8">
        <v>0.1050228310502283</v>
      </c>
      <c r="D18" s="8">
        <v>0.14998251415027888</v>
      </c>
      <c r="E18" s="6" t="s">
        <v>16</v>
      </c>
      <c r="F18" s="6" t="s">
        <v>197</v>
      </c>
      <c r="H18" s="6" t="s">
        <v>198</v>
      </c>
      <c r="I18" s="6" t="s">
        <v>16</v>
      </c>
      <c r="J18" s="6"/>
      <c r="L18" s="6" t="s">
        <v>199</v>
      </c>
      <c r="M18" s="6" t="s">
        <v>16</v>
      </c>
      <c r="N18" s="8">
        <v>9.0873794118897289E-2</v>
      </c>
      <c r="P18" s="12">
        <v>2021</v>
      </c>
      <c r="Q18" s="6" t="s">
        <v>204</v>
      </c>
      <c r="R18" s="8">
        <v>0.20033333333333334</v>
      </c>
      <c r="S18" s="6" t="s">
        <v>201</v>
      </c>
    </row>
    <row r="19" spans="3:19" x14ac:dyDescent="0.45">
      <c r="C19" s="5">
        <v>6.3013698630136991E-2</v>
      </c>
      <c r="D19" s="5">
        <v>5.5503899095873853E-2</v>
      </c>
      <c r="E19" s="3" t="s">
        <v>17</v>
      </c>
      <c r="F19" s="3" t="s">
        <v>197</v>
      </c>
      <c r="H19" s="3" t="s">
        <v>198</v>
      </c>
      <c r="I19" s="3" t="s">
        <v>17</v>
      </c>
      <c r="J19" s="3"/>
      <c r="L19" s="3" t="s">
        <v>199</v>
      </c>
      <c r="M19" s="3" t="s">
        <v>17</v>
      </c>
      <c r="N19" s="5">
        <v>0.11956241628869568</v>
      </c>
      <c r="P19" s="11">
        <v>2022</v>
      </c>
      <c r="Q19" s="3" t="s">
        <v>200</v>
      </c>
      <c r="R19" s="5">
        <v>0.2349</v>
      </c>
      <c r="S19" s="3" t="s">
        <v>201</v>
      </c>
    </row>
    <row r="20" spans="3:19" x14ac:dyDescent="0.45">
      <c r="C20" s="8">
        <v>8.3105022831050229E-2</v>
      </c>
      <c r="D20" s="8">
        <v>4.6062203217064869E-2</v>
      </c>
      <c r="E20" s="6" t="s">
        <v>18</v>
      </c>
      <c r="F20" s="6" t="s">
        <v>197</v>
      </c>
      <c r="H20" s="6" t="s">
        <v>198</v>
      </c>
      <c r="I20" s="6" t="s">
        <v>18</v>
      </c>
      <c r="J20" s="6"/>
      <c r="L20" s="6" t="s">
        <v>199</v>
      </c>
      <c r="M20" s="6" t="s">
        <v>18</v>
      </c>
      <c r="N20" s="8">
        <v>0.36666693007870998</v>
      </c>
      <c r="P20" s="12">
        <v>2022</v>
      </c>
      <c r="Q20" s="6" t="s">
        <v>202</v>
      </c>
      <c r="R20" s="8">
        <v>0.16093333333333334</v>
      </c>
      <c r="S20" s="6" t="s">
        <v>201</v>
      </c>
    </row>
    <row r="21" spans="3:19" x14ac:dyDescent="0.45">
      <c r="C21" s="5">
        <v>0.10388127853881278</v>
      </c>
      <c r="D21" s="5">
        <v>0.14835226943125412</v>
      </c>
      <c r="E21" s="3" t="s">
        <v>19</v>
      </c>
      <c r="F21" s="3" t="s">
        <v>197</v>
      </c>
      <c r="H21" s="3" t="s">
        <v>198</v>
      </c>
      <c r="I21" s="3" t="s">
        <v>19</v>
      </c>
      <c r="J21" s="3"/>
      <c r="L21" s="3" t="s">
        <v>199</v>
      </c>
      <c r="M21" s="3" t="s">
        <v>19</v>
      </c>
      <c r="N21" s="5">
        <v>0.18435776096720669</v>
      </c>
      <c r="P21" s="11">
        <v>2022</v>
      </c>
      <c r="Q21" s="3" t="s">
        <v>203</v>
      </c>
      <c r="R21" s="5">
        <v>0.10766666666666667</v>
      </c>
      <c r="S21" s="3" t="s">
        <v>201</v>
      </c>
    </row>
    <row r="22" spans="3:19" x14ac:dyDescent="0.45">
      <c r="C22" s="8">
        <v>6.2328767123287672E-2</v>
      </c>
      <c r="D22" s="8">
        <v>5.4900595844831736E-2</v>
      </c>
      <c r="E22" s="6" t="s">
        <v>20</v>
      </c>
      <c r="F22" s="6" t="s">
        <v>197</v>
      </c>
      <c r="H22" s="6" t="s">
        <v>198</v>
      </c>
      <c r="I22" s="6" t="s">
        <v>20</v>
      </c>
      <c r="J22" s="6"/>
      <c r="L22" s="6" t="s">
        <v>199</v>
      </c>
      <c r="M22" s="6" t="s">
        <v>20</v>
      </c>
      <c r="N22" s="8">
        <v>0.23665167194360004</v>
      </c>
      <c r="P22" s="12">
        <v>2022</v>
      </c>
      <c r="Q22" s="6" t="s">
        <v>204</v>
      </c>
      <c r="R22" s="8">
        <v>0.1961333333333333</v>
      </c>
      <c r="S22" s="6" t="s">
        <v>201</v>
      </c>
    </row>
    <row r="23" spans="3:19" x14ac:dyDescent="0.45">
      <c r="H23" s="3" t="s">
        <v>205</v>
      </c>
      <c r="I23" s="3" t="s">
        <v>6</v>
      </c>
      <c r="J23" s="3"/>
      <c r="P23" s="11">
        <v>2025</v>
      </c>
      <c r="Q23" s="3" t="s">
        <v>200</v>
      </c>
      <c r="R23" s="5">
        <v>0.44616666666666666</v>
      </c>
      <c r="S23" s="3" t="s">
        <v>201</v>
      </c>
    </row>
    <row r="24" spans="3:19" x14ac:dyDescent="0.45">
      <c r="H24" s="6" t="s">
        <v>205</v>
      </c>
      <c r="I24" s="6" t="s">
        <v>10</v>
      </c>
      <c r="J24" s="6"/>
      <c r="P24" s="12">
        <v>2025</v>
      </c>
      <c r="Q24" s="6" t="s">
        <v>202</v>
      </c>
      <c r="R24" s="8">
        <v>0.34959999999999997</v>
      </c>
      <c r="S24" s="6" t="s">
        <v>201</v>
      </c>
    </row>
    <row r="25" spans="3:19" x14ac:dyDescent="0.45">
      <c r="H25" s="3" t="s">
        <v>205</v>
      </c>
      <c r="I25" s="3" t="s">
        <v>11</v>
      </c>
      <c r="J25" s="3"/>
      <c r="P25" s="11">
        <v>2025</v>
      </c>
      <c r="Q25" s="3" t="s">
        <v>203</v>
      </c>
      <c r="R25" s="5">
        <v>0.22736666666666669</v>
      </c>
      <c r="S25" s="3" t="s">
        <v>201</v>
      </c>
    </row>
    <row r="26" spans="3:19" x14ac:dyDescent="0.45">
      <c r="H26" s="6" t="s">
        <v>205</v>
      </c>
      <c r="I26" s="6" t="s">
        <v>12</v>
      </c>
      <c r="J26" s="6"/>
      <c r="P26" s="12">
        <v>2025</v>
      </c>
      <c r="Q26" s="6" t="s">
        <v>204</v>
      </c>
      <c r="R26" s="8">
        <v>0.31419999999999998</v>
      </c>
      <c r="S26" s="6" t="s">
        <v>201</v>
      </c>
    </row>
    <row r="27" spans="3:19" x14ac:dyDescent="0.45">
      <c r="H27" s="3" t="s">
        <v>205</v>
      </c>
      <c r="I27" s="3" t="s">
        <v>13</v>
      </c>
      <c r="J27" s="3"/>
      <c r="P27" s="11">
        <v>2026</v>
      </c>
      <c r="Q27" s="3" t="s">
        <v>200</v>
      </c>
      <c r="R27" s="5">
        <v>0.46543333333333337</v>
      </c>
      <c r="S27" s="3" t="s">
        <v>201</v>
      </c>
    </row>
    <row r="28" spans="3:19" x14ac:dyDescent="0.45">
      <c r="H28" s="6" t="s">
        <v>205</v>
      </c>
      <c r="I28" s="6" t="s">
        <v>14</v>
      </c>
      <c r="J28" s="6"/>
      <c r="P28" s="12">
        <v>2026</v>
      </c>
      <c r="Q28" s="6" t="s">
        <v>202</v>
      </c>
      <c r="R28" s="8">
        <v>0.33890000000000003</v>
      </c>
      <c r="S28" s="6" t="s">
        <v>201</v>
      </c>
    </row>
    <row r="29" spans="3:19" x14ac:dyDescent="0.45">
      <c r="H29" s="3" t="s">
        <v>205</v>
      </c>
      <c r="I29" s="3" t="s">
        <v>15</v>
      </c>
      <c r="J29" s="3"/>
      <c r="P29" s="11">
        <v>2026</v>
      </c>
      <c r="Q29" s="3" t="s">
        <v>203</v>
      </c>
      <c r="R29" s="5">
        <v>0.18806666666666669</v>
      </c>
      <c r="S29" s="3" t="s">
        <v>201</v>
      </c>
    </row>
    <row r="30" spans="3:19" x14ac:dyDescent="0.45">
      <c r="H30" s="6" t="s">
        <v>205</v>
      </c>
      <c r="I30" s="6" t="s">
        <v>16</v>
      </c>
      <c r="J30" s="6"/>
      <c r="P30" s="12">
        <v>2026</v>
      </c>
      <c r="Q30" s="6" t="s">
        <v>204</v>
      </c>
      <c r="R30" s="8">
        <v>0.32076666666666664</v>
      </c>
      <c r="S30" s="6" t="s">
        <v>201</v>
      </c>
    </row>
    <row r="31" spans="3:19" x14ac:dyDescent="0.45">
      <c r="H31" s="3" t="s">
        <v>205</v>
      </c>
      <c r="I31" s="3" t="s">
        <v>17</v>
      </c>
      <c r="J31" s="3"/>
      <c r="P31" s="11">
        <v>2027</v>
      </c>
      <c r="Q31" s="3" t="s">
        <v>200</v>
      </c>
      <c r="R31" s="5">
        <v>0.46616666666666667</v>
      </c>
      <c r="S31" s="3" t="s">
        <v>201</v>
      </c>
    </row>
    <row r="32" spans="3:19" x14ac:dyDescent="0.45">
      <c r="H32" s="6" t="s">
        <v>205</v>
      </c>
      <c r="I32" s="6" t="s">
        <v>18</v>
      </c>
      <c r="J32" s="6"/>
      <c r="P32" s="12">
        <v>2027</v>
      </c>
      <c r="Q32" s="6" t="s">
        <v>202</v>
      </c>
      <c r="R32" s="8">
        <v>0.2591</v>
      </c>
      <c r="S32" s="6" t="s">
        <v>201</v>
      </c>
    </row>
    <row r="33" spans="8:19" x14ac:dyDescent="0.45">
      <c r="H33" s="3" t="s">
        <v>205</v>
      </c>
      <c r="I33" s="3" t="s">
        <v>19</v>
      </c>
      <c r="J33" s="3"/>
      <c r="P33" s="11">
        <v>2027</v>
      </c>
      <c r="Q33" s="3" t="s">
        <v>203</v>
      </c>
      <c r="R33" s="5">
        <v>0.25046666666666667</v>
      </c>
      <c r="S33" s="3" t="s">
        <v>201</v>
      </c>
    </row>
    <row r="34" spans="8:19" x14ac:dyDescent="0.45">
      <c r="H34" s="6" t="s">
        <v>205</v>
      </c>
      <c r="I34" s="6" t="s">
        <v>20</v>
      </c>
      <c r="J34" s="6"/>
      <c r="P34" s="12">
        <v>2027</v>
      </c>
      <c r="Q34" s="6" t="s">
        <v>204</v>
      </c>
      <c r="R34" s="8">
        <v>0.37133333333333329</v>
      </c>
      <c r="S34" s="6" t="s">
        <v>201</v>
      </c>
    </row>
    <row r="35" spans="8:19" x14ac:dyDescent="0.45">
      <c r="P35" s="11">
        <v>2028</v>
      </c>
      <c r="Q35" s="3" t="s">
        <v>200</v>
      </c>
      <c r="R35" s="5">
        <v>0.48456666666666665</v>
      </c>
      <c r="S35" s="3" t="s">
        <v>201</v>
      </c>
    </row>
    <row r="36" spans="8:19" x14ac:dyDescent="0.45">
      <c r="P36" s="12">
        <v>2028</v>
      </c>
      <c r="Q36" s="6" t="s">
        <v>202</v>
      </c>
      <c r="R36" s="8">
        <v>0.29560000000000003</v>
      </c>
      <c r="S36" s="6" t="s">
        <v>201</v>
      </c>
    </row>
    <row r="37" spans="8:19" x14ac:dyDescent="0.45">
      <c r="P37" s="11">
        <v>2028</v>
      </c>
      <c r="Q37" s="3" t="s">
        <v>203</v>
      </c>
      <c r="R37" s="5">
        <v>0.18820000000000001</v>
      </c>
      <c r="S37" s="3" t="s">
        <v>201</v>
      </c>
    </row>
    <row r="38" spans="8:19" x14ac:dyDescent="0.45">
      <c r="P38" s="12">
        <v>2028</v>
      </c>
      <c r="Q38" s="6" t="s">
        <v>204</v>
      </c>
      <c r="R38" s="8">
        <v>0.35716666666666663</v>
      </c>
      <c r="S38" s="6" t="s">
        <v>201</v>
      </c>
    </row>
    <row r="39" spans="8:19" x14ac:dyDescent="0.45">
      <c r="P39" s="11">
        <v>2029</v>
      </c>
      <c r="Q39" s="3" t="s">
        <v>200</v>
      </c>
      <c r="R39" s="5">
        <v>0.4956666666666667</v>
      </c>
      <c r="S39" s="3" t="s">
        <v>201</v>
      </c>
    </row>
    <row r="40" spans="8:19" x14ac:dyDescent="0.45">
      <c r="P40" s="12">
        <v>2029</v>
      </c>
      <c r="Q40" s="6" t="s">
        <v>202</v>
      </c>
      <c r="R40" s="8">
        <v>0.30980000000000002</v>
      </c>
      <c r="S40" s="6" t="s">
        <v>201</v>
      </c>
    </row>
    <row r="41" spans="8:19" x14ac:dyDescent="0.45">
      <c r="P41" s="11">
        <v>2029</v>
      </c>
      <c r="Q41" s="3" t="s">
        <v>203</v>
      </c>
      <c r="R41" s="5">
        <v>0.16796666666666668</v>
      </c>
      <c r="S41" s="3" t="s">
        <v>201</v>
      </c>
    </row>
    <row r="42" spans="8:19" x14ac:dyDescent="0.45">
      <c r="P42" s="12">
        <v>2029</v>
      </c>
      <c r="Q42" s="6" t="s">
        <v>204</v>
      </c>
      <c r="R42" s="8">
        <v>0.36343333333333333</v>
      </c>
      <c r="S42" s="6" t="s">
        <v>201</v>
      </c>
    </row>
    <row r="43" spans="8:19" x14ac:dyDescent="0.45">
      <c r="P43" s="11">
        <v>2030</v>
      </c>
      <c r="Q43" s="3" t="s">
        <v>200</v>
      </c>
      <c r="R43" s="5">
        <v>0.48489999999999994</v>
      </c>
      <c r="S43" s="3" t="s">
        <v>201</v>
      </c>
    </row>
    <row r="44" spans="8:19" x14ac:dyDescent="0.45">
      <c r="P44" s="12">
        <v>2030</v>
      </c>
      <c r="Q44" s="6" t="s">
        <v>202</v>
      </c>
      <c r="R44" s="8">
        <v>0.35726666666666668</v>
      </c>
      <c r="S44" s="6" t="s">
        <v>201</v>
      </c>
    </row>
    <row r="45" spans="8:19" x14ac:dyDescent="0.45">
      <c r="P45" s="11">
        <v>2030</v>
      </c>
      <c r="Q45" s="3" t="s">
        <v>203</v>
      </c>
      <c r="R45" s="5">
        <v>0.20366666666666666</v>
      </c>
      <c r="S45" s="3" t="s">
        <v>201</v>
      </c>
    </row>
    <row r="46" spans="8:19" x14ac:dyDescent="0.45">
      <c r="P46" s="12">
        <v>2030</v>
      </c>
      <c r="Q46" s="6" t="s">
        <v>204</v>
      </c>
      <c r="R46" s="8">
        <v>0.39660000000000001</v>
      </c>
      <c r="S46" s="6" t="s">
        <v>201</v>
      </c>
    </row>
    <row r="47" spans="8:19" x14ac:dyDescent="0.45">
      <c r="P47" s="11">
        <v>2031</v>
      </c>
      <c r="Q47" s="3" t="s">
        <v>200</v>
      </c>
      <c r="R47" s="5">
        <v>0.41360000000000002</v>
      </c>
      <c r="S47" s="3" t="s">
        <v>201</v>
      </c>
    </row>
    <row r="48" spans="8:19" x14ac:dyDescent="0.45">
      <c r="P48" s="12">
        <v>2031</v>
      </c>
      <c r="Q48" s="6" t="s">
        <v>202</v>
      </c>
      <c r="R48" s="8">
        <v>0.28076666666666666</v>
      </c>
      <c r="S48" s="6" t="s">
        <v>201</v>
      </c>
    </row>
    <row r="49" spans="16:19" x14ac:dyDescent="0.45">
      <c r="P49" s="11">
        <v>2031</v>
      </c>
      <c r="Q49" s="3" t="s">
        <v>203</v>
      </c>
      <c r="R49" s="5">
        <v>0.18770000000000001</v>
      </c>
      <c r="S49" s="3" t="s">
        <v>201</v>
      </c>
    </row>
    <row r="50" spans="16:19" x14ac:dyDescent="0.45">
      <c r="P50" s="12">
        <v>2031</v>
      </c>
      <c r="Q50" s="6" t="s">
        <v>204</v>
      </c>
      <c r="R50" s="8">
        <v>0.32346666666666668</v>
      </c>
      <c r="S50" s="6" t="s">
        <v>201</v>
      </c>
    </row>
    <row r="51" spans="16:19" x14ac:dyDescent="0.45">
      <c r="P51" s="11">
        <v>2032</v>
      </c>
      <c r="Q51" s="3" t="s">
        <v>200</v>
      </c>
      <c r="R51" s="5">
        <v>0.40599999999999997</v>
      </c>
      <c r="S51" s="3" t="s">
        <v>201</v>
      </c>
    </row>
    <row r="52" spans="16:19" x14ac:dyDescent="0.45">
      <c r="P52" s="12">
        <v>2032</v>
      </c>
      <c r="Q52" s="6" t="s">
        <v>202</v>
      </c>
      <c r="R52" s="8">
        <v>0.22276666666666667</v>
      </c>
      <c r="S52" s="6" t="s">
        <v>201</v>
      </c>
    </row>
    <row r="53" spans="16:19" x14ac:dyDescent="0.45">
      <c r="P53" s="11">
        <v>2032</v>
      </c>
      <c r="Q53" s="3" t="s">
        <v>203</v>
      </c>
      <c r="R53" s="5">
        <v>0.18836666666666668</v>
      </c>
      <c r="S53" s="3" t="s">
        <v>201</v>
      </c>
    </row>
    <row r="54" spans="16:19" x14ac:dyDescent="0.45">
      <c r="P54" s="12">
        <v>2032</v>
      </c>
      <c r="Q54" s="6" t="s">
        <v>204</v>
      </c>
      <c r="R54" s="8">
        <v>0.31570000000000004</v>
      </c>
      <c r="S54" s="6" t="s">
        <v>201</v>
      </c>
    </row>
    <row r="55" spans="16:19" x14ac:dyDescent="0.45">
      <c r="P55" s="11">
        <v>2033</v>
      </c>
      <c r="Q55" s="3" t="s">
        <v>200</v>
      </c>
      <c r="R55" s="5">
        <v>0.3318666666666667</v>
      </c>
      <c r="S55" s="3" t="s">
        <v>201</v>
      </c>
    </row>
    <row r="56" spans="16:19" x14ac:dyDescent="0.45">
      <c r="P56" s="12">
        <v>2033</v>
      </c>
      <c r="Q56" s="6" t="s">
        <v>202</v>
      </c>
      <c r="R56" s="8">
        <v>0.19993333333333332</v>
      </c>
      <c r="S56" s="6" t="s">
        <v>201</v>
      </c>
    </row>
    <row r="57" spans="16:19" x14ac:dyDescent="0.45">
      <c r="P57" s="11">
        <v>2033</v>
      </c>
      <c r="Q57" s="3" t="s">
        <v>203</v>
      </c>
      <c r="R57" s="5">
        <v>0.13639999999999999</v>
      </c>
      <c r="S57" s="3" t="s">
        <v>201</v>
      </c>
    </row>
    <row r="58" spans="16:19" x14ac:dyDescent="0.45">
      <c r="P58" s="12">
        <v>2033</v>
      </c>
      <c r="Q58" s="6" t="s">
        <v>204</v>
      </c>
      <c r="R58" s="8">
        <v>0.29836666666666667</v>
      </c>
      <c r="S58" s="6" t="s">
        <v>201</v>
      </c>
    </row>
    <row r="59" spans="16:19" x14ac:dyDescent="0.45">
      <c r="P59" s="11">
        <v>2034</v>
      </c>
      <c r="Q59" s="3" t="s">
        <v>200</v>
      </c>
      <c r="R59" s="5">
        <v>0.39840000000000003</v>
      </c>
      <c r="S59" s="3" t="s">
        <v>201</v>
      </c>
    </row>
    <row r="60" spans="16:19" x14ac:dyDescent="0.45">
      <c r="P60" s="12">
        <v>2034</v>
      </c>
      <c r="Q60" s="6" t="s">
        <v>202</v>
      </c>
      <c r="R60" s="8">
        <v>0.25580000000000003</v>
      </c>
      <c r="S60" s="6" t="s">
        <v>201</v>
      </c>
    </row>
    <row r="61" spans="16:19" x14ac:dyDescent="0.45">
      <c r="P61" s="11">
        <v>2034</v>
      </c>
      <c r="Q61" s="3" t="s">
        <v>203</v>
      </c>
      <c r="R61" s="5">
        <v>0.13743333333333332</v>
      </c>
      <c r="S61" s="3" t="s">
        <v>201</v>
      </c>
    </row>
    <row r="62" spans="16:19" x14ac:dyDescent="0.45">
      <c r="P62" s="12">
        <v>2034</v>
      </c>
      <c r="Q62" s="6" t="s">
        <v>204</v>
      </c>
      <c r="R62" s="8">
        <v>0.27073333333333333</v>
      </c>
      <c r="S62" s="6" t="s">
        <v>201</v>
      </c>
    </row>
    <row r="63" spans="16:19" x14ac:dyDescent="0.45">
      <c r="P63" s="11">
        <v>2035</v>
      </c>
      <c r="Q63" s="3" t="s">
        <v>200</v>
      </c>
      <c r="R63" s="5">
        <v>0.40686666666666671</v>
      </c>
      <c r="S63" s="3" t="s">
        <v>201</v>
      </c>
    </row>
    <row r="64" spans="16:19" x14ac:dyDescent="0.45">
      <c r="P64" s="12">
        <v>2035</v>
      </c>
      <c r="Q64" s="6" t="s">
        <v>202</v>
      </c>
      <c r="R64" s="8">
        <v>0.2044</v>
      </c>
      <c r="S64" s="6" t="s">
        <v>201</v>
      </c>
    </row>
    <row r="65" spans="16:19" x14ac:dyDescent="0.45">
      <c r="P65" s="11">
        <v>2035</v>
      </c>
      <c r="Q65" s="3" t="s">
        <v>203</v>
      </c>
      <c r="R65" s="5">
        <v>0.17936666666666667</v>
      </c>
      <c r="S65" s="3" t="s">
        <v>201</v>
      </c>
    </row>
    <row r="66" spans="16:19" x14ac:dyDescent="0.45">
      <c r="P66" s="12">
        <v>2035</v>
      </c>
      <c r="Q66" s="6" t="s">
        <v>204</v>
      </c>
      <c r="R66" s="8">
        <v>0.27663333333333329</v>
      </c>
      <c r="S66" s="6" t="s">
        <v>201</v>
      </c>
    </row>
    <row r="67" spans="16:19" x14ac:dyDescent="0.45">
      <c r="P67" s="11">
        <v>2036</v>
      </c>
      <c r="Q67" s="3" t="s">
        <v>200</v>
      </c>
      <c r="R67" s="5">
        <v>0.35573333333333329</v>
      </c>
      <c r="S67" s="3" t="s">
        <v>201</v>
      </c>
    </row>
    <row r="68" spans="16:19" x14ac:dyDescent="0.45">
      <c r="P68" s="12">
        <v>2036</v>
      </c>
      <c r="Q68" s="6" t="s">
        <v>202</v>
      </c>
      <c r="R68" s="8">
        <v>0.20973333333333333</v>
      </c>
      <c r="S68" s="6" t="s">
        <v>201</v>
      </c>
    </row>
    <row r="69" spans="16:19" x14ac:dyDescent="0.45">
      <c r="P69" s="11">
        <v>2036</v>
      </c>
      <c r="Q69" s="3" t="s">
        <v>203</v>
      </c>
      <c r="R69" s="5">
        <v>0.21096666666666666</v>
      </c>
      <c r="S69" s="3" t="s">
        <v>201</v>
      </c>
    </row>
    <row r="70" spans="16:19" x14ac:dyDescent="0.45">
      <c r="P70" s="12">
        <v>2036</v>
      </c>
      <c r="Q70" s="6" t="s">
        <v>204</v>
      </c>
      <c r="R70" s="8">
        <v>0.34016666666666673</v>
      </c>
      <c r="S70" s="6" t="s">
        <v>201</v>
      </c>
    </row>
    <row r="71" spans="16:19" x14ac:dyDescent="0.45">
      <c r="P71" s="11">
        <v>2037</v>
      </c>
      <c r="Q71" s="3" t="s">
        <v>200</v>
      </c>
      <c r="R71" s="5">
        <v>0.34559999999999996</v>
      </c>
      <c r="S71" s="3" t="s">
        <v>201</v>
      </c>
    </row>
    <row r="72" spans="16:19" x14ac:dyDescent="0.45">
      <c r="P72" s="12">
        <v>2037</v>
      </c>
      <c r="Q72" s="6" t="s">
        <v>202</v>
      </c>
      <c r="R72" s="8">
        <v>0.2109</v>
      </c>
      <c r="S72" s="6" t="s">
        <v>201</v>
      </c>
    </row>
    <row r="73" spans="16:19" x14ac:dyDescent="0.45">
      <c r="P73" s="11">
        <v>2037</v>
      </c>
      <c r="Q73" s="3" t="s">
        <v>203</v>
      </c>
      <c r="R73" s="5">
        <v>0.1618333333333333</v>
      </c>
      <c r="S73" s="3" t="s">
        <v>201</v>
      </c>
    </row>
    <row r="74" spans="16:19" x14ac:dyDescent="0.45">
      <c r="P74" s="12">
        <v>2037</v>
      </c>
      <c r="Q74" s="6" t="s">
        <v>204</v>
      </c>
      <c r="R74" s="8">
        <v>0.22196666666666665</v>
      </c>
      <c r="S74" s="6" t="s">
        <v>201</v>
      </c>
    </row>
    <row r="75" spans="16:19" x14ac:dyDescent="0.45">
      <c r="P75" s="11">
        <v>2038</v>
      </c>
      <c r="Q75" s="3" t="s">
        <v>200</v>
      </c>
      <c r="R75" s="5">
        <v>0.42173333333333335</v>
      </c>
      <c r="S75" s="3" t="s">
        <v>201</v>
      </c>
    </row>
    <row r="76" spans="16:19" x14ac:dyDescent="0.45">
      <c r="P76" s="12">
        <v>2038</v>
      </c>
      <c r="Q76" s="6" t="s">
        <v>202</v>
      </c>
      <c r="R76" s="8">
        <v>0.27389999999999998</v>
      </c>
      <c r="S76" s="6" t="s">
        <v>201</v>
      </c>
    </row>
    <row r="77" spans="16:19" x14ac:dyDescent="0.45">
      <c r="P77" s="11">
        <v>2038</v>
      </c>
      <c r="Q77" s="3" t="s">
        <v>203</v>
      </c>
      <c r="R77" s="5">
        <v>0.15846666666666667</v>
      </c>
      <c r="S77" s="3" t="s">
        <v>201</v>
      </c>
    </row>
    <row r="78" spans="16:19" x14ac:dyDescent="0.45">
      <c r="P78" s="12">
        <v>2038</v>
      </c>
      <c r="Q78" s="6" t="s">
        <v>204</v>
      </c>
      <c r="R78" s="8">
        <v>0.25323333333333337</v>
      </c>
      <c r="S78" s="6" t="s">
        <v>201</v>
      </c>
    </row>
    <row r="79" spans="16:19" x14ac:dyDescent="0.45">
      <c r="P79" s="11">
        <v>2039</v>
      </c>
      <c r="Q79" s="3" t="s">
        <v>200</v>
      </c>
      <c r="R79" s="5">
        <v>0.3681666666666667</v>
      </c>
      <c r="S79" s="3" t="s">
        <v>201</v>
      </c>
    </row>
    <row r="80" spans="16:19" x14ac:dyDescent="0.45">
      <c r="P80" s="12">
        <v>2039</v>
      </c>
      <c r="Q80" s="6" t="s">
        <v>202</v>
      </c>
      <c r="R80" s="8">
        <v>0.17446666666666666</v>
      </c>
      <c r="S80" s="6" t="s">
        <v>201</v>
      </c>
    </row>
    <row r="81" spans="16:19" x14ac:dyDescent="0.45">
      <c r="P81" s="11">
        <v>2039</v>
      </c>
      <c r="Q81" s="3" t="s">
        <v>203</v>
      </c>
      <c r="R81" s="5">
        <v>0.16873333333333332</v>
      </c>
      <c r="S81" s="3" t="s">
        <v>201</v>
      </c>
    </row>
    <row r="82" spans="16:19" x14ac:dyDescent="0.45">
      <c r="P82" s="12">
        <v>2039</v>
      </c>
      <c r="Q82" s="6" t="s">
        <v>204</v>
      </c>
      <c r="R82" s="8">
        <v>0.27656666666666668</v>
      </c>
      <c r="S82" s="6" t="s">
        <v>201</v>
      </c>
    </row>
    <row r="83" spans="16:19" x14ac:dyDescent="0.45">
      <c r="P83" s="11">
        <v>2040</v>
      </c>
      <c r="Q83" s="3" t="s">
        <v>200</v>
      </c>
      <c r="R83" s="5">
        <v>0.34093333333333331</v>
      </c>
      <c r="S83" s="3" t="s">
        <v>201</v>
      </c>
    </row>
    <row r="84" spans="16:19" x14ac:dyDescent="0.45">
      <c r="P84" s="12">
        <v>2040</v>
      </c>
      <c r="Q84" s="6" t="s">
        <v>202</v>
      </c>
      <c r="R84" s="8">
        <v>0.19736666666666669</v>
      </c>
      <c r="S84" s="6" t="s">
        <v>201</v>
      </c>
    </row>
    <row r="85" spans="16:19" x14ac:dyDescent="0.45">
      <c r="P85" s="11">
        <v>2040</v>
      </c>
      <c r="Q85" s="3" t="s">
        <v>203</v>
      </c>
      <c r="R85" s="5">
        <v>0.16566666666666666</v>
      </c>
      <c r="S85" s="3" t="s">
        <v>201</v>
      </c>
    </row>
    <row r="86" spans="16:19" x14ac:dyDescent="0.45">
      <c r="P86" s="12">
        <v>2040</v>
      </c>
      <c r="Q86" s="6" t="s">
        <v>204</v>
      </c>
      <c r="R86" s="8">
        <v>0.28623333333333334</v>
      </c>
      <c r="S86" s="6" t="s">
        <v>201</v>
      </c>
    </row>
    <row r="87" spans="16:19" x14ac:dyDescent="0.45">
      <c r="P87" s="11">
        <v>2041</v>
      </c>
      <c r="Q87" s="3" t="s">
        <v>200</v>
      </c>
      <c r="R87" s="5">
        <v>0.42363333333333331</v>
      </c>
      <c r="S87" s="3" t="s">
        <v>201</v>
      </c>
    </row>
    <row r="88" spans="16:19" x14ac:dyDescent="0.45">
      <c r="P88" s="12">
        <v>2041</v>
      </c>
      <c r="Q88" s="6" t="s">
        <v>202</v>
      </c>
      <c r="R88" s="8">
        <v>0.25426666666666664</v>
      </c>
      <c r="S88" s="6" t="s">
        <v>201</v>
      </c>
    </row>
    <row r="89" spans="16:19" x14ac:dyDescent="0.45">
      <c r="P89" s="11">
        <v>2041</v>
      </c>
      <c r="Q89" s="3" t="s">
        <v>203</v>
      </c>
      <c r="R89" s="5">
        <v>0.21050000000000002</v>
      </c>
      <c r="S89" s="3" t="s">
        <v>201</v>
      </c>
    </row>
    <row r="90" spans="16:19" x14ac:dyDescent="0.45">
      <c r="P90" s="12">
        <v>2041</v>
      </c>
      <c r="Q90" s="6" t="s">
        <v>204</v>
      </c>
      <c r="R90" s="8">
        <v>0.32973333333333327</v>
      </c>
      <c r="S90" s="6" t="s">
        <v>201</v>
      </c>
    </row>
    <row r="91" spans="16:19" x14ac:dyDescent="0.45">
      <c r="P91" s="11">
        <v>2042</v>
      </c>
      <c r="Q91" s="3" t="s">
        <v>200</v>
      </c>
      <c r="R91" s="5">
        <v>0.4463333333333333</v>
      </c>
      <c r="S91" s="3" t="s">
        <v>201</v>
      </c>
    </row>
    <row r="92" spans="16:19" x14ac:dyDescent="0.45">
      <c r="P92" s="12">
        <v>2042</v>
      </c>
      <c r="Q92" s="6" t="s">
        <v>202</v>
      </c>
      <c r="R92" s="8">
        <v>0.27553333333333335</v>
      </c>
      <c r="S92" s="6" t="s">
        <v>201</v>
      </c>
    </row>
    <row r="93" spans="16:19" x14ac:dyDescent="0.45">
      <c r="P93" s="11">
        <v>2042</v>
      </c>
      <c r="Q93" s="3" t="s">
        <v>203</v>
      </c>
      <c r="R93" s="5">
        <v>0.17826666666666666</v>
      </c>
      <c r="S93" s="3" t="s">
        <v>201</v>
      </c>
    </row>
    <row r="94" spans="16:19" x14ac:dyDescent="0.45">
      <c r="P94" s="12">
        <v>2042</v>
      </c>
      <c r="Q94" s="6" t="s">
        <v>204</v>
      </c>
      <c r="R94" s="8">
        <v>0.33363333333333339</v>
      </c>
      <c r="S94" s="6" t="s">
        <v>201</v>
      </c>
    </row>
    <row r="95" spans="16:19" x14ac:dyDescent="0.45">
      <c r="P95" s="11">
        <v>2043</v>
      </c>
      <c r="Q95" s="3" t="s">
        <v>200</v>
      </c>
      <c r="R95" s="5">
        <v>0.44593333333333335</v>
      </c>
      <c r="S95" s="3" t="s">
        <v>201</v>
      </c>
    </row>
    <row r="96" spans="16:19" x14ac:dyDescent="0.45">
      <c r="P96" s="12">
        <v>2043</v>
      </c>
      <c r="Q96" s="6" t="s">
        <v>202</v>
      </c>
      <c r="R96" s="8">
        <v>0.26879999999999998</v>
      </c>
      <c r="S96" s="6" t="s">
        <v>201</v>
      </c>
    </row>
    <row r="97" spans="16:19" x14ac:dyDescent="0.45">
      <c r="P97" s="11">
        <v>2043</v>
      </c>
      <c r="Q97" s="3" t="s">
        <v>203</v>
      </c>
      <c r="R97" s="5">
        <v>0.20633333333333334</v>
      </c>
      <c r="S97" s="3" t="s">
        <v>201</v>
      </c>
    </row>
    <row r="98" spans="16:19" x14ac:dyDescent="0.45">
      <c r="P98" s="12">
        <v>2043</v>
      </c>
      <c r="Q98" s="6" t="s">
        <v>204</v>
      </c>
      <c r="R98" s="8">
        <v>0.32190000000000002</v>
      </c>
      <c r="S98" s="6" t="s">
        <v>201</v>
      </c>
    </row>
    <row r="99" spans="16:19" x14ac:dyDescent="0.45">
      <c r="P99" s="11">
        <v>2044</v>
      </c>
      <c r="Q99" s="3" t="s">
        <v>200</v>
      </c>
      <c r="R99" s="5">
        <v>0.46713333333333334</v>
      </c>
      <c r="S99" s="3" t="s">
        <v>201</v>
      </c>
    </row>
    <row r="100" spans="16:19" x14ac:dyDescent="0.45">
      <c r="P100" s="12">
        <v>2044</v>
      </c>
      <c r="Q100" s="6" t="s">
        <v>202</v>
      </c>
      <c r="R100" s="8">
        <v>0.33363333333333339</v>
      </c>
      <c r="S100" s="6" t="s">
        <v>201</v>
      </c>
    </row>
    <row r="101" spans="16:19" x14ac:dyDescent="0.45">
      <c r="P101" s="11">
        <v>2044</v>
      </c>
      <c r="Q101" s="3" t="s">
        <v>203</v>
      </c>
      <c r="R101" s="5">
        <v>0.16406666666666667</v>
      </c>
      <c r="S101" s="3" t="s">
        <v>201</v>
      </c>
    </row>
    <row r="102" spans="16:19" x14ac:dyDescent="0.45">
      <c r="P102" s="12">
        <v>2044</v>
      </c>
      <c r="Q102" s="6" t="s">
        <v>204</v>
      </c>
      <c r="R102" s="8">
        <v>0.35766666666666663</v>
      </c>
      <c r="S102" s="6" t="s">
        <v>201</v>
      </c>
    </row>
    <row r="103" spans="16:19" x14ac:dyDescent="0.45">
      <c r="P103" s="11">
        <v>2045</v>
      </c>
      <c r="Q103" s="3" t="s">
        <v>200</v>
      </c>
      <c r="R103" s="5">
        <v>0.47876666666666673</v>
      </c>
      <c r="S103" s="3" t="s">
        <v>201</v>
      </c>
    </row>
    <row r="104" spans="16:19" x14ac:dyDescent="0.45">
      <c r="P104" s="12">
        <v>2045</v>
      </c>
      <c r="Q104" s="6" t="s">
        <v>202</v>
      </c>
      <c r="R104" s="8">
        <v>0.35499999999999998</v>
      </c>
      <c r="S104" s="6" t="s">
        <v>201</v>
      </c>
    </row>
    <row r="105" spans="16:19" x14ac:dyDescent="0.45">
      <c r="P105" s="11">
        <v>2045</v>
      </c>
      <c r="Q105" s="3" t="s">
        <v>203</v>
      </c>
      <c r="R105" s="5">
        <v>0.17576666666666665</v>
      </c>
      <c r="S105" s="3" t="s">
        <v>201</v>
      </c>
    </row>
    <row r="106" spans="16:19" x14ac:dyDescent="0.45">
      <c r="P106" s="12">
        <v>2045</v>
      </c>
      <c r="Q106" s="6" t="s">
        <v>204</v>
      </c>
      <c r="R106" s="8">
        <v>0.36703333333333332</v>
      </c>
      <c r="S106" s="6" t="s">
        <v>201</v>
      </c>
    </row>
    <row r="107" spans="16:19" x14ac:dyDescent="0.45">
      <c r="P107" s="11">
        <v>2046</v>
      </c>
      <c r="Q107" s="3" t="s">
        <v>200</v>
      </c>
      <c r="R107" s="5">
        <v>0.4017</v>
      </c>
      <c r="S107" s="3" t="s">
        <v>201</v>
      </c>
    </row>
    <row r="108" spans="16:19" x14ac:dyDescent="0.45">
      <c r="P108" s="12">
        <v>2046</v>
      </c>
      <c r="Q108" s="6" t="s">
        <v>202</v>
      </c>
      <c r="R108" s="8">
        <v>0.17300000000000001</v>
      </c>
      <c r="S108" s="6" t="s">
        <v>201</v>
      </c>
    </row>
    <row r="109" spans="16:19" x14ac:dyDescent="0.45">
      <c r="P109" s="11">
        <v>2046</v>
      </c>
      <c r="Q109" s="3" t="s">
        <v>203</v>
      </c>
      <c r="R109" s="5">
        <v>0.12866666666666668</v>
      </c>
      <c r="S109" s="3" t="s">
        <v>201</v>
      </c>
    </row>
    <row r="110" spans="16:19" x14ac:dyDescent="0.45">
      <c r="P110" s="12">
        <v>2046</v>
      </c>
      <c r="Q110" s="6" t="s">
        <v>204</v>
      </c>
      <c r="R110" s="8">
        <v>0.26299999999999996</v>
      </c>
      <c r="S110" s="6" t="s">
        <v>201</v>
      </c>
    </row>
    <row r="111" spans="16:19" x14ac:dyDescent="0.45">
      <c r="P111" s="11">
        <v>2047</v>
      </c>
      <c r="Q111" s="3" t="s">
        <v>200</v>
      </c>
      <c r="R111" s="5">
        <v>0.45989999999999998</v>
      </c>
      <c r="S111" s="3" t="s">
        <v>201</v>
      </c>
    </row>
    <row r="112" spans="16:19" x14ac:dyDescent="0.45">
      <c r="P112" s="12">
        <v>2047</v>
      </c>
      <c r="Q112" s="6" t="s">
        <v>202</v>
      </c>
      <c r="R112" s="8">
        <v>0.26593333333333335</v>
      </c>
      <c r="S112" s="6" t="s">
        <v>201</v>
      </c>
    </row>
    <row r="113" spans="16:19" x14ac:dyDescent="0.45">
      <c r="P113" s="11">
        <v>2047</v>
      </c>
      <c r="Q113" s="3" t="s">
        <v>203</v>
      </c>
      <c r="R113" s="5">
        <v>0.18060000000000001</v>
      </c>
      <c r="S113" s="3" t="s">
        <v>201</v>
      </c>
    </row>
    <row r="114" spans="16:19" x14ac:dyDescent="0.45">
      <c r="P114" s="12">
        <v>2047</v>
      </c>
      <c r="Q114" s="6" t="s">
        <v>204</v>
      </c>
      <c r="R114" s="8">
        <v>0.32306666666666667</v>
      </c>
      <c r="S114" s="6" t="s">
        <v>201</v>
      </c>
    </row>
    <row r="115" spans="16:19" x14ac:dyDescent="0.45">
      <c r="P115" s="11">
        <v>2048</v>
      </c>
      <c r="Q115" s="3" t="s">
        <v>200</v>
      </c>
      <c r="R115" s="5">
        <v>0.40523333333333333</v>
      </c>
      <c r="S115" s="3" t="s">
        <v>201</v>
      </c>
    </row>
    <row r="116" spans="16:19" x14ac:dyDescent="0.45">
      <c r="P116" s="12">
        <v>2048</v>
      </c>
      <c r="Q116" s="6" t="s">
        <v>202</v>
      </c>
      <c r="R116" s="8">
        <v>0.29409999999999997</v>
      </c>
      <c r="S116" s="6" t="s">
        <v>201</v>
      </c>
    </row>
    <row r="117" spans="16:19" x14ac:dyDescent="0.45">
      <c r="P117" s="11">
        <v>2048</v>
      </c>
      <c r="Q117" s="3" t="s">
        <v>203</v>
      </c>
      <c r="R117" s="5">
        <v>0.19243333333333335</v>
      </c>
      <c r="S117" s="3" t="s">
        <v>201</v>
      </c>
    </row>
    <row r="118" spans="16:19" x14ac:dyDescent="0.45">
      <c r="P118" s="12">
        <v>2048</v>
      </c>
      <c r="Q118" s="6" t="s">
        <v>204</v>
      </c>
      <c r="R118" s="8">
        <v>0.29696666666666666</v>
      </c>
      <c r="S118" s="6" t="s">
        <v>201</v>
      </c>
    </row>
    <row r="119" spans="16:19" x14ac:dyDescent="0.45">
      <c r="P119" s="11">
        <v>2049</v>
      </c>
      <c r="Q119" s="3" t="s">
        <v>200</v>
      </c>
      <c r="R119" s="5">
        <v>0.42746666666666666</v>
      </c>
      <c r="S119" s="3" t="s">
        <v>201</v>
      </c>
    </row>
    <row r="120" spans="16:19" x14ac:dyDescent="0.45">
      <c r="P120" s="12">
        <v>2049</v>
      </c>
      <c r="Q120" s="6" t="s">
        <v>202</v>
      </c>
      <c r="R120" s="8">
        <v>0.30656666666666665</v>
      </c>
      <c r="S120" s="6" t="s">
        <v>201</v>
      </c>
    </row>
    <row r="121" spans="16:19" x14ac:dyDescent="0.45">
      <c r="P121" s="11">
        <v>2049</v>
      </c>
      <c r="Q121" s="3" t="s">
        <v>203</v>
      </c>
      <c r="R121" s="5">
        <v>0.11843333333333333</v>
      </c>
      <c r="S121" s="3" t="s">
        <v>201</v>
      </c>
    </row>
    <row r="122" spans="16:19" x14ac:dyDescent="0.45">
      <c r="P122" s="12">
        <v>2049</v>
      </c>
      <c r="Q122" s="6" t="s">
        <v>204</v>
      </c>
      <c r="R122" s="8">
        <v>0.26919999999999999</v>
      </c>
      <c r="S122" s="6" t="s">
        <v>201</v>
      </c>
    </row>
    <row r="123" spans="16:19" x14ac:dyDescent="0.45">
      <c r="P123" s="11">
        <v>2050</v>
      </c>
      <c r="Q123" s="3" t="s">
        <v>200</v>
      </c>
      <c r="R123" s="5">
        <v>0.40840000000000004</v>
      </c>
      <c r="S123" s="3" t="s">
        <v>201</v>
      </c>
    </row>
    <row r="124" spans="16:19" x14ac:dyDescent="0.45">
      <c r="P124" s="12">
        <v>2050</v>
      </c>
      <c r="Q124" s="6" t="s">
        <v>202</v>
      </c>
      <c r="R124" s="8">
        <v>0.27373333333333333</v>
      </c>
      <c r="S124" s="6" t="s">
        <v>201</v>
      </c>
    </row>
    <row r="125" spans="16:19" x14ac:dyDescent="0.45">
      <c r="P125" s="11">
        <v>2050</v>
      </c>
      <c r="Q125" s="3" t="s">
        <v>203</v>
      </c>
      <c r="R125" s="5">
        <v>0.18489999999999998</v>
      </c>
      <c r="S125" s="3" t="s">
        <v>201</v>
      </c>
    </row>
    <row r="126" spans="16:19" x14ac:dyDescent="0.45">
      <c r="P126" s="12">
        <v>2050</v>
      </c>
      <c r="Q126" s="6" t="s">
        <v>204</v>
      </c>
      <c r="R126" s="8">
        <v>0.25993333333333335</v>
      </c>
      <c r="S126" s="6" t="s">
        <v>201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3D00-C198-4C60-8753-676CF7DCB83F}">
  <dimension ref="A1:O226"/>
  <sheetViews>
    <sheetView workbookViewId="0">
      <selection sqref="A1:H1"/>
    </sheetView>
  </sheetViews>
  <sheetFormatPr defaultRowHeight="14.25" x14ac:dyDescent="0.45"/>
  <cols>
    <col min="2" max="2" width="11.796875" bestFit="1" customWidth="1"/>
    <col min="3" max="5" width="10.59765625" customWidth="1"/>
    <col min="7" max="7" width="12.3984375" bestFit="1" customWidth="1"/>
    <col min="8" max="10" width="10.59765625" customWidth="1"/>
    <col min="12" max="12" width="12" bestFit="1" customWidth="1"/>
    <col min="13" max="15" width="10.59765625" customWidth="1"/>
  </cols>
  <sheetData>
    <row r="1" spans="1:15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5" ht="14.65" thickBot="1" x14ac:dyDescent="0.5">
      <c r="B9" s="1" t="str">
        <f>IF(A11="x","DeActivated","~TFM_DINS-AT: region=IRL")</f>
        <v>~TFM_DINS-AT: region=IRL</v>
      </c>
      <c r="G9" s="1" t="str">
        <f>IF(A11="x","DeActivated","~TFM_DINS-AT: region=IRL")</f>
        <v>~TFM_DINS-AT: region=IRL</v>
      </c>
      <c r="L9" s="1" t="str">
        <f>IF(A11="x","DeActivated","~TFM_DINS-AT: region=IRL")</f>
        <v>~TFM_DINS-AT: region=IRL</v>
      </c>
    </row>
    <row r="10" spans="1:15" ht="15.75" thickBot="1" x14ac:dyDescent="0.6">
      <c r="B10" s="2" t="s">
        <v>1</v>
      </c>
      <c r="C10" s="2" t="s">
        <v>2</v>
      </c>
      <c r="D10" s="2" t="s">
        <v>3</v>
      </c>
      <c r="E10" s="2" t="s">
        <v>4</v>
      </c>
      <c r="G10" s="2" t="s">
        <v>1</v>
      </c>
      <c r="H10" s="2" t="s">
        <v>2</v>
      </c>
      <c r="I10" s="2" t="s">
        <v>3</v>
      </c>
      <c r="J10" s="2" t="s">
        <v>4</v>
      </c>
      <c r="L10" s="2" t="s">
        <v>1</v>
      </c>
      <c r="M10" s="2" t="s">
        <v>2</v>
      </c>
      <c r="N10" s="2" t="s">
        <v>3</v>
      </c>
      <c r="O10" s="2" t="s">
        <v>4</v>
      </c>
    </row>
    <row r="11" spans="1:15" x14ac:dyDescent="0.45">
      <c r="B11" s="3" t="s">
        <v>206</v>
      </c>
      <c r="C11" s="3" t="s">
        <v>6</v>
      </c>
      <c r="D11" s="4">
        <v>0</v>
      </c>
      <c r="E11" s="3" t="s">
        <v>7</v>
      </c>
      <c r="G11" s="3" t="s">
        <v>207</v>
      </c>
      <c r="H11" s="3" t="s">
        <v>6</v>
      </c>
      <c r="I11" s="5">
        <v>9.9477043542064894E-2</v>
      </c>
      <c r="J11" s="3" t="s">
        <v>7</v>
      </c>
      <c r="L11" s="3" t="s">
        <v>208</v>
      </c>
      <c r="M11" s="3" t="s">
        <v>6</v>
      </c>
      <c r="N11" s="5">
        <v>9.6932118182328081E-2</v>
      </c>
      <c r="O11" s="3" t="s">
        <v>7</v>
      </c>
    </row>
    <row r="12" spans="1:15" x14ac:dyDescent="0.45">
      <c r="B12" s="6" t="s">
        <v>206</v>
      </c>
      <c r="C12" s="6" t="s">
        <v>10</v>
      </c>
      <c r="D12" s="7">
        <v>0.11829922977585626</v>
      </c>
      <c r="E12" s="6" t="s">
        <v>7</v>
      </c>
      <c r="G12" s="6" t="s">
        <v>207</v>
      </c>
      <c r="H12" s="6" t="s">
        <v>10</v>
      </c>
      <c r="I12" s="8">
        <v>0.14117466286222835</v>
      </c>
      <c r="J12" s="6" t="s">
        <v>7</v>
      </c>
      <c r="L12" s="6" t="s">
        <v>208</v>
      </c>
      <c r="M12" s="6" t="s">
        <v>10</v>
      </c>
      <c r="N12" s="8">
        <v>0.12589221634504921</v>
      </c>
      <c r="O12" s="6" t="s">
        <v>7</v>
      </c>
    </row>
    <row r="13" spans="1:15" x14ac:dyDescent="0.45">
      <c r="B13" s="3" t="s">
        <v>206</v>
      </c>
      <c r="C13" s="3" t="s">
        <v>11</v>
      </c>
      <c r="D13" s="4">
        <v>4.7246220638782902E-3</v>
      </c>
      <c r="E13" s="3" t="s">
        <v>7</v>
      </c>
      <c r="G13" s="3" t="s">
        <v>207</v>
      </c>
      <c r="H13" s="3" t="s">
        <v>11</v>
      </c>
      <c r="I13" s="5">
        <v>8.2544010975331428E-2</v>
      </c>
      <c r="J13" s="3" t="s">
        <v>7</v>
      </c>
      <c r="L13" s="3" t="s">
        <v>208</v>
      </c>
      <c r="M13" s="3" t="s">
        <v>11</v>
      </c>
      <c r="N13" s="5">
        <v>7.3417238738379034E-2</v>
      </c>
      <c r="O13" s="3" t="s">
        <v>7</v>
      </c>
    </row>
    <row r="14" spans="1:15" x14ac:dyDescent="0.45">
      <c r="B14" s="6" t="s">
        <v>206</v>
      </c>
      <c r="C14" s="6" t="s">
        <v>12</v>
      </c>
      <c r="D14" s="7">
        <v>3.0207353045050164E-4</v>
      </c>
      <c r="E14" s="6" t="s">
        <v>7</v>
      </c>
      <c r="G14" s="6" t="s">
        <v>207</v>
      </c>
      <c r="H14" s="6" t="s">
        <v>12</v>
      </c>
      <c r="I14" s="8">
        <v>9.2431714375672006E-2</v>
      </c>
      <c r="J14" s="6" t="s">
        <v>7</v>
      </c>
      <c r="L14" s="6" t="s">
        <v>208</v>
      </c>
      <c r="M14" s="6" t="s">
        <v>12</v>
      </c>
      <c r="N14" s="8">
        <v>9.6893140524844712E-2</v>
      </c>
      <c r="O14" s="6" t="s">
        <v>7</v>
      </c>
    </row>
    <row r="15" spans="1:15" x14ac:dyDescent="0.45">
      <c r="B15" s="3" t="s">
        <v>206</v>
      </c>
      <c r="C15" s="3" t="s">
        <v>13</v>
      </c>
      <c r="D15" s="4">
        <v>0.29436773977201453</v>
      </c>
      <c r="E15" s="3" t="s">
        <v>7</v>
      </c>
      <c r="G15" s="3" t="s">
        <v>207</v>
      </c>
      <c r="H15" s="3" t="s">
        <v>13</v>
      </c>
      <c r="I15" s="5">
        <v>0.13274572934314033</v>
      </c>
      <c r="J15" s="3" t="s">
        <v>7</v>
      </c>
      <c r="L15" s="3" t="s">
        <v>208</v>
      </c>
      <c r="M15" s="3" t="s">
        <v>13</v>
      </c>
      <c r="N15" s="5">
        <v>0.11892143182221941</v>
      </c>
      <c r="O15" s="3" t="s">
        <v>7</v>
      </c>
    </row>
    <row r="16" spans="1:15" x14ac:dyDescent="0.45">
      <c r="B16" s="6" t="s">
        <v>206</v>
      </c>
      <c r="C16" s="6" t="s">
        <v>14</v>
      </c>
      <c r="D16" s="7">
        <v>3.6693878690286084E-2</v>
      </c>
      <c r="E16" s="6" t="s">
        <v>7</v>
      </c>
      <c r="G16" s="6" t="s">
        <v>207</v>
      </c>
      <c r="H16" s="6" t="s">
        <v>14</v>
      </c>
      <c r="I16" s="8">
        <v>7.7079346541433433E-2</v>
      </c>
      <c r="J16" s="6" t="s">
        <v>7</v>
      </c>
      <c r="L16" s="6" t="s">
        <v>208</v>
      </c>
      <c r="M16" s="6" t="s">
        <v>14</v>
      </c>
      <c r="N16" s="8">
        <v>7.6338445077965389E-2</v>
      </c>
      <c r="O16" s="6" t="s">
        <v>7</v>
      </c>
    </row>
    <row r="17" spans="2:15" x14ac:dyDescent="0.45">
      <c r="B17" s="3" t="s">
        <v>206</v>
      </c>
      <c r="C17" s="3" t="s">
        <v>15</v>
      </c>
      <c r="D17" s="4">
        <v>8.8117334945849444E-4</v>
      </c>
      <c r="E17" s="3" t="s">
        <v>7</v>
      </c>
      <c r="G17" s="3" t="s">
        <v>207</v>
      </c>
      <c r="H17" s="3" t="s">
        <v>15</v>
      </c>
      <c r="I17" s="5">
        <v>4.5659895014856768E-2</v>
      </c>
      <c r="J17" s="3" t="s">
        <v>7</v>
      </c>
      <c r="L17" s="3" t="s">
        <v>208</v>
      </c>
      <c r="M17" s="3" t="s">
        <v>15</v>
      </c>
      <c r="N17" s="5">
        <v>6.1642264220151038E-2</v>
      </c>
      <c r="O17" s="3" t="s">
        <v>7</v>
      </c>
    </row>
    <row r="18" spans="2:15" x14ac:dyDescent="0.45">
      <c r="B18" s="6" t="s">
        <v>206</v>
      </c>
      <c r="C18" s="6" t="s">
        <v>16</v>
      </c>
      <c r="D18" s="7">
        <v>0.30459116394928798</v>
      </c>
      <c r="E18" s="6" t="s">
        <v>7</v>
      </c>
      <c r="G18" s="6" t="s">
        <v>207</v>
      </c>
      <c r="H18" s="6" t="s">
        <v>16</v>
      </c>
      <c r="I18" s="8">
        <v>7.493942585700579E-2</v>
      </c>
      <c r="J18" s="6" t="s">
        <v>7</v>
      </c>
      <c r="L18" s="6" t="s">
        <v>208</v>
      </c>
      <c r="M18" s="6" t="s">
        <v>16</v>
      </c>
      <c r="N18" s="8">
        <v>7.4347873566134329E-2</v>
      </c>
      <c r="O18" s="6" t="s">
        <v>7</v>
      </c>
    </row>
    <row r="19" spans="2:15" x14ac:dyDescent="0.45">
      <c r="B19" s="3" t="s">
        <v>206</v>
      </c>
      <c r="C19" s="3" t="s">
        <v>17</v>
      </c>
      <c r="D19" s="4">
        <v>4.9632293981378653E-2</v>
      </c>
      <c r="E19" s="3" t="s">
        <v>7</v>
      </c>
      <c r="G19" s="3" t="s">
        <v>207</v>
      </c>
      <c r="H19" s="3" t="s">
        <v>17</v>
      </c>
      <c r="I19" s="5">
        <v>3.9957706381008248E-2</v>
      </c>
      <c r="J19" s="3" t="s">
        <v>7</v>
      </c>
      <c r="L19" s="3" t="s">
        <v>208</v>
      </c>
      <c r="M19" s="3" t="s">
        <v>17</v>
      </c>
      <c r="N19" s="5">
        <v>4.5754744724388889E-2</v>
      </c>
      <c r="O19" s="3" t="s">
        <v>7</v>
      </c>
    </row>
    <row r="20" spans="2:15" x14ac:dyDescent="0.45">
      <c r="B20" s="6" t="s">
        <v>206</v>
      </c>
      <c r="C20" s="6" t="s">
        <v>18</v>
      </c>
      <c r="D20" s="7">
        <v>0</v>
      </c>
      <c r="E20" s="6" t="s">
        <v>7</v>
      </c>
      <c r="G20" s="6" t="s">
        <v>207</v>
      </c>
      <c r="H20" s="6" t="s">
        <v>18</v>
      </c>
      <c r="I20" s="8">
        <v>6.6737128758051073E-2</v>
      </c>
      <c r="J20" s="6" t="s">
        <v>7</v>
      </c>
      <c r="L20" s="6" t="s">
        <v>208</v>
      </c>
      <c r="M20" s="6" t="s">
        <v>18</v>
      </c>
      <c r="N20" s="8">
        <v>7.787031747644782E-2</v>
      </c>
      <c r="O20" s="6" t="s">
        <v>7</v>
      </c>
    </row>
    <row r="21" spans="2:15" x14ac:dyDescent="0.45">
      <c r="B21" s="3" t="s">
        <v>206</v>
      </c>
      <c r="C21" s="3" t="s">
        <v>19</v>
      </c>
      <c r="D21" s="4">
        <v>0.17960648633181731</v>
      </c>
      <c r="E21" s="3" t="s">
        <v>7</v>
      </c>
      <c r="G21" s="3" t="s">
        <v>207</v>
      </c>
      <c r="H21" s="3" t="s">
        <v>19</v>
      </c>
      <c r="I21" s="5">
        <v>9.7044669992721724E-2</v>
      </c>
      <c r="J21" s="3" t="s">
        <v>7</v>
      </c>
      <c r="L21" s="3" t="s">
        <v>208</v>
      </c>
      <c r="M21" s="3" t="s">
        <v>19</v>
      </c>
      <c r="N21" s="5">
        <v>9.5563623637387907E-2</v>
      </c>
      <c r="O21" s="3" t="s">
        <v>7</v>
      </c>
    </row>
    <row r="22" spans="2:15" x14ac:dyDescent="0.45">
      <c r="B22" s="6" t="s">
        <v>206</v>
      </c>
      <c r="C22" s="6" t="s">
        <v>20</v>
      </c>
      <c r="D22" s="7">
        <v>1.0901338555571903E-2</v>
      </c>
      <c r="E22" s="6" t="s">
        <v>7</v>
      </c>
      <c r="G22" s="6" t="s">
        <v>207</v>
      </c>
      <c r="H22" s="6" t="s">
        <v>20</v>
      </c>
      <c r="I22" s="8">
        <v>5.0208666356485958E-2</v>
      </c>
      <c r="J22" s="6" t="s">
        <v>7</v>
      </c>
      <c r="L22" s="6" t="s">
        <v>208</v>
      </c>
      <c r="M22" s="6" t="s">
        <v>20</v>
      </c>
      <c r="N22" s="8">
        <v>5.6426585684704128E-2</v>
      </c>
      <c r="O22" s="6" t="s">
        <v>7</v>
      </c>
    </row>
    <row r="23" spans="2:15" x14ac:dyDescent="0.45">
      <c r="B23" s="3" t="s">
        <v>209</v>
      </c>
      <c r="C23" s="3" t="s">
        <v>6</v>
      </c>
      <c r="D23" s="4">
        <v>0</v>
      </c>
      <c r="E23" s="3" t="s">
        <v>7</v>
      </c>
      <c r="G23" s="3" t="s">
        <v>210</v>
      </c>
      <c r="H23" s="3" t="s">
        <v>6</v>
      </c>
      <c r="I23" s="5">
        <v>9.9932359843641655E-2</v>
      </c>
      <c r="J23" s="3" t="s">
        <v>7</v>
      </c>
      <c r="L23" s="3" t="s">
        <v>211</v>
      </c>
      <c r="M23" s="3" t="s">
        <v>6</v>
      </c>
      <c r="N23" s="5">
        <v>0.10170314789758159</v>
      </c>
      <c r="O23" s="3" t="s">
        <v>7</v>
      </c>
    </row>
    <row r="24" spans="2:15" x14ac:dyDescent="0.45">
      <c r="B24" s="6" t="s">
        <v>209</v>
      </c>
      <c r="C24" s="6" t="s">
        <v>10</v>
      </c>
      <c r="D24" s="7">
        <v>0.11950930170324064</v>
      </c>
      <c r="E24" s="6" t="s">
        <v>7</v>
      </c>
      <c r="G24" s="6" t="s">
        <v>210</v>
      </c>
      <c r="H24" s="6" t="s">
        <v>10</v>
      </c>
      <c r="I24" s="8">
        <v>0.13555720678328328</v>
      </c>
      <c r="J24" s="6" t="s">
        <v>7</v>
      </c>
      <c r="L24" s="6" t="s">
        <v>211</v>
      </c>
      <c r="M24" s="6" t="s">
        <v>10</v>
      </c>
      <c r="N24" s="8">
        <v>0.14314402574105267</v>
      </c>
      <c r="O24" s="6" t="s">
        <v>7</v>
      </c>
    </row>
    <row r="25" spans="2:15" x14ac:dyDescent="0.45">
      <c r="B25" s="3" t="s">
        <v>209</v>
      </c>
      <c r="C25" s="3" t="s">
        <v>11</v>
      </c>
      <c r="D25" s="4">
        <v>4.322543442994947E-3</v>
      </c>
      <c r="E25" s="3" t="s">
        <v>7</v>
      </c>
      <c r="G25" s="3" t="s">
        <v>210</v>
      </c>
      <c r="H25" s="3" t="s">
        <v>11</v>
      </c>
      <c r="I25" s="5">
        <v>8.136818953113098E-2</v>
      </c>
      <c r="J25" s="3" t="s">
        <v>7</v>
      </c>
      <c r="L25" s="3" t="s">
        <v>211</v>
      </c>
      <c r="M25" s="3" t="s">
        <v>11</v>
      </c>
      <c r="N25" s="5">
        <v>7.8852768307124954E-2</v>
      </c>
      <c r="O25" s="3" t="s">
        <v>7</v>
      </c>
    </row>
    <row r="26" spans="2:15" x14ac:dyDescent="0.45">
      <c r="B26" s="6" t="s">
        <v>209</v>
      </c>
      <c r="C26" s="6" t="s">
        <v>12</v>
      </c>
      <c r="D26" s="7">
        <v>3.8122305695512007E-4</v>
      </c>
      <c r="E26" s="6" t="s">
        <v>7</v>
      </c>
      <c r="G26" s="6" t="s">
        <v>210</v>
      </c>
      <c r="H26" s="6" t="s">
        <v>12</v>
      </c>
      <c r="I26" s="8">
        <v>9.575567826355609E-2</v>
      </c>
      <c r="J26" s="6" t="s">
        <v>7</v>
      </c>
      <c r="L26" s="6" t="s">
        <v>211</v>
      </c>
      <c r="M26" s="6" t="s">
        <v>12</v>
      </c>
      <c r="N26" s="8">
        <v>9.2497327179890967E-2</v>
      </c>
      <c r="O26" s="6" t="s">
        <v>7</v>
      </c>
    </row>
    <row r="27" spans="2:15" x14ac:dyDescent="0.45">
      <c r="B27" s="3" t="s">
        <v>209</v>
      </c>
      <c r="C27" s="3" t="s">
        <v>13</v>
      </c>
      <c r="D27" s="4">
        <v>0.29199317096628435</v>
      </c>
      <c r="E27" s="3" t="s">
        <v>7</v>
      </c>
      <c r="G27" s="3" t="s">
        <v>210</v>
      </c>
      <c r="H27" s="3" t="s">
        <v>13</v>
      </c>
      <c r="I27" s="5">
        <v>0.12947193467629575</v>
      </c>
      <c r="J27" s="3" t="s">
        <v>7</v>
      </c>
      <c r="L27" s="3" t="s">
        <v>211</v>
      </c>
      <c r="M27" s="3" t="s">
        <v>13</v>
      </c>
      <c r="N27" s="5">
        <v>0.13383639247916002</v>
      </c>
      <c r="O27" s="3" t="s">
        <v>7</v>
      </c>
    </row>
    <row r="28" spans="2:15" x14ac:dyDescent="0.45">
      <c r="B28" s="6" t="s">
        <v>209</v>
      </c>
      <c r="C28" s="6" t="s">
        <v>14</v>
      </c>
      <c r="D28" s="7">
        <v>3.5386063031207199E-2</v>
      </c>
      <c r="E28" s="6" t="s">
        <v>7</v>
      </c>
      <c r="G28" s="6" t="s">
        <v>210</v>
      </c>
      <c r="H28" s="6" t="s">
        <v>14</v>
      </c>
      <c r="I28" s="8">
        <v>7.444368945333292E-2</v>
      </c>
      <c r="J28" s="6" t="s">
        <v>7</v>
      </c>
      <c r="L28" s="6" t="s">
        <v>211</v>
      </c>
      <c r="M28" s="6" t="s">
        <v>14</v>
      </c>
      <c r="N28" s="8">
        <v>7.2666950361687688E-2</v>
      </c>
      <c r="O28" s="6" t="s">
        <v>7</v>
      </c>
    </row>
    <row r="29" spans="2:15" x14ac:dyDescent="0.45">
      <c r="B29" s="3" t="s">
        <v>209</v>
      </c>
      <c r="C29" s="3" t="s">
        <v>15</v>
      </c>
      <c r="D29" s="4">
        <v>1.0517572139899236E-3</v>
      </c>
      <c r="E29" s="3" t="s">
        <v>7</v>
      </c>
      <c r="G29" s="3" t="s">
        <v>210</v>
      </c>
      <c r="H29" s="3" t="s">
        <v>15</v>
      </c>
      <c r="I29" s="5">
        <v>4.7332907042876342E-2</v>
      </c>
      <c r="J29" s="3" t="s">
        <v>7</v>
      </c>
      <c r="L29" s="3" t="s">
        <v>211</v>
      </c>
      <c r="M29" s="3" t="s">
        <v>15</v>
      </c>
      <c r="N29" s="5">
        <v>4.803003097132956E-2</v>
      </c>
      <c r="O29" s="3" t="s">
        <v>7</v>
      </c>
    </row>
    <row r="30" spans="2:15" x14ac:dyDescent="0.45">
      <c r="B30" s="6" t="s">
        <v>209</v>
      </c>
      <c r="C30" s="6" t="s">
        <v>16</v>
      </c>
      <c r="D30" s="7">
        <v>0.31301059518287233</v>
      </c>
      <c r="E30" s="6" t="s">
        <v>7</v>
      </c>
      <c r="G30" s="6" t="s">
        <v>210</v>
      </c>
      <c r="H30" s="6" t="s">
        <v>16</v>
      </c>
      <c r="I30" s="8">
        <v>7.309804440512184E-2</v>
      </c>
      <c r="J30" s="6" t="s">
        <v>7</v>
      </c>
      <c r="L30" s="6" t="s">
        <v>211</v>
      </c>
      <c r="M30" s="6" t="s">
        <v>16</v>
      </c>
      <c r="N30" s="8">
        <v>7.7176690924147306E-2</v>
      </c>
      <c r="O30" s="6" t="s">
        <v>7</v>
      </c>
    </row>
    <row r="31" spans="2:15" x14ac:dyDescent="0.45">
      <c r="B31" s="3" t="s">
        <v>209</v>
      </c>
      <c r="C31" s="3" t="s">
        <v>17</v>
      </c>
      <c r="D31" s="4">
        <v>4.8457381539228871E-2</v>
      </c>
      <c r="E31" s="3" t="s">
        <v>7</v>
      </c>
      <c r="G31" s="3" t="s">
        <v>210</v>
      </c>
      <c r="H31" s="3" t="s">
        <v>17</v>
      </c>
      <c r="I31" s="5">
        <v>4.0376995193079197E-2</v>
      </c>
      <c r="J31" s="3" t="s">
        <v>7</v>
      </c>
      <c r="L31" s="3" t="s">
        <v>211</v>
      </c>
      <c r="M31" s="3" t="s">
        <v>17</v>
      </c>
      <c r="N31" s="5">
        <v>3.6695301338549875E-2</v>
      </c>
      <c r="O31" s="3" t="s">
        <v>7</v>
      </c>
    </row>
    <row r="32" spans="2:15" x14ac:dyDescent="0.45">
      <c r="B32" s="6" t="s">
        <v>209</v>
      </c>
      <c r="C32" s="6" t="s">
        <v>18</v>
      </c>
      <c r="D32" s="7">
        <v>0</v>
      </c>
      <c r="E32" s="6" t="s">
        <v>7</v>
      </c>
      <c r="G32" s="6" t="s">
        <v>210</v>
      </c>
      <c r="H32" s="6" t="s">
        <v>18</v>
      </c>
      <c r="I32" s="8">
        <v>7.0594267044032835E-2</v>
      </c>
      <c r="J32" s="6" t="s">
        <v>7</v>
      </c>
      <c r="L32" s="6" t="s">
        <v>211</v>
      </c>
      <c r="M32" s="6" t="s">
        <v>18</v>
      </c>
      <c r="N32" s="8">
        <v>6.9167582237304168E-2</v>
      </c>
      <c r="O32" s="6" t="s">
        <v>7</v>
      </c>
    </row>
    <row r="33" spans="2:15" x14ac:dyDescent="0.45">
      <c r="B33" s="3" t="s">
        <v>209</v>
      </c>
      <c r="C33" s="3" t="s">
        <v>19</v>
      </c>
      <c r="D33" s="4">
        <v>0.17664063329733318</v>
      </c>
      <c r="E33" s="3" t="s">
        <v>7</v>
      </c>
      <c r="G33" s="3" t="s">
        <v>210</v>
      </c>
      <c r="H33" s="3" t="s">
        <v>19</v>
      </c>
      <c r="I33" s="5">
        <v>9.8731747189487074E-2</v>
      </c>
      <c r="J33" s="3" t="s">
        <v>7</v>
      </c>
      <c r="L33" s="3" t="s">
        <v>211</v>
      </c>
      <c r="M33" s="3" t="s">
        <v>19</v>
      </c>
      <c r="N33" s="5">
        <v>9.7101666359678609E-2</v>
      </c>
      <c r="O33" s="3" t="s">
        <v>7</v>
      </c>
    </row>
    <row r="34" spans="2:15" x14ac:dyDescent="0.45">
      <c r="B34" s="6" t="s">
        <v>209</v>
      </c>
      <c r="C34" s="6" t="s">
        <v>20</v>
      </c>
      <c r="D34" s="7">
        <v>9.2473305658933615E-3</v>
      </c>
      <c r="E34" s="6" t="s">
        <v>7</v>
      </c>
      <c r="G34" s="6" t="s">
        <v>210</v>
      </c>
      <c r="H34" s="6" t="s">
        <v>20</v>
      </c>
      <c r="I34" s="8">
        <v>5.3336980574162071E-2</v>
      </c>
      <c r="J34" s="6" t="s">
        <v>7</v>
      </c>
      <c r="L34" s="6" t="s">
        <v>211</v>
      </c>
      <c r="M34" s="6" t="s">
        <v>20</v>
      </c>
      <c r="N34" s="8">
        <v>4.9128116202492633E-2</v>
      </c>
      <c r="O34" s="6" t="s">
        <v>7</v>
      </c>
    </row>
    <row r="35" spans="2:15" x14ac:dyDescent="0.45">
      <c r="B35" s="3" t="s">
        <v>212</v>
      </c>
      <c r="C35" s="3" t="s">
        <v>6</v>
      </c>
      <c r="D35" s="4">
        <v>0</v>
      </c>
      <c r="E35" s="3" t="s">
        <v>7</v>
      </c>
      <c r="G35" s="3" t="s">
        <v>213</v>
      </c>
      <c r="H35" s="3" t="s">
        <v>6</v>
      </c>
      <c r="I35" s="5">
        <v>0.10447948845113682</v>
      </c>
      <c r="J35" s="3" t="s">
        <v>7</v>
      </c>
      <c r="L35" s="3" t="s">
        <v>214</v>
      </c>
      <c r="M35" s="3" t="s">
        <v>6</v>
      </c>
      <c r="N35" s="5">
        <v>9.5406694623531199E-2</v>
      </c>
      <c r="O35" s="3" t="s">
        <v>7</v>
      </c>
    </row>
    <row r="36" spans="2:15" x14ac:dyDescent="0.45">
      <c r="B36" s="6" t="s">
        <v>212</v>
      </c>
      <c r="C36" s="6" t="s">
        <v>10</v>
      </c>
      <c r="D36" s="7">
        <v>0.11645207459747757</v>
      </c>
      <c r="E36" s="6" t="s">
        <v>7</v>
      </c>
      <c r="G36" s="6" t="s">
        <v>213</v>
      </c>
      <c r="H36" s="6" t="s">
        <v>10</v>
      </c>
      <c r="I36" s="8">
        <v>0.13382000561317617</v>
      </c>
      <c r="J36" s="6" t="s">
        <v>7</v>
      </c>
      <c r="L36" s="6" t="s">
        <v>214</v>
      </c>
      <c r="M36" s="6" t="s">
        <v>10</v>
      </c>
      <c r="N36" s="8">
        <v>0.12594153512009953</v>
      </c>
      <c r="O36" s="6" t="s">
        <v>7</v>
      </c>
    </row>
    <row r="37" spans="2:15" x14ac:dyDescent="0.45">
      <c r="B37" s="3" t="s">
        <v>212</v>
      </c>
      <c r="C37" s="3" t="s">
        <v>11</v>
      </c>
      <c r="D37" s="4">
        <v>3.3580968861213912E-3</v>
      </c>
      <c r="E37" s="3" t="s">
        <v>7</v>
      </c>
      <c r="G37" s="3" t="s">
        <v>213</v>
      </c>
      <c r="H37" s="3" t="s">
        <v>11</v>
      </c>
      <c r="I37" s="5">
        <v>8.1582117870621085E-2</v>
      </c>
      <c r="J37" s="3" t="s">
        <v>7</v>
      </c>
      <c r="L37" s="3" t="s">
        <v>214</v>
      </c>
      <c r="M37" s="3" t="s">
        <v>11</v>
      </c>
      <c r="N37" s="5">
        <v>7.2640217110860217E-2</v>
      </c>
      <c r="O37" s="3" t="s">
        <v>7</v>
      </c>
    </row>
    <row r="38" spans="2:15" x14ac:dyDescent="0.45">
      <c r="B38" s="6" t="s">
        <v>212</v>
      </c>
      <c r="C38" s="6" t="s">
        <v>12</v>
      </c>
      <c r="D38" s="7">
        <v>5.3438831321924092E-4</v>
      </c>
      <c r="E38" s="6" t="s">
        <v>7</v>
      </c>
      <c r="G38" s="6" t="s">
        <v>213</v>
      </c>
      <c r="H38" s="6" t="s">
        <v>12</v>
      </c>
      <c r="I38" s="8">
        <v>9.3285048222534403E-2</v>
      </c>
      <c r="J38" s="6" t="s">
        <v>7</v>
      </c>
      <c r="L38" s="6" t="s">
        <v>214</v>
      </c>
      <c r="M38" s="6" t="s">
        <v>12</v>
      </c>
      <c r="N38" s="8">
        <v>9.730674772592722E-2</v>
      </c>
      <c r="O38" s="6" t="s">
        <v>7</v>
      </c>
    </row>
    <row r="39" spans="2:15" x14ac:dyDescent="0.45">
      <c r="B39" s="3" t="s">
        <v>212</v>
      </c>
      <c r="C39" s="3" t="s">
        <v>13</v>
      </c>
      <c r="D39" s="4">
        <v>0.29567351166210526</v>
      </c>
      <c r="E39" s="3" t="s">
        <v>7</v>
      </c>
      <c r="G39" s="3" t="s">
        <v>213</v>
      </c>
      <c r="H39" s="3" t="s">
        <v>13</v>
      </c>
      <c r="I39" s="5">
        <v>0.122875447260598</v>
      </c>
      <c r="J39" s="3" t="s">
        <v>7</v>
      </c>
      <c r="L39" s="3" t="s">
        <v>214</v>
      </c>
      <c r="M39" s="3" t="s">
        <v>13</v>
      </c>
      <c r="N39" s="5">
        <v>0.1212297893442174</v>
      </c>
      <c r="O39" s="3" t="s">
        <v>7</v>
      </c>
    </row>
    <row r="40" spans="2:15" x14ac:dyDescent="0.45">
      <c r="B40" s="6" t="s">
        <v>212</v>
      </c>
      <c r="C40" s="6" t="s">
        <v>14</v>
      </c>
      <c r="D40" s="7">
        <v>3.3573579793866368E-2</v>
      </c>
      <c r="E40" s="6" t="s">
        <v>7</v>
      </c>
      <c r="G40" s="6" t="s">
        <v>213</v>
      </c>
      <c r="H40" s="6" t="s">
        <v>14</v>
      </c>
      <c r="I40" s="8">
        <v>6.7638912046002433E-2</v>
      </c>
      <c r="J40" s="6" t="s">
        <v>7</v>
      </c>
      <c r="L40" s="6" t="s">
        <v>214</v>
      </c>
      <c r="M40" s="6" t="s">
        <v>14</v>
      </c>
      <c r="N40" s="8">
        <v>7.5829484572824374E-2</v>
      </c>
      <c r="O40" s="6" t="s">
        <v>7</v>
      </c>
    </row>
    <row r="41" spans="2:15" x14ac:dyDescent="0.45">
      <c r="B41" s="3" t="s">
        <v>212</v>
      </c>
      <c r="C41" s="3" t="s">
        <v>15</v>
      </c>
      <c r="D41" s="4">
        <v>1.3883999367838218E-3</v>
      </c>
      <c r="E41" s="3" t="s">
        <v>7</v>
      </c>
      <c r="G41" s="3" t="s">
        <v>213</v>
      </c>
      <c r="H41" s="3" t="s">
        <v>15</v>
      </c>
      <c r="I41" s="5">
        <v>4.6930599528140153E-2</v>
      </c>
      <c r="J41" s="3" t="s">
        <v>7</v>
      </c>
      <c r="L41" s="3" t="s">
        <v>214</v>
      </c>
      <c r="M41" s="3" t="s">
        <v>15</v>
      </c>
      <c r="N41" s="5">
        <v>5.9034628215359493E-2</v>
      </c>
      <c r="O41" s="3" t="s">
        <v>7</v>
      </c>
    </row>
    <row r="42" spans="2:15" x14ac:dyDescent="0.45">
      <c r="B42" s="6" t="s">
        <v>212</v>
      </c>
      <c r="C42" s="6" t="s">
        <v>16</v>
      </c>
      <c r="D42" s="7">
        <v>0.31858537729263142</v>
      </c>
      <c r="E42" s="6" t="s">
        <v>7</v>
      </c>
      <c r="G42" s="6" t="s">
        <v>213</v>
      </c>
      <c r="H42" s="6" t="s">
        <v>16</v>
      </c>
      <c r="I42" s="8">
        <v>6.772529650972671E-2</v>
      </c>
      <c r="J42" s="6" t="s">
        <v>7</v>
      </c>
      <c r="L42" s="6" t="s">
        <v>214</v>
      </c>
      <c r="M42" s="6" t="s">
        <v>16</v>
      </c>
      <c r="N42" s="8">
        <v>7.7593001560719452E-2</v>
      </c>
      <c r="O42" s="6" t="s">
        <v>7</v>
      </c>
    </row>
    <row r="43" spans="2:15" x14ac:dyDescent="0.45">
      <c r="B43" s="3" t="s">
        <v>212</v>
      </c>
      <c r="C43" s="3" t="s">
        <v>17</v>
      </c>
      <c r="D43" s="4">
        <v>4.4993458378349484E-2</v>
      </c>
      <c r="E43" s="3" t="s">
        <v>7</v>
      </c>
      <c r="G43" s="3" t="s">
        <v>213</v>
      </c>
      <c r="H43" s="3" t="s">
        <v>17</v>
      </c>
      <c r="I43" s="5">
        <v>4.1485051400601602E-2</v>
      </c>
      <c r="J43" s="3" t="s">
        <v>7</v>
      </c>
      <c r="L43" s="3" t="s">
        <v>214</v>
      </c>
      <c r="M43" s="3" t="s">
        <v>17</v>
      </c>
      <c r="N43" s="5">
        <v>4.5779361060957667E-2</v>
      </c>
      <c r="O43" s="3" t="s">
        <v>7</v>
      </c>
    </row>
    <row r="44" spans="2:15" x14ac:dyDescent="0.45">
      <c r="B44" s="6" t="s">
        <v>212</v>
      </c>
      <c r="C44" s="6" t="s">
        <v>18</v>
      </c>
      <c r="D44" s="7">
        <v>0</v>
      </c>
      <c r="E44" s="6" t="s">
        <v>7</v>
      </c>
      <c r="G44" s="6" t="s">
        <v>213</v>
      </c>
      <c r="H44" s="6" t="s">
        <v>18</v>
      </c>
      <c r="I44" s="8">
        <v>7.6395874935167654E-2</v>
      </c>
      <c r="J44" s="6" t="s">
        <v>7</v>
      </c>
      <c r="L44" s="6" t="s">
        <v>214</v>
      </c>
      <c r="M44" s="6" t="s">
        <v>18</v>
      </c>
      <c r="N44" s="8">
        <v>7.5895195544010946E-2</v>
      </c>
      <c r="O44" s="6" t="s">
        <v>7</v>
      </c>
    </row>
    <row r="45" spans="2:15" x14ac:dyDescent="0.45">
      <c r="B45" s="3" t="s">
        <v>212</v>
      </c>
      <c r="C45" s="3" t="s">
        <v>19</v>
      </c>
      <c r="D45" s="4">
        <v>0.17765920879942446</v>
      </c>
      <c r="E45" s="3" t="s">
        <v>7</v>
      </c>
      <c r="G45" s="3" t="s">
        <v>213</v>
      </c>
      <c r="H45" s="3" t="s">
        <v>19</v>
      </c>
      <c r="I45" s="5">
        <v>0.10552461202040853</v>
      </c>
      <c r="J45" s="3" t="s">
        <v>7</v>
      </c>
      <c r="L45" s="3" t="s">
        <v>214</v>
      </c>
      <c r="M45" s="3" t="s">
        <v>19</v>
      </c>
      <c r="N45" s="5">
        <v>9.7260450837224663E-2</v>
      </c>
      <c r="O45" s="3" t="s">
        <v>7</v>
      </c>
    </row>
    <row r="46" spans="2:15" x14ac:dyDescent="0.45">
      <c r="B46" s="6" t="s">
        <v>212</v>
      </c>
      <c r="C46" s="6" t="s">
        <v>20</v>
      </c>
      <c r="D46" s="7">
        <v>7.7819043400209802E-3</v>
      </c>
      <c r="E46" s="6" t="s">
        <v>7</v>
      </c>
      <c r="G46" s="6" t="s">
        <v>213</v>
      </c>
      <c r="H46" s="6" t="s">
        <v>20</v>
      </c>
      <c r="I46" s="8">
        <v>5.8257546141886461E-2</v>
      </c>
      <c r="J46" s="6" t="s">
        <v>7</v>
      </c>
      <c r="L46" s="6" t="s">
        <v>214</v>
      </c>
      <c r="M46" s="6" t="s">
        <v>20</v>
      </c>
      <c r="N46" s="8">
        <v>5.608289428426777E-2</v>
      </c>
      <c r="O46" s="6" t="s">
        <v>7</v>
      </c>
    </row>
    <row r="47" spans="2:15" x14ac:dyDescent="0.45">
      <c r="B47" s="3" t="s">
        <v>215</v>
      </c>
      <c r="C47" s="3" t="s">
        <v>6</v>
      </c>
      <c r="D47" s="4">
        <v>0</v>
      </c>
      <c r="E47" s="3" t="s">
        <v>7</v>
      </c>
      <c r="G47" s="3" t="s">
        <v>216</v>
      </c>
      <c r="H47" s="3" t="s">
        <v>6</v>
      </c>
      <c r="I47" s="5">
        <v>0.10391049970887901</v>
      </c>
      <c r="J47" s="3" t="s">
        <v>7</v>
      </c>
      <c r="L47" s="3" t="s">
        <v>217</v>
      </c>
      <c r="M47" s="3" t="s">
        <v>6</v>
      </c>
      <c r="N47" s="5">
        <v>9.3668099520225381E-2</v>
      </c>
      <c r="O47" s="3" t="s">
        <v>7</v>
      </c>
    </row>
    <row r="48" spans="2:15" x14ac:dyDescent="0.45">
      <c r="B48" s="6" t="s">
        <v>215</v>
      </c>
      <c r="C48" s="6" t="s">
        <v>10</v>
      </c>
      <c r="D48" s="7">
        <v>0.1169012285498283</v>
      </c>
      <c r="E48" s="6" t="s">
        <v>7</v>
      </c>
      <c r="G48" s="6" t="s">
        <v>216</v>
      </c>
      <c r="H48" s="6" t="s">
        <v>10</v>
      </c>
      <c r="I48" s="8">
        <v>0.14069589150115136</v>
      </c>
      <c r="J48" s="6" t="s">
        <v>7</v>
      </c>
      <c r="L48" s="6" t="s">
        <v>217</v>
      </c>
      <c r="M48" s="6" t="s">
        <v>10</v>
      </c>
      <c r="N48" s="8">
        <v>0.12568542246391479</v>
      </c>
      <c r="O48" s="6" t="s">
        <v>7</v>
      </c>
    </row>
    <row r="49" spans="2:15" x14ac:dyDescent="0.45">
      <c r="B49" s="3" t="s">
        <v>215</v>
      </c>
      <c r="C49" s="3" t="s">
        <v>11</v>
      </c>
      <c r="D49" s="4">
        <v>4.7593086404621151E-3</v>
      </c>
      <c r="E49" s="3" t="s">
        <v>7</v>
      </c>
      <c r="G49" s="3" t="s">
        <v>216</v>
      </c>
      <c r="H49" s="3" t="s">
        <v>11</v>
      </c>
      <c r="I49" s="5">
        <v>8.4561259344817216E-2</v>
      </c>
      <c r="J49" s="3" t="s">
        <v>7</v>
      </c>
      <c r="L49" s="3" t="s">
        <v>217</v>
      </c>
      <c r="M49" s="3" t="s">
        <v>11</v>
      </c>
      <c r="N49" s="5">
        <v>7.5559089657918341E-2</v>
      </c>
      <c r="O49" s="3" t="s">
        <v>7</v>
      </c>
    </row>
    <row r="50" spans="2:15" x14ac:dyDescent="0.45">
      <c r="B50" s="6" t="s">
        <v>215</v>
      </c>
      <c r="C50" s="6" t="s">
        <v>12</v>
      </c>
      <c r="D50" s="7">
        <v>3.8544046763144238E-4</v>
      </c>
      <c r="E50" s="6" t="s">
        <v>7</v>
      </c>
      <c r="G50" s="6" t="s">
        <v>216</v>
      </c>
      <c r="H50" s="6" t="s">
        <v>12</v>
      </c>
      <c r="I50" s="8">
        <v>9.1071152581411588E-2</v>
      </c>
      <c r="J50" s="6" t="s">
        <v>7</v>
      </c>
      <c r="L50" s="6" t="s">
        <v>217</v>
      </c>
      <c r="M50" s="6" t="s">
        <v>12</v>
      </c>
      <c r="N50" s="8">
        <v>9.7629494442882589E-2</v>
      </c>
      <c r="O50" s="6" t="s">
        <v>7</v>
      </c>
    </row>
    <row r="51" spans="2:15" x14ac:dyDescent="0.45">
      <c r="B51" s="3" t="s">
        <v>215</v>
      </c>
      <c r="C51" s="3" t="s">
        <v>13</v>
      </c>
      <c r="D51" s="4">
        <v>0.30208784328848859</v>
      </c>
      <c r="E51" s="3" t="s">
        <v>7</v>
      </c>
      <c r="G51" s="3" t="s">
        <v>216</v>
      </c>
      <c r="H51" s="3" t="s">
        <v>13</v>
      </c>
      <c r="I51" s="5">
        <v>0.12864562835777474</v>
      </c>
      <c r="J51" s="3" t="s">
        <v>7</v>
      </c>
      <c r="L51" s="3" t="s">
        <v>217</v>
      </c>
      <c r="M51" s="3" t="s">
        <v>13</v>
      </c>
      <c r="N51" s="5">
        <v>0.1163548505798043</v>
      </c>
      <c r="O51" s="3" t="s">
        <v>7</v>
      </c>
    </row>
    <row r="52" spans="2:15" x14ac:dyDescent="0.45">
      <c r="B52" s="6" t="s">
        <v>215</v>
      </c>
      <c r="C52" s="6" t="s">
        <v>14</v>
      </c>
      <c r="D52" s="7">
        <v>3.6919445741118599E-2</v>
      </c>
      <c r="E52" s="6" t="s">
        <v>7</v>
      </c>
      <c r="G52" s="6" t="s">
        <v>216</v>
      </c>
      <c r="H52" s="6" t="s">
        <v>14</v>
      </c>
      <c r="I52" s="8">
        <v>7.2305068964701763E-2</v>
      </c>
      <c r="J52" s="6" t="s">
        <v>7</v>
      </c>
      <c r="L52" s="6" t="s">
        <v>217</v>
      </c>
      <c r="M52" s="6" t="s">
        <v>14</v>
      </c>
      <c r="N52" s="8">
        <v>7.2772362765829351E-2</v>
      </c>
      <c r="O52" s="6" t="s">
        <v>7</v>
      </c>
    </row>
    <row r="53" spans="2:15" x14ac:dyDescent="0.45">
      <c r="B53" s="3" t="s">
        <v>215</v>
      </c>
      <c r="C53" s="3" t="s">
        <v>15</v>
      </c>
      <c r="D53" s="4">
        <v>1.1496118394383223E-3</v>
      </c>
      <c r="E53" s="3" t="s">
        <v>7</v>
      </c>
      <c r="G53" s="3" t="s">
        <v>216</v>
      </c>
      <c r="H53" s="3" t="s">
        <v>15</v>
      </c>
      <c r="I53" s="5">
        <v>4.5971182636489284E-2</v>
      </c>
      <c r="J53" s="3" t="s">
        <v>7</v>
      </c>
      <c r="L53" s="3" t="s">
        <v>217</v>
      </c>
      <c r="M53" s="3" t="s">
        <v>15</v>
      </c>
      <c r="N53" s="5">
        <v>5.8125469231511434E-2</v>
      </c>
      <c r="O53" s="3" t="s">
        <v>7</v>
      </c>
    </row>
    <row r="54" spans="2:15" x14ac:dyDescent="0.45">
      <c r="B54" s="6" t="s">
        <v>215</v>
      </c>
      <c r="C54" s="6" t="s">
        <v>16</v>
      </c>
      <c r="D54" s="7">
        <v>0.30713900115867415</v>
      </c>
      <c r="E54" s="6" t="s">
        <v>7</v>
      </c>
      <c r="G54" s="6" t="s">
        <v>216</v>
      </c>
      <c r="H54" s="6" t="s">
        <v>16</v>
      </c>
      <c r="I54" s="8">
        <v>7.1569123954595429E-2</v>
      </c>
      <c r="J54" s="6" t="s">
        <v>7</v>
      </c>
      <c r="L54" s="6" t="s">
        <v>217</v>
      </c>
      <c r="M54" s="6" t="s">
        <v>16</v>
      </c>
      <c r="N54" s="8">
        <v>8.0740905526141382E-2</v>
      </c>
      <c r="O54" s="6" t="s">
        <v>7</v>
      </c>
    </row>
    <row r="55" spans="2:15" x14ac:dyDescent="0.45">
      <c r="B55" s="3" t="s">
        <v>215</v>
      </c>
      <c r="C55" s="3" t="s">
        <v>17</v>
      </c>
      <c r="D55" s="4">
        <v>4.7544938415265553E-2</v>
      </c>
      <c r="E55" s="3" t="s">
        <v>7</v>
      </c>
      <c r="G55" s="3" t="s">
        <v>216</v>
      </c>
      <c r="H55" s="3" t="s">
        <v>17</v>
      </c>
      <c r="I55" s="5">
        <v>3.8668893533014129E-2</v>
      </c>
      <c r="J55" s="3" t="s">
        <v>7</v>
      </c>
      <c r="L55" s="3" t="s">
        <v>217</v>
      </c>
      <c r="M55" s="3" t="s">
        <v>17</v>
      </c>
      <c r="N55" s="5">
        <v>4.7551423466070865E-2</v>
      </c>
      <c r="O55" s="3" t="s">
        <v>7</v>
      </c>
    </row>
    <row r="56" spans="2:15" x14ac:dyDescent="0.45">
      <c r="B56" s="6" t="s">
        <v>215</v>
      </c>
      <c r="C56" s="6" t="s">
        <v>18</v>
      </c>
      <c r="D56" s="7">
        <v>0</v>
      </c>
      <c r="E56" s="6" t="s">
        <v>7</v>
      </c>
      <c r="G56" s="6" t="s">
        <v>216</v>
      </c>
      <c r="H56" s="6" t="s">
        <v>18</v>
      </c>
      <c r="I56" s="8">
        <v>7.0714807271912733E-2</v>
      </c>
      <c r="J56" s="6" t="s">
        <v>7</v>
      </c>
      <c r="L56" s="6" t="s">
        <v>217</v>
      </c>
      <c r="M56" s="6" t="s">
        <v>18</v>
      </c>
      <c r="N56" s="8">
        <v>7.6455358303379697E-2</v>
      </c>
      <c r="O56" s="6" t="s">
        <v>7</v>
      </c>
    </row>
    <row r="57" spans="2:15" x14ac:dyDescent="0.45">
      <c r="B57" s="3" t="s">
        <v>215</v>
      </c>
      <c r="C57" s="3" t="s">
        <v>19</v>
      </c>
      <c r="D57" s="4">
        <v>0.17401291270394301</v>
      </c>
      <c r="E57" s="3" t="s">
        <v>7</v>
      </c>
      <c r="G57" s="3" t="s">
        <v>216</v>
      </c>
      <c r="H57" s="3" t="s">
        <v>19</v>
      </c>
      <c r="I57" s="5">
        <v>9.8878153186565371E-2</v>
      </c>
      <c r="J57" s="3" t="s">
        <v>7</v>
      </c>
      <c r="L57" s="3" t="s">
        <v>217</v>
      </c>
      <c r="M57" s="3" t="s">
        <v>19</v>
      </c>
      <c r="N57" s="5">
        <v>9.956217480018055E-2</v>
      </c>
      <c r="O57" s="3" t="s">
        <v>7</v>
      </c>
    </row>
    <row r="58" spans="2:15" x14ac:dyDescent="0.45">
      <c r="B58" s="6" t="s">
        <v>215</v>
      </c>
      <c r="C58" s="6" t="s">
        <v>20</v>
      </c>
      <c r="D58" s="7">
        <v>9.100269195149795E-3</v>
      </c>
      <c r="E58" s="6" t="s">
        <v>7</v>
      </c>
      <c r="G58" s="6" t="s">
        <v>216</v>
      </c>
      <c r="H58" s="6" t="s">
        <v>20</v>
      </c>
      <c r="I58" s="8">
        <v>5.3008338958687284E-2</v>
      </c>
      <c r="J58" s="6" t="s">
        <v>7</v>
      </c>
      <c r="L58" s="6" t="s">
        <v>217</v>
      </c>
      <c r="M58" s="6" t="s">
        <v>20</v>
      </c>
      <c r="N58" s="8">
        <v>5.5895349242141443E-2</v>
      </c>
      <c r="O58" s="6" t="s">
        <v>7</v>
      </c>
    </row>
    <row r="59" spans="2:15" x14ac:dyDescent="0.45">
      <c r="B59" s="3" t="s">
        <v>218</v>
      </c>
      <c r="C59" s="3" t="s">
        <v>6</v>
      </c>
      <c r="D59" s="4">
        <v>0</v>
      </c>
      <c r="E59" s="3" t="s">
        <v>7</v>
      </c>
      <c r="G59" s="3" t="s">
        <v>219</v>
      </c>
      <c r="H59" s="3" t="s">
        <v>6</v>
      </c>
      <c r="I59" s="5">
        <v>0.10575218794594037</v>
      </c>
      <c r="J59" s="3" t="s">
        <v>7</v>
      </c>
      <c r="L59" s="3" t="s">
        <v>220</v>
      </c>
      <c r="M59" s="3" t="s">
        <v>6</v>
      </c>
      <c r="N59" s="5">
        <v>9.4515545815846272E-2</v>
      </c>
      <c r="O59" s="3" t="s">
        <v>7</v>
      </c>
    </row>
    <row r="60" spans="2:15" x14ac:dyDescent="0.45">
      <c r="B60" s="6" t="s">
        <v>218</v>
      </c>
      <c r="C60" s="6" t="s">
        <v>10</v>
      </c>
      <c r="D60" s="7">
        <v>0.11538490789461997</v>
      </c>
      <c r="E60" s="6" t="s">
        <v>7</v>
      </c>
      <c r="G60" s="6" t="s">
        <v>219</v>
      </c>
      <c r="H60" s="6" t="s">
        <v>10</v>
      </c>
      <c r="I60" s="8">
        <v>0.13722068378735749</v>
      </c>
      <c r="J60" s="6" t="s">
        <v>7</v>
      </c>
      <c r="L60" s="6" t="s">
        <v>220</v>
      </c>
      <c r="M60" s="6" t="s">
        <v>10</v>
      </c>
      <c r="N60" s="8">
        <v>0.12412526987072676</v>
      </c>
      <c r="O60" s="6" t="s">
        <v>7</v>
      </c>
    </row>
    <row r="61" spans="2:15" x14ac:dyDescent="0.45">
      <c r="B61" s="3" t="s">
        <v>218</v>
      </c>
      <c r="C61" s="3" t="s">
        <v>11</v>
      </c>
      <c r="D61" s="4">
        <v>5.0305789470571688E-3</v>
      </c>
      <c r="E61" s="3" t="s">
        <v>7</v>
      </c>
      <c r="G61" s="3" t="s">
        <v>219</v>
      </c>
      <c r="H61" s="3" t="s">
        <v>11</v>
      </c>
      <c r="I61" s="5">
        <v>8.4126605324408757E-2</v>
      </c>
      <c r="J61" s="3" t="s">
        <v>7</v>
      </c>
      <c r="L61" s="3" t="s">
        <v>220</v>
      </c>
      <c r="M61" s="3" t="s">
        <v>11</v>
      </c>
      <c r="N61" s="5">
        <v>7.3848027067976024E-2</v>
      </c>
      <c r="O61" s="3" t="s">
        <v>7</v>
      </c>
    </row>
    <row r="62" spans="2:15" x14ac:dyDescent="0.45">
      <c r="B62" s="6" t="s">
        <v>218</v>
      </c>
      <c r="C62" s="6" t="s">
        <v>12</v>
      </c>
      <c r="D62" s="7">
        <v>4.1758297355516894E-4</v>
      </c>
      <c r="E62" s="6" t="s">
        <v>7</v>
      </c>
      <c r="G62" s="6" t="s">
        <v>219</v>
      </c>
      <c r="H62" s="6" t="s">
        <v>12</v>
      </c>
      <c r="I62" s="8">
        <v>8.8237979343249978E-2</v>
      </c>
      <c r="J62" s="6" t="s">
        <v>7</v>
      </c>
      <c r="L62" s="6" t="s">
        <v>220</v>
      </c>
      <c r="M62" s="6" t="s">
        <v>12</v>
      </c>
      <c r="N62" s="8">
        <v>9.7481204206454952E-2</v>
      </c>
      <c r="O62" s="6" t="s">
        <v>7</v>
      </c>
    </row>
    <row r="63" spans="2:15" x14ac:dyDescent="0.45">
      <c r="B63" s="3" t="s">
        <v>218</v>
      </c>
      <c r="C63" s="3" t="s">
        <v>13</v>
      </c>
      <c r="D63" s="4">
        <v>0.30090883088323706</v>
      </c>
      <c r="E63" s="3" t="s">
        <v>7</v>
      </c>
      <c r="G63" s="3" t="s">
        <v>219</v>
      </c>
      <c r="H63" s="3" t="s">
        <v>13</v>
      </c>
      <c r="I63" s="5">
        <v>0.123553552528181</v>
      </c>
      <c r="J63" s="3" t="s">
        <v>7</v>
      </c>
      <c r="L63" s="3" t="s">
        <v>220</v>
      </c>
      <c r="M63" s="3" t="s">
        <v>13</v>
      </c>
      <c r="N63" s="5">
        <v>0.11391608017689284</v>
      </c>
      <c r="O63" s="3" t="s">
        <v>7</v>
      </c>
    </row>
    <row r="64" spans="2:15" x14ac:dyDescent="0.45">
      <c r="B64" s="6" t="s">
        <v>218</v>
      </c>
      <c r="C64" s="6" t="s">
        <v>14</v>
      </c>
      <c r="D64" s="7">
        <v>3.7993412340700965E-2</v>
      </c>
      <c r="E64" s="6" t="s">
        <v>7</v>
      </c>
      <c r="G64" s="6" t="s">
        <v>219</v>
      </c>
      <c r="H64" s="6" t="s">
        <v>14</v>
      </c>
      <c r="I64" s="8">
        <v>6.9350306429791092E-2</v>
      </c>
      <c r="J64" s="6" t="s">
        <v>7</v>
      </c>
      <c r="L64" s="6" t="s">
        <v>220</v>
      </c>
      <c r="M64" s="6" t="s">
        <v>14</v>
      </c>
      <c r="N64" s="8">
        <v>7.2813412749782883E-2</v>
      </c>
      <c r="O64" s="6" t="s">
        <v>7</v>
      </c>
    </row>
    <row r="65" spans="2:15" x14ac:dyDescent="0.45">
      <c r="B65" s="3" t="s">
        <v>218</v>
      </c>
      <c r="C65" s="3" t="s">
        <v>15</v>
      </c>
      <c r="D65" s="4">
        <v>1.3173962544733254E-3</v>
      </c>
      <c r="E65" s="3" t="s">
        <v>7</v>
      </c>
      <c r="G65" s="3" t="s">
        <v>219</v>
      </c>
      <c r="H65" s="3" t="s">
        <v>15</v>
      </c>
      <c r="I65" s="5">
        <v>4.8855493251076285E-2</v>
      </c>
      <c r="J65" s="3" t="s">
        <v>7</v>
      </c>
      <c r="L65" s="3" t="s">
        <v>220</v>
      </c>
      <c r="M65" s="3" t="s">
        <v>15</v>
      </c>
      <c r="N65" s="5">
        <v>6.3014940090749677E-2</v>
      </c>
      <c r="O65" s="3" t="s">
        <v>7</v>
      </c>
    </row>
    <row r="66" spans="2:15" x14ac:dyDescent="0.45">
      <c r="B66" s="6" t="s">
        <v>218</v>
      </c>
      <c r="C66" s="6" t="s">
        <v>16</v>
      </c>
      <c r="D66" s="7">
        <v>0.30896012345511492</v>
      </c>
      <c r="E66" s="6" t="s">
        <v>7</v>
      </c>
      <c r="G66" s="6" t="s">
        <v>219</v>
      </c>
      <c r="H66" s="6" t="s">
        <v>16</v>
      </c>
      <c r="I66" s="8">
        <v>6.7853638982353137E-2</v>
      </c>
      <c r="J66" s="6" t="s">
        <v>7</v>
      </c>
      <c r="L66" s="6" t="s">
        <v>220</v>
      </c>
      <c r="M66" s="6" t="s">
        <v>16</v>
      </c>
      <c r="N66" s="8">
        <v>7.7434370599643559E-2</v>
      </c>
      <c r="O66" s="6" t="s">
        <v>7</v>
      </c>
    </row>
    <row r="67" spans="2:15" x14ac:dyDescent="0.45">
      <c r="B67" s="3" t="s">
        <v>218</v>
      </c>
      <c r="C67" s="3" t="s">
        <v>17</v>
      </c>
      <c r="D67" s="4">
        <v>4.732756303019453E-2</v>
      </c>
      <c r="E67" s="3" t="s">
        <v>7</v>
      </c>
      <c r="G67" s="3" t="s">
        <v>219</v>
      </c>
      <c r="H67" s="3" t="s">
        <v>17</v>
      </c>
      <c r="I67" s="5">
        <v>3.7868786588847139E-2</v>
      </c>
      <c r="J67" s="3" t="s">
        <v>7</v>
      </c>
      <c r="L67" s="3" t="s">
        <v>220</v>
      </c>
      <c r="M67" s="3" t="s">
        <v>17</v>
      </c>
      <c r="N67" s="5">
        <v>4.9192420292068322E-2</v>
      </c>
      <c r="O67" s="3" t="s">
        <v>7</v>
      </c>
    </row>
    <row r="68" spans="2:15" x14ac:dyDescent="0.45">
      <c r="B68" s="6" t="s">
        <v>218</v>
      </c>
      <c r="C68" s="6" t="s">
        <v>18</v>
      </c>
      <c r="D68" s="7">
        <v>0</v>
      </c>
      <c r="E68" s="6" t="s">
        <v>7</v>
      </c>
      <c r="G68" s="6" t="s">
        <v>219</v>
      </c>
      <c r="H68" s="6" t="s">
        <v>18</v>
      </c>
      <c r="I68" s="8">
        <v>7.6589239860978806E-2</v>
      </c>
      <c r="J68" s="6" t="s">
        <v>7</v>
      </c>
      <c r="L68" s="6" t="s">
        <v>220</v>
      </c>
      <c r="M68" s="6" t="s">
        <v>18</v>
      </c>
      <c r="N68" s="8">
        <v>7.7309167454499603E-2</v>
      </c>
      <c r="O68" s="6" t="s">
        <v>7</v>
      </c>
    </row>
    <row r="69" spans="2:15" x14ac:dyDescent="0.45">
      <c r="B69" s="3" t="s">
        <v>218</v>
      </c>
      <c r="C69" s="3" t="s">
        <v>19</v>
      </c>
      <c r="D69" s="4">
        <v>0.17337858884116214</v>
      </c>
      <c r="E69" s="3" t="s">
        <v>7</v>
      </c>
      <c r="G69" s="3" t="s">
        <v>219</v>
      </c>
      <c r="H69" s="3" t="s">
        <v>19</v>
      </c>
      <c r="I69" s="5">
        <v>0.10383807942518802</v>
      </c>
      <c r="J69" s="3" t="s">
        <v>7</v>
      </c>
      <c r="L69" s="3" t="s">
        <v>220</v>
      </c>
      <c r="M69" s="3" t="s">
        <v>19</v>
      </c>
      <c r="N69" s="5">
        <v>9.9308092065730963E-2</v>
      </c>
      <c r="O69" s="3" t="s">
        <v>7</v>
      </c>
    </row>
    <row r="70" spans="2:15" x14ac:dyDescent="0.45">
      <c r="B70" s="6" t="s">
        <v>218</v>
      </c>
      <c r="C70" s="6" t="s">
        <v>20</v>
      </c>
      <c r="D70" s="7">
        <v>9.2810153798847661E-3</v>
      </c>
      <c r="E70" s="6" t="s">
        <v>7</v>
      </c>
      <c r="G70" s="6" t="s">
        <v>219</v>
      </c>
      <c r="H70" s="6" t="s">
        <v>20</v>
      </c>
      <c r="I70" s="8">
        <v>5.675344653262801E-2</v>
      </c>
      <c r="J70" s="6" t="s">
        <v>7</v>
      </c>
      <c r="L70" s="6" t="s">
        <v>220</v>
      </c>
      <c r="M70" s="6" t="s">
        <v>20</v>
      </c>
      <c r="N70" s="8">
        <v>5.7041469609628179E-2</v>
      </c>
      <c r="O70" s="6" t="s">
        <v>7</v>
      </c>
    </row>
    <row r="71" spans="2:15" x14ac:dyDescent="0.45">
      <c r="B71" s="3" t="s">
        <v>221</v>
      </c>
      <c r="C71" s="3" t="s">
        <v>6</v>
      </c>
      <c r="D71" s="4">
        <v>0</v>
      </c>
      <c r="E71" s="3" t="s">
        <v>7</v>
      </c>
      <c r="G71" s="3" t="s">
        <v>222</v>
      </c>
      <c r="H71" s="3" t="s">
        <v>6</v>
      </c>
      <c r="I71" s="5">
        <v>0.10744873076596927</v>
      </c>
      <c r="J71" s="3" t="s">
        <v>7</v>
      </c>
      <c r="L71" s="3" t="s">
        <v>223</v>
      </c>
      <c r="M71" s="3" t="s">
        <v>6</v>
      </c>
      <c r="N71" s="5">
        <v>9.9140962194123647E-2</v>
      </c>
      <c r="O71" s="3" t="s">
        <v>7</v>
      </c>
    </row>
    <row r="72" spans="2:15" x14ac:dyDescent="0.45">
      <c r="B72" s="6" t="s">
        <v>221</v>
      </c>
      <c r="C72" s="6" t="s">
        <v>10</v>
      </c>
      <c r="D72" s="7">
        <v>0.11746996661647495</v>
      </c>
      <c r="E72" s="6" t="s">
        <v>7</v>
      </c>
      <c r="G72" s="6" t="s">
        <v>222</v>
      </c>
      <c r="H72" s="6" t="s">
        <v>10</v>
      </c>
      <c r="I72" s="8">
        <v>0.13546185670586855</v>
      </c>
      <c r="J72" s="6" t="s">
        <v>7</v>
      </c>
      <c r="L72" s="6" t="s">
        <v>223</v>
      </c>
      <c r="M72" s="6" t="s">
        <v>10</v>
      </c>
      <c r="N72" s="8">
        <v>0.12365774478062225</v>
      </c>
      <c r="O72" s="6" t="s">
        <v>7</v>
      </c>
    </row>
    <row r="73" spans="2:15" x14ac:dyDescent="0.45">
      <c r="B73" s="3" t="s">
        <v>221</v>
      </c>
      <c r="C73" s="3" t="s">
        <v>11</v>
      </c>
      <c r="D73" s="4">
        <v>4.0528951408337803E-3</v>
      </c>
      <c r="E73" s="3" t="s">
        <v>7</v>
      </c>
      <c r="G73" s="3" t="s">
        <v>222</v>
      </c>
      <c r="H73" s="3" t="s">
        <v>11</v>
      </c>
      <c r="I73" s="5">
        <v>8.4516897760988766E-2</v>
      </c>
      <c r="J73" s="3" t="s">
        <v>7</v>
      </c>
      <c r="L73" s="3" t="s">
        <v>223</v>
      </c>
      <c r="M73" s="3" t="s">
        <v>11</v>
      </c>
      <c r="N73" s="5">
        <v>7.7196772211286332E-2</v>
      </c>
      <c r="O73" s="3" t="s">
        <v>7</v>
      </c>
    </row>
    <row r="74" spans="2:15" x14ac:dyDescent="0.45">
      <c r="B74" s="6" t="s">
        <v>221</v>
      </c>
      <c r="C74" s="6" t="s">
        <v>12</v>
      </c>
      <c r="D74" s="7">
        <v>5.1366695049497328E-4</v>
      </c>
      <c r="E74" s="6" t="s">
        <v>7</v>
      </c>
      <c r="G74" s="6" t="s">
        <v>222</v>
      </c>
      <c r="H74" s="6" t="s">
        <v>12</v>
      </c>
      <c r="I74" s="8">
        <v>9.2131342347962428E-2</v>
      </c>
      <c r="J74" s="6" t="s">
        <v>7</v>
      </c>
      <c r="L74" s="6" t="s">
        <v>223</v>
      </c>
      <c r="M74" s="6" t="s">
        <v>12</v>
      </c>
      <c r="N74" s="8">
        <v>9.3103324423201808E-2</v>
      </c>
      <c r="O74" s="6" t="s">
        <v>7</v>
      </c>
    </row>
    <row r="75" spans="2:15" x14ac:dyDescent="0.45">
      <c r="B75" s="3" t="s">
        <v>221</v>
      </c>
      <c r="C75" s="3" t="s">
        <v>13</v>
      </c>
      <c r="D75" s="4">
        <v>0.296168729778026</v>
      </c>
      <c r="E75" s="3" t="s">
        <v>7</v>
      </c>
      <c r="G75" s="3" t="s">
        <v>222</v>
      </c>
      <c r="H75" s="3" t="s">
        <v>13</v>
      </c>
      <c r="I75" s="5">
        <v>0.12517928622777902</v>
      </c>
      <c r="J75" s="3" t="s">
        <v>7</v>
      </c>
      <c r="L75" s="3" t="s">
        <v>223</v>
      </c>
      <c r="M75" s="3" t="s">
        <v>13</v>
      </c>
      <c r="N75" s="5">
        <v>0.10934832734780717</v>
      </c>
      <c r="O75" s="3" t="s">
        <v>7</v>
      </c>
    </row>
    <row r="76" spans="2:15" x14ac:dyDescent="0.45">
      <c r="B76" s="6" t="s">
        <v>221</v>
      </c>
      <c r="C76" s="6" t="s">
        <v>14</v>
      </c>
      <c r="D76" s="7">
        <v>3.4655652536624323E-2</v>
      </c>
      <c r="E76" s="6" t="s">
        <v>7</v>
      </c>
      <c r="G76" s="6" t="s">
        <v>222</v>
      </c>
      <c r="H76" s="6" t="s">
        <v>14</v>
      </c>
      <c r="I76" s="8">
        <v>6.8413088837595643E-2</v>
      </c>
      <c r="J76" s="6" t="s">
        <v>7</v>
      </c>
      <c r="L76" s="6" t="s">
        <v>223</v>
      </c>
      <c r="M76" s="6" t="s">
        <v>14</v>
      </c>
      <c r="N76" s="8">
        <v>6.6220215669305388E-2</v>
      </c>
      <c r="O76" s="6" t="s">
        <v>7</v>
      </c>
    </row>
    <row r="77" spans="2:15" x14ac:dyDescent="0.45">
      <c r="B77" s="3" t="s">
        <v>221</v>
      </c>
      <c r="C77" s="3" t="s">
        <v>15</v>
      </c>
      <c r="D77" s="4">
        <v>1.4471050582647396E-3</v>
      </c>
      <c r="E77" s="3" t="s">
        <v>7</v>
      </c>
      <c r="G77" s="3" t="s">
        <v>222</v>
      </c>
      <c r="H77" s="3" t="s">
        <v>15</v>
      </c>
      <c r="I77" s="5">
        <v>4.5915872975672414E-2</v>
      </c>
      <c r="J77" s="3" t="s">
        <v>7</v>
      </c>
      <c r="L77" s="3" t="s">
        <v>223</v>
      </c>
      <c r="M77" s="3" t="s">
        <v>15</v>
      </c>
      <c r="N77" s="5">
        <v>5.4483925475405412E-2</v>
      </c>
      <c r="O77" s="3" t="s">
        <v>7</v>
      </c>
    </row>
    <row r="78" spans="2:15" x14ac:dyDescent="0.45">
      <c r="B78" s="6" t="s">
        <v>221</v>
      </c>
      <c r="C78" s="6" t="s">
        <v>16</v>
      </c>
      <c r="D78" s="7">
        <v>0.31128462020409758</v>
      </c>
      <c r="E78" s="6" t="s">
        <v>7</v>
      </c>
      <c r="G78" s="6" t="s">
        <v>222</v>
      </c>
      <c r="H78" s="6" t="s">
        <v>16</v>
      </c>
      <c r="I78" s="8">
        <v>6.5991408596496909E-2</v>
      </c>
      <c r="J78" s="6" t="s">
        <v>7</v>
      </c>
      <c r="L78" s="6" t="s">
        <v>223</v>
      </c>
      <c r="M78" s="6" t="s">
        <v>16</v>
      </c>
      <c r="N78" s="8">
        <v>7.5284091486312474E-2</v>
      </c>
      <c r="O78" s="6" t="s">
        <v>7</v>
      </c>
    </row>
    <row r="79" spans="2:15" x14ac:dyDescent="0.45">
      <c r="B79" s="3" t="s">
        <v>221</v>
      </c>
      <c r="C79" s="3" t="s">
        <v>17</v>
      </c>
      <c r="D79" s="4">
        <v>4.5476822086562931E-2</v>
      </c>
      <c r="E79" s="3" t="s">
        <v>7</v>
      </c>
      <c r="G79" s="3" t="s">
        <v>222</v>
      </c>
      <c r="H79" s="3" t="s">
        <v>17</v>
      </c>
      <c r="I79" s="5">
        <v>3.7215006349795618E-2</v>
      </c>
      <c r="J79" s="3" t="s">
        <v>7</v>
      </c>
      <c r="L79" s="3" t="s">
        <v>223</v>
      </c>
      <c r="M79" s="3" t="s">
        <v>17</v>
      </c>
      <c r="N79" s="5">
        <v>5.0128726408698837E-2</v>
      </c>
      <c r="O79" s="3" t="s">
        <v>7</v>
      </c>
    </row>
    <row r="80" spans="2:15" x14ac:dyDescent="0.45">
      <c r="B80" s="6" t="s">
        <v>221</v>
      </c>
      <c r="C80" s="6" t="s">
        <v>18</v>
      </c>
      <c r="D80" s="7">
        <v>0</v>
      </c>
      <c r="E80" s="6" t="s">
        <v>7</v>
      </c>
      <c r="G80" s="6" t="s">
        <v>222</v>
      </c>
      <c r="H80" s="6" t="s">
        <v>18</v>
      </c>
      <c r="I80" s="8">
        <v>7.638379496394386E-2</v>
      </c>
      <c r="J80" s="6" t="s">
        <v>7</v>
      </c>
      <c r="L80" s="6" t="s">
        <v>223</v>
      </c>
      <c r="M80" s="6" t="s">
        <v>18</v>
      </c>
      <c r="N80" s="8">
        <v>8.2517665057313894E-2</v>
      </c>
      <c r="O80" s="6" t="s">
        <v>7</v>
      </c>
    </row>
    <row r="81" spans="2:15" x14ac:dyDescent="0.45">
      <c r="B81" s="3" t="s">
        <v>221</v>
      </c>
      <c r="C81" s="3" t="s">
        <v>19</v>
      </c>
      <c r="D81" s="4">
        <v>0.18063340540909259</v>
      </c>
      <c r="E81" s="3" t="s">
        <v>7</v>
      </c>
      <c r="G81" s="3" t="s">
        <v>222</v>
      </c>
      <c r="H81" s="3" t="s">
        <v>19</v>
      </c>
      <c r="I81" s="5">
        <v>0.10389016597718737</v>
      </c>
      <c r="J81" s="3" t="s">
        <v>7</v>
      </c>
      <c r="L81" s="3" t="s">
        <v>223</v>
      </c>
      <c r="M81" s="3" t="s">
        <v>19</v>
      </c>
      <c r="N81" s="5">
        <v>0.10609171434770789</v>
      </c>
      <c r="O81" s="3" t="s">
        <v>7</v>
      </c>
    </row>
    <row r="82" spans="2:15" x14ac:dyDescent="0.45">
      <c r="B82" s="6" t="s">
        <v>221</v>
      </c>
      <c r="C82" s="6" t="s">
        <v>20</v>
      </c>
      <c r="D82" s="7">
        <v>8.2971362195282047E-3</v>
      </c>
      <c r="E82" s="6" t="s">
        <v>7</v>
      </c>
      <c r="G82" s="6" t="s">
        <v>222</v>
      </c>
      <c r="H82" s="6" t="s">
        <v>20</v>
      </c>
      <c r="I82" s="8">
        <v>5.7452548490740149E-2</v>
      </c>
      <c r="J82" s="6" t="s">
        <v>7</v>
      </c>
      <c r="L82" s="6" t="s">
        <v>223</v>
      </c>
      <c r="M82" s="6" t="s">
        <v>20</v>
      </c>
      <c r="N82" s="8">
        <v>6.2826530598214886E-2</v>
      </c>
      <c r="O82" s="6" t="s">
        <v>7</v>
      </c>
    </row>
    <row r="83" spans="2:15" x14ac:dyDescent="0.45">
      <c r="B83" s="3" t="s">
        <v>224</v>
      </c>
      <c r="C83" s="3" t="s">
        <v>6</v>
      </c>
      <c r="D83" s="4">
        <v>0</v>
      </c>
      <c r="E83" s="3" t="s">
        <v>7</v>
      </c>
      <c r="G83" s="3" t="s">
        <v>225</v>
      </c>
      <c r="H83" s="3" t="s">
        <v>6</v>
      </c>
      <c r="I83" s="5">
        <v>0.10989516171844446</v>
      </c>
      <c r="J83" s="3" t="s">
        <v>7</v>
      </c>
      <c r="L83" s="3" t="s">
        <v>226</v>
      </c>
      <c r="M83" s="3" t="s">
        <v>6</v>
      </c>
      <c r="N83" s="5">
        <v>0.10282162209951824</v>
      </c>
      <c r="O83" s="3" t="s">
        <v>7</v>
      </c>
    </row>
    <row r="84" spans="2:15" x14ac:dyDescent="0.45">
      <c r="B84" s="6" t="s">
        <v>224</v>
      </c>
      <c r="C84" s="6" t="s">
        <v>10</v>
      </c>
      <c r="D84" s="7">
        <v>0.11655526024403798</v>
      </c>
      <c r="E84" s="6" t="s">
        <v>7</v>
      </c>
      <c r="G84" s="6" t="s">
        <v>225</v>
      </c>
      <c r="H84" s="6" t="s">
        <v>10</v>
      </c>
      <c r="I84" s="8">
        <v>0.13661058227923573</v>
      </c>
      <c r="J84" s="6" t="s">
        <v>7</v>
      </c>
      <c r="L84" s="6" t="s">
        <v>226</v>
      </c>
      <c r="M84" s="6" t="s">
        <v>10</v>
      </c>
      <c r="N84" s="8">
        <v>0.1263856410231923</v>
      </c>
      <c r="O84" s="6" t="s">
        <v>7</v>
      </c>
    </row>
    <row r="85" spans="2:15" x14ac:dyDescent="0.45">
      <c r="B85" s="3" t="s">
        <v>224</v>
      </c>
      <c r="C85" s="3" t="s">
        <v>11</v>
      </c>
      <c r="D85" s="4">
        <v>4.1557196565112512E-3</v>
      </c>
      <c r="E85" s="3" t="s">
        <v>7</v>
      </c>
      <c r="G85" s="3" t="s">
        <v>225</v>
      </c>
      <c r="H85" s="3" t="s">
        <v>11</v>
      </c>
      <c r="I85" s="5">
        <v>8.682172372873774E-2</v>
      </c>
      <c r="J85" s="3" t="s">
        <v>7</v>
      </c>
      <c r="L85" s="3" t="s">
        <v>226</v>
      </c>
      <c r="M85" s="3" t="s">
        <v>11</v>
      </c>
      <c r="N85" s="5">
        <v>7.9700768435660166E-2</v>
      </c>
      <c r="O85" s="3" t="s">
        <v>7</v>
      </c>
    </row>
    <row r="86" spans="2:15" x14ac:dyDescent="0.45">
      <c r="B86" s="6" t="s">
        <v>224</v>
      </c>
      <c r="C86" s="6" t="s">
        <v>12</v>
      </c>
      <c r="D86" s="7">
        <v>5.3040133574012646E-4</v>
      </c>
      <c r="E86" s="6" t="s">
        <v>7</v>
      </c>
      <c r="G86" s="6" t="s">
        <v>225</v>
      </c>
      <c r="H86" s="6" t="s">
        <v>12</v>
      </c>
      <c r="I86" s="8">
        <v>9.0159798900114482E-2</v>
      </c>
      <c r="J86" s="6" t="s">
        <v>7</v>
      </c>
      <c r="L86" s="6" t="s">
        <v>226</v>
      </c>
      <c r="M86" s="6" t="s">
        <v>12</v>
      </c>
      <c r="N86" s="8">
        <v>9.3062351673769667E-2</v>
      </c>
      <c r="O86" s="6" t="s">
        <v>7</v>
      </c>
    </row>
    <row r="87" spans="2:15" x14ac:dyDescent="0.45">
      <c r="B87" s="3" t="s">
        <v>224</v>
      </c>
      <c r="C87" s="3" t="s">
        <v>13</v>
      </c>
      <c r="D87" s="4">
        <v>0.29610376433105356</v>
      </c>
      <c r="E87" s="3" t="s">
        <v>7</v>
      </c>
      <c r="G87" s="3" t="s">
        <v>225</v>
      </c>
      <c r="H87" s="3" t="s">
        <v>13</v>
      </c>
      <c r="I87" s="5">
        <v>0.12577696496442375</v>
      </c>
      <c r="J87" s="3" t="s">
        <v>7</v>
      </c>
      <c r="L87" s="3" t="s">
        <v>226</v>
      </c>
      <c r="M87" s="3" t="s">
        <v>13</v>
      </c>
      <c r="N87" s="5">
        <v>0.11075817541121616</v>
      </c>
      <c r="O87" s="3" t="s">
        <v>7</v>
      </c>
    </row>
    <row r="88" spans="2:15" x14ac:dyDescent="0.45">
      <c r="B88" s="6" t="s">
        <v>224</v>
      </c>
      <c r="C88" s="6" t="s">
        <v>14</v>
      </c>
      <c r="D88" s="7">
        <v>3.6525876977595725E-2</v>
      </c>
      <c r="E88" s="6" t="s">
        <v>7</v>
      </c>
      <c r="G88" s="6" t="s">
        <v>225</v>
      </c>
      <c r="H88" s="6" t="s">
        <v>14</v>
      </c>
      <c r="I88" s="8">
        <v>6.9135534665933043E-2</v>
      </c>
      <c r="J88" s="6" t="s">
        <v>7</v>
      </c>
      <c r="L88" s="6" t="s">
        <v>226</v>
      </c>
      <c r="M88" s="6" t="s">
        <v>14</v>
      </c>
      <c r="N88" s="8">
        <v>6.8850376863801688E-2</v>
      </c>
      <c r="O88" s="6" t="s">
        <v>7</v>
      </c>
    </row>
    <row r="89" spans="2:15" x14ac:dyDescent="0.45">
      <c r="B89" s="3" t="s">
        <v>224</v>
      </c>
      <c r="C89" s="3" t="s">
        <v>15</v>
      </c>
      <c r="D89" s="4">
        <v>1.674489502984527E-3</v>
      </c>
      <c r="E89" s="3" t="s">
        <v>7</v>
      </c>
      <c r="G89" s="3" t="s">
        <v>225</v>
      </c>
      <c r="H89" s="3" t="s">
        <v>15</v>
      </c>
      <c r="I89" s="5">
        <v>4.4688670363185572E-2</v>
      </c>
      <c r="J89" s="3" t="s">
        <v>7</v>
      </c>
      <c r="L89" s="3" t="s">
        <v>226</v>
      </c>
      <c r="M89" s="3" t="s">
        <v>15</v>
      </c>
      <c r="N89" s="5">
        <v>4.9789172899528215E-2</v>
      </c>
      <c r="O89" s="3" t="s">
        <v>7</v>
      </c>
    </row>
    <row r="90" spans="2:15" x14ac:dyDescent="0.45">
      <c r="B90" s="6" t="s">
        <v>224</v>
      </c>
      <c r="C90" s="6" t="s">
        <v>16</v>
      </c>
      <c r="D90" s="7">
        <v>0.31068108949968526</v>
      </c>
      <c r="E90" s="6" t="s">
        <v>7</v>
      </c>
      <c r="G90" s="6" t="s">
        <v>225</v>
      </c>
      <c r="H90" s="6" t="s">
        <v>16</v>
      </c>
      <c r="I90" s="8">
        <v>6.44959983021825E-2</v>
      </c>
      <c r="J90" s="6" t="s">
        <v>7</v>
      </c>
      <c r="L90" s="6" t="s">
        <v>226</v>
      </c>
      <c r="M90" s="6" t="s">
        <v>16</v>
      </c>
      <c r="N90" s="8">
        <v>6.624537096508297E-2</v>
      </c>
      <c r="O90" s="6" t="s">
        <v>7</v>
      </c>
    </row>
    <row r="91" spans="2:15" x14ac:dyDescent="0.45">
      <c r="B91" s="3" t="s">
        <v>224</v>
      </c>
      <c r="C91" s="3" t="s">
        <v>17</v>
      </c>
      <c r="D91" s="4">
        <v>4.6789116554306204E-2</v>
      </c>
      <c r="E91" s="3" t="s">
        <v>7</v>
      </c>
      <c r="G91" s="3" t="s">
        <v>225</v>
      </c>
      <c r="H91" s="3" t="s">
        <v>17</v>
      </c>
      <c r="I91" s="5">
        <v>3.3793311835174658E-2</v>
      </c>
      <c r="J91" s="3" t="s">
        <v>7</v>
      </c>
      <c r="L91" s="3" t="s">
        <v>226</v>
      </c>
      <c r="M91" s="3" t="s">
        <v>17</v>
      </c>
      <c r="N91" s="5">
        <v>4.3778334499708936E-2</v>
      </c>
      <c r="O91" s="3" t="s">
        <v>7</v>
      </c>
    </row>
    <row r="92" spans="2:15" x14ac:dyDescent="0.45">
      <c r="B92" s="6" t="s">
        <v>224</v>
      </c>
      <c r="C92" s="6" t="s">
        <v>18</v>
      </c>
      <c r="D92" s="7">
        <v>0</v>
      </c>
      <c r="E92" s="6" t="s">
        <v>7</v>
      </c>
      <c r="G92" s="6" t="s">
        <v>225</v>
      </c>
      <c r="H92" s="6" t="s">
        <v>18</v>
      </c>
      <c r="I92" s="8">
        <v>7.5711847973537166E-2</v>
      </c>
      <c r="J92" s="6" t="s">
        <v>7</v>
      </c>
      <c r="L92" s="6" t="s">
        <v>226</v>
      </c>
      <c r="M92" s="6" t="s">
        <v>18</v>
      </c>
      <c r="N92" s="8">
        <v>8.4468534516159946E-2</v>
      </c>
      <c r="O92" s="6" t="s">
        <v>7</v>
      </c>
    </row>
    <row r="93" spans="2:15" x14ac:dyDescent="0.45">
      <c r="B93" s="3" t="s">
        <v>224</v>
      </c>
      <c r="C93" s="3" t="s">
        <v>19</v>
      </c>
      <c r="D93" s="4">
        <v>0.17825282893811151</v>
      </c>
      <c r="E93" s="3" t="s">
        <v>7</v>
      </c>
      <c r="G93" s="3" t="s">
        <v>225</v>
      </c>
      <c r="H93" s="3" t="s">
        <v>19</v>
      </c>
      <c r="I93" s="5">
        <v>0.10676272690298522</v>
      </c>
      <c r="J93" s="3" t="s">
        <v>7</v>
      </c>
      <c r="L93" s="3" t="s">
        <v>226</v>
      </c>
      <c r="M93" s="3" t="s">
        <v>19</v>
      </c>
      <c r="N93" s="5">
        <v>0.10830224354735722</v>
      </c>
      <c r="O93" s="3" t="s">
        <v>7</v>
      </c>
    </row>
    <row r="94" spans="2:15" x14ac:dyDescent="0.45">
      <c r="B94" s="6" t="s">
        <v>224</v>
      </c>
      <c r="C94" s="6" t="s">
        <v>20</v>
      </c>
      <c r="D94" s="7">
        <v>8.7314529599739447E-3</v>
      </c>
      <c r="E94" s="6" t="s">
        <v>7</v>
      </c>
      <c r="G94" s="6" t="s">
        <v>225</v>
      </c>
      <c r="H94" s="6" t="s">
        <v>20</v>
      </c>
      <c r="I94" s="8">
        <v>5.6147678366045575E-2</v>
      </c>
      <c r="J94" s="6" t="s">
        <v>7</v>
      </c>
      <c r="L94" s="6" t="s">
        <v>226</v>
      </c>
      <c r="M94" s="6" t="s">
        <v>20</v>
      </c>
      <c r="N94" s="8">
        <v>6.5837408065004488E-2</v>
      </c>
      <c r="O94" s="6" t="s">
        <v>7</v>
      </c>
    </row>
    <row r="95" spans="2:15" x14ac:dyDescent="0.45">
      <c r="B95" s="3" t="s">
        <v>227</v>
      </c>
      <c r="C95" s="3" t="s">
        <v>6</v>
      </c>
      <c r="D95" s="4">
        <v>0</v>
      </c>
      <c r="E95" s="3" t="s">
        <v>7</v>
      </c>
      <c r="G95" s="3" t="s">
        <v>228</v>
      </c>
      <c r="H95" s="3" t="s">
        <v>6</v>
      </c>
      <c r="I95" s="5">
        <v>0.11080472106169306</v>
      </c>
      <c r="J95" s="3" t="s">
        <v>7</v>
      </c>
      <c r="L95" s="3" t="s">
        <v>229</v>
      </c>
      <c r="M95" s="3" t="s">
        <v>6</v>
      </c>
      <c r="N95" s="5">
        <v>0.10653764947737995</v>
      </c>
      <c r="O95" s="3" t="s">
        <v>7</v>
      </c>
    </row>
    <row r="96" spans="2:15" x14ac:dyDescent="0.45">
      <c r="B96" s="6" t="s">
        <v>227</v>
      </c>
      <c r="C96" s="6" t="s">
        <v>10</v>
      </c>
      <c r="D96" s="7">
        <v>0.11674274282513114</v>
      </c>
      <c r="E96" s="6" t="s">
        <v>7</v>
      </c>
      <c r="G96" s="6" t="s">
        <v>228</v>
      </c>
      <c r="H96" s="6" t="s">
        <v>10</v>
      </c>
      <c r="I96" s="8">
        <v>0.13545603762993355</v>
      </c>
      <c r="J96" s="6" t="s">
        <v>7</v>
      </c>
      <c r="L96" s="6" t="s">
        <v>229</v>
      </c>
      <c r="M96" s="6" t="s">
        <v>10</v>
      </c>
      <c r="N96" s="8">
        <v>0.14496753309303995</v>
      </c>
      <c r="O96" s="6" t="s">
        <v>7</v>
      </c>
    </row>
    <row r="97" spans="2:15" x14ac:dyDescent="0.45">
      <c r="B97" s="3" t="s">
        <v>227</v>
      </c>
      <c r="C97" s="3" t="s">
        <v>11</v>
      </c>
      <c r="D97" s="4">
        <v>3.642592385359072E-3</v>
      </c>
      <c r="E97" s="3" t="s">
        <v>7</v>
      </c>
      <c r="G97" s="3" t="s">
        <v>228</v>
      </c>
      <c r="H97" s="3" t="s">
        <v>11</v>
      </c>
      <c r="I97" s="5">
        <v>8.596930757194654E-2</v>
      </c>
      <c r="J97" s="3" t="s">
        <v>7</v>
      </c>
      <c r="L97" s="3" t="s">
        <v>229</v>
      </c>
      <c r="M97" s="3" t="s">
        <v>11</v>
      </c>
      <c r="N97" s="5">
        <v>8.6363804722727311E-2</v>
      </c>
      <c r="O97" s="3" t="s">
        <v>7</v>
      </c>
    </row>
    <row r="98" spans="2:15" x14ac:dyDescent="0.45">
      <c r="B98" s="6" t="s">
        <v>227</v>
      </c>
      <c r="C98" s="6" t="s">
        <v>12</v>
      </c>
      <c r="D98" s="7">
        <v>5.8338455649197853E-4</v>
      </c>
      <c r="E98" s="6" t="s">
        <v>7</v>
      </c>
      <c r="G98" s="6" t="s">
        <v>228</v>
      </c>
      <c r="H98" s="6" t="s">
        <v>12</v>
      </c>
      <c r="I98" s="8">
        <v>9.0539265252204723E-2</v>
      </c>
      <c r="J98" s="6" t="s">
        <v>7</v>
      </c>
      <c r="L98" s="6" t="s">
        <v>229</v>
      </c>
      <c r="M98" s="6" t="s">
        <v>12</v>
      </c>
      <c r="N98" s="8">
        <v>8.6280042245870908E-2</v>
      </c>
      <c r="O98" s="6" t="s">
        <v>7</v>
      </c>
    </row>
    <row r="99" spans="2:15" x14ac:dyDescent="0.45">
      <c r="B99" s="3" t="s">
        <v>227</v>
      </c>
      <c r="C99" s="3" t="s">
        <v>13</v>
      </c>
      <c r="D99" s="4">
        <v>0.29624613365379571</v>
      </c>
      <c r="E99" s="3" t="s">
        <v>7</v>
      </c>
      <c r="G99" s="3" t="s">
        <v>228</v>
      </c>
      <c r="H99" s="3" t="s">
        <v>13</v>
      </c>
      <c r="I99" s="5">
        <v>0.12391980828443229</v>
      </c>
      <c r="J99" s="3" t="s">
        <v>7</v>
      </c>
      <c r="L99" s="3" t="s">
        <v>229</v>
      </c>
      <c r="M99" s="3" t="s">
        <v>13</v>
      </c>
      <c r="N99" s="5">
        <v>0.12489040093867566</v>
      </c>
      <c r="O99" s="3" t="s">
        <v>7</v>
      </c>
    </row>
    <row r="100" spans="2:15" x14ac:dyDescent="0.45">
      <c r="B100" s="6" t="s">
        <v>227</v>
      </c>
      <c r="C100" s="6" t="s">
        <v>14</v>
      </c>
      <c r="D100" s="7">
        <v>3.5180111487183842E-2</v>
      </c>
      <c r="E100" s="6" t="s">
        <v>7</v>
      </c>
      <c r="G100" s="6" t="s">
        <v>228</v>
      </c>
      <c r="H100" s="6" t="s">
        <v>14</v>
      </c>
      <c r="I100" s="8">
        <v>6.8374989198891359E-2</v>
      </c>
      <c r="J100" s="6" t="s">
        <v>7</v>
      </c>
      <c r="L100" s="6" t="s">
        <v>229</v>
      </c>
      <c r="M100" s="6" t="s">
        <v>14</v>
      </c>
      <c r="N100" s="8">
        <v>6.4640016534148428E-2</v>
      </c>
      <c r="O100" s="6" t="s">
        <v>7</v>
      </c>
    </row>
    <row r="101" spans="2:15" x14ac:dyDescent="0.45">
      <c r="B101" s="3" t="s">
        <v>227</v>
      </c>
      <c r="C101" s="3" t="s">
        <v>15</v>
      </c>
      <c r="D101" s="4">
        <v>1.7065186520964233E-3</v>
      </c>
      <c r="E101" s="3" t="s">
        <v>7</v>
      </c>
      <c r="G101" s="3" t="s">
        <v>228</v>
      </c>
      <c r="H101" s="3" t="s">
        <v>15</v>
      </c>
      <c r="I101" s="5">
        <v>4.332152661934003E-2</v>
      </c>
      <c r="J101" s="3" t="s">
        <v>7</v>
      </c>
      <c r="L101" s="3" t="s">
        <v>229</v>
      </c>
      <c r="M101" s="3" t="s">
        <v>15</v>
      </c>
      <c r="N101" s="5">
        <v>4.642236657673289E-2</v>
      </c>
      <c r="O101" s="3" t="s">
        <v>7</v>
      </c>
    </row>
    <row r="102" spans="2:15" x14ac:dyDescent="0.45">
      <c r="B102" s="6" t="s">
        <v>227</v>
      </c>
      <c r="C102" s="6" t="s">
        <v>16</v>
      </c>
      <c r="D102" s="7">
        <v>0.31049394480133463</v>
      </c>
      <c r="E102" s="6" t="s">
        <v>7</v>
      </c>
      <c r="G102" s="6" t="s">
        <v>228</v>
      </c>
      <c r="H102" s="6" t="s">
        <v>16</v>
      </c>
      <c r="I102" s="8">
        <v>6.3432967975093874E-2</v>
      </c>
      <c r="J102" s="6" t="s">
        <v>7</v>
      </c>
      <c r="L102" s="6" t="s">
        <v>229</v>
      </c>
      <c r="M102" s="6" t="s">
        <v>16</v>
      </c>
      <c r="N102" s="8">
        <v>6.6026483936406713E-2</v>
      </c>
      <c r="O102" s="6" t="s">
        <v>7</v>
      </c>
    </row>
    <row r="103" spans="2:15" x14ac:dyDescent="0.45">
      <c r="B103" s="3" t="s">
        <v>227</v>
      </c>
      <c r="C103" s="3" t="s">
        <v>17</v>
      </c>
      <c r="D103" s="4">
        <v>4.6031698480569025E-2</v>
      </c>
      <c r="E103" s="3" t="s">
        <v>7</v>
      </c>
      <c r="G103" s="3" t="s">
        <v>228</v>
      </c>
      <c r="H103" s="3" t="s">
        <v>17</v>
      </c>
      <c r="I103" s="5">
        <v>3.3273941483283637E-2</v>
      </c>
      <c r="J103" s="3" t="s">
        <v>7</v>
      </c>
      <c r="L103" s="3" t="s">
        <v>229</v>
      </c>
      <c r="M103" s="3" t="s">
        <v>17</v>
      </c>
      <c r="N103" s="5">
        <v>3.3620335281589142E-2</v>
      </c>
      <c r="O103" s="3" t="s">
        <v>7</v>
      </c>
    </row>
    <row r="104" spans="2:15" x14ac:dyDescent="0.45">
      <c r="B104" s="6" t="s">
        <v>227</v>
      </c>
      <c r="C104" s="6" t="s">
        <v>18</v>
      </c>
      <c r="D104" s="7">
        <v>0</v>
      </c>
      <c r="E104" s="6" t="s">
        <v>7</v>
      </c>
      <c r="G104" s="6" t="s">
        <v>228</v>
      </c>
      <c r="H104" s="6" t="s">
        <v>18</v>
      </c>
      <c r="I104" s="8">
        <v>7.8714883201833244E-2</v>
      </c>
      <c r="J104" s="6" t="s">
        <v>7</v>
      </c>
      <c r="L104" s="6" t="s">
        <v>229</v>
      </c>
      <c r="M104" s="6" t="s">
        <v>18</v>
      </c>
      <c r="N104" s="8">
        <v>7.8306784943523305E-2</v>
      </c>
      <c r="O104" s="6" t="s">
        <v>7</v>
      </c>
    </row>
    <row r="105" spans="2:15" x14ac:dyDescent="0.45">
      <c r="B105" s="3" t="s">
        <v>227</v>
      </c>
      <c r="C105" s="3" t="s">
        <v>19</v>
      </c>
      <c r="D105" s="4">
        <v>0.18095558729436578</v>
      </c>
      <c r="E105" s="3" t="s">
        <v>7</v>
      </c>
      <c r="G105" s="3" t="s">
        <v>228</v>
      </c>
      <c r="H105" s="3" t="s">
        <v>19</v>
      </c>
      <c r="I105" s="5">
        <v>0.10770737015761979</v>
      </c>
      <c r="J105" s="3" t="s">
        <v>7</v>
      </c>
      <c r="L105" s="3" t="s">
        <v>229</v>
      </c>
      <c r="M105" s="3" t="s">
        <v>19</v>
      </c>
      <c r="N105" s="5">
        <v>0.10632641210585919</v>
      </c>
      <c r="O105" s="3" t="s">
        <v>7</v>
      </c>
    </row>
    <row r="106" spans="2:15" x14ac:dyDescent="0.45">
      <c r="B106" s="6" t="s">
        <v>227</v>
      </c>
      <c r="C106" s="6" t="s">
        <v>20</v>
      </c>
      <c r="D106" s="7">
        <v>8.4172858636724218E-3</v>
      </c>
      <c r="E106" s="6" t="s">
        <v>7</v>
      </c>
      <c r="G106" s="6" t="s">
        <v>228</v>
      </c>
      <c r="H106" s="6" t="s">
        <v>20</v>
      </c>
      <c r="I106" s="8">
        <v>5.8485181563727923E-2</v>
      </c>
      <c r="J106" s="6" t="s">
        <v>7</v>
      </c>
      <c r="L106" s="6" t="s">
        <v>229</v>
      </c>
      <c r="M106" s="6" t="s">
        <v>20</v>
      </c>
      <c r="N106" s="8">
        <v>5.561817014404645E-2</v>
      </c>
      <c r="O106" s="6" t="s">
        <v>7</v>
      </c>
    </row>
    <row r="107" spans="2:15" x14ac:dyDescent="0.45">
      <c r="B107" s="3" t="s">
        <v>230</v>
      </c>
      <c r="C107" s="3" t="s">
        <v>6</v>
      </c>
      <c r="D107" s="4">
        <v>0</v>
      </c>
      <c r="E107" s="3" t="s">
        <v>7</v>
      </c>
      <c r="G107" s="3" t="s">
        <v>231</v>
      </c>
      <c r="H107" s="3" t="s">
        <v>6</v>
      </c>
      <c r="I107" s="5">
        <v>0.10166612539923968</v>
      </c>
      <c r="J107" s="3" t="s">
        <v>7</v>
      </c>
      <c r="L107" s="3" t="s">
        <v>232</v>
      </c>
      <c r="M107" s="3" t="s">
        <v>6</v>
      </c>
      <c r="N107" s="5">
        <v>0.10063656877372432</v>
      </c>
      <c r="O107" s="3" t="s">
        <v>7</v>
      </c>
    </row>
    <row r="108" spans="2:15" x14ac:dyDescent="0.45">
      <c r="B108" s="6" t="s">
        <v>230</v>
      </c>
      <c r="C108" s="6" t="s">
        <v>10</v>
      </c>
      <c r="D108" s="7">
        <v>0.11380811660926222</v>
      </c>
      <c r="E108" s="6" t="s">
        <v>7</v>
      </c>
      <c r="G108" s="6" t="s">
        <v>231</v>
      </c>
      <c r="H108" s="6" t="s">
        <v>10</v>
      </c>
      <c r="I108" s="8">
        <v>0.13638692434121247</v>
      </c>
      <c r="J108" s="6" t="s">
        <v>7</v>
      </c>
      <c r="L108" s="6" t="s">
        <v>232</v>
      </c>
      <c r="M108" s="6" t="s">
        <v>10</v>
      </c>
      <c r="N108" s="8">
        <v>0.12955629884365893</v>
      </c>
      <c r="O108" s="6" t="s">
        <v>7</v>
      </c>
    </row>
    <row r="109" spans="2:15" x14ac:dyDescent="0.45">
      <c r="B109" s="3" t="s">
        <v>230</v>
      </c>
      <c r="C109" s="3" t="s">
        <v>11</v>
      </c>
      <c r="D109" s="4">
        <v>5.1827950333239734E-3</v>
      </c>
      <c r="E109" s="3" t="s">
        <v>7</v>
      </c>
      <c r="G109" s="3" t="s">
        <v>231</v>
      </c>
      <c r="H109" s="3" t="s">
        <v>11</v>
      </c>
      <c r="I109" s="5">
        <v>8.1111961808967223E-2</v>
      </c>
      <c r="J109" s="3" t="s">
        <v>7</v>
      </c>
      <c r="L109" s="3" t="s">
        <v>232</v>
      </c>
      <c r="M109" s="3" t="s">
        <v>11</v>
      </c>
      <c r="N109" s="5">
        <v>7.7376918141429524E-2</v>
      </c>
      <c r="O109" s="3" t="s">
        <v>7</v>
      </c>
    </row>
    <row r="110" spans="2:15" x14ac:dyDescent="0.45">
      <c r="B110" s="6" t="s">
        <v>230</v>
      </c>
      <c r="C110" s="6" t="s">
        <v>12</v>
      </c>
      <c r="D110" s="7">
        <v>3.1644458615721612E-4</v>
      </c>
      <c r="E110" s="6" t="s">
        <v>7</v>
      </c>
      <c r="G110" s="6" t="s">
        <v>231</v>
      </c>
      <c r="H110" s="6" t="s">
        <v>12</v>
      </c>
      <c r="I110" s="8">
        <v>9.0151434091379795E-2</v>
      </c>
      <c r="J110" s="6" t="s">
        <v>7</v>
      </c>
      <c r="L110" s="6" t="s">
        <v>232</v>
      </c>
      <c r="M110" s="6" t="s">
        <v>12</v>
      </c>
      <c r="N110" s="8">
        <v>8.706499524249757E-2</v>
      </c>
      <c r="O110" s="6" t="s">
        <v>7</v>
      </c>
    </row>
    <row r="111" spans="2:15" x14ac:dyDescent="0.45">
      <c r="B111" s="3" t="s">
        <v>230</v>
      </c>
      <c r="C111" s="3" t="s">
        <v>13</v>
      </c>
      <c r="D111" s="4">
        <v>0.30305996535770163</v>
      </c>
      <c r="E111" s="3" t="s">
        <v>7</v>
      </c>
      <c r="G111" s="3" t="s">
        <v>231</v>
      </c>
      <c r="H111" s="3" t="s">
        <v>13</v>
      </c>
      <c r="I111" s="5">
        <v>0.12486605539033727</v>
      </c>
      <c r="J111" s="3" t="s">
        <v>7</v>
      </c>
      <c r="L111" s="3" t="s">
        <v>232</v>
      </c>
      <c r="M111" s="3" t="s">
        <v>13</v>
      </c>
      <c r="N111" s="5">
        <v>0.11163666864903898</v>
      </c>
      <c r="O111" s="3" t="s">
        <v>7</v>
      </c>
    </row>
    <row r="112" spans="2:15" x14ac:dyDescent="0.45">
      <c r="B112" s="6" t="s">
        <v>230</v>
      </c>
      <c r="C112" s="6" t="s">
        <v>14</v>
      </c>
      <c r="D112" s="7">
        <v>3.8143676867105118E-2</v>
      </c>
      <c r="E112" s="6" t="s">
        <v>7</v>
      </c>
      <c r="G112" s="6" t="s">
        <v>231</v>
      </c>
      <c r="H112" s="6" t="s">
        <v>14</v>
      </c>
      <c r="I112" s="8">
        <v>7.146324960913969E-2</v>
      </c>
      <c r="J112" s="6" t="s">
        <v>7</v>
      </c>
      <c r="L112" s="6" t="s">
        <v>232</v>
      </c>
      <c r="M112" s="6" t="s">
        <v>14</v>
      </c>
      <c r="N112" s="8">
        <v>6.6421533441505295E-2</v>
      </c>
      <c r="O112" s="6" t="s">
        <v>7</v>
      </c>
    </row>
    <row r="113" spans="2:15" x14ac:dyDescent="0.45">
      <c r="B113" s="3" t="s">
        <v>230</v>
      </c>
      <c r="C113" s="3" t="s">
        <v>15</v>
      </c>
      <c r="D113" s="4">
        <v>9.7078597472451795E-4</v>
      </c>
      <c r="E113" s="3" t="s">
        <v>7</v>
      </c>
      <c r="G113" s="3" t="s">
        <v>231</v>
      </c>
      <c r="H113" s="3" t="s">
        <v>15</v>
      </c>
      <c r="I113" s="5">
        <v>5.1162721052388033E-2</v>
      </c>
      <c r="J113" s="3" t="s">
        <v>7</v>
      </c>
      <c r="L113" s="3" t="s">
        <v>232</v>
      </c>
      <c r="M113" s="3" t="s">
        <v>15</v>
      </c>
      <c r="N113" s="5">
        <v>5.8370362563241421E-2</v>
      </c>
      <c r="O113" s="3" t="s">
        <v>7</v>
      </c>
    </row>
    <row r="114" spans="2:15" x14ac:dyDescent="0.45">
      <c r="B114" s="6" t="s">
        <v>230</v>
      </c>
      <c r="C114" s="6" t="s">
        <v>16</v>
      </c>
      <c r="D114" s="7">
        <v>0.30570129481728292</v>
      </c>
      <c r="E114" s="6" t="s">
        <v>7</v>
      </c>
      <c r="G114" s="6" t="s">
        <v>231</v>
      </c>
      <c r="H114" s="6" t="s">
        <v>16</v>
      </c>
      <c r="I114" s="8">
        <v>7.2010635785989652E-2</v>
      </c>
      <c r="J114" s="6" t="s">
        <v>7</v>
      </c>
      <c r="L114" s="6" t="s">
        <v>232</v>
      </c>
      <c r="M114" s="6" t="s">
        <v>16</v>
      </c>
      <c r="N114" s="8">
        <v>7.0262179866269703E-2</v>
      </c>
      <c r="O114" s="6" t="s">
        <v>7</v>
      </c>
    </row>
    <row r="115" spans="2:15" x14ac:dyDescent="0.45">
      <c r="B115" s="3" t="s">
        <v>230</v>
      </c>
      <c r="C115" s="3" t="s">
        <v>17</v>
      </c>
      <c r="D115" s="4">
        <v>4.9559838467933645E-2</v>
      </c>
      <c r="E115" s="3" t="s">
        <v>7</v>
      </c>
      <c r="G115" s="3" t="s">
        <v>231</v>
      </c>
      <c r="H115" s="3" t="s">
        <v>17</v>
      </c>
      <c r="I115" s="5">
        <v>4.0177539562481469E-2</v>
      </c>
      <c r="J115" s="3" t="s">
        <v>7</v>
      </c>
      <c r="L115" s="3" t="s">
        <v>232</v>
      </c>
      <c r="M115" s="3" t="s">
        <v>17</v>
      </c>
      <c r="N115" s="5">
        <v>4.361886761754407E-2</v>
      </c>
      <c r="O115" s="3" t="s">
        <v>7</v>
      </c>
    </row>
    <row r="116" spans="2:15" x14ac:dyDescent="0.45">
      <c r="B116" s="6" t="s">
        <v>230</v>
      </c>
      <c r="C116" s="6" t="s">
        <v>18</v>
      </c>
      <c r="D116" s="7">
        <v>0</v>
      </c>
      <c r="E116" s="6" t="s">
        <v>7</v>
      </c>
      <c r="G116" s="6" t="s">
        <v>231</v>
      </c>
      <c r="H116" s="6" t="s">
        <v>18</v>
      </c>
      <c r="I116" s="8">
        <v>7.5149939356146236E-2</v>
      </c>
      <c r="J116" s="6" t="s">
        <v>7</v>
      </c>
      <c r="L116" s="6" t="s">
        <v>232</v>
      </c>
      <c r="M116" s="6" t="s">
        <v>18</v>
      </c>
      <c r="N116" s="8">
        <v>8.643576966645812E-2</v>
      </c>
      <c r="O116" s="6" t="s">
        <v>7</v>
      </c>
    </row>
    <row r="117" spans="2:15" x14ac:dyDescent="0.45">
      <c r="B117" s="3" t="s">
        <v>230</v>
      </c>
      <c r="C117" s="3" t="s">
        <v>19</v>
      </c>
      <c r="D117" s="4">
        <v>0.17288723502296885</v>
      </c>
      <c r="E117" s="3" t="s">
        <v>7</v>
      </c>
      <c r="G117" s="3" t="s">
        <v>231</v>
      </c>
      <c r="H117" s="3" t="s">
        <v>19</v>
      </c>
      <c r="I117" s="5">
        <v>0.10072261552565856</v>
      </c>
      <c r="J117" s="3" t="s">
        <v>7</v>
      </c>
      <c r="L117" s="3" t="s">
        <v>232</v>
      </c>
      <c r="M117" s="3" t="s">
        <v>19</v>
      </c>
      <c r="N117" s="5">
        <v>0.10613861474162006</v>
      </c>
      <c r="O117" s="3" t="s">
        <v>7</v>
      </c>
    </row>
    <row r="118" spans="2:15" x14ac:dyDescent="0.45">
      <c r="B118" s="6" t="s">
        <v>230</v>
      </c>
      <c r="C118" s="6" t="s">
        <v>20</v>
      </c>
      <c r="D118" s="7">
        <v>1.0369847263539877E-2</v>
      </c>
      <c r="E118" s="6" t="s">
        <v>7</v>
      </c>
      <c r="G118" s="6" t="s">
        <v>231</v>
      </c>
      <c r="H118" s="6" t="s">
        <v>20</v>
      </c>
      <c r="I118" s="8">
        <v>5.5130798077059923E-2</v>
      </c>
      <c r="J118" s="6" t="s">
        <v>7</v>
      </c>
      <c r="L118" s="6" t="s">
        <v>232</v>
      </c>
      <c r="M118" s="6" t="s">
        <v>20</v>
      </c>
      <c r="N118" s="8">
        <v>6.2481222453012075E-2</v>
      </c>
      <c r="O118" s="6" t="s">
        <v>7</v>
      </c>
    </row>
    <row r="119" spans="2:15" x14ac:dyDescent="0.45">
      <c r="B119" s="3" t="s">
        <v>233</v>
      </c>
      <c r="C119" s="3" t="s">
        <v>6</v>
      </c>
      <c r="D119" s="4">
        <v>0</v>
      </c>
      <c r="E119" s="3" t="s">
        <v>7</v>
      </c>
      <c r="G119" s="3" t="s">
        <v>234</v>
      </c>
      <c r="H119" s="3" t="s">
        <v>6</v>
      </c>
      <c r="I119" s="5">
        <v>0.10231551086089459</v>
      </c>
      <c r="J119" s="3" t="s">
        <v>7</v>
      </c>
      <c r="L119" s="3" t="s">
        <v>235</v>
      </c>
      <c r="M119" s="3" t="s">
        <v>6</v>
      </c>
      <c r="N119" s="5">
        <v>9.9888262822614732E-2</v>
      </c>
      <c r="O119" s="3" t="s">
        <v>7</v>
      </c>
    </row>
    <row r="120" spans="2:15" x14ac:dyDescent="0.45">
      <c r="B120" s="6" t="s">
        <v>233</v>
      </c>
      <c r="C120" s="6" t="s">
        <v>10</v>
      </c>
      <c r="D120" s="7">
        <v>0.11824764933934002</v>
      </c>
      <c r="E120" s="6" t="s">
        <v>7</v>
      </c>
      <c r="G120" s="6" t="s">
        <v>234</v>
      </c>
      <c r="H120" s="6" t="s">
        <v>10</v>
      </c>
      <c r="I120" s="8">
        <v>0.13397444792552224</v>
      </c>
      <c r="J120" s="6" t="s">
        <v>7</v>
      </c>
      <c r="L120" s="6" t="s">
        <v>235</v>
      </c>
      <c r="M120" s="6" t="s">
        <v>10</v>
      </c>
      <c r="N120" s="8">
        <v>0.12685270257195463</v>
      </c>
      <c r="O120" s="6" t="s">
        <v>7</v>
      </c>
    </row>
    <row r="121" spans="2:15" x14ac:dyDescent="0.45">
      <c r="B121" s="3" t="s">
        <v>233</v>
      </c>
      <c r="C121" s="3" t="s">
        <v>11</v>
      </c>
      <c r="D121" s="4">
        <v>3.6311476389130947E-3</v>
      </c>
      <c r="E121" s="3" t="s">
        <v>7</v>
      </c>
      <c r="G121" s="3" t="s">
        <v>234</v>
      </c>
      <c r="H121" s="3" t="s">
        <v>11</v>
      </c>
      <c r="I121" s="5">
        <v>8.055881129124999E-2</v>
      </c>
      <c r="J121" s="3" t="s">
        <v>7</v>
      </c>
      <c r="L121" s="3" t="s">
        <v>235</v>
      </c>
      <c r="M121" s="3" t="s">
        <v>11</v>
      </c>
      <c r="N121" s="5">
        <v>7.5678710600812354E-2</v>
      </c>
      <c r="O121" s="3" t="s">
        <v>7</v>
      </c>
    </row>
    <row r="122" spans="2:15" x14ac:dyDescent="0.45">
      <c r="B122" s="6" t="s">
        <v>233</v>
      </c>
      <c r="C122" s="6" t="s">
        <v>12</v>
      </c>
      <c r="D122" s="7">
        <v>4.8198310249151837E-4</v>
      </c>
      <c r="E122" s="6" t="s">
        <v>7</v>
      </c>
      <c r="G122" s="6" t="s">
        <v>234</v>
      </c>
      <c r="H122" s="6" t="s">
        <v>12</v>
      </c>
      <c r="I122" s="8">
        <v>9.3901079639649804E-2</v>
      </c>
      <c r="J122" s="6" t="s">
        <v>7</v>
      </c>
      <c r="L122" s="6" t="s">
        <v>235</v>
      </c>
      <c r="M122" s="6" t="s">
        <v>12</v>
      </c>
      <c r="N122" s="8">
        <v>8.6535199495660284E-2</v>
      </c>
      <c r="O122" s="6" t="s">
        <v>7</v>
      </c>
    </row>
    <row r="123" spans="2:15" x14ac:dyDescent="0.45">
      <c r="B123" s="3" t="s">
        <v>233</v>
      </c>
      <c r="C123" s="3" t="s">
        <v>13</v>
      </c>
      <c r="D123" s="4">
        <v>0.29401427408310132</v>
      </c>
      <c r="E123" s="3" t="s">
        <v>7</v>
      </c>
      <c r="G123" s="3" t="s">
        <v>234</v>
      </c>
      <c r="H123" s="3" t="s">
        <v>13</v>
      </c>
      <c r="I123" s="5">
        <v>0.12536372399590734</v>
      </c>
      <c r="J123" s="3" t="s">
        <v>7</v>
      </c>
      <c r="L123" s="3" t="s">
        <v>235</v>
      </c>
      <c r="M123" s="3" t="s">
        <v>13</v>
      </c>
      <c r="N123" s="5">
        <v>0.11081335343657722</v>
      </c>
      <c r="O123" s="3" t="s">
        <v>7</v>
      </c>
    </row>
    <row r="124" spans="2:15" x14ac:dyDescent="0.45">
      <c r="B124" s="6" t="s">
        <v>233</v>
      </c>
      <c r="C124" s="6" t="s">
        <v>14</v>
      </c>
      <c r="D124" s="7">
        <v>3.4611654046811303E-2</v>
      </c>
      <c r="E124" s="6" t="s">
        <v>7</v>
      </c>
      <c r="G124" s="6" t="s">
        <v>234</v>
      </c>
      <c r="H124" s="6" t="s">
        <v>14</v>
      </c>
      <c r="I124" s="8">
        <v>6.9920494857560897E-2</v>
      </c>
      <c r="J124" s="6" t="s">
        <v>7</v>
      </c>
      <c r="L124" s="6" t="s">
        <v>235</v>
      </c>
      <c r="M124" s="6" t="s">
        <v>14</v>
      </c>
      <c r="N124" s="8">
        <v>6.5770770198809322E-2</v>
      </c>
      <c r="O124" s="6" t="s">
        <v>7</v>
      </c>
    </row>
    <row r="125" spans="2:15" x14ac:dyDescent="0.45">
      <c r="B125" s="3" t="s">
        <v>233</v>
      </c>
      <c r="C125" s="3" t="s">
        <v>15</v>
      </c>
      <c r="D125" s="4">
        <v>1.2687552243370408E-3</v>
      </c>
      <c r="E125" s="3" t="s">
        <v>7</v>
      </c>
      <c r="G125" s="3" t="s">
        <v>234</v>
      </c>
      <c r="H125" s="3" t="s">
        <v>15</v>
      </c>
      <c r="I125" s="5">
        <v>4.7332946063359888E-2</v>
      </c>
      <c r="J125" s="3" t="s">
        <v>7</v>
      </c>
      <c r="L125" s="3" t="s">
        <v>235</v>
      </c>
      <c r="M125" s="3" t="s">
        <v>15</v>
      </c>
      <c r="N125" s="5">
        <v>6.1063391789720846E-2</v>
      </c>
      <c r="O125" s="3" t="s">
        <v>7</v>
      </c>
    </row>
    <row r="126" spans="2:15" x14ac:dyDescent="0.45">
      <c r="B126" s="6" t="s">
        <v>233</v>
      </c>
      <c r="C126" s="6" t="s">
        <v>16</v>
      </c>
      <c r="D126" s="7">
        <v>0.31511613813770267</v>
      </c>
      <c r="E126" s="6" t="s">
        <v>7</v>
      </c>
      <c r="G126" s="6" t="s">
        <v>234</v>
      </c>
      <c r="H126" s="6" t="s">
        <v>16</v>
      </c>
      <c r="I126" s="8">
        <v>7.0215011632175944E-2</v>
      </c>
      <c r="J126" s="6" t="s">
        <v>7</v>
      </c>
      <c r="L126" s="6" t="s">
        <v>235</v>
      </c>
      <c r="M126" s="6" t="s">
        <v>16</v>
      </c>
      <c r="N126" s="8">
        <v>7.2084835133361419E-2</v>
      </c>
      <c r="O126" s="6" t="s">
        <v>7</v>
      </c>
    </row>
    <row r="127" spans="2:15" x14ac:dyDescent="0.45">
      <c r="B127" s="3" t="s">
        <v>233</v>
      </c>
      <c r="C127" s="3" t="s">
        <v>17</v>
      </c>
      <c r="D127" s="4">
        <v>4.5946589261044384E-2</v>
      </c>
      <c r="E127" s="3" t="s">
        <v>7</v>
      </c>
      <c r="G127" s="3" t="s">
        <v>234</v>
      </c>
      <c r="H127" s="3" t="s">
        <v>17</v>
      </c>
      <c r="I127" s="5">
        <v>4.175671878143037E-2</v>
      </c>
      <c r="J127" s="3" t="s">
        <v>7</v>
      </c>
      <c r="L127" s="3" t="s">
        <v>235</v>
      </c>
      <c r="M127" s="3" t="s">
        <v>17</v>
      </c>
      <c r="N127" s="5">
        <v>4.5593273525421897E-2</v>
      </c>
      <c r="O127" s="3" t="s">
        <v>7</v>
      </c>
    </row>
    <row r="128" spans="2:15" x14ac:dyDescent="0.45">
      <c r="B128" s="6" t="s">
        <v>233</v>
      </c>
      <c r="C128" s="6" t="s">
        <v>18</v>
      </c>
      <c r="D128" s="7">
        <v>0</v>
      </c>
      <c r="E128" s="6" t="s">
        <v>7</v>
      </c>
      <c r="G128" s="6" t="s">
        <v>234</v>
      </c>
      <c r="H128" s="6" t="s">
        <v>18</v>
      </c>
      <c r="I128" s="8">
        <v>7.4476733002952891E-2</v>
      </c>
      <c r="J128" s="6" t="s">
        <v>7</v>
      </c>
      <c r="L128" s="6" t="s">
        <v>235</v>
      </c>
      <c r="M128" s="6" t="s">
        <v>18</v>
      </c>
      <c r="N128" s="8">
        <v>8.5784997572892374E-2</v>
      </c>
      <c r="O128" s="6" t="s">
        <v>7</v>
      </c>
    </row>
    <row r="129" spans="2:15" x14ac:dyDescent="0.45">
      <c r="B129" s="3" t="s">
        <v>233</v>
      </c>
      <c r="C129" s="3" t="s">
        <v>19</v>
      </c>
      <c r="D129" s="4">
        <v>0.17841944358812359</v>
      </c>
      <c r="E129" s="3" t="s">
        <v>7</v>
      </c>
      <c r="G129" s="3" t="s">
        <v>234</v>
      </c>
      <c r="H129" s="3" t="s">
        <v>19</v>
      </c>
      <c r="I129" s="5">
        <v>0.1032340763264112</v>
      </c>
      <c r="J129" s="3" t="s">
        <v>7</v>
      </c>
      <c r="L129" s="3" t="s">
        <v>235</v>
      </c>
      <c r="M129" s="3" t="s">
        <v>19</v>
      </c>
      <c r="N129" s="5">
        <v>0.10689517307335852</v>
      </c>
      <c r="O129" s="3" t="s">
        <v>7</v>
      </c>
    </row>
    <row r="130" spans="2:15" x14ac:dyDescent="0.45">
      <c r="B130" s="6" t="s">
        <v>233</v>
      </c>
      <c r="C130" s="6" t="s">
        <v>20</v>
      </c>
      <c r="D130" s="7">
        <v>8.2623655781351273E-3</v>
      </c>
      <c r="E130" s="6" t="s">
        <v>7</v>
      </c>
      <c r="G130" s="6" t="s">
        <v>234</v>
      </c>
      <c r="H130" s="6" t="s">
        <v>20</v>
      </c>
      <c r="I130" s="8">
        <v>5.6950445622884906E-2</v>
      </c>
      <c r="J130" s="6" t="s">
        <v>7</v>
      </c>
      <c r="L130" s="6" t="s">
        <v>235</v>
      </c>
      <c r="M130" s="6" t="s">
        <v>20</v>
      </c>
      <c r="N130" s="8">
        <v>6.3039329778816378E-2</v>
      </c>
      <c r="O130" s="6" t="s">
        <v>7</v>
      </c>
    </row>
    <row r="131" spans="2:15" x14ac:dyDescent="0.45">
      <c r="L131" s="3" t="s">
        <v>236</v>
      </c>
      <c r="M131" s="3" t="s">
        <v>6</v>
      </c>
      <c r="N131" s="5">
        <v>0.10396712382020784</v>
      </c>
      <c r="O131" s="3" t="s">
        <v>7</v>
      </c>
    </row>
    <row r="132" spans="2:15" x14ac:dyDescent="0.45">
      <c r="L132" s="6" t="s">
        <v>236</v>
      </c>
      <c r="M132" s="6" t="s">
        <v>10</v>
      </c>
      <c r="N132" s="8">
        <v>0.12798501770636186</v>
      </c>
      <c r="O132" s="6" t="s">
        <v>7</v>
      </c>
    </row>
    <row r="133" spans="2:15" x14ac:dyDescent="0.45">
      <c r="L133" s="3" t="s">
        <v>236</v>
      </c>
      <c r="M133" s="3" t="s">
        <v>11</v>
      </c>
      <c r="N133" s="5">
        <v>7.9558660326659078E-2</v>
      </c>
      <c r="O133" s="3" t="s">
        <v>7</v>
      </c>
    </row>
    <row r="134" spans="2:15" x14ac:dyDescent="0.45">
      <c r="L134" s="6" t="s">
        <v>236</v>
      </c>
      <c r="M134" s="6" t="s">
        <v>12</v>
      </c>
      <c r="N134" s="8">
        <v>8.898325135301656E-2</v>
      </c>
      <c r="O134" s="6" t="s">
        <v>7</v>
      </c>
    </row>
    <row r="135" spans="2:15" x14ac:dyDescent="0.45">
      <c r="L135" s="3" t="s">
        <v>236</v>
      </c>
      <c r="M135" s="3" t="s">
        <v>13</v>
      </c>
      <c r="N135" s="5">
        <v>0.11100084461052477</v>
      </c>
      <c r="O135" s="3" t="s">
        <v>7</v>
      </c>
    </row>
    <row r="136" spans="2:15" x14ac:dyDescent="0.45">
      <c r="L136" s="6" t="s">
        <v>236</v>
      </c>
      <c r="M136" s="6" t="s">
        <v>14</v>
      </c>
      <c r="N136" s="8">
        <v>6.8229383500110111E-2</v>
      </c>
      <c r="O136" s="6" t="s">
        <v>7</v>
      </c>
    </row>
    <row r="137" spans="2:15" x14ac:dyDescent="0.45">
      <c r="L137" s="3" t="s">
        <v>236</v>
      </c>
      <c r="M137" s="3" t="s">
        <v>15</v>
      </c>
      <c r="N137" s="5">
        <v>5.2540613947992136E-2</v>
      </c>
      <c r="O137" s="3" t="s">
        <v>7</v>
      </c>
    </row>
    <row r="138" spans="2:15" x14ac:dyDescent="0.45">
      <c r="L138" s="6" t="s">
        <v>236</v>
      </c>
      <c r="M138" s="6" t="s">
        <v>16</v>
      </c>
      <c r="N138" s="8">
        <v>6.6099763148791374E-2</v>
      </c>
      <c r="O138" s="6" t="s">
        <v>7</v>
      </c>
    </row>
    <row r="139" spans="2:15" x14ac:dyDescent="0.45">
      <c r="L139" s="3" t="s">
        <v>236</v>
      </c>
      <c r="M139" s="3" t="s">
        <v>17</v>
      </c>
      <c r="N139" s="5">
        <v>3.9828997254364937E-2</v>
      </c>
      <c r="O139" s="3" t="s">
        <v>7</v>
      </c>
    </row>
    <row r="140" spans="2:15" x14ac:dyDescent="0.45">
      <c r="L140" s="6" t="s">
        <v>236</v>
      </c>
      <c r="M140" s="6" t="s">
        <v>18</v>
      </c>
      <c r="N140" s="8">
        <v>8.6597237395909799E-2</v>
      </c>
      <c r="O140" s="6" t="s">
        <v>7</v>
      </c>
    </row>
    <row r="141" spans="2:15" x14ac:dyDescent="0.45">
      <c r="L141" s="3" t="s">
        <v>236</v>
      </c>
      <c r="M141" s="3" t="s">
        <v>19</v>
      </c>
      <c r="N141" s="5">
        <v>0.10952951655642724</v>
      </c>
      <c r="O141" s="3" t="s">
        <v>7</v>
      </c>
    </row>
    <row r="142" spans="2:15" x14ac:dyDescent="0.45">
      <c r="L142" s="6" t="s">
        <v>236</v>
      </c>
      <c r="M142" s="6" t="s">
        <v>20</v>
      </c>
      <c r="N142" s="8">
        <v>6.5679590379634181E-2</v>
      </c>
      <c r="O142" s="6" t="s">
        <v>7</v>
      </c>
    </row>
    <row r="143" spans="2:15" x14ac:dyDescent="0.45">
      <c r="L143" s="3" t="s">
        <v>237</v>
      </c>
      <c r="M143" s="3" t="s">
        <v>6</v>
      </c>
      <c r="N143" s="5">
        <v>9.3008449827769291E-2</v>
      </c>
      <c r="O143" s="3" t="s">
        <v>7</v>
      </c>
    </row>
    <row r="144" spans="2:15" x14ac:dyDescent="0.45">
      <c r="L144" s="6" t="s">
        <v>237</v>
      </c>
      <c r="M144" s="6" t="s">
        <v>10</v>
      </c>
      <c r="N144" s="8">
        <v>0.12262370777256074</v>
      </c>
      <c r="O144" s="6" t="s">
        <v>7</v>
      </c>
    </row>
    <row r="145" spans="12:15" x14ac:dyDescent="0.45">
      <c r="L145" s="3" t="s">
        <v>237</v>
      </c>
      <c r="M145" s="3" t="s">
        <v>11</v>
      </c>
      <c r="N145" s="5">
        <v>7.1020979827516442E-2</v>
      </c>
      <c r="O145" s="3" t="s">
        <v>7</v>
      </c>
    </row>
    <row r="146" spans="12:15" x14ac:dyDescent="0.45">
      <c r="L146" s="6" t="s">
        <v>237</v>
      </c>
      <c r="M146" s="6" t="s">
        <v>12</v>
      </c>
      <c r="N146" s="8">
        <v>8.9985756076501083E-2</v>
      </c>
      <c r="O146" s="6" t="s">
        <v>7</v>
      </c>
    </row>
    <row r="147" spans="12:15" x14ac:dyDescent="0.45">
      <c r="L147" s="3" t="s">
        <v>237</v>
      </c>
      <c r="M147" s="3" t="s">
        <v>13</v>
      </c>
      <c r="N147" s="5">
        <v>0.11277690038476093</v>
      </c>
      <c r="O147" s="3" t="s">
        <v>7</v>
      </c>
    </row>
    <row r="148" spans="12:15" x14ac:dyDescent="0.45">
      <c r="L148" s="6" t="s">
        <v>237</v>
      </c>
      <c r="M148" s="6" t="s">
        <v>14</v>
      </c>
      <c r="N148" s="8">
        <v>6.594323637645029E-2</v>
      </c>
      <c r="O148" s="6" t="s">
        <v>7</v>
      </c>
    </row>
    <row r="149" spans="12:15" x14ac:dyDescent="0.45">
      <c r="L149" s="3" t="s">
        <v>237</v>
      </c>
      <c r="M149" s="3" t="s">
        <v>15</v>
      </c>
      <c r="N149" s="5">
        <v>6.6221240971090792E-2</v>
      </c>
      <c r="O149" s="3" t="s">
        <v>7</v>
      </c>
    </row>
    <row r="150" spans="12:15" x14ac:dyDescent="0.45">
      <c r="L150" s="6" t="s">
        <v>237</v>
      </c>
      <c r="M150" s="6" t="s">
        <v>16</v>
      </c>
      <c r="N150" s="8">
        <v>8.7493000940526783E-2</v>
      </c>
      <c r="O150" s="6" t="s">
        <v>7</v>
      </c>
    </row>
    <row r="151" spans="12:15" x14ac:dyDescent="0.45">
      <c r="L151" s="3" t="s">
        <v>237</v>
      </c>
      <c r="M151" s="3" t="s">
        <v>17</v>
      </c>
      <c r="N151" s="5">
        <v>5.0009661282881528E-2</v>
      </c>
      <c r="O151" s="3" t="s">
        <v>7</v>
      </c>
    </row>
    <row r="152" spans="12:15" x14ac:dyDescent="0.45">
      <c r="L152" s="6" t="s">
        <v>237</v>
      </c>
      <c r="M152" s="6" t="s">
        <v>18</v>
      </c>
      <c r="N152" s="8">
        <v>8.0573639578618128E-2</v>
      </c>
      <c r="O152" s="6" t="s">
        <v>7</v>
      </c>
    </row>
    <row r="153" spans="12:15" x14ac:dyDescent="0.45">
      <c r="L153" s="3" t="s">
        <v>237</v>
      </c>
      <c r="M153" s="3" t="s">
        <v>19</v>
      </c>
      <c r="N153" s="5">
        <v>0.10071231796188858</v>
      </c>
      <c r="O153" s="3" t="s">
        <v>7</v>
      </c>
    </row>
    <row r="154" spans="12:15" x14ac:dyDescent="0.45">
      <c r="L154" s="6" t="s">
        <v>237</v>
      </c>
      <c r="M154" s="6" t="s">
        <v>20</v>
      </c>
      <c r="N154" s="8">
        <v>5.9631108999435405E-2</v>
      </c>
      <c r="O154" s="6" t="s">
        <v>7</v>
      </c>
    </row>
    <row r="155" spans="12:15" x14ac:dyDescent="0.45">
      <c r="L155" s="3" t="s">
        <v>238</v>
      </c>
      <c r="M155" s="3" t="s">
        <v>6</v>
      </c>
      <c r="N155" s="5">
        <v>9.9036015490767362E-2</v>
      </c>
      <c r="O155" s="3" t="s">
        <v>7</v>
      </c>
    </row>
    <row r="156" spans="12:15" x14ac:dyDescent="0.45">
      <c r="L156" s="6" t="s">
        <v>238</v>
      </c>
      <c r="M156" s="6" t="s">
        <v>10</v>
      </c>
      <c r="N156" s="8">
        <v>0.12792309686410105</v>
      </c>
      <c r="O156" s="6" t="s">
        <v>7</v>
      </c>
    </row>
    <row r="157" spans="12:15" x14ac:dyDescent="0.45">
      <c r="L157" s="3" t="s">
        <v>238</v>
      </c>
      <c r="M157" s="3" t="s">
        <v>11</v>
      </c>
      <c r="N157" s="5">
        <v>7.6105613737549205E-2</v>
      </c>
      <c r="O157" s="3" t="s">
        <v>7</v>
      </c>
    </row>
    <row r="158" spans="12:15" x14ac:dyDescent="0.45">
      <c r="L158" s="6" t="s">
        <v>238</v>
      </c>
      <c r="M158" s="6" t="s">
        <v>12</v>
      </c>
      <c r="N158" s="8">
        <v>9.2553963751784124E-2</v>
      </c>
      <c r="O158" s="6" t="s">
        <v>7</v>
      </c>
    </row>
    <row r="159" spans="12:15" x14ac:dyDescent="0.45">
      <c r="L159" s="3" t="s">
        <v>238</v>
      </c>
      <c r="M159" s="3" t="s">
        <v>13</v>
      </c>
      <c r="N159" s="5">
        <v>0.11276828987978699</v>
      </c>
      <c r="O159" s="3" t="s">
        <v>7</v>
      </c>
    </row>
    <row r="160" spans="12:15" x14ac:dyDescent="0.45">
      <c r="L160" s="6" t="s">
        <v>238</v>
      </c>
      <c r="M160" s="6" t="s">
        <v>14</v>
      </c>
      <c r="N160" s="8">
        <v>6.9082919844465296E-2</v>
      </c>
      <c r="O160" s="6" t="s">
        <v>7</v>
      </c>
    </row>
    <row r="161" spans="12:15" x14ac:dyDescent="0.45">
      <c r="L161" s="3" t="s">
        <v>238</v>
      </c>
      <c r="M161" s="3" t="s">
        <v>15</v>
      </c>
      <c r="N161" s="5">
        <v>5.8427695611739709E-2</v>
      </c>
      <c r="O161" s="3" t="s">
        <v>7</v>
      </c>
    </row>
    <row r="162" spans="12:15" x14ac:dyDescent="0.45">
      <c r="L162" s="6" t="s">
        <v>238</v>
      </c>
      <c r="M162" s="6" t="s">
        <v>16</v>
      </c>
      <c r="N162" s="8">
        <v>7.2242157983706437E-2</v>
      </c>
      <c r="O162" s="6" t="s">
        <v>7</v>
      </c>
    </row>
    <row r="163" spans="12:15" x14ac:dyDescent="0.45">
      <c r="L163" s="3" t="s">
        <v>238</v>
      </c>
      <c r="M163" s="3" t="s">
        <v>17</v>
      </c>
      <c r="N163" s="5">
        <v>4.3559404183541171E-2</v>
      </c>
      <c r="O163" s="3" t="s">
        <v>7</v>
      </c>
    </row>
    <row r="164" spans="12:15" x14ac:dyDescent="0.45">
      <c r="L164" s="6" t="s">
        <v>238</v>
      </c>
      <c r="M164" s="6" t="s">
        <v>18</v>
      </c>
      <c r="N164" s="8">
        <v>8.4306532164453843E-2</v>
      </c>
      <c r="O164" s="6" t="s">
        <v>7</v>
      </c>
    </row>
    <row r="165" spans="12:15" x14ac:dyDescent="0.45">
      <c r="L165" s="3" t="s">
        <v>238</v>
      </c>
      <c r="M165" s="3" t="s">
        <v>19</v>
      </c>
      <c r="N165" s="5">
        <v>0.10463008106239316</v>
      </c>
      <c r="O165" s="3" t="s">
        <v>7</v>
      </c>
    </row>
    <row r="166" spans="12:15" x14ac:dyDescent="0.45">
      <c r="L166" s="6" t="s">
        <v>238</v>
      </c>
      <c r="M166" s="6" t="s">
        <v>20</v>
      </c>
      <c r="N166" s="8">
        <v>5.9364229425711651E-2</v>
      </c>
      <c r="O166" s="6" t="s">
        <v>7</v>
      </c>
    </row>
    <row r="167" spans="12:15" x14ac:dyDescent="0.45">
      <c r="L167" s="3" t="s">
        <v>239</v>
      </c>
      <c r="M167" s="3" t="s">
        <v>6</v>
      </c>
      <c r="N167" s="5">
        <v>9.8023220079391099E-2</v>
      </c>
      <c r="O167" s="3" t="s">
        <v>7</v>
      </c>
    </row>
    <row r="168" spans="12:15" x14ac:dyDescent="0.45">
      <c r="L168" s="6" t="s">
        <v>239</v>
      </c>
      <c r="M168" s="6" t="s">
        <v>10</v>
      </c>
      <c r="N168" s="8">
        <v>0.12638378870213487</v>
      </c>
      <c r="O168" s="6" t="s">
        <v>7</v>
      </c>
    </row>
    <row r="169" spans="12:15" x14ac:dyDescent="0.45">
      <c r="L169" s="3" t="s">
        <v>239</v>
      </c>
      <c r="M169" s="3" t="s">
        <v>11</v>
      </c>
      <c r="N169" s="5">
        <v>7.4258870535720667E-2</v>
      </c>
      <c r="O169" s="3" t="s">
        <v>7</v>
      </c>
    </row>
    <row r="170" spans="12:15" x14ac:dyDescent="0.45">
      <c r="L170" s="6" t="s">
        <v>239</v>
      </c>
      <c r="M170" s="6" t="s">
        <v>12</v>
      </c>
      <c r="N170" s="8">
        <v>9.6226899828551399E-2</v>
      </c>
      <c r="O170" s="6" t="s">
        <v>7</v>
      </c>
    </row>
    <row r="171" spans="12:15" x14ac:dyDescent="0.45">
      <c r="L171" s="3" t="s">
        <v>239</v>
      </c>
      <c r="M171" s="3" t="s">
        <v>13</v>
      </c>
      <c r="N171" s="5">
        <v>0.11694811663910094</v>
      </c>
      <c r="O171" s="3" t="s">
        <v>7</v>
      </c>
    </row>
    <row r="172" spans="12:15" x14ac:dyDescent="0.45">
      <c r="L172" s="6" t="s">
        <v>239</v>
      </c>
      <c r="M172" s="6" t="s">
        <v>14</v>
      </c>
      <c r="N172" s="8">
        <v>7.1829108676862874E-2</v>
      </c>
      <c r="O172" s="6" t="s">
        <v>7</v>
      </c>
    </row>
    <row r="173" spans="12:15" x14ac:dyDescent="0.45">
      <c r="L173" s="3" t="s">
        <v>239</v>
      </c>
      <c r="M173" s="3" t="s">
        <v>15</v>
      </c>
      <c r="N173" s="5">
        <v>5.7605850201741943E-2</v>
      </c>
      <c r="O173" s="3" t="s">
        <v>7</v>
      </c>
    </row>
    <row r="174" spans="12:15" x14ac:dyDescent="0.45">
      <c r="L174" s="6" t="s">
        <v>239</v>
      </c>
      <c r="M174" s="6" t="s">
        <v>16</v>
      </c>
      <c r="N174" s="8">
        <v>7.2461548836524114E-2</v>
      </c>
      <c r="O174" s="6" t="s">
        <v>7</v>
      </c>
    </row>
    <row r="175" spans="12:15" x14ac:dyDescent="0.45">
      <c r="L175" s="3" t="s">
        <v>239</v>
      </c>
      <c r="M175" s="3" t="s">
        <v>17</v>
      </c>
      <c r="N175" s="5">
        <v>4.3306207125745212E-2</v>
      </c>
      <c r="O175" s="3" t="s">
        <v>7</v>
      </c>
    </row>
    <row r="176" spans="12:15" x14ac:dyDescent="0.45">
      <c r="L176" s="6" t="s">
        <v>239</v>
      </c>
      <c r="M176" s="6" t="s">
        <v>18</v>
      </c>
      <c r="N176" s="8">
        <v>8.2192821952977155E-2</v>
      </c>
      <c r="O176" s="6" t="s">
        <v>7</v>
      </c>
    </row>
    <row r="177" spans="12:15" x14ac:dyDescent="0.45">
      <c r="L177" s="3" t="s">
        <v>239</v>
      </c>
      <c r="M177" s="3" t="s">
        <v>19</v>
      </c>
      <c r="N177" s="5">
        <v>0.1014815217651778</v>
      </c>
      <c r="O177" s="3" t="s">
        <v>7</v>
      </c>
    </row>
    <row r="178" spans="12:15" x14ac:dyDescent="0.45">
      <c r="L178" s="6" t="s">
        <v>239</v>
      </c>
      <c r="M178" s="6" t="s">
        <v>20</v>
      </c>
      <c r="N178" s="8">
        <v>5.9282045656071911E-2</v>
      </c>
      <c r="O178" s="6" t="s">
        <v>7</v>
      </c>
    </row>
    <row r="179" spans="12:15" x14ac:dyDescent="0.45">
      <c r="L179" s="3" t="s">
        <v>240</v>
      </c>
      <c r="M179" s="3" t="s">
        <v>6</v>
      </c>
      <c r="N179" s="5">
        <v>0.10464940232770396</v>
      </c>
      <c r="O179" s="3" t="s">
        <v>7</v>
      </c>
    </row>
    <row r="180" spans="12:15" x14ac:dyDescent="0.45">
      <c r="L180" s="6" t="s">
        <v>240</v>
      </c>
      <c r="M180" s="6" t="s">
        <v>10</v>
      </c>
      <c r="N180" s="8">
        <v>0.14868794744433003</v>
      </c>
      <c r="O180" s="6" t="s">
        <v>7</v>
      </c>
    </row>
    <row r="181" spans="12:15" x14ac:dyDescent="0.45">
      <c r="L181" s="3" t="s">
        <v>240</v>
      </c>
      <c r="M181" s="3" t="s">
        <v>11</v>
      </c>
      <c r="N181" s="5">
        <v>8.2755106515855922E-2</v>
      </c>
      <c r="O181" s="3" t="s">
        <v>7</v>
      </c>
    </row>
    <row r="182" spans="12:15" x14ac:dyDescent="0.45">
      <c r="L182" s="6" t="s">
        <v>240</v>
      </c>
      <c r="M182" s="6" t="s">
        <v>12</v>
      </c>
      <c r="N182" s="8">
        <v>9.0084544393294205E-2</v>
      </c>
      <c r="O182" s="6" t="s">
        <v>7</v>
      </c>
    </row>
    <row r="183" spans="12:15" x14ac:dyDescent="0.45">
      <c r="L183" s="3" t="s">
        <v>240</v>
      </c>
      <c r="M183" s="3" t="s">
        <v>13</v>
      </c>
      <c r="N183" s="5">
        <v>0.13491323060579982</v>
      </c>
      <c r="O183" s="3" t="s">
        <v>7</v>
      </c>
    </row>
    <row r="184" spans="12:15" x14ac:dyDescent="0.45">
      <c r="L184" s="6" t="s">
        <v>240</v>
      </c>
      <c r="M184" s="6" t="s">
        <v>14</v>
      </c>
      <c r="N184" s="8">
        <v>7.0490972616175374E-2</v>
      </c>
      <c r="O184" s="6" t="s">
        <v>7</v>
      </c>
    </row>
    <row r="185" spans="12:15" x14ac:dyDescent="0.45">
      <c r="L185" s="3" t="s">
        <v>240</v>
      </c>
      <c r="M185" s="3" t="s">
        <v>15</v>
      </c>
      <c r="N185" s="5">
        <v>4.503356628983618E-2</v>
      </c>
      <c r="O185" s="3" t="s">
        <v>7</v>
      </c>
    </row>
    <row r="186" spans="12:15" x14ac:dyDescent="0.45">
      <c r="L186" s="6" t="s">
        <v>240</v>
      </c>
      <c r="M186" s="6" t="s">
        <v>16</v>
      </c>
      <c r="N186" s="8">
        <v>7.3136706028926843E-2</v>
      </c>
      <c r="O186" s="6" t="s">
        <v>7</v>
      </c>
    </row>
    <row r="187" spans="12:15" x14ac:dyDescent="0.45">
      <c r="L187" s="3" t="s">
        <v>240</v>
      </c>
      <c r="M187" s="3" t="s">
        <v>17</v>
      </c>
      <c r="N187" s="5">
        <v>3.4068458035869213E-2</v>
      </c>
      <c r="O187" s="3" t="s">
        <v>7</v>
      </c>
    </row>
    <row r="188" spans="12:15" x14ac:dyDescent="0.45">
      <c r="L188" s="6" t="s">
        <v>240</v>
      </c>
      <c r="M188" s="6" t="s">
        <v>18</v>
      </c>
      <c r="N188" s="8">
        <v>6.9629512768817112E-2</v>
      </c>
      <c r="O188" s="6" t="s">
        <v>7</v>
      </c>
    </row>
    <row r="189" spans="12:15" x14ac:dyDescent="0.45">
      <c r="L189" s="3" t="s">
        <v>240</v>
      </c>
      <c r="M189" s="3" t="s">
        <v>19</v>
      </c>
      <c r="N189" s="5">
        <v>9.7598313485643615E-2</v>
      </c>
      <c r="O189" s="3" t="s">
        <v>7</v>
      </c>
    </row>
    <row r="190" spans="12:15" x14ac:dyDescent="0.45">
      <c r="L190" s="6" t="s">
        <v>240</v>
      </c>
      <c r="M190" s="6" t="s">
        <v>20</v>
      </c>
      <c r="N190" s="8">
        <v>4.8952239487747615E-2</v>
      </c>
      <c r="O190" s="6" t="s">
        <v>7</v>
      </c>
    </row>
    <row r="191" spans="12:15" x14ac:dyDescent="0.45">
      <c r="L191" s="3" t="s">
        <v>241</v>
      </c>
      <c r="M191" s="3" t="s">
        <v>6</v>
      </c>
      <c r="N191" s="5">
        <v>9.8612735633396537E-2</v>
      </c>
      <c r="O191" s="3" t="s">
        <v>7</v>
      </c>
    </row>
    <row r="192" spans="12:15" x14ac:dyDescent="0.45">
      <c r="L192" s="6" t="s">
        <v>241</v>
      </c>
      <c r="M192" s="6" t="s">
        <v>10</v>
      </c>
      <c r="N192" s="8">
        <v>0.12924782162341761</v>
      </c>
      <c r="O192" s="6" t="s">
        <v>7</v>
      </c>
    </row>
    <row r="193" spans="12:15" x14ac:dyDescent="0.45">
      <c r="L193" s="3" t="s">
        <v>241</v>
      </c>
      <c r="M193" s="3" t="s">
        <v>11</v>
      </c>
      <c r="N193" s="5">
        <v>7.4904845911698908E-2</v>
      </c>
      <c r="O193" s="3" t="s">
        <v>7</v>
      </c>
    </row>
    <row r="194" spans="12:15" x14ac:dyDescent="0.45">
      <c r="L194" s="6" t="s">
        <v>241</v>
      </c>
      <c r="M194" s="6" t="s">
        <v>12</v>
      </c>
      <c r="N194" s="8">
        <v>9.5236359304184046E-2</v>
      </c>
      <c r="O194" s="6" t="s">
        <v>7</v>
      </c>
    </row>
    <row r="195" spans="12:15" x14ac:dyDescent="0.45">
      <c r="L195" s="3" t="s">
        <v>241</v>
      </c>
      <c r="M195" s="3" t="s">
        <v>13</v>
      </c>
      <c r="N195" s="5">
        <v>0.11940451041639161</v>
      </c>
      <c r="O195" s="3" t="s">
        <v>7</v>
      </c>
    </row>
    <row r="196" spans="12:15" x14ac:dyDescent="0.45">
      <c r="L196" s="6" t="s">
        <v>241</v>
      </c>
      <c r="M196" s="6" t="s">
        <v>14</v>
      </c>
      <c r="N196" s="8">
        <v>7.1139789947094745E-2</v>
      </c>
      <c r="O196" s="6" t="s">
        <v>7</v>
      </c>
    </row>
    <row r="197" spans="12:15" x14ac:dyDescent="0.45">
      <c r="L197" s="3" t="s">
        <v>241</v>
      </c>
      <c r="M197" s="3" t="s">
        <v>15</v>
      </c>
      <c r="N197" s="5">
        <v>5.5946107672757858E-2</v>
      </c>
      <c r="O197" s="3" t="s">
        <v>7</v>
      </c>
    </row>
    <row r="198" spans="12:15" x14ac:dyDescent="0.45">
      <c r="L198" s="6" t="s">
        <v>241</v>
      </c>
      <c r="M198" s="6" t="s">
        <v>16</v>
      </c>
      <c r="N198" s="8">
        <v>7.1645153998647085E-2</v>
      </c>
      <c r="O198" s="6" t="s">
        <v>7</v>
      </c>
    </row>
    <row r="199" spans="12:15" x14ac:dyDescent="0.45">
      <c r="L199" s="3" t="s">
        <v>241</v>
      </c>
      <c r="M199" s="3" t="s">
        <v>17</v>
      </c>
      <c r="N199" s="5">
        <v>4.2385485976437799E-2</v>
      </c>
      <c r="O199" s="3" t="s">
        <v>7</v>
      </c>
    </row>
    <row r="200" spans="12:15" x14ac:dyDescent="0.45">
      <c r="L200" s="6" t="s">
        <v>241</v>
      </c>
      <c r="M200" s="6" t="s">
        <v>18</v>
      </c>
      <c r="N200" s="8">
        <v>8.1239526265248357E-2</v>
      </c>
      <c r="O200" s="6" t="s">
        <v>7</v>
      </c>
    </row>
    <row r="201" spans="12:15" x14ac:dyDescent="0.45">
      <c r="L201" s="3" t="s">
        <v>241</v>
      </c>
      <c r="M201" s="3" t="s">
        <v>19</v>
      </c>
      <c r="N201" s="5">
        <v>0.1018664139192884</v>
      </c>
      <c r="O201" s="3" t="s">
        <v>7</v>
      </c>
    </row>
    <row r="202" spans="12:15" x14ac:dyDescent="0.45">
      <c r="L202" s="6" t="s">
        <v>241</v>
      </c>
      <c r="M202" s="6" t="s">
        <v>20</v>
      </c>
      <c r="N202" s="8">
        <v>5.8371249331436961E-2</v>
      </c>
      <c r="O202" s="6" t="s">
        <v>7</v>
      </c>
    </row>
    <row r="203" spans="12:15" x14ac:dyDescent="0.45">
      <c r="L203" s="3" t="s">
        <v>242</v>
      </c>
      <c r="M203" s="3" t="s">
        <v>6</v>
      </c>
      <c r="N203" s="5">
        <v>9.8689777305224755E-2</v>
      </c>
      <c r="O203" s="3" t="s">
        <v>7</v>
      </c>
    </row>
    <row r="204" spans="12:15" x14ac:dyDescent="0.45">
      <c r="L204" s="6" t="s">
        <v>242</v>
      </c>
      <c r="M204" s="6" t="s">
        <v>10</v>
      </c>
      <c r="N204" s="8">
        <v>0.13065977251219324</v>
      </c>
      <c r="O204" s="6" t="s">
        <v>7</v>
      </c>
    </row>
    <row r="205" spans="12:15" x14ac:dyDescent="0.45">
      <c r="L205" s="3" t="s">
        <v>242</v>
      </c>
      <c r="M205" s="3" t="s">
        <v>11</v>
      </c>
      <c r="N205" s="5">
        <v>7.885011336868071E-2</v>
      </c>
      <c r="O205" s="3" t="s">
        <v>7</v>
      </c>
    </row>
    <row r="206" spans="12:15" x14ac:dyDescent="0.45">
      <c r="L206" s="6" t="s">
        <v>242</v>
      </c>
      <c r="M206" s="6" t="s">
        <v>12</v>
      </c>
      <c r="N206" s="8">
        <v>9.7017220923944936E-2</v>
      </c>
      <c r="O206" s="6" t="s">
        <v>7</v>
      </c>
    </row>
    <row r="207" spans="12:15" x14ac:dyDescent="0.45">
      <c r="L207" s="3" t="s">
        <v>242</v>
      </c>
      <c r="M207" s="3" t="s">
        <v>13</v>
      </c>
      <c r="N207" s="5">
        <v>0.12001757180694056</v>
      </c>
      <c r="O207" s="3" t="s">
        <v>7</v>
      </c>
    </row>
    <row r="208" spans="12:15" x14ac:dyDescent="0.45">
      <c r="L208" s="6" t="s">
        <v>242</v>
      </c>
      <c r="M208" s="6" t="s">
        <v>14</v>
      </c>
      <c r="N208" s="8">
        <v>7.0033892747736665E-2</v>
      </c>
      <c r="O208" s="6" t="s">
        <v>7</v>
      </c>
    </row>
    <row r="209" spans="12:15" x14ac:dyDescent="0.45">
      <c r="L209" s="3" t="s">
        <v>242</v>
      </c>
      <c r="M209" s="3" t="s">
        <v>15</v>
      </c>
      <c r="N209" s="5">
        <v>5.049855392791875E-2</v>
      </c>
      <c r="O209" s="3" t="s">
        <v>7</v>
      </c>
    </row>
    <row r="210" spans="12:15" x14ac:dyDescent="0.45">
      <c r="L210" s="6" t="s">
        <v>242</v>
      </c>
      <c r="M210" s="6" t="s">
        <v>16</v>
      </c>
      <c r="N210" s="8">
        <v>7.4432899354595725E-2</v>
      </c>
      <c r="O210" s="6" t="s">
        <v>7</v>
      </c>
    </row>
    <row r="211" spans="12:15" x14ac:dyDescent="0.45">
      <c r="L211" s="3" t="s">
        <v>242</v>
      </c>
      <c r="M211" s="3" t="s">
        <v>17</v>
      </c>
      <c r="N211" s="5">
        <v>4.2354889384444358E-2</v>
      </c>
      <c r="O211" s="3" t="s">
        <v>7</v>
      </c>
    </row>
    <row r="212" spans="12:15" x14ac:dyDescent="0.45">
      <c r="L212" s="6" t="s">
        <v>242</v>
      </c>
      <c r="M212" s="6" t="s">
        <v>18</v>
      </c>
      <c r="N212" s="8">
        <v>7.8424703973597992E-2</v>
      </c>
      <c r="O212" s="6" t="s">
        <v>7</v>
      </c>
    </row>
    <row r="213" spans="12:15" x14ac:dyDescent="0.45">
      <c r="L213" s="3" t="s">
        <v>242</v>
      </c>
      <c r="M213" s="3" t="s">
        <v>19</v>
      </c>
      <c r="N213" s="5">
        <v>0.10198808103282664</v>
      </c>
      <c r="O213" s="3" t="s">
        <v>7</v>
      </c>
    </row>
    <row r="214" spans="12:15" x14ac:dyDescent="0.45">
      <c r="L214" s="6" t="s">
        <v>242</v>
      </c>
      <c r="M214" s="6" t="s">
        <v>20</v>
      </c>
      <c r="N214" s="8">
        <v>5.7032523661895679E-2</v>
      </c>
      <c r="O214" s="6" t="s">
        <v>7</v>
      </c>
    </row>
    <row r="215" spans="12:15" x14ac:dyDescent="0.45">
      <c r="L215" s="3" t="s">
        <v>243</v>
      </c>
      <c r="M215" s="3" t="s">
        <v>6</v>
      </c>
      <c r="N215" s="5">
        <v>9.5188189589080194E-2</v>
      </c>
      <c r="O215" s="3" t="s">
        <v>7</v>
      </c>
    </row>
    <row r="216" spans="12:15" x14ac:dyDescent="0.45">
      <c r="L216" s="6" t="s">
        <v>243</v>
      </c>
      <c r="M216" s="6" t="s">
        <v>10</v>
      </c>
      <c r="N216" s="8">
        <v>0.12210054788566657</v>
      </c>
      <c r="O216" s="6" t="s">
        <v>7</v>
      </c>
    </row>
    <row r="217" spans="12:15" x14ac:dyDescent="0.45">
      <c r="L217" s="3" t="s">
        <v>243</v>
      </c>
      <c r="M217" s="3" t="s">
        <v>11</v>
      </c>
      <c r="N217" s="5">
        <v>7.416322671370669E-2</v>
      </c>
      <c r="O217" s="3" t="s">
        <v>7</v>
      </c>
    </row>
    <row r="218" spans="12:15" x14ac:dyDescent="0.45">
      <c r="L218" s="6" t="s">
        <v>243</v>
      </c>
      <c r="M218" s="6" t="s">
        <v>12</v>
      </c>
      <c r="N218" s="8">
        <v>9.6415712019822422E-2</v>
      </c>
      <c r="O218" s="6" t="s">
        <v>7</v>
      </c>
    </row>
    <row r="219" spans="12:15" x14ac:dyDescent="0.45">
      <c r="L219" s="3" t="s">
        <v>243</v>
      </c>
      <c r="M219" s="3" t="s">
        <v>13</v>
      </c>
      <c r="N219" s="5">
        <v>0.11164916380045786</v>
      </c>
      <c r="O219" s="3" t="s">
        <v>7</v>
      </c>
    </row>
    <row r="220" spans="12:15" x14ac:dyDescent="0.45">
      <c r="L220" s="6" t="s">
        <v>243</v>
      </c>
      <c r="M220" s="6" t="s">
        <v>14</v>
      </c>
      <c r="N220" s="8">
        <v>6.8292902718952733E-2</v>
      </c>
      <c r="O220" s="6" t="s">
        <v>7</v>
      </c>
    </row>
    <row r="221" spans="12:15" x14ac:dyDescent="0.45">
      <c r="L221" s="3" t="s">
        <v>243</v>
      </c>
      <c r="M221" s="3" t="s">
        <v>15</v>
      </c>
      <c r="N221" s="5">
        <v>6.012518061253163E-2</v>
      </c>
      <c r="O221" s="3" t="s">
        <v>7</v>
      </c>
    </row>
    <row r="222" spans="12:15" x14ac:dyDescent="0.45">
      <c r="L222" s="6" t="s">
        <v>243</v>
      </c>
      <c r="M222" s="6" t="s">
        <v>16</v>
      </c>
      <c r="N222" s="8">
        <v>7.8021137576010965E-2</v>
      </c>
      <c r="O222" s="6" t="s">
        <v>7</v>
      </c>
    </row>
    <row r="223" spans="12:15" x14ac:dyDescent="0.45">
      <c r="L223" s="3" t="s">
        <v>243</v>
      </c>
      <c r="M223" s="3" t="s">
        <v>17</v>
      </c>
      <c r="N223" s="5">
        <v>5.0725868610899089E-2</v>
      </c>
      <c r="O223" s="3" t="s">
        <v>7</v>
      </c>
    </row>
    <row r="224" spans="12:15" x14ac:dyDescent="0.45">
      <c r="L224" s="6" t="s">
        <v>243</v>
      </c>
      <c r="M224" s="6" t="s">
        <v>18</v>
      </c>
      <c r="N224" s="8">
        <v>7.9673295216608181E-2</v>
      </c>
      <c r="O224" s="6" t="s">
        <v>7</v>
      </c>
    </row>
    <row r="225" spans="12:15" x14ac:dyDescent="0.45">
      <c r="L225" s="3" t="s">
        <v>243</v>
      </c>
      <c r="M225" s="3" t="s">
        <v>19</v>
      </c>
      <c r="N225" s="5">
        <v>0.10363288923554106</v>
      </c>
      <c r="O225" s="3" t="s">
        <v>7</v>
      </c>
    </row>
    <row r="226" spans="12:15" x14ac:dyDescent="0.45">
      <c r="L226" s="6" t="s">
        <v>243</v>
      </c>
      <c r="M226" s="6" t="s">
        <v>20</v>
      </c>
      <c r="N226" s="8">
        <v>6.0011886020722618E-2</v>
      </c>
      <c r="O226" s="6" t="s"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6E42-9996-4B12-B9D6-A73FF1E6562B}">
  <dimension ref="A1:CI48"/>
  <sheetViews>
    <sheetView workbookViewId="0">
      <selection sqref="A1:L1"/>
    </sheetView>
  </sheetViews>
  <sheetFormatPr defaultRowHeight="14.25" x14ac:dyDescent="0.45"/>
  <cols>
    <col min="2" max="2" width="19.265625" bestFit="1" customWidth="1"/>
    <col min="3" max="3" width="10.59765625" bestFit="1" customWidth="1"/>
    <col min="4" max="15" width="10.59765625" customWidth="1"/>
    <col min="17" max="17" width="19.265625" bestFit="1" customWidth="1"/>
    <col min="18" max="18" width="10.59765625" bestFit="1" customWidth="1"/>
    <col min="19" max="30" width="10.59765625" customWidth="1"/>
    <col min="32" max="32" width="19.265625" bestFit="1" customWidth="1"/>
    <col min="33" max="33" width="10.59765625" bestFit="1" customWidth="1"/>
    <col min="34" max="45" width="10.59765625" customWidth="1"/>
    <col min="47" max="47" width="19.265625" bestFit="1" customWidth="1"/>
    <col min="48" max="48" width="10.59765625" bestFit="1" customWidth="1"/>
    <col min="49" max="60" width="10.59765625" customWidth="1"/>
    <col min="62" max="63" width="10.59765625" customWidth="1"/>
    <col min="64" max="64" width="15.1328125" bestFit="1" customWidth="1"/>
    <col min="65" max="67" width="10.59765625" customWidth="1"/>
    <col min="68" max="68" width="30.59765625" customWidth="1"/>
    <col min="70" max="70" width="19.265625" bestFit="1" customWidth="1"/>
    <col min="71" max="82" width="10.59765625" customWidth="1"/>
    <col min="84" max="84" width="19.265625" bestFit="1" customWidth="1"/>
    <col min="85" max="85" width="10.59765625" bestFit="1" customWidth="1"/>
    <col min="86" max="86" width="12.6640625" bestFit="1" customWidth="1"/>
    <col min="87" max="87" width="10.59765625" customWidth="1"/>
  </cols>
  <sheetData>
    <row r="1" spans="1:87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9" spans="1:87" ht="14.65" thickBot="1" x14ac:dyDescent="0.5">
      <c r="B9" s="1" t="str">
        <f>IF(A11="x","DeActivated","~TFM_DINS-TSL: attribute=FLO_EMIS; other_indexes=ACT; region=IRL")</f>
        <v>~TFM_DINS-TSL: attribute=FLO_EMIS; other_indexes=ACT; region=IRL</v>
      </c>
      <c r="Q9" s="1" t="str">
        <f>IF(A11="x","DeActivated","~TFM_DINS-TSL: attribute=FLO_SHAR; limtype=FX; region=IRL")</f>
        <v>~TFM_DINS-TSL: attribute=FLO_SHAR; limtype=FX; region=IRL</v>
      </c>
      <c r="AF9" s="1" t="str">
        <f>IF(A11="x","DeActivated","~TFM_DINS-TSL: attribute=FLO_SHAR; limtype=FX; region=IRL")</f>
        <v>~TFM_DINS-TSL: attribute=FLO_SHAR; limtype=FX; region=IRL</v>
      </c>
      <c r="AU9" s="1" t="str">
        <f>IF(A11="x","DeActivated","~TFM_DINS-TSL: attribute=FLO_SHAR; limtype=FX; region=IRL")</f>
        <v>~TFM_DINS-TSL: attribute=FLO_SHAR; limtype=FX; region=IRL</v>
      </c>
      <c r="BJ9" s="1" t="str">
        <f>IF(A11="x","DeActivated","~TFM_INS: region=IRL")</f>
        <v>~TFM_INS: region=IRL</v>
      </c>
      <c r="BR9" s="1" t="str">
        <f>IF(A11="x","DeActivated","~TFM_DINS-TSL: attribute=NCAP_PKCNT; region=IRL")</f>
        <v>~TFM_DINS-TSL: attribute=NCAP_PKCNT; region=IRL</v>
      </c>
      <c r="CF9" s="1" t="str">
        <f>IF(A11="x","DeActivated","~TFM_DINS-AT: region=IRL")</f>
        <v>~TFM_DINS-AT: region=IRL</v>
      </c>
    </row>
    <row r="10" spans="1:87" ht="15.75" thickBot="1" x14ac:dyDescent="0.6">
      <c r="B10" s="2" t="s">
        <v>4</v>
      </c>
      <c r="C10" s="2" t="s">
        <v>1</v>
      </c>
      <c r="D10" s="2" t="s">
        <v>6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19</v>
      </c>
      <c r="O10" s="2" t="s">
        <v>20</v>
      </c>
      <c r="Q10" s="2" t="s">
        <v>4</v>
      </c>
      <c r="R10" s="2" t="s">
        <v>1</v>
      </c>
      <c r="S10" s="2" t="s">
        <v>6</v>
      </c>
      <c r="T10" s="2" t="s">
        <v>10</v>
      </c>
      <c r="U10" s="2" t="s">
        <v>11</v>
      </c>
      <c r="V10" s="2" t="s">
        <v>12</v>
      </c>
      <c r="W10" s="2" t="s">
        <v>13</v>
      </c>
      <c r="X10" s="2" t="s">
        <v>14</v>
      </c>
      <c r="Y10" s="2" t="s">
        <v>15</v>
      </c>
      <c r="Z10" s="2" t="s">
        <v>16</v>
      </c>
      <c r="AA10" s="2" t="s">
        <v>17</v>
      </c>
      <c r="AB10" s="2" t="s">
        <v>18</v>
      </c>
      <c r="AC10" s="2" t="s">
        <v>19</v>
      </c>
      <c r="AD10" s="2" t="s">
        <v>20</v>
      </c>
      <c r="AF10" s="2" t="s">
        <v>4</v>
      </c>
      <c r="AG10" s="2" t="s">
        <v>1</v>
      </c>
      <c r="AH10" s="2" t="s">
        <v>6</v>
      </c>
      <c r="AI10" s="2" t="s">
        <v>10</v>
      </c>
      <c r="AJ10" s="2" t="s">
        <v>11</v>
      </c>
      <c r="AK10" s="2" t="s">
        <v>12</v>
      </c>
      <c r="AL10" s="2" t="s">
        <v>13</v>
      </c>
      <c r="AM10" s="2" t="s">
        <v>14</v>
      </c>
      <c r="AN10" s="2" t="s">
        <v>15</v>
      </c>
      <c r="AO10" s="2" t="s">
        <v>16</v>
      </c>
      <c r="AP10" s="2" t="s">
        <v>17</v>
      </c>
      <c r="AQ10" s="2" t="s">
        <v>18</v>
      </c>
      <c r="AR10" s="2" t="s">
        <v>19</v>
      </c>
      <c r="AS10" s="2" t="s">
        <v>20</v>
      </c>
      <c r="AU10" s="2" t="s">
        <v>4</v>
      </c>
      <c r="AV10" s="2" t="s">
        <v>1</v>
      </c>
      <c r="AW10" s="2" t="s">
        <v>6</v>
      </c>
      <c r="AX10" s="2" t="s">
        <v>10</v>
      </c>
      <c r="AY10" s="2" t="s">
        <v>11</v>
      </c>
      <c r="AZ10" s="2" t="s">
        <v>12</v>
      </c>
      <c r="BA10" s="2" t="s">
        <v>13</v>
      </c>
      <c r="BB10" s="2" t="s">
        <v>14</v>
      </c>
      <c r="BC10" s="2" t="s">
        <v>15</v>
      </c>
      <c r="BD10" s="2" t="s">
        <v>16</v>
      </c>
      <c r="BE10" s="2" t="s">
        <v>17</v>
      </c>
      <c r="BF10" s="2" t="s">
        <v>18</v>
      </c>
      <c r="BG10" s="2" t="s">
        <v>19</v>
      </c>
      <c r="BH10" s="2" t="s">
        <v>20</v>
      </c>
      <c r="BJ10" s="2" t="s">
        <v>96</v>
      </c>
      <c r="BK10" s="2" t="s">
        <v>4</v>
      </c>
      <c r="BL10" s="2" t="s">
        <v>1</v>
      </c>
      <c r="BM10" s="2" t="s">
        <v>97</v>
      </c>
      <c r="BN10" s="2" t="s">
        <v>98</v>
      </c>
      <c r="BO10" s="2" t="s">
        <v>99</v>
      </c>
      <c r="BP10" s="2" t="s">
        <v>2</v>
      </c>
      <c r="BR10" s="2" t="s">
        <v>4</v>
      </c>
      <c r="BS10" s="2" t="s">
        <v>6</v>
      </c>
      <c r="BT10" s="2" t="s">
        <v>10</v>
      </c>
      <c r="BU10" s="2" t="s">
        <v>11</v>
      </c>
      <c r="BV10" s="2" t="s">
        <v>12</v>
      </c>
      <c r="BW10" s="2" t="s">
        <v>13</v>
      </c>
      <c r="BX10" s="2" t="s">
        <v>14</v>
      </c>
      <c r="BY10" s="2" t="s">
        <v>15</v>
      </c>
      <c r="BZ10" s="2" t="s">
        <v>16</v>
      </c>
      <c r="CA10" s="2" t="s">
        <v>17</v>
      </c>
      <c r="CB10" s="2" t="s">
        <v>18</v>
      </c>
      <c r="CC10" s="2" t="s">
        <v>19</v>
      </c>
      <c r="CD10" s="2" t="s">
        <v>20</v>
      </c>
      <c r="CF10" s="2" t="s">
        <v>4</v>
      </c>
      <c r="CG10" s="2" t="s">
        <v>1</v>
      </c>
      <c r="CH10" s="2" t="s">
        <v>100</v>
      </c>
      <c r="CI10" s="2" t="s">
        <v>101</v>
      </c>
    </row>
    <row r="11" spans="1:87" x14ac:dyDescent="0.45">
      <c r="B11" s="3" t="s">
        <v>244</v>
      </c>
      <c r="C11" s="3" t="s">
        <v>103</v>
      </c>
      <c r="D11" s="5">
        <v>0</v>
      </c>
      <c r="E11" s="5">
        <v>0.49177025150742826</v>
      </c>
      <c r="F11" s="5">
        <v>0.88297021624881156</v>
      </c>
      <c r="G11" s="5">
        <v>0.95419402235527206</v>
      </c>
      <c r="H11" s="5">
        <v>0.28765312654767522</v>
      </c>
      <c r="I11" s="5">
        <v>0.59519243297516011</v>
      </c>
      <c r="J11" s="5">
        <v>0.90708520908797452</v>
      </c>
      <c r="K11" s="5">
        <v>0.26293929559023005</v>
      </c>
      <c r="L11" s="5">
        <v>0.52956012729232205</v>
      </c>
      <c r="M11" s="5">
        <v>0</v>
      </c>
      <c r="N11" s="5">
        <v>0.36178645808359999</v>
      </c>
      <c r="O11" s="5">
        <v>0.78541295005821099</v>
      </c>
      <c r="Q11" s="3" t="s">
        <v>244</v>
      </c>
      <c r="R11" s="3" t="s">
        <v>104</v>
      </c>
      <c r="S11" s="5">
        <v>0</v>
      </c>
      <c r="T11" s="5">
        <v>0.29901429950103142</v>
      </c>
      <c r="U11" s="5">
        <v>0.15962108673746833</v>
      </c>
      <c r="V11" s="5">
        <v>0.91147488707375279</v>
      </c>
      <c r="W11" s="5">
        <v>0.13823647840049111</v>
      </c>
      <c r="X11" s="5">
        <v>9.2994693304919773E-2</v>
      </c>
      <c r="Y11" s="5">
        <v>0.82759361959138444</v>
      </c>
      <c r="Z11" s="5">
        <v>0.12019414390831945</v>
      </c>
      <c r="AA11" s="5">
        <v>0.10006220171899055</v>
      </c>
      <c r="AB11" s="5">
        <v>0</v>
      </c>
      <c r="AC11" s="5">
        <v>0.18502745218161615</v>
      </c>
      <c r="AD11" s="5">
        <v>0.17636637600220145</v>
      </c>
      <c r="AF11" s="3" t="s">
        <v>244</v>
      </c>
      <c r="AG11" s="3" t="s">
        <v>105</v>
      </c>
      <c r="AH11" s="5">
        <v>0</v>
      </c>
      <c r="AI11" s="5">
        <v>3.3621646159124885E-2</v>
      </c>
      <c r="AJ11" s="5">
        <v>0.63018285094211834</v>
      </c>
      <c r="AK11" s="5">
        <v>0</v>
      </c>
      <c r="AL11" s="5">
        <v>2.0619720244981567E-2</v>
      </c>
      <c r="AM11" s="5">
        <v>0.34158630087767344</v>
      </c>
      <c r="AN11" s="5">
        <v>0</v>
      </c>
      <c r="AO11" s="5">
        <v>2.3757757290520095E-2</v>
      </c>
      <c r="AP11" s="5">
        <v>0.27572813918554195</v>
      </c>
      <c r="AQ11" s="5">
        <v>0</v>
      </c>
      <c r="AR11" s="5">
        <v>3.6431340199580817E-2</v>
      </c>
      <c r="AS11" s="5">
        <v>0.47715415829610514</v>
      </c>
      <c r="AU11" s="3" t="s">
        <v>244</v>
      </c>
      <c r="AV11" s="3" t="s">
        <v>106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J11" s="3" t="s">
        <v>107</v>
      </c>
      <c r="BK11" s="3" t="s">
        <v>108</v>
      </c>
      <c r="BL11" s="3" t="s">
        <v>109</v>
      </c>
      <c r="BM11" s="9">
        <v>0</v>
      </c>
      <c r="BN11" s="3" t="s">
        <v>110</v>
      </c>
      <c r="BO11" s="10">
        <v>3</v>
      </c>
      <c r="BP11" s="3" t="s">
        <v>111</v>
      </c>
      <c r="BR11" s="3" t="s">
        <v>244</v>
      </c>
      <c r="BS11" s="5">
        <v>0</v>
      </c>
      <c r="BT11" s="5">
        <v>0.13594132743209936</v>
      </c>
      <c r="BU11" s="5">
        <v>9.0486838079380464E-3</v>
      </c>
      <c r="BV11" s="4">
        <v>4.2446995555268506E-4</v>
      </c>
      <c r="BW11" s="5">
        <v>0.33091349971862821</v>
      </c>
      <c r="BX11" s="5">
        <v>6.874904059945354E-2</v>
      </c>
      <c r="BY11" s="5">
        <v>1.2382137949029841E-3</v>
      </c>
      <c r="BZ11" s="5">
        <v>0.34240616218303332</v>
      </c>
      <c r="CA11" s="5">
        <v>9.2990240218816494E-2</v>
      </c>
      <c r="CB11" s="5">
        <v>0</v>
      </c>
      <c r="CC11" s="5">
        <v>0.20412336694290578</v>
      </c>
      <c r="CD11" s="5">
        <v>2.0649012326841677E-2</v>
      </c>
      <c r="CF11" s="3" t="s">
        <v>244</v>
      </c>
      <c r="CG11" s="3" t="s">
        <v>112</v>
      </c>
      <c r="CH11" s="3" t="s">
        <v>113</v>
      </c>
      <c r="CI11" s="5">
        <v>0.34008964233216832</v>
      </c>
    </row>
    <row r="12" spans="1:87" x14ac:dyDescent="0.45">
      <c r="B12" s="6" t="s">
        <v>245</v>
      </c>
      <c r="C12" s="6" t="s">
        <v>103</v>
      </c>
      <c r="D12" s="8">
        <v>0</v>
      </c>
      <c r="E12" s="8">
        <v>0.47892785183079778</v>
      </c>
      <c r="F12" s="8">
        <v>0.88706374242116492</v>
      </c>
      <c r="G12" s="8">
        <v>0.95303774009488307</v>
      </c>
      <c r="H12" s="8">
        <v>0.28612026912456473</v>
      </c>
      <c r="I12" s="8">
        <v>0.6014639073914716</v>
      </c>
      <c r="J12" s="8">
        <v>0.88927623658936772</v>
      </c>
      <c r="K12" s="8">
        <v>0.243675986846287</v>
      </c>
      <c r="L12" s="8">
        <v>0.53737863929817387</v>
      </c>
      <c r="M12" s="8">
        <v>0</v>
      </c>
      <c r="N12" s="8">
        <v>0.35785757707769811</v>
      </c>
      <c r="O12" s="8">
        <v>0.79451947407377665</v>
      </c>
      <c r="Q12" s="6" t="s">
        <v>245</v>
      </c>
      <c r="R12" s="6" t="s">
        <v>104</v>
      </c>
      <c r="S12" s="8">
        <v>0</v>
      </c>
      <c r="T12" s="8">
        <v>0.29061847477420533</v>
      </c>
      <c r="U12" s="8">
        <v>0.18340295111717603</v>
      </c>
      <c r="V12" s="8">
        <v>0.90901154014484731</v>
      </c>
      <c r="W12" s="8">
        <v>0.13858732132156096</v>
      </c>
      <c r="X12" s="8">
        <v>0.12176850302972159</v>
      </c>
      <c r="Y12" s="8">
        <v>0.80681282354260442</v>
      </c>
      <c r="Z12" s="8">
        <v>0.11407255682886233</v>
      </c>
      <c r="AA12" s="8">
        <v>0.1138118897942873</v>
      </c>
      <c r="AB12" s="8">
        <v>0</v>
      </c>
      <c r="AC12" s="8">
        <v>0.1893109451018225</v>
      </c>
      <c r="AD12" s="8">
        <v>0.20079045563022077</v>
      </c>
      <c r="AF12" s="6" t="s">
        <v>245</v>
      </c>
      <c r="AG12" s="6" t="s">
        <v>105</v>
      </c>
      <c r="AH12" s="8">
        <v>0</v>
      </c>
      <c r="AI12" s="8">
        <v>3.0649579266283651E-2</v>
      </c>
      <c r="AJ12" s="8">
        <v>0.61750127597835713</v>
      </c>
      <c r="AK12" s="8">
        <v>0</v>
      </c>
      <c r="AL12" s="8">
        <v>2.0723221293369017E-2</v>
      </c>
      <c r="AM12" s="8">
        <v>0.31684537860389983</v>
      </c>
      <c r="AN12" s="8">
        <v>0</v>
      </c>
      <c r="AO12" s="8">
        <v>2.6028956633059073E-2</v>
      </c>
      <c r="AP12" s="8">
        <v>0.2714902069692362</v>
      </c>
      <c r="AQ12" s="8">
        <v>0</v>
      </c>
      <c r="AR12" s="8">
        <v>3.5398112635209401E-2</v>
      </c>
      <c r="AS12" s="8">
        <v>0.46869973833059864</v>
      </c>
      <c r="AU12" s="6" t="s">
        <v>245</v>
      </c>
      <c r="AV12" s="6" t="s">
        <v>106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R12" s="6" t="s">
        <v>245</v>
      </c>
      <c r="BS12" s="8">
        <v>0</v>
      </c>
      <c r="BT12" s="8">
        <v>0.13565658294671804</v>
      </c>
      <c r="BU12" s="8">
        <v>8.1776266890018403E-3</v>
      </c>
      <c r="BV12" s="7">
        <v>5.2915514027975614E-4</v>
      </c>
      <c r="BW12" s="8">
        <v>0.32423996298122082</v>
      </c>
      <c r="BX12" s="8">
        <v>6.5489977781104755E-2</v>
      </c>
      <c r="BY12" s="8">
        <v>1.4598873965133833E-3</v>
      </c>
      <c r="BZ12" s="8">
        <v>0.34757848431511179</v>
      </c>
      <c r="CA12" s="8">
        <v>8.9681432984955359E-2</v>
      </c>
      <c r="CB12" s="8">
        <v>0</v>
      </c>
      <c r="CC12" s="8">
        <v>0.1983037353305592</v>
      </c>
      <c r="CD12" s="8">
        <v>1.730236279560101E-2</v>
      </c>
      <c r="CF12" s="6" t="s">
        <v>245</v>
      </c>
      <c r="CG12" s="6" t="s">
        <v>112</v>
      </c>
      <c r="CH12" s="6" t="s">
        <v>113</v>
      </c>
      <c r="CI12" s="8">
        <v>0.34502658282022397</v>
      </c>
    </row>
    <row r="13" spans="1:87" x14ac:dyDescent="0.45">
      <c r="B13" s="3" t="s">
        <v>246</v>
      </c>
      <c r="C13" s="3" t="s">
        <v>103</v>
      </c>
      <c r="D13" s="5">
        <v>0</v>
      </c>
      <c r="E13" s="5">
        <v>0.47399752529421479</v>
      </c>
      <c r="F13" s="5">
        <v>0.90516645043904864</v>
      </c>
      <c r="G13" s="5">
        <v>0.94062120925599779</v>
      </c>
      <c r="H13" s="5">
        <v>0.27910609205979753</v>
      </c>
      <c r="I13" s="5">
        <v>0.61316478201170821</v>
      </c>
      <c r="J13" s="5">
        <v>0.86166070502354486</v>
      </c>
      <c r="K13" s="5">
        <v>0.22656372851278583</v>
      </c>
      <c r="L13" s="5">
        <v>0.53784230558702206</v>
      </c>
      <c r="M13" s="5">
        <v>0</v>
      </c>
      <c r="N13" s="5">
        <v>0.35775797978121138</v>
      </c>
      <c r="O13" s="5">
        <v>0.81252919756529196</v>
      </c>
      <c r="Q13" s="3" t="s">
        <v>246</v>
      </c>
      <c r="R13" s="3" t="s">
        <v>104</v>
      </c>
      <c r="S13" s="5">
        <v>0</v>
      </c>
      <c r="T13" s="5">
        <v>0.28230903165310262</v>
      </c>
      <c r="U13" s="5">
        <v>6.5383392362325307E-2</v>
      </c>
      <c r="V13" s="5">
        <v>0.89167945344715216</v>
      </c>
      <c r="W13" s="5">
        <v>0.13591910844779354</v>
      </c>
      <c r="X13" s="5">
        <v>0.11205747128742469</v>
      </c>
      <c r="Y13" s="5">
        <v>0.76749202806537264</v>
      </c>
      <c r="Z13" s="5">
        <v>0.11068706627724466</v>
      </c>
      <c r="AA13" s="5">
        <v>0.14189379771163793</v>
      </c>
      <c r="AB13" s="5">
        <v>0</v>
      </c>
      <c r="AC13" s="5">
        <v>0.19796831530102321</v>
      </c>
      <c r="AD13" s="5">
        <v>0.24954762679788031</v>
      </c>
      <c r="AF13" s="3" t="s">
        <v>246</v>
      </c>
      <c r="AG13" s="3" t="s">
        <v>105</v>
      </c>
      <c r="AH13" s="5">
        <v>0</v>
      </c>
      <c r="AI13" s="5">
        <v>3.4650173883069242E-2</v>
      </c>
      <c r="AJ13" s="5">
        <v>0.7626983104112931</v>
      </c>
      <c r="AK13" s="5">
        <v>0</v>
      </c>
      <c r="AL13" s="5">
        <v>1.7611929021999664E-2</v>
      </c>
      <c r="AM13" s="5">
        <v>0.33690450925342164</v>
      </c>
      <c r="AN13" s="5">
        <v>0</v>
      </c>
      <c r="AO13" s="5">
        <v>1.7767488832438335E-2</v>
      </c>
      <c r="AP13" s="5">
        <v>0.24041719676936638</v>
      </c>
      <c r="AQ13" s="5">
        <v>0</v>
      </c>
      <c r="AR13" s="5">
        <v>2.5715332188872578E-2</v>
      </c>
      <c r="AS13" s="5">
        <v>0.44090204759922641</v>
      </c>
      <c r="AU13" s="3" t="s">
        <v>246</v>
      </c>
      <c r="AV13" s="3" t="s">
        <v>106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R13" s="3" t="s">
        <v>246</v>
      </c>
      <c r="BS13" s="5">
        <v>0</v>
      </c>
      <c r="BT13" s="5">
        <v>0.140170637305635</v>
      </c>
      <c r="BU13" s="5">
        <v>6.7367710749783359E-3</v>
      </c>
      <c r="BV13" s="4">
        <v>7.8655929010675095E-4</v>
      </c>
      <c r="BW13" s="5">
        <v>0.34815843338385649</v>
      </c>
      <c r="BX13" s="5">
        <v>6.5888694134351361E-2</v>
      </c>
      <c r="BY13" s="5">
        <v>2.0435680228151005E-3</v>
      </c>
      <c r="BZ13" s="5">
        <v>0.37513737782491774</v>
      </c>
      <c r="CA13" s="5">
        <v>8.8300390823362246E-2</v>
      </c>
      <c r="CB13" s="5">
        <v>0</v>
      </c>
      <c r="CC13" s="5">
        <v>0.21149429592413191</v>
      </c>
      <c r="CD13" s="5">
        <v>1.5439938731235035E-2</v>
      </c>
      <c r="CF13" s="3" t="s">
        <v>246</v>
      </c>
      <c r="CG13" s="3" t="s">
        <v>112</v>
      </c>
      <c r="CH13" s="3" t="s">
        <v>113</v>
      </c>
      <c r="CI13" s="5">
        <v>0.36672014493151039</v>
      </c>
    </row>
    <row r="14" spans="1:87" x14ac:dyDescent="0.45">
      <c r="B14" s="6" t="s">
        <v>247</v>
      </c>
      <c r="C14" s="6" t="s">
        <v>103</v>
      </c>
      <c r="D14" s="8">
        <v>0</v>
      </c>
      <c r="E14" s="8">
        <v>0.4819697819378973</v>
      </c>
      <c r="F14" s="8">
        <v>0.89523171305198124</v>
      </c>
      <c r="G14" s="8">
        <v>0.95285246227964093</v>
      </c>
      <c r="H14" s="8">
        <v>0.28538568276073017</v>
      </c>
      <c r="I14" s="8">
        <v>0.59965749200456231</v>
      </c>
      <c r="J14" s="8">
        <v>0.88557830103521029</v>
      </c>
      <c r="K14" s="8">
        <v>0.25129685709077354</v>
      </c>
      <c r="L14" s="8">
        <v>0.53084752773237931</v>
      </c>
      <c r="M14" s="8">
        <v>0</v>
      </c>
      <c r="N14" s="8">
        <v>0.36735952485929768</v>
      </c>
      <c r="O14" s="8">
        <v>0.79274675509137182</v>
      </c>
      <c r="Q14" s="6" t="s">
        <v>247</v>
      </c>
      <c r="R14" s="6" t="s">
        <v>104</v>
      </c>
      <c r="S14" s="8">
        <v>0</v>
      </c>
      <c r="T14" s="8">
        <v>0.28065939168713283</v>
      </c>
      <c r="U14" s="8">
        <v>0.18417000968707659</v>
      </c>
      <c r="V14" s="8">
        <v>0.91059075187917282</v>
      </c>
      <c r="W14" s="8">
        <v>0.14118666003208422</v>
      </c>
      <c r="X14" s="8">
        <v>0.13741911569854826</v>
      </c>
      <c r="Y14" s="8">
        <v>0.80580633202903151</v>
      </c>
      <c r="Z14" s="8">
        <v>0.12033869681322452</v>
      </c>
      <c r="AA14" s="8">
        <v>0.1037117120840296</v>
      </c>
      <c r="AB14" s="8">
        <v>0</v>
      </c>
      <c r="AC14" s="8">
        <v>0.19935222308935088</v>
      </c>
      <c r="AD14" s="8">
        <v>0.22070701159452261</v>
      </c>
      <c r="AF14" s="6" t="s">
        <v>247</v>
      </c>
      <c r="AG14" s="6" t="s">
        <v>105</v>
      </c>
      <c r="AH14" s="8">
        <v>0</v>
      </c>
      <c r="AI14" s="8">
        <v>4.1472310578304555E-2</v>
      </c>
      <c r="AJ14" s="8">
        <v>0.625159029993963</v>
      </c>
      <c r="AK14" s="8">
        <v>0</v>
      </c>
      <c r="AL14" s="8">
        <v>2.3504435190004315E-2</v>
      </c>
      <c r="AM14" s="8">
        <v>0.29619356758621473</v>
      </c>
      <c r="AN14" s="8">
        <v>0</v>
      </c>
      <c r="AO14" s="8">
        <v>2.3382784669024496E-2</v>
      </c>
      <c r="AP14" s="8">
        <v>0.2750304523076878</v>
      </c>
      <c r="AQ14" s="8">
        <v>0</v>
      </c>
      <c r="AR14" s="8">
        <v>3.4325779775267351E-2</v>
      </c>
      <c r="AS14" s="8">
        <v>0.43777718639332402</v>
      </c>
      <c r="AU14" s="6" t="s">
        <v>247</v>
      </c>
      <c r="AV14" s="6" t="s">
        <v>106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R14" s="6" t="s">
        <v>247</v>
      </c>
      <c r="BS14" s="8">
        <v>0</v>
      </c>
      <c r="BT14" s="8">
        <v>0.12414491680186589</v>
      </c>
      <c r="BU14" s="8">
        <v>8.4236921278765357E-3</v>
      </c>
      <c r="BV14" s="7">
        <v>5.0053202663180498E-4</v>
      </c>
      <c r="BW14" s="8">
        <v>0.31383241381203381</v>
      </c>
      <c r="BX14" s="8">
        <v>6.392466645578064E-2</v>
      </c>
      <c r="BY14" s="8">
        <v>1.4928830575833415E-3</v>
      </c>
      <c r="BZ14" s="8">
        <v>0.31907995058706429</v>
      </c>
      <c r="CA14" s="8">
        <v>8.2322317381690907E-2</v>
      </c>
      <c r="CB14" s="8">
        <v>0</v>
      </c>
      <c r="CC14" s="8">
        <v>0.18276475982726104</v>
      </c>
      <c r="CD14" s="8">
        <v>1.592993385730973E-2</v>
      </c>
      <c r="CF14" s="6" t="s">
        <v>247</v>
      </c>
      <c r="CG14" s="6" t="s">
        <v>112</v>
      </c>
      <c r="CH14" s="6" t="s">
        <v>113</v>
      </c>
      <c r="CI14" s="8">
        <v>0.31603504572662083</v>
      </c>
    </row>
    <row r="15" spans="1:87" x14ac:dyDescent="0.45">
      <c r="B15" s="3" t="s">
        <v>248</v>
      </c>
      <c r="C15" s="3" t="s">
        <v>103</v>
      </c>
      <c r="D15" s="5">
        <v>0</v>
      </c>
      <c r="E15" s="5">
        <v>0.48533354304168286</v>
      </c>
      <c r="F15" s="5">
        <v>0.90013075230819251</v>
      </c>
      <c r="G15" s="5">
        <v>0.94697018719615755</v>
      </c>
      <c r="H15" s="5">
        <v>0.28420556869388314</v>
      </c>
      <c r="I15" s="5">
        <v>0.59835207168413307</v>
      </c>
      <c r="J15" s="5">
        <v>0.86903824918867612</v>
      </c>
      <c r="K15" s="5">
        <v>0.24554331157103815</v>
      </c>
      <c r="L15" s="5">
        <v>0.5182268917160926</v>
      </c>
      <c r="M15" s="5">
        <v>0</v>
      </c>
      <c r="N15" s="5">
        <v>0.36144425362197302</v>
      </c>
      <c r="O15" s="5">
        <v>0.79534170572616913</v>
      </c>
      <c r="Q15" s="3" t="s">
        <v>248</v>
      </c>
      <c r="R15" s="3" t="s">
        <v>104</v>
      </c>
      <c r="S15" s="5">
        <v>0</v>
      </c>
      <c r="T15" s="5">
        <v>0.28431219566648031</v>
      </c>
      <c r="U15" s="5">
        <v>8.1989194509552429E-2</v>
      </c>
      <c r="V15" s="5">
        <v>0.90234144082847734</v>
      </c>
      <c r="W15" s="5">
        <v>0.14000896901015103</v>
      </c>
      <c r="X15" s="5">
        <v>0.13127214353607372</v>
      </c>
      <c r="Y15" s="5">
        <v>0.78037224080199086</v>
      </c>
      <c r="Z15" s="5">
        <v>0.11356018023508331</v>
      </c>
      <c r="AA15" s="5">
        <v>0.10811887006717692</v>
      </c>
      <c r="AB15" s="5">
        <v>0</v>
      </c>
      <c r="AC15" s="5">
        <v>0.19389815902761393</v>
      </c>
      <c r="AD15" s="5">
        <v>0.20295083322065857</v>
      </c>
      <c r="AF15" s="3" t="s">
        <v>248</v>
      </c>
      <c r="AG15" s="3" t="s">
        <v>105</v>
      </c>
      <c r="AH15" s="5">
        <v>0</v>
      </c>
      <c r="AI15" s="5">
        <v>4.4195917067332925E-2</v>
      </c>
      <c r="AJ15" s="5">
        <v>0.7373715835581095</v>
      </c>
      <c r="AK15" s="5">
        <v>0</v>
      </c>
      <c r="AL15" s="5">
        <v>2.4510318113745721E-2</v>
      </c>
      <c r="AM15" s="5">
        <v>0.30008694100813849</v>
      </c>
      <c r="AN15" s="5">
        <v>0</v>
      </c>
      <c r="AO15" s="5">
        <v>2.4246550613481448E-2</v>
      </c>
      <c r="AP15" s="5">
        <v>0.25512206884952982</v>
      </c>
      <c r="AQ15" s="5">
        <v>0</v>
      </c>
      <c r="AR15" s="5">
        <v>2.8539080055168871E-2</v>
      </c>
      <c r="AS15" s="5">
        <v>0.45843064444600812</v>
      </c>
      <c r="AU15" s="3" t="s">
        <v>248</v>
      </c>
      <c r="AV15" s="3" t="s">
        <v>106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R15" s="3" t="s">
        <v>248</v>
      </c>
      <c r="BS15" s="5">
        <v>0</v>
      </c>
      <c r="BT15" s="5">
        <v>0.12095877221313196</v>
      </c>
      <c r="BU15" s="5">
        <v>8.7893160388155828E-3</v>
      </c>
      <c r="BV15" s="4">
        <v>5.3529826997120492E-4</v>
      </c>
      <c r="BW15" s="5">
        <v>0.30858724956049793</v>
      </c>
      <c r="BX15" s="5">
        <v>6.493817734993744E-2</v>
      </c>
      <c r="BY15" s="5">
        <v>1.6887660190794366E-3</v>
      </c>
      <c r="BZ15" s="5">
        <v>0.31684399039083516</v>
      </c>
      <c r="CA15" s="5">
        <v>8.0892067657285183E-2</v>
      </c>
      <c r="CB15" s="5">
        <v>0</v>
      </c>
      <c r="CC15" s="5">
        <v>0.17975664059509341</v>
      </c>
      <c r="CD15" s="5">
        <v>1.6037391132995158E-2</v>
      </c>
      <c r="CF15" s="3" t="s">
        <v>248</v>
      </c>
      <c r="CG15" s="3" t="s">
        <v>112</v>
      </c>
      <c r="CH15" s="3" t="s">
        <v>113</v>
      </c>
      <c r="CI15" s="5">
        <v>0.31148245124320628</v>
      </c>
    </row>
    <row r="16" spans="1:87" x14ac:dyDescent="0.45">
      <c r="B16" s="6" t="s">
        <v>249</v>
      </c>
      <c r="C16" s="6" t="s">
        <v>103</v>
      </c>
      <c r="D16" s="8">
        <v>0</v>
      </c>
      <c r="E16" s="8">
        <v>0.49550859625206439</v>
      </c>
      <c r="F16" s="8">
        <v>0.91037928959773562</v>
      </c>
      <c r="G16" s="8">
        <v>0.94246865918581146</v>
      </c>
      <c r="H16" s="8">
        <v>0.28745289833091431</v>
      </c>
      <c r="I16" s="8">
        <v>0.60589607209869656</v>
      </c>
      <c r="J16" s="8">
        <v>0.86197172180812998</v>
      </c>
      <c r="K16" s="8">
        <v>0.249495976710078</v>
      </c>
      <c r="L16" s="8">
        <v>0.53271540031439457</v>
      </c>
      <c r="M16" s="8">
        <v>0</v>
      </c>
      <c r="N16" s="8">
        <v>0.37222362005690568</v>
      </c>
      <c r="O16" s="8">
        <v>0.80892947361004619</v>
      </c>
      <c r="Q16" s="6" t="s">
        <v>249</v>
      </c>
      <c r="R16" s="6" t="s">
        <v>104</v>
      </c>
      <c r="S16" s="8">
        <v>0</v>
      </c>
      <c r="T16" s="8">
        <v>0.30101981249024867</v>
      </c>
      <c r="U16" s="8">
        <v>0.14698913750388265</v>
      </c>
      <c r="V16" s="8">
        <v>0.89628181807362184</v>
      </c>
      <c r="W16" s="8">
        <v>0.1437855772917519</v>
      </c>
      <c r="X16" s="8">
        <v>0.16279490161241369</v>
      </c>
      <c r="Y16" s="8">
        <v>0.76537720939915765</v>
      </c>
      <c r="Z16" s="8">
        <v>0.11455364044953231</v>
      </c>
      <c r="AA16" s="8">
        <v>0.12470906543392139</v>
      </c>
      <c r="AB16" s="8">
        <v>0</v>
      </c>
      <c r="AC16" s="8">
        <v>0.20544280113507873</v>
      </c>
      <c r="AD16" s="8">
        <v>0.2466290296102237</v>
      </c>
      <c r="AF16" s="6" t="s">
        <v>249</v>
      </c>
      <c r="AG16" s="6" t="s">
        <v>105</v>
      </c>
      <c r="AH16" s="8">
        <v>0</v>
      </c>
      <c r="AI16" s="8">
        <v>3.4468122799310802E-2</v>
      </c>
      <c r="AJ16" s="8">
        <v>0.68885771297360665</v>
      </c>
      <c r="AK16" s="8">
        <v>0</v>
      </c>
      <c r="AL16" s="8">
        <v>2.35125303541012E-2</v>
      </c>
      <c r="AM16" s="8">
        <v>0.27809382609940841</v>
      </c>
      <c r="AN16" s="8">
        <v>0</v>
      </c>
      <c r="AO16" s="8">
        <v>3.1053045891961298E-2</v>
      </c>
      <c r="AP16" s="8">
        <v>0.25644186243928374</v>
      </c>
      <c r="AQ16" s="8">
        <v>0</v>
      </c>
      <c r="AR16" s="8">
        <v>2.9483529578935873E-2</v>
      </c>
      <c r="AS16" s="8">
        <v>0.43934019543685893</v>
      </c>
      <c r="AU16" s="6" t="s">
        <v>249</v>
      </c>
      <c r="AV16" s="6" t="s">
        <v>106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R16" s="6" t="s">
        <v>249</v>
      </c>
      <c r="BS16" s="8">
        <v>0</v>
      </c>
      <c r="BT16" s="8">
        <v>0.12628868355851242</v>
      </c>
      <c r="BU16" s="8">
        <v>7.2619241422457615E-3</v>
      </c>
      <c r="BV16" s="7">
        <v>6.752800351984983E-4</v>
      </c>
      <c r="BW16" s="8">
        <v>0.31148093927628634</v>
      </c>
      <c r="BX16" s="8">
        <v>6.0745638763815092E-2</v>
      </c>
      <c r="BY16" s="8">
        <v>1.9024022350266061E-3</v>
      </c>
      <c r="BZ16" s="8">
        <v>0.32737833584289555</v>
      </c>
      <c r="CA16" s="8">
        <v>7.9713362882929156E-2</v>
      </c>
      <c r="CB16" s="8">
        <v>0</v>
      </c>
      <c r="CC16" s="8">
        <v>0.19205993499219443</v>
      </c>
      <c r="CD16" s="8">
        <v>1.4703329092930468E-2</v>
      </c>
      <c r="CF16" s="6" t="s">
        <v>249</v>
      </c>
      <c r="CG16" s="6" t="s">
        <v>112</v>
      </c>
      <c r="CH16" s="6" t="s">
        <v>113</v>
      </c>
      <c r="CI16" s="8">
        <v>0.32398182595227593</v>
      </c>
    </row>
    <row r="17" spans="2:87" x14ac:dyDescent="0.45">
      <c r="B17" s="3" t="s">
        <v>250</v>
      </c>
      <c r="C17" s="3" t="s">
        <v>103</v>
      </c>
      <c r="D17" s="5">
        <v>0</v>
      </c>
      <c r="E17" s="5">
        <v>0.5189385914273803</v>
      </c>
      <c r="F17" s="5">
        <v>0.91211659558612002</v>
      </c>
      <c r="G17" s="5">
        <v>0.94200119061371312</v>
      </c>
      <c r="H17" s="5">
        <v>0.29916843449358294</v>
      </c>
      <c r="I17" s="5">
        <v>0.60405030807700022</v>
      </c>
      <c r="J17" s="5">
        <v>0.85703131846829717</v>
      </c>
      <c r="K17" s="5">
        <v>0.26159767311604154</v>
      </c>
      <c r="L17" s="5">
        <v>0.52277763228105922</v>
      </c>
      <c r="M17" s="5">
        <v>0</v>
      </c>
      <c r="N17" s="5">
        <v>0.38243146081918489</v>
      </c>
      <c r="O17" s="5">
        <v>0.81676207457795613</v>
      </c>
      <c r="Q17" s="3" t="s">
        <v>250</v>
      </c>
      <c r="R17" s="3" t="s">
        <v>104</v>
      </c>
      <c r="S17" s="5">
        <v>0</v>
      </c>
      <c r="T17" s="5">
        <v>0.30644839361210824</v>
      </c>
      <c r="U17" s="5">
        <v>8.7024315562969995E-2</v>
      </c>
      <c r="V17" s="5">
        <v>0.89469375947250585</v>
      </c>
      <c r="W17" s="5">
        <v>0.14554936133350402</v>
      </c>
      <c r="X17" s="5">
        <v>0.13411409342316952</v>
      </c>
      <c r="Y17" s="5">
        <v>0.75860711363589473</v>
      </c>
      <c r="Z17" s="5">
        <v>0.11997646631018048</v>
      </c>
      <c r="AA17" s="5">
        <v>0.12596210274197878</v>
      </c>
      <c r="AB17" s="5">
        <v>0</v>
      </c>
      <c r="AC17" s="5">
        <v>0.20964709719035121</v>
      </c>
      <c r="AD17" s="5">
        <v>0.25909102443934151</v>
      </c>
      <c r="AF17" s="3" t="s">
        <v>250</v>
      </c>
      <c r="AG17" s="3" t="s">
        <v>105</v>
      </c>
      <c r="AH17" s="5">
        <v>0</v>
      </c>
      <c r="AI17" s="5">
        <v>4.3587640806111549E-2</v>
      </c>
      <c r="AJ17" s="5">
        <v>0.75362688656678312</v>
      </c>
      <c r="AK17" s="5">
        <v>0</v>
      </c>
      <c r="AL17" s="5">
        <v>2.7973360198205132E-2</v>
      </c>
      <c r="AM17" s="5">
        <v>0.30670459370254399</v>
      </c>
      <c r="AN17" s="5">
        <v>0</v>
      </c>
      <c r="AO17" s="5">
        <v>3.3605987997822731E-2</v>
      </c>
      <c r="AP17" s="5">
        <v>0.24444623934594012</v>
      </c>
      <c r="AQ17" s="5">
        <v>0</v>
      </c>
      <c r="AR17" s="5">
        <v>3.0974743598303545E-2</v>
      </c>
      <c r="AS17" s="5">
        <v>0.43451412173576809</v>
      </c>
      <c r="AU17" s="3" t="s">
        <v>250</v>
      </c>
      <c r="AV17" s="3" t="s">
        <v>106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R17" s="3" t="s">
        <v>250</v>
      </c>
      <c r="BS17" s="5">
        <v>0</v>
      </c>
      <c r="BT17" s="5">
        <v>0.11685168372931681</v>
      </c>
      <c r="BU17" s="5">
        <v>6.9438141466634986E-3</v>
      </c>
      <c r="BV17" s="4">
        <v>6.5023808122181847E-4</v>
      </c>
      <c r="BW17" s="5">
        <v>0.2904034067599211</v>
      </c>
      <c r="BX17" s="5">
        <v>5.9704515707813002E-2</v>
      </c>
      <c r="BY17" s="5">
        <v>2.052816929518835E-3</v>
      </c>
      <c r="BZ17" s="5">
        <v>0.30470010069078513</v>
      </c>
      <c r="CA17" s="5">
        <v>7.6480615263112242E-2</v>
      </c>
      <c r="CB17" s="5">
        <v>0</v>
      </c>
      <c r="CC17" s="5">
        <v>0.17674235778276789</v>
      </c>
      <c r="CD17" s="5">
        <v>1.4429107915690921E-2</v>
      </c>
      <c r="CF17" s="3" t="s">
        <v>250</v>
      </c>
      <c r="CG17" s="3" t="s">
        <v>112</v>
      </c>
      <c r="CH17" s="3" t="s">
        <v>113</v>
      </c>
      <c r="CI17" s="5">
        <v>0.30355634542204685</v>
      </c>
    </row>
    <row r="18" spans="2:87" x14ac:dyDescent="0.45">
      <c r="B18" s="6" t="s">
        <v>251</v>
      </c>
      <c r="C18" s="6" t="s">
        <v>103</v>
      </c>
      <c r="D18" s="8">
        <v>0</v>
      </c>
      <c r="E18" s="8">
        <v>0.51491202743728737</v>
      </c>
      <c r="F18" s="8">
        <v>0.91612935983438804</v>
      </c>
      <c r="G18" s="8">
        <v>0.93625742527879963</v>
      </c>
      <c r="H18" s="8">
        <v>0.29452793888459711</v>
      </c>
      <c r="I18" s="8">
        <v>0.61018003586127001</v>
      </c>
      <c r="J18" s="8">
        <v>0.8487927799669005</v>
      </c>
      <c r="K18" s="8">
        <v>0.24979449183731173</v>
      </c>
      <c r="L18" s="8">
        <v>0.52668485971125401</v>
      </c>
      <c r="M18" s="8">
        <v>0</v>
      </c>
      <c r="N18" s="8">
        <v>0.37224971751271346</v>
      </c>
      <c r="O18" s="8">
        <v>0.81796742684243429</v>
      </c>
      <c r="Q18" s="6" t="s">
        <v>251</v>
      </c>
      <c r="R18" s="6" t="s">
        <v>104</v>
      </c>
      <c r="S18" s="8">
        <v>0</v>
      </c>
      <c r="T18" s="8">
        <v>0.30866130304160189</v>
      </c>
      <c r="U18" s="8">
        <v>0.10813661052201858</v>
      </c>
      <c r="V18" s="8">
        <v>0.88326952882266985</v>
      </c>
      <c r="W18" s="8">
        <v>0.14109194505513462</v>
      </c>
      <c r="X18" s="8">
        <v>0.11945147317203669</v>
      </c>
      <c r="Y18" s="8">
        <v>0.74496072592267948</v>
      </c>
      <c r="Z18" s="8">
        <v>0.11515204674356626</v>
      </c>
      <c r="AA18" s="8">
        <v>0.13926227838386041</v>
      </c>
      <c r="AB18" s="8">
        <v>0</v>
      </c>
      <c r="AC18" s="8">
        <v>0.20064116616938563</v>
      </c>
      <c r="AD18" s="8">
        <v>0.20106332569392299</v>
      </c>
      <c r="AF18" s="6" t="s">
        <v>251</v>
      </c>
      <c r="AG18" s="6" t="s">
        <v>105</v>
      </c>
      <c r="AH18" s="8">
        <v>0</v>
      </c>
      <c r="AI18" s="8">
        <v>4.1184101212144546E-2</v>
      </c>
      <c r="AJ18" s="8">
        <v>0.74084563132902248</v>
      </c>
      <c r="AK18" s="8">
        <v>0</v>
      </c>
      <c r="AL18" s="8">
        <v>2.9717791353197812E-2</v>
      </c>
      <c r="AM18" s="8">
        <v>0.32512916193456731</v>
      </c>
      <c r="AN18" s="8">
        <v>0</v>
      </c>
      <c r="AO18" s="8">
        <v>2.9794000619058538E-2</v>
      </c>
      <c r="AP18" s="8">
        <v>0.23376434652119071</v>
      </c>
      <c r="AQ18" s="8">
        <v>0</v>
      </c>
      <c r="AR18" s="8">
        <v>3.4202578591767771E-2</v>
      </c>
      <c r="AS18" s="8">
        <v>0.49478057115494584</v>
      </c>
      <c r="AU18" s="6" t="s">
        <v>251</v>
      </c>
      <c r="AV18" s="6" t="s">
        <v>106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R18" s="6" t="s">
        <v>251</v>
      </c>
      <c r="BS18" s="8">
        <v>0</v>
      </c>
      <c r="BT18" s="8">
        <v>0.12169637437658193</v>
      </c>
      <c r="BU18" s="8">
        <v>6.3285916238058071E-3</v>
      </c>
      <c r="BV18" s="7">
        <v>7.43647924837524E-4</v>
      </c>
      <c r="BW18" s="8">
        <v>0.30210305717726221</v>
      </c>
      <c r="BX18" s="8">
        <v>5.9792731025340898E-2</v>
      </c>
      <c r="BY18" s="8">
        <v>2.1753216471123412E-3</v>
      </c>
      <c r="BZ18" s="8">
        <v>0.31663255416231301</v>
      </c>
      <c r="CA18" s="8">
        <v>7.8236277531154086E-2</v>
      </c>
      <c r="CB18" s="8">
        <v>0</v>
      </c>
      <c r="CC18" s="8">
        <v>0.18656100017881996</v>
      </c>
      <c r="CD18" s="8">
        <v>1.4463376465254385E-2</v>
      </c>
      <c r="CF18" s="6" t="s">
        <v>251</v>
      </c>
      <c r="CG18" s="6" t="s">
        <v>112</v>
      </c>
      <c r="CH18" s="6" t="s">
        <v>113</v>
      </c>
      <c r="CI18" s="8">
        <v>0.31281799028048429</v>
      </c>
    </row>
    <row r="19" spans="2:87" x14ac:dyDescent="0.45">
      <c r="B19" s="3" t="s">
        <v>252</v>
      </c>
      <c r="C19" s="3" t="s">
        <v>103</v>
      </c>
      <c r="D19" s="5">
        <v>0</v>
      </c>
      <c r="E19" s="5">
        <v>0.48047996570720736</v>
      </c>
      <c r="F19" s="5">
        <v>0.88169091008304645</v>
      </c>
      <c r="G19" s="5">
        <v>0.95285403805503222</v>
      </c>
      <c r="H19" s="5">
        <v>0.27900495572142558</v>
      </c>
      <c r="I19" s="5">
        <v>0.59246182502764699</v>
      </c>
      <c r="J19" s="5">
        <v>0.89458570995883679</v>
      </c>
      <c r="K19" s="5">
        <v>0.25534081026658273</v>
      </c>
      <c r="L19" s="5">
        <v>0.51564501911582727</v>
      </c>
      <c r="M19" s="5">
        <v>0</v>
      </c>
      <c r="N19" s="5">
        <v>0.35367964828459547</v>
      </c>
      <c r="O19" s="5">
        <v>0.77921402461260147</v>
      </c>
      <c r="Q19" s="3" t="s">
        <v>252</v>
      </c>
      <c r="R19" s="3" t="s">
        <v>104</v>
      </c>
      <c r="S19" s="5">
        <v>0</v>
      </c>
      <c r="T19" s="5">
        <v>0.28059903713035911</v>
      </c>
      <c r="U19" s="5">
        <v>0.11400678608692459</v>
      </c>
      <c r="V19" s="5">
        <v>0.91013096297919494</v>
      </c>
      <c r="W19" s="5">
        <v>0.13633428662624592</v>
      </c>
      <c r="X19" s="5">
        <v>0.10725192669306007</v>
      </c>
      <c r="Y19" s="5">
        <v>0.81587882589460392</v>
      </c>
      <c r="Z19" s="5">
        <v>0.11724689963707917</v>
      </c>
      <c r="AA19" s="5">
        <v>8.7698020747967079E-2</v>
      </c>
      <c r="AB19" s="5">
        <v>0</v>
      </c>
      <c r="AC19" s="5">
        <v>0.1820199896851763</v>
      </c>
      <c r="AD19" s="5">
        <v>0.2100868373348346</v>
      </c>
      <c r="AF19" s="3" t="s">
        <v>252</v>
      </c>
      <c r="AG19" s="3" t="s">
        <v>105</v>
      </c>
      <c r="AH19" s="5">
        <v>0</v>
      </c>
      <c r="AI19" s="5">
        <v>3.9010199794335766E-2</v>
      </c>
      <c r="AJ19" s="5">
        <v>0.67547210973352245</v>
      </c>
      <c r="AK19" s="5">
        <v>0</v>
      </c>
      <c r="AL19" s="5">
        <v>1.9252606351011805E-2</v>
      </c>
      <c r="AM19" s="5">
        <v>0.32050876152292973</v>
      </c>
      <c r="AN19" s="5">
        <v>0</v>
      </c>
      <c r="AO19" s="5">
        <v>2.0622558873197396E-2</v>
      </c>
      <c r="AP19" s="5">
        <v>0.27323332532280908</v>
      </c>
      <c r="AQ19" s="5">
        <v>0</v>
      </c>
      <c r="AR19" s="5">
        <v>3.2405300970842189E-2</v>
      </c>
      <c r="AS19" s="5">
        <v>0.42890260443317729</v>
      </c>
      <c r="AU19" s="3" t="s">
        <v>252</v>
      </c>
      <c r="AV19" s="3" t="s">
        <v>106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R19" s="3" t="s">
        <v>252</v>
      </c>
      <c r="BS19" s="5">
        <v>0</v>
      </c>
      <c r="BT19" s="5">
        <v>0.12611015549850393</v>
      </c>
      <c r="BU19" s="5">
        <v>9.5717116822370083E-3</v>
      </c>
      <c r="BV19" s="4">
        <v>4.2878461075726701E-4</v>
      </c>
      <c r="BW19" s="5">
        <v>0.32851868533456874</v>
      </c>
      <c r="BX19" s="5">
        <v>6.8913262558548682E-2</v>
      </c>
      <c r="BY19" s="5">
        <v>1.3154217341991778E-3</v>
      </c>
      <c r="BZ19" s="5">
        <v>0.33138190113601229</v>
      </c>
      <c r="CA19" s="5">
        <v>8.9538566840296735E-2</v>
      </c>
      <c r="CB19" s="5">
        <v>0</v>
      </c>
      <c r="CC19" s="5">
        <v>0.18947018129712648</v>
      </c>
      <c r="CD19" s="5">
        <v>1.8940831970478543E-2</v>
      </c>
      <c r="CF19" s="3" t="s">
        <v>252</v>
      </c>
      <c r="CG19" s="3" t="s">
        <v>112</v>
      </c>
      <c r="CH19" s="3" t="s">
        <v>113</v>
      </c>
      <c r="CI19" s="5">
        <v>0.32851868533456874</v>
      </c>
    </row>
    <row r="20" spans="2:87" x14ac:dyDescent="0.45">
      <c r="B20" s="6" t="s">
        <v>253</v>
      </c>
      <c r="C20" s="6" t="s">
        <v>103</v>
      </c>
      <c r="D20" s="8">
        <v>0</v>
      </c>
      <c r="E20" s="8">
        <v>0.47246799108801596</v>
      </c>
      <c r="F20" s="8">
        <v>0.90295903643712183</v>
      </c>
      <c r="G20" s="8">
        <v>0.9472287121720887</v>
      </c>
      <c r="H20" s="8">
        <v>0.2820354272898668</v>
      </c>
      <c r="I20" s="8">
        <v>0.60929367023504744</v>
      </c>
      <c r="J20" s="8">
        <v>0.87091470192843456</v>
      </c>
      <c r="K20" s="8">
        <v>0.23592226852740725</v>
      </c>
      <c r="L20" s="8">
        <v>0.53573155967964459</v>
      </c>
      <c r="M20" s="8">
        <v>0</v>
      </c>
      <c r="N20" s="8">
        <v>0.35707865004768335</v>
      </c>
      <c r="O20" s="8">
        <v>0.80747713197614801</v>
      </c>
      <c r="Q20" s="6" t="s">
        <v>253</v>
      </c>
      <c r="R20" s="6" t="s">
        <v>104</v>
      </c>
      <c r="S20" s="8">
        <v>0</v>
      </c>
      <c r="T20" s="8">
        <v>0.2793395667010381</v>
      </c>
      <c r="U20" s="8">
        <v>0.14752833239359869</v>
      </c>
      <c r="V20" s="8">
        <v>0.90441232521765624</v>
      </c>
      <c r="W20" s="8">
        <v>0.13810308821685574</v>
      </c>
      <c r="X20" s="8">
        <v>0.12469219376865899</v>
      </c>
      <c r="Y20" s="8">
        <v>0.782297206910337</v>
      </c>
      <c r="Z20" s="8">
        <v>0.11061719932047262</v>
      </c>
      <c r="AA20" s="8">
        <v>0.12831689647350772</v>
      </c>
      <c r="AB20" s="8">
        <v>0</v>
      </c>
      <c r="AC20" s="8">
        <v>0.19694708771215549</v>
      </c>
      <c r="AD20" s="8">
        <v>0.3019244745221859</v>
      </c>
      <c r="AF20" s="6" t="s">
        <v>253</v>
      </c>
      <c r="AG20" s="6" t="s">
        <v>105</v>
      </c>
      <c r="AH20" s="8">
        <v>0</v>
      </c>
      <c r="AI20" s="8">
        <v>3.2854286086301518E-2</v>
      </c>
      <c r="AJ20" s="8">
        <v>0.67699613800306901</v>
      </c>
      <c r="AK20" s="8">
        <v>0</v>
      </c>
      <c r="AL20" s="8">
        <v>1.8465326458638145E-2</v>
      </c>
      <c r="AM20" s="8">
        <v>0.32227575255604718</v>
      </c>
      <c r="AN20" s="8">
        <v>0</v>
      </c>
      <c r="AO20" s="8">
        <v>2.4955740956288972E-2</v>
      </c>
      <c r="AP20" s="8">
        <v>0.25496092882428101</v>
      </c>
      <c r="AQ20" s="8">
        <v>0</v>
      </c>
      <c r="AR20" s="8">
        <v>2.8401642799882203E-2</v>
      </c>
      <c r="AS20" s="8">
        <v>0.38040401402896862</v>
      </c>
      <c r="AU20" s="6" t="s">
        <v>253</v>
      </c>
      <c r="AV20" s="6" t="s">
        <v>106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R20" s="6" t="s">
        <v>253</v>
      </c>
      <c r="BS20" s="8">
        <v>0</v>
      </c>
      <c r="BT20" s="8">
        <v>0.13579204852464885</v>
      </c>
      <c r="BU20" s="8">
        <v>6.949834790773682E-3</v>
      </c>
      <c r="BV20" s="7">
        <v>6.7682802335099841E-4</v>
      </c>
      <c r="BW20" s="8">
        <v>0.33029722234819792</v>
      </c>
      <c r="BX20" s="8">
        <v>6.4804864934932357E-2</v>
      </c>
      <c r="BY20" s="8">
        <v>1.7816580833752429E-3</v>
      </c>
      <c r="BZ20" s="8">
        <v>0.35400317031735712</v>
      </c>
      <c r="CA20" s="8">
        <v>8.6027743928554362E-2</v>
      </c>
      <c r="CB20" s="8">
        <v>0</v>
      </c>
      <c r="CC20" s="8">
        <v>0.20263997430221603</v>
      </c>
      <c r="CD20" s="8">
        <v>1.5639976551489337E-2</v>
      </c>
      <c r="CF20" s="6" t="s">
        <v>253</v>
      </c>
      <c r="CG20" s="6" t="s">
        <v>112</v>
      </c>
      <c r="CH20" s="6" t="s">
        <v>113</v>
      </c>
      <c r="CI20" s="8">
        <v>0.349808311254106</v>
      </c>
    </row>
    <row r="21" spans="2:87" x14ac:dyDescent="0.45">
      <c r="B21" s="3" t="s">
        <v>254</v>
      </c>
      <c r="C21" s="3" t="s">
        <v>103</v>
      </c>
      <c r="D21" s="5">
        <v>0.20160541421877989</v>
      </c>
      <c r="E21" s="5">
        <v>0.18586272033123549</v>
      </c>
      <c r="F21" s="5">
        <v>0.20075381296098121</v>
      </c>
      <c r="G21" s="5">
        <v>0.20091251724130188</v>
      </c>
      <c r="H21" s="5">
        <v>0.20041856693787488</v>
      </c>
      <c r="I21" s="5">
        <v>0.1671704153950965</v>
      </c>
      <c r="J21" s="5">
        <v>0.30122243874015864</v>
      </c>
      <c r="K21" s="5">
        <v>0.31731343117437283</v>
      </c>
      <c r="L21" s="5">
        <v>0.29685110860938224</v>
      </c>
      <c r="M21" s="5">
        <v>0.28140043476393284</v>
      </c>
      <c r="N21" s="5">
        <v>0.29452550806261724</v>
      </c>
      <c r="O21" s="5">
        <v>0.27985695430652352</v>
      </c>
      <c r="Q21" s="3" t="s">
        <v>254</v>
      </c>
      <c r="R21" s="3" t="s">
        <v>104</v>
      </c>
      <c r="S21" s="5">
        <v>1.2352012078300315E-2</v>
      </c>
      <c r="T21" s="5">
        <v>1.2283080983173437E-2</v>
      </c>
      <c r="U21" s="5">
        <v>7.8286475329859724E-3</v>
      </c>
      <c r="V21" s="5">
        <v>6.4963795015324337E-3</v>
      </c>
      <c r="W21" s="5">
        <v>5.3691256710188644E-3</v>
      </c>
      <c r="X21" s="5">
        <v>1.1699382099631429E-2</v>
      </c>
      <c r="Y21" s="5">
        <v>2.1979522395671986E-2</v>
      </c>
      <c r="Z21" s="5">
        <v>2.6223811510911632E-2</v>
      </c>
      <c r="AA21" s="5">
        <v>1.848197841922079E-2</v>
      </c>
      <c r="AB21" s="5">
        <v>2.640025060557975E-2</v>
      </c>
      <c r="AC21" s="5">
        <v>1.9672733848084347E-2</v>
      </c>
      <c r="AD21" s="5">
        <v>1.0032019467786878E-2</v>
      </c>
      <c r="AF21" s="3" t="s">
        <v>254</v>
      </c>
      <c r="AG21" s="3" t="s">
        <v>105</v>
      </c>
      <c r="AH21" s="5">
        <v>1.3038648683579819E-2</v>
      </c>
      <c r="AI21" s="5">
        <v>1.3287411652239968E-2</v>
      </c>
      <c r="AJ21" s="5">
        <v>9.2323298096795986E-3</v>
      </c>
      <c r="AK21" s="5">
        <v>1.5813375067170635E-2</v>
      </c>
      <c r="AL21" s="5">
        <v>5.7429678221529272E-3</v>
      </c>
      <c r="AM21" s="5">
        <v>5.3193546146238597E-3</v>
      </c>
      <c r="AN21" s="5">
        <v>4.1636608382733122E-2</v>
      </c>
      <c r="AO21" s="5">
        <v>2.561967516487474E-2</v>
      </c>
      <c r="AP21" s="5">
        <v>2.3184076524818485E-2</v>
      </c>
      <c r="AQ21" s="5">
        <v>1.930654770476966E-2</v>
      </c>
      <c r="AR21" s="5">
        <v>2.9267740338468812E-2</v>
      </c>
      <c r="AS21" s="5">
        <v>1.912903887835889E-2</v>
      </c>
      <c r="AU21" s="3" t="s">
        <v>254</v>
      </c>
      <c r="AV21" s="3" t="s">
        <v>106</v>
      </c>
      <c r="AW21" s="5">
        <v>6.1638620733857293E-2</v>
      </c>
      <c r="AX21" s="5">
        <v>5.1321166536397116E-2</v>
      </c>
      <c r="AY21" s="5">
        <v>7.0311594943397421E-2</v>
      </c>
      <c r="AZ21" s="5">
        <v>6.8473664402189729E-2</v>
      </c>
      <c r="BA21" s="5">
        <v>8.2381309601239266E-2</v>
      </c>
      <c r="BB21" s="5">
        <v>5.8651662886720059E-2</v>
      </c>
      <c r="BC21" s="5">
        <v>0.12572586519513643</v>
      </c>
      <c r="BD21" s="5">
        <v>0.15268127722761307</v>
      </c>
      <c r="BE21" s="5">
        <v>0.13846278122223452</v>
      </c>
      <c r="BF21" s="5">
        <v>0.10105840069860822</v>
      </c>
      <c r="BG21" s="5">
        <v>0.10842043592580271</v>
      </c>
      <c r="BH21" s="5">
        <v>0.12752951276331242</v>
      </c>
      <c r="BR21" s="3" t="s">
        <v>254</v>
      </c>
      <c r="BS21" s="5">
        <v>0.70366478305197644</v>
      </c>
      <c r="BT21" s="5">
        <v>0.73111716333892596</v>
      </c>
      <c r="BU21" s="5">
        <v>0.71061585967398655</v>
      </c>
      <c r="BV21" s="4">
        <v>0.68809092099306213</v>
      </c>
      <c r="BW21" s="5">
        <v>0.67562064439335712</v>
      </c>
      <c r="BX21" s="5">
        <v>0.72282779009736908</v>
      </c>
      <c r="BY21" s="5">
        <v>0.43775526450673274</v>
      </c>
      <c r="BZ21" s="5">
        <v>0.42238776878435064</v>
      </c>
      <c r="CA21" s="5">
        <v>0.43323912324676811</v>
      </c>
      <c r="CB21" s="5">
        <v>0.5590764197393705</v>
      </c>
      <c r="CC21" s="5">
        <v>0.548885586107141</v>
      </c>
      <c r="CD21" s="5">
        <v>0.5401591522086302</v>
      </c>
      <c r="CF21" s="3" t="s">
        <v>255</v>
      </c>
      <c r="CG21" s="3" t="s">
        <v>112</v>
      </c>
      <c r="CH21" s="3" t="s">
        <v>113</v>
      </c>
      <c r="CI21" s="5">
        <v>0.52052431287683754</v>
      </c>
    </row>
    <row r="22" spans="2:87" x14ac:dyDescent="0.45">
      <c r="B22" s="6" t="s">
        <v>256</v>
      </c>
      <c r="C22" s="6" t="s">
        <v>103</v>
      </c>
      <c r="D22" s="8">
        <v>0.30030238814788723</v>
      </c>
      <c r="E22" s="8">
        <v>0.28000095050548973</v>
      </c>
      <c r="F22" s="8">
        <v>0.29288761645809908</v>
      </c>
      <c r="G22" s="8">
        <v>0.28424475770159324</v>
      </c>
      <c r="H22" s="8">
        <v>0.26463782886622333</v>
      </c>
      <c r="I22" s="8">
        <v>0.27054276974914609</v>
      </c>
      <c r="J22" s="8">
        <v>0.41088169714760581</v>
      </c>
      <c r="K22" s="8">
        <v>0.35704110905028097</v>
      </c>
      <c r="L22" s="8">
        <v>0.3674675622836347</v>
      </c>
      <c r="M22" s="8">
        <v>0.34675109946703953</v>
      </c>
      <c r="N22" s="8">
        <v>0.33720975986673091</v>
      </c>
      <c r="O22" s="8">
        <v>0.33477700462091886</v>
      </c>
      <c r="Q22" s="6" t="s">
        <v>256</v>
      </c>
      <c r="R22" s="6" t="s">
        <v>104</v>
      </c>
      <c r="S22" s="8">
        <v>2.7628208078329549E-2</v>
      </c>
      <c r="T22" s="8">
        <v>2.50005877792101E-2</v>
      </c>
      <c r="U22" s="8">
        <v>2.2040524436346739E-2</v>
      </c>
      <c r="V22" s="8">
        <v>1.9113180901488683E-2</v>
      </c>
      <c r="W22" s="8">
        <v>1.1457266565315084E-2</v>
      </c>
      <c r="X22" s="8">
        <v>1.4037530591616309E-2</v>
      </c>
      <c r="Y22" s="8">
        <v>3.6098720952556264E-2</v>
      </c>
      <c r="Z22" s="8">
        <v>3.1321215228194879E-2</v>
      </c>
      <c r="AA22" s="8">
        <v>2.3972974851113611E-2</v>
      </c>
      <c r="AB22" s="8">
        <v>4.8225321032408973E-2</v>
      </c>
      <c r="AC22" s="8">
        <v>2.4538533156162751E-2</v>
      </c>
      <c r="AD22" s="8">
        <v>2.2923160849149075E-2</v>
      </c>
      <c r="AF22" s="6" t="s">
        <v>256</v>
      </c>
      <c r="AG22" s="6" t="s">
        <v>105</v>
      </c>
      <c r="AH22" s="8">
        <v>2.5462953256919215E-2</v>
      </c>
      <c r="AI22" s="8">
        <v>2.8353412572876453E-2</v>
      </c>
      <c r="AJ22" s="8">
        <v>2.3485784766099745E-2</v>
      </c>
      <c r="AK22" s="8">
        <v>3.0769689804902373E-2</v>
      </c>
      <c r="AL22" s="8">
        <v>1.9500282304838811E-2</v>
      </c>
      <c r="AM22" s="8">
        <v>1.1411082496910309E-2</v>
      </c>
      <c r="AN22" s="8">
        <v>5.7843595642090163E-2</v>
      </c>
      <c r="AO22" s="8">
        <v>4.1362793171676418E-2</v>
      </c>
      <c r="AP22" s="8">
        <v>4.5222719284415284E-2</v>
      </c>
      <c r="AQ22" s="8">
        <v>6.3908713217712576E-2</v>
      </c>
      <c r="AR22" s="8">
        <v>4.3406916963444363E-2</v>
      </c>
      <c r="AS22" s="8">
        <v>3.1084826086197118E-2</v>
      </c>
      <c r="AU22" s="6" t="s">
        <v>256</v>
      </c>
      <c r="AV22" s="6" t="s">
        <v>106</v>
      </c>
      <c r="AW22" s="8">
        <v>0.12450104060316863</v>
      </c>
      <c r="AX22" s="8">
        <v>9.5180158698204467E-2</v>
      </c>
      <c r="AY22" s="8">
        <v>0.12410138364963832</v>
      </c>
      <c r="AZ22" s="8">
        <v>0.12399750305387906</v>
      </c>
      <c r="BA22" s="8">
        <v>0.12379041765017421</v>
      </c>
      <c r="BB22" s="8">
        <v>0.13265079739249228</v>
      </c>
      <c r="BC22" s="8">
        <v>0.19260026293518928</v>
      </c>
      <c r="BD22" s="8">
        <v>0.17098718301399804</v>
      </c>
      <c r="BE22" s="8">
        <v>0.18688087939804596</v>
      </c>
      <c r="BF22" s="8">
        <v>0.11643374798101087</v>
      </c>
      <c r="BG22" s="8">
        <v>0.14666679138249489</v>
      </c>
      <c r="BH22" s="8">
        <v>0.16040251824211571</v>
      </c>
      <c r="BR22" s="6" t="s">
        <v>256</v>
      </c>
      <c r="BS22" s="8">
        <v>0.47955734739681538</v>
      </c>
      <c r="BT22" s="8">
        <v>0.53996967212231606</v>
      </c>
      <c r="BU22" s="8">
        <v>0.49574898694175967</v>
      </c>
      <c r="BV22" s="7">
        <v>0.42666794834415989</v>
      </c>
      <c r="BW22" s="8">
        <v>0.49388410008267886</v>
      </c>
      <c r="BX22" s="8">
        <v>0.44692691228363246</v>
      </c>
      <c r="BY22" s="8">
        <v>0.22155099393940988</v>
      </c>
      <c r="BZ22" s="8">
        <v>0.28479802719104763</v>
      </c>
      <c r="CA22" s="8">
        <v>0.22568881232701629</v>
      </c>
      <c r="CB22" s="8">
        <v>0.32255952151304862</v>
      </c>
      <c r="CC22" s="8">
        <v>0.36226296800879332</v>
      </c>
      <c r="CD22" s="8">
        <v>0.30547531357961988</v>
      </c>
      <c r="CF22" s="6" t="s">
        <v>257</v>
      </c>
      <c r="CG22" s="6" t="s">
        <v>112</v>
      </c>
      <c r="CH22" s="6" t="s">
        <v>113</v>
      </c>
      <c r="CI22" s="8">
        <v>0.51782709341364896</v>
      </c>
    </row>
    <row r="23" spans="2:87" x14ac:dyDescent="0.45">
      <c r="B23" s="3" t="s">
        <v>258</v>
      </c>
      <c r="C23" s="3" t="s">
        <v>103</v>
      </c>
      <c r="D23" s="5">
        <v>0.21776339597264002</v>
      </c>
      <c r="E23" s="5">
        <v>0.20073075954434999</v>
      </c>
      <c r="F23" s="5">
        <v>0.20999285041343974</v>
      </c>
      <c r="G23" s="5">
        <v>0.20355329588223145</v>
      </c>
      <c r="H23" s="5">
        <v>0.20852231822539904</v>
      </c>
      <c r="I23" s="5">
        <v>0.18091796988111347</v>
      </c>
      <c r="J23" s="5">
        <v>0.32093046704749167</v>
      </c>
      <c r="K23" s="5">
        <v>0.30184047931036573</v>
      </c>
      <c r="L23" s="5">
        <v>0.29983770113796437</v>
      </c>
      <c r="M23" s="5">
        <v>0.28650603719794443</v>
      </c>
      <c r="N23" s="5">
        <v>0.28686903884810377</v>
      </c>
      <c r="O23" s="5">
        <v>0.27666726651337553</v>
      </c>
      <c r="Q23" s="3" t="s">
        <v>258</v>
      </c>
      <c r="R23" s="3" t="s">
        <v>104</v>
      </c>
      <c r="S23" s="5">
        <v>1.4360899009358535E-2</v>
      </c>
      <c r="T23" s="5">
        <v>1.1876451981881799E-2</v>
      </c>
      <c r="U23" s="5">
        <v>9.4396795812427964E-3</v>
      </c>
      <c r="V23" s="5">
        <v>1.0167664201420746E-2</v>
      </c>
      <c r="W23" s="5">
        <v>8.6925639173034211E-3</v>
      </c>
      <c r="X23" s="5">
        <v>8.2300507205678702E-3</v>
      </c>
      <c r="Y23" s="5">
        <v>2.3673444632850045E-2</v>
      </c>
      <c r="Z23" s="5">
        <v>2.1897928021625556E-2</v>
      </c>
      <c r="AA23" s="5">
        <v>1.9892868675358173E-2</v>
      </c>
      <c r="AB23" s="5">
        <v>2.9610349502901753E-2</v>
      </c>
      <c r="AC23" s="5">
        <v>1.8987869405957977E-2</v>
      </c>
      <c r="AD23" s="5">
        <v>1.2742469597031398E-2</v>
      </c>
      <c r="AF23" s="3" t="s">
        <v>258</v>
      </c>
      <c r="AG23" s="3" t="s">
        <v>105</v>
      </c>
      <c r="AH23" s="5">
        <v>1.0221635923750357E-2</v>
      </c>
      <c r="AI23" s="5">
        <v>1.8577504324468253E-2</v>
      </c>
      <c r="AJ23" s="5">
        <v>1.1312376119849754E-2</v>
      </c>
      <c r="AK23" s="5">
        <v>1.5055060346404752E-2</v>
      </c>
      <c r="AL23" s="5">
        <v>1.1325264489549361E-2</v>
      </c>
      <c r="AM23" s="5">
        <v>8.4395028804608255E-3</v>
      </c>
      <c r="AN23" s="5">
        <v>3.8580483482470188E-2</v>
      </c>
      <c r="AO23" s="5">
        <v>2.8444266810499507E-2</v>
      </c>
      <c r="AP23" s="5">
        <v>2.9266679532865984E-2</v>
      </c>
      <c r="AQ23" s="5">
        <v>3.0195706736869152E-2</v>
      </c>
      <c r="AR23" s="5">
        <v>2.605615998832065E-2</v>
      </c>
      <c r="AS23" s="5">
        <v>2.5921302189493366E-2</v>
      </c>
      <c r="AU23" s="3" t="s">
        <v>258</v>
      </c>
      <c r="AV23" s="3" t="s">
        <v>106</v>
      </c>
      <c r="AW23" s="5">
        <v>7.4582043257232875E-2</v>
      </c>
      <c r="AX23" s="5">
        <v>5.765576566026763E-2</v>
      </c>
      <c r="AY23" s="5">
        <v>7.7809629319161924E-2</v>
      </c>
      <c r="AZ23" s="5">
        <v>7.0619423225528263E-2</v>
      </c>
      <c r="BA23" s="5">
        <v>7.7442069720284126E-2</v>
      </c>
      <c r="BB23" s="5">
        <v>6.6792312376164675E-2</v>
      </c>
      <c r="BC23" s="5">
        <v>0.14431104249004248</v>
      </c>
      <c r="BD23" s="5">
        <v>0.14486603168194301</v>
      </c>
      <c r="BE23" s="5">
        <v>0.13654817007693498</v>
      </c>
      <c r="BF23" s="5">
        <v>9.7294063636324632E-2</v>
      </c>
      <c r="BG23" s="5">
        <v>0.10940847176242083</v>
      </c>
      <c r="BH23" s="5">
        <v>0.11236736447105712</v>
      </c>
      <c r="BR23" s="3" t="s">
        <v>258</v>
      </c>
      <c r="BS23" s="5">
        <v>0.66682499833069031</v>
      </c>
      <c r="BT23" s="5">
        <v>0.70419346799600202</v>
      </c>
      <c r="BU23" s="5">
        <v>0.67693799818171208</v>
      </c>
      <c r="BV23" s="4">
        <v>0.66532012759270209</v>
      </c>
      <c r="BW23" s="5">
        <v>0.66311223671112618</v>
      </c>
      <c r="BX23" s="5">
        <v>0.69129679808543287</v>
      </c>
      <c r="BY23" s="5">
        <v>0.40364031574929965</v>
      </c>
      <c r="BZ23" s="5">
        <v>0.42442430277565157</v>
      </c>
      <c r="CA23" s="5">
        <v>0.41734591627672252</v>
      </c>
      <c r="CB23" s="5">
        <v>0.5246243256848494</v>
      </c>
      <c r="CC23" s="5">
        <v>0.53784904902650255</v>
      </c>
      <c r="CD23" s="5">
        <v>0.51689614668299355</v>
      </c>
      <c r="CF23" s="3" t="s">
        <v>259</v>
      </c>
      <c r="CG23" s="3" t="s">
        <v>112</v>
      </c>
      <c r="CH23" s="3" t="s">
        <v>113</v>
      </c>
      <c r="CI23" s="5">
        <v>0.52545568468997739</v>
      </c>
    </row>
    <row r="24" spans="2:87" x14ac:dyDescent="0.45">
      <c r="B24" s="6" t="s">
        <v>260</v>
      </c>
      <c r="C24" s="6" t="s">
        <v>103</v>
      </c>
      <c r="D24" s="8">
        <v>0.24290288906281346</v>
      </c>
      <c r="E24" s="8">
        <v>0.22534601219710523</v>
      </c>
      <c r="F24" s="8">
        <v>0.22511696674271384</v>
      </c>
      <c r="G24" s="8">
        <v>0.22961442977229338</v>
      </c>
      <c r="H24" s="8">
        <v>0.2453653402608886</v>
      </c>
      <c r="I24" s="8">
        <v>0.21343240186561507</v>
      </c>
      <c r="J24" s="8">
        <v>0.3325461810969586</v>
      </c>
      <c r="K24" s="8">
        <v>0.33831004804966514</v>
      </c>
      <c r="L24" s="8">
        <v>0.29940602163895369</v>
      </c>
      <c r="M24" s="8">
        <v>0.28715093916530249</v>
      </c>
      <c r="N24" s="8">
        <v>0.28633647336374801</v>
      </c>
      <c r="O24" s="8">
        <v>0.29093854537385483</v>
      </c>
      <c r="Q24" s="6" t="s">
        <v>260</v>
      </c>
      <c r="R24" s="6" t="s">
        <v>104</v>
      </c>
      <c r="S24" s="8">
        <v>1.4794674294502985E-2</v>
      </c>
      <c r="T24" s="8">
        <v>2.2124506395052541E-2</v>
      </c>
      <c r="U24" s="8">
        <v>4.7925858296771918E-3</v>
      </c>
      <c r="V24" s="8">
        <v>1.3094028063041366E-2</v>
      </c>
      <c r="W24" s="8">
        <v>7.8920670040531701E-3</v>
      </c>
      <c r="X24" s="8">
        <v>1.2393423750705854E-2</v>
      </c>
      <c r="Y24" s="8">
        <v>2.5064932707743171E-2</v>
      </c>
      <c r="Z24" s="8">
        <v>2.7355112800505666E-2</v>
      </c>
      <c r="AA24" s="8">
        <v>8.1387367309234977E-3</v>
      </c>
      <c r="AB24" s="8">
        <v>3.5952939467138172E-2</v>
      </c>
      <c r="AC24" s="8">
        <v>2.1582693913145299E-2</v>
      </c>
      <c r="AD24" s="8">
        <v>2.0160432084891558E-2</v>
      </c>
      <c r="AF24" s="6" t="s">
        <v>260</v>
      </c>
      <c r="AG24" s="6" t="s">
        <v>105</v>
      </c>
      <c r="AH24" s="8">
        <v>9.4358502873522106E-3</v>
      </c>
      <c r="AI24" s="8">
        <v>1.9853271878132423E-2</v>
      </c>
      <c r="AJ24" s="8">
        <v>2.0206954553308631E-2</v>
      </c>
      <c r="AK24" s="8">
        <v>1.7754045018840012E-2</v>
      </c>
      <c r="AL24" s="8">
        <v>1.5641041612184194E-2</v>
      </c>
      <c r="AM24" s="8">
        <v>1.1775218933901028E-2</v>
      </c>
      <c r="AN24" s="8">
        <v>1.852740102672212E-2</v>
      </c>
      <c r="AO24" s="8">
        <v>2.9118253427839757E-2</v>
      </c>
      <c r="AP24" s="8">
        <v>3.0355695850142198E-2</v>
      </c>
      <c r="AQ24" s="8">
        <v>2.85985442138143E-2</v>
      </c>
      <c r="AR24" s="8">
        <v>3.5452290912863643E-2</v>
      </c>
      <c r="AS24" s="8">
        <v>2.9597537418676746E-2</v>
      </c>
      <c r="AU24" s="6" t="s">
        <v>260</v>
      </c>
      <c r="AV24" s="6" t="s">
        <v>106</v>
      </c>
      <c r="AW24" s="8">
        <v>0.10124868392310415</v>
      </c>
      <c r="AX24" s="8">
        <v>6.4219662216461054E-2</v>
      </c>
      <c r="AY24" s="8">
        <v>8.0783212220339976E-2</v>
      </c>
      <c r="AZ24" s="8">
        <v>8.0864388522583069E-2</v>
      </c>
      <c r="BA24" s="8">
        <v>0.10420052638213309</v>
      </c>
      <c r="BB24" s="8">
        <v>8.6271039131902691E-2</v>
      </c>
      <c r="BC24" s="8">
        <v>0.16831280857042716</v>
      </c>
      <c r="BD24" s="8">
        <v>0.15464515289180533</v>
      </c>
      <c r="BE24" s="8">
        <v>0.14964956443704752</v>
      </c>
      <c r="BF24" s="8">
        <v>0.10006449771103755</v>
      </c>
      <c r="BG24" s="8">
        <v>0.1022054297051818</v>
      </c>
      <c r="BH24" s="8">
        <v>0.11573553084228483</v>
      </c>
      <c r="BR24" s="6" t="s">
        <v>260</v>
      </c>
      <c r="BS24" s="8">
        <v>0.60859277901157094</v>
      </c>
      <c r="BT24" s="8">
        <v>0.65329597530301775</v>
      </c>
      <c r="BU24" s="8">
        <v>0.65457669637132143</v>
      </c>
      <c r="BV24" s="7">
        <v>0.62054146823525558</v>
      </c>
      <c r="BW24" s="8">
        <v>0.59164915460933687</v>
      </c>
      <c r="BX24" s="8">
        <v>0.61672986693689391</v>
      </c>
      <c r="BY24" s="8">
        <v>0.36945048445259898</v>
      </c>
      <c r="BZ24" s="8">
        <v>0.41055691497940328</v>
      </c>
      <c r="CA24" s="8">
        <v>0.40298791948335827</v>
      </c>
      <c r="CB24" s="8">
        <v>0.49129702180098911</v>
      </c>
      <c r="CC24" s="8">
        <v>0.51182390402788491</v>
      </c>
      <c r="CD24" s="8">
        <v>0.47890637054235696</v>
      </c>
      <c r="CF24" s="6" t="s">
        <v>261</v>
      </c>
      <c r="CG24" s="6" t="s">
        <v>112</v>
      </c>
      <c r="CH24" s="6" t="s">
        <v>113</v>
      </c>
      <c r="CI24" s="8">
        <v>0.49135762474269501</v>
      </c>
    </row>
    <row r="25" spans="2:87" x14ac:dyDescent="0.45">
      <c r="B25" s="3" t="s">
        <v>262</v>
      </c>
      <c r="C25" s="3" t="s">
        <v>103</v>
      </c>
      <c r="D25" s="5">
        <v>0.21413314005090595</v>
      </c>
      <c r="E25" s="5">
        <v>0.20363884328695245</v>
      </c>
      <c r="F25" s="5">
        <v>0.20573013874887847</v>
      </c>
      <c r="G25" s="5">
        <v>0.20051832443158349</v>
      </c>
      <c r="H25" s="5">
        <v>0.22563591201845012</v>
      </c>
      <c r="I25" s="5">
        <v>0.19773598084957836</v>
      </c>
      <c r="J25" s="5">
        <v>0.31216039795876338</v>
      </c>
      <c r="K25" s="5">
        <v>0.31928945159978395</v>
      </c>
      <c r="L25" s="5">
        <v>0.29155889717652722</v>
      </c>
      <c r="M25" s="5">
        <v>0.27743526259485685</v>
      </c>
      <c r="N25" s="5">
        <v>0.28863907352731472</v>
      </c>
      <c r="O25" s="5">
        <v>0.28388501996039955</v>
      </c>
      <c r="Q25" s="3" t="s">
        <v>262</v>
      </c>
      <c r="R25" s="3" t="s">
        <v>104</v>
      </c>
      <c r="S25" s="5">
        <v>1.2949355344469003E-2</v>
      </c>
      <c r="T25" s="5">
        <v>1.542283725557163E-2</v>
      </c>
      <c r="U25" s="5">
        <v>5.9687694550991299E-3</v>
      </c>
      <c r="V25" s="5">
        <v>9.5718283540896752E-3</v>
      </c>
      <c r="W25" s="5">
        <v>5.883377264714198E-3</v>
      </c>
      <c r="X25" s="5">
        <v>1.2624804940548958E-2</v>
      </c>
      <c r="Y25" s="5">
        <v>2.5330101984369253E-2</v>
      </c>
      <c r="Z25" s="5">
        <v>2.3335262310697154E-2</v>
      </c>
      <c r="AA25" s="5">
        <v>1.397546207243695E-2</v>
      </c>
      <c r="AB25" s="5">
        <v>2.6802813740266114E-2</v>
      </c>
      <c r="AC25" s="5">
        <v>2.1227958955307821E-2</v>
      </c>
      <c r="AD25" s="5">
        <v>1.1224771322131174E-2</v>
      </c>
      <c r="AF25" s="3" t="s">
        <v>262</v>
      </c>
      <c r="AG25" s="3" t="s">
        <v>105</v>
      </c>
      <c r="AH25" s="5">
        <v>8.0526628472366666E-3</v>
      </c>
      <c r="AI25" s="5">
        <v>1.5639746330378443E-2</v>
      </c>
      <c r="AJ25" s="5">
        <v>1.319111480578246E-2</v>
      </c>
      <c r="AK25" s="5">
        <v>1.8151942084946492E-2</v>
      </c>
      <c r="AL25" s="5">
        <v>9.5802023344580146E-3</v>
      </c>
      <c r="AM25" s="5">
        <v>6.176700468899678E-3</v>
      </c>
      <c r="AN25" s="5">
        <v>3.3030442017898308E-2</v>
      </c>
      <c r="AO25" s="5">
        <v>3.011916703308205E-2</v>
      </c>
      <c r="AP25" s="5">
        <v>2.5497218792855925E-2</v>
      </c>
      <c r="AQ25" s="5">
        <v>1.7903256919549984E-2</v>
      </c>
      <c r="AR25" s="5">
        <v>2.4219828822371777E-2</v>
      </c>
      <c r="AS25" s="5">
        <v>3.0859025958883051E-2</v>
      </c>
      <c r="AU25" s="3" t="s">
        <v>262</v>
      </c>
      <c r="AV25" s="3" t="s">
        <v>106</v>
      </c>
      <c r="AW25" s="5">
        <v>8.3681588137881513E-2</v>
      </c>
      <c r="AX25" s="5">
        <v>5.5746438803844993E-2</v>
      </c>
      <c r="AY25" s="5">
        <v>7.192108244602316E-2</v>
      </c>
      <c r="AZ25" s="5">
        <v>6.8241893887403898E-2</v>
      </c>
      <c r="BA25" s="5">
        <v>9.7480016621522739E-2</v>
      </c>
      <c r="BB25" s="5">
        <v>7.3611993714829252E-2</v>
      </c>
      <c r="BC25" s="5">
        <v>0.13034636552464787</v>
      </c>
      <c r="BD25" s="5">
        <v>0.14885505379364941</v>
      </c>
      <c r="BE25" s="5">
        <v>0.13796288369044751</v>
      </c>
      <c r="BF25" s="5">
        <v>0.11072103041291577</v>
      </c>
      <c r="BG25" s="5">
        <v>0.10570724226748304</v>
      </c>
      <c r="BH25" s="5">
        <v>0.11280848600951596</v>
      </c>
      <c r="BR25" s="3" t="s">
        <v>262</v>
      </c>
      <c r="BS25" s="5">
        <v>0.67392285604865354</v>
      </c>
      <c r="BT25" s="5">
        <v>0.70803892127608348</v>
      </c>
      <c r="BU25" s="5">
        <v>0.70207672026322832</v>
      </c>
      <c r="BV25" s="4">
        <v>0.67995865566836844</v>
      </c>
      <c r="BW25" s="5">
        <v>0.63567720868151545</v>
      </c>
      <c r="BX25" s="5">
        <v>0.67719188399452801</v>
      </c>
      <c r="BY25" s="5">
        <v>0.43954682648751758</v>
      </c>
      <c r="BZ25" s="5">
        <v>0.43210110883692499</v>
      </c>
      <c r="CA25" s="5">
        <v>0.45750784804322653</v>
      </c>
      <c r="CB25" s="5">
        <v>0.54517891689354925</v>
      </c>
      <c r="CC25" s="5">
        <v>0.56025105279292664</v>
      </c>
      <c r="CD25" s="5">
        <v>0.53633667939999541</v>
      </c>
      <c r="CF25" s="3" t="s">
        <v>263</v>
      </c>
      <c r="CG25" s="3" t="s">
        <v>112</v>
      </c>
      <c r="CH25" s="3" t="s">
        <v>113</v>
      </c>
      <c r="CI25" s="5">
        <v>0.54455957168221858</v>
      </c>
    </row>
    <row r="26" spans="2:87" x14ac:dyDescent="0.45">
      <c r="B26" s="6" t="s">
        <v>264</v>
      </c>
      <c r="C26" s="6" t="s">
        <v>103</v>
      </c>
      <c r="D26" s="8">
        <v>0.23018301357053694</v>
      </c>
      <c r="E26" s="8">
        <v>0.2311117722883764</v>
      </c>
      <c r="F26" s="8">
        <v>0.21446807470704812</v>
      </c>
      <c r="G26" s="8">
        <v>0.25951050181574292</v>
      </c>
      <c r="H26" s="8">
        <v>0.27313094414471722</v>
      </c>
      <c r="I26" s="8">
        <v>0.26305177014658904</v>
      </c>
      <c r="J26" s="8">
        <v>0.33570684394860756</v>
      </c>
      <c r="K26" s="8">
        <v>0.34784735449070092</v>
      </c>
      <c r="L26" s="8">
        <v>0.29966694884674883</v>
      </c>
      <c r="M26" s="8">
        <v>0.26726871029653654</v>
      </c>
      <c r="N26" s="8">
        <v>0.26926598924982237</v>
      </c>
      <c r="O26" s="8">
        <v>0.26247316029857282</v>
      </c>
      <c r="Q26" s="6" t="s">
        <v>264</v>
      </c>
      <c r="R26" s="6" t="s">
        <v>104</v>
      </c>
      <c r="S26" s="8">
        <v>1.0652817139850244E-2</v>
      </c>
      <c r="T26" s="8">
        <v>1.4331140464703634E-2</v>
      </c>
      <c r="U26" s="8">
        <v>1.0764589001536835E-2</v>
      </c>
      <c r="V26" s="8">
        <v>1.2180778809159742E-2</v>
      </c>
      <c r="W26" s="8">
        <v>1.2098260285539548E-2</v>
      </c>
      <c r="X26" s="8">
        <v>1.6797072926624849E-2</v>
      </c>
      <c r="Y26" s="8">
        <v>1.6865462656950551E-2</v>
      </c>
      <c r="Z26" s="8">
        <v>4.0874679424583622E-2</v>
      </c>
      <c r="AA26" s="8">
        <v>1.2404966797475847E-2</v>
      </c>
      <c r="AB26" s="8">
        <v>3.0871582659823694E-2</v>
      </c>
      <c r="AC26" s="8">
        <v>1.6684547965916639E-2</v>
      </c>
      <c r="AD26" s="8">
        <v>1.8173412002252091E-2</v>
      </c>
      <c r="AF26" s="6" t="s">
        <v>264</v>
      </c>
      <c r="AG26" s="6" t="s">
        <v>105</v>
      </c>
      <c r="AH26" s="8">
        <v>1.5467087240779477E-2</v>
      </c>
      <c r="AI26" s="8">
        <v>1.4027492604597947E-2</v>
      </c>
      <c r="AJ26" s="8">
        <v>1.3968226301584351E-2</v>
      </c>
      <c r="AK26" s="8">
        <v>2.2721447424104937E-2</v>
      </c>
      <c r="AL26" s="8">
        <v>1.5248496252985438E-2</v>
      </c>
      <c r="AM26" s="8">
        <v>1.0410168934315987E-2</v>
      </c>
      <c r="AN26" s="8">
        <v>1.7771592976657695E-2</v>
      </c>
      <c r="AO26" s="8">
        <v>3.2809356272084741E-2</v>
      </c>
      <c r="AP26" s="8">
        <v>3.9895647451884224E-2</v>
      </c>
      <c r="AQ26" s="8">
        <v>2.3646637724166215E-2</v>
      </c>
      <c r="AR26" s="8">
        <v>3.060848637832124E-2</v>
      </c>
      <c r="AS26" s="8">
        <v>1.1539418035942004E-2</v>
      </c>
      <c r="AU26" s="6" t="s">
        <v>264</v>
      </c>
      <c r="AV26" s="6" t="s">
        <v>106</v>
      </c>
      <c r="AW26" s="8">
        <v>8.0612207957221904E-2</v>
      </c>
      <c r="AX26" s="8">
        <v>8.0613451565616057E-2</v>
      </c>
      <c r="AY26" s="8">
        <v>7.2479461722352201E-2</v>
      </c>
      <c r="AZ26" s="8">
        <v>9.3367044013928063E-2</v>
      </c>
      <c r="BA26" s="8">
        <v>0.11890320224590924</v>
      </c>
      <c r="BB26" s="8">
        <v>0.10831731784121122</v>
      </c>
      <c r="BC26" s="8">
        <v>0.18863938718760237</v>
      </c>
      <c r="BD26" s="8">
        <v>0.14364222830025392</v>
      </c>
      <c r="BE26" s="8">
        <v>0.13026624624369273</v>
      </c>
      <c r="BF26" s="8">
        <v>0.10139622108550297</v>
      </c>
      <c r="BG26" s="8">
        <v>0.1064986973937552</v>
      </c>
      <c r="BH26" s="8">
        <v>0.12071716220806321</v>
      </c>
      <c r="BR26" s="6" t="s">
        <v>264</v>
      </c>
      <c r="BS26" s="8">
        <v>0.65121356924068496</v>
      </c>
      <c r="BT26" s="8">
        <v>0.6498028629995749</v>
      </c>
      <c r="BU26" s="8">
        <v>0.67609572542628438</v>
      </c>
      <c r="BV26" s="7">
        <v>0.59826029718719065</v>
      </c>
      <c r="BW26" s="8">
        <v>0.56211752455721042</v>
      </c>
      <c r="BX26" s="8">
        <v>0.56735426153763679</v>
      </c>
      <c r="BY26" s="8">
        <v>0.35010102645397934</v>
      </c>
      <c r="BZ26" s="8">
        <v>0.38700644235938714</v>
      </c>
      <c r="CA26" s="8">
        <v>0.42948737430060208</v>
      </c>
      <c r="CB26" s="8">
        <v>0.53606611907396218</v>
      </c>
      <c r="CC26" s="8">
        <v>0.55136968344199</v>
      </c>
      <c r="CD26" s="8">
        <v>0.54419336609963787</v>
      </c>
      <c r="CF26" s="6" t="s">
        <v>265</v>
      </c>
      <c r="CG26" s="6" t="s">
        <v>112</v>
      </c>
      <c r="CH26" s="6" t="s">
        <v>113</v>
      </c>
      <c r="CI26" s="8">
        <v>0.50969274093924155</v>
      </c>
    </row>
    <row r="27" spans="2:87" x14ac:dyDescent="0.45">
      <c r="B27" s="3" t="s">
        <v>266</v>
      </c>
      <c r="C27" s="3" t="s">
        <v>103</v>
      </c>
      <c r="D27" s="5">
        <v>0.21451775879114032</v>
      </c>
      <c r="E27" s="5">
        <v>0.23390114458627725</v>
      </c>
      <c r="F27" s="5">
        <v>0.21321790656527675</v>
      </c>
      <c r="G27" s="5">
        <v>0.27283804271209267</v>
      </c>
      <c r="H27" s="5">
        <v>0.27947238161420912</v>
      </c>
      <c r="I27" s="5">
        <v>0.2645456076770088</v>
      </c>
      <c r="J27" s="5">
        <v>0.36945465948699069</v>
      </c>
      <c r="K27" s="5">
        <v>0.37682268171382505</v>
      </c>
      <c r="L27" s="5">
        <v>0.31695444458201877</v>
      </c>
      <c r="M27" s="5">
        <v>0.25802416916780957</v>
      </c>
      <c r="N27" s="5">
        <v>0.2717022364382522</v>
      </c>
      <c r="O27" s="5">
        <v>0.23727711627993378</v>
      </c>
      <c r="Q27" s="3" t="s">
        <v>266</v>
      </c>
      <c r="R27" s="3" t="s">
        <v>104</v>
      </c>
      <c r="S27" s="5">
        <v>9.0359462554379932E-3</v>
      </c>
      <c r="T27" s="5">
        <v>1.4614484603158047E-2</v>
      </c>
      <c r="U27" s="5">
        <v>1.0663774611554769E-2</v>
      </c>
      <c r="V27" s="5">
        <v>1.8509021347902575E-2</v>
      </c>
      <c r="W27" s="5">
        <v>1.7488328916326717E-2</v>
      </c>
      <c r="X27" s="5">
        <v>1.884520842192472E-2</v>
      </c>
      <c r="Y27" s="5">
        <v>3.6120498783526703E-2</v>
      </c>
      <c r="Z27" s="5">
        <v>4.3310669829823616E-2</v>
      </c>
      <c r="AA27" s="5">
        <v>1.9036998670624299E-2</v>
      </c>
      <c r="AB27" s="5">
        <v>2.4916713404356299E-2</v>
      </c>
      <c r="AC27" s="5">
        <v>1.9291811243201031E-2</v>
      </c>
      <c r="AD27" s="5">
        <v>2.0371003368649457E-2</v>
      </c>
      <c r="AF27" s="3" t="s">
        <v>266</v>
      </c>
      <c r="AG27" s="3" t="s">
        <v>105</v>
      </c>
      <c r="AH27" s="5">
        <v>1.5024653208242341E-2</v>
      </c>
      <c r="AI27" s="5">
        <v>1.0631669808137298E-2</v>
      </c>
      <c r="AJ27" s="5">
        <v>1.4885684033401377E-2</v>
      </c>
      <c r="AK27" s="5">
        <v>2.2428290980974003E-2</v>
      </c>
      <c r="AL27" s="5">
        <v>2.0616635666322807E-2</v>
      </c>
      <c r="AM27" s="5">
        <v>1.4152387190502803E-2</v>
      </c>
      <c r="AN27" s="5">
        <v>3.5561435381785994E-2</v>
      </c>
      <c r="AO27" s="5">
        <v>4.260523287535016E-2</v>
      </c>
      <c r="AP27" s="5">
        <v>4.5768544393889297E-2</v>
      </c>
      <c r="AQ27" s="5">
        <v>2.1089246921601145E-2</v>
      </c>
      <c r="AR27" s="5">
        <v>3.7379868477252609E-2</v>
      </c>
      <c r="AS27" s="5">
        <v>1.0928489979361302E-2</v>
      </c>
      <c r="AU27" s="3" t="s">
        <v>266</v>
      </c>
      <c r="AV27" s="3" t="s">
        <v>106</v>
      </c>
      <c r="AW27" s="5">
        <v>8.345213013247739E-2</v>
      </c>
      <c r="AX27" s="5">
        <v>9.274795670011006E-2</v>
      </c>
      <c r="AY27" s="5">
        <v>7.3589225549287263E-2</v>
      </c>
      <c r="AZ27" s="5">
        <v>9.9565218234568362E-2</v>
      </c>
      <c r="BA27" s="5">
        <v>0.11107090931921985</v>
      </c>
      <c r="BB27" s="5">
        <v>0.10522331179385194</v>
      </c>
      <c r="BC27" s="5">
        <v>0.17891340097431535</v>
      </c>
      <c r="BD27" s="5">
        <v>0.17027392130422586</v>
      </c>
      <c r="BE27" s="5">
        <v>0.13857694269435528</v>
      </c>
      <c r="BF27" s="5">
        <v>0.10232694077605231</v>
      </c>
      <c r="BG27" s="5">
        <v>9.3701564095388518E-2</v>
      </c>
      <c r="BH27" s="5">
        <v>0.10244743389254385</v>
      </c>
      <c r="BR27" s="3" t="s">
        <v>266</v>
      </c>
      <c r="BS27" s="5">
        <v>0.64754801203910084</v>
      </c>
      <c r="BT27" s="5">
        <v>0.63675922572506527</v>
      </c>
      <c r="BU27" s="5">
        <v>0.66925059930226838</v>
      </c>
      <c r="BV27" s="4">
        <v>0.57334526270689856</v>
      </c>
      <c r="BW27" s="5">
        <v>0.5458935781093458</v>
      </c>
      <c r="BX27" s="5">
        <v>0.56557117101912069</v>
      </c>
      <c r="BY27" s="5">
        <v>0.30674473514390266</v>
      </c>
      <c r="BZ27" s="5">
        <v>0.32650341570765884</v>
      </c>
      <c r="CA27" s="5">
        <v>0.35961696995858683</v>
      </c>
      <c r="CB27" s="5">
        <v>0.52611853250525853</v>
      </c>
      <c r="CC27" s="5">
        <v>0.5396548456160245</v>
      </c>
      <c r="CD27" s="5">
        <v>0.54676423930749052</v>
      </c>
      <c r="CF27" s="3" t="s">
        <v>267</v>
      </c>
      <c r="CG27" s="3" t="s">
        <v>112</v>
      </c>
      <c r="CH27" s="3" t="s">
        <v>113</v>
      </c>
      <c r="CI27" s="5">
        <v>0.51659868796147745</v>
      </c>
    </row>
    <row r="28" spans="2:87" x14ac:dyDescent="0.45">
      <c r="B28" s="6" t="s">
        <v>268</v>
      </c>
      <c r="C28" s="6" t="s">
        <v>103</v>
      </c>
      <c r="D28" s="8">
        <v>0.28036285634406427</v>
      </c>
      <c r="E28" s="8">
        <v>0.26178898798905464</v>
      </c>
      <c r="F28" s="8">
        <v>0.27160655372342257</v>
      </c>
      <c r="G28" s="8">
        <v>0.32218278251982291</v>
      </c>
      <c r="H28" s="8">
        <v>0.31327674590504218</v>
      </c>
      <c r="I28" s="8">
        <v>0.3292446195979315</v>
      </c>
      <c r="J28" s="8">
        <v>0.43986052069475201</v>
      </c>
      <c r="K28" s="8">
        <v>0.42009231627096988</v>
      </c>
      <c r="L28" s="8">
        <v>0.42650323458693401</v>
      </c>
      <c r="M28" s="8">
        <v>0.34225004142627263</v>
      </c>
      <c r="N28" s="8">
        <v>0.34290267137657221</v>
      </c>
      <c r="O28" s="8">
        <v>0.34408638605127545</v>
      </c>
      <c r="Q28" s="6" t="s">
        <v>268</v>
      </c>
      <c r="R28" s="6" t="s">
        <v>104</v>
      </c>
      <c r="S28" s="8">
        <v>2.1748074493496982E-2</v>
      </c>
      <c r="T28" s="8">
        <v>2.0409156793532512E-2</v>
      </c>
      <c r="U28" s="8">
        <v>2.26479435966629E-2</v>
      </c>
      <c r="V28" s="8">
        <v>3.1102352114431086E-2</v>
      </c>
      <c r="W28" s="8">
        <v>2.7743749553487063E-2</v>
      </c>
      <c r="X28" s="8">
        <v>1.8904882411307399E-2</v>
      </c>
      <c r="Y28" s="8">
        <v>2.9292393585371224E-2</v>
      </c>
      <c r="Z28" s="8">
        <v>2.53836905656456E-2</v>
      </c>
      <c r="AA28" s="8">
        <v>4.831102872757715E-2</v>
      </c>
      <c r="AB28" s="8">
        <v>4.0600014698170692E-2</v>
      </c>
      <c r="AC28" s="8">
        <v>2.9692072680221632E-2</v>
      </c>
      <c r="AD28" s="8">
        <v>3.1863495213733807E-2</v>
      </c>
      <c r="AF28" s="6" t="s">
        <v>268</v>
      </c>
      <c r="AG28" s="6" t="s">
        <v>105</v>
      </c>
      <c r="AH28" s="8">
        <v>3.0988653877235761E-2</v>
      </c>
      <c r="AI28" s="8">
        <v>2.3121221856092423E-2</v>
      </c>
      <c r="AJ28" s="8">
        <v>2.1511576569190519E-2</v>
      </c>
      <c r="AK28" s="8">
        <v>2.7743998910739302E-2</v>
      </c>
      <c r="AL28" s="8">
        <v>3.1802512700010173E-2</v>
      </c>
      <c r="AM28" s="8">
        <v>3.6343351438459799E-2</v>
      </c>
      <c r="AN28" s="8">
        <v>5.8909507230170105E-2</v>
      </c>
      <c r="AO28" s="8">
        <v>2.5234148293500083E-2</v>
      </c>
      <c r="AP28" s="8">
        <v>5.1564637339731642E-2</v>
      </c>
      <c r="AQ28" s="8">
        <v>4.7441947835671211E-2</v>
      </c>
      <c r="AR28" s="8">
        <v>4.7274431418865316E-2</v>
      </c>
      <c r="AS28" s="8">
        <v>3.9554972667781588E-2</v>
      </c>
      <c r="AU28" s="6" t="s">
        <v>268</v>
      </c>
      <c r="AV28" s="6" t="s">
        <v>106</v>
      </c>
      <c r="AW28" s="8">
        <v>0.10902295157256399</v>
      </c>
      <c r="AX28" s="8">
        <v>9.8826767038718871E-2</v>
      </c>
      <c r="AY28" s="8">
        <v>0.10424205950053395</v>
      </c>
      <c r="AZ28" s="8">
        <v>0.13765015930386823</v>
      </c>
      <c r="BA28" s="8">
        <v>0.12389344359700089</v>
      </c>
      <c r="BB28" s="8">
        <v>0.14965121100766254</v>
      </c>
      <c r="BC28" s="8">
        <v>0.21887125087306847</v>
      </c>
      <c r="BD28" s="8">
        <v>0.23477932142956773</v>
      </c>
      <c r="BE28" s="8">
        <v>0.20530239321269417</v>
      </c>
      <c r="BF28" s="8">
        <v>0.12517007433314956</v>
      </c>
      <c r="BG28" s="8">
        <v>0.14044156501243626</v>
      </c>
      <c r="BH28" s="8">
        <v>0.14837769152208788</v>
      </c>
      <c r="BR28" s="6" t="s">
        <v>268</v>
      </c>
      <c r="BS28" s="8">
        <v>0.49401732038228247</v>
      </c>
      <c r="BT28" s="8">
        <v>0.53777399889986555</v>
      </c>
      <c r="BU28" s="8">
        <v>0.5339610375165903</v>
      </c>
      <c r="BV28" s="7">
        <v>0.39138492695019417</v>
      </c>
      <c r="BW28" s="8">
        <v>0.4532238897970941</v>
      </c>
      <c r="BX28" s="8">
        <v>0.39096145513671227</v>
      </c>
      <c r="BY28" s="8">
        <v>0.21058189215663309</v>
      </c>
      <c r="BZ28" s="8">
        <v>0.23960832581502736</v>
      </c>
      <c r="CA28" s="8">
        <v>0.20334548022478161</v>
      </c>
      <c r="CB28" s="8">
        <v>0.35911998597109229</v>
      </c>
      <c r="CC28" s="8">
        <v>0.39009584828545196</v>
      </c>
      <c r="CD28" s="8">
        <v>0.34009137260623007</v>
      </c>
      <c r="CF28" s="6" t="s">
        <v>269</v>
      </c>
      <c r="CG28" s="6" t="s">
        <v>112</v>
      </c>
      <c r="CH28" s="6" t="s">
        <v>113</v>
      </c>
      <c r="CI28" s="8">
        <v>0.55198603778787181</v>
      </c>
    </row>
    <row r="29" spans="2:87" x14ac:dyDescent="0.45">
      <c r="B29" s="3" t="s">
        <v>270</v>
      </c>
      <c r="C29" s="3" t="s">
        <v>103</v>
      </c>
      <c r="D29" s="5">
        <v>0.18249427987811287</v>
      </c>
      <c r="E29" s="5">
        <v>0.172248387176758</v>
      </c>
      <c r="F29" s="5">
        <v>0.17091388779933664</v>
      </c>
      <c r="G29" s="5">
        <v>0.24101874995070774</v>
      </c>
      <c r="H29" s="5">
        <v>0.2395748743461914</v>
      </c>
      <c r="I29" s="5">
        <v>0.24351111768671496</v>
      </c>
      <c r="J29" s="5">
        <v>0.3622958411775325</v>
      </c>
      <c r="K29" s="5">
        <v>0.35451311412511111</v>
      </c>
      <c r="L29" s="5">
        <v>0.34474949713749237</v>
      </c>
      <c r="M29" s="5">
        <v>0.26122782747504686</v>
      </c>
      <c r="N29" s="5">
        <v>0.26928253229476651</v>
      </c>
      <c r="O29" s="5">
        <v>0.26253551205031483</v>
      </c>
      <c r="Q29" s="3" t="s">
        <v>270</v>
      </c>
      <c r="R29" s="3" t="s">
        <v>104</v>
      </c>
      <c r="S29" s="5">
        <v>1.0478513369368931E-2</v>
      </c>
      <c r="T29" s="5">
        <v>8.3667520264938868E-3</v>
      </c>
      <c r="U29" s="5">
        <v>8.1897614798645442E-3</v>
      </c>
      <c r="V29" s="5">
        <v>1.2771459378647718E-2</v>
      </c>
      <c r="W29" s="5">
        <v>1.0177224594003087E-2</v>
      </c>
      <c r="X29" s="5">
        <v>1.4776830713076781E-2</v>
      </c>
      <c r="Y29" s="5">
        <v>1.5327230334916004E-2</v>
      </c>
      <c r="Z29" s="5">
        <v>2.4153516345924959E-2</v>
      </c>
      <c r="AA29" s="5">
        <v>2.8658796206795453E-2</v>
      </c>
      <c r="AB29" s="5">
        <v>1.137685455898408E-2</v>
      </c>
      <c r="AC29" s="5">
        <v>1.2416958313068218E-2</v>
      </c>
      <c r="AD29" s="5">
        <v>1.1900736140590781E-2</v>
      </c>
      <c r="AF29" s="3" t="s">
        <v>270</v>
      </c>
      <c r="AG29" s="3" t="s">
        <v>105</v>
      </c>
      <c r="AH29" s="5">
        <v>1.2253215382435923E-2</v>
      </c>
      <c r="AI29" s="5">
        <v>8.8035219418894032E-3</v>
      </c>
      <c r="AJ29" s="5">
        <v>9.4779389861059573E-3</v>
      </c>
      <c r="AK29" s="5">
        <v>1.5269366492449915E-2</v>
      </c>
      <c r="AL29" s="5">
        <v>1.6102738774826937E-2</v>
      </c>
      <c r="AM29" s="5">
        <v>1.3463425063686753E-2</v>
      </c>
      <c r="AN29" s="5">
        <v>3.0585236418452146E-2</v>
      </c>
      <c r="AO29" s="5">
        <v>2.3965652428661818E-2</v>
      </c>
      <c r="AP29" s="5">
        <v>3.4659056627128905E-2</v>
      </c>
      <c r="AQ29" s="5">
        <v>1.5226285187788589E-2</v>
      </c>
      <c r="AR29" s="5">
        <v>1.5382966240130398E-2</v>
      </c>
      <c r="AS29" s="5">
        <v>1.7096111818294006E-2</v>
      </c>
      <c r="AU29" s="3" t="s">
        <v>270</v>
      </c>
      <c r="AV29" s="3" t="s">
        <v>106</v>
      </c>
      <c r="AW29" s="5">
        <v>5.4742091074300232E-2</v>
      </c>
      <c r="AX29" s="5">
        <v>5.123362809913188E-2</v>
      </c>
      <c r="AY29" s="5">
        <v>5.3566494876943684E-2</v>
      </c>
      <c r="AZ29" s="5">
        <v>9.404743885509291E-2</v>
      </c>
      <c r="BA29" s="5">
        <v>9.1759203566764716E-2</v>
      </c>
      <c r="BB29" s="5">
        <v>8.9425254025038703E-2</v>
      </c>
      <c r="BC29" s="5">
        <v>0.18541299410644857</v>
      </c>
      <c r="BD29" s="5">
        <v>0.17499103168706409</v>
      </c>
      <c r="BE29" s="5">
        <v>0.14927521234609287</v>
      </c>
      <c r="BF29" s="5">
        <v>9.9969877923843362E-2</v>
      </c>
      <c r="BG29" s="5">
        <v>0.10683350532346002</v>
      </c>
      <c r="BH29" s="5">
        <v>0.10653786527164229</v>
      </c>
      <c r="BR29" s="3" t="s">
        <v>270</v>
      </c>
      <c r="BS29" s="5">
        <v>0.72095515264470456</v>
      </c>
      <c r="BT29" s="5">
        <v>0.74250767765286085</v>
      </c>
      <c r="BU29" s="5">
        <v>0.73909896451605295</v>
      </c>
      <c r="BV29" s="4">
        <v>0.61016977627620472</v>
      </c>
      <c r="BW29" s="5">
        <v>0.62589858019592171</v>
      </c>
      <c r="BX29" s="5">
        <v>0.62066141257718344</v>
      </c>
      <c r="BY29" s="5">
        <v>0.40907176262027078</v>
      </c>
      <c r="BZ29" s="5">
        <v>0.39392969310131115</v>
      </c>
      <c r="CA29" s="5">
        <v>0.40758691628767874</v>
      </c>
      <c r="CB29" s="5">
        <v>0.61241673489902637</v>
      </c>
      <c r="CC29" s="5">
        <v>0.60161263456180125</v>
      </c>
      <c r="CD29" s="5">
        <v>0.59025788968047499</v>
      </c>
      <c r="CF29" s="3" t="s">
        <v>271</v>
      </c>
      <c r="CG29" s="3" t="s">
        <v>112</v>
      </c>
      <c r="CH29" s="3" t="s">
        <v>113</v>
      </c>
      <c r="CI29" s="5">
        <v>0.59253311703663769</v>
      </c>
    </row>
    <row r="30" spans="2:87" x14ac:dyDescent="0.45">
      <c r="B30" s="6" t="s">
        <v>272</v>
      </c>
      <c r="C30" s="6" t="s">
        <v>103</v>
      </c>
      <c r="D30" s="8">
        <v>0.15768919908518134</v>
      </c>
      <c r="E30" s="8">
        <v>0.15588070204026092</v>
      </c>
      <c r="F30" s="8">
        <v>0.16023965598933512</v>
      </c>
      <c r="G30" s="8">
        <v>0.23625408003509751</v>
      </c>
      <c r="H30" s="8">
        <v>0.22558378453349345</v>
      </c>
      <c r="I30" s="8">
        <v>0.23361386944416357</v>
      </c>
      <c r="J30" s="8">
        <v>0.32951531932671019</v>
      </c>
      <c r="K30" s="8">
        <v>0.33773887605560748</v>
      </c>
      <c r="L30" s="8">
        <v>0.33173066810469248</v>
      </c>
      <c r="M30" s="8">
        <v>0.25692384292279075</v>
      </c>
      <c r="N30" s="8">
        <v>0.25474684603164083</v>
      </c>
      <c r="O30" s="8">
        <v>0.2482428063417563</v>
      </c>
      <c r="Q30" s="6" t="s">
        <v>272</v>
      </c>
      <c r="R30" s="6" t="s">
        <v>104</v>
      </c>
      <c r="S30" s="8">
        <v>9.1592927115139011E-3</v>
      </c>
      <c r="T30" s="8">
        <v>1.005420399725049E-2</v>
      </c>
      <c r="U30" s="8">
        <v>7.2515018947245042E-3</v>
      </c>
      <c r="V30" s="8">
        <v>1.037840884640974E-2</v>
      </c>
      <c r="W30" s="8">
        <v>8.9982650800461573E-3</v>
      </c>
      <c r="X30" s="8">
        <v>1.2840862337243429E-2</v>
      </c>
      <c r="Y30" s="8">
        <v>1.2544862700561097E-2</v>
      </c>
      <c r="Z30" s="8">
        <v>2.2910870029442032E-2</v>
      </c>
      <c r="AA30" s="8">
        <v>2.7264881187081674E-2</v>
      </c>
      <c r="AB30" s="8">
        <v>1.1857552836091871E-2</v>
      </c>
      <c r="AC30" s="8">
        <v>9.7622886063410443E-3</v>
      </c>
      <c r="AD30" s="8">
        <v>1.0693427338297343E-2</v>
      </c>
      <c r="AF30" s="6" t="s">
        <v>272</v>
      </c>
      <c r="AG30" s="6" t="s">
        <v>105</v>
      </c>
      <c r="AH30" s="8">
        <v>1.1265292813824717E-2</v>
      </c>
      <c r="AI30" s="8">
        <v>8.9579724892149618E-3</v>
      </c>
      <c r="AJ30" s="8">
        <v>9.3544962850685975E-3</v>
      </c>
      <c r="AK30" s="8">
        <v>1.4778869321369294E-2</v>
      </c>
      <c r="AL30" s="8">
        <v>1.2529545444355677E-2</v>
      </c>
      <c r="AM30" s="8">
        <v>1.4488069478023459E-2</v>
      </c>
      <c r="AN30" s="8">
        <v>3.2380275795544054E-2</v>
      </c>
      <c r="AO30" s="8">
        <v>2.3952943847679695E-2</v>
      </c>
      <c r="AP30" s="8">
        <v>4.1331290694099326E-2</v>
      </c>
      <c r="AQ30" s="8">
        <v>1.4346024834162087E-2</v>
      </c>
      <c r="AR30" s="8">
        <v>1.5698751537050856E-2</v>
      </c>
      <c r="AS30" s="8">
        <v>1.2011192620052834E-2</v>
      </c>
      <c r="AU30" s="6" t="s">
        <v>272</v>
      </c>
      <c r="AV30" s="6" t="s">
        <v>106</v>
      </c>
      <c r="AW30" s="8">
        <v>4.5965768909397034E-2</v>
      </c>
      <c r="AX30" s="8">
        <v>4.1031898835444246E-2</v>
      </c>
      <c r="AY30" s="8">
        <v>4.769133259101456E-2</v>
      </c>
      <c r="AZ30" s="8">
        <v>9.0749959011029224E-2</v>
      </c>
      <c r="BA30" s="8">
        <v>8.5831793534863227E-2</v>
      </c>
      <c r="BB30" s="8">
        <v>8.3406564216595494E-2</v>
      </c>
      <c r="BC30" s="8">
        <v>0.15707275441225288</v>
      </c>
      <c r="BD30" s="8">
        <v>0.16204501680405697</v>
      </c>
      <c r="BE30" s="8">
        <v>0.1302888173932053</v>
      </c>
      <c r="BF30" s="8">
        <v>9.3445163054151043E-2</v>
      </c>
      <c r="BG30" s="8">
        <v>9.4517233143485771E-2</v>
      </c>
      <c r="BH30" s="8">
        <v>0.10261514038648753</v>
      </c>
      <c r="BR30" s="6" t="s">
        <v>272</v>
      </c>
      <c r="BS30" s="8">
        <v>0.76217553866430621</v>
      </c>
      <c r="BT30" s="8">
        <v>0.77433743810719846</v>
      </c>
      <c r="BU30" s="8">
        <v>0.76993312844673756</v>
      </c>
      <c r="BV30" s="7">
        <v>0.64593382496428375</v>
      </c>
      <c r="BW30" s="8">
        <v>0.66172464994198799</v>
      </c>
      <c r="BX30" s="8">
        <v>0.65458627106602052</v>
      </c>
      <c r="BY30" s="8">
        <v>0.45580192169089612</v>
      </c>
      <c r="BZ30" s="8">
        <v>0.43045635580417879</v>
      </c>
      <c r="CA30" s="8">
        <v>0.45376891303668093</v>
      </c>
      <c r="CB30" s="8">
        <v>0.64737065106625935</v>
      </c>
      <c r="CC30" s="8">
        <v>0.64534172404250489</v>
      </c>
      <c r="CD30" s="8">
        <v>0.63429602092551562</v>
      </c>
      <c r="CF30" s="6" t="s">
        <v>273</v>
      </c>
      <c r="CG30" s="6" t="s">
        <v>112</v>
      </c>
      <c r="CH30" s="6" t="s">
        <v>113</v>
      </c>
      <c r="CI30" s="8">
        <v>0.50046692763147593</v>
      </c>
    </row>
    <row r="31" spans="2:87" x14ac:dyDescent="0.45">
      <c r="B31" s="3" t="s">
        <v>274</v>
      </c>
      <c r="C31" s="3" t="s">
        <v>103</v>
      </c>
      <c r="D31" s="5">
        <v>0.16634122531927029</v>
      </c>
      <c r="E31" s="5">
        <v>0.18896034782286528</v>
      </c>
      <c r="F31" s="5">
        <v>0.16645222235868673</v>
      </c>
      <c r="G31" s="5">
        <v>0.24598583460481946</v>
      </c>
      <c r="H31" s="5">
        <v>0.24139874291970784</v>
      </c>
      <c r="I31" s="5">
        <v>0.22995466754974209</v>
      </c>
      <c r="J31" s="5">
        <v>0.35750418330422151</v>
      </c>
      <c r="K31" s="5">
        <v>0.34586130976463292</v>
      </c>
      <c r="L31" s="5">
        <v>0.34149555219716599</v>
      </c>
      <c r="M31" s="5">
        <v>0.24275830688065553</v>
      </c>
      <c r="N31" s="5">
        <v>0.23252706075401178</v>
      </c>
      <c r="O31" s="5">
        <v>0.2219224065187691</v>
      </c>
      <c r="Q31" s="3" t="s">
        <v>274</v>
      </c>
      <c r="R31" s="3" t="s">
        <v>104</v>
      </c>
      <c r="S31" s="5">
        <v>9.5778402255470296E-3</v>
      </c>
      <c r="T31" s="5">
        <v>1.2685172051351137E-2</v>
      </c>
      <c r="U31" s="5">
        <v>5.984045829961003E-3</v>
      </c>
      <c r="V31" s="5">
        <v>1.1257259700655853E-2</v>
      </c>
      <c r="W31" s="5">
        <v>1.1880270994363736E-2</v>
      </c>
      <c r="X31" s="5">
        <v>7.4691241900783937E-3</v>
      </c>
      <c r="Y31" s="5">
        <v>2.2509181298618574E-2</v>
      </c>
      <c r="Z31" s="5">
        <v>1.6073972402337756E-2</v>
      </c>
      <c r="AA31" s="5">
        <v>3.0710419013303757E-2</v>
      </c>
      <c r="AB31" s="5">
        <v>1.5239762692731156E-2</v>
      </c>
      <c r="AC31" s="5">
        <v>9.9460075877378356E-3</v>
      </c>
      <c r="AD31" s="5">
        <v>1.3096809816520448E-2</v>
      </c>
      <c r="AF31" s="3" t="s">
        <v>274</v>
      </c>
      <c r="AG31" s="3" t="s">
        <v>105</v>
      </c>
      <c r="AH31" s="5">
        <v>9.8891339007613557E-3</v>
      </c>
      <c r="AI31" s="5">
        <v>1.2350060241223457E-2</v>
      </c>
      <c r="AJ31" s="5">
        <v>8.9053184945475754E-3</v>
      </c>
      <c r="AK31" s="5">
        <v>1.2583159028261754E-2</v>
      </c>
      <c r="AL31" s="5">
        <v>1.7874499268224452E-2</v>
      </c>
      <c r="AM31" s="5">
        <v>1.4077529210712337E-2</v>
      </c>
      <c r="AN31" s="5">
        <v>3.4063688324820658E-2</v>
      </c>
      <c r="AO31" s="5">
        <v>2.0905615950763838E-2</v>
      </c>
      <c r="AP31" s="5">
        <v>3.8078820177549585E-2</v>
      </c>
      <c r="AQ31" s="5">
        <v>1.7923728387982417E-2</v>
      </c>
      <c r="AR31" s="5">
        <v>2.125987462521111E-2</v>
      </c>
      <c r="AS31" s="5">
        <v>1.0192664291794986E-2</v>
      </c>
      <c r="AU31" s="3" t="s">
        <v>274</v>
      </c>
      <c r="AV31" s="3" t="s">
        <v>106</v>
      </c>
      <c r="AW31" s="5">
        <v>5.671626196658093E-2</v>
      </c>
      <c r="AX31" s="5">
        <v>5.6403281217596267E-2</v>
      </c>
      <c r="AY31" s="5">
        <v>5.8244232992905598E-2</v>
      </c>
      <c r="AZ31" s="5">
        <v>9.4223192135671457E-2</v>
      </c>
      <c r="BA31" s="5">
        <v>9.1224945856405726E-2</v>
      </c>
      <c r="BB31" s="5">
        <v>9.453400948638542E-2</v>
      </c>
      <c r="BC31" s="5">
        <v>0.17085253661786212</v>
      </c>
      <c r="BD31" s="5">
        <v>0.18610580579167191</v>
      </c>
      <c r="BE31" s="5">
        <v>0.14831215587428812</v>
      </c>
      <c r="BF31" s="5">
        <v>8.9528183829773608E-2</v>
      </c>
      <c r="BG31" s="5">
        <v>8.9514342187114695E-2</v>
      </c>
      <c r="BH31" s="5">
        <v>9.339545651280283E-2</v>
      </c>
      <c r="BR31" s="3" t="s">
        <v>274</v>
      </c>
      <c r="BS31" s="5">
        <v>0.7173806482135755</v>
      </c>
      <c r="BT31" s="5">
        <v>0.70648467777249535</v>
      </c>
      <c r="BU31" s="5">
        <v>0.7319473210248163</v>
      </c>
      <c r="BV31" s="4">
        <v>0.60064322103223489</v>
      </c>
      <c r="BW31" s="5">
        <v>0.59941082242240618</v>
      </c>
      <c r="BX31" s="5">
        <v>0.61407086616734019</v>
      </c>
      <c r="BY31" s="5">
        <v>0.35465284890001192</v>
      </c>
      <c r="BZ31" s="5">
        <v>0.35694244967201411</v>
      </c>
      <c r="CA31" s="5">
        <v>0.35846471985966299</v>
      </c>
      <c r="CB31" s="5">
        <v>0.59096094713462799</v>
      </c>
      <c r="CC31" s="5">
        <v>0.59796518955872757</v>
      </c>
      <c r="CD31" s="5">
        <v>0.59761833988168789</v>
      </c>
      <c r="CF31" s="3" t="s">
        <v>254</v>
      </c>
      <c r="CG31" s="3" t="s">
        <v>112</v>
      </c>
      <c r="CH31" s="3" t="s">
        <v>113</v>
      </c>
      <c r="CI31" s="5">
        <v>0.71107120539790214</v>
      </c>
    </row>
    <row r="32" spans="2:87" x14ac:dyDescent="0.45">
      <c r="B32" s="6" t="s">
        <v>275</v>
      </c>
      <c r="C32" s="6" t="s">
        <v>103</v>
      </c>
      <c r="D32" s="8">
        <v>0.18819391881815503</v>
      </c>
      <c r="E32" s="8">
        <v>0.15177626009353851</v>
      </c>
      <c r="F32" s="8">
        <v>0.17380904887302429</v>
      </c>
      <c r="G32" s="8">
        <v>0.21218209287205522</v>
      </c>
      <c r="H32" s="8">
        <v>0.20729023152030676</v>
      </c>
      <c r="I32" s="8">
        <v>0.21795067813552976</v>
      </c>
      <c r="J32" s="8">
        <v>0.31359350642481038</v>
      </c>
      <c r="K32" s="8">
        <v>0.29738027289261665</v>
      </c>
      <c r="L32" s="8">
        <v>0.3234529629898692</v>
      </c>
      <c r="M32" s="8">
        <v>0.24902684548125492</v>
      </c>
      <c r="N32" s="8">
        <v>0.24367748328322572</v>
      </c>
      <c r="O32" s="8">
        <v>0.25624192921158295</v>
      </c>
      <c r="Q32" s="6" t="s">
        <v>275</v>
      </c>
      <c r="R32" s="6" t="s">
        <v>104</v>
      </c>
      <c r="S32" s="8">
        <v>1.1234268213390894E-2</v>
      </c>
      <c r="T32" s="8">
        <v>1.0877017244407719E-2</v>
      </c>
      <c r="U32" s="8">
        <v>1.3277272096013478E-2</v>
      </c>
      <c r="V32" s="8">
        <v>8.2738709749409917E-3</v>
      </c>
      <c r="W32" s="8">
        <v>9.2520392297548888E-3</v>
      </c>
      <c r="X32" s="8">
        <v>9.5093212365578196E-3</v>
      </c>
      <c r="Y32" s="8">
        <v>1.9245762024369142E-2</v>
      </c>
      <c r="Z32" s="8">
        <v>2.112866272114812E-2</v>
      </c>
      <c r="AA32" s="8">
        <v>1.0627274319118484E-2</v>
      </c>
      <c r="AB32" s="8">
        <v>9.5161448602680467E-3</v>
      </c>
      <c r="AC32" s="8">
        <v>1.6691223886179385E-2</v>
      </c>
      <c r="AD32" s="8">
        <v>1.4852276040107092E-2</v>
      </c>
      <c r="AF32" s="6" t="s">
        <v>275</v>
      </c>
      <c r="AG32" s="6" t="s">
        <v>105</v>
      </c>
      <c r="AH32" s="8">
        <v>1.3288735127872467E-2</v>
      </c>
      <c r="AI32" s="8">
        <v>7.4021354263345456E-3</v>
      </c>
      <c r="AJ32" s="8">
        <v>1.1241424659483371E-2</v>
      </c>
      <c r="AK32" s="8">
        <v>8.1780092643547811E-3</v>
      </c>
      <c r="AL32" s="8">
        <v>1.2840370068621593E-2</v>
      </c>
      <c r="AM32" s="8">
        <v>8.9083086022056588E-3</v>
      </c>
      <c r="AN32" s="8">
        <v>1.4430500690236873E-2</v>
      </c>
      <c r="AO32" s="8">
        <v>2.4242587914554328E-2</v>
      </c>
      <c r="AP32" s="8">
        <v>2.2067636295361175E-2</v>
      </c>
      <c r="AQ32" s="8">
        <v>1.360904067920682E-2</v>
      </c>
      <c r="AR32" s="8">
        <v>1.6530576100376105E-2</v>
      </c>
      <c r="AS32" s="8">
        <v>1.3966443630572725E-2</v>
      </c>
      <c r="AU32" s="6" t="s">
        <v>275</v>
      </c>
      <c r="AV32" s="6" t="s">
        <v>106</v>
      </c>
      <c r="AW32" s="8">
        <v>4.5639837049051092E-2</v>
      </c>
      <c r="AX32" s="8">
        <v>3.4167746156404701E-2</v>
      </c>
      <c r="AY32" s="8">
        <v>3.8344543582730435E-2</v>
      </c>
      <c r="AZ32" s="8">
        <v>6.7269637247448971E-2</v>
      </c>
      <c r="BA32" s="8">
        <v>6.4227946441357736E-2</v>
      </c>
      <c r="BB32" s="8">
        <v>7.6242748858696766E-2</v>
      </c>
      <c r="BC32" s="8">
        <v>0.13650840675637907</v>
      </c>
      <c r="BD32" s="8">
        <v>0.11392259320912189</v>
      </c>
      <c r="BE32" s="8">
        <v>0.14498776175207231</v>
      </c>
      <c r="BF32" s="8">
        <v>9.4310479229135907E-2</v>
      </c>
      <c r="BG32" s="8">
        <v>8.106614033086508E-2</v>
      </c>
      <c r="BH32" s="8">
        <v>9.2856861586295497E-2</v>
      </c>
      <c r="BR32" s="6" t="s">
        <v>275</v>
      </c>
      <c r="BS32" s="8">
        <v>0.75670105497283846</v>
      </c>
      <c r="BT32" s="8">
        <v>0.79811663742813055</v>
      </c>
      <c r="BU32" s="8">
        <v>0.77041961184105734</v>
      </c>
      <c r="BV32" s="7">
        <v>0.71619351712407131</v>
      </c>
      <c r="BW32" s="8">
        <v>0.71806995647841476</v>
      </c>
      <c r="BX32" s="8">
        <v>0.69978658030934149</v>
      </c>
      <c r="BY32" s="8">
        <v>0.52705256417566881</v>
      </c>
      <c r="BZ32" s="8">
        <v>0.55708301224085932</v>
      </c>
      <c r="CA32" s="8">
        <v>0.53070021695316694</v>
      </c>
      <c r="CB32" s="8">
        <v>0.64832987160572397</v>
      </c>
      <c r="CC32" s="8">
        <v>0.64829941419871906</v>
      </c>
      <c r="CD32" s="8">
        <v>0.63975645043047524</v>
      </c>
      <c r="CF32" s="6" t="s">
        <v>256</v>
      </c>
      <c r="CG32" s="6" t="s">
        <v>112</v>
      </c>
      <c r="CH32" s="6" t="s">
        <v>113</v>
      </c>
      <c r="CI32" s="8">
        <v>0.53610232690885606</v>
      </c>
    </row>
    <row r="33" spans="2:87" x14ac:dyDescent="0.45">
      <c r="B33" s="3" t="s">
        <v>276</v>
      </c>
      <c r="C33" s="3" t="s">
        <v>103</v>
      </c>
      <c r="D33" s="5">
        <v>0.15594018295173906</v>
      </c>
      <c r="E33" s="5">
        <v>0.14685567945844902</v>
      </c>
      <c r="F33" s="5">
        <v>0.1482328392270226</v>
      </c>
      <c r="G33" s="5">
        <v>0.19773056726084359</v>
      </c>
      <c r="H33" s="5">
        <v>0.21769051595307282</v>
      </c>
      <c r="I33" s="5">
        <v>0.18817817763678454</v>
      </c>
      <c r="J33" s="5">
        <v>0.33010813409731526</v>
      </c>
      <c r="K33" s="5">
        <v>0.323530133957597</v>
      </c>
      <c r="L33" s="5">
        <v>0.33484053013990284</v>
      </c>
      <c r="M33" s="5">
        <v>0.24939604217283864</v>
      </c>
      <c r="N33" s="5">
        <v>0.24484816874919899</v>
      </c>
      <c r="O33" s="5">
        <v>0.26647660659981381</v>
      </c>
      <c r="Q33" s="3" t="s">
        <v>276</v>
      </c>
      <c r="R33" s="3" t="s">
        <v>104</v>
      </c>
      <c r="S33" s="5">
        <v>1.037639595168416E-2</v>
      </c>
      <c r="T33" s="5">
        <v>9.8482367622725036E-3</v>
      </c>
      <c r="U33" s="5">
        <v>8.5321370955588859E-3</v>
      </c>
      <c r="V33" s="5">
        <v>1.2458779428355934E-2</v>
      </c>
      <c r="W33" s="5">
        <v>5.6558387120654533E-3</v>
      </c>
      <c r="X33" s="5">
        <v>7.2691840782126895E-3</v>
      </c>
      <c r="Y33" s="5">
        <v>2.2879110555702169E-2</v>
      </c>
      <c r="Z33" s="5">
        <v>2.8152700502145363E-2</v>
      </c>
      <c r="AA33" s="5">
        <v>2.039213816872372E-2</v>
      </c>
      <c r="AB33" s="5">
        <v>1.3489340216408123E-2</v>
      </c>
      <c r="AC33" s="5">
        <v>1.3218079239592456E-2</v>
      </c>
      <c r="AD33" s="5">
        <v>9.1472147156388545E-3</v>
      </c>
      <c r="AF33" s="3" t="s">
        <v>276</v>
      </c>
      <c r="AG33" s="3" t="s">
        <v>105</v>
      </c>
      <c r="AH33" s="5">
        <v>1.074054024084079E-2</v>
      </c>
      <c r="AI33" s="5">
        <v>1.1013201014729624E-2</v>
      </c>
      <c r="AJ33" s="5">
        <v>7.8785862186937349E-3</v>
      </c>
      <c r="AK33" s="5">
        <v>1.1870334475789569E-2</v>
      </c>
      <c r="AL33" s="5">
        <v>1.2617425178141496E-2</v>
      </c>
      <c r="AM33" s="5">
        <v>4.7474268790437847E-3</v>
      </c>
      <c r="AN33" s="5">
        <v>3.254491803750334E-2</v>
      </c>
      <c r="AO33" s="5">
        <v>3.1358852581476679E-2</v>
      </c>
      <c r="AP33" s="5">
        <v>4.0534684814684856E-2</v>
      </c>
      <c r="AQ33" s="5">
        <v>1.4275357899534078E-2</v>
      </c>
      <c r="AR33" s="5">
        <v>1.3930317622898123E-2</v>
      </c>
      <c r="AS33" s="5">
        <v>1.5869693688741898E-2</v>
      </c>
      <c r="AU33" s="3" t="s">
        <v>276</v>
      </c>
      <c r="AV33" s="3" t="s">
        <v>106</v>
      </c>
      <c r="AW33" s="5">
        <v>4.2950329646312367E-2</v>
      </c>
      <c r="AX33" s="5">
        <v>3.5531607849524957E-2</v>
      </c>
      <c r="AY33" s="5">
        <v>4.3213236269822881E-2</v>
      </c>
      <c r="AZ33" s="5">
        <v>6.5572578788251901E-2</v>
      </c>
      <c r="BA33" s="5">
        <v>8.2640466270244073E-2</v>
      </c>
      <c r="BB33" s="5">
        <v>7.3755291078079127E-2</v>
      </c>
      <c r="BC33" s="5">
        <v>0.15396597298816161</v>
      </c>
      <c r="BD33" s="5">
        <v>0.13800377131778174</v>
      </c>
      <c r="BE33" s="5">
        <v>0.14404450633151777</v>
      </c>
      <c r="BF33" s="5">
        <v>8.4877526118988356E-2</v>
      </c>
      <c r="BG33" s="5">
        <v>8.2308792917365495E-2</v>
      </c>
      <c r="BH33" s="5">
        <v>0.10791861312768651</v>
      </c>
      <c r="BR33" s="3" t="s">
        <v>276</v>
      </c>
      <c r="BS33" s="5">
        <v>0.7576145364479222</v>
      </c>
      <c r="BT33" s="5">
        <v>0.78287800454341661</v>
      </c>
      <c r="BU33" s="5">
        <v>0.77626600770279974</v>
      </c>
      <c r="BV33" s="4">
        <v>0.69263565597031418</v>
      </c>
      <c r="BW33" s="5">
        <v>0.67512906215888502</v>
      </c>
      <c r="BX33" s="5">
        <v>0.68931740378892903</v>
      </c>
      <c r="BY33" s="5">
        <v>0.43724875344510655</v>
      </c>
      <c r="BZ33" s="5">
        <v>0.43250438948632081</v>
      </c>
      <c r="CA33" s="5">
        <v>0.43464079789900228</v>
      </c>
      <c r="CB33" s="5">
        <v>0.63784841770581779</v>
      </c>
      <c r="CC33" s="5">
        <v>0.6332902558002993</v>
      </c>
      <c r="CD33" s="5">
        <v>0.59885244690415573</v>
      </c>
      <c r="CF33" s="3" t="s">
        <v>258</v>
      </c>
      <c r="CG33" s="3" t="s">
        <v>112</v>
      </c>
      <c r="CH33" s="3" t="s">
        <v>113</v>
      </c>
      <c r="CI33" s="5">
        <v>0.69598924304381937</v>
      </c>
    </row>
    <row r="34" spans="2:87" x14ac:dyDescent="0.45">
      <c r="B34" s="6" t="s">
        <v>277</v>
      </c>
      <c r="C34" s="6" t="s">
        <v>103</v>
      </c>
      <c r="D34" s="8">
        <v>0.16782424756743888</v>
      </c>
      <c r="E34" s="8">
        <v>0.15301084995709366</v>
      </c>
      <c r="F34" s="8">
        <v>0.16032513679010349</v>
      </c>
      <c r="G34" s="8">
        <v>0.17646229518481232</v>
      </c>
      <c r="H34" s="8">
        <v>0.1928282684293994</v>
      </c>
      <c r="I34" s="8">
        <v>0.17909847283641253</v>
      </c>
      <c r="J34" s="8">
        <v>0.3221565712292358</v>
      </c>
      <c r="K34" s="8">
        <v>0.30276345418536604</v>
      </c>
      <c r="L34" s="8">
        <v>0.32932935025707266</v>
      </c>
      <c r="M34" s="8">
        <v>0.22830387991867568</v>
      </c>
      <c r="N34" s="8">
        <v>0.23875236444623621</v>
      </c>
      <c r="O34" s="8">
        <v>0.25162984138595362</v>
      </c>
      <c r="Q34" s="6" t="s">
        <v>277</v>
      </c>
      <c r="R34" s="6" t="s">
        <v>104</v>
      </c>
      <c r="S34" s="8">
        <v>9.8713627620063936E-3</v>
      </c>
      <c r="T34" s="8">
        <v>9.1990475175557761E-3</v>
      </c>
      <c r="U34" s="8">
        <v>1.0524106555838518E-2</v>
      </c>
      <c r="V34" s="8">
        <v>6.8490044879854902E-3</v>
      </c>
      <c r="W34" s="8">
        <v>7.2281796615721013E-3</v>
      </c>
      <c r="X34" s="8">
        <v>1.0412010379571228E-2</v>
      </c>
      <c r="Y34" s="8">
        <v>7.275957144351493E-3</v>
      </c>
      <c r="Z34" s="8">
        <v>2.9231785291252584E-2</v>
      </c>
      <c r="AA34" s="8">
        <v>2.2121208457509835E-2</v>
      </c>
      <c r="AB34" s="8">
        <v>1.3535451544317758E-2</v>
      </c>
      <c r="AC34" s="8">
        <v>1.4769266858389139E-2</v>
      </c>
      <c r="AD34" s="8">
        <v>1.5821259853221761E-2</v>
      </c>
      <c r="AF34" s="6" t="s">
        <v>277</v>
      </c>
      <c r="AG34" s="6" t="s">
        <v>105</v>
      </c>
      <c r="AH34" s="8">
        <v>1.3247545608366955E-2</v>
      </c>
      <c r="AI34" s="8">
        <v>8.3781105717737198E-3</v>
      </c>
      <c r="AJ34" s="8">
        <v>7.9290862264241053E-3</v>
      </c>
      <c r="AK34" s="8">
        <v>1.1365453598117765E-2</v>
      </c>
      <c r="AL34" s="8">
        <v>1.1723764125634683E-2</v>
      </c>
      <c r="AM34" s="8">
        <v>1.0420337976661359E-2</v>
      </c>
      <c r="AN34" s="8">
        <v>2.4931136715605717E-2</v>
      </c>
      <c r="AO34" s="8">
        <v>3.1352015854747846E-2</v>
      </c>
      <c r="AP34" s="8">
        <v>4.1093305517431629E-2</v>
      </c>
      <c r="AQ34" s="8">
        <v>1.922751692943412E-2</v>
      </c>
      <c r="AR34" s="8">
        <v>1.8176189450048136E-2</v>
      </c>
      <c r="AS34" s="8">
        <v>1.7231107528733608E-2</v>
      </c>
      <c r="AU34" s="6" t="s">
        <v>277</v>
      </c>
      <c r="AV34" s="6" t="s">
        <v>106</v>
      </c>
      <c r="AW34" s="8">
        <v>4.8567395537340192E-2</v>
      </c>
      <c r="AX34" s="8">
        <v>4.6094061168400445E-2</v>
      </c>
      <c r="AY34" s="8">
        <v>4.8971978329494154E-2</v>
      </c>
      <c r="AZ34" s="8">
        <v>6.4617995291270311E-2</v>
      </c>
      <c r="BA34" s="8">
        <v>7.2125201810178535E-2</v>
      </c>
      <c r="BB34" s="8">
        <v>6.4084674744661979E-2</v>
      </c>
      <c r="BC34" s="8">
        <v>0.16456978807328609</v>
      </c>
      <c r="BD34" s="8">
        <v>0.12760300463098226</v>
      </c>
      <c r="BE34" s="8">
        <v>0.13720797928936687</v>
      </c>
      <c r="BF34" s="8">
        <v>8.3517401501527519E-2</v>
      </c>
      <c r="BG34" s="8">
        <v>8.8323910931869337E-2</v>
      </c>
      <c r="BH34" s="8">
        <v>9.5002013659059276E-2</v>
      </c>
      <c r="BR34" s="6" t="s">
        <v>277</v>
      </c>
      <c r="BS34" s="8">
        <v>0.74739455398939847</v>
      </c>
      <c r="BT34" s="8">
        <v>0.77090758954475047</v>
      </c>
      <c r="BU34" s="8">
        <v>0.75493235689598504</v>
      </c>
      <c r="BV34" s="7">
        <v>0.71774824660227388</v>
      </c>
      <c r="BW34" s="8">
        <v>0.69784482975723883</v>
      </c>
      <c r="BX34" s="8">
        <v>0.71435626835710253</v>
      </c>
      <c r="BY34" s="8">
        <v>0.42967712822507087</v>
      </c>
      <c r="BZ34" s="8">
        <v>0.43238761482425836</v>
      </c>
      <c r="CA34" s="8">
        <v>0.4306897452705275</v>
      </c>
      <c r="CB34" s="8">
        <v>0.61980628031806495</v>
      </c>
      <c r="CC34" s="8">
        <v>0.61220805449192417</v>
      </c>
      <c r="CD34" s="8">
        <v>0.59605179356994875</v>
      </c>
      <c r="CF34" s="6" t="s">
        <v>260</v>
      </c>
      <c r="CG34" s="6" t="s">
        <v>112</v>
      </c>
      <c r="CH34" s="6" t="s">
        <v>113</v>
      </c>
      <c r="CI34" s="8">
        <v>0.64720298960040379</v>
      </c>
    </row>
    <row r="35" spans="2:87" x14ac:dyDescent="0.45">
      <c r="B35" s="3" t="s">
        <v>278</v>
      </c>
      <c r="C35" s="3" t="s">
        <v>103</v>
      </c>
      <c r="D35" s="5">
        <v>0.30732072454718362</v>
      </c>
      <c r="E35" s="5">
        <v>0.28816840972193714</v>
      </c>
      <c r="F35" s="5">
        <v>0.29656482774976956</v>
      </c>
      <c r="G35" s="5">
        <v>0.29909839287448581</v>
      </c>
      <c r="H35" s="5">
        <v>0.29702349381481263</v>
      </c>
      <c r="I35" s="5">
        <v>0.29430648460418357</v>
      </c>
      <c r="J35" s="5">
        <v>0.42007558183294702</v>
      </c>
      <c r="K35" s="5">
        <v>0.38776531242374024</v>
      </c>
      <c r="L35" s="5">
        <v>0.38760892322746893</v>
      </c>
      <c r="M35" s="5">
        <v>0.34536430223711645</v>
      </c>
      <c r="N35" s="5">
        <v>0.33906742835876891</v>
      </c>
      <c r="O35" s="5">
        <v>0.34033302735005183</v>
      </c>
      <c r="Q35" s="3" t="s">
        <v>278</v>
      </c>
      <c r="R35" s="3" t="s">
        <v>104</v>
      </c>
      <c r="S35" s="5">
        <v>2.4957299934240795E-2</v>
      </c>
      <c r="T35" s="5">
        <v>2.9015932398329974E-2</v>
      </c>
      <c r="U35" s="5">
        <v>2.834239775837823E-2</v>
      </c>
      <c r="V35" s="5">
        <v>2.6282529982726139E-2</v>
      </c>
      <c r="W35" s="5">
        <v>1.6938519348475845E-2</v>
      </c>
      <c r="X35" s="5">
        <v>1.0866598725748387E-2</v>
      </c>
      <c r="Y35" s="5">
        <v>3.1004387406004339E-2</v>
      </c>
      <c r="Z35" s="5">
        <v>4.0593071544887935E-2</v>
      </c>
      <c r="AA35" s="5">
        <v>2.4849399235718307E-2</v>
      </c>
      <c r="AB35" s="5">
        <v>4.8755984671323013E-2</v>
      </c>
      <c r="AC35" s="5">
        <v>2.9025975748454762E-2</v>
      </c>
      <c r="AD35" s="5">
        <v>2.4716729926163517E-2</v>
      </c>
      <c r="AF35" s="3" t="s">
        <v>278</v>
      </c>
      <c r="AG35" s="3" t="s">
        <v>105</v>
      </c>
      <c r="AH35" s="5">
        <v>2.5354016104258519E-2</v>
      </c>
      <c r="AI35" s="5">
        <v>2.9454524487748018E-2</v>
      </c>
      <c r="AJ35" s="5">
        <v>3.1444618462537439E-2</v>
      </c>
      <c r="AK35" s="5">
        <v>3.8923844344430969E-2</v>
      </c>
      <c r="AL35" s="5">
        <v>2.8439805013203139E-2</v>
      </c>
      <c r="AM35" s="5">
        <v>1.5424370525955595E-2</v>
      </c>
      <c r="AN35" s="5">
        <v>4.9842376640979152E-2</v>
      </c>
      <c r="AO35" s="5">
        <v>5.1504008003393803E-2</v>
      </c>
      <c r="AP35" s="5">
        <v>5.1647402968559082E-2</v>
      </c>
      <c r="AQ35" s="5">
        <v>7.3028385502012558E-2</v>
      </c>
      <c r="AR35" s="5">
        <v>4.2359110991663541E-2</v>
      </c>
      <c r="AS35" s="5">
        <v>3.2264109520081699E-2</v>
      </c>
      <c r="AU35" s="3" t="s">
        <v>278</v>
      </c>
      <c r="AV35" s="3" t="s">
        <v>106</v>
      </c>
      <c r="AW35" s="5">
        <v>0.13527200877374113</v>
      </c>
      <c r="AX35" s="5">
        <v>0.10329268300095215</v>
      </c>
      <c r="AY35" s="5">
        <v>0.11530931770431098</v>
      </c>
      <c r="AZ35" s="5">
        <v>0.12448557392988975</v>
      </c>
      <c r="BA35" s="5">
        <v>0.13216068088570862</v>
      </c>
      <c r="BB35" s="5">
        <v>0.15917076887583234</v>
      </c>
      <c r="BC35" s="5">
        <v>0.21315858704422563</v>
      </c>
      <c r="BD35" s="5">
        <v>0.16932605089163616</v>
      </c>
      <c r="BE35" s="5">
        <v>0.19848013276097112</v>
      </c>
      <c r="BF35" s="5">
        <v>0.11769993987598493</v>
      </c>
      <c r="BG35" s="5">
        <v>0.14901774328789902</v>
      </c>
      <c r="BH35" s="5">
        <v>0.16787301247654426</v>
      </c>
      <c r="BR35" s="3" t="s">
        <v>278</v>
      </c>
      <c r="BS35" s="5">
        <v>0.44696822862746904</v>
      </c>
      <c r="BT35" s="5">
        <v>0.50804906294130026</v>
      </c>
      <c r="BU35" s="5">
        <v>0.47127395597783273</v>
      </c>
      <c r="BV35" s="4">
        <v>0.37639588769238908</v>
      </c>
      <c r="BW35" s="5">
        <v>0.45096113245457531</v>
      </c>
      <c r="BX35" s="5">
        <v>0.39270535459562178</v>
      </c>
      <c r="BY35" s="5">
        <v>0.18816156837752421</v>
      </c>
      <c r="BZ35" s="5">
        <v>0.24446684455412007</v>
      </c>
      <c r="CA35" s="5">
        <v>0.18979545035291606</v>
      </c>
      <c r="CB35" s="5">
        <v>0.29412664879113298</v>
      </c>
      <c r="CC35" s="5">
        <v>0.32981721378414841</v>
      </c>
      <c r="CD35" s="5">
        <v>0.27570987413831699</v>
      </c>
      <c r="CF35" s="3" t="s">
        <v>262</v>
      </c>
      <c r="CG35" s="3" t="s">
        <v>112</v>
      </c>
      <c r="CH35" s="3" t="s">
        <v>113</v>
      </c>
      <c r="CI35" s="5">
        <v>0.69913621942353377</v>
      </c>
    </row>
    <row r="36" spans="2:87" x14ac:dyDescent="0.45">
      <c r="B36" s="6" t="s">
        <v>279</v>
      </c>
      <c r="C36" s="6" t="s">
        <v>103</v>
      </c>
      <c r="D36" s="8">
        <v>0.2049471573008062</v>
      </c>
      <c r="E36" s="8">
        <v>0.18526419700333729</v>
      </c>
      <c r="F36" s="8">
        <v>0.19804489811051873</v>
      </c>
      <c r="G36" s="8">
        <v>0.2014881360661801</v>
      </c>
      <c r="H36" s="8">
        <v>0.2260877971295065</v>
      </c>
      <c r="I36" s="8">
        <v>0.20517687376042926</v>
      </c>
      <c r="J36" s="8">
        <v>0.36427621378266434</v>
      </c>
      <c r="K36" s="8">
        <v>0.34048512619341326</v>
      </c>
      <c r="L36" s="8">
        <v>0.34085682439131187</v>
      </c>
      <c r="M36" s="8">
        <v>0.25335791565620835</v>
      </c>
      <c r="N36" s="8">
        <v>0.26951313441380564</v>
      </c>
      <c r="O36" s="8">
        <v>0.28316790214110332</v>
      </c>
      <c r="Q36" s="6" t="s">
        <v>279</v>
      </c>
      <c r="R36" s="6" t="s">
        <v>104</v>
      </c>
      <c r="S36" s="8">
        <v>1.2454661254928898E-2</v>
      </c>
      <c r="T36" s="8">
        <v>1.195969766147866E-2</v>
      </c>
      <c r="U36" s="8">
        <v>1.2048606764973636E-2</v>
      </c>
      <c r="V36" s="8">
        <v>1.2788584335782855E-2</v>
      </c>
      <c r="W36" s="8">
        <v>8.8614708152969842E-3</v>
      </c>
      <c r="X36" s="8">
        <v>7.3131574647185794E-3</v>
      </c>
      <c r="Y36" s="8">
        <v>2.3908282667405682E-2</v>
      </c>
      <c r="Z36" s="8">
        <v>2.6239491638434555E-2</v>
      </c>
      <c r="AA36" s="8">
        <v>3.4697038202150865E-2</v>
      </c>
      <c r="AB36" s="8">
        <v>1.8758916161509414E-2</v>
      </c>
      <c r="AC36" s="8">
        <v>1.7478583838014754E-2</v>
      </c>
      <c r="AD36" s="8">
        <v>1.2857525037591955E-2</v>
      </c>
      <c r="AF36" s="6" t="s">
        <v>279</v>
      </c>
      <c r="AG36" s="6" t="s">
        <v>105</v>
      </c>
      <c r="AH36" s="8">
        <v>1.3433013819036842E-2</v>
      </c>
      <c r="AI36" s="8">
        <v>1.2848341641125789E-2</v>
      </c>
      <c r="AJ36" s="8">
        <v>1.0782221577427715E-2</v>
      </c>
      <c r="AK36" s="8">
        <v>1.4802688496152802E-2</v>
      </c>
      <c r="AL36" s="8">
        <v>1.7017000490335638E-2</v>
      </c>
      <c r="AM36" s="8">
        <v>6.8920028526112649E-3</v>
      </c>
      <c r="AN36" s="8">
        <v>4.8880658071842192E-2</v>
      </c>
      <c r="AO36" s="8">
        <v>2.687191419008423E-2</v>
      </c>
      <c r="AP36" s="8">
        <v>4.1470725169659176E-2</v>
      </c>
      <c r="AQ36" s="8">
        <v>1.9537447280118653E-2</v>
      </c>
      <c r="AR36" s="8">
        <v>2.4433842396436124E-2</v>
      </c>
      <c r="AS36" s="8">
        <v>2.4005849322027716E-2</v>
      </c>
      <c r="AU36" s="6" t="s">
        <v>279</v>
      </c>
      <c r="AV36" s="6" t="s">
        <v>106</v>
      </c>
      <c r="AW36" s="8">
        <v>6.7068172781611868E-2</v>
      </c>
      <c r="AX36" s="8">
        <v>5.5584413461488312E-2</v>
      </c>
      <c r="AY36" s="8">
        <v>6.5973616101351842E-2</v>
      </c>
      <c r="AZ36" s="8">
        <v>7.2845427759486284E-2</v>
      </c>
      <c r="BA36" s="8">
        <v>7.9693254267784938E-2</v>
      </c>
      <c r="BB36" s="8">
        <v>8.5883832270285149E-2</v>
      </c>
      <c r="BC36" s="8">
        <v>0.15036958960716953</v>
      </c>
      <c r="BD36" s="8">
        <v>0.16265313507478463</v>
      </c>
      <c r="BE36" s="8">
        <v>0.13178403422462828</v>
      </c>
      <c r="BF36" s="8">
        <v>9.8191874494052367E-2</v>
      </c>
      <c r="BG36" s="8">
        <v>9.6255641274920922E-2</v>
      </c>
      <c r="BH36" s="8">
        <v>0.11612267731428572</v>
      </c>
      <c r="BR36" s="6" t="s">
        <v>279</v>
      </c>
      <c r="BS36" s="8">
        <v>0.67923636343270311</v>
      </c>
      <c r="BT36" s="8">
        <v>0.7121986406904437</v>
      </c>
      <c r="BU36" s="8">
        <v>0.68791784095304087</v>
      </c>
      <c r="BV36" s="7">
        <v>0.6417197243333802</v>
      </c>
      <c r="BW36" s="8">
        <v>0.64365525997340545</v>
      </c>
      <c r="BX36" s="8">
        <v>0.63913693926038984</v>
      </c>
      <c r="BY36" s="8">
        <v>0.37697493956712491</v>
      </c>
      <c r="BZ36" s="8">
        <v>0.38620635068156794</v>
      </c>
      <c r="CA36" s="8">
        <v>0.38080137425470362</v>
      </c>
      <c r="CB36" s="8">
        <v>0.55342200148355325</v>
      </c>
      <c r="CC36" s="8">
        <v>0.55514961513782379</v>
      </c>
      <c r="CD36" s="8">
        <v>0.53018417871495216</v>
      </c>
      <c r="CF36" s="6" t="s">
        <v>264</v>
      </c>
      <c r="CG36" s="6" t="s">
        <v>112</v>
      </c>
      <c r="CH36" s="6" t="s">
        <v>113</v>
      </c>
      <c r="CI36" s="8">
        <v>0.6667231518764295</v>
      </c>
    </row>
    <row r="37" spans="2:87" x14ac:dyDescent="0.45">
      <c r="B37" s="3" t="s">
        <v>280</v>
      </c>
      <c r="C37" s="3" t="s">
        <v>103</v>
      </c>
      <c r="D37" s="5">
        <v>0.26945848041900011</v>
      </c>
      <c r="E37" s="5">
        <v>0.26901006237506248</v>
      </c>
      <c r="F37" s="5">
        <v>0.25729203048524202</v>
      </c>
      <c r="G37" s="5">
        <v>0.25953392711114154</v>
      </c>
      <c r="H37" s="5">
        <v>0.27371829083070187</v>
      </c>
      <c r="I37" s="5">
        <v>0.25777213212086936</v>
      </c>
      <c r="J37" s="5">
        <v>0.34498390128011519</v>
      </c>
      <c r="K37" s="5">
        <v>0.37777919948234179</v>
      </c>
      <c r="L37" s="5">
        <v>0.32985854616309829</v>
      </c>
      <c r="M37" s="5">
        <v>0.29028679633841331</v>
      </c>
      <c r="N37" s="5">
        <v>0.31006914516403944</v>
      </c>
      <c r="O37" s="5">
        <v>0.29485559027005676</v>
      </c>
      <c r="Q37" s="3" t="s">
        <v>280</v>
      </c>
      <c r="R37" s="3" t="s">
        <v>104</v>
      </c>
      <c r="S37" s="5">
        <v>1.2610275874912914E-2</v>
      </c>
      <c r="T37" s="5">
        <v>2.2615115351280055E-2</v>
      </c>
      <c r="U37" s="5">
        <v>1.0919791677904382E-2</v>
      </c>
      <c r="V37" s="5">
        <v>1.831845639061663E-2</v>
      </c>
      <c r="W37" s="5">
        <v>1.0289112466840038E-2</v>
      </c>
      <c r="X37" s="5">
        <v>1.6860650078364688E-2</v>
      </c>
      <c r="Y37" s="5">
        <v>2.990373657849844E-2</v>
      </c>
      <c r="Z37" s="5">
        <v>3.9646730337005075E-2</v>
      </c>
      <c r="AA37" s="5">
        <v>9.7457111964794028E-3</v>
      </c>
      <c r="AB37" s="5">
        <v>4.0147987028464199E-2</v>
      </c>
      <c r="AC37" s="5">
        <v>2.1754797746527627E-2</v>
      </c>
      <c r="AD37" s="5">
        <v>1.9625871628348363E-2</v>
      </c>
      <c r="AF37" s="3" t="s">
        <v>280</v>
      </c>
      <c r="AG37" s="3" t="s">
        <v>105</v>
      </c>
      <c r="AH37" s="5">
        <v>1.6098003243870649E-2</v>
      </c>
      <c r="AI37" s="5">
        <v>1.9777121007560558E-2</v>
      </c>
      <c r="AJ37" s="5">
        <v>2.3827388346643181E-2</v>
      </c>
      <c r="AK37" s="5">
        <v>2.70615378299883E-2</v>
      </c>
      <c r="AL37" s="5">
        <v>2.416366595318022E-2</v>
      </c>
      <c r="AM37" s="5">
        <v>1.2912881188018114E-2</v>
      </c>
      <c r="AN37" s="5">
        <v>1.3452357067289943E-2</v>
      </c>
      <c r="AO37" s="5">
        <v>4.1688882416823093E-2</v>
      </c>
      <c r="AP37" s="5">
        <v>5.7059418504739112E-2</v>
      </c>
      <c r="AQ37" s="5">
        <v>3.5216476850385085E-2</v>
      </c>
      <c r="AR37" s="5">
        <v>5.0653889412266791E-2</v>
      </c>
      <c r="AS37" s="5">
        <v>1.1888704526082242E-2</v>
      </c>
      <c r="AU37" s="3" t="s">
        <v>280</v>
      </c>
      <c r="AV37" s="3" t="s">
        <v>106</v>
      </c>
      <c r="AW37" s="5">
        <v>0.12083848816394366</v>
      </c>
      <c r="AX37" s="5">
        <v>9.8548922523398363E-2</v>
      </c>
      <c r="AY37" s="5">
        <v>0.10247902698531321</v>
      </c>
      <c r="AZ37" s="5">
        <v>9.6202840376474502E-2</v>
      </c>
      <c r="BA37" s="5">
        <v>0.12363166003148229</v>
      </c>
      <c r="BB37" s="5">
        <v>0.11368275808263668</v>
      </c>
      <c r="BC37" s="5">
        <v>0.19636175273388906</v>
      </c>
      <c r="BD37" s="5">
        <v>0.17188134810397987</v>
      </c>
      <c r="BE37" s="5">
        <v>0.16057533820662823</v>
      </c>
      <c r="BF37" s="5">
        <v>0.10397102321677651</v>
      </c>
      <c r="BG37" s="5">
        <v>0.11209741831532796</v>
      </c>
      <c r="BH37" s="5">
        <v>0.14821593634596442</v>
      </c>
      <c r="BR37" s="3" t="s">
        <v>280</v>
      </c>
      <c r="BS37" s="5">
        <v>0.51651373605031181</v>
      </c>
      <c r="BT37" s="5">
        <v>0.54706835171414558</v>
      </c>
      <c r="BU37" s="5">
        <v>0.55023823481518463</v>
      </c>
      <c r="BV37" s="4">
        <v>0.49672179777412279</v>
      </c>
      <c r="BW37" s="5">
        <v>0.49158566666561493</v>
      </c>
      <c r="BX37" s="5">
        <v>0.478091906838503</v>
      </c>
      <c r="BY37" s="5">
        <v>0.25854927870726457</v>
      </c>
      <c r="BZ37" s="5">
        <v>0.30487324397749205</v>
      </c>
      <c r="CA37" s="5">
        <v>0.28913900163570866</v>
      </c>
      <c r="CB37" s="5">
        <v>0.40594174263337879</v>
      </c>
      <c r="CC37" s="5">
        <v>0.42232834547887144</v>
      </c>
      <c r="CD37" s="5">
        <v>0.39361546160902772</v>
      </c>
      <c r="CF37" s="3" t="s">
        <v>266</v>
      </c>
      <c r="CG37" s="3" t="s">
        <v>112</v>
      </c>
      <c r="CH37" s="3" t="s">
        <v>113</v>
      </c>
      <c r="CI37" s="5">
        <v>0.66602200704587411</v>
      </c>
    </row>
    <row r="38" spans="2:87" x14ac:dyDescent="0.45">
      <c r="B38" s="6" t="s">
        <v>281</v>
      </c>
      <c r="C38" s="6" t="s">
        <v>103</v>
      </c>
      <c r="D38" s="8">
        <v>0.21865014138787459</v>
      </c>
      <c r="E38" s="8">
        <v>0.21824005745737765</v>
      </c>
      <c r="F38" s="8">
        <v>0.21891692768869447</v>
      </c>
      <c r="G38" s="8">
        <v>0.22530034924065015</v>
      </c>
      <c r="H38" s="8">
        <v>0.24267058520768617</v>
      </c>
      <c r="I38" s="8">
        <v>0.23223875579341546</v>
      </c>
      <c r="J38" s="8">
        <v>0.30978575297653549</v>
      </c>
      <c r="K38" s="8">
        <v>0.33367807962499374</v>
      </c>
      <c r="L38" s="8">
        <v>0.29179145008251156</v>
      </c>
      <c r="M38" s="8">
        <v>0.26506176270123494</v>
      </c>
      <c r="N38" s="8">
        <v>0.27277525544328723</v>
      </c>
      <c r="O38" s="8">
        <v>0.26952693208564482</v>
      </c>
      <c r="Q38" s="6" t="s">
        <v>281</v>
      </c>
      <c r="R38" s="6" t="s">
        <v>104</v>
      </c>
      <c r="S38" s="8">
        <v>1.3357536167105853E-2</v>
      </c>
      <c r="T38" s="8">
        <v>1.7811438459681469E-2</v>
      </c>
      <c r="U38" s="8">
        <v>5.1866987082941759E-3</v>
      </c>
      <c r="V38" s="8">
        <v>1.1782509459229202E-2</v>
      </c>
      <c r="W38" s="8">
        <v>7.8559954765527566E-3</v>
      </c>
      <c r="X38" s="8">
        <v>1.7395265038644074E-2</v>
      </c>
      <c r="Y38" s="8">
        <v>1.5715187429921736E-2</v>
      </c>
      <c r="Z38" s="8">
        <v>3.182002976603019E-2</v>
      </c>
      <c r="AA38" s="8">
        <v>8.0511738640832615E-3</v>
      </c>
      <c r="AB38" s="8">
        <v>3.0327616184226462E-2</v>
      </c>
      <c r="AC38" s="8">
        <v>1.652801394085732E-2</v>
      </c>
      <c r="AD38" s="8">
        <v>1.5089707680270443E-2</v>
      </c>
      <c r="AF38" s="6" t="s">
        <v>281</v>
      </c>
      <c r="AG38" s="6" t="s">
        <v>105</v>
      </c>
      <c r="AH38" s="8">
        <v>8.7812610041109844E-3</v>
      </c>
      <c r="AI38" s="8">
        <v>1.6374785555946497E-2</v>
      </c>
      <c r="AJ38" s="8">
        <v>1.676664404909093E-2</v>
      </c>
      <c r="AK38" s="8">
        <v>2.0644995440181241E-2</v>
      </c>
      <c r="AL38" s="8">
        <v>1.4514892264149828E-2</v>
      </c>
      <c r="AM38" s="8">
        <v>6.3069674335982451E-3</v>
      </c>
      <c r="AN38" s="8">
        <v>1.8280142197039165E-2</v>
      </c>
      <c r="AO38" s="8">
        <v>2.8946661223809605E-2</v>
      </c>
      <c r="AP38" s="8">
        <v>2.5498009745699327E-2</v>
      </c>
      <c r="AQ38" s="8">
        <v>2.3091778878271844E-2</v>
      </c>
      <c r="AR38" s="8">
        <v>2.6359643578329709E-2</v>
      </c>
      <c r="AS38" s="8">
        <v>2.0223829863513763E-2</v>
      </c>
      <c r="AU38" s="6" t="s">
        <v>281</v>
      </c>
      <c r="AV38" s="6" t="s">
        <v>106</v>
      </c>
      <c r="AW38" s="8">
        <v>8.6073740613255192E-2</v>
      </c>
      <c r="AX38" s="8">
        <v>6.7147713409601087E-2</v>
      </c>
      <c r="AY38" s="8">
        <v>7.6585033612768347E-2</v>
      </c>
      <c r="AZ38" s="8">
        <v>7.4783961645772834E-2</v>
      </c>
      <c r="BA38" s="8">
        <v>0.10543047082708461</v>
      </c>
      <c r="BB38" s="8">
        <v>9.5520063192393243E-2</v>
      </c>
      <c r="BC38" s="8">
        <v>0.1560776572169249</v>
      </c>
      <c r="BD38" s="8">
        <v>0.14599664380630947</v>
      </c>
      <c r="BE38" s="8">
        <v>0.1456085636611098</v>
      </c>
      <c r="BF38" s="8">
        <v>9.8892133535080778E-2</v>
      </c>
      <c r="BG38" s="8">
        <v>0.10438462630936618</v>
      </c>
      <c r="BH38" s="8">
        <v>0.11117088539185047</v>
      </c>
      <c r="BR38" s="6" t="s">
        <v>281</v>
      </c>
      <c r="BS38" s="8">
        <v>0.65927436758558788</v>
      </c>
      <c r="BT38" s="8">
        <v>0.6765357075215237</v>
      </c>
      <c r="BU38" s="8">
        <v>0.68487368164554419</v>
      </c>
      <c r="BV38" s="7">
        <v>0.65325932648269835</v>
      </c>
      <c r="BW38" s="8">
        <v>0.60517818947723756</v>
      </c>
      <c r="BX38" s="8">
        <v>0.61695304909860027</v>
      </c>
      <c r="BY38" s="8">
        <v>0.40737483724144313</v>
      </c>
      <c r="BZ38" s="8">
        <v>0.42290232342081491</v>
      </c>
      <c r="CA38" s="8">
        <v>0.45825375788257433</v>
      </c>
      <c r="CB38" s="8">
        <v>0.54575411699832332</v>
      </c>
      <c r="CC38" s="8">
        <v>0.56789995496446366</v>
      </c>
      <c r="CD38" s="8">
        <v>0.54810056955054087</v>
      </c>
      <c r="CF38" s="6" t="s">
        <v>268</v>
      </c>
      <c r="CG38" s="6" t="s">
        <v>112</v>
      </c>
      <c r="CH38" s="6" t="s">
        <v>113</v>
      </c>
      <c r="CI38" s="8">
        <v>0.53657679719258455</v>
      </c>
    </row>
    <row r="39" spans="2:87" x14ac:dyDescent="0.45">
      <c r="B39" s="3" t="s">
        <v>255</v>
      </c>
      <c r="C39" s="3" t="s">
        <v>103</v>
      </c>
      <c r="D39" s="5">
        <v>0.30767897935848187</v>
      </c>
      <c r="E39" s="5">
        <v>0.29178697715852064</v>
      </c>
      <c r="F39" s="5">
        <v>0.28850640817181344</v>
      </c>
      <c r="G39" s="5">
        <v>0.28674522772174998</v>
      </c>
      <c r="H39" s="5">
        <v>0.27276207899984062</v>
      </c>
      <c r="I39" s="5">
        <v>0.26419016712835069</v>
      </c>
      <c r="J39" s="5">
        <v>0.40826829432899808</v>
      </c>
      <c r="K39" s="5">
        <v>0.37890483160907584</v>
      </c>
      <c r="L39" s="5">
        <v>0.34162422834911493</v>
      </c>
      <c r="M39" s="5">
        <v>0.33330838159841009</v>
      </c>
      <c r="N39" s="5">
        <v>0.34011186148887229</v>
      </c>
      <c r="O39" s="5">
        <v>0.33340390880373888</v>
      </c>
      <c r="Q39" s="3" t="s">
        <v>255</v>
      </c>
      <c r="R39" s="3" t="s">
        <v>104</v>
      </c>
      <c r="S39" s="5">
        <v>2.6878552848891134E-2</v>
      </c>
      <c r="T39" s="5">
        <v>2.6216472035123232E-2</v>
      </c>
      <c r="U39" s="5">
        <v>2.0798214571138233E-2</v>
      </c>
      <c r="V39" s="5">
        <v>2.3946912003181657E-2</v>
      </c>
      <c r="W39" s="5">
        <v>1.5289246591416446E-2</v>
      </c>
      <c r="X39" s="5">
        <v>9.684490267143497E-3</v>
      </c>
      <c r="Y39" s="5">
        <v>4.892107698632548E-2</v>
      </c>
      <c r="Z39" s="5">
        <v>4.1767992827297123E-2</v>
      </c>
      <c r="AA39" s="5">
        <v>1.7722370421327724E-2</v>
      </c>
      <c r="AB39" s="5">
        <v>4.8224696247631572E-2</v>
      </c>
      <c r="AC39" s="5">
        <v>3.3438484555139807E-2</v>
      </c>
      <c r="AD39" s="5">
        <v>1.5747518901946277E-2</v>
      </c>
      <c r="AF39" s="3" t="s">
        <v>255</v>
      </c>
      <c r="AG39" s="3" t="s">
        <v>105</v>
      </c>
      <c r="AH39" s="5">
        <v>2.2325967244449761E-2</v>
      </c>
      <c r="AI39" s="5">
        <v>2.3148235625442503E-2</v>
      </c>
      <c r="AJ39" s="5">
        <v>3.8535395219563486E-2</v>
      </c>
      <c r="AK39" s="5">
        <v>2.8215634852729779E-2</v>
      </c>
      <c r="AL39" s="5">
        <v>2.5670901590232074E-2</v>
      </c>
      <c r="AM39" s="5">
        <v>1.3772559534827143E-2</v>
      </c>
      <c r="AN39" s="5">
        <v>4.2878017449277162E-2</v>
      </c>
      <c r="AO39" s="5">
        <v>4.3867602831786194E-2</v>
      </c>
      <c r="AP39" s="5">
        <v>5.0557885111263884E-2</v>
      </c>
      <c r="AQ39" s="5">
        <v>4.4256760058353023E-2</v>
      </c>
      <c r="AR39" s="5">
        <v>5.8287951099309364E-2</v>
      </c>
      <c r="AS39" s="5">
        <v>3.0087378168800385E-2</v>
      </c>
      <c r="AU39" s="3" t="s">
        <v>255</v>
      </c>
      <c r="AV39" s="3" t="s">
        <v>106</v>
      </c>
      <c r="AW39" s="5">
        <v>0.13689766186728525</v>
      </c>
      <c r="AX39" s="5">
        <v>0.11037093072480465</v>
      </c>
      <c r="AY39" s="5">
        <v>0.10299441279792318</v>
      </c>
      <c r="AZ39" s="5">
        <v>0.12274302077330039</v>
      </c>
      <c r="BA39" s="5">
        <v>0.12035558213441611</v>
      </c>
      <c r="BB39" s="5">
        <v>0.13419588360162879</v>
      </c>
      <c r="BC39" s="5">
        <v>0.19590866301521426</v>
      </c>
      <c r="BD39" s="5">
        <v>0.16893366909486301</v>
      </c>
      <c r="BE39" s="5">
        <v>0.17034136081352647</v>
      </c>
      <c r="BF39" s="5">
        <v>0.12884756483803933</v>
      </c>
      <c r="BG39" s="5">
        <v>0.12895337154462694</v>
      </c>
      <c r="BH39" s="5">
        <v>0.16595173203089886</v>
      </c>
      <c r="BR39" s="3" t="s">
        <v>255</v>
      </c>
      <c r="BS39" s="5">
        <v>0.46092949038267961</v>
      </c>
      <c r="BT39" s="5">
        <v>0.52330920253388791</v>
      </c>
      <c r="BU39" s="5">
        <v>0.50995978647627416</v>
      </c>
      <c r="BV39" s="4">
        <v>0.4189742343606549</v>
      </c>
      <c r="BW39" s="5">
        <v>0.48136759718763644</v>
      </c>
      <c r="BX39" s="5">
        <v>0.4658467485299469</v>
      </c>
      <c r="BY39" s="5">
        <v>0.20696705328958595</v>
      </c>
      <c r="BZ39" s="5">
        <v>0.27174818759072955</v>
      </c>
      <c r="CA39" s="5">
        <v>0.24149358332067714</v>
      </c>
      <c r="CB39" s="5">
        <v>0.30583012402396659</v>
      </c>
      <c r="CC39" s="5">
        <v>0.35577417263290384</v>
      </c>
      <c r="CD39" s="5">
        <v>0.30678220544071805</v>
      </c>
      <c r="CF39" s="3" t="s">
        <v>270</v>
      </c>
      <c r="CG39" s="3" t="s">
        <v>112</v>
      </c>
      <c r="CH39" s="3" t="s">
        <v>113</v>
      </c>
      <c r="CI39" s="5">
        <v>0.73902713070459236</v>
      </c>
    </row>
    <row r="40" spans="2:87" x14ac:dyDescent="0.45">
      <c r="B40" s="6" t="s">
        <v>257</v>
      </c>
      <c r="C40" s="6" t="s">
        <v>103</v>
      </c>
      <c r="D40" s="8">
        <v>0.2869382295158257</v>
      </c>
      <c r="E40" s="8">
        <v>0.28355442150496096</v>
      </c>
      <c r="F40" s="8">
        <v>0.27424446302198507</v>
      </c>
      <c r="G40" s="8">
        <v>0.26625002160058447</v>
      </c>
      <c r="H40" s="8">
        <v>0.26407821872840004</v>
      </c>
      <c r="I40" s="8">
        <v>0.25426467839282213</v>
      </c>
      <c r="J40" s="8">
        <v>0.35618838949851439</v>
      </c>
      <c r="K40" s="8">
        <v>0.37828877946359246</v>
      </c>
      <c r="L40" s="8">
        <v>0.34072949765309918</v>
      </c>
      <c r="M40" s="8">
        <v>0.30598539561549121</v>
      </c>
      <c r="N40" s="8">
        <v>0.32181529635869616</v>
      </c>
      <c r="O40" s="8">
        <v>0.30963746363260186</v>
      </c>
      <c r="Q40" s="6" t="s">
        <v>257</v>
      </c>
      <c r="R40" s="6" t="s">
        <v>104</v>
      </c>
      <c r="S40" s="8">
        <v>1.9689732482505207E-2</v>
      </c>
      <c r="T40" s="8">
        <v>2.2331983413146662E-2</v>
      </c>
      <c r="U40" s="8">
        <v>2.0878032598019736E-2</v>
      </c>
      <c r="V40" s="8">
        <v>1.9973822663589678E-2</v>
      </c>
      <c r="W40" s="8">
        <v>1.4929860826121109E-2</v>
      </c>
      <c r="X40" s="8">
        <v>1.2513701647957759E-2</v>
      </c>
      <c r="Y40" s="8">
        <v>3.1962700819933187E-2</v>
      </c>
      <c r="Z40" s="8">
        <v>4.567046804910628E-2</v>
      </c>
      <c r="AA40" s="8">
        <v>2.0194438992714041E-2</v>
      </c>
      <c r="AB40" s="8">
        <v>3.8528285774796875E-2</v>
      </c>
      <c r="AC40" s="8">
        <v>3.2480351009205405E-2</v>
      </c>
      <c r="AD40" s="8">
        <v>1.3939911795919076E-2</v>
      </c>
      <c r="AF40" s="6" t="s">
        <v>257</v>
      </c>
      <c r="AG40" s="6" t="s">
        <v>105</v>
      </c>
      <c r="AH40" s="8">
        <v>2.321481829659754E-2</v>
      </c>
      <c r="AI40" s="8">
        <v>1.8372035904031785E-2</v>
      </c>
      <c r="AJ40" s="8">
        <v>3.5597854552244429E-2</v>
      </c>
      <c r="AK40" s="8">
        <v>2.0831581813360655E-2</v>
      </c>
      <c r="AL40" s="8">
        <v>3.1170833154417963E-2</v>
      </c>
      <c r="AM40" s="8">
        <v>1.1571749411778661E-2</v>
      </c>
      <c r="AN40" s="8">
        <v>3.4860854918516489E-2</v>
      </c>
      <c r="AO40" s="8">
        <v>3.8825560935403999E-2</v>
      </c>
      <c r="AP40" s="8">
        <v>5.3042122338457301E-2</v>
      </c>
      <c r="AQ40" s="8">
        <v>3.5533309617286353E-2</v>
      </c>
      <c r="AR40" s="8">
        <v>5.5236423857209553E-2</v>
      </c>
      <c r="AS40" s="8">
        <v>3.1873287990406736E-2</v>
      </c>
      <c r="AU40" s="6" t="s">
        <v>257</v>
      </c>
      <c r="AV40" s="6" t="s">
        <v>106</v>
      </c>
      <c r="AW40" s="8">
        <v>0.12510944934227461</v>
      </c>
      <c r="AX40" s="8">
        <v>0.11826991586458874</v>
      </c>
      <c r="AY40" s="8">
        <v>9.7061744942951819E-2</v>
      </c>
      <c r="AZ40" s="8">
        <v>0.11391989426066874</v>
      </c>
      <c r="BA40" s="8">
        <v>0.10976689872587936</v>
      </c>
      <c r="BB40" s="8">
        <v>0.12722872792077869</v>
      </c>
      <c r="BC40" s="8">
        <v>0.18321521499737334</v>
      </c>
      <c r="BD40" s="8">
        <v>0.17105420093855994</v>
      </c>
      <c r="BE40" s="8">
        <v>0.16052908870614574</v>
      </c>
      <c r="BF40" s="8">
        <v>0.12255724770252838</v>
      </c>
      <c r="BG40" s="8">
        <v>0.11285375681706154</v>
      </c>
      <c r="BH40" s="8">
        <v>0.14718345979882411</v>
      </c>
      <c r="BR40" s="6" t="s">
        <v>257</v>
      </c>
      <c r="BS40" s="8">
        <v>0.48063940978310954</v>
      </c>
      <c r="BT40" s="8">
        <v>0.52158588839176501</v>
      </c>
      <c r="BU40" s="8">
        <v>0.52180306295917467</v>
      </c>
      <c r="BV40" s="7">
        <v>0.45053906506262065</v>
      </c>
      <c r="BW40" s="8">
        <v>0.48734166335581408</v>
      </c>
      <c r="BX40" s="8">
        <v>0.46701899186667423</v>
      </c>
      <c r="BY40" s="8">
        <v>0.22270557811828171</v>
      </c>
      <c r="BZ40" s="8">
        <v>0.27514629048770495</v>
      </c>
      <c r="CA40" s="8">
        <v>0.25330318430144871</v>
      </c>
      <c r="CB40" s="8">
        <v>0.33580239178487648</v>
      </c>
      <c r="CC40" s="8">
        <v>0.37571727268617588</v>
      </c>
      <c r="CD40" s="8">
        <v>0.33828404481656488</v>
      </c>
      <c r="CF40" s="6" t="s">
        <v>272</v>
      </c>
      <c r="CG40" s="6" t="s">
        <v>112</v>
      </c>
      <c r="CH40" s="6" t="s">
        <v>113</v>
      </c>
      <c r="CI40" s="8">
        <v>0.76557148793192431</v>
      </c>
    </row>
    <row r="41" spans="2:87" x14ac:dyDescent="0.45">
      <c r="B41" s="3" t="s">
        <v>259</v>
      </c>
      <c r="C41" s="3" t="s">
        <v>103</v>
      </c>
      <c r="D41" s="5">
        <v>0.27485365767300135</v>
      </c>
      <c r="E41" s="5">
        <v>0.28780662128272511</v>
      </c>
      <c r="F41" s="5">
        <v>0.26860239099385264</v>
      </c>
      <c r="G41" s="5">
        <v>0.28447702535336788</v>
      </c>
      <c r="H41" s="5">
        <v>0.29576436041212051</v>
      </c>
      <c r="I41" s="5">
        <v>0.30024598695402016</v>
      </c>
      <c r="J41" s="5">
        <v>0.33740406328275363</v>
      </c>
      <c r="K41" s="5">
        <v>0.41284065610683868</v>
      </c>
      <c r="L41" s="5">
        <v>0.35473446579359919</v>
      </c>
      <c r="M41" s="5">
        <v>0.28909432038721306</v>
      </c>
      <c r="N41" s="5">
        <v>0.31292615465929408</v>
      </c>
      <c r="O41" s="5">
        <v>0.28842031738479007</v>
      </c>
      <c r="Q41" s="3" t="s">
        <v>259</v>
      </c>
      <c r="R41" s="3" t="s">
        <v>104</v>
      </c>
      <c r="S41" s="5">
        <v>1.3359003045492914E-2</v>
      </c>
      <c r="T41" s="5">
        <v>1.9084729207282949E-2</v>
      </c>
      <c r="U41" s="5">
        <v>2.177990358372929E-2</v>
      </c>
      <c r="V41" s="5">
        <v>2.4904372751615899E-2</v>
      </c>
      <c r="W41" s="5">
        <v>1.7821928231490789E-2</v>
      </c>
      <c r="X41" s="5">
        <v>1.148408533064545E-2</v>
      </c>
      <c r="Y41" s="5">
        <v>2.807141235707097E-2</v>
      </c>
      <c r="Z41" s="5">
        <v>5.1038275162388791E-2</v>
      </c>
      <c r="AA41" s="5">
        <v>2.1684611069529059E-2</v>
      </c>
      <c r="AB41" s="5">
        <v>3.4447640104903705E-2</v>
      </c>
      <c r="AC41" s="5">
        <v>3.7643004776073803E-2</v>
      </c>
      <c r="AD41" s="5">
        <v>1.5525978644041016E-2</v>
      </c>
      <c r="AF41" s="3" t="s">
        <v>259</v>
      </c>
      <c r="AG41" s="3" t="s">
        <v>105</v>
      </c>
      <c r="AH41" s="5">
        <v>2.6302052093545122E-2</v>
      </c>
      <c r="AI41" s="5">
        <v>1.155270708283325E-2</v>
      </c>
      <c r="AJ41" s="5">
        <v>2.622491987907228E-2</v>
      </c>
      <c r="AK41" s="5">
        <v>2.0870928988778424E-2</v>
      </c>
      <c r="AL41" s="5">
        <v>2.6127777989966832E-2</v>
      </c>
      <c r="AM41" s="5">
        <v>1.5885818412038004E-2</v>
      </c>
      <c r="AN41" s="5">
        <v>3.8391705610650403E-2</v>
      </c>
      <c r="AO41" s="5">
        <v>3.318849532964311E-2</v>
      </c>
      <c r="AP41" s="5">
        <v>4.7810591670856509E-2</v>
      </c>
      <c r="AQ41" s="5">
        <v>3.0528705310371558E-2</v>
      </c>
      <c r="AR41" s="5">
        <v>5.4936747074774424E-2</v>
      </c>
      <c r="AS41" s="5">
        <v>2.8749886828900364E-2</v>
      </c>
      <c r="AU41" s="3" t="s">
        <v>259</v>
      </c>
      <c r="AV41" s="3" t="s">
        <v>106</v>
      </c>
      <c r="AW41" s="5">
        <v>0.11881134346257959</v>
      </c>
      <c r="AX41" s="5">
        <v>0.12829518735991385</v>
      </c>
      <c r="AY41" s="5">
        <v>0.10045371870317774</v>
      </c>
      <c r="AZ41" s="5">
        <v>0.11995137502729196</v>
      </c>
      <c r="BA41" s="5">
        <v>0.12738592672122584</v>
      </c>
      <c r="BB41" s="5">
        <v>0.15212106232419456</v>
      </c>
      <c r="BC41" s="5">
        <v>0.17361222730178144</v>
      </c>
      <c r="BD41" s="5">
        <v>0.19627484935473533</v>
      </c>
      <c r="BE41" s="5">
        <v>0.16871538279024317</v>
      </c>
      <c r="BF41" s="5">
        <v>0.12555387789421907</v>
      </c>
      <c r="BG41" s="5">
        <v>0.10267483814017114</v>
      </c>
      <c r="BH41" s="5">
        <v>0.1426125072500328</v>
      </c>
      <c r="BR41" s="3" t="s">
        <v>259</v>
      </c>
      <c r="BS41" s="5">
        <v>0.50776157707021208</v>
      </c>
      <c r="BT41" s="5">
        <v>0.5202832295678349</v>
      </c>
      <c r="BU41" s="5">
        <v>0.52864302770251892</v>
      </c>
      <c r="BV41" s="4">
        <v>0.44350193510478636</v>
      </c>
      <c r="BW41" s="5">
        <v>0.46734605105796262</v>
      </c>
      <c r="BX41" s="5">
        <v>0.4287645083875733</v>
      </c>
      <c r="BY41" s="5">
        <v>0.22312055471854325</v>
      </c>
      <c r="BZ41" s="5">
        <v>0.25758726080909938</v>
      </c>
      <c r="CA41" s="5">
        <v>0.26297462704773666</v>
      </c>
      <c r="CB41" s="5">
        <v>0.36719759056698992</v>
      </c>
      <c r="CC41" s="5">
        <v>0.40576414171360681</v>
      </c>
      <c r="CD41" s="5">
        <v>0.37335402544181889</v>
      </c>
      <c r="CF41" s="3" t="s">
        <v>274</v>
      </c>
      <c r="CG41" s="3" t="s">
        <v>112</v>
      </c>
      <c r="CH41" s="3" t="s">
        <v>113</v>
      </c>
      <c r="CI41" s="5">
        <v>0.71926212804918432</v>
      </c>
    </row>
    <row r="42" spans="2:87" x14ac:dyDescent="0.45">
      <c r="B42" s="6" t="s">
        <v>261</v>
      </c>
      <c r="C42" s="6" t="s">
        <v>103</v>
      </c>
      <c r="D42" s="8">
        <v>0.28932059893528417</v>
      </c>
      <c r="E42" s="8">
        <v>0.29318216844219103</v>
      </c>
      <c r="F42" s="8">
        <v>0.27696290988899624</v>
      </c>
      <c r="G42" s="8">
        <v>0.28636684200736906</v>
      </c>
      <c r="H42" s="8">
        <v>0.29417702432114839</v>
      </c>
      <c r="I42" s="8">
        <v>0.2827935169435602</v>
      </c>
      <c r="J42" s="8">
        <v>0.37027414471024889</v>
      </c>
      <c r="K42" s="8">
        <v>0.41290341526841473</v>
      </c>
      <c r="L42" s="8">
        <v>0.36132160814375269</v>
      </c>
      <c r="M42" s="8">
        <v>0.3075572124173217</v>
      </c>
      <c r="N42" s="8">
        <v>0.33062813027016286</v>
      </c>
      <c r="O42" s="8">
        <v>0.30768312969199796</v>
      </c>
      <c r="Q42" s="6" t="s">
        <v>261</v>
      </c>
      <c r="R42" s="6" t="s">
        <v>104</v>
      </c>
      <c r="S42" s="8">
        <v>1.25420086014366E-2</v>
      </c>
      <c r="T42" s="8">
        <v>2.7785487676974016E-2</v>
      </c>
      <c r="U42" s="8">
        <v>2.5497525378594336E-2</v>
      </c>
      <c r="V42" s="8">
        <v>2.6474105191502936E-2</v>
      </c>
      <c r="W42" s="8">
        <v>2.537291390796308E-2</v>
      </c>
      <c r="X42" s="8">
        <v>1.0938578451044014E-2</v>
      </c>
      <c r="Y42" s="8">
        <v>3.4274163821338875E-2</v>
      </c>
      <c r="Z42" s="8">
        <v>4.4290901532783845E-2</v>
      </c>
      <c r="AA42" s="8">
        <v>2.0831483688654291E-2</v>
      </c>
      <c r="AB42" s="8">
        <v>4.890763880190082E-2</v>
      </c>
      <c r="AC42" s="8">
        <v>3.1626182402615333E-2</v>
      </c>
      <c r="AD42" s="8">
        <v>1.9974713345522834E-2</v>
      </c>
      <c r="AF42" s="6" t="s">
        <v>261</v>
      </c>
      <c r="AG42" s="6" t="s">
        <v>105</v>
      </c>
      <c r="AH42" s="8">
        <v>2.4526752107007322E-2</v>
      </c>
      <c r="AI42" s="8">
        <v>1.6682540805551632E-2</v>
      </c>
      <c r="AJ42" s="8">
        <v>3.8906635651225374E-2</v>
      </c>
      <c r="AK42" s="8">
        <v>2.0927826155134815E-2</v>
      </c>
      <c r="AL42" s="8">
        <v>3.1959831922908258E-2</v>
      </c>
      <c r="AM42" s="8">
        <v>2.3267731646632851E-2</v>
      </c>
      <c r="AN42" s="8">
        <v>4.2130663899156852E-2</v>
      </c>
      <c r="AO42" s="8">
        <v>4.5730369166599609E-2</v>
      </c>
      <c r="AP42" s="8">
        <v>4.4963409433557019E-2</v>
      </c>
      <c r="AQ42" s="8">
        <v>3.6607111842623517E-2</v>
      </c>
      <c r="AR42" s="8">
        <v>6.3414830213545992E-2</v>
      </c>
      <c r="AS42" s="8">
        <v>2.0743227152368281E-2</v>
      </c>
      <c r="AU42" s="6" t="s">
        <v>261</v>
      </c>
      <c r="AV42" s="6" t="s">
        <v>106</v>
      </c>
      <c r="AW42" s="8">
        <v>0.13569464629574524</v>
      </c>
      <c r="AX42" s="8">
        <v>0.12527633878937974</v>
      </c>
      <c r="AY42" s="8">
        <v>9.6236722058775884E-2</v>
      </c>
      <c r="AZ42" s="8">
        <v>0.12855791454039814</v>
      </c>
      <c r="BA42" s="8">
        <v>0.12104451829019985</v>
      </c>
      <c r="BB42" s="8">
        <v>0.14123488730800085</v>
      </c>
      <c r="BC42" s="8">
        <v>0.18520843407674278</v>
      </c>
      <c r="BD42" s="8">
        <v>0.18475582210867345</v>
      </c>
      <c r="BE42" s="8">
        <v>0.18594608267356383</v>
      </c>
      <c r="BF42" s="8">
        <v>0.11686274789944877</v>
      </c>
      <c r="BG42" s="8">
        <v>0.12020616776649981</v>
      </c>
      <c r="BH42" s="8">
        <v>0.16273074042407926</v>
      </c>
      <c r="BR42" s="6" t="s">
        <v>261</v>
      </c>
      <c r="BS42" s="8">
        <v>0.45728280258908899</v>
      </c>
      <c r="BT42" s="8">
        <v>0.49533251602999884</v>
      </c>
      <c r="BU42" s="8">
        <v>0.49617584070902304</v>
      </c>
      <c r="BV42" s="7">
        <v>0.39206759667244756</v>
      </c>
      <c r="BW42" s="8">
        <v>0.44306264631985687</v>
      </c>
      <c r="BX42" s="8">
        <v>0.41503774887640049</v>
      </c>
      <c r="BY42" s="8">
        <v>0.19790911371596409</v>
      </c>
      <c r="BZ42" s="8">
        <v>0.24648801408105164</v>
      </c>
      <c r="CA42" s="8">
        <v>0.22196300692719464</v>
      </c>
      <c r="CB42" s="8">
        <v>0.30777753329668844</v>
      </c>
      <c r="CC42" s="8">
        <v>0.34428403621520642</v>
      </c>
      <c r="CD42" s="8">
        <v>0.30761639960592524</v>
      </c>
      <c r="CF42" s="6" t="s">
        <v>275</v>
      </c>
      <c r="CG42" s="6" t="s">
        <v>112</v>
      </c>
      <c r="CH42" s="6" t="s">
        <v>113</v>
      </c>
      <c r="CI42" s="8">
        <v>0.79645990415049539</v>
      </c>
    </row>
    <row r="43" spans="2:87" x14ac:dyDescent="0.45">
      <c r="B43" s="3" t="s">
        <v>263</v>
      </c>
      <c r="C43" s="3" t="s">
        <v>103</v>
      </c>
      <c r="D43" s="5">
        <v>0.24932022652132252</v>
      </c>
      <c r="E43" s="5">
        <v>0.24753807224587682</v>
      </c>
      <c r="F43" s="5">
        <v>0.23817596461193272</v>
      </c>
      <c r="G43" s="5">
        <v>0.28288126627522775</v>
      </c>
      <c r="H43" s="5">
        <v>0.27858422448689824</v>
      </c>
      <c r="I43" s="5">
        <v>0.28412477248295753</v>
      </c>
      <c r="J43" s="5">
        <v>0.3756063033907574</v>
      </c>
      <c r="K43" s="5">
        <v>0.39725134058016986</v>
      </c>
      <c r="L43" s="5">
        <v>0.3584131082732242</v>
      </c>
      <c r="M43" s="5">
        <v>0.29370434351070895</v>
      </c>
      <c r="N43" s="5">
        <v>0.30428008117484001</v>
      </c>
      <c r="O43" s="5">
        <v>0.29084338008127031</v>
      </c>
      <c r="Q43" s="3" t="s">
        <v>263</v>
      </c>
      <c r="R43" s="3" t="s">
        <v>104</v>
      </c>
      <c r="S43" s="5">
        <v>1.4610672526861317E-2</v>
      </c>
      <c r="T43" s="5">
        <v>1.7907686307394203E-2</v>
      </c>
      <c r="U43" s="5">
        <v>1.7471405805742499E-2</v>
      </c>
      <c r="V43" s="5">
        <v>1.9139359777902459E-2</v>
      </c>
      <c r="W43" s="5">
        <v>1.7389688137179834E-2</v>
      </c>
      <c r="X43" s="5">
        <v>1.4956302757333848E-2</v>
      </c>
      <c r="Y43" s="5">
        <v>2.4304178490639029E-2</v>
      </c>
      <c r="Z43" s="5">
        <v>1.9839689444692235E-2</v>
      </c>
      <c r="AA43" s="5">
        <v>2.303353144450309E-2</v>
      </c>
      <c r="AB43" s="5">
        <v>2.8673408246181122E-2</v>
      </c>
      <c r="AC43" s="5">
        <v>2.5230734114151162E-2</v>
      </c>
      <c r="AD43" s="5">
        <v>2.5732909515407229E-2</v>
      </c>
      <c r="AF43" s="3" t="s">
        <v>263</v>
      </c>
      <c r="AG43" s="3" t="s">
        <v>105</v>
      </c>
      <c r="AH43" s="5">
        <v>2.3189983291314911E-2</v>
      </c>
      <c r="AI43" s="5">
        <v>1.509375392909775E-2</v>
      </c>
      <c r="AJ43" s="5">
        <v>2.4301484723325138E-2</v>
      </c>
      <c r="AK43" s="5">
        <v>1.3606053274756912E-2</v>
      </c>
      <c r="AL43" s="5">
        <v>2.2637166015925952E-2</v>
      </c>
      <c r="AM43" s="5">
        <v>2.3025708040069589E-2</v>
      </c>
      <c r="AN43" s="5">
        <v>4.6040832317113214E-2</v>
      </c>
      <c r="AO43" s="5">
        <v>2.5121415974677735E-2</v>
      </c>
      <c r="AP43" s="5">
        <v>3.6413773590630381E-2</v>
      </c>
      <c r="AQ43" s="5">
        <v>3.9325009853002156E-2</v>
      </c>
      <c r="AR43" s="5">
        <v>4.4698489748503677E-2</v>
      </c>
      <c r="AS43" s="5">
        <v>1.2643932788747753E-2</v>
      </c>
      <c r="AU43" s="3" t="s">
        <v>263</v>
      </c>
      <c r="AV43" s="3" t="s">
        <v>106</v>
      </c>
      <c r="AW43" s="5">
        <v>0.10117744027300901</v>
      </c>
      <c r="AX43" s="5">
        <v>0.10354164347867574</v>
      </c>
      <c r="AY43" s="5">
        <v>9.0073754069669956E-2</v>
      </c>
      <c r="AZ43" s="5">
        <v>0.13186323508502809</v>
      </c>
      <c r="BA43" s="5">
        <v>0.11742317924188352</v>
      </c>
      <c r="BB43" s="5">
        <v>0.12878385776826365</v>
      </c>
      <c r="BC43" s="5">
        <v>0.1885485155031974</v>
      </c>
      <c r="BD43" s="5">
        <v>0.2163604910724487</v>
      </c>
      <c r="BE43" s="5">
        <v>0.18591813292358014</v>
      </c>
      <c r="BF43" s="5">
        <v>0.10936570159604775</v>
      </c>
      <c r="BG43" s="5">
        <v>0.11683318344940806</v>
      </c>
      <c r="BH43" s="5">
        <v>0.14309364502956115</v>
      </c>
      <c r="BR43" s="3" t="s">
        <v>263</v>
      </c>
      <c r="BS43" s="5">
        <v>0.52667332669509503</v>
      </c>
      <c r="BT43" s="5">
        <v>0.5467156787988714</v>
      </c>
      <c r="BU43" s="5">
        <v>0.55862975446485819</v>
      </c>
      <c r="BV43" s="4">
        <v>0.42989480696614674</v>
      </c>
      <c r="BW43" s="5">
        <v>0.48156162241625261</v>
      </c>
      <c r="BX43" s="5">
        <v>0.45049893205589486</v>
      </c>
      <c r="BY43" s="5">
        <v>0.23802361519075285</v>
      </c>
      <c r="BZ43" s="5">
        <v>0.26446595671731687</v>
      </c>
      <c r="CA43" s="5">
        <v>0.24599527810016661</v>
      </c>
      <c r="CB43" s="5">
        <v>0.37724269524474363</v>
      </c>
      <c r="CC43" s="5">
        <v>0.40916616509054438</v>
      </c>
      <c r="CD43" s="5">
        <v>0.37272116680722861</v>
      </c>
      <c r="CF43" s="3" t="s">
        <v>276</v>
      </c>
      <c r="CG43" s="3" t="s">
        <v>112</v>
      </c>
      <c r="CH43" s="3" t="s">
        <v>113</v>
      </c>
      <c r="CI43" s="5">
        <v>0.76757388344837396</v>
      </c>
    </row>
    <row r="44" spans="2:87" x14ac:dyDescent="0.45">
      <c r="B44" s="6" t="s">
        <v>265</v>
      </c>
      <c r="C44" s="6" t="s">
        <v>103</v>
      </c>
      <c r="D44" s="8">
        <v>0.2716066914669808</v>
      </c>
      <c r="E44" s="8">
        <v>0.28537164508130536</v>
      </c>
      <c r="F44" s="8">
        <v>0.26832127528478883</v>
      </c>
      <c r="G44" s="8">
        <v>0.29127580930856373</v>
      </c>
      <c r="H44" s="8">
        <v>0.30230215577787201</v>
      </c>
      <c r="I44" s="8">
        <v>0.31212929560153535</v>
      </c>
      <c r="J44" s="8">
        <v>0.35630059091053279</v>
      </c>
      <c r="K44" s="8">
        <v>0.42686527949645903</v>
      </c>
      <c r="L44" s="8">
        <v>0.36606693236623578</v>
      </c>
      <c r="M44" s="8">
        <v>0.27893649819459704</v>
      </c>
      <c r="N44" s="8">
        <v>0.30671362589007461</v>
      </c>
      <c r="O44" s="8">
        <v>0.28293670200091886</v>
      </c>
      <c r="Q44" s="6" t="s">
        <v>265</v>
      </c>
      <c r="R44" s="6" t="s">
        <v>104</v>
      </c>
      <c r="S44" s="8">
        <v>1.8713973957650596E-2</v>
      </c>
      <c r="T44" s="8">
        <v>1.8628614577520963E-2</v>
      </c>
      <c r="U44" s="8">
        <v>2.294743913253457E-2</v>
      </c>
      <c r="V44" s="8">
        <v>2.6219821576181936E-2</v>
      </c>
      <c r="W44" s="8">
        <v>2.267207017293528E-2</v>
      </c>
      <c r="X44" s="8">
        <v>7.5575075500862177E-3</v>
      </c>
      <c r="Y44" s="8">
        <v>2.5214904675974256E-2</v>
      </c>
      <c r="Z44" s="8">
        <v>3.7742404390890071E-2</v>
      </c>
      <c r="AA44" s="8">
        <v>1.687694941266769E-2</v>
      </c>
      <c r="AB44" s="8">
        <v>3.0983388954595834E-2</v>
      </c>
      <c r="AC44" s="8">
        <v>3.4797084855692301E-2</v>
      </c>
      <c r="AD44" s="8">
        <v>2.3182572915380714E-2</v>
      </c>
      <c r="AF44" s="6" t="s">
        <v>265</v>
      </c>
      <c r="AG44" s="6" t="s">
        <v>105</v>
      </c>
      <c r="AH44" s="8">
        <v>2.4749412873529247E-2</v>
      </c>
      <c r="AI44" s="8">
        <v>1.3109558180414585E-2</v>
      </c>
      <c r="AJ44" s="8">
        <v>2.5033401888513437E-2</v>
      </c>
      <c r="AK44" s="8">
        <v>1.9477958807083112E-2</v>
      </c>
      <c r="AL44" s="8">
        <v>2.5942789399809384E-2</v>
      </c>
      <c r="AM44" s="8">
        <v>2.2341211918799859E-2</v>
      </c>
      <c r="AN44" s="8">
        <v>3.5551482356002598E-2</v>
      </c>
      <c r="AO44" s="8">
        <v>3.9143203943576579E-2</v>
      </c>
      <c r="AP44" s="8">
        <v>4.5291160165588651E-2</v>
      </c>
      <c r="AQ44" s="8">
        <v>3.4852570579859674E-2</v>
      </c>
      <c r="AR44" s="8">
        <v>5.768119542878565E-2</v>
      </c>
      <c r="AS44" s="8">
        <v>1.0566488911179077E-2</v>
      </c>
      <c r="AU44" s="6" t="s">
        <v>265</v>
      </c>
      <c r="AV44" s="6" t="s">
        <v>106</v>
      </c>
      <c r="AW44" s="8">
        <v>0.11501770206998882</v>
      </c>
      <c r="AX44" s="8">
        <v>0.13330595556798502</v>
      </c>
      <c r="AY44" s="8">
        <v>0.10684457688654087</v>
      </c>
      <c r="AZ44" s="8">
        <v>0.12968929486087308</v>
      </c>
      <c r="BA44" s="8">
        <v>0.13294799827196435</v>
      </c>
      <c r="BB44" s="8">
        <v>0.16432569569261823</v>
      </c>
      <c r="BC44" s="8">
        <v>0.19371634063239651</v>
      </c>
      <c r="BD44" s="8">
        <v>0.21177307488743546</v>
      </c>
      <c r="BE44" s="8">
        <v>0.19310872418148006</v>
      </c>
      <c r="BF44" s="8">
        <v>0.11457404309656369</v>
      </c>
      <c r="BG44" s="8">
        <v>0.10656589345533914</v>
      </c>
      <c r="BH44" s="8">
        <v>0.15533639010226138</v>
      </c>
      <c r="BR44" s="6" t="s">
        <v>265</v>
      </c>
      <c r="BS44" s="8">
        <v>0.48991130900039132</v>
      </c>
      <c r="BT44" s="8">
        <v>0.49410947949076478</v>
      </c>
      <c r="BU44" s="8">
        <v>0.51380515736288401</v>
      </c>
      <c r="BV44" s="7">
        <v>0.41093984794970917</v>
      </c>
      <c r="BW44" s="8">
        <v>0.44667671641742274</v>
      </c>
      <c r="BX44" s="8">
        <v>0.4068635581654948</v>
      </c>
      <c r="BY44" s="8">
        <v>0.20480176862980742</v>
      </c>
      <c r="BZ44" s="8">
        <v>0.23547686356037401</v>
      </c>
      <c r="CA44" s="8">
        <v>0.22132358234216323</v>
      </c>
      <c r="CB44" s="8">
        <v>0.34444392038446969</v>
      </c>
      <c r="CC44" s="8">
        <v>0.37478458435292228</v>
      </c>
      <c r="CD44" s="8">
        <v>0.3454341949112924</v>
      </c>
      <c r="CF44" s="6" t="s">
        <v>277</v>
      </c>
      <c r="CG44" s="6" t="s">
        <v>112</v>
      </c>
      <c r="CH44" s="6" t="s">
        <v>113</v>
      </c>
      <c r="CI44" s="8">
        <v>0.73842265675163488</v>
      </c>
    </row>
    <row r="45" spans="2:87" x14ac:dyDescent="0.45">
      <c r="B45" s="3" t="s">
        <v>267</v>
      </c>
      <c r="C45" s="3" t="s">
        <v>103</v>
      </c>
      <c r="D45" s="5">
        <v>0.27610582670579886</v>
      </c>
      <c r="E45" s="5">
        <v>0.28522381566640759</v>
      </c>
      <c r="F45" s="5">
        <v>0.27334827242196935</v>
      </c>
      <c r="G45" s="5">
        <v>0.30687582059739521</v>
      </c>
      <c r="H45" s="5">
        <v>0.30606926663545092</v>
      </c>
      <c r="I45" s="5">
        <v>0.31576091920427829</v>
      </c>
      <c r="J45" s="5">
        <v>0.39809484261449113</v>
      </c>
      <c r="K45" s="5">
        <v>0.41973782418995359</v>
      </c>
      <c r="L45" s="5">
        <v>0.38125408499862362</v>
      </c>
      <c r="M45" s="5">
        <v>0.31130070342938393</v>
      </c>
      <c r="N45" s="5">
        <v>0.32386838083442876</v>
      </c>
      <c r="O45" s="5">
        <v>0.30324669547759914</v>
      </c>
      <c r="Q45" s="3" t="s">
        <v>267</v>
      </c>
      <c r="R45" s="3" t="s">
        <v>104</v>
      </c>
      <c r="S45" s="5">
        <v>2.0895669490621049E-2</v>
      </c>
      <c r="T45" s="5">
        <v>2.0969207206258913E-2</v>
      </c>
      <c r="U45" s="5">
        <v>2.7459411378885589E-2</v>
      </c>
      <c r="V45" s="5">
        <v>2.217950043067585E-2</v>
      </c>
      <c r="W45" s="5">
        <v>2.6434722777324615E-2</v>
      </c>
      <c r="X45" s="5">
        <v>1.5600898363558461E-2</v>
      </c>
      <c r="Y45" s="5">
        <v>2.167019742601094E-2</v>
      </c>
      <c r="Z45" s="5">
        <v>2.1305073433125255E-2</v>
      </c>
      <c r="AA45" s="5">
        <v>3.1250311066942003E-2</v>
      </c>
      <c r="AB45" s="5">
        <v>3.1200770059764123E-2</v>
      </c>
      <c r="AC45" s="5">
        <v>3.9609366497274867E-2</v>
      </c>
      <c r="AD45" s="5">
        <v>2.5683646993514924E-2</v>
      </c>
      <c r="AF45" s="3" t="s">
        <v>267</v>
      </c>
      <c r="AG45" s="3" t="s">
        <v>105</v>
      </c>
      <c r="AH45" s="5">
        <v>3.4958468010502605E-2</v>
      </c>
      <c r="AI45" s="5">
        <v>1.9524348281247699E-2</v>
      </c>
      <c r="AJ45" s="5">
        <v>2.5780800245927271E-2</v>
      </c>
      <c r="AK45" s="5">
        <v>1.7383613843641926E-2</v>
      </c>
      <c r="AL45" s="5">
        <v>2.7759340791585468E-2</v>
      </c>
      <c r="AM45" s="5">
        <v>2.0628248537931895E-2</v>
      </c>
      <c r="AN45" s="5">
        <v>4.6076801901675679E-2</v>
      </c>
      <c r="AO45" s="5">
        <v>3.4118168493903235E-2</v>
      </c>
      <c r="AP45" s="5">
        <v>3.879248613573065E-2</v>
      </c>
      <c r="AQ45" s="5">
        <v>4.3413219795707107E-2</v>
      </c>
      <c r="AR45" s="5">
        <v>4.9541497052219018E-2</v>
      </c>
      <c r="AS45" s="5">
        <v>1.4565188561541691E-2</v>
      </c>
      <c r="AU45" s="3" t="s">
        <v>267</v>
      </c>
      <c r="AV45" s="3" t="s">
        <v>106</v>
      </c>
      <c r="AW45" s="5">
        <v>0.10196005446268888</v>
      </c>
      <c r="AX45" s="5">
        <v>0.12663414144128707</v>
      </c>
      <c r="AY45" s="5">
        <v>0.1028474518721172</v>
      </c>
      <c r="AZ45" s="5">
        <v>0.14779977991960463</v>
      </c>
      <c r="BA45" s="5">
        <v>0.12412415217476194</v>
      </c>
      <c r="BB45" s="5">
        <v>0.1533049067463364</v>
      </c>
      <c r="BC45" s="5">
        <v>0.21714230222658354</v>
      </c>
      <c r="BD45" s="5">
        <v>0.22852824652526629</v>
      </c>
      <c r="BE45" s="5">
        <v>0.19198937691523912</v>
      </c>
      <c r="BF45" s="5">
        <v>0.12524475699695917</v>
      </c>
      <c r="BG45" s="5">
        <v>0.11257713279098609</v>
      </c>
      <c r="BH45" s="5">
        <v>0.16184545308949141</v>
      </c>
      <c r="BR45" s="3" t="s">
        <v>267</v>
      </c>
      <c r="BS45" s="5">
        <v>0.49315019378952657</v>
      </c>
      <c r="BT45" s="5">
        <v>0.49042766994462189</v>
      </c>
      <c r="BU45" s="5">
        <v>0.51947873727949734</v>
      </c>
      <c r="BV45" s="4">
        <v>0.39579313043052111</v>
      </c>
      <c r="BW45" s="5">
        <v>0.44171934105106841</v>
      </c>
      <c r="BX45" s="5">
        <v>0.40466475484981307</v>
      </c>
      <c r="BY45" s="5">
        <v>0.19617910591635548</v>
      </c>
      <c r="BZ45" s="5">
        <v>0.22650514645928271</v>
      </c>
      <c r="CA45" s="5">
        <v>0.19779932729850802</v>
      </c>
      <c r="CB45" s="5">
        <v>0.33602036509628463</v>
      </c>
      <c r="CC45" s="5">
        <v>0.37906300197723214</v>
      </c>
      <c r="CD45" s="5">
        <v>0.33225558727103877</v>
      </c>
      <c r="CF45" s="3" t="s">
        <v>278</v>
      </c>
      <c r="CG45" s="3" t="s">
        <v>112</v>
      </c>
      <c r="CH45" s="3" t="s">
        <v>113</v>
      </c>
      <c r="CI45" s="5">
        <v>0.50607393981104953</v>
      </c>
    </row>
    <row r="46" spans="2:87" x14ac:dyDescent="0.45">
      <c r="B46" s="6" t="s">
        <v>269</v>
      </c>
      <c r="C46" s="6" t="s">
        <v>103</v>
      </c>
      <c r="D46" s="8">
        <v>0.25513216306704278</v>
      </c>
      <c r="E46" s="8">
        <v>0.26700117170885579</v>
      </c>
      <c r="F46" s="8">
        <v>0.25446085985174743</v>
      </c>
      <c r="G46" s="8">
        <v>0.30219512809894483</v>
      </c>
      <c r="H46" s="8">
        <v>0.29231685813595931</v>
      </c>
      <c r="I46" s="8">
        <v>0.30509517407377762</v>
      </c>
      <c r="J46" s="8">
        <v>0.3913900682633431</v>
      </c>
      <c r="K46" s="8">
        <v>0.40909050501145522</v>
      </c>
      <c r="L46" s="8">
        <v>0.38199124952766939</v>
      </c>
      <c r="M46" s="8">
        <v>0.29732405653614596</v>
      </c>
      <c r="N46" s="8">
        <v>0.30513773245282094</v>
      </c>
      <c r="O46" s="8">
        <v>0.29150428208331475</v>
      </c>
      <c r="Q46" s="6" t="s">
        <v>269</v>
      </c>
      <c r="R46" s="6" t="s">
        <v>104</v>
      </c>
      <c r="S46" s="8">
        <v>1.4182746917803355E-2</v>
      </c>
      <c r="T46" s="8">
        <v>1.8746059794956759E-2</v>
      </c>
      <c r="U46" s="8">
        <v>1.5003880427668984E-2</v>
      </c>
      <c r="V46" s="8">
        <v>1.961183871387559E-2</v>
      </c>
      <c r="W46" s="8">
        <v>2.0896524397917293E-2</v>
      </c>
      <c r="X46" s="8">
        <v>1.4657324541102003E-2</v>
      </c>
      <c r="Y46" s="8">
        <v>2.0240365425889868E-2</v>
      </c>
      <c r="Z46" s="8">
        <v>2.028822221446077E-2</v>
      </c>
      <c r="AA46" s="8">
        <v>3.4087440553580435E-2</v>
      </c>
      <c r="AB46" s="8">
        <v>2.524827263763597E-2</v>
      </c>
      <c r="AC46" s="8">
        <v>3.5479073191567602E-2</v>
      </c>
      <c r="AD46" s="8">
        <v>2.1204687799938428E-2</v>
      </c>
      <c r="AF46" s="6" t="s">
        <v>269</v>
      </c>
      <c r="AG46" s="6" t="s">
        <v>105</v>
      </c>
      <c r="AH46" s="8">
        <v>2.1080857757591578E-2</v>
      </c>
      <c r="AI46" s="8">
        <v>1.2039496440086032E-2</v>
      </c>
      <c r="AJ46" s="8">
        <v>2.1182143348205212E-2</v>
      </c>
      <c r="AK46" s="8">
        <v>2.1198516401901162E-2</v>
      </c>
      <c r="AL46" s="8">
        <v>2.4462419774078443E-2</v>
      </c>
      <c r="AM46" s="8">
        <v>1.6490235976011212E-2</v>
      </c>
      <c r="AN46" s="8">
        <v>4.9365609063653858E-2</v>
      </c>
      <c r="AO46" s="8">
        <v>3.4884131177436543E-2</v>
      </c>
      <c r="AP46" s="8">
        <v>3.2504251569652538E-2</v>
      </c>
      <c r="AQ46" s="8">
        <v>3.7875895410960335E-2</v>
      </c>
      <c r="AR46" s="8">
        <v>4.9216783341090323E-2</v>
      </c>
      <c r="AS46" s="8">
        <v>9.4329546905573408E-3</v>
      </c>
      <c r="AU46" s="6" t="s">
        <v>269</v>
      </c>
      <c r="AV46" s="6" t="s">
        <v>106</v>
      </c>
      <c r="AW46" s="8">
        <v>0.10462453211424677</v>
      </c>
      <c r="AX46" s="8">
        <v>0.11950223146253669</v>
      </c>
      <c r="AY46" s="8">
        <v>0.10372453093565634</v>
      </c>
      <c r="AZ46" s="8">
        <v>0.13783584522238146</v>
      </c>
      <c r="BA46" s="8">
        <v>0.12190939128714989</v>
      </c>
      <c r="BB46" s="8">
        <v>0.14826740152508872</v>
      </c>
      <c r="BC46" s="8">
        <v>0.20887208063149024</v>
      </c>
      <c r="BD46" s="8">
        <v>0.22594998495484275</v>
      </c>
      <c r="BE46" s="8">
        <v>0.19376085879989319</v>
      </c>
      <c r="BF46" s="8">
        <v>0.12274148783901795</v>
      </c>
      <c r="BG46" s="8">
        <v>0.10405814660191971</v>
      </c>
      <c r="BH46" s="8">
        <v>0.15912345133299999</v>
      </c>
      <c r="BR46" s="6" t="s">
        <v>269</v>
      </c>
      <c r="BS46" s="8">
        <v>0.5374012384573994</v>
      </c>
      <c r="BT46" s="8">
        <v>0.52556780383628976</v>
      </c>
      <c r="BU46" s="8">
        <v>0.55593313974129599</v>
      </c>
      <c r="BV46" s="7">
        <v>0.42956812285945467</v>
      </c>
      <c r="BW46" s="8">
        <v>0.47035503795233935</v>
      </c>
      <c r="BX46" s="8">
        <v>0.43254479227159431</v>
      </c>
      <c r="BY46" s="8">
        <v>0.20554117395847363</v>
      </c>
      <c r="BZ46" s="8">
        <v>0.240768739658412</v>
      </c>
      <c r="CA46" s="8">
        <v>0.21049319752108231</v>
      </c>
      <c r="CB46" s="8">
        <v>0.37757077437962322</v>
      </c>
      <c r="CC46" s="8">
        <v>0.41331096232493014</v>
      </c>
      <c r="CD46" s="8">
        <v>0.37404692978883952</v>
      </c>
      <c r="CF46" s="6" t="s">
        <v>279</v>
      </c>
      <c r="CG46" s="6" t="s">
        <v>112</v>
      </c>
      <c r="CH46" s="6" t="s">
        <v>113</v>
      </c>
      <c r="CI46" s="8">
        <v>0.7042696405223744</v>
      </c>
    </row>
    <row r="47" spans="2:87" x14ac:dyDescent="0.45">
      <c r="B47" s="3" t="s">
        <v>271</v>
      </c>
      <c r="C47" s="3" t="s">
        <v>103</v>
      </c>
      <c r="D47" s="5">
        <v>0.23554826998790079</v>
      </c>
      <c r="E47" s="5">
        <v>0.23000109747990546</v>
      </c>
      <c r="F47" s="5">
        <v>0.22036082190693271</v>
      </c>
      <c r="G47" s="5">
        <v>0.25042987659871457</v>
      </c>
      <c r="H47" s="5">
        <v>0.25503731836842353</v>
      </c>
      <c r="I47" s="5">
        <v>0.24654980564529883</v>
      </c>
      <c r="J47" s="5">
        <v>0.36686898102781018</v>
      </c>
      <c r="K47" s="5">
        <v>0.37080894081567023</v>
      </c>
      <c r="L47" s="5">
        <v>0.34359348990285538</v>
      </c>
      <c r="M47" s="5">
        <v>0.28255075719849487</v>
      </c>
      <c r="N47" s="5">
        <v>0.28691437765655836</v>
      </c>
      <c r="O47" s="5">
        <v>0.29654369810560194</v>
      </c>
      <c r="Q47" s="3" t="s">
        <v>271</v>
      </c>
      <c r="R47" s="3" t="s">
        <v>104</v>
      </c>
      <c r="S47" s="5">
        <v>1.6913851538918615E-2</v>
      </c>
      <c r="T47" s="5">
        <v>1.6642834171044854E-2</v>
      </c>
      <c r="U47" s="5">
        <v>1.445404660961639E-2</v>
      </c>
      <c r="V47" s="5">
        <v>1.6386017241405627E-2</v>
      </c>
      <c r="W47" s="5">
        <v>1.6058352132903013E-2</v>
      </c>
      <c r="X47" s="5">
        <v>6.0034196627164844E-3</v>
      </c>
      <c r="Y47" s="5">
        <v>2.5140250342842965E-2</v>
      </c>
      <c r="Z47" s="5">
        <v>3.2972715779606337E-2</v>
      </c>
      <c r="AA47" s="5">
        <v>1.9534226085615454E-2</v>
      </c>
      <c r="AB47" s="5">
        <v>2.595620193865163E-2</v>
      </c>
      <c r="AC47" s="5">
        <v>2.2703912068368411E-2</v>
      </c>
      <c r="AD47" s="5">
        <v>1.1959163539465391E-2</v>
      </c>
      <c r="AF47" s="3" t="s">
        <v>271</v>
      </c>
      <c r="AG47" s="3" t="s">
        <v>105</v>
      </c>
      <c r="AH47" s="5">
        <v>1.5302732015098351E-2</v>
      </c>
      <c r="AI47" s="5">
        <v>1.3566451238494433E-2</v>
      </c>
      <c r="AJ47" s="5">
        <v>2.4733079462564391E-2</v>
      </c>
      <c r="AK47" s="5">
        <v>1.7008145605441071E-2</v>
      </c>
      <c r="AL47" s="5">
        <v>2.1942368197820365E-2</v>
      </c>
      <c r="AM47" s="5">
        <v>2.3950361358550769E-2</v>
      </c>
      <c r="AN47" s="5">
        <v>3.9118780327178353E-2</v>
      </c>
      <c r="AO47" s="5">
        <v>2.6786266609551253E-2</v>
      </c>
      <c r="AP47" s="5">
        <v>6.0238400789084594E-2</v>
      </c>
      <c r="AQ47" s="5">
        <v>2.9599263819702896E-2</v>
      </c>
      <c r="AR47" s="5">
        <v>2.8829644681591854E-2</v>
      </c>
      <c r="AS47" s="5">
        <v>3.3928537819719842E-2</v>
      </c>
      <c r="AU47" s="3" t="s">
        <v>271</v>
      </c>
      <c r="AV47" s="3" t="s">
        <v>106</v>
      </c>
      <c r="AW47" s="5">
        <v>9.3991889169381532E-2</v>
      </c>
      <c r="AX47" s="5">
        <v>8.6108045708336259E-2</v>
      </c>
      <c r="AY47" s="5">
        <v>7.8470123532174266E-2</v>
      </c>
      <c r="AZ47" s="5">
        <v>0.11097018258540452</v>
      </c>
      <c r="BA47" s="5">
        <v>0.10091028541488779</v>
      </c>
      <c r="BB47" s="5">
        <v>0.1055480307837751</v>
      </c>
      <c r="BC47" s="5">
        <v>0.17651973350922096</v>
      </c>
      <c r="BD47" s="5">
        <v>0.1723177783118946</v>
      </c>
      <c r="BE47" s="5">
        <v>0.14941515748565973</v>
      </c>
      <c r="BF47" s="5">
        <v>0.11598505097036164</v>
      </c>
      <c r="BG47" s="5">
        <v>0.11744462415775807</v>
      </c>
      <c r="BH47" s="5">
        <v>0.1242126276002799</v>
      </c>
      <c r="BR47" s="3" t="s">
        <v>271</v>
      </c>
      <c r="BS47" s="5">
        <v>0.55859124691774686</v>
      </c>
      <c r="BT47" s="5">
        <v>0.59948811332671503</v>
      </c>
      <c r="BU47" s="5">
        <v>0.59421210632864363</v>
      </c>
      <c r="BV47" s="4">
        <v>0.48455733865541517</v>
      </c>
      <c r="BW47" s="5">
        <v>0.53691670330623742</v>
      </c>
      <c r="BX47" s="5">
        <v>0.51214629238432308</v>
      </c>
      <c r="BY47" s="5">
        <v>0.27499586891080913</v>
      </c>
      <c r="BZ47" s="5">
        <v>0.30964150383653194</v>
      </c>
      <c r="CA47" s="5">
        <v>0.28793510002122408</v>
      </c>
      <c r="CB47" s="5">
        <v>0.40836414669933863</v>
      </c>
      <c r="CC47" s="5">
        <v>0.437860685396251</v>
      </c>
      <c r="CD47" s="5">
        <v>0.39944039886974431</v>
      </c>
      <c r="CF47" s="3" t="s">
        <v>280</v>
      </c>
      <c r="CG47" s="3" t="s">
        <v>112</v>
      </c>
      <c r="CH47" s="3" t="s">
        <v>113</v>
      </c>
      <c r="CI47" s="5">
        <v>0.54797452326858087</v>
      </c>
    </row>
    <row r="48" spans="2:87" x14ac:dyDescent="0.45">
      <c r="B48" s="6" t="s">
        <v>273</v>
      </c>
      <c r="C48" s="6" t="s">
        <v>103</v>
      </c>
      <c r="D48" s="8">
        <v>0.2804888325381481</v>
      </c>
      <c r="E48" s="8">
        <v>0.28942583056565901</v>
      </c>
      <c r="F48" s="8">
        <v>0.27655491835929624</v>
      </c>
      <c r="G48" s="8">
        <v>0.27061764260214455</v>
      </c>
      <c r="H48" s="8">
        <v>0.27662215639861543</v>
      </c>
      <c r="I48" s="8">
        <v>0.26936943755109871</v>
      </c>
      <c r="J48" s="8">
        <v>0.32801139412868935</v>
      </c>
      <c r="K48" s="8">
        <v>0.39461845616690344</v>
      </c>
      <c r="L48" s="8">
        <v>0.33951941872990304</v>
      </c>
      <c r="M48" s="8">
        <v>0.28526938700183163</v>
      </c>
      <c r="N48" s="8">
        <v>0.31024968552615606</v>
      </c>
      <c r="O48" s="8">
        <v>0.28726941491209218</v>
      </c>
      <c r="Q48" s="6" t="s">
        <v>273</v>
      </c>
      <c r="R48" s="6" t="s">
        <v>104</v>
      </c>
      <c r="S48" s="8">
        <v>1.4205654274428851E-2</v>
      </c>
      <c r="T48" s="8">
        <v>2.1315725555876484E-2</v>
      </c>
      <c r="U48" s="8">
        <v>2.3408415314261535E-2</v>
      </c>
      <c r="V48" s="8">
        <v>2.4914824576817613E-2</v>
      </c>
      <c r="W48" s="8">
        <v>1.9269401772074125E-2</v>
      </c>
      <c r="X48" s="8">
        <v>1.0305827472316389E-2</v>
      </c>
      <c r="Y48" s="8">
        <v>2.9549173038762408E-2</v>
      </c>
      <c r="Z48" s="8">
        <v>5.1891570436627371E-2</v>
      </c>
      <c r="AA48" s="8">
        <v>1.4611640879621557E-2</v>
      </c>
      <c r="AB48" s="8">
        <v>3.7634570689872325E-2</v>
      </c>
      <c r="AC48" s="8">
        <v>3.3153215531696818E-2</v>
      </c>
      <c r="AD48" s="8">
        <v>1.3317842288955386E-2</v>
      </c>
      <c r="AF48" s="6" t="s">
        <v>273</v>
      </c>
      <c r="AG48" s="6" t="s">
        <v>105</v>
      </c>
      <c r="AH48" s="8">
        <v>2.3783350976421563E-2</v>
      </c>
      <c r="AI48" s="8">
        <v>1.3180620049146918E-2</v>
      </c>
      <c r="AJ48" s="8">
        <v>3.4733684468266503E-2</v>
      </c>
      <c r="AK48" s="8">
        <v>2.0210644726486978E-2</v>
      </c>
      <c r="AL48" s="8">
        <v>2.9278491353266191E-2</v>
      </c>
      <c r="AM48" s="8">
        <v>1.4687543721127513E-2</v>
      </c>
      <c r="AN48" s="8">
        <v>3.3673873261220351E-2</v>
      </c>
      <c r="AO48" s="8">
        <v>4.1613955295447459E-2</v>
      </c>
      <c r="AP48" s="8">
        <v>4.7552842778707867E-2</v>
      </c>
      <c r="AQ48" s="8">
        <v>3.1570421320149519E-2</v>
      </c>
      <c r="AR48" s="8">
        <v>5.6669169060292991E-2</v>
      </c>
      <c r="AS48" s="8">
        <v>2.5974216145483144E-2</v>
      </c>
      <c r="AU48" s="6" t="s">
        <v>273</v>
      </c>
      <c r="AV48" s="6" t="s">
        <v>106</v>
      </c>
      <c r="AW48" s="8">
        <v>0.12693949112473474</v>
      </c>
      <c r="AX48" s="8">
        <v>0.12899193634842962</v>
      </c>
      <c r="AY48" s="8">
        <v>9.7108856628595475E-2</v>
      </c>
      <c r="AZ48" s="8">
        <v>0.11265226971847885</v>
      </c>
      <c r="BA48" s="8">
        <v>0.11800369779888541</v>
      </c>
      <c r="BB48" s="8">
        <v>0.13989449157770553</v>
      </c>
      <c r="BC48" s="8">
        <v>0.16750374446263888</v>
      </c>
      <c r="BD48" s="8">
        <v>0.17076124973922382</v>
      </c>
      <c r="BE48" s="8">
        <v>0.16449002465912904</v>
      </c>
      <c r="BF48" s="8">
        <v>0.11872695489103743</v>
      </c>
      <c r="BG48" s="8">
        <v>0.10663750622347223</v>
      </c>
      <c r="BH48" s="8">
        <v>0.14781438868122135</v>
      </c>
      <c r="BR48" s="6" t="s">
        <v>273</v>
      </c>
      <c r="BS48" s="8">
        <v>0.47910734197318339</v>
      </c>
      <c r="BT48" s="8">
        <v>0.50188395560231425</v>
      </c>
      <c r="BU48" s="8">
        <v>0.50297121945657652</v>
      </c>
      <c r="BV48" s="7">
        <v>0.43014672124641329</v>
      </c>
      <c r="BW48" s="8">
        <v>0.45941788994988353</v>
      </c>
      <c r="BX48" s="8">
        <v>0.42706035935298414</v>
      </c>
      <c r="BY48" s="8">
        <v>0.21682510610336486</v>
      </c>
      <c r="BZ48" s="8">
        <v>0.25731552524647322</v>
      </c>
      <c r="CA48" s="8">
        <v>0.25504166359987962</v>
      </c>
      <c r="CB48" s="8">
        <v>0.34491579584776555</v>
      </c>
      <c r="CC48" s="8">
        <v>0.38247718082178844</v>
      </c>
      <c r="CD48" s="8">
        <v>0.35166433835783184</v>
      </c>
      <c r="CF48" s="6" t="s">
        <v>281</v>
      </c>
      <c r="CG48" s="6" t="s">
        <v>112</v>
      </c>
      <c r="CH48" s="6" t="s">
        <v>113</v>
      </c>
      <c r="CI48" s="8">
        <v>0.67339726401654709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B91E-10BC-4532-8CBA-59A37E449D21}">
  <dimension ref="A1:S126"/>
  <sheetViews>
    <sheetView workbookViewId="0">
      <selection sqref="A1:H1"/>
    </sheetView>
  </sheetViews>
  <sheetFormatPr defaultRowHeight="14.25" x14ac:dyDescent="0.45"/>
  <cols>
    <col min="3" max="5" width="10.59765625" customWidth="1"/>
    <col min="6" max="6" width="13.06640625" bestFit="1" customWidth="1"/>
    <col min="8" max="8" width="10.59765625" bestFit="1" customWidth="1"/>
    <col min="9" max="10" width="10.59765625" customWidth="1"/>
    <col min="12" max="12" width="10.59765625" bestFit="1" customWidth="1"/>
    <col min="13" max="14" width="10.59765625" customWidth="1"/>
    <col min="16" max="19" width="10.59765625" customWidth="1"/>
  </cols>
  <sheetData>
    <row r="1" spans="1:19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9" ht="14.65" thickBot="1" x14ac:dyDescent="0.5">
      <c r="C9" s="1" t="str">
        <f>IF(A11="x","DeActivated","~TFM_DINS-AT: region=IRL")</f>
        <v>~TFM_DINS-AT: region=IRL</v>
      </c>
      <c r="H9" s="1" t="str">
        <f>IF(A11="x","DeActivated","~TFM_DINS-AT: region=IRL")</f>
        <v>~TFM_DINS-AT: region=IRL</v>
      </c>
      <c r="L9" s="1" t="str">
        <f>IF(A11="x","DeActivated","~TFM_DINS-AT: region=IRL")</f>
        <v>~TFM_DINS-AT: region=IRL</v>
      </c>
      <c r="P9" s="1" t="str">
        <f>IF(A11="x","DeActivated","~TFM_INS-AT: region=IRL")</f>
        <v>~TFM_INS-AT: region=IRL</v>
      </c>
    </row>
    <row r="10" spans="1:19" ht="15.75" thickBot="1" x14ac:dyDescent="0.6">
      <c r="A10" t="s">
        <v>191</v>
      </c>
      <c r="C10" s="2" t="s">
        <v>192</v>
      </c>
      <c r="D10" s="2" t="s">
        <v>3</v>
      </c>
      <c r="E10" s="2" t="s">
        <v>2</v>
      </c>
      <c r="F10" s="2" t="s">
        <v>1</v>
      </c>
      <c r="H10" s="2" t="s">
        <v>1</v>
      </c>
      <c r="I10" s="2" t="s">
        <v>2</v>
      </c>
      <c r="J10" s="2" t="s">
        <v>3</v>
      </c>
      <c r="L10" s="2" t="s">
        <v>1</v>
      </c>
      <c r="M10" s="2" t="s">
        <v>2</v>
      </c>
      <c r="N10" s="2" t="s">
        <v>193</v>
      </c>
      <c r="P10" s="2" t="s">
        <v>194</v>
      </c>
      <c r="Q10" s="2" t="s">
        <v>2</v>
      </c>
      <c r="R10" s="2" t="s">
        <v>195</v>
      </c>
      <c r="S10" s="2" t="s">
        <v>196</v>
      </c>
    </row>
    <row r="11" spans="1:19" x14ac:dyDescent="0.45">
      <c r="C11" s="5">
        <v>8.2191780821917804E-2</v>
      </c>
      <c r="D11" s="5">
        <v>4.555602515973449E-2</v>
      </c>
      <c r="E11" s="3" t="s">
        <v>6</v>
      </c>
      <c r="F11" s="3" t="s">
        <v>197</v>
      </c>
      <c r="H11" s="3" t="s">
        <v>198</v>
      </c>
      <c r="I11" s="3" t="s">
        <v>6</v>
      </c>
      <c r="J11" s="3"/>
      <c r="L11" s="3" t="s">
        <v>199</v>
      </c>
      <c r="M11" s="3" t="s">
        <v>6</v>
      </c>
      <c r="N11" s="5">
        <v>0.36341902619216393</v>
      </c>
      <c r="P11" s="11">
        <v>2020</v>
      </c>
      <c r="Q11" s="3" t="s">
        <v>200</v>
      </c>
      <c r="R11" s="5">
        <v>0.6875</v>
      </c>
      <c r="S11" s="3" t="s">
        <v>201</v>
      </c>
    </row>
    <row r="12" spans="1:19" x14ac:dyDescent="0.45">
      <c r="C12" s="8">
        <v>0.10273972602739725</v>
      </c>
      <c r="D12" s="8">
        <v>0.14672202471222937</v>
      </c>
      <c r="E12" s="6" t="s">
        <v>10</v>
      </c>
      <c r="F12" s="6" t="s">
        <v>197</v>
      </c>
      <c r="H12" s="6" t="s">
        <v>198</v>
      </c>
      <c r="I12" s="6" t="s">
        <v>10</v>
      </c>
      <c r="J12" s="6"/>
      <c r="L12" s="6" t="s">
        <v>199</v>
      </c>
      <c r="M12" s="6" t="s">
        <v>10</v>
      </c>
      <c r="N12" s="8">
        <v>0.12709938136950827</v>
      </c>
      <c r="P12" s="12">
        <v>2020</v>
      </c>
      <c r="Q12" s="6" t="s">
        <v>202</v>
      </c>
      <c r="R12" s="8">
        <v>0.30053333333333337</v>
      </c>
      <c r="S12" s="6" t="s">
        <v>201</v>
      </c>
    </row>
    <row r="13" spans="1:19" x14ac:dyDescent="0.45">
      <c r="C13" s="5">
        <v>6.1643835616438353E-2</v>
      </c>
      <c r="D13" s="5">
        <v>5.4297292593789633E-2</v>
      </c>
      <c r="E13" s="3" t="s">
        <v>11</v>
      </c>
      <c r="F13" s="3" t="s">
        <v>197</v>
      </c>
      <c r="H13" s="3" t="s">
        <v>198</v>
      </c>
      <c r="I13" s="3" t="s">
        <v>11</v>
      </c>
      <c r="J13" s="3"/>
      <c r="L13" s="3" t="s">
        <v>199</v>
      </c>
      <c r="M13" s="3" t="s">
        <v>11</v>
      </c>
      <c r="N13" s="5">
        <v>0.17274922087437616</v>
      </c>
      <c r="P13" s="11">
        <v>2020</v>
      </c>
      <c r="Q13" s="3" t="s">
        <v>203</v>
      </c>
      <c r="R13" s="5">
        <v>0.22463333333333335</v>
      </c>
      <c r="S13" s="3" t="s">
        <v>201</v>
      </c>
    </row>
    <row r="14" spans="1:19" x14ac:dyDescent="0.45">
      <c r="C14" s="8">
        <v>8.4018264840182655E-2</v>
      </c>
      <c r="D14" s="8">
        <v>4.6568381274395249E-2</v>
      </c>
      <c r="E14" s="6" t="s">
        <v>12</v>
      </c>
      <c r="F14" s="6" t="s">
        <v>197</v>
      </c>
      <c r="H14" s="6" t="s">
        <v>198</v>
      </c>
      <c r="I14" s="6" t="s">
        <v>12</v>
      </c>
      <c r="J14" s="6"/>
      <c r="L14" s="6" t="s">
        <v>199</v>
      </c>
      <c r="M14" s="6" t="s">
        <v>12</v>
      </c>
      <c r="N14" s="8">
        <v>0.47016686933507734</v>
      </c>
      <c r="P14" s="12">
        <v>2020</v>
      </c>
      <c r="Q14" s="6" t="s">
        <v>204</v>
      </c>
      <c r="R14" s="8">
        <v>0.53513333333333335</v>
      </c>
      <c r="S14" s="6" t="s">
        <v>201</v>
      </c>
    </row>
    <row r="15" spans="1:19" x14ac:dyDescent="0.45">
      <c r="C15" s="5">
        <v>0.1050228310502283</v>
      </c>
      <c r="D15" s="5">
        <v>0.14998251415027888</v>
      </c>
      <c r="E15" s="3" t="s">
        <v>13</v>
      </c>
      <c r="F15" s="3" t="s">
        <v>197</v>
      </c>
      <c r="H15" s="3" t="s">
        <v>198</v>
      </c>
      <c r="I15" s="3" t="s">
        <v>13</v>
      </c>
      <c r="J15" s="3"/>
      <c r="L15" s="3" t="s">
        <v>199</v>
      </c>
      <c r="M15" s="3" t="s">
        <v>13</v>
      </c>
      <c r="N15" s="5">
        <v>0.17217173309982425</v>
      </c>
      <c r="P15" s="11">
        <v>2021</v>
      </c>
      <c r="Q15" s="3" t="s">
        <v>200</v>
      </c>
      <c r="R15" s="5">
        <v>0.67733333333333334</v>
      </c>
      <c r="S15" s="3" t="s">
        <v>201</v>
      </c>
    </row>
    <row r="16" spans="1:19" x14ac:dyDescent="0.45">
      <c r="C16" s="8">
        <v>6.3013698630136991E-2</v>
      </c>
      <c r="D16" s="8">
        <v>5.5503899095873853E-2</v>
      </c>
      <c r="E16" s="6" t="s">
        <v>14</v>
      </c>
      <c r="F16" s="6" t="s">
        <v>197</v>
      </c>
      <c r="H16" s="6" t="s">
        <v>198</v>
      </c>
      <c r="I16" s="6" t="s">
        <v>14</v>
      </c>
      <c r="J16" s="6"/>
      <c r="L16" s="6" t="s">
        <v>199</v>
      </c>
      <c r="M16" s="6" t="s">
        <v>14</v>
      </c>
      <c r="N16" s="8">
        <v>0.24217417868215274</v>
      </c>
      <c r="P16" s="12">
        <v>2021</v>
      </c>
      <c r="Q16" s="6" t="s">
        <v>202</v>
      </c>
      <c r="R16" s="8">
        <v>0.31983333333333336</v>
      </c>
      <c r="S16" s="6" t="s">
        <v>201</v>
      </c>
    </row>
    <row r="17" spans="3:19" x14ac:dyDescent="0.45">
      <c r="C17" s="5">
        <v>8.4018264840182655E-2</v>
      </c>
      <c r="D17" s="5">
        <v>4.6568381274395249E-2</v>
      </c>
      <c r="E17" s="3" t="s">
        <v>15</v>
      </c>
      <c r="F17" s="3" t="s">
        <v>197</v>
      </c>
      <c r="H17" s="3" t="s">
        <v>198</v>
      </c>
      <c r="I17" s="3" t="s">
        <v>15</v>
      </c>
      <c r="J17" s="3"/>
      <c r="L17" s="3" t="s">
        <v>199</v>
      </c>
      <c r="M17" s="3" t="s">
        <v>15</v>
      </c>
      <c r="N17" s="5">
        <v>0.24607787774442413</v>
      </c>
      <c r="P17" s="11">
        <v>2021</v>
      </c>
      <c r="Q17" s="3" t="s">
        <v>203</v>
      </c>
      <c r="R17" s="5">
        <v>0.11263333333333332</v>
      </c>
      <c r="S17" s="3" t="s">
        <v>201</v>
      </c>
    </row>
    <row r="18" spans="3:19" x14ac:dyDescent="0.45">
      <c r="C18" s="8">
        <v>0.1050228310502283</v>
      </c>
      <c r="D18" s="8">
        <v>0.14998251415027888</v>
      </c>
      <c r="E18" s="6" t="s">
        <v>16</v>
      </c>
      <c r="F18" s="6" t="s">
        <v>197</v>
      </c>
      <c r="H18" s="6" t="s">
        <v>198</v>
      </c>
      <c r="I18" s="6" t="s">
        <v>16</v>
      </c>
      <c r="J18" s="6"/>
      <c r="L18" s="6" t="s">
        <v>199</v>
      </c>
      <c r="M18" s="6" t="s">
        <v>16</v>
      </c>
      <c r="N18" s="8">
        <v>8.5155797077252515E-2</v>
      </c>
      <c r="P18" s="12">
        <v>2021</v>
      </c>
      <c r="Q18" s="6" t="s">
        <v>204</v>
      </c>
      <c r="R18" s="8">
        <v>0.30426666666666669</v>
      </c>
      <c r="S18" s="6" t="s">
        <v>201</v>
      </c>
    </row>
    <row r="19" spans="3:19" x14ac:dyDescent="0.45">
      <c r="C19" s="5">
        <v>6.3013698630136991E-2</v>
      </c>
      <c r="D19" s="5">
        <v>5.5503899095873853E-2</v>
      </c>
      <c r="E19" s="3" t="s">
        <v>17</v>
      </c>
      <c r="F19" s="3" t="s">
        <v>197</v>
      </c>
      <c r="H19" s="3" t="s">
        <v>198</v>
      </c>
      <c r="I19" s="3" t="s">
        <v>17</v>
      </c>
      <c r="J19" s="3"/>
      <c r="L19" s="3" t="s">
        <v>199</v>
      </c>
      <c r="M19" s="3" t="s">
        <v>17</v>
      </c>
      <c r="N19" s="5">
        <v>0.10497984777288116</v>
      </c>
      <c r="P19" s="11">
        <v>2022</v>
      </c>
      <c r="Q19" s="3" t="s">
        <v>200</v>
      </c>
      <c r="R19" s="5">
        <v>0.54266666666666674</v>
      </c>
      <c r="S19" s="3" t="s">
        <v>201</v>
      </c>
    </row>
    <row r="20" spans="3:19" x14ac:dyDescent="0.45">
      <c r="C20" s="8">
        <v>8.3105022831050229E-2</v>
      </c>
      <c r="D20" s="8">
        <v>4.6062203217064869E-2</v>
      </c>
      <c r="E20" s="6" t="s">
        <v>18</v>
      </c>
      <c r="F20" s="6" t="s">
        <v>197</v>
      </c>
      <c r="H20" s="6" t="s">
        <v>198</v>
      </c>
      <c r="I20" s="6" t="s">
        <v>18</v>
      </c>
      <c r="J20" s="6"/>
      <c r="L20" s="6" t="s">
        <v>199</v>
      </c>
      <c r="M20" s="6" t="s">
        <v>18</v>
      </c>
      <c r="N20" s="8">
        <v>0.4398080486036311</v>
      </c>
      <c r="P20" s="12">
        <v>2022</v>
      </c>
      <c r="Q20" s="6" t="s">
        <v>202</v>
      </c>
      <c r="R20" s="8">
        <v>0.26319999999999999</v>
      </c>
      <c r="S20" s="6" t="s">
        <v>201</v>
      </c>
    </row>
    <row r="21" spans="3:19" x14ac:dyDescent="0.45">
      <c r="C21" s="5">
        <v>0.10388127853881278</v>
      </c>
      <c r="D21" s="5">
        <v>0.14835226943125412</v>
      </c>
      <c r="E21" s="3" t="s">
        <v>19</v>
      </c>
      <c r="F21" s="3" t="s">
        <v>197</v>
      </c>
      <c r="H21" s="3" t="s">
        <v>198</v>
      </c>
      <c r="I21" s="3" t="s">
        <v>19</v>
      </c>
      <c r="J21" s="3"/>
      <c r="L21" s="3" t="s">
        <v>199</v>
      </c>
      <c r="M21" s="3" t="s">
        <v>19</v>
      </c>
      <c r="N21" s="5">
        <v>0.20387934229926952</v>
      </c>
      <c r="P21" s="11">
        <v>2022</v>
      </c>
      <c r="Q21" s="3" t="s">
        <v>203</v>
      </c>
      <c r="R21" s="5">
        <v>5.6633333333333334E-2</v>
      </c>
      <c r="S21" s="3" t="s">
        <v>201</v>
      </c>
    </row>
    <row r="22" spans="3:19" x14ac:dyDescent="0.45">
      <c r="C22" s="8">
        <v>6.2328767123287672E-2</v>
      </c>
      <c r="D22" s="8">
        <v>5.4900595844831736E-2</v>
      </c>
      <c r="E22" s="6" t="s">
        <v>20</v>
      </c>
      <c r="F22" s="6" t="s">
        <v>197</v>
      </c>
      <c r="H22" s="6" t="s">
        <v>198</v>
      </c>
      <c r="I22" s="6" t="s">
        <v>20</v>
      </c>
      <c r="J22" s="6"/>
      <c r="L22" s="6" t="s">
        <v>199</v>
      </c>
      <c r="M22" s="6" t="s">
        <v>20</v>
      </c>
      <c r="N22" s="8">
        <v>0.25185516461234303</v>
      </c>
      <c r="P22" s="12">
        <v>2022</v>
      </c>
      <c r="Q22" s="6" t="s">
        <v>204</v>
      </c>
      <c r="R22" s="8">
        <v>0.43803333333333327</v>
      </c>
      <c r="S22" s="6" t="s">
        <v>201</v>
      </c>
    </row>
    <row r="23" spans="3:19" x14ac:dyDescent="0.45">
      <c r="H23" s="3" t="s">
        <v>205</v>
      </c>
      <c r="I23" s="3" t="s">
        <v>6</v>
      </c>
      <c r="J23" s="3"/>
      <c r="P23" s="11">
        <v>2025</v>
      </c>
      <c r="Q23" s="3" t="s">
        <v>200</v>
      </c>
      <c r="R23" s="5">
        <v>0.70723333333333338</v>
      </c>
      <c r="S23" s="3" t="s">
        <v>201</v>
      </c>
    </row>
    <row r="24" spans="3:19" x14ac:dyDescent="0.45">
      <c r="H24" s="6" t="s">
        <v>205</v>
      </c>
      <c r="I24" s="6" t="s">
        <v>10</v>
      </c>
      <c r="J24" s="6"/>
      <c r="P24" s="12">
        <v>2025</v>
      </c>
      <c r="Q24" s="6" t="s">
        <v>202</v>
      </c>
      <c r="R24" s="8">
        <v>0.36790000000000006</v>
      </c>
      <c r="S24" s="6" t="s">
        <v>201</v>
      </c>
    </row>
    <row r="25" spans="3:19" x14ac:dyDescent="0.45">
      <c r="H25" s="3" t="s">
        <v>205</v>
      </c>
      <c r="I25" s="3" t="s">
        <v>11</v>
      </c>
      <c r="J25" s="3"/>
      <c r="P25" s="11">
        <v>2025</v>
      </c>
      <c r="Q25" s="3" t="s">
        <v>203</v>
      </c>
      <c r="R25" s="5">
        <v>0.15676666666666667</v>
      </c>
      <c r="S25" s="3" t="s">
        <v>201</v>
      </c>
    </row>
    <row r="26" spans="3:19" x14ac:dyDescent="0.45">
      <c r="H26" s="6" t="s">
        <v>205</v>
      </c>
      <c r="I26" s="6" t="s">
        <v>12</v>
      </c>
      <c r="J26" s="6"/>
      <c r="P26" s="12">
        <v>2025</v>
      </c>
      <c r="Q26" s="6" t="s">
        <v>204</v>
      </c>
      <c r="R26" s="8">
        <v>0.37086666666666668</v>
      </c>
      <c r="S26" s="6" t="s">
        <v>201</v>
      </c>
    </row>
    <row r="27" spans="3:19" x14ac:dyDescent="0.45">
      <c r="H27" s="3" t="s">
        <v>205</v>
      </c>
      <c r="I27" s="3" t="s">
        <v>13</v>
      </c>
      <c r="J27" s="3"/>
      <c r="P27" s="11">
        <v>2026</v>
      </c>
      <c r="Q27" s="3" t="s">
        <v>200</v>
      </c>
      <c r="R27" s="5">
        <v>0.63100000000000001</v>
      </c>
      <c r="S27" s="3" t="s">
        <v>201</v>
      </c>
    </row>
    <row r="28" spans="3:19" x14ac:dyDescent="0.45">
      <c r="H28" s="6" t="s">
        <v>205</v>
      </c>
      <c r="I28" s="6" t="s">
        <v>14</v>
      </c>
      <c r="J28" s="6"/>
      <c r="P28" s="12">
        <v>2026</v>
      </c>
      <c r="Q28" s="6" t="s">
        <v>202</v>
      </c>
      <c r="R28" s="8">
        <v>0.31413333333333338</v>
      </c>
      <c r="S28" s="6" t="s">
        <v>201</v>
      </c>
    </row>
    <row r="29" spans="3:19" x14ac:dyDescent="0.45">
      <c r="H29" s="3" t="s">
        <v>205</v>
      </c>
      <c r="I29" s="3" t="s">
        <v>15</v>
      </c>
      <c r="J29" s="3"/>
      <c r="P29" s="11">
        <v>2026</v>
      </c>
      <c r="Q29" s="3" t="s">
        <v>203</v>
      </c>
      <c r="R29" s="5">
        <v>0.11486666666666667</v>
      </c>
      <c r="S29" s="3" t="s">
        <v>201</v>
      </c>
    </row>
    <row r="30" spans="3:19" x14ac:dyDescent="0.45">
      <c r="H30" s="6" t="s">
        <v>205</v>
      </c>
      <c r="I30" s="6" t="s">
        <v>16</v>
      </c>
      <c r="J30" s="6"/>
      <c r="P30" s="12">
        <v>2026</v>
      </c>
      <c r="Q30" s="6" t="s">
        <v>204</v>
      </c>
      <c r="R30" s="8">
        <v>0.36863333333333337</v>
      </c>
      <c r="S30" s="6" t="s">
        <v>201</v>
      </c>
    </row>
    <row r="31" spans="3:19" x14ac:dyDescent="0.45">
      <c r="H31" s="3" t="s">
        <v>205</v>
      </c>
      <c r="I31" s="3" t="s">
        <v>17</v>
      </c>
      <c r="J31" s="3"/>
      <c r="P31" s="11">
        <v>2027</v>
      </c>
      <c r="Q31" s="3" t="s">
        <v>200</v>
      </c>
      <c r="R31" s="5">
        <v>0.5436333333333333</v>
      </c>
      <c r="S31" s="3" t="s">
        <v>201</v>
      </c>
    </row>
    <row r="32" spans="3:19" x14ac:dyDescent="0.45">
      <c r="H32" s="6" t="s">
        <v>205</v>
      </c>
      <c r="I32" s="6" t="s">
        <v>18</v>
      </c>
      <c r="J32" s="6"/>
      <c r="P32" s="12">
        <v>2027</v>
      </c>
      <c r="Q32" s="6" t="s">
        <v>202</v>
      </c>
      <c r="R32" s="8">
        <v>0.24016666666666667</v>
      </c>
      <c r="S32" s="6" t="s">
        <v>201</v>
      </c>
    </row>
    <row r="33" spans="8:19" x14ac:dyDescent="0.45">
      <c r="H33" s="3" t="s">
        <v>205</v>
      </c>
      <c r="I33" s="3" t="s">
        <v>19</v>
      </c>
      <c r="J33" s="3"/>
      <c r="P33" s="11">
        <v>2027</v>
      </c>
      <c r="Q33" s="3" t="s">
        <v>203</v>
      </c>
      <c r="R33" s="5">
        <v>0.15766666666666668</v>
      </c>
      <c r="S33" s="3" t="s">
        <v>201</v>
      </c>
    </row>
    <row r="34" spans="8:19" x14ac:dyDescent="0.45">
      <c r="H34" s="6" t="s">
        <v>205</v>
      </c>
      <c r="I34" s="6" t="s">
        <v>20</v>
      </c>
      <c r="J34" s="6"/>
      <c r="P34" s="12">
        <v>2027</v>
      </c>
      <c r="Q34" s="6" t="s">
        <v>204</v>
      </c>
      <c r="R34" s="8">
        <v>0.34190000000000004</v>
      </c>
      <c r="S34" s="6" t="s">
        <v>201</v>
      </c>
    </row>
    <row r="35" spans="8:19" x14ac:dyDescent="0.45">
      <c r="P35" s="11">
        <v>2028</v>
      </c>
      <c r="Q35" s="3" t="s">
        <v>200</v>
      </c>
      <c r="R35" s="5">
        <v>0.62869999999999993</v>
      </c>
      <c r="S35" s="3" t="s">
        <v>201</v>
      </c>
    </row>
    <row r="36" spans="8:19" x14ac:dyDescent="0.45">
      <c r="P36" s="12">
        <v>2028</v>
      </c>
      <c r="Q36" s="6" t="s">
        <v>202</v>
      </c>
      <c r="R36" s="8">
        <v>0.29813333333333331</v>
      </c>
      <c r="S36" s="6" t="s">
        <v>201</v>
      </c>
    </row>
    <row r="37" spans="8:19" x14ac:dyDescent="0.45">
      <c r="P37" s="11">
        <v>2028</v>
      </c>
      <c r="Q37" s="3" t="s">
        <v>203</v>
      </c>
      <c r="R37" s="5">
        <v>0.19059999999999999</v>
      </c>
      <c r="S37" s="3" t="s">
        <v>201</v>
      </c>
    </row>
    <row r="38" spans="8:19" x14ac:dyDescent="0.45">
      <c r="P38" s="12">
        <v>2028</v>
      </c>
      <c r="Q38" s="6" t="s">
        <v>204</v>
      </c>
      <c r="R38" s="8">
        <v>0.33850000000000002</v>
      </c>
      <c r="S38" s="6" t="s">
        <v>201</v>
      </c>
    </row>
    <row r="39" spans="8:19" x14ac:dyDescent="0.45">
      <c r="P39" s="11">
        <v>2029</v>
      </c>
      <c r="Q39" s="3" t="s">
        <v>200</v>
      </c>
      <c r="R39" s="5">
        <v>0.61019999999999996</v>
      </c>
      <c r="S39" s="3" t="s">
        <v>201</v>
      </c>
    </row>
    <row r="40" spans="8:19" x14ac:dyDescent="0.45">
      <c r="P40" s="12">
        <v>2029</v>
      </c>
      <c r="Q40" s="6" t="s">
        <v>202</v>
      </c>
      <c r="R40" s="8">
        <v>0.27499999999999997</v>
      </c>
      <c r="S40" s="6" t="s">
        <v>201</v>
      </c>
    </row>
    <row r="41" spans="8:19" x14ac:dyDescent="0.45">
      <c r="P41" s="11">
        <v>2029</v>
      </c>
      <c r="Q41" s="3" t="s">
        <v>203</v>
      </c>
      <c r="R41" s="5">
        <v>0.14366666666666666</v>
      </c>
      <c r="S41" s="3" t="s">
        <v>201</v>
      </c>
    </row>
    <row r="42" spans="8:19" x14ac:dyDescent="0.45">
      <c r="P42" s="12">
        <v>2029</v>
      </c>
      <c r="Q42" s="6" t="s">
        <v>204</v>
      </c>
      <c r="R42" s="8">
        <v>0.36066666666666664</v>
      </c>
      <c r="S42" s="6" t="s">
        <v>201</v>
      </c>
    </row>
    <row r="43" spans="8:19" x14ac:dyDescent="0.45">
      <c r="P43" s="11">
        <v>2030</v>
      </c>
      <c r="Q43" s="3" t="s">
        <v>200</v>
      </c>
      <c r="R43" s="5">
        <v>0.61483333333333334</v>
      </c>
      <c r="S43" s="3" t="s">
        <v>201</v>
      </c>
    </row>
    <row r="44" spans="8:19" x14ac:dyDescent="0.45">
      <c r="P44" s="12">
        <v>2030</v>
      </c>
      <c r="Q44" s="6" t="s">
        <v>202</v>
      </c>
      <c r="R44" s="8">
        <v>0.25346666666666667</v>
      </c>
      <c r="S44" s="6" t="s">
        <v>201</v>
      </c>
    </row>
    <row r="45" spans="8:19" x14ac:dyDescent="0.45">
      <c r="P45" s="11">
        <v>2030</v>
      </c>
      <c r="Q45" s="3" t="s">
        <v>203</v>
      </c>
      <c r="R45" s="5">
        <v>0.15580000000000002</v>
      </c>
      <c r="S45" s="3" t="s">
        <v>201</v>
      </c>
    </row>
    <row r="46" spans="8:19" x14ac:dyDescent="0.45">
      <c r="P46" s="12">
        <v>2030</v>
      </c>
      <c r="Q46" s="6" t="s">
        <v>204</v>
      </c>
      <c r="R46" s="8">
        <v>0.39043333333333335</v>
      </c>
      <c r="S46" s="6" t="s">
        <v>201</v>
      </c>
    </row>
    <row r="47" spans="8:19" x14ac:dyDescent="0.45">
      <c r="P47" s="11">
        <v>2031</v>
      </c>
      <c r="Q47" s="3" t="s">
        <v>200</v>
      </c>
      <c r="R47" s="5">
        <v>0.64296666666666669</v>
      </c>
      <c r="S47" s="3" t="s">
        <v>201</v>
      </c>
    </row>
    <row r="48" spans="8:19" x14ac:dyDescent="0.45">
      <c r="P48" s="12">
        <v>2031</v>
      </c>
      <c r="Q48" s="6" t="s">
        <v>202</v>
      </c>
      <c r="R48" s="8">
        <v>0.30736666666666662</v>
      </c>
      <c r="S48" s="6" t="s">
        <v>201</v>
      </c>
    </row>
    <row r="49" spans="16:19" x14ac:dyDescent="0.45">
      <c r="P49" s="11">
        <v>2031</v>
      </c>
      <c r="Q49" s="3" t="s">
        <v>203</v>
      </c>
      <c r="R49" s="5">
        <v>0.18933333333333335</v>
      </c>
      <c r="S49" s="3" t="s">
        <v>201</v>
      </c>
    </row>
    <row r="50" spans="16:19" x14ac:dyDescent="0.45">
      <c r="P50" s="12">
        <v>2031</v>
      </c>
      <c r="Q50" s="6" t="s">
        <v>204</v>
      </c>
      <c r="R50" s="8">
        <v>0.4659666666666667</v>
      </c>
      <c r="S50" s="6" t="s">
        <v>201</v>
      </c>
    </row>
    <row r="51" spans="16:19" x14ac:dyDescent="0.45">
      <c r="P51" s="11">
        <v>2032</v>
      </c>
      <c r="Q51" s="3" t="s">
        <v>200</v>
      </c>
      <c r="R51" s="5">
        <v>0.53373333333333328</v>
      </c>
      <c r="S51" s="3" t="s">
        <v>201</v>
      </c>
    </row>
    <row r="52" spans="16:19" x14ac:dyDescent="0.45">
      <c r="P52" s="12">
        <v>2032</v>
      </c>
      <c r="Q52" s="6" t="s">
        <v>202</v>
      </c>
      <c r="R52" s="8">
        <v>0.28366666666666668</v>
      </c>
      <c r="S52" s="6" t="s">
        <v>201</v>
      </c>
    </row>
    <row r="53" spans="16:19" x14ac:dyDescent="0.45">
      <c r="P53" s="11">
        <v>2032</v>
      </c>
      <c r="Q53" s="3" t="s">
        <v>203</v>
      </c>
      <c r="R53" s="5">
        <v>0.20320000000000002</v>
      </c>
      <c r="S53" s="3" t="s">
        <v>201</v>
      </c>
    </row>
    <row r="54" spans="16:19" x14ac:dyDescent="0.45">
      <c r="P54" s="12">
        <v>2032</v>
      </c>
      <c r="Q54" s="6" t="s">
        <v>204</v>
      </c>
      <c r="R54" s="8">
        <v>0.38376666666666664</v>
      </c>
      <c r="S54" s="6" t="s">
        <v>201</v>
      </c>
    </row>
    <row r="55" spans="16:19" x14ac:dyDescent="0.45">
      <c r="P55" s="11">
        <v>2033</v>
      </c>
      <c r="Q55" s="3" t="s">
        <v>200</v>
      </c>
      <c r="R55" s="5">
        <v>0.56876666666666664</v>
      </c>
      <c r="S55" s="3" t="s">
        <v>201</v>
      </c>
    </row>
    <row r="56" spans="16:19" x14ac:dyDescent="0.45">
      <c r="P56" s="12">
        <v>2033</v>
      </c>
      <c r="Q56" s="6" t="s">
        <v>202</v>
      </c>
      <c r="R56" s="8">
        <v>0.32653333333333334</v>
      </c>
      <c r="S56" s="6" t="s">
        <v>201</v>
      </c>
    </row>
    <row r="57" spans="16:19" x14ac:dyDescent="0.45">
      <c r="P57" s="11">
        <v>2033</v>
      </c>
      <c r="Q57" s="3" t="s">
        <v>203</v>
      </c>
      <c r="R57" s="5">
        <v>0.1573</v>
      </c>
      <c r="S57" s="3" t="s">
        <v>201</v>
      </c>
    </row>
    <row r="58" spans="16:19" x14ac:dyDescent="0.45">
      <c r="P58" s="12">
        <v>2033</v>
      </c>
      <c r="Q58" s="6" t="s">
        <v>204</v>
      </c>
      <c r="R58" s="8">
        <v>0.37400000000000005</v>
      </c>
      <c r="S58" s="6" t="s">
        <v>201</v>
      </c>
    </row>
    <row r="59" spans="16:19" x14ac:dyDescent="0.45">
      <c r="P59" s="11">
        <v>2034</v>
      </c>
      <c r="Q59" s="3" t="s">
        <v>200</v>
      </c>
      <c r="R59" s="5">
        <v>0.53663333333333341</v>
      </c>
      <c r="S59" s="3" t="s">
        <v>201</v>
      </c>
    </row>
    <row r="60" spans="16:19" x14ac:dyDescent="0.45">
      <c r="P60" s="12">
        <v>2034</v>
      </c>
      <c r="Q60" s="6" t="s">
        <v>202</v>
      </c>
      <c r="R60" s="8">
        <v>0.32346666666666662</v>
      </c>
      <c r="S60" s="6" t="s">
        <v>201</v>
      </c>
    </row>
    <row r="61" spans="16:19" x14ac:dyDescent="0.45">
      <c r="P61" s="11">
        <v>2034</v>
      </c>
      <c r="Q61" s="3" t="s">
        <v>203</v>
      </c>
      <c r="R61" s="5">
        <v>0.1482</v>
      </c>
      <c r="S61" s="3" t="s">
        <v>201</v>
      </c>
    </row>
    <row r="62" spans="16:19" x14ac:dyDescent="0.45">
      <c r="P62" s="12">
        <v>2034</v>
      </c>
      <c r="Q62" s="6" t="s">
        <v>204</v>
      </c>
      <c r="R62" s="8">
        <v>0.46039999999999992</v>
      </c>
      <c r="S62" s="6" t="s">
        <v>201</v>
      </c>
    </row>
    <row r="63" spans="16:19" x14ac:dyDescent="0.45">
      <c r="P63" s="11">
        <v>2035</v>
      </c>
      <c r="Q63" s="3" t="s">
        <v>200</v>
      </c>
      <c r="R63" s="5">
        <v>0.58686666666666665</v>
      </c>
      <c r="S63" s="3" t="s">
        <v>201</v>
      </c>
    </row>
    <row r="64" spans="16:19" x14ac:dyDescent="0.45">
      <c r="P64" s="12">
        <v>2035</v>
      </c>
      <c r="Q64" s="6" t="s">
        <v>202</v>
      </c>
      <c r="R64" s="8">
        <v>0.30133333333333334</v>
      </c>
      <c r="S64" s="6" t="s">
        <v>201</v>
      </c>
    </row>
    <row r="65" spans="16:19" x14ac:dyDescent="0.45">
      <c r="P65" s="11">
        <v>2035</v>
      </c>
      <c r="Q65" s="3" t="s">
        <v>203</v>
      </c>
      <c r="R65" s="5">
        <v>0.21440000000000001</v>
      </c>
      <c r="S65" s="3" t="s">
        <v>201</v>
      </c>
    </row>
    <row r="66" spans="16:19" x14ac:dyDescent="0.45">
      <c r="P66" s="12">
        <v>2035</v>
      </c>
      <c r="Q66" s="6" t="s">
        <v>204</v>
      </c>
      <c r="R66" s="8">
        <v>0.31853333333333333</v>
      </c>
      <c r="S66" s="6" t="s">
        <v>201</v>
      </c>
    </row>
    <row r="67" spans="16:19" x14ac:dyDescent="0.45">
      <c r="P67" s="11">
        <v>2036</v>
      </c>
      <c r="Q67" s="3" t="s">
        <v>200</v>
      </c>
      <c r="R67" s="5">
        <v>0.5692666666666667</v>
      </c>
      <c r="S67" s="3" t="s">
        <v>201</v>
      </c>
    </row>
    <row r="68" spans="16:19" x14ac:dyDescent="0.45">
      <c r="P68" s="12">
        <v>2036</v>
      </c>
      <c r="Q68" s="6" t="s">
        <v>202</v>
      </c>
      <c r="R68" s="8">
        <v>0.26833333333333331</v>
      </c>
      <c r="S68" s="6" t="s">
        <v>201</v>
      </c>
    </row>
    <row r="69" spans="16:19" x14ac:dyDescent="0.45">
      <c r="P69" s="11">
        <v>2036</v>
      </c>
      <c r="Q69" s="3" t="s">
        <v>203</v>
      </c>
      <c r="R69" s="5">
        <v>0.16853333333333334</v>
      </c>
      <c r="S69" s="3" t="s">
        <v>201</v>
      </c>
    </row>
    <row r="70" spans="16:19" x14ac:dyDescent="0.45">
      <c r="P70" s="12">
        <v>2036</v>
      </c>
      <c r="Q70" s="6" t="s">
        <v>204</v>
      </c>
      <c r="R70" s="8">
        <v>0.33583333333333337</v>
      </c>
      <c r="S70" s="6" t="s">
        <v>201</v>
      </c>
    </row>
    <row r="71" spans="16:19" x14ac:dyDescent="0.45">
      <c r="P71" s="11">
        <v>2037</v>
      </c>
      <c r="Q71" s="3" t="s">
        <v>200</v>
      </c>
      <c r="R71" s="5">
        <v>0.52603333333333335</v>
      </c>
      <c r="S71" s="3" t="s">
        <v>201</v>
      </c>
    </row>
    <row r="72" spans="16:19" x14ac:dyDescent="0.45">
      <c r="P72" s="12">
        <v>2037</v>
      </c>
      <c r="Q72" s="6" t="s">
        <v>202</v>
      </c>
      <c r="R72" s="8">
        <v>0.27753333333333335</v>
      </c>
      <c r="S72" s="6" t="s">
        <v>201</v>
      </c>
    </row>
    <row r="73" spans="16:19" x14ac:dyDescent="0.45">
      <c r="P73" s="11">
        <v>2037</v>
      </c>
      <c r="Q73" s="3" t="s">
        <v>203</v>
      </c>
      <c r="R73" s="5">
        <v>0.20660000000000001</v>
      </c>
      <c r="S73" s="3" t="s">
        <v>201</v>
      </c>
    </row>
    <row r="74" spans="16:19" x14ac:dyDescent="0.45">
      <c r="P74" s="12">
        <v>2037</v>
      </c>
      <c r="Q74" s="6" t="s">
        <v>204</v>
      </c>
      <c r="R74" s="8">
        <v>0.4570333333333334</v>
      </c>
      <c r="S74" s="6" t="s">
        <v>201</v>
      </c>
    </row>
    <row r="75" spans="16:19" x14ac:dyDescent="0.45">
      <c r="P75" s="11">
        <v>2038</v>
      </c>
      <c r="Q75" s="3" t="s">
        <v>200</v>
      </c>
      <c r="R75" s="5">
        <v>0.61616666666666664</v>
      </c>
      <c r="S75" s="3" t="s">
        <v>201</v>
      </c>
    </row>
    <row r="76" spans="16:19" x14ac:dyDescent="0.45">
      <c r="P76" s="12">
        <v>2038</v>
      </c>
      <c r="Q76" s="6" t="s">
        <v>202</v>
      </c>
      <c r="R76" s="8">
        <v>0.2913</v>
      </c>
      <c r="S76" s="6" t="s">
        <v>201</v>
      </c>
    </row>
    <row r="77" spans="16:19" x14ac:dyDescent="0.45">
      <c r="P77" s="11">
        <v>2038</v>
      </c>
      <c r="Q77" s="3" t="s">
        <v>203</v>
      </c>
      <c r="R77" s="5">
        <v>0.1807</v>
      </c>
      <c r="S77" s="3" t="s">
        <v>201</v>
      </c>
    </row>
    <row r="78" spans="16:19" x14ac:dyDescent="0.45">
      <c r="P78" s="12">
        <v>2038</v>
      </c>
      <c r="Q78" s="6" t="s">
        <v>204</v>
      </c>
      <c r="R78" s="8">
        <v>0.36066666666666669</v>
      </c>
      <c r="S78" s="6" t="s">
        <v>201</v>
      </c>
    </row>
    <row r="79" spans="16:19" x14ac:dyDescent="0.45">
      <c r="P79" s="11">
        <v>2039</v>
      </c>
      <c r="Q79" s="3" t="s">
        <v>200</v>
      </c>
      <c r="R79" s="5">
        <v>0.57653333333333334</v>
      </c>
      <c r="S79" s="3" t="s">
        <v>201</v>
      </c>
    </row>
    <row r="80" spans="16:19" x14ac:dyDescent="0.45">
      <c r="P80" s="12">
        <v>2039</v>
      </c>
      <c r="Q80" s="6" t="s">
        <v>202</v>
      </c>
      <c r="R80" s="8">
        <v>0.2920666666666667</v>
      </c>
      <c r="S80" s="6" t="s">
        <v>201</v>
      </c>
    </row>
    <row r="81" spans="16:19" x14ac:dyDescent="0.45">
      <c r="P81" s="11">
        <v>2039</v>
      </c>
      <c r="Q81" s="3" t="s">
        <v>203</v>
      </c>
      <c r="R81" s="5">
        <v>0.10133333333333333</v>
      </c>
      <c r="S81" s="3" t="s">
        <v>201</v>
      </c>
    </row>
    <row r="82" spans="16:19" x14ac:dyDescent="0.45">
      <c r="P82" s="12">
        <v>2039</v>
      </c>
      <c r="Q82" s="6" t="s">
        <v>204</v>
      </c>
      <c r="R82" s="8">
        <v>0.40529999999999999</v>
      </c>
      <c r="S82" s="6" t="s">
        <v>201</v>
      </c>
    </row>
    <row r="83" spans="16:19" x14ac:dyDescent="0.45">
      <c r="P83" s="11">
        <v>2040</v>
      </c>
      <c r="Q83" s="3" t="s">
        <v>200</v>
      </c>
      <c r="R83" s="5">
        <v>0.59823333333333328</v>
      </c>
      <c r="S83" s="3" t="s">
        <v>201</v>
      </c>
    </row>
    <row r="84" spans="16:19" x14ac:dyDescent="0.45">
      <c r="P84" s="12">
        <v>2040</v>
      </c>
      <c r="Q84" s="6" t="s">
        <v>202</v>
      </c>
      <c r="R84" s="8">
        <v>0.30016666666666669</v>
      </c>
      <c r="S84" s="6" t="s">
        <v>201</v>
      </c>
    </row>
    <row r="85" spans="16:19" x14ac:dyDescent="0.45">
      <c r="P85" s="11">
        <v>2040</v>
      </c>
      <c r="Q85" s="3" t="s">
        <v>203</v>
      </c>
      <c r="R85" s="5">
        <v>0.26103333333333334</v>
      </c>
      <c r="S85" s="3" t="s">
        <v>201</v>
      </c>
    </row>
    <row r="86" spans="16:19" x14ac:dyDescent="0.45">
      <c r="P86" s="12">
        <v>2040</v>
      </c>
      <c r="Q86" s="6" t="s">
        <v>204</v>
      </c>
      <c r="R86" s="8">
        <v>0.35449999999999998</v>
      </c>
      <c r="S86" s="6" t="s">
        <v>201</v>
      </c>
    </row>
    <row r="87" spans="16:19" x14ac:dyDescent="0.45">
      <c r="P87" s="11">
        <v>2041</v>
      </c>
      <c r="Q87" s="3" t="s">
        <v>200</v>
      </c>
      <c r="R87" s="5">
        <v>0.5983666666666666</v>
      </c>
      <c r="S87" s="3" t="s">
        <v>201</v>
      </c>
    </row>
    <row r="88" spans="16:19" x14ac:dyDescent="0.45">
      <c r="P88" s="12">
        <v>2041</v>
      </c>
      <c r="Q88" s="6" t="s">
        <v>202</v>
      </c>
      <c r="R88" s="8">
        <v>0.307</v>
      </c>
      <c r="S88" s="6" t="s">
        <v>201</v>
      </c>
    </row>
    <row r="89" spans="16:19" x14ac:dyDescent="0.45">
      <c r="P89" s="11">
        <v>2041</v>
      </c>
      <c r="Q89" s="3" t="s">
        <v>203</v>
      </c>
      <c r="R89" s="5">
        <v>7.46E-2</v>
      </c>
      <c r="S89" s="3" t="s">
        <v>201</v>
      </c>
    </row>
    <row r="90" spans="16:19" x14ac:dyDescent="0.45">
      <c r="P90" s="12">
        <v>2041</v>
      </c>
      <c r="Q90" s="6" t="s">
        <v>204</v>
      </c>
      <c r="R90" s="8">
        <v>0.33503333333333335</v>
      </c>
      <c r="S90" s="6" t="s">
        <v>201</v>
      </c>
    </row>
    <row r="91" spans="16:19" x14ac:dyDescent="0.45">
      <c r="P91" s="11">
        <v>2042</v>
      </c>
      <c r="Q91" s="3" t="s">
        <v>200</v>
      </c>
      <c r="R91" s="5">
        <v>0.64426666666666665</v>
      </c>
      <c r="S91" s="3" t="s">
        <v>201</v>
      </c>
    </row>
    <row r="92" spans="16:19" x14ac:dyDescent="0.45">
      <c r="P92" s="12">
        <v>2042</v>
      </c>
      <c r="Q92" s="6" t="s">
        <v>202</v>
      </c>
      <c r="R92" s="8">
        <v>0.34136666666666665</v>
      </c>
      <c r="S92" s="6" t="s">
        <v>201</v>
      </c>
    </row>
    <row r="93" spans="16:19" x14ac:dyDescent="0.45">
      <c r="P93" s="11">
        <v>2042</v>
      </c>
      <c r="Q93" s="3" t="s">
        <v>203</v>
      </c>
      <c r="R93" s="5">
        <v>0.12886666666666666</v>
      </c>
      <c r="S93" s="3" t="s">
        <v>201</v>
      </c>
    </row>
    <row r="94" spans="16:19" x14ac:dyDescent="0.45">
      <c r="P94" s="12">
        <v>2042</v>
      </c>
      <c r="Q94" s="6" t="s">
        <v>204</v>
      </c>
      <c r="R94" s="8">
        <v>0.40453333333333336</v>
      </c>
      <c r="S94" s="6" t="s">
        <v>201</v>
      </c>
    </row>
    <row r="95" spans="16:19" x14ac:dyDescent="0.45">
      <c r="P95" s="11">
        <v>2043</v>
      </c>
      <c r="Q95" s="3" t="s">
        <v>200</v>
      </c>
      <c r="R95" s="5">
        <v>0.56853333333333333</v>
      </c>
      <c r="S95" s="3" t="s">
        <v>201</v>
      </c>
    </row>
    <row r="96" spans="16:19" x14ac:dyDescent="0.45">
      <c r="P96" s="12">
        <v>2043</v>
      </c>
      <c r="Q96" s="6" t="s">
        <v>202</v>
      </c>
      <c r="R96" s="8">
        <v>0.36076666666666668</v>
      </c>
      <c r="S96" s="6" t="s">
        <v>201</v>
      </c>
    </row>
    <row r="97" spans="16:19" x14ac:dyDescent="0.45">
      <c r="P97" s="11">
        <v>2043</v>
      </c>
      <c r="Q97" s="3" t="s">
        <v>203</v>
      </c>
      <c r="R97" s="5">
        <v>0.18603333333333336</v>
      </c>
      <c r="S97" s="3" t="s">
        <v>201</v>
      </c>
    </row>
    <row r="98" spans="16:19" x14ac:dyDescent="0.45">
      <c r="P98" s="12">
        <v>2043</v>
      </c>
      <c r="Q98" s="6" t="s">
        <v>204</v>
      </c>
      <c r="R98" s="8">
        <v>0.34456666666666669</v>
      </c>
      <c r="S98" s="6" t="s">
        <v>201</v>
      </c>
    </row>
    <row r="99" spans="16:19" x14ac:dyDescent="0.45">
      <c r="P99" s="11">
        <v>2044</v>
      </c>
      <c r="Q99" s="3" t="s">
        <v>200</v>
      </c>
      <c r="R99" s="5">
        <v>0.54283333333333328</v>
      </c>
      <c r="S99" s="3" t="s">
        <v>201</v>
      </c>
    </row>
    <row r="100" spans="16:19" x14ac:dyDescent="0.45">
      <c r="P100" s="12">
        <v>2044</v>
      </c>
      <c r="Q100" s="6" t="s">
        <v>202</v>
      </c>
      <c r="R100" s="8">
        <v>0.30083333333333334</v>
      </c>
      <c r="S100" s="6" t="s">
        <v>201</v>
      </c>
    </row>
    <row r="101" spans="16:19" x14ac:dyDescent="0.45">
      <c r="P101" s="11">
        <v>2044</v>
      </c>
      <c r="Q101" s="3" t="s">
        <v>203</v>
      </c>
      <c r="R101" s="5">
        <v>7.2466666666666665E-2</v>
      </c>
      <c r="S101" s="3" t="s">
        <v>201</v>
      </c>
    </row>
    <row r="102" spans="16:19" x14ac:dyDescent="0.45">
      <c r="P102" s="12">
        <v>2044</v>
      </c>
      <c r="Q102" s="6" t="s">
        <v>204</v>
      </c>
      <c r="R102" s="8">
        <v>0.47480000000000006</v>
      </c>
      <c r="S102" s="6" t="s">
        <v>201</v>
      </c>
    </row>
    <row r="103" spans="16:19" x14ac:dyDescent="0.45">
      <c r="P103" s="11">
        <v>2045</v>
      </c>
      <c r="Q103" s="3" t="s">
        <v>200</v>
      </c>
      <c r="R103" s="5">
        <v>0.61096666666666677</v>
      </c>
      <c r="S103" s="3" t="s">
        <v>201</v>
      </c>
    </row>
    <row r="104" spans="16:19" x14ac:dyDescent="0.45">
      <c r="P104" s="12">
        <v>2045</v>
      </c>
      <c r="Q104" s="6" t="s">
        <v>202</v>
      </c>
      <c r="R104" s="8">
        <v>0.28053333333333336</v>
      </c>
      <c r="S104" s="6" t="s">
        <v>201</v>
      </c>
    </row>
    <row r="105" spans="16:19" x14ac:dyDescent="0.45">
      <c r="P105" s="11">
        <v>2045</v>
      </c>
      <c r="Q105" s="3" t="s">
        <v>203</v>
      </c>
      <c r="R105" s="5">
        <v>0.12213333333333333</v>
      </c>
      <c r="S105" s="3" t="s">
        <v>201</v>
      </c>
    </row>
    <row r="106" spans="16:19" x14ac:dyDescent="0.45">
      <c r="P106" s="12">
        <v>2045</v>
      </c>
      <c r="Q106" s="6" t="s">
        <v>204</v>
      </c>
      <c r="R106" s="8">
        <v>0.36126666666666668</v>
      </c>
      <c r="S106" s="6" t="s">
        <v>201</v>
      </c>
    </row>
    <row r="107" spans="16:19" x14ac:dyDescent="0.45">
      <c r="P107" s="11">
        <v>2046</v>
      </c>
      <c r="Q107" s="3" t="s">
        <v>200</v>
      </c>
      <c r="R107" s="5">
        <v>0.59029999999999994</v>
      </c>
      <c r="S107" s="3" t="s">
        <v>201</v>
      </c>
    </row>
    <row r="108" spans="16:19" x14ac:dyDescent="0.45">
      <c r="P108" s="12">
        <v>2046</v>
      </c>
      <c r="Q108" s="6" t="s">
        <v>202</v>
      </c>
      <c r="R108" s="8">
        <v>0.32393333333333335</v>
      </c>
      <c r="S108" s="6" t="s">
        <v>201</v>
      </c>
    </row>
    <row r="109" spans="16:19" x14ac:dyDescent="0.45">
      <c r="P109" s="11">
        <v>2046</v>
      </c>
      <c r="Q109" s="3" t="s">
        <v>203</v>
      </c>
      <c r="R109" s="5">
        <v>0.12809999999999999</v>
      </c>
      <c r="S109" s="3" t="s">
        <v>201</v>
      </c>
    </row>
    <row r="110" spans="16:19" x14ac:dyDescent="0.45">
      <c r="P110" s="12">
        <v>2046</v>
      </c>
      <c r="Q110" s="6" t="s">
        <v>204</v>
      </c>
      <c r="R110" s="8">
        <v>0.40206666666666674</v>
      </c>
      <c r="S110" s="6" t="s">
        <v>201</v>
      </c>
    </row>
    <row r="111" spans="16:19" x14ac:dyDescent="0.45">
      <c r="P111" s="11">
        <v>2047</v>
      </c>
      <c r="Q111" s="3" t="s">
        <v>200</v>
      </c>
      <c r="R111" s="5">
        <v>0.61673333333333324</v>
      </c>
      <c r="S111" s="3" t="s">
        <v>201</v>
      </c>
    </row>
    <row r="112" spans="16:19" x14ac:dyDescent="0.45">
      <c r="P112" s="12">
        <v>2047</v>
      </c>
      <c r="Q112" s="6" t="s">
        <v>202</v>
      </c>
      <c r="R112" s="8">
        <v>0.34400000000000003</v>
      </c>
      <c r="S112" s="6" t="s">
        <v>201</v>
      </c>
    </row>
    <row r="113" spans="16:19" x14ac:dyDescent="0.45">
      <c r="P113" s="11">
        <v>2047</v>
      </c>
      <c r="Q113" s="3" t="s">
        <v>203</v>
      </c>
      <c r="R113" s="5">
        <v>0.19273333333333334</v>
      </c>
      <c r="S113" s="3" t="s">
        <v>201</v>
      </c>
    </row>
    <row r="114" spans="16:19" x14ac:dyDescent="0.45">
      <c r="P114" s="12">
        <v>2047</v>
      </c>
      <c r="Q114" s="6" t="s">
        <v>204</v>
      </c>
      <c r="R114" s="8">
        <v>0.44470000000000004</v>
      </c>
      <c r="S114" s="6" t="s">
        <v>201</v>
      </c>
    </row>
    <row r="115" spans="16:19" x14ac:dyDescent="0.45">
      <c r="P115" s="11">
        <v>2048</v>
      </c>
      <c r="Q115" s="3" t="s">
        <v>200</v>
      </c>
      <c r="R115" s="5">
        <v>0.64029999999999998</v>
      </c>
      <c r="S115" s="3" t="s">
        <v>201</v>
      </c>
    </row>
    <row r="116" spans="16:19" x14ac:dyDescent="0.45">
      <c r="P116" s="12">
        <v>2048</v>
      </c>
      <c r="Q116" s="6" t="s">
        <v>202</v>
      </c>
      <c r="R116" s="8">
        <v>0.27803333333333335</v>
      </c>
      <c r="S116" s="6" t="s">
        <v>201</v>
      </c>
    </row>
    <row r="117" spans="16:19" x14ac:dyDescent="0.45">
      <c r="P117" s="11">
        <v>2048</v>
      </c>
      <c r="Q117" s="3" t="s">
        <v>203</v>
      </c>
      <c r="R117" s="5">
        <v>0.17413333333333333</v>
      </c>
      <c r="S117" s="3" t="s">
        <v>201</v>
      </c>
    </row>
    <row r="118" spans="16:19" x14ac:dyDescent="0.45">
      <c r="P118" s="12">
        <v>2048</v>
      </c>
      <c r="Q118" s="6" t="s">
        <v>204</v>
      </c>
      <c r="R118" s="8">
        <v>0.39666666666666667</v>
      </c>
      <c r="S118" s="6" t="s">
        <v>201</v>
      </c>
    </row>
    <row r="119" spans="16:19" x14ac:dyDescent="0.45">
      <c r="P119" s="11">
        <v>2049</v>
      </c>
      <c r="Q119" s="3" t="s">
        <v>200</v>
      </c>
      <c r="R119" s="5">
        <v>0.53733333333333333</v>
      </c>
      <c r="S119" s="3" t="s">
        <v>201</v>
      </c>
    </row>
    <row r="120" spans="16:19" x14ac:dyDescent="0.45">
      <c r="P120" s="12">
        <v>2049</v>
      </c>
      <c r="Q120" s="6" t="s">
        <v>202</v>
      </c>
      <c r="R120" s="8">
        <v>0.28823333333333334</v>
      </c>
      <c r="S120" s="6" t="s">
        <v>201</v>
      </c>
    </row>
    <row r="121" spans="16:19" x14ac:dyDescent="0.45">
      <c r="P121" s="11">
        <v>2049</v>
      </c>
      <c r="Q121" s="3" t="s">
        <v>203</v>
      </c>
      <c r="R121" s="5">
        <v>0.1613</v>
      </c>
      <c r="S121" s="3" t="s">
        <v>201</v>
      </c>
    </row>
    <row r="122" spans="16:19" x14ac:dyDescent="0.45">
      <c r="P122" s="12">
        <v>2049</v>
      </c>
      <c r="Q122" s="6" t="s">
        <v>204</v>
      </c>
      <c r="R122" s="8">
        <v>0.42019999999999996</v>
      </c>
      <c r="S122" s="6" t="s">
        <v>201</v>
      </c>
    </row>
    <row r="123" spans="16:19" x14ac:dyDescent="0.45">
      <c r="P123" s="11">
        <v>2050</v>
      </c>
      <c r="Q123" s="3" t="s">
        <v>200</v>
      </c>
      <c r="R123" s="5">
        <v>0.53933333333333333</v>
      </c>
      <c r="S123" s="3" t="s">
        <v>201</v>
      </c>
    </row>
    <row r="124" spans="16:19" x14ac:dyDescent="0.45">
      <c r="P124" s="12">
        <v>2050</v>
      </c>
      <c r="Q124" s="6" t="s">
        <v>202</v>
      </c>
      <c r="R124" s="8">
        <v>0.31003333333333333</v>
      </c>
      <c r="S124" s="6" t="s">
        <v>201</v>
      </c>
    </row>
    <row r="125" spans="16:19" x14ac:dyDescent="0.45">
      <c r="P125" s="11">
        <v>2050</v>
      </c>
      <c r="Q125" s="3" t="s">
        <v>203</v>
      </c>
      <c r="R125" s="5">
        <v>0.16796666666666663</v>
      </c>
      <c r="S125" s="3" t="s">
        <v>201</v>
      </c>
    </row>
    <row r="126" spans="16:19" x14ac:dyDescent="0.45">
      <c r="P126" s="12">
        <v>2050</v>
      </c>
      <c r="Q126" s="6" t="s">
        <v>204</v>
      </c>
      <c r="R126" s="8">
        <v>0.40453333333333336</v>
      </c>
      <c r="S126" s="6" t="s">
        <v>201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98D0-ABAE-4252-BD65-EFC9643B7DC9}">
  <dimension ref="A1:N33"/>
  <sheetViews>
    <sheetView workbookViewId="0">
      <selection activeCell="F32" sqref="F32"/>
    </sheetView>
  </sheetViews>
  <sheetFormatPr defaultRowHeight="14.25" x14ac:dyDescent="0.45"/>
  <cols>
    <col min="3" max="3" width="10.59765625" customWidth="1"/>
    <col min="4" max="4" width="30.59765625" customWidth="1"/>
    <col min="8" max="8" width="9.46484375" bestFit="1" customWidth="1"/>
    <col min="9" max="9" width="10.59765625" bestFit="1" customWidth="1"/>
    <col min="10" max="10" width="9.3984375" bestFit="1" customWidth="1"/>
  </cols>
  <sheetData>
    <row r="1" spans="1:8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8" ht="14.65" thickBot="1" x14ac:dyDescent="0.5"/>
    <row r="10" spans="1:8" ht="15.75" thickBot="1" x14ac:dyDescent="0.6">
      <c r="A10" t="s">
        <v>191</v>
      </c>
      <c r="B10" s="13"/>
      <c r="C10" s="2" t="s">
        <v>282</v>
      </c>
      <c r="D10" s="2" t="s">
        <v>191</v>
      </c>
    </row>
    <row r="11" spans="1:8" x14ac:dyDescent="0.45">
      <c r="B11" s="13"/>
      <c r="C11" s="3" t="s">
        <v>283</v>
      </c>
      <c r="D11" s="3" t="s">
        <v>284</v>
      </c>
    </row>
    <row r="12" spans="1:8" x14ac:dyDescent="0.45">
      <c r="B12" s="13"/>
      <c r="C12" s="14" t="s">
        <v>285</v>
      </c>
      <c r="D12" s="6" t="s">
        <v>286</v>
      </c>
    </row>
    <row r="17" spans="3:14" x14ac:dyDescent="0.45">
      <c r="I17" s="15">
        <v>0.75</v>
      </c>
      <c r="K17" s="16" t="s">
        <v>287</v>
      </c>
    </row>
    <row r="18" spans="3:14" ht="17.649999999999999" thickBot="1" x14ac:dyDescent="0.6">
      <c r="C18" s="17" t="s">
        <v>288</v>
      </c>
    </row>
    <row r="19" spans="3:14" ht="14.65" thickTop="1" x14ac:dyDescent="0.45"/>
    <row r="21" spans="3:14" ht="17.649999999999999" thickBot="1" x14ac:dyDescent="0.6">
      <c r="H21" s="17" t="str">
        <f>IF(H23=H24,"Not Required!","~UC_T: LO")</f>
        <v>~UC_T: LO</v>
      </c>
    </row>
    <row r="22" spans="3:14" ht="15" thickTop="1" thickBot="1" x14ac:dyDescent="0.5">
      <c r="C22" s="18" t="s">
        <v>289</v>
      </c>
      <c r="D22" s="18" t="s">
        <v>290</v>
      </c>
      <c r="E22" s="18" t="s">
        <v>291</v>
      </c>
      <c r="F22" s="18" t="s">
        <v>292</v>
      </c>
      <c r="G22" s="18" t="s">
        <v>293</v>
      </c>
      <c r="H22" s="18" t="s">
        <v>294</v>
      </c>
      <c r="I22" s="18" t="s">
        <v>295</v>
      </c>
      <c r="J22" s="18" t="s">
        <v>296</v>
      </c>
      <c r="K22" s="18" t="s">
        <v>297</v>
      </c>
    </row>
    <row r="23" spans="3:14" x14ac:dyDescent="0.45">
      <c r="C23" t="s">
        <v>298</v>
      </c>
      <c r="D23" t="s">
        <v>199</v>
      </c>
      <c r="E23" t="str">
        <f>G23</f>
        <v>AuxStoIN</v>
      </c>
      <c r="F23" t="s">
        <v>299</v>
      </c>
      <c r="G23" t="s">
        <v>300</v>
      </c>
      <c r="H23" t="str">
        <f>HLOOKUP($A$10,$D$10:$CU$12,3,FALSE)</f>
        <v>S1aH1,S4aH3,S3aH3,S4aH1,S2aH3,S3aH1,S1aH3,S2aH1</v>
      </c>
      <c r="I23">
        <f>1+I24</f>
        <v>0.25</v>
      </c>
      <c r="J23">
        <v>0</v>
      </c>
      <c r="K23">
        <v>3</v>
      </c>
      <c r="M23" t="s">
        <v>301</v>
      </c>
    </row>
    <row r="24" spans="3:14" x14ac:dyDescent="0.45">
      <c r="D24" t="s">
        <v>199</v>
      </c>
      <c r="E24" t="str">
        <f>G24</f>
        <v>AuxStoIN</v>
      </c>
      <c r="F24" t="s">
        <v>299</v>
      </c>
      <c r="G24" t="s">
        <v>300</v>
      </c>
      <c r="H24" t="str">
        <f>HLOOKUP($A$10,$D$10:$CU$12,2,FALSE)</f>
        <v>S2aH2,S3aH2,S1aH2,S4aH2</v>
      </c>
      <c r="I24">
        <f>-$I$17</f>
        <v>-0.75</v>
      </c>
      <c r="M24" t="s">
        <v>302</v>
      </c>
    </row>
    <row r="29" spans="3:14" ht="17.649999999999999" thickBot="1" x14ac:dyDescent="0.6">
      <c r="I29" s="17" t="s">
        <v>303</v>
      </c>
    </row>
    <row r="30" spans="3:14" ht="15" thickTop="1" thickBot="1" x14ac:dyDescent="0.5">
      <c r="C30" s="18" t="s">
        <v>289</v>
      </c>
      <c r="D30" s="18" t="s">
        <v>304</v>
      </c>
      <c r="E30" s="18" t="s">
        <v>305</v>
      </c>
      <c r="F30" s="18" t="s">
        <v>290</v>
      </c>
      <c r="G30" s="18" t="s">
        <v>306</v>
      </c>
      <c r="H30" s="18" t="s">
        <v>293</v>
      </c>
      <c r="I30" s="18" t="s">
        <v>294</v>
      </c>
      <c r="J30" s="18" t="s">
        <v>307</v>
      </c>
      <c r="K30" s="18" t="s">
        <v>308</v>
      </c>
      <c r="L30" s="18" t="s">
        <v>309</v>
      </c>
      <c r="M30" s="18" t="s">
        <v>310</v>
      </c>
      <c r="N30" s="18" t="s">
        <v>311</v>
      </c>
    </row>
    <row r="31" spans="3:14" x14ac:dyDescent="0.45">
      <c r="C31" t="s">
        <v>312</v>
      </c>
      <c r="D31" t="s">
        <v>313</v>
      </c>
      <c r="F31" t="s">
        <v>314</v>
      </c>
      <c r="I31" t="s">
        <v>315</v>
      </c>
      <c r="J31">
        <v>1</v>
      </c>
      <c r="L31">
        <v>0</v>
      </c>
      <c r="M31">
        <v>5</v>
      </c>
      <c r="N31" t="s">
        <v>316</v>
      </c>
    </row>
    <row r="32" spans="3:14" x14ac:dyDescent="0.45">
      <c r="H32" t="s">
        <v>103</v>
      </c>
      <c r="I32" t="s">
        <v>315</v>
      </c>
      <c r="K32">
        <v>-1</v>
      </c>
    </row>
    <row r="33" spans="8:11" x14ac:dyDescent="0.45">
      <c r="H33" t="s">
        <v>317</v>
      </c>
      <c r="I33" t="s">
        <v>315</v>
      </c>
      <c r="K33">
        <v>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A7BF-29A7-4796-A76D-EB496BECEE37}">
  <dimension ref="A1:H14"/>
  <sheetViews>
    <sheetView tabSelected="1" workbookViewId="0">
      <selection sqref="A1:H1"/>
    </sheetView>
  </sheetViews>
  <sheetFormatPr defaultRowHeight="14.25" x14ac:dyDescent="0.45"/>
  <cols>
    <col min="3" max="7" width="10.59765625" customWidth="1"/>
  </cols>
  <sheetData>
    <row r="1" spans="1:8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8" ht="14.65" thickBot="1" x14ac:dyDescent="0.5">
      <c r="C9" s="1" t="str">
        <f>IF(A11="x","DeActivated","~TimeSlices")</f>
        <v>~TimeSlices</v>
      </c>
    </row>
    <row r="10" spans="1:8" ht="15.75" thickBot="1" x14ac:dyDescent="0.6">
      <c r="A10" t="s">
        <v>191</v>
      </c>
      <c r="C10" s="2" t="s">
        <v>318</v>
      </c>
      <c r="D10" s="2" t="s">
        <v>319</v>
      </c>
      <c r="E10" s="2" t="s">
        <v>320</v>
      </c>
      <c r="F10" s="2" t="s">
        <v>321</v>
      </c>
      <c r="G10" s="2" t="s">
        <v>322</v>
      </c>
    </row>
    <row r="11" spans="1:8" x14ac:dyDescent="0.45">
      <c r="C11" s="3" t="s">
        <v>200</v>
      </c>
      <c r="D11" s="3" t="s">
        <v>323</v>
      </c>
      <c r="E11" s="3" t="s">
        <v>324</v>
      </c>
      <c r="F11" s="3" t="s">
        <v>325</v>
      </c>
      <c r="G11" s="3" t="s">
        <v>323</v>
      </c>
    </row>
    <row r="12" spans="1:8" x14ac:dyDescent="0.45">
      <c r="C12" s="6" t="s">
        <v>202</v>
      </c>
      <c r="D12" s="6"/>
      <c r="E12" s="6" t="s">
        <v>326</v>
      </c>
      <c r="F12" s="6"/>
      <c r="G12" s="6" t="s">
        <v>323</v>
      </c>
    </row>
    <row r="13" spans="1:8" x14ac:dyDescent="0.45">
      <c r="C13" s="3" t="s">
        <v>203</v>
      </c>
      <c r="D13" s="3"/>
      <c r="E13" s="3" t="s">
        <v>327</v>
      </c>
      <c r="F13" s="3"/>
      <c r="G13" s="3" t="s">
        <v>323</v>
      </c>
    </row>
    <row r="14" spans="1:8" x14ac:dyDescent="0.45">
      <c r="C14" s="6" t="s">
        <v>204</v>
      </c>
      <c r="D14" s="6"/>
      <c r="E14" s="6"/>
      <c r="F14" s="6"/>
      <c r="G14" s="6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resource_profiles_GBR</vt:lpstr>
      <vt:lpstr>firmness_GBR</vt:lpstr>
      <vt:lpstr>load_demand_peak_hydro_GBR</vt:lpstr>
      <vt:lpstr>resource_profiles_IRL</vt:lpstr>
      <vt:lpstr>firmness_IRL</vt:lpstr>
      <vt:lpstr>load_demand_peak_hydro_IRL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2026-09-16T05:35:55Z</dcterms:created>
  <dcterms:modified xsi:type="dcterms:W3CDTF">2026-09-16T05:36:06Z</dcterms:modified>
</cp:coreProperties>
</file>