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S_UoG_IE_UK\SubRES_Tmpl\"/>
    </mc:Choice>
  </mc:AlternateContent>
  <xr:revisionPtr revIDLastSave="0" documentId="8_{38DDBCCC-FA0A-4812-9E72-024604E7E3F4}" xr6:coauthVersionLast="47" xr6:coauthVersionMax="47" xr10:uidLastSave="{00000000-0000-0000-0000-000000000000}"/>
  <bookViews>
    <workbookView xWindow="-98" yWindow="-98" windowWidth="28996" windowHeight="17475" xr2:uid="{9EE09F78-F39D-4025-9A34-FA46BE85D896}"/>
  </bookViews>
  <sheets>
    <sheet name="AVA_common" sheetId="3" r:id="rId1"/>
    <sheet name="Mis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24" i="2" l="1"/>
  <c r="T24" i="2"/>
  <c r="X20" i="2"/>
  <c r="W20" i="2"/>
  <c r="W24" i="2" s="1"/>
  <c r="X19" i="2"/>
  <c r="X23" i="2" s="1"/>
  <c r="W19" i="2"/>
  <c r="W23" i="2" s="1"/>
  <c r="X18" i="2"/>
  <c r="X22" i="2" s="1"/>
  <c r="W18" i="2"/>
  <c r="W22" i="2" s="1"/>
  <c r="X17" i="2"/>
  <c r="X21" i="2" s="1"/>
  <c r="W17" i="2"/>
  <c r="W21" i="2" s="1"/>
</calcChain>
</file>

<file path=xl/sharedStrings.xml><?xml version="1.0" encoding="utf-8"?>
<sst xmlns="http://schemas.openxmlformats.org/spreadsheetml/2006/main" count="195" uniqueCount="87">
  <si>
    <t>VERVESTACKS - the open USE platform · Powered by data · Shaped by vision · Guided by intuition · Fueled by passion</t>
  </si>
  <si>
    <t>~TFM_INS</t>
  </si>
  <si>
    <t>attribute</t>
  </si>
  <si>
    <t>value</t>
  </si>
  <si>
    <t>process</t>
  </si>
  <si>
    <t>LimType</t>
  </si>
  <si>
    <t>Attribute</t>
  </si>
  <si>
    <t>PSET_PN</t>
  </si>
  <si>
    <t>Year</t>
  </si>
  <si>
    <t>AllRegions</t>
  </si>
  <si>
    <t>ncap_cost</t>
  </si>
  <si>
    <t>*1</t>
  </si>
  <si>
    <t>Hydropower - large-scale unit,Solar photovoltaics - Large scale unit,Wind offshore,Wind onshore</t>
  </si>
  <si>
    <t>Cap2ACT</t>
  </si>
  <si>
    <t>E[_]SPV*</t>
  </si>
  <si>
    <t>ncap_fom</t>
  </si>
  <si>
    <t>LIFE</t>
  </si>
  <si>
    <t>ncap_iled</t>
  </si>
  <si>
    <t>EFF</t>
  </si>
  <si>
    <t>PEAK</t>
  </si>
  <si>
    <t>ElcAgg_Solar</t>
  </si>
  <si>
    <t>ELIFE</t>
  </si>
  <si>
    <t>~TFM_INS-TS</t>
  </si>
  <si>
    <t>Trd_elec*</t>
  </si>
  <si>
    <t>EN[_]Hydro*</t>
  </si>
  <si>
    <t>Hydropower - large-scale unit</t>
  </si>
  <si>
    <t>Solar photovoltaics - Large scale unit</t>
  </si>
  <si>
    <t>UP</t>
  </si>
  <si>
    <t>CAP_BND</t>
  </si>
  <si>
    <t>E[_]W*</t>
  </si>
  <si>
    <t>Wind offshore</t>
  </si>
  <si>
    <t>E[_]WOF*</t>
  </si>
  <si>
    <t>Wind onshore</t>
  </si>
  <si>
    <t>E[_]WON*</t>
  </si>
  <si>
    <t>NCAP_ILED</t>
  </si>
  <si>
    <t>ElcAgg_Wind</t>
  </si>
  <si>
    <t>PSET_SET</t>
  </si>
  <si>
    <t>attrib_cond</t>
  </si>
  <si>
    <t>ELE,CHP,HPL</t>
  </si>
  <si>
    <t>ELE,-STG</t>
  </si>
  <si>
    <t>-EFF</t>
  </si>
  <si>
    <t>ELE</t>
  </si>
  <si>
    <t>ELE,CHP,-STG</t>
  </si>
  <si>
    <t>AF</t>
  </si>
  <si>
    <t>~TFM_TOPINS</t>
  </si>
  <si>
    <t>commodity</t>
  </si>
  <si>
    <t>io</t>
  </si>
  <si>
    <t>other_indexes</t>
  </si>
  <si>
    <t>pset_set</t>
  </si>
  <si>
    <t>allregions</t>
  </si>
  <si>
    <t>top_check</t>
  </si>
  <si>
    <t>ELC_spv*</t>
  </si>
  <si>
    <t>IN</t>
  </si>
  <si>
    <t>FLO_FUNC</t>
  </si>
  <si>
    <t>AuxStoOUT</t>
  </si>
  <si>
    <t>STG</t>
  </si>
  <si>
    <t>en[_]*?h*</t>
  </si>
  <si>
    <t>ELC,e[_]*</t>
  </si>
  <si>
    <t>OUT</t>
  </si>
  <si>
    <t>ELC_wo*</t>
  </si>
  <si>
    <t>solar</t>
  </si>
  <si>
    <t>windoff</t>
  </si>
  <si>
    <t>~TFM_TOPINS-A</t>
  </si>
  <si>
    <t>windon</t>
  </si>
  <si>
    <t>pset_pn</t>
  </si>
  <si>
    <t>pset_ci</t>
  </si>
  <si>
    <t>start</t>
  </si>
  <si>
    <t>-pasti</t>
  </si>
  <si>
    <t>-*cofiring*</t>
  </si>
  <si>
    <t>solar,wind,coal,gas,nuclear,hydro,bioenergy</t>
  </si>
  <si>
    <t>life</t>
  </si>
  <si>
    <t>-life</t>
  </si>
  <si>
    <t>coal,gas,nuclear,bioenergy</t>
  </si>
  <si>
    <t>en_biomass_cofiring*,en_geothermal*</t>
  </si>
  <si>
    <t>limtype</t>
  </si>
  <si>
    <t>flo_emis</t>
  </si>
  <si>
    <t>gas</t>
  </si>
  <si>
    <t>*ccs*</t>
  </si>
  <si>
    <t>co2</t>
  </si>
  <si>
    <t>co2captured</t>
  </si>
  <si>
    <t>coal,oil,bioenergy</t>
  </si>
  <si>
    <t>~TFM_AVA</t>
  </si>
  <si>
    <t>Region</t>
  </si>
  <si>
    <t>*[_]GBR*</t>
  </si>
  <si>
    <t>GBR</t>
  </si>
  <si>
    <t>*[_]IRL*</t>
  </si>
  <si>
    <t>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</si>
</sst>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rgb="FFFF0000"/>
      <name val="Segoe UI"/>
      <family val="2"/>
    </font>
    <font>
      <sz val="9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6">
    <xf numFmtId="0" fontId="0" fillId="0" borderId="0" xfId="0"/>
    <xf numFmtId="0" fontId="4" fillId="2" borderId="3" xfId="0" applyFont="1" applyFill="1" applyBorder="1" applyAlignment="1">
      <alignment horizontal="left" vertical="center"/>
    </xf>
    <xf numFmtId="2" fontId="0" fillId="0" borderId="0" xfId="0" applyNumberFormat="1"/>
    <xf numFmtId="0" fontId="5" fillId="0" borderId="0" xfId="0" applyFont="1"/>
    <xf numFmtId="0" fontId="6" fillId="3" borderId="4" xfId="0" applyFont="1" applyFill="1" applyBorder="1"/>
    <xf numFmtId="0" fontId="7" fillId="4" borderId="3" xfId="0" applyFont="1" applyFill="1" applyBorder="1"/>
    <xf numFmtId="164" fontId="7" fillId="4" borderId="3" xfId="0" applyNumberFormat="1" applyFont="1" applyFill="1" applyBorder="1"/>
    <xf numFmtId="0" fontId="8" fillId="4" borderId="3" xfId="0" applyFont="1" applyFill="1" applyBorder="1"/>
    <xf numFmtId="0" fontId="7" fillId="0" borderId="3" xfId="0" applyFont="1" applyBorder="1"/>
    <xf numFmtId="164" fontId="7" fillId="0" borderId="3" xfId="0" applyNumberFormat="1" applyFont="1" applyBorder="1"/>
    <xf numFmtId="0" fontId="8" fillId="0" borderId="3" xfId="0" applyFont="1" applyBorder="1"/>
    <xf numFmtId="0" fontId="3" fillId="0" borderId="0" xfId="0" applyFont="1"/>
    <xf numFmtId="0" fontId="0" fillId="0" borderId="0" xfId="0" quotePrefix="1"/>
    <xf numFmtId="0" fontId="1" fillId="0" borderId="1" xfId="1"/>
    <xf numFmtId="0" fontId="2" fillId="0" borderId="2" xfId="2"/>
    <xf numFmtId="0" fontId="2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10</xdr:col>
      <xdr:colOff>258763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5D5A2-9C7C-4957-A957-6CA1AA69CF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4188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7E3B-D31D-4E09-80E8-3165A25902D0}">
  <dimension ref="B2:C5"/>
  <sheetViews>
    <sheetView tabSelected="1" workbookViewId="0"/>
  </sheetViews>
  <sheetFormatPr defaultRowHeight="14.25" x14ac:dyDescent="0.45"/>
  <sheetData>
    <row r="2" spans="2:3" x14ac:dyDescent="0.45">
      <c r="B2" t="s">
        <v>81</v>
      </c>
    </row>
    <row r="3" spans="2:3" x14ac:dyDescent="0.45">
      <c r="B3" t="s">
        <v>7</v>
      </c>
      <c r="C3" t="s">
        <v>82</v>
      </c>
    </row>
    <row r="4" spans="2:3" x14ac:dyDescent="0.45">
      <c r="B4" t="s">
        <v>83</v>
      </c>
      <c r="C4" t="s">
        <v>84</v>
      </c>
    </row>
    <row r="5" spans="2:3" x14ac:dyDescent="0.45">
      <c r="B5" t="s">
        <v>85</v>
      </c>
      <c r="C5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EF39-6FC4-41C8-8126-208E144CCE67}">
  <dimension ref="A1:X57"/>
  <sheetViews>
    <sheetView topLeftCell="A16" workbookViewId="0">
      <selection activeCell="C36" sqref="C36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20" width="10.59765625" customWidth="1"/>
    <col min="21" max="21" width="10" bestFit="1" customWidth="1"/>
    <col min="22" max="22" width="9.06640625" bestFit="1" customWidth="1"/>
  </cols>
  <sheetData>
    <row r="1" spans="1:24" ht="22.05" customHeight="1" x14ac:dyDescent="0.45">
      <c r="A1" s="1" t="s">
        <v>0</v>
      </c>
      <c r="B1" s="1"/>
      <c r="C1" s="1"/>
      <c r="D1" s="1"/>
      <c r="E1" s="1"/>
      <c r="F1" s="1"/>
      <c r="G1" s="1"/>
      <c r="H1" s="1"/>
    </row>
    <row r="4" spans="1:24" x14ac:dyDescent="0.45">
      <c r="C4" t="s">
        <v>1</v>
      </c>
      <c r="L4" t="s">
        <v>2</v>
      </c>
      <c r="M4" t="s">
        <v>3</v>
      </c>
      <c r="N4" t="s">
        <v>4</v>
      </c>
    </row>
    <row r="5" spans="1:24" x14ac:dyDescent="0.45">
      <c r="C5" t="s">
        <v>5</v>
      </c>
      <c r="D5" t="s">
        <v>6</v>
      </c>
      <c r="E5" t="s">
        <v>7</v>
      </c>
      <c r="F5" t="s">
        <v>8</v>
      </c>
      <c r="G5" t="s">
        <v>9</v>
      </c>
      <c r="L5" t="s">
        <v>10</v>
      </c>
      <c r="M5" t="s">
        <v>11</v>
      </c>
      <c r="N5" t="s">
        <v>12</v>
      </c>
    </row>
    <row r="6" spans="1:24" x14ac:dyDescent="0.45">
      <c r="D6" t="s">
        <v>13</v>
      </c>
      <c r="E6" t="s">
        <v>14</v>
      </c>
      <c r="G6" s="2">
        <v>8.76</v>
      </c>
      <c r="L6" t="s">
        <v>15</v>
      </c>
      <c r="M6" t="s">
        <v>11</v>
      </c>
      <c r="N6" t="s">
        <v>12</v>
      </c>
    </row>
    <row r="7" spans="1:24" x14ac:dyDescent="0.45">
      <c r="D7" t="s">
        <v>16</v>
      </c>
      <c r="E7" t="s">
        <v>14</v>
      </c>
      <c r="G7">
        <v>25</v>
      </c>
      <c r="L7" t="s">
        <v>17</v>
      </c>
      <c r="M7" t="s">
        <v>11</v>
      </c>
      <c r="N7" t="s">
        <v>12</v>
      </c>
    </row>
    <row r="8" spans="1:24" x14ac:dyDescent="0.45">
      <c r="D8" t="s">
        <v>18</v>
      </c>
      <c r="E8" t="s">
        <v>14</v>
      </c>
      <c r="G8" s="2">
        <v>1</v>
      </c>
    </row>
    <row r="9" spans="1:24" x14ac:dyDescent="0.45">
      <c r="D9" t="s">
        <v>19</v>
      </c>
      <c r="E9" t="s">
        <v>20</v>
      </c>
      <c r="G9">
        <v>0.1</v>
      </c>
    </row>
    <row r="10" spans="1:24" ht="14.65" thickBot="1" x14ac:dyDescent="0.5">
      <c r="D10" t="s">
        <v>21</v>
      </c>
      <c r="E10" t="s">
        <v>14</v>
      </c>
      <c r="G10">
        <v>20</v>
      </c>
      <c r="P10" s="3" t="s">
        <v>22</v>
      </c>
    </row>
    <row r="11" spans="1:24" ht="15.75" thickBot="1" x14ac:dyDescent="0.6">
      <c r="D11" t="s">
        <v>13</v>
      </c>
      <c r="E11" t="s">
        <v>23</v>
      </c>
      <c r="G11" s="2">
        <v>8.76</v>
      </c>
      <c r="P11" s="4" t="s">
        <v>2</v>
      </c>
      <c r="Q11" s="4">
        <v>2023</v>
      </c>
      <c r="R11" s="4">
        <v>2030</v>
      </c>
      <c r="S11" s="4">
        <v>2050</v>
      </c>
      <c r="T11" s="4" t="s">
        <v>4</v>
      </c>
    </row>
    <row r="12" spans="1:24" x14ac:dyDescent="0.45">
      <c r="P12" s="5" t="s">
        <v>10</v>
      </c>
      <c r="Q12" s="6">
        <v>2494</v>
      </c>
      <c r="R12" s="6">
        <v>2494</v>
      </c>
      <c r="S12" s="6">
        <v>2494</v>
      </c>
      <c r="T12" s="7" t="s">
        <v>24</v>
      </c>
    </row>
    <row r="13" spans="1:24" x14ac:dyDescent="0.45">
      <c r="C13" t="s">
        <v>1</v>
      </c>
      <c r="P13" s="8" t="s">
        <v>15</v>
      </c>
      <c r="Q13" s="9">
        <v>61</v>
      </c>
      <c r="R13" s="9">
        <v>61</v>
      </c>
      <c r="S13" s="9">
        <v>61</v>
      </c>
      <c r="T13" s="10" t="s">
        <v>24</v>
      </c>
      <c r="W13" t="s">
        <v>25</v>
      </c>
      <c r="X13" t="s">
        <v>24</v>
      </c>
    </row>
    <row r="14" spans="1:24" x14ac:dyDescent="0.45">
      <c r="C14" t="s">
        <v>5</v>
      </c>
      <c r="D14" t="s">
        <v>6</v>
      </c>
      <c r="E14" t="s">
        <v>7</v>
      </c>
      <c r="F14" t="s">
        <v>8</v>
      </c>
      <c r="G14" t="s">
        <v>9</v>
      </c>
      <c r="P14" s="5" t="s">
        <v>17</v>
      </c>
      <c r="Q14" s="6">
        <v>4</v>
      </c>
      <c r="R14" s="6">
        <v>4</v>
      </c>
      <c r="S14" s="6">
        <v>4</v>
      </c>
      <c r="T14" s="7" t="s">
        <v>24</v>
      </c>
      <c r="W14" t="s">
        <v>26</v>
      </c>
      <c r="X14" t="s">
        <v>14</v>
      </c>
    </row>
    <row r="15" spans="1:24" x14ac:dyDescent="0.45">
      <c r="C15" t="s">
        <v>27</v>
      </c>
      <c r="D15" t="s">
        <v>28</v>
      </c>
      <c r="E15" t="s">
        <v>29</v>
      </c>
      <c r="F15">
        <v>0</v>
      </c>
      <c r="G15">
        <v>3</v>
      </c>
      <c r="P15" s="8" t="s">
        <v>10</v>
      </c>
      <c r="Q15" s="9">
        <v>715</v>
      </c>
      <c r="R15" s="9">
        <v>566</v>
      </c>
      <c r="S15" s="9">
        <v>367</v>
      </c>
      <c r="T15" s="10" t="s">
        <v>14</v>
      </c>
      <c r="W15" t="s">
        <v>30</v>
      </c>
      <c r="X15" t="s">
        <v>31</v>
      </c>
    </row>
    <row r="16" spans="1:24" x14ac:dyDescent="0.45">
      <c r="D16" t="s">
        <v>13</v>
      </c>
      <c r="E16" t="s">
        <v>29</v>
      </c>
      <c r="G16" s="2">
        <v>8.76</v>
      </c>
      <c r="P16" s="5" t="s">
        <v>15</v>
      </c>
      <c r="Q16" s="6">
        <v>11</v>
      </c>
      <c r="R16" s="6">
        <v>10</v>
      </c>
      <c r="S16" s="6">
        <v>9</v>
      </c>
      <c r="T16" s="7" t="s">
        <v>14</v>
      </c>
      <c r="W16" t="s">
        <v>32</v>
      </c>
      <c r="X16" t="s">
        <v>33</v>
      </c>
    </row>
    <row r="17" spans="3:24" x14ac:dyDescent="0.45">
      <c r="D17" t="s">
        <v>34</v>
      </c>
      <c r="E17" t="s">
        <v>31</v>
      </c>
      <c r="G17">
        <v>4</v>
      </c>
      <c r="P17" s="8" t="s">
        <v>17</v>
      </c>
      <c r="Q17" s="9">
        <v>1.5</v>
      </c>
      <c r="R17" s="9">
        <v>1.5</v>
      </c>
      <c r="S17" s="9">
        <v>1.5</v>
      </c>
      <c r="T17" s="10" t="s">
        <v>14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34</v>
      </c>
      <c r="E18" t="s">
        <v>33</v>
      </c>
      <c r="G18">
        <v>2</v>
      </c>
      <c r="P18" s="5" t="s">
        <v>10</v>
      </c>
      <c r="Q18" s="6">
        <v>3256</v>
      </c>
      <c r="R18" s="6">
        <v>2660</v>
      </c>
      <c r="S18" s="6">
        <v>1863</v>
      </c>
      <c r="T18" s="7" t="s">
        <v>31</v>
      </c>
      <c r="W18" t="str">
        <f t="shared" ref="W18:W24" si="1">W14</f>
        <v>Solar photovoltaics - Large scale unit</v>
      </c>
      <c r="X18" t="str">
        <f t="shared" si="0"/>
        <v>E[_]SPV*</v>
      </c>
    </row>
    <row r="19" spans="3:24" x14ac:dyDescent="0.45">
      <c r="D19" t="s">
        <v>16</v>
      </c>
      <c r="E19" t="s">
        <v>29</v>
      </c>
      <c r="G19">
        <v>30</v>
      </c>
      <c r="P19" s="8" t="s">
        <v>15</v>
      </c>
      <c r="Q19" s="9">
        <v>66</v>
      </c>
      <c r="R19" s="9">
        <v>56</v>
      </c>
      <c r="S19" s="9">
        <v>42</v>
      </c>
      <c r="T19" s="10" t="s">
        <v>31</v>
      </c>
      <c r="W19" t="str">
        <f t="shared" si="1"/>
        <v>Wind offshore</v>
      </c>
      <c r="X19" t="str">
        <f t="shared" si="0"/>
        <v>E[_]WOF*</v>
      </c>
    </row>
    <row r="20" spans="3:24" x14ac:dyDescent="0.45">
      <c r="D20" t="s">
        <v>18</v>
      </c>
      <c r="E20" t="s">
        <v>29</v>
      </c>
      <c r="G20">
        <v>1</v>
      </c>
      <c r="P20" s="5" t="s">
        <v>17</v>
      </c>
      <c r="Q20" s="6">
        <v>3</v>
      </c>
      <c r="R20" s="6">
        <v>3</v>
      </c>
      <c r="S20" s="6">
        <v>3</v>
      </c>
      <c r="T20" s="7" t="s">
        <v>31</v>
      </c>
      <c r="W20" t="str">
        <f t="shared" si="1"/>
        <v>Wind onshore</v>
      </c>
      <c r="X20" t="str">
        <f t="shared" si="0"/>
        <v>E[_]WON*</v>
      </c>
    </row>
    <row r="21" spans="3:24" x14ac:dyDescent="0.45">
      <c r="D21" t="s">
        <v>19</v>
      </c>
      <c r="E21" t="s">
        <v>35</v>
      </c>
      <c r="G21">
        <v>0.25</v>
      </c>
      <c r="P21" s="8" t="s">
        <v>10</v>
      </c>
      <c r="Q21" s="9">
        <v>1524</v>
      </c>
      <c r="R21" s="9">
        <v>1483</v>
      </c>
      <c r="S21" s="9">
        <v>1421</v>
      </c>
      <c r="T21" s="10" t="s">
        <v>33</v>
      </c>
      <c r="W21" t="str">
        <f t="shared" si="1"/>
        <v>Hydropower - large-scale unit</v>
      </c>
      <c r="X21" t="str">
        <f t="shared" si="0"/>
        <v>EN[_]Hydro*</v>
      </c>
    </row>
    <row r="22" spans="3:24" x14ac:dyDescent="0.45">
      <c r="D22" t="s">
        <v>21</v>
      </c>
      <c r="E22" t="s">
        <v>29</v>
      </c>
      <c r="G22">
        <v>20</v>
      </c>
      <c r="P22" s="5" t="s">
        <v>15</v>
      </c>
      <c r="Q22" s="6">
        <v>38</v>
      </c>
      <c r="R22" s="6">
        <v>38</v>
      </c>
      <c r="S22" s="6">
        <v>36</v>
      </c>
      <c r="T22" s="7" t="s">
        <v>33</v>
      </c>
      <c r="W22" t="str">
        <f t="shared" si="1"/>
        <v>Solar photovoltaics - Large scale unit</v>
      </c>
      <c r="X22" t="str">
        <f t="shared" si="0"/>
        <v>E[_]SPV*</v>
      </c>
    </row>
    <row r="23" spans="3:24" x14ac:dyDescent="0.45">
      <c r="P23" s="8" t="s">
        <v>17</v>
      </c>
      <c r="Q23" s="9">
        <v>1.5</v>
      </c>
      <c r="R23" s="9">
        <v>1.5</v>
      </c>
      <c r="S23" s="9">
        <v>1.5</v>
      </c>
      <c r="T23" s="10" t="s">
        <v>33</v>
      </c>
      <c r="W23" t="str">
        <f t="shared" si="1"/>
        <v>Wind offshore</v>
      </c>
      <c r="X23" t="str">
        <f t="shared" si="0"/>
        <v>E[_]WOF*</v>
      </c>
    </row>
    <row r="24" spans="3:24" x14ac:dyDescent="0.45">
      <c r="P24" s="11" t="s">
        <v>17</v>
      </c>
      <c r="Q24" s="11">
        <v>1.5</v>
      </c>
      <c r="R24" s="11">
        <v>1.5</v>
      </c>
      <c r="S24" s="11">
        <v>1.5</v>
      </c>
      <c r="T24" t="str">
        <f t="shared" ref="T24" si="2">T20</f>
        <v>E[_]WOF*</v>
      </c>
      <c r="W24" t="str">
        <f t="shared" si="1"/>
        <v>Wind onshore</v>
      </c>
      <c r="X24" t="str">
        <f t="shared" si="0"/>
        <v>E[_]WON*</v>
      </c>
    </row>
    <row r="27" spans="3:24" x14ac:dyDescent="0.45">
      <c r="C27" t="s">
        <v>1</v>
      </c>
    </row>
    <row r="28" spans="3:24" x14ac:dyDescent="0.45">
      <c r="C28" t="s">
        <v>36</v>
      </c>
      <c r="D28" t="s">
        <v>6</v>
      </c>
      <c r="E28" t="s">
        <v>7</v>
      </c>
      <c r="F28" t="s">
        <v>8</v>
      </c>
      <c r="G28" t="s">
        <v>9</v>
      </c>
      <c r="H28" t="s">
        <v>37</v>
      </c>
    </row>
    <row r="29" spans="3:24" x14ac:dyDescent="0.45">
      <c r="C29" t="s">
        <v>38</v>
      </c>
      <c r="D29" t="s">
        <v>13</v>
      </c>
      <c r="G29" s="2">
        <v>8.76</v>
      </c>
    </row>
    <row r="30" spans="3:24" x14ac:dyDescent="0.45">
      <c r="C30" t="s">
        <v>39</v>
      </c>
      <c r="D30" t="s">
        <v>18</v>
      </c>
      <c r="G30" s="2">
        <v>1</v>
      </c>
      <c r="H30" s="12" t="s">
        <v>40</v>
      </c>
    </row>
    <row r="31" spans="3:24" x14ac:dyDescent="0.45">
      <c r="D31" t="s">
        <v>16</v>
      </c>
      <c r="E31" t="s">
        <v>24</v>
      </c>
      <c r="G31">
        <v>200</v>
      </c>
    </row>
    <row r="32" spans="3:24" x14ac:dyDescent="0.45">
      <c r="D32" t="s">
        <v>21</v>
      </c>
      <c r="E32" t="s">
        <v>24</v>
      </c>
      <c r="G32">
        <v>30</v>
      </c>
    </row>
    <row r="33" spans="3:22" x14ac:dyDescent="0.45">
      <c r="D33" t="s">
        <v>19</v>
      </c>
      <c r="E33" t="s">
        <v>24</v>
      </c>
      <c r="G33">
        <v>1</v>
      </c>
    </row>
    <row r="34" spans="3:22" x14ac:dyDescent="0.45">
      <c r="C34" t="s">
        <v>41</v>
      </c>
      <c r="D34" t="s">
        <v>28</v>
      </c>
      <c r="F34">
        <v>0</v>
      </c>
      <c r="G34">
        <v>3</v>
      </c>
    </row>
    <row r="35" spans="3:22" x14ac:dyDescent="0.45">
      <c r="C35" t="s">
        <v>42</v>
      </c>
      <c r="D35" t="s">
        <v>43</v>
      </c>
      <c r="G35" s="2">
        <v>0.9</v>
      </c>
    </row>
    <row r="38" spans="3:22" ht="17.649999999999999" thickBot="1" x14ac:dyDescent="0.6">
      <c r="C38" t="s">
        <v>44</v>
      </c>
      <c r="P38" s="13" t="s">
        <v>1</v>
      </c>
    </row>
    <row r="39" spans="3:22" ht="15" thickTop="1" thickBot="1" x14ac:dyDescent="0.5">
      <c r="C39" t="s">
        <v>4</v>
      </c>
      <c r="D39" t="s">
        <v>45</v>
      </c>
      <c r="E39" t="s">
        <v>46</v>
      </c>
      <c r="P39" s="14" t="s">
        <v>2</v>
      </c>
      <c r="Q39" s="14" t="s">
        <v>47</v>
      </c>
      <c r="R39" s="15" t="s">
        <v>48</v>
      </c>
      <c r="S39" s="14" t="s">
        <v>49</v>
      </c>
      <c r="T39" s="14" t="s">
        <v>4</v>
      </c>
      <c r="U39" s="14" t="s">
        <v>45</v>
      </c>
      <c r="V39" s="15" t="s">
        <v>50</v>
      </c>
    </row>
    <row r="40" spans="3:22" x14ac:dyDescent="0.45">
      <c r="C40" t="s">
        <v>20</v>
      </c>
      <c r="D40" t="s">
        <v>51</v>
      </c>
      <c r="E40" t="s">
        <v>52</v>
      </c>
      <c r="P40" t="s">
        <v>53</v>
      </c>
      <c r="Q40" t="s">
        <v>54</v>
      </c>
      <c r="R40" t="s">
        <v>55</v>
      </c>
      <c r="S40">
        <v>1</v>
      </c>
      <c r="T40" t="s">
        <v>56</v>
      </c>
      <c r="U40" t="s">
        <v>57</v>
      </c>
      <c r="V40" t="s">
        <v>58</v>
      </c>
    </row>
    <row r="41" spans="3:22" x14ac:dyDescent="0.45">
      <c r="C41" t="s">
        <v>35</v>
      </c>
      <c r="D41" t="s">
        <v>59</v>
      </c>
      <c r="E41" t="s">
        <v>52</v>
      </c>
    </row>
    <row r="42" spans="3:22" x14ac:dyDescent="0.45">
      <c r="C42" t="s">
        <v>14</v>
      </c>
      <c r="D42" t="s">
        <v>60</v>
      </c>
      <c r="E42" t="s">
        <v>52</v>
      </c>
    </row>
    <row r="43" spans="3:22" ht="17.649999999999999" thickBot="1" x14ac:dyDescent="0.6">
      <c r="C43" t="s">
        <v>31</v>
      </c>
      <c r="D43" t="s">
        <v>61</v>
      </c>
      <c r="E43" t="s">
        <v>52</v>
      </c>
      <c r="P43" s="13" t="s">
        <v>62</v>
      </c>
    </row>
    <row r="44" spans="3:22" ht="15" thickTop="1" thickBot="1" x14ac:dyDescent="0.5">
      <c r="C44" t="s">
        <v>33</v>
      </c>
      <c r="D44" t="s">
        <v>63</v>
      </c>
      <c r="E44" t="s">
        <v>52</v>
      </c>
      <c r="P44" s="14" t="s">
        <v>4</v>
      </c>
      <c r="Q44" s="14" t="s">
        <v>45</v>
      </c>
      <c r="R44" s="14" t="s">
        <v>3</v>
      </c>
      <c r="S44" s="15" t="s">
        <v>48</v>
      </c>
    </row>
    <row r="45" spans="3:22" x14ac:dyDescent="0.45">
      <c r="P45" t="s">
        <v>56</v>
      </c>
      <c r="Q45" t="s">
        <v>54</v>
      </c>
      <c r="R45" t="s">
        <v>58</v>
      </c>
      <c r="S45" t="s">
        <v>55</v>
      </c>
    </row>
    <row r="47" spans="3:22" x14ac:dyDescent="0.45">
      <c r="C47" t="s">
        <v>1</v>
      </c>
    </row>
    <row r="48" spans="3:22" x14ac:dyDescent="0.45">
      <c r="C48" t="s">
        <v>6</v>
      </c>
      <c r="D48" t="s">
        <v>3</v>
      </c>
      <c r="E48" t="s">
        <v>37</v>
      </c>
      <c r="F48" t="s">
        <v>64</v>
      </c>
      <c r="G48" t="s">
        <v>65</v>
      </c>
    </row>
    <row r="49" spans="3:13" x14ac:dyDescent="0.45">
      <c r="C49" t="s">
        <v>66</v>
      </c>
      <c r="D49">
        <v>2025</v>
      </c>
      <c r="E49" s="12" t="s">
        <v>67</v>
      </c>
      <c r="F49" s="12" t="s">
        <v>68</v>
      </c>
      <c r="G49" t="s">
        <v>69</v>
      </c>
    </row>
    <row r="50" spans="3:13" x14ac:dyDescent="0.45">
      <c r="C50" t="s">
        <v>70</v>
      </c>
      <c r="D50">
        <v>40</v>
      </c>
      <c r="E50" s="12" t="s">
        <v>71</v>
      </c>
      <c r="G50" t="s">
        <v>72</v>
      </c>
    </row>
    <row r="51" spans="3:13" x14ac:dyDescent="0.45">
      <c r="C51" t="s">
        <v>66</v>
      </c>
      <c r="D51">
        <v>2100</v>
      </c>
      <c r="F51" t="s">
        <v>73</v>
      </c>
    </row>
    <row r="54" spans="3:13" x14ac:dyDescent="0.45">
      <c r="C54" t="s">
        <v>22</v>
      </c>
    </row>
    <row r="55" spans="3:13" x14ac:dyDescent="0.45">
      <c r="C55" t="s">
        <v>2</v>
      </c>
      <c r="D55" t="s">
        <v>48</v>
      </c>
      <c r="E55" t="s">
        <v>65</v>
      </c>
      <c r="F55" t="s">
        <v>4</v>
      </c>
      <c r="G55" t="s">
        <v>37</v>
      </c>
      <c r="H55">
        <v>0</v>
      </c>
      <c r="I55">
        <v>2022</v>
      </c>
      <c r="J55">
        <v>2030</v>
      </c>
      <c r="K55" t="s">
        <v>74</v>
      </c>
      <c r="L55" t="s">
        <v>47</v>
      </c>
      <c r="M55" t="s">
        <v>45</v>
      </c>
    </row>
    <row r="56" spans="3:13" x14ac:dyDescent="0.45">
      <c r="C56" t="s">
        <v>75</v>
      </c>
      <c r="E56" t="s">
        <v>76</v>
      </c>
      <c r="F56" t="s">
        <v>77</v>
      </c>
      <c r="I56">
        <v>0.95</v>
      </c>
      <c r="L56" t="s">
        <v>78</v>
      </c>
      <c r="M56" t="s">
        <v>79</v>
      </c>
    </row>
    <row r="57" spans="3:13" x14ac:dyDescent="0.45">
      <c r="C57" t="s">
        <v>75</v>
      </c>
      <c r="E57" t="s">
        <v>80</v>
      </c>
      <c r="F57" t="s">
        <v>77</v>
      </c>
      <c r="I57">
        <v>0.85</v>
      </c>
      <c r="L57" t="s">
        <v>78</v>
      </c>
      <c r="M57" t="s">
        <v>79</v>
      </c>
    </row>
  </sheetData>
  <mergeCells count="1">
    <mergeCell ref="A1:H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AVA_common</vt:lpstr>
      <vt:lpstr>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2026-09-16T05:34:17Z</dcterms:created>
  <dcterms:modified xsi:type="dcterms:W3CDTF">2026-09-16T05:34:17Z</dcterms:modified>
</cp:coreProperties>
</file>